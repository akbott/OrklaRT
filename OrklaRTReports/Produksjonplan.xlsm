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4.1\OrklaRTReports\"/>
    </mc:Choice>
  </mc:AlternateContent>
  <xr:revisionPtr revIDLastSave="0" documentId="13_ncr:1_{8F27AD71-E108-4B9D-9A37-8090F4BA8071}" xr6:coauthVersionLast="45" xr6:coauthVersionMax="45" xr10:uidLastSave="{00000000-0000-0000-0000-000000000000}"/>
  <workbookProtection workbookAlgorithmName="SHA-512" workbookHashValue="yy1O7b6E8MH/uTNFxGgv67pvpMNS8O1TgMdXLiNqw8pQEwjuo2m4esXX1xGqN2d1RlQSAQW8zKhpAsZk6y5ZWw==" workbookSaltValue="/VUEDB88sNsrVuKLcdk8yw==" workbookSpinCount="100000" lockStructure="1"/>
  <bookViews>
    <workbookView xWindow="29835" yWindow="-120" windowWidth="27885" windowHeight="16440" tabRatio="934" firstSheet="16" activeTab="16" xr2:uid="{00000000-000D-0000-FFFF-FFFF00000000}"/>
  </bookViews>
  <sheets>
    <sheet name="Database" sheetId="9" state="hidden" r:id="rId1"/>
    <sheet name="PlanData" sheetId="40" state="hidden" r:id="rId2"/>
    <sheet name="MixingPlan" sheetId="54" state="hidden" r:id="rId3"/>
    <sheet name="AllergenData" sheetId="51" state="hidden" r:id="rId4"/>
    <sheet name="Capacity" sheetId="49" state="hidden" r:id="rId5"/>
    <sheet name="WC_Cap" sheetId="46" state="hidden" r:id="rId6"/>
    <sheet name="Cap_Start" sheetId="45" state="hidden" r:id="rId7"/>
    <sheet name="WCGroup" sheetId="55" state="hidden" r:id="rId8"/>
    <sheet name="AllergenType" sheetId="53" state="hidden" r:id="rId9"/>
    <sheet name="Allergen" sheetId="50" state="hidden" r:id="rId10"/>
    <sheet name="Descriptions" sheetId="8" state="hidden" r:id="rId11"/>
    <sheet name="PvtTableDef" sheetId="33" state="hidden" r:id="rId12"/>
    <sheet name="LocalLists" sheetId="24" state="hidden" r:id="rId13"/>
    <sheet name="ReportOptions" sheetId="10" state="hidden" r:id="rId14"/>
    <sheet name="Version" sheetId="5" state="hidden" r:id="rId15"/>
    <sheet name="Information" sheetId="34" state="hidden" r:id="rId16"/>
    <sheet name="Rapport info" sheetId="1" r:id="rId17"/>
    <sheet name="ProdPlan" sheetId="35" r:id="rId18"/>
    <sheet name="Sequence" sheetId="36" r:id="rId19"/>
    <sheet name="Sequence_Allergen" sheetId="52" r:id="rId20"/>
    <sheet name="Mixing Status" sheetId="37" r:id="rId21"/>
    <sheet name="Deviations" sheetId="38" r:id="rId22"/>
    <sheet name="Låst plan" sheetId="39" r:id="rId23"/>
  </sheets>
  <externalReferences>
    <externalReference r:id="rId24"/>
    <externalReference r:id="rId25"/>
  </externalReferences>
  <definedNames>
    <definedName name="_Day1">ProdPlan!$B$6:$Y$6</definedName>
    <definedName name="_Day2">ProdPlan!$Z$6:$AW$6</definedName>
    <definedName name="_Day3">ProdPlan!$AX$6:$BU$6</definedName>
    <definedName name="Alerts" localSheetId="2">[1]Alerts!$A$1:$A$2281</definedName>
    <definedName name="Alerts">[2]Alerts!$A$1:$A$2281</definedName>
    <definedName name="CapDate">ReportOptions!$B$11</definedName>
    <definedName name="CapDateNumber">WC_Cap!$Q$1:$W$33</definedName>
    <definedName name="CapDates">WC_Cap!$Q$1:$Q$15</definedName>
    <definedName name="CapStart">Cap_Start!$1:$1048576</definedName>
    <definedName name="CapStartDay" localSheetId="3">tWCCap[[Index]:[Shift]]</definedName>
    <definedName name="CapStartDay" localSheetId="4">tWCCap[[Index]:[Shift]]</definedName>
    <definedName name="CapStartDay" localSheetId="19">tWCCap[[Index]:[Shift]]</definedName>
    <definedName name="CapStartDay">tWCCap[[Index]:[Shift]]</definedName>
    <definedName name="Currency">ReportOptions!$B$10</definedName>
    <definedName name="CustomerHierarchy" localSheetId="8">[2]ReportOptions!$B$7</definedName>
    <definedName name="CustomerHierarchy" localSheetId="2">[1]ReportOptions!$B$7</definedName>
    <definedName name="CustomerHierarchy">ReportOptions!$B$7</definedName>
    <definedName name="Days">ProdPlan!$B$6:$DQ$6</definedName>
    <definedName name="EndTime">ProdPlan!$Z$6</definedName>
    <definedName name="FGPlan" localSheetId="2">[1]ProdPlan!$B$1:$F$3</definedName>
    <definedName name="FGPlan">[2]ProdPlan!$B$1:$F$3</definedName>
    <definedName name="FirstSheet">Version!$B$6</definedName>
    <definedName name="FirstTable">Version!$B$7</definedName>
    <definedName name="FromDate">ReportOptions!$B$12</definedName>
    <definedName name="MaterialPrice" localSheetId="8">[2]ReportOptions!$B$5</definedName>
    <definedName name="MaterialPrice" localSheetId="2">[1]ReportOptions!$B$5</definedName>
    <definedName name="MaterialPrice">ReportOptions!$B$5</definedName>
    <definedName name="MixPlan">[2]!tMixPlan[#All]</definedName>
    <definedName name="MixWC1">[2]!tMixWC[[#All],[Arbeidsstasjon/ressurs]]</definedName>
    <definedName name="Night">ProdPlan!$B$6:$H$6</definedName>
    <definedName name="NowValue" localSheetId="3">AllergenData!$DH$1</definedName>
    <definedName name="NowValue">Database!$CX$1</definedName>
    <definedName name="OrderStart" localSheetId="2">[1]ProdStatus!$B$1:$D$3</definedName>
    <definedName name="OrderStart">[2]ProdStatus!$B$1:$D$3</definedName>
    <definedName name="Pegged" localSheetId="2">MixingPlan!$AH$1:$AZ$3</definedName>
    <definedName name="Pegged">[2]Database!$AH$1:$AZ$3</definedName>
    <definedName name="PlanData" localSheetId="3">PlanAll[[Order]:[Start_Time]]</definedName>
    <definedName name="PlanData" localSheetId="4">PlanAll[[Order]:[Start_Time]]</definedName>
    <definedName name="PlanData" localSheetId="19">PlanAll[[Order]:[Start_Time]]</definedName>
    <definedName name="PlanData">PlanAll[[Order]:[Start_Time]]</definedName>
    <definedName name="PlanStart">PlanData!$DP$1</definedName>
    <definedName name="PlanTime">PlanData!$DO$1</definedName>
    <definedName name="PlanTime1">PlanData!$DQ$1</definedName>
    <definedName name="PriPlan1">[2]!tPriPlan1[#All]</definedName>
    <definedName name="ProdStatus">[2]!tProdStatus[#All]</definedName>
    <definedName name="ProductHierarchy" localSheetId="8">[2]ReportOptions!$B$6</definedName>
    <definedName name="ProductHierarchy" localSheetId="2">[1]ReportOptions!$B$6</definedName>
    <definedName name="ProductHierarchy">ReportOptions!$B$6</definedName>
    <definedName name="Pstatus" localSheetId="2">[1]BlandePlan!$B$6</definedName>
    <definedName name="Pstatus">[2]BlandePlan!$B$6</definedName>
    <definedName name="QuantityUnit">ReportOptions!$B$9</definedName>
    <definedName name="RecNum">'Rapport info'!$K$10</definedName>
    <definedName name="ReportCaption" localSheetId="8">[2]Version!$B$8</definedName>
    <definedName name="ReportCaption" localSheetId="2">[1]Version!$B$8</definedName>
    <definedName name="ReportCaption">Version!$B$8</definedName>
    <definedName name="ReportCaption1">Version!$B$9</definedName>
    <definedName name="ReportCaption2">Version!$B$10</definedName>
    <definedName name="ReportCaption3">Version!$B$11</definedName>
    <definedName name="ReportCaption4">Version!$B$12</definedName>
    <definedName name="ReportID">Version!$B$4</definedName>
    <definedName name="RSTest">[2]!tRSTest[#All]</definedName>
    <definedName name="SalesValue">ReportOptions!$B$8</definedName>
    <definedName name="SapExlReportName" localSheetId="8">[2]Version!$B$5</definedName>
    <definedName name="SapExlReportName" localSheetId="2">[1]Version!$B$5</definedName>
    <definedName name="SapExlReportName">Version!$B$5</definedName>
    <definedName name="SecondSheet">Version!$B$13</definedName>
    <definedName name="SecondTable">Version!$B$14</definedName>
    <definedName name="StartTime">ProdPlan!$B$6</definedName>
    <definedName name="StartWC">ProdPlan!$A$6</definedName>
    <definedName name="Time">"Rektangel 28905"</definedName>
    <definedName name="Time_Used">'Rapport info'!$K$12</definedName>
    <definedName name="TimeNow" localSheetId="3">AllergenData!$DE$1</definedName>
    <definedName name="TimeNow">Database!$CU$1</definedName>
    <definedName name="ToDay" localSheetId="3">AllergenData!$DG$1</definedName>
    <definedName name="ToDay">Database!$CW$1</definedName>
    <definedName name="Updated" localSheetId="8">'[2]Rapport info'!$K$11</definedName>
    <definedName name="Updated" localSheetId="2">'[1]Rapport info'!$K$11</definedName>
    <definedName name="Updated">'Rapport info'!$K$11</definedName>
    <definedName name="WC_Cap" localSheetId="3">tWCCap[[Work Center]:[Capacity]]</definedName>
    <definedName name="WC_Cap" localSheetId="4">tWCCap[[Work Center]:[Capacity]]</definedName>
    <definedName name="WC_Cap" localSheetId="19">tWCCap[[Work Center]:[Capacity]]</definedName>
    <definedName name="WC_Cap">tWCCap[[Work Center]:[Capacity]]</definedName>
    <definedName name="WC_Plan">ProdPlan!$A$7:$A$203</definedName>
  </definedNames>
  <calcPr calcId="191029"/>
  <pivotCaches>
    <pivotCache cacheId="78" r:id="rId26"/>
    <pivotCache cacheId="79" r:id="rId27"/>
    <pivotCache cacheId="94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D2" i="51" l="1"/>
  <c r="DD3" i="51"/>
  <c r="DC2" i="51" l="1"/>
  <c r="DC3" i="51"/>
  <c r="BC3" i="54" l="1"/>
  <c r="BB3" i="54"/>
  <c r="BA3" i="54"/>
  <c r="BC2" i="54"/>
  <c r="BB2" i="54"/>
  <c r="BA2" i="54"/>
  <c r="CZ2" i="51" l="1"/>
  <c r="CZ3" i="51"/>
  <c r="CY2" i="51"/>
  <c r="CY3" i="51"/>
  <c r="CX2" i="51"/>
  <c r="CX3" i="51"/>
  <c r="CW2" i="51"/>
  <c r="CW3" i="51"/>
  <c r="CV2" i="51"/>
  <c r="CV3" i="51"/>
  <c r="CU2" i="51"/>
  <c r="CU3" i="51"/>
  <c r="CT2" i="51"/>
  <c r="DA2" i="51" s="1"/>
  <c r="DB2" i="51" s="1"/>
  <c r="CT3" i="51"/>
  <c r="DA3" i="51" l="1"/>
  <c r="DB3" i="51" s="1"/>
  <c r="C2678" i="50"/>
  <c r="C2679" i="50"/>
  <c r="C2680" i="50"/>
  <c r="C2681" i="50"/>
  <c r="C2682" i="50"/>
  <c r="C2683" i="50"/>
  <c r="C2684" i="50"/>
  <c r="C2685" i="50"/>
  <c r="C2686" i="50"/>
  <c r="C2687" i="50"/>
  <c r="C2688" i="50"/>
  <c r="C2689" i="50"/>
  <c r="C2690" i="50"/>
  <c r="C2691" i="50"/>
  <c r="C2692" i="50"/>
  <c r="C2693" i="50"/>
  <c r="C2694" i="50"/>
  <c r="C2695" i="50"/>
  <c r="C2696" i="50"/>
  <c r="C2697" i="50"/>
  <c r="C2698" i="50"/>
  <c r="C2699" i="50"/>
  <c r="C2700" i="50"/>
  <c r="C2701" i="50"/>
  <c r="C2702" i="50"/>
  <c r="C2703" i="50"/>
  <c r="C2704" i="50"/>
  <c r="C2705" i="50"/>
  <c r="C2706" i="50"/>
  <c r="C2707" i="50"/>
  <c r="C2708" i="50"/>
  <c r="C2709" i="50"/>
  <c r="C2710" i="50"/>
  <c r="C2711" i="50"/>
  <c r="C2712" i="50"/>
  <c r="C2713" i="50"/>
  <c r="C2714" i="50"/>
  <c r="C2715" i="50"/>
  <c r="C2716" i="50"/>
  <c r="C2717" i="50"/>
  <c r="C2718" i="50"/>
  <c r="C2719" i="50"/>
  <c r="C2720" i="50"/>
  <c r="C2721" i="50"/>
  <c r="C2722" i="50"/>
  <c r="C2723" i="50"/>
  <c r="C2724" i="50"/>
  <c r="C2725" i="50"/>
  <c r="C2726" i="50"/>
  <c r="C2727" i="50"/>
  <c r="C2728" i="50"/>
  <c r="C2729" i="50"/>
  <c r="C2730" i="50"/>
  <c r="C2731" i="50"/>
  <c r="C2732" i="50"/>
  <c r="C2733" i="50"/>
  <c r="C2734" i="50"/>
  <c r="C2735" i="50"/>
  <c r="C2736" i="50"/>
  <c r="C2737" i="50"/>
  <c r="C2738" i="50"/>
  <c r="C2739" i="50"/>
  <c r="C2740" i="50"/>
  <c r="C2741" i="50"/>
  <c r="C2742" i="50"/>
  <c r="C2743" i="50"/>
  <c r="C2744" i="50"/>
  <c r="C2745" i="50"/>
  <c r="C2746" i="50"/>
  <c r="C2747" i="50"/>
  <c r="C2748" i="50"/>
  <c r="C2749" i="50"/>
  <c r="C2750" i="50"/>
  <c r="C2751" i="50"/>
  <c r="C2752" i="50"/>
  <c r="C2753" i="50"/>
  <c r="C2754" i="50"/>
  <c r="C2755" i="50"/>
  <c r="C2756" i="50"/>
  <c r="C2757" i="50"/>
  <c r="C2758" i="50"/>
  <c r="C2759" i="50"/>
  <c r="C2760" i="50"/>
  <c r="C2761" i="50"/>
  <c r="C2762" i="50"/>
  <c r="C2763" i="50"/>
  <c r="C2764" i="50"/>
  <c r="C2765" i="50"/>
  <c r="C2766" i="50"/>
  <c r="C2767" i="50"/>
  <c r="C2768" i="50"/>
  <c r="C2769" i="50"/>
  <c r="C2770" i="50"/>
  <c r="C2771" i="50"/>
  <c r="C2772" i="50"/>
  <c r="C2773" i="50"/>
  <c r="C2774" i="50"/>
  <c r="C2775" i="50"/>
  <c r="C2776" i="50"/>
  <c r="C2777" i="50"/>
  <c r="C2778" i="50"/>
  <c r="C2779" i="50"/>
  <c r="C2780" i="50"/>
  <c r="C2781" i="50"/>
  <c r="C2782" i="50"/>
  <c r="C2783" i="50"/>
  <c r="C2784" i="50"/>
  <c r="C2785" i="50"/>
  <c r="C2786" i="50"/>
  <c r="C2787" i="50"/>
  <c r="C2788" i="50"/>
  <c r="C2789" i="50"/>
  <c r="C2790" i="50"/>
  <c r="C2791" i="50"/>
  <c r="C2792" i="50"/>
  <c r="C2793" i="50"/>
  <c r="C2794" i="50"/>
  <c r="C2795" i="50"/>
  <c r="C2796" i="50"/>
  <c r="C2797" i="50"/>
  <c r="C2798" i="50"/>
  <c r="C2799" i="50"/>
  <c r="C2800" i="50"/>
  <c r="C2801" i="50"/>
  <c r="C2802" i="50"/>
  <c r="C2803" i="50"/>
  <c r="C2804" i="50"/>
  <c r="C2805" i="50"/>
  <c r="C2806" i="50"/>
  <c r="C2807" i="50"/>
  <c r="C2808" i="50"/>
  <c r="C2809" i="50"/>
  <c r="C2810" i="50"/>
  <c r="C2811" i="50"/>
  <c r="C2812" i="50"/>
  <c r="C2813" i="50"/>
  <c r="C2814" i="50"/>
  <c r="C2815" i="50"/>
  <c r="C2816" i="50"/>
  <c r="C2817" i="50"/>
  <c r="C2818" i="50"/>
  <c r="C2819" i="50"/>
  <c r="C2820" i="50"/>
  <c r="C2821" i="50"/>
  <c r="C2822" i="50"/>
  <c r="C2823" i="50"/>
  <c r="C2824" i="50"/>
  <c r="C2825" i="50"/>
  <c r="C2826" i="50"/>
  <c r="C2827" i="50"/>
  <c r="C2828" i="50"/>
  <c r="C2829" i="50"/>
  <c r="C2830" i="50"/>
  <c r="C2831" i="50"/>
  <c r="C2832" i="50"/>
  <c r="C2833" i="50"/>
  <c r="C2834" i="50"/>
  <c r="C2835" i="50"/>
  <c r="C2836" i="50"/>
  <c r="C2837" i="50"/>
  <c r="C2838" i="50"/>
  <c r="C2839" i="50"/>
  <c r="C2840" i="50"/>
  <c r="C2841" i="50"/>
  <c r="C2842" i="50"/>
  <c r="C2843" i="50"/>
  <c r="C2844" i="50"/>
  <c r="C2845" i="50"/>
  <c r="C2846" i="50"/>
  <c r="C2847" i="50"/>
  <c r="C2848" i="50"/>
  <c r="C2849" i="50"/>
  <c r="C2850" i="50"/>
  <c r="C2851" i="50"/>
  <c r="C2852" i="50"/>
  <c r="C2853" i="50"/>
  <c r="C2854" i="50"/>
  <c r="C2855" i="50"/>
  <c r="C2856" i="50"/>
  <c r="C2857" i="50"/>
  <c r="C2858" i="50"/>
  <c r="C2859" i="50"/>
  <c r="C2860" i="50"/>
  <c r="C2861" i="50"/>
  <c r="C2862" i="50"/>
  <c r="C2863" i="50"/>
  <c r="C2864" i="50"/>
  <c r="C2865" i="50"/>
  <c r="C2866" i="50"/>
  <c r="C2867" i="50"/>
  <c r="C2868" i="50"/>
  <c r="C2869" i="50"/>
  <c r="C2870" i="50"/>
  <c r="C2871" i="50"/>
  <c r="C2872" i="50"/>
  <c r="C2873" i="50"/>
  <c r="C2874" i="50"/>
  <c r="C2875" i="50"/>
  <c r="C2876" i="50"/>
  <c r="C2877" i="50"/>
  <c r="C2878" i="50"/>
  <c r="C2879" i="50"/>
  <c r="C2880" i="50"/>
  <c r="C2881" i="50"/>
  <c r="C2882" i="50"/>
  <c r="C2883" i="50"/>
  <c r="C2884" i="50"/>
  <c r="C2885" i="50"/>
  <c r="C2886" i="50"/>
  <c r="C2887" i="50"/>
  <c r="C2888" i="50"/>
  <c r="C2889" i="50"/>
  <c r="C2890" i="50"/>
  <c r="C2891" i="50"/>
  <c r="C2892" i="50"/>
  <c r="C2893" i="50"/>
  <c r="C2894" i="50"/>
  <c r="C2895" i="50"/>
  <c r="C2896" i="50"/>
  <c r="C2897" i="50"/>
  <c r="C2898" i="50"/>
  <c r="C2899" i="50"/>
  <c r="C2900" i="50"/>
  <c r="C2901" i="50"/>
  <c r="C2902" i="50"/>
  <c r="C2903" i="50"/>
  <c r="C2904" i="50"/>
  <c r="C2905" i="50"/>
  <c r="C2906" i="50"/>
  <c r="C2907" i="50"/>
  <c r="C2908" i="50"/>
  <c r="C2909" i="50"/>
  <c r="C2910" i="50"/>
  <c r="C2911" i="50"/>
  <c r="C2912" i="50"/>
  <c r="C2913" i="50"/>
  <c r="C2914" i="50"/>
  <c r="C2915" i="50"/>
  <c r="C2916" i="50"/>
  <c r="C2917" i="50"/>
  <c r="C2918" i="50"/>
  <c r="C2919" i="50"/>
  <c r="C2920" i="50"/>
  <c r="C2921" i="50"/>
  <c r="C2922" i="50"/>
  <c r="C2923" i="50"/>
  <c r="C2924" i="50"/>
  <c r="C2925" i="50"/>
  <c r="C2926" i="50"/>
  <c r="C2927" i="50"/>
  <c r="C2928" i="50"/>
  <c r="C2929" i="50"/>
  <c r="C2930" i="50"/>
  <c r="C2931" i="50"/>
  <c r="C2932" i="50"/>
  <c r="C2933" i="50"/>
  <c r="C2934" i="50"/>
  <c r="C2935" i="50"/>
  <c r="C2936" i="50"/>
  <c r="C2937" i="50"/>
  <c r="C2938" i="50"/>
  <c r="C2939" i="50"/>
  <c r="C2940" i="50"/>
  <c r="C2941" i="50"/>
  <c r="C2942" i="50"/>
  <c r="C2943" i="50"/>
  <c r="C2944" i="50"/>
  <c r="C2945" i="50"/>
  <c r="C2946" i="50"/>
  <c r="C2947" i="50"/>
  <c r="C2948" i="50"/>
  <c r="C2949" i="50"/>
  <c r="C2950" i="50"/>
  <c r="C2951" i="50"/>
  <c r="C2952" i="50"/>
  <c r="C2953" i="50"/>
  <c r="C2954" i="50"/>
  <c r="C2955" i="50"/>
  <c r="C2956" i="50"/>
  <c r="C2957" i="50"/>
  <c r="C2958" i="50"/>
  <c r="C2959" i="50"/>
  <c r="C2960" i="50"/>
  <c r="C2961" i="50"/>
  <c r="C2962" i="50"/>
  <c r="C2963" i="50"/>
  <c r="C2964" i="50"/>
  <c r="C2965" i="50"/>
  <c r="C2966" i="50"/>
  <c r="C2967" i="50"/>
  <c r="C2968" i="50"/>
  <c r="C2969" i="50"/>
  <c r="C2970" i="50"/>
  <c r="C2971" i="50"/>
  <c r="C2972" i="50"/>
  <c r="C2973" i="50"/>
  <c r="C2974" i="50"/>
  <c r="C2975" i="50"/>
  <c r="C2976" i="50"/>
  <c r="C2977" i="50"/>
  <c r="C2978" i="50"/>
  <c r="C2979" i="50"/>
  <c r="C2980" i="50"/>
  <c r="C2981" i="50"/>
  <c r="C2982" i="50"/>
  <c r="C2983" i="50"/>
  <c r="C2984" i="50"/>
  <c r="C2985" i="50"/>
  <c r="C2986" i="50"/>
  <c r="C2987" i="50"/>
  <c r="C2988" i="50"/>
  <c r="C2989" i="50"/>
  <c r="C2990" i="50"/>
  <c r="C2991" i="50"/>
  <c r="C2992" i="50"/>
  <c r="C2993" i="50"/>
  <c r="C2994" i="50"/>
  <c r="C2995" i="50"/>
  <c r="C2996" i="50"/>
  <c r="C2997" i="50"/>
  <c r="C2998" i="50"/>
  <c r="C2999" i="50"/>
  <c r="C3000" i="50"/>
  <c r="C3001" i="50"/>
  <c r="C3002" i="50"/>
  <c r="C3003" i="50"/>
  <c r="C3004" i="50"/>
  <c r="C3005" i="50"/>
  <c r="C3006" i="50"/>
  <c r="C3007" i="50"/>
  <c r="C3008" i="50"/>
  <c r="C3009" i="50"/>
  <c r="C3010" i="50"/>
  <c r="C3011" i="50"/>
  <c r="C3012" i="50"/>
  <c r="C3013" i="50"/>
  <c r="C3014" i="50"/>
  <c r="C3015" i="50"/>
  <c r="C3016" i="50"/>
  <c r="C3017" i="50"/>
  <c r="C3018" i="50"/>
  <c r="C3019" i="50"/>
  <c r="C3020" i="50"/>
  <c r="C3021" i="50"/>
  <c r="C3022" i="50"/>
  <c r="C3023" i="50"/>
  <c r="C3024" i="50"/>
  <c r="C3025" i="50"/>
  <c r="C3026" i="50"/>
  <c r="C3027" i="50"/>
  <c r="C3028" i="50"/>
  <c r="C3029" i="50"/>
  <c r="C3030" i="50"/>
  <c r="C3031" i="50"/>
  <c r="C3032" i="50"/>
  <c r="C3033" i="50"/>
  <c r="C3034" i="50"/>
  <c r="C3035" i="50"/>
  <c r="C3036" i="50"/>
  <c r="C3037" i="50"/>
  <c r="C3038" i="50"/>
  <c r="C3039" i="50"/>
  <c r="C3040" i="50"/>
  <c r="C3041" i="50"/>
  <c r="C3042" i="50"/>
  <c r="C3043" i="50"/>
  <c r="C3044" i="50"/>
  <c r="C3045" i="50"/>
  <c r="C3046" i="50"/>
  <c r="C3047" i="50"/>
  <c r="C3048" i="50"/>
  <c r="C3049" i="50"/>
  <c r="C3050" i="50"/>
  <c r="C3051" i="50"/>
  <c r="C3052" i="50"/>
  <c r="C3053" i="50"/>
  <c r="C3054" i="50"/>
  <c r="C3055" i="50"/>
  <c r="C3056" i="50"/>
  <c r="C3057" i="50"/>
  <c r="C3058" i="50"/>
  <c r="C3059" i="50"/>
  <c r="C3060" i="50"/>
  <c r="C3061" i="50"/>
  <c r="C3062" i="50"/>
  <c r="C3063" i="50"/>
  <c r="C3064" i="50"/>
  <c r="C3065" i="50"/>
  <c r="C3066" i="50"/>
  <c r="C3067" i="50"/>
  <c r="C3068" i="50"/>
  <c r="C3069" i="50"/>
  <c r="C3070" i="50"/>
  <c r="C3071" i="50"/>
  <c r="C3072" i="50"/>
  <c r="C3073" i="50"/>
  <c r="C3074" i="50"/>
  <c r="C3075" i="50"/>
  <c r="C3076" i="50"/>
  <c r="C3077" i="50"/>
  <c r="C3078" i="50"/>
  <c r="C3079" i="50"/>
  <c r="C3080" i="50"/>
  <c r="C3081" i="50"/>
  <c r="C3082" i="50"/>
  <c r="C3083" i="50"/>
  <c r="C3084" i="50"/>
  <c r="C3085" i="50"/>
  <c r="C3086" i="50"/>
  <c r="C3087" i="50"/>
  <c r="C3088" i="50"/>
  <c r="C3089" i="50"/>
  <c r="C3090" i="50"/>
  <c r="C3091" i="50"/>
  <c r="C3092" i="50"/>
  <c r="C3093" i="50"/>
  <c r="C3094" i="50"/>
  <c r="C3095" i="50"/>
  <c r="C3096" i="50"/>
  <c r="C3097" i="50"/>
  <c r="C3098" i="50"/>
  <c r="C3099" i="50"/>
  <c r="C3100" i="50"/>
  <c r="C3101" i="50"/>
  <c r="C3102" i="50"/>
  <c r="C3103" i="50"/>
  <c r="C3104" i="50"/>
  <c r="C3105" i="50"/>
  <c r="C3106" i="50"/>
  <c r="C3107" i="50"/>
  <c r="C3108" i="50"/>
  <c r="C3109" i="50"/>
  <c r="C3110" i="50"/>
  <c r="C3111" i="50"/>
  <c r="C3112" i="50"/>
  <c r="C3113" i="50"/>
  <c r="C3114" i="50"/>
  <c r="C3115" i="50"/>
  <c r="C3116" i="50"/>
  <c r="C3117" i="50"/>
  <c r="C3118" i="50"/>
  <c r="C3119" i="50"/>
  <c r="C3120" i="50"/>
  <c r="C3121" i="50"/>
  <c r="C3122" i="50"/>
  <c r="C3123" i="50"/>
  <c r="C3124" i="50"/>
  <c r="C3125" i="50"/>
  <c r="C3126" i="50"/>
  <c r="C3127" i="50"/>
  <c r="C3128" i="50"/>
  <c r="C3129" i="50"/>
  <c r="C3130" i="50"/>
  <c r="C3131" i="50"/>
  <c r="C3132" i="50"/>
  <c r="C3133" i="50"/>
  <c r="C3134" i="50"/>
  <c r="C3135" i="50"/>
  <c r="C3136" i="50"/>
  <c r="C3137" i="50"/>
  <c r="C3138" i="50"/>
  <c r="C3139" i="50"/>
  <c r="C3140" i="50"/>
  <c r="C3141" i="50"/>
  <c r="C3142" i="50"/>
  <c r="C3143" i="50"/>
  <c r="C3144" i="50"/>
  <c r="C3145" i="50"/>
  <c r="C3146" i="50"/>
  <c r="C3147" i="50"/>
  <c r="C3148" i="50"/>
  <c r="C3149" i="50"/>
  <c r="C3150" i="50"/>
  <c r="C3151" i="50"/>
  <c r="C3152" i="50"/>
  <c r="C3153" i="50"/>
  <c r="C3154" i="50"/>
  <c r="C3155" i="50"/>
  <c r="C3156" i="50"/>
  <c r="C3157" i="50"/>
  <c r="C3158" i="50"/>
  <c r="C3159" i="50"/>
  <c r="C3160" i="50"/>
  <c r="C3161" i="50"/>
  <c r="C3162" i="50"/>
  <c r="C3163" i="50"/>
  <c r="C3164" i="50"/>
  <c r="C3165" i="50"/>
  <c r="C3166" i="50"/>
  <c r="C3167" i="50"/>
  <c r="C3168" i="50"/>
  <c r="C3169" i="50"/>
  <c r="C3170" i="50"/>
  <c r="C3171" i="50"/>
  <c r="C3172" i="50"/>
  <c r="C3173" i="50"/>
  <c r="C3174" i="50"/>
  <c r="C3175" i="50"/>
  <c r="C3176" i="50"/>
  <c r="C3177" i="50"/>
  <c r="C3178" i="50"/>
  <c r="C3179" i="50"/>
  <c r="C3180" i="50"/>
  <c r="C3181" i="50"/>
  <c r="C3182" i="50"/>
  <c r="C3183" i="50"/>
  <c r="C3184" i="50"/>
  <c r="C3185" i="50"/>
  <c r="C3186" i="50"/>
  <c r="C3187" i="50"/>
  <c r="C3188" i="50"/>
  <c r="C3189" i="50"/>
  <c r="C3190" i="50"/>
  <c r="C3191" i="50"/>
  <c r="C3192" i="50"/>
  <c r="C3193" i="50"/>
  <c r="C3194" i="50"/>
  <c r="C3195" i="50"/>
  <c r="C3196" i="50"/>
  <c r="C3197" i="50"/>
  <c r="C3198" i="50"/>
  <c r="C3199" i="50"/>
  <c r="C3200" i="50"/>
  <c r="C3201" i="50"/>
  <c r="C3202" i="50"/>
  <c r="C3203" i="50"/>
  <c r="C3204" i="50"/>
  <c r="C3205" i="50"/>
  <c r="C3206" i="50"/>
  <c r="C3207" i="50"/>
  <c r="C3208" i="50"/>
  <c r="C3209" i="50"/>
  <c r="C3210" i="50"/>
  <c r="C3211" i="50"/>
  <c r="C3212" i="50"/>
  <c r="C3213" i="50"/>
  <c r="C3214" i="50"/>
  <c r="C3215" i="50"/>
  <c r="C3216" i="50"/>
  <c r="C3217" i="50"/>
  <c r="C3218" i="50"/>
  <c r="C3219" i="50"/>
  <c r="C3220" i="50"/>
  <c r="C3221" i="50"/>
  <c r="C3222" i="50"/>
  <c r="C3223" i="50"/>
  <c r="C3224" i="50"/>
  <c r="C3225" i="50"/>
  <c r="C3226" i="50"/>
  <c r="C3227" i="50"/>
  <c r="C3228" i="50"/>
  <c r="C3229" i="50"/>
  <c r="C3230" i="50"/>
  <c r="C3231" i="50"/>
  <c r="C3232" i="50"/>
  <c r="C3233" i="50"/>
  <c r="C3234" i="50"/>
  <c r="C3235" i="50"/>
  <c r="C3236" i="50"/>
  <c r="C3237" i="50"/>
  <c r="C3238" i="50"/>
  <c r="C3239" i="50"/>
  <c r="C3240" i="50"/>
  <c r="C3241" i="50"/>
  <c r="C3242" i="50"/>
  <c r="C3243" i="50"/>
  <c r="C3244" i="50"/>
  <c r="C3245" i="50"/>
  <c r="C3246" i="50"/>
  <c r="C3247" i="50"/>
  <c r="C3248" i="50"/>
  <c r="C3249" i="50"/>
  <c r="C3250" i="50"/>
  <c r="C3251" i="50"/>
  <c r="C3252" i="50"/>
  <c r="C3253" i="50"/>
  <c r="C3254" i="50"/>
  <c r="C3255" i="50"/>
  <c r="C3256" i="50"/>
  <c r="C3257" i="50"/>
  <c r="C3258" i="50"/>
  <c r="C3259" i="50"/>
  <c r="C3260" i="50"/>
  <c r="C3261" i="50"/>
  <c r="C3262" i="50"/>
  <c r="C3263" i="50"/>
  <c r="C3264" i="50"/>
  <c r="C3265" i="50"/>
  <c r="C3266" i="50"/>
  <c r="C3267" i="50"/>
  <c r="C3268" i="50"/>
  <c r="C3269" i="50"/>
  <c r="C3270" i="50"/>
  <c r="C3271" i="50"/>
  <c r="C3272" i="50"/>
  <c r="C3273" i="50"/>
  <c r="C3274" i="50"/>
  <c r="C3275" i="50"/>
  <c r="C3276" i="50"/>
  <c r="C3277" i="50"/>
  <c r="C3278" i="50"/>
  <c r="C3279" i="50"/>
  <c r="C3280" i="50"/>
  <c r="C3281" i="50"/>
  <c r="C3282" i="50"/>
  <c r="C3283" i="50"/>
  <c r="C3284" i="50"/>
  <c r="C3285" i="50"/>
  <c r="C3286" i="50"/>
  <c r="C3287" i="50"/>
  <c r="C3288" i="50"/>
  <c r="C3289" i="50"/>
  <c r="C3290" i="50"/>
  <c r="C3291" i="50"/>
  <c r="C3292" i="50"/>
  <c r="C3293" i="50"/>
  <c r="C3294" i="50"/>
  <c r="C3295" i="50"/>
  <c r="C3296" i="50"/>
  <c r="C3297" i="50"/>
  <c r="C3298" i="50"/>
  <c r="C3299" i="50"/>
  <c r="C3300" i="50"/>
  <c r="C3301" i="50"/>
  <c r="C3302" i="50"/>
  <c r="C3303" i="50"/>
  <c r="C3304" i="50"/>
  <c r="C3305" i="50"/>
  <c r="C3306" i="50"/>
  <c r="C3307" i="50"/>
  <c r="C3308" i="50"/>
  <c r="C3309" i="50"/>
  <c r="C3310" i="50"/>
  <c r="C3311" i="50"/>
  <c r="C3312" i="50"/>
  <c r="C3313" i="50"/>
  <c r="C3314" i="50"/>
  <c r="C3315" i="50"/>
  <c r="C3316" i="50"/>
  <c r="C3317" i="50"/>
  <c r="C3318" i="50"/>
  <c r="C3319" i="50"/>
  <c r="C3320" i="50"/>
  <c r="C3321" i="50"/>
  <c r="C3322" i="50"/>
  <c r="C3323" i="50"/>
  <c r="C3324" i="50"/>
  <c r="C3325" i="50"/>
  <c r="C3326" i="50"/>
  <c r="C3327" i="50"/>
  <c r="C3328" i="50"/>
  <c r="C3329" i="50"/>
  <c r="C3330" i="50"/>
  <c r="C3331" i="50"/>
  <c r="C3332" i="50"/>
  <c r="C3333" i="50"/>
  <c r="C3334" i="50"/>
  <c r="C3335" i="50"/>
  <c r="C3336" i="50"/>
  <c r="C3337" i="50"/>
  <c r="C3338" i="50"/>
  <c r="C3339" i="50"/>
  <c r="C3340" i="50"/>
  <c r="C3341" i="50"/>
  <c r="C3342" i="50"/>
  <c r="C3343" i="50"/>
  <c r="C3344" i="50"/>
  <c r="C3345" i="50"/>
  <c r="C3346" i="50"/>
  <c r="C3347" i="50"/>
  <c r="C3348" i="50"/>
  <c r="C3349" i="50"/>
  <c r="C3350" i="50"/>
  <c r="C3351" i="50"/>
  <c r="C3352" i="50"/>
  <c r="C3353" i="50"/>
  <c r="C3354" i="50"/>
  <c r="C3355" i="50"/>
  <c r="C3356" i="50"/>
  <c r="C3357" i="50"/>
  <c r="C3358" i="50"/>
  <c r="C3359" i="50"/>
  <c r="C3360" i="50"/>
  <c r="C3361" i="50"/>
  <c r="C3362" i="50"/>
  <c r="C3363" i="50"/>
  <c r="C3364" i="50"/>
  <c r="C3365" i="50"/>
  <c r="C3366" i="50"/>
  <c r="C3367" i="50"/>
  <c r="C3368" i="50"/>
  <c r="C3369" i="50"/>
  <c r="C3370" i="50"/>
  <c r="C3371" i="50"/>
  <c r="C3372" i="50"/>
  <c r="C3373" i="50"/>
  <c r="C3374" i="50"/>
  <c r="C3375" i="50"/>
  <c r="C3376" i="50"/>
  <c r="C3377" i="50"/>
  <c r="C3378" i="50"/>
  <c r="C3379" i="50"/>
  <c r="C3380" i="50"/>
  <c r="C3381" i="50"/>
  <c r="C3382" i="50"/>
  <c r="C3383" i="50"/>
  <c r="C3384" i="50"/>
  <c r="C3385" i="50"/>
  <c r="C3386" i="50"/>
  <c r="C3387" i="50"/>
  <c r="C3388" i="50"/>
  <c r="C3389" i="50"/>
  <c r="C3390" i="50"/>
  <c r="C3391" i="50"/>
  <c r="C3392" i="50"/>
  <c r="C3393" i="50"/>
  <c r="C3394" i="50"/>
  <c r="C3395" i="50"/>
  <c r="C3396" i="50"/>
  <c r="C3397" i="50"/>
  <c r="C3398" i="50"/>
  <c r="C3399" i="50"/>
  <c r="C3400" i="50"/>
  <c r="C3401" i="50"/>
  <c r="C3402" i="50"/>
  <c r="C3403" i="50"/>
  <c r="C3404" i="50"/>
  <c r="C3405" i="50"/>
  <c r="C3406" i="50"/>
  <c r="C3407" i="50"/>
  <c r="C3408" i="50"/>
  <c r="C3409" i="50"/>
  <c r="C3410" i="50"/>
  <c r="C3411" i="50"/>
  <c r="C3412" i="50"/>
  <c r="C3413" i="50"/>
  <c r="C3414" i="50"/>
  <c r="C3415" i="50"/>
  <c r="C3416" i="50"/>
  <c r="C3417" i="50"/>
  <c r="C3418" i="50"/>
  <c r="C3419" i="50"/>
  <c r="C3420" i="50"/>
  <c r="C3421" i="50"/>
  <c r="C3422" i="50"/>
  <c r="C3423" i="50"/>
  <c r="C3424" i="50"/>
  <c r="C3425" i="50"/>
  <c r="C3426" i="50"/>
  <c r="C3427" i="50"/>
  <c r="C3428" i="50"/>
  <c r="C3429" i="50"/>
  <c r="C3430" i="50"/>
  <c r="C3431" i="50"/>
  <c r="C3432" i="50"/>
  <c r="C3433" i="50"/>
  <c r="C3434" i="50"/>
  <c r="C3435" i="50"/>
  <c r="C3436" i="50"/>
  <c r="C3437" i="50"/>
  <c r="C3438" i="50"/>
  <c r="C3439" i="50"/>
  <c r="C3440" i="50"/>
  <c r="C3441" i="50"/>
  <c r="C3442" i="50"/>
  <c r="C3443" i="50"/>
  <c r="C3444" i="50"/>
  <c r="C3445" i="50"/>
  <c r="C3446" i="50"/>
  <c r="C3447" i="50"/>
  <c r="C3448" i="50"/>
  <c r="C3449" i="50"/>
  <c r="C3450" i="50"/>
  <c r="C3451" i="50"/>
  <c r="C3452" i="50"/>
  <c r="C3453" i="50"/>
  <c r="C3454" i="50"/>
  <c r="C3455" i="50"/>
  <c r="C3456" i="50"/>
  <c r="C3457" i="50"/>
  <c r="C3458" i="50"/>
  <c r="C3459" i="50"/>
  <c r="C3460" i="50"/>
  <c r="C3461" i="50"/>
  <c r="C3462" i="50"/>
  <c r="C3463" i="50"/>
  <c r="C3464" i="50"/>
  <c r="C3465" i="50"/>
  <c r="C3466" i="50"/>
  <c r="C3467" i="50"/>
  <c r="C3468" i="50"/>
  <c r="C3469" i="50"/>
  <c r="C3470" i="50"/>
  <c r="C3471" i="50"/>
  <c r="C3472" i="50"/>
  <c r="C3473" i="50"/>
  <c r="C3474" i="50"/>
  <c r="C3475" i="50"/>
  <c r="C3476" i="50"/>
  <c r="C3477" i="50"/>
  <c r="C3478" i="50"/>
  <c r="C3479" i="50"/>
  <c r="C3480" i="50"/>
  <c r="C3481" i="50"/>
  <c r="C3482" i="50"/>
  <c r="C3483" i="50"/>
  <c r="C3484" i="50"/>
  <c r="C3485" i="50"/>
  <c r="C3486" i="50"/>
  <c r="C3487" i="50"/>
  <c r="C3488" i="50"/>
  <c r="C3489" i="50"/>
  <c r="C3490" i="50"/>
  <c r="C3491" i="50"/>
  <c r="C3492" i="50"/>
  <c r="C3493" i="50"/>
  <c r="C3494" i="50"/>
  <c r="C3495" i="50"/>
  <c r="C3496" i="50"/>
  <c r="C3497" i="50"/>
  <c r="C3498" i="50"/>
  <c r="C3499" i="50"/>
  <c r="C3500" i="50"/>
  <c r="C3501" i="50"/>
  <c r="C3502" i="50"/>
  <c r="C3503" i="50"/>
  <c r="C3504" i="50"/>
  <c r="C3505" i="50"/>
  <c r="C3506" i="50"/>
  <c r="C3507" i="50"/>
  <c r="C3508" i="50"/>
  <c r="C3509" i="50"/>
  <c r="C3510" i="50"/>
  <c r="C3511" i="50"/>
  <c r="C3512" i="50"/>
  <c r="C3513" i="50"/>
  <c r="C3514" i="50"/>
  <c r="C3515" i="50"/>
  <c r="C3516" i="50"/>
  <c r="C3517" i="50"/>
  <c r="C3518" i="50"/>
  <c r="C3519" i="50"/>
  <c r="C3520" i="50"/>
  <c r="C3521" i="50"/>
  <c r="C3522" i="50"/>
  <c r="C3523" i="50"/>
  <c r="C3524" i="50"/>
  <c r="C3525" i="50"/>
  <c r="C3526" i="50"/>
  <c r="C3527" i="50"/>
  <c r="C3528" i="50"/>
  <c r="C3529" i="50"/>
  <c r="C3530" i="50"/>
  <c r="C3531" i="50"/>
  <c r="C3532" i="50"/>
  <c r="C3533" i="50"/>
  <c r="C3534" i="50"/>
  <c r="C3535" i="50"/>
  <c r="C3536" i="50"/>
  <c r="C3537" i="50"/>
  <c r="C3538" i="50"/>
  <c r="C3539" i="50"/>
  <c r="C3540" i="50"/>
  <c r="C3541" i="50"/>
  <c r="C3542" i="50"/>
  <c r="C3543" i="50"/>
  <c r="C3544" i="50"/>
  <c r="C3545" i="50"/>
  <c r="C3546" i="50"/>
  <c r="C3547" i="50"/>
  <c r="C3548" i="50"/>
  <c r="C3549" i="50"/>
  <c r="C3550" i="50"/>
  <c r="C3551" i="50"/>
  <c r="C3552" i="50"/>
  <c r="C3553" i="50"/>
  <c r="C3554" i="50"/>
  <c r="C3555" i="50"/>
  <c r="C3556" i="50"/>
  <c r="C3557" i="50"/>
  <c r="C3558" i="50"/>
  <c r="C3559" i="50"/>
  <c r="C3560" i="50"/>
  <c r="C3561" i="50"/>
  <c r="C3562" i="50"/>
  <c r="C3563" i="50"/>
  <c r="C3564" i="50"/>
  <c r="C3565" i="50"/>
  <c r="C3566" i="50"/>
  <c r="C3567" i="50"/>
  <c r="C3568" i="50"/>
  <c r="C3569" i="50"/>
  <c r="C3570" i="50"/>
  <c r="C3571" i="50"/>
  <c r="C3572" i="50"/>
  <c r="C3573" i="50"/>
  <c r="C3574" i="50"/>
  <c r="C3575" i="50"/>
  <c r="C3576" i="50"/>
  <c r="C3577" i="50"/>
  <c r="C3578" i="50"/>
  <c r="C3579" i="50"/>
  <c r="C3580" i="50"/>
  <c r="C3581" i="50"/>
  <c r="C3582" i="50"/>
  <c r="C3583" i="50"/>
  <c r="C3584" i="50"/>
  <c r="C3585" i="50"/>
  <c r="C3586" i="50"/>
  <c r="C3587" i="50"/>
  <c r="C3588" i="50"/>
  <c r="C3589" i="50"/>
  <c r="C3590" i="50"/>
  <c r="C3591" i="50"/>
  <c r="C3592" i="50"/>
  <c r="C3593" i="50"/>
  <c r="C3594" i="50"/>
  <c r="C3595" i="50"/>
  <c r="C3596" i="50"/>
  <c r="C3597" i="50"/>
  <c r="C3598" i="50"/>
  <c r="C3599" i="50"/>
  <c r="C3600" i="50"/>
  <c r="C3601" i="50"/>
  <c r="C3602" i="50"/>
  <c r="C3603" i="50"/>
  <c r="C3604" i="50"/>
  <c r="C3605" i="50"/>
  <c r="C3606" i="50"/>
  <c r="C3607" i="50"/>
  <c r="C3608" i="50"/>
  <c r="C3609" i="50"/>
  <c r="C3610" i="50"/>
  <c r="C3611" i="50"/>
  <c r="C3612" i="50"/>
  <c r="C3613" i="50"/>
  <c r="C3614" i="50"/>
  <c r="C3615" i="50"/>
  <c r="C3616" i="50"/>
  <c r="C3617" i="50"/>
  <c r="C3618" i="50"/>
  <c r="C3619" i="50"/>
  <c r="C3620" i="50"/>
  <c r="C3621" i="50"/>
  <c r="C3622" i="50"/>
  <c r="C3623" i="50"/>
  <c r="C3624" i="50"/>
  <c r="C3625" i="50"/>
  <c r="C3626" i="50"/>
  <c r="C3627" i="50"/>
  <c r="C3628" i="50"/>
  <c r="C3629" i="50"/>
  <c r="C3630" i="50"/>
  <c r="C3631" i="50"/>
  <c r="C3632" i="50"/>
  <c r="C3633" i="50"/>
  <c r="C3634" i="50"/>
  <c r="C3635" i="50"/>
  <c r="C3636" i="50"/>
  <c r="C3637" i="50"/>
  <c r="C3638" i="50"/>
  <c r="C3639" i="50"/>
  <c r="C3640" i="50"/>
  <c r="C3641" i="50"/>
  <c r="C3642" i="50"/>
  <c r="C3643" i="50"/>
  <c r="C3644" i="50"/>
  <c r="C3645" i="50"/>
  <c r="C3646" i="50"/>
  <c r="C3647" i="50"/>
  <c r="C3648" i="50"/>
  <c r="C3649" i="50"/>
  <c r="C3650" i="50"/>
  <c r="C3651" i="50"/>
  <c r="C3652" i="50"/>
  <c r="C3653" i="50"/>
  <c r="C3654" i="50"/>
  <c r="C3655" i="50"/>
  <c r="C3656" i="50"/>
  <c r="C3657" i="50"/>
  <c r="C3658" i="50"/>
  <c r="C3659" i="50"/>
  <c r="C3660" i="50"/>
  <c r="C3661" i="50"/>
  <c r="C3662" i="50"/>
  <c r="C3663" i="50"/>
  <c r="C3664" i="50"/>
  <c r="C3665" i="50"/>
  <c r="C3666" i="50"/>
  <c r="C3667" i="50"/>
  <c r="C3668" i="50"/>
  <c r="C3669" i="50"/>
  <c r="C3670" i="50"/>
  <c r="C3671" i="50"/>
  <c r="C3672" i="50"/>
  <c r="C3673" i="50"/>
  <c r="C3674" i="50"/>
  <c r="C3675" i="50"/>
  <c r="C3676" i="50"/>
  <c r="C3677" i="50"/>
  <c r="C3678" i="50"/>
  <c r="C3679" i="50"/>
  <c r="C3680" i="50"/>
  <c r="C3681" i="50"/>
  <c r="C3682" i="50"/>
  <c r="C3683" i="50"/>
  <c r="C3684" i="50"/>
  <c r="C3685" i="50"/>
  <c r="C3686" i="50"/>
  <c r="C3687" i="50"/>
  <c r="C3688" i="50"/>
  <c r="C3689" i="50"/>
  <c r="C3690" i="50"/>
  <c r="C3691" i="50"/>
  <c r="C3692" i="50"/>
  <c r="C3693" i="50"/>
  <c r="C3694" i="50"/>
  <c r="C3695" i="50"/>
  <c r="C3696" i="50"/>
  <c r="C3697" i="50"/>
  <c r="C3698" i="50"/>
  <c r="C3699" i="50"/>
  <c r="C3700" i="50"/>
  <c r="C3701" i="50"/>
  <c r="C3702" i="50"/>
  <c r="C3703" i="50"/>
  <c r="C3704" i="50"/>
  <c r="C3705" i="50"/>
  <c r="C3706" i="50"/>
  <c r="C3707" i="50"/>
  <c r="C3708" i="50"/>
  <c r="C3709" i="50"/>
  <c r="C3710" i="50"/>
  <c r="C3711" i="50"/>
  <c r="C3712" i="50"/>
  <c r="C3713" i="50"/>
  <c r="C3714" i="50"/>
  <c r="C3715" i="50"/>
  <c r="C3716" i="50"/>
  <c r="C3717" i="50"/>
  <c r="C3718" i="50"/>
  <c r="C3719" i="50"/>
  <c r="C3720" i="50"/>
  <c r="C3721" i="50"/>
  <c r="C3722" i="50"/>
  <c r="C3723" i="50"/>
  <c r="C3724" i="50"/>
  <c r="C3725" i="50"/>
  <c r="C3726" i="50"/>
  <c r="C3727" i="50"/>
  <c r="C3728" i="50"/>
  <c r="C3729" i="50"/>
  <c r="C3730" i="50"/>
  <c r="C3731" i="50"/>
  <c r="C3732" i="50"/>
  <c r="C3733" i="50"/>
  <c r="C3734" i="50"/>
  <c r="C3735" i="50"/>
  <c r="C3736" i="50"/>
  <c r="C3737" i="50"/>
  <c r="C3738" i="50"/>
  <c r="C3739" i="50"/>
  <c r="C3740" i="50"/>
  <c r="C3741" i="50"/>
  <c r="C3742" i="50"/>
  <c r="C3743" i="50"/>
  <c r="C3744" i="50"/>
  <c r="C3745" i="50"/>
  <c r="C3746" i="50"/>
  <c r="C3747" i="50"/>
  <c r="C3748" i="50"/>
  <c r="C3749" i="50"/>
  <c r="C3750" i="50"/>
  <c r="C3751" i="50"/>
  <c r="C3752" i="50"/>
  <c r="C3753" i="50"/>
  <c r="C3754" i="50"/>
  <c r="C3755" i="50"/>
  <c r="C3756" i="50"/>
  <c r="C3757" i="50"/>
  <c r="C3758" i="50"/>
  <c r="C3759" i="50"/>
  <c r="C3760" i="50"/>
  <c r="C3761" i="50"/>
  <c r="C3762" i="50"/>
  <c r="C3763" i="50"/>
  <c r="C3764" i="50"/>
  <c r="C3765" i="50"/>
  <c r="C3766" i="50"/>
  <c r="C3767" i="50"/>
  <c r="C3768" i="50"/>
  <c r="C3769" i="50"/>
  <c r="C3770" i="50"/>
  <c r="C3771" i="50"/>
  <c r="C3772" i="50"/>
  <c r="C3773" i="50"/>
  <c r="C3774" i="50"/>
  <c r="C3775" i="50"/>
  <c r="C3776" i="50"/>
  <c r="C3777" i="50"/>
  <c r="C3778" i="50"/>
  <c r="C3779" i="50"/>
  <c r="C3780" i="50"/>
  <c r="C3781" i="50"/>
  <c r="C3782" i="50"/>
  <c r="C3783" i="50"/>
  <c r="C3784" i="50"/>
  <c r="C3785" i="50"/>
  <c r="C3786" i="50"/>
  <c r="C3787" i="50"/>
  <c r="C3788" i="50"/>
  <c r="C3789" i="50"/>
  <c r="C3790" i="50"/>
  <c r="C3791" i="50"/>
  <c r="C3792" i="50"/>
  <c r="C3793" i="50"/>
  <c r="C3794" i="50"/>
  <c r="C3795" i="50"/>
  <c r="C3796" i="50"/>
  <c r="C3797" i="50"/>
  <c r="C3798" i="50"/>
  <c r="C3799" i="50"/>
  <c r="C3800" i="50"/>
  <c r="C3801" i="50"/>
  <c r="C3802" i="50"/>
  <c r="C3803" i="50"/>
  <c r="C3804" i="50"/>
  <c r="C3805" i="50"/>
  <c r="C3806" i="50"/>
  <c r="C3807" i="50"/>
  <c r="C3808" i="50"/>
  <c r="C3809" i="50"/>
  <c r="C3810" i="50"/>
  <c r="C3811" i="50"/>
  <c r="C3812" i="50"/>
  <c r="C3813" i="50"/>
  <c r="C3814" i="50"/>
  <c r="C3815" i="50"/>
  <c r="C3816" i="50"/>
  <c r="C3817" i="50"/>
  <c r="C3818" i="50"/>
  <c r="C3819" i="50"/>
  <c r="C3820" i="50"/>
  <c r="C3821" i="50"/>
  <c r="C3822" i="50"/>
  <c r="C3823" i="50"/>
  <c r="C3824" i="50"/>
  <c r="C3825" i="50"/>
  <c r="C3826" i="50"/>
  <c r="C3827" i="50"/>
  <c r="C3828" i="50"/>
  <c r="C3829" i="50"/>
  <c r="C3830" i="50"/>
  <c r="C3831" i="50"/>
  <c r="C3832" i="50"/>
  <c r="C3833" i="50"/>
  <c r="C3834" i="50"/>
  <c r="C3835" i="50"/>
  <c r="C3836" i="50"/>
  <c r="C3837" i="50"/>
  <c r="C3838" i="50"/>
  <c r="C3839" i="50"/>
  <c r="C3840" i="50"/>
  <c r="C3841" i="50"/>
  <c r="C3842" i="50"/>
  <c r="C3843" i="50"/>
  <c r="C3844" i="50"/>
  <c r="C3845" i="50"/>
  <c r="C3846" i="50"/>
  <c r="C3847" i="50"/>
  <c r="C3848" i="50"/>
  <c r="C3849" i="50"/>
  <c r="C3850" i="50"/>
  <c r="C3851" i="50"/>
  <c r="C3852" i="50"/>
  <c r="C3853" i="50"/>
  <c r="C3854" i="50"/>
  <c r="C3855" i="50"/>
  <c r="C3856" i="50"/>
  <c r="C3857" i="50"/>
  <c r="C3858" i="50"/>
  <c r="C3859" i="50"/>
  <c r="C3860" i="50"/>
  <c r="C3861" i="50"/>
  <c r="C3862" i="50"/>
  <c r="C3863" i="50"/>
  <c r="C3864" i="50"/>
  <c r="C3865" i="50"/>
  <c r="C3866" i="50"/>
  <c r="C3867" i="50"/>
  <c r="C3868" i="50"/>
  <c r="C3869" i="50"/>
  <c r="C3870" i="50"/>
  <c r="C3871" i="50"/>
  <c r="C3872" i="50"/>
  <c r="C3873" i="50"/>
  <c r="C3874" i="50"/>
  <c r="C3875" i="50"/>
  <c r="C3876" i="50"/>
  <c r="C3877" i="50"/>
  <c r="C3878" i="50"/>
  <c r="C3879" i="50"/>
  <c r="C3880" i="50"/>
  <c r="C3881" i="50"/>
  <c r="C3882" i="50"/>
  <c r="C3883" i="50"/>
  <c r="C3884" i="50"/>
  <c r="C3885" i="50"/>
  <c r="C3886" i="50"/>
  <c r="C3887" i="50"/>
  <c r="C3888" i="50"/>
  <c r="C3889" i="50"/>
  <c r="C3890" i="50"/>
  <c r="C3891" i="50"/>
  <c r="C3892" i="50"/>
  <c r="C3893" i="50"/>
  <c r="C3894" i="50"/>
  <c r="C3895" i="50"/>
  <c r="C3896" i="50"/>
  <c r="C3897" i="50"/>
  <c r="C3898" i="50"/>
  <c r="C3899" i="50"/>
  <c r="C3900" i="50"/>
  <c r="C3901" i="50"/>
  <c r="C3902" i="50"/>
  <c r="C3903" i="50"/>
  <c r="C3904" i="50"/>
  <c r="C3905" i="50"/>
  <c r="C3906" i="50"/>
  <c r="C3907" i="50"/>
  <c r="C3908" i="50"/>
  <c r="C3909" i="50"/>
  <c r="C3910" i="50"/>
  <c r="C3911" i="50"/>
  <c r="C3912" i="50"/>
  <c r="C3913" i="50"/>
  <c r="C3914" i="50"/>
  <c r="C3915" i="50"/>
  <c r="C3916" i="50"/>
  <c r="C3917" i="50"/>
  <c r="C3918" i="50"/>
  <c r="C3919" i="50"/>
  <c r="C3920" i="50"/>
  <c r="C3921" i="50"/>
  <c r="C3922" i="50"/>
  <c r="C3923" i="50"/>
  <c r="C3924" i="50"/>
  <c r="C3925" i="50"/>
  <c r="C3926" i="50"/>
  <c r="C3927" i="50"/>
  <c r="C3928" i="50"/>
  <c r="C3929" i="50"/>
  <c r="C3930" i="50"/>
  <c r="C3931" i="50"/>
  <c r="C3932" i="50"/>
  <c r="C3933" i="50"/>
  <c r="C3934" i="50"/>
  <c r="C3935" i="50"/>
  <c r="C3936" i="50"/>
  <c r="C3937" i="50"/>
  <c r="C3938" i="50"/>
  <c r="C3939" i="50"/>
  <c r="C3940" i="50"/>
  <c r="C3941" i="50"/>
  <c r="C3942" i="50"/>
  <c r="C3943" i="50"/>
  <c r="C3944" i="50"/>
  <c r="C3945" i="50"/>
  <c r="C3946" i="50"/>
  <c r="C3947" i="50"/>
  <c r="C3948" i="50"/>
  <c r="C3949" i="50"/>
  <c r="C3950" i="50"/>
  <c r="C3951" i="50"/>
  <c r="C3952" i="50"/>
  <c r="C3953" i="50"/>
  <c r="C3954" i="50"/>
  <c r="C3955" i="50"/>
  <c r="C3956" i="50"/>
  <c r="C3957" i="50"/>
  <c r="C3958" i="50"/>
  <c r="C3959" i="50"/>
  <c r="C3960" i="50"/>
  <c r="C3961" i="50"/>
  <c r="C3962" i="50"/>
  <c r="C3963" i="50"/>
  <c r="C3964" i="50"/>
  <c r="C3965" i="50"/>
  <c r="C3966" i="50"/>
  <c r="C3967" i="50"/>
  <c r="C3968" i="50"/>
  <c r="C3969" i="50"/>
  <c r="C3970" i="50"/>
  <c r="C3971" i="50"/>
  <c r="C3972" i="50"/>
  <c r="C3973" i="50"/>
  <c r="C3974" i="50"/>
  <c r="C3975" i="50"/>
  <c r="C3976" i="50"/>
  <c r="C3977" i="50"/>
  <c r="C3978" i="50"/>
  <c r="C3979" i="50"/>
  <c r="C3980" i="50"/>
  <c r="C3981" i="50"/>
  <c r="C3982" i="50"/>
  <c r="C3983" i="50"/>
  <c r="C3984" i="50"/>
  <c r="C3985" i="50"/>
  <c r="C3986" i="50"/>
  <c r="C3987" i="50"/>
  <c r="C3988" i="50"/>
  <c r="C3989" i="50"/>
  <c r="C3990" i="50"/>
  <c r="C3991" i="50"/>
  <c r="C3992" i="50"/>
  <c r="C3993" i="50"/>
  <c r="C3994" i="50"/>
  <c r="C3995" i="50"/>
  <c r="C3996" i="50"/>
  <c r="C3997" i="50"/>
  <c r="C3998" i="50"/>
  <c r="C3999" i="50"/>
  <c r="C4000" i="50"/>
  <c r="C4001" i="50"/>
  <c r="C4002" i="50"/>
  <c r="C4003" i="50"/>
  <c r="C4004" i="50"/>
  <c r="C4005" i="50"/>
  <c r="C4006" i="50"/>
  <c r="C4007" i="50"/>
  <c r="C4008" i="50"/>
  <c r="C4009" i="50"/>
  <c r="C4010" i="50"/>
  <c r="C4011" i="50"/>
  <c r="C4012" i="50"/>
  <c r="C4013" i="50"/>
  <c r="C4014" i="50"/>
  <c r="C4015" i="50"/>
  <c r="C4016" i="50"/>
  <c r="C4017" i="50"/>
  <c r="C4018" i="50"/>
  <c r="C4019" i="50"/>
  <c r="C4020" i="50"/>
  <c r="C4021" i="50"/>
  <c r="C4022" i="50"/>
  <c r="C4023" i="50"/>
  <c r="C4024" i="50"/>
  <c r="C4025" i="50"/>
  <c r="C4026" i="50"/>
  <c r="C4027" i="50"/>
  <c r="C4028" i="50"/>
  <c r="C4029" i="50"/>
  <c r="C4030" i="50"/>
  <c r="C4031" i="50"/>
  <c r="C4032" i="50"/>
  <c r="C4033" i="50"/>
  <c r="C4034" i="50"/>
  <c r="C4035" i="50"/>
  <c r="C4036" i="50"/>
  <c r="C4037" i="50"/>
  <c r="C4038" i="50"/>
  <c r="C4039" i="50"/>
  <c r="C4040" i="50"/>
  <c r="C4041" i="50"/>
  <c r="C4042" i="50"/>
  <c r="C4043" i="50"/>
  <c r="C4044" i="50"/>
  <c r="C4045" i="50"/>
  <c r="C4046" i="50"/>
  <c r="C4047" i="50"/>
  <c r="C4048" i="50"/>
  <c r="C4049" i="50"/>
  <c r="C4050" i="50"/>
  <c r="C4051" i="50"/>
  <c r="C4052" i="50"/>
  <c r="C4053" i="50"/>
  <c r="C4054" i="50"/>
  <c r="C4055" i="50"/>
  <c r="C4056" i="50"/>
  <c r="C4057" i="50"/>
  <c r="C4058" i="50"/>
  <c r="C4059" i="50"/>
  <c r="C4060" i="50"/>
  <c r="C4061" i="50"/>
  <c r="C4062" i="50"/>
  <c r="C4063" i="50"/>
  <c r="C4064" i="50"/>
  <c r="C4065" i="50"/>
  <c r="C4066" i="50"/>
  <c r="C4067" i="50"/>
  <c r="C4068" i="50"/>
  <c r="C4069" i="50"/>
  <c r="C4070" i="50"/>
  <c r="C4071" i="50"/>
  <c r="C4072" i="50"/>
  <c r="C4073" i="50"/>
  <c r="C4074" i="50"/>
  <c r="C4075" i="50"/>
  <c r="C4076" i="50"/>
  <c r="C4077" i="50"/>
  <c r="C4078" i="50"/>
  <c r="C4079" i="50"/>
  <c r="C4080" i="50"/>
  <c r="C4081" i="50"/>
  <c r="C4082" i="50"/>
  <c r="C4083" i="50"/>
  <c r="C4084" i="50"/>
  <c r="C4085" i="50"/>
  <c r="C4086" i="50"/>
  <c r="C4087" i="50"/>
  <c r="C4088" i="50"/>
  <c r="C4089" i="50"/>
  <c r="C4090" i="50"/>
  <c r="C4091" i="50"/>
  <c r="C4092" i="50"/>
  <c r="C4093" i="50"/>
  <c r="C4094" i="50"/>
  <c r="C4095" i="50"/>
  <c r="C4096" i="50"/>
  <c r="C4097" i="50"/>
  <c r="C4098" i="50"/>
  <c r="C4099" i="50"/>
  <c r="C4100" i="50"/>
  <c r="C4101" i="50"/>
  <c r="C4102" i="50"/>
  <c r="C4103" i="50"/>
  <c r="C4104" i="50"/>
  <c r="C4105" i="50"/>
  <c r="C4106" i="50"/>
  <c r="C4107" i="50"/>
  <c r="C4108" i="50"/>
  <c r="C4109" i="50"/>
  <c r="C4110" i="50"/>
  <c r="C4111" i="50"/>
  <c r="C4112" i="50"/>
  <c r="C4113" i="50"/>
  <c r="C4114" i="50"/>
  <c r="C4115" i="50"/>
  <c r="C4116" i="50"/>
  <c r="C4117" i="50"/>
  <c r="C4118" i="50"/>
  <c r="C4119" i="50"/>
  <c r="C4120" i="50"/>
  <c r="C4121" i="50"/>
  <c r="C4122" i="50"/>
  <c r="C4123" i="50"/>
  <c r="C4124" i="50"/>
  <c r="C4125" i="50"/>
  <c r="C4126" i="50"/>
  <c r="C4127" i="50"/>
  <c r="C4128" i="50"/>
  <c r="C4129" i="50"/>
  <c r="C4130" i="50"/>
  <c r="C4131" i="50"/>
  <c r="C4132" i="50"/>
  <c r="C4133" i="50"/>
  <c r="C4134" i="50"/>
  <c r="C4135" i="50"/>
  <c r="C4136" i="50"/>
  <c r="C4137" i="50"/>
  <c r="C4138" i="50"/>
  <c r="C4139" i="50"/>
  <c r="C4140" i="50"/>
  <c r="C4141" i="50"/>
  <c r="C4142" i="50"/>
  <c r="C4143" i="50"/>
  <c r="C4144" i="50"/>
  <c r="C4145" i="50"/>
  <c r="C4146" i="50"/>
  <c r="C4147" i="50"/>
  <c r="C4148" i="50"/>
  <c r="C4149" i="50"/>
  <c r="C4150" i="50"/>
  <c r="C4151" i="50"/>
  <c r="C4152" i="50"/>
  <c r="C4153" i="50"/>
  <c r="C4154" i="50"/>
  <c r="C4155" i="50"/>
  <c r="C4156" i="50"/>
  <c r="C4157" i="50"/>
  <c r="C4158" i="50"/>
  <c r="C4159" i="50"/>
  <c r="C4160" i="50"/>
  <c r="C4161" i="50"/>
  <c r="C4162" i="50"/>
  <c r="C4163" i="50"/>
  <c r="C4164" i="50"/>
  <c r="C4165" i="50"/>
  <c r="C4166" i="50"/>
  <c r="C4167" i="50"/>
  <c r="C4168" i="50"/>
  <c r="C4169" i="50"/>
  <c r="C4170" i="50"/>
  <c r="C4171" i="50"/>
  <c r="C4172" i="50"/>
  <c r="C4173" i="50"/>
  <c r="C4174" i="50"/>
  <c r="C4175" i="50"/>
  <c r="C4176" i="50"/>
  <c r="C4177" i="50"/>
  <c r="C4178" i="50"/>
  <c r="C4179" i="50"/>
  <c r="C4180" i="50"/>
  <c r="C4181" i="50"/>
  <c r="C4182" i="50"/>
  <c r="C4183" i="50"/>
  <c r="C4184" i="50"/>
  <c r="C4185" i="50"/>
  <c r="C4186" i="50"/>
  <c r="C4187" i="50"/>
  <c r="C4188" i="50"/>
  <c r="C4189" i="50"/>
  <c r="C4190" i="50"/>
  <c r="C4191" i="50"/>
  <c r="C4192" i="50"/>
  <c r="C4193" i="50"/>
  <c r="C4194" i="50"/>
  <c r="C4195" i="50"/>
  <c r="C4196" i="50"/>
  <c r="C4197" i="50"/>
  <c r="C4198" i="50"/>
  <c r="C4199" i="50"/>
  <c r="C4200" i="50"/>
  <c r="C4201" i="50"/>
  <c r="C4202" i="50"/>
  <c r="C4203" i="50"/>
  <c r="C4204" i="50"/>
  <c r="C4205" i="50"/>
  <c r="C4206" i="50"/>
  <c r="C4207" i="50"/>
  <c r="C4208" i="50"/>
  <c r="C4209" i="50"/>
  <c r="C4210" i="50"/>
  <c r="C4211" i="50"/>
  <c r="C4212" i="50"/>
  <c r="C4213" i="50"/>
  <c r="C4214" i="50"/>
  <c r="C4215" i="50"/>
  <c r="C4216" i="50"/>
  <c r="C4217" i="50"/>
  <c r="C4218" i="50"/>
  <c r="C4219" i="50"/>
  <c r="C4220" i="50"/>
  <c r="C4221" i="50"/>
  <c r="C4222" i="50"/>
  <c r="C4223" i="50"/>
  <c r="C4224" i="50"/>
  <c r="C4225" i="50"/>
  <c r="C4226" i="50"/>
  <c r="C4227" i="50"/>
  <c r="C4228" i="50"/>
  <c r="C4229" i="50"/>
  <c r="C4230" i="50"/>
  <c r="C4231" i="50"/>
  <c r="C4232" i="50"/>
  <c r="C4233" i="50"/>
  <c r="C4234" i="50"/>
  <c r="C4235" i="50"/>
  <c r="C4236" i="50"/>
  <c r="C4237" i="50"/>
  <c r="C4238" i="50"/>
  <c r="C4239" i="50"/>
  <c r="C4240" i="50"/>
  <c r="C4241" i="50"/>
  <c r="C4242" i="50"/>
  <c r="C4243" i="50"/>
  <c r="C4244" i="50"/>
  <c r="C4245" i="50"/>
  <c r="C4246" i="50"/>
  <c r="C4247" i="50"/>
  <c r="C4248" i="50"/>
  <c r="C4249" i="50"/>
  <c r="C4250" i="50"/>
  <c r="C4251" i="50"/>
  <c r="C4252" i="50"/>
  <c r="C4253" i="50"/>
  <c r="C4254" i="50"/>
  <c r="C4255" i="50"/>
  <c r="C4256" i="50"/>
  <c r="C4257" i="50"/>
  <c r="C4258" i="50"/>
  <c r="C4259" i="50"/>
  <c r="C4260" i="50"/>
  <c r="C4261" i="50"/>
  <c r="C4262" i="50"/>
  <c r="C4263" i="50"/>
  <c r="C4264" i="50"/>
  <c r="C4265" i="50"/>
  <c r="C4266" i="50"/>
  <c r="C4267" i="50"/>
  <c r="C4268" i="50"/>
  <c r="C4269" i="50"/>
  <c r="C4270" i="50"/>
  <c r="C4271" i="50"/>
  <c r="C4272" i="50"/>
  <c r="C4273" i="50"/>
  <c r="C4274" i="50"/>
  <c r="C4275" i="50"/>
  <c r="C4276" i="50"/>
  <c r="C4277" i="50"/>
  <c r="C4278" i="50"/>
  <c r="C4279" i="50"/>
  <c r="C4280" i="50"/>
  <c r="C4281" i="50"/>
  <c r="C4282" i="50"/>
  <c r="C4283" i="50"/>
  <c r="C4284" i="50"/>
  <c r="C4285" i="50"/>
  <c r="C4286" i="50"/>
  <c r="C4287" i="50"/>
  <c r="C4288" i="50"/>
  <c r="C4289" i="50"/>
  <c r="C4290" i="50"/>
  <c r="C4291" i="50"/>
  <c r="C4292" i="50"/>
  <c r="C4293" i="50"/>
  <c r="C4294" i="50"/>
  <c r="C4295" i="50"/>
  <c r="C4296" i="50"/>
  <c r="C4297" i="50"/>
  <c r="C4298" i="50"/>
  <c r="C4299" i="50"/>
  <c r="C4300" i="50"/>
  <c r="C4301" i="50"/>
  <c r="C4302" i="50"/>
  <c r="C4303" i="50"/>
  <c r="C4304" i="50"/>
  <c r="C4305" i="50"/>
  <c r="C4306" i="50"/>
  <c r="C4307" i="50"/>
  <c r="C4308" i="50"/>
  <c r="C4309" i="50"/>
  <c r="C4310" i="50"/>
  <c r="C4311" i="50"/>
  <c r="C4312" i="50"/>
  <c r="C4313" i="50"/>
  <c r="C4314" i="50"/>
  <c r="C4315" i="50"/>
  <c r="C4316" i="50"/>
  <c r="C4317" i="50"/>
  <c r="C4318" i="50"/>
  <c r="C4319" i="50"/>
  <c r="C4320" i="50"/>
  <c r="C4321" i="50"/>
  <c r="CS2" i="51" l="1"/>
  <c r="CS3" i="51"/>
  <c r="C333" i="50" l="1"/>
  <c r="C334" i="50"/>
  <c r="C335" i="50"/>
  <c r="C336" i="50"/>
  <c r="C337" i="50"/>
  <c r="C338" i="50"/>
  <c r="C339" i="50"/>
  <c r="C340" i="50"/>
  <c r="C341" i="50"/>
  <c r="C342" i="50"/>
  <c r="C343" i="50"/>
  <c r="C344" i="50"/>
  <c r="C345" i="50"/>
  <c r="C346" i="50"/>
  <c r="C347" i="50"/>
  <c r="C348" i="50"/>
  <c r="C349" i="50"/>
  <c r="C350" i="50"/>
  <c r="C351" i="50"/>
  <c r="C352" i="50"/>
  <c r="C353" i="50"/>
  <c r="C354" i="50"/>
  <c r="C355" i="50"/>
  <c r="C356" i="50"/>
  <c r="C357" i="50"/>
  <c r="C358" i="50"/>
  <c r="C359" i="50"/>
  <c r="C360" i="50"/>
  <c r="C361" i="50"/>
  <c r="C362" i="50"/>
  <c r="C363" i="50"/>
  <c r="C364" i="50"/>
  <c r="C365" i="50"/>
  <c r="C366" i="50"/>
  <c r="C367" i="50"/>
  <c r="C368" i="50"/>
  <c r="C369" i="50"/>
  <c r="C370" i="50"/>
  <c r="C371" i="50"/>
  <c r="C372" i="50"/>
  <c r="C373" i="50"/>
  <c r="C374" i="50"/>
  <c r="C375" i="50"/>
  <c r="C376" i="50"/>
  <c r="C377" i="50"/>
  <c r="C378" i="50"/>
  <c r="C379" i="50"/>
  <c r="C380" i="50"/>
  <c r="C381" i="50"/>
  <c r="C382" i="50"/>
  <c r="C383" i="50"/>
  <c r="C384" i="50"/>
  <c r="C385" i="50"/>
  <c r="C386" i="50"/>
  <c r="C387" i="50"/>
  <c r="C388" i="50"/>
  <c r="C389" i="50"/>
  <c r="C390" i="50"/>
  <c r="C391" i="50"/>
  <c r="C392" i="50"/>
  <c r="C393" i="50"/>
  <c r="C394" i="50"/>
  <c r="C395" i="50"/>
  <c r="C396" i="50"/>
  <c r="C397" i="50"/>
  <c r="C398" i="50"/>
  <c r="C399" i="50"/>
  <c r="C400" i="50"/>
  <c r="C401" i="50"/>
  <c r="C402" i="50"/>
  <c r="C403" i="50"/>
  <c r="C404" i="50"/>
  <c r="C405" i="50"/>
  <c r="C406" i="50"/>
  <c r="C407" i="50"/>
  <c r="C408" i="50"/>
  <c r="C409" i="50"/>
  <c r="C410" i="50"/>
  <c r="C411" i="50"/>
  <c r="C412" i="50"/>
  <c r="C413" i="50"/>
  <c r="C414" i="50"/>
  <c r="C415" i="50"/>
  <c r="C416" i="50"/>
  <c r="C417" i="50"/>
  <c r="C418" i="50"/>
  <c r="C419" i="50"/>
  <c r="C420" i="50"/>
  <c r="C421" i="50"/>
  <c r="C422" i="50"/>
  <c r="C423" i="50"/>
  <c r="C424" i="50"/>
  <c r="C425" i="50"/>
  <c r="C426" i="50"/>
  <c r="C427" i="50"/>
  <c r="C428" i="50"/>
  <c r="C429" i="50"/>
  <c r="C430" i="50"/>
  <c r="C431" i="50"/>
  <c r="C432" i="50"/>
  <c r="C433" i="50"/>
  <c r="C434" i="50"/>
  <c r="C435" i="50"/>
  <c r="C436" i="50"/>
  <c r="C437" i="50"/>
  <c r="C438" i="50"/>
  <c r="C439" i="50"/>
  <c r="C440" i="50"/>
  <c r="C441" i="50"/>
  <c r="C442" i="50"/>
  <c r="C443" i="50"/>
  <c r="C444" i="50"/>
  <c r="C445" i="50"/>
  <c r="C446" i="50"/>
  <c r="C447" i="50"/>
  <c r="C448" i="50"/>
  <c r="C449" i="50"/>
  <c r="C450" i="50"/>
  <c r="C451" i="50"/>
  <c r="C452" i="50"/>
  <c r="C453" i="50"/>
  <c r="C454" i="50"/>
  <c r="C455" i="50"/>
  <c r="C456" i="50"/>
  <c r="C457" i="50"/>
  <c r="C458" i="50"/>
  <c r="C459" i="50"/>
  <c r="C460" i="50"/>
  <c r="C461" i="50"/>
  <c r="C462" i="50"/>
  <c r="C463" i="50"/>
  <c r="C464" i="50"/>
  <c r="C465" i="50"/>
  <c r="C466" i="50"/>
  <c r="C467" i="50"/>
  <c r="C468" i="50"/>
  <c r="C469" i="50"/>
  <c r="C470" i="50"/>
  <c r="C471" i="50"/>
  <c r="C472" i="50"/>
  <c r="C473" i="50"/>
  <c r="C474" i="50"/>
  <c r="C475" i="50"/>
  <c r="C476" i="50"/>
  <c r="C477" i="50"/>
  <c r="C478" i="50"/>
  <c r="C479" i="50"/>
  <c r="C480" i="50"/>
  <c r="C481" i="50"/>
  <c r="C482" i="50"/>
  <c r="C483" i="50"/>
  <c r="C484" i="50"/>
  <c r="C485" i="50"/>
  <c r="C486" i="50"/>
  <c r="C487" i="50"/>
  <c r="C488" i="50"/>
  <c r="C489" i="50"/>
  <c r="C490" i="50"/>
  <c r="C491" i="50"/>
  <c r="C492" i="50"/>
  <c r="C493" i="50"/>
  <c r="C494" i="50"/>
  <c r="C495" i="50"/>
  <c r="C496" i="50"/>
  <c r="C497" i="50"/>
  <c r="C498" i="50"/>
  <c r="C499" i="50"/>
  <c r="C500" i="50"/>
  <c r="C501" i="50"/>
  <c r="C502" i="50"/>
  <c r="C503" i="50"/>
  <c r="C504" i="50"/>
  <c r="C505" i="50"/>
  <c r="C506" i="50"/>
  <c r="C507" i="50"/>
  <c r="C508" i="50"/>
  <c r="C509" i="50"/>
  <c r="C510" i="50"/>
  <c r="C511" i="50"/>
  <c r="C512" i="50"/>
  <c r="C513" i="50"/>
  <c r="C514" i="50"/>
  <c r="C515" i="50"/>
  <c r="C516" i="50"/>
  <c r="C517" i="50"/>
  <c r="C518" i="50"/>
  <c r="C519" i="50"/>
  <c r="C520" i="50"/>
  <c r="C521" i="50"/>
  <c r="C522" i="50"/>
  <c r="C523" i="50"/>
  <c r="C524" i="50"/>
  <c r="C525" i="50"/>
  <c r="C526" i="50"/>
  <c r="C527" i="50"/>
  <c r="C528" i="50"/>
  <c r="C529" i="50"/>
  <c r="C530" i="50"/>
  <c r="C531" i="50"/>
  <c r="C532" i="50"/>
  <c r="C533" i="50"/>
  <c r="C534" i="50"/>
  <c r="C535" i="50"/>
  <c r="C536" i="50"/>
  <c r="C537" i="50"/>
  <c r="C538" i="50"/>
  <c r="C539" i="50"/>
  <c r="C540" i="50"/>
  <c r="C541" i="50"/>
  <c r="C542" i="50"/>
  <c r="C543" i="50"/>
  <c r="C544" i="50"/>
  <c r="C545" i="50"/>
  <c r="C546" i="50"/>
  <c r="C547" i="50"/>
  <c r="C548" i="50"/>
  <c r="C549" i="50"/>
  <c r="C550" i="50"/>
  <c r="C551" i="50"/>
  <c r="C552" i="50"/>
  <c r="C553" i="50"/>
  <c r="C554" i="50"/>
  <c r="C555" i="50"/>
  <c r="C556" i="50"/>
  <c r="C557" i="50"/>
  <c r="C558" i="50"/>
  <c r="C559" i="50"/>
  <c r="C560" i="50"/>
  <c r="C561" i="50"/>
  <c r="C562" i="50"/>
  <c r="C563" i="50"/>
  <c r="C564" i="50"/>
  <c r="C565" i="50"/>
  <c r="C566" i="50"/>
  <c r="C567" i="50"/>
  <c r="C568" i="50"/>
  <c r="C569" i="50"/>
  <c r="C570" i="50"/>
  <c r="C571" i="50"/>
  <c r="C572" i="50"/>
  <c r="C573" i="50"/>
  <c r="C574" i="50"/>
  <c r="C575" i="50"/>
  <c r="C576" i="50"/>
  <c r="C577" i="50"/>
  <c r="C578" i="50"/>
  <c r="C579" i="50"/>
  <c r="C580" i="50"/>
  <c r="C581" i="50"/>
  <c r="C582" i="50"/>
  <c r="C583" i="50"/>
  <c r="C584" i="50"/>
  <c r="C585" i="50"/>
  <c r="C586" i="50"/>
  <c r="C587" i="50"/>
  <c r="C588" i="50"/>
  <c r="C589" i="50"/>
  <c r="C590" i="50"/>
  <c r="C591" i="50"/>
  <c r="C592" i="50"/>
  <c r="C593" i="50"/>
  <c r="C594" i="50"/>
  <c r="C595" i="50"/>
  <c r="C596" i="50"/>
  <c r="C597" i="50"/>
  <c r="C598" i="50"/>
  <c r="C599" i="50"/>
  <c r="C600" i="50"/>
  <c r="C601" i="50"/>
  <c r="C602" i="50"/>
  <c r="C603" i="50"/>
  <c r="C604" i="50"/>
  <c r="C605" i="50"/>
  <c r="C606" i="50"/>
  <c r="C607" i="50"/>
  <c r="C608" i="50"/>
  <c r="C609" i="50"/>
  <c r="C610" i="50"/>
  <c r="C611" i="50"/>
  <c r="C612" i="50"/>
  <c r="C613" i="50"/>
  <c r="C614" i="50"/>
  <c r="C615" i="50"/>
  <c r="C616" i="50"/>
  <c r="C617" i="50"/>
  <c r="C618" i="50"/>
  <c r="C619" i="50"/>
  <c r="C620" i="50"/>
  <c r="C621" i="50"/>
  <c r="C622" i="50"/>
  <c r="C623" i="50"/>
  <c r="C624" i="50"/>
  <c r="C625" i="50"/>
  <c r="C626" i="50"/>
  <c r="C627" i="50"/>
  <c r="C628" i="50"/>
  <c r="C629" i="50"/>
  <c r="C630" i="50"/>
  <c r="C631" i="50"/>
  <c r="C632" i="50"/>
  <c r="C633" i="50"/>
  <c r="C634" i="50"/>
  <c r="C635" i="50"/>
  <c r="C636" i="50"/>
  <c r="C637" i="50"/>
  <c r="C638" i="50"/>
  <c r="C639" i="50"/>
  <c r="C640" i="50"/>
  <c r="C641" i="50"/>
  <c r="C642" i="50"/>
  <c r="C643" i="50"/>
  <c r="C644" i="50"/>
  <c r="C645" i="50"/>
  <c r="C646" i="50"/>
  <c r="C647" i="50"/>
  <c r="C648" i="50"/>
  <c r="C649" i="50"/>
  <c r="C650" i="50"/>
  <c r="C651" i="50"/>
  <c r="C652" i="50"/>
  <c r="C653" i="50"/>
  <c r="C654" i="50"/>
  <c r="C655" i="50"/>
  <c r="C656" i="50"/>
  <c r="C657" i="50"/>
  <c r="C658" i="50"/>
  <c r="C659" i="50"/>
  <c r="C660" i="50"/>
  <c r="C661" i="50"/>
  <c r="C662" i="50"/>
  <c r="C663" i="50"/>
  <c r="C664" i="50"/>
  <c r="C665" i="50"/>
  <c r="C666" i="50"/>
  <c r="C667" i="50"/>
  <c r="C668" i="50"/>
  <c r="C669" i="50"/>
  <c r="C670" i="50"/>
  <c r="C671" i="50"/>
  <c r="C672" i="50"/>
  <c r="C673" i="50"/>
  <c r="C674" i="50"/>
  <c r="C675" i="50"/>
  <c r="C676" i="50"/>
  <c r="C677" i="50"/>
  <c r="C678" i="50"/>
  <c r="C679" i="50"/>
  <c r="C680" i="50"/>
  <c r="C681" i="50"/>
  <c r="C682" i="50"/>
  <c r="C683" i="50"/>
  <c r="C684" i="50"/>
  <c r="C685" i="50"/>
  <c r="C686" i="50"/>
  <c r="C687" i="50"/>
  <c r="C688" i="50"/>
  <c r="C689" i="50"/>
  <c r="C690" i="50"/>
  <c r="C691" i="50"/>
  <c r="C692" i="50"/>
  <c r="C693" i="50"/>
  <c r="C694" i="50"/>
  <c r="C695" i="50"/>
  <c r="C696" i="50"/>
  <c r="C697" i="50"/>
  <c r="C698" i="50"/>
  <c r="C699" i="50"/>
  <c r="C700" i="50"/>
  <c r="C701" i="50"/>
  <c r="C702" i="50"/>
  <c r="C703" i="50"/>
  <c r="C704" i="50"/>
  <c r="C705" i="50"/>
  <c r="C706" i="50"/>
  <c r="C707" i="50"/>
  <c r="C708" i="50"/>
  <c r="C709" i="50"/>
  <c r="C710" i="50"/>
  <c r="C711" i="50"/>
  <c r="C712" i="50"/>
  <c r="C713" i="50"/>
  <c r="C714" i="50"/>
  <c r="C715" i="50"/>
  <c r="C716" i="50"/>
  <c r="C717" i="50"/>
  <c r="C718" i="50"/>
  <c r="C719" i="50"/>
  <c r="C720" i="50"/>
  <c r="C721" i="50"/>
  <c r="C722" i="50"/>
  <c r="C723" i="50"/>
  <c r="C724" i="50"/>
  <c r="C725" i="50"/>
  <c r="C726" i="50"/>
  <c r="C727" i="50"/>
  <c r="C728" i="50"/>
  <c r="C729" i="50"/>
  <c r="C730" i="50"/>
  <c r="C731" i="50"/>
  <c r="C732" i="50"/>
  <c r="C733" i="50"/>
  <c r="C734" i="50"/>
  <c r="C735" i="50"/>
  <c r="C736" i="50"/>
  <c r="C737" i="50"/>
  <c r="C738" i="50"/>
  <c r="C739" i="50"/>
  <c r="C740" i="50"/>
  <c r="C741" i="50"/>
  <c r="C742" i="50"/>
  <c r="C743" i="50"/>
  <c r="C744" i="50"/>
  <c r="C745" i="50"/>
  <c r="C746" i="50"/>
  <c r="C747" i="50"/>
  <c r="C748" i="50"/>
  <c r="C749" i="50"/>
  <c r="C750" i="50"/>
  <c r="C751" i="50"/>
  <c r="C752" i="50"/>
  <c r="C753" i="50"/>
  <c r="C754" i="50"/>
  <c r="C755" i="50"/>
  <c r="C756" i="50"/>
  <c r="C757" i="50"/>
  <c r="C758" i="50"/>
  <c r="C759" i="50"/>
  <c r="C760" i="50"/>
  <c r="C761" i="50"/>
  <c r="C762" i="50"/>
  <c r="C763" i="50"/>
  <c r="C764" i="50"/>
  <c r="C765" i="50"/>
  <c r="C766" i="50"/>
  <c r="C767" i="50"/>
  <c r="C768" i="50"/>
  <c r="C769" i="50"/>
  <c r="C770" i="50"/>
  <c r="C771" i="50"/>
  <c r="C772" i="50"/>
  <c r="C773" i="50"/>
  <c r="C774" i="50"/>
  <c r="C775" i="50"/>
  <c r="C776" i="50"/>
  <c r="C777" i="50"/>
  <c r="C778" i="50"/>
  <c r="C779" i="50"/>
  <c r="C780" i="50"/>
  <c r="C781" i="50"/>
  <c r="C782" i="50"/>
  <c r="C783" i="50"/>
  <c r="C784" i="50"/>
  <c r="C785" i="50"/>
  <c r="C786" i="50"/>
  <c r="C787" i="50"/>
  <c r="C788" i="50"/>
  <c r="C789" i="50"/>
  <c r="C790" i="50"/>
  <c r="C791" i="50"/>
  <c r="C792" i="50"/>
  <c r="C793" i="50"/>
  <c r="C794" i="50"/>
  <c r="C795" i="50"/>
  <c r="C796" i="50"/>
  <c r="C797" i="50"/>
  <c r="C798" i="50"/>
  <c r="C799" i="50"/>
  <c r="C800" i="50"/>
  <c r="C801" i="50"/>
  <c r="C802" i="50"/>
  <c r="C803" i="50"/>
  <c r="C804" i="50"/>
  <c r="C805" i="50"/>
  <c r="C806" i="50"/>
  <c r="C807" i="50"/>
  <c r="C808" i="50"/>
  <c r="C809" i="50"/>
  <c r="C810" i="50"/>
  <c r="C811" i="50"/>
  <c r="C812" i="50"/>
  <c r="C813" i="50"/>
  <c r="C814" i="50"/>
  <c r="C815" i="50"/>
  <c r="C816" i="50"/>
  <c r="C817" i="50"/>
  <c r="C818" i="50"/>
  <c r="C819" i="50"/>
  <c r="C820" i="50"/>
  <c r="C821" i="50"/>
  <c r="C822" i="50"/>
  <c r="C823" i="50"/>
  <c r="C824" i="50"/>
  <c r="C825" i="50"/>
  <c r="C826" i="50"/>
  <c r="C827" i="50"/>
  <c r="C828" i="50"/>
  <c r="C829" i="50"/>
  <c r="C830" i="50"/>
  <c r="C831" i="50"/>
  <c r="C832" i="50"/>
  <c r="C833" i="50"/>
  <c r="C834" i="50"/>
  <c r="C835" i="50"/>
  <c r="C836" i="50"/>
  <c r="C837" i="50"/>
  <c r="C838" i="50"/>
  <c r="C839" i="50"/>
  <c r="C840" i="50"/>
  <c r="C841" i="50"/>
  <c r="C842" i="50"/>
  <c r="C843" i="50"/>
  <c r="C844" i="50"/>
  <c r="C845" i="50"/>
  <c r="C846" i="50"/>
  <c r="C847" i="50"/>
  <c r="C848" i="50"/>
  <c r="C849" i="50"/>
  <c r="C850" i="50"/>
  <c r="C851" i="50"/>
  <c r="C852" i="50"/>
  <c r="C853" i="50"/>
  <c r="C854" i="50"/>
  <c r="C855" i="50"/>
  <c r="C856" i="50"/>
  <c r="C857" i="50"/>
  <c r="C858" i="50"/>
  <c r="C859" i="50"/>
  <c r="C860" i="50"/>
  <c r="C861" i="50"/>
  <c r="C862" i="50"/>
  <c r="C863" i="50"/>
  <c r="C864" i="50"/>
  <c r="C865" i="50"/>
  <c r="C866" i="50"/>
  <c r="C867" i="50"/>
  <c r="C868" i="50"/>
  <c r="C869" i="50"/>
  <c r="C870" i="50"/>
  <c r="C871" i="50"/>
  <c r="C872" i="50"/>
  <c r="C873" i="50"/>
  <c r="C874" i="50"/>
  <c r="C875" i="50"/>
  <c r="C876" i="50"/>
  <c r="C877" i="50"/>
  <c r="C878" i="50"/>
  <c r="C879" i="50"/>
  <c r="C880" i="50"/>
  <c r="C881" i="50"/>
  <c r="C882" i="50"/>
  <c r="C883" i="50"/>
  <c r="C884" i="50"/>
  <c r="C885" i="50"/>
  <c r="C886" i="50"/>
  <c r="C887" i="50"/>
  <c r="C888" i="50"/>
  <c r="C889" i="50"/>
  <c r="C890" i="50"/>
  <c r="C891" i="50"/>
  <c r="C892" i="50"/>
  <c r="C893" i="50"/>
  <c r="C894" i="50"/>
  <c r="C895" i="50"/>
  <c r="C896" i="50"/>
  <c r="C897" i="50"/>
  <c r="C898" i="50"/>
  <c r="C899" i="50"/>
  <c r="C900" i="50"/>
  <c r="C901" i="50"/>
  <c r="C902" i="50"/>
  <c r="C903" i="50"/>
  <c r="C904" i="50"/>
  <c r="C905" i="50"/>
  <c r="C906" i="50"/>
  <c r="C907" i="50"/>
  <c r="C908" i="50"/>
  <c r="C909" i="50"/>
  <c r="C910" i="50"/>
  <c r="C911" i="50"/>
  <c r="C912" i="50"/>
  <c r="C913" i="50"/>
  <c r="C914" i="50"/>
  <c r="C915" i="50"/>
  <c r="C916" i="50"/>
  <c r="C917" i="50"/>
  <c r="C918" i="50"/>
  <c r="C919" i="50"/>
  <c r="C920" i="50"/>
  <c r="C921" i="50"/>
  <c r="C922" i="50"/>
  <c r="C923" i="50"/>
  <c r="C924" i="50"/>
  <c r="C925" i="50"/>
  <c r="C926" i="50"/>
  <c r="C927" i="50"/>
  <c r="C928" i="50"/>
  <c r="C929" i="50"/>
  <c r="C930" i="50"/>
  <c r="C931" i="50"/>
  <c r="C932" i="50"/>
  <c r="C933" i="50"/>
  <c r="C934" i="50"/>
  <c r="C935" i="50"/>
  <c r="C936" i="50"/>
  <c r="C937" i="50"/>
  <c r="C938" i="50"/>
  <c r="C939" i="50"/>
  <c r="C940" i="50"/>
  <c r="C941" i="50"/>
  <c r="C942" i="50"/>
  <c r="C943" i="50"/>
  <c r="C944" i="50"/>
  <c r="C945" i="50"/>
  <c r="C946" i="50"/>
  <c r="C947" i="50"/>
  <c r="C948" i="50"/>
  <c r="C949" i="50"/>
  <c r="C950" i="50"/>
  <c r="C951" i="50"/>
  <c r="C952" i="50"/>
  <c r="C953" i="50"/>
  <c r="C954" i="50"/>
  <c r="C955" i="50"/>
  <c r="C956" i="50"/>
  <c r="C957" i="50"/>
  <c r="C958" i="50"/>
  <c r="C959" i="50"/>
  <c r="C960" i="50"/>
  <c r="C961" i="50"/>
  <c r="C962" i="50"/>
  <c r="C963" i="50"/>
  <c r="C964" i="50"/>
  <c r="C965" i="50"/>
  <c r="C966" i="50"/>
  <c r="C967" i="50"/>
  <c r="C968" i="50"/>
  <c r="C969" i="50"/>
  <c r="C970" i="50"/>
  <c r="C971" i="50"/>
  <c r="C972" i="50"/>
  <c r="C973" i="50"/>
  <c r="C974" i="50"/>
  <c r="C975" i="50"/>
  <c r="C976" i="50"/>
  <c r="C977" i="50"/>
  <c r="C978" i="50"/>
  <c r="C979" i="50"/>
  <c r="C980" i="50"/>
  <c r="C981" i="50"/>
  <c r="C982" i="50"/>
  <c r="C983" i="50"/>
  <c r="C984" i="50"/>
  <c r="C985" i="50"/>
  <c r="C986" i="50"/>
  <c r="C987" i="50"/>
  <c r="C988" i="50"/>
  <c r="C989" i="50"/>
  <c r="C990" i="50"/>
  <c r="C991" i="50"/>
  <c r="C992" i="50"/>
  <c r="C993" i="50"/>
  <c r="C994" i="50"/>
  <c r="C995" i="50"/>
  <c r="C996" i="50"/>
  <c r="C997" i="50"/>
  <c r="C998" i="50"/>
  <c r="C999" i="50"/>
  <c r="C1000" i="50"/>
  <c r="C1001" i="50"/>
  <c r="C1002" i="50"/>
  <c r="C1003" i="50"/>
  <c r="C1004" i="50"/>
  <c r="C1005" i="50"/>
  <c r="C1006" i="50"/>
  <c r="C1007" i="50"/>
  <c r="C1008" i="50"/>
  <c r="C1009" i="50"/>
  <c r="C1010" i="50"/>
  <c r="C1011" i="50"/>
  <c r="C1012" i="50"/>
  <c r="C1013" i="50"/>
  <c r="C1014" i="50"/>
  <c r="C1015" i="50"/>
  <c r="C1016" i="50"/>
  <c r="C1017" i="50"/>
  <c r="C1018" i="50"/>
  <c r="C1019" i="50"/>
  <c r="C1020" i="50"/>
  <c r="C1021" i="50"/>
  <c r="C1022" i="50"/>
  <c r="C1023" i="50"/>
  <c r="C1024" i="50"/>
  <c r="C1025" i="50"/>
  <c r="C1026" i="50"/>
  <c r="C1027" i="50"/>
  <c r="C1028" i="50"/>
  <c r="C1029" i="50"/>
  <c r="C1030" i="50"/>
  <c r="C1031" i="50"/>
  <c r="C1032" i="50"/>
  <c r="C1033" i="50"/>
  <c r="C1034" i="50"/>
  <c r="C1035" i="50"/>
  <c r="C1036" i="50"/>
  <c r="C1037" i="50"/>
  <c r="C1038" i="50"/>
  <c r="C1039" i="50"/>
  <c r="C1040" i="50"/>
  <c r="C1041" i="50"/>
  <c r="C1042" i="50"/>
  <c r="C1043" i="50"/>
  <c r="C1044" i="50"/>
  <c r="C1045" i="50"/>
  <c r="C1046" i="50"/>
  <c r="C1047" i="50"/>
  <c r="C1048" i="50"/>
  <c r="C1049" i="50"/>
  <c r="C1050" i="50"/>
  <c r="C1051" i="50"/>
  <c r="C1052" i="50"/>
  <c r="C1053" i="50"/>
  <c r="C1054" i="50"/>
  <c r="C1055" i="50"/>
  <c r="C1056" i="50"/>
  <c r="C1057" i="50"/>
  <c r="C1058" i="50"/>
  <c r="C1059" i="50"/>
  <c r="C1060" i="50"/>
  <c r="C1061" i="50"/>
  <c r="C1062" i="50"/>
  <c r="C1063" i="50"/>
  <c r="C1064" i="50"/>
  <c r="C1065" i="50"/>
  <c r="C1066" i="50"/>
  <c r="C1067" i="50"/>
  <c r="C1068" i="50"/>
  <c r="C1069" i="50"/>
  <c r="C1070" i="50"/>
  <c r="C1071" i="50"/>
  <c r="C1072" i="50"/>
  <c r="C1073" i="50"/>
  <c r="C1074" i="50"/>
  <c r="C1075" i="50"/>
  <c r="C1076" i="50"/>
  <c r="C1077" i="50"/>
  <c r="C1078" i="50"/>
  <c r="C1079" i="50"/>
  <c r="C1080" i="50"/>
  <c r="C1081" i="50"/>
  <c r="C1082" i="50"/>
  <c r="C1083" i="50"/>
  <c r="C1084" i="50"/>
  <c r="C1085" i="50"/>
  <c r="C1086" i="50"/>
  <c r="C1087" i="50"/>
  <c r="C1088" i="50"/>
  <c r="C1089" i="50"/>
  <c r="C1090" i="50"/>
  <c r="C1091" i="50"/>
  <c r="C1092" i="50"/>
  <c r="C1093" i="50"/>
  <c r="C1094" i="50"/>
  <c r="C1095" i="50"/>
  <c r="C1096" i="50"/>
  <c r="C1097" i="50"/>
  <c r="C1098" i="50"/>
  <c r="C1099" i="50"/>
  <c r="C1100" i="50"/>
  <c r="C1101" i="50"/>
  <c r="C1102" i="50"/>
  <c r="C1103" i="50"/>
  <c r="C1104" i="50"/>
  <c r="C1105" i="50"/>
  <c r="C1106" i="50"/>
  <c r="C1107" i="50"/>
  <c r="C1108" i="50"/>
  <c r="C1109" i="50"/>
  <c r="C1110" i="50"/>
  <c r="C1111" i="50"/>
  <c r="C1112" i="50"/>
  <c r="C1113" i="50"/>
  <c r="C1114" i="50"/>
  <c r="C1115" i="50"/>
  <c r="C1116" i="50"/>
  <c r="C1117" i="50"/>
  <c r="C1118" i="50"/>
  <c r="C1119" i="50"/>
  <c r="C1120" i="50"/>
  <c r="C1121" i="50"/>
  <c r="C1122" i="50"/>
  <c r="C1123" i="50"/>
  <c r="C1124" i="50"/>
  <c r="C1125" i="50"/>
  <c r="C1126" i="50"/>
  <c r="C1127" i="50"/>
  <c r="C1128" i="50"/>
  <c r="C1129" i="50"/>
  <c r="C1130" i="50"/>
  <c r="C1131" i="50"/>
  <c r="C1132" i="50"/>
  <c r="C1133" i="50"/>
  <c r="C1134" i="50"/>
  <c r="C1135" i="50"/>
  <c r="C1136" i="50"/>
  <c r="C1137" i="50"/>
  <c r="C1138" i="50"/>
  <c r="C1139" i="50"/>
  <c r="C1140" i="50"/>
  <c r="C1141" i="50"/>
  <c r="C1142" i="50"/>
  <c r="C1143" i="50"/>
  <c r="C1144" i="50"/>
  <c r="C1145" i="50"/>
  <c r="C1146" i="50"/>
  <c r="C1147" i="50"/>
  <c r="C1148" i="50"/>
  <c r="C1149" i="50"/>
  <c r="C1150" i="50"/>
  <c r="C1151" i="50"/>
  <c r="C1152" i="50"/>
  <c r="C1153" i="50"/>
  <c r="C1154" i="50"/>
  <c r="C1155" i="50"/>
  <c r="C1156" i="50"/>
  <c r="C1157" i="50"/>
  <c r="C1158" i="50"/>
  <c r="C1159" i="50"/>
  <c r="C1160" i="50"/>
  <c r="C1161" i="50"/>
  <c r="C1162" i="50"/>
  <c r="C1163" i="50"/>
  <c r="C1164" i="50"/>
  <c r="C1165" i="50"/>
  <c r="C1166" i="50"/>
  <c r="C1167" i="50"/>
  <c r="C1168" i="50"/>
  <c r="C1169" i="50"/>
  <c r="C1170" i="50"/>
  <c r="C1171" i="50"/>
  <c r="C1172" i="50"/>
  <c r="C1173" i="50"/>
  <c r="C1174" i="50"/>
  <c r="C1175" i="50"/>
  <c r="C1176" i="50"/>
  <c r="C1177" i="50"/>
  <c r="C1178" i="50"/>
  <c r="C1179" i="50"/>
  <c r="C1180" i="50"/>
  <c r="C1181" i="50"/>
  <c r="C1182" i="50"/>
  <c r="C1183" i="50"/>
  <c r="C1184" i="50"/>
  <c r="C1185" i="50"/>
  <c r="C1186" i="50"/>
  <c r="C1187" i="50"/>
  <c r="C1188" i="50"/>
  <c r="C1189" i="50"/>
  <c r="C1190" i="50"/>
  <c r="C1191" i="50"/>
  <c r="C1192" i="50"/>
  <c r="C1193" i="50"/>
  <c r="C1194" i="50"/>
  <c r="C1195" i="50"/>
  <c r="C1196" i="50"/>
  <c r="C1197" i="50"/>
  <c r="C1198" i="50"/>
  <c r="C1199" i="50"/>
  <c r="C1200" i="50"/>
  <c r="C1201" i="50"/>
  <c r="C1202" i="50"/>
  <c r="C1203" i="50"/>
  <c r="C1204" i="50"/>
  <c r="C1205" i="50"/>
  <c r="C1206" i="50"/>
  <c r="C1207" i="50"/>
  <c r="C1208" i="50"/>
  <c r="C1209" i="50"/>
  <c r="C1210" i="50"/>
  <c r="C1211" i="50"/>
  <c r="C1212" i="50"/>
  <c r="C1213" i="50"/>
  <c r="C1214" i="50"/>
  <c r="C1215" i="50"/>
  <c r="C1216" i="50"/>
  <c r="C1217" i="50"/>
  <c r="C1218" i="50"/>
  <c r="C1219" i="50"/>
  <c r="C1220" i="50"/>
  <c r="C1221" i="50"/>
  <c r="C1222" i="50"/>
  <c r="C1223" i="50"/>
  <c r="C1224" i="50"/>
  <c r="C1225" i="50"/>
  <c r="C1226" i="50"/>
  <c r="C1227" i="50"/>
  <c r="C1228" i="50"/>
  <c r="C1229" i="50"/>
  <c r="C1230" i="50"/>
  <c r="C1231" i="50"/>
  <c r="C1232" i="50"/>
  <c r="C1233" i="50"/>
  <c r="C1234" i="50"/>
  <c r="C1235" i="50"/>
  <c r="C1236" i="50"/>
  <c r="C1237" i="50"/>
  <c r="C1238" i="50"/>
  <c r="C1239" i="50"/>
  <c r="C1240" i="50"/>
  <c r="C1241" i="50"/>
  <c r="C1242" i="50"/>
  <c r="C1243" i="50"/>
  <c r="C1244" i="50"/>
  <c r="C1245" i="50"/>
  <c r="C1246" i="50"/>
  <c r="C1247" i="50"/>
  <c r="C1248" i="50"/>
  <c r="C1249" i="50"/>
  <c r="C1250" i="50"/>
  <c r="C1251" i="50"/>
  <c r="C1252" i="50"/>
  <c r="C1253" i="50"/>
  <c r="C1254" i="50"/>
  <c r="C1255" i="50"/>
  <c r="C1256" i="50"/>
  <c r="C1257" i="50"/>
  <c r="C1258" i="50"/>
  <c r="C1259" i="50"/>
  <c r="C1260" i="50"/>
  <c r="C1261" i="50"/>
  <c r="C1262" i="50"/>
  <c r="C1263" i="50"/>
  <c r="C1264" i="50"/>
  <c r="C1265" i="50"/>
  <c r="C1266" i="50"/>
  <c r="C1267" i="50"/>
  <c r="C1268" i="50"/>
  <c r="C1269" i="50"/>
  <c r="C1270" i="50"/>
  <c r="C1271" i="50"/>
  <c r="C1272" i="50"/>
  <c r="C1273" i="50"/>
  <c r="C1274" i="50"/>
  <c r="C1275" i="50"/>
  <c r="C1276" i="50"/>
  <c r="C1277" i="50"/>
  <c r="C1278" i="50"/>
  <c r="C1279" i="50"/>
  <c r="C1280" i="50"/>
  <c r="C1281" i="50"/>
  <c r="C1282" i="50"/>
  <c r="C1283" i="50"/>
  <c r="C1284" i="50"/>
  <c r="C1285" i="50"/>
  <c r="C1286" i="50"/>
  <c r="C1287" i="50"/>
  <c r="C1288" i="50"/>
  <c r="C1289" i="50"/>
  <c r="C1290" i="50"/>
  <c r="C1291" i="50"/>
  <c r="C1292" i="50"/>
  <c r="C1293" i="50"/>
  <c r="C1294" i="50"/>
  <c r="C1295" i="50"/>
  <c r="C1296" i="50"/>
  <c r="C1297" i="50"/>
  <c r="C1298" i="50"/>
  <c r="C1299" i="50"/>
  <c r="C1300" i="50"/>
  <c r="C1301" i="50"/>
  <c r="C1302" i="50"/>
  <c r="C1303" i="50"/>
  <c r="C1304" i="50"/>
  <c r="C1305" i="50"/>
  <c r="C1306" i="50"/>
  <c r="C1307" i="50"/>
  <c r="C1308" i="50"/>
  <c r="C1309" i="50"/>
  <c r="C1310" i="50"/>
  <c r="C1311" i="50"/>
  <c r="C1312" i="50"/>
  <c r="C1313" i="50"/>
  <c r="C1314" i="50"/>
  <c r="C1315" i="50"/>
  <c r="C1316" i="50"/>
  <c r="C1317" i="50"/>
  <c r="C1318" i="50"/>
  <c r="C1319" i="50"/>
  <c r="C1320" i="50"/>
  <c r="C1321" i="50"/>
  <c r="C1322" i="50"/>
  <c r="C1323" i="50"/>
  <c r="C1324" i="50"/>
  <c r="C1325" i="50"/>
  <c r="C1326" i="50"/>
  <c r="C1327" i="50"/>
  <c r="C1328" i="50"/>
  <c r="C1329" i="50"/>
  <c r="C1330" i="50"/>
  <c r="C1331" i="50"/>
  <c r="C1332" i="50"/>
  <c r="C1333" i="50"/>
  <c r="C1334" i="50"/>
  <c r="C1335" i="50"/>
  <c r="C1336" i="50"/>
  <c r="C1337" i="50"/>
  <c r="C1338" i="50"/>
  <c r="C1339" i="50"/>
  <c r="C1340" i="50"/>
  <c r="C1341" i="50"/>
  <c r="C1342" i="50"/>
  <c r="C1343" i="50"/>
  <c r="C1344" i="50"/>
  <c r="C1345" i="50"/>
  <c r="C1346" i="50"/>
  <c r="C1347" i="50"/>
  <c r="C1348" i="50"/>
  <c r="C1349" i="50"/>
  <c r="C1350" i="50"/>
  <c r="C1351" i="50"/>
  <c r="C1352" i="50"/>
  <c r="C1353" i="50"/>
  <c r="C1354" i="50"/>
  <c r="C1355" i="50"/>
  <c r="C1356" i="50"/>
  <c r="C1357" i="50"/>
  <c r="C1358" i="50"/>
  <c r="C1359" i="50"/>
  <c r="C1360" i="50"/>
  <c r="C1361" i="50"/>
  <c r="C1362" i="50"/>
  <c r="C1363" i="50"/>
  <c r="C1364" i="50"/>
  <c r="C1365" i="50"/>
  <c r="C1366" i="50"/>
  <c r="C1367" i="50"/>
  <c r="C1368" i="50"/>
  <c r="C1369" i="50"/>
  <c r="C1370" i="50"/>
  <c r="C1371" i="50"/>
  <c r="C1372" i="50"/>
  <c r="C1373" i="50"/>
  <c r="C1374" i="50"/>
  <c r="C1375" i="50"/>
  <c r="C1376" i="50"/>
  <c r="C1377" i="50"/>
  <c r="C1378" i="50"/>
  <c r="C1379" i="50"/>
  <c r="C1380" i="50"/>
  <c r="C1381" i="50"/>
  <c r="C1382" i="50"/>
  <c r="C1383" i="50"/>
  <c r="C1384" i="50"/>
  <c r="C1385" i="50"/>
  <c r="C1386" i="50"/>
  <c r="C1387" i="50"/>
  <c r="C1388" i="50"/>
  <c r="C1389" i="50"/>
  <c r="C1390" i="50"/>
  <c r="C1391" i="50"/>
  <c r="C1392" i="50"/>
  <c r="C1393" i="50"/>
  <c r="C1394" i="50"/>
  <c r="C1395" i="50"/>
  <c r="C1396" i="50"/>
  <c r="C1397" i="50"/>
  <c r="C1398" i="50"/>
  <c r="C1399" i="50"/>
  <c r="C1400" i="50"/>
  <c r="C1401" i="50"/>
  <c r="C1402" i="50"/>
  <c r="C1403" i="50"/>
  <c r="C1404" i="50"/>
  <c r="C1405" i="50"/>
  <c r="C1406" i="50"/>
  <c r="C1407" i="50"/>
  <c r="C1408" i="50"/>
  <c r="C1409" i="50"/>
  <c r="C1410" i="50"/>
  <c r="C1411" i="50"/>
  <c r="C1412" i="50"/>
  <c r="C1413" i="50"/>
  <c r="C1414" i="50"/>
  <c r="C1415" i="50"/>
  <c r="C1416" i="50"/>
  <c r="C1417" i="50"/>
  <c r="C1418" i="50"/>
  <c r="C1419" i="50"/>
  <c r="C1420" i="50"/>
  <c r="C1421" i="50"/>
  <c r="C1422" i="50"/>
  <c r="C1423" i="50"/>
  <c r="C1424" i="50"/>
  <c r="C1425" i="50"/>
  <c r="C1426" i="50"/>
  <c r="C1427" i="50"/>
  <c r="C1428" i="50"/>
  <c r="C1429" i="50"/>
  <c r="C1430" i="50"/>
  <c r="C1431" i="50"/>
  <c r="C1432" i="50"/>
  <c r="C1433" i="50"/>
  <c r="C1434" i="50"/>
  <c r="C1435" i="50"/>
  <c r="C1436" i="50"/>
  <c r="C1437" i="50"/>
  <c r="C1438" i="50"/>
  <c r="C1439" i="50"/>
  <c r="C1440" i="50"/>
  <c r="C1441" i="50"/>
  <c r="C1442" i="50"/>
  <c r="C1443" i="50"/>
  <c r="C1444" i="50"/>
  <c r="C1445" i="50"/>
  <c r="C1446" i="50"/>
  <c r="C1447" i="50"/>
  <c r="C1448" i="50"/>
  <c r="C1449" i="50"/>
  <c r="C1450" i="50"/>
  <c r="C1451" i="50"/>
  <c r="C1452" i="50"/>
  <c r="C1453" i="50"/>
  <c r="C1454" i="50"/>
  <c r="C1455" i="50"/>
  <c r="C1456" i="50"/>
  <c r="C1457" i="50"/>
  <c r="C1458" i="50"/>
  <c r="C1459" i="50"/>
  <c r="C1460" i="50"/>
  <c r="C1461" i="50"/>
  <c r="C1462" i="50"/>
  <c r="C1463" i="50"/>
  <c r="C1464" i="50"/>
  <c r="C1465" i="50"/>
  <c r="C1466" i="50"/>
  <c r="C1467" i="50"/>
  <c r="C1468" i="50"/>
  <c r="C1469" i="50"/>
  <c r="C1470" i="50"/>
  <c r="C1471" i="50"/>
  <c r="C1472" i="50"/>
  <c r="C1473" i="50"/>
  <c r="C1474" i="50"/>
  <c r="C1475" i="50"/>
  <c r="C1476" i="50"/>
  <c r="C1477" i="50"/>
  <c r="C1478" i="50"/>
  <c r="C1479" i="50"/>
  <c r="C1480" i="50"/>
  <c r="C1481" i="50"/>
  <c r="C1482" i="50"/>
  <c r="C1483" i="50"/>
  <c r="C1484" i="50"/>
  <c r="C1485" i="50"/>
  <c r="C1486" i="50"/>
  <c r="C1487" i="50"/>
  <c r="C1488" i="50"/>
  <c r="C1489" i="50"/>
  <c r="C1490" i="50"/>
  <c r="C1491" i="50"/>
  <c r="C1492" i="50"/>
  <c r="C1493" i="50"/>
  <c r="C1494" i="50"/>
  <c r="C1495" i="50"/>
  <c r="C1496" i="50"/>
  <c r="C1497" i="50"/>
  <c r="C1498" i="50"/>
  <c r="C1499" i="50"/>
  <c r="C1500" i="50"/>
  <c r="C1501" i="50"/>
  <c r="C1502" i="50"/>
  <c r="C1503" i="50"/>
  <c r="C1504" i="50"/>
  <c r="C1505" i="50"/>
  <c r="C1506" i="50"/>
  <c r="C1507" i="50"/>
  <c r="C1508" i="50"/>
  <c r="C1509" i="50"/>
  <c r="C1510" i="50"/>
  <c r="C1511" i="50"/>
  <c r="C1512" i="50"/>
  <c r="C1513" i="50"/>
  <c r="C1514" i="50"/>
  <c r="C1515" i="50"/>
  <c r="C1516" i="50"/>
  <c r="C1517" i="50"/>
  <c r="C1518" i="50"/>
  <c r="C1519" i="50"/>
  <c r="C1520" i="50"/>
  <c r="C1521" i="50"/>
  <c r="C1522" i="50"/>
  <c r="C1523" i="50"/>
  <c r="C1524" i="50"/>
  <c r="C1525" i="50"/>
  <c r="C1526" i="50"/>
  <c r="C1527" i="50"/>
  <c r="C1528" i="50"/>
  <c r="C1529" i="50"/>
  <c r="C1530" i="50"/>
  <c r="C1531" i="50"/>
  <c r="C1532" i="50"/>
  <c r="C1533" i="50"/>
  <c r="C1534" i="50"/>
  <c r="C1535" i="50"/>
  <c r="C1536" i="50"/>
  <c r="C1537" i="50"/>
  <c r="C1538" i="50"/>
  <c r="C1539" i="50"/>
  <c r="C1540" i="50"/>
  <c r="C1541" i="50"/>
  <c r="C1542" i="50"/>
  <c r="C1543" i="50"/>
  <c r="C1544" i="50"/>
  <c r="C1545" i="50"/>
  <c r="C1546" i="50"/>
  <c r="C1547" i="50"/>
  <c r="C1548" i="50"/>
  <c r="C1549" i="50"/>
  <c r="C1550" i="50"/>
  <c r="C1551" i="50"/>
  <c r="C1552" i="50"/>
  <c r="C1553" i="50"/>
  <c r="C1554" i="50"/>
  <c r="C1555" i="50"/>
  <c r="C1556" i="50"/>
  <c r="C1557" i="50"/>
  <c r="C1558" i="50"/>
  <c r="C1559" i="50"/>
  <c r="C1560" i="50"/>
  <c r="C1561" i="50"/>
  <c r="C1562" i="50"/>
  <c r="C1563" i="50"/>
  <c r="C1564" i="50"/>
  <c r="C1565" i="50"/>
  <c r="C1566" i="50"/>
  <c r="C1567" i="50"/>
  <c r="C1568" i="50"/>
  <c r="C1569" i="50"/>
  <c r="C1570" i="50"/>
  <c r="C1571" i="50"/>
  <c r="C1572" i="50"/>
  <c r="C1573" i="50"/>
  <c r="C1574" i="50"/>
  <c r="C1575" i="50"/>
  <c r="C1576" i="50"/>
  <c r="C1577" i="50"/>
  <c r="C1578" i="50"/>
  <c r="C1579" i="50"/>
  <c r="C1580" i="50"/>
  <c r="C1581" i="50"/>
  <c r="C1582" i="50"/>
  <c r="C1583" i="50"/>
  <c r="C1584" i="50"/>
  <c r="C1585" i="50"/>
  <c r="C1586" i="50"/>
  <c r="C1587" i="50"/>
  <c r="C1588" i="50"/>
  <c r="C1589" i="50"/>
  <c r="C1590" i="50"/>
  <c r="C1591" i="50"/>
  <c r="C1592" i="50"/>
  <c r="C1593" i="50"/>
  <c r="C1594" i="50"/>
  <c r="C1595" i="50"/>
  <c r="C1596" i="50"/>
  <c r="C1597" i="50"/>
  <c r="C1598" i="50"/>
  <c r="C1599" i="50"/>
  <c r="C1600" i="50"/>
  <c r="C1601" i="50"/>
  <c r="C1602" i="50"/>
  <c r="C1603" i="50"/>
  <c r="C1604" i="50"/>
  <c r="C1605" i="50"/>
  <c r="C1606" i="50"/>
  <c r="C1607" i="50"/>
  <c r="C1608" i="50"/>
  <c r="C1609" i="50"/>
  <c r="C1610" i="50"/>
  <c r="C1611" i="50"/>
  <c r="C1612" i="50"/>
  <c r="C1613" i="50"/>
  <c r="C1614" i="50"/>
  <c r="C1615" i="50"/>
  <c r="C1616" i="50"/>
  <c r="C1617" i="50"/>
  <c r="C1618" i="50"/>
  <c r="C1619" i="50"/>
  <c r="C1620" i="50"/>
  <c r="C1621" i="50"/>
  <c r="C1622" i="50"/>
  <c r="C1623" i="50"/>
  <c r="C1624" i="50"/>
  <c r="C1625" i="50"/>
  <c r="C1626" i="50"/>
  <c r="C1627" i="50"/>
  <c r="C1628" i="50"/>
  <c r="C1629" i="50"/>
  <c r="C1630" i="50"/>
  <c r="C1631" i="50"/>
  <c r="C1632" i="50"/>
  <c r="C1633" i="50"/>
  <c r="C1634" i="50"/>
  <c r="C1635" i="50"/>
  <c r="C1636" i="50"/>
  <c r="C1637" i="50"/>
  <c r="C1638" i="50"/>
  <c r="C1639" i="50"/>
  <c r="C1640" i="50"/>
  <c r="C1641" i="50"/>
  <c r="C1642" i="50"/>
  <c r="C1643" i="50"/>
  <c r="C1644" i="50"/>
  <c r="C1645" i="50"/>
  <c r="C1646" i="50"/>
  <c r="C1647" i="50"/>
  <c r="C1648" i="50"/>
  <c r="C1649" i="50"/>
  <c r="C1650" i="50"/>
  <c r="C1651" i="50"/>
  <c r="C1652" i="50"/>
  <c r="C1653" i="50"/>
  <c r="C1654" i="50"/>
  <c r="C1655" i="50"/>
  <c r="C1656" i="50"/>
  <c r="C1657" i="50"/>
  <c r="C1658" i="50"/>
  <c r="C1659" i="50"/>
  <c r="C1660" i="50"/>
  <c r="C1661" i="50"/>
  <c r="C1662" i="50"/>
  <c r="C1663" i="50"/>
  <c r="C1664" i="50"/>
  <c r="C1665" i="50"/>
  <c r="C1666" i="50"/>
  <c r="C1667" i="50"/>
  <c r="C1668" i="50"/>
  <c r="C1669" i="50"/>
  <c r="C1670" i="50"/>
  <c r="C1671" i="50"/>
  <c r="C1672" i="50"/>
  <c r="C1673" i="50"/>
  <c r="C1674" i="50"/>
  <c r="C1675" i="50"/>
  <c r="C1676" i="50"/>
  <c r="C1677" i="50"/>
  <c r="C1678" i="50"/>
  <c r="C1679" i="50"/>
  <c r="C1680" i="50"/>
  <c r="C1681" i="50"/>
  <c r="C1682" i="50"/>
  <c r="C1683" i="50"/>
  <c r="C1684" i="50"/>
  <c r="C1685" i="50"/>
  <c r="C1686" i="50"/>
  <c r="C1687" i="50"/>
  <c r="C1688" i="50"/>
  <c r="C1689" i="50"/>
  <c r="C1690" i="50"/>
  <c r="C1691" i="50"/>
  <c r="C1692" i="50"/>
  <c r="C1693" i="50"/>
  <c r="C1694" i="50"/>
  <c r="C1695" i="50"/>
  <c r="C1696" i="50"/>
  <c r="C1697" i="50"/>
  <c r="C1698" i="50"/>
  <c r="C1699" i="50"/>
  <c r="C1700" i="50"/>
  <c r="C1701" i="50"/>
  <c r="C1702" i="50"/>
  <c r="C1703" i="50"/>
  <c r="C1704" i="50"/>
  <c r="C1705" i="50"/>
  <c r="C1706" i="50"/>
  <c r="C1707" i="50"/>
  <c r="C1708" i="50"/>
  <c r="C1709" i="50"/>
  <c r="C1710" i="50"/>
  <c r="C1711" i="50"/>
  <c r="C1712" i="50"/>
  <c r="C1713" i="50"/>
  <c r="C1714" i="50"/>
  <c r="C1715" i="50"/>
  <c r="C1716" i="50"/>
  <c r="C1717" i="50"/>
  <c r="C1718" i="50"/>
  <c r="C1719" i="50"/>
  <c r="C1720" i="50"/>
  <c r="C1721" i="50"/>
  <c r="C1722" i="50"/>
  <c r="C1723" i="50"/>
  <c r="C1724" i="50"/>
  <c r="C1725" i="50"/>
  <c r="C1726" i="50"/>
  <c r="C1727" i="50"/>
  <c r="C1728" i="50"/>
  <c r="C1729" i="50"/>
  <c r="C1730" i="50"/>
  <c r="C1731" i="50"/>
  <c r="C1732" i="50"/>
  <c r="C1733" i="50"/>
  <c r="C1734" i="50"/>
  <c r="C1735" i="50"/>
  <c r="C1736" i="50"/>
  <c r="C1737" i="50"/>
  <c r="C1738" i="50"/>
  <c r="C1739" i="50"/>
  <c r="C1740" i="50"/>
  <c r="C1741" i="50"/>
  <c r="C1742" i="50"/>
  <c r="C1743" i="50"/>
  <c r="C1744" i="50"/>
  <c r="C1745" i="50"/>
  <c r="C1746" i="50"/>
  <c r="C1747" i="50"/>
  <c r="C1748" i="50"/>
  <c r="C1749" i="50"/>
  <c r="C1750" i="50"/>
  <c r="C1751" i="50"/>
  <c r="C1752" i="50"/>
  <c r="C1753" i="50"/>
  <c r="C1754" i="50"/>
  <c r="C1755" i="50"/>
  <c r="C1756" i="50"/>
  <c r="C1757" i="50"/>
  <c r="C1758" i="50"/>
  <c r="C1759" i="50"/>
  <c r="C1760" i="50"/>
  <c r="C1761" i="50"/>
  <c r="C1762" i="50"/>
  <c r="C1763" i="50"/>
  <c r="C1764" i="50"/>
  <c r="C1765" i="50"/>
  <c r="C1766" i="50"/>
  <c r="C1767" i="50"/>
  <c r="C1768" i="50"/>
  <c r="C1769" i="50"/>
  <c r="C1770" i="50"/>
  <c r="C1771" i="50"/>
  <c r="C1772" i="50"/>
  <c r="C1773" i="50"/>
  <c r="C1774" i="50"/>
  <c r="C1775" i="50"/>
  <c r="C1776" i="50"/>
  <c r="C1777" i="50"/>
  <c r="C1778" i="50"/>
  <c r="C1779" i="50"/>
  <c r="C1780" i="50"/>
  <c r="C1781" i="50"/>
  <c r="C1782" i="50"/>
  <c r="C1783" i="50"/>
  <c r="C1784" i="50"/>
  <c r="C1785" i="50"/>
  <c r="C1786" i="50"/>
  <c r="C1787" i="50"/>
  <c r="C1788" i="50"/>
  <c r="C1789" i="50"/>
  <c r="C1790" i="50"/>
  <c r="C1791" i="50"/>
  <c r="C1792" i="50"/>
  <c r="C1793" i="50"/>
  <c r="C1794" i="50"/>
  <c r="C1795" i="50"/>
  <c r="C1796" i="50"/>
  <c r="C1797" i="50"/>
  <c r="C1798" i="50"/>
  <c r="C1799" i="50"/>
  <c r="C1800" i="50"/>
  <c r="C1801" i="50"/>
  <c r="C1802" i="50"/>
  <c r="C1803" i="50"/>
  <c r="C1804" i="50"/>
  <c r="C1805" i="50"/>
  <c r="C1806" i="50"/>
  <c r="C1807" i="50"/>
  <c r="C1808" i="50"/>
  <c r="C1809" i="50"/>
  <c r="C1810" i="50"/>
  <c r="C1811" i="50"/>
  <c r="C1812" i="50"/>
  <c r="C1813" i="50"/>
  <c r="C1814" i="50"/>
  <c r="C1815" i="50"/>
  <c r="C1816" i="50"/>
  <c r="C1817" i="50"/>
  <c r="C1818" i="50"/>
  <c r="C1819" i="50"/>
  <c r="C1820" i="50"/>
  <c r="C1821" i="50"/>
  <c r="C1822" i="50"/>
  <c r="C1823" i="50"/>
  <c r="C1824" i="50"/>
  <c r="C1825" i="50"/>
  <c r="C1826" i="50"/>
  <c r="C1827" i="50"/>
  <c r="C1828" i="50"/>
  <c r="C1829" i="50"/>
  <c r="C1830" i="50"/>
  <c r="C1831" i="50"/>
  <c r="C1832" i="50"/>
  <c r="C1833" i="50"/>
  <c r="C1834" i="50"/>
  <c r="C1835" i="50"/>
  <c r="C1836" i="50"/>
  <c r="C1837" i="50"/>
  <c r="C1838" i="50"/>
  <c r="C1839" i="50"/>
  <c r="C1840" i="50"/>
  <c r="C1841" i="50"/>
  <c r="C1842" i="50"/>
  <c r="C1843" i="50"/>
  <c r="C1844" i="50"/>
  <c r="C1845" i="50"/>
  <c r="C1846" i="50"/>
  <c r="C1847" i="50"/>
  <c r="C1848" i="50"/>
  <c r="C1849" i="50"/>
  <c r="C1850" i="50"/>
  <c r="C1851" i="50"/>
  <c r="C1852" i="50"/>
  <c r="C1853" i="50"/>
  <c r="C1854" i="50"/>
  <c r="C1855" i="50"/>
  <c r="C1856" i="50"/>
  <c r="C1857" i="50"/>
  <c r="C1858" i="50"/>
  <c r="C1859" i="50"/>
  <c r="C1860" i="50"/>
  <c r="C1861" i="50"/>
  <c r="C1862" i="50"/>
  <c r="C1863" i="50"/>
  <c r="C1864" i="50"/>
  <c r="C1865" i="50"/>
  <c r="C1866" i="50"/>
  <c r="C1867" i="50"/>
  <c r="C1868" i="50"/>
  <c r="C1869" i="50"/>
  <c r="C1870" i="50"/>
  <c r="C1871" i="50"/>
  <c r="C1872" i="50"/>
  <c r="C1873" i="50"/>
  <c r="C1874" i="50"/>
  <c r="C1875" i="50"/>
  <c r="C1876" i="50"/>
  <c r="C1877" i="50"/>
  <c r="C1878" i="50"/>
  <c r="C1879" i="50"/>
  <c r="C1880" i="50"/>
  <c r="C1881" i="50"/>
  <c r="C1882" i="50"/>
  <c r="C1883" i="50"/>
  <c r="C1884" i="50"/>
  <c r="C1885" i="50"/>
  <c r="C1886" i="50"/>
  <c r="C1887" i="50"/>
  <c r="C1888" i="50"/>
  <c r="C1889" i="50"/>
  <c r="C1890" i="50"/>
  <c r="C1891" i="50"/>
  <c r="C1892" i="50"/>
  <c r="C1893" i="50"/>
  <c r="C1894" i="50"/>
  <c r="C1895" i="50"/>
  <c r="C1896" i="50"/>
  <c r="C1897" i="50"/>
  <c r="C1898" i="50"/>
  <c r="C1899" i="50"/>
  <c r="C1900" i="50"/>
  <c r="C1901" i="50"/>
  <c r="C1902" i="50"/>
  <c r="C1903" i="50"/>
  <c r="C1904" i="50"/>
  <c r="C1905" i="50"/>
  <c r="C1906" i="50"/>
  <c r="C1907" i="50"/>
  <c r="C1908" i="50"/>
  <c r="C1909" i="50"/>
  <c r="C1910" i="50"/>
  <c r="C1911" i="50"/>
  <c r="C1912" i="50"/>
  <c r="C1913" i="50"/>
  <c r="C1914" i="50"/>
  <c r="C1915" i="50"/>
  <c r="C1916" i="50"/>
  <c r="C1917" i="50"/>
  <c r="C1918" i="50"/>
  <c r="C1919" i="50"/>
  <c r="C1920" i="50"/>
  <c r="C1921" i="50"/>
  <c r="C1922" i="50"/>
  <c r="C1923" i="50"/>
  <c r="C1924" i="50"/>
  <c r="C1925" i="50"/>
  <c r="C1926" i="50"/>
  <c r="C1927" i="50"/>
  <c r="C1928" i="50"/>
  <c r="C1929" i="50"/>
  <c r="C1930" i="50"/>
  <c r="C1931" i="50"/>
  <c r="C1932" i="50"/>
  <c r="C1933" i="50"/>
  <c r="C1934" i="50"/>
  <c r="C1935" i="50"/>
  <c r="C1936" i="50"/>
  <c r="C1937" i="50"/>
  <c r="C1938" i="50"/>
  <c r="C1939" i="50"/>
  <c r="C1940" i="50"/>
  <c r="C1941" i="50"/>
  <c r="C1942" i="50"/>
  <c r="C1943" i="50"/>
  <c r="C1944" i="50"/>
  <c r="C1945" i="50"/>
  <c r="C1946" i="50"/>
  <c r="C1947" i="50"/>
  <c r="C1948" i="50"/>
  <c r="C1949" i="50"/>
  <c r="C1950" i="50"/>
  <c r="C1951" i="50"/>
  <c r="C1952" i="50"/>
  <c r="C1953" i="50"/>
  <c r="C1954" i="50"/>
  <c r="C1955" i="50"/>
  <c r="C1956" i="50"/>
  <c r="C1957" i="50"/>
  <c r="C1958" i="50"/>
  <c r="C1959" i="50"/>
  <c r="C1960" i="50"/>
  <c r="C1961" i="50"/>
  <c r="C1962" i="50"/>
  <c r="C1963" i="50"/>
  <c r="C1964" i="50"/>
  <c r="C1965" i="50"/>
  <c r="C1966" i="50"/>
  <c r="C1967" i="50"/>
  <c r="C1968" i="50"/>
  <c r="C1969" i="50"/>
  <c r="C1970" i="50"/>
  <c r="C1971" i="50"/>
  <c r="C1972" i="50"/>
  <c r="C1973" i="50"/>
  <c r="C1974" i="50"/>
  <c r="C1975" i="50"/>
  <c r="C1976" i="50"/>
  <c r="C1977" i="50"/>
  <c r="C1978" i="50"/>
  <c r="C1979" i="50"/>
  <c r="C1980" i="50"/>
  <c r="C1981" i="50"/>
  <c r="C1982" i="50"/>
  <c r="C1983" i="50"/>
  <c r="C1984" i="50"/>
  <c r="C1985" i="50"/>
  <c r="C1986" i="50"/>
  <c r="C1987" i="50"/>
  <c r="C1988" i="50"/>
  <c r="C1989" i="50"/>
  <c r="C1990" i="50"/>
  <c r="C1991" i="50"/>
  <c r="C1992" i="50"/>
  <c r="C1993" i="50"/>
  <c r="C1994" i="50"/>
  <c r="C1995" i="50"/>
  <c r="C1996" i="50"/>
  <c r="C1997" i="50"/>
  <c r="C1998" i="50"/>
  <c r="C1999" i="50"/>
  <c r="C2000" i="50"/>
  <c r="C2001" i="50"/>
  <c r="C2002" i="50"/>
  <c r="C2003" i="50"/>
  <c r="C2004" i="50"/>
  <c r="C2005" i="50"/>
  <c r="C2006" i="50"/>
  <c r="C2007" i="50"/>
  <c r="C2008" i="50"/>
  <c r="C2009" i="50"/>
  <c r="C2010" i="50"/>
  <c r="C2011" i="50"/>
  <c r="C2012" i="50"/>
  <c r="C2013" i="50"/>
  <c r="C2014" i="50"/>
  <c r="C2015" i="50"/>
  <c r="C2016" i="50"/>
  <c r="C2017" i="50"/>
  <c r="C2018" i="50"/>
  <c r="C2019" i="50"/>
  <c r="C2020" i="50"/>
  <c r="C2021" i="50"/>
  <c r="C2022" i="50"/>
  <c r="C2023" i="50"/>
  <c r="C2024" i="50"/>
  <c r="C2025" i="50"/>
  <c r="C2026" i="50"/>
  <c r="C2027" i="50"/>
  <c r="C2028" i="50"/>
  <c r="C2029" i="50"/>
  <c r="C2030" i="50"/>
  <c r="C2031" i="50"/>
  <c r="C2032" i="50"/>
  <c r="C2033" i="50"/>
  <c r="C2034" i="50"/>
  <c r="C2035" i="50"/>
  <c r="C2036" i="50"/>
  <c r="C2037" i="50"/>
  <c r="C2038" i="50"/>
  <c r="C2039" i="50"/>
  <c r="C2040" i="50"/>
  <c r="C2041" i="50"/>
  <c r="C2042" i="50"/>
  <c r="C2043" i="50"/>
  <c r="C2044" i="50"/>
  <c r="C2045" i="50"/>
  <c r="C2046" i="50"/>
  <c r="C2047" i="50"/>
  <c r="C2048" i="50"/>
  <c r="C2049" i="50"/>
  <c r="C2050" i="50"/>
  <c r="C2051" i="50"/>
  <c r="C2052" i="50"/>
  <c r="C2053" i="50"/>
  <c r="C2054" i="50"/>
  <c r="C2055" i="50"/>
  <c r="C2056" i="50"/>
  <c r="C2057" i="50"/>
  <c r="C2058" i="50"/>
  <c r="C2059" i="50"/>
  <c r="C2060" i="50"/>
  <c r="C2061" i="50"/>
  <c r="C2062" i="50"/>
  <c r="C2063" i="50"/>
  <c r="C2064" i="50"/>
  <c r="C2065" i="50"/>
  <c r="C2066" i="50"/>
  <c r="C2067" i="50"/>
  <c r="C2068" i="50"/>
  <c r="C2069" i="50"/>
  <c r="C2070" i="50"/>
  <c r="C2071" i="50"/>
  <c r="C2072" i="50"/>
  <c r="C2073" i="50"/>
  <c r="C2074" i="50"/>
  <c r="C2075" i="50"/>
  <c r="C2076" i="50"/>
  <c r="C2077" i="50"/>
  <c r="C2078" i="50"/>
  <c r="C2079" i="50"/>
  <c r="C2080" i="50"/>
  <c r="C2081" i="50"/>
  <c r="C2082" i="50"/>
  <c r="C2083" i="50"/>
  <c r="C2084" i="50"/>
  <c r="C2085" i="50"/>
  <c r="C2086" i="50"/>
  <c r="C2087" i="50"/>
  <c r="C2088" i="50"/>
  <c r="C2089" i="50"/>
  <c r="C2090" i="50"/>
  <c r="C2091" i="50"/>
  <c r="C2092" i="50"/>
  <c r="C2093" i="50"/>
  <c r="C2094" i="50"/>
  <c r="C2095" i="50"/>
  <c r="C2096" i="50"/>
  <c r="C2097" i="50"/>
  <c r="C2098" i="50"/>
  <c r="C2099" i="50"/>
  <c r="C2100" i="50"/>
  <c r="C2101" i="50"/>
  <c r="C2102" i="50"/>
  <c r="C2103" i="50"/>
  <c r="C2104" i="50"/>
  <c r="C2105" i="50"/>
  <c r="C2106" i="50"/>
  <c r="C2107" i="50"/>
  <c r="C2108" i="50"/>
  <c r="C2109" i="50"/>
  <c r="C2110" i="50"/>
  <c r="C2111" i="50"/>
  <c r="C2112" i="50"/>
  <c r="C2113" i="50"/>
  <c r="C2114" i="50"/>
  <c r="C2115" i="50"/>
  <c r="C2116" i="50"/>
  <c r="C2117" i="50"/>
  <c r="C2118" i="50"/>
  <c r="C2119" i="50"/>
  <c r="C2120" i="50"/>
  <c r="C2121" i="50"/>
  <c r="C2122" i="50"/>
  <c r="C2123" i="50"/>
  <c r="C2124" i="50"/>
  <c r="C2125" i="50"/>
  <c r="C2126" i="50"/>
  <c r="C2127" i="50"/>
  <c r="C2128" i="50"/>
  <c r="C2129" i="50"/>
  <c r="C2130" i="50"/>
  <c r="C2131" i="50"/>
  <c r="C2132" i="50"/>
  <c r="C2133" i="50"/>
  <c r="C2134" i="50"/>
  <c r="C2135" i="50"/>
  <c r="C2136" i="50"/>
  <c r="C2137" i="50"/>
  <c r="C2138" i="50"/>
  <c r="C2139" i="50"/>
  <c r="C2140" i="50"/>
  <c r="C2141" i="50"/>
  <c r="C2142" i="50"/>
  <c r="C2143" i="50"/>
  <c r="C2144" i="50"/>
  <c r="C2145" i="50"/>
  <c r="C2146" i="50"/>
  <c r="C2147" i="50"/>
  <c r="C2148" i="50"/>
  <c r="C2149" i="50"/>
  <c r="C2150" i="50"/>
  <c r="C2151" i="50"/>
  <c r="C2152" i="50"/>
  <c r="C2153" i="50"/>
  <c r="C2154" i="50"/>
  <c r="C2155" i="50"/>
  <c r="C2156" i="50"/>
  <c r="C2157" i="50"/>
  <c r="C2158" i="50"/>
  <c r="C2159" i="50"/>
  <c r="C2160" i="50"/>
  <c r="C2161" i="50"/>
  <c r="C2162" i="50"/>
  <c r="C2163" i="50"/>
  <c r="C2164" i="50"/>
  <c r="C2165" i="50"/>
  <c r="C2166" i="50"/>
  <c r="C2167" i="50"/>
  <c r="C2168" i="50"/>
  <c r="C2169" i="50"/>
  <c r="C2170" i="50"/>
  <c r="C2171" i="50"/>
  <c r="C2172" i="50"/>
  <c r="C2173" i="50"/>
  <c r="C2174" i="50"/>
  <c r="C2175" i="50"/>
  <c r="C2176" i="50"/>
  <c r="C2177" i="50"/>
  <c r="C2178" i="50"/>
  <c r="C2179" i="50"/>
  <c r="C2180" i="50"/>
  <c r="C2181" i="50"/>
  <c r="C2182" i="50"/>
  <c r="C2183" i="50"/>
  <c r="C2184" i="50"/>
  <c r="C2185" i="50"/>
  <c r="C2186" i="50"/>
  <c r="C2187" i="50"/>
  <c r="C2188" i="50"/>
  <c r="C2189" i="50"/>
  <c r="C2190" i="50"/>
  <c r="C2191" i="50"/>
  <c r="C2192" i="50"/>
  <c r="C2193" i="50"/>
  <c r="C2194" i="50"/>
  <c r="C2195" i="50"/>
  <c r="C2196" i="50"/>
  <c r="C2197" i="50"/>
  <c r="C2198" i="50"/>
  <c r="C2199" i="50"/>
  <c r="C2200" i="50"/>
  <c r="C2201" i="50"/>
  <c r="C2202" i="50"/>
  <c r="C2203" i="50"/>
  <c r="C2204" i="50"/>
  <c r="C2205" i="50"/>
  <c r="C2206" i="50"/>
  <c r="C2207" i="50"/>
  <c r="C2208" i="50"/>
  <c r="C2209" i="50"/>
  <c r="C2210" i="50"/>
  <c r="C2211" i="50"/>
  <c r="C2212" i="50"/>
  <c r="C2213" i="50"/>
  <c r="C2214" i="50"/>
  <c r="C2215" i="50"/>
  <c r="C2216" i="50"/>
  <c r="C2217" i="50"/>
  <c r="C2218" i="50"/>
  <c r="C2219" i="50"/>
  <c r="C2220" i="50"/>
  <c r="C2221" i="50"/>
  <c r="C2222" i="50"/>
  <c r="C2223" i="50"/>
  <c r="C2224" i="50"/>
  <c r="C2225" i="50"/>
  <c r="C2226" i="50"/>
  <c r="C2227" i="50"/>
  <c r="C2228" i="50"/>
  <c r="C2229" i="50"/>
  <c r="C2230" i="50"/>
  <c r="C2231" i="50"/>
  <c r="C2232" i="50"/>
  <c r="C2233" i="50"/>
  <c r="C2234" i="50"/>
  <c r="C2235" i="50"/>
  <c r="C2236" i="50"/>
  <c r="C2237" i="50"/>
  <c r="C2238" i="50"/>
  <c r="C2239" i="50"/>
  <c r="C2240" i="50"/>
  <c r="C2241" i="50"/>
  <c r="C2242" i="50"/>
  <c r="C2243" i="50"/>
  <c r="C2244" i="50"/>
  <c r="C2245" i="50"/>
  <c r="C2246" i="50"/>
  <c r="C2247" i="50"/>
  <c r="C2248" i="50"/>
  <c r="C2249" i="50"/>
  <c r="C2250" i="50"/>
  <c r="C2251" i="50"/>
  <c r="C2252" i="50"/>
  <c r="C2253" i="50"/>
  <c r="C2254" i="50"/>
  <c r="C2255" i="50"/>
  <c r="C2256" i="50"/>
  <c r="C2257" i="50"/>
  <c r="C2258" i="50"/>
  <c r="C2259" i="50"/>
  <c r="C2260" i="50"/>
  <c r="C2261" i="50"/>
  <c r="C2262" i="50"/>
  <c r="C2263" i="50"/>
  <c r="C2264" i="50"/>
  <c r="C2265" i="50"/>
  <c r="C2266" i="50"/>
  <c r="C2267" i="50"/>
  <c r="C2268" i="50"/>
  <c r="C2269" i="50"/>
  <c r="C2270" i="50"/>
  <c r="C2271" i="50"/>
  <c r="C2272" i="50"/>
  <c r="C2273" i="50"/>
  <c r="C2274" i="50"/>
  <c r="C2275" i="50"/>
  <c r="C2276" i="50"/>
  <c r="C2277" i="50"/>
  <c r="C2278" i="50"/>
  <c r="C2279" i="50"/>
  <c r="C2280" i="50"/>
  <c r="C2281" i="50"/>
  <c r="C2282" i="50"/>
  <c r="C2283" i="50"/>
  <c r="C2284" i="50"/>
  <c r="C2285" i="50"/>
  <c r="C2286" i="50"/>
  <c r="C2287" i="50"/>
  <c r="C2288" i="50"/>
  <c r="C2289" i="50"/>
  <c r="C2290" i="50"/>
  <c r="C2291" i="50"/>
  <c r="C2292" i="50"/>
  <c r="C2293" i="50"/>
  <c r="C2294" i="50"/>
  <c r="C2295" i="50"/>
  <c r="C2296" i="50"/>
  <c r="C2297" i="50"/>
  <c r="C2298" i="50"/>
  <c r="C2299" i="50"/>
  <c r="C2300" i="50"/>
  <c r="C2301" i="50"/>
  <c r="C2302" i="50"/>
  <c r="C2303" i="50"/>
  <c r="C2304" i="50"/>
  <c r="C2305" i="50"/>
  <c r="C2306" i="50"/>
  <c r="C2307" i="50"/>
  <c r="C2308" i="50"/>
  <c r="C2309" i="50"/>
  <c r="C2310" i="50"/>
  <c r="C2311" i="50"/>
  <c r="C2312" i="50"/>
  <c r="C2313" i="50"/>
  <c r="C2314" i="50"/>
  <c r="C2315" i="50"/>
  <c r="C2316" i="50"/>
  <c r="C2317" i="50"/>
  <c r="C2318" i="50"/>
  <c r="C2319" i="50"/>
  <c r="C2320" i="50"/>
  <c r="C2321" i="50"/>
  <c r="C2322" i="50"/>
  <c r="C2323" i="50"/>
  <c r="C2324" i="50"/>
  <c r="C2325" i="50"/>
  <c r="C2326" i="50"/>
  <c r="C2327" i="50"/>
  <c r="C2328" i="50"/>
  <c r="C2329" i="50"/>
  <c r="C2330" i="50"/>
  <c r="C2331" i="50"/>
  <c r="C2332" i="50"/>
  <c r="C2333" i="50"/>
  <c r="C2334" i="50"/>
  <c r="C2335" i="50"/>
  <c r="C2336" i="50"/>
  <c r="C2337" i="50"/>
  <c r="C2338" i="50"/>
  <c r="C2339" i="50"/>
  <c r="C2340" i="50"/>
  <c r="C2341" i="50"/>
  <c r="C2342" i="50"/>
  <c r="C2343" i="50"/>
  <c r="C2344" i="50"/>
  <c r="C2345" i="50"/>
  <c r="C2346" i="50"/>
  <c r="C2347" i="50"/>
  <c r="C2348" i="50"/>
  <c r="C2349" i="50"/>
  <c r="C2350" i="50"/>
  <c r="C2351" i="50"/>
  <c r="C2352" i="50"/>
  <c r="C2353" i="50"/>
  <c r="C2354" i="50"/>
  <c r="C2355" i="50"/>
  <c r="C2356" i="50"/>
  <c r="C2357" i="50"/>
  <c r="C2358" i="50"/>
  <c r="C2359" i="50"/>
  <c r="C2360" i="50"/>
  <c r="C2361" i="50"/>
  <c r="C2362" i="50"/>
  <c r="C2363" i="50"/>
  <c r="C2364" i="50"/>
  <c r="C2365" i="50"/>
  <c r="C2366" i="50"/>
  <c r="C2367" i="50"/>
  <c r="C2368" i="50"/>
  <c r="C2369" i="50"/>
  <c r="C2370" i="50"/>
  <c r="C2371" i="50"/>
  <c r="C2372" i="50"/>
  <c r="C2373" i="50"/>
  <c r="C2374" i="50"/>
  <c r="C2375" i="50"/>
  <c r="C2376" i="50"/>
  <c r="C2377" i="50"/>
  <c r="C2378" i="50"/>
  <c r="C2379" i="50"/>
  <c r="C2380" i="50"/>
  <c r="C2381" i="50"/>
  <c r="C2382" i="50"/>
  <c r="C2383" i="50"/>
  <c r="C2384" i="50"/>
  <c r="C2385" i="50"/>
  <c r="C2386" i="50"/>
  <c r="C2387" i="50"/>
  <c r="C2388" i="50"/>
  <c r="C2389" i="50"/>
  <c r="C2390" i="50"/>
  <c r="C2391" i="50"/>
  <c r="C2392" i="50"/>
  <c r="C2393" i="50"/>
  <c r="C2394" i="50"/>
  <c r="C2395" i="50"/>
  <c r="C2396" i="50"/>
  <c r="C2397" i="50"/>
  <c r="C2398" i="50"/>
  <c r="C2399" i="50"/>
  <c r="C2400" i="50"/>
  <c r="C2401" i="50"/>
  <c r="C2402" i="50"/>
  <c r="C2403" i="50"/>
  <c r="C2404" i="50"/>
  <c r="C2405" i="50"/>
  <c r="C2406" i="50"/>
  <c r="C2407" i="50"/>
  <c r="C2408" i="50"/>
  <c r="C2409" i="50"/>
  <c r="C2410" i="50"/>
  <c r="C2411" i="50"/>
  <c r="C2412" i="50"/>
  <c r="C2413" i="50"/>
  <c r="C2414" i="50"/>
  <c r="C2415" i="50"/>
  <c r="C2416" i="50"/>
  <c r="C2417" i="50"/>
  <c r="C2418" i="50"/>
  <c r="C2419" i="50"/>
  <c r="C2420" i="50"/>
  <c r="C2421" i="50"/>
  <c r="C2422" i="50"/>
  <c r="C2423" i="50"/>
  <c r="C2424" i="50"/>
  <c r="C2425" i="50"/>
  <c r="C2426" i="50"/>
  <c r="C2427" i="50"/>
  <c r="C2428" i="50"/>
  <c r="C2429" i="50"/>
  <c r="C2430" i="50"/>
  <c r="C2431" i="50"/>
  <c r="C2432" i="50"/>
  <c r="C2433" i="50"/>
  <c r="C2434" i="50"/>
  <c r="C2435" i="50"/>
  <c r="C2436" i="50"/>
  <c r="C2437" i="50"/>
  <c r="C2438" i="50"/>
  <c r="C2439" i="50"/>
  <c r="C2440" i="50"/>
  <c r="C2441" i="50"/>
  <c r="C2442" i="50"/>
  <c r="C2443" i="50"/>
  <c r="C2444" i="50"/>
  <c r="C2445" i="50"/>
  <c r="C2446" i="50"/>
  <c r="C2447" i="50"/>
  <c r="C2448" i="50"/>
  <c r="C2449" i="50"/>
  <c r="C2450" i="50"/>
  <c r="C2451" i="50"/>
  <c r="C2452" i="50"/>
  <c r="C2453" i="50"/>
  <c r="C2454" i="50"/>
  <c r="C2455" i="50"/>
  <c r="C2456" i="50"/>
  <c r="C2457" i="50"/>
  <c r="C2458" i="50"/>
  <c r="C2459" i="50"/>
  <c r="C2460" i="50"/>
  <c r="C2461" i="50"/>
  <c r="C2462" i="50"/>
  <c r="C2463" i="50"/>
  <c r="C2464" i="50"/>
  <c r="C2465" i="50"/>
  <c r="C2466" i="50"/>
  <c r="C2467" i="50"/>
  <c r="C2468" i="50"/>
  <c r="C2469" i="50"/>
  <c r="C2470" i="50"/>
  <c r="C2471" i="50"/>
  <c r="C2472" i="50"/>
  <c r="C2473" i="50"/>
  <c r="C2474" i="50"/>
  <c r="C2475" i="50"/>
  <c r="C2476" i="50"/>
  <c r="C2477" i="50"/>
  <c r="C2478" i="50"/>
  <c r="C2479" i="50"/>
  <c r="C2480" i="50"/>
  <c r="C2481" i="50"/>
  <c r="C2482" i="50"/>
  <c r="C2483" i="50"/>
  <c r="C2484" i="50"/>
  <c r="C2485" i="50"/>
  <c r="C2486" i="50"/>
  <c r="C2487" i="50"/>
  <c r="C2488" i="50"/>
  <c r="C2489" i="50"/>
  <c r="C2490" i="50"/>
  <c r="C2491" i="50"/>
  <c r="C2492" i="50"/>
  <c r="C2493" i="50"/>
  <c r="C2494" i="50"/>
  <c r="C2495" i="50"/>
  <c r="C2496" i="50"/>
  <c r="C2497" i="50"/>
  <c r="C2498" i="50"/>
  <c r="C2499" i="50"/>
  <c r="C2500" i="50"/>
  <c r="C2501" i="50"/>
  <c r="C2502" i="50"/>
  <c r="C2503" i="50"/>
  <c r="C2504" i="50"/>
  <c r="C2505" i="50"/>
  <c r="C2506" i="50"/>
  <c r="C2507" i="50"/>
  <c r="C2508" i="50"/>
  <c r="C2509" i="50"/>
  <c r="C2510" i="50"/>
  <c r="C2511" i="50"/>
  <c r="C2512" i="50"/>
  <c r="C2513" i="50"/>
  <c r="C2514" i="50"/>
  <c r="C2515" i="50"/>
  <c r="C2516" i="50"/>
  <c r="C2517" i="50"/>
  <c r="C2518" i="50"/>
  <c r="C2519" i="50"/>
  <c r="C2520" i="50"/>
  <c r="C2521" i="50"/>
  <c r="C2522" i="50"/>
  <c r="C2523" i="50"/>
  <c r="C2524" i="50"/>
  <c r="C2525" i="50"/>
  <c r="C2526" i="50"/>
  <c r="C2527" i="50"/>
  <c r="C2528" i="50"/>
  <c r="C2529" i="50"/>
  <c r="C2530" i="50"/>
  <c r="C2531" i="50"/>
  <c r="C2532" i="50"/>
  <c r="C2533" i="50"/>
  <c r="C2534" i="50"/>
  <c r="C2535" i="50"/>
  <c r="C2536" i="50"/>
  <c r="C2537" i="50"/>
  <c r="C2538" i="50"/>
  <c r="C2539" i="50"/>
  <c r="C2540" i="50"/>
  <c r="C2541" i="50"/>
  <c r="C2542" i="50"/>
  <c r="C2543" i="50"/>
  <c r="C2544" i="50"/>
  <c r="C2545" i="50"/>
  <c r="C2546" i="50"/>
  <c r="C2547" i="50"/>
  <c r="C2548" i="50"/>
  <c r="C2549" i="50"/>
  <c r="C2550" i="50"/>
  <c r="C2551" i="50"/>
  <c r="C2552" i="50"/>
  <c r="C2553" i="50"/>
  <c r="C2554" i="50"/>
  <c r="C2555" i="50"/>
  <c r="C2556" i="50"/>
  <c r="C2557" i="50"/>
  <c r="C2558" i="50"/>
  <c r="C2559" i="50"/>
  <c r="C2560" i="50"/>
  <c r="C2561" i="50"/>
  <c r="C2562" i="50"/>
  <c r="C2563" i="50"/>
  <c r="C2564" i="50"/>
  <c r="C2565" i="50"/>
  <c r="C2566" i="50"/>
  <c r="C2567" i="50"/>
  <c r="C2568" i="50"/>
  <c r="C2569" i="50"/>
  <c r="C2570" i="50"/>
  <c r="C2571" i="50"/>
  <c r="C2572" i="50"/>
  <c r="C2573" i="50"/>
  <c r="C2574" i="50"/>
  <c r="C2575" i="50"/>
  <c r="C2576" i="50"/>
  <c r="C2577" i="50"/>
  <c r="C2578" i="50"/>
  <c r="C2579" i="50"/>
  <c r="C2580" i="50"/>
  <c r="C2581" i="50"/>
  <c r="C2582" i="50"/>
  <c r="C2583" i="50"/>
  <c r="C2584" i="50"/>
  <c r="C2585" i="50"/>
  <c r="C2586" i="50"/>
  <c r="C2587" i="50"/>
  <c r="C2588" i="50"/>
  <c r="C2589" i="50"/>
  <c r="C2590" i="50"/>
  <c r="C2591" i="50"/>
  <c r="C2592" i="50"/>
  <c r="C2593" i="50"/>
  <c r="C2594" i="50"/>
  <c r="C2595" i="50"/>
  <c r="C2596" i="50"/>
  <c r="C2597" i="50"/>
  <c r="C2598" i="50"/>
  <c r="C2599" i="50"/>
  <c r="C2600" i="50"/>
  <c r="C2601" i="50"/>
  <c r="C2602" i="50"/>
  <c r="C2603" i="50"/>
  <c r="C2604" i="50"/>
  <c r="C2605" i="50"/>
  <c r="C2606" i="50"/>
  <c r="C2607" i="50"/>
  <c r="C2608" i="50"/>
  <c r="C2609" i="50"/>
  <c r="C2610" i="50"/>
  <c r="C2611" i="50"/>
  <c r="C2612" i="50"/>
  <c r="C2613" i="50"/>
  <c r="C2614" i="50"/>
  <c r="C2615" i="50"/>
  <c r="C2616" i="50"/>
  <c r="C2617" i="50"/>
  <c r="C2618" i="50"/>
  <c r="C2619" i="50"/>
  <c r="C2620" i="50"/>
  <c r="C2621" i="50"/>
  <c r="C2622" i="50"/>
  <c r="C2623" i="50"/>
  <c r="C2624" i="50"/>
  <c r="C2625" i="50"/>
  <c r="C2626" i="50"/>
  <c r="C2627" i="50"/>
  <c r="C2628" i="50"/>
  <c r="C2629" i="50"/>
  <c r="C2630" i="50"/>
  <c r="C2631" i="50"/>
  <c r="C2632" i="50"/>
  <c r="C2633" i="50"/>
  <c r="C2634" i="50"/>
  <c r="C2635" i="50"/>
  <c r="C2636" i="50"/>
  <c r="C2637" i="50"/>
  <c r="C2638" i="50"/>
  <c r="C2639" i="50"/>
  <c r="C2640" i="50"/>
  <c r="C2641" i="50"/>
  <c r="C2642" i="50"/>
  <c r="C2643" i="50"/>
  <c r="C2644" i="50"/>
  <c r="C2645" i="50"/>
  <c r="C2646" i="50"/>
  <c r="C2647" i="50"/>
  <c r="C2648" i="50"/>
  <c r="C2649" i="50"/>
  <c r="C2650" i="50"/>
  <c r="C2651" i="50"/>
  <c r="C2652" i="50"/>
  <c r="C2653" i="50"/>
  <c r="C2654" i="50"/>
  <c r="C2655" i="50"/>
  <c r="C2656" i="50"/>
  <c r="C2657" i="50"/>
  <c r="C2658" i="50"/>
  <c r="C2659" i="50"/>
  <c r="C2660" i="50"/>
  <c r="C2661" i="50"/>
  <c r="C2662" i="50"/>
  <c r="C2663" i="50"/>
  <c r="C2664" i="50"/>
  <c r="C2665" i="50"/>
  <c r="C2666" i="50"/>
  <c r="C2667" i="50"/>
  <c r="C2668" i="50"/>
  <c r="C2669" i="50"/>
  <c r="C2670" i="50"/>
  <c r="C2671" i="50"/>
  <c r="C2672" i="50"/>
  <c r="C2673" i="50"/>
  <c r="C2674" i="50"/>
  <c r="C2675" i="50"/>
  <c r="C2676" i="50"/>
  <c r="C2677" i="50"/>
  <c r="A2" i="52" l="1"/>
  <c r="C2" i="50"/>
  <c r="C3" i="50"/>
  <c r="C4" i="50"/>
  <c r="C5" i="50"/>
  <c r="C6" i="50"/>
  <c r="C7" i="50"/>
  <c r="C8" i="50"/>
  <c r="C9" i="50"/>
  <c r="C10" i="50"/>
  <c r="C11" i="50"/>
  <c r="C12" i="50"/>
  <c r="C13" i="50"/>
  <c r="C14" i="50"/>
  <c r="C15" i="50"/>
  <c r="C16" i="50"/>
  <c r="C17" i="50"/>
  <c r="C18" i="50"/>
  <c r="C19" i="50"/>
  <c r="C20" i="50"/>
  <c r="C21" i="50"/>
  <c r="C22" i="50"/>
  <c r="C23" i="50"/>
  <c r="C24" i="50"/>
  <c r="C25" i="50"/>
  <c r="C26" i="50"/>
  <c r="C27" i="50"/>
  <c r="C28" i="50"/>
  <c r="C29" i="50"/>
  <c r="C30" i="50"/>
  <c r="C31" i="50"/>
  <c r="C32" i="50"/>
  <c r="C33" i="50"/>
  <c r="C34" i="50"/>
  <c r="C35" i="50"/>
  <c r="C36" i="50"/>
  <c r="C37" i="50"/>
  <c r="C38" i="50"/>
  <c r="C39" i="50"/>
  <c r="C40" i="50"/>
  <c r="C41" i="50"/>
  <c r="C42" i="50"/>
  <c r="C43" i="50"/>
  <c r="C44" i="50"/>
  <c r="C45" i="50"/>
  <c r="C46" i="50"/>
  <c r="C47" i="50"/>
  <c r="C48" i="50"/>
  <c r="C49" i="50"/>
  <c r="C50" i="50"/>
  <c r="C51" i="50"/>
  <c r="C52" i="50"/>
  <c r="C53" i="50"/>
  <c r="C54" i="50"/>
  <c r="C55" i="50"/>
  <c r="C56" i="50"/>
  <c r="C57" i="50"/>
  <c r="C58" i="50"/>
  <c r="C59" i="50"/>
  <c r="C60" i="50"/>
  <c r="C61" i="50"/>
  <c r="C62" i="50"/>
  <c r="C63" i="50"/>
  <c r="C64" i="50"/>
  <c r="C65" i="50"/>
  <c r="C66" i="50"/>
  <c r="C67" i="50"/>
  <c r="C68" i="50"/>
  <c r="C69" i="50"/>
  <c r="C70" i="50"/>
  <c r="C71" i="50"/>
  <c r="C72" i="50"/>
  <c r="C73" i="50"/>
  <c r="C74" i="50"/>
  <c r="C75" i="50"/>
  <c r="C76" i="50"/>
  <c r="C77" i="50"/>
  <c r="C78" i="50"/>
  <c r="C79" i="50"/>
  <c r="C80" i="50"/>
  <c r="C81" i="50"/>
  <c r="C82" i="50"/>
  <c r="C83" i="50"/>
  <c r="C84" i="50"/>
  <c r="C85" i="50"/>
  <c r="C86" i="50"/>
  <c r="C87" i="50"/>
  <c r="C88" i="50"/>
  <c r="C89" i="50"/>
  <c r="C90" i="50"/>
  <c r="C91" i="50"/>
  <c r="C92" i="50"/>
  <c r="C93" i="50"/>
  <c r="C94" i="50"/>
  <c r="C95" i="50"/>
  <c r="C96" i="50"/>
  <c r="C97" i="50"/>
  <c r="C98" i="50"/>
  <c r="C99" i="50"/>
  <c r="C100" i="50"/>
  <c r="C101" i="50"/>
  <c r="C102" i="50"/>
  <c r="C103" i="50"/>
  <c r="C104" i="50"/>
  <c r="C105" i="50"/>
  <c r="C106" i="50"/>
  <c r="C107" i="50"/>
  <c r="C108" i="50"/>
  <c r="C109" i="50"/>
  <c r="C110" i="50"/>
  <c r="C111" i="50"/>
  <c r="C112" i="50"/>
  <c r="C113" i="50"/>
  <c r="C114" i="50"/>
  <c r="C115" i="50"/>
  <c r="C116" i="50"/>
  <c r="C117" i="50"/>
  <c r="C118" i="50"/>
  <c r="C119" i="50"/>
  <c r="C120" i="50"/>
  <c r="C121" i="50"/>
  <c r="C122" i="50"/>
  <c r="C123" i="50"/>
  <c r="C124" i="50"/>
  <c r="C125" i="50"/>
  <c r="C126" i="50"/>
  <c r="C127" i="50"/>
  <c r="C128" i="50"/>
  <c r="C129" i="50"/>
  <c r="C130" i="50"/>
  <c r="C131" i="50"/>
  <c r="C132" i="50"/>
  <c r="C133" i="50"/>
  <c r="C134" i="50"/>
  <c r="C135" i="50"/>
  <c r="C136" i="50"/>
  <c r="C137" i="50"/>
  <c r="C138" i="50"/>
  <c r="C139" i="50"/>
  <c r="C140" i="50"/>
  <c r="C141" i="50"/>
  <c r="C142" i="50"/>
  <c r="C143" i="50"/>
  <c r="C144" i="50"/>
  <c r="C145" i="50"/>
  <c r="C146" i="50"/>
  <c r="C147" i="50"/>
  <c r="C148" i="50"/>
  <c r="C149" i="50"/>
  <c r="C150" i="50"/>
  <c r="C151" i="50"/>
  <c r="C152" i="50"/>
  <c r="C153" i="50"/>
  <c r="C154" i="50"/>
  <c r="C155" i="50"/>
  <c r="C156" i="50"/>
  <c r="C157" i="50"/>
  <c r="C158" i="50"/>
  <c r="C159" i="50"/>
  <c r="C160" i="50"/>
  <c r="C161" i="50"/>
  <c r="C162" i="50"/>
  <c r="C163" i="50"/>
  <c r="C164" i="50"/>
  <c r="C165" i="50"/>
  <c r="C166" i="50"/>
  <c r="C167" i="50"/>
  <c r="C168" i="50"/>
  <c r="C169" i="50"/>
  <c r="C170" i="50"/>
  <c r="C171" i="50"/>
  <c r="C172" i="50"/>
  <c r="C173" i="50"/>
  <c r="C174" i="50"/>
  <c r="C175" i="50"/>
  <c r="C176" i="50"/>
  <c r="C177" i="50"/>
  <c r="C178" i="50"/>
  <c r="C179" i="50"/>
  <c r="C180" i="50"/>
  <c r="C181" i="50"/>
  <c r="C182" i="50"/>
  <c r="C183" i="50"/>
  <c r="C184" i="50"/>
  <c r="C185" i="50"/>
  <c r="C186" i="50"/>
  <c r="C187" i="50"/>
  <c r="C188" i="50"/>
  <c r="C189" i="50"/>
  <c r="C190" i="50"/>
  <c r="C191" i="50"/>
  <c r="C192" i="50"/>
  <c r="C193" i="50"/>
  <c r="C194" i="50"/>
  <c r="C195" i="50"/>
  <c r="C196" i="50"/>
  <c r="C197" i="50"/>
  <c r="C198" i="50"/>
  <c r="C199" i="50"/>
  <c r="C200" i="50"/>
  <c r="C201" i="50"/>
  <c r="C202" i="50"/>
  <c r="C203" i="50"/>
  <c r="C204" i="50"/>
  <c r="C205" i="50"/>
  <c r="C206" i="50"/>
  <c r="C207" i="50"/>
  <c r="C208" i="50"/>
  <c r="C209" i="50"/>
  <c r="C210" i="50"/>
  <c r="C211" i="50"/>
  <c r="C212" i="50"/>
  <c r="C213" i="50"/>
  <c r="C214" i="50"/>
  <c r="C215" i="50"/>
  <c r="C216" i="50"/>
  <c r="C217" i="50"/>
  <c r="C218" i="50"/>
  <c r="C219" i="50"/>
  <c r="C220" i="50"/>
  <c r="C221" i="50"/>
  <c r="C222" i="50"/>
  <c r="C223" i="50"/>
  <c r="C224" i="50"/>
  <c r="C225" i="50"/>
  <c r="C226" i="50"/>
  <c r="C227" i="50"/>
  <c r="C228" i="50"/>
  <c r="C229" i="50"/>
  <c r="C230" i="50"/>
  <c r="C231" i="50"/>
  <c r="C232" i="50"/>
  <c r="C233" i="50"/>
  <c r="C234" i="50"/>
  <c r="C235" i="50"/>
  <c r="C236" i="50"/>
  <c r="C237" i="50"/>
  <c r="C238" i="50"/>
  <c r="C239" i="50"/>
  <c r="C240" i="50"/>
  <c r="C241" i="50"/>
  <c r="C242" i="50"/>
  <c r="C243" i="50"/>
  <c r="C244" i="50"/>
  <c r="C245" i="50"/>
  <c r="C246" i="50"/>
  <c r="C247" i="50"/>
  <c r="C248" i="50"/>
  <c r="C249" i="50"/>
  <c r="C250" i="50"/>
  <c r="C251" i="50"/>
  <c r="C252" i="50"/>
  <c r="C253" i="50"/>
  <c r="C254" i="50"/>
  <c r="C255" i="50"/>
  <c r="C256" i="50"/>
  <c r="C257" i="50"/>
  <c r="C258" i="50"/>
  <c r="C259" i="50"/>
  <c r="C260" i="50"/>
  <c r="C261" i="50"/>
  <c r="C262" i="50"/>
  <c r="C263" i="50"/>
  <c r="C264" i="50"/>
  <c r="C265" i="50"/>
  <c r="C266" i="50"/>
  <c r="C267" i="50"/>
  <c r="C268" i="50"/>
  <c r="C269" i="50"/>
  <c r="C270" i="50"/>
  <c r="C271" i="50"/>
  <c r="C272" i="50"/>
  <c r="C273" i="50"/>
  <c r="C274" i="50"/>
  <c r="C275" i="50"/>
  <c r="C276" i="50"/>
  <c r="C277" i="50"/>
  <c r="C278" i="50"/>
  <c r="C279" i="50"/>
  <c r="C280" i="50"/>
  <c r="C281" i="50"/>
  <c r="C282" i="50"/>
  <c r="C283" i="50"/>
  <c r="C284" i="50"/>
  <c r="C285" i="50"/>
  <c r="C286" i="50"/>
  <c r="C287" i="50"/>
  <c r="C288" i="50"/>
  <c r="C289" i="50"/>
  <c r="C290" i="50"/>
  <c r="C291" i="50"/>
  <c r="C292" i="50"/>
  <c r="C293" i="50"/>
  <c r="C294" i="50"/>
  <c r="C295" i="50"/>
  <c r="C296" i="50"/>
  <c r="C297" i="50"/>
  <c r="C298" i="50"/>
  <c r="C299" i="50"/>
  <c r="C300" i="50"/>
  <c r="C301" i="50"/>
  <c r="C302" i="50"/>
  <c r="C303" i="50"/>
  <c r="C304" i="50"/>
  <c r="C305" i="50"/>
  <c r="C306" i="50"/>
  <c r="C307" i="50"/>
  <c r="C308" i="50"/>
  <c r="C309" i="50"/>
  <c r="C310" i="50"/>
  <c r="C311" i="50"/>
  <c r="C312" i="50"/>
  <c r="C313" i="50"/>
  <c r="C314" i="50"/>
  <c r="C315" i="50"/>
  <c r="C316" i="50"/>
  <c r="C317" i="50"/>
  <c r="C318" i="50"/>
  <c r="C319" i="50"/>
  <c r="C320" i="50"/>
  <c r="C321" i="50"/>
  <c r="C322" i="50"/>
  <c r="C323" i="50"/>
  <c r="C324" i="50"/>
  <c r="C325" i="50"/>
  <c r="C326" i="50"/>
  <c r="C327" i="50"/>
  <c r="C328" i="50"/>
  <c r="C329" i="50"/>
  <c r="C330" i="50"/>
  <c r="C331" i="50"/>
  <c r="C332" i="50"/>
  <c r="CN3" i="51" l="1"/>
  <c r="CP3" i="51" s="1"/>
  <c r="BX3" i="51"/>
  <c r="BV3" i="51"/>
  <c r="BM3" i="51"/>
  <c r="BL3" i="51"/>
  <c r="BK3" i="51"/>
  <c r="BN3" i="51" s="1"/>
  <c r="BJ3" i="51"/>
  <c r="A3" i="51"/>
  <c r="CJ3" i="51" s="1"/>
  <c r="DF2" i="51"/>
  <c r="CN2" i="51"/>
  <c r="CO2" i="51" s="1"/>
  <c r="BX2" i="51"/>
  <c r="BV2" i="51"/>
  <c r="BO2" i="51"/>
  <c r="BO3" i="51" s="1"/>
  <c r="BM2" i="51"/>
  <c r="BL2" i="51"/>
  <c r="BK2" i="51"/>
  <c r="BN2" i="51" s="1"/>
  <c r="BJ2" i="51"/>
  <c r="A2" i="51"/>
  <c r="CJ2" i="51" s="1"/>
  <c r="DG1" i="51"/>
  <c r="DF1" i="51"/>
  <c r="DE1" i="51" l="1"/>
  <c r="CG2" i="51"/>
  <c r="BR2" i="51" s="1"/>
  <c r="CI2" i="51" s="1"/>
  <c r="DH1" i="51"/>
  <c r="CD3" i="51"/>
  <c r="CB3" i="51"/>
  <c r="CD2" i="51"/>
  <c r="CB2" i="51"/>
  <c r="CO3" i="51"/>
  <c r="CP2" i="51"/>
  <c r="A3" i="40"/>
  <c r="A4" i="40"/>
  <c r="DK4" i="40" s="1"/>
  <c r="CX4" i="40"/>
  <c r="CZ4" i="40"/>
  <c r="CH2" i="51" l="1"/>
  <c r="CH3" i="51" s="1"/>
  <c r="BR3" i="51" s="1"/>
  <c r="CI3" i="51" s="1"/>
  <c r="BQ2" i="51"/>
  <c r="BP2" i="51"/>
  <c r="CV4" i="40"/>
  <c r="DC4" i="40" s="1"/>
  <c r="CT4" i="40" s="1"/>
  <c r="DJ4" i="40"/>
  <c r="DH4" i="40"/>
  <c r="DE4" i="40"/>
  <c r="DB4" i="40"/>
  <c r="CS4" i="40"/>
  <c r="CY4" i="40"/>
  <c r="CW4" i="40"/>
  <c r="BU2" i="51" l="1"/>
  <c r="BQ3" i="51"/>
  <c r="BP3" i="51"/>
  <c r="BX2" i="9"/>
  <c r="BX3" i="9"/>
  <c r="BU3" i="51" l="1"/>
  <c r="CC3" i="51" s="1"/>
  <c r="CC2" i="51"/>
  <c r="CQ2" i="51"/>
  <c r="CR2" i="51" s="1"/>
  <c r="CN2" i="9"/>
  <c r="CN3" i="9"/>
  <c r="CQ3" i="51" l="1"/>
  <c r="CR3" i="51" s="1"/>
  <c r="BM2" i="9"/>
  <c r="BM3" i="9"/>
  <c r="BV2" i="9" l="1"/>
  <c r="BV3" i="9"/>
  <c r="Q1" i="46" l="1"/>
  <c r="Q2" i="46" l="1"/>
  <c r="BO2" i="9" l="1"/>
  <c r="BO3" i="9"/>
  <c r="CO3" i="9" l="1"/>
  <c r="CP3" i="9"/>
  <c r="CP2" i="9"/>
  <c r="CO2" i="9"/>
  <c r="CW1" i="9"/>
  <c r="BJ2" i="9" l="1"/>
  <c r="BJ3" i="9"/>
  <c r="CX2" i="40" l="1"/>
  <c r="CX3" i="40"/>
  <c r="CZ2" i="40"/>
  <c r="CZ3" i="40"/>
  <c r="DA2" i="40"/>
  <c r="DA3" i="40"/>
  <c r="A2" i="40" l="1"/>
  <c r="BL2" i="9" l="1"/>
  <c r="BL3" i="9"/>
  <c r="A2" i="9" l="1"/>
  <c r="A3" i="9"/>
  <c r="CJ3" i="9" s="1"/>
  <c r="CB3" i="9" s="1"/>
  <c r="DH3" i="40" l="1"/>
  <c r="CY3" i="40"/>
  <c r="CS3" i="40"/>
  <c r="DH2" i="40"/>
  <c r="CS2" i="40"/>
  <c r="CY2" i="40"/>
  <c r="CJ2" i="9"/>
  <c r="CB2" i="9" s="1"/>
  <c r="BK2" i="9" l="1"/>
  <c r="BK3" i="9"/>
  <c r="BN3" i="9" s="1"/>
  <c r="BN2" i="9" l="1"/>
  <c r="DK3" i="40"/>
  <c r="DK2" i="40"/>
  <c r="A1" i="35"/>
  <c r="DJ3" i="40" l="1"/>
  <c r="DJ2" i="40"/>
  <c r="A2" i="39"/>
  <c r="C12" i="10" l="1"/>
  <c r="A2" i="35"/>
  <c r="U13" i="46" l="1"/>
  <c r="U14" i="46" s="1"/>
  <c r="DP1" i="40" l="1"/>
  <c r="J2" i="46" l="1"/>
  <c r="J3" i="46"/>
  <c r="CK2" i="51" l="1"/>
  <c r="CE2" i="51" s="1"/>
  <c r="CF2" i="51" s="1"/>
  <c r="BZ2" i="51" s="1"/>
  <c r="CL2" i="51"/>
  <c r="CM3" i="51"/>
  <c r="CK3" i="51"/>
  <c r="CE3" i="51" s="1"/>
  <c r="CF3" i="51" s="1"/>
  <c r="CM2" i="51"/>
  <c r="CL3" i="51"/>
  <c r="CA2" i="51"/>
  <c r="CA3" i="51"/>
  <c r="CM2" i="9"/>
  <c r="CM3" i="9"/>
  <c r="CL2" i="9"/>
  <c r="CL3" i="9"/>
  <c r="CK2" i="9"/>
  <c r="CK3" i="9"/>
  <c r="H2" i="46"/>
  <c r="H3" i="46" s="1"/>
  <c r="BZ3" i="51" l="1"/>
  <c r="I2" i="46"/>
  <c r="I3" i="46" s="1"/>
  <c r="X1" i="46" l="1"/>
  <c r="X2" i="46" s="1"/>
  <c r="X3" i="46" s="1"/>
  <c r="X4" i="46" s="1"/>
  <c r="X5" i="46" s="1"/>
  <c r="X6" i="46" s="1"/>
  <c r="X7" i="46" s="1"/>
  <c r="X8" i="46" s="1"/>
  <c r="X9" i="46" s="1"/>
  <c r="X10" i="46" s="1"/>
  <c r="X11" i="46" s="1"/>
  <c r="X12" i="46" s="1"/>
  <c r="X13" i="46" s="1"/>
  <c r="X14" i="46" s="1"/>
  <c r="X15" i="46" s="1"/>
  <c r="S1" i="46"/>
  <c r="CV2" i="9" l="1"/>
  <c r="CV1" i="9"/>
  <c r="CU1" i="9" l="1"/>
  <c r="CX1" i="9"/>
  <c r="Y1" i="46"/>
  <c r="Q3" i="46"/>
  <c r="Q4" i="46" s="1"/>
  <c r="Q5" i="46" s="1"/>
  <c r="Q6" i="46" s="1"/>
  <c r="Q7" i="46" s="1"/>
  <c r="Q8" i="46" s="1"/>
  <c r="Q9" i="46" s="1"/>
  <c r="Q10" i="46" s="1"/>
  <c r="Q11" i="46" s="1"/>
  <c r="Q12" i="46" s="1"/>
  <c r="Q13" i="46" s="1"/>
  <c r="Q14" i="46" s="1"/>
  <c r="Q15" i="46" s="1"/>
  <c r="Y2" i="46" l="1"/>
  <c r="L2" i="46"/>
  <c r="L3" i="46"/>
  <c r="K2" i="46"/>
  <c r="K3" i="46"/>
  <c r="N3" i="46" l="1"/>
  <c r="N2" i="46"/>
  <c r="Y3" i="46"/>
  <c r="Y4" i="46"/>
  <c r="M2" i="46"/>
  <c r="Y5" i="46" l="1"/>
  <c r="Y6" i="46" l="1"/>
  <c r="Y7" i="46" l="1"/>
  <c r="Y8" i="46" l="1"/>
  <c r="A3" i="35"/>
  <c r="A2" i="38"/>
  <c r="A2" i="36"/>
  <c r="K3" i="39"/>
  <c r="B6" i="35"/>
  <c r="C6" i="35" s="1"/>
  <c r="D6" i="35" s="1"/>
  <c r="E6" i="35" s="1"/>
  <c r="F6" i="35" s="1"/>
  <c r="G6" i="35" s="1"/>
  <c r="H6" i="35" s="1"/>
  <c r="I6" i="35" s="1"/>
  <c r="J6" i="35" s="1"/>
  <c r="K6" i="35" s="1"/>
  <c r="L6" i="35" s="1"/>
  <c r="M6" i="35" s="1"/>
  <c r="N6" i="35" s="1"/>
  <c r="Y9" i="46" l="1"/>
  <c r="N5" i="35"/>
  <c r="O6" i="35"/>
  <c r="P6" i="35" s="1"/>
  <c r="Q6" i="35" s="1"/>
  <c r="R6" i="35" s="1"/>
  <c r="S6" i="35" s="1"/>
  <c r="T6" i="35" s="1"/>
  <c r="U6" i="35" s="1"/>
  <c r="V6" i="35" s="1"/>
  <c r="W6" i="35" s="1"/>
  <c r="X6" i="35" s="1"/>
  <c r="Y6" i="35" s="1"/>
  <c r="Z6" i="35" s="1"/>
  <c r="AA6" i="35" s="1"/>
  <c r="AB6" i="35" s="1"/>
  <c r="AC6" i="35" s="1"/>
  <c r="AD6" i="35" s="1"/>
  <c r="AE6" i="35" s="1"/>
  <c r="AF6" i="35" s="1"/>
  <c r="AG6" i="35" s="1"/>
  <c r="AH6" i="35" s="1"/>
  <c r="AI6" i="35" s="1"/>
  <c r="AJ6" i="35" s="1"/>
  <c r="AK6" i="35" s="1"/>
  <c r="AL6" i="35" s="1"/>
  <c r="Y10" i="46" l="1"/>
  <c r="AL5" i="35"/>
  <c r="AM6" i="35"/>
  <c r="AN6" i="35" s="1"/>
  <c r="AO6" i="35" s="1"/>
  <c r="AP6" i="35" s="1"/>
  <c r="AQ6" i="35" s="1"/>
  <c r="AR6" i="35" s="1"/>
  <c r="AS6" i="35" s="1"/>
  <c r="AT6" i="35" s="1"/>
  <c r="AU6" i="35" s="1"/>
  <c r="AV6" i="35" s="1"/>
  <c r="AW6" i="35" s="1"/>
  <c r="AX6" i="35" s="1"/>
  <c r="AY6" i="35" s="1"/>
  <c r="AZ6" i="35" s="1"/>
  <c r="BA6" i="35" s="1"/>
  <c r="BB6" i="35" s="1"/>
  <c r="BC6" i="35" s="1"/>
  <c r="BD6" i="35" s="1"/>
  <c r="BE6" i="35" s="1"/>
  <c r="BF6" i="35" s="1"/>
  <c r="BG6" i="35" s="1"/>
  <c r="BH6" i="35" s="1"/>
  <c r="BI6" i="35" s="1"/>
  <c r="BJ6" i="35" s="1"/>
  <c r="Y11" i="46" l="1"/>
  <c r="BK6" i="35"/>
  <c r="BL6" i="35" s="1"/>
  <c r="BM6" i="35" s="1"/>
  <c r="BN6" i="35" s="1"/>
  <c r="BO6" i="35" s="1"/>
  <c r="BP6" i="35" s="1"/>
  <c r="BQ6" i="35" s="1"/>
  <c r="BR6" i="35" s="1"/>
  <c r="BS6" i="35" s="1"/>
  <c r="BT6" i="35" s="1"/>
  <c r="BU6" i="35" s="1"/>
  <c r="BV6" i="35" s="1"/>
  <c r="BW6" i="35" s="1"/>
  <c r="BX6" i="35" s="1"/>
  <c r="BY6" i="35" s="1"/>
  <c r="BZ6" i="35" s="1"/>
  <c r="CA6" i="35" s="1"/>
  <c r="CB6" i="35" s="1"/>
  <c r="CC6" i="35" s="1"/>
  <c r="CD6" i="35" s="1"/>
  <c r="CE6" i="35" s="1"/>
  <c r="CF6" i="35" s="1"/>
  <c r="CG6" i="35" s="1"/>
  <c r="CH6" i="35" s="1"/>
  <c r="BJ5" i="35"/>
  <c r="B2" i="34"/>
  <c r="Y12" i="46" l="1"/>
  <c r="CH5" i="35"/>
  <c r="CI6" i="35"/>
  <c r="CJ6" i="35" s="1"/>
  <c r="CK6" i="35" s="1"/>
  <c r="CL6" i="35" s="1"/>
  <c r="CM6" i="35" s="1"/>
  <c r="CN6" i="35" s="1"/>
  <c r="CO6" i="35" s="1"/>
  <c r="CP6" i="35" s="1"/>
  <c r="CQ6" i="35" s="1"/>
  <c r="CR6" i="35" s="1"/>
  <c r="CS6" i="35" s="1"/>
  <c r="CT6" i="35" s="1"/>
  <c r="CU6" i="35" s="1"/>
  <c r="CV6" i="35" s="1"/>
  <c r="CW6" i="35" s="1"/>
  <c r="CX6" i="35" s="1"/>
  <c r="CY6" i="35" s="1"/>
  <c r="CZ6" i="35" s="1"/>
  <c r="DA6" i="35" s="1"/>
  <c r="DB6" i="35" s="1"/>
  <c r="DC6" i="35" s="1"/>
  <c r="DD6" i="35" s="1"/>
  <c r="DE6" i="35" s="1"/>
  <c r="DF6" i="35" s="1"/>
  <c r="DG6" i="35" s="1"/>
  <c r="DH6" i="35" s="1"/>
  <c r="DI6" i="35" s="1"/>
  <c r="Y13" i="46" l="1"/>
  <c r="DI5" i="35"/>
  <c r="DJ6" i="35"/>
  <c r="DK6" i="35" s="1"/>
  <c r="DL6" i="35" s="1"/>
  <c r="DM6" i="35" s="1"/>
  <c r="DN6" i="35" s="1"/>
  <c r="DO6" i="35" s="1"/>
  <c r="DP6" i="35" s="1"/>
  <c r="DQ6" i="35" s="1"/>
  <c r="DR6" i="35" s="1"/>
  <c r="DS6" i="35" s="1"/>
  <c r="DT6" i="35" s="1"/>
  <c r="Y14" i="46" l="1"/>
  <c r="CD3" i="9"/>
  <c r="CD2" i="9"/>
  <c r="J8" i="10"/>
  <c r="J7" i="10"/>
  <c r="J6" i="10"/>
  <c r="C7" i="10" s="1"/>
  <c r="J5" i="10"/>
  <c r="C6" i="10"/>
  <c r="C5" i="10"/>
  <c r="C8" i="10"/>
  <c r="C9" i="10"/>
  <c r="Y15" i="46" l="1"/>
  <c r="C10" i="10" l="1"/>
  <c r="M3" i="46" l="1"/>
  <c r="U10" i="46" l="1"/>
  <c r="CE3" i="9"/>
  <c r="CG2" i="9"/>
  <c r="BR2" i="9" s="1"/>
  <c r="BQ2" i="9" l="1"/>
  <c r="CV3" i="40"/>
  <c r="CI2" i="9"/>
  <c r="BP2" i="9"/>
  <c r="BU2" i="9" s="1"/>
  <c r="CA2" i="9" s="1"/>
  <c r="CH2" i="9"/>
  <c r="CH3" i="9" s="1"/>
  <c r="BR3" i="9" s="1"/>
  <c r="BP3" i="9" s="1"/>
  <c r="DC3" i="40" l="1"/>
  <c r="CT3" i="40" s="1"/>
  <c r="DF4" i="40"/>
  <c r="CU4" i="40" s="1"/>
  <c r="DG4" i="40" s="1"/>
  <c r="DI4" i="40" s="1"/>
  <c r="CI3" i="9"/>
  <c r="BQ3" i="9"/>
  <c r="BU3" i="9" s="1"/>
  <c r="CC2" i="9"/>
  <c r="CE2" i="9" s="1"/>
  <c r="CF2" i="9" s="1"/>
  <c r="BZ2" i="9" s="1"/>
  <c r="DF2" i="40"/>
  <c r="DC2" i="40" s="1"/>
  <c r="DF3" i="40"/>
  <c r="DB3" i="40"/>
  <c r="CQ2" i="9"/>
  <c r="CR2" i="9" s="1"/>
  <c r="DB2" i="40"/>
  <c r="DE3" i="40"/>
  <c r="DE2" i="40"/>
  <c r="DD3" i="40" l="1"/>
  <c r="DD4" i="40" s="1"/>
  <c r="CA3" i="9"/>
  <c r="CC3" i="9"/>
  <c r="CF3" i="9" s="1"/>
  <c r="DD2" i="40"/>
  <c r="U3" i="46"/>
  <c r="CU3" i="40"/>
  <c r="DG3" i="40"/>
  <c r="DI3" i="40" s="1"/>
  <c r="CQ3" i="9"/>
  <c r="CR3" i="9" s="1"/>
  <c r="CW2" i="40"/>
  <c r="U4" i="46" s="1"/>
  <c r="CW3" i="40"/>
  <c r="CT2" i="40" l="1"/>
  <c r="DG2" i="40" s="1"/>
  <c r="U5" i="46"/>
  <c r="U15" i="46" s="1"/>
  <c r="BZ3" i="9"/>
  <c r="CU2" i="40" l="1"/>
  <c r="U6" i="46"/>
  <c r="U7" i="46"/>
  <c r="U11" i="46" s="1"/>
  <c r="DI2" i="40"/>
  <c r="N2" i="35" l="1"/>
  <c r="U17" i="46"/>
  <c r="U18" i="4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Bjørn Tømmerbakk</author>
  </authors>
  <commentList>
    <comment ref="U10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Bjørn Tømmerbakk:</t>
        </r>
        <r>
          <rPr>
            <sz val="8"/>
            <color indexed="81"/>
            <rFont val="Tahoma"/>
            <family val="2"/>
          </rPr>
          <t xml:space="preserve">
Total capacity in machine hours planned.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<sst xmlns="http://schemas.openxmlformats.org/spreadsheetml/2006/main" count="1565" uniqueCount="572">
  <si>
    <t>Material Name</t>
  </si>
  <si>
    <t>ReportName</t>
  </si>
  <si>
    <t>ReportID</t>
  </si>
  <si>
    <t>Plnt</t>
  </si>
  <si>
    <t>Material</t>
  </si>
  <si>
    <t>BUn</t>
  </si>
  <si>
    <t>Material Description</t>
  </si>
  <si>
    <t>Total Stock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</si>
  <si>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</si>
  <si>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</si>
  <si>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</si>
  <si>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</si>
  <si>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</si>
  <si>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</si>
  <si>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</si>
  <si>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</si>
  <si>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</si>
  <si>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</si>
  <si>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</si>
  <si>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</si>
  <si>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</si>
  <si>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</si>
  <si>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</si>
  <si>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</si>
  <si>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</si>
  <si>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Plant</t>
  </si>
  <si>
    <t>QuantityUnit</t>
  </si>
  <si>
    <t>SalesValue</t>
  </si>
  <si>
    <t>CustomerHierarchy</t>
  </si>
  <si>
    <t>ProductHierarchy</t>
  </si>
  <si>
    <t>MaterialPrice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</si>
  <si>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</si>
  <si>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</si>
  <si>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</si>
  <si>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</si>
  <si>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</si>
  <si>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</si>
  <si>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</si>
  <si>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</si>
  <si>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</si>
  <si>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</si>
  <si>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</si>
  <si>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</si>
  <si>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</si>
  <si>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Valid to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</si>
  <si>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</si>
  <si>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</si>
  <si>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</si>
  <si>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</si>
  <si>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</si>
  <si>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</si>
  <si>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</si>
  <si>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</si>
  <si>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</si>
  <si>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</si>
  <si>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</si>
  <si>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</si>
  <si>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</si>
  <si>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</si>
  <si>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</si>
  <si>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</si>
  <si>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</si>
  <si>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</si>
  <si>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</si>
  <si>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</si>
  <si>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</si>
  <si>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</si>
  <si>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</si>
  <si>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</si>
  <si>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</si>
  <si>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</si>
  <si>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</si>
  <si>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ID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</si>
  <si>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</si>
  <si>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</si>
  <si>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</si>
  <si>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</si>
  <si>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</si>
  <si>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</si>
  <si>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</si>
  <si>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</si>
  <si>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</si>
  <si>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</si>
  <si>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</si>
  <si>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</si>
  <si>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</si>
  <si>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</si>
  <si>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</si>
  <si>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</si>
  <si>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</si>
  <si>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</si>
  <si>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</si>
  <si>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</si>
  <si>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</si>
  <si>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</si>
  <si>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</si>
  <si>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</si>
  <si>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</si>
  <si>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</si>
  <si>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</si>
  <si>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</si>
  <si>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</si>
  <si>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</si>
  <si>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</si>
  <si>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</si>
  <si>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</si>
  <si>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</si>
  <si>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</si>
  <si>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</si>
  <si>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NOLA</t>
  </si>
  <si>
    <t>NOAR</t>
  </si>
  <si>
    <t>- Selects all released (not finished) Process Orders for the next 3 days</t>
  </si>
  <si>
    <t>- Create or read actual production plan for selected production resources</t>
  </si>
  <si>
    <t>- Process orders are presented as graphics, with key information</t>
  </si>
  <si>
    <t>- Display present time as a time line, with deviations in hh:mm from plan</t>
  </si>
  <si>
    <t>- Time deviation is related to active process order (red colored orders)</t>
  </si>
  <si>
    <t>- Finished orders are grey, active order is red and coming orders are brown</t>
  </si>
  <si>
    <t>- A single red Plan Line mark the plan creation time</t>
  </si>
  <si>
    <t>- Only responsible planning person is alowed to create new plan</t>
  </si>
  <si>
    <t>Order</t>
  </si>
  <si>
    <t>Actual start date</t>
  </si>
  <si>
    <t>Total order quantity</t>
  </si>
  <si>
    <t>Total Scrap Quantity in the Or</t>
  </si>
  <si>
    <t>ActlStart</t>
  </si>
  <si>
    <t>Ph</t>
  </si>
  <si>
    <t>Work ctr</t>
  </si>
  <si>
    <t>Order priority</t>
  </si>
  <si>
    <t>Ctrl</t>
  </si>
  <si>
    <t>UoM</t>
  </si>
  <si>
    <t>Base Quantity</t>
  </si>
  <si>
    <t>Operation Qty</t>
  </si>
  <si>
    <t>Scrap quantity</t>
  </si>
  <si>
    <t>Confirmed yield</t>
  </si>
  <si>
    <t>Confirmed scrap</t>
  </si>
  <si>
    <t>Counter</t>
  </si>
  <si>
    <t>Act. Start</t>
  </si>
  <si>
    <t>Act.start</t>
  </si>
  <si>
    <t>Act.finish</t>
  </si>
  <si>
    <t>Setup time</t>
  </si>
  <si>
    <t>Setup unit</t>
  </si>
  <si>
    <t>Processing time</t>
  </si>
  <si>
    <t>Un.</t>
  </si>
  <si>
    <t>Earl.start date</t>
  </si>
  <si>
    <t>Earl.start time</t>
  </si>
  <si>
    <t>Lat.start date</t>
  </si>
  <si>
    <t>Lat. start time</t>
  </si>
  <si>
    <t>Scheduled start</t>
  </si>
  <si>
    <t>Scheduled finish</t>
  </si>
  <si>
    <t>Finish tme</t>
  </si>
  <si>
    <t>SchedStart</t>
  </si>
  <si>
    <t>Quantity of goods received</t>
  </si>
  <si>
    <t>OUM</t>
  </si>
  <si>
    <t>Short description</t>
  </si>
  <si>
    <t>Actual Order Finish Date</t>
  </si>
  <si>
    <t>Confirmed qty</t>
  </si>
  <si>
    <t>Actual finish date</t>
  </si>
  <si>
    <t>DCI</t>
  </si>
  <si>
    <t>Reqmt Qty</t>
  </si>
  <si>
    <t>Qty Withdrawn</t>
  </si>
  <si>
    <t>Rem_Qty</t>
  </si>
  <si>
    <t>RT_Total</t>
  </si>
  <si>
    <t>Setup</t>
  </si>
  <si>
    <t>Rem_Time</t>
  </si>
  <si>
    <t>Sequence</t>
  </si>
  <si>
    <t>Start_DateH</t>
  </si>
  <si>
    <t>Start_TimeH</t>
  </si>
  <si>
    <t>Active</t>
  </si>
  <si>
    <t>End_Date</t>
  </si>
  <si>
    <t>End_Time</t>
  </si>
  <si>
    <t>Start</t>
  </si>
  <si>
    <t>Stop</t>
  </si>
  <si>
    <t>StartSec</t>
  </si>
  <si>
    <t>Work Center</t>
  </si>
  <si>
    <t>StopSec</t>
  </si>
  <si>
    <t>Acc_Cap</t>
  </si>
  <si>
    <t>StartCap</t>
  </si>
  <si>
    <t>Acc_Cap2</t>
  </si>
  <si>
    <t>Startverdi</t>
  </si>
  <si>
    <t>Prodverdi</t>
  </si>
  <si>
    <t>Nå_verdi</t>
  </si>
  <si>
    <t>Totverdi</t>
  </si>
  <si>
    <t>Akt_Help</t>
  </si>
  <si>
    <t>Acc_Akt</t>
  </si>
  <si>
    <t>ActStarted</t>
  </si>
  <si>
    <t>Locked</t>
  </si>
  <si>
    <t>Cap_ToDay</t>
  </si>
  <si>
    <t>Left_Now</t>
  </si>
  <si>
    <t>CapStart</t>
  </si>
  <si>
    <t>Mix_Status</t>
  </si>
  <si>
    <t>Help2</t>
  </si>
  <si>
    <t>Help3</t>
  </si>
  <si>
    <t>Start_Date</t>
  </si>
  <si>
    <t>Start_Time</t>
  </si>
  <si>
    <t>Purpose:</t>
  </si>
  <si>
    <t>Display current production progress related to the fixed daily production plan.</t>
  </si>
  <si>
    <t>Data Sources:</t>
  </si>
  <si>
    <t>SAP Query "CAP_PLAN" in Query user Group ZMM,  Tcode Y119. Tables included in the query:</t>
  </si>
  <si>
    <t>SAP Query "CAP_WC" in Query user Group ZMM,  Tcode Y120. Tables included in the query:</t>
  </si>
  <si>
    <t>Dependencies</t>
  </si>
  <si>
    <t>This report reads active process orders from SAP, their operations and phases. Sorting order:</t>
  </si>
  <si>
    <t>- latest actual start time</t>
  </si>
  <si>
    <t>- earliest scheduled start time</t>
  </si>
  <si>
    <t>Finished orders are grey, active order is red and coming orders are brown. An order is defined as active if it</t>
  </si>
  <si>
    <t>is the next order in the sequence and it either have an actual start time - or quantity of goods received are &gt; 0.</t>
  </si>
  <si>
    <t xml:space="preserve">To get a realistic plan the process orders in SAP has to have the right scheduling order. If this isn't done, actual </t>
  </si>
  <si>
    <t>production order will differ from the plan - and we'll get huge deviations.</t>
  </si>
  <si>
    <t>The report also read the capcity tables in SAP to be able to calculate the end and start times of the process orders.</t>
  </si>
  <si>
    <t>Any missing or incorrect capcity data will also ruin the plan quality.</t>
  </si>
  <si>
    <t>Calculations:</t>
  </si>
  <si>
    <t>Capacity requirements and setup times are read from SAP - in addition to confirmed order quantities. Based on theese</t>
  </si>
  <si>
    <t xml:space="preserve">informations planned order finish time is calculated. Then the next process order (if any released) will have the same </t>
  </si>
  <si>
    <t>time as starting point - starting with the scheduled setup time - unless the order is locked (se below).</t>
  </si>
  <si>
    <t xml:space="preserve">Plan deviations are calculated as follows: </t>
  </si>
  <si>
    <t>-</t>
  </si>
  <si>
    <t>Each time you refreshes with the F8-key, a new ending time is calculated for all the process orders. Then this new</t>
  </si>
  <si>
    <t>ending time is compared with the planned ending time - and the deviation is logged.</t>
  </si>
  <si>
    <t>All deviations are summarized, and held up against the total planned running time for the machines according to the</t>
  </si>
  <si>
    <t>individual shift calendars in SAP.</t>
  </si>
  <si>
    <t>Locking</t>
  </si>
  <si>
    <t>If you want an order to start at scheduled start time stated in SAP - you can use the locking function in the</t>
  </si>
  <si>
    <t>Sequence sheet table. To do this, move to the sequence sheet, find the order you want to lock and right click.</t>
  </si>
  <si>
    <t>Then click the "Lock/Unlock order" option. The order that's been locked will be marked Locked in the table.</t>
  </si>
  <si>
    <t>Important!</t>
  </si>
  <si>
    <t>For the locking of orders to be shown in the plan - you have to create new plan.</t>
  </si>
  <si>
    <t>If an order is locked at a time earlier than possible production time, the order will overlap the order before.</t>
  </si>
  <si>
    <t>Mixing Status</t>
  </si>
  <si>
    <t>Stock levels are read for BOM Item 0010 for each process order (normally main YMIX material) and summarized in the</t>
  </si>
  <si>
    <t>Mixing Status sheet. Service Level Mixing is calculated as a percentage by the formula: YMIX Stock qty / Required Qty.</t>
  </si>
  <si>
    <t>New Plan</t>
  </si>
  <si>
    <t>Only a responsible production planner will be able to use the function "Create New Plan". The plan data will be stored</t>
  </si>
  <si>
    <t>in a separate file. When running a status refresh (F8) the stored planning data are read from disk, and compared with</t>
  </si>
  <si>
    <t>current confirmed order quantity. This is done by calculating a new finish time based on the refreshed data.</t>
  </si>
  <si>
    <t>Since the current production status are depended on stock tranfer of goods, the production progress will be reviewed</t>
  </si>
  <si>
    <t>in steps.</t>
  </si>
  <si>
    <t>Order Number</t>
  </si>
  <si>
    <t>Second line of the description</t>
  </si>
  <si>
    <t>Base Unit of Measure</t>
  </si>
  <si>
    <t>Total Scrap Quantity in the Order</t>
  </si>
  <si>
    <t>Material Number</t>
  </si>
  <si>
    <t>Actual start time</t>
  </si>
  <si>
    <t>Indicator: Phase</t>
  </si>
  <si>
    <t>Material description in upper case for matchcodes</t>
  </si>
  <si>
    <t>Work center</t>
  </si>
  <si>
    <t>Control key</t>
  </si>
  <si>
    <t>Unit of Measure for Activity/Operation</t>
  </si>
  <si>
    <t>Base quantity</t>
  </si>
  <si>
    <t>Operation Quantity</t>
  </si>
  <si>
    <t>Operation scrap</t>
  </si>
  <si>
    <t>Confirmed yield in order unit of measure</t>
  </si>
  <si>
    <t>Scrap confirmed for order</t>
  </si>
  <si>
    <t>Confirmed Yield</t>
  </si>
  <si>
    <t>General counter for order</t>
  </si>
  <si>
    <t>Actual start: Execution (date)</t>
  </si>
  <si>
    <t>Actual start: Execution/setup (time)</t>
  </si>
  <si>
    <t>Confirmed order finish (time)</t>
  </si>
  <si>
    <t>Unit of measure for setup time</t>
  </si>
  <si>
    <t>Processing time (forecast)</t>
  </si>
  <si>
    <t>Unit for work</t>
  </si>
  <si>
    <t>Earliest scheduled start: Execution (date)</t>
  </si>
  <si>
    <t>Earliest scheduled start: Execution (time)</t>
  </si>
  <si>
    <t>Latest scheduled start: Execution (date)</t>
  </si>
  <si>
    <t>Latest scheduled start: Execution (time)</t>
  </si>
  <si>
    <t>Scheduled finish time</t>
  </si>
  <si>
    <t>Scheduled start time</t>
  </si>
  <si>
    <t>Object ID of the resource</t>
  </si>
  <si>
    <t>Quantity of goods received for the order item</t>
  </si>
  <si>
    <t>Unit of measure for in-house production</t>
  </si>
  <si>
    <t>Confirmed Order Finish Date</t>
  </si>
  <si>
    <t>Yield confirmed from order confirmation</t>
  </si>
  <si>
    <t>"Delivery Completed" Indicator</t>
  </si>
  <si>
    <t>Mix Material</t>
  </si>
  <si>
    <t>Material number of corresponding mix base</t>
  </si>
  <si>
    <t>Required mixing quantity for actual finished material process order</t>
  </si>
  <si>
    <t>Bas unit of measure</t>
  </si>
  <si>
    <t>Quantity actual used by the finished material process order</t>
  </si>
  <si>
    <t>Unrestricted valuated stock of the mixing material</t>
  </si>
  <si>
    <t>Material Number and Description</t>
  </si>
  <si>
    <t>Actual remaining quantity based on actual Quantity of goods received</t>
  </si>
  <si>
    <t>Total order quantity devided on Base Quantity for the material (Planned Processing Time without setup)</t>
  </si>
  <si>
    <t>Calculated setup time (Processing time - RT_Total)</t>
  </si>
  <si>
    <t>Actual remaining processing time based on actual Quantity of goods received</t>
  </si>
  <si>
    <t>System field</t>
  </si>
  <si>
    <t xml:space="preserve">Calculated start date (Excel) for the order, if not actual start date is retrieved from SAP. </t>
  </si>
  <si>
    <t xml:space="preserve">Calculated start time (Excel) for the order, if not actual start time is retrieved from SAP. </t>
  </si>
  <si>
    <t>Field to determine what order is the active one, and production sequence for following orders. Finished orders got Zero.</t>
  </si>
  <si>
    <t xml:space="preserve">Calculated end date (Excel) for the order, if not actual end date is retrieved from SAP. </t>
  </si>
  <si>
    <t xml:space="preserve">Calculated end time (Excel) for the order, if not actual end time is retrieved from SAP. </t>
  </si>
  <si>
    <t>Work center number and description</t>
  </si>
  <si>
    <t>Locked at SAP scheduled start date and time, if empty the order will follow previous process order</t>
  </si>
  <si>
    <t>1 = the order has got confirmed start date and time, 0 = the order has yet not got confirmed start time</t>
  </si>
  <si>
    <t>Level of mixing material valuated stock in % of total requirement quantity from finished material order</t>
  </si>
  <si>
    <t>SL_Mixing</t>
  </si>
  <si>
    <t xml:space="preserve">Service Level from Mixing Dep. Quantity (kgs) mixed / Quantity Required. </t>
  </si>
  <si>
    <t>NOEL</t>
  </si>
  <si>
    <t>CZBY</t>
  </si>
  <si>
    <t>PLM2</t>
  </si>
  <si>
    <t>BOSSAR-1</t>
  </si>
  <si>
    <t>BOSSAR-2</t>
  </si>
  <si>
    <t>DOLZAN</t>
  </si>
  <si>
    <t>HVS140-1</t>
  </si>
  <si>
    <t>HVS140-2</t>
  </si>
  <si>
    <t>HVS140-4</t>
  </si>
  <si>
    <t>HVS160-1</t>
  </si>
  <si>
    <t>HVS160-2</t>
  </si>
  <si>
    <t>HVS160-4</t>
  </si>
  <si>
    <t>HVS160-6</t>
  </si>
  <si>
    <t>HVS160-7</t>
  </si>
  <si>
    <t>HVS160-8</t>
  </si>
  <si>
    <t>HVS250-1</t>
  </si>
  <si>
    <t>HVS250-2</t>
  </si>
  <si>
    <t>KARTON</t>
  </si>
  <si>
    <t>VOLPACK</t>
  </si>
  <si>
    <t>XAG32-2</t>
  </si>
  <si>
    <t>Accumulated Plan Deviation:</t>
  </si>
  <si>
    <t>Press F8 to update status</t>
  </si>
  <si>
    <t>Released Process Orders in Sequence</t>
  </si>
  <si>
    <t>Sum av Rem_Qty</t>
  </si>
  <si>
    <t>1502 Grunwald 2</t>
  </si>
  <si>
    <t>015928 Brun middagsaus pastøs 6bx/10L</t>
  </si>
  <si>
    <t>001538 Brun middagsaus pastøs økon 1sp/190L</t>
  </si>
  <si>
    <t>Process Orders not started - in ascending start time order</t>
  </si>
  <si>
    <t>Finished orders are hidden (with Active = 0)</t>
  </si>
  <si>
    <t xml:space="preserve">Reqmt Qty </t>
  </si>
  <si>
    <t xml:space="preserve">SL_Mixing </t>
  </si>
  <si>
    <t>Deviation in Hours from Plan</t>
  </si>
  <si>
    <t>Order Status at Plan creation time</t>
  </si>
  <si>
    <t>Number of plan orders:</t>
  </si>
  <si>
    <t>New_Cap</t>
  </si>
  <si>
    <t>Start_D2</t>
  </si>
  <si>
    <t>New_Shift</t>
  </si>
  <si>
    <t>Plan_Stop</t>
  </si>
  <si>
    <t>Plan_Cap</t>
  </si>
  <si>
    <t>New_Start</t>
  </si>
  <si>
    <t>Test_Acc</t>
  </si>
  <si>
    <t>Help2_Acc</t>
  </si>
  <si>
    <t>Help_Acc</t>
  </si>
  <si>
    <t>Deviation</t>
  </si>
  <si>
    <t>Mixed</t>
  </si>
  <si>
    <t>Dev_Hours</t>
  </si>
  <si>
    <t>Rem_Time_Act</t>
  </si>
  <si>
    <t>ActStarted2</t>
  </si>
  <si>
    <t>New_End</t>
  </si>
  <si>
    <t>Pos_Neg</t>
  </si>
  <si>
    <t>Test Active</t>
  </si>
  <si>
    <t>Deviation3</t>
  </si>
  <si>
    <t>Rem_Qty2</t>
  </si>
  <si>
    <t>Cat</t>
  </si>
  <si>
    <t>Version</t>
  </si>
  <si>
    <t>S</t>
  </si>
  <si>
    <t>Day</t>
  </si>
  <si>
    <t>Finish</t>
  </si>
  <si>
    <t>Capacity</t>
  </si>
  <si>
    <t>Break</t>
  </si>
  <si>
    <t>Cap.</t>
  </si>
  <si>
    <t>Start2</t>
  </si>
  <si>
    <t>Date</t>
  </si>
  <si>
    <t>Acc_Start</t>
  </si>
  <si>
    <t>Acc_Stop</t>
  </si>
  <si>
    <t>Acc_Capacity</t>
  </si>
  <si>
    <t>DayCapacity</t>
  </si>
  <si>
    <t>Index</t>
  </si>
  <si>
    <t>CapStopp</t>
  </si>
  <si>
    <t>Shift</t>
  </si>
  <si>
    <t>Acc_Capacity2</t>
  </si>
  <si>
    <t>CapDate</t>
  </si>
  <si>
    <t>`</t>
  </si>
  <si>
    <t>PlanTime</t>
  </si>
  <si>
    <t>11.06.2010 10:58:03</t>
  </si>
  <si>
    <t/>
  </si>
  <si>
    <t>ReportCaption1</t>
  </si>
  <si>
    <t>ReportCaption2</t>
  </si>
  <si>
    <t>ReportCaption3</t>
  </si>
  <si>
    <t>FromDate</t>
  </si>
  <si>
    <t>ReportCaption4</t>
  </si>
  <si>
    <t>ZIBEZEI</t>
  </si>
  <si>
    <t>Act.finish2</t>
  </si>
  <si>
    <t>ZIKAPID</t>
  </si>
  <si>
    <t>ZISTLTY</t>
  </si>
  <si>
    <t>20LANGU</t>
  </si>
  <si>
    <t>Confirmed Yield2</t>
  </si>
  <si>
    <t>Norsk</t>
  </si>
  <si>
    <t>Ikke tilordnet</t>
  </si>
  <si>
    <t>Cap.2</t>
  </si>
  <si>
    <t>Plnt2</t>
  </si>
  <si>
    <t>Work ctr2</t>
  </si>
  <si>
    <t>Oper. Time</t>
  </si>
  <si>
    <t>Break2</t>
  </si>
  <si>
    <t>EL00</t>
  </si>
  <si>
    <t>Budsjettversjon arbeidsmål 1</t>
  </si>
  <si>
    <t>EL00/EL2000</t>
  </si>
  <si>
    <t>31.07.2016</t>
  </si>
  <si>
    <t>Finish2</t>
  </si>
  <si>
    <t>Act.finish3</t>
  </si>
  <si>
    <t>Lang</t>
  </si>
  <si>
    <t>0ME_DEL_IND</t>
  </si>
  <si>
    <t>0PPS_DOCDEL</t>
  </si>
  <si>
    <t>0S_ORD_ITEM</t>
  </si>
  <si>
    <t>Act.finish4</t>
  </si>
  <si>
    <t>23.03.2015</t>
  </si>
  <si>
    <t>26.03.2015</t>
  </si>
  <si>
    <t>Salt Vacuum Fint</t>
  </si>
  <si>
    <t>AR00</t>
  </si>
  <si>
    <t>AR00/AR2701</t>
  </si>
  <si>
    <t>BRUNET MASSE</t>
  </si>
  <si>
    <t>YPI1</t>
  </si>
  <si>
    <t>M</t>
  </si>
  <si>
    <t>Plant Description</t>
  </si>
  <si>
    <t>Work Center Description</t>
  </si>
  <si>
    <t>23.03.2015 Total</t>
  </si>
  <si>
    <t>Confirmed order finish date</t>
  </si>
  <si>
    <t>OrderNummer</t>
  </si>
  <si>
    <t>Mix Material Description</t>
  </si>
  <si>
    <t>Rapporter Statistikker</t>
  </si>
  <si>
    <t xml:space="preserve">    Trykk F10 for å lansere valgskjermen</t>
  </si>
  <si>
    <t>Rapporten Inneholder</t>
  </si>
  <si>
    <t>Produksjonplan</t>
  </si>
  <si>
    <t>SetupTid</t>
  </si>
  <si>
    <t>ProcTid</t>
  </si>
  <si>
    <t>MixEnhet</t>
  </si>
  <si>
    <t>KG</t>
  </si>
  <si>
    <t>ProdPlan</t>
  </si>
  <si>
    <t xml:space="preserve"> BRUNET MASSE</t>
  </si>
  <si>
    <t>AR2701 AR00/AR2701</t>
  </si>
  <si>
    <t>Lock/Unlock ved dobbeltklikk</t>
  </si>
  <si>
    <t>(blank)</t>
  </si>
  <si>
    <t xml:space="preserve">Total Stock </t>
  </si>
  <si>
    <t xml:space="preserve">Qty Withdrawn </t>
  </si>
  <si>
    <t>Fremtidige ordrer</t>
  </si>
  <si>
    <t>Aktiv ordrer</t>
  </si>
  <si>
    <t>Ferdige ordrer</t>
  </si>
  <si>
    <t xml:space="preserve">Dev_Hours </t>
  </si>
  <si>
    <t>#VALUE!</t>
  </si>
  <si>
    <t>(Multiple Items)</t>
  </si>
  <si>
    <t>Allergen</t>
  </si>
  <si>
    <t>GR 3</t>
  </si>
  <si>
    <t>GR 2</t>
  </si>
  <si>
    <t>GR 6</t>
  </si>
  <si>
    <t>1S</t>
  </si>
  <si>
    <t>2S</t>
  </si>
  <si>
    <t>3S</t>
  </si>
  <si>
    <t>5S</t>
  </si>
  <si>
    <t>4S</t>
  </si>
  <si>
    <t>GR 8</t>
  </si>
  <si>
    <t>GR 16</t>
  </si>
  <si>
    <t>GR 15</t>
  </si>
  <si>
    <t>GR 4</t>
  </si>
  <si>
    <t>GR 9</t>
  </si>
  <si>
    <t>GR 14</t>
  </si>
  <si>
    <t>AllergenText</t>
  </si>
  <si>
    <t>SecondSheet</t>
  </si>
  <si>
    <t>SecondTable</t>
  </si>
  <si>
    <t>Sequence_Allergen</t>
  </si>
  <si>
    <t>Pivottabell1</t>
  </si>
  <si>
    <t xml:space="preserve">Rem_Qty </t>
  </si>
  <si>
    <t>6S</t>
  </si>
  <si>
    <t>GR 13</t>
  </si>
  <si>
    <t>GR 7</t>
  </si>
  <si>
    <t>GR 1</t>
  </si>
  <si>
    <t>Sennep</t>
  </si>
  <si>
    <t>Sesam</t>
  </si>
  <si>
    <t>Fisk</t>
  </si>
  <si>
    <t>Skalldyr</t>
  </si>
  <si>
    <t>Bløtdyr</t>
  </si>
  <si>
    <t>Nøtter</t>
  </si>
  <si>
    <t>Peanøtter</t>
  </si>
  <si>
    <t>AllergenType</t>
  </si>
  <si>
    <t>(Alle)</t>
  </si>
  <si>
    <t>Allergengr.</t>
  </si>
  <si>
    <t>Faktisk leverings/sluttidspunkt for ordre</t>
  </si>
  <si>
    <t>Nettverksaktivitet</t>
  </si>
  <si>
    <t>Sluttlev.indikator</t>
  </si>
  <si>
    <t>Ordre</t>
  </si>
  <si>
    <t>D/K</t>
  </si>
  <si>
    <t>Spraktekst</t>
  </si>
  <si>
    <t>Materialtekst</t>
  </si>
  <si>
    <t>Materialtypetekst</t>
  </si>
  <si>
    <t>Prod.komponent</t>
  </si>
  <si>
    <t>Fabrikk</t>
  </si>
  <si>
    <t>Doc.del</t>
  </si>
  <si>
    <t>Lager</t>
  </si>
  <si>
    <t>Forsyningsområde</t>
  </si>
  <si>
    <t>Serienummer</t>
  </si>
  <si>
    <t>Arbeidsstasjon2</t>
  </si>
  <si>
    <t>PakTyp</t>
  </si>
  <si>
    <t>Plannr.oper.</t>
  </si>
  <si>
    <t>BehTy</t>
  </si>
  <si>
    <t>Time req'd</t>
  </si>
  <si>
    <t>Betegnelse(40)</t>
  </si>
  <si>
    <t>Fakt. Sluttidspunkt</t>
  </si>
  <si>
    <t>Fkt.startkl</t>
  </si>
  <si>
    <t>Fiktivt material</t>
  </si>
  <si>
    <t>Fis</t>
  </si>
  <si>
    <t>Språktekst</t>
  </si>
  <si>
    <t>MTyp12</t>
  </si>
  <si>
    <t>Plnd order</t>
  </si>
  <si>
    <t>Reserv.No.</t>
  </si>
  <si>
    <t>Posisjon</t>
  </si>
  <si>
    <t>Betegnelse(20)</t>
  </si>
  <si>
    <t>Beh.dato</t>
  </si>
  <si>
    <t>Mtyp</t>
  </si>
  <si>
    <t>Prod.kom.No</t>
  </si>
  <si>
    <t>Fabrikk2</t>
  </si>
  <si>
    <t>Arbeidsstasjon3</t>
  </si>
  <si>
    <t>Unrestricted</t>
  </si>
  <si>
    <t>StdVal8</t>
  </si>
  <si>
    <t>StdVal6</t>
  </si>
  <si>
    <t>StdVal</t>
  </si>
  <si>
    <t>Equal batch size qty</t>
  </si>
  <si>
    <t>N</t>
  </si>
  <si>
    <t>Material Navn</t>
  </si>
  <si>
    <t>Navn blanding</t>
  </si>
  <si>
    <t>Operasjon</t>
  </si>
  <si>
    <t>Ikke tilordnet/0510</t>
  </si>
  <si>
    <t>H</t>
  </si>
  <si>
    <t>Tondhjems Brun Lapskaus 12x800g</t>
  </si>
  <si>
    <t>Ferdigvare, Stab. Pricat</t>
  </si>
  <si>
    <t>Råvare Emb.</t>
  </si>
  <si>
    <t>EL00/EL00_HERM</t>
  </si>
  <si>
    <t>EL00/EL2041</t>
  </si>
  <si>
    <t>SA</t>
  </si>
  <si>
    <t>Dummy Saussvinn</t>
  </si>
  <si>
    <t>ZMIX</t>
  </si>
  <si>
    <t>Hermetikk sauseanleg</t>
  </si>
  <si>
    <t>19.02.2015</t>
  </si>
  <si>
    <t>ZROH</t>
  </si>
  <si>
    <t>AR00/AR2201</t>
  </si>
  <si>
    <t>04.02.2015</t>
  </si>
  <si>
    <t>Ikke tilordnet/0110</t>
  </si>
  <si>
    <t>BG</t>
  </si>
  <si>
    <t>Lødige 1</t>
  </si>
  <si>
    <t>ZHAL</t>
  </si>
  <si>
    <t>AR00/AR2801</t>
  </si>
  <si>
    <t>MixMaterial</t>
  </si>
  <si>
    <t>506620 Salt Vacuum Fint</t>
  </si>
  <si>
    <t>Mess A</t>
  </si>
  <si>
    <t>AR3101 Maskin A</t>
  </si>
  <si>
    <t>AR3102 Maskin B - Mesanin A</t>
  </si>
  <si>
    <t>AR3103 Maskin C - Mesanin A</t>
  </si>
  <si>
    <t>AR3105 Maskin E - Mesanin A</t>
  </si>
  <si>
    <t>AR3106 Maskin F - Mesanin A</t>
  </si>
  <si>
    <t>AR3114 Maskin H - Mesanin A</t>
  </si>
  <si>
    <t>AR3117 Maskin U - Mesanin A</t>
  </si>
  <si>
    <t>AR3120 Maskin X mesanin A</t>
  </si>
  <si>
    <t>AR3201 Grunwald 3,Mesanin A</t>
  </si>
  <si>
    <t>Mess B</t>
  </si>
  <si>
    <t>AR3104 Maskin D Mesanin B</t>
  </si>
  <si>
    <t>AR3107 Maskin G - Mesanin B</t>
  </si>
  <si>
    <t>AR3110 Maskin K - Mesanin B</t>
  </si>
  <si>
    <t>AR3111 Maskin L - Mesanin B</t>
  </si>
  <si>
    <t>AR3112 Maskin P - Mesanin B</t>
  </si>
  <si>
    <t>AR3113 Maskin S - Mesanin B</t>
  </si>
  <si>
    <t>AR3115 Maskin T - Mesanin B</t>
  </si>
  <si>
    <t>AR3118 Maskin W - Mesanin B</t>
  </si>
  <si>
    <t>Mess C</t>
  </si>
  <si>
    <t>AR1503 Grunwald 1</t>
  </si>
  <si>
    <t>AR1502 Grunwald 2</t>
  </si>
  <si>
    <t>AR1603 Terningpakkemaskin</t>
  </si>
  <si>
    <t>AR3303 Sekkepakkelinje - Messani</t>
  </si>
  <si>
    <t>Prosess</t>
  </si>
  <si>
    <t>AR1201 Proctor 1</t>
  </si>
  <si>
    <t>AR1205 Proctor 2</t>
  </si>
  <si>
    <t>AR1001 Vacumbåndtørke</t>
  </si>
  <si>
    <t>AR1002 Vacuumskap A</t>
  </si>
  <si>
    <t>AR1003 Meltørke</t>
  </si>
  <si>
    <t>AR2103 Contraplex 2</t>
  </si>
  <si>
    <t>AR2104 Contraplex 1</t>
  </si>
  <si>
    <t>AR2105 Ultraplex</t>
  </si>
  <si>
    <t>WorkCenter</t>
  </si>
  <si>
    <t>Group</t>
  </si>
  <si>
    <t>AR00/AR3101</t>
  </si>
  <si>
    <t>Maskin A</t>
  </si>
  <si>
    <t>WCGroup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</si>
</sst>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#,##0.0\ %;[Red]\-#,##0.0\ %"/>
    <numFmt numFmtId="165" formatCode="#,##0.0;[Red]\-#,##0.0"/>
    <numFmt numFmtId="166" formatCode="dd/mm/yy\ hh:mm;@"/>
    <numFmt numFmtId="167" formatCode="[$-F400]h:mm:ss\ AM/PM"/>
    <numFmt numFmtId="168" formatCode="#,##0\ %;[Red]\-#,##0\ %"/>
    <numFmt numFmtId="169" formatCode="00"/>
    <numFmt numFmtId="170" formatCode="hh"/>
    <numFmt numFmtId="171" formatCode="0.0"/>
    <numFmt numFmtId="172" formatCode="0\ %;[Red]\-0\ %"/>
    <numFmt numFmtId="173" formatCode="m/d/yy\ h:mm;@"/>
    <numFmt numFmtId="174" formatCode="dd/mm/yyyy\ hh:mm:ss"/>
    <numFmt numFmtId="175" formatCode="d/m/yy\ h:mm;@"/>
    <numFmt numFmtId="176" formatCode="dd/mm/yyyy;@"/>
    <numFmt numFmtId="177" formatCode="hh:mm:ss;@"/>
    <numFmt numFmtId="178" formatCode="#,##0.00_ ;[Red]\-#,##0.00\ "/>
    <numFmt numFmtId="179" formatCode="[$-F800]dddd\,\ mmmm\ dd\,\ yyyy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u/>
      <sz val="8.5"/>
      <color indexed="1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000000"/>
      <name val="Segoe UI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CC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00000"/>
        <bgColor theme="4"/>
      </patternFill>
    </fill>
  </fills>
  <borders count="39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5"/>
      </left>
      <right/>
      <top style="thin">
        <color indexed="64"/>
      </top>
      <bottom style="thick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63"/>
      </bottom>
      <diagonal/>
    </border>
    <border>
      <left/>
      <right/>
      <top style="thin">
        <color indexed="9"/>
      </top>
      <bottom style="thin">
        <color indexed="63"/>
      </bottom>
      <diagonal/>
    </border>
    <border>
      <left/>
      <right style="thin">
        <color indexed="9"/>
      </right>
      <top/>
      <bottom style="thin">
        <color indexed="63"/>
      </bottom>
      <diagonal/>
    </border>
    <border>
      <left style="thin">
        <color indexed="9"/>
      </left>
      <right style="thin">
        <color indexed="9"/>
      </right>
      <top/>
      <bottom style="thin">
        <color indexed="63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indexed="8"/>
      </right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indexed="8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indexed="8"/>
      </right>
      <top style="thin">
        <color rgb="FF999999"/>
      </top>
      <bottom style="thin">
        <color rgb="FF999999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8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175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14" fontId="1" fillId="2" borderId="5" xfId="0" applyNumberFormat="1" applyFont="1" applyFill="1" applyBorder="1"/>
    <xf numFmtId="14" fontId="9" fillId="2" borderId="2" xfId="0" applyNumberFormat="1" applyFont="1" applyFill="1" applyBorder="1"/>
    <xf numFmtId="0" fontId="9" fillId="2" borderId="7" xfId="0" applyFont="1" applyFill="1" applyBorder="1"/>
    <xf numFmtId="38" fontId="9" fillId="2" borderId="3" xfId="0" applyNumberFormat="1" applyFont="1" applyFill="1" applyBorder="1" applyAlignment="1">
      <alignment horizontal="right"/>
    </xf>
    <xf numFmtId="0" fontId="0" fillId="3" borderId="0" xfId="0" applyFill="1" applyAlignment="1">
      <alignment horizontal="left"/>
    </xf>
    <xf numFmtId="0" fontId="10" fillId="0" borderId="0" xfId="0" applyFont="1" applyFill="1"/>
    <xf numFmtId="0" fontId="4" fillId="0" borderId="0" xfId="0" applyFont="1" applyFill="1" applyAlignment="1">
      <alignment horizontal="left"/>
    </xf>
    <xf numFmtId="38" fontId="0" fillId="0" borderId="0" xfId="0" applyNumberFormat="1"/>
    <xf numFmtId="165" fontId="0" fillId="0" borderId="0" xfId="0" applyNumberFormat="1"/>
    <xf numFmtId="20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38" fontId="7" fillId="0" borderId="0" xfId="0" applyNumberFormat="1" applyFont="1"/>
    <xf numFmtId="168" fontId="0" fillId="0" borderId="0" xfId="0" applyNumberFormat="1"/>
    <xf numFmtId="3" fontId="11" fillId="0" borderId="0" xfId="6" applyNumberFormat="1" applyFont="1"/>
    <xf numFmtId="0" fontId="8" fillId="0" borderId="0" xfId="6" applyFont="1"/>
    <xf numFmtId="0" fontId="8" fillId="0" borderId="0" xfId="6" applyFont="1" applyAlignment="1">
      <alignment horizontal="left" indent="1"/>
    </xf>
    <xf numFmtId="0" fontId="8" fillId="0" borderId="0" xfId="6" quotePrefix="1" applyFont="1"/>
    <xf numFmtId="0" fontId="8" fillId="0" borderId="0" xfId="6" quotePrefix="1" applyFont="1" applyAlignment="1">
      <alignment horizontal="right"/>
    </xf>
    <xf numFmtId="0" fontId="8" fillId="0" borderId="0" xfId="6" applyFont="1" applyAlignment="1">
      <alignment horizontal="right"/>
    </xf>
    <xf numFmtId="14" fontId="8" fillId="0" borderId="0" xfId="6" applyNumberFormat="1" applyFont="1" applyAlignment="1">
      <alignment horizontal="left"/>
    </xf>
    <xf numFmtId="0" fontId="13" fillId="0" borderId="0" xfId="7" applyFont="1" applyAlignment="1" applyProtection="1"/>
    <xf numFmtId="0" fontId="7" fillId="0" borderId="0" xfId="1"/>
    <xf numFmtId="0" fontId="7" fillId="0" borderId="0" xfId="1" quotePrefix="1"/>
    <xf numFmtId="0" fontId="1" fillId="6" borderId="0" xfId="0" applyFont="1" applyFill="1"/>
    <xf numFmtId="0" fontId="11" fillId="0" borderId="0" xfId="1" applyFont="1"/>
    <xf numFmtId="0" fontId="7" fillId="0" borderId="0" xfId="1" applyFont="1" applyAlignment="1">
      <alignment horizontal="right"/>
    </xf>
    <xf numFmtId="164" fontId="7" fillId="0" borderId="0" xfId="1" applyNumberFormat="1" applyFont="1" applyAlignment="1">
      <alignment horizontal="center"/>
    </xf>
    <xf numFmtId="0" fontId="7" fillId="0" borderId="0" xfId="1" applyFont="1"/>
    <xf numFmtId="0" fontId="7" fillId="7" borderId="8" xfId="1" applyFill="1" applyBorder="1"/>
    <xf numFmtId="169" fontId="14" fillId="7" borderId="9" xfId="1" applyNumberFormat="1" applyFont="1" applyFill="1" applyBorder="1"/>
    <xf numFmtId="0" fontId="7" fillId="7" borderId="10" xfId="1" applyFill="1" applyBorder="1"/>
    <xf numFmtId="0" fontId="14" fillId="7" borderId="10" xfId="1" applyFont="1" applyFill="1" applyBorder="1" applyAlignment="1">
      <alignment horizontal="center"/>
    </xf>
    <xf numFmtId="0" fontId="7" fillId="7" borderId="10" xfId="1" applyFont="1" applyFill="1" applyBorder="1"/>
    <xf numFmtId="0" fontId="7" fillId="7" borderId="9" xfId="1" applyFont="1" applyFill="1" applyBorder="1"/>
    <xf numFmtId="0" fontId="14" fillId="7" borderId="8" xfId="1" applyFont="1" applyFill="1" applyBorder="1"/>
    <xf numFmtId="170" fontId="7" fillId="7" borderId="11" xfId="1" applyNumberFormat="1" applyFont="1" applyFill="1" applyBorder="1"/>
    <xf numFmtId="170" fontId="7" fillId="7" borderId="12" xfId="1" applyNumberFormat="1" applyFont="1" applyFill="1" applyBorder="1"/>
    <xf numFmtId="169" fontId="7" fillId="0" borderId="0" xfId="1" applyNumberFormat="1"/>
    <xf numFmtId="0" fontId="7" fillId="0" borderId="0" xfId="1" applyFill="1"/>
    <xf numFmtId="165" fontId="7" fillId="0" borderId="0" xfId="1" applyNumberFormat="1"/>
    <xf numFmtId="168" fontId="7" fillId="0" borderId="0" xfId="1" applyNumberFormat="1"/>
    <xf numFmtId="0" fontId="7" fillId="0" borderId="0" xfId="1" applyAlignment="1">
      <alignment horizontal="center"/>
    </xf>
    <xf numFmtId="0" fontId="1" fillId="0" borderId="0" xfId="0" applyFont="1" applyBorder="1"/>
    <xf numFmtId="172" fontId="9" fillId="2" borderId="4" xfId="0" applyNumberFormat="1" applyFont="1" applyFill="1" applyBorder="1" applyAlignment="1">
      <alignment horizontal="right"/>
    </xf>
    <xf numFmtId="0" fontId="1" fillId="0" borderId="0" xfId="0" applyFont="1" applyBorder="1" applyAlignment="1">
      <alignment horizontal="right"/>
    </xf>
    <xf numFmtId="165" fontId="1" fillId="2" borderId="4" xfId="0" applyNumberFormat="1" applyFont="1" applyFill="1" applyBorder="1" applyAlignment="1">
      <alignment horizontal="right"/>
    </xf>
    <xf numFmtId="14" fontId="1" fillId="0" borderId="0" xfId="0" applyNumberFormat="1" applyFont="1"/>
    <xf numFmtId="38" fontId="1" fillId="5" borderId="0" xfId="0" applyNumberFormat="1" applyFont="1" applyFill="1"/>
    <xf numFmtId="173" fontId="0" fillId="0" borderId="0" xfId="0" applyNumberFormat="1"/>
    <xf numFmtId="14" fontId="6" fillId="3" borderId="0" xfId="5" applyNumberFormat="1" applyFill="1"/>
    <xf numFmtId="167" fontId="1" fillId="0" borderId="0" xfId="0" applyNumberFormat="1" applyFont="1"/>
    <xf numFmtId="0" fontId="1" fillId="0" borderId="0" xfId="0" applyNumberFormat="1" applyFont="1"/>
    <xf numFmtId="167" fontId="1" fillId="3" borderId="0" xfId="0" applyNumberFormat="1" applyFont="1" applyFill="1"/>
    <xf numFmtId="1" fontId="1" fillId="0" borderId="0" xfId="0" applyNumberFormat="1" applyFont="1"/>
    <xf numFmtId="1" fontId="0" fillId="0" borderId="0" xfId="0" applyNumberFormat="1"/>
    <xf numFmtId="14" fontId="0" fillId="8" borderId="13" xfId="0" applyNumberFormat="1" applyFont="1" applyFill="1" applyBorder="1"/>
    <xf numFmtId="14" fontId="0" fillId="8" borderId="14" xfId="0" applyNumberFormat="1" applyFont="1" applyFill="1" applyBorder="1"/>
    <xf numFmtId="14" fontId="0" fillId="0" borderId="14" xfId="0" applyNumberFormat="1" applyFont="1" applyBorder="1"/>
    <xf numFmtId="0" fontId="7" fillId="0" borderId="0" xfId="3"/>
    <xf numFmtId="22" fontId="0" fillId="0" borderId="0" xfId="0" applyNumberFormat="1"/>
    <xf numFmtId="0" fontId="0" fillId="0" borderId="0" xfId="0" quotePrefix="1"/>
    <xf numFmtId="40" fontId="0" fillId="0" borderId="0" xfId="0" applyNumberFormat="1"/>
    <xf numFmtId="164" fontId="0" fillId="0" borderId="0" xfId="0" applyNumberFormat="1"/>
    <xf numFmtId="174" fontId="1" fillId="5" borderId="0" xfId="0" applyNumberFormat="1" applyFont="1" applyFill="1"/>
    <xf numFmtId="175" fontId="0" fillId="0" borderId="0" xfId="0" applyNumberFormat="1"/>
    <xf numFmtId="0" fontId="1" fillId="5" borderId="0" xfId="0" applyNumberFormat="1" applyFont="1" applyFill="1"/>
    <xf numFmtId="176" fontId="1" fillId="0" borderId="0" xfId="0" applyNumberFormat="1" applyFont="1"/>
    <xf numFmtId="176" fontId="0" fillId="0" borderId="0" xfId="0" applyNumberFormat="1"/>
    <xf numFmtId="177" fontId="1" fillId="0" borderId="0" xfId="0" applyNumberFormat="1" applyFont="1"/>
    <xf numFmtId="177" fontId="0" fillId="0" borderId="0" xfId="0" applyNumberFormat="1"/>
    <xf numFmtId="177" fontId="1" fillId="5" borderId="0" xfId="0" applyNumberFormat="1" applyFont="1" applyFill="1"/>
    <xf numFmtId="177" fontId="1" fillId="6" borderId="0" xfId="0" applyNumberFormat="1" applyFont="1" applyFill="1"/>
    <xf numFmtId="176" fontId="1" fillId="5" borderId="0" xfId="0" applyNumberFormat="1" applyFont="1" applyFill="1"/>
    <xf numFmtId="178" fontId="1" fillId="5" borderId="0" xfId="0" applyNumberFormat="1" applyFont="1" applyFill="1"/>
    <xf numFmtId="179" fontId="1" fillId="0" borderId="0" xfId="0" applyNumberFormat="1" applyFont="1"/>
    <xf numFmtId="179" fontId="0" fillId="0" borderId="0" xfId="0" applyNumberFormat="1"/>
    <xf numFmtId="0" fontId="0" fillId="0" borderId="0" xfId="0" quotePrefix="1" applyNumberFormat="1"/>
    <xf numFmtId="20" fontId="1" fillId="5" borderId="0" xfId="0" applyNumberFormat="1" applyFont="1" applyFill="1"/>
    <xf numFmtId="166" fontId="1" fillId="5" borderId="0" xfId="0" applyNumberFormat="1" applyFont="1" applyFill="1"/>
    <xf numFmtId="20" fontId="1" fillId="6" borderId="0" xfId="0" applyNumberFormat="1" applyFont="1" applyFill="1"/>
    <xf numFmtId="174" fontId="7" fillId="0" borderId="0" xfId="0" applyNumberFormat="1" applyFont="1"/>
    <xf numFmtId="174" fontId="0" fillId="0" borderId="0" xfId="0" applyNumberFormat="1"/>
    <xf numFmtId="174" fontId="1" fillId="0" borderId="0" xfId="0" applyNumberFormat="1" applyFont="1"/>
    <xf numFmtId="165" fontId="1" fillId="0" borderId="0" xfId="0" applyNumberFormat="1" applyFont="1"/>
    <xf numFmtId="172" fontId="0" fillId="0" borderId="0" xfId="0" applyNumberFormat="1"/>
    <xf numFmtId="0" fontId="0" fillId="0" borderId="17" xfId="0" applyBorder="1"/>
    <xf numFmtId="0" fontId="0" fillId="0" borderId="20" xfId="0" pivotButton="1" applyBorder="1"/>
    <xf numFmtId="0" fontId="0" fillId="0" borderId="20" xfId="0" applyBorder="1"/>
    <xf numFmtId="0" fontId="0" fillId="0" borderId="21" xfId="0" applyBorder="1"/>
    <xf numFmtId="14" fontId="0" fillId="0" borderId="21" xfId="0" applyNumberFormat="1" applyBorder="1"/>
    <xf numFmtId="171" fontId="0" fillId="0" borderId="21" xfId="0" applyNumberFormat="1" applyBorder="1"/>
    <xf numFmtId="0" fontId="1" fillId="0" borderId="22" xfId="0" applyFont="1" applyBorder="1"/>
    <xf numFmtId="0" fontId="1" fillId="0" borderId="21" xfId="0" applyFont="1" applyBorder="1"/>
    <xf numFmtId="20" fontId="1" fillId="0" borderId="21" xfId="0" applyNumberFormat="1" applyFont="1" applyBorder="1"/>
    <xf numFmtId="14" fontId="1" fillId="0" borderId="16" xfId="0" applyNumberFormat="1" applyFont="1" applyBorder="1" applyAlignment="1">
      <alignment horizontal="right"/>
    </xf>
    <xf numFmtId="38" fontId="0" fillId="0" borderId="16" xfId="0" applyNumberFormat="1" applyBorder="1" applyAlignment="1">
      <alignment horizontal="right"/>
    </xf>
    <xf numFmtId="0" fontId="0" fillId="4" borderId="23" xfId="0" applyFill="1" applyBorder="1"/>
    <xf numFmtId="0" fontId="0" fillId="4" borderId="19" xfId="0" applyFill="1" applyBorder="1"/>
    <xf numFmtId="38" fontId="0" fillId="4" borderId="24" xfId="0" applyNumberFormat="1" applyFill="1" applyBorder="1" applyAlignment="1">
      <alignment horizontal="right"/>
    </xf>
    <xf numFmtId="165" fontId="1" fillId="0" borderId="22" xfId="0" applyNumberFormat="1" applyFont="1" applyBorder="1"/>
    <xf numFmtId="168" fontId="0" fillId="0" borderId="21" xfId="0" applyNumberFormat="1" applyBorder="1"/>
    <xf numFmtId="0" fontId="1" fillId="0" borderId="15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5" xfId="0" applyFont="1" applyBorder="1" applyAlignment="1">
      <alignment horizontal="right"/>
    </xf>
    <xf numFmtId="172" fontId="0" fillId="0" borderId="25" xfId="0" applyNumberFormat="1" applyBorder="1" applyAlignment="1">
      <alignment horizontal="right"/>
    </xf>
    <xf numFmtId="14" fontId="0" fillId="4" borderId="23" xfId="0" applyNumberFormat="1" applyFill="1" applyBorder="1"/>
    <xf numFmtId="172" fontId="0" fillId="4" borderId="27" xfId="0" applyNumberFormat="1" applyFill="1" applyBorder="1" applyAlignment="1">
      <alignment horizontal="right"/>
    </xf>
    <xf numFmtId="38" fontId="0" fillId="0" borderId="15" xfId="0" applyNumberFormat="1" applyBorder="1" applyAlignment="1">
      <alignment horizontal="right"/>
    </xf>
    <xf numFmtId="38" fontId="0" fillId="0" borderId="21" xfId="0" applyNumberFormat="1" applyBorder="1" applyAlignment="1">
      <alignment horizontal="right"/>
    </xf>
    <xf numFmtId="38" fontId="9" fillId="2" borderId="28" xfId="0" applyNumberFormat="1" applyFont="1" applyFill="1" applyBorder="1" applyAlignment="1">
      <alignment horizontal="right"/>
    </xf>
    <xf numFmtId="38" fontId="0" fillId="4" borderId="18" xfId="0" applyNumberFormat="1" applyFill="1" applyBorder="1" applyAlignment="1">
      <alignment horizontal="right"/>
    </xf>
    <xf numFmtId="38" fontId="0" fillId="4" borderId="26" xfId="0" applyNumberFormat="1" applyFill="1" applyBorder="1" applyAlignment="1">
      <alignment horizontal="right"/>
    </xf>
    <xf numFmtId="168" fontId="1" fillId="0" borderId="22" xfId="0" applyNumberFormat="1" applyFont="1" applyBorder="1"/>
    <xf numFmtId="0" fontId="7" fillId="10" borderId="0" xfId="1" applyFont="1" applyFill="1" applyAlignment="1">
      <alignment horizontal="center" wrapText="1"/>
    </xf>
    <xf numFmtId="0" fontId="7" fillId="11" borderId="0" xfId="1" applyFont="1" applyFill="1" applyAlignment="1">
      <alignment horizontal="center" wrapText="1"/>
    </xf>
    <xf numFmtId="0" fontId="7" fillId="9" borderId="0" xfId="1" applyFont="1" applyFill="1" applyAlignment="1">
      <alignment horizontal="center"/>
    </xf>
    <xf numFmtId="0" fontId="0" fillId="0" borderId="0" xfId="0" applyBorder="1"/>
    <xf numFmtId="0" fontId="0" fillId="0" borderId="29" xfId="0" applyBorder="1"/>
    <xf numFmtId="165" fontId="0" fillId="0" borderId="16" xfId="0" applyNumberFormat="1" applyBorder="1" applyAlignment="1">
      <alignment horizontal="right"/>
    </xf>
    <xf numFmtId="165" fontId="0" fillId="0" borderId="30" xfId="0" applyNumberFormat="1" applyBorder="1" applyAlignment="1">
      <alignment horizontal="right"/>
    </xf>
    <xf numFmtId="38" fontId="18" fillId="0" borderId="0" xfId="0" applyNumberFormat="1" applyFont="1"/>
    <xf numFmtId="167" fontId="18" fillId="0" borderId="0" xfId="0" applyNumberFormat="1" applyFont="1"/>
    <xf numFmtId="0" fontId="0" fillId="0" borderId="0" xfId="0" applyAlignment="1">
      <alignment vertical="center" wrapText="1"/>
    </xf>
    <xf numFmtId="0" fontId="0" fillId="5" borderId="0" xfId="0" applyFill="1"/>
    <xf numFmtId="0" fontId="0" fillId="0" borderId="33" xfId="0" pivotButton="1" applyBorder="1"/>
    <xf numFmtId="0" fontId="0" fillId="0" borderId="33" xfId="0" applyBorder="1"/>
    <xf numFmtId="0" fontId="0" fillId="0" borderId="34" xfId="0" applyBorder="1"/>
    <xf numFmtId="0" fontId="1" fillId="0" borderId="35" xfId="0" applyFont="1" applyBorder="1"/>
    <xf numFmtId="0" fontId="1" fillId="0" borderId="34" xfId="0" applyFont="1" applyBorder="1"/>
    <xf numFmtId="38" fontId="0" fillId="0" borderId="31" xfId="0" applyNumberFormat="1" applyBorder="1" applyAlignment="1">
      <alignment horizontal="right"/>
    </xf>
    <xf numFmtId="0" fontId="0" fillId="4" borderId="36" xfId="0" applyFill="1" applyBorder="1"/>
    <xf numFmtId="0" fontId="0" fillId="4" borderId="32" xfId="0" applyFill="1" applyBorder="1"/>
    <xf numFmtId="38" fontId="0" fillId="4" borderId="37" xfId="0" applyNumberFormat="1" applyFill="1" applyBorder="1" applyAlignment="1">
      <alignment horizontal="right"/>
    </xf>
    <xf numFmtId="165" fontId="1" fillId="0" borderId="35" xfId="0" applyNumberFormat="1" applyFont="1" applyBorder="1"/>
    <xf numFmtId="0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7" fillId="0" borderId="0" xfId="1" applyNumberFormat="1"/>
    <xf numFmtId="0" fontId="19" fillId="12" borderId="38" xfId="0" applyFont="1" applyFill="1" applyBorder="1"/>
    <xf numFmtId="0" fontId="0" fillId="8" borderId="38" xfId="0" applyFill="1" applyBorder="1" applyAlignment="1">
      <alignment vertical="top"/>
    </xf>
    <xf numFmtId="0" fontId="19" fillId="13" borderId="38" xfId="0" applyFont="1" applyFill="1" applyBorder="1"/>
    <xf numFmtId="49" fontId="1" fillId="0" borderId="0" xfId="0" applyNumberFormat="1" applyFont="1"/>
    <xf numFmtId="0" fontId="19" fillId="5" borderId="0" xfId="0" applyFont="1" applyFill="1"/>
    <xf numFmtId="21" fontId="0" fillId="0" borderId="0" xfId="0" applyNumberFormat="1"/>
    <xf numFmtId="167" fontId="8" fillId="0" borderId="0" xfId="0" applyNumberFormat="1" applyFont="1"/>
    <xf numFmtId="21" fontId="8" fillId="0" borderId="0" xfId="0" applyNumberFormat="1" applyFont="1"/>
    <xf numFmtId="0" fontId="8" fillId="0" borderId="0" xfId="0" applyFont="1"/>
    <xf numFmtId="0" fontId="8" fillId="0" borderId="0" xfId="0" quotePrefix="1" applyFont="1"/>
    <xf numFmtId="0" fontId="0" fillId="0" borderId="0" xfId="0" applyFont="1" applyFill="1" applyBorder="1"/>
    <xf numFmtId="0" fontId="17" fillId="0" borderId="0" xfId="0" applyFont="1" applyAlignment="1">
      <alignment vertical="center"/>
    </xf>
    <xf numFmtId="171" fontId="0" fillId="0" borderId="34" xfId="0" applyNumberFormat="1" applyBorder="1"/>
    <xf numFmtId="168" fontId="1" fillId="0" borderId="34" xfId="0" applyNumberFormat="1" applyFont="1" applyBorder="1"/>
  </cellXfs>
  <cellStyles count="9">
    <cellStyle name="Hyperkobling" xfId="7" builtinId="8"/>
    <cellStyle name="Min stil" xfId="2" xr:uid="{00000000-0005-0000-0000-000001000000}"/>
    <cellStyle name="Normal" xfId="0" builtinId="0"/>
    <cellStyle name="Normal 2" xfId="1" xr:uid="{00000000-0005-0000-0000-000003000000}"/>
    <cellStyle name="Normal 2 2" xfId="3" xr:uid="{00000000-0005-0000-0000-000004000000}"/>
    <cellStyle name="Normal 2_FinishPlan_M" xfId="8" xr:uid="{00000000-0005-0000-0000-000005000000}"/>
    <cellStyle name="Normal 3" xfId="4" xr:uid="{00000000-0005-0000-0000-000006000000}"/>
    <cellStyle name="Normal 4" xfId="5" xr:uid="{00000000-0005-0000-0000-000007000000}"/>
    <cellStyle name="Normal_Billing_Check" xfId="6" xr:uid="{00000000-0005-0000-0000-000008000000}"/>
  </cellStyles>
  <dxfs count="466">
    <dxf>
      <numFmt numFmtId="6" formatCode="#,##0;[Red]\-#,##0"/>
    </dxf>
    <dxf>
      <numFmt numFmtId="165" formatCode="#,##0.0;[Red]\-#,##0.0"/>
    </dxf>
    <dxf>
      <numFmt numFmtId="171" formatCode="0.0"/>
    </dxf>
    <dxf>
      <numFmt numFmtId="168" formatCode="#,##0\ %;[Red]\-#,##0\ %"/>
    </dxf>
    <dxf>
      <numFmt numFmtId="6" formatCode="#,##0;[Red]\-#,##0"/>
    </dxf>
    <dxf>
      <numFmt numFmtId="165" formatCode="#,##0.0;[Red]\-#,##0.0"/>
    </dxf>
    <dxf>
      <numFmt numFmtId="171" formatCode="0.0"/>
    </dxf>
    <dxf>
      <numFmt numFmtId="168" formatCode="#,##0\ %;[Red]\-#,##0\ %"/>
    </dxf>
    <dxf>
      <numFmt numFmtId="6" formatCode="#,##0;[Red]\-#,##0"/>
    </dxf>
    <dxf>
      <numFmt numFmtId="165" formatCode="#,##0.0;[Red]\-#,##0.0"/>
    </dxf>
    <dxf>
      <numFmt numFmtId="171" formatCode="0.0"/>
    </dxf>
    <dxf>
      <numFmt numFmtId="168" formatCode="#,##0\ %;[Red]\-#,##0\ %"/>
    </dxf>
    <dxf>
      <numFmt numFmtId="171" formatCode="0.0"/>
    </dxf>
    <dxf>
      <numFmt numFmtId="165" formatCode="#,##0.0;[Red]\-#,##0.0"/>
    </dxf>
    <dxf>
      <numFmt numFmtId="6" formatCode="#,##0;[Red]\-#,##0"/>
    </dxf>
    <dxf>
      <numFmt numFmtId="165" formatCode="#,##0.0;[Red]\-#,##0.0"/>
    </dxf>
    <dxf>
      <numFmt numFmtId="165" formatCode="#,##0.0;[Red]\-#,##0.0"/>
    </dxf>
    <dxf>
      <numFmt numFmtId="165" formatCode="#,##0.0;[Red]\-#,##0.0"/>
    </dxf>
    <dxf>
      <numFmt numFmtId="172" formatCode="0\ %;[Red]\-0\ %"/>
    </dxf>
    <dxf>
      <numFmt numFmtId="168" formatCode="#,##0\ %;[Red]\-#,##0\ %"/>
    </dxf>
    <dxf>
      <numFmt numFmtId="168" formatCode="#,##0\ %;[Red]\-#,##0\ %"/>
    </dxf>
    <dxf>
      <numFmt numFmtId="6" formatCode="#,##0;[Red]\-#,##0"/>
    </dxf>
    <dxf>
      <numFmt numFmtId="168" formatCode="#,##0\ %;[Red]\-#,##0\ %"/>
    </dxf>
    <dxf>
      <numFmt numFmtId="171" formatCode="0.0"/>
    </dxf>
    <dxf>
      <numFmt numFmtId="165" formatCode="#,##0.0;[Red]\-#,##0.0"/>
    </dxf>
    <dxf>
      <numFmt numFmtId="6" formatCode="#,##0;[Red]\-#,##0"/>
    </dxf>
    <dxf>
      <numFmt numFmtId="168" formatCode="#,##0\ %;[Red]\-#,##0\ %"/>
    </dxf>
    <dxf>
      <numFmt numFmtId="171" formatCode="0.0"/>
    </dxf>
    <dxf>
      <numFmt numFmtId="165" formatCode="#,##0.0;[Red]\-#,##0.0"/>
    </dxf>
    <dxf>
      <numFmt numFmtId="6" formatCode="#,##0;[Red]\-#,##0"/>
    </dxf>
    <dxf>
      <font>
        <condense val="0"/>
        <extend val="0"/>
        <color indexed="9"/>
      </font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</border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m/d/yy\ h:m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m/d/yy\ h:m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6" formatCode="#,##0;[Red]\-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25" formatCode="hh:mm"/>
    </dxf>
    <dxf>
      <numFmt numFmtId="176" formatCode="dd/mm/yyyy;@"/>
    </dxf>
    <dxf>
      <numFmt numFmtId="6" formatCode="#,##0;[Red]\-#,##0"/>
    </dxf>
    <dxf>
      <numFmt numFmtId="6" formatCode="#,##0;[Red]\-#,##0"/>
    </dxf>
    <dxf>
      <numFmt numFmtId="168" formatCode="#,##0\ %;[Red]\-#,##0\ %"/>
    </dxf>
    <dxf>
      <numFmt numFmtId="166" formatCode="dd/mm/yy\ hh:mm;@"/>
    </dxf>
    <dxf>
      <numFmt numFmtId="2" formatCode="0.00"/>
    </dxf>
    <dxf>
      <numFmt numFmtId="2" formatCode="0.00"/>
    </dxf>
    <dxf>
      <numFmt numFmtId="0" formatCode="General"/>
    </dxf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sz val="10"/>
        <color auto="1"/>
        <name val="Arial"/>
        <scheme val="none"/>
      </font>
      <numFmt numFmtId="6" formatCode="#,##0;[Red]\-#,##0"/>
    </dxf>
    <dxf>
      <numFmt numFmtId="2" formatCode="0.00"/>
    </dxf>
    <dxf>
      <numFmt numFmtId="2" formatCode="0.00"/>
    </dxf>
    <dxf>
      <numFmt numFmtId="2" formatCode="0.0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177" formatCode="hh:mm:ss;@"/>
    </dxf>
    <dxf>
      <numFmt numFmtId="0" formatCode="General"/>
    </dxf>
    <dxf>
      <numFmt numFmtId="177" formatCode="hh:mm:ss;@"/>
    </dxf>
    <dxf>
      <numFmt numFmtId="174" formatCode="dd/mm/yyyy\ hh:mm:ss"/>
    </dxf>
    <dxf>
      <font>
        <sz val="10"/>
        <color auto="1"/>
        <name val="Arial"/>
        <scheme val="none"/>
      </font>
      <numFmt numFmtId="174" formatCode="dd/mm/yyyy\ hh:mm:ss"/>
    </dxf>
    <dxf>
      <numFmt numFmtId="25" formatCode="hh:mm"/>
    </dxf>
    <dxf>
      <numFmt numFmtId="19" formatCode="dd/mm/yyyy"/>
    </dxf>
    <dxf>
      <numFmt numFmtId="0" formatCode="General"/>
    </dxf>
    <dxf>
      <numFmt numFmtId="25" formatCode="hh:mm"/>
    </dxf>
    <dxf>
      <numFmt numFmtId="176" formatCode="dd/mm/yyyy;@"/>
    </dxf>
    <dxf>
      <numFmt numFmtId="0" formatCode="General"/>
    </dxf>
    <dxf>
      <numFmt numFmtId="0" formatCode="General"/>
    </dxf>
    <dxf>
      <numFmt numFmtId="165" formatCode="#,##0.0;[Red]\-#,##0.0"/>
    </dxf>
    <dxf>
      <numFmt numFmtId="0" formatCode="General"/>
    </dxf>
    <dxf>
      <numFmt numFmtId="6" formatCode="#,##0;[Red]\-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0" formatCode="General"/>
    </dxf>
    <dxf>
      <numFmt numFmtId="176" formatCode="dd/mm/yyyy;@"/>
    </dxf>
    <dxf>
      <numFmt numFmtId="176" formatCode="dd/mm/yyyy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167" formatCode="[$-F400]h:mm:ss\ AM/PM"/>
    </dxf>
    <dxf>
      <numFmt numFmtId="177" formatCode="hh:mm:ss;@"/>
    </dxf>
    <dxf>
      <numFmt numFmtId="167" formatCode="[$-F400]h:mm:ss\ AM/PM"/>
    </dxf>
    <dxf>
      <numFmt numFmtId="19" formatCode="dd/mm/yyyy"/>
    </dxf>
    <dxf>
      <numFmt numFmtId="16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77" formatCode="hh:mm:ss;@"/>
    </dxf>
    <dxf>
      <numFmt numFmtId="179" formatCode="[$-F800]dddd\,\ mmmm\ dd\,\ 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6" formatCode="hh:mm:ss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6" formatCode="#,##0;[Red]\-#,##0"/>
    </dxf>
    <dxf>
      <numFmt numFmtId="165" formatCode="#,##0.0;[Red]\-#,##0.0"/>
    </dxf>
    <dxf>
      <numFmt numFmtId="165" formatCode="#,##0.0;[Red]\-#,##0.0"/>
    </dxf>
    <dxf>
      <numFmt numFmtId="168" formatCode="#,##0\ %;[Red]\-#,##0\ %"/>
    </dxf>
    <dxf>
      <numFmt numFmtId="0" formatCode="General"/>
    </dxf>
    <dxf>
      <numFmt numFmtId="0" formatCode="General"/>
    </dxf>
    <dxf>
      <numFmt numFmtId="6" formatCode="#,##0;[Red]\-#,##0"/>
    </dxf>
    <dxf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6" formatCode="#,##0;[Red]\-#,##0"/>
    </dxf>
    <dxf>
      <numFmt numFmtId="174" formatCode="dd/mm/yyyy\ hh:mm:ss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[$-F400]h:mm:ss\ AM/PM"/>
    </dxf>
    <dxf>
      <numFmt numFmtId="166" formatCode="dd/mm/yy\ hh:mm;@"/>
    </dxf>
    <dxf>
      <numFmt numFmtId="6" formatCode="#,##0;[Red]\-#,##0"/>
    </dxf>
    <dxf>
      <numFmt numFmtId="0" formatCode="General"/>
    </dxf>
    <dxf>
      <numFmt numFmtId="0" formatCode="General"/>
    </dxf>
    <dxf>
      <numFmt numFmtId="167" formatCode="[$-F400]h:mm:ss\ AM/PM"/>
    </dxf>
    <dxf>
      <numFmt numFmtId="166" formatCode="dd/mm/yy\ hh:mm;@"/>
    </dxf>
    <dxf>
      <numFmt numFmtId="25" formatCode="hh:mm"/>
    </dxf>
    <dxf>
      <numFmt numFmtId="19" formatCode="dd/mm/yyyy"/>
    </dxf>
    <dxf>
      <numFmt numFmtId="6" formatCode="#,##0;[Red]\-#,##0"/>
    </dxf>
    <dxf>
      <numFmt numFmtId="6" formatCode="#,##0;[Red]\-#,##0"/>
    </dxf>
    <dxf>
      <numFmt numFmtId="168" formatCode="#,##0\ %;[Red]\-#,##0\ %"/>
    </dxf>
    <dxf>
      <numFmt numFmtId="175" formatCode="d/m/yy\ h:mm;@"/>
    </dxf>
    <dxf>
      <font>
        <sz val="10"/>
        <color auto="1"/>
        <name val="Arial"/>
        <scheme val="none"/>
      </font>
      <numFmt numFmtId="2" formatCode="0.00"/>
    </dxf>
    <dxf>
      <numFmt numFmtId="2" formatCode="0.00"/>
    </dxf>
    <dxf>
      <numFmt numFmtId="0" formatCode="General"/>
    </dxf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sz val="10"/>
        <color auto="1"/>
        <name val="Arial"/>
        <scheme val="none"/>
      </font>
      <numFmt numFmtId="6" formatCode="#,##0;[Red]\-#,##0"/>
    </dxf>
    <dxf>
      <numFmt numFmtId="2" formatCode="0.00"/>
    </dxf>
    <dxf>
      <numFmt numFmtId="2" formatCode="0.00"/>
    </dxf>
    <dxf>
      <numFmt numFmtId="2" formatCode="0.00"/>
    </dxf>
    <dxf>
      <numFmt numFmtId="6" formatCode="#,##0;[Red]\-#,##0"/>
    </dxf>
    <dxf>
      <font>
        <sz val="10"/>
        <color auto="1"/>
        <name val="Arial"/>
        <scheme val="none"/>
      </font>
      <numFmt numFmtId="6" formatCode="#,##0;[Red]\-#,##0"/>
    </dxf>
    <dxf>
      <numFmt numFmtId="6" formatCode="#,##0;[Red]\-#,##0"/>
    </dxf>
    <dxf>
      <numFmt numFmtId="167" formatCode="[$-F400]h:mm:ss\ AM/PM"/>
    </dxf>
    <dxf>
      <numFmt numFmtId="0" formatCode="General"/>
    </dxf>
    <dxf>
      <numFmt numFmtId="167" formatCode="[$-F400]h:mm:ss\ AM/PM"/>
    </dxf>
    <dxf>
      <numFmt numFmtId="174" formatCode="dd/mm/yyyy\ hh:mm:ss"/>
    </dxf>
    <dxf>
      <font>
        <sz val="10"/>
        <color auto="1"/>
        <name val="Arial"/>
        <scheme val="none"/>
      </font>
      <numFmt numFmtId="174" formatCode="dd/mm/yyyy\ hh:mm:ss"/>
    </dxf>
    <dxf>
      <numFmt numFmtId="25" formatCode="hh:mm"/>
    </dxf>
    <dxf>
      <numFmt numFmtId="19" formatCode="dd/mm/yyyy"/>
    </dxf>
    <dxf>
      <numFmt numFmtId="0" formatCode="General"/>
    </dxf>
    <dxf>
      <numFmt numFmtId="25" formatCode="hh:mm"/>
    </dxf>
    <dxf>
      <numFmt numFmtId="19" formatCode="dd/mm/yyyy"/>
    </dxf>
    <dxf>
      <numFmt numFmtId="0" formatCode="General"/>
    </dxf>
    <dxf>
      <numFmt numFmtId="0" formatCode="General"/>
    </dxf>
    <dxf>
      <numFmt numFmtId="165" formatCode="#,##0.0;[Red]\-#,##0.0"/>
    </dxf>
    <dxf>
      <numFmt numFmtId="0" formatCode="General"/>
    </dxf>
    <dxf>
      <numFmt numFmtId="6" formatCode="#,##0;[Red]\-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0" formatCode="General"/>
    </dxf>
    <dxf>
      <numFmt numFmtId="176" formatCode="dd/mm/yyyy;@"/>
    </dxf>
    <dxf>
      <numFmt numFmtId="176" formatCode="dd/mm/yyyy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167" formatCode="[$-F400]h:mm:ss\ AM/PM"/>
    </dxf>
    <dxf>
      <numFmt numFmtId="177" formatCode="hh:mm:ss;@"/>
    </dxf>
    <dxf>
      <numFmt numFmtId="167" formatCode="[$-F400]h:mm:ss\ AM/PM"/>
    </dxf>
    <dxf>
      <numFmt numFmtId="19" formatCode="dd/mm/yyyy"/>
    </dxf>
    <dxf>
      <numFmt numFmtId="16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77" formatCode="hh:mm:ss;@"/>
    </dxf>
    <dxf>
      <numFmt numFmtId="19" formatCode="dd/mm/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5" formatCode="hh:mm"/>
    </dxf>
    <dxf>
      <numFmt numFmtId="176" formatCode="dd/mm/yyyy;@"/>
    </dxf>
    <dxf>
      <numFmt numFmtId="6" formatCode="#,##0;[Red]\-#,##0"/>
    </dxf>
    <dxf>
      <numFmt numFmtId="6" formatCode="#,##0;[Red]\-#,##0"/>
    </dxf>
    <dxf>
      <numFmt numFmtId="168" formatCode="#,##0\ %;[Red]\-#,##0\ %"/>
    </dxf>
    <dxf>
      <numFmt numFmtId="166" formatCode="dd/mm/yy\ hh:mm;@"/>
    </dxf>
    <dxf>
      <numFmt numFmtId="2" formatCode="0.00"/>
    </dxf>
    <dxf>
      <numFmt numFmtId="2" formatCode="0.00"/>
    </dxf>
    <dxf>
      <numFmt numFmtId="0" formatCode="General"/>
    </dxf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sz val="10"/>
        <color auto="1"/>
        <name val="Arial"/>
        <scheme val="none"/>
      </font>
      <numFmt numFmtId="6" formatCode="#,##0;[Red]\-#,##0"/>
    </dxf>
    <dxf>
      <numFmt numFmtId="2" formatCode="0.00"/>
    </dxf>
    <dxf>
      <numFmt numFmtId="2" formatCode="0.00"/>
    </dxf>
    <dxf>
      <numFmt numFmtId="2" formatCode="0.0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177" formatCode="hh:mm:ss;@"/>
    </dxf>
    <dxf>
      <numFmt numFmtId="0" formatCode="General"/>
    </dxf>
    <dxf>
      <numFmt numFmtId="177" formatCode="hh:mm:ss;@"/>
    </dxf>
    <dxf>
      <numFmt numFmtId="174" formatCode="dd/mm/yyyy\ hh:mm:ss"/>
    </dxf>
    <dxf>
      <font>
        <sz val="10"/>
        <color auto="1"/>
        <name val="Arial"/>
        <scheme val="none"/>
      </font>
      <numFmt numFmtId="174" formatCode="dd/mm/yyyy\ hh:mm:ss"/>
    </dxf>
    <dxf>
      <numFmt numFmtId="25" formatCode="hh:mm"/>
    </dxf>
    <dxf>
      <numFmt numFmtId="19" formatCode="dd/mm/yyyy"/>
    </dxf>
    <dxf>
      <numFmt numFmtId="0" formatCode="General"/>
    </dxf>
    <dxf>
      <numFmt numFmtId="25" formatCode="hh:mm"/>
    </dxf>
    <dxf>
      <numFmt numFmtId="176" formatCode="dd/mm/yyyy;@"/>
    </dxf>
    <dxf>
      <numFmt numFmtId="0" formatCode="General"/>
    </dxf>
    <dxf>
      <numFmt numFmtId="0" formatCode="General"/>
    </dxf>
    <dxf>
      <numFmt numFmtId="165" formatCode="#,##0.0;[Red]\-#,##0.0"/>
    </dxf>
    <dxf>
      <numFmt numFmtId="0" formatCode="General"/>
    </dxf>
    <dxf>
      <numFmt numFmtId="6" formatCode="#,##0;[Red]\-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0" formatCode="General"/>
    </dxf>
    <dxf>
      <numFmt numFmtId="176" formatCode="dd/mm/yyyy;@"/>
    </dxf>
    <dxf>
      <numFmt numFmtId="176" formatCode="dd/mm/yyyy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167" formatCode="[$-F400]h:mm:ss\ AM/PM"/>
    </dxf>
    <dxf>
      <numFmt numFmtId="177" formatCode="hh:mm:ss;@"/>
    </dxf>
    <dxf>
      <numFmt numFmtId="167" formatCode="[$-F400]h:mm:ss\ AM/PM"/>
    </dxf>
    <dxf>
      <numFmt numFmtId="19" formatCode="dd/mm/yyyy"/>
    </dxf>
    <dxf>
      <numFmt numFmtId="16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77" formatCode="hh:mm:ss;@"/>
    </dxf>
    <dxf>
      <numFmt numFmtId="179" formatCode="[$-F800]dddd\,\ mmmm\ dd\,\ 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AC090"/>
      <color rgb="FFFFCCCC"/>
      <color rgb="FFFF8080"/>
      <color rgb="FFFFFF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openxmlformats.org/officeDocument/2006/relationships/xmlMaps" Target="xmlMap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7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6</xdr:row>
      <xdr:rowOff>47625</xdr:rowOff>
    </xdr:from>
    <xdr:to>
      <xdr:col>9</xdr:col>
      <xdr:colOff>123825</xdr:colOff>
      <xdr:row>17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38225" y="1114425"/>
          <a:ext cx="5486400" cy="1743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38100</xdr:colOff>
      <xdr:row>19</xdr:row>
      <xdr:rowOff>38100</xdr:rowOff>
    </xdr:from>
    <xdr:to>
      <xdr:col>7</xdr:col>
      <xdr:colOff>590550</xdr:colOff>
      <xdr:row>26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38225" y="3209925"/>
          <a:ext cx="4429125" cy="12287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6" name="Avrundet rektangel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2613822" y="310542"/>
          <a:ext cx="3674853" cy="569339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Produksjonplan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5" y="134467"/>
          <a:ext cx="2027181" cy="106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108139</xdr:rowOff>
    </xdr:from>
    <xdr:to>
      <xdr:col>1</xdr:col>
      <xdr:colOff>552450</xdr:colOff>
      <xdr:row>3</xdr:row>
      <xdr:rowOff>136713</xdr:rowOff>
    </xdr:to>
    <xdr:sp macro="" textlink="">
      <xdr:nvSpPr>
        <xdr:cNvPr id="2" name="TimeStart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Arrowheads="1"/>
        </xdr:cNvSpPr>
      </xdr:nvSpPr>
      <xdr:spPr bwMode="auto">
        <a:xfrm>
          <a:off x="2012950" y="647889"/>
          <a:ext cx="552450" cy="187324"/>
        </a:xfrm>
        <a:prstGeom prst="rect">
          <a:avLst/>
        </a:prstGeom>
        <a:solidFill>
          <a:srgbClr val="CCCC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00:00:00</a:t>
          </a:r>
        </a:p>
      </xdr:txBody>
    </xdr:sp>
    <xdr:clientData/>
  </xdr:twoCellAnchor>
  <xdr:twoCellAnchor editAs="absolute">
    <xdr:from>
      <xdr:col>12710</xdr:col>
      <xdr:colOff>46831</xdr:colOff>
      <xdr:row>1</xdr:row>
      <xdr:rowOff>138393</xdr:rowOff>
    </xdr:from>
    <xdr:to>
      <xdr:col>12710</xdr:col>
      <xdr:colOff>46831</xdr:colOff>
      <xdr:row>57</xdr:row>
      <xdr:rowOff>58449</xdr:rowOff>
    </xdr:to>
    <xdr:sp macro="" textlink="">
      <xdr:nvSpPr>
        <xdr:cNvPr id="3" name="TimeLin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ShapeType="1"/>
        </xdr:cNvSpPr>
      </xdr:nvSpPr>
      <xdr:spPr bwMode="auto">
        <a:xfrm>
          <a:off x="2883753281" y="519393"/>
          <a:ext cx="0" cy="16957106"/>
        </a:xfrm>
        <a:prstGeom prst="line">
          <a:avLst/>
        </a:prstGeom>
        <a:noFill/>
        <a:ln w="12700">
          <a:solidFill>
            <a:srgbClr val="FF0000"/>
          </a:solidFill>
          <a:prstDash val="dash"/>
          <a:round/>
          <a:headEnd/>
          <a:tailEnd/>
        </a:ln>
      </xdr:spPr>
    </xdr:sp>
    <xdr:clientData/>
  </xdr:twoCellAnchor>
  <xdr:twoCellAnchor editAs="absolute">
    <xdr:from>
      <xdr:col>12710</xdr:col>
      <xdr:colOff>46831</xdr:colOff>
      <xdr:row>1</xdr:row>
      <xdr:rowOff>119343</xdr:rowOff>
    </xdr:from>
    <xdr:to>
      <xdr:col>12712</xdr:col>
      <xdr:colOff>180181</xdr:colOff>
      <xdr:row>2</xdr:row>
      <xdr:rowOff>147918</xdr:rowOff>
    </xdr:to>
    <xdr:sp macro="" textlink="">
      <xdr:nvSpPr>
        <xdr:cNvPr id="4" name="TimeShape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rrowheads="1"/>
        </xdr:cNvSpPr>
      </xdr:nvSpPr>
      <xdr:spPr bwMode="auto">
        <a:xfrm>
          <a:off x="2883753281" y="500343"/>
          <a:ext cx="577850" cy="187325"/>
        </a:xfrm>
        <a:prstGeom prst="rect">
          <a:avLst/>
        </a:prstGeom>
        <a:solidFill>
          <a:srgbClr val="FFAA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13:12:38</a:t>
          </a:r>
        </a:p>
      </xdr:txBody>
    </xdr:sp>
    <xdr:clientData/>
  </xdr:twoCellAnchor>
  <xdr:twoCellAnchor editAs="absolute">
    <xdr:from>
      <xdr:col>1</xdr:col>
      <xdr:colOff>0</xdr:colOff>
      <xdr:row>1</xdr:row>
      <xdr:rowOff>138393</xdr:rowOff>
    </xdr:from>
    <xdr:to>
      <xdr:col>1</xdr:col>
      <xdr:colOff>0</xdr:colOff>
      <xdr:row>57</xdr:row>
      <xdr:rowOff>58449</xdr:rowOff>
    </xdr:to>
    <xdr:sp macro="" textlink="">
      <xdr:nvSpPr>
        <xdr:cNvPr id="5" name="TimePlan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ShapeType="1"/>
        </xdr:cNvSpPr>
      </xdr:nvSpPr>
      <xdr:spPr bwMode="auto">
        <a:xfrm>
          <a:off x="2012950" y="519393"/>
          <a:ext cx="0" cy="16957106"/>
        </a:xfrm>
        <a:prstGeom prst="line">
          <a:avLst/>
        </a:prstGeom>
        <a:noFill/>
        <a:ln w="12700">
          <a:solidFill>
            <a:srgbClr val="FF0000"/>
          </a:solidFill>
          <a:prstDash val="dash"/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3348096" cy="277097"/>
    <xdr:sp macro="" textlink="ReportCaption1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2412" y="56030"/>
          <a:ext cx="334809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D780AA86-B63C-4B5A-80D8-A03C47C7D192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Released Process Orders in Sequence</a:t>
          </a:fld>
          <a:endParaRPr lang="nb-NO" sz="3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3348096" cy="277097"/>
    <xdr:sp macro="" textlink="ReportCaption1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2412" y="56030"/>
          <a:ext cx="334809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D780AA86-B63C-4B5A-80D8-A03C47C7D192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Released Process Orders in Sequence</a:t>
          </a:fld>
          <a:endParaRPr lang="nb-NO" sz="3600" b="1">
            <a:solidFill>
              <a:srgbClr val="C000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5063822" cy="277097"/>
    <xdr:sp macro="" textlink="ReportCaption2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2412" y="56030"/>
          <a:ext cx="506382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0017230C-E07C-46CE-A26D-4FF43FC35EE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Process Orders not started - in ascending start time order</a:t>
          </a:fld>
          <a:endParaRPr lang="nb-NO" sz="4800" b="1">
            <a:solidFill>
              <a:srgbClr val="C00000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2670276" cy="277097"/>
    <xdr:sp macro="" textlink="ReportCaption3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2412" y="56030"/>
          <a:ext cx="267027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1F6BD8CE-863E-499E-B5A3-C2397BF4FE9C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Deviation in Hours from Plan</a:t>
          </a:fld>
          <a:endParaRPr lang="nb-NO" sz="6600" b="1">
            <a:solidFill>
              <a:srgbClr val="C00000"/>
            </a:solidFill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3087512" cy="277097"/>
    <xdr:sp macro="" textlink="ReportCaption4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2412" y="56030"/>
          <a:ext cx="308751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6BF72B4D-4B65-4F3D-BA46-A399CC00818A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Order Status at Plan creation time</a:t>
          </a:fld>
          <a:endParaRPr lang="nb-NO" sz="8800" b="1">
            <a:solidFill>
              <a:srgbClr val="C00000"/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landepl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rklaRT-v4.0/OrklaRTReports/Blandepl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xPlan"/>
      <sheetName val="AllPlanned"/>
      <sheetName val="ProdStatus"/>
      <sheetName val="ProdPlan"/>
      <sheetName val="PriPlan"/>
      <sheetName val="Allergen"/>
      <sheetName val="AllergenType"/>
      <sheetName val="PackingType"/>
      <sheetName val="Database"/>
      <sheetName val="RSTest"/>
      <sheetName val="Alerts"/>
      <sheetName val="OrderStart"/>
      <sheetName val="Comments"/>
      <sheetName val="Descriptions"/>
      <sheetName val="PvtTableDef"/>
      <sheetName val="LocalLists"/>
      <sheetName val="ReportOptions"/>
      <sheetName val="Version"/>
      <sheetName val="Rapport info"/>
      <sheetName val="Oppsett"/>
      <sheetName val="BlandePlan"/>
      <sheetName val="MaterialPlan"/>
      <sheetName val="Alle_Arbeidsstasjoner"/>
    </sheetNames>
    <sheetDataSet>
      <sheetData sheetId="0"/>
      <sheetData sheetId="1" refreshError="1"/>
      <sheetData sheetId="2">
        <row r="1">
          <cell r="B1" t="str">
            <v>Material</v>
          </cell>
          <cell r="C1" t="str">
            <v>Material1</v>
          </cell>
          <cell r="D1" t="str">
            <v>Start</v>
          </cell>
        </row>
        <row r="2">
          <cell r="B2">
            <v>1232</v>
          </cell>
          <cell r="C2">
            <v>602809</v>
          </cell>
          <cell r="D2">
            <v>40255.291666666664</v>
          </cell>
        </row>
        <row r="3">
          <cell r="B3">
            <v>1202</v>
          </cell>
          <cell r="C3">
            <v>602805</v>
          </cell>
          <cell r="D3">
            <v>40255.291666666664</v>
          </cell>
        </row>
      </sheetData>
      <sheetData sheetId="3">
        <row r="1">
          <cell r="B1" t="str">
            <v>Order</v>
          </cell>
          <cell r="C1" t="str">
            <v>Start</v>
          </cell>
          <cell r="D1" t="str">
            <v>Material Name</v>
          </cell>
          <cell r="E1" t="str">
            <v>Work Center</v>
          </cell>
          <cell r="F1" t="str">
            <v>Operation Qty</v>
          </cell>
        </row>
        <row r="2">
          <cell r="B2">
            <v>100271991</v>
          </cell>
          <cell r="C2">
            <v>40255.291666666664</v>
          </cell>
          <cell r="D2" t="str">
            <v>001232 Brun Saus U/løk 12 blokker 20esk</v>
          </cell>
          <cell r="E2" t="str">
            <v>1301 Corazza</v>
          </cell>
          <cell r="F2">
            <v>16000</v>
          </cell>
        </row>
        <row r="3">
          <cell r="B3">
            <v>100272257</v>
          </cell>
          <cell r="C3">
            <v>40255.291666666664</v>
          </cell>
          <cell r="D3" t="str">
            <v>001202 Brun Saus m/løk 12blokker  20esk</v>
          </cell>
          <cell r="E3" t="str">
            <v>1301 Corazza</v>
          </cell>
          <cell r="F3">
            <v>24000</v>
          </cell>
        </row>
      </sheetData>
      <sheetData sheetId="4"/>
      <sheetData sheetId="5"/>
      <sheetData sheetId="6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>
        <row r="6">
          <cell r="B6" t="str">
            <v>Level 1</v>
          </cell>
        </row>
        <row r="7">
          <cell r="B7" t="str">
            <v>Level 3</v>
          </cell>
        </row>
      </sheetData>
      <sheetData sheetId="17">
        <row r="5">
          <cell r="B5" t="str">
            <v>Blandeplan</v>
          </cell>
        </row>
        <row r="8">
          <cell r="B8" t="str">
            <v>Blandeplan</v>
          </cell>
        </row>
      </sheetData>
      <sheetData sheetId="18"/>
      <sheetData sheetId="19"/>
      <sheetData sheetId="20">
        <row r="6">
          <cell r="B6" t="str">
            <v>Planned</v>
          </cell>
        </row>
      </sheetData>
      <sheetData sheetId="21" refreshError="1"/>
      <sheetData sheetId="2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xPlan"/>
      <sheetName val="AllPlanned"/>
      <sheetName val="ProdStatus"/>
      <sheetName val="ProdPlan"/>
      <sheetName val="PriPlan"/>
      <sheetName val="Allergen"/>
      <sheetName val="AllergenType"/>
      <sheetName val="PackingType"/>
      <sheetName val="Database"/>
      <sheetName val="RSTest"/>
      <sheetName val="Alerts"/>
      <sheetName val="OrderStart"/>
      <sheetName val="Comments"/>
      <sheetName val="Descriptions"/>
      <sheetName val="PvtTableDef"/>
      <sheetName val="LocalLists"/>
      <sheetName val="ReportOptions"/>
      <sheetName val="Version"/>
      <sheetName val="Rapport info"/>
      <sheetName val="Oppsett"/>
      <sheetName val="BlandePlan"/>
      <sheetName val="MaterialPlan"/>
      <sheetName val="Alle_Arbeidsstasjoner"/>
    </sheetNames>
    <sheetDataSet>
      <sheetData sheetId="0"/>
      <sheetData sheetId="1" refreshError="1"/>
      <sheetData sheetId="2">
        <row r="1">
          <cell r="B1" t="str">
            <v>Material</v>
          </cell>
          <cell r="C1" t="str">
            <v>Material1</v>
          </cell>
          <cell r="D1" t="str">
            <v>Start</v>
          </cell>
        </row>
        <row r="2">
          <cell r="B2">
            <v>1232</v>
          </cell>
          <cell r="C2">
            <v>602809</v>
          </cell>
          <cell r="D2">
            <v>40255.291666666664</v>
          </cell>
        </row>
        <row r="3">
          <cell r="B3">
            <v>1202</v>
          </cell>
          <cell r="C3">
            <v>602805</v>
          </cell>
          <cell r="D3">
            <v>40255.291666666664</v>
          </cell>
        </row>
      </sheetData>
      <sheetData sheetId="3">
        <row r="1">
          <cell r="B1" t="str">
            <v>Order</v>
          </cell>
          <cell r="C1" t="str">
            <v>Start</v>
          </cell>
          <cell r="D1" t="str">
            <v>Material Name</v>
          </cell>
          <cell r="E1" t="str">
            <v>Work Center</v>
          </cell>
          <cell r="F1" t="str">
            <v>Operation Qty</v>
          </cell>
        </row>
        <row r="2">
          <cell r="B2">
            <v>100271991</v>
          </cell>
          <cell r="C2">
            <v>40255.291666666664</v>
          </cell>
          <cell r="D2" t="str">
            <v>001232 Brun Saus U/løk 12 blokker 20esk</v>
          </cell>
          <cell r="E2" t="str">
            <v>1301 Corazza</v>
          </cell>
          <cell r="F2">
            <v>16000</v>
          </cell>
        </row>
        <row r="3">
          <cell r="B3">
            <v>100272257</v>
          </cell>
          <cell r="C3">
            <v>40255.291666666664</v>
          </cell>
          <cell r="D3" t="str">
            <v>001202 Brun Saus m/løk 12blokker  20esk</v>
          </cell>
          <cell r="E3" t="str">
            <v>1301 Corazza</v>
          </cell>
          <cell r="F3">
            <v>24000</v>
          </cell>
        </row>
      </sheetData>
      <sheetData sheetId="4"/>
      <sheetData sheetId="5" refreshError="1"/>
      <sheetData sheetId="6" refreshError="1"/>
      <sheetData sheetId="7" refreshError="1"/>
      <sheetData sheetId="8">
        <row r="1">
          <cell r="AH1" t="str">
            <v>Material</v>
          </cell>
          <cell r="AI1" t="str">
            <v>Mtyp</v>
          </cell>
          <cell r="AJ1" t="str">
            <v>Prod.kom.No</v>
          </cell>
          <cell r="AK1" t="str">
            <v>Fabrikk2</v>
          </cell>
          <cell r="AL1" t="str">
            <v>Arbeidsstasjon3</v>
          </cell>
          <cell r="AM1" t="str">
            <v>Unrestricted</v>
          </cell>
          <cell r="AN1" t="str">
            <v>Qty Withdrawn</v>
          </cell>
          <cell r="AO1" t="str">
            <v>Total Stock</v>
          </cell>
          <cell r="AP1" t="str">
            <v>StdVal8</v>
          </cell>
          <cell r="AQ1" t="str">
            <v>StdVal6</v>
          </cell>
          <cell r="AR1" t="str">
            <v>StdVal</v>
          </cell>
          <cell r="AS1" t="str">
            <v>Operation Qty</v>
          </cell>
          <cell r="AT1" t="str">
            <v>Setup time</v>
          </cell>
          <cell r="AU1" t="str">
            <v>Processing time</v>
          </cell>
          <cell r="AV1" t="str">
            <v>Quantity of goods received</v>
          </cell>
          <cell r="AW1" t="str">
            <v>Equal batch size qty</v>
          </cell>
          <cell r="AX1" t="str">
            <v>Reqmt Qty</v>
          </cell>
          <cell r="AY1" t="str">
            <v>Base Quantity</v>
          </cell>
          <cell r="AZ1" t="str">
            <v>N</v>
          </cell>
        </row>
        <row r="2">
          <cell r="AH2">
            <v>109118</v>
          </cell>
          <cell r="AI2" t="str">
            <v>ZROH</v>
          </cell>
          <cell r="AJ2">
            <v>2064</v>
          </cell>
          <cell r="AK2" t="str">
            <v>EL00</v>
          </cell>
          <cell r="AL2" t="str">
            <v>AR00/AR2201</v>
          </cell>
          <cell r="AM2">
            <v>42257.387999999999</v>
          </cell>
          <cell r="AN2">
            <v>0</v>
          </cell>
          <cell r="AO2">
            <v>2978</v>
          </cell>
          <cell r="AP2">
            <v>0</v>
          </cell>
          <cell r="AQ2">
            <v>0</v>
          </cell>
          <cell r="AR2">
            <v>1</v>
          </cell>
          <cell r="AS2">
            <v>288</v>
          </cell>
          <cell r="AT2">
            <v>0</v>
          </cell>
          <cell r="AU2">
            <v>1.2577777777777699</v>
          </cell>
          <cell r="AV2">
            <v>0</v>
          </cell>
          <cell r="AW2">
            <v>288</v>
          </cell>
          <cell r="AX2">
            <v>32</v>
          </cell>
          <cell r="AY2">
            <v>1</v>
          </cell>
          <cell r="AZ2">
            <v>1</v>
          </cell>
        </row>
        <row r="3">
          <cell r="AH3">
            <v>109118</v>
          </cell>
          <cell r="AI3" t="str">
            <v>ZHAL</v>
          </cell>
          <cell r="AJ3">
            <v>2064</v>
          </cell>
          <cell r="AK3" t="str">
            <v>EL00</v>
          </cell>
          <cell r="AL3" t="str">
            <v>AR00/AR2801</v>
          </cell>
          <cell r="AM3">
            <v>11492.79</v>
          </cell>
          <cell r="AN3">
            <v>0</v>
          </cell>
          <cell r="AO3">
            <v>2978</v>
          </cell>
          <cell r="AP3">
            <v>0</v>
          </cell>
          <cell r="AQ3">
            <v>0</v>
          </cell>
          <cell r="AR3">
            <v>0</v>
          </cell>
          <cell r="AS3">
            <v>288</v>
          </cell>
          <cell r="AT3">
            <v>0</v>
          </cell>
          <cell r="AU3">
            <v>0.81666666666666599</v>
          </cell>
          <cell r="AV3">
            <v>0</v>
          </cell>
          <cell r="AW3">
            <v>288</v>
          </cell>
          <cell r="AX3">
            <v>0.11</v>
          </cell>
          <cell r="AY3">
            <v>1</v>
          </cell>
          <cell r="AZ3">
            <v>1</v>
          </cell>
        </row>
      </sheetData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6">
          <cell r="B6" t="str">
            <v>Level 1</v>
          </cell>
        </row>
        <row r="7">
          <cell r="B7" t="str">
            <v>Level 3</v>
          </cell>
        </row>
      </sheetData>
      <sheetData sheetId="17">
        <row r="5">
          <cell r="B5" t="str">
            <v>Blandeplan</v>
          </cell>
        </row>
        <row r="8">
          <cell r="B8" t="str">
            <v>Blandeplan</v>
          </cell>
        </row>
      </sheetData>
      <sheetData sheetId="18"/>
      <sheetData sheetId="19"/>
      <sheetData sheetId="20">
        <row r="6">
          <cell r="B6" t="str">
            <v>Planned</v>
          </cell>
        </row>
      </sheetData>
      <sheetData sheetId="21" refreshError="1"/>
      <sheetData sheetId="2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il Kumar Bottu" refreshedDate="42122.438384143519" createdVersion="4" refreshedVersion="5" minRefreshableVersion="3" recordCount="2" xr:uid="{00000000-000A-0000-FFFF-FFFF00000000}">
  <cacheSource type="worksheet">
    <worksheetSource name="SapExlData"/>
  </cacheSource>
  <cacheFields count="97">
    <cacheField name="Order" numFmtId="0">
      <sharedItems containsSemiMixedTypes="0" containsString="0" containsNumber="1" containsInteger="1" minValue="1199656" maxValue="100437261" count="4">
        <n v="1216279"/>
        <n v="1199656" u="1"/>
        <n v="100437261" u="1"/>
        <n v="100436772" u="1"/>
      </sharedItems>
    </cacheField>
    <cacheField name="Confirmed order finish date" numFmtId="14">
      <sharedItems containsNonDate="0" containsString="0" containsBlank="1"/>
    </cacheField>
    <cacheField name="Actual finish date" numFmtId="14">
      <sharedItems/>
    </cacheField>
    <cacheField name="Scheduled finish" numFmtId="14">
      <sharedItems/>
    </cacheField>
    <cacheField name="Finish tme" numFmtId="167">
      <sharedItems containsSemiMixedTypes="0" containsNonDate="0" containsDate="1" containsString="0" minDate="1899-12-30T15:00:00" maxDate="1899-12-30T15:00:00"/>
    </cacheField>
    <cacheField name="Actual start date" numFmtId="14">
      <sharedItems/>
    </cacheField>
    <cacheField name="Scheduled start" numFmtId="14">
      <sharedItems/>
    </cacheField>
    <cacheField name="SchedStart" numFmtId="167">
      <sharedItems containsSemiMixedTypes="0" containsNonDate="0" containsDate="1" containsString="0" minDate="1899-12-30T11:35:42" maxDate="1899-12-30T11:35:42"/>
    </cacheField>
    <cacheField name="Act.finish" numFmtId="14">
      <sharedItems/>
    </cacheField>
    <cacheField name="Act. Start" numFmtId="179">
      <sharedItems/>
    </cacheField>
    <cacheField name="DCI" numFmtId="177">
      <sharedItems containsNonDate="0" containsString="0" containsBlank="1" count="1">
        <m/>
      </sharedItems>
    </cacheField>
    <cacheField name="OrderNummer" numFmtId="0">
      <sharedItems containsSemiMixedTypes="0" containsString="0" containsNumber="1" containsInteger="1" minValue="1216279" maxValue="1216279"/>
    </cacheField>
    <cacheField name="Earl.start date" numFmtId="14">
      <sharedItems/>
    </cacheField>
    <cacheField name="Lang" numFmtId="0">
      <sharedItems/>
    </cacheField>
    <cacheField name="Mix Material Description" numFmtId="0">
      <sharedItems/>
    </cacheField>
    <cacheField name="0ME_DEL_IND" numFmtId="0">
      <sharedItems containsNonDate="0" containsString="0" containsBlank="1"/>
    </cacheField>
    <cacheField name="Plant Description" numFmtId="0">
      <sharedItems/>
    </cacheField>
    <cacheField name="0PPS_DOCDEL" numFmtId="0">
      <sharedItems containsNonDate="0" containsString="0" containsBlank="1"/>
    </cacheField>
    <cacheField name="Order priority" numFmtId="0">
      <sharedItems containsNonDate="0" containsString="0" containsBlank="1"/>
    </cacheField>
    <cacheField name="0S_ORD_ITEM" numFmtId="0">
      <sharedItems containsSemiMixedTypes="0" containsString="0" containsNumber="1" containsInteger="1" minValue="1" maxValue="1"/>
    </cacheField>
    <cacheField name="Work Center Description" numFmtId="0">
      <sharedItems/>
    </cacheField>
    <cacheField name="Counter" numFmtId="0">
      <sharedItems containsSemiMixedTypes="0" containsString="0" containsNumber="1" containsInteger="1" minValue="1" maxValue="2"/>
    </cacheField>
    <cacheField name="ID" numFmtId="0">
      <sharedItems containsSemiMixedTypes="0" containsString="0" containsNumber="1" containsInteger="1" minValue="1" maxValue="1"/>
    </cacheField>
    <cacheField name="ZIBEZEI" numFmtId="0">
      <sharedItems/>
    </cacheField>
    <cacheField name="Earl.start time" numFmtId="167">
      <sharedItems containsSemiMixedTypes="0" containsNonDate="0" containsDate="1" containsString="0" minDate="1899-12-30T11:35:42" maxDate="1899-12-30T11:35:42"/>
    </cacheField>
    <cacheField name="Actual Order Finish Date" numFmtId="14">
      <sharedItems/>
    </cacheField>
    <cacheField name="Act.finish2" numFmtId="167">
      <sharedItems containsSemiMixedTypes="0" containsNonDate="0" containsDate="1" containsString="0" minDate="1899-12-30T15:00:58" maxDate="1899-12-30T15:00:58"/>
    </cacheField>
    <cacheField name="ActlStart" numFmtId="177">
      <sharedItems containsSemiMixedTypes="0" containsNonDate="0" containsDate="1" containsString="0" minDate="1899-12-30T15:00:58" maxDate="1899-12-30T15:00:58"/>
    </cacheField>
    <cacheField name="Act.finish3" numFmtId="167">
      <sharedItems containsSemiMixedTypes="0" containsNonDate="0" containsDate="1" containsString="0" minDate="1899-12-30T15:00:58" maxDate="1899-12-30T15:00:58"/>
    </cacheField>
    <cacheField name="Act.finish4" numFmtId="177">
      <sharedItems containsSemiMixedTypes="0" containsNonDate="0" containsDate="1" containsString="0" minDate="1899-12-30T15:00:58" maxDate="1899-12-30T15:00:58"/>
    </cacheField>
    <cacheField name="ZIKAPID" numFmtId="0">
      <sharedItems containsSemiMixedTypes="0" containsString="0" containsNumber="1" containsInteger="1" minValue="10000754" maxValue="10000754"/>
    </cacheField>
    <cacheField name="Material Description" numFmtId="0">
      <sharedItems/>
    </cacheField>
    <cacheField name="Ph" numFmtId="0">
      <sharedItems/>
    </cacheField>
    <cacheField name="Lat.start date" numFmtId="176">
      <sharedItems/>
    </cacheField>
    <cacheField name="Lat. start time" numFmtId="177">
      <sharedItems containsSemiMixedTypes="0" containsNonDate="0" containsDate="1" containsString="0" minDate="1899-12-30T11:35:42" maxDate="1899-12-30T11:35:42"/>
    </cacheField>
    <cacheField name="Ctrl" numFmtId="176">
      <sharedItems/>
    </cacheField>
    <cacheField name="ZISTLTY" numFmtId="177">
      <sharedItems/>
    </cacheField>
    <cacheField name="Short description" numFmtId="176">
      <sharedItems/>
    </cacheField>
    <cacheField name="MixEnhet" numFmtId="176">
      <sharedItems/>
    </cacheField>
    <cacheField name="20LANGU" numFmtId="176">
      <sharedItems/>
    </cacheField>
    <cacheField name="Mix Material" numFmtId="0">
      <sharedItems containsSemiMixedTypes="0" containsString="0" containsNumber="1" containsInteger="1" minValue="506620" maxValue="506620"/>
    </cacheField>
    <cacheField name="Plnt" numFmtId="177">
      <sharedItems/>
    </cacheField>
    <cacheField name="Work ctr" numFmtId="0">
      <sharedItems/>
    </cacheField>
    <cacheField name="Material Number" numFmtId="0">
      <sharedItems containsNonDate="0" containsString="0" containsBlank="1"/>
    </cacheField>
    <cacheField name="Base Quantity" numFmtId="0">
      <sharedItems containsSemiMixedTypes="0" containsString="0" containsNumber="1" containsInteger="1" minValue="1000" maxValue="1000"/>
    </cacheField>
    <cacheField name="Reqmt Qty" numFmtId="0">
      <sharedItems containsSemiMixedTypes="0" containsString="0" containsNumber="1" containsInteger="1" minValue="0" maxValue="0"/>
    </cacheField>
    <cacheField name="Confirmed scrap" numFmtId="0">
      <sharedItems containsSemiMixedTypes="0" containsString="0" containsNumber="1" containsInteger="1" minValue="0" maxValue="0"/>
    </cacheField>
    <cacheField name="Confirmed yield" numFmtId="0">
      <sharedItems containsSemiMixedTypes="0" containsString="0" containsNumber="1" containsInteger="1" minValue="3150" maxValue="3150"/>
    </cacheField>
    <cacheField name="Confirmed Yield2" numFmtId="0">
      <sharedItems containsSemiMixedTypes="0" containsString="0" containsNumber="1" containsInteger="1" minValue="3150" maxValue="3150"/>
    </cacheField>
    <cacheField name="Quantity of goods received" numFmtId="0">
      <sharedItems containsSemiMixedTypes="0" containsString="0" containsNumber="1" containsInteger="1" minValue="3150" maxValue="3150"/>
    </cacheField>
    <cacheField name="Processing time" numFmtId="0">
      <sharedItems containsSemiMixedTypes="0" containsString="0" containsNumber="1" minValue="0.2" maxValue="1"/>
    </cacheField>
    <cacheField name="Scrap quantity" numFmtId="0">
      <sharedItems containsSemiMixedTypes="0" containsString="0" containsNumber="1" containsInteger="1" minValue="0" maxValue="0"/>
    </cacheField>
    <cacheField name="Total order quantity" numFmtId="0">
      <sharedItems containsSemiMixedTypes="0" containsString="0" containsNumber="1" containsInteger="1" minValue="3173" maxValue="3173"/>
    </cacheField>
    <cacheField name="Total Scrap Quantity in the Or" numFmtId="0">
      <sharedItems containsSemiMixedTypes="0" containsString="0" containsNumber="1" containsInteger="1" minValue="0" maxValue="0"/>
    </cacheField>
    <cacheField name="Setup time" numFmtId="0">
      <sharedItems containsSemiMixedTypes="0" containsString="0" containsNumber="1" containsInteger="1" minValue="0" maxValue="0"/>
    </cacheField>
    <cacheField name="Operation Qty" numFmtId="0">
      <sharedItems containsSemiMixedTypes="0" containsString="0" containsNumber="1" containsInteger="1" minValue="3150" maxValue="3150"/>
    </cacheField>
    <cacheField name="Confirmed qty" numFmtId="0">
      <sharedItems containsSemiMixedTypes="0" containsString="0" containsNumber="1" containsInteger="1" minValue="3150" maxValue="3150"/>
    </cacheField>
    <cacheField name="Total Stock" numFmtId="0">
      <sharedItems containsSemiMixedTypes="0" containsString="0" containsNumber="1" containsInteger="1" minValue="0" maxValue="0"/>
    </cacheField>
    <cacheField name="Qty Withdrawn" numFmtId="0">
      <sharedItems containsSemiMixedTypes="0" containsString="0" containsNumber="1" containsInteger="1" minValue="0" maxValue="0"/>
    </cacheField>
    <cacheField name="SetupTid" numFmtId="0">
      <sharedItems containsSemiMixedTypes="0" containsString="0" containsNumber="1" containsInteger="1" minValue="0" maxValue="0"/>
    </cacheField>
    <cacheField name="ProcTid" numFmtId="0">
      <sharedItems containsSemiMixedTypes="0" containsString="0" containsNumber="1" containsInteger="1" minValue="0" maxValue="0"/>
    </cacheField>
    <cacheField name="Material Name" numFmtId="0">
      <sharedItems count="5">
        <s v=" BRUNET MASSE"/>
        <s v="015928 Brun middagsaus pastøs 6bx/10L" u="1"/>
        <s v="506620 Salt Vacuum Fint" u="1"/>
        <s v="Svinekjøtt forsaltet til postei " u="1"/>
        <s v="001538 Brun middagsaus pastøs økon 1sp/190L" u="1"/>
      </sharedItems>
    </cacheField>
    <cacheField name="Rem_Qty" numFmtId="38">
      <sharedItems containsSemiMixedTypes="0" containsString="0" containsNumber="1" containsInteger="1" minValue="23" maxValue="23"/>
    </cacheField>
    <cacheField name="RT_Total" numFmtId="0">
      <sharedItems containsSemiMixedTypes="0" containsString="0" containsNumber="1" minValue="3.15" maxValue="3.15"/>
    </cacheField>
    <cacheField name="Setup" numFmtId="165">
      <sharedItems containsSemiMixedTypes="0" containsString="0" containsNumber="1" containsInteger="1" minValue="0" maxValue="0"/>
    </cacheField>
    <cacheField name="Rem_Time" numFmtId="0">
      <sharedItems containsSemiMixedTypes="0" containsString="0" containsNumber="1" minValue="0" maxValue="4.6666666666666599" count="4">
        <n v="0"/>
        <n v="2.2833280806807434E-2" u="1"/>
        <n v="4.6666666666666599" u="1"/>
        <n v="3.1666666666666599" u="1"/>
      </sharedItems>
    </cacheField>
    <cacheField name="Sequence" numFmtId="0">
      <sharedItems containsSemiMixedTypes="0" containsString="0" containsNumber="1" containsInteger="1" minValue="1" maxValue="1"/>
    </cacheField>
    <cacheField name="Start_DateH" numFmtId="176">
      <sharedItems containsSemiMixedTypes="0" containsNonDate="0" containsDate="1" containsString="0" minDate="2015-03-23T00:00:00" maxDate="2015-03-24T00:00:00"/>
    </cacheField>
    <cacheField name="Start_TimeH" numFmtId="20">
      <sharedItems containsSemiMixedTypes="0" containsNonDate="0" containsDate="1" containsString="0" minDate="1899-12-30T15:00:58" maxDate="1899-12-30T15:00:58"/>
    </cacheField>
    <cacheField name="Active" numFmtId="0">
      <sharedItems containsSemiMixedTypes="0" containsString="0" containsNumber="1" containsInteger="1" minValue="0" maxValue="2" count="3">
        <n v="0"/>
        <n v="1"/>
        <n v="2" u="1"/>
      </sharedItems>
    </cacheField>
    <cacheField name="End_Date" numFmtId="14">
      <sharedItems containsSemiMixedTypes="0" containsNonDate="0" containsDate="1" containsString="0" minDate="2012-11-20T00:00:00" maxDate="2012-11-21T00:00:00" count="1">
        <d v="2012-11-20T00:00:00"/>
      </sharedItems>
    </cacheField>
    <cacheField name="End_Time" numFmtId="20">
      <sharedItems containsSemiMixedTypes="0" containsNonDate="0" containsDate="1" containsString="0" minDate="1899-12-30T17:38:05" maxDate="1899-12-30T22:18:05" count="2">
        <d v="1899-12-30T17:38:05"/>
        <d v="1899-12-30T22:18:05"/>
      </sharedItems>
    </cacheField>
    <cacheField name="Start" numFmtId="174">
      <sharedItems containsSemiMixedTypes="0" containsNonDate="0" containsDate="1" containsString="0" minDate="2015-03-23T15:00:58" maxDate="2015-03-23T15:00:58"/>
    </cacheField>
    <cacheField name="Stop" numFmtId="174">
      <sharedItems containsSemiMixedTypes="0" containsNonDate="0" containsDate="1" containsString="0" minDate="2012-11-20T17:38:05" maxDate="2012-11-20T22:18:05"/>
    </cacheField>
    <cacheField name="StartSec" numFmtId="177">
      <sharedItems containsSemiMixedTypes="0" containsNonDate="0" containsDate="1" containsString="0" minDate="1899-12-30T07:00:00" maxDate="1899-12-30T07:00:00"/>
    </cacheField>
    <cacheField name="Work Center" numFmtId="0">
      <sharedItems count="5">
        <s v="AR2701 AR00/AR2701"/>
        <s v="FR00/FR7099 Krydderbua" u="1"/>
        <s v="FR00/FR7415 Ks-Blander Gml Div" u="1"/>
        <s v="AR00/AR2701" u="1"/>
        <s v="1502 Grunwald 2" u="1"/>
      </sharedItems>
    </cacheField>
    <cacheField name="StopSec" numFmtId="177">
      <sharedItems containsSemiMixedTypes="0" containsNonDate="0" containsDate="1" containsString="0" minDate="1899-12-30T22:30:00" maxDate="1899-12-30T22:30:00"/>
    </cacheField>
    <cacheField name="Acc_Cap" numFmtId="38">
      <sharedItems containsSemiMixedTypes="0" containsString="0" containsNumber="1" containsInteger="1" minValue="0" maxValue="0"/>
    </cacheField>
    <cacheField name="StartCap" numFmtId="38">
      <sharedItems containsSemiMixedTypes="0" containsString="0" containsNumber="1" containsInteger="1" minValue="0" maxValue="0"/>
    </cacheField>
    <cacheField name="Acc_Cap2" numFmtId="38">
      <sharedItems containsSemiMixedTypes="0" containsString="0" containsNumber="1" containsInteger="1" minValue="0" maxValue="0"/>
    </cacheField>
    <cacheField name="Startverdi" numFmtId="2">
      <sharedItems containsSemiMixedTypes="0" containsString="0" containsNumber="1" containsInteger="1" minValue="0" maxValue="0"/>
    </cacheField>
    <cacheField name="Prodverdi" numFmtId="2">
      <sharedItems containsSemiMixedTypes="0" containsString="0" containsNumber="1" containsInteger="1" minValue="0" maxValue="0"/>
    </cacheField>
    <cacheField name="Nå_verdi" numFmtId="2">
      <sharedItems containsSemiMixedTypes="0" containsString="0" containsNumber="1" containsInteger="1" minValue="0" maxValue="0"/>
    </cacheField>
    <cacheField name="Totverdi" numFmtId="38">
      <sharedItems containsSemiMixedTypes="0" containsString="0" containsNumber="1" containsInteger="1" minValue="0" maxValue="0"/>
    </cacheField>
    <cacheField name="Akt_Help" numFmtId="38">
      <sharedItems containsSemiMixedTypes="0" containsString="0" containsNumber="1" containsInteger="1" minValue="0" maxValue="1"/>
    </cacheField>
    <cacheField name="Acc_Akt" numFmtId="38">
      <sharedItems containsSemiMixedTypes="0" containsString="0" containsNumber="1" containsInteger="1" minValue="0" maxValue="1"/>
    </cacheField>
    <cacheField name="ActStarted" numFmtId="38">
      <sharedItems containsSemiMixedTypes="0" containsString="0" containsNumber="1" containsInteger="1" minValue="0" maxValue="1" count="2">
        <n v="0"/>
        <n v="1"/>
      </sharedItems>
    </cacheField>
    <cacheField name="Locked" numFmtId="0">
      <sharedItems count="1">
        <s v=""/>
      </sharedItems>
    </cacheField>
    <cacheField name="Cap_ToDay" numFmtId="2">
      <sharedItems containsSemiMixedTypes="0" containsString="0" containsNumber="1" containsInteger="1" minValue="0" maxValue="0"/>
    </cacheField>
    <cacheField name="Left_Now" numFmtId="2">
      <sharedItems containsSemiMixedTypes="0" containsString="0" containsNumber="1" containsInteger="1" minValue="0" maxValue="0"/>
    </cacheField>
    <cacheField name="CapStart" numFmtId="166">
      <sharedItems containsSemiMixedTypes="0" containsNonDate="0" containsDate="1" containsString="0" minDate="1899-12-30T00:00:00" maxDate="1899-12-31T00:00:00"/>
    </cacheField>
    <cacheField name="Mix_Status" numFmtId="168">
      <sharedItems count="2">
        <s v="Not relevant"/>
        <e v="#VALUE!" u="1"/>
      </sharedItems>
    </cacheField>
    <cacheField name="Help2" numFmtId="38">
      <sharedItems containsSemiMixedTypes="0" containsString="0" containsNumber="1" containsInteger="1" minValue="0" maxValue="0"/>
    </cacheField>
    <cacheField name="Help3" numFmtId="38">
      <sharedItems containsSemiMixedTypes="0" containsString="0" containsNumber="1" containsInteger="1" minValue="0" maxValue="0"/>
    </cacheField>
    <cacheField name="Start_Date" numFmtId="176">
      <sharedItems containsSemiMixedTypes="0" containsNonDate="0" containsDate="1" containsString="0" minDate="1899-12-30T00:00:00" maxDate="2015-03-24T00:00:00" count="4">
        <d v="2015-03-23T00:00:00"/>
        <d v="1899-12-30T00:00:00" u="1"/>
        <d v="2013-11-25T00:00:00" u="1"/>
        <d v="2014-02-04T00:00:00" u="1"/>
      </sharedItems>
    </cacheField>
    <cacheField name="Start_Time" numFmtId="20">
      <sharedItems containsSemiMixedTypes="0" containsNonDate="0" containsDate="1" containsString="0" minDate="1899-12-30T00:00:00" maxDate="1899-12-30T15:00:58" count="4">
        <d v="1899-12-30T15:00:58"/>
        <d v="1899-12-30T00:00:00" u="1"/>
        <d v="1899-12-30T07:00:00" u="1"/>
        <d v="1899-12-30T13:49:33" u="1"/>
      </sharedItems>
    </cacheField>
    <cacheField name="SL_Mixing" numFmtId="0" formula="Help2/Help3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il Kumar Bottu" refreshedDate="42137.475212268517" createdVersion="5" refreshedVersion="5" minRefreshableVersion="3" recordCount="3" xr:uid="{00000000-000A-0000-FFFF-FFFF01000000}">
  <cacheSource type="worksheet">
    <worksheetSource name="PlanAll"/>
  </cacheSource>
  <cacheFields count="116">
    <cacheField name="Order" numFmtId="0">
      <sharedItems containsMixedTypes="1" containsNumber="1" containsInteger="1" minValue="1216279" maxValue="1216279" count="2">
        <n v="1216279"/>
        <e v="#VALUE!"/>
      </sharedItems>
    </cacheField>
    <cacheField name="Confirmed order finish date" numFmtId="14">
      <sharedItems containsNonDate="0" containsString="0" containsBlank="1"/>
    </cacheField>
    <cacheField name="Actual finish date" numFmtId="14">
      <sharedItems/>
    </cacheField>
    <cacheField name="Scheduled finish" numFmtId="14">
      <sharedItems/>
    </cacheField>
    <cacheField name="Finish tme" numFmtId="167">
      <sharedItems containsSemiMixedTypes="0" containsNonDate="0" containsDate="1" containsString="0" minDate="1899-12-30T15:00:00" maxDate="1899-12-30T15:00:00"/>
    </cacheField>
    <cacheField name="Actual start date" numFmtId="14">
      <sharedItems/>
    </cacheField>
    <cacheField name="Scheduled start" numFmtId="14">
      <sharedItems/>
    </cacheField>
    <cacheField name="SchedStart" numFmtId="167">
      <sharedItems containsSemiMixedTypes="0" containsNonDate="0" containsDate="1" containsString="0" minDate="1899-12-30T11:35:42" maxDate="1899-12-30T11:35:42"/>
    </cacheField>
    <cacheField name="Act.finish" numFmtId="14">
      <sharedItems/>
    </cacheField>
    <cacheField name="Act. Start" numFmtId="14">
      <sharedItems/>
    </cacheField>
    <cacheField name="DCI" numFmtId="177">
      <sharedItems containsNonDate="0" containsString="0" containsBlank="1" count="1">
        <m/>
      </sharedItems>
    </cacheField>
    <cacheField name="OrderNummer" numFmtId="0">
      <sharedItems containsSemiMixedTypes="0" containsString="0" containsNumber="1" containsInteger="1" minValue="1216279" maxValue="1216279"/>
    </cacheField>
    <cacheField name="Earl.start date" numFmtId="14">
      <sharedItems/>
    </cacheField>
    <cacheField name="Lang" numFmtId="0">
      <sharedItems/>
    </cacheField>
    <cacheField name="Mix Material Description" numFmtId="0">
      <sharedItems/>
    </cacheField>
    <cacheField name="0ME_DEL_IND" numFmtId="0">
      <sharedItems containsNonDate="0" containsString="0" containsBlank="1"/>
    </cacheField>
    <cacheField name="Plant Description" numFmtId="0">
      <sharedItems/>
    </cacheField>
    <cacheField name="0PPS_DOCDEL" numFmtId="0">
      <sharedItems containsNonDate="0" containsString="0" containsBlank="1"/>
    </cacheField>
    <cacheField name="Order priority" numFmtId="0">
      <sharedItems containsNonDate="0" containsString="0" containsBlank="1"/>
    </cacheField>
    <cacheField name="0S_ORD_ITEM" numFmtId="0">
      <sharedItems containsSemiMixedTypes="0" containsString="0" containsNumber="1" containsInteger="1" minValue="1" maxValue="1"/>
    </cacheField>
    <cacheField name="Work Center Description" numFmtId="0">
      <sharedItems/>
    </cacheField>
    <cacheField name="Counter" numFmtId="0">
      <sharedItems containsSemiMixedTypes="0" containsString="0" containsNumber="1" containsInteger="1" minValue="1" maxValue="2"/>
    </cacheField>
    <cacheField name="ID" numFmtId="0">
      <sharedItems containsSemiMixedTypes="0" containsString="0" containsNumber="1" containsInteger="1" minValue="1" maxValue="1"/>
    </cacheField>
    <cacheField name="ZIBEZEI" numFmtId="0">
      <sharedItems/>
    </cacheField>
    <cacheField name="Earl.start time" numFmtId="167">
      <sharedItems containsSemiMixedTypes="0" containsNonDate="0" containsDate="1" containsString="0" minDate="1899-12-30T11:35:42" maxDate="1899-12-30T11:35:42"/>
    </cacheField>
    <cacheField name="Actual Order Finish Date" numFmtId="14">
      <sharedItems/>
    </cacheField>
    <cacheField name="Act.finish2" numFmtId="167">
      <sharedItems containsSemiMixedTypes="0" containsNonDate="0" containsDate="1" containsString="0" minDate="1899-12-30T15:00:58" maxDate="1899-12-30T15:00:58"/>
    </cacheField>
    <cacheField name="ActlStart" numFmtId="177">
      <sharedItems containsSemiMixedTypes="0" containsNonDate="0" containsDate="1" containsString="0" minDate="1899-12-30T15:00:58" maxDate="1899-12-30T15:00:58"/>
    </cacheField>
    <cacheField name="Act.finish3" numFmtId="167">
      <sharedItems containsSemiMixedTypes="0" containsNonDate="0" containsDate="1" containsString="0" minDate="1899-12-30T15:00:58" maxDate="1899-12-30T15:00:58"/>
    </cacheField>
    <cacheField name="Act.finish4" numFmtId="177">
      <sharedItems containsSemiMixedTypes="0" containsNonDate="0" containsDate="1" containsString="0" minDate="1899-12-30T15:00:58" maxDate="1899-12-30T15:00:58"/>
    </cacheField>
    <cacheField name="ZIKAPID" numFmtId="0">
      <sharedItems containsSemiMixedTypes="0" containsString="0" containsNumber="1" containsInteger="1" minValue="10000754" maxValue="10000754"/>
    </cacheField>
    <cacheField name="Material Description" numFmtId="0">
      <sharedItems/>
    </cacheField>
    <cacheField name="Ph" numFmtId="0">
      <sharedItems/>
    </cacheField>
    <cacheField name="Lat.start date" numFmtId="176">
      <sharedItems/>
    </cacheField>
    <cacheField name="Lat. start time" numFmtId="177">
      <sharedItems containsSemiMixedTypes="0" containsNonDate="0" containsDate="1" containsString="0" minDate="1899-12-30T11:35:42" maxDate="1899-12-30T11:35:42"/>
    </cacheField>
    <cacheField name="Ctrl" numFmtId="176">
      <sharedItems/>
    </cacheField>
    <cacheField name="ZISTLTY" numFmtId="177">
      <sharedItems/>
    </cacheField>
    <cacheField name="Short description" numFmtId="176">
      <sharedItems/>
    </cacheField>
    <cacheField name="MixEnhet" numFmtId="176">
      <sharedItems/>
    </cacheField>
    <cacheField name="20LANGU" numFmtId="176">
      <sharedItems/>
    </cacheField>
    <cacheField name="Mix Material" numFmtId="0">
      <sharedItems containsSemiMixedTypes="0" containsString="0" containsNumber="1" containsInteger="1" minValue="506620" maxValue="506620"/>
    </cacheField>
    <cacheField name="Plnt" numFmtId="177">
      <sharedItems/>
    </cacheField>
    <cacheField name="Work ctr" numFmtId="0">
      <sharedItems/>
    </cacheField>
    <cacheField name="Material Number" numFmtId="0">
      <sharedItems containsNonDate="0" containsString="0" containsBlank="1"/>
    </cacheField>
    <cacheField name="Base Quantity" numFmtId="0">
      <sharedItems containsSemiMixedTypes="0" containsString="0" containsNumber="1" containsInteger="1" minValue="1000" maxValue="1000"/>
    </cacheField>
    <cacheField name="Reqmt Qty" numFmtId="0">
      <sharedItems containsSemiMixedTypes="0" containsString="0" containsNumber="1" containsInteger="1" minValue="0" maxValue="0"/>
    </cacheField>
    <cacheField name="Confirmed scrap" numFmtId="0">
      <sharedItems containsSemiMixedTypes="0" containsString="0" containsNumber="1" containsInteger="1" minValue="0" maxValue="0"/>
    </cacheField>
    <cacheField name="Confirmed yield" numFmtId="0">
      <sharedItems containsSemiMixedTypes="0" containsString="0" containsNumber="1" containsInteger="1" minValue="3150" maxValue="3150"/>
    </cacheField>
    <cacheField name="Confirmed Yield2" numFmtId="0">
      <sharedItems containsSemiMixedTypes="0" containsString="0" containsNumber="1" containsInteger="1" minValue="3150" maxValue="3150"/>
    </cacheField>
    <cacheField name="Quantity of goods received" numFmtId="0">
      <sharedItems containsSemiMixedTypes="0" containsString="0" containsNumber="1" containsInteger="1" minValue="3173" maxValue="3173"/>
    </cacheField>
    <cacheField name="Processing time" numFmtId="177">
      <sharedItems containsSemiMixedTypes="0" containsNonDate="0" containsDate="1" containsString="0" minDate="1899-12-30T04:48:00" maxDate="1900-01-01T00:00:00"/>
    </cacheField>
    <cacheField name="Scrap quantity" numFmtId="0">
      <sharedItems containsSemiMixedTypes="0" containsString="0" containsNumber="1" containsInteger="1" minValue="0" maxValue="0"/>
    </cacheField>
    <cacheField name="Total order quantity" numFmtId="0">
      <sharedItems containsSemiMixedTypes="0" containsString="0" containsNumber="1" containsInteger="1" minValue="3150" maxValue="3150"/>
    </cacheField>
    <cacheField name="Total Scrap Quantity in the Or" numFmtId="0">
      <sharedItems containsSemiMixedTypes="0" containsString="0" containsNumber="1" containsInteger="1" minValue="0" maxValue="0"/>
    </cacheField>
    <cacheField name="Setup time" numFmtId="167">
      <sharedItems containsSemiMixedTypes="0" containsNonDate="0" containsDate="1" containsString="0" minDate="1899-12-30T00:00:00" maxDate="1899-12-31T00:00:00"/>
    </cacheField>
    <cacheField name="Operation Qty" numFmtId="0">
      <sharedItems containsSemiMixedTypes="0" containsString="0" containsNumber="1" containsInteger="1" minValue="3150" maxValue="3150"/>
    </cacheField>
    <cacheField name="Confirmed qty" numFmtId="0">
      <sharedItems containsSemiMixedTypes="0" containsString="0" containsNumber="1" containsInteger="1" minValue="3150" maxValue="3150"/>
    </cacheField>
    <cacheField name="Total Stock" numFmtId="0">
      <sharedItems containsSemiMixedTypes="0" containsString="0" containsNumber="1" containsInteger="1" minValue="0" maxValue="0"/>
    </cacheField>
    <cacheField name="Qty Withdrawn" numFmtId="0">
      <sharedItems containsSemiMixedTypes="0" containsString="0" containsNumber="1" containsInteger="1" minValue="0" maxValue="0"/>
    </cacheField>
    <cacheField name="SetupTid" numFmtId="0">
      <sharedItems containsSemiMixedTypes="0" containsString="0" containsNumber="1" containsInteger="1" minValue="0" maxValue="0"/>
    </cacheField>
    <cacheField name="ProcTid" numFmtId="0">
      <sharedItems containsSemiMixedTypes="0" containsString="0" containsNumber="1" containsInteger="1" minValue="1" maxValue="1"/>
    </cacheField>
    <cacheField name="Material Name" numFmtId="0">
      <sharedItems count="2">
        <s v="015928 Brun middagsaus pastøs 6bx/10L"/>
        <s v="001538 Brun middagsaus pastøs økon 1sp/190L"/>
      </sharedItems>
    </cacheField>
    <cacheField name="Rem_Qty" numFmtId="38">
      <sharedItems containsSemiMixedTypes="0" containsString="0" containsNumber="1" containsInteger="1" minValue="55" maxValue="1300"/>
    </cacheField>
    <cacheField name="RT_Total" numFmtId="0">
      <sharedItems containsSemiMixedTypes="0" containsString="0" containsNumber="1" minValue="2.1666666666666665" maxValue="3.6666666666666665"/>
    </cacheField>
    <cacheField name="Setup" numFmtId="165">
      <sharedItems containsSemiMixedTypes="0" containsString="0" containsNumber="1" minValue="0.99999999999999334" maxValue="0.99999999999999334"/>
    </cacheField>
    <cacheField name="Rem_Time" numFmtId="0">
      <sharedItems containsSemiMixedTypes="0" containsString="0" containsNumber="1" minValue="3.1666666666666599" maxValue="4.6666666666666599" count="2">
        <n v="3.1666666666666599"/>
        <n v="4.6666666666666599"/>
      </sharedItems>
    </cacheField>
    <cacheField name="Sequence" numFmtId="0">
      <sharedItems containsSemiMixedTypes="0" containsString="0" containsNumber="1" containsInteger="1" minValue="1" maxValue="2"/>
    </cacheField>
    <cacheField name="Start_DateH" numFmtId="14">
      <sharedItems containsSemiMixedTypes="0" containsNonDate="0" containsDate="1" containsString="0" minDate="2012-11-19T00:00:00" maxDate="2012-11-21T00:00:00"/>
    </cacheField>
    <cacheField name="Start_TimeH" numFmtId="20">
      <sharedItems containsSemiMixedTypes="0" containsNonDate="0" containsDate="1" containsString="0" minDate="1899-12-30T11:27:26" maxDate="1899-12-30T17:38:05"/>
    </cacheField>
    <cacheField name="Active" numFmtId="0">
      <sharedItems containsSemiMixedTypes="0" containsString="0" containsNumber="1" containsInteger="1" minValue="1" maxValue="2" count="2">
        <n v="1"/>
        <n v="2"/>
      </sharedItems>
    </cacheField>
    <cacheField name="End_Date" numFmtId="14">
      <sharedItems containsSemiMixedTypes="0" containsNonDate="0" containsDate="1" containsString="0" minDate="2012-11-20T00:00:00" maxDate="2012-11-21T00:00:00" count="1">
        <d v="2012-11-20T00:00:00"/>
      </sharedItems>
    </cacheField>
    <cacheField name="End_Time" numFmtId="20">
      <sharedItems containsSemiMixedTypes="0" containsNonDate="0" containsDate="1" containsString="0" minDate="1899-12-30T17:38:05" maxDate="1899-12-30T22:18:05" count="2">
        <d v="1899-12-30T17:38:05"/>
        <d v="1899-12-30T22:18:05"/>
      </sharedItems>
    </cacheField>
    <cacheField name="Start" numFmtId="174">
      <sharedItems containsSemiMixedTypes="0" containsNonDate="0" containsDate="1" containsString="0" minDate="2013-11-25T07:00:00" maxDate="2013-11-25T07:00:00"/>
    </cacheField>
    <cacheField name="Stop" numFmtId="174">
      <sharedItems containsSemiMixedTypes="0" containsNonDate="0" containsDate="1" containsString="0" minDate="2012-11-20T17:38:05" maxDate="2012-11-20T22:18:05"/>
    </cacheField>
    <cacheField name="StartSec" numFmtId="167">
      <sharedItems containsSemiMixedTypes="0" containsNonDate="0" containsDate="1" containsString="0" minDate="1899-12-30T07:00:00" maxDate="1899-12-30T07:00:00"/>
    </cacheField>
    <cacheField name="Work Center" numFmtId="0">
      <sharedItems count="1">
        <s v="1502 Grunwald 2"/>
      </sharedItems>
    </cacheField>
    <cacheField name="StopSec" numFmtId="167">
      <sharedItems containsSemiMixedTypes="0" containsNonDate="0" containsDate="1" containsString="0" minDate="1899-12-30T22:30:00" maxDate="1899-12-30T22:30:00"/>
    </cacheField>
    <cacheField name="Acc_Cap" numFmtId="38">
      <sharedItems/>
    </cacheField>
    <cacheField name="StartCap" numFmtId="38">
      <sharedItems containsSemiMixedTypes="0" containsString="0" containsNumber="1" containsInteger="1" minValue="0" maxValue="0"/>
    </cacheField>
    <cacheField name="Acc_Cap2" numFmtId="38">
      <sharedItems containsSemiMixedTypes="0" containsString="0" containsNumber="1" containsInteger="1" minValue="0" maxValue="0"/>
    </cacheField>
    <cacheField name="Startverdi" numFmtId="2">
      <sharedItems containsSemiMixedTypes="0" containsString="0" containsNumber="1" containsInteger="1" minValue="0" maxValue="0"/>
    </cacheField>
    <cacheField name="Prodverdi" numFmtId="2">
      <sharedItems containsSemiMixedTypes="0" containsString="0" containsNumber="1" minValue="0.13194444444444417" maxValue="0.19444444444444417"/>
    </cacheField>
    <cacheField name="Nå_verdi" numFmtId="2">
      <sharedItems containsMixedTypes="1" containsNumber="1" containsInteger="1" minValue="0" maxValue="0"/>
    </cacheField>
    <cacheField name="Totverdi" numFmtId="38">
      <sharedItems containsMixedTypes="1" containsNumber="1" minValue="16799.999999999975" maxValue="16799.999999999975"/>
    </cacheField>
    <cacheField name="Akt_Help" numFmtId="38">
      <sharedItems containsSemiMixedTypes="0" containsString="0" containsNumber="1" containsInteger="1" minValue="1" maxValue="1"/>
    </cacheField>
    <cacheField name="Acc_Akt" numFmtId="38">
      <sharedItems containsSemiMixedTypes="0" containsString="0" containsNumber="1" containsInteger="1" minValue="1" maxValue="2"/>
    </cacheField>
    <cacheField name="ActStarted" numFmtId="38">
      <sharedItems containsSemiMixedTypes="0" containsString="0" containsNumber="1" containsInteger="1" minValue="0" maxValue="0"/>
    </cacheField>
    <cacheField name="Locked" numFmtId="0">
      <sharedItems containsBlank="1" count="2">
        <m/>
        <s v=""/>
      </sharedItems>
    </cacheField>
    <cacheField name="Cap_ToDay" numFmtId="2">
      <sharedItems containsMixedTypes="1" containsNumber="1" containsInteger="1" minValue="0" maxValue="23456"/>
    </cacheField>
    <cacheField name="Left_Now" numFmtId="2">
      <sharedItems/>
    </cacheField>
    <cacheField name="CapStart" numFmtId="175">
      <sharedItems/>
    </cacheField>
    <cacheField name="Mix_Status" numFmtId="172">
      <sharedItems/>
    </cacheField>
    <cacheField name="Help2" numFmtId="38">
      <sharedItems containsSemiMixedTypes="0" containsString="0" containsNumber="1" containsInteger="1" minValue="0" maxValue="0"/>
    </cacheField>
    <cacheField name="Help3" numFmtId="38">
      <sharedItems containsSemiMixedTypes="0" containsString="0" containsNumber="1" containsInteger="1" minValue="0" maxValue="0"/>
    </cacheField>
    <cacheField name="Start_Date" numFmtId="14">
      <sharedItems containsSemiMixedTypes="0" containsNonDate="0" containsDate="1" containsString="0" minDate="2013-11-25T00:00:00" maxDate="2013-11-26T00:00:00" count="1">
        <d v="2013-11-25T00:00:00"/>
      </sharedItems>
    </cacheField>
    <cacheField name="Start_Time" numFmtId="20">
      <sharedItems containsSemiMixedTypes="0" containsNonDate="0" containsDate="1" containsString="0" minDate="1899-12-30T07:00:00" maxDate="1899-12-30T07:00:00" count="1">
        <d v="1899-12-30T07:00:00"/>
      </sharedItems>
    </cacheField>
    <cacheField name="New_End" numFmtId="166">
      <sharedItems containsDate="1" containsMixedTypes="1" minDate="2012-11-20T17:38:05" maxDate="2012-11-20T17:38:05"/>
    </cacheField>
    <cacheField name="Deviation" numFmtId="167">
      <sharedItems containsDate="1" containsMixedTypes="1" minDate="1899-12-30T00:00:00" maxDate="1899-12-31T00:00:00"/>
    </cacheField>
    <cacheField name="Pos_Neg" numFmtId="0">
      <sharedItems/>
    </cacheField>
    <cacheField name="Test Active" numFmtId="0">
      <sharedItems containsSemiMixedTypes="0" containsString="0" containsNumber="1" containsInteger="1" minValue="0" maxValue="1"/>
    </cacheField>
    <cacheField name="New_Cap" numFmtId="38">
      <sharedItems containsSemiMixedTypes="0" containsString="0" containsNumber="1" containsInteger="1" minValue="0" maxValue="0"/>
    </cacheField>
    <cacheField name="Start_D2" numFmtId="166">
      <sharedItems containsSemiMixedTypes="0" containsNonDate="0" containsDate="1" containsString="0" minDate="1899-12-30T07:00:00" maxDate="1899-12-30T07:00:00"/>
    </cacheField>
    <cacheField name="New_Shift" numFmtId="167">
      <sharedItems containsDate="1" containsMixedTypes="1" minDate="1899-12-30T22:30:00" maxDate="1899-12-30T22:30:00"/>
    </cacheField>
    <cacheField name="Plan_Stop" numFmtId="0">
      <sharedItems containsSemiMixedTypes="0" containsString="0" containsNumber="1" minValue="0.9375" maxValue="0.9375"/>
    </cacheField>
    <cacheField name="Plan_Cap" numFmtId="0">
      <sharedItems containsMixedTypes="1" containsNumber="1" containsInteger="1" minValue="0" maxValue="23456"/>
    </cacheField>
    <cacheField name="New_Start" numFmtId="174">
      <sharedItems containsSemiMixedTypes="0" containsNonDate="0" containsDate="1" containsString="0" minDate="1899-12-30T00:00:00" maxDate="2015-03-23T15:00:58"/>
    </cacheField>
    <cacheField name="Test_Acc" numFmtId="38">
      <sharedItems containsMixedTypes="1" containsNumber="1" containsInteger="1" minValue="0" maxValue="1" count="3">
        <n v="1"/>
        <e v="#N/A"/>
        <n v="0"/>
      </sharedItems>
    </cacheField>
    <cacheField name="Help2_Acc" numFmtId="38">
      <sharedItems containsMixedTypes="1" containsNumber="1" containsInteger="1" minValue="0" maxValue="0"/>
    </cacheField>
    <cacheField name="ActStarted2" numFmtId="38">
      <sharedItems containsSemiMixedTypes="0" containsString="0" containsNumber="1" containsInteger="1" minValue="0" maxValue="0"/>
    </cacheField>
    <cacheField name="Help_Acc" numFmtId="0">
      <sharedItems containsSemiMixedTypes="0" containsString="0" containsNumber="1" containsInteger="1" minValue="0" maxValue="1"/>
    </cacheField>
    <cacheField name="Deviation3" numFmtId="0">
      <sharedItems containsSemiMixedTypes="0" containsString="0" containsNumber="1" containsInteger="1" minValue="0" maxValue="0"/>
    </cacheField>
    <cacheField name="Mixed" numFmtId="168">
      <sharedItems containsMixedTypes="1" containsNumber="1" containsInteger="1" minValue="0" maxValue="0" count="2">
        <s v="Not relevant"/>
        <n v="0"/>
      </sharedItems>
    </cacheField>
    <cacheField name="Dev_Hours" numFmtId="165">
      <sharedItems containsSemiMixedTypes="0" containsString="0" containsNumber="1" containsInteger="1" minValue="0" maxValue="0"/>
    </cacheField>
    <cacheField name="Rem_Time_Act" numFmtId="165">
      <sharedItems containsSemiMixedTypes="0" containsString="0" containsNumber="1" containsInteger="1" minValue="0" maxValue="0"/>
    </cacheField>
    <cacheField name="Rem_Qty2" numFmtId="38">
      <sharedItems containsSemiMixedTypes="0" containsString="0" containsNumber="1" containsInteger="1" minValue="0" maxValue="23"/>
    </cacheField>
    <cacheField name="SL_Mixing" numFmtId="0" formula="Help2/Help3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il Kumar Bottu" refreshedDate="44180.988448148149" createdVersion="6" refreshedVersion="6" minRefreshableVersion="3" recordCount="2" xr:uid="{00000000-000A-0000-FFFF-FFFF02000000}">
  <cacheSource type="worksheet">
    <worksheetSource name="tblAllergenData"/>
  </cacheSource>
  <cacheFields count="109">
    <cacheField name="Order" numFmtId="0">
      <sharedItems containsSemiMixedTypes="0" containsString="0" containsNumber="1" containsInteger="1" minValue="1216279" maxValue="1216279" count="1">
        <n v="1216279"/>
      </sharedItems>
    </cacheField>
    <cacheField name="Confirmed order finish date" numFmtId="14">
      <sharedItems containsNonDate="0" containsString="0" containsBlank="1"/>
    </cacheField>
    <cacheField name="Actual finish date" numFmtId="14">
      <sharedItems/>
    </cacheField>
    <cacheField name="Scheduled finish" numFmtId="14">
      <sharedItems/>
    </cacheField>
    <cacheField name="Finish tme" numFmtId="167">
      <sharedItems containsSemiMixedTypes="0" containsNonDate="0" containsDate="1" containsString="0" minDate="1899-12-30T15:00:00" maxDate="1899-12-30T15:00:00"/>
    </cacheField>
    <cacheField name="Actual start date" numFmtId="14">
      <sharedItems/>
    </cacheField>
    <cacheField name="Scheduled start" numFmtId="14">
      <sharedItems/>
    </cacheField>
    <cacheField name="SchedStart" numFmtId="167">
      <sharedItems containsSemiMixedTypes="0" containsNonDate="0" containsDate="1" containsString="0" minDate="1899-12-30T11:35:42" maxDate="1899-12-30T11:35:42"/>
    </cacheField>
    <cacheField name="Act.finish" numFmtId="14">
      <sharedItems/>
    </cacheField>
    <cacheField name="Act. Start" numFmtId="179">
      <sharedItems/>
    </cacheField>
    <cacheField name="DCI" numFmtId="177">
      <sharedItems containsNonDate="0" containsString="0" containsBlank="1" count="1">
        <m/>
      </sharedItems>
    </cacheField>
    <cacheField name="OrderNummer" numFmtId="0">
      <sharedItems containsSemiMixedTypes="0" containsString="0" containsNumber="1" containsInteger="1" minValue="1216279" maxValue="1216279"/>
    </cacheField>
    <cacheField name="Earl.start date" numFmtId="14">
      <sharedItems/>
    </cacheField>
    <cacheField name="Lang" numFmtId="0">
      <sharedItems/>
    </cacheField>
    <cacheField name="Mix Material Description" numFmtId="0">
      <sharedItems/>
    </cacheField>
    <cacheField name="0ME_DEL_IND" numFmtId="0">
      <sharedItems containsNonDate="0" containsString="0" containsBlank="1"/>
    </cacheField>
    <cacheField name="Plant Description" numFmtId="0">
      <sharedItems/>
    </cacheField>
    <cacheField name="0PPS_DOCDEL" numFmtId="0">
      <sharedItems containsNonDate="0" containsString="0" containsBlank="1"/>
    </cacheField>
    <cacheField name="Order priority" numFmtId="0">
      <sharedItems containsNonDate="0" containsString="0" containsBlank="1"/>
    </cacheField>
    <cacheField name="0S_ORD_ITEM" numFmtId="0">
      <sharedItems containsSemiMixedTypes="0" containsString="0" containsNumber="1" containsInteger="1" minValue="1" maxValue="1"/>
    </cacheField>
    <cacheField name="Work Center Description" numFmtId="0">
      <sharedItems/>
    </cacheField>
    <cacheField name="Counter" numFmtId="0">
      <sharedItems containsSemiMixedTypes="0" containsString="0" containsNumber="1" containsInteger="1" minValue="1" maxValue="2"/>
    </cacheField>
    <cacheField name="ID" numFmtId="0">
      <sharedItems containsSemiMixedTypes="0" containsString="0" containsNumber="1" containsInteger="1" minValue="1" maxValue="1"/>
    </cacheField>
    <cacheField name="ZIBEZEI" numFmtId="0">
      <sharedItems/>
    </cacheField>
    <cacheField name="Earl.start time" numFmtId="167">
      <sharedItems containsSemiMixedTypes="0" containsNonDate="0" containsDate="1" containsString="0" minDate="1899-12-30T11:35:42" maxDate="1899-12-30T11:35:42"/>
    </cacheField>
    <cacheField name="Actual Order Finish Date" numFmtId="14">
      <sharedItems/>
    </cacheField>
    <cacheField name="Act.finish2" numFmtId="167">
      <sharedItems containsSemiMixedTypes="0" containsNonDate="0" containsDate="1" containsString="0" minDate="1899-12-30T15:00:58" maxDate="1899-12-30T15:00:58"/>
    </cacheField>
    <cacheField name="ActlStart" numFmtId="177">
      <sharedItems containsSemiMixedTypes="0" containsNonDate="0" containsDate="1" containsString="0" minDate="1899-12-30T15:00:58" maxDate="1899-12-30T15:00:58"/>
    </cacheField>
    <cacheField name="Act.finish3" numFmtId="167">
      <sharedItems containsSemiMixedTypes="0" containsNonDate="0" containsDate="1" containsString="0" minDate="1899-12-30T15:00:58" maxDate="1899-12-30T15:00:58"/>
    </cacheField>
    <cacheField name="Act.finish4" numFmtId="177">
      <sharedItems containsSemiMixedTypes="0" containsNonDate="0" containsDate="1" containsString="0" minDate="1899-12-30T15:00:58" maxDate="1899-12-30T15:00:58"/>
    </cacheField>
    <cacheField name="ZIKAPID" numFmtId="0">
      <sharedItems containsSemiMixedTypes="0" containsString="0" containsNumber="1" containsInteger="1" minValue="10000754" maxValue="10000754"/>
    </cacheField>
    <cacheField name="Material Description" numFmtId="0">
      <sharedItems/>
    </cacheField>
    <cacheField name="Ph" numFmtId="0">
      <sharedItems/>
    </cacheField>
    <cacheField name="Lat.start date" numFmtId="176">
      <sharedItems/>
    </cacheField>
    <cacheField name="Lat. start time" numFmtId="177">
      <sharedItems containsSemiMixedTypes="0" containsNonDate="0" containsDate="1" containsString="0" minDate="1899-12-30T11:35:42" maxDate="1899-12-30T11:35:42"/>
    </cacheField>
    <cacheField name="Ctrl" numFmtId="176">
      <sharedItems/>
    </cacheField>
    <cacheField name="ZISTLTY" numFmtId="177">
      <sharedItems/>
    </cacheField>
    <cacheField name="Short description" numFmtId="176">
      <sharedItems/>
    </cacheField>
    <cacheField name="MixEnhet" numFmtId="176">
      <sharedItems/>
    </cacheField>
    <cacheField name="20LANGU" numFmtId="176">
      <sharedItems/>
    </cacheField>
    <cacheField name="Mix Material" numFmtId="0">
      <sharedItems containsSemiMixedTypes="0" containsString="0" containsNumber="1" containsInteger="1" minValue="506620" maxValue="506620"/>
    </cacheField>
    <cacheField name="Plnt" numFmtId="177">
      <sharedItems/>
    </cacheField>
    <cacheField name="Work ctr" numFmtId="0">
      <sharedItems/>
    </cacheField>
    <cacheField name="Material Number" numFmtId="0">
      <sharedItems containsString="0" containsBlank="1" containsNumber="1" containsInteger="1" minValue="123456" maxValue="123456"/>
    </cacheField>
    <cacheField name="Base Quantity" numFmtId="0">
      <sharedItems containsSemiMixedTypes="0" containsString="0" containsNumber="1" containsInteger="1" minValue="1000" maxValue="1000"/>
    </cacheField>
    <cacheField name="Reqmt Qty" numFmtId="0">
      <sharedItems containsSemiMixedTypes="0" containsString="0" containsNumber="1" containsInteger="1" minValue="0" maxValue="0"/>
    </cacheField>
    <cacheField name="Confirmed scrap" numFmtId="0">
      <sharedItems containsSemiMixedTypes="0" containsString="0" containsNumber="1" containsInteger="1" minValue="0" maxValue="0"/>
    </cacheField>
    <cacheField name="Confirmed yield" numFmtId="0">
      <sharedItems containsSemiMixedTypes="0" containsString="0" containsNumber="1" containsInteger="1" minValue="3150" maxValue="3150"/>
    </cacheField>
    <cacheField name="Confirmed Yield2" numFmtId="0">
      <sharedItems containsSemiMixedTypes="0" containsString="0" containsNumber="1" containsInteger="1" minValue="3150" maxValue="3150"/>
    </cacheField>
    <cacheField name="Quantity of goods received" numFmtId="0">
      <sharedItems containsSemiMixedTypes="0" containsString="0" containsNumber="1" containsInteger="1" minValue="3150" maxValue="3150"/>
    </cacheField>
    <cacheField name="Processing time" numFmtId="0">
      <sharedItems containsSemiMixedTypes="0" containsString="0" containsNumber="1" minValue="0.2" maxValue="1"/>
    </cacheField>
    <cacheField name="Scrap quantity" numFmtId="0">
      <sharedItems containsSemiMixedTypes="0" containsString="0" containsNumber="1" containsInteger="1" minValue="0" maxValue="0"/>
    </cacheField>
    <cacheField name="Total order quantity" numFmtId="0">
      <sharedItems containsSemiMixedTypes="0" containsString="0" containsNumber="1" containsInteger="1" minValue="3173" maxValue="3173"/>
    </cacheField>
    <cacheField name="Total Scrap Quantity in the Or" numFmtId="0">
      <sharedItems containsSemiMixedTypes="0" containsString="0" containsNumber="1" containsInteger="1" minValue="0" maxValue="0"/>
    </cacheField>
    <cacheField name="Setup time" numFmtId="0">
      <sharedItems containsSemiMixedTypes="0" containsString="0" containsNumber="1" containsInteger="1" minValue="0" maxValue="0"/>
    </cacheField>
    <cacheField name="Operation Qty" numFmtId="0">
      <sharedItems containsSemiMixedTypes="0" containsString="0" containsNumber="1" containsInteger="1" minValue="3150" maxValue="3150"/>
    </cacheField>
    <cacheField name="Confirmed qty" numFmtId="0">
      <sharedItems containsSemiMixedTypes="0" containsString="0" containsNumber="1" containsInteger="1" minValue="3150" maxValue="3150"/>
    </cacheField>
    <cacheField name="Total Stock" numFmtId="0">
      <sharedItems containsSemiMixedTypes="0" containsString="0" containsNumber="1" containsInteger="1" minValue="0" maxValue="0"/>
    </cacheField>
    <cacheField name="Qty Withdrawn" numFmtId="0">
      <sharedItems containsSemiMixedTypes="0" containsString="0" containsNumber="1" containsInteger="1" minValue="0" maxValue="0"/>
    </cacheField>
    <cacheField name="SetupTid" numFmtId="0">
      <sharedItems containsSemiMixedTypes="0" containsString="0" containsNumber="1" containsInteger="1" minValue="0" maxValue="0"/>
    </cacheField>
    <cacheField name="ProcTid" numFmtId="0">
      <sharedItems containsSemiMixedTypes="0" containsString="0" containsNumber="1" containsInteger="1" minValue="0" maxValue="0"/>
    </cacheField>
    <cacheField name="Material Name" numFmtId="0">
      <sharedItems count="2">
        <s v="123456 BRUNET MASSE"/>
        <s v=" BRUNET MASSE"/>
      </sharedItems>
    </cacheField>
    <cacheField name="Rem_Qty" numFmtId="38">
      <sharedItems containsSemiMixedTypes="0" containsString="0" containsNumber="1" containsInteger="1" minValue="23" maxValue="23"/>
    </cacheField>
    <cacheField name="RT_Total" numFmtId="0">
      <sharedItems containsSemiMixedTypes="0" containsString="0" containsNumber="1" minValue="3.15" maxValue="3.15"/>
    </cacheField>
    <cacheField name="Setup" numFmtId="165">
      <sharedItems containsSemiMixedTypes="0" containsString="0" containsNumber="1" containsInteger="1" minValue="0" maxValue="0"/>
    </cacheField>
    <cacheField name="Rem_Time" numFmtId="0">
      <sharedItems containsSemiMixedTypes="0" containsString="0" containsNumber="1" containsInteger="1" minValue="0" maxValue="0" count="1">
        <n v="0"/>
      </sharedItems>
    </cacheField>
    <cacheField name="Sequence" numFmtId="0">
      <sharedItems containsSemiMixedTypes="0" containsString="0" containsNumber="1" containsInteger="1" minValue="1" maxValue="1"/>
    </cacheField>
    <cacheField name="Start_DateH" numFmtId="176">
      <sharedItems containsSemiMixedTypes="0" containsNonDate="0" containsDate="1" containsString="0" minDate="2015-03-23T00:00:00" maxDate="2015-03-24T00:00:00"/>
    </cacheField>
    <cacheField name="Start_TimeH" numFmtId="20">
      <sharedItems containsSemiMixedTypes="0" containsNonDate="0" containsDate="1" containsString="0" minDate="1899-12-30T15:00:58" maxDate="1899-12-30T15:00:58"/>
    </cacheField>
    <cacheField name="Active" numFmtId="0">
      <sharedItems containsSemiMixedTypes="0" containsString="0" containsNumber="1" containsInteger="1" minValue="0" maxValue="1" count="2">
        <n v="0"/>
        <n v="1"/>
      </sharedItems>
    </cacheField>
    <cacheField name="End_Date" numFmtId="14">
      <sharedItems containsSemiMixedTypes="0" containsNonDate="0" containsDate="1" containsString="0" minDate="2012-11-20T00:00:00" maxDate="2012-11-21T00:00:00"/>
    </cacheField>
    <cacheField name="End_Time" numFmtId="20">
      <sharedItems containsSemiMixedTypes="0" containsNonDate="0" containsDate="1" containsString="0" minDate="1899-12-30T17:38:05" maxDate="1899-12-30T22:18:05"/>
    </cacheField>
    <cacheField name="Start" numFmtId="174">
      <sharedItems containsSemiMixedTypes="0" containsNonDate="0" containsDate="1" containsString="0" minDate="2015-03-23T15:00:58" maxDate="2015-03-23T15:00:58"/>
    </cacheField>
    <cacheField name="Stop" numFmtId="174">
      <sharedItems containsSemiMixedTypes="0" containsNonDate="0" containsDate="1" containsString="0" minDate="2012-11-20T17:38:05" maxDate="2012-11-20T22:18:05"/>
    </cacheField>
    <cacheField name="StartSec" numFmtId="177">
      <sharedItems containsSemiMixedTypes="0" containsNonDate="0" containsDate="1" containsString="0" minDate="1899-12-30T07:00:00" maxDate="1899-12-30T07:00:00"/>
    </cacheField>
    <cacheField name="Work Center" numFmtId="0">
      <sharedItems count="2">
        <s v="AR3101 Maskin A"/>
        <s v="AR2701 AR00/AR2701" u="1"/>
      </sharedItems>
    </cacheField>
    <cacheField name="StopSec" numFmtId="177">
      <sharedItems containsSemiMixedTypes="0" containsNonDate="0" containsDate="1" containsString="0" minDate="1899-12-30T22:30:00" maxDate="1899-12-30T22:30:00"/>
    </cacheField>
    <cacheField name="Acc_Cap" numFmtId="38">
      <sharedItems containsSemiMixedTypes="0" containsString="0" containsNumber="1" containsInteger="1" minValue="0" maxValue="0"/>
    </cacheField>
    <cacheField name="StartCap" numFmtId="38">
      <sharedItems containsSemiMixedTypes="0" containsString="0" containsNumber="1" containsInteger="1" minValue="0" maxValue="0"/>
    </cacheField>
    <cacheField name="Acc_Cap2" numFmtId="38">
      <sharedItems containsSemiMixedTypes="0" containsString="0" containsNumber="1" containsInteger="1" minValue="0" maxValue="0"/>
    </cacheField>
    <cacheField name="Startverdi" numFmtId="2">
      <sharedItems containsSemiMixedTypes="0" containsString="0" containsNumber="1" containsInteger="1" minValue="0" maxValue="0"/>
    </cacheField>
    <cacheField name="Prodverdi" numFmtId="2">
      <sharedItems containsSemiMixedTypes="0" containsString="0" containsNumber="1" containsInteger="1" minValue="0" maxValue="0"/>
    </cacheField>
    <cacheField name="Nå_verdi" numFmtId="2">
      <sharedItems containsSemiMixedTypes="0" containsString="0" containsNumber="1" containsInteger="1" minValue="0" maxValue="0"/>
    </cacheField>
    <cacheField name="Totverdi" numFmtId="38">
      <sharedItems containsSemiMixedTypes="0" containsString="0" containsNumber="1" containsInteger="1" minValue="0" maxValue="0"/>
    </cacheField>
    <cacheField name="Akt_Help" numFmtId="38">
      <sharedItems containsSemiMixedTypes="0" containsString="0" containsNumber="1" containsInteger="1" minValue="0" maxValue="1"/>
    </cacheField>
    <cacheField name="Acc_Akt" numFmtId="38">
      <sharedItems containsSemiMixedTypes="0" containsString="0" containsNumber="1" containsInteger="1" minValue="0" maxValue="1"/>
    </cacheField>
    <cacheField name="ActStarted" numFmtId="38">
      <sharedItems containsSemiMixedTypes="0" containsString="0" containsNumber="1" containsInteger="1" minValue="0" maxValue="1"/>
    </cacheField>
    <cacheField name="Locked" numFmtId="0">
      <sharedItems count="1">
        <s v=""/>
      </sharedItems>
    </cacheField>
    <cacheField name="Cap_ToDay" numFmtId="2">
      <sharedItems containsSemiMixedTypes="0" containsString="0" containsNumber="1" containsInteger="1" minValue="0" maxValue="0"/>
    </cacheField>
    <cacheField name="Left_Now" numFmtId="2">
      <sharedItems containsSemiMixedTypes="0" containsString="0" containsNumber="1" containsInteger="1" minValue="0" maxValue="0"/>
    </cacheField>
    <cacheField name="CapStart" numFmtId="166">
      <sharedItems containsSemiMixedTypes="0" containsNonDate="0" containsDate="1" containsString="0" minDate="1899-12-30T00:00:00" maxDate="1899-12-31T00:00:00"/>
    </cacheField>
    <cacheField name="Mix_Status" numFmtId="168">
      <sharedItems count="1">
        <s v="Not relevant"/>
      </sharedItems>
    </cacheField>
    <cacheField name="Help2" numFmtId="38">
      <sharedItems containsSemiMixedTypes="0" containsString="0" containsNumber="1" containsInteger="1" minValue="0" maxValue="0"/>
    </cacheField>
    <cacheField name="Help3" numFmtId="38">
      <sharedItems containsSemiMixedTypes="0" containsString="0" containsNumber="1" containsInteger="1" minValue="0" maxValue="0"/>
    </cacheField>
    <cacheField name="Start_Date" numFmtId="176">
      <sharedItems containsSemiMixedTypes="0" containsNonDate="0" containsDate="1" containsString="0" minDate="2015-03-23T00:00:00" maxDate="2015-03-24T00:00:00"/>
    </cacheField>
    <cacheField name="Start_Time" numFmtId="20">
      <sharedItems containsSemiMixedTypes="0" containsNonDate="0" containsDate="1" containsString="0" minDate="1899-12-30T15:00:58" maxDate="1899-12-30T15:00:58"/>
    </cacheField>
    <cacheField name="Allergengr." numFmtId="49">
      <sharedItems count="1">
        <s v=""/>
      </sharedItems>
    </cacheField>
    <cacheField name="Sennep" numFmtId="0">
      <sharedItems/>
    </cacheField>
    <cacheField name="Sesam" numFmtId="0">
      <sharedItems/>
    </cacheField>
    <cacheField name="Fisk" numFmtId="0">
      <sharedItems/>
    </cacheField>
    <cacheField name="Skalldyr" numFmtId="0">
      <sharedItems/>
    </cacheField>
    <cacheField name="Bløtdyr" numFmtId="0">
      <sharedItems/>
    </cacheField>
    <cacheField name="Nøtter" numFmtId="0">
      <sharedItems/>
    </cacheField>
    <cacheField name="Peanøtter" numFmtId="0">
      <sharedItems/>
    </cacheField>
    <cacheField name="AllergenText" numFmtId="0">
      <sharedItems/>
    </cacheField>
    <cacheField name="AllergenType" numFmtId="0">
      <sharedItems count="3">
        <s v="Sennep,Sesam"/>
        <s v=""/>
        <s v="Sennep,Sesam," u="1"/>
      </sharedItems>
    </cacheField>
    <cacheField name="MixMaterial" numFmtId="0">
      <sharedItems count="1">
        <s v="506620 Salt Vacuum Fint"/>
      </sharedItems>
    </cacheField>
    <cacheField name="WCGroup" numFmtId="0">
      <sharedItems count="1">
        <s v="Mess A"/>
      </sharedItems>
    </cacheField>
    <cacheField name="SL_Mixing" numFmtId="0" formula="Help2/Help3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1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Ikke tilordnet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50"/>
    <n v="1"/>
    <n v="0"/>
    <n v="3173"/>
    <n v="0"/>
    <n v="0"/>
    <n v="3150"/>
    <n v="3150"/>
    <n v="0"/>
    <n v="0"/>
    <n v="0"/>
    <n v="0"/>
    <x v="0"/>
    <n v="23"/>
    <n v="3.15"/>
    <n v="0"/>
    <x v="0"/>
    <n v="1"/>
    <d v="2015-03-23T00:00:00"/>
    <d v="1899-12-30T15:00:58"/>
    <x v="0"/>
    <x v="0"/>
    <x v="0"/>
    <d v="2015-03-23T15:00:58"/>
    <d v="2012-11-20T17:38:05"/>
    <d v="1899-12-30T07:00:00"/>
    <x v="0"/>
    <d v="1899-12-30T22:30:00"/>
    <n v="0"/>
    <n v="0"/>
    <n v="0"/>
    <n v="0"/>
    <n v="0"/>
    <n v="0"/>
    <n v="0"/>
    <n v="0"/>
    <n v="0"/>
    <x v="0"/>
    <x v="0"/>
    <n v="0"/>
    <n v="0"/>
    <d v="1899-12-30T00:00:00"/>
    <x v="0"/>
    <n v="0"/>
    <n v="0"/>
    <x v="0"/>
    <x v="0"/>
  </r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2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X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50"/>
    <n v="0.2"/>
    <n v="0"/>
    <n v="3173"/>
    <n v="0"/>
    <n v="0"/>
    <n v="3150"/>
    <n v="3150"/>
    <n v="0"/>
    <n v="0"/>
    <n v="0"/>
    <n v="0"/>
    <x v="0"/>
    <n v="23"/>
    <n v="3.15"/>
    <n v="0"/>
    <x v="0"/>
    <n v="1"/>
    <d v="2015-03-23T00:00:00"/>
    <d v="1899-12-30T15:00:58"/>
    <x v="1"/>
    <x v="0"/>
    <x v="1"/>
    <d v="2015-03-23T15:00:58"/>
    <d v="2012-11-20T22:18:05"/>
    <d v="1899-12-30T07:00:00"/>
    <x v="0"/>
    <d v="1899-12-30T22:30:00"/>
    <n v="0"/>
    <n v="0"/>
    <n v="0"/>
    <n v="0"/>
    <n v="0"/>
    <n v="0"/>
    <n v="0"/>
    <n v="1"/>
    <n v="1"/>
    <x v="1"/>
    <x v="0"/>
    <n v="0"/>
    <n v="0"/>
    <d v="1899-12-30T00:00:00"/>
    <x v="0"/>
    <n v="0"/>
    <n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1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Ikke tilordnet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73"/>
    <d v="1899-12-31T00:00:00"/>
    <n v="0"/>
    <n v="3150"/>
    <n v="0"/>
    <d v="1899-12-30T00:00:00"/>
    <n v="3150"/>
    <n v="3150"/>
    <n v="0"/>
    <n v="0"/>
    <n v="0"/>
    <n v="1"/>
    <x v="0"/>
    <n v="1300"/>
    <n v="2.1666666666666665"/>
    <n v="0.99999999999999334"/>
    <x v="0"/>
    <n v="1"/>
    <d v="2012-11-19T00:00:00"/>
    <d v="1899-12-30T11:27:26"/>
    <x v="0"/>
    <x v="0"/>
    <x v="0"/>
    <d v="2013-11-25T07:00:00"/>
    <d v="2012-11-20T17:38:05"/>
    <d v="1899-12-30T07:00:00"/>
    <x v="0"/>
    <d v="1899-12-30T22:30:00"/>
    <e v="#N/A"/>
    <n v="0"/>
    <n v="0"/>
    <n v="0"/>
    <n v="0.13194444444444417"/>
    <e v="#N/A"/>
    <e v="#N/A"/>
    <n v="1"/>
    <n v="1"/>
    <n v="0"/>
    <x v="0"/>
    <n v="23456"/>
    <e v="#N/A"/>
    <e v="#N/A"/>
    <s v="Not relevant"/>
    <n v="0"/>
    <n v="0"/>
    <x v="0"/>
    <x v="0"/>
    <d v="2012-11-20T17:38:05"/>
    <e v="#N/A"/>
    <e v="#N/A"/>
    <n v="1"/>
    <n v="0"/>
    <d v="1899-12-30T07:00:00"/>
    <d v="1899-12-30T22:30:00"/>
    <n v="0.9375"/>
    <n v="23456"/>
    <d v="2015-03-23T15:00:58"/>
    <x v="0"/>
    <n v="0"/>
    <n v="0"/>
    <n v="1"/>
    <n v="0"/>
    <x v="0"/>
    <n v="0"/>
    <n v="0"/>
    <n v="23"/>
  </r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2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X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73"/>
    <d v="1899-12-30T04:48:00"/>
    <n v="0"/>
    <n v="3150"/>
    <n v="0"/>
    <d v="1899-12-30T00:00:00"/>
    <n v="3150"/>
    <n v="3150"/>
    <n v="0"/>
    <n v="0"/>
    <n v="0"/>
    <n v="1"/>
    <x v="1"/>
    <n v="55"/>
    <n v="3.6666666666666665"/>
    <n v="0.99999999999999334"/>
    <x v="1"/>
    <n v="2"/>
    <d v="2012-11-20T00:00:00"/>
    <d v="1899-12-30T17:38:05"/>
    <x v="1"/>
    <x v="0"/>
    <x v="1"/>
    <d v="2013-11-25T07:00:00"/>
    <d v="2012-11-20T22:18:05"/>
    <d v="1899-12-30T07:00:00"/>
    <x v="0"/>
    <d v="1899-12-30T22:30:00"/>
    <e v="#N/A"/>
    <n v="0"/>
    <n v="0"/>
    <n v="0"/>
    <n v="0.19444444444444417"/>
    <n v="0"/>
    <n v="16799.999999999975"/>
    <n v="1"/>
    <n v="2"/>
    <n v="0"/>
    <x v="1"/>
    <e v="#N/A"/>
    <e v="#N/A"/>
    <e v="#N/A"/>
    <s v="Not relevant"/>
    <n v="0"/>
    <n v="0"/>
    <x v="0"/>
    <x v="0"/>
    <d v="2012-11-20T17:38:05"/>
    <e v="#N/A"/>
    <e v="#N/A"/>
    <n v="0"/>
    <n v="0"/>
    <d v="1899-12-30T07:00:00"/>
    <d v="1899-12-30T22:30:00"/>
    <n v="0.9375"/>
    <n v="0"/>
    <d v="2015-03-23T15:00:58"/>
    <x v="1"/>
    <e v="#N/A"/>
    <n v="0"/>
    <n v="0"/>
    <n v="0"/>
    <x v="0"/>
    <n v="0"/>
    <n v="0"/>
    <n v="23"/>
  </r>
  <r>
    <x v="1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2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X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73"/>
    <d v="1899-12-30T04:48:00"/>
    <n v="0"/>
    <n v="3150"/>
    <n v="0"/>
    <d v="1899-12-30T00:00:00"/>
    <n v="3150"/>
    <n v="3150"/>
    <n v="0"/>
    <n v="0"/>
    <n v="0"/>
    <n v="1"/>
    <x v="1"/>
    <n v="55"/>
    <n v="3.6666666666666665"/>
    <n v="0.99999999999999334"/>
    <x v="1"/>
    <n v="2"/>
    <d v="2012-11-20T00:00:00"/>
    <d v="1899-12-30T17:38:05"/>
    <x v="1"/>
    <x v="0"/>
    <x v="1"/>
    <d v="2013-11-25T07:00:00"/>
    <d v="2012-11-20T22:18:05"/>
    <d v="1899-12-30T07:00:00"/>
    <x v="0"/>
    <d v="1899-12-30T22:30:00"/>
    <e v="#N/A"/>
    <n v="0"/>
    <n v="0"/>
    <n v="0"/>
    <n v="0.19444444444444417"/>
    <n v="0"/>
    <n v="16799.999999999975"/>
    <n v="1"/>
    <n v="2"/>
    <n v="0"/>
    <x v="1"/>
    <n v="0"/>
    <e v="#N/A"/>
    <e v="#N/A"/>
    <s v="Not relevant"/>
    <n v="0"/>
    <n v="0"/>
    <x v="0"/>
    <x v="0"/>
    <s v="Finished"/>
    <d v="1899-12-30T00:00:00"/>
    <s v="Pos"/>
    <n v="0"/>
    <n v="0"/>
    <d v="1899-12-30T07:00:00"/>
    <e v="#VALUE!"/>
    <n v="0.9375"/>
    <s v="`"/>
    <d v="1899-12-30T00:00:00"/>
    <x v="2"/>
    <e v="#N/A"/>
    <n v="0"/>
    <n v="1"/>
    <n v="0"/>
    <x v="1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Maskin A"/>
    <n v="1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Ikke tilordnet"/>
    <s v="23.03.2015"/>
    <d v="1899-12-30T11:35:42"/>
    <s v="YPI1"/>
    <s v="M"/>
    <s v="BRUNET MASSE"/>
    <s v="KG"/>
    <s v="NO"/>
    <n v="506620"/>
    <s v="AR00"/>
    <s v="AR00/AR3101"/>
    <n v="123456"/>
    <n v="1000"/>
    <n v="0"/>
    <n v="0"/>
    <n v="3150"/>
    <n v="3150"/>
    <n v="3150"/>
    <n v="1"/>
    <n v="0"/>
    <n v="3173"/>
    <n v="0"/>
    <n v="0"/>
    <n v="3150"/>
    <n v="3150"/>
    <n v="0"/>
    <n v="0"/>
    <n v="0"/>
    <n v="0"/>
    <x v="0"/>
    <n v="23"/>
    <n v="3.15"/>
    <n v="0"/>
    <x v="0"/>
    <n v="1"/>
    <d v="2015-03-23T00:00:00"/>
    <d v="1899-12-30T15:00:58"/>
    <x v="0"/>
    <d v="2012-11-20T00:00:00"/>
    <d v="1899-12-30T17:38:05"/>
    <d v="2015-03-23T15:00:58"/>
    <d v="2012-11-20T17:38:05"/>
    <d v="1899-12-30T07:00:00"/>
    <x v="0"/>
    <d v="1899-12-30T22:30:00"/>
    <n v="0"/>
    <n v="0"/>
    <n v="0"/>
    <n v="0"/>
    <n v="0"/>
    <n v="0"/>
    <n v="0"/>
    <n v="0"/>
    <n v="0"/>
    <n v="0"/>
    <x v="0"/>
    <n v="0"/>
    <n v="0"/>
    <d v="1899-12-30T00:00:00"/>
    <x v="0"/>
    <n v="0"/>
    <n v="0"/>
    <d v="2015-03-23T00:00:00"/>
    <d v="1899-12-30T15:00:58"/>
    <x v="0"/>
    <s v="Sennep"/>
    <s v="Sesam"/>
    <s v=""/>
    <s v=""/>
    <s v=""/>
    <s v=""/>
    <s v=""/>
    <s v="Sennep,Sesam,"/>
    <x v="0"/>
    <x v="0"/>
    <x v="0"/>
  </r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Maskin A"/>
    <n v="2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X"/>
    <s v="23.03.2015"/>
    <d v="1899-12-30T11:35:42"/>
    <s v="YPI1"/>
    <s v="M"/>
    <s v="BRUNET MASSE"/>
    <s v="KG"/>
    <s v="NO"/>
    <n v="506620"/>
    <s v="AR00"/>
    <s v="AR00/AR3101"/>
    <m/>
    <n v="1000"/>
    <n v="0"/>
    <n v="0"/>
    <n v="3150"/>
    <n v="3150"/>
    <n v="3150"/>
    <n v="0.2"/>
    <n v="0"/>
    <n v="3173"/>
    <n v="0"/>
    <n v="0"/>
    <n v="3150"/>
    <n v="3150"/>
    <n v="0"/>
    <n v="0"/>
    <n v="0"/>
    <n v="0"/>
    <x v="1"/>
    <n v="23"/>
    <n v="3.15"/>
    <n v="0"/>
    <x v="0"/>
    <n v="1"/>
    <d v="2015-03-23T00:00:00"/>
    <d v="1899-12-30T15:00:58"/>
    <x v="1"/>
    <d v="2012-11-20T00:00:00"/>
    <d v="1899-12-30T22:18:05"/>
    <d v="2015-03-23T15:00:58"/>
    <d v="2012-11-20T22:18:05"/>
    <d v="1899-12-30T07:00:00"/>
    <x v="0"/>
    <d v="1899-12-30T22:30:00"/>
    <n v="0"/>
    <n v="0"/>
    <n v="0"/>
    <n v="0"/>
    <n v="0"/>
    <n v="0"/>
    <n v="0"/>
    <n v="1"/>
    <n v="1"/>
    <n v="1"/>
    <x v="0"/>
    <n v="0"/>
    <n v="0"/>
    <d v="1899-12-30T00:00:00"/>
    <x v="0"/>
    <n v="0"/>
    <n v="0"/>
    <d v="2015-03-23T00:00:00"/>
    <d v="1899-12-30T15:00:58"/>
    <x v="0"/>
    <s v=""/>
    <s v=""/>
    <s v=""/>
    <s v=""/>
    <s v=""/>
    <s v=""/>
    <s v=""/>
    <s v="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ell1" cacheId="78" autoFormatId="4109" applyNumberFormats="1" applyBorderFormats="1" applyFontFormats="1" applyPatternFormats="1" applyAlignmentFormats="1" applyWidthHeightFormats="1" dataCaption="Data" showError="1" updatedVersion="5" minRefreshableVersion="3" asteriskTotals="1" showMemberPropertyTips="0" useAutoFormatting="1" rowGrandTotals="0" colGrandTotals="0" itemPrintTitles="1" createdVersion="3" indent="0" compact="0" compactData="0" gridDropZones="1">
  <location ref="A10:K13" firstHeaderRow="1" firstDataRow="2" firstDataCol="10" rowPageCount="1" colPageCount="1"/>
  <pivotFields count="97">
    <pivotField axis="axisRow" compact="0" outline="0" subtotalTop="0" showAll="0" includeNewItemsInFilter="1" defaultSubtotal="0">
      <items count="4">
        <item m="1" x="3"/>
        <item m="1" x="2"/>
        <item m="1" x="1"/>
        <item x="0"/>
      </items>
    </pivotField>
    <pivotField compact="0" outline="0" showAll="0" defaultSubtotal="0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21" outline="0" subtotalTop="0" showAll="0" includeNewItemsInFilter="1"/>
    <pivotField compact="0" outline="0" subtotalTop="0" showAll="0" includeNewItemsInFilter="1"/>
    <pivotField compact="0" numFmtId="176" outline="0" showAll="0" defaultSubtotal="0"/>
    <pivotField compact="0" numFmtId="21" outline="0" subtotalTop="0" showAll="0" includeNewItemsInFilter="1"/>
    <pivotField compact="0" numFmtId="167" outline="0" showAll="0" defaultSubtotal="0"/>
    <pivotField compact="0" numFmtId="177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5">
        <item m="1" x="1"/>
        <item m="1" x="4"/>
        <item m="1" x="3"/>
        <item m="1" x="2"/>
        <item x="0"/>
      </items>
    </pivotField>
    <pivotField dataField="1"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numFmtId="171" outline="0" subtotalTop="0" showAll="0" includeNewItemsInFilter="1" defaultSubtotal="0">
      <items count="4">
        <item m="1" x="3"/>
        <item m="1" x="2"/>
        <item x="0"/>
        <item m="1" x="1"/>
      </items>
    </pivotField>
    <pivotField compact="0" outline="0" subtotalTop="0" showAll="0" includeNewItemsInFilter="1"/>
    <pivotField compact="0" numFmtId="14" outline="0" subtotalTop="0" showAll="0" includeNewItemsInFilter="1"/>
    <pivotField compact="0" numFmtId="20" outline="0" subtotalTop="0" showAll="0" includeNewItemsInFilter="1"/>
    <pivotField axis="axisRow" compact="0" outline="0" subtotalTop="0" showAll="0" includeNewItemsInFilter="1" sortType="ascending" rankBy="0" defaultSubtotal="0">
      <items count="3">
        <item h="1" x="0"/>
        <item x="1"/>
        <item m="1" x="2"/>
      </items>
    </pivotField>
    <pivotField axis="axisCol" compact="0" numFmtId="14" outline="0" subtotalTop="0" showAll="0" includeNewItemsInFilter="1" sortType="ascending" rankBy="0">
      <items count="2">
        <item x="0"/>
        <item t="default"/>
      </items>
    </pivotField>
    <pivotField axis="axisRow" compact="0" numFmtId="20" outline="0" subtotalTop="0" showAll="0" includeNewItemsInFilter="1" defaultSubtotal="0">
      <items count="2">
        <item x="0"/>
        <item x="1"/>
      </items>
    </pivotField>
    <pivotField compact="0" numFmtId="166" outline="0" subtotalTop="0" showAll="0" includeNewItemsInFilter="1"/>
    <pivotField compact="0" numFmtId="166" outline="0" subtotalTop="0" showAll="0" includeNewItemsInFilter="1"/>
    <pivotField compact="0" numFmtId="167" outline="0" subtotalTop="0" showAll="0" includeNewItemsInFilter="1"/>
    <pivotField axis="axisRow" compact="0" outline="0" subtotalTop="0" showAll="0" insertBlankRow="1" includeNewItemsInFilter="1" defaultSubtotal="0">
      <items count="5">
        <item m="1" x="4"/>
        <item m="1" x="1"/>
        <item m="1" x="2"/>
        <item m="1" x="3"/>
        <item x="0"/>
      </items>
    </pivotField>
    <pivotField compact="0" numFmtId="167" outline="0" subtotalTop="0" showAll="0" includeNewItemsInFilter="1"/>
    <pivotField compact="0" numFmtId="38" outline="0" subtotalTop="0" showAll="0" includeNewItemsInFilter="1" defaultSubtotal="0"/>
    <pivotField compact="0" outline="0" subtotalTop="0" showAll="0" includeNewItemsInFilter="1"/>
    <pivotField compact="0" numFmtId="38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compact="0" numFmtId="2" outline="0" subtotalTop="0" showAll="0" includeNewItemsInFilter="1"/>
    <pivotField compact="0" numFmtId="2" outline="0" subtotalTop="0" showAll="0" includeNewItemsInFilter="1"/>
    <pivotField compact="0" numFmtId="166" outline="0" subtotalTop="0" showAll="0" includeNewItemsInFilter="1"/>
    <pivotField axis="axisRow" compact="0" outline="0" subtotalTop="0" showAll="0" includeNewItemsInFilter="1" defaultSubtotal="0">
      <items count="2">
        <item x="0"/>
        <item m="1" x="1"/>
      </items>
    </pivotField>
    <pivotField compact="0" numFmtId="38" outline="0" subtotalTop="0" showAll="0" includeNewItemsInFilter="1"/>
    <pivotField compact="0" numFmtId="38" outline="0" subtotalTop="0" showAll="0" includeNewItemsInFilter="1"/>
    <pivotField axis="axisRow" compact="0" numFmtId="14" outline="0" subtotalTop="0" showAll="0" includeNewItemsInFilter="1" defaultSubtotal="0">
      <items count="4">
        <item m="1" x="1"/>
        <item m="1" x="3"/>
        <item x="0"/>
        <item m="1" x="2"/>
      </items>
    </pivotField>
    <pivotField axis="axisRow" compact="0" numFmtId="20" outline="0" subtotalTop="0" showAll="0" includeNewItemsInFilter="1" defaultSubtotal="0">
      <items count="4">
        <item m="1" x="1"/>
        <item m="1" x="3"/>
        <item x="0"/>
        <item m="1" x="2"/>
      </items>
    </pivotField>
    <pivotField compact="0" outline="0" subtotalTop="0" dragToRow="0" dragToCol="0" dragToPage="0" showAll="0" includeNewItemsInFilter="1" defaultSubtotal="0"/>
  </pivotFields>
  <rowFields count="10">
    <field x="75"/>
    <field x="69"/>
    <field x="61"/>
    <field x="0"/>
    <field x="94"/>
    <field x="95"/>
    <field x="65"/>
    <field x="71"/>
    <field x="91"/>
    <field x="87"/>
  </rowFields>
  <rowItems count="2">
    <i>
      <x v="4"/>
      <x v="1"/>
      <x v="4"/>
      <x v="3"/>
      <x v="2"/>
      <x v="2"/>
      <x v="2"/>
      <x v="1"/>
      <x/>
      <x/>
    </i>
    <i t="blank">
      <x v="4"/>
    </i>
  </rowItems>
  <colFields count="1">
    <field x="70"/>
  </colFields>
  <colItems count="1">
    <i>
      <x/>
    </i>
  </colItems>
  <pageFields count="1">
    <pageField fld="10" hier="0"/>
  </pageFields>
  <dataFields count="1">
    <dataField name="Sum av Rem_Qty" fld="62" baseField="0" baseItem="0" numFmtId="38"/>
  </dataFields>
  <formats count="4">
    <format dxfId="29">
      <pivotArea outline="0" fieldPosition="0"/>
    </format>
    <format dxfId="28">
      <pivotArea field="65" type="button" dataOnly="0" labelOnly="1" outline="0" axis="axisRow" fieldPosition="6"/>
    </format>
    <format dxfId="27">
      <pivotArea dataOnly="0" labelOnly="1" outline="0" fieldPosition="0">
        <references count="1">
          <reference field="65" count="0"/>
        </references>
      </pivotArea>
    </format>
    <format dxfId="26">
      <pivotArea dataOnly="0" labelOnly="1" outline="0" fieldPosition="0">
        <references count="1">
          <reference field="91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ell1" cacheId="94" autoFormatId="4109" applyNumberFormats="1" applyBorderFormats="1" applyFontFormats="1" applyPatternFormats="1" applyAlignmentFormats="1" applyWidthHeightFormats="1" dataCaption="Data" showError="1" updatedVersion="6" minRefreshableVersion="3" asteriskTotals="1" showMemberPropertyTips="0" useAutoFormatting="1" rowGrandTotals="0" colGrandTotals="0" itemPrintTitles="1" createdVersion="3" indent="0" compact="0" compactData="0" gridDropZones="1">
  <location ref="A10:L12" firstHeaderRow="1" firstDataRow="1" firstDataCol="11" rowPageCount="1" colPageCount="1"/>
  <pivotFields count="109">
    <pivotField axis="axisRow" compact="0" outline="0" subtotalTop="0" showAll="0" includeNewItemsInFilter="1" defaultSubtotal="0">
      <items count="1">
        <item x="0"/>
      </items>
    </pivotField>
    <pivotField compact="0" outline="0" showAll="0" defaultSubtotal="0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21" outline="0" subtotalTop="0" showAll="0" includeNewItemsInFilter="1"/>
    <pivotField compact="0" outline="0" subtotalTop="0" showAll="0" includeNewItemsInFilter="1"/>
    <pivotField compact="0" numFmtId="176" outline="0" showAll="0" defaultSubtotal="0"/>
    <pivotField compact="0" numFmtId="21" outline="0" subtotalTop="0" showAll="0" includeNewItemsInFilter="1"/>
    <pivotField compact="0" numFmtId="167" outline="0" showAll="0" defaultSubtotal="0"/>
    <pivotField compact="0" numFmtId="177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2">
        <item x="1"/>
        <item x="0"/>
      </items>
    </pivotField>
    <pivotField dataField="1"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numFmtId="171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numFmtId="14" outline="0" subtotalTop="0" showAll="0" includeNewItemsInFilter="1"/>
    <pivotField compact="0" numFmtId="20" outline="0" subtotalTop="0" showAll="0" includeNewItemsInFilter="1"/>
    <pivotField axis="axisRow" compact="0" outline="0" subtotalTop="0" showAll="0" includeNewItemsInFilter="1" sortType="ascending" rankBy="0" defaultSubtotal="0">
      <items count="2">
        <item h="1" x="0"/>
        <item x="1"/>
      </items>
    </pivotField>
    <pivotField compact="0" numFmtId="14" outline="0" subtotalTop="0" showAll="0" includeNewItemsInFilter="1" sortType="ascending" rankBy="0"/>
    <pivotField compact="0" numFmtId="20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numFmtId="167" outline="0" subtotalTop="0" showAll="0" includeNewItemsInFilter="1"/>
    <pivotField axis="axisRow" compact="0" outline="0" subtotalTop="0" showAll="0" includeNewItemsInFilter="1" defaultSubtotal="0">
      <items count="2">
        <item m="1" x="1"/>
        <item x="0"/>
      </items>
    </pivotField>
    <pivotField compact="0" numFmtId="167" outline="0" subtotalTop="0" showAll="0" includeNewItemsInFilter="1"/>
    <pivotField compact="0" numFmtId="38" outline="0" subtotalTop="0" showAll="0" includeNewItemsInFilter="1" defaultSubtotal="0"/>
    <pivotField compact="0" outline="0" subtotalTop="0" showAll="0" includeNewItemsInFilter="1"/>
    <pivotField compact="0" numFmtId="38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compact="0" numFmtId="2" outline="0" subtotalTop="0" showAll="0" includeNewItemsInFilter="1"/>
    <pivotField compact="0" numFmtId="2" outline="0" subtotalTop="0" showAll="0" includeNewItemsInFilter="1"/>
    <pivotField compact="0" numFmtId="166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compact="0" numFmtId="38" outline="0" subtotalTop="0" showAll="0" includeNewItemsInFilter="1"/>
    <pivotField compact="0" numFmtId="38" outline="0" subtotalTop="0" showAll="0" includeNewItemsInFilter="1"/>
    <pivotField compact="0" numFmtId="14" outline="0" subtotalTop="0" showAll="0" includeNewItemsInFilter="1" defaultSubtotal="0"/>
    <pivotField compact="0" numFmtId="20" outline="0" subtotalTop="0" showAll="0" includeNewItemsInFilter="1" defaultSubtotal="0"/>
    <pivotField axis="axisRow" compact="0" outline="0" showAll="0" defaultSubtotal="0">
      <items count="1">
        <item x="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">
        <item x="1"/>
        <item m="1" x="2"/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insertBlankRow="1" defaultSubtotal="0">
      <items count="1">
        <item x="0"/>
      </items>
    </pivotField>
    <pivotField compact="0" outline="0" subtotalTop="0" dragToRow="0" dragToCol="0" dragToPage="0" showAll="0" includeNewItemsInFilter="1" defaultSubtotal="0"/>
  </pivotFields>
  <rowFields count="11">
    <field x="107"/>
    <field x="75"/>
    <field x="69"/>
    <field x="61"/>
    <field x="0"/>
    <field x="106"/>
    <field x="96"/>
    <field x="105"/>
    <field x="65"/>
    <field x="91"/>
    <field x="87"/>
  </rowFields>
  <rowItems count="2">
    <i>
      <x/>
      <x v="1"/>
      <x v="1"/>
      <x/>
      <x/>
      <x/>
      <x/>
      <x/>
      <x/>
      <x/>
      <x/>
    </i>
    <i t="blank">
      <x/>
    </i>
  </rowItems>
  <colItems count="1">
    <i/>
  </colItems>
  <pageFields count="1">
    <pageField fld="10" hier="0"/>
  </pageFields>
  <dataFields count="1">
    <dataField name="Rem_Qty " fld="62" baseField="87" baseItem="0" numFmtId="38"/>
  </dataFields>
  <formats count="4">
    <format dxfId="25">
      <pivotArea outline="0" fieldPosition="0"/>
    </format>
    <format dxfId="24">
      <pivotArea field="65" type="button" dataOnly="0" labelOnly="1" outline="0" axis="axisRow" fieldPosition="8"/>
    </format>
    <format dxfId="23">
      <pivotArea dataOnly="0" labelOnly="1" outline="0" fieldPosition="0">
        <references count="1">
          <reference field="65" count="0"/>
        </references>
      </pivotArea>
    </format>
    <format dxfId="22">
      <pivotArea dataOnly="0" labelOnly="1" outline="0" fieldPosition="0">
        <references count="1">
          <reference field="91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ell1" cacheId="78" autoFormatId="4109" applyNumberFormats="1" applyBorderFormats="1" applyFontFormats="1" applyPatternFormats="1" applyAlignmentFormats="1" applyWidthHeightFormats="1" dataCaption="Data" showError="1" updatedVersion="5" minRefreshableVersion="3" asteriskTotals="1" showMemberPropertyTips="0" useAutoFormatting="1" rowGrandTotals="0" colGrandTotals="0" itemPrintTitles="1" createdVersion="3" indent="0" compact="0" compactData="0" gridDropZones="1">
  <location ref="A11:J14" firstHeaderRow="0" firstDataRow="1" firstDataCol="6" rowPageCount="6" colPageCount="1"/>
  <pivotFields count="97">
    <pivotField axis="axisRow" compact="0" outline="0" subtotalTop="0" showAll="0" includeNewItemsInFilter="1" defaultSubtotal="0">
      <items count="4">
        <item m="1" x="3"/>
        <item m="1" x="2"/>
        <item m="1" x="1"/>
        <item x="0"/>
      </items>
    </pivotField>
    <pivotField compact="0" outline="0" showAll="0" defaultSubtotal="0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21" outline="0" subtotalTop="0" showAll="0" includeNewItemsInFilter="1"/>
    <pivotField compact="0" outline="0" subtotalTop="0" showAll="0" includeNewItemsInFilter="1"/>
    <pivotField compact="0" numFmtId="176" outline="0" showAll="0" defaultSubtotal="0"/>
    <pivotField compact="0" numFmtId="21" outline="0" subtotalTop="0" showAll="0" includeNewItemsInFilter="1"/>
    <pivotField compact="0" numFmtId="167" outline="0" showAll="0" defaultSubtotal="0"/>
    <pivotField compact="0" numFmtId="177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5">
        <item m="1" x="1"/>
        <item m="1" x="4"/>
        <item m="1" x="3"/>
        <item m="1" x="2"/>
        <item x="0"/>
      </items>
    </pivotField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0" outline="0" subtotalTop="0" showAll="0" includeNewItemsInFilter="1"/>
    <pivotField axis="axisPage" compact="0" outline="0" subtotalTop="0" showAll="0" includeNewItemsInFilter="1" sortType="ascending" defaultSubtotal="0">
      <items count="3">
        <item x="0"/>
        <item x="1"/>
        <item m="1" x="2"/>
      </items>
    </pivotField>
    <pivotField axis="axisPage" compact="0" numFmtId="14" outline="0" subtotalTop="0" showAll="0" includeNewItemsInFilter="1" sortType="ascending">
      <items count="2">
        <item x="0"/>
        <item t="default"/>
      </items>
    </pivotField>
    <pivotField axis="axisPage" compact="0" numFmtId="20" outline="0" subtotalTop="0" showAll="0" includeNewItemsInFilter="1" defaultSubtotal="0">
      <items count="2">
        <item x="0"/>
        <item x="1"/>
      </items>
    </pivotField>
    <pivotField compact="0" numFmtId="166" outline="0" subtotalTop="0" showAll="0" includeNewItemsInFilter="1"/>
    <pivotField compact="0" numFmtId="166" outline="0" subtotalTop="0" showAll="0" includeNewItemsInFilter="1"/>
    <pivotField compact="0" numFmtId="167" outline="0" subtotalTop="0" showAll="0" includeNewItemsInFilter="1"/>
    <pivotField axis="axisRow" compact="0" outline="0" subtotalTop="0" showAll="0" includeNewItemsInFilter="1" defaultSubtotal="0">
      <items count="5">
        <item m="1" x="4"/>
        <item m="1" x="1"/>
        <item m="1" x="2"/>
        <item m="1" x="3"/>
        <item x="0"/>
      </items>
    </pivotField>
    <pivotField compact="0" numFmtId="167" outline="0" subtotalTop="0" showAll="0" includeNewItemsInFilter="1"/>
    <pivotField compact="0" numFmtId="38" outline="0" subtotalTop="0" showAll="0" includeNewItemsInFilter="1" defaultSubtotal="0"/>
    <pivotField compact="0" outline="0" subtotalTop="0" showAll="0" includeNewItemsInFilter="1"/>
    <pivotField compact="0" numFmtId="38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compact="0" numFmtId="2" outline="0" subtotalTop="0" showAll="0" includeNewItemsInFilter="1"/>
    <pivotField compact="0" numFmtId="2" outline="0" subtotalTop="0" showAll="0" includeNewItemsInFilter="1"/>
    <pivotField compact="0" numFmtId="166" outline="0" subtotalTop="0" showAll="0" includeNewItemsInFilter="1"/>
    <pivotField axis="axisRow" compact="0" outline="0" subtotalTop="0" showAll="0" includeNewItemsInFilter="1">
      <items count="3">
        <item x="0"/>
        <item m="1" x="1"/>
        <item t="default"/>
      </items>
    </pivotField>
    <pivotField compact="0" numFmtId="38" outline="0" subtotalTop="0" showAll="0" includeNewItemsInFilter="1"/>
    <pivotField compact="0" numFmtId="38" outline="0" subtotalTop="0" showAll="0" includeNewItemsInFilter="1"/>
    <pivotField axis="axisRow" compact="0" numFmtId="14" outline="0" subtotalTop="0" showAll="0" insertBlankRow="1" includeNewItemsInFilter="1" sortType="ascending">
      <items count="5">
        <item m="1" x="1"/>
        <item m="1" x="2"/>
        <item m="1" x="3"/>
        <item x="0"/>
        <item t="default"/>
      </items>
    </pivotField>
    <pivotField axis="axisRow" compact="0" numFmtId="20" outline="0" subtotalTop="0" showAll="0" includeNewItemsInFilter="1" sortType="ascending" defaultSubtotal="0">
      <items count="4">
        <item m="1" x="1"/>
        <item m="1" x="2"/>
        <item m="1" x="3"/>
        <item x="0"/>
      </items>
    </pivotField>
    <pivotField dataField="1" compact="0" outline="0" subtotalTop="0" dragToRow="0" dragToCol="0" dragToPage="0" showAll="0" includeNewItemsInFilter="1" defaultSubtotal="0"/>
  </pivotFields>
  <rowFields count="6">
    <field x="94"/>
    <field x="95"/>
    <field x="75"/>
    <field x="61"/>
    <field x="0"/>
    <field x="91"/>
  </rowFields>
  <rowItems count="3">
    <i>
      <x v="3"/>
      <x v="3"/>
      <x v="4"/>
      <x v="4"/>
      <x v="3"/>
      <x/>
    </i>
    <i t="default">
      <x v="3"/>
    </i>
    <i t="blank"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86" hier="0"/>
    <pageField fld="70" hier="0"/>
    <pageField fld="87" hier="0"/>
    <pageField fld="71" hier="0"/>
    <pageField fld="69" hier="0"/>
    <pageField fld="10" hier="0"/>
  </pageFields>
  <dataFields count="4">
    <dataField name="Reqmt Qty " fld="45" baseField="0" baseItem="0"/>
    <dataField name="Qty Withdrawn " fld="58" baseField="91" baseItem="0"/>
    <dataField name="Total Stock " fld="57" baseField="91" baseItem="0"/>
    <dataField name="SL_Mixing " fld="96" baseField="0" baseItem="0" numFmtId="172"/>
  </dataFields>
  <formats count="4">
    <format dxfId="21">
      <pivotArea outline="0" fieldPosition="0"/>
    </format>
    <format dxfId="20">
      <pivotArea field="91" type="button" dataOnly="0" labelOnly="1" outline="0" axis="axisRow" fieldPosition="5"/>
    </format>
    <format dxfId="19">
      <pivotArea dataOnly="0" labelOnly="1" outline="0" fieldPosition="0">
        <references count="1">
          <reference field="91" count="0"/>
        </references>
      </pivotArea>
    </format>
    <format dxfId="18">
      <pivotArea outline="0" fieldPosition="0">
        <references count="1">
          <reference field="4294967294" count="1">
            <x v="3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Pivottabell1" cacheId="79" autoFormatId="4109" applyNumberFormats="1" applyBorderFormats="1" applyFontFormats="1" applyPatternFormats="1" applyAlignmentFormats="1" applyWidthHeightFormats="1" dataCaption="Data" showError="1" updatedVersion="5" minRefreshableVersion="3" asteriskTotals="1" showMemberPropertyTips="0" useAutoFormatting="1" colGrandTotals="0" itemPrintTitles="1" createdVersion="3" indent="0" compact="0" compactData="0" gridDropZones="1">
  <location ref="A10:D13" firstHeaderRow="1" firstDataRow="1" firstDataCol="3" rowPageCount="3" colPageCount="1"/>
  <pivotFields count="116">
    <pivotField axis="axisRow" compact="0" outline="0" subtotalTop="0" showAll="0" includeNewItemsInFilter="1" defaultSubtotal="0">
      <items count="2">
        <item x="0"/>
        <item x="1"/>
      </items>
    </pivotField>
    <pivotField compact="0" outline="0" showAll="0" defaultSubtotal="0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21" outline="0" subtotalTop="0" showAll="0" includeNewItemsInFilter="1"/>
    <pivotField compact="0" outline="0" subtotalTop="0" showAll="0" includeNewItemsInFilter="1"/>
    <pivotField compact="0" numFmtId="176" outline="0" showAll="0" defaultSubtotal="0"/>
    <pivotField compact="0" numFmtId="21" outline="0" subtotalTop="0" showAll="0" includeNewItemsInFilter="1"/>
    <pivotField compact="0" numFmtId="167" outline="0" showAll="0" defaultSubtotal="0"/>
    <pivotField compact="0" numFmtId="177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2">
        <item x="0"/>
        <item x="1"/>
      </items>
    </pivotField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71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/>
    <pivotField compact="0" numFmtId="14" outline="0" subtotalTop="0" showAll="0" includeNewItemsInFilter="1"/>
    <pivotField compact="0" numFmtId="20" outline="0" subtotalTop="0" showAll="0" includeNewItemsInFilter="1"/>
    <pivotField axis="axisPage" compact="0" outline="0" subtotalTop="0" showAll="0" includeNewItemsInFilter="1" sortType="ascending" defaultSubtotal="0">
      <items count="2">
        <item x="0"/>
        <item x="1"/>
      </items>
    </pivotField>
    <pivotField compact="0" numFmtId="14" outline="0" subtotalTop="0" showAll="0" includeNewItemsInFilter="1" sortType="ascending"/>
    <pivotField compact="0" numFmtId="20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numFmtId="167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compact="0" numFmtId="167" outline="0" subtotalTop="0" showAll="0" includeNewItemsInFilter="1"/>
    <pivotField compact="0" numFmtId="38" outline="0" subtotalTop="0" showAll="0" includeNewItemsInFilter="1" defaultSubtotal="0"/>
    <pivotField compact="0" outline="0" subtotalTop="0" showAll="0" includeNewItemsInFilter="1"/>
    <pivotField compact="0" numFmtId="38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166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14" outline="0" subtotalTop="0" showAll="0" includeNewItemsInFilter="1" defaultSubtotal="0"/>
    <pivotField compact="0" numFmtId="20" outline="0" subtotalTop="0" showAll="0" includeNewItemsInFilter="1" defaultSubtotal="0"/>
    <pivotField compact="0" numFmtId="166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8" outline="0" showAll="0" defaultSubtotal="0"/>
    <pivotField compact="0" numFmtId="166" outline="0" showAll="0" defaultSubtotal="0"/>
    <pivotField compact="0" numFmtId="167" outline="0" showAll="0" defaultSubtotal="0"/>
    <pivotField compact="0" outline="0" showAll="0" defaultSubtotal="0"/>
    <pivotField compact="0" outline="0" showAll="0" defaultSubtotal="0"/>
    <pivotField compact="0" numFmtId="174" outline="0" showAll="0" defaultSubtotal="0"/>
    <pivotField axis="axisPage" compact="0" outline="0" multipleItemSelectionAllowed="1" showAll="0" defaultSubtotal="0">
      <items count="3">
        <item x="1"/>
        <item x="0"/>
        <item h="1" x="2"/>
      </items>
    </pivotField>
    <pivotField compact="0" outline="0" showAll="0" defaultSubtotal="0"/>
    <pivotField compact="0" numFmtId="3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5" outline="0" showAll="0" defaultSubtotal="0"/>
    <pivotField compact="0" numFmtId="165" outline="0" showAll="0" defaultSubtotal="0"/>
    <pivotField compact="0" numFmtId="38" outline="0" showAll="0" defaultSubtotal="0"/>
    <pivotField compact="0" outline="0" subtotalTop="0" dragToRow="0" dragToCol="0" dragToPage="0" showAll="0" includeNewItemsInFilter="1" defaultSubtotal="0"/>
  </pivotFields>
  <rowFields count="3">
    <field x="75"/>
    <field x="0"/>
    <field x="61"/>
  </rowFields>
  <rowItems count="3">
    <i>
      <x/>
      <x/>
      <x/>
    </i>
    <i r="2">
      <x v="1"/>
    </i>
    <i t="grand">
      <x/>
    </i>
  </rowItems>
  <colItems count="1">
    <i/>
  </colItems>
  <pageFields count="3">
    <pageField fld="106" hier="-1"/>
    <pageField fld="69" hier="0"/>
    <pageField fld="10" hier="0"/>
  </pageFields>
  <dataFields count="1">
    <dataField name="Dev_Hours " fld="112" subtotal="average" baseField="61" baseItem="0" numFmtId="165"/>
  </dataFields>
  <formats count="3">
    <format dxfId="17">
      <pivotArea field="65" type="button" dataOnly="0" labelOnly="1" outline="0"/>
    </format>
    <format dxfId="16">
      <pivotArea outline="0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ell1" cacheId="79" autoFormatId="4109" applyNumberFormats="1" applyBorderFormats="1" applyFontFormats="1" applyPatternFormats="1" applyAlignmentFormats="1" applyWidthHeightFormats="1" dataCaption="Data" showError="1" updatedVersion="5" minRefreshableVersion="3" showMemberPropertyTips="0" useAutoFormatting="1" rowGrandTotals="0" colGrandTotals="0" itemPrintTitles="1" createdVersion="3" indent="0" compact="0" compactData="0" gridDropZones="1">
  <location ref="A10:K15" firstHeaderRow="1" firstDataRow="2" firstDataCol="10" rowPageCount="1" colPageCount="1"/>
  <pivotFields count="116">
    <pivotField axis="axisRow" compact="0" outline="0" subtotalTop="0" showAll="0" includeNewItemsInFilter="1" defaultSubtotal="0">
      <items count="2">
        <item x="0"/>
        <item x="1"/>
      </items>
    </pivotField>
    <pivotField compact="0" outline="0" showAll="0" defaultSubtotal="0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21" outline="0" subtotalTop="0" showAll="0" includeNewItemsInFilter="1"/>
    <pivotField compact="0" outline="0" subtotalTop="0" showAll="0" includeNewItemsInFilter="1"/>
    <pivotField compact="0" numFmtId="176" outline="0" showAll="0" defaultSubtotal="0"/>
    <pivotField compact="0" numFmtId="21" outline="0" subtotalTop="0" showAll="0" includeNewItemsInFilter="1"/>
    <pivotField compact="0" numFmtId="167" outline="0" showAll="0" defaultSubtotal="0"/>
    <pivotField compact="0" numFmtId="177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2">
        <item x="0"/>
        <item x="1"/>
      </items>
    </pivotField>
    <pivotField dataField="1"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numFmtId="171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/>
    <pivotField compact="0" numFmtId="14" outline="0" subtotalTop="0" showAll="0" includeNewItemsInFilter="1"/>
    <pivotField compact="0" numFmtId="20" outline="0" subtotalTop="0" showAll="0" includeNewItemsInFilter="1"/>
    <pivotField axis="axisRow" compact="0" outline="0" subtotalTop="0" showAll="0" includeNewItemsInFilter="1" sortType="ascending" rankBy="0" defaultSubtotal="0">
      <items count="2">
        <item x="0"/>
        <item x="1"/>
      </items>
    </pivotField>
    <pivotField axis="axisCol" compact="0" numFmtId="14" outline="0" subtotalTop="0" showAll="0" includeNewItemsInFilter="1" sortType="ascending" rankBy="0">
      <items count="2">
        <item x="0"/>
        <item t="default"/>
      </items>
    </pivotField>
    <pivotField axis="axisRow" compact="0" numFmtId="20" outline="0" subtotalTop="0" showAll="0" includeNewItemsInFilter="1" defaultSubtotal="0">
      <items count="2">
        <item x="0"/>
        <item x="1"/>
      </items>
    </pivotField>
    <pivotField compact="0" numFmtId="166" outline="0" subtotalTop="0" showAll="0" includeNewItemsInFilter="1"/>
    <pivotField compact="0" numFmtId="166" outline="0" subtotalTop="0" showAll="0" includeNewItemsInFilter="1"/>
    <pivotField compact="0" numFmtId="167" outline="0" subtotalTop="0" showAll="0" includeNewItemsInFilter="1"/>
    <pivotField axis="axisRow" compact="0" outline="0" subtotalTop="0" showAll="0" insertBlankRow="1" includeNewItemsInFilter="1" defaultSubtotal="0">
      <items count="1">
        <item x="0"/>
      </items>
    </pivotField>
    <pivotField compact="0" numFmtId="167" outline="0" subtotalTop="0" showAll="0" includeNewItemsInFilter="1"/>
    <pivotField compact="0" numFmtId="38" outline="0" subtotalTop="0" showAll="0" includeNewItemsInFilter="1" defaultSubtotal="0"/>
    <pivotField compact="0" outline="0" subtotalTop="0" showAll="0" includeNewItemsInFilter="1"/>
    <pivotField compact="0" numFmtId="38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axis="axisRow" compact="0" outline="0" subtotalTop="0" showAll="0" includeNewItemsInFilter="1">
      <items count="3">
        <item x="1"/>
        <item x="0"/>
        <item t="default"/>
      </items>
    </pivotField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Row" compact="0" numFmtId="14" outline="0" subtotalTop="0" showAll="0" includeNewItemsInFilter="1" defaultSubtotal="0">
      <items count="1">
        <item x="0"/>
      </items>
    </pivotField>
    <pivotField axis="axisRow" compact="0" numFmtId="20" outline="0" subtotalTop="0" showAll="0" includeNewItemsInFilter="1" defaultSubtotal="0">
      <items count="1">
        <item x="0"/>
      </items>
    </pivotField>
    <pivotField compact="0" numFmtId="166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8" outline="0" showAll="0" defaultSubtotal="0"/>
    <pivotField compact="0" numFmtId="166" outline="0" showAll="0" defaultSubtotal="0"/>
    <pivotField compact="0" numFmtId="167" outline="0" showAll="0" defaultSubtotal="0"/>
    <pivotField compact="0" outline="0" showAll="0" defaultSubtotal="0"/>
    <pivotField compact="0" outline="0" showAll="0" defaultSubtotal="0"/>
    <pivotField compact="0" numFmtId="174" outline="0" showAll="0" defaultSubtotal="0"/>
    <pivotField compact="0" outline="0" showAll="0" defaultSubtotal="0"/>
    <pivotField compact="0" outline="0" showAll="0" defaultSubtotal="0"/>
    <pivotField compact="0" numFmtId="38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x="1"/>
      </items>
    </pivotField>
    <pivotField compact="0" numFmtId="165" outline="0" showAll="0" defaultSubtotal="0"/>
    <pivotField compact="0" numFmtId="165" outline="0" showAll="0" defaultSubtotal="0"/>
    <pivotField compact="0" numFmtId="38" outline="0" showAll="0" defaultSubtotal="0"/>
    <pivotField compact="0" outline="0" dragToRow="0" dragToCol="0" dragToPage="0" showAll="0" defaultSubtotal="0"/>
  </pivotFields>
  <rowFields count="10">
    <field x="75"/>
    <field x="69"/>
    <field x="61"/>
    <field x="0"/>
    <field x="94"/>
    <field x="95"/>
    <field x="65"/>
    <field x="71"/>
    <field x="111"/>
    <field x="87"/>
  </rowFields>
  <rowItems count="4">
    <i>
      <x/>
      <x/>
      <x/>
      <x/>
      <x/>
      <x/>
      <x/>
      <x/>
      <x/>
      <x v="1"/>
    </i>
    <i r="1">
      <x v="1"/>
      <x v="1"/>
      <x/>
      <x/>
      <x/>
      <x v="1"/>
      <x v="1"/>
      <x/>
      <x/>
    </i>
    <i r="3">
      <x v="1"/>
      <x/>
      <x/>
      <x v="1"/>
      <x v="1"/>
      <x v="1"/>
      <x/>
    </i>
    <i t="blank">
      <x/>
    </i>
  </rowItems>
  <colFields count="1">
    <field x="70"/>
  </colFields>
  <colItems count="1">
    <i>
      <x/>
    </i>
  </colItems>
  <pageFields count="1">
    <pageField fld="10" hier="0"/>
  </pageFields>
  <dataFields count="1">
    <dataField name="Sum av Rem_Qty" fld="62" baseField="0" baseItem="0" numFmtId="38"/>
  </dataFields>
  <formats count="3">
    <format dxfId="14">
      <pivotArea outline="0" fieldPosition="0"/>
    </format>
    <format dxfId="13">
      <pivotArea field="65" type="button" dataOnly="0" labelOnly="1" outline="0" axis="axisRow" fieldPosition="6"/>
    </format>
    <format dxfId="12">
      <pivotArea dataOnly="0" labelOnly="1" outline="0" fieldPosition="0">
        <references count="1">
          <reference field="65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pExlData" displayName="SapExlData" ref="A1:CR3" totalsRowShown="0" headerRowDxfId="465">
  <autoFilter ref="A1:CR3" xr:uid="{00000000-0009-0000-0100-000001000000}"/>
  <tableColumns count="96">
    <tableColumn id="1" xr3:uid="{00000000-0010-0000-0000-000001000000}" name="Order" dataDxfId="464">
      <calculatedColumnFormula>INT(SapExlData[[#This Row],[OrderNummer]])</calculatedColumnFormula>
    </tableColumn>
    <tableColumn id="20" xr3:uid="{00000000-0010-0000-0000-000014000000}" name="Confirmed order finish date" dataDxfId="463"/>
    <tableColumn id="2" xr3:uid="{00000000-0010-0000-0000-000002000000}" name="Actual finish date" dataDxfId="462"/>
    <tableColumn id="3" xr3:uid="{00000000-0010-0000-0000-000003000000}" name="Scheduled finish" dataDxfId="461"/>
    <tableColumn id="4" xr3:uid="{00000000-0010-0000-0000-000004000000}" name="Finish tme" dataDxfId="460"/>
    <tableColumn id="5" xr3:uid="{00000000-0010-0000-0000-000005000000}" name="Actual start date" dataDxfId="459"/>
    <tableColumn id="6" xr3:uid="{00000000-0010-0000-0000-000006000000}" name="Scheduled start" dataDxfId="458"/>
    <tableColumn id="7" xr3:uid="{00000000-0010-0000-0000-000007000000}" name="SchedStart" dataDxfId="457"/>
    <tableColumn id="8" xr3:uid="{00000000-0010-0000-0000-000008000000}" name="Act.finish" dataDxfId="456"/>
    <tableColumn id="9" xr3:uid="{00000000-0010-0000-0000-000009000000}" name="Act. Start" dataDxfId="455"/>
    <tableColumn id="10" xr3:uid="{00000000-0010-0000-0000-00000A000000}" name="DCI" dataDxfId="454"/>
    <tableColumn id="11" xr3:uid="{00000000-0010-0000-0000-00000B000000}" name="OrderNummer" dataDxfId="453"/>
    <tableColumn id="12" xr3:uid="{00000000-0010-0000-0000-00000C000000}" name="Earl.start date" dataDxfId="452"/>
    <tableColumn id="13" xr3:uid="{00000000-0010-0000-0000-00000D000000}" name="Lang" dataDxfId="451"/>
    <tableColumn id="14" xr3:uid="{00000000-0010-0000-0000-00000E000000}" name="Mix Material Description" dataDxfId="450"/>
    <tableColumn id="15" xr3:uid="{00000000-0010-0000-0000-00000F000000}" name="0ME_DEL_IND" dataDxfId="449"/>
    <tableColumn id="16" xr3:uid="{00000000-0010-0000-0000-000010000000}" name="Plant Description" dataDxfId="448"/>
    <tableColumn id="17" xr3:uid="{00000000-0010-0000-0000-000011000000}" name="0PPS_DOCDEL" dataDxfId="447"/>
    <tableColumn id="18" xr3:uid="{00000000-0010-0000-0000-000012000000}" name="Order priority" dataDxfId="446"/>
    <tableColumn id="19" xr3:uid="{00000000-0010-0000-0000-000013000000}" name="0S_ORD_ITEM" dataDxfId="445"/>
    <tableColumn id="21" xr3:uid="{00000000-0010-0000-0000-000015000000}" name="Work Center Description" dataDxfId="444"/>
    <tableColumn id="22" xr3:uid="{00000000-0010-0000-0000-000016000000}" name="Counter" dataDxfId="443"/>
    <tableColumn id="23" xr3:uid="{00000000-0010-0000-0000-000017000000}" name="ID" dataDxfId="442"/>
    <tableColumn id="25" xr3:uid="{00000000-0010-0000-0000-000019000000}" name="ZIBEZEI" dataDxfId="441"/>
    <tableColumn id="28" xr3:uid="{00000000-0010-0000-0000-00001C000000}" name="Earl.start time" dataDxfId="440"/>
    <tableColumn id="29" xr3:uid="{00000000-0010-0000-0000-00001D000000}" name="Actual Order Finish Date" dataDxfId="439"/>
    <tableColumn id="30" xr3:uid="{00000000-0010-0000-0000-00001E000000}" name="Act.finish2" dataDxfId="438"/>
    <tableColumn id="31" xr3:uid="{00000000-0010-0000-0000-00001F000000}" name="ActlStart" dataDxfId="437"/>
    <tableColumn id="45" xr3:uid="{00000000-0010-0000-0000-00002D000000}" name="Act.finish3" dataDxfId="436"/>
    <tableColumn id="46" xr3:uid="{00000000-0010-0000-0000-00002E000000}" name="Act.finish4" dataDxfId="435"/>
    <tableColumn id="47" xr3:uid="{00000000-0010-0000-0000-00002F000000}" name="ZIKAPID" dataDxfId="434"/>
    <tableColumn id="48" xr3:uid="{00000000-0010-0000-0000-000030000000}" name="Material Description" dataDxfId="433"/>
    <tableColumn id="49" xr3:uid="{00000000-0010-0000-0000-000031000000}" name="Ph" dataDxfId="432"/>
    <tableColumn id="51" xr3:uid="{00000000-0010-0000-0000-000033000000}" name="Lat.start date" dataDxfId="431"/>
    <tableColumn id="52" xr3:uid="{00000000-0010-0000-0000-000034000000}" name="Lat. start time" dataDxfId="430"/>
    <tableColumn id="53" xr3:uid="{00000000-0010-0000-0000-000035000000}" name="Ctrl" dataDxfId="429"/>
    <tableColumn id="54" xr3:uid="{00000000-0010-0000-0000-000036000000}" name="ZISTLTY" dataDxfId="428"/>
    <tableColumn id="55" xr3:uid="{00000000-0010-0000-0000-000037000000}" name="Short description" dataDxfId="427"/>
    <tableColumn id="24" xr3:uid="{00000000-0010-0000-0000-000018000000}" name="MixEnhet" dataDxfId="426"/>
    <tableColumn id="56" xr3:uid="{00000000-0010-0000-0000-000038000000}" name="20LANGU" dataDxfId="425"/>
    <tableColumn id="57" xr3:uid="{00000000-0010-0000-0000-000039000000}" name="Mix Material" dataDxfId="424"/>
    <tableColumn id="58" xr3:uid="{00000000-0010-0000-0000-00003A000000}" name="Plnt" dataDxfId="423"/>
    <tableColumn id="59" xr3:uid="{00000000-0010-0000-0000-00003B000000}" name="Work ctr" dataDxfId="422"/>
    <tableColumn id="26" xr3:uid="{00000000-0010-0000-0000-00001A000000}" name="Material Number" dataDxfId="421"/>
    <tableColumn id="60" xr3:uid="{00000000-0010-0000-0000-00003C000000}" name="Base Quantity" dataDxfId="420"/>
    <tableColumn id="61" xr3:uid="{00000000-0010-0000-0000-00003D000000}" name="Reqmt Qty" dataDxfId="419"/>
    <tableColumn id="62" xr3:uid="{00000000-0010-0000-0000-00003E000000}" name="Confirmed scrap" dataDxfId="418"/>
    <tableColumn id="63" xr3:uid="{00000000-0010-0000-0000-00003F000000}" name="Confirmed yield" dataDxfId="417"/>
    <tableColumn id="79" xr3:uid="{00000000-0010-0000-0000-00004F000000}" name="Confirmed Yield2" dataDxfId="416"/>
    <tableColumn id="78" xr3:uid="{00000000-0010-0000-0000-00004E000000}" name="Quantity of goods received" dataDxfId="415"/>
    <tableColumn id="89" xr3:uid="{00000000-0010-0000-0000-000059000000}" name="Processing time" dataDxfId="414"/>
    <tableColumn id="88" xr3:uid="{00000000-0010-0000-0000-000058000000}" name="Scrap quantity" dataDxfId="413"/>
    <tableColumn id="87" xr3:uid="{00000000-0010-0000-0000-000057000000}" name="Total order quantity" dataDxfId="412"/>
    <tableColumn id="86" xr3:uid="{00000000-0010-0000-0000-000056000000}" name="Total Scrap Quantity in the Or" dataDxfId="411"/>
    <tableColumn id="85" xr3:uid="{00000000-0010-0000-0000-000055000000}" name="Setup time" dataDxfId="410"/>
    <tableColumn id="84" xr3:uid="{00000000-0010-0000-0000-000054000000}" name="Operation Qty" dataDxfId="409"/>
    <tableColumn id="83" xr3:uid="{00000000-0010-0000-0000-000053000000}" name="Confirmed qty" dataDxfId="408"/>
    <tableColumn id="82" xr3:uid="{00000000-0010-0000-0000-000052000000}" name="Total Stock" dataDxfId="407"/>
    <tableColumn id="81" xr3:uid="{00000000-0010-0000-0000-000051000000}" name="Qty Withdrawn" dataDxfId="406"/>
    <tableColumn id="50" xr3:uid="{00000000-0010-0000-0000-000032000000}" name="SetupTid" dataDxfId="405"/>
    <tableColumn id="64" xr3:uid="{00000000-0010-0000-0000-000040000000}" name="ProcTid" dataDxfId="404"/>
    <tableColumn id="32" xr3:uid="{00000000-0010-0000-0000-000020000000}" name="Material Name" dataDxfId="403">
      <calculatedColumnFormula>SapExlData[[#This Row],[Material Number]]&amp;" "&amp;SapExlData[[#This Row],[Material Description]]</calculatedColumnFormula>
    </tableColumn>
    <tableColumn id="33" xr3:uid="{00000000-0010-0000-0000-000021000000}" name="Rem_Qty" dataDxfId="402">
      <calculatedColumnFormula>IF(SapExlData[[#This Row],[Total order quantity]]-SapExlData[[#This Row],[Quantity of goods received]]&lt;0,0,SapExlData[[#This Row],[Total order quantity]]-SapExlData[[#This Row],[Quantity of goods received]])</calculatedColumnFormula>
    </tableColumn>
    <tableColumn id="34" xr3:uid="{00000000-0010-0000-0000-000022000000}" name="RT_Total" dataDxfId="401">
      <calculatedColumnFormula>IF(SapExlData[[#This Row],[Base Quantity]]=0,0,SapExlData[[#This Row],[Operation Qty]]/SapExlData[[#This Row],[Base Quantity]])</calculatedColumnFormula>
    </tableColumn>
    <tableColumn id="35" xr3:uid="{00000000-0010-0000-0000-000023000000}" name="Setup" dataDxfId="400">
      <calculatedColumnFormula>SapExlData[[#This Row],[SetupTid]]</calculatedColumnFormula>
    </tableColumn>
    <tableColumn id="36" xr3:uid="{00000000-0010-0000-0000-000024000000}" name="Rem_Time" dataDxfId="399">
      <calculatedColumnFormula>IF(SapExlData[[#This Row],[DCI]]="X",0,IF(SapExlData[[#This Row],[Rem_Qty]]&lt;SapExlData[[#This Row],[Total order quantity]],(SapExlData[[#This Row],[ProcTid]]/SapExlData[[#This Row],[Base Quantity]])*SapExlData[[#This Row],[Rem_Qty]],SapExlData[Processing time]))</calculatedColumnFormula>
    </tableColumn>
    <tableColumn id="37" xr3:uid="{00000000-0010-0000-0000-000025000000}" name="Sequence" dataDxfId="398">
      <calculatedColumnFormula>IF(AQ2&lt;&gt;AQ1,1,IF(ISERROR(DATEVALUE(F2)),BO1+1,BO1))</calculatedColumnFormula>
    </tableColumn>
    <tableColumn id="75" xr3:uid="{00000000-0010-0000-0000-00004B000000}" name="Start_DateH" dataDxfId="397">
      <calculatedColumnFormula>IF($BR2=1,IF(ISERROR(DATEVALUE(F2)),IF(BO2&gt;1,BP1,DATEVALUE(G2)),DATEVALUE(F2)),IF(BR2=0,IF(BX2=BX1,BS1,IF(ISERROR(DATEVALUE(F2)),G2,DATEVALUE(F2))),IF(CJ2="Locked",DATEVALUE(G2),BS1)))</calculatedColumnFormula>
    </tableColumn>
    <tableColumn id="38" xr3:uid="{00000000-0010-0000-0000-000026000000}" name="Start_TimeH" dataDxfId="396">
      <calculatedColumnFormula>IF($BR2=1,IF(VALUE(AB2)&gt;0,AB2,IF(BO2&gt;1,BT1,H2)),IF(AND(BR2=0,BX2=BX1),BT1,IF(VALUE(AB2)&gt;0,AB2,IF(CJ2="Locked",H2,IF(BR1=0,BQ1,IF(ISERROR(VALUE(BT1)),7/24,BT1))))))</calculatedColumnFormula>
    </tableColumn>
    <tableColumn id="39" xr3:uid="{00000000-0010-0000-0000-000027000000}" name="Active" dataDxfId="395">
      <calculatedColumnFormula>IF(SapExlData[[#This Row],[Akt_Help]]=0,0,SapExlData[[#This Row],[Acc_Akt]])</calculatedColumnFormula>
    </tableColumn>
    <tableColumn id="40" xr3:uid="{00000000-0010-0000-0000-000028000000}" name="End_Date" dataDxfId="394"/>
    <tableColumn id="41" xr3:uid="{00000000-0010-0000-0000-000029000000}" name="End_Time" dataDxfId="393"/>
    <tableColumn id="42" xr3:uid="{00000000-0010-0000-0000-00002A000000}" name="Start" dataDxfId="392">
      <calculatedColumnFormula>IF(SapExlData[[#This Row],[Locked]]="Locked",IF(SapExlData[[#This Row],[Scheduled start]]+SapExlData[[#This Row],[SchedStart]]&lt;CapDate+SapExlData[[#This Row],[StartSec]],CapDate+SapExlData[[#This Row],[StartSec]],SapExlData[[#This Row],[Scheduled start]]+SapExlData[[#This Row],[SchedStart]]),IF(SapExlData[[#This Row],[Start_DateH]]+SapExlData[[#This Row],[Start_TimeH]]&lt;CapDate+SapExlData[[#This Row],[StartSec]],CapDate+SapExlData[[#This Row],[StartSec]],SapExlData[[#This Row],[Start_DateH]]+SapExlData[[#This Row],[Start_TimeH]]))</calculatedColumnFormula>
    </tableColumn>
    <tableColumn id="43" xr3:uid="{00000000-0010-0000-0000-00002B000000}" name="Stop" dataDxfId="391">
      <calculatedColumnFormula>IF(SapExlData[[#This Row],[End_Date]]=0,"",SapExlData[[#This Row],[End_Date]]+TIME(HOUR(SapExlData[[#This Row],[End_Time]]),MINUTE(SapExlData[[#This Row],[End_Time]]),SECOND(SapExlData[[#This Row],[End_Time]])))</calculatedColumnFormula>
    </tableColumn>
    <tableColumn id="65" xr3:uid="{00000000-0010-0000-0000-000041000000}" name="StartSec" dataDxfId="390"/>
    <tableColumn id="66" xr3:uid="{00000000-0010-0000-0000-000042000000}" name="Work Center" dataDxfId="389">
      <calculatedColumnFormula>RIGHT(SapExlData[[#This Row],[Work ctr]],LEN(SapExlData[[#This Row],[Work ctr]])-5)&amp;" "&amp;SapExlData[[#This Row],[Work Center Description]]</calculatedColumnFormula>
    </tableColumn>
    <tableColumn id="67" xr3:uid="{00000000-0010-0000-0000-000043000000}" name="StopSec" dataDxfId="388"/>
    <tableColumn id="68" xr3:uid="{00000000-0010-0000-0000-000044000000}" name="Acc_Cap" dataDxfId="387">
      <calculatedColumnFormula>IF(CJ2="Locked",CF2+CA2*0,IF(BX2&lt;&gt;BX1,CF2,IF(AND(CA2&gt;BZ1,BR2&gt;0),CA2+CF2,BZ1+CF2)))</calculatedColumnFormula>
    </tableColumn>
    <tableColumn id="69" xr3:uid="{00000000-0010-0000-0000-000045000000}" name="StartCap" dataDxfId="386">
      <calculatedColumnFormula>IF(ISERROR(VLOOKUP(SapExlData[[#This Row],[Work Center]]&amp;INT(SapExlData[[#This Row],[Start]]),CapStartDay,4,FALSE)),0,VLOOKUP(SapExlData[[#This Row],[Work Center]]&amp;INT(SapExlData[[#This Row],[Start]]),CapStartDay,4,FALSE)+(SapExlData[[#This Row],[Start]]-VLOOKUP(SapExlData[[#This Row],[Work Center]]&amp;INT(SapExlData[[#This Row],[Start]]),CapStartDay,3,FALSE))*3600*24)</calculatedColumnFormula>
    </tableColumn>
    <tableColumn id="70" xr3:uid="{00000000-0010-0000-0000-000046000000}" name="Acc_Cap2" dataDxfId="385">
      <calculatedColumnFormula>IF(CJ2="Locked",IF(VLOOKUP(DATEVALUE(D2),CapDateNumber,7,FALSE)&gt;1,VLOOKUP(BX2,CapStart,VLOOKUP(DATEVALUE(D2),CapDateNumber,7,FALSE),FALSE),0)+(E2-BW2)*24*3600,0)</calculatedColumnFormula>
    </tableColumn>
    <tableColumn id="71" xr3:uid="{00000000-0010-0000-0000-000047000000}" name="Startverdi" dataDxfId="384">
      <calculatedColumnFormula>(IF(OR(SapExlData[[#This Row],[Active]]&lt;&gt;1,SapExlData[[#This Row],[Start]]&lt;ToDay+1,SapExlData[[#This Row],[Locked]]="Locked"),0,VLOOKUP(SapExlData[[#This Row],[Work Center]],CapStart,VLOOKUP(INT(SapExlData[[#This Row],[Start]]),CapDateNumber,7,FALSE),FALSE)+(SapExlData[[#This Row],[Start_TimeH]]-SapExlData[[#This Row],[StartSec]])*24*3600))/3600/24</calculatedColumnFormula>
    </tableColumn>
    <tableColumn id="72" xr3:uid="{00000000-0010-0000-0000-000048000000}" name="Prodverdi" dataDxfId="383">
      <calculatedColumnFormula>IF(ISERROR(SapExlData[[#This Row],[Rem_Time]]),0,SapExlData[[#This Row],[Rem_Time]]/24)</calculatedColumnFormula>
    </tableColumn>
    <tableColumn id="73" xr3:uid="{00000000-0010-0000-0000-000049000000}" name="Nå_verdi" dataDxfId="382">
      <calculatedColumnFormula>IF(AND(BX2&lt;&gt;BX1,CJ2&lt;&gt;"Locked"),IF(CC2&gt;=CK2,0,IF(CL2&gt;CK2,0,CK2-CL2)),0)</calculatedColumnFormula>
    </tableColumn>
    <tableColumn id="74" xr3:uid="{00000000-0010-0000-0000-00004A000000}" name="Totverdi" dataDxfId="381">
      <calculatedColumnFormula>IF(ISERROR(SapExlData[[#This Row],[Rem_Time]]),0,SUM(SapExlData[[#This Row],[Startverdi]]:SapExlData[[#This Row],[Nå_verdi]])*24*3600+IF(SapExlData[[#This Row],[Locked]]="Locked",SapExlData[[#This Row],[StartCap]],SapExlData[[#This Row],[Acc_Cap2]]))</calculatedColumnFormula>
    </tableColumn>
    <tableColumn id="76" xr3:uid="{00000000-0010-0000-0000-00004C000000}" name="Akt_Help" dataDxfId="380">
      <calculatedColumnFormula>IF(ISERROR(BN2),0,IF(AND(BN2&gt;0,K2&lt;&gt;"X",BX2&lt;&gt;BX1),1,IF(AND(ISERROR(DATEVALUE(F2)),K2&lt;&gt;"X"),1,0)))</calculatedColumnFormula>
    </tableColumn>
    <tableColumn id="77" xr3:uid="{00000000-0010-0000-0000-00004D000000}" name="Acc_Akt" dataDxfId="379">
      <calculatedColumnFormula>IF(BX2&lt;&gt;BX1,CG2,CG2+CH1)</calculatedColumnFormula>
    </tableColumn>
    <tableColumn id="44" xr3:uid="{00000000-0010-0000-0000-00002C000000}" name="ActStarted" dataDxfId="378">
      <calculatedColumnFormula>IF(AND(SapExlData[[#This Row],[Active]]=1,OR(SapExlData[[#This Row],[Quantity of goods received]]&gt;0,ISERROR(DATEVALUE(SapExlData[[#This Row],[Actual start date]]))=FALSE)),1,0)</calculatedColumnFormula>
    </tableColumn>
    <tableColumn id="90" xr3:uid="{00000000-0010-0000-0000-00005A000000}" name="Locked" dataDxfId="377">
      <calculatedColumnFormula>IF(ISERROR(VLOOKUP(SapExlData[[#This Row],[Order]],LockedTable[],1,FALSE)),"","Locked")</calculatedColumnFormula>
    </tableColumn>
    <tableColumn id="91" xr3:uid="{00000000-0010-0000-0000-00005B000000}" name="Cap_ToDay" dataDxfId="376">
      <calculatedColumnFormula>IF(ISERROR(VLOOKUP(SapExlData[[#This Row],[Work Center]]&amp;ToDay,CapStartDay,4,FALSE)/3600/24),0,VLOOKUP(SapExlData[[#This Row],[Work Center]]&amp;ToDay,CapStartDay,4,FALSE)/3600/24)</calculatedColumnFormula>
    </tableColumn>
    <tableColumn id="92" xr3:uid="{00000000-0010-0000-0000-00005C000000}" name="Left_Now" dataDxfId="375">
      <calculatedColumnFormula>IF(ISERROR(VLOOKUP(SapExlData[[#This Row],[Work Center]]&amp;ToDay,CapStartDay,5,FALSE)),0,IF(VLOOKUP(SapExlData[[#This Row],[Work Center]]&amp;ToDay,CapStartDay,5,FALSE)=3,VLOOKUP(SapExlData[[#This Row],[Work Center]]&amp;ToDay,CapStartDay,3,FALSE)-NowValue,IF(NowValue&lt;VLOOKUP(SapExlData[[#This Row],[Work Center]]&amp;ToDay,CapStartDay,3,FALSE),IF(NowValue&lt;VLOOKUP(SapExlData[[#This Row],[Work Center]]&amp;ToDay,CapStartDay,2,FALSE),VLOOKUP(SapExlData[[#This Row],[Work Center]]&amp;ToDay,CapStartDay,3,FALSE)-VLOOKUP(SapExlData[[#This Row],[Work Center]]&amp;ToDay,CapStartDay,2,FALSE),VLOOKUP(SapExlData[[#This Row],[Work Center]]&amp;ToDay,CapStartDay,3,FALSE)-NowValue),0)))</calculatedColumnFormula>
    </tableColumn>
    <tableColumn id="93" xr3:uid="{00000000-0010-0000-0000-00005D000000}" name="CapStart" dataDxfId="374">
      <calculatedColumnFormula>IF(ISERROR(VLOOKUP(SapExlData[[#This Row],[Work Center]]&amp;ToDay,CapStartDay,2,FALSE)),0,VLOOKUP(SapExlData[[#This Row],[Work Center]]&amp;ToDay,CapStartDay,2,FALSE))</calculatedColumnFormula>
    </tableColumn>
    <tableColumn id="94" xr3:uid="{00000000-0010-0000-0000-00005E000000}" name="Mix_Status" dataDxfId="373">
      <calculatedColumnFormula>IF(OR(SapExlData[[#This Row],[Work ctr]]="AR00/AR1502",SapExlData[[#This Row],[Reqmt Qty]]=0),"Not relevant",IF(SapExlData[[#This Row],[MixEnhet]]="KG",(SapExlData[[#This Row],[Total Stock]]+SapExlData[[#This Row],[Qty Withdrawn]])/SapExlData[[#This Row],[Reqmt Qty]],"Unknown"))</calculatedColumnFormula>
    </tableColumn>
    <tableColumn id="95" xr3:uid="{00000000-0010-0000-0000-00005F000000}" name="Help2" dataDxfId="372">
      <calculatedColumnFormula>IF(OR(SapExlData[[#This Row],[Mix_Status]]="Unknown",SapExlData[[#This Row],[Mix_Status]]="Not relevant"),0,SapExlData[[#This Row],[Reqmt Qty]]*IF(SapExlData[[#This Row],[Mix_Status]]&gt;1,1,SapExlData[[#This Row],[Mix_Status]]))</calculatedColumnFormula>
    </tableColumn>
    <tableColumn id="96" xr3:uid="{00000000-0010-0000-0000-000060000000}" name="Help3" dataDxfId="371">
      <calculatedColumnFormula>IF(OR(SapExlData[[#This Row],[Mix_Status]]="Unknown",SapExlData[[#This Row],[Mix_Status]]="Not relevant"),0,SapExlData[[#This Row],[Reqmt Qty]])</calculatedColumnFormula>
    </tableColumn>
    <tableColumn id="97" xr3:uid="{00000000-0010-0000-0000-000061000000}" name="Start_Date" dataDxfId="370">
      <calculatedColumnFormula>INT(SapExlData[[#This Row],[Start]])</calculatedColumnFormula>
    </tableColumn>
    <tableColumn id="98" xr3:uid="{00000000-0010-0000-0000-000062000000}" name="Start_Time" dataDxfId="369">
      <calculatedColumnFormula>SapExlData[[#This Row],[Start]]-SapExlData[[#This Row],[Start_Date]]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PlanAll" displayName="PlanAll" ref="A1:DK4" totalsRowShown="0" headerRowDxfId="368">
  <autoFilter ref="A1:DK4" xr:uid="{00000000-0009-0000-0100-00000E000000}"/>
  <sortState xmlns:xlrd2="http://schemas.microsoft.com/office/spreadsheetml/2017/richdata2" ref="A2:DH3">
    <sortCondition ref="L1"/>
  </sortState>
  <tableColumns count="115">
    <tableColumn id="1" xr3:uid="{00000000-0010-0000-0100-000001000000}" name="Order" dataDxfId="367">
      <calculatedColumnFormula>INT(SapExlData[[#This Row],[OrderNummer]])</calculatedColumnFormula>
    </tableColumn>
    <tableColumn id="64" xr3:uid="{00000000-0010-0000-0100-000040000000}" name="Confirmed order finish date" dataDxfId="366"/>
    <tableColumn id="2" xr3:uid="{00000000-0010-0000-0100-000002000000}" name="Actual finish date" dataDxfId="365"/>
    <tableColumn id="3" xr3:uid="{00000000-0010-0000-0100-000003000000}" name="Scheduled finish" dataDxfId="364"/>
    <tableColumn id="4" xr3:uid="{00000000-0010-0000-0100-000004000000}" name="Finish tme" dataDxfId="363"/>
    <tableColumn id="5" xr3:uid="{00000000-0010-0000-0100-000005000000}" name="Actual start date" dataDxfId="362"/>
    <tableColumn id="6" xr3:uid="{00000000-0010-0000-0100-000006000000}" name="Scheduled start" dataDxfId="361"/>
    <tableColumn id="7" xr3:uid="{00000000-0010-0000-0100-000007000000}" name="SchedStart" dataDxfId="360"/>
    <tableColumn id="8" xr3:uid="{00000000-0010-0000-0100-000008000000}" name="Act.finish" dataDxfId="359"/>
    <tableColumn id="9" xr3:uid="{00000000-0010-0000-0100-000009000000}" name="Act. Start" dataDxfId="358"/>
    <tableColumn id="10" xr3:uid="{00000000-0010-0000-0100-00000A000000}" name="DCI" dataDxfId="357"/>
    <tableColumn id="11" xr3:uid="{00000000-0010-0000-0100-00000B000000}" name="OrderNummer" dataDxfId="356"/>
    <tableColumn id="12" xr3:uid="{00000000-0010-0000-0100-00000C000000}" name="Earl.start date" dataDxfId="355"/>
    <tableColumn id="13" xr3:uid="{00000000-0010-0000-0100-00000D000000}" name="Lang" dataDxfId="354"/>
    <tableColumn id="14" xr3:uid="{00000000-0010-0000-0100-00000E000000}" name="Mix Material Description" dataDxfId="353"/>
    <tableColumn id="15" xr3:uid="{00000000-0010-0000-0100-00000F000000}" name="0ME_DEL_IND" dataDxfId="352"/>
    <tableColumn id="16" xr3:uid="{00000000-0010-0000-0100-000010000000}" name="Plant Description" dataDxfId="351"/>
    <tableColumn id="17" xr3:uid="{00000000-0010-0000-0100-000011000000}" name="0PPS_DOCDEL" dataDxfId="350"/>
    <tableColumn id="18" xr3:uid="{00000000-0010-0000-0100-000012000000}" name="Order priority" dataDxfId="349"/>
    <tableColumn id="19" xr3:uid="{00000000-0010-0000-0100-000013000000}" name="0S_ORD_ITEM" dataDxfId="348"/>
    <tableColumn id="20" xr3:uid="{00000000-0010-0000-0100-000014000000}" name="Work Center Description" dataDxfId="347"/>
    <tableColumn id="21" xr3:uid="{00000000-0010-0000-0100-000015000000}" name="Counter" dataDxfId="346"/>
    <tableColumn id="22" xr3:uid="{00000000-0010-0000-0100-000016000000}" name="ID" dataDxfId="345"/>
    <tableColumn id="23" xr3:uid="{00000000-0010-0000-0100-000017000000}" name="ZIBEZEI" dataDxfId="344"/>
    <tableColumn id="24" xr3:uid="{00000000-0010-0000-0100-000018000000}" name="Earl.start time" dataDxfId="343"/>
    <tableColumn id="25" xr3:uid="{00000000-0010-0000-0100-000019000000}" name="Actual Order Finish Date" dataDxfId="342"/>
    <tableColumn id="26" xr3:uid="{00000000-0010-0000-0100-00001A000000}" name="Act.finish2" dataDxfId="341"/>
    <tableColumn id="27" xr3:uid="{00000000-0010-0000-0100-00001B000000}" name="ActlStart" dataDxfId="340"/>
    <tableColumn id="28" xr3:uid="{00000000-0010-0000-0100-00001C000000}" name="Act.finish3" dataDxfId="339"/>
    <tableColumn id="29" xr3:uid="{00000000-0010-0000-0100-00001D000000}" name="Act.finish4" dataDxfId="338"/>
    <tableColumn id="30" xr3:uid="{00000000-0010-0000-0100-00001E000000}" name="ZIKAPID" dataDxfId="337"/>
    <tableColumn id="31" xr3:uid="{00000000-0010-0000-0100-00001F000000}" name="Material Description" dataDxfId="336"/>
    <tableColumn id="45" xr3:uid="{00000000-0010-0000-0100-00002D000000}" name="Ph" dataDxfId="335"/>
    <tableColumn id="46" xr3:uid="{00000000-0010-0000-0100-00002E000000}" name="Lat.start date" dataDxfId="334"/>
    <tableColumn id="47" xr3:uid="{00000000-0010-0000-0100-00002F000000}" name="Lat. start time" dataDxfId="333"/>
    <tableColumn id="48" xr3:uid="{00000000-0010-0000-0100-000030000000}" name="Ctrl" dataDxfId="332"/>
    <tableColumn id="49" xr3:uid="{00000000-0010-0000-0100-000031000000}" name="ZISTLTY" dataDxfId="331"/>
    <tableColumn id="50" xr3:uid="{00000000-0010-0000-0100-000032000000}" name="Short description" dataDxfId="330"/>
    <tableColumn id="95" xr3:uid="{00000000-0010-0000-0100-00005F000000}" name="MixEnhet" dataDxfId="329"/>
    <tableColumn id="51" xr3:uid="{00000000-0010-0000-0100-000033000000}" name="20LANGU" dataDxfId="328"/>
    <tableColumn id="52" xr3:uid="{00000000-0010-0000-0100-000034000000}" name="Mix Material" dataDxfId="327"/>
    <tableColumn id="53" xr3:uid="{00000000-0010-0000-0100-000035000000}" name="Plnt" dataDxfId="326"/>
    <tableColumn id="54" xr3:uid="{00000000-0010-0000-0100-000036000000}" name="Work ctr" dataDxfId="325"/>
    <tableColumn id="93" xr3:uid="{00000000-0010-0000-0100-00005D000000}" name="Material Number" dataDxfId="324"/>
    <tableColumn id="55" xr3:uid="{00000000-0010-0000-0100-000037000000}" name="Base Quantity" dataDxfId="323"/>
    <tableColumn id="56" xr3:uid="{00000000-0010-0000-0100-000038000000}" name="Reqmt Qty" dataDxfId="322"/>
    <tableColumn id="57" xr3:uid="{00000000-0010-0000-0100-000039000000}" name="Confirmed scrap" dataDxfId="321"/>
    <tableColumn id="58" xr3:uid="{00000000-0010-0000-0100-00003A000000}" name="Confirmed yield" dataDxfId="320"/>
    <tableColumn id="59" xr3:uid="{00000000-0010-0000-0100-00003B000000}" name="Confirmed Yield2" dataDxfId="319"/>
    <tableColumn id="60" xr3:uid="{00000000-0010-0000-0100-00003C000000}" name="Quantity of goods received" dataDxfId="318"/>
    <tableColumn id="61" xr3:uid="{00000000-0010-0000-0100-00003D000000}" name="Processing time" dataDxfId="317"/>
    <tableColumn id="62" xr3:uid="{00000000-0010-0000-0100-00003E000000}" name="Scrap quantity" dataDxfId="316"/>
    <tableColumn id="63" xr3:uid="{00000000-0010-0000-0100-00003F000000}" name="Total order quantity" dataDxfId="315"/>
    <tableColumn id="79" xr3:uid="{00000000-0010-0000-0100-00004F000000}" name="Total Scrap Quantity in the Or" dataDxfId="314"/>
    <tableColumn id="78" xr3:uid="{00000000-0010-0000-0100-00004E000000}" name="Setup time" dataDxfId="313"/>
    <tableColumn id="89" xr3:uid="{00000000-0010-0000-0100-000059000000}" name="Operation Qty" dataDxfId="312"/>
    <tableColumn id="88" xr3:uid="{00000000-0010-0000-0100-000058000000}" name="Confirmed qty" dataDxfId="311"/>
    <tableColumn id="87" xr3:uid="{00000000-0010-0000-0100-000057000000}" name="Total Stock" dataDxfId="310"/>
    <tableColumn id="86" xr3:uid="{00000000-0010-0000-0100-000056000000}" name="Qty Withdrawn" dataDxfId="309"/>
    <tableColumn id="92" xr3:uid="{00000000-0010-0000-0100-00005C000000}" name="SetupTid" dataDxfId="308"/>
    <tableColumn id="94" xr3:uid="{00000000-0010-0000-0100-00005E000000}" name="ProcTid" dataDxfId="307"/>
    <tableColumn id="85" xr3:uid="{00000000-0010-0000-0100-000055000000}" name="Material Name" dataDxfId="306"/>
    <tableColumn id="84" xr3:uid="{00000000-0010-0000-0100-000054000000}" name="Rem_Qty" dataDxfId="305"/>
    <tableColumn id="83" xr3:uid="{00000000-0010-0000-0100-000053000000}" name="RT_Total" dataDxfId="304"/>
    <tableColumn id="82" xr3:uid="{00000000-0010-0000-0100-000052000000}" name="Setup" dataDxfId="303"/>
    <tableColumn id="81" xr3:uid="{00000000-0010-0000-0100-000051000000}" name="Rem_Time" dataDxfId="302"/>
    <tableColumn id="80" xr3:uid="{00000000-0010-0000-0100-000050000000}" name="Sequence" dataDxfId="301"/>
    <tableColumn id="32" xr3:uid="{00000000-0010-0000-0100-000020000000}" name="Start_DateH" dataDxfId="300"/>
    <tableColumn id="33" xr3:uid="{00000000-0010-0000-0100-000021000000}" name="Start_TimeH" dataDxfId="299"/>
    <tableColumn id="34" xr3:uid="{00000000-0010-0000-0100-000022000000}" name="Active" dataDxfId="298"/>
    <tableColumn id="35" xr3:uid="{00000000-0010-0000-0100-000023000000}" name="End_Date" dataDxfId="297"/>
    <tableColumn id="36" xr3:uid="{00000000-0010-0000-0100-000024000000}" name="End_Time" dataDxfId="296"/>
    <tableColumn id="37" xr3:uid="{00000000-0010-0000-0100-000025000000}" name="Start" dataDxfId="295"/>
    <tableColumn id="75" xr3:uid="{00000000-0010-0000-0100-00004B000000}" name="Stop" dataDxfId="294"/>
    <tableColumn id="38" xr3:uid="{00000000-0010-0000-0100-000026000000}" name="StartSec" dataDxfId="293"/>
    <tableColumn id="39" xr3:uid="{00000000-0010-0000-0100-000027000000}" name="Work Center" dataDxfId="292"/>
    <tableColumn id="40" xr3:uid="{00000000-0010-0000-0100-000028000000}" name="StopSec" dataDxfId="291"/>
    <tableColumn id="41" xr3:uid="{00000000-0010-0000-0100-000029000000}" name="Acc_Cap" dataDxfId="290"/>
    <tableColumn id="42" xr3:uid="{00000000-0010-0000-0100-00002A000000}" name="StartCap" dataDxfId="289"/>
    <tableColumn id="43" xr3:uid="{00000000-0010-0000-0100-00002B000000}" name="Acc_Cap2" dataDxfId="288"/>
    <tableColumn id="65" xr3:uid="{00000000-0010-0000-0100-000041000000}" name="Startverdi" dataDxfId="287"/>
    <tableColumn id="66" xr3:uid="{00000000-0010-0000-0100-000042000000}" name="Prodverdi" dataDxfId="286"/>
    <tableColumn id="67" xr3:uid="{00000000-0010-0000-0100-000043000000}" name="Nå_verdi" dataDxfId="285"/>
    <tableColumn id="68" xr3:uid="{00000000-0010-0000-0100-000044000000}" name="Totverdi" dataDxfId="284"/>
    <tableColumn id="69" xr3:uid="{00000000-0010-0000-0100-000045000000}" name="Akt_Help" dataDxfId="283"/>
    <tableColumn id="70" xr3:uid="{00000000-0010-0000-0100-000046000000}" name="Acc_Akt" dataDxfId="282"/>
    <tableColumn id="71" xr3:uid="{00000000-0010-0000-0100-000047000000}" name="ActStarted" dataDxfId="281"/>
    <tableColumn id="72" xr3:uid="{00000000-0010-0000-0100-000048000000}" name="Locked" dataDxfId="280"/>
    <tableColumn id="73" xr3:uid="{00000000-0010-0000-0100-000049000000}" name="Cap_ToDay" dataDxfId="279"/>
    <tableColumn id="74" xr3:uid="{00000000-0010-0000-0100-00004A000000}" name="Left_Now" dataDxfId="278"/>
    <tableColumn id="76" xr3:uid="{00000000-0010-0000-0100-00004C000000}" name="CapStart" dataDxfId="277"/>
    <tableColumn id="77" xr3:uid="{00000000-0010-0000-0100-00004D000000}" name="Mix_Status" dataDxfId="276"/>
    <tableColumn id="44" xr3:uid="{00000000-0010-0000-0100-00002C000000}" name="Help2" dataDxfId="275"/>
    <tableColumn id="90" xr3:uid="{00000000-0010-0000-0100-00005A000000}" name="Help3" dataDxfId="274"/>
    <tableColumn id="91" xr3:uid="{00000000-0010-0000-0100-00005B000000}" name="Start_Date" dataDxfId="273"/>
    <tableColumn id="98" xr3:uid="{00000000-0010-0000-0100-000062000000}" name="Start_Time" dataDxfId="272"/>
    <tableColumn id="99" xr3:uid="{00000000-0010-0000-0100-000063000000}" name="New_End" dataDxfId="271">
      <calculatedColumnFormula>IF(ISERROR(VLOOKUP(PlanAll[[#This Row],[Order]],SapExlData[],74,FALSE)),"Finished",IF(VLOOKUP(PlanAll[[#This Row],[Order]],SapExlData[],11,FALSE)="X","Finished",VLOOKUP(PlanAll[[#This Row],[Order]],SapExlData[],74,FALSE)))</calculatedColumnFormula>
    </tableColumn>
    <tableColumn id="100" xr3:uid="{00000000-0010-0000-0100-000064000000}" name="Deviation" dataDxfId="270">
      <calculatedColumnFormula>IF(PlanAll[[#This Row],[Test_Acc]]=0,0,ABS(PlanAll[[#This Row],[New_Cap]]-PlanAll[[#This Row],[Acc_Cap]])/(3600*24))</calculatedColumnFormula>
    </tableColumn>
    <tableColumn id="101" xr3:uid="{00000000-0010-0000-0100-000065000000}" name="Pos_Neg" dataDxfId="269">
      <calculatedColumnFormula>IF(OR(PlanAll[[#This Row],[Deviation]]=0,PlanAll[[#This Row],[Deviation]]="Fin"),IF(PlanAll[[#This Row],[Help_Acc]]=0,"Neg","Pos"),IF(PlanAll[[#This Row],[New_End]]&lt;=PlanAll[[#This Row],[Stop]],"Pos","Neg"))</calculatedColumnFormula>
    </tableColumn>
    <tableColumn id="102" xr3:uid="{00000000-0010-0000-0100-000066000000}" name="Test Active" dataDxfId="268">
      <calculatedColumnFormula>IF(ISERROR(VLOOKUP(PlanAll[[#This Row],[Order]],SapExlData[],70,FALSE)),0,VLOOKUP(PlanAll[[#This Row],[Order]],SapExlData[],70,FALSE))</calculatedColumnFormula>
    </tableColumn>
    <tableColumn id="103" xr3:uid="{00000000-0010-0000-0100-000067000000}" name="New_Cap" dataDxfId="267">
      <calculatedColumnFormula>IF(ISERROR(VLOOKUP(PlanAll[[#This Row],[Order]],SapExlData[],70,FALSE)),0,VLOOKUP(PlanAll[[#This Row],[Order]],SapExlData[],78,FALSE))</calculatedColumnFormula>
    </tableColumn>
    <tableColumn id="104" xr3:uid="{00000000-0010-0000-0100-000068000000}" name="Start_D2" dataDxfId="266">
      <calculatedColumnFormula>INT(PlanAll[[#This Row],[StartCap]])+PlanAll[[#This Row],[StartSec]]</calculatedColumnFormula>
    </tableColumn>
    <tableColumn id="105" xr3:uid="{00000000-0010-0000-0100-000069000000}" name="New_Shift" dataDxfId="265">
      <calculatedColumnFormula>VLOOKUP(PlanAll[[#This Row],[Order]],SapExlData[],77,FALSE)</calculatedColumnFormula>
    </tableColumn>
    <tableColumn id="106" xr3:uid="{00000000-0010-0000-0100-00006A000000}" name="Plan_Stop" dataDxfId="264">
      <calculatedColumnFormula>IF(PlanAll[[#This Row],[StopSec]]=0,1,PlanAll[[#This Row],[StopSec]])</calculatedColumnFormula>
    </tableColumn>
    <tableColumn id="107" xr3:uid="{00000000-0010-0000-0100-00006B000000}" name="Plan_Cap" dataDxfId="263">
      <calculatedColumnFormula>IF(ISERROR(PlanAll[[#This Row],[Cap_ToDay]]),0,IF(PlanAll[[#This Row],[Test Active]]=1,PlanAll[[#This Row],[Cap_ToDay]],0))</calculatedColumnFormula>
    </tableColumn>
    <tableColumn id="108" xr3:uid="{00000000-0010-0000-0100-00006C000000}" name="New_Start" dataDxfId="262">
      <calculatedColumnFormula>IF(ISERROR(VLOOKUP(PlanAll[[#This Row],[Order]],SapExlData[],73,FALSE)),0,VLOOKUP(PlanAll[[#This Row],[Order]],SapExlData[],73,FALSE))</calculatedColumnFormula>
    </tableColumn>
    <tableColumn id="109" xr3:uid="{00000000-0010-0000-0100-00006D000000}" name="Test_Acc" dataDxfId="261">
      <calculatedColumnFormula>IF(PlanAll[[#This Row],[Test Active]]=1,1*PlanAll[[#This Row],[Help_Acc]],0)*IF(VALUE(PlanAll[[#This Row],[Cap_ToDay]])&gt;0,1,0)</calculatedColumnFormula>
    </tableColumn>
    <tableColumn id="110" xr3:uid="{00000000-0010-0000-0100-00006E000000}" name="Help2_Acc" dataDxfId="260">
      <calculatedColumnFormula>IF(DC2=1,0,IF(ROW(DD1)&gt;1,DD1,1))</calculatedColumnFormula>
    </tableColumn>
    <tableColumn id="111" xr3:uid="{00000000-0010-0000-0100-00006F000000}" name="ActStarted2" dataDxfId="259">
      <calculatedColumnFormula>IF(ISERROR(VLOOKUP(PlanAll[[#This Row],[Order]],SapExlData[],87,FALSE)),0,VLOOKUP(PlanAll[[#This Row],[Order]],SapExlData[],87,FALSE))</calculatedColumnFormula>
    </tableColumn>
    <tableColumn id="112" xr3:uid="{00000000-0010-0000-0100-000070000000}" name="Help_Acc" dataDxfId="258">
      <calculatedColumnFormula>IF(AND(BX2=BX1,CV1&gt;CV2),0,1)</calculatedColumnFormula>
    </tableColumn>
    <tableColumn id="113" xr3:uid="{00000000-0010-0000-0100-000071000000}" name="Deviation3" dataDxfId="257">
      <calculatedColumnFormula>IF(ISERROR(PlanAll[[#This Row],[Deviation]]),0,IF(PlanAll[[#This Row],[Plan_Cap]]&gt;0,IF(PlanAll[[#This Row],[Pos_Neg]]="Neg",-PlanAll[[#This Row],[Deviation]],PlanAll[[#This Row],[Deviation]]),0))</calculatedColumnFormula>
    </tableColumn>
    <tableColumn id="114" xr3:uid="{00000000-0010-0000-0100-000072000000}" name="Mixed" dataDxfId="256">
      <calculatedColumnFormula>IF(ISERROR(VLOOKUP(PlanAll[[#This Row],[Order]],SapExlData[],92,FALSE)),0,VLOOKUP(PlanAll[[#This Row],[Order]],SapExlData[],92,FALSE))</calculatedColumnFormula>
    </tableColumn>
    <tableColumn id="115" xr3:uid="{00000000-0010-0000-0100-000073000000}" name="Dev_Hours" dataDxfId="255">
      <calculatedColumnFormula>IF(ISERROR(PlanAll[[#This Row],[Deviation3]]),0,PlanAll[[#This Row],[Deviation3]]*24)</calculatedColumnFormula>
    </tableColumn>
    <tableColumn id="116" xr3:uid="{00000000-0010-0000-0100-000074000000}" name="Rem_Time_Act" dataDxfId="254">
      <calculatedColumnFormula>IF(ISERROR(VLOOKUP(PlanAll[[#This Row],[Order]],SapExlData[],66,FALSE)),0,VLOOKUP(PlanAll[[#This Row],[Order]],SapExlData[],66,FALSE))</calculatedColumnFormula>
    </tableColumn>
    <tableColumn id="117" xr3:uid="{00000000-0010-0000-0100-000075000000}" name="Rem_Qty2" dataDxfId="253">
      <calculatedColumnFormula>IF(ISERROR(VLOOKUP(PlanAll[[#This Row],[Order]],SapExlData[],63,FALSE)),0,VLOOKUP(PlanAll[[#This Row],[Order]],SapExlData[],63,FALSE))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F18C1A9-7FB5-42B3-82AB-C80259A6E322}" name="MixingPlanData" displayName="MixingPlanData" ref="A1:BC3" totalsRowShown="0" headerRowDxfId="252">
  <autoFilter ref="A1:BC3" xr:uid="{00000000-0009-0000-0100-000001000000}"/>
  <tableColumns count="55">
    <tableColumn id="1" xr3:uid="{9328CC0A-D6DE-416B-BB51-7C4C1F1DB2A8}" name="Actual start date" dataDxfId="251"/>
    <tableColumn id="2" xr3:uid="{D481C143-6C92-41F3-BB5F-D675BD3DD23A}" name="Faktisk leverings/sluttidspunkt for ordre" dataDxfId="250"/>
    <tableColumn id="3" xr3:uid="{C88B5F71-7102-41FE-A500-798328373C2C}" name="Nettverksaktivitet" dataDxfId="249"/>
    <tableColumn id="4" xr3:uid="{0DB4950A-6F6E-44A8-91BE-52EED84F1378}" name="Sluttlev.indikator" dataDxfId="248"/>
    <tableColumn id="5" xr3:uid="{5BBF4C20-7F3E-4806-A964-D4175EC0EDD1}" name="Ordre" dataDxfId="247"/>
    <tableColumn id="6" xr3:uid="{73EEFAFF-C96B-47D8-B6B2-667FAFE0BA25}" name="D/K" dataDxfId="246"/>
    <tableColumn id="7" xr3:uid="{44D1AEB7-BEC6-4655-9D49-0741C54BCCC7}" name="Spraktekst" dataDxfId="245"/>
    <tableColumn id="8" xr3:uid="{8FFD408E-F11F-4FC8-B40F-AF060541E390}" name="Materialtekst" dataDxfId="244"/>
    <tableColumn id="9" xr3:uid="{586E1110-3FA6-41F8-BECF-7F95B40A6428}" name="Materialtypetekst" dataDxfId="243"/>
    <tableColumn id="10" xr3:uid="{9E17C9EC-3E22-435C-8DCD-1ECB11538039}" name="Prod.komponent" dataDxfId="242"/>
    <tableColumn id="11" xr3:uid="{61CD2596-98D9-47F4-80AC-1BF16184F1F9}" name="Fabrikk" dataDxfId="241"/>
    <tableColumn id="12" xr3:uid="{3C7FB9CB-BC4D-43D0-9EF7-B4EE01307FF3}" name="Doc.del" dataDxfId="240"/>
    <tableColumn id="13" xr3:uid="{F286BE98-5362-4528-A5B6-438D6D813DA2}" name="Lager" dataDxfId="239"/>
    <tableColumn id="14" xr3:uid="{2E4CFC36-0F73-40B2-A4BC-15A061E55517}" name="Forsyningsområde" dataDxfId="238"/>
    <tableColumn id="15" xr3:uid="{4CC903B1-5125-4D1A-A1D8-84C697678F39}" name="Serienummer" dataDxfId="237"/>
    <tableColumn id="16" xr3:uid="{6E5E1C29-C146-4485-804E-B90F5A7D1E7B}" name="Arbeidsstasjon2" dataDxfId="236"/>
    <tableColumn id="52" xr3:uid="{25A07D0E-CCC3-4664-AE7D-540DE96A14C2}" name="PakTyp" dataDxfId="235"/>
    <tableColumn id="17" xr3:uid="{0480938D-CB58-4B32-A1FE-715912D1A89B}" name="Plannr.oper." dataDxfId="234"/>
    <tableColumn id="18" xr3:uid="{D341AA35-9010-4D96-AA27-ABBB84A5664C}" name="BehTy" dataDxfId="233"/>
    <tableColumn id="79" xr3:uid="{C078E9D9-616D-4267-8083-AB09DDF39042}" name="Time req'd" dataDxfId="232"/>
    <tableColumn id="19" xr3:uid="{E67B3B07-1C1A-404F-B272-D1AA3FD0B88C}" name="Betegnelse(40)" dataDxfId="231"/>
    <tableColumn id="20" xr3:uid="{293D4335-4E25-4668-914A-7D150E88F426}" name="Fakt. Sluttidspunkt" dataDxfId="230"/>
    <tableColumn id="21" xr3:uid="{043C7EB0-AD30-450D-860D-CA94355E06ED}" name="Fkt.startkl" dataDxfId="229"/>
    <tableColumn id="22" xr3:uid="{C10786D0-F206-4346-9AB8-992B59634F38}" name="Fiktivt material" dataDxfId="228"/>
    <tableColumn id="23" xr3:uid="{3DFC523A-51CA-4515-B82C-F1DE9F85F885}" name="Fis" dataDxfId="227"/>
    <tableColumn id="24" xr3:uid="{B2D0DBB0-1C66-4520-AAD7-24F48D1C8844}" name="Språktekst" dataDxfId="226"/>
    <tableColumn id="25" xr3:uid="{67129FDD-EA19-40D4-986F-875841E983F7}" name="MTyp12" dataDxfId="225"/>
    <tableColumn id="26" xr3:uid="{899608DE-2AA9-420E-ACF0-B64FD52E63CA}" name="Plnd order" dataDxfId="224"/>
    <tableColumn id="27" xr3:uid="{E75390FC-B76E-408C-B3D2-D3176D1C94E0}" name="Reserv.No." dataDxfId="223"/>
    <tableColumn id="28" xr3:uid="{AD2C31AC-84C0-4139-B12E-2AFB1AA13935}" name="Posisjon" dataDxfId="222"/>
    <tableColumn id="29" xr3:uid="{40222113-50EC-401C-AC56-8C8A7502AFF7}" name="Betegnelse(20)" dataDxfId="221"/>
    <tableColumn id="30" xr3:uid="{4EC18DED-06D9-4F13-A568-0592F939A03E}" name="Beh.dato" dataDxfId="220"/>
    <tableColumn id="31" xr3:uid="{5DD14ABE-CEBB-4516-8DEA-4C22EDD7CEF6}" name="Lang" dataDxfId="219"/>
    <tableColumn id="45" xr3:uid="{5420790F-9DB8-460A-83B5-A6D6265FD644}" name="Material" dataDxfId="218"/>
    <tableColumn id="46" xr3:uid="{3745A69B-E809-4473-82CE-1E024BE7325B}" name="Mtyp" dataDxfId="217"/>
    <tableColumn id="64" xr3:uid="{EECF41E8-E6FC-455A-85CF-AECCB2064ADA}" name="Prod.kom.No" dataDxfId="216"/>
    <tableColumn id="47" xr3:uid="{0234C5BF-C06D-4FE1-A304-A3BA1FA0307F}" name="Fabrikk2" dataDxfId="215"/>
    <tableColumn id="48" xr3:uid="{AD9B4DCF-5C1B-4C60-8D96-971099FC9565}" name="Arbeidsstasjon3" dataDxfId="214"/>
    <tableColumn id="49" xr3:uid="{C0C26CAD-9218-4FF5-B41F-B659980E56D2}" name="Unrestricted" dataDxfId="213"/>
    <tableColumn id="50" xr3:uid="{4EE7FA13-7F14-41B5-A6E5-12364988D700}" name="Qty Withdrawn" dataDxfId="212"/>
    <tableColumn id="51" xr3:uid="{34937778-B85A-4586-BF7C-1DC39A6C2141}" name="Total Stock" dataDxfId="211"/>
    <tableColumn id="53" xr3:uid="{E8BA5D5F-F360-4F9C-B761-807DE8432AEF}" name="StdVal8" dataDxfId="210"/>
    <tableColumn id="54" xr3:uid="{8775109C-9ADB-4961-B3B6-92F81BFBCF76}" name="StdVal6" dataDxfId="209"/>
    <tableColumn id="55" xr3:uid="{5FEBA5A9-7A8E-46E6-824B-D4BEE0C71326}" name="StdVal" dataDxfId="208"/>
    <tableColumn id="56" xr3:uid="{68CAA263-CBF8-4982-B027-9AE16EFA7FBC}" name="Operation Qty" dataDxfId="207"/>
    <tableColumn id="57" xr3:uid="{BE3DC385-94AC-49D0-8B79-CB134D7F26B3}" name="Setup time" dataDxfId="206"/>
    <tableColumn id="58" xr3:uid="{6FA0C267-8576-4682-BD49-849863406052}" name="Processing time" dataDxfId="205"/>
    <tableColumn id="59" xr3:uid="{E8CA4AE6-C234-4D8E-8728-607C1E250D2E}" name="Quantity of goods received" dataDxfId="204"/>
    <tableColumn id="60" xr3:uid="{E4BF9D81-1E5B-4FA5-95D8-70807F8C97F2}" name="Equal batch size qty" dataDxfId="203"/>
    <tableColumn id="61" xr3:uid="{7BC0F148-5585-46D4-A70F-16F7220F8AAD}" name="Reqmt Qty" dataDxfId="202"/>
    <tableColumn id="62" xr3:uid="{37B17D1A-4B03-4B24-9952-B50D0847803B}" name="Base Quantity" dataDxfId="201"/>
    <tableColumn id="63" xr3:uid="{EDF4FB96-8C3E-4950-BFE6-E177505A9925}" name="N" dataDxfId="200"/>
    <tableColumn id="109" xr3:uid="{F3B8A57D-CAC6-4930-8D4C-439408B097D9}" name="Material Navn" dataDxfId="199">
      <calculatedColumnFormula>MixingPlanData[[#This Row],[Material]]&amp;" "&amp;MixingPlanData[[#This Row],[Materialtekst]]</calculatedColumnFormula>
    </tableColumn>
    <tableColumn id="110" xr3:uid="{EA2F5B11-5D8A-4055-8CCC-D949849C29D6}" name="Navn blanding" dataDxfId="198">
      <calculatedColumnFormula>MixingPlanData[[#This Row],[Prod.kom.No]]&amp;" "&amp;MixingPlanData[[#This Row],[Prod.komponent]]</calculatedColumnFormula>
    </tableColumn>
    <tableColumn id="78" xr3:uid="{64193AB6-FA20-4C7D-9C4E-A67494EBBEC0}" name="Operasjon" dataDxfId="197">
      <calculatedColumnFormula>RIGHT(MixingPlanData[[#This Row],[Nettverksaktivitet]],4)&amp;" "&amp;MixingPlanData[[#This Row],[Betegnelse(40)]]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blAllergenData" displayName="tblAllergenData" ref="A1:DD3" totalsRowShown="0" headerRowDxfId="196">
  <autoFilter ref="A1:DD3" xr:uid="{00000000-0009-0000-0100-000006000000}"/>
  <tableColumns count="108">
    <tableColumn id="1" xr3:uid="{00000000-0010-0000-0200-000001000000}" name="Order" dataDxfId="195">
      <calculatedColumnFormula>INT(tblAllergenData[[#This Row],[OrderNummer]])</calculatedColumnFormula>
    </tableColumn>
    <tableColumn id="20" xr3:uid="{00000000-0010-0000-0200-000014000000}" name="Confirmed order finish date" dataDxfId="194"/>
    <tableColumn id="2" xr3:uid="{00000000-0010-0000-0200-000002000000}" name="Actual finish date" dataDxfId="193"/>
    <tableColumn id="3" xr3:uid="{00000000-0010-0000-0200-000003000000}" name="Scheduled finish" dataDxfId="192"/>
    <tableColumn id="4" xr3:uid="{00000000-0010-0000-0200-000004000000}" name="Finish tme" dataDxfId="191"/>
    <tableColumn id="5" xr3:uid="{00000000-0010-0000-0200-000005000000}" name="Actual start date" dataDxfId="190"/>
    <tableColumn id="6" xr3:uid="{00000000-0010-0000-0200-000006000000}" name="Scheduled start" dataDxfId="189"/>
    <tableColumn id="7" xr3:uid="{00000000-0010-0000-0200-000007000000}" name="SchedStart" dataDxfId="188"/>
    <tableColumn id="8" xr3:uid="{00000000-0010-0000-0200-000008000000}" name="Act.finish" dataDxfId="187"/>
    <tableColumn id="9" xr3:uid="{00000000-0010-0000-0200-000009000000}" name="Act. Start" dataDxfId="186"/>
    <tableColumn id="10" xr3:uid="{00000000-0010-0000-0200-00000A000000}" name="DCI" dataDxfId="185"/>
    <tableColumn id="11" xr3:uid="{00000000-0010-0000-0200-00000B000000}" name="OrderNummer" dataDxfId="184"/>
    <tableColumn id="12" xr3:uid="{00000000-0010-0000-0200-00000C000000}" name="Earl.start date" dataDxfId="183"/>
    <tableColumn id="13" xr3:uid="{00000000-0010-0000-0200-00000D000000}" name="Lang" dataDxfId="182"/>
    <tableColumn id="14" xr3:uid="{00000000-0010-0000-0200-00000E000000}" name="Mix Material Description" dataDxfId="181"/>
    <tableColumn id="15" xr3:uid="{00000000-0010-0000-0200-00000F000000}" name="0ME_DEL_IND" dataDxfId="180"/>
    <tableColumn id="16" xr3:uid="{00000000-0010-0000-0200-000010000000}" name="Plant Description" dataDxfId="179"/>
    <tableColumn id="17" xr3:uid="{00000000-0010-0000-0200-000011000000}" name="0PPS_DOCDEL" dataDxfId="178"/>
    <tableColumn id="18" xr3:uid="{00000000-0010-0000-0200-000012000000}" name="Order priority" dataDxfId="177"/>
    <tableColumn id="19" xr3:uid="{00000000-0010-0000-0200-000013000000}" name="0S_ORD_ITEM" dataDxfId="176"/>
    <tableColumn id="21" xr3:uid="{00000000-0010-0000-0200-000015000000}" name="Work Center Description" dataDxfId="175"/>
    <tableColumn id="22" xr3:uid="{00000000-0010-0000-0200-000016000000}" name="Counter" dataDxfId="174"/>
    <tableColumn id="23" xr3:uid="{00000000-0010-0000-0200-000017000000}" name="ID" dataDxfId="173"/>
    <tableColumn id="25" xr3:uid="{00000000-0010-0000-0200-000019000000}" name="ZIBEZEI" dataDxfId="172"/>
    <tableColumn id="28" xr3:uid="{00000000-0010-0000-0200-00001C000000}" name="Earl.start time" dataDxfId="171"/>
    <tableColumn id="29" xr3:uid="{00000000-0010-0000-0200-00001D000000}" name="Actual Order Finish Date" dataDxfId="170"/>
    <tableColumn id="30" xr3:uid="{00000000-0010-0000-0200-00001E000000}" name="Act.finish2" dataDxfId="169"/>
    <tableColumn id="31" xr3:uid="{00000000-0010-0000-0200-00001F000000}" name="ActlStart" dataDxfId="168"/>
    <tableColumn id="45" xr3:uid="{00000000-0010-0000-0200-00002D000000}" name="Act.finish3" dataDxfId="167"/>
    <tableColumn id="46" xr3:uid="{00000000-0010-0000-0200-00002E000000}" name="Act.finish4" dataDxfId="166"/>
    <tableColumn id="47" xr3:uid="{00000000-0010-0000-0200-00002F000000}" name="ZIKAPID" dataDxfId="165"/>
    <tableColumn id="48" xr3:uid="{00000000-0010-0000-0200-000030000000}" name="Material Description" dataDxfId="164"/>
    <tableColumn id="49" xr3:uid="{00000000-0010-0000-0200-000031000000}" name="Ph" dataDxfId="163"/>
    <tableColumn id="51" xr3:uid="{00000000-0010-0000-0200-000033000000}" name="Lat.start date" dataDxfId="162"/>
    <tableColumn id="52" xr3:uid="{00000000-0010-0000-0200-000034000000}" name="Lat. start time" dataDxfId="161"/>
    <tableColumn id="53" xr3:uid="{00000000-0010-0000-0200-000035000000}" name="Ctrl" dataDxfId="160"/>
    <tableColumn id="54" xr3:uid="{00000000-0010-0000-0200-000036000000}" name="ZISTLTY" dataDxfId="159"/>
    <tableColumn id="55" xr3:uid="{00000000-0010-0000-0200-000037000000}" name="Short description" dataDxfId="158"/>
    <tableColumn id="24" xr3:uid="{00000000-0010-0000-0200-000018000000}" name="MixEnhet" dataDxfId="157"/>
    <tableColumn id="56" xr3:uid="{00000000-0010-0000-0200-000038000000}" name="20LANGU" dataDxfId="156"/>
    <tableColumn id="57" xr3:uid="{00000000-0010-0000-0200-000039000000}" name="Mix Material" dataDxfId="155"/>
    <tableColumn id="58" xr3:uid="{00000000-0010-0000-0200-00003A000000}" name="Plnt" dataDxfId="154"/>
    <tableColumn id="59" xr3:uid="{00000000-0010-0000-0200-00003B000000}" name="Work ctr" dataDxfId="153"/>
    <tableColumn id="26" xr3:uid="{00000000-0010-0000-0200-00001A000000}" name="Material Number" dataDxfId="152"/>
    <tableColumn id="60" xr3:uid="{00000000-0010-0000-0200-00003C000000}" name="Base Quantity" dataDxfId="151"/>
    <tableColumn id="61" xr3:uid="{00000000-0010-0000-0200-00003D000000}" name="Reqmt Qty" dataDxfId="150"/>
    <tableColumn id="62" xr3:uid="{00000000-0010-0000-0200-00003E000000}" name="Confirmed scrap" dataDxfId="149"/>
    <tableColumn id="63" xr3:uid="{00000000-0010-0000-0200-00003F000000}" name="Confirmed yield" dataDxfId="148"/>
    <tableColumn id="79" xr3:uid="{00000000-0010-0000-0200-00004F000000}" name="Confirmed Yield2" dataDxfId="147"/>
    <tableColumn id="78" xr3:uid="{00000000-0010-0000-0200-00004E000000}" name="Quantity of goods received" dataDxfId="146"/>
    <tableColumn id="89" xr3:uid="{00000000-0010-0000-0200-000059000000}" name="Processing time" dataDxfId="145"/>
    <tableColumn id="88" xr3:uid="{00000000-0010-0000-0200-000058000000}" name="Scrap quantity" dataDxfId="144"/>
    <tableColumn id="87" xr3:uid="{00000000-0010-0000-0200-000057000000}" name="Total order quantity" dataDxfId="143"/>
    <tableColumn id="86" xr3:uid="{00000000-0010-0000-0200-000056000000}" name="Total Scrap Quantity in the Or" dataDxfId="142"/>
    <tableColumn id="85" xr3:uid="{00000000-0010-0000-0200-000055000000}" name="Setup time" dataDxfId="141"/>
    <tableColumn id="84" xr3:uid="{00000000-0010-0000-0200-000054000000}" name="Operation Qty" dataDxfId="140"/>
    <tableColumn id="83" xr3:uid="{00000000-0010-0000-0200-000053000000}" name="Confirmed qty" dataDxfId="139"/>
    <tableColumn id="82" xr3:uid="{00000000-0010-0000-0200-000052000000}" name="Total Stock" dataDxfId="138"/>
    <tableColumn id="81" xr3:uid="{00000000-0010-0000-0200-000051000000}" name="Qty Withdrawn" dataDxfId="137"/>
    <tableColumn id="50" xr3:uid="{00000000-0010-0000-0200-000032000000}" name="SetupTid" dataDxfId="136"/>
    <tableColumn id="64" xr3:uid="{00000000-0010-0000-0200-000040000000}" name="ProcTid" dataDxfId="135"/>
    <tableColumn id="32" xr3:uid="{00000000-0010-0000-0200-000020000000}" name="Material Name" dataDxfId="134">
      <calculatedColumnFormula>tblAllergenData[[#This Row],[Material Number]]&amp;" "&amp;tblAllergenData[[#This Row],[Material Description]]</calculatedColumnFormula>
    </tableColumn>
    <tableColumn id="33" xr3:uid="{00000000-0010-0000-0200-000021000000}" name="Rem_Qty" dataDxfId="133">
      <calculatedColumnFormula>IF(tblAllergenData[[#This Row],[Total order quantity]]-tblAllergenData[[#This Row],[Quantity of goods received]]&lt;0,0,tblAllergenData[[#This Row],[Total order quantity]]-tblAllergenData[[#This Row],[Quantity of goods received]])</calculatedColumnFormula>
    </tableColumn>
    <tableColumn id="34" xr3:uid="{00000000-0010-0000-0200-000022000000}" name="RT_Total" dataDxfId="132">
      <calculatedColumnFormula>IF(tblAllergenData[[#This Row],[Base Quantity]]=0,0,tblAllergenData[[#This Row],[Operation Qty]]/tblAllergenData[[#This Row],[Base Quantity]])</calculatedColumnFormula>
    </tableColumn>
    <tableColumn id="35" xr3:uid="{00000000-0010-0000-0200-000023000000}" name="Setup" dataDxfId="131">
      <calculatedColumnFormula>tblAllergenData[[#This Row],[SetupTid]]</calculatedColumnFormula>
    </tableColumn>
    <tableColumn id="36" xr3:uid="{00000000-0010-0000-0200-000024000000}" name="Rem_Time" dataDxfId="130">
      <calculatedColumnFormula>IF(tblAllergenData[[#This Row],[DCI]]="X",0,IF(tblAllergenData[[#This Row],[Rem_Qty]]&lt;tblAllergenData[[#This Row],[Total order quantity]],(tblAllergenData[[#This Row],[ProcTid]]/tblAllergenData[[#This Row],[Base Quantity]])*tblAllergenData[[#This Row],[Rem_Qty]],tblAllergenData[Processing time]))</calculatedColumnFormula>
    </tableColumn>
    <tableColumn id="37" xr3:uid="{00000000-0010-0000-0200-000025000000}" name="Sequence" dataDxfId="129">
      <calculatedColumnFormula>IF(AQ2&lt;&gt;AQ1,1,IF(ISERROR(DATEVALUE(F2)),BO1+1,BO1))</calculatedColumnFormula>
    </tableColumn>
    <tableColumn id="75" xr3:uid="{00000000-0010-0000-0200-00004B000000}" name="Start_DateH" dataDxfId="128">
      <calculatedColumnFormula>IF($BR2=1,IF(ISERROR(DATEVALUE(F2)),IF(BO2&gt;1,BP1,DATEVALUE(G2)),DATEVALUE(F2)),IF(BR2=0,IF(BX2=BX1,BS1,IF(ISERROR(DATEVALUE(F2)),G2,DATEVALUE(F2))),IF(CJ2="Locked",DATEVALUE(G2),BS1)))</calculatedColumnFormula>
    </tableColumn>
    <tableColumn id="38" xr3:uid="{00000000-0010-0000-0200-000026000000}" name="Start_TimeH" dataDxfId="127">
      <calculatedColumnFormula>IF($BR2=1,IF(VALUE(AB2)&gt;0,AB2,IF(BO2&gt;1,BT1,H2)),IF(AND(BR2=0,BX2=BX1),BT1,IF(VALUE(AB2)&gt;0,AB2,IF(CJ2="Locked",H2,IF(BR1=0,BQ1,IF(ISERROR(VALUE(BT1)),7/24,BT1))))))</calculatedColumnFormula>
    </tableColumn>
    <tableColumn id="39" xr3:uid="{00000000-0010-0000-0200-000027000000}" name="Active" dataDxfId="126">
      <calculatedColumnFormula>IF(tblAllergenData[[#This Row],[Akt_Help]]=0,0,tblAllergenData[[#This Row],[Acc_Akt]])</calculatedColumnFormula>
    </tableColumn>
    <tableColumn id="40" xr3:uid="{00000000-0010-0000-0200-000028000000}" name="End_Date" dataDxfId="125"/>
    <tableColumn id="41" xr3:uid="{00000000-0010-0000-0200-000029000000}" name="End_Time" dataDxfId="124"/>
    <tableColumn id="42" xr3:uid="{00000000-0010-0000-0200-00002A000000}" name="Start" dataDxfId="123">
      <calculatedColumnFormula>IF(tblAllergenData[[#This Row],[Locked]]="Locked",IF(tblAllergenData[[#This Row],[Scheduled start]]+tblAllergenData[[#This Row],[SchedStart]]&lt;CapDate+tblAllergenData[[#This Row],[StartSec]],CapDate+tblAllergenData[[#This Row],[StartSec]],tblAllergenData[[#This Row],[Scheduled start]]+tblAllergenData[[#This Row],[SchedStart]]),IF(tblAllergenData[[#This Row],[Start_DateH]]+tblAllergenData[[#This Row],[Start_TimeH]]&lt;CapDate+tblAllergenData[[#This Row],[StartSec]],CapDate+tblAllergenData[[#This Row],[StartSec]],tblAllergenData[[#This Row],[Start_DateH]]+tblAllergenData[[#This Row],[Start_TimeH]]))</calculatedColumnFormula>
    </tableColumn>
    <tableColumn id="43" xr3:uid="{00000000-0010-0000-0200-00002B000000}" name="Stop" dataDxfId="122">
      <calculatedColumnFormula>IF(tblAllergenData[[#This Row],[End_Date]]=0,"",tblAllergenData[[#This Row],[End_Date]]+TIME(HOUR(tblAllergenData[[#This Row],[End_Time]]),MINUTE(tblAllergenData[[#This Row],[End_Time]]),SECOND(tblAllergenData[[#This Row],[End_Time]])))</calculatedColumnFormula>
    </tableColumn>
    <tableColumn id="65" xr3:uid="{00000000-0010-0000-0200-000041000000}" name="StartSec" dataDxfId="121"/>
    <tableColumn id="66" xr3:uid="{00000000-0010-0000-0200-000042000000}" name="Work Center" dataDxfId="120">
      <calculatedColumnFormula>RIGHT(tblAllergenData[[#This Row],[Work ctr]],LEN(tblAllergenData[[#This Row],[Work ctr]])-5)&amp;" "&amp;tblAllergenData[[#This Row],[Work Center Description]]</calculatedColumnFormula>
    </tableColumn>
    <tableColumn id="67" xr3:uid="{00000000-0010-0000-0200-000043000000}" name="StopSec" dataDxfId="119"/>
    <tableColumn id="68" xr3:uid="{00000000-0010-0000-0200-000044000000}" name="Acc_Cap" dataDxfId="118">
      <calculatedColumnFormula>IF(CJ2="Locked",CF2+CA2*0,IF(BX2&lt;&gt;BX1,CF2,IF(AND(CA2&gt;BZ1,BR2&gt;0),CA2+CF2,BZ1+CF2)))</calculatedColumnFormula>
    </tableColumn>
    <tableColumn id="69" xr3:uid="{00000000-0010-0000-0200-000045000000}" name="StartCap" dataDxfId="117">
      <calculatedColumnFormula>IF(ISERROR(VLOOKUP(tblAllergenData[[#This Row],[Work Center]]&amp;INT(tblAllergenData[[#This Row],[Start]]),CapStartDay,4,FALSE)),0,VLOOKUP(tblAllergenData[[#This Row],[Work Center]]&amp;INT(tblAllergenData[[#This Row],[Start]]),CapStartDay,4,FALSE)+(tblAllergenData[[#This Row],[Start]]-VLOOKUP(tblAllergenData[[#This Row],[Work Center]]&amp;INT(tblAllergenData[[#This Row],[Start]]),CapStartDay,3,FALSE))*3600*24)</calculatedColumnFormula>
    </tableColumn>
    <tableColumn id="70" xr3:uid="{00000000-0010-0000-0200-000046000000}" name="Acc_Cap2" dataDxfId="116">
      <calculatedColumnFormula>IF(CJ2="Locked",IF(VLOOKUP(DATEVALUE(D2),CapDateNumber,7,FALSE)&gt;1,VLOOKUP(BX2,CapStart,VLOOKUP(DATEVALUE(D2),CapDateNumber,7,FALSE),FALSE),0)+(E2-BW2)*24*3600,0)</calculatedColumnFormula>
    </tableColumn>
    <tableColumn id="71" xr3:uid="{00000000-0010-0000-0200-000047000000}" name="Startverdi" dataDxfId="115">
      <calculatedColumnFormula>(IF(OR(tblAllergenData[[#This Row],[Active]]&lt;&gt;1,tblAllergenData[[#This Row],[Start]]&lt;ToDay+1,tblAllergenData[[#This Row],[Locked]]="Locked"),0,VLOOKUP(tblAllergenData[[#This Row],[Work Center]],CapStart,VLOOKUP(INT(tblAllergenData[[#This Row],[Start]]),CapDateNumber,7,FALSE),FALSE)+(tblAllergenData[[#This Row],[Start_TimeH]]-tblAllergenData[[#This Row],[StartSec]])*24*3600))/3600/24</calculatedColumnFormula>
    </tableColumn>
    <tableColumn id="72" xr3:uid="{00000000-0010-0000-0200-000048000000}" name="Prodverdi" dataDxfId="114">
      <calculatedColumnFormula>IF(ISERROR(tblAllergenData[[#This Row],[Rem_Time]]),0,tblAllergenData[[#This Row],[Rem_Time]]/24)</calculatedColumnFormula>
    </tableColumn>
    <tableColumn id="73" xr3:uid="{00000000-0010-0000-0200-000049000000}" name="Nå_verdi" dataDxfId="113">
      <calculatedColumnFormula>IF(AND(BX2&lt;&gt;BX1,CJ2&lt;&gt;"Locked"),IF(CC2&gt;=CK2,0,IF(CL2&gt;CK2,0,CK2-CL2)),0)</calculatedColumnFormula>
    </tableColumn>
    <tableColumn id="74" xr3:uid="{00000000-0010-0000-0200-00004A000000}" name="Totverdi" dataDxfId="112">
      <calculatedColumnFormula>IF(ISERROR(tblAllergenData[[#This Row],[Rem_Time]]),0,SUM(tblAllergenData[[#This Row],[Startverdi]]:tblAllergenData[[#This Row],[Nå_verdi]])*24*3600+IF(tblAllergenData[[#This Row],[Locked]]="Locked",tblAllergenData[[#This Row],[StartCap]],tblAllergenData[[#This Row],[Acc_Cap2]]))</calculatedColumnFormula>
    </tableColumn>
    <tableColumn id="76" xr3:uid="{00000000-0010-0000-0200-00004C000000}" name="Akt_Help" dataDxfId="111">
      <calculatedColumnFormula>IF(ISERROR(BN2),0,IF(AND(BN2&gt;0,K2&lt;&gt;"X",BX2&lt;&gt;BX1),1,IF(AND(ISERROR(DATEVALUE(F2)),K2&lt;&gt;"X"),1,0)))</calculatedColumnFormula>
    </tableColumn>
    <tableColumn id="77" xr3:uid="{00000000-0010-0000-0200-00004D000000}" name="Acc_Akt" dataDxfId="110">
      <calculatedColumnFormula>IF(BX2&lt;&gt;BX1,CG2,CG2+CH1)</calculatedColumnFormula>
    </tableColumn>
    <tableColumn id="44" xr3:uid="{00000000-0010-0000-0200-00002C000000}" name="ActStarted" dataDxfId="109">
      <calculatedColumnFormula>IF(AND(tblAllergenData[[#This Row],[Active]]=1,OR(tblAllergenData[[#This Row],[Quantity of goods received]]&gt;0,ISERROR(DATEVALUE(tblAllergenData[[#This Row],[Actual start date]]))=FALSE)),1,0)</calculatedColumnFormula>
    </tableColumn>
    <tableColumn id="90" xr3:uid="{00000000-0010-0000-0200-00005A000000}" name="Locked" dataDxfId="108">
      <calculatedColumnFormula>IF(ISERROR(VLOOKUP(tblAllergenData[[#This Row],[Order]],LockedTable[],1,FALSE)),"","Locked")</calculatedColumnFormula>
    </tableColumn>
    <tableColumn id="91" xr3:uid="{00000000-0010-0000-0200-00005B000000}" name="Cap_ToDay" dataDxfId="107">
      <calculatedColumnFormula>IF(ISERROR(VLOOKUP(tblAllergenData[[#This Row],[Work Center]]&amp;ToDay,CapStartDay,4,FALSE)/3600/24),0,VLOOKUP(tblAllergenData[[#This Row],[Work Center]]&amp;ToDay,CapStartDay,4,FALSE)/3600/24)</calculatedColumnFormula>
    </tableColumn>
    <tableColumn id="92" xr3:uid="{00000000-0010-0000-0200-00005C000000}" name="Left_Now" dataDxfId="106">
      <calculatedColumnFormula>IF(ISERROR(VLOOKUP(tblAllergenData[[#This Row],[Work Center]]&amp;ToDay,CapStartDay,5,FALSE)),0,IF(VLOOKUP(tblAllergenData[[#This Row],[Work Center]]&amp;ToDay,CapStartDay,5,FALSE)=3,VLOOKUP(tblAllergenData[[#This Row],[Work Center]]&amp;ToDay,CapStartDay,3,FALSE)-NowValue,IF(NowValue&lt;VLOOKUP(tblAllergenData[[#This Row],[Work Center]]&amp;ToDay,CapStartDay,3,FALSE),IF(NowValue&lt;VLOOKUP(tblAllergenData[[#This Row],[Work Center]]&amp;ToDay,CapStartDay,2,FALSE),VLOOKUP(tblAllergenData[[#This Row],[Work Center]]&amp;ToDay,CapStartDay,3,FALSE)-VLOOKUP(tblAllergenData[[#This Row],[Work Center]]&amp;ToDay,CapStartDay,2,FALSE),VLOOKUP(tblAllergenData[[#This Row],[Work Center]]&amp;ToDay,CapStartDay,3,FALSE)-NowValue),0)))</calculatedColumnFormula>
    </tableColumn>
    <tableColumn id="93" xr3:uid="{00000000-0010-0000-0200-00005D000000}" name="CapStart" dataDxfId="105">
      <calculatedColumnFormula>IF(ISERROR(VLOOKUP(tblAllergenData[[#This Row],[Work Center]]&amp;ToDay,CapStartDay,2,FALSE)),0,VLOOKUP(tblAllergenData[[#This Row],[Work Center]]&amp;ToDay,CapStartDay,2,FALSE))</calculatedColumnFormula>
    </tableColumn>
    <tableColumn id="94" xr3:uid="{00000000-0010-0000-0200-00005E000000}" name="Mix_Status" dataDxfId="104">
      <calculatedColumnFormula>IF(OR(tblAllergenData[[#This Row],[Work ctr]]="AR00/AR1502",tblAllergenData[[#This Row],[Reqmt Qty]]=0),"Not relevant",IF(tblAllergenData[[#This Row],[MixEnhet]]="KG",(tblAllergenData[[#This Row],[Total Stock]]+tblAllergenData[[#This Row],[Qty Withdrawn]])/tblAllergenData[[#This Row],[Reqmt Qty]],"Unknown"))</calculatedColumnFormula>
    </tableColumn>
    <tableColumn id="95" xr3:uid="{00000000-0010-0000-0200-00005F000000}" name="Help2" dataDxfId="103">
      <calculatedColumnFormula>IF(OR(tblAllergenData[[#This Row],[Mix_Status]]="Unknown",tblAllergenData[[#This Row],[Mix_Status]]="Not relevant"),0,tblAllergenData[[#This Row],[Reqmt Qty]]*IF(tblAllergenData[[#This Row],[Mix_Status]]&gt;1,1,tblAllergenData[[#This Row],[Mix_Status]]))</calculatedColumnFormula>
    </tableColumn>
    <tableColumn id="96" xr3:uid="{00000000-0010-0000-0200-000060000000}" name="Help3" dataDxfId="102">
      <calculatedColumnFormula>IF(OR(tblAllergenData[[#This Row],[Mix_Status]]="Unknown",tblAllergenData[[#This Row],[Mix_Status]]="Not relevant"),0,tblAllergenData[[#This Row],[Reqmt Qty]])</calculatedColumnFormula>
    </tableColumn>
    <tableColumn id="97" xr3:uid="{00000000-0010-0000-0200-000061000000}" name="Start_Date" dataDxfId="101">
      <calculatedColumnFormula>INT(tblAllergenData[[#This Row],[Start]])</calculatedColumnFormula>
    </tableColumn>
    <tableColumn id="98" xr3:uid="{00000000-0010-0000-0200-000062000000}" name="Start_Time" dataDxfId="100">
      <calculatedColumnFormula>tblAllergenData[[#This Row],[Start]]-tblAllergenData[[#This Row],[Start_Date]]</calculatedColumnFormula>
    </tableColumn>
    <tableColumn id="27" xr3:uid="{00000000-0010-0000-0200-00001B000000}" name="Allergengr." dataDxfId="99">
      <calculatedColumnFormula>IF(ISERROR(VLOOKUP(tblAllergenData[[#This Row],[Material Number]],tblAllergen[],3,FALSE)),"",VLOOKUP(tblAllergenData[[#This Row],[Material Number]],tblAllergen[],3,FALSE))</calculatedColumnFormula>
    </tableColumn>
    <tableColumn id="80" xr3:uid="{F4818805-221C-4A96-A412-3E1B8FA2B307}" name="Sennep" dataDxfId="98">
      <calculatedColumnFormula>IF(IF(ISERROR(VLOOKUP(tblAllergenData[[#This Row],[Material Number]],tblAllergenType[],2,FALSE)),"",VLOOKUP(tblAllergenData[[#This Row],[Material Number]],tblAllergenType[],2,FALSE))&lt;&gt;"X","","Sennep")</calculatedColumnFormula>
    </tableColumn>
    <tableColumn id="99" xr3:uid="{76D133A5-6AED-41A9-B0C0-60C021D72644}" name="Sesam" dataDxfId="97">
      <calculatedColumnFormula>IF(IF(ISERROR(VLOOKUP(tblAllergenData[[#This Row],[Material Number]],tblAllergenType[],3,FALSE)),"",VLOOKUP(tblAllergenData[[#This Row],[Material Number]],tblAllergenType[],3,FALSE))&lt;&gt;"X","","Sesam")</calculatedColumnFormula>
    </tableColumn>
    <tableColumn id="100" xr3:uid="{FCCEC000-939A-4248-BAAA-FD125EB93E2B}" name="Fisk" dataDxfId="96">
      <calculatedColumnFormula>IF(IF(ISERROR(VLOOKUP(tblAllergenData[[#This Row],[Material Number]],tblAllergenType[],4,FALSE)),"",VLOOKUP(tblAllergenData[[#This Row],[Material Number]],tblAllergenType[],4,FALSE))&lt;&gt;"X","","Fisk")</calculatedColumnFormula>
    </tableColumn>
    <tableColumn id="101" xr3:uid="{6A7008B8-D29B-442E-B2C2-7BAA6CD21019}" name="Skalldyr" dataDxfId="95">
      <calculatedColumnFormula>IF(IF(ISERROR(VLOOKUP(tblAllergenData[[#This Row],[Material Number]],tblAllergenType[],5,FALSE)),"",VLOOKUP(tblAllergenData[[#This Row],[Material Number]],tblAllergenType[],5,FALSE))&lt;&gt;"X","","Skalldyr")</calculatedColumnFormula>
    </tableColumn>
    <tableColumn id="102" xr3:uid="{710FE565-6E5C-47F5-B207-CE0353992638}" name="Bløtdyr" dataDxfId="94">
      <calculatedColumnFormula>IF(IF(ISERROR(VLOOKUP(tblAllergenData[[#This Row],[Material Number]],tblAllergenType[],6,FALSE)),"",VLOOKUP(tblAllergenData[[#This Row],[Material Number]],tblAllergenType[],6,FALSE))&lt;&gt;"X","","Bløtdyr")</calculatedColumnFormula>
    </tableColumn>
    <tableColumn id="103" xr3:uid="{B8D82A96-26F3-4216-93B3-E9D2DCB2C797}" name="Nøtter" dataDxfId="93">
      <calculatedColumnFormula>IF(IF(ISERROR(VLOOKUP(tblAllergenData[[#This Row],[Material Number]],tblAllergenType[],7,FALSE)),"",VLOOKUP(tblAllergenData[[#This Row],[Material Number]],tblAllergenType[],7,FALSE))&lt;&gt;"X","","Nøtter")</calculatedColumnFormula>
    </tableColumn>
    <tableColumn id="104" xr3:uid="{5E5B64BE-398A-40FE-B45A-52F1BF8CAE25}" name="Peanøtter" dataDxfId="92">
      <calculatedColumnFormula>IF(IF(ISERROR(VLOOKUP(tblAllergenData[[#This Row],[Material Number]],tblAllergenType[],8,FALSE)),"",VLOOKUP(tblAllergenData[[#This Row],[Material Number]],tblAllergenType[],8,FALSE))&lt;&gt;"X","","Peanøtter")</calculatedColumnFormula>
    </tableColumn>
    <tableColumn id="105" xr3:uid="{673FE5E2-A954-4C8B-B9E4-FE78192DB077}" name="AllergenText" dataDxfId="91">
      <calculatedColumnFormula>IF(tblAllergenData[[#This Row],[Sennep]]&lt;&gt;"",tblAllergenData[[#This Row],[Sennep]]&amp;",","")&amp;IF(tblAllergenData[[#This Row],[Sesam]]&lt;&gt;"",tblAllergenData[[#This Row],[Sesam]]&amp;",","")&amp;IF(tblAllergenData[[#This Row],[Fisk]]&lt;&gt;"",tblAllergenData[[#This Row],[Fisk]]&amp;",","")&amp;IF(tblAllergenData[[#This Row],[Skalldyr]]&lt;&gt;"",tblAllergenData[[#This Row],[Skalldyr]]&amp;",","")&amp;IF(tblAllergenData[[#This Row],[Bløtdyr]]&lt;&gt;"",tblAllergenData[[#This Row],[Bløtdyr]]&amp;",","")&amp;IF(tblAllergenData[[#This Row],[Nøtter]]&lt;&gt;"",tblAllergenData[[#This Row],[Nøtter]]&amp;",","")&amp;IF(tblAllergenData[[#This Row],[Peanøtter]]&lt;&gt;"",tblAllergenData[[#This Row],[Peanøtter]],"")</calculatedColumnFormula>
    </tableColumn>
    <tableColumn id="106" xr3:uid="{788F8EC9-606D-4187-ADC5-D2DD8F9B112B}" name="AllergenType" dataDxfId="90">
      <calculatedColumnFormula>IF(tblAllergenData[[#This Row],[AllergenText]]&lt;&gt;"",LEFT(tblAllergenData[[#This Row],[AllergenText]],LEN(tblAllergenData[[#This Row],[AllergenText]])-1),"")</calculatedColumnFormula>
    </tableColumn>
    <tableColumn id="107" xr3:uid="{99485376-47F6-4402-AF73-96093FAC39E7}" name="MixMaterial" dataDxfId="89">
      <calculatedColumnFormula>tblAllergenData[[#This Row],[Mix Material]] &amp;" "&amp; tblAllergenData[[#This Row],[Mix Material Description]]</calculatedColumnFormula>
    </tableColumn>
    <tableColumn id="108" xr3:uid="{B854D86D-221F-40BD-A9C0-969DD2A87892}" name="WCGroup" dataDxfId="88">
      <calculatedColumnFormula>IF(ISERROR(VLOOKUP(tblAllergenData[[#This Row],[Work Center]],tblWCGroup[],2,FALSE)),"",VLOOKUP(tblAllergenData[[#This Row],[Work Center]],tblWCGroup[],2,FALSE))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3000000}" name="CapacityWC" displayName="CapacityWC" ref="A1:U3" totalsRowShown="0" dataDxfId="87">
  <autoFilter ref="A1:U3" xr:uid="{00000000-0009-0000-0100-00000F000000}"/>
  <tableColumns count="21">
    <tableColumn id="1" xr3:uid="{00000000-0010-0000-0300-000001000000}" name="Plnt" dataDxfId="86"/>
    <tableColumn id="2" xr3:uid="{00000000-0010-0000-0300-000002000000}" name="Cat" dataDxfId="85"/>
    <tableColumn id="3" xr3:uid="{00000000-0010-0000-0300-000003000000}" name="Name" dataDxfId="84"/>
    <tableColumn id="4" xr3:uid="{00000000-0010-0000-0300-000004000000}" name="Version" dataDxfId="83"/>
    <tableColumn id="5" xr3:uid="{00000000-0010-0000-0300-000005000000}" name="Work ctr" dataDxfId="82"/>
    <tableColumn id="6" xr3:uid="{00000000-0010-0000-0300-000006000000}" name="Day" dataDxfId="81"/>
    <tableColumn id="7" xr3:uid="{00000000-0010-0000-0300-000007000000}" name="ID" dataDxfId="80"/>
    <tableColumn id="8" xr3:uid="{00000000-0010-0000-0300-000008000000}" name="S" dataDxfId="79"/>
    <tableColumn id="9" xr3:uid="{00000000-0010-0000-0300-000009000000}" name="Cap." dataDxfId="78"/>
    <tableColumn id="10" xr3:uid="{00000000-0010-0000-0300-00000A000000}" name="Cap.2" dataDxfId="77"/>
    <tableColumn id="11" xr3:uid="{00000000-0010-0000-0300-00000B000000}" name="Valid to" dataDxfId="76"/>
    <tableColumn id="12" xr3:uid="{00000000-0010-0000-0300-00000C000000}" name="Plnt2" dataDxfId="75"/>
    <tableColumn id="13" xr3:uid="{00000000-0010-0000-0300-00000D000000}" name="Work ctr2" dataDxfId="74"/>
    <tableColumn id="14" xr3:uid="{00000000-0010-0000-0300-00000E000000}" name="Oper. Time" dataDxfId="73"/>
    <tableColumn id="15" xr3:uid="{00000000-0010-0000-0300-00000F000000}" name="Capacity" dataDxfId="72"/>
    <tableColumn id="16" xr3:uid="{00000000-0010-0000-0300-000010000000}" name="Break" dataDxfId="71"/>
    <tableColumn id="17" xr3:uid="{00000000-0010-0000-0300-000011000000}" name="Break2" dataDxfId="70"/>
    <tableColumn id="21" xr3:uid="{00000000-0010-0000-0300-000015000000}" name="Finish"/>
    <tableColumn id="20" xr3:uid="{00000000-0010-0000-0300-000014000000}" name="Finish2"/>
    <tableColumn id="19" xr3:uid="{00000000-0010-0000-0300-000013000000}" name="Start"/>
    <tableColumn id="18" xr3:uid="{00000000-0010-0000-0300-000012000000}" name="Start2" dataDxfId="6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4000000}" name="tWCCap" displayName="tWCCap" ref="A1:N3" totalsRowShown="0" headerRowDxfId="68" dataDxfId="67">
  <autoFilter ref="A1:N3" xr:uid="{00000000-0009-0000-0100-000014000000}"/>
  <tableColumns count="14">
    <tableColumn id="1" xr3:uid="{00000000-0010-0000-0400-000001000000}" name="Work Center" dataDxfId="66"/>
    <tableColumn id="2" xr3:uid="{00000000-0010-0000-0400-000002000000}" name="Date" dataDxfId="65"/>
    <tableColumn id="3" xr3:uid="{00000000-0010-0000-0400-000003000000}" name="Start" dataDxfId="64"/>
    <tableColumn id="4" xr3:uid="{00000000-0010-0000-0400-000004000000}" name="Stop" dataDxfId="63"/>
    <tableColumn id="5" xr3:uid="{00000000-0010-0000-0400-000005000000}" name="Capacity" dataDxfId="62"/>
    <tableColumn id="6" xr3:uid="{00000000-0010-0000-0400-000006000000}" name="Acc_Start" dataDxfId="61"/>
    <tableColumn id="7" xr3:uid="{00000000-0010-0000-0400-000007000000}" name="Acc_Stop" dataDxfId="60"/>
    <tableColumn id="8" xr3:uid="{00000000-0010-0000-0400-000008000000}" name="Acc_Capacity" dataDxfId="59">
      <calculatedColumnFormula>IF(OR(ROW(E2)=2,A2&lt;&gt;A1),E2,H1+E2)</calculatedColumnFormula>
    </tableColumn>
    <tableColumn id="9" xr3:uid="{00000000-0010-0000-0400-000009000000}" name="DayCapacity" dataDxfId="58">
      <calculatedColumnFormula>IF(A2&lt;&gt;A1,(TODAY()+1-NOW())*3600*24,I1+24*3600)</calculatedColumnFormula>
    </tableColumn>
    <tableColumn id="10" xr3:uid="{00000000-0010-0000-0400-00000A000000}" name="Index" dataDxfId="57">
      <calculatedColumnFormula>tWCCap[[#This Row],[Work Center]]&amp;VALUE(tWCCap[[#This Row],[Date]])</calculatedColumnFormula>
    </tableColumn>
    <tableColumn id="11" xr3:uid="{00000000-0010-0000-0400-00000B000000}" name="CapStart" dataDxfId="56">
      <calculatedColumnFormula>tWCCap[[#This Row],[Date]]+(tWCCap[[#This Row],[Start]]/3600/24)</calculatedColumnFormula>
    </tableColumn>
    <tableColumn id="12" xr3:uid="{00000000-0010-0000-0400-00000C000000}" name="CapStopp" dataDxfId="55">
      <calculatedColumnFormula>tWCCap[[#This Row],[Date]]+IF(AND(tWCCap[[#This Row],[Stop]]&gt;0,tWCCap[[#This Row],[Start]]=tWCCap[[#This Row],[Stop]]),1+(tWCCap[[#This Row],[Stop]]/3600/24),(tWCCap[[#This Row],[Stop]]/3600/24))</calculatedColumnFormula>
    </tableColumn>
    <tableColumn id="13" xr3:uid="{00000000-0010-0000-0400-00000D000000}" name="Acc_Capacity2" dataDxfId="54">
      <calculatedColumnFormula>tWCCap[[#This Row],[Acc_Capacity]]</calculatedColumnFormula>
    </tableColumn>
    <tableColumn id="14" xr3:uid="{00000000-0010-0000-0400-00000E000000}" name="Shift" dataDxfId="53">
      <calculatedColumnFormula>IF(OR(L2-K2=1,AND(LEFT(J2,8)=LEFT(J1,8),K2=L1)),3,1)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2C426D3-8AD2-466B-A0F6-F5DAB2610E66}" name="tblWCGroup" displayName="tblWCGroup" ref="A1:B30" totalsRowShown="0" headerRowDxfId="52" dataDxfId="51">
  <autoFilter ref="A1:B30" xr:uid="{8277CA05-9489-42EE-9D80-441EACE51CCA}"/>
  <tableColumns count="2">
    <tableColumn id="1" xr3:uid="{1A357C5E-F198-45FB-ABD3-68FF33A5375B}" name="WorkCenter" dataDxfId="50"/>
    <tableColumn id="2" xr3:uid="{37139072-703E-4423-BFF9-6ACFE1B1E215}" name="Group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D83C825-A1AC-4F52-8D43-739D3717EFED}" name="tblAllergenType" displayName="tblAllergenType" ref="A1:H2" totalsRowShown="0" tableBorderDxfId="48">
  <autoFilter ref="A1:H2" xr:uid="{0A21584B-9301-4F04-86F9-041139891908}"/>
  <tableColumns count="8">
    <tableColumn id="1" xr3:uid="{185C0A37-D8DC-417E-902C-68189F891695}" name="Material" dataDxfId="47"/>
    <tableColumn id="2" xr3:uid="{C464DB7C-D2F4-4C44-8520-27EC03B17C76}" name="Sennep" dataDxfId="46"/>
    <tableColumn id="3" xr3:uid="{250C8318-C460-4CDC-A658-79689877BE9F}" name="Sesam"/>
    <tableColumn id="4" xr3:uid="{B6F5F6E9-EE59-4529-A3C3-C1F2788AED8C}" name="Fisk"/>
    <tableColumn id="5" xr3:uid="{CBA99323-0D9D-427A-82A5-FD695E636F2A}" name="Skalldyr"/>
    <tableColumn id="6" xr3:uid="{B4BBCAD9-2B8A-433C-90F2-88AFA6464758}" name="Bløtdyr"/>
    <tableColumn id="7" xr3:uid="{FF5FDB2B-4218-4CED-B02E-1FE84524BEEB}" name="Nøtter"/>
    <tableColumn id="8" xr3:uid="{FEB7054A-4D76-4E95-971A-AB8B87342CED}" name="Peanøtte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blAllergen" displayName="tblAllergen" ref="A1:C4321" totalsRowShown="0" dataDxfId="45">
  <autoFilter ref="A1:C4321" xr:uid="{00000000-0009-0000-0100-000002000000}"/>
  <tableColumns count="3">
    <tableColumn id="1" xr3:uid="{00000000-0010-0000-0500-000001000000}" name="Material" dataDxfId="44"/>
    <tableColumn id="2" xr3:uid="{00000000-0010-0000-0500-000002000000}" name="Allergen" dataDxfId="43"/>
    <tableColumn id="3" xr3:uid="{00000000-0010-0000-0500-000003000000}" name="AllergenText" dataDxfId="42">
      <calculatedColumnFormula>IF(OR(B2=0,B2=1,B2=2,B2=3,B2=4,B2=5),TEXT(B2,"0"),B2)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Descriptions" displayName="Descriptions" ref="A1:B92" totalsRowShown="0" headerRowDxfId="41" dataCellStyle="Normal 2">
  <autoFilter ref="A1:B92" xr:uid="{00000000-0009-0000-0100-000003000000}"/>
  <tableColumns count="2">
    <tableColumn id="1" xr3:uid="{00000000-0010-0000-0600-000001000000}" name="FieldName" dataCellStyle="Normal 2"/>
    <tableColumn id="2" xr3:uid="{00000000-0010-0000-0600-000002000000}" name="Description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PvtTableDef" displayName="PvtTableDef" ref="A1:AG2" tableType="xml" insertRow="1" totalsRowShown="0" connectionId="1">
  <autoFilter ref="A1:AG2" xr:uid="{00000000-0009-0000-0100-000005000000}"/>
  <tableColumns count="33">
    <tableColumn id="1" xr3:uid="{00000000-0010-0000-0700-000001000000}" uniqueName="UserID" name="UserID" dataDxfId="40">
      <xmlColumnPr mapId="1" xpath="/XtraSerializer/@UserID" xmlDataType="integer"/>
    </tableColumn>
    <tableColumn id="2" xr3:uid="{00000000-0010-0000-0700-000002000000}" uniqueName="ReportID" name="ReportID">
      <xmlColumnPr mapId="1" xpath="/XtraSerializer/@ReportID" xmlDataType="integer"/>
    </tableColumn>
    <tableColumn id="3" xr3:uid="{00000000-0010-0000-0700-000003000000}" uniqueName="VariantID" name="VariantID" dataDxfId="39">
      <xmlColumnPr mapId="1" xpath="/XtraSerializer/@VariantID" xmlDataType="integer"/>
    </tableColumn>
    <tableColumn id="4" xr3:uid="{00000000-0010-0000-0700-000004000000}" uniqueName="SheetName" name="SheetName" dataDxfId="38">
      <xmlColumnPr mapId="1" xpath="/XtraSerializer/property/@SheetName" xmlDataType="string"/>
    </tableColumn>
    <tableColumn id="5" xr3:uid="{00000000-0010-0000-0700-000005000000}" uniqueName="TableName" name="TableName" dataDxfId="37">
      <xmlColumnPr mapId="1" xpath="/XtraSerializer/property/@TableName" xmlDataType="string"/>
    </tableColumn>
    <tableColumn id="6" xr3:uid="{00000000-0010-0000-0700-000006000000}" uniqueName="Seq" name="Seq" dataDxfId="36">
      <xmlColumnPr mapId="1" xpath="/XtraSerializer/property/property/@Seq" xmlDataType="integer"/>
    </tableColumn>
    <tableColumn id="7" xr3:uid="{00000000-0010-0000-0700-000007000000}" uniqueName="PivotElement" name="PivotElement">
      <xmlColumnPr mapId="1" xpath="/XtraSerializer/property/property/@PivotElement" xmlDataType="string"/>
    </tableColumn>
    <tableColumn id="8" xr3:uid="{00000000-0010-0000-0700-000008000000}" uniqueName="SourceName" name="SourceName">
      <xmlColumnPr mapId="1" xpath="/XtraSerializer/property/property/@SourceName" xmlDataType="string"/>
    </tableColumn>
    <tableColumn id="9" xr3:uid="{00000000-0010-0000-0700-000009000000}" uniqueName="ColumnGrand" name="ColumnGrand" dataDxfId="35">
      <xmlColumnPr mapId="1" xpath="/XtraSerializer/property/property/@ColumnGrand" xmlDataType="integer"/>
    </tableColumn>
    <tableColumn id="10" xr3:uid="{00000000-0010-0000-0700-00000A000000}" uniqueName="RowGrand" name="RowGrand">
      <xmlColumnPr mapId="1" xpath="/XtraSerializer/property/property/@RowGrand" xmlDataType="integer"/>
    </tableColumn>
    <tableColumn id="11" xr3:uid="{00000000-0010-0000-0700-00000B000000}" uniqueName="DisplayErrorString" name="DisplayErrorString">
      <xmlColumnPr mapId="1" xpath="/XtraSerializer/property/property/@DisplayErrorString" xmlDataType="integer"/>
    </tableColumn>
    <tableColumn id="12" xr3:uid="{00000000-0010-0000-0700-00000C000000}" uniqueName="TableStart" name="TableStart">
      <xmlColumnPr mapId="1" xpath="/XtraSerializer/property/property/@TableStart" xmlDataType="string"/>
    </tableColumn>
    <tableColumn id="13" xr3:uid="{00000000-0010-0000-0700-00000D000000}" uniqueName="FieldList" name="FieldList" dataDxfId="34">
      <xmlColumnPr mapId="1" xpath="/XtraSerializer/property/property/@FieldList" xmlDataType="integer"/>
    </tableColumn>
    <tableColumn id="14" xr3:uid="{00000000-0010-0000-0700-00000E000000}" uniqueName="MissingItems" name="MissingItems" dataDxfId="33">
      <xmlColumnPr mapId="1" xpath="/XtraSerializer/property/property/@MissingItems" xmlDataType="string"/>
    </tableColumn>
    <tableColumn id="15" xr3:uid="{00000000-0010-0000-0700-00000F000000}" uniqueName="SaveData" name="SaveData">
      <xmlColumnPr mapId="1" xpath="/XtraSerializer/property/property/@SaveData" xmlDataType="string"/>
    </tableColumn>
    <tableColumn id="16" xr3:uid="{00000000-0010-0000-0700-000010000000}" uniqueName="ShowDrillIndicators" name="ShowDrillIndicators">
      <xmlColumnPr mapId="1" xpath="/XtraSerializer/property/property/@ShowDrillIndicators" xmlDataType="string"/>
    </tableColumn>
    <tableColumn id="17" xr3:uid="{00000000-0010-0000-0700-000011000000}" uniqueName="Caption" name="Caption">
      <xmlColumnPr mapId="1" xpath="/XtraSerializer/property/property/@Caption" xmlDataType="string"/>
    </tableColumn>
    <tableColumn id="18" xr3:uid="{00000000-0010-0000-0700-000012000000}" uniqueName="Name" name="Name">
      <xmlColumnPr mapId="1" xpath="/XtraSerializer/property/property/@Name" xmlDataType="string"/>
    </tableColumn>
    <tableColumn id="19" xr3:uid="{00000000-0010-0000-0700-000013000000}" uniqueName="NumberFormat" name="NumberFormat">
      <xmlColumnPr mapId="1" xpath="/XtraSerializer/property/property/@NumberFormat" xmlDataType="string"/>
    </tableColumn>
    <tableColumn id="20" xr3:uid="{00000000-0010-0000-0700-000014000000}" uniqueName="Orientation" name="Orientation">
      <xmlColumnPr mapId="1" xpath="/XtraSerializer/property/property/@Orientation" xmlDataType="integer"/>
    </tableColumn>
    <tableColumn id="21" xr3:uid="{00000000-0010-0000-0700-000015000000}" uniqueName="Formula" name="Formula">
      <xmlColumnPr mapId="1" xpath="/XtraSerializer/property/property/@Formula" xmlDataType="string"/>
    </tableColumn>
    <tableColumn id="22" xr3:uid="{00000000-0010-0000-0700-000016000000}" uniqueName="CurrentPage" name="CurrentPage">
      <xmlColumnPr mapId="1" xpath="/XtraSerializer/property/property/@CurrentPage" xmlDataType="string"/>
    </tableColumn>
    <tableColumn id="23" xr3:uid="{00000000-0010-0000-0700-000017000000}" uniqueName="CpSourceName" name="CpSourceName">
      <xmlColumnPr mapId="1" xpath="/XtraSerializer/property/property/@CpSourceName" xmlDataType="string"/>
    </tableColumn>
    <tableColumn id="24" xr3:uid="{00000000-0010-0000-0700-000018000000}" uniqueName="PivotItems" name="PivotItems">
      <xmlColumnPr mapId="1" xpath="/XtraSerializer/property/property/@PivotItems" xmlDataType="string"/>
    </tableColumn>
    <tableColumn id="25" xr3:uid="{00000000-0010-0000-0700-000019000000}" uniqueName="Visible" name="Visible">
      <xmlColumnPr mapId="1" xpath="/XtraSerializer/property/property/@Visible" xmlDataType="integer"/>
    </tableColumn>
    <tableColumn id="26" xr3:uid="{00000000-0010-0000-0700-00001A000000}" uniqueName="AutoSortOrder" name="AutoSortOrder">
      <xmlColumnPr mapId="1" xpath="/XtraSerializer/property/property/@AutoSortOrder" xmlDataType="integer"/>
    </tableColumn>
    <tableColumn id="27" xr3:uid="{00000000-0010-0000-0700-00001B000000}" uniqueName="AutoSortField" name="AutoSortField">
      <xmlColumnPr mapId="1" xpath="/XtraSerializer/property/property/@AutoSortField" xmlDataType="string"/>
    </tableColumn>
    <tableColumn id="28" xr3:uid="{00000000-0010-0000-0700-00001C000000}" uniqueName="SubTotals" name="SubTotals">
      <xmlColumnPr mapId="1" xpath="/XtraSerializer/property/property/@SubTotals" xmlDataType="integer"/>
    </tableColumn>
    <tableColumn id="29" xr3:uid="{00000000-0010-0000-0700-00001D000000}" uniqueName="Function" name="Function">
      <xmlColumnPr mapId="1" xpath="/XtraSerializer/property/property/@Function" xmlDataType="integer"/>
    </tableColumn>
    <tableColumn id="30" xr3:uid="{00000000-0010-0000-0700-00001E000000}" uniqueName="Calculation" name="Calculation">
      <xmlColumnPr mapId="1" xpath="/XtraSerializer/property/property/@Calculation" xmlDataType="integer"/>
    </tableColumn>
    <tableColumn id="31" xr3:uid="{00000000-0010-0000-0700-00001F000000}" uniqueName="BaseField" name="BaseField">
      <xmlColumnPr mapId="1" xpath="/XtraSerializer/property/property/@BaseField" xmlDataType="string"/>
    </tableColumn>
    <tableColumn id="32" xr3:uid="{00000000-0010-0000-0700-000020000000}" uniqueName="BaseItem" name="BaseItem">
      <xmlColumnPr mapId="1" xpath="/XtraSerializer/property/property/@BaseItem" xmlDataType="string"/>
    </tableColumn>
    <tableColumn id="33" xr3:uid="{00000000-0010-0000-0700-000021000000}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OrderStatusCodes" displayName="tOrderStatusCodes" ref="I1:K5" totalsRowShown="0">
  <autoFilter ref="I1:K5" xr:uid="{00000000-0009-0000-0100-000008000000}"/>
  <tableColumns count="3">
    <tableColumn id="1" xr3:uid="{00000000-0010-0000-0800-000001000000}" name="DS1"/>
    <tableColumn id="2" xr3:uid="{00000000-0010-0000-0800-000002000000}" name="Text"/>
    <tableColumn id="3" xr3:uid="{00000000-0010-0000-0800-000003000000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Sectors" displayName="tSectors" ref="M1:N6" totalsRowShown="0">
  <autoFilter ref="M1:N6" xr:uid="{00000000-0009-0000-0100-00000C000000}"/>
  <tableColumns count="2">
    <tableColumn id="1" xr3:uid="{00000000-0010-0000-0900-000001000000}" name="Profit Center"/>
    <tableColumn id="2" xr3:uid="{00000000-0010-0000-0900-000002000000}" name="Sector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WorkCenters" displayName="WorkCenters" ref="C1:G32" totalsRowShown="0" dataCellStyle="Normal 2">
  <autoFilter ref="C1:G32" xr:uid="{00000000-0009-0000-0100-00000D000000}"/>
  <tableColumns count="5">
    <tableColumn id="1" xr3:uid="{00000000-0010-0000-0A00-000001000000}" name="NOAR" dataCellStyle="Normal 2"/>
    <tableColumn id="2" xr3:uid="{00000000-0010-0000-0A00-000002000000}" name="NOEL" dataCellStyle="Normal 2"/>
    <tableColumn id="3" xr3:uid="{00000000-0010-0000-0A00-000003000000}" name="NOLA" dataCellStyle="Normal 2"/>
    <tableColumn id="4" xr3:uid="{00000000-0010-0000-0A00-000004000000}" name="CZBY" dataCellStyle="Normal 2"/>
    <tableColumn id="5" xr3:uid="{00000000-0010-0000-0A00-000005000000}" name="PLM2" dataCellStyle="Normal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LockedTable" displayName="LockedTable" ref="A1:A3" totalsRowShown="0" dataCellStyle="Normal 2 2">
  <autoFilter ref="A1:A3" xr:uid="{00000000-0009-0000-0100-000004000000}"/>
  <tableColumns count="1">
    <tableColumn id="1" xr3:uid="{00000000-0010-0000-0B00-000001000000}" name="Order" dataCellStyle="Normal 2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C000000}" name="tMaterialPrice" displayName="tMaterialPrice" ref="E4:G7" totalsRowShown="0">
  <autoFilter ref="E4:G7" xr:uid="{00000000-0009-0000-0100-000009000000}"/>
  <tableColumns count="3">
    <tableColumn id="1" xr3:uid="{00000000-0010-0000-0C00-000001000000}" name="Material Price" dataDxfId="32"/>
    <tableColumn id="2" xr3:uid="{00000000-0010-0000-0C00-000002000000}" name="Value"/>
    <tableColumn id="3" xr3:uid="{00000000-0010-0000-0C00-000003000000}" name="Descriptio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D000000}" name="tCustomerLevel" displayName="tCustomerLevel" ref="I4:K8" totalsRowShown="0">
  <autoFilter ref="I4:K8" xr:uid="{00000000-0009-0000-0100-00000A000000}"/>
  <tableColumns count="3">
    <tableColumn id="1" xr3:uid="{00000000-0010-0000-0D00-000001000000}" name="Level"/>
    <tableColumn id="3" xr3:uid="{00000000-0010-0000-0D00-000003000000}" name="Column"/>
    <tableColumn id="2" xr3:uid="{00000000-0010-0000-0D00-000002000000}" name="Descriptio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E000000}" name="tProductHierarchyLevel" displayName="tProductHierarchyLevel" ref="M4:O8" totalsRowShown="0">
  <autoFilter ref="M4:O8" xr:uid="{00000000-0009-0000-0100-00000B000000}"/>
  <tableColumns count="3">
    <tableColumn id="1" xr3:uid="{00000000-0010-0000-0E00-000001000000}" name="Level"/>
    <tableColumn id="2" xr3:uid="{00000000-0010-0000-0E00-000002000000}" name="Characters"/>
    <tableColumn id="3" xr3:uid="{00000000-0010-0000-0E00-000003000000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4" Type="http://schemas.openxmlformats.org/officeDocument/2006/relationships/table" Target="../tables/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6">
    <tabColor rgb="FFFF8080"/>
  </sheetPr>
  <dimension ref="A1:CX8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" width="8.5703125" style="21" bestFit="1" customWidth="1"/>
    <col min="2" max="2" width="28.42578125" style="12" bestFit="1" customWidth="1"/>
    <col min="3" max="3" width="18.7109375" style="12" bestFit="1" customWidth="1"/>
    <col min="4" max="4" width="18.28515625" style="12" customWidth="1"/>
    <col min="5" max="5" width="12.5703125" style="91" customWidth="1"/>
    <col min="6" max="6" width="17.7109375" style="12" customWidth="1"/>
    <col min="7" max="7" width="17.28515625" style="12" customWidth="1"/>
    <col min="8" max="8" width="12.7109375" style="33" customWidth="1"/>
    <col min="9" max="9" width="15.28515625" style="12" bestFit="1" customWidth="1"/>
    <col min="10" max="10" width="14.42578125" style="99" bestFit="1" customWidth="1"/>
    <col min="11" max="11" width="6.7109375" style="93" customWidth="1"/>
    <col min="12" max="12" width="10.7109375" style="21" bestFit="1" customWidth="1"/>
    <col min="13" max="13" width="15.7109375" style="12" customWidth="1"/>
    <col min="14" max="14" width="10.7109375" customWidth="1"/>
    <col min="15" max="15" width="21.7109375" customWidth="1"/>
    <col min="16" max="16" width="9.28515625" customWidth="1"/>
    <col min="17" max="17" width="13.28515625" customWidth="1"/>
    <col min="18" max="18" width="9.42578125" customWidth="1"/>
    <col min="19" max="19" width="15.5703125" bestFit="1" customWidth="1"/>
    <col min="20" max="20" width="9.7109375" customWidth="1"/>
    <col min="21" max="21" width="19" bestFit="1" customWidth="1"/>
    <col min="22" max="22" width="10.42578125" bestFit="1" customWidth="1"/>
    <col min="23" max="23" width="10.7109375" customWidth="1"/>
    <col min="24" max="24" width="13.7109375" customWidth="1"/>
    <col min="25" max="25" width="15.7109375" style="33" customWidth="1"/>
    <col min="26" max="26" width="25.28515625" style="12" bestFit="1" customWidth="1"/>
    <col min="27" max="27" width="11.7109375" style="91" customWidth="1"/>
    <col min="28" max="28" width="11" style="93" bestFit="1" customWidth="1"/>
    <col min="29" max="29" width="12.7109375" style="91" bestFit="1" customWidth="1"/>
    <col min="30" max="30" width="10.7109375" style="93" customWidth="1"/>
    <col min="31" max="31" width="10.5703125" customWidth="1"/>
    <col min="32" max="32" width="27.7109375" bestFit="1" customWidth="1"/>
    <col min="33" max="33" width="13.7109375" customWidth="1"/>
    <col min="34" max="34" width="15" style="91" customWidth="1"/>
    <col min="35" max="35" width="15.5703125" style="93" customWidth="1"/>
    <col min="36" max="36" width="6.7109375" style="91" customWidth="1"/>
    <col min="37" max="37" width="13.7109375" style="93" customWidth="1"/>
    <col min="38" max="38" width="13.7109375" style="91" customWidth="1"/>
    <col min="39" max="39" width="11.28515625" style="91" bestFit="1" customWidth="1"/>
    <col min="40" max="40" width="11.7109375" style="91" customWidth="1"/>
    <col min="41" max="41" width="14.42578125" style="93" bestFit="1" customWidth="1"/>
    <col min="42" max="42" width="7" style="93" customWidth="1"/>
    <col min="43" max="43" width="12.42578125" bestFit="1" customWidth="1"/>
    <col min="44" max="44" width="18.42578125" bestFit="1" customWidth="1"/>
    <col min="45" max="45" width="15.7109375" customWidth="1"/>
    <col min="46" max="46" width="12.7109375" customWidth="1"/>
    <col min="47" max="47" width="17.7109375" customWidth="1"/>
    <col min="48" max="48" width="17.7109375" style="91" customWidth="1"/>
    <col min="49" max="49" width="18.7109375" customWidth="1"/>
    <col min="50" max="50" width="27.5703125" customWidth="1"/>
    <col min="51" max="51" width="17.42578125" style="21" customWidth="1"/>
    <col min="52" max="52" width="16" style="91" customWidth="1"/>
    <col min="53" max="53" width="21.28515625" customWidth="1"/>
    <col min="54" max="54" width="29.7109375" customWidth="1"/>
    <col min="55" max="55" width="13" customWidth="1"/>
    <col min="56" max="56" width="16" customWidth="1"/>
    <col min="57" max="57" width="16.28515625" customWidth="1"/>
    <col min="58" max="58" width="13.28515625" customWidth="1"/>
    <col min="59" max="59" width="17" customWidth="1"/>
    <col min="60" max="61" width="9.28515625" bestFit="1" customWidth="1"/>
    <col min="62" max="62" width="44.7109375" bestFit="1" customWidth="1"/>
    <col min="63" max="63" width="11.7109375" bestFit="1" customWidth="1"/>
    <col min="64" max="64" width="12.28515625" bestFit="1" customWidth="1"/>
    <col min="65" max="65" width="14.42578125" bestFit="1" customWidth="1"/>
    <col min="66" max="66" width="13.7109375" bestFit="1" customWidth="1"/>
    <col min="67" max="67" width="13.42578125" bestFit="1" customWidth="1"/>
    <col min="68" max="68" width="15.42578125" style="91" customWidth="1"/>
    <col min="69" max="69" width="15.42578125" style="31" bestFit="1" customWidth="1"/>
    <col min="70" max="70" width="14.42578125" bestFit="1" customWidth="1"/>
    <col min="71" max="71" width="12" bestFit="1" customWidth="1"/>
    <col min="72" max="72" width="17.7109375" style="31" bestFit="1" customWidth="1"/>
    <col min="73" max="73" width="18.28515625" style="105" bestFit="1" customWidth="1"/>
    <col min="74" max="74" width="18.7109375" style="105" bestFit="1" customWidth="1"/>
    <col min="75" max="75" width="13.5703125" style="93" bestFit="1" customWidth="1"/>
    <col min="76" max="76" width="31.28515625" bestFit="1" customWidth="1"/>
    <col min="77" max="77" width="12.42578125" style="93" bestFit="1" customWidth="1"/>
    <col min="78" max="78" width="16.5703125" customWidth="1"/>
    <col min="79" max="79" width="15.7109375" customWidth="1"/>
    <col min="80" max="80" width="11.7109375" style="21" bestFit="1" customWidth="1"/>
    <col min="81" max="81" width="15.28515625" customWidth="1"/>
    <col min="82" max="82" width="16.5703125" customWidth="1"/>
    <col min="83" max="83" width="13.7109375" customWidth="1"/>
    <col min="84" max="84" width="12.7109375" style="29" bestFit="1" customWidth="1"/>
    <col min="85" max="85" width="13.5703125" bestFit="1" customWidth="1"/>
    <col min="86" max="86" width="10.5703125" bestFit="1" customWidth="1"/>
    <col min="87" max="87" width="13.7109375" bestFit="1" customWidth="1"/>
    <col min="89" max="89" width="13.28515625" bestFit="1" customWidth="1"/>
    <col min="90" max="90" width="11.7109375" bestFit="1" customWidth="1"/>
    <col min="91" max="91" width="18.28515625" style="32" bestFit="1" customWidth="1"/>
    <col min="92" max="92" width="13.28515625" bestFit="1" customWidth="1"/>
    <col min="95" max="95" width="12.7109375" style="91" bestFit="1" customWidth="1"/>
    <col min="96" max="96" width="13.28515625" style="31" bestFit="1" customWidth="1"/>
    <col min="99" max="99" width="15.42578125" bestFit="1" customWidth="1"/>
  </cols>
  <sheetData>
    <row r="1" spans="1:102" s="8" customFormat="1" x14ac:dyDescent="0.25">
      <c r="A1" s="75" t="s">
        <v>119</v>
      </c>
      <c r="B1" s="70" t="s">
        <v>409</v>
      </c>
      <c r="C1" s="70" t="s">
        <v>155</v>
      </c>
      <c r="D1" s="70" t="s">
        <v>147</v>
      </c>
      <c r="E1" s="74" t="s">
        <v>148</v>
      </c>
      <c r="F1" s="70" t="s">
        <v>120</v>
      </c>
      <c r="G1" s="70" t="s">
        <v>146</v>
      </c>
      <c r="H1" s="74" t="s">
        <v>149</v>
      </c>
      <c r="I1" s="70" t="s">
        <v>137</v>
      </c>
      <c r="J1" s="98" t="s">
        <v>135</v>
      </c>
      <c r="K1" s="92" t="s">
        <v>156</v>
      </c>
      <c r="L1" s="75" t="s">
        <v>410</v>
      </c>
      <c r="M1" s="70" t="s">
        <v>142</v>
      </c>
      <c r="N1" s="8" t="s">
        <v>393</v>
      </c>
      <c r="O1" s="8" t="s">
        <v>411</v>
      </c>
      <c r="P1" s="8" t="s">
        <v>394</v>
      </c>
      <c r="Q1" s="8" t="s">
        <v>406</v>
      </c>
      <c r="R1" s="8" t="s">
        <v>395</v>
      </c>
      <c r="S1" s="8" t="s">
        <v>126</v>
      </c>
      <c r="T1" s="8" t="s">
        <v>396</v>
      </c>
      <c r="U1" s="8" t="s">
        <v>407</v>
      </c>
      <c r="V1" s="8" t="s">
        <v>134</v>
      </c>
      <c r="W1" s="8" t="s">
        <v>72</v>
      </c>
      <c r="X1" s="8" t="s">
        <v>374</v>
      </c>
      <c r="Y1" s="74" t="s">
        <v>143</v>
      </c>
      <c r="Z1" s="70" t="s">
        <v>153</v>
      </c>
      <c r="AA1" s="74" t="s">
        <v>375</v>
      </c>
      <c r="AB1" s="92" t="s">
        <v>123</v>
      </c>
      <c r="AC1" s="74" t="s">
        <v>392</v>
      </c>
      <c r="AD1" s="92" t="s">
        <v>397</v>
      </c>
      <c r="AE1" s="8" t="s">
        <v>376</v>
      </c>
      <c r="AF1" s="8" t="s">
        <v>6</v>
      </c>
      <c r="AG1" s="8" t="s">
        <v>124</v>
      </c>
      <c r="AH1" s="90" t="s">
        <v>144</v>
      </c>
      <c r="AI1" s="92" t="s">
        <v>145</v>
      </c>
      <c r="AJ1" s="90" t="s">
        <v>127</v>
      </c>
      <c r="AK1" s="92" t="s">
        <v>377</v>
      </c>
      <c r="AL1" s="90" t="s">
        <v>152</v>
      </c>
      <c r="AM1" s="90" t="s">
        <v>418</v>
      </c>
      <c r="AN1" s="90" t="s">
        <v>378</v>
      </c>
      <c r="AO1" s="92" t="s">
        <v>270</v>
      </c>
      <c r="AP1" s="92" t="s">
        <v>3</v>
      </c>
      <c r="AQ1" s="8" t="s">
        <v>125</v>
      </c>
      <c r="AR1" s="8" t="s">
        <v>238</v>
      </c>
      <c r="AS1" s="8" t="s">
        <v>129</v>
      </c>
      <c r="AT1" s="8" t="s">
        <v>157</v>
      </c>
      <c r="AU1" s="8" t="s">
        <v>133</v>
      </c>
      <c r="AV1" s="75" t="s">
        <v>132</v>
      </c>
      <c r="AW1" s="8" t="s">
        <v>379</v>
      </c>
      <c r="AX1" s="8" t="s">
        <v>150</v>
      </c>
      <c r="AY1" s="75" t="s">
        <v>140</v>
      </c>
      <c r="AZ1" s="75" t="s">
        <v>131</v>
      </c>
      <c r="BA1" s="75" t="s">
        <v>121</v>
      </c>
      <c r="BB1" s="8" t="s">
        <v>122</v>
      </c>
      <c r="BC1" s="74" t="s">
        <v>138</v>
      </c>
      <c r="BD1" s="75" t="s">
        <v>130</v>
      </c>
      <c r="BE1" s="8" t="s">
        <v>154</v>
      </c>
      <c r="BF1" s="8" t="s">
        <v>7</v>
      </c>
      <c r="BG1" s="8" t="s">
        <v>158</v>
      </c>
      <c r="BH1" s="8" t="s">
        <v>416</v>
      </c>
      <c r="BI1" s="8" t="s">
        <v>417</v>
      </c>
      <c r="BJ1" s="16" t="s">
        <v>0</v>
      </c>
      <c r="BK1" s="16" t="s">
        <v>159</v>
      </c>
      <c r="BL1" s="16" t="s">
        <v>160</v>
      </c>
      <c r="BM1" s="16" t="s">
        <v>161</v>
      </c>
      <c r="BN1" s="16" t="s">
        <v>162</v>
      </c>
      <c r="BO1" s="16" t="s">
        <v>163</v>
      </c>
      <c r="BP1" s="96" t="s">
        <v>164</v>
      </c>
      <c r="BQ1" s="101" t="s">
        <v>165</v>
      </c>
      <c r="BR1" s="16" t="s">
        <v>166</v>
      </c>
      <c r="BS1" s="47" t="s">
        <v>167</v>
      </c>
      <c r="BT1" s="103" t="s">
        <v>168</v>
      </c>
      <c r="BU1" s="87" t="s">
        <v>169</v>
      </c>
      <c r="BV1" s="87" t="s">
        <v>170</v>
      </c>
      <c r="BW1" s="95" t="s">
        <v>171</v>
      </c>
      <c r="BX1" s="16" t="s">
        <v>172</v>
      </c>
      <c r="BY1" s="95" t="s">
        <v>173</v>
      </c>
      <c r="BZ1" s="16" t="s">
        <v>174</v>
      </c>
      <c r="CA1" s="16" t="s">
        <v>175</v>
      </c>
      <c r="CB1" s="89" t="s">
        <v>176</v>
      </c>
      <c r="CC1" s="16" t="s">
        <v>177</v>
      </c>
      <c r="CD1" s="16" t="s">
        <v>178</v>
      </c>
      <c r="CE1" s="16" t="s">
        <v>179</v>
      </c>
      <c r="CF1" s="71" t="s">
        <v>180</v>
      </c>
      <c r="CG1" s="16" t="s">
        <v>181</v>
      </c>
      <c r="CH1" s="16" t="s">
        <v>182</v>
      </c>
      <c r="CI1" s="16" t="s">
        <v>183</v>
      </c>
      <c r="CJ1" s="16" t="s">
        <v>184</v>
      </c>
      <c r="CK1" s="16" t="s">
        <v>185</v>
      </c>
      <c r="CL1" s="16" t="s">
        <v>186</v>
      </c>
      <c r="CM1" s="102" t="s">
        <v>187</v>
      </c>
      <c r="CN1" s="16" t="s">
        <v>188</v>
      </c>
      <c r="CO1" s="16" t="s">
        <v>189</v>
      </c>
      <c r="CP1" s="16" t="s">
        <v>190</v>
      </c>
      <c r="CQ1" s="96" t="s">
        <v>191</v>
      </c>
      <c r="CR1" s="101" t="s">
        <v>192</v>
      </c>
      <c r="CU1" s="75">
        <f ca="1">$CV$1+$CW$1-CapDate</f>
        <v>2577.9887582175943</v>
      </c>
      <c r="CV1" s="76">
        <f ca="1">NOW()-TODAY()</f>
        <v>0.98875821759429527</v>
      </c>
      <c r="CW1" s="70">
        <f ca="1">TODAY()</f>
        <v>44180</v>
      </c>
      <c r="CX1" s="70">
        <f ca="1">CW1+CV1</f>
        <v>44180.988758217594</v>
      </c>
    </row>
    <row r="2" spans="1:102" x14ac:dyDescent="0.25">
      <c r="A2" s="21">
        <f>INT(SapExlData[[#This Row],[OrderNummer]])</f>
        <v>1216279</v>
      </c>
      <c r="C2" s="12" t="s">
        <v>398</v>
      </c>
      <c r="D2" s="12" t="s">
        <v>399</v>
      </c>
      <c r="E2" s="33">
        <v>0.625</v>
      </c>
      <c r="F2" s="12" t="s">
        <v>398</v>
      </c>
      <c r="G2" s="12" t="s">
        <v>398</v>
      </c>
      <c r="H2" s="33">
        <v>0.48312500000000003</v>
      </c>
      <c r="I2" s="12" t="s">
        <v>398</v>
      </c>
      <c r="J2" s="99" t="s">
        <v>398</v>
      </c>
      <c r="L2" s="100">
        <v>1216279</v>
      </c>
      <c r="M2" s="12" t="s">
        <v>398</v>
      </c>
      <c r="N2" s="21" t="s">
        <v>380</v>
      </c>
      <c r="O2" s="21" t="s">
        <v>400</v>
      </c>
      <c r="P2" s="21"/>
      <c r="Q2" s="21" t="s">
        <v>401</v>
      </c>
      <c r="R2" s="21"/>
      <c r="S2" s="21"/>
      <c r="T2" s="21">
        <v>1</v>
      </c>
      <c r="U2" s="21" t="s">
        <v>402</v>
      </c>
      <c r="V2" s="21">
        <v>1</v>
      </c>
      <c r="W2" s="21">
        <v>1</v>
      </c>
      <c r="X2" s="21" t="s">
        <v>381</v>
      </c>
      <c r="Y2" s="33">
        <v>0.48312500000000003</v>
      </c>
      <c r="Z2" s="12" t="s">
        <v>398</v>
      </c>
      <c r="AA2" s="33">
        <v>0.62567129629629636</v>
      </c>
      <c r="AB2" s="93">
        <v>0.62567129629629636</v>
      </c>
      <c r="AC2" s="33">
        <v>0.62567129629629636</v>
      </c>
      <c r="AD2" s="93">
        <v>0.62567129629629636</v>
      </c>
      <c r="AE2" s="21">
        <v>10000754</v>
      </c>
      <c r="AF2" s="21" t="s">
        <v>403</v>
      </c>
      <c r="AG2" s="21" t="s">
        <v>381</v>
      </c>
      <c r="AH2" s="91" t="s">
        <v>398</v>
      </c>
      <c r="AI2" s="93">
        <v>0.48312500000000003</v>
      </c>
      <c r="AJ2" s="91" t="s">
        <v>404</v>
      </c>
      <c r="AK2" s="93" t="s">
        <v>405</v>
      </c>
      <c r="AL2" s="91" t="s">
        <v>403</v>
      </c>
      <c r="AM2" s="91" t="s">
        <v>419</v>
      </c>
      <c r="AN2" s="91" t="s">
        <v>45</v>
      </c>
      <c r="AO2" s="21">
        <v>506620</v>
      </c>
      <c r="AP2" s="93" t="s">
        <v>401</v>
      </c>
      <c r="AQ2" s="21" t="s">
        <v>402</v>
      </c>
      <c r="AR2" s="21"/>
      <c r="AS2" s="21">
        <v>1000</v>
      </c>
      <c r="AT2" s="21">
        <v>0</v>
      </c>
      <c r="AU2" s="21">
        <v>0</v>
      </c>
      <c r="AV2" s="21">
        <v>3150</v>
      </c>
      <c r="AW2" s="21">
        <v>3150</v>
      </c>
      <c r="AX2" s="21">
        <v>3150</v>
      </c>
      <c r="AY2" s="21">
        <v>1</v>
      </c>
      <c r="AZ2" s="21">
        <v>0</v>
      </c>
      <c r="BA2" s="21">
        <v>3173</v>
      </c>
      <c r="BB2" s="21">
        <v>0</v>
      </c>
      <c r="BC2" s="21">
        <v>0</v>
      </c>
      <c r="BD2" s="21">
        <v>3150</v>
      </c>
      <c r="BE2" s="21">
        <v>3150</v>
      </c>
      <c r="BF2" s="21">
        <v>0</v>
      </c>
      <c r="BG2" s="21">
        <v>0</v>
      </c>
      <c r="BH2" s="21">
        <v>0</v>
      </c>
      <c r="BI2" s="21">
        <v>0</v>
      </c>
      <c r="BJ2" s="21" t="str">
        <f>SapExlData[[#This Row],[Material Number]]&amp;" "&amp;SapExlData[[#This Row],[Material Description]]</f>
        <v xml:space="preserve"> BRUNET MASSE</v>
      </c>
      <c r="BK2" s="29">
        <f>IF(SapExlData[[#This Row],[Total order quantity]]-SapExlData[[#This Row],[Quantity of goods received]]&lt;0,0,SapExlData[[#This Row],[Total order quantity]]-SapExlData[[#This Row],[Quantity of goods received]])</f>
        <v>23</v>
      </c>
      <c r="BL2" s="21">
        <f>IF(SapExlData[[#This Row],[Base Quantity]]=0,0,SapExlData[[#This Row],[Operation Qty]]/SapExlData[[#This Row],[Base Quantity]])</f>
        <v>3.15</v>
      </c>
      <c r="BM2" s="30">
        <f>SapExlData[[#This Row],[SetupTid]]</f>
        <v>0</v>
      </c>
      <c r="BN2" s="21">
        <f>IF(SapExlData[[#This Row],[DCI]]="X",0,IF(SapExlData[[#This Row],[Rem_Qty]]&lt;SapExlData[[#This Row],[Total order quantity]],(SapExlData[[#This Row],[ProcTid]]/SapExlData[[#This Row],[Base Quantity]])*SapExlData[[#This Row],[Rem_Qty]],SapExlData[Processing time]))</f>
        <v>0</v>
      </c>
      <c r="BO2" s="21">
        <f>IF(AQ2&lt;&gt;AQ1,1,IF(ISERROR(DATEVALUE(F2)),BO1+1,BO1))</f>
        <v>1</v>
      </c>
      <c r="BP2" s="91">
        <f>IF($BR2=1,IF(ISERROR(DATEVALUE(F2)),IF(BO2&gt;1,BP1,DATEVALUE(G2)),DATEVALUE(F2)),IF(BR2=0,IF(BX2=BX1,BS1,IF(ISERROR(DATEVALUE(F2)),G2,DATEVALUE(F2))),IF(CJ2="Locked",DATEVALUE(G2),BS1)))</f>
        <v>42086</v>
      </c>
      <c r="BQ2" s="31">
        <f>IF($BR2=1,IF(VALUE(AB2)&gt;0,AB2,IF(BO2&gt;1,BT1,H2)),IF(AND(BR2=0,BX2=BX1),BT1,IF(VALUE(AB2)&gt;0,AB2,IF(CJ2="Locked",H2,IF(BR1=0,BQ1,IF(ISERROR(VALUE(BT1)),7/24,BT1))))))</f>
        <v>0.62567129629629636</v>
      </c>
      <c r="BR2">
        <f>IF(SapExlData[[#This Row],[Akt_Help]]=0,0,SapExlData[[#This Row],[Acc_Akt]])</f>
        <v>0</v>
      </c>
      <c r="BS2" s="12">
        <v>41233</v>
      </c>
      <c r="BT2" s="31">
        <v>0.73478472222551394</v>
      </c>
      <c r="BU2" s="104">
        <f>IF(SapExlData[[#This Row],[Locked]]="Locked",IF(SapExlData[[#This Row],[Scheduled start]]+SapExlData[[#This Row],[SchedStart]]&lt;CapDate+SapExlData[[#This Row],[StartSec]],CapDate+SapExlData[[#This Row],[StartSec]],SapExlData[[#This Row],[Scheduled start]]+SapExlData[[#This Row],[SchedStart]]),IF(SapExlData[[#This Row],[Start_DateH]]+SapExlData[[#This Row],[Start_TimeH]]&lt;CapDate+SapExlData[[#This Row],[StartSec]],CapDate+SapExlData[[#This Row],[StartSec]],SapExlData[[#This Row],[Start_DateH]]+SapExlData[[#This Row],[Start_TimeH]]))</f>
        <v>42086.625671296293</v>
      </c>
      <c r="BV2" s="105">
        <f>IF(SapExlData[[#This Row],[End_Date]]=0,"",SapExlData[[#This Row],[End_Date]]+TIME(HOUR(SapExlData[[#This Row],[End_Time]]),MINUTE(SapExlData[[#This Row],[End_Time]]),SECOND(SapExlData[[#This Row],[End_Time]])))</f>
        <v>41233.734780092593</v>
      </c>
      <c r="BW2" s="93">
        <v>0.29166666666666669</v>
      </c>
      <c r="BX2" t="str">
        <f>RIGHT(SapExlData[[#This Row],[Work ctr]],LEN(SapExlData[[#This Row],[Work ctr]])-5)&amp;" "&amp;SapExlData[[#This Row],[Work Center Description]]</f>
        <v>AR2701 AR00/AR2701</v>
      </c>
      <c r="BY2" s="93">
        <v>0.9375</v>
      </c>
      <c r="BZ2" s="29">
        <f ca="1">IF(CJ2="Locked",CF2+CA2*0,IF(BX2&lt;&gt;BX1,CF2,IF(AND(CA2&gt;BZ1,BR2&gt;0),CA2+CF2,BZ1+CF2)))</f>
        <v>0</v>
      </c>
      <c r="CA2" s="29">
        <f>IF(ISERROR(VLOOKUP(SapExlData[[#This Row],[Work Center]]&amp;INT(SapExlData[[#This Row],[Start]]),CapStartDay,4,FALSE)),0,VLOOKUP(SapExlData[[#This Row],[Work Center]]&amp;INT(SapExlData[[#This Row],[Start]]),CapStartDay,4,FALSE)+(SapExlData[[#This Row],[Start]]-VLOOKUP(SapExlData[[#This Row],[Work Center]]&amp;INT(SapExlData[[#This Row],[Start]]),CapStartDay,3,FALSE))*3600*24)</f>
        <v>0</v>
      </c>
      <c r="CB2" s="29">
        <f>IF(CJ2="Locked",IF(VLOOKUP(DATEVALUE(D2),CapDateNumber,7,FALSE)&gt;1,VLOOKUP(BX2,CapStart,VLOOKUP(DATEVALUE(D2),CapDateNumber,7,FALSE),FALSE),0)+(E2-BW2)*24*3600,0)</f>
        <v>0</v>
      </c>
      <c r="CC2" s="34">
        <f ca="1">(IF(OR(SapExlData[[#This Row],[Active]]&lt;&gt;1,SapExlData[[#This Row],[Start]]&lt;ToDay+1,SapExlData[[#This Row],[Locked]]="Locked"),0,VLOOKUP(SapExlData[[#This Row],[Work Center]],CapStart,VLOOKUP(INT(SapExlData[[#This Row],[Start]]),CapDateNumber,7,FALSE),FALSE)+(SapExlData[[#This Row],[Start_TimeH]]-SapExlData[[#This Row],[StartSec]])*24*3600))/3600/24</f>
        <v>0</v>
      </c>
      <c r="CD2" s="34">
        <f>IF(ISERROR(SapExlData[[#This Row],[Rem_Time]]),0,SapExlData[[#This Row],[Rem_Time]]/24)</f>
        <v>0</v>
      </c>
      <c r="CE2" s="34">
        <f ca="1">IF(AND(BX2&lt;&gt;BX1,CJ2&lt;&gt;"Locked"),IF(CC2&gt;=CK2,0,IF(CL2&gt;CK2,0,CK2-CL2)),0)</f>
        <v>0</v>
      </c>
      <c r="CF2" s="35">
        <f ca="1">IF(ISERROR(SapExlData[[#This Row],[Rem_Time]]),0,SUM(SapExlData[[#This Row],[Startverdi]]:SapExlData[[#This Row],[Nå_verdi]])*24*3600+IF(SapExlData[[#This Row],[Locked]]="Locked",SapExlData[[#This Row],[StartCap]],SapExlData[[#This Row],[Acc_Cap2]]))</f>
        <v>0</v>
      </c>
      <c r="CG2" s="29">
        <f>IF(ISERROR(BN2),0,IF(AND(BN2&gt;0,K2&lt;&gt;"X",BX2&lt;&gt;BX1),1,IF(AND(ISERROR(DATEVALUE(F2)),K2&lt;&gt;"X"),1,0)))</f>
        <v>0</v>
      </c>
      <c r="CH2" s="29">
        <f>IF(BX2&lt;&gt;BX1,CG2,CG2+CH1)</f>
        <v>0</v>
      </c>
      <c r="CI2" s="29">
        <f>IF(AND(SapExlData[[#This Row],[Active]]=1,OR(SapExlData[[#This Row],[Quantity of goods received]]&gt;0,ISERROR(DATEVALUE(SapExlData[[#This Row],[Actual start date]]))=FALSE)),1,0)</f>
        <v>0</v>
      </c>
      <c r="CJ2" s="21" t="str">
        <f>IF(ISERROR(VLOOKUP(SapExlData[[#This Row],[Order]],LockedTable[],1,FALSE)),"","Locked")</f>
        <v/>
      </c>
      <c r="CK2" s="34">
        <f ca="1">IF(ISERROR(VLOOKUP(SapExlData[[#This Row],[Work Center]]&amp;ToDay,CapStartDay,4,FALSE)/3600/24),0,VLOOKUP(SapExlData[[#This Row],[Work Center]]&amp;ToDay,CapStartDay,4,FALSE)/3600/24)</f>
        <v>0</v>
      </c>
      <c r="CL2" s="34">
        <f ca="1">IF(ISERROR(VLOOKUP(SapExlData[[#This Row],[Work Center]]&amp;ToDay,CapStartDay,5,FALSE)),0,IF(VLOOKUP(SapExlData[[#This Row],[Work Center]]&amp;ToDay,CapStartDay,5,FALSE)=3,VLOOKUP(SapExlData[[#This Row],[Work Center]]&amp;ToDay,CapStartDay,3,FALSE)-NowValue,IF(NowValue&lt;VLOOKUP(SapExlData[[#This Row],[Work Center]]&amp;ToDay,CapStartDay,3,FALSE),IF(NowValue&lt;VLOOKUP(SapExlData[[#This Row],[Work Center]]&amp;ToDay,CapStartDay,2,FALSE),VLOOKUP(SapExlData[[#This Row],[Work Center]]&amp;ToDay,CapStartDay,3,FALSE)-VLOOKUP(SapExlData[[#This Row],[Work Center]]&amp;ToDay,CapStartDay,2,FALSE),VLOOKUP(SapExlData[[#This Row],[Work Center]]&amp;ToDay,CapStartDay,3,FALSE)-NowValue),0)))</f>
        <v>0</v>
      </c>
      <c r="CM2" s="32">
        <f ca="1">IF(ISERROR(VLOOKUP(SapExlData[[#This Row],[Work Center]]&amp;ToDay,CapStartDay,2,FALSE)),0,VLOOKUP(SapExlData[[#This Row],[Work Center]]&amp;ToDay,CapStartDay,2,FALSE))</f>
        <v>0</v>
      </c>
      <c r="CN2" s="36" t="str">
        <f>IF(OR(SapExlData[[#This Row],[Work ctr]]="AR00/AR1502",SapExlData[[#This Row],[Reqmt Qty]]=0),"Not relevant",IF(SapExlData[[#This Row],[MixEnhet]]="KG",(SapExlData[[#This Row],[Total Stock]]+SapExlData[[#This Row],[Qty Withdrawn]])/SapExlData[[#This Row],[Reqmt Qty]],"Unknown"))</f>
        <v>Not relevant</v>
      </c>
      <c r="CO2" s="29">
        <f>IF(OR(SapExlData[[#This Row],[Mix_Status]]="Unknown",SapExlData[[#This Row],[Mix_Status]]="Not relevant"),0,SapExlData[[#This Row],[Reqmt Qty]]*IF(SapExlData[[#This Row],[Mix_Status]]&gt;1,1,SapExlData[[#This Row],[Mix_Status]]))</f>
        <v>0</v>
      </c>
      <c r="CP2" s="29">
        <f>IF(OR(SapExlData[[#This Row],[Mix_Status]]="Unknown",SapExlData[[#This Row],[Mix_Status]]="Not relevant"),0,SapExlData[[#This Row],[Reqmt Qty]])</f>
        <v>0</v>
      </c>
      <c r="CQ2" s="91">
        <f>INT(SapExlData[[#This Row],[Start]])</f>
        <v>42086</v>
      </c>
      <c r="CR2" s="31">
        <f>SapExlData[[#This Row],[Start]]-SapExlData[[#This Row],[Start_Date]]</f>
        <v>0.62567129629314877</v>
      </c>
      <c r="CV2" s="74">
        <f ca="1">NOW()-TODAY()</f>
        <v>0.98875821759429527</v>
      </c>
    </row>
    <row r="3" spans="1:102" x14ac:dyDescent="0.25">
      <c r="A3" s="21">
        <f>INT(SapExlData[[#This Row],[OrderNummer]])</f>
        <v>1216279</v>
      </c>
      <c r="C3" s="12" t="s">
        <v>398</v>
      </c>
      <c r="D3" s="12" t="s">
        <v>399</v>
      </c>
      <c r="E3" s="33">
        <v>0.625</v>
      </c>
      <c r="F3" s="12" t="s">
        <v>398</v>
      </c>
      <c r="G3" s="12" t="s">
        <v>398</v>
      </c>
      <c r="H3" s="33">
        <v>0.48312500000000003</v>
      </c>
      <c r="I3" s="12" t="s">
        <v>398</v>
      </c>
      <c r="J3" s="99" t="s">
        <v>398</v>
      </c>
      <c r="L3" s="100">
        <v>1216279</v>
      </c>
      <c r="M3" s="12" t="s">
        <v>398</v>
      </c>
      <c r="N3" s="21" t="s">
        <v>380</v>
      </c>
      <c r="O3" s="21" t="s">
        <v>400</v>
      </c>
      <c r="P3" s="21"/>
      <c r="Q3" s="21" t="s">
        <v>401</v>
      </c>
      <c r="R3" s="21"/>
      <c r="S3" s="21"/>
      <c r="T3" s="21">
        <v>1</v>
      </c>
      <c r="U3" s="21" t="s">
        <v>402</v>
      </c>
      <c r="V3" s="21">
        <v>2</v>
      </c>
      <c r="W3" s="21">
        <v>1</v>
      </c>
      <c r="X3" s="21" t="s">
        <v>381</v>
      </c>
      <c r="Y3" s="33">
        <v>0.48312500000000003</v>
      </c>
      <c r="Z3" s="12" t="s">
        <v>398</v>
      </c>
      <c r="AA3" s="33">
        <v>0.62567129629629636</v>
      </c>
      <c r="AB3" s="93">
        <v>0.62567129629629636</v>
      </c>
      <c r="AC3" s="33">
        <v>0.62567129629629636</v>
      </c>
      <c r="AD3" s="93">
        <v>0.62567129629629636</v>
      </c>
      <c r="AE3" s="21">
        <v>10000754</v>
      </c>
      <c r="AF3" s="21" t="s">
        <v>403</v>
      </c>
      <c r="AG3" s="21" t="s">
        <v>71</v>
      </c>
      <c r="AH3" s="91" t="s">
        <v>398</v>
      </c>
      <c r="AI3" s="93">
        <v>0.48312500000000003</v>
      </c>
      <c r="AJ3" s="91" t="s">
        <v>404</v>
      </c>
      <c r="AK3" s="93" t="s">
        <v>405</v>
      </c>
      <c r="AL3" s="91" t="s">
        <v>403</v>
      </c>
      <c r="AM3" s="91" t="s">
        <v>419</v>
      </c>
      <c r="AN3" s="91" t="s">
        <v>45</v>
      </c>
      <c r="AO3" s="21">
        <v>506620</v>
      </c>
      <c r="AP3" s="93" t="s">
        <v>401</v>
      </c>
      <c r="AQ3" s="21" t="s">
        <v>402</v>
      </c>
      <c r="AR3" s="21"/>
      <c r="AS3" s="21">
        <v>1000</v>
      </c>
      <c r="AT3" s="21">
        <v>0</v>
      </c>
      <c r="AU3" s="21">
        <v>0</v>
      </c>
      <c r="AV3" s="21">
        <v>3150</v>
      </c>
      <c r="AW3" s="21">
        <v>3150</v>
      </c>
      <c r="AX3" s="21">
        <v>3150</v>
      </c>
      <c r="AY3" s="21">
        <v>0.2</v>
      </c>
      <c r="AZ3" s="21">
        <v>0</v>
      </c>
      <c r="BA3" s="21">
        <v>3173</v>
      </c>
      <c r="BB3" s="21">
        <v>0</v>
      </c>
      <c r="BC3" s="21">
        <v>0</v>
      </c>
      <c r="BD3" s="21">
        <v>3150</v>
      </c>
      <c r="BE3" s="21">
        <v>3150</v>
      </c>
      <c r="BF3" s="21">
        <v>0</v>
      </c>
      <c r="BG3" s="21">
        <v>0</v>
      </c>
      <c r="BH3" s="21">
        <v>0</v>
      </c>
      <c r="BI3" s="21">
        <v>0</v>
      </c>
      <c r="BJ3" s="21" t="str">
        <f>SapExlData[[#This Row],[Material Number]]&amp;" "&amp;SapExlData[[#This Row],[Material Description]]</f>
        <v xml:space="preserve"> BRUNET MASSE</v>
      </c>
      <c r="BK3" s="29">
        <f>IF(SapExlData[[#This Row],[Total order quantity]]-SapExlData[[#This Row],[Quantity of goods received]]&lt;0,0,SapExlData[[#This Row],[Total order quantity]]-SapExlData[[#This Row],[Quantity of goods received]])</f>
        <v>23</v>
      </c>
      <c r="BL3" s="21">
        <f>IF(SapExlData[[#This Row],[Base Quantity]]=0,0,SapExlData[[#This Row],[Operation Qty]]/SapExlData[[#This Row],[Base Quantity]])</f>
        <v>3.15</v>
      </c>
      <c r="BM3" s="30">
        <f>SapExlData[[#This Row],[SetupTid]]</f>
        <v>0</v>
      </c>
      <c r="BN3" s="21">
        <f>IF(SapExlData[[#This Row],[DCI]]="X",0,IF(SapExlData[[#This Row],[Rem_Qty]]&lt;SapExlData[[#This Row],[Total order quantity]],(SapExlData[[#This Row],[ProcTid]]/SapExlData[[#This Row],[Base Quantity]])*SapExlData[[#This Row],[Rem_Qty]],SapExlData[Processing time]))</f>
        <v>0</v>
      </c>
      <c r="BO3" s="21">
        <f>IF(AQ3&lt;&gt;AQ2,1,IF(ISERROR(DATEVALUE(F3)),BO2+1,BO2))</f>
        <v>1</v>
      </c>
      <c r="BP3" s="91">
        <f>IF($BR3=1,IF(ISERROR(DATEVALUE(F3)),IF(BO3&gt;1,BP2,DATEVALUE(G3)),DATEVALUE(F3)),IF(BR3=0,IF(BX3=BX2,BS2,IF(ISERROR(DATEVALUE(F3)),G3,DATEVALUE(F3))),IF(CJ3="Locked",DATEVALUE(G3),BS2)))</f>
        <v>42086</v>
      </c>
      <c r="BQ3" s="31">
        <f>IF($BR3=1,IF(VALUE(AB3)&gt;0,AB3,IF(BO3&gt;1,BT2,H3)),IF(AND(BR3=0,BX3=BX2),BT2,IF(VALUE(AB3)&gt;0,AB3,IF(CJ3="Locked",H3,IF(BR2=0,BQ2,IF(ISERROR(VALUE(BT2)),7/24,BT2))))))</f>
        <v>0.62567129629629636</v>
      </c>
      <c r="BR3">
        <f>IF(SapExlData[[#This Row],[Akt_Help]]=0,0,SapExlData[[#This Row],[Acc_Akt]])</f>
        <v>1</v>
      </c>
      <c r="BS3" s="12">
        <v>41233</v>
      </c>
      <c r="BT3" s="31">
        <v>0.92922928240861591</v>
      </c>
      <c r="BU3" s="104">
        <f>IF(SapExlData[[#This Row],[Locked]]="Locked",IF(SapExlData[[#This Row],[Scheduled start]]+SapExlData[[#This Row],[SchedStart]]&lt;CapDate+SapExlData[[#This Row],[StartSec]],CapDate+SapExlData[[#This Row],[StartSec]],SapExlData[[#This Row],[Scheduled start]]+SapExlData[[#This Row],[SchedStart]]),IF(SapExlData[[#This Row],[Start_DateH]]+SapExlData[[#This Row],[Start_TimeH]]&lt;CapDate+SapExlData[[#This Row],[StartSec]],CapDate+SapExlData[[#This Row],[StartSec]],SapExlData[[#This Row],[Start_DateH]]+SapExlData[[#This Row],[Start_TimeH]]))</f>
        <v>42086.625671296293</v>
      </c>
      <c r="BV3" s="105">
        <f>IF(SapExlData[[#This Row],[End_Date]]=0,"",SapExlData[[#This Row],[End_Date]]+TIME(HOUR(SapExlData[[#This Row],[End_Time]]),MINUTE(SapExlData[[#This Row],[End_Time]]),SECOND(SapExlData[[#This Row],[End_Time]])))</f>
        <v>41233.929224537038</v>
      </c>
      <c r="BW3" s="93">
        <v>0.29166666666666669</v>
      </c>
      <c r="BX3" t="str">
        <f>RIGHT(SapExlData[[#This Row],[Work ctr]],LEN(SapExlData[[#This Row],[Work ctr]])-5)&amp;" "&amp;SapExlData[[#This Row],[Work Center Description]]</f>
        <v>AR2701 AR00/AR2701</v>
      </c>
      <c r="BY3" s="93">
        <v>0.9375</v>
      </c>
      <c r="BZ3" s="29">
        <f ca="1">IF(CJ3="Locked",CF3+CA3*0,IF(BX3&lt;&gt;BX2,CF3,IF(AND(CA3&gt;BZ2,BR3&gt;0),CA3+CF3,BZ2+CF3)))</f>
        <v>0</v>
      </c>
      <c r="CA3" s="29">
        <f>IF(ISERROR(VLOOKUP(SapExlData[[#This Row],[Work Center]]&amp;INT(SapExlData[[#This Row],[Start]]),CapStartDay,4,FALSE)),0,VLOOKUP(SapExlData[[#This Row],[Work Center]]&amp;INT(SapExlData[[#This Row],[Start]]),CapStartDay,4,FALSE)+(SapExlData[[#This Row],[Start]]-VLOOKUP(SapExlData[[#This Row],[Work Center]]&amp;INT(SapExlData[[#This Row],[Start]]),CapStartDay,3,FALSE))*3600*24)</f>
        <v>0</v>
      </c>
      <c r="CB3" s="29">
        <f>IF(CJ3="Locked",IF(VLOOKUP(DATEVALUE(D3),CapDateNumber,7,FALSE)&gt;1,VLOOKUP(BX3,CapStart,VLOOKUP(DATEVALUE(D3),CapDateNumber,7,FALSE),FALSE),0)+(E3-BW3)*24*3600,0)</f>
        <v>0</v>
      </c>
      <c r="CC3" s="34">
        <f ca="1">(IF(OR(SapExlData[[#This Row],[Active]]&lt;&gt;1,SapExlData[[#This Row],[Start]]&lt;ToDay+1,SapExlData[[#This Row],[Locked]]="Locked"),0,VLOOKUP(SapExlData[[#This Row],[Work Center]],CapStart,VLOOKUP(INT(SapExlData[[#This Row],[Start]]),CapDateNumber,7,FALSE),FALSE)+(SapExlData[[#This Row],[Start_TimeH]]-SapExlData[[#This Row],[StartSec]])*24*3600))/3600/24</f>
        <v>0</v>
      </c>
      <c r="CD3" s="34">
        <f>IF(ISERROR(SapExlData[[#This Row],[Rem_Time]]),0,SapExlData[[#This Row],[Rem_Time]]/24)</f>
        <v>0</v>
      </c>
      <c r="CE3" s="34">
        <f>IF(AND(BX3&lt;&gt;BX2,CJ3&lt;&gt;"Locked"),IF(CC3&gt;=CK3,0,IF(CL3&gt;CK3,0,CK3-CL3)),0)</f>
        <v>0</v>
      </c>
      <c r="CF3" s="35">
        <f ca="1">IF(ISERROR(SapExlData[[#This Row],[Rem_Time]]),0,SUM(SapExlData[[#This Row],[Startverdi]]:SapExlData[[#This Row],[Nå_verdi]])*24*3600+IF(SapExlData[[#This Row],[Locked]]="Locked",SapExlData[[#This Row],[StartCap]],SapExlData[[#This Row],[Acc_Cap2]]))</f>
        <v>0</v>
      </c>
      <c r="CG3" s="29">
        <v>1</v>
      </c>
      <c r="CH3" s="29">
        <f>IF(BX3&lt;&gt;BX2,CG3,CG3+CH2)</f>
        <v>1</v>
      </c>
      <c r="CI3" s="29">
        <f>IF(AND(SapExlData[[#This Row],[Active]]=1,OR(SapExlData[[#This Row],[Quantity of goods received]]&gt;0,ISERROR(DATEVALUE(SapExlData[[#This Row],[Actual start date]]))=FALSE)),1,0)</f>
        <v>1</v>
      </c>
      <c r="CJ3" s="21" t="str">
        <f>IF(ISERROR(VLOOKUP(SapExlData[[#This Row],[Order]],LockedTable[],1,FALSE)),"","Locked")</f>
        <v/>
      </c>
      <c r="CK3" s="34">
        <f ca="1">IF(ISERROR(VLOOKUP(SapExlData[[#This Row],[Work Center]]&amp;ToDay,CapStartDay,4,FALSE)/3600/24),0,VLOOKUP(SapExlData[[#This Row],[Work Center]]&amp;ToDay,CapStartDay,4,FALSE)/3600/24)</f>
        <v>0</v>
      </c>
      <c r="CL3" s="34">
        <f ca="1">IF(ISERROR(VLOOKUP(SapExlData[[#This Row],[Work Center]]&amp;ToDay,CapStartDay,5,FALSE)),0,IF(VLOOKUP(SapExlData[[#This Row],[Work Center]]&amp;ToDay,CapStartDay,5,FALSE)=3,VLOOKUP(SapExlData[[#This Row],[Work Center]]&amp;ToDay,CapStartDay,3,FALSE)-NowValue,IF(NowValue&lt;VLOOKUP(SapExlData[[#This Row],[Work Center]]&amp;ToDay,CapStartDay,3,FALSE),IF(NowValue&lt;VLOOKUP(SapExlData[[#This Row],[Work Center]]&amp;ToDay,CapStartDay,2,FALSE),VLOOKUP(SapExlData[[#This Row],[Work Center]]&amp;ToDay,CapStartDay,3,FALSE)-VLOOKUP(SapExlData[[#This Row],[Work Center]]&amp;ToDay,CapStartDay,2,FALSE),VLOOKUP(SapExlData[[#This Row],[Work Center]]&amp;ToDay,CapStartDay,3,FALSE)-NowValue),0)))</f>
        <v>0</v>
      </c>
      <c r="CM3" s="32">
        <f ca="1">IF(ISERROR(VLOOKUP(SapExlData[[#This Row],[Work Center]]&amp;ToDay,CapStartDay,2,FALSE)),0,VLOOKUP(SapExlData[[#This Row],[Work Center]]&amp;ToDay,CapStartDay,2,FALSE))</f>
        <v>0</v>
      </c>
      <c r="CN3" s="36" t="str">
        <f>IF(OR(SapExlData[[#This Row],[Work ctr]]="AR00/AR1502",SapExlData[[#This Row],[Reqmt Qty]]=0),"Not relevant",IF(SapExlData[[#This Row],[MixEnhet]]="KG",(SapExlData[[#This Row],[Total Stock]]+SapExlData[[#This Row],[Qty Withdrawn]])/SapExlData[[#This Row],[Reqmt Qty]],"Unknown"))</f>
        <v>Not relevant</v>
      </c>
      <c r="CO3" s="29">
        <f>IF(OR(SapExlData[[#This Row],[Mix_Status]]="Unknown",SapExlData[[#This Row],[Mix_Status]]="Not relevant"),0,SapExlData[[#This Row],[Reqmt Qty]]*IF(SapExlData[[#This Row],[Mix_Status]]&gt;1,1,SapExlData[[#This Row],[Mix_Status]]))</f>
        <v>0</v>
      </c>
      <c r="CP3" s="29">
        <f>IF(OR(SapExlData[[#This Row],[Mix_Status]]="Unknown",SapExlData[[#This Row],[Mix_Status]]="Not relevant"),0,SapExlData[[#This Row],[Reqmt Qty]])</f>
        <v>0</v>
      </c>
      <c r="CQ3" s="91">
        <f>INT(SapExlData[[#This Row],[Start]])</f>
        <v>42086</v>
      </c>
      <c r="CR3" s="31">
        <f>SapExlData[[#This Row],[Start]]-SapExlData[[#This Row],[Start_Date]]</f>
        <v>0.62567129629314877</v>
      </c>
    </row>
    <row r="8" spans="1:102" x14ac:dyDescent="0.25">
      <c r="CV8" t="s">
        <v>365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0">
    <tabColor rgb="FFFF8080"/>
  </sheetPr>
  <dimension ref="A1:DR4"/>
  <sheetViews>
    <sheetView showGridLines="0" topLeftCell="AQ1" zoomScale="85" zoomScaleNormal="85" workbookViewId="0">
      <pane ySplit="1" topLeftCell="A2" activePane="bottomLeft" state="frozen"/>
      <selection pane="bottomLeft" activeCell="CR2" sqref="CR2"/>
    </sheetView>
  </sheetViews>
  <sheetFormatPr baseColWidth="10" defaultColWidth="11.42578125" defaultRowHeight="15" x14ac:dyDescent="0.25"/>
  <cols>
    <col min="1" max="1" width="8.5703125" style="21" bestFit="1" customWidth="1"/>
    <col min="2" max="2" width="28.42578125" bestFit="1" customWidth="1"/>
    <col min="3" max="3" width="18.7109375" bestFit="1" customWidth="1"/>
    <col min="4" max="4" width="18.28515625" customWidth="1"/>
    <col min="5" max="5" width="12.5703125" customWidth="1"/>
    <col min="6" max="6" width="17.7109375" customWidth="1"/>
    <col min="7" max="7" width="17.28515625" customWidth="1"/>
    <col min="8" max="8" width="12.7109375" customWidth="1"/>
    <col min="9" max="9" width="11.7109375" customWidth="1"/>
    <col min="10" max="10" width="11.5703125" style="12" bestFit="1" customWidth="1"/>
    <col min="11" max="11" width="6.7109375" customWidth="1"/>
    <col min="12" max="12" width="10.7109375" style="21" bestFit="1" customWidth="1"/>
    <col min="13" max="13" width="15.7109375" customWidth="1"/>
    <col min="14" max="14" width="7.7109375" customWidth="1"/>
    <col min="15" max="15" width="21.7109375" customWidth="1"/>
    <col min="16" max="16" width="16.28515625" customWidth="1"/>
    <col min="17" max="17" width="18.5703125" customWidth="1"/>
    <col min="18" max="18" width="15.7109375" bestFit="1" customWidth="1"/>
    <col min="19" max="19" width="15.5703125" bestFit="1" customWidth="1"/>
    <col min="20" max="20" width="16.28515625" bestFit="1" customWidth="1"/>
    <col min="21" max="21" width="25.5703125" bestFit="1" customWidth="1"/>
    <col min="22" max="22" width="10.42578125" customWidth="1"/>
    <col min="23" max="23" width="5.7109375" customWidth="1"/>
    <col min="24" max="24" width="10" customWidth="1"/>
    <col min="25" max="25" width="15.7109375" bestFit="1" customWidth="1"/>
    <col min="26" max="26" width="25.28515625" bestFit="1" customWidth="1"/>
    <col min="27" max="27" width="12.7109375" bestFit="1" customWidth="1"/>
    <col min="28" max="28" width="11" customWidth="1"/>
    <col min="29" max="29" width="12.7109375" customWidth="1"/>
    <col min="30" max="30" width="12.7109375" bestFit="1" customWidth="1"/>
    <col min="31" max="31" width="10.5703125" customWidth="1"/>
    <col min="32" max="32" width="21.42578125" bestFit="1" customWidth="1"/>
    <col min="33" max="33" width="5.7109375" customWidth="1"/>
    <col min="34" max="34" width="15" bestFit="1" customWidth="1"/>
    <col min="35" max="35" width="15.5703125" customWidth="1"/>
    <col min="36" max="36" width="6.7109375" customWidth="1"/>
    <col min="37" max="37" width="10.28515625" customWidth="1"/>
    <col min="38" max="38" width="18.5703125" bestFit="1" customWidth="1"/>
    <col min="39" max="39" width="10.7109375" bestFit="1" customWidth="1"/>
    <col min="40" max="40" width="11.7109375" customWidth="1"/>
    <col min="41" max="41" width="18.7109375" bestFit="1" customWidth="1"/>
    <col min="42" max="42" width="7" customWidth="1"/>
    <col min="43" max="43" width="12.7109375" bestFit="1" customWidth="1"/>
    <col min="44" max="44" width="18.42578125" bestFit="1" customWidth="1"/>
    <col min="45" max="45" width="15.7109375" customWidth="1"/>
    <col min="46" max="46" width="12.7109375" customWidth="1"/>
    <col min="47" max="48" width="17.7109375" bestFit="1" customWidth="1"/>
    <col min="49" max="49" width="18.7109375" bestFit="1" customWidth="1"/>
    <col min="50" max="50" width="27.5703125" bestFit="1" customWidth="1"/>
    <col min="51" max="51" width="17.42578125" customWidth="1"/>
    <col min="52" max="52" width="16" customWidth="1"/>
    <col min="53" max="53" width="21.28515625" customWidth="1"/>
    <col min="54" max="54" width="29.7109375" customWidth="1"/>
    <col min="55" max="55" width="13" customWidth="1"/>
    <col min="56" max="56" width="16" customWidth="1"/>
    <col min="57" max="57" width="16.28515625" customWidth="1"/>
    <col min="58" max="58" width="13.28515625" customWidth="1"/>
    <col min="59" max="59" width="17" customWidth="1"/>
    <col min="60" max="61" width="10.7109375" bestFit="1" customWidth="1"/>
    <col min="62" max="62" width="44.7109375" bestFit="1" customWidth="1"/>
    <col min="63" max="63" width="11.7109375" customWidth="1"/>
    <col min="64" max="64" width="11.28515625" customWidth="1"/>
    <col min="65" max="65" width="8.5703125" customWidth="1"/>
    <col min="66" max="66" width="12.7109375" customWidth="1"/>
    <col min="67" max="67" width="12" customWidth="1"/>
    <col min="68" max="68" width="14.28515625" customWidth="1"/>
    <col min="69" max="69" width="14.42578125" bestFit="1" customWidth="1"/>
    <col min="70" max="70" width="9" customWidth="1"/>
    <col min="71" max="71" width="11.7109375" bestFit="1" customWidth="1"/>
    <col min="72" max="72" width="12.28515625" customWidth="1"/>
    <col min="73" max="73" width="17.7109375" style="105" bestFit="1" customWidth="1"/>
    <col min="74" max="74" width="18.7109375" style="105" bestFit="1" customWidth="1"/>
    <col min="75" max="75" width="10.7109375" customWidth="1"/>
    <col min="76" max="76" width="14.5703125" bestFit="1" customWidth="1"/>
    <col min="77" max="77" width="10.42578125" customWidth="1"/>
    <col min="78" max="78" width="10.7109375" customWidth="1"/>
    <col min="79" max="79" width="10.7109375" style="88" customWidth="1"/>
    <col min="80" max="80" width="11.7109375" style="88" customWidth="1"/>
    <col min="81" max="81" width="12.28515625" bestFit="1" customWidth="1"/>
    <col min="82" max="82" width="12" customWidth="1"/>
    <col min="83" max="83" width="11.42578125" bestFit="1" customWidth="1"/>
    <col min="84" max="84" width="10.7109375" bestFit="1" customWidth="1"/>
    <col min="85" max="85" width="11.5703125" bestFit="1" customWidth="1"/>
    <col min="86" max="86" width="10.5703125" customWidth="1"/>
    <col min="87" max="87" width="12.5703125" bestFit="1" customWidth="1"/>
    <col min="88" max="88" width="9.5703125" customWidth="1"/>
    <col min="89" max="89" width="13.28515625" bestFit="1" customWidth="1"/>
    <col min="90" max="90" width="11.7109375" bestFit="1" customWidth="1"/>
    <col min="91" max="91" width="10.7109375" customWidth="1"/>
    <col min="92" max="92" width="13.28515625" bestFit="1" customWidth="1"/>
    <col min="93" max="94" width="8.7109375" customWidth="1"/>
    <col min="95" max="95" width="12.7109375" customWidth="1"/>
    <col min="96" max="96" width="13.28515625" bestFit="1" customWidth="1"/>
    <col min="97" max="98" width="13.42578125" bestFit="1" customWidth="1"/>
    <col min="99" max="99" width="12.5703125" bestFit="1" customWidth="1"/>
    <col min="100" max="100" width="12.28515625" bestFit="1" customWidth="1"/>
    <col min="102" max="102" width="13.42578125" bestFit="1" customWidth="1"/>
    <col min="103" max="103" width="11.28515625" style="33" bestFit="1" customWidth="1"/>
    <col min="104" max="104" width="12.5703125" style="21" bestFit="1" customWidth="1"/>
    <col min="105" max="105" width="13.5703125" bestFit="1" customWidth="1"/>
    <col min="106" max="106" width="18.7109375" style="105" bestFit="1" customWidth="1"/>
    <col min="107" max="107" width="11.7109375" bestFit="1" customWidth="1"/>
    <col min="108" max="108" width="12.5703125" bestFit="1" customWidth="1"/>
    <col min="109" max="109" width="13.28515625" bestFit="1" customWidth="1"/>
    <col min="110" max="110" width="16.7109375" bestFit="1" customWidth="1"/>
    <col min="111" max="111" width="12.7109375" bestFit="1" customWidth="1"/>
    <col min="112" max="112" width="12.42578125" bestFit="1" customWidth="1"/>
    <col min="114" max="114" width="11.42578125" style="30"/>
  </cols>
  <sheetData>
    <row r="1" spans="1:122" s="8" customFormat="1" x14ac:dyDescent="0.25">
      <c r="A1" s="75" t="s">
        <v>119</v>
      </c>
      <c r="B1" s="70" t="s">
        <v>409</v>
      </c>
      <c r="C1" s="70" t="s">
        <v>155</v>
      </c>
      <c r="D1" s="70" t="s">
        <v>147</v>
      </c>
      <c r="E1" s="74" t="s">
        <v>148</v>
      </c>
      <c r="F1" s="70" t="s">
        <v>120</v>
      </c>
      <c r="G1" s="70" t="s">
        <v>146</v>
      </c>
      <c r="H1" s="74" t="s">
        <v>149</v>
      </c>
      <c r="I1" s="70" t="s">
        <v>137</v>
      </c>
      <c r="J1" s="70" t="s">
        <v>135</v>
      </c>
      <c r="K1" s="92" t="s">
        <v>156</v>
      </c>
      <c r="L1" s="75" t="s">
        <v>410</v>
      </c>
      <c r="M1" s="70" t="s">
        <v>142</v>
      </c>
      <c r="N1" s="8" t="s">
        <v>393</v>
      </c>
      <c r="O1" s="8" t="s">
        <v>411</v>
      </c>
      <c r="P1" s="8" t="s">
        <v>394</v>
      </c>
      <c r="Q1" s="8" t="s">
        <v>406</v>
      </c>
      <c r="R1" s="8" t="s">
        <v>395</v>
      </c>
      <c r="S1" s="8" t="s">
        <v>126</v>
      </c>
      <c r="T1" s="8" t="s">
        <v>396</v>
      </c>
      <c r="U1" s="8" t="s">
        <v>407</v>
      </c>
      <c r="V1" s="8" t="s">
        <v>134</v>
      </c>
      <c r="W1" s="8" t="s">
        <v>72</v>
      </c>
      <c r="X1" s="8" t="s">
        <v>374</v>
      </c>
      <c r="Y1" s="74" t="s">
        <v>143</v>
      </c>
      <c r="Z1" s="70" t="s">
        <v>153</v>
      </c>
      <c r="AA1" s="74" t="s">
        <v>375</v>
      </c>
      <c r="AB1" s="92" t="s">
        <v>123</v>
      </c>
      <c r="AC1" s="74" t="s">
        <v>392</v>
      </c>
      <c r="AD1" s="92" t="s">
        <v>397</v>
      </c>
      <c r="AE1" s="8" t="s">
        <v>376</v>
      </c>
      <c r="AF1" s="8" t="s">
        <v>6</v>
      </c>
      <c r="AG1" s="8" t="s">
        <v>124</v>
      </c>
      <c r="AH1" s="90" t="s">
        <v>144</v>
      </c>
      <c r="AI1" s="92" t="s">
        <v>145</v>
      </c>
      <c r="AJ1" s="90" t="s">
        <v>127</v>
      </c>
      <c r="AK1" s="92" t="s">
        <v>377</v>
      </c>
      <c r="AL1" s="90" t="s">
        <v>152</v>
      </c>
      <c r="AM1" s="90" t="s">
        <v>418</v>
      </c>
      <c r="AN1" s="90" t="s">
        <v>378</v>
      </c>
      <c r="AO1" s="92" t="s">
        <v>270</v>
      </c>
      <c r="AP1" s="92" t="s">
        <v>3</v>
      </c>
      <c r="AQ1" s="8" t="s">
        <v>125</v>
      </c>
      <c r="AR1" s="8" t="s">
        <v>238</v>
      </c>
      <c r="AS1" s="8" t="s">
        <v>129</v>
      </c>
      <c r="AT1" s="8" t="s">
        <v>157</v>
      </c>
      <c r="AU1" s="8" t="s">
        <v>133</v>
      </c>
      <c r="AV1" s="75" t="s">
        <v>132</v>
      </c>
      <c r="AW1" s="8" t="s">
        <v>379</v>
      </c>
      <c r="AX1" s="8" t="s">
        <v>150</v>
      </c>
      <c r="AY1" s="92" t="s">
        <v>140</v>
      </c>
      <c r="AZ1" s="75" t="s">
        <v>131</v>
      </c>
      <c r="BA1" s="75" t="s">
        <v>121</v>
      </c>
      <c r="BB1" s="8" t="s">
        <v>122</v>
      </c>
      <c r="BC1" s="74" t="s">
        <v>138</v>
      </c>
      <c r="BD1" s="75" t="s">
        <v>130</v>
      </c>
      <c r="BE1" s="8" t="s">
        <v>154</v>
      </c>
      <c r="BF1" s="8" t="s">
        <v>7</v>
      </c>
      <c r="BG1" s="8" t="s">
        <v>158</v>
      </c>
      <c r="BH1" s="8" t="s">
        <v>416</v>
      </c>
      <c r="BI1" s="8" t="s">
        <v>417</v>
      </c>
      <c r="BJ1" s="16" t="s">
        <v>0</v>
      </c>
      <c r="BK1" s="16" t="s">
        <v>159</v>
      </c>
      <c r="BL1" s="16" t="s">
        <v>160</v>
      </c>
      <c r="BM1" s="16" t="s">
        <v>161</v>
      </c>
      <c r="BN1" s="16" t="s">
        <v>162</v>
      </c>
      <c r="BO1" s="16" t="s">
        <v>163</v>
      </c>
      <c r="BP1" s="96" t="s">
        <v>164</v>
      </c>
      <c r="BQ1" s="94" t="s">
        <v>165</v>
      </c>
      <c r="BR1" s="16" t="s">
        <v>166</v>
      </c>
      <c r="BS1" s="47" t="s">
        <v>167</v>
      </c>
      <c r="BT1" s="95" t="s">
        <v>168</v>
      </c>
      <c r="BU1" s="87" t="s">
        <v>169</v>
      </c>
      <c r="BV1" s="87" t="s">
        <v>170</v>
      </c>
      <c r="BW1" s="95" t="s">
        <v>171</v>
      </c>
      <c r="BX1" s="16" t="s">
        <v>172</v>
      </c>
      <c r="BY1" s="95" t="s">
        <v>173</v>
      </c>
      <c r="BZ1" s="16" t="s">
        <v>174</v>
      </c>
      <c r="CA1" s="16" t="s">
        <v>175</v>
      </c>
      <c r="CB1" s="89" t="s">
        <v>176</v>
      </c>
      <c r="CC1" s="16" t="s">
        <v>177</v>
      </c>
      <c r="CD1" s="16" t="s">
        <v>178</v>
      </c>
      <c r="CE1" s="16" t="s">
        <v>179</v>
      </c>
      <c r="CF1" s="97" t="s">
        <v>180</v>
      </c>
      <c r="CG1" s="16" t="s">
        <v>181</v>
      </c>
      <c r="CH1" s="16" t="s">
        <v>182</v>
      </c>
      <c r="CI1" s="16" t="s">
        <v>183</v>
      </c>
      <c r="CJ1" s="16" t="s">
        <v>184</v>
      </c>
      <c r="CK1" s="16" t="s">
        <v>185</v>
      </c>
      <c r="CL1" s="16" t="s">
        <v>186</v>
      </c>
      <c r="CM1" s="87" t="s">
        <v>187</v>
      </c>
      <c r="CN1" s="16" t="s">
        <v>188</v>
      </c>
      <c r="CO1" s="16" t="s">
        <v>189</v>
      </c>
      <c r="CP1" s="16" t="s">
        <v>190</v>
      </c>
      <c r="CQ1" s="96" t="s">
        <v>191</v>
      </c>
      <c r="CR1" s="94" t="s">
        <v>192</v>
      </c>
      <c r="CS1" s="8" t="s">
        <v>341</v>
      </c>
      <c r="CT1" s="8" t="s">
        <v>336</v>
      </c>
      <c r="CU1" s="8" t="s">
        <v>342</v>
      </c>
      <c r="CV1" s="8" t="s">
        <v>343</v>
      </c>
      <c r="CW1" s="8" t="s">
        <v>327</v>
      </c>
      <c r="CX1" s="8" t="s">
        <v>328</v>
      </c>
      <c r="CY1" s="74" t="s">
        <v>329</v>
      </c>
      <c r="CZ1" s="75" t="s">
        <v>330</v>
      </c>
      <c r="DA1" s="8" t="s">
        <v>331</v>
      </c>
      <c r="DB1" s="106" t="s">
        <v>332</v>
      </c>
      <c r="DC1" s="8" t="s">
        <v>333</v>
      </c>
      <c r="DD1" s="8" t="s">
        <v>334</v>
      </c>
      <c r="DE1" s="8" t="s">
        <v>340</v>
      </c>
      <c r="DF1" s="8" t="s">
        <v>335</v>
      </c>
      <c r="DG1" s="8" t="s">
        <v>344</v>
      </c>
      <c r="DH1" s="8" t="s">
        <v>337</v>
      </c>
      <c r="DI1" s="8" t="s">
        <v>338</v>
      </c>
      <c r="DJ1" s="107" t="s">
        <v>339</v>
      </c>
      <c r="DK1" s="8" t="s">
        <v>345</v>
      </c>
      <c r="DN1" t="s">
        <v>366</v>
      </c>
      <c r="DO1" s="83"/>
      <c r="DP1">
        <f>PlanTime-INT(PlanTime)</f>
        <v>0</v>
      </c>
      <c r="DQ1" s="84" t="s">
        <v>367</v>
      </c>
      <c r="DR1"/>
    </row>
    <row r="2" spans="1:122" x14ac:dyDescent="0.25">
      <c r="A2" s="21">
        <f>INT(SapExlData[[#This Row],[OrderNummer]])</f>
        <v>1216279</v>
      </c>
      <c r="B2" s="12"/>
      <c r="C2" s="12" t="s">
        <v>398</v>
      </c>
      <c r="D2" s="12" t="s">
        <v>399</v>
      </c>
      <c r="E2" s="33">
        <v>0.625</v>
      </c>
      <c r="F2" s="12" t="s">
        <v>398</v>
      </c>
      <c r="G2" s="12" t="s">
        <v>398</v>
      </c>
      <c r="H2" s="33">
        <v>0.48312500000000003</v>
      </c>
      <c r="I2" s="12" t="s">
        <v>398</v>
      </c>
      <c r="J2" s="12" t="s">
        <v>398</v>
      </c>
      <c r="K2" s="93"/>
      <c r="L2" s="21">
        <v>1216279</v>
      </c>
      <c r="M2" s="12" t="s">
        <v>398</v>
      </c>
      <c r="N2" s="21" t="s">
        <v>380</v>
      </c>
      <c r="O2" s="21" t="s">
        <v>400</v>
      </c>
      <c r="P2" s="21"/>
      <c r="Q2" s="21" t="s">
        <v>401</v>
      </c>
      <c r="R2" s="21"/>
      <c r="S2" s="21"/>
      <c r="T2" s="21">
        <v>1</v>
      </c>
      <c r="U2" s="21" t="s">
        <v>402</v>
      </c>
      <c r="V2" s="21">
        <v>1</v>
      </c>
      <c r="W2" s="21">
        <v>1</v>
      </c>
      <c r="X2" s="21" t="s">
        <v>381</v>
      </c>
      <c r="Y2" s="33">
        <v>0.48312500000000003</v>
      </c>
      <c r="Z2" s="12" t="s">
        <v>398</v>
      </c>
      <c r="AA2" s="33">
        <v>0.62567129629629636</v>
      </c>
      <c r="AB2" s="93">
        <v>0.62567129629629636</v>
      </c>
      <c r="AC2" s="33">
        <v>0.62567129629629636</v>
      </c>
      <c r="AD2" s="93">
        <v>0.62567129629629636</v>
      </c>
      <c r="AE2" s="21">
        <v>10000754</v>
      </c>
      <c r="AF2" s="21" t="s">
        <v>403</v>
      </c>
      <c r="AG2" s="21" t="s">
        <v>381</v>
      </c>
      <c r="AH2" s="91" t="s">
        <v>398</v>
      </c>
      <c r="AI2" s="93">
        <v>0.48312500000000003</v>
      </c>
      <c r="AJ2" s="91" t="s">
        <v>404</v>
      </c>
      <c r="AK2" s="93" t="s">
        <v>405</v>
      </c>
      <c r="AL2" s="91" t="s">
        <v>403</v>
      </c>
      <c r="AM2" s="91" t="s">
        <v>419</v>
      </c>
      <c r="AN2" s="91" t="s">
        <v>45</v>
      </c>
      <c r="AO2" s="21">
        <v>506620</v>
      </c>
      <c r="AP2" s="93" t="s">
        <v>401</v>
      </c>
      <c r="AQ2" s="21" t="s">
        <v>402</v>
      </c>
      <c r="AR2" s="21"/>
      <c r="AS2" s="21">
        <v>1000</v>
      </c>
      <c r="AT2" s="21">
        <v>0</v>
      </c>
      <c r="AU2" s="21">
        <v>0</v>
      </c>
      <c r="AV2" s="21">
        <v>3150</v>
      </c>
      <c r="AW2" s="21">
        <v>3150</v>
      </c>
      <c r="AX2" s="21">
        <v>3173</v>
      </c>
      <c r="AY2" s="93">
        <v>1</v>
      </c>
      <c r="AZ2" s="21">
        <v>0</v>
      </c>
      <c r="BA2" s="21">
        <v>3150</v>
      </c>
      <c r="BB2" s="21">
        <v>0</v>
      </c>
      <c r="BC2" s="33">
        <v>0</v>
      </c>
      <c r="BD2" s="21">
        <v>3150</v>
      </c>
      <c r="BE2" s="21">
        <v>3150</v>
      </c>
      <c r="BF2" s="21">
        <v>0</v>
      </c>
      <c r="BG2" s="21">
        <v>0</v>
      </c>
      <c r="BH2" s="21">
        <v>0</v>
      </c>
      <c r="BI2" s="21">
        <v>1</v>
      </c>
      <c r="BJ2" s="21" t="s">
        <v>318</v>
      </c>
      <c r="BK2" s="29">
        <v>1300</v>
      </c>
      <c r="BL2" s="21">
        <v>2.1666666666666665</v>
      </c>
      <c r="BM2" s="30">
        <v>0.99999999999999334</v>
      </c>
      <c r="BN2" s="21">
        <v>3.1666666666666599</v>
      </c>
      <c r="BO2" s="21">
        <v>1</v>
      </c>
      <c r="BP2" s="12">
        <v>41232</v>
      </c>
      <c r="BQ2" s="31">
        <v>0.47738425925925926</v>
      </c>
      <c r="BR2">
        <v>1</v>
      </c>
      <c r="BS2" s="12">
        <v>41233</v>
      </c>
      <c r="BT2" s="31">
        <v>0.73478472222551394</v>
      </c>
      <c r="BU2" s="104">
        <v>41603.291666666664</v>
      </c>
      <c r="BV2" s="105">
        <v>41233.734784722226</v>
      </c>
      <c r="BW2" s="33">
        <v>0.29166666666666669</v>
      </c>
      <c r="BX2" t="s">
        <v>317</v>
      </c>
      <c r="BY2" s="33">
        <v>0.9375</v>
      </c>
      <c r="BZ2" s="29" t="e">
        <v>#N/A</v>
      </c>
      <c r="CA2" s="29">
        <v>0</v>
      </c>
      <c r="CB2" s="29">
        <v>0</v>
      </c>
      <c r="CC2" s="34">
        <v>0</v>
      </c>
      <c r="CD2" s="34">
        <v>0.13194444444444417</v>
      </c>
      <c r="CE2" s="34" t="e">
        <v>#N/A</v>
      </c>
      <c r="CF2" s="35" t="e">
        <v>#N/A</v>
      </c>
      <c r="CG2" s="29">
        <v>1</v>
      </c>
      <c r="CH2" s="29">
        <v>1</v>
      </c>
      <c r="CI2" s="29">
        <v>0</v>
      </c>
      <c r="CJ2" s="21"/>
      <c r="CK2" s="34">
        <v>23456</v>
      </c>
      <c r="CL2" s="34" t="e">
        <v>#N/A</v>
      </c>
      <c r="CM2" s="88" t="e">
        <v>#N/A</v>
      </c>
      <c r="CN2" s="108" t="s">
        <v>41</v>
      </c>
      <c r="CO2" s="29">
        <v>0</v>
      </c>
      <c r="CP2" s="29">
        <v>0</v>
      </c>
      <c r="CQ2" s="12">
        <v>41603</v>
      </c>
      <c r="CR2" s="31">
        <v>0.29166666666424135</v>
      </c>
      <c r="CS2" s="32">
        <f>IF(ISERROR(VLOOKUP(PlanAll[[#This Row],[Order]],SapExlData[],74,FALSE)),"Finished",IF(VLOOKUP(PlanAll[[#This Row],[Order]],SapExlData[],11,FALSE)="X","Finished",VLOOKUP(PlanAll[[#This Row],[Order]],SapExlData[],74,FALSE)))</f>
        <v>41233.734780092593</v>
      </c>
      <c r="CT2" s="33" t="e">
        <f ca="1">IF(PlanAll[[#This Row],[Test_Acc]]=0,0,ABS(PlanAll[[#This Row],[New_Cap]]-PlanAll[[#This Row],[Acc_Cap]])/(3600*24))</f>
        <v>#N/A</v>
      </c>
      <c r="CU2" t="e">
        <f ca="1">IF(OR(PlanAll[[#This Row],[Deviation]]=0,PlanAll[[#This Row],[Deviation]]="Fin"),IF(PlanAll[[#This Row],[Help_Acc]]=0,"Neg","Pos"),IF(PlanAll[[#This Row],[New_End]]&lt;=PlanAll[[#This Row],[Stop]],"Pos","Neg"))</f>
        <v>#N/A</v>
      </c>
      <c r="CV2">
        <v>1</v>
      </c>
      <c r="CW2" s="29">
        <f ca="1">IF(ISERROR(VLOOKUP(PlanAll[[#This Row],[Order]],SapExlData[],70,FALSE)),0,VLOOKUP(PlanAll[[#This Row],[Order]],SapExlData[],78,FALSE))</f>
        <v>0</v>
      </c>
      <c r="CX2" s="32">
        <f>INT(PlanAll[[#This Row],[StartCap]])+PlanAll[[#This Row],[StartSec]]</f>
        <v>0.29166666666666669</v>
      </c>
      <c r="CY2" s="33">
        <f>VLOOKUP(PlanAll[[#This Row],[Order]],SapExlData[],77,FALSE)</f>
        <v>0.9375</v>
      </c>
      <c r="CZ2" s="21">
        <f>IF(PlanAll[[#This Row],[StopSec]]=0,1,PlanAll[[#This Row],[StopSec]])</f>
        <v>0.9375</v>
      </c>
      <c r="DA2">
        <f>IF(ISERROR(PlanAll[[#This Row],[Cap_ToDay]]),0,IF(PlanAll[[#This Row],[Test Active]]=1,PlanAll[[#This Row],[Cap_ToDay]],0))</f>
        <v>23456</v>
      </c>
      <c r="DB2" s="105">
        <f>IF(ISERROR(VLOOKUP(PlanAll[[#This Row],[Order]],SapExlData[],73,FALSE)),0,VLOOKUP(PlanAll[[#This Row],[Order]],SapExlData[],73,FALSE))</f>
        <v>42086.625671296293</v>
      </c>
      <c r="DC2" s="35">
        <f>IF(PlanAll[[#This Row],[Test Active]]=1,1*PlanAll[[#This Row],[Help_Acc]],0)*IF(VALUE(PlanAll[[#This Row],[Cap_ToDay]])&gt;0,1,0)</f>
        <v>1</v>
      </c>
      <c r="DD2" s="29">
        <f>IF(DC2=1,0,IF(ROW(DD1)&gt;1,DD1,1))</f>
        <v>0</v>
      </c>
      <c r="DE2" s="29">
        <f>IF(ISERROR(VLOOKUP(PlanAll[[#This Row],[Order]],SapExlData[],87,FALSE)),0,VLOOKUP(PlanAll[[#This Row],[Order]],SapExlData[],87,FALSE))</f>
        <v>0</v>
      </c>
      <c r="DF2">
        <f>IF(AND(BX2=BX1,CV1&gt;CV2),0,1)</f>
        <v>1</v>
      </c>
      <c r="DG2">
        <f ca="1">IF(ISERROR(PlanAll[[#This Row],[Deviation]]),0,IF(PlanAll[[#This Row],[Plan_Cap]]&gt;0,IF(PlanAll[[#This Row],[Pos_Neg]]="Neg",-PlanAll[[#This Row],[Deviation]],PlanAll[[#This Row],[Deviation]]),0))</f>
        <v>0</v>
      </c>
      <c r="DH2" s="36" t="str">
        <f>IF(ISERROR(VLOOKUP(PlanAll[[#This Row],[Order]],SapExlData[],92,FALSE)),0,VLOOKUP(PlanAll[[#This Row],[Order]],SapExlData[],92,FALSE))</f>
        <v>Not relevant</v>
      </c>
      <c r="DI2" s="30">
        <f ca="1">IF(ISERROR(PlanAll[[#This Row],[Deviation3]]),0,PlanAll[[#This Row],[Deviation3]]*24)</f>
        <v>0</v>
      </c>
      <c r="DJ2" s="30">
        <f>IF(ISERROR(VLOOKUP(PlanAll[[#This Row],[Order]],SapExlData[],66,FALSE)),0,VLOOKUP(PlanAll[[#This Row],[Order]],SapExlData[],66,FALSE))</f>
        <v>0</v>
      </c>
      <c r="DK2" s="29">
        <f>IF(ISERROR(VLOOKUP(PlanAll[[#This Row],[Order]],SapExlData[],63,FALSE)),0,VLOOKUP(PlanAll[[#This Row],[Order]],SapExlData[],63,FALSE))</f>
        <v>23</v>
      </c>
    </row>
    <row r="3" spans="1:122" x14ac:dyDescent="0.25">
      <c r="A3" s="21">
        <f>INT(SapExlData[[#This Row],[OrderNummer]])</f>
        <v>1216279</v>
      </c>
      <c r="B3" s="12"/>
      <c r="C3" s="12" t="s">
        <v>398</v>
      </c>
      <c r="D3" s="12" t="s">
        <v>399</v>
      </c>
      <c r="E3" s="33">
        <v>0.625</v>
      </c>
      <c r="F3" s="12" t="s">
        <v>398</v>
      </c>
      <c r="G3" s="12" t="s">
        <v>398</v>
      </c>
      <c r="H3" s="33">
        <v>0.48312500000000003</v>
      </c>
      <c r="I3" s="12" t="s">
        <v>398</v>
      </c>
      <c r="J3" s="12" t="s">
        <v>398</v>
      </c>
      <c r="K3" s="93"/>
      <c r="L3" s="21">
        <v>1216279</v>
      </c>
      <c r="M3" s="12" t="s">
        <v>398</v>
      </c>
      <c r="N3" s="21" t="s">
        <v>380</v>
      </c>
      <c r="O3" s="21" t="s">
        <v>400</v>
      </c>
      <c r="P3" s="21"/>
      <c r="Q3" s="21" t="s">
        <v>401</v>
      </c>
      <c r="R3" s="21"/>
      <c r="S3" s="21"/>
      <c r="T3" s="21">
        <v>1</v>
      </c>
      <c r="U3" s="21" t="s">
        <v>402</v>
      </c>
      <c r="V3" s="21">
        <v>2</v>
      </c>
      <c r="W3" s="21">
        <v>1</v>
      </c>
      <c r="X3" s="21" t="s">
        <v>381</v>
      </c>
      <c r="Y3" s="33">
        <v>0.48312500000000003</v>
      </c>
      <c r="Z3" s="12" t="s">
        <v>398</v>
      </c>
      <c r="AA3" s="33">
        <v>0.62567129629629636</v>
      </c>
      <c r="AB3" s="93">
        <v>0.62567129629629636</v>
      </c>
      <c r="AC3" s="33">
        <v>0.62567129629629636</v>
      </c>
      <c r="AD3" s="93">
        <v>0.62567129629629636</v>
      </c>
      <c r="AE3" s="21">
        <v>10000754</v>
      </c>
      <c r="AF3" s="21" t="s">
        <v>403</v>
      </c>
      <c r="AG3" s="21" t="s">
        <v>71</v>
      </c>
      <c r="AH3" s="91" t="s">
        <v>398</v>
      </c>
      <c r="AI3" s="93">
        <v>0.48312500000000003</v>
      </c>
      <c r="AJ3" s="91" t="s">
        <v>404</v>
      </c>
      <c r="AK3" s="93" t="s">
        <v>405</v>
      </c>
      <c r="AL3" s="91" t="s">
        <v>403</v>
      </c>
      <c r="AM3" s="91" t="s">
        <v>419</v>
      </c>
      <c r="AN3" s="91" t="s">
        <v>45</v>
      </c>
      <c r="AO3" s="21">
        <v>506620</v>
      </c>
      <c r="AP3" s="93" t="s">
        <v>401</v>
      </c>
      <c r="AQ3" s="21" t="s">
        <v>402</v>
      </c>
      <c r="AR3" s="21"/>
      <c r="AS3" s="21">
        <v>1000</v>
      </c>
      <c r="AT3" s="21">
        <v>0</v>
      </c>
      <c r="AU3" s="21">
        <v>0</v>
      </c>
      <c r="AV3" s="21">
        <v>3150</v>
      </c>
      <c r="AW3" s="21">
        <v>3150</v>
      </c>
      <c r="AX3" s="21">
        <v>3173</v>
      </c>
      <c r="AY3" s="93">
        <v>0.2</v>
      </c>
      <c r="AZ3" s="21">
        <v>0</v>
      </c>
      <c r="BA3" s="21">
        <v>3150</v>
      </c>
      <c r="BB3" s="21">
        <v>0</v>
      </c>
      <c r="BC3" s="33">
        <v>0</v>
      </c>
      <c r="BD3" s="21">
        <v>3150</v>
      </c>
      <c r="BE3" s="21">
        <v>3150</v>
      </c>
      <c r="BF3" s="21">
        <v>0</v>
      </c>
      <c r="BG3" s="21">
        <v>0</v>
      </c>
      <c r="BH3" s="21">
        <v>0</v>
      </c>
      <c r="BI3" s="21">
        <v>1</v>
      </c>
      <c r="BJ3" s="21" t="s">
        <v>319</v>
      </c>
      <c r="BK3" s="29">
        <v>55</v>
      </c>
      <c r="BL3" s="21">
        <v>3.6666666666666665</v>
      </c>
      <c r="BM3" s="30">
        <v>0.99999999999999334</v>
      </c>
      <c r="BN3" s="21">
        <v>4.6666666666666599</v>
      </c>
      <c r="BO3" s="21">
        <v>2</v>
      </c>
      <c r="BP3" s="12">
        <v>41233</v>
      </c>
      <c r="BQ3" s="31">
        <v>0.73478472222551394</v>
      </c>
      <c r="BR3">
        <v>2</v>
      </c>
      <c r="BS3" s="12">
        <v>41233</v>
      </c>
      <c r="BT3" s="31">
        <v>0.92922928240861591</v>
      </c>
      <c r="BU3" s="104">
        <v>41603.291666666664</v>
      </c>
      <c r="BV3" s="105">
        <v>41233.92922928241</v>
      </c>
      <c r="BW3" s="33">
        <v>0.29166666666666669</v>
      </c>
      <c r="BX3" t="s">
        <v>317</v>
      </c>
      <c r="BY3" s="33">
        <v>0.9375</v>
      </c>
      <c r="BZ3" s="29" t="e">
        <v>#N/A</v>
      </c>
      <c r="CA3" s="29">
        <v>0</v>
      </c>
      <c r="CB3" s="29">
        <v>0</v>
      </c>
      <c r="CC3" s="34">
        <v>0</v>
      </c>
      <c r="CD3" s="34">
        <v>0.19444444444444417</v>
      </c>
      <c r="CE3" s="34">
        <v>0</v>
      </c>
      <c r="CF3" s="35">
        <v>16799.999999999975</v>
      </c>
      <c r="CG3" s="29">
        <v>1</v>
      </c>
      <c r="CH3" s="29">
        <v>2</v>
      </c>
      <c r="CI3" s="29">
        <v>0</v>
      </c>
      <c r="CJ3" s="21" t="s">
        <v>368</v>
      </c>
      <c r="CK3" s="34" t="e">
        <v>#N/A</v>
      </c>
      <c r="CL3" s="34" t="e">
        <v>#N/A</v>
      </c>
      <c r="CM3" s="88" t="e">
        <v>#N/A</v>
      </c>
      <c r="CN3" s="108" t="s">
        <v>41</v>
      </c>
      <c r="CO3" s="29">
        <v>0</v>
      </c>
      <c r="CP3" s="29">
        <v>0</v>
      </c>
      <c r="CQ3" s="12">
        <v>41603</v>
      </c>
      <c r="CR3" s="31">
        <v>0.29166666666424135</v>
      </c>
      <c r="CS3" s="32">
        <f>IF(ISERROR(VLOOKUP(PlanAll[[#This Row],[Order]],SapExlData[],74,FALSE)),"Finished",IF(VLOOKUP(PlanAll[[#This Row],[Order]],SapExlData[],11,FALSE)="X","Finished",VLOOKUP(PlanAll[[#This Row],[Order]],SapExlData[],74,FALSE)))</f>
        <v>41233.734780092593</v>
      </c>
      <c r="CT3" s="33" t="e">
        <f>IF(PlanAll[[#This Row],[Test_Acc]]=0,0,ABS(PlanAll[[#This Row],[New_Cap]]-PlanAll[[#This Row],[Acc_Cap]])/(3600*24))</f>
        <v>#N/A</v>
      </c>
      <c r="CU3" t="e">
        <f>IF(OR(PlanAll[[#This Row],[Deviation]]=0,PlanAll[[#This Row],[Deviation]]="Fin"),IF(PlanAll[[#This Row],[Help_Acc]]=0,"Neg","Pos"),IF(PlanAll[[#This Row],[New_End]]&lt;=PlanAll[[#This Row],[Stop]],"Pos","Neg"))</f>
        <v>#N/A</v>
      </c>
      <c r="CV3">
        <f>IF(ISERROR(VLOOKUP(PlanAll[[#This Row],[Order]],SapExlData[],70,FALSE)),0,VLOOKUP(PlanAll[[#This Row],[Order]],SapExlData[],70,FALSE))</f>
        <v>0</v>
      </c>
      <c r="CW3" s="29">
        <f ca="1">IF(ISERROR(VLOOKUP(PlanAll[[#This Row],[Order]],SapExlData[],70,FALSE)),0,VLOOKUP(PlanAll[[#This Row],[Order]],SapExlData[],78,FALSE))</f>
        <v>0</v>
      </c>
      <c r="CX3" s="32">
        <f>INT(PlanAll[[#This Row],[StartCap]])+PlanAll[[#This Row],[StartSec]]</f>
        <v>0.29166666666666669</v>
      </c>
      <c r="CY3" s="33">
        <f>VLOOKUP(PlanAll[[#This Row],[Order]],SapExlData[],77,FALSE)</f>
        <v>0.9375</v>
      </c>
      <c r="CZ3" s="21">
        <f>IF(PlanAll[[#This Row],[StopSec]]=0,1,PlanAll[[#This Row],[StopSec]])</f>
        <v>0.9375</v>
      </c>
      <c r="DA3">
        <f>IF(ISERROR(PlanAll[[#This Row],[Cap_ToDay]]),0,IF(PlanAll[[#This Row],[Test Active]]=1,PlanAll[[#This Row],[Cap_ToDay]],0))</f>
        <v>0</v>
      </c>
      <c r="DB3" s="105">
        <f>IF(ISERROR(VLOOKUP(PlanAll[[#This Row],[Order]],SapExlData[],73,FALSE)),0,VLOOKUP(PlanAll[[#This Row],[Order]],SapExlData[],73,FALSE))</f>
        <v>42086.625671296293</v>
      </c>
      <c r="DC3" s="35" t="e">
        <f>IF(PlanAll[[#This Row],[Test Active]]=1,1*PlanAll[[#This Row],[Help_Acc]],0)*IF(VALUE(PlanAll[[#This Row],[Cap_ToDay]])&gt;0,1,0)</f>
        <v>#N/A</v>
      </c>
      <c r="DD3" s="29" t="e">
        <f>IF(DC3=1,0,IF(ROW(DD2)&gt;1,DD2,1))</f>
        <v>#N/A</v>
      </c>
      <c r="DE3" s="29">
        <f>IF(ISERROR(VLOOKUP(PlanAll[[#This Row],[Order]],SapExlData[],87,FALSE)),0,VLOOKUP(PlanAll[[#This Row],[Order]],SapExlData[],87,FALSE))</f>
        <v>0</v>
      </c>
      <c r="DF3">
        <f>IF(AND(BX3=BX2,CV2&gt;CV3),0,1)</f>
        <v>0</v>
      </c>
      <c r="DG3">
        <f>IF(ISERROR(PlanAll[[#This Row],[Deviation]]),0,IF(PlanAll[[#This Row],[Plan_Cap]]&gt;0,IF(PlanAll[[#This Row],[Pos_Neg]]="Neg",-PlanAll[[#This Row],[Deviation]],PlanAll[[#This Row],[Deviation]]),0))</f>
        <v>0</v>
      </c>
      <c r="DH3" s="36" t="str">
        <f>IF(ISERROR(VLOOKUP(PlanAll[[#This Row],[Order]],SapExlData[],92,FALSE)),0,VLOOKUP(PlanAll[[#This Row],[Order]],SapExlData[],92,FALSE))</f>
        <v>Not relevant</v>
      </c>
      <c r="DI3" s="30">
        <f>IF(ISERROR(PlanAll[[#This Row],[Deviation3]]),0,PlanAll[[#This Row],[Deviation3]]*24)</f>
        <v>0</v>
      </c>
      <c r="DJ3" s="30">
        <f>IF(ISERROR(VLOOKUP(PlanAll[[#This Row],[Order]],SapExlData[],66,FALSE)),0,VLOOKUP(PlanAll[[#This Row],[Order]],SapExlData[],66,FALSE))</f>
        <v>0</v>
      </c>
      <c r="DK3" s="29">
        <f>IF(ISERROR(VLOOKUP(PlanAll[[#This Row],[Order]],SapExlData[],63,FALSE)),0,VLOOKUP(PlanAll[[#This Row],[Order]],SapExlData[],63,FALSE))</f>
        <v>23</v>
      </c>
    </row>
    <row r="4" spans="1:122" x14ac:dyDescent="0.25">
      <c r="A4" s="21" t="e">
        <f>INT(SapExlData[[#This Row],[OrderNummer]])</f>
        <v>#VALUE!</v>
      </c>
      <c r="B4" s="12"/>
      <c r="C4" s="12" t="s">
        <v>398</v>
      </c>
      <c r="D4" s="12" t="s">
        <v>399</v>
      </c>
      <c r="E4" s="33">
        <v>0.625</v>
      </c>
      <c r="F4" s="12" t="s">
        <v>398</v>
      </c>
      <c r="G4" s="12" t="s">
        <v>398</v>
      </c>
      <c r="H4" s="33">
        <v>0.48312500000000003</v>
      </c>
      <c r="I4" s="12" t="s">
        <v>398</v>
      </c>
      <c r="J4" s="12" t="s">
        <v>398</v>
      </c>
      <c r="K4" s="93"/>
      <c r="L4" s="21">
        <v>1216279</v>
      </c>
      <c r="M4" s="12" t="s">
        <v>398</v>
      </c>
      <c r="N4" s="21" t="s">
        <v>380</v>
      </c>
      <c r="O4" s="21" t="s">
        <v>400</v>
      </c>
      <c r="P4" s="21"/>
      <c r="Q4" s="21" t="s">
        <v>401</v>
      </c>
      <c r="R4" s="21"/>
      <c r="S4" s="21"/>
      <c r="T4" s="21">
        <v>1</v>
      </c>
      <c r="U4" s="21" t="s">
        <v>402</v>
      </c>
      <c r="V4" s="21">
        <v>2</v>
      </c>
      <c r="W4" s="21">
        <v>1</v>
      </c>
      <c r="X4" s="21" t="s">
        <v>381</v>
      </c>
      <c r="Y4" s="33">
        <v>0.48312500000000003</v>
      </c>
      <c r="Z4" s="12" t="s">
        <v>398</v>
      </c>
      <c r="AA4" s="33">
        <v>0.62567129629629636</v>
      </c>
      <c r="AB4" s="93">
        <v>0.62567129629629636</v>
      </c>
      <c r="AC4" s="33">
        <v>0.62567129629629636</v>
      </c>
      <c r="AD4" s="93">
        <v>0.62567129629629636</v>
      </c>
      <c r="AE4" s="21">
        <v>10000754</v>
      </c>
      <c r="AF4" s="21" t="s">
        <v>403</v>
      </c>
      <c r="AG4" s="21" t="s">
        <v>71</v>
      </c>
      <c r="AH4" s="91" t="s">
        <v>398</v>
      </c>
      <c r="AI4" s="93">
        <v>0.48312500000000003</v>
      </c>
      <c r="AJ4" s="91" t="s">
        <v>404</v>
      </c>
      <c r="AK4" s="93" t="s">
        <v>405</v>
      </c>
      <c r="AL4" s="91" t="s">
        <v>403</v>
      </c>
      <c r="AM4" s="91" t="s">
        <v>419</v>
      </c>
      <c r="AN4" s="91" t="s">
        <v>45</v>
      </c>
      <c r="AO4" s="21">
        <v>506620</v>
      </c>
      <c r="AP4" s="93" t="s">
        <v>401</v>
      </c>
      <c r="AQ4" s="21" t="s">
        <v>402</v>
      </c>
      <c r="AR4" s="21"/>
      <c r="AS4" s="21">
        <v>1000</v>
      </c>
      <c r="AT4" s="21">
        <v>0</v>
      </c>
      <c r="AU4" s="21">
        <v>0</v>
      </c>
      <c r="AV4" s="21">
        <v>3150</v>
      </c>
      <c r="AW4" s="21">
        <v>3150</v>
      </c>
      <c r="AX4" s="21">
        <v>3173</v>
      </c>
      <c r="AY4" s="93">
        <v>0.2</v>
      </c>
      <c r="AZ4" s="21">
        <v>0</v>
      </c>
      <c r="BA4" s="21">
        <v>3150</v>
      </c>
      <c r="BB4" s="21">
        <v>0</v>
      </c>
      <c r="BC4" s="33">
        <v>0</v>
      </c>
      <c r="BD4" s="21">
        <v>3150</v>
      </c>
      <c r="BE4" s="21">
        <v>3150</v>
      </c>
      <c r="BF4" s="21">
        <v>0</v>
      </c>
      <c r="BG4" s="21">
        <v>0</v>
      </c>
      <c r="BH4" s="21">
        <v>0</v>
      </c>
      <c r="BI4" s="21">
        <v>1</v>
      </c>
      <c r="BJ4" s="21" t="s">
        <v>319</v>
      </c>
      <c r="BK4" s="29">
        <v>55</v>
      </c>
      <c r="BL4" s="21">
        <v>3.6666666666666665</v>
      </c>
      <c r="BM4" s="30">
        <v>0.99999999999999334</v>
      </c>
      <c r="BN4" s="21">
        <v>4.6666666666666599</v>
      </c>
      <c r="BO4" s="21">
        <v>2</v>
      </c>
      <c r="BP4" s="12">
        <v>41233</v>
      </c>
      <c r="BQ4" s="31">
        <v>0.73478472222551394</v>
      </c>
      <c r="BR4">
        <v>2</v>
      </c>
      <c r="BS4" s="12">
        <v>41233</v>
      </c>
      <c r="BT4" s="31">
        <v>0.92922928240861591</v>
      </c>
      <c r="BU4" s="104">
        <v>41603.291666666664</v>
      </c>
      <c r="BV4" s="105">
        <v>41233.92922928241</v>
      </c>
      <c r="BW4" s="33">
        <v>0.29166666666666669</v>
      </c>
      <c r="BX4" t="s">
        <v>317</v>
      </c>
      <c r="BY4" s="33">
        <v>0.9375</v>
      </c>
      <c r="BZ4" s="29" t="e">
        <v>#N/A</v>
      </c>
      <c r="CA4" s="29">
        <v>0</v>
      </c>
      <c r="CB4" s="29">
        <v>0</v>
      </c>
      <c r="CC4" s="34">
        <v>0</v>
      </c>
      <c r="CD4" s="34">
        <v>0.19444444444444417</v>
      </c>
      <c r="CE4" s="34">
        <v>0</v>
      </c>
      <c r="CF4" s="35">
        <v>16799.999999999975</v>
      </c>
      <c r="CG4" s="29">
        <v>1</v>
      </c>
      <c r="CH4" s="29">
        <v>2</v>
      </c>
      <c r="CI4" s="29">
        <v>0</v>
      </c>
      <c r="CJ4" s="21" t="s">
        <v>368</v>
      </c>
      <c r="CK4" s="34">
        <v>0</v>
      </c>
      <c r="CL4" s="34" t="e">
        <v>#N/A</v>
      </c>
      <c r="CM4" s="88" t="e">
        <v>#N/A</v>
      </c>
      <c r="CN4" s="108" t="s">
        <v>41</v>
      </c>
      <c r="CO4" s="29">
        <v>0</v>
      </c>
      <c r="CP4" s="29">
        <v>0</v>
      </c>
      <c r="CQ4" s="12">
        <v>41603</v>
      </c>
      <c r="CR4" s="31">
        <v>0.29166666666424135</v>
      </c>
      <c r="CS4" s="32" t="str">
        <f>IF(ISERROR(VLOOKUP(PlanAll[[#This Row],[Order]],SapExlData[],74,FALSE)),"Finished",IF(VLOOKUP(PlanAll[[#This Row],[Order]],SapExlData[],11,FALSE)="X","Finished",VLOOKUP(PlanAll[[#This Row],[Order]],SapExlData[],74,FALSE)))</f>
        <v>Finished</v>
      </c>
      <c r="CT4" s="33">
        <f>IF(PlanAll[[#This Row],[Test_Acc]]=0,0,ABS(PlanAll[[#This Row],[New_Cap]]-PlanAll[[#This Row],[Acc_Cap]])/(3600*24))</f>
        <v>0</v>
      </c>
      <c r="CU4" s="21" t="str">
        <f>IF(OR(PlanAll[[#This Row],[Deviation]]=0,PlanAll[[#This Row],[Deviation]]="Fin"),IF(PlanAll[[#This Row],[Help_Acc]]=0,"Neg","Pos"),IF(PlanAll[[#This Row],[New_End]]&lt;=PlanAll[[#This Row],[Stop]],"Pos","Neg"))</f>
        <v>Pos</v>
      </c>
      <c r="CV4" s="21">
        <f>IF(ISERROR(VLOOKUP(PlanAll[[#This Row],[Order]],SapExlData[],70,FALSE)),0,VLOOKUP(PlanAll[[#This Row],[Order]],SapExlData[],70,FALSE))</f>
        <v>0</v>
      </c>
      <c r="CW4" s="29">
        <f>IF(ISERROR(VLOOKUP(PlanAll[[#This Row],[Order]],SapExlData[],70,FALSE)),0,VLOOKUP(PlanAll[[#This Row],[Order]],SapExlData[],78,FALSE))</f>
        <v>0</v>
      </c>
      <c r="CX4" s="32">
        <f>INT(PlanAll[[#This Row],[StartCap]])+PlanAll[[#This Row],[StartSec]]</f>
        <v>0.29166666666666669</v>
      </c>
      <c r="CY4" s="145" t="e">
        <f>VLOOKUP(PlanAll[[#This Row],[Order]],SapExlData[],77,FALSE)</f>
        <v>#VALUE!</v>
      </c>
      <c r="CZ4" s="21">
        <f>IF(PlanAll[[#This Row],[StopSec]]=0,1,PlanAll[[#This Row],[StopSec]])</f>
        <v>0.9375</v>
      </c>
      <c r="DA4" s="21" t="s">
        <v>365</v>
      </c>
      <c r="DB4" s="105">
        <f>IF(ISERROR(VLOOKUP(PlanAll[[#This Row],[Order]],SapExlData[],73,FALSE)),0,VLOOKUP(PlanAll[[#This Row],[Order]],SapExlData[],73,FALSE))</f>
        <v>0</v>
      </c>
      <c r="DC4" s="144">
        <f>IF(PlanAll[[#This Row],[Test Active]]=1,1*PlanAll[[#This Row],[Help_Acc]],0)*IF(VALUE(PlanAll[[#This Row],[Cap_ToDay]])&gt;0,1,0)</f>
        <v>0</v>
      </c>
      <c r="DD4" s="29" t="e">
        <f>IF(DC4=1,0,IF(ROW(DD3)&gt;1,DD3,1))</f>
        <v>#N/A</v>
      </c>
      <c r="DE4" s="29">
        <f>IF(ISERROR(VLOOKUP(PlanAll[[#This Row],[Order]],SapExlData[],87,FALSE)),0,VLOOKUP(PlanAll[[#This Row],[Order]],SapExlData[],87,FALSE))</f>
        <v>0</v>
      </c>
      <c r="DF4" s="21">
        <f>IF(AND(BX4=BX3,CV3&gt;CV4),0,1)</f>
        <v>1</v>
      </c>
      <c r="DG4" s="21">
        <f>IF(ISERROR(PlanAll[[#This Row],[Deviation]]),0,IF(PlanAll[[#This Row],[Plan_Cap]]&gt;0,IF(PlanAll[[#This Row],[Pos_Neg]]="Neg",-PlanAll[[#This Row],[Deviation]],PlanAll[[#This Row],[Deviation]]),0))</f>
        <v>0</v>
      </c>
      <c r="DH4" s="36">
        <f>IF(ISERROR(VLOOKUP(PlanAll[[#This Row],[Order]],SapExlData[],92,FALSE)),0,VLOOKUP(PlanAll[[#This Row],[Order]],SapExlData[],92,FALSE))</f>
        <v>0</v>
      </c>
      <c r="DI4" s="30">
        <f>IF(ISERROR(PlanAll[[#This Row],[Deviation3]]),0,PlanAll[[#This Row],[Deviation3]]*24)</f>
        <v>0</v>
      </c>
      <c r="DJ4" s="30">
        <f>IF(ISERROR(VLOOKUP(PlanAll[[#This Row],[Order]],SapExlData[],66,FALSE)),0,VLOOKUP(PlanAll[[#This Row],[Order]],SapExlData[],66,FALSE))</f>
        <v>0</v>
      </c>
      <c r="DK4" s="29">
        <f>IF(ISERROR(VLOOKUP(PlanAll[[#This Row],[Order]],SapExlData[],63,FALSE)),0,VLOOKUP(PlanAll[[#This Row],[Order]],SapExlData[],63,FALSE))</f>
        <v>0</v>
      </c>
    </row>
  </sheetData>
  <pageMargins left="0.7" right="0.7" top="0.75" bottom="0.75" header="0.3" footer="0.3"/>
  <pageSetup orientation="portrait" r:id="rId1"/>
  <cellWatches>
    <cellWatch r="DK3"/>
  </cellWatch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D49B7-4C48-4D60-BE83-6480829AB686}">
  <sheetPr>
    <tabColor rgb="FFFF8080"/>
  </sheetPr>
  <dimension ref="A1:BC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" width="17.7109375" customWidth="1"/>
    <col min="2" max="2" width="27.28515625" bestFit="1" customWidth="1"/>
    <col min="3" max="3" width="18.7109375" bestFit="1" customWidth="1"/>
    <col min="4" max="4" width="6.7109375" bestFit="1" customWidth="1"/>
    <col min="5" max="5" width="8.5703125" bestFit="1" customWidth="1"/>
    <col min="6" max="6" width="7" bestFit="1" customWidth="1"/>
    <col min="7" max="7" width="12.7109375" bestFit="1" customWidth="1"/>
    <col min="8" max="8" width="33.28515625" bestFit="1" customWidth="1"/>
    <col min="9" max="9" width="22.28515625" bestFit="1" customWidth="1"/>
    <col min="10" max="10" width="33.28515625" bestFit="1" customWidth="1"/>
    <col min="11" max="11" width="9.7109375" bestFit="1" customWidth="1"/>
    <col min="12" max="12" width="15.7109375" bestFit="1" customWidth="1"/>
    <col min="13" max="13" width="12.28515625" bestFit="1" customWidth="1"/>
    <col min="14" max="14" width="16.28515625" bestFit="1" customWidth="1"/>
    <col min="15" max="15" width="13.5703125" bestFit="1" customWidth="1"/>
    <col min="16" max="16" width="11.7109375" bestFit="1" customWidth="1"/>
    <col min="17" max="17" width="11.7109375" customWidth="1"/>
    <col min="18" max="18" width="12.5703125" bestFit="1" customWidth="1"/>
    <col min="19" max="19" width="8" bestFit="1" customWidth="1"/>
    <col min="20" max="20" width="12.7109375" bestFit="1" customWidth="1"/>
    <col min="21" max="21" width="25.28515625" bestFit="1" customWidth="1"/>
    <col min="22" max="22" width="11" bestFit="1" customWidth="1"/>
    <col min="23" max="24" width="11.5703125" bestFit="1" customWidth="1"/>
    <col min="25" max="25" width="11.42578125" bestFit="1" customWidth="1"/>
    <col min="26" max="26" width="11.5703125" bestFit="1" customWidth="1"/>
    <col min="27" max="27" width="12.5703125" bestFit="1" customWidth="1"/>
    <col min="28" max="28" width="13" bestFit="1" customWidth="1"/>
    <col min="29" max="29" width="6.7109375" bestFit="1" customWidth="1"/>
    <col min="30" max="30" width="19.7109375" bestFit="1" customWidth="1"/>
    <col min="31" max="31" width="13.7109375" bestFit="1" customWidth="1"/>
    <col min="32" max="32" width="7.7109375" bestFit="1" customWidth="1"/>
    <col min="33" max="33" width="10.7109375" bestFit="1" customWidth="1"/>
    <col min="34" max="34" width="8.28515625" bestFit="1" customWidth="1"/>
    <col min="35" max="35" width="14.7109375" bestFit="1" customWidth="1"/>
    <col min="36" max="36" width="9" bestFit="1" customWidth="1"/>
    <col min="37" max="37" width="12.28515625" bestFit="1" customWidth="1"/>
    <col min="38" max="38" width="14.42578125" bestFit="1" customWidth="1"/>
    <col min="39" max="39" width="17" bestFit="1" customWidth="1"/>
    <col min="40" max="40" width="13.28515625" bestFit="1" customWidth="1"/>
    <col min="41" max="41" width="12.7109375" bestFit="1" customWidth="1"/>
    <col min="42" max="42" width="10.28515625" bestFit="1" customWidth="1"/>
    <col min="43" max="43" width="9.28515625" bestFit="1" customWidth="1"/>
    <col min="44" max="44" width="16" bestFit="1" customWidth="1"/>
    <col min="45" max="45" width="13" bestFit="1" customWidth="1"/>
    <col min="46" max="46" width="17.42578125" bestFit="1" customWidth="1"/>
    <col min="47" max="47" width="27.5703125" bestFit="1" customWidth="1"/>
    <col min="48" max="48" width="20.7109375" bestFit="1" customWidth="1"/>
    <col min="49" max="49" width="12.7109375" bestFit="1" customWidth="1"/>
    <col min="50" max="50" width="15.7109375" bestFit="1" customWidth="1"/>
    <col min="51" max="51" width="5.28515625" bestFit="1" customWidth="1"/>
    <col min="52" max="52" width="7.7109375" customWidth="1"/>
    <col min="53" max="53" width="35.5703125" bestFit="1" customWidth="1"/>
    <col min="54" max="54" width="35.7109375" bestFit="1" customWidth="1"/>
    <col min="55" max="55" width="21.28515625" bestFit="1" customWidth="1"/>
  </cols>
  <sheetData>
    <row r="1" spans="1:55" s="8" customFormat="1" x14ac:dyDescent="0.25">
      <c r="A1" s="164" t="s">
        <v>120</v>
      </c>
      <c r="B1" s="8" t="s">
        <v>468</v>
      </c>
      <c r="C1" s="8" t="s">
        <v>469</v>
      </c>
      <c r="D1" s="8" t="s">
        <v>470</v>
      </c>
      <c r="E1" s="8" t="s">
        <v>471</v>
      </c>
      <c r="F1" s="8" t="s">
        <v>472</v>
      </c>
      <c r="G1" s="8" t="s">
        <v>473</v>
      </c>
      <c r="H1" s="8" t="s">
        <v>474</v>
      </c>
      <c r="I1" s="8" t="s">
        <v>475</v>
      </c>
      <c r="J1" s="8" t="s">
        <v>476</v>
      </c>
      <c r="K1" s="8" t="s">
        <v>477</v>
      </c>
      <c r="L1" s="8" t="s">
        <v>478</v>
      </c>
      <c r="M1" s="8" t="s">
        <v>479</v>
      </c>
      <c r="N1" s="8" t="s">
        <v>480</v>
      </c>
      <c r="O1" s="8" t="s">
        <v>481</v>
      </c>
      <c r="P1" s="8" t="s">
        <v>482</v>
      </c>
      <c r="Q1" s="8" t="s">
        <v>483</v>
      </c>
      <c r="R1" s="8" t="s">
        <v>484</v>
      </c>
      <c r="S1" s="8" t="s">
        <v>485</v>
      </c>
      <c r="T1" s="74" t="s">
        <v>486</v>
      </c>
      <c r="U1" s="8" t="s">
        <v>487</v>
      </c>
      <c r="V1" s="8" t="s">
        <v>488</v>
      </c>
      <c r="W1" s="8" t="s">
        <v>489</v>
      </c>
      <c r="X1" s="8" t="s">
        <v>490</v>
      </c>
      <c r="Y1" s="8" t="s">
        <v>491</v>
      </c>
      <c r="Z1" s="8" t="s">
        <v>492</v>
      </c>
      <c r="AA1" s="8" t="s">
        <v>493</v>
      </c>
      <c r="AB1" s="8" t="s">
        <v>494</v>
      </c>
      <c r="AC1" s="8" t="s">
        <v>495</v>
      </c>
      <c r="AD1" s="8" t="s">
        <v>496</v>
      </c>
      <c r="AE1" s="8" t="s">
        <v>497</v>
      </c>
      <c r="AF1" s="8" t="s">
        <v>498</v>
      </c>
      <c r="AG1" s="8" t="s">
        <v>393</v>
      </c>
      <c r="AH1" s="8" t="s">
        <v>4</v>
      </c>
      <c r="AI1" s="8" t="s">
        <v>499</v>
      </c>
      <c r="AJ1" s="8" t="s">
        <v>500</v>
      </c>
      <c r="AK1" s="8" t="s">
        <v>501</v>
      </c>
      <c r="AL1" s="8" t="s">
        <v>502</v>
      </c>
      <c r="AM1" s="8" t="s">
        <v>503</v>
      </c>
      <c r="AN1" s="8" t="s">
        <v>158</v>
      </c>
      <c r="AO1" s="8" t="s">
        <v>7</v>
      </c>
      <c r="AP1" s="8" t="s">
        <v>504</v>
      </c>
      <c r="AQ1" s="8" t="s">
        <v>505</v>
      </c>
      <c r="AR1" s="8" t="s">
        <v>506</v>
      </c>
      <c r="AS1" s="8" t="s">
        <v>130</v>
      </c>
      <c r="AT1" s="8" t="s">
        <v>138</v>
      </c>
      <c r="AU1" s="74" t="s">
        <v>140</v>
      </c>
      <c r="AV1" s="8" t="s">
        <v>150</v>
      </c>
      <c r="AW1" s="8" t="s">
        <v>507</v>
      </c>
      <c r="AX1" s="8" t="s">
        <v>157</v>
      </c>
      <c r="AY1" s="8" t="s">
        <v>129</v>
      </c>
      <c r="AZ1" s="8" t="s">
        <v>508</v>
      </c>
      <c r="BA1" s="165" t="s">
        <v>509</v>
      </c>
      <c r="BB1" s="165" t="s">
        <v>510</v>
      </c>
      <c r="BC1" s="165" t="s">
        <v>511</v>
      </c>
    </row>
    <row r="2" spans="1:55" x14ac:dyDescent="0.25">
      <c r="A2" s="12"/>
      <c r="B2" s="166"/>
      <c r="C2" t="s">
        <v>512</v>
      </c>
      <c r="E2">
        <v>1216176</v>
      </c>
      <c r="F2" t="s">
        <v>513</v>
      </c>
      <c r="G2" t="s">
        <v>380</v>
      </c>
      <c r="H2" t="s">
        <v>514</v>
      </c>
      <c r="I2" s="12" t="s">
        <v>515</v>
      </c>
      <c r="J2" t="s">
        <v>514</v>
      </c>
      <c r="K2" t="s">
        <v>387</v>
      </c>
      <c r="M2" t="s">
        <v>516</v>
      </c>
      <c r="N2" t="s">
        <v>517</v>
      </c>
      <c r="P2" t="s">
        <v>518</v>
      </c>
      <c r="Q2" t="s">
        <v>519</v>
      </c>
      <c r="R2">
        <v>328288</v>
      </c>
      <c r="S2" t="s">
        <v>33</v>
      </c>
      <c r="T2" s="167">
        <v>94700</v>
      </c>
      <c r="U2" s="168" t="s">
        <v>520</v>
      </c>
      <c r="V2" s="169"/>
      <c r="W2" s="169"/>
      <c r="X2" s="169" t="s">
        <v>381</v>
      </c>
      <c r="Y2" s="169" t="s">
        <v>381</v>
      </c>
      <c r="Z2" s="169" t="s">
        <v>380</v>
      </c>
      <c r="AA2" s="169" t="s">
        <v>521</v>
      </c>
      <c r="AB2" s="169" t="s">
        <v>381</v>
      </c>
      <c r="AC2" s="169">
        <v>44728448</v>
      </c>
      <c r="AD2" s="169">
        <v>4</v>
      </c>
      <c r="AE2" s="169" t="s">
        <v>522</v>
      </c>
      <c r="AF2" s="169" t="s">
        <v>523</v>
      </c>
      <c r="AG2" s="169" t="s">
        <v>45</v>
      </c>
      <c r="AH2" s="169">
        <v>109118</v>
      </c>
      <c r="AI2" s="169" t="s">
        <v>524</v>
      </c>
      <c r="AJ2" s="169">
        <v>2064</v>
      </c>
      <c r="AK2" s="169" t="s">
        <v>387</v>
      </c>
      <c r="AL2" s="169" t="s">
        <v>525</v>
      </c>
      <c r="AM2" s="169">
        <v>42257.387999999999</v>
      </c>
      <c r="AN2" s="169">
        <v>0</v>
      </c>
      <c r="AO2" s="169">
        <v>2978</v>
      </c>
      <c r="AP2" s="169">
        <v>0</v>
      </c>
      <c r="AQ2" s="169">
        <v>0</v>
      </c>
      <c r="AR2" s="169">
        <v>1</v>
      </c>
      <c r="AS2" s="169">
        <v>288</v>
      </c>
      <c r="AT2" s="169">
        <v>0</v>
      </c>
      <c r="AU2" s="169">
        <v>1.2577777777777699</v>
      </c>
      <c r="AV2" s="169">
        <v>0</v>
      </c>
      <c r="AW2" s="169">
        <v>288</v>
      </c>
      <c r="AX2" s="169">
        <v>32</v>
      </c>
      <c r="AY2" s="169">
        <v>1</v>
      </c>
      <c r="AZ2" s="169">
        <v>1</v>
      </c>
      <c r="BA2" s="170" t="str">
        <f>MixingPlanData[[#This Row],[Material]]&amp;" "&amp;MixingPlanData[[#This Row],[Materialtekst]]</f>
        <v>109118 Tondhjems Brun Lapskaus 12x800g</v>
      </c>
      <c r="BB2" s="170" t="str">
        <f>MixingPlanData[[#This Row],[Prod.kom.No]]&amp;" "&amp;MixingPlanData[[#This Row],[Prod.komponent]]</f>
        <v>2064 Tondhjems Brun Lapskaus 12x800g</v>
      </c>
      <c r="BC2" s="170" t="str">
        <f>RIGHT(MixingPlanData[[#This Row],[Nettverksaktivitet]],4)&amp;" "&amp;MixingPlanData[[#This Row],[Betegnelse(40)]]</f>
        <v>0510 Dummy Saussvinn</v>
      </c>
    </row>
    <row r="3" spans="1:55" x14ac:dyDescent="0.25">
      <c r="A3" s="12"/>
      <c r="B3" s="166" t="s">
        <v>526</v>
      </c>
      <c r="C3" t="s">
        <v>527</v>
      </c>
      <c r="D3" t="s">
        <v>71</v>
      </c>
      <c r="E3">
        <v>1216176</v>
      </c>
      <c r="F3" t="s">
        <v>513</v>
      </c>
      <c r="G3" t="s">
        <v>380</v>
      </c>
      <c r="H3" t="s">
        <v>514</v>
      </c>
      <c r="I3" s="12" t="s">
        <v>515</v>
      </c>
      <c r="J3" t="s">
        <v>514</v>
      </c>
      <c r="K3" t="s">
        <v>387</v>
      </c>
      <c r="M3" t="s">
        <v>516</v>
      </c>
      <c r="N3" t="s">
        <v>517</v>
      </c>
      <c r="P3" t="s">
        <v>518</v>
      </c>
      <c r="Q3" t="s">
        <v>528</v>
      </c>
      <c r="R3">
        <v>328288</v>
      </c>
      <c r="S3" t="s">
        <v>33</v>
      </c>
      <c r="T3" s="167">
        <v>94700</v>
      </c>
      <c r="U3" s="168" t="s">
        <v>520</v>
      </c>
      <c r="V3" s="169"/>
      <c r="W3" s="169"/>
      <c r="X3" s="169" t="s">
        <v>381</v>
      </c>
      <c r="Y3" s="169" t="s">
        <v>381</v>
      </c>
      <c r="Z3" s="169" t="s">
        <v>380</v>
      </c>
      <c r="AA3" s="169" t="s">
        <v>521</v>
      </c>
      <c r="AB3" s="169" t="s">
        <v>381</v>
      </c>
      <c r="AC3" s="169">
        <v>44728448</v>
      </c>
      <c r="AD3" s="169">
        <v>6</v>
      </c>
      <c r="AE3" s="169" t="s">
        <v>529</v>
      </c>
      <c r="AF3" s="169" t="s">
        <v>523</v>
      </c>
      <c r="AG3" s="169" t="s">
        <v>45</v>
      </c>
      <c r="AH3" s="169">
        <v>109118</v>
      </c>
      <c r="AI3" s="169" t="s">
        <v>530</v>
      </c>
      <c r="AJ3" s="169">
        <v>2064</v>
      </c>
      <c r="AK3" s="169" t="s">
        <v>387</v>
      </c>
      <c r="AL3" s="169" t="s">
        <v>531</v>
      </c>
      <c r="AM3" s="169">
        <v>11492.79</v>
      </c>
      <c r="AN3" s="169">
        <v>0</v>
      </c>
      <c r="AO3" s="169">
        <v>2978</v>
      </c>
      <c r="AP3" s="169">
        <v>0</v>
      </c>
      <c r="AQ3" s="169">
        <v>0</v>
      </c>
      <c r="AR3" s="169">
        <v>0</v>
      </c>
      <c r="AS3" s="169">
        <v>288</v>
      </c>
      <c r="AT3" s="169">
        <v>0</v>
      </c>
      <c r="AU3" s="169">
        <v>0.81666666666666599</v>
      </c>
      <c r="AV3" s="169">
        <v>0</v>
      </c>
      <c r="AW3" s="169">
        <v>288</v>
      </c>
      <c r="AX3" s="169">
        <v>0.11</v>
      </c>
      <c r="AY3" s="169">
        <v>1</v>
      </c>
      <c r="AZ3" s="169">
        <v>1</v>
      </c>
      <c r="BA3" s="170" t="str">
        <f>MixingPlanData[[#This Row],[Material]]&amp;" "&amp;MixingPlanData[[#This Row],[Materialtekst]]</f>
        <v>109118 Tondhjems Brun Lapskaus 12x800g</v>
      </c>
      <c r="BB3" s="170" t="str">
        <f>MixingPlanData[[#This Row],[Prod.kom.No]]&amp;" "&amp;MixingPlanData[[#This Row],[Prod.komponent]]</f>
        <v>2064 Tondhjems Brun Lapskaus 12x800g</v>
      </c>
      <c r="BC3" s="170" t="str">
        <f>RIGHT(MixingPlanData[[#This Row],[Nettverksaktivitet]],4)&amp;" "&amp;MixingPlanData[[#This Row],[Betegnelse(40)]]</f>
        <v>0110 Dummy Saussvinn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8">
    <tabColor rgb="FFFF8080"/>
  </sheetPr>
  <dimension ref="A1:DH8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" width="8.5703125" style="21" bestFit="1" customWidth="1"/>
    <col min="2" max="2" width="28.42578125" style="12" bestFit="1" customWidth="1"/>
    <col min="3" max="3" width="18.7109375" style="12" bestFit="1" customWidth="1"/>
    <col min="4" max="4" width="18.28515625" style="12" customWidth="1"/>
    <col min="5" max="5" width="12.5703125" style="91" customWidth="1"/>
    <col min="6" max="6" width="17.7109375" style="12" customWidth="1"/>
    <col min="7" max="7" width="17.28515625" style="12" customWidth="1"/>
    <col min="8" max="8" width="12.7109375" style="33" customWidth="1"/>
    <col min="9" max="9" width="15.28515625" style="12" bestFit="1" customWidth="1"/>
    <col min="10" max="10" width="14.42578125" style="99" bestFit="1" customWidth="1"/>
    <col min="11" max="11" width="6.7109375" style="93" customWidth="1"/>
    <col min="12" max="12" width="10.7109375" style="21" bestFit="1" customWidth="1"/>
    <col min="13" max="13" width="15.7109375" style="12" customWidth="1"/>
    <col min="14" max="14" width="10.7109375" customWidth="1"/>
    <col min="15" max="15" width="21.7109375" customWidth="1"/>
    <col min="16" max="16" width="9.28515625" customWidth="1"/>
    <col min="17" max="17" width="13.28515625" customWidth="1"/>
    <col min="18" max="18" width="9.42578125" customWidth="1"/>
    <col min="19" max="19" width="15.5703125" bestFit="1" customWidth="1"/>
    <col min="20" max="20" width="9.7109375" customWidth="1"/>
    <col min="21" max="21" width="19" bestFit="1" customWidth="1"/>
    <col min="22" max="22" width="10.42578125" bestFit="1" customWidth="1"/>
    <col min="23" max="23" width="10.7109375" customWidth="1"/>
    <col min="24" max="24" width="13.7109375" customWidth="1"/>
    <col min="25" max="25" width="15.7109375" style="33" customWidth="1"/>
    <col min="26" max="26" width="25.28515625" style="12" bestFit="1" customWidth="1"/>
    <col min="27" max="27" width="11.7109375" style="91" customWidth="1"/>
    <col min="28" max="28" width="11" style="93" bestFit="1" customWidth="1"/>
    <col min="29" max="29" width="12.7109375" style="91" bestFit="1" customWidth="1"/>
    <col min="30" max="30" width="10.7109375" style="93" customWidth="1"/>
    <col min="31" max="31" width="10.5703125" customWidth="1"/>
    <col min="32" max="32" width="27.7109375" bestFit="1" customWidth="1"/>
    <col min="33" max="33" width="13.7109375" customWidth="1"/>
    <col min="34" max="34" width="15" style="91" customWidth="1"/>
    <col min="35" max="35" width="15.5703125" style="93" customWidth="1"/>
    <col min="36" max="36" width="6.7109375" style="91" customWidth="1"/>
    <col min="37" max="37" width="13.7109375" style="93" customWidth="1"/>
    <col min="38" max="38" width="13.7109375" style="91" customWidth="1"/>
    <col min="39" max="39" width="11.28515625" style="91" bestFit="1" customWidth="1"/>
    <col min="40" max="40" width="11.7109375" style="91" customWidth="1"/>
    <col min="41" max="41" width="14.42578125" style="93" bestFit="1" customWidth="1"/>
    <col min="42" max="42" width="7" style="93" customWidth="1"/>
    <col min="43" max="43" width="12.42578125" bestFit="1" customWidth="1"/>
    <col min="44" max="44" width="18.42578125" bestFit="1" customWidth="1"/>
    <col min="45" max="45" width="15.7109375" customWidth="1"/>
    <col min="46" max="46" width="12.7109375" customWidth="1"/>
    <col min="47" max="47" width="17.7109375" customWidth="1"/>
    <col min="48" max="48" width="17.7109375" style="91" customWidth="1"/>
    <col min="49" max="49" width="18.7109375" customWidth="1"/>
    <col min="50" max="50" width="27.5703125" customWidth="1"/>
    <col min="51" max="51" width="17.42578125" style="21" customWidth="1"/>
    <col min="52" max="52" width="16" style="91" customWidth="1"/>
    <col min="53" max="53" width="21.28515625" customWidth="1"/>
    <col min="54" max="54" width="29.7109375" customWidth="1"/>
    <col min="55" max="55" width="13" customWidth="1"/>
    <col min="56" max="56" width="16" customWidth="1"/>
    <col min="57" max="57" width="16.28515625" customWidth="1"/>
    <col min="58" max="58" width="13.28515625" customWidth="1"/>
    <col min="59" max="59" width="17" customWidth="1"/>
    <col min="60" max="61" width="9.28515625" bestFit="1" customWidth="1"/>
    <col min="62" max="62" width="44.7109375" bestFit="1" customWidth="1"/>
    <col min="63" max="63" width="11.7109375" bestFit="1" customWidth="1"/>
    <col min="64" max="64" width="12.28515625" bestFit="1" customWidth="1"/>
    <col min="65" max="65" width="14.42578125" bestFit="1" customWidth="1"/>
    <col min="66" max="66" width="13.7109375" bestFit="1" customWidth="1"/>
    <col min="67" max="67" width="13.42578125" bestFit="1" customWidth="1"/>
    <col min="68" max="68" width="15.42578125" style="91" customWidth="1"/>
    <col min="69" max="69" width="15.42578125" style="31" bestFit="1" customWidth="1"/>
    <col min="70" max="70" width="14.42578125" bestFit="1" customWidth="1"/>
    <col min="71" max="71" width="12" bestFit="1" customWidth="1"/>
    <col min="72" max="72" width="17.7109375" style="31" bestFit="1" customWidth="1"/>
    <col min="73" max="73" width="18.28515625" style="105" bestFit="1" customWidth="1"/>
    <col min="74" max="74" width="18.7109375" style="105" bestFit="1" customWidth="1"/>
    <col min="75" max="75" width="13.5703125" style="93" bestFit="1" customWidth="1"/>
    <col min="76" max="76" width="31.28515625" bestFit="1" customWidth="1"/>
    <col min="77" max="77" width="12.42578125" style="93" bestFit="1" customWidth="1"/>
    <col min="78" max="78" width="16.5703125" customWidth="1"/>
    <col min="79" max="79" width="15.7109375" customWidth="1"/>
    <col min="80" max="80" width="11.7109375" style="21" bestFit="1" customWidth="1"/>
    <col min="81" max="81" width="15.28515625" customWidth="1"/>
    <col min="82" max="82" width="16.5703125" customWidth="1"/>
    <col min="83" max="83" width="13.7109375" customWidth="1"/>
    <col min="84" max="84" width="12.7109375" style="29" bestFit="1" customWidth="1"/>
    <col min="85" max="85" width="13.5703125" bestFit="1" customWidth="1"/>
    <col min="86" max="86" width="10.5703125" bestFit="1" customWidth="1"/>
    <col min="87" max="87" width="13.7109375" bestFit="1" customWidth="1"/>
    <col min="89" max="89" width="13.28515625" bestFit="1" customWidth="1"/>
    <col min="90" max="90" width="11.7109375" bestFit="1" customWidth="1"/>
    <col min="91" max="91" width="18.28515625" style="32" bestFit="1" customWidth="1"/>
    <col min="92" max="92" width="13.28515625" bestFit="1" customWidth="1"/>
    <col min="95" max="95" width="12.7109375" style="91" bestFit="1" customWidth="1"/>
    <col min="96" max="96" width="13.28515625" style="31" bestFit="1" customWidth="1"/>
    <col min="97" max="97" width="11" style="21" bestFit="1" customWidth="1"/>
    <col min="105" max="105" width="15.140625" bestFit="1" customWidth="1"/>
    <col min="106" max="106" width="15.140625" customWidth="1"/>
    <col min="107" max="107" width="23.28515625" bestFit="1" customWidth="1"/>
    <col min="108" max="108" width="23.28515625" customWidth="1"/>
    <col min="109" max="109" width="15.42578125" bestFit="1" customWidth="1"/>
  </cols>
  <sheetData>
    <row r="1" spans="1:112" s="8" customFormat="1" x14ac:dyDescent="0.25">
      <c r="A1" s="75" t="s">
        <v>119</v>
      </c>
      <c r="B1" s="70" t="s">
        <v>409</v>
      </c>
      <c r="C1" s="70" t="s">
        <v>155</v>
      </c>
      <c r="D1" s="70" t="s">
        <v>147</v>
      </c>
      <c r="E1" s="74" t="s">
        <v>148</v>
      </c>
      <c r="F1" s="70" t="s">
        <v>120</v>
      </c>
      <c r="G1" s="70" t="s">
        <v>146</v>
      </c>
      <c r="H1" s="74" t="s">
        <v>149</v>
      </c>
      <c r="I1" s="70" t="s">
        <v>137</v>
      </c>
      <c r="J1" s="98" t="s">
        <v>135</v>
      </c>
      <c r="K1" s="92" t="s">
        <v>156</v>
      </c>
      <c r="L1" s="75" t="s">
        <v>410</v>
      </c>
      <c r="M1" s="70" t="s">
        <v>142</v>
      </c>
      <c r="N1" s="8" t="s">
        <v>393</v>
      </c>
      <c r="O1" s="8" t="s">
        <v>411</v>
      </c>
      <c r="P1" s="8" t="s">
        <v>394</v>
      </c>
      <c r="Q1" s="8" t="s">
        <v>406</v>
      </c>
      <c r="R1" s="8" t="s">
        <v>395</v>
      </c>
      <c r="S1" s="8" t="s">
        <v>126</v>
      </c>
      <c r="T1" s="8" t="s">
        <v>396</v>
      </c>
      <c r="U1" s="8" t="s">
        <v>407</v>
      </c>
      <c r="V1" s="8" t="s">
        <v>134</v>
      </c>
      <c r="W1" s="8" t="s">
        <v>72</v>
      </c>
      <c r="X1" s="8" t="s">
        <v>374</v>
      </c>
      <c r="Y1" s="74" t="s">
        <v>143</v>
      </c>
      <c r="Z1" s="70" t="s">
        <v>153</v>
      </c>
      <c r="AA1" s="74" t="s">
        <v>375</v>
      </c>
      <c r="AB1" s="92" t="s">
        <v>123</v>
      </c>
      <c r="AC1" s="74" t="s">
        <v>392</v>
      </c>
      <c r="AD1" s="92" t="s">
        <v>397</v>
      </c>
      <c r="AE1" s="8" t="s">
        <v>376</v>
      </c>
      <c r="AF1" s="8" t="s">
        <v>6</v>
      </c>
      <c r="AG1" s="8" t="s">
        <v>124</v>
      </c>
      <c r="AH1" s="90" t="s">
        <v>144</v>
      </c>
      <c r="AI1" s="92" t="s">
        <v>145</v>
      </c>
      <c r="AJ1" s="90" t="s">
        <v>127</v>
      </c>
      <c r="AK1" s="92" t="s">
        <v>377</v>
      </c>
      <c r="AL1" s="90" t="s">
        <v>152</v>
      </c>
      <c r="AM1" s="90" t="s">
        <v>418</v>
      </c>
      <c r="AN1" s="90" t="s">
        <v>378</v>
      </c>
      <c r="AO1" s="92" t="s">
        <v>270</v>
      </c>
      <c r="AP1" s="92" t="s">
        <v>3</v>
      </c>
      <c r="AQ1" s="8" t="s">
        <v>125</v>
      </c>
      <c r="AR1" s="8" t="s">
        <v>238</v>
      </c>
      <c r="AS1" s="8" t="s">
        <v>129</v>
      </c>
      <c r="AT1" s="8" t="s">
        <v>157</v>
      </c>
      <c r="AU1" s="8" t="s">
        <v>133</v>
      </c>
      <c r="AV1" s="75" t="s">
        <v>132</v>
      </c>
      <c r="AW1" s="8" t="s">
        <v>379</v>
      </c>
      <c r="AX1" s="8" t="s">
        <v>150</v>
      </c>
      <c r="AY1" s="75" t="s">
        <v>140</v>
      </c>
      <c r="AZ1" s="75" t="s">
        <v>131</v>
      </c>
      <c r="BA1" s="75" t="s">
        <v>121</v>
      </c>
      <c r="BB1" s="8" t="s">
        <v>122</v>
      </c>
      <c r="BC1" s="74" t="s">
        <v>138</v>
      </c>
      <c r="BD1" s="75" t="s">
        <v>130</v>
      </c>
      <c r="BE1" s="8" t="s">
        <v>154</v>
      </c>
      <c r="BF1" s="8" t="s">
        <v>7</v>
      </c>
      <c r="BG1" s="8" t="s">
        <v>158</v>
      </c>
      <c r="BH1" s="8" t="s">
        <v>416</v>
      </c>
      <c r="BI1" s="8" t="s">
        <v>417</v>
      </c>
      <c r="BJ1" s="16" t="s">
        <v>0</v>
      </c>
      <c r="BK1" s="16" t="s">
        <v>159</v>
      </c>
      <c r="BL1" s="16" t="s">
        <v>160</v>
      </c>
      <c r="BM1" s="16" t="s">
        <v>161</v>
      </c>
      <c r="BN1" s="16" t="s">
        <v>162</v>
      </c>
      <c r="BO1" s="16" t="s">
        <v>163</v>
      </c>
      <c r="BP1" s="96" t="s">
        <v>164</v>
      </c>
      <c r="BQ1" s="101" t="s">
        <v>165</v>
      </c>
      <c r="BR1" s="16" t="s">
        <v>166</v>
      </c>
      <c r="BS1" s="47" t="s">
        <v>167</v>
      </c>
      <c r="BT1" s="103" t="s">
        <v>168</v>
      </c>
      <c r="BU1" s="87" t="s">
        <v>169</v>
      </c>
      <c r="BV1" s="87" t="s">
        <v>170</v>
      </c>
      <c r="BW1" s="95" t="s">
        <v>171</v>
      </c>
      <c r="BX1" s="16" t="s">
        <v>172</v>
      </c>
      <c r="BY1" s="95" t="s">
        <v>173</v>
      </c>
      <c r="BZ1" s="16" t="s">
        <v>174</v>
      </c>
      <c r="CA1" s="16" t="s">
        <v>175</v>
      </c>
      <c r="CB1" s="89" t="s">
        <v>176</v>
      </c>
      <c r="CC1" s="16" t="s">
        <v>177</v>
      </c>
      <c r="CD1" s="16" t="s">
        <v>178</v>
      </c>
      <c r="CE1" s="16" t="s">
        <v>179</v>
      </c>
      <c r="CF1" s="71" t="s">
        <v>180</v>
      </c>
      <c r="CG1" s="16" t="s">
        <v>181</v>
      </c>
      <c r="CH1" s="16" t="s">
        <v>182</v>
      </c>
      <c r="CI1" s="16" t="s">
        <v>183</v>
      </c>
      <c r="CJ1" s="16" t="s">
        <v>184</v>
      </c>
      <c r="CK1" s="16" t="s">
        <v>185</v>
      </c>
      <c r="CL1" s="16" t="s">
        <v>186</v>
      </c>
      <c r="CM1" s="102" t="s">
        <v>187</v>
      </c>
      <c r="CN1" s="16" t="s">
        <v>188</v>
      </c>
      <c r="CO1" s="16" t="s">
        <v>189</v>
      </c>
      <c r="CP1" s="16" t="s">
        <v>190</v>
      </c>
      <c r="CQ1" s="96" t="s">
        <v>191</v>
      </c>
      <c r="CR1" s="101" t="s">
        <v>192</v>
      </c>
      <c r="CS1" s="89" t="s">
        <v>467</v>
      </c>
      <c r="CT1" s="163" t="s">
        <v>458</v>
      </c>
      <c r="CU1" s="147" t="s">
        <v>459</v>
      </c>
      <c r="CV1" s="147" t="s">
        <v>460</v>
      </c>
      <c r="CW1" s="147" t="s">
        <v>461</v>
      </c>
      <c r="CX1" s="147" t="s">
        <v>462</v>
      </c>
      <c r="CY1" s="147" t="s">
        <v>463</v>
      </c>
      <c r="CZ1" s="147" t="s">
        <v>464</v>
      </c>
      <c r="DA1" s="16" t="s">
        <v>448</v>
      </c>
      <c r="DB1" s="16" t="s">
        <v>465</v>
      </c>
      <c r="DC1" s="16" t="s">
        <v>532</v>
      </c>
      <c r="DD1" s="16" t="s">
        <v>571</v>
      </c>
      <c r="DE1" s="75">
        <f ca="1">$DF$1+$DG$1-CapDate</f>
        <v>2577.9887582175943</v>
      </c>
      <c r="DF1" s="76">
        <f ca="1">NOW()-TODAY()</f>
        <v>0.98875821759429527</v>
      </c>
      <c r="DG1" s="70">
        <f ca="1">TODAY()</f>
        <v>44180</v>
      </c>
      <c r="DH1" s="70">
        <f ca="1">DG1+DF1</f>
        <v>44180.988758217594</v>
      </c>
    </row>
    <row r="2" spans="1:112" x14ac:dyDescent="0.25">
      <c r="A2" s="21">
        <f>INT(tblAllergenData[[#This Row],[OrderNummer]])</f>
        <v>1216279</v>
      </c>
      <c r="C2" s="12" t="s">
        <v>398</v>
      </c>
      <c r="D2" s="12" t="s">
        <v>399</v>
      </c>
      <c r="E2" s="33">
        <v>0.625</v>
      </c>
      <c r="F2" s="12" t="s">
        <v>398</v>
      </c>
      <c r="G2" s="12" t="s">
        <v>398</v>
      </c>
      <c r="H2" s="33">
        <v>0.48312500000000003</v>
      </c>
      <c r="I2" s="12" t="s">
        <v>398</v>
      </c>
      <c r="J2" s="99" t="s">
        <v>398</v>
      </c>
      <c r="L2" s="100">
        <v>1216279</v>
      </c>
      <c r="M2" s="12" t="s">
        <v>398</v>
      </c>
      <c r="N2" s="21" t="s">
        <v>380</v>
      </c>
      <c r="O2" s="21" t="s">
        <v>400</v>
      </c>
      <c r="P2" s="21"/>
      <c r="Q2" s="21" t="s">
        <v>401</v>
      </c>
      <c r="R2" s="21"/>
      <c r="S2" s="21"/>
      <c r="T2" s="21">
        <v>1</v>
      </c>
      <c r="U2" s="21" t="s">
        <v>570</v>
      </c>
      <c r="V2" s="21">
        <v>1</v>
      </c>
      <c r="W2" s="21">
        <v>1</v>
      </c>
      <c r="X2" s="21" t="s">
        <v>381</v>
      </c>
      <c r="Y2" s="33">
        <v>0.48312500000000003</v>
      </c>
      <c r="Z2" s="12" t="s">
        <v>398</v>
      </c>
      <c r="AA2" s="33">
        <v>0.62567129629629636</v>
      </c>
      <c r="AB2" s="93">
        <v>0.62567129629629636</v>
      </c>
      <c r="AC2" s="33">
        <v>0.62567129629629636</v>
      </c>
      <c r="AD2" s="93">
        <v>0.62567129629629636</v>
      </c>
      <c r="AE2" s="21">
        <v>10000754</v>
      </c>
      <c r="AF2" s="21" t="s">
        <v>403</v>
      </c>
      <c r="AG2" s="21" t="s">
        <v>381</v>
      </c>
      <c r="AH2" s="91" t="s">
        <v>398</v>
      </c>
      <c r="AI2" s="93">
        <v>0.48312500000000003</v>
      </c>
      <c r="AJ2" s="91" t="s">
        <v>404</v>
      </c>
      <c r="AK2" s="93" t="s">
        <v>405</v>
      </c>
      <c r="AL2" s="91" t="s">
        <v>403</v>
      </c>
      <c r="AM2" s="91" t="s">
        <v>419</v>
      </c>
      <c r="AN2" s="91" t="s">
        <v>45</v>
      </c>
      <c r="AO2" s="21">
        <v>506620</v>
      </c>
      <c r="AP2" s="93" t="s">
        <v>401</v>
      </c>
      <c r="AQ2" s="21" t="s">
        <v>569</v>
      </c>
      <c r="AR2" s="21">
        <v>123456</v>
      </c>
      <c r="AS2" s="21">
        <v>1000</v>
      </c>
      <c r="AT2" s="21">
        <v>0</v>
      </c>
      <c r="AU2" s="21">
        <v>0</v>
      </c>
      <c r="AV2" s="21">
        <v>3150</v>
      </c>
      <c r="AW2" s="21">
        <v>3150</v>
      </c>
      <c r="AX2" s="21">
        <v>3150</v>
      </c>
      <c r="AY2" s="21">
        <v>1</v>
      </c>
      <c r="AZ2" s="21">
        <v>0</v>
      </c>
      <c r="BA2" s="21">
        <v>3173</v>
      </c>
      <c r="BB2" s="21">
        <v>0</v>
      </c>
      <c r="BC2" s="21">
        <v>0</v>
      </c>
      <c r="BD2" s="21">
        <v>3150</v>
      </c>
      <c r="BE2" s="21">
        <v>3150</v>
      </c>
      <c r="BF2" s="21">
        <v>0</v>
      </c>
      <c r="BG2" s="21">
        <v>0</v>
      </c>
      <c r="BH2" s="21">
        <v>0</v>
      </c>
      <c r="BI2" s="21">
        <v>0</v>
      </c>
      <c r="BJ2" s="21" t="str">
        <f>tblAllergenData[[#This Row],[Material Number]]&amp;" "&amp;tblAllergenData[[#This Row],[Material Description]]</f>
        <v>123456 BRUNET MASSE</v>
      </c>
      <c r="BK2" s="29">
        <f>IF(tblAllergenData[[#This Row],[Total order quantity]]-tblAllergenData[[#This Row],[Quantity of goods received]]&lt;0,0,tblAllergenData[[#This Row],[Total order quantity]]-tblAllergenData[[#This Row],[Quantity of goods received]])</f>
        <v>23</v>
      </c>
      <c r="BL2" s="21">
        <f>IF(tblAllergenData[[#This Row],[Base Quantity]]=0,0,tblAllergenData[[#This Row],[Operation Qty]]/tblAllergenData[[#This Row],[Base Quantity]])</f>
        <v>3.15</v>
      </c>
      <c r="BM2" s="30">
        <f>tblAllergenData[[#This Row],[SetupTid]]</f>
        <v>0</v>
      </c>
      <c r="BN2" s="21">
        <f>IF(tblAllergenData[[#This Row],[DCI]]="X",0,IF(tblAllergenData[[#This Row],[Rem_Qty]]&lt;tblAllergenData[[#This Row],[Total order quantity]],(tblAllergenData[[#This Row],[ProcTid]]/tblAllergenData[[#This Row],[Base Quantity]])*tblAllergenData[[#This Row],[Rem_Qty]],tblAllergenData[Processing time]))</f>
        <v>0</v>
      </c>
      <c r="BO2" s="21">
        <f>IF(AQ2&lt;&gt;AQ1,1,IF(ISERROR(DATEVALUE(F2)),BO1+1,BO1))</f>
        <v>1</v>
      </c>
      <c r="BP2" s="91">
        <f>IF($BR2=1,IF(ISERROR(DATEVALUE(F2)),IF(BO2&gt;1,BP1,DATEVALUE(G2)),DATEVALUE(F2)),IF(BR2=0,IF(BX2=BX1,BS1,IF(ISERROR(DATEVALUE(F2)),G2,DATEVALUE(F2))),IF(CJ2="Locked",DATEVALUE(G2),BS1)))</f>
        <v>42086</v>
      </c>
      <c r="BQ2" s="31">
        <f>IF($BR2=1,IF(VALUE(AB2)&gt;0,AB2,IF(BO2&gt;1,BT1,H2)),IF(AND(BR2=0,BX2=BX1),BT1,IF(VALUE(AB2)&gt;0,AB2,IF(CJ2="Locked",H2,IF(BR1=0,BQ1,IF(ISERROR(VALUE(BT1)),7/24,BT1))))))</f>
        <v>0.62567129629629636</v>
      </c>
      <c r="BR2">
        <f>IF(tblAllergenData[[#This Row],[Akt_Help]]=0,0,tblAllergenData[[#This Row],[Acc_Akt]])</f>
        <v>0</v>
      </c>
      <c r="BS2" s="12">
        <v>41233</v>
      </c>
      <c r="BT2" s="31">
        <v>0.73478472222551394</v>
      </c>
      <c r="BU2" s="104">
        <f>IF(tblAllergenData[[#This Row],[Locked]]="Locked",IF(tblAllergenData[[#This Row],[Scheduled start]]+tblAllergenData[[#This Row],[SchedStart]]&lt;CapDate+tblAllergenData[[#This Row],[StartSec]],CapDate+tblAllergenData[[#This Row],[StartSec]],tblAllergenData[[#This Row],[Scheduled start]]+tblAllergenData[[#This Row],[SchedStart]]),IF(tblAllergenData[[#This Row],[Start_DateH]]+tblAllergenData[[#This Row],[Start_TimeH]]&lt;CapDate+tblAllergenData[[#This Row],[StartSec]],CapDate+tblAllergenData[[#This Row],[StartSec]],tblAllergenData[[#This Row],[Start_DateH]]+tblAllergenData[[#This Row],[Start_TimeH]]))</f>
        <v>42086.625671296293</v>
      </c>
      <c r="BV2" s="105">
        <f>IF(tblAllergenData[[#This Row],[End_Date]]=0,"",tblAllergenData[[#This Row],[End_Date]]+TIME(HOUR(tblAllergenData[[#This Row],[End_Time]]),MINUTE(tblAllergenData[[#This Row],[End_Time]]),SECOND(tblAllergenData[[#This Row],[End_Time]])))</f>
        <v>41233.734780092593</v>
      </c>
      <c r="BW2" s="93">
        <v>0.29166666666666669</v>
      </c>
      <c r="BX2" t="str">
        <f>RIGHT(tblAllergenData[[#This Row],[Work ctr]],LEN(tblAllergenData[[#This Row],[Work ctr]])-5)&amp;" "&amp;tblAllergenData[[#This Row],[Work Center Description]]</f>
        <v>AR3101 Maskin A</v>
      </c>
      <c r="BY2" s="93">
        <v>0.9375</v>
      </c>
      <c r="BZ2" s="29">
        <f ca="1">IF(CJ2="Locked",CF2+CA2*0,IF(BX2&lt;&gt;BX1,CF2,IF(AND(CA2&gt;BZ1,BR2&gt;0),CA2+CF2,BZ1+CF2)))</f>
        <v>0</v>
      </c>
      <c r="CA2" s="29">
        <f>IF(ISERROR(VLOOKUP(tblAllergenData[[#This Row],[Work Center]]&amp;INT(tblAllergenData[[#This Row],[Start]]),CapStartDay,4,FALSE)),0,VLOOKUP(tblAllergenData[[#This Row],[Work Center]]&amp;INT(tblAllergenData[[#This Row],[Start]]),CapStartDay,4,FALSE)+(tblAllergenData[[#This Row],[Start]]-VLOOKUP(tblAllergenData[[#This Row],[Work Center]]&amp;INT(tblAllergenData[[#This Row],[Start]]),CapStartDay,3,FALSE))*3600*24)</f>
        <v>0</v>
      </c>
      <c r="CB2" s="29">
        <f>IF(CJ2="Locked",IF(VLOOKUP(DATEVALUE(D2),CapDateNumber,7,FALSE)&gt;1,VLOOKUP(BX2,CapStart,VLOOKUP(DATEVALUE(D2),CapDateNumber,7,FALSE),FALSE),0)+(E2-BW2)*24*3600,0)</f>
        <v>0</v>
      </c>
      <c r="CC2" s="34">
        <f ca="1">(IF(OR(tblAllergenData[[#This Row],[Active]]&lt;&gt;1,tblAllergenData[[#This Row],[Start]]&lt;ToDay+1,tblAllergenData[[#This Row],[Locked]]="Locked"),0,VLOOKUP(tblAllergenData[[#This Row],[Work Center]],CapStart,VLOOKUP(INT(tblAllergenData[[#This Row],[Start]]),CapDateNumber,7,FALSE),FALSE)+(tblAllergenData[[#This Row],[Start_TimeH]]-tblAllergenData[[#This Row],[StartSec]])*24*3600))/3600/24</f>
        <v>0</v>
      </c>
      <c r="CD2" s="34">
        <f>IF(ISERROR(tblAllergenData[[#This Row],[Rem_Time]]),0,tblAllergenData[[#This Row],[Rem_Time]]/24)</f>
        <v>0</v>
      </c>
      <c r="CE2" s="34">
        <f ca="1">IF(AND(BX2&lt;&gt;BX1,CJ2&lt;&gt;"Locked"),IF(CC2&gt;=CK2,0,IF(CL2&gt;CK2,0,CK2-CL2)),0)</f>
        <v>0</v>
      </c>
      <c r="CF2" s="35">
        <f ca="1">IF(ISERROR(tblAllergenData[[#This Row],[Rem_Time]]),0,SUM(tblAllergenData[[#This Row],[Startverdi]]:tblAllergenData[[#This Row],[Nå_verdi]])*24*3600+IF(tblAllergenData[[#This Row],[Locked]]="Locked",tblAllergenData[[#This Row],[StartCap]],tblAllergenData[[#This Row],[Acc_Cap2]]))</f>
        <v>0</v>
      </c>
      <c r="CG2" s="29">
        <f>IF(ISERROR(BN2),0,IF(AND(BN2&gt;0,K2&lt;&gt;"X",BX2&lt;&gt;BX1),1,IF(AND(ISERROR(DATEVALUE(F2)),K2&lt;&gt;"X"),1,0)))</f>
        <v>0</v>
      </c>
      <c r="CH2" s="29">
        <f>IF(BX2&lt;&gt;BX1,CG2,CG2+CH1)</f>
        <v>0</v>
      </c>
      <c r="CI2" s="29">
        <f>IF(AND(tblAllergenData[[#This Row],[Active]]=1,OR(tblAllergenData[[#This Row],[Quantity of goods received]]&gt;0,ISERROR(DATEVALUE(tblAllergenData[[#This Row],[Actual start date]]))=FALSE)),1,0)</f>
        <v>0</v>
      </c>
      <c r="CJ2" s="21" t="str">
        <f>IF(ISERROR(VLOOKUP(tblAllergenData[[#This Row],[Order]],LockedTable[],1,FALSE)),"","Locked")</f>
        <v/>
      </c>
      <c r="CK2" s="34">
        <f ca="1">IF(ISERROR(VLOOKUP(tblAllergenData[[#This Row],[Work Center]]&amp;ToDay,CapStartDay,4,FALSE)/3600/24),0,VLOOKUP(tblAllergenData[[#This Row],[Work Center]]&amp;ToDay,CapStartDay,4,FALSE)/3600/24)</f>
        <v>0</v>
      </c>
      <c r="CL2" s="34">
        <f ca="1">IF(ISERROR(VLOOKUP(tblAllergenData[[#This Row],[Work Center]]&amp;ToDay,CapStartDay,5,FALSE)),0,IF(VLOOKUP(tblAllergenData[[#This Row],[Work Center]]&amp;ToDay,CapStartDay,5,FALSE)=3,VLOOKUP(tblAllergenData[[#This Row],[Work Center]]&amp;ToDay,CapStartDay,3,FALSE)-NowValue,IF(NowValue&lt;VLOOKUP(tblAllergenData[[#This Row],[Work Center]]&amp;ToDay,CapStartDay,3,FALSE),IF(NowValue&lt;VLOOKUP(tblAllergenData[[#This Row],[Work Center]]&amp;ToDay,CapStartDay,2,FALSE),VLOOKUP(tblAllergenData[[#This Row],[Work Center]]&amp;ToDay,CapStartDay,3,FALSE)-VLOOKUP(tblAllergenData[[#This Row],[Work Center]]&amp;ToDay,CapStartDay,2,FALSE),VLOOKUP(tblAllergenData[[#This Row],[Work Center]]&amp;ToDay,CapStartDay,3,FALSE)-NowValue),0)))</f>
        <v>0</v>
      </c>
      <c r="CM2" s="32">
        <f ca="1">IF(ISERROR(VLOOKUP(tblAllergenData[[#This Row],[Work Center]]&amp;ToDay,CapStartDay,2,FALSE)),0,VLOOKUP(tblAllergenData[[#This Row],[Work Center]]&amp;ToDay,CapStartDay,2,FALSE))</f>
        <v>0</v>
      </c>
      <c r="CN2" s="36" t="str">
        <f>IF(OR(tblAllergenData[[#This Row],[Work ctr]]="AR00/AR1502",tblAllergenData[[#This Row],[Reqmt Qty]]=0),"Not relevant",IF(tblAllergenData[[#This Row],[MixEnhet]]="KG",(tblAllergenData[[#This Row],[Total Stock]]+tblAllergenData[[#This Row],[Qty Withdrawn]])/tblAllergenData[[#This Row],[Reqmt Qty]],"Unknown"))</f>
        <v>Not relevant</v>
      </c>
      <c r="CO2" s="29">
        <f>IF(OR(tblAllergenData[[#This Row],[Mix_Status]]="Unknown",tblAllergenData[[#This Row],[Mix_Status]]="Not relevant"),0,tblAllergenData[[#This Row],[Reqmt Qty]]*IF(tblAllergenData[[#This Row],[Mix_Status]]&gt;1,1,tblAllergenData[[#This Row],[Mix_Status]]))</f>
        <v>0</v>
      </c>
      <c r="CP2" s="29">
        <f>IF(OR(tblAllergenData[[#This Row],[Mix_Status]]="Unknown",tblAllergenData[[#This Row],[Mix_Status]]="Not relevant"),0,tblAllergenData[[#This Row],[Reqmt Qty]])</f>
        <v>0</v>
      </c>
      <c r="CQ2" s="91">
        <f>INT(tblAllergenData[[#This Row],[Start]])</f>
        <v>42086</v>
      </c>
      <c r="CR2" s="31">
        <f>tblAllergenData[[#This Row],[Start]]-tblAllergenData[[#This Row],[Start_Date]]</f>
        <v>0.62567129629314877</v>
      </c>
      <c r="CS2" s="11" t="str">
        <f>IF(ISERROR(VLOOKUP(tblAllergenData[[#This Row],[Material Number]],tblAllergen[],3,FALSE)),"",VLOOKUP(tblAllergenData[[#This Row],[Material Number]],tblAllergen[],3,FALSE))</f>
        <v/>
      </c>
      <c r="CT2" s="21" t="str">
        <f>IF(IF(ISERROR(VLOOKUP(tblAllergenData[[#This Row],[Material Number]],tblAllergenType[],2,FALSE)),"",VLOOKUP(tblAllergenData[[#This Row],[Material Number]],tblAllergenType[],2,FALSE))&lt;&gt;"X","","Sennep")</f>
        <v>Sennep</v>
      </c>
      <c r="CU2" s="21" t="str">
        <f>IF(IF(ISERROR(VLOOKUP(tblAllergenData[[#This Row],[Material Number]],tblAllergenType[],3,FALSE)),"",VLOOKUP(tblAllergenData[[#This Row],[Material Number]],tblAllergenType[],3,FALSE))&lt;&gt;"X","","Sesam")</f>
        <v>Sesam</v>
      </c>
      <c r="CV2" s="21" t="str">
        <f>IF(IF(ISERROR(VLOOKUP(tblAllergenData[[#This Row],[Material Number]],tblAllergenType[],4,FALSE)),"",VLOOKUP(tblAllergenData[[#This Row],[Material Number]],tblAllergenType[],4,FALSE))&lt;&gt;"X","","Fisk")</f>
        <v/>
      </c>
      <c r="CW2" s="21" t="str">
        <f>IF(IF(ISERROR(VLOOKUP(tblAllergenData[[#This Row],[Material Number]],tblAllergenType[],5,FALSE)),"",VLOOKUP(tblAllergenData[[#This Row],[Material Number]],tblAllergenType[],5,FALSE))&lt;&gt;"X","","Skalldyr")</f>
        <v/>
      </c>
      <c r="CX2" s="21" t="str">
        <f>IF(IF(ISERROR(VLOOKUP(tblAllergenData[[#This Row],[Material Number]],tblAllergenType[],6,FALSE)),"",VLOOKUP(tblAllergenData[[#This Row],[Material Number]],tblAllergenType[],6,FALSE))&lt;&gt;"X","","Bløtdyr")</f>
        <v/>
      </c>
      <c r="CY2" s="21" t="str">
        <f>IF(IF(ISERROR(VLOOKUP(tblAllergenData[[#This Row],[Material Number]],tblAllergenType[],7,FALSE)),"",VLOOKUP(tblAllergenData[[#This Row],[Material Number]],tblAllergenType[],7,FALSE))&lt;&gt;"X","","Nøtter")</f>
        <v/>
      </c>
      <c r="CZ2" s="21" t="str">
        <f>IF(IF(ISERROR(VLOOKUP(tblAllergenData[[#This Row],[Material Number]],tblAllergenType[],8,FALSE)),"",VLOOKUP(tblAllergenData[[#This Row],[Material Number]],tblAllergenType[],8,FALSE))&lt;&gt;"X","","Peanøtter")</f>
        <v/>
      </c>
      <c r="DA2" s="21" t="str">
        <f>IF(tblAllergenData[[#This Row],[Sennep]]&lt;&gt;"",tblAllergenData[[#This Row],[Sennep]]&amp;",","")&amp;IF(tblAllergenData[[#This Row],[Sesam]]&lt;&gt;"",tblAllergenData[[#This Row],[Sesam]]&amp;",","")&amp;IF(tblAllergenData[[#This Row],[Fisk]]&lt;&gt;"",tblAllergenData[[#This Row],[Fisk]]&amp;",","")&amp;IF(tblAllergenData[[#This Row],[Skalldyr]]&lt;&gt;"",tblAllergenData[[#This Row],[Skalldyr]]&amp;",","")&amp;IF(tblAllergenData[[#This Row],[Bløtdyr]]&lt;&gt;"",tblAllergenData[[#This Row],[Bløtdyr]]&amp;",","")&amp;IF(tblAllergenData[[#This Row],[Nøtter]]&lt;&gt;"",tblAllergenData[[#This Row],[Nøtter]]&amp;",","")&amp;IF(tblAllergenData[[#This Row],[Peanøtter]]&lt;&gt;"",tblAllergenData[[#This Row],[Peanøtter]],"")</f>
        <v>Sennep,Sesam,</v>
      </c>
      <c r="DB2" s="21" t="str">
        <f>IF(tblAllergenData[[#This Row],[AllergenText]]&lt;&gt;"",LEFT(tblAllergenData[[#This Row],[AllergenText]],LEN(tblAllergenData[[#This Row],[AllergenText]])-1),"")</f>
        <v>Sennep,Sesam</v>
      </c>
      <c r="DC2" s="21" t="str">
        <f>tblAllergenData[[#This Row],[Mix Material]] &amp;" "&amp; tblAllergenData[[#This Row],[Mix Material Description]]</f>
        <v>506620 Salt Vacuum Fint</v>
      </c>
      <c r="DD2" s="21" t="str">
        <f>IF(ISERROR(VLOOKUP(tblAllergenData[[#This Row],[Work Center]],tblWCGroup[],2,FALSE)),"",VLOOKUP(tblAllergenData[[#This Row],[Work Center]],tblWCGroup[],2,FALSE))</f>
        <v>Mess A</v>
      </c>
      <c r="DF2" s="74">
        <f ca="1">NOW()-TODAY()</f>
        <v>0.98875821759429527</v>
      </c>
    </row>
    <row r="3" spans="1:112" x14ac:dyDescent="0.25">
      <c r="A3" s="21">
        <f>INT(tblAllergenData[[#This Row],[OrderNummer]])</f>
        <v>1216279</v>
      </c>
      <c r="C3" s="12" t="s">
        <v>398</v>
      </c>
      <c r="D3" s="12" t="s">
        <v>399</v>
      </c>
      <c r="E3" s="33">
        <v>0.625</v>
      </c>
      <c r="F3" s="12" t="s">
        <v>398</v>
      </c>
      <c r="G3" s="12" t="s">
        <v>398</v>
      </c>
      <c r="H3" s="33">
        <v>0.48312500000000003</v>
      </c>
      <c r="I3" s="12" t="s">
        <v>398</v>
      </c>
      <c r="J3" s="99" t="s">
        <v>398</v>
      </c>
      <c r="L3" s="100">
        <v>1216279</v>
      </c>
      <c r="M3" s="12" t="s">
        <v>398</v>
      </c>
      <c r="N3" s="21" t="s">
        <v>380</v>
      </c>
      <c r="O3" s="21" t="s">
        <v>400</v>
      </c>
      <c r="P3" s="21"/>
      <c r="Q3" s="21" t="s">
        <v>401</v>
      </c>
      <c r="R3" s="21"/>
      <c r="S3" s="21"/>
      <c r="T3" s="21">
        <v>1</v>
      </c>
      <c r="U3" s="21" t="s">
        <v>570</v>
      </c>
      <c r="V3" s="21">
        <v>2</v>
      </c>
      <c r="W3" s="21">
        <v>1</v>
      </c>
      <c r="X3" s="21" t="s">
        <v>381</v>
      </c>
      <c r="Y3" s="33">
        <v>0.48312500000000003</v>
      </c>
      <c r="Z3" s="12" t="s">
        <v>398</v>
      </c>
      <c r="AA3" s="33">
        <v>0.62567129629629636</v>
      </c>
      <c r="AB3" s="93">
        <v>0.62567129629629636</v>
      </c>
      <c r="AC3" s="33">
        <v>0.62567129629629636</v>
      </c>
      <c r="AD3" s="93">
        <v>0.62567129629629636</v>
      </c>
      <c r="AE3" s="21">
        <v>10000754</v>
      </c>
      <c r="AF3" s="21" t="s">
        <v>403</v>
      </c>
      <c r="AG3" s="21" t="s">
        <v>71</v>
      </c>
      <c r="AH3" s="91" t="s">
        <v>398</v>
      </c>
      <c r="AI3" s="93">
        <v>0.48312500000000003</v>
      </c>
      <c r="AJ3" s="91" t="s">
        <v>404</v>
      </c>
      <c r="AK3" s="93" t="s">
        <v>405</v>
      </c>
      <c r="AL3" s="91" t="s">
        <v>403</v>
      </c>
      <c r="AM3" s="91" t="s">
        <v>419</v>
      </c>
      <c r="AN3" s="91" t="s">
        <v>45</v>
      </c>
      <c r="AO3" s="21">
        <v>506620</v>
      </c>
      <c r="AP3" s="93" t="s">
        <v>401</v>
      </c>
      <c r="AQ3" s="21" t="s">
        <v>569</v>
      </c>
      <c r="AR3" s="21"/>
      <c r="AS3" s="21">
        <v>1000</v>
      </c>
      <c r="AT3" s="21">
        <v>0</v>
      </c>
      <c r="AU3" s="21">
        <v>0</v>
      </c>
      <c r="AV3" s="21">
        <v>3150</v>
      </c>
      <c r="AW3" s="21">
        <v>3150</v>
      </c>
      <c r="AX3" s="21">
        <v>3150</v>
      </c>
      <c r="AY3" s="21">
        <v>0.2</v>
      </c>
      <c r="AZ3" s="21">
        <v>0</v>
      </c>
      <c r="BA3" s="21">
        <v>3173</v>
      </c>
      <c r="BB3" s="21">
        <v>0</v>
      </c>
      <c r="BC3" s="21">
        <v>0</v>
      </c>
      <c r="BD3" s="21">
        <v>3150</v>
      </c>
      <c r="BE3" s="21">
        <v>3150</v>
      </c>
      <c r="BF3" s="21">
        <v>0</v>
      </c>
      <c r="BG3" s="21">
        <v>0</v>
      </c>
      <c r="BH3" s="21">
        <v>0</v>
      </c>
      <c r="BI3" s="21">
        <v>0</v>
      </c>
      <c r="BJ3" s="21" t="str">
        <f>tblAllergenData[[#This Row],[Material Number]]&amp;" "&amp;tblAllergenData[[#This Row],[Material Description]]</f>
        <v xml:space="preserve"> BRUNET MASSE</v>
      </c>
      <c r="BK3" s="29">
        <f>IF(tblAllergenData[[#This Row],[Total order quantity]]-tblAllergenData[[#This Row],[Quantity of goods received]]&lt;0,0,tblAllergenData[[#This Row],[Total order quantity]]-tblAllergenData[[#This Row],[Quantity of goods received]])</f>
        <v>23</v>
      </c>
      <c r="BL3" s="21">
        <f>IF(tblAllergenData[[#This Row],[Base Quantity]]=0,0,tblAllergenData[[#This Row],[Operation Qty]]/tblAllergenData[[#This Row],[Base Quantity]])</f>
        <v>3.15</v>
      </c>
      <c r="BM3" s="30">
        <f>tblAllergenData[[#This Row],[SetupTid]]</f>
        <v>0</v>
      </c>
      <c r="BN3" s="21">
        <f>IF(tblAllergenData[[#This Row],[DCI]]="X",0,IF(tblAllergenData[[#This Row],[Rem_Qty]]&lt;tblAllergenData[[#This Row],[Total order quantity]],(tblAllergenData[[#This Row],[ProcTid]]/tblAllergenData[[#This Row],[Base Quantity]])*tblAllergenData[[#This Row],[Rem_Qty]],tblAllergenData[Processing time]))</f>
        <v>0</v>
      </c>
      <c r="BO3" s="21">
        <f>IF(AQ3&lt;&gt;AQ2,1,IF(ISERROR(DATEVALUE(F3)),BO2+1,BO2))</f>
        <v>1</v>
      </c>
      <c r="BP3" s="91">
        <f>IF($BR3=1,IF(ISERROR(DATEVALUE(F3)),IF(BO3&gt;1,BP2,DATEVALUE(G3)),DATEVALUE(F3)),IF(BR3=0,IF(BX3=BX2,BS2,IF(ISERROR(DATEVALUE(F3)),G3,DATEVALUE(F3))),IF(CJ3="Locked",DATEVALUE(G3),BS2)))</f>
        <v>42086</v>
      </c>
      <c r="BQ3" s="31">
        <f>IF($BR3=1,IF(VALUE(AB3)&gt;0,AB3,IF(BO3&gt;1,BT2,H3)),IF(AND(BR3=0,BX3=BX2),BT2,IF(VALUE(AB3)&gt;0,AB3,IF(CJ3="Locked",H3,IF(BR2=0,BQ2,IF(ISERROR(VALUE(BT2)),7/24,BT2))))))</f>
        <v>0.62567129629629636</v>
      </c>
      <c r="BR3">
        <f>IF(tblAllergenData[[#This Row],[Akt_Help]]=0,0,tblAllergenData[[#This Row],[Acc_Akt]])</f>
        <v>1</v>
      </c>
      <c r="BS3" s="12">
        <v>41233</v>
      </c>
      <c r="BT3" s="31">
        <v>0.92922928240861591</v>
      </c>
      <c r="BU3" s="104">
        <f>IF(tblAllergenData[[#This Row],[Locked]]="Locked",IF(tblAllergenData[[#This Row],[Scheduled start]]+tblAllergenData[[#This Row],[SchedStart]]&lt;CapDate+tblAllergenData[[#This Row],[StartSec]],CapDate+tblAllergenData[[#This Row],[StartSec]],tblAllergenData[[#This Row],[Scheduled start]]+tblAllergenData[[#This Row],[SchedStart]]),IF(tblAllergenData[[#This Row],[Start_DateH]]+tblAllergenData[[#This Row],[Start_TimeH]]&lt;CapDate+tblAllergenData[[#This Row],[StartSec]],CapDate+tblAllergenData[[#This Row],[StartSec]],tblAllergenData[[#This Row],[Start_DateH]]+tblAllergenData[[#This Row],[Start_TimeH]]))</f>
        <v>42086.625671296293</v>
      </c>
      <c r="BV3" s="105">
        <f>IF(tblAllergenData[[#This Row],[End_Date]]=0,"",tblAllergenData[[#This Row],[End_Date]]+TIME(HOUR(tblAllergenData[[#This Row],[End_Time]]),MINUTE(tblAllergenData[[#This Row],[End_Time]]),SECOND(tblAllergenData[[#This Row],[End_Time]])))</f>
        <v>41233.929224537038</v>
      </c>
      <c r="BW3" s="93">
        <v>0.29166666666666669</v>
      </c>
      <c r="BX3" t="str">
        <f>RIGHT(tblAllergenData[[#This Row],[Work ctr]],LEN(tblAllergenData[[#This Row],[Work ctr]])-5)&amp;" "&amp;tblAllergenData[[#This Row],[Work Center Description]]</f>
        <v>AR3101 Maskin A</v>
      </c>
      <c r="BY3" s="93">
        <v>0.9375</v>
      </c>
      <c r="BZ3" s="29">
        <f ca="1">IF(CJ3="Locked",CF3+CA3*0,IF(BX3&lt;&gt;BX2,CF3,IF(AND(CA3&gt;BZ2,BR3&gt;0),CA3+CF3,BZ2+CF3)))</f>
        <v>0</v>
      </c>
      <c r="CA3" s="29">
        <f>IF(ISERROR(VLOOKUP(tblAllergenData[[#This Row],[Work Center]]&amp;INT(tblAllergenData[[#This Row],[Start]]),CapStartDay,4,FALSE)),0,VLOOKUP(tblAllergenData[[#This Row],[Work Center]]&amp;INT(tblAllergenData[[#This Row],[Start]]),CapStartDay,4,FALSE)+(tblAllergenData[[#This Row],[Start]]-VLOOKUP(tblAllergenData[[#This Row],[Work Center]]&amp;INT(tblAllergenData[[#This Row],[Start]]),CapStartDay,3,FALSE))*3600*24)</f>
        <v>0</v>
      </c>
      <c r="CB3" s="29">
        <f>IF(CJ3="Locked",IF(VLOOKUP(DATEVALUE(D3),CapDateNumber,7,FALSE)&gt;1,VLOOKUP(BX3,CapStart,VLOOKUP(DATEVALUE(D3),CapDateNumber,7,FALSE),FALSE),0)+(E3-BW3)*24*3600,0)</f>
        <v>0</v>
      </c>
      <c r="CC3" s="34">
        <f ca="1">(IF(OR(tblAllergenData[[#This Row],[Active]]&lt;&gt;1,tblAllergenData[[#This Row],[Start]]&lt;ToDay+1,tblAllergenData[[#This Row],[Locked]]="Locked"),0,VLOOKUP(tblAllergenData[[#This Row],[Work Center]],CapStart,VLOOKUP(INT(tblAllergenData[[#This Row],[Start]]),CapDateNumber,7,FALSE),FALSE)+(tblAllergenData[[#This Row],[Start_TimeH]]-tblAllergenData[[#This Row],[StartSec]])*24*3600))/3600/24</f>
        <v>0</v>
      </c>
      <c r="CD3" s="34">
        <f>IF(ISERROR(tblAllergenData[[#This Row],[Rem_Time]]),0,tblAllergenData[[#This Row],[Rem_Time]]/24)</f>
        <v>0</v>
      </c>
      <c r="CE3" s="34">
        <f>IF(AND(BX3&lt;&gt;BX2,CJ3&lt;&gt;"Locked"),IF(CC3&gt;=CK3,0,IF(CL3&gt;CK3,0,CK3-CL3)),0)</f>
        <v>0</v>
      </c>
      <c r="CF3" s="35">
        <f ca="1">IF(ISERROR(tblAllergenData[[#This Row],[Rem_Time]]),0,SUM(tblAllergenData[[#This Row],[Startverdi]]:tblAllergenData[[#This Row],[Nå_verdi]])*24*3600+IF(tblAllergenData[[#This Row],[Locked]]="Locked",tblAllergenData[[#This Row],[StartCap]],tblAllergenData[[#This Row],[Acc_Cap2]]))</f>
        <v>0</v>
      </c>
      <c r="CG3" s="29">
        <v>1</v>
      </c>
      <c r="CH3" s="29">
        <f>IF(BX3&lt;&gt;BX2,CG3,CG3+CH2)</f>
        <v>1</v>
      </c>
      <c r="CI3" s="29">
        <f>IF(AND(tblAllergenData[[#This Row],[Active]]=1,OR(tblAllergenData[[#This Row],[Quantity of goods received]]&gt;0,ISERROR(DATEVALUE(tblAllergenData[[#This Row],[Actual start date]]))=FALSE)),1,0)</f>
        <v>1</v>
      </c>
      <c r="CJ3" s="21" t="str">
        <f>IF(ISERROR(VLOOKUP(tblAllergenData[[#This Row],[Order]],LockedTable[],1,FALSE)),"","Locked")</f>
        <v/>
      </c>
      <c r="CK3" s="34">
        <f ca="1">IF(ISERROR(VLOOKUP(tblAllergenData[[#This Row],[Work Center]]&amp;ToDay,CapStartDay,4,FALSE)/3600/24),0,VLOOKUP(tblAllergenData[[#This Row],[Work Center]]&amp;ToDay,CapStartDay,4,FALSE)/3600/24)</f>
        <v>0</v>
      </c>
      <c r="CL3" s="34">
        <f ca="1">IF(ISERROR(VLOOKUP(tblAllergenData[[#This Row],[Work Center]]&amp;ToDay,CapStartDay,5,FALSE)),0,IF(VLOOKUP(tblAllergenData[[#This Row],[Work Center]]&amp;ToDay,CapStartDay,5,FALSE)=3,VLOOKUP(tblAllergenData[[#This Row],[Work Center]]&amp;ToDay,CapStartDay,3,FALSE)-NowValue,IF(NowValue&lt;VLOOKUP(tblAllergenData[[#This Row],[Work Center]]&amp;ToDay,CapStartDay,3,FALSE),IF(NowValue&lt;VLOOKUP(tblAllergenData[[#This Row],[Work Center]]&amp;ToDay,CapStartDay,2,FALSE),VLOOKUP(tblAllergenData[[#This Row],[Work Center]]&amp;ToDay,CapStartDay,3,FALSE)-VLOOKUP(tblAllergenData[[#This Row],[Work Center]]&amp;ToDay,CapStartDay,2,FALSE),VLOOKUP(tblAllergenData[[#This Row],[Work Center]]&amp;ToDay,CapStartDay,3,FALSE)-NowValue),0)))</f>
        <v>0</v>
      </c>
      <c r="CM3" s="32">
        <f ca="1">IF(ISERROR(VLOOKUP(tblAllergenData[[#This Row],[Work Center]]&amp;ToDay,CapStartDay,2,FALSE)),0,VLOOKUP(tblAllergenData[[#This Row],[Work Center]]&amp;ToDay,CapStartDay,2,FALSE))</f>
        <v>0</v>
      </c>
      <c r="CN3" s="36" t="str">
        <f>IF(OR(tblAllergenData[[#This Row],[Work ctr]]="AR00/AR1502",tblAllergenData[[#This Row],[Reqmt Qty]]=0),"Not relevant",IF(tblAllergenData[[#This Row],[MixEnhet]]="KG",(tblAllergenData[[#This Row],[Total Stock]]+tblAllergenData[[#This Row],[Qty Withdrawn]])/tblAllergenData[[#This Row],[Reqmt Qty]],"Unknown"))</f>
        <v>Not relevant</v>
      </c>
      <c r="CO3" s="29">
        <f>IF(OR(tblAllergenData[[#This Row],[Mix_Status]]="Unknown",tblAllergenData[[#This Row],[Mix_Status]]="Not relevant"),0,tblAllergenData[[#This Row],[Reqmt Qty]]*IF(tblAllergenData[[#This Row],[Mix_Status]]&gt;1,1,tblAllergenData[[#This Row],[Mix_Status]]))</f>
        <v>0</v>
      </c>
      <c r="CP3" s="29">
        <f>IF(OR(tblAllergenData[[#This Row],[Mix_Status]]="Unknown",tblAllergenData[[#This Row],[Mix_Status]]="Not relevant"),0,tblAllergenData[[#This Row],[Reqmt Qty]])</f>
        <v>0</v>
      </c>
      <c r="CQ3" s="91">
        <f>INT(tblAllergenData[[#This Row],[Start]])</f>
        <v>42086</v>
      </c>
      <c r="CR3" s="31">
        <f>tblAllergenData[[#This Row],[Start]]-tblAllergenData[[#This Row],[Start_Date]]</f>
        <v>0.62567129629314877</v>
      </c>
      <c r="CS3" s="11" t="str">
        <f>IF(ISERROR(VLOOKUP(tblAllergenData[[#This Row],[Material Number]],tblAllergen[],3,FALSE)),"",VLOOKUP(tblAllergenData[[#This Row],[Material Number]],tblAllergen[],3,FALSE))</f>
        <v/>
      </c>
      <c r="CT3" s="21" t="str">
        <f>IF(IF(ISERROR(VLOOKUP(tblAllergenData[[#This Row],[Material Number]],tblAllergenType[],2,FALSE)),"",VLOOKUP(tblAllergenData[[#This Row],[Material Number]],tblAllergenType[],2,FALSE))&lt;&gt;"X","","Sennep")</f>
        <v/>
      </c>
      <c r="CU3" s="21" t="str">
        <f>IF(IF(ISERROR(VLOOKUP(tblAllergenData[[#This Row],[Material Number]],tblAllergenType[],3,FALSE)),"",VLOOKUP(tblAllergenData[[#This Row],[Material Number]],tblAllergenType[],3,FALSE))&lt;&gt;"X","","Sesam")</f>
        <v/>
      </c>
      <c r="CV3" s="21" t="str">
        <f>IF(IF(ISERROR(VLOOKUP(tblAllergenData[[#This Row],[Material Number]],tblAllergenType[],4,FALSE)),"",VLOOKUP(tblAllergenData[[#This Row],[Material Number]],tblAllergenType[],4,FALSE))&lt;&gt;"X","","Fisk")</f>
        <v/>
      </c>
      <c r="CW3" s="21" t="str">
        <f>IF(IF(ISERROR(VLOOKUP(tblAllergenData[[#This Row],[Material Number]],tblAllergenType[],5,FALSE)),"",VLOOKUP(tblAllergenData[[#This Row],[Material Number]],tblAllergenType[],5,FALSE))&lt;&gt;"X","","Skalldyr")</f>
        <v/>
      </c>
      <c r="CX3" s="21" t="str">
        <f>IF(IF(ISERROR(VLOOKUP(tblAllergenData[[#This Row],[Material Number]],tblAllergenType[],6,FALSE)),"",VLOOKUP(tblAllergenData[[#This Row],[Material Number]],tblAllergenType[],6,FALSE))&lt;&gt;"X","","Bløtdyr")</f>
        <v/>
      </c>
      <c r="CY3" s="21" t="str">
        <f>IF(IF(ISERROR(VLOOKUP(tblAllergenData[[#This Row],[Material Number]],tblAllergenType[],7,FALSE)),"",VLOOKUP(tblAllergenData[[#This Row],[Material Number]],tblAllergenType[],7,FALSE))&lt;&gt;"X","","Nøtter")</f>
        <v/>
      </c>
      <c r="CZ3" s="21" t="str">
        <f>IF(IF(ISERROR(VLOOKUP(tblAllergenData[[#This Row],[Material Number]],tblAllergenType[],8,FALSE)),"",VLOOKUP(tblAllergenData[[#This Row],[Material Number]],tblAllergenType[],8,FALSE))&lt;&gt;"X","","Peanøtter")</f>
        <v/>
      </c>
      <c r="DA3" s="21" t="str">
        <f>IF(tblAllergenData[[#This Row],[Sennep]]&lt;&gt;"",tblAllergenData[[#This Row],[Sennep]]&amp;",","")&amp;IF(tblAllergenData[[#This Row],[Sesam]]&lt;&gt;"",tblAllergenData[[#This Row],[Sesam]]&amp;",","")&amp;IF(tblAllergenData[[#This Row],[Fisk]]&lt;&gt;"",tblAllergenData[[#This Row],[Fisk]]&amp;",","")&amp;IF(tblAllergenData[[#This Row],[Skalldyr]]&lt;&gt;"",tblAllergenData[[#This Row],[Skalldyr]]&amp;",","")&amp;IF(tblAllergenData[[#This Row],[Bløtdyr]]&lt;&gt;"",tblAllergenData[[#This Row],[Bløtdyr]]&amp;",","")&amp;IF(tblAllergenData[[#This Row],[Nøtter]]&lt;&gt;"",tblAllergenData[[#This Row],[Nøtter]]&amp;",","")&amp;IF(tblAllergenData[[#This Row],[Peanøtter]]&lt;&gt;"",tblAllergenData[[#This Row],[Peanøtter]],"")</f>
        <v/>
      </c>
      <c r="DB3" s="21" t="str">
        <f>IF(tblAllergenData[[#This Row],[AllergenText]]&lt;&gt;"",LEFT(tblAllergenData[[#This Row],[AllergenText]],LEN(tblAllergenData[[#This Row],[AllergenText]])-1),"")</f>
        <v/>
      </c>
      <c r="DC3" s="21" t="str">
        <f>tblAllergenData[[#This Row],[Mix Material]] &amp;" "&amp; tblAllergenData[[#This Row],[Mix Material Description]]</f>
        <v>506620 Salt Vacuum Fint</v>
      </c>
      <c r="DD3" s="21" t="str">
        <f>IF(ISERROR(VLOOKUP(tblAllergenData[[#This Row],[Work Center]],tblWCGroup[],2,FALSE)),"",VLOOKUP(tblAllergenData[[#This Row],[Work Center]],tblWCGroup[],2,FALSE))</f>
        <v>Mess A</v>
      </c>
    </row>
    <row r="8" spans="1:112" x14ac:dyDescent="0.25">
      <c r="DF8" t="s">
        <v>365</v>
      </c>
    </row>
  </sheetData>
  <phoneticPr fontId="2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22">
    <tabColor rgb="FFFF8080"/>
  </sheetPr>
  <dimension ref="A1:U14"/>
  <sheetViews>
    <sheetView showGridLines="0" zoomScale="85" zoomScaleNormal="85" workbookViewId="0">
      <selection activeCell="E2" sqref="E2"/>
    </sheetView>
  </sheetViews>
  <sheetFormatPr baseColWidth="10" defaultColWidth="11.42578125" defaultRowHeight="15" x14ac:dyDescent="0.25"/>
  <cols>
    <col min="1" max="1" width="7" customWidth="1"/>
    <col min="2" max="2" width="6.5703125" bestFit="1" customWidth="1"/>
    <col min="3" max="3" width="8.7109375" bestFit="1" customWidth="1"/>
    <col min="4" max="4" width="27.28515625" bestFit="1" customWidth="1"/>
    <col min="5" max="5" width="11.7109375" bestFit="1" customWidth="1"/>
    <col min="6" max="6" width="7.28515625" bestFit="1" customWidth="1"/>
    <col min="7" max="7" width="9.28515625" bestFit="1" customWidth="1"/>
    <col min="8" max="9" width="13.7109375" bestFit="1" customWidth="1"/>
    <col min="10" max="10" width="8.42578125" bestFit="1" customWidth="1"/>
    <col min="11" max="11" width="10.28515625" bestFit="1" customWidth="1"/>
    <col min="12" max="12" width="8" bestFit="1" customWidth="1"/>
    <col min="13" max="13" width="12.28515625" bestFit="1" customWidth="1"/>
    <col min="14" max="14" width="13.28515625" bestFit="1" customWidth="1"/>
    <col min="15" max="15" width="10.7109375" bestFit="1" customWidth="1"/>
    <col min="16" max="16" width="8.7109375" bestFit="1" customWidth="1"/>
    <col min="17" max="17" width="9.7109375" bestFit="1" customWidth="1"/>
    <col min="18" max="18" width="8.7109375" bestFit="1" customWidth="1"/>
    <col min="19" max="19" width="9.7109375" customWidth="1"/>
    <col min="20" max="20" width="7.7109375" bestFit="1" customWidth="1"/>
    <col min="21" max="21" width="8.7109375" bestFit="1" customWidth="1"/>
  </cols>
  <sheetData>
    <row r="1" spans="1:21" x14ac:dyDescent="0.25">
      <c r="A1" t="s">
        <v>3</v>
      </c>
      <c r="B1" t="s">
        <v>346</v>
      </c>
      <c r="C1" t="s">
        <v>89</v>
      </c>
      <c r="D1" t="s">
        <v>347</v>
      </c>
      <c r="E1" t="s">
        <v>125</v>
      </c>
      <c r="F1" t="s">
        <v>349</v>
      </c>
      <c r="G1" t="s">
        <v>72</v>
      </c>
      <c r="H1" t="s">
        <v>348</v>
      </c>
      <c r="I1" t="s">
        <v>353</v>
      </c>
      <c r="J1" t="s">
        <v>382</v>
      </c>
      <c r="K1" t="s">
        <v>44</v>
      </c>
      <c r="L1" t="s">
        <v>383</v>
      </c>
      <c r="M1" t="s">
        <v>384</v>
      </c>
      <c r="N1" t="s">
        <v>385</v>
      </c>
      <c r="O1" t="s">
        <v>351</v>
      </c>
      <c r="P1" t="s">
        <v>352</v>
      </c>
      <c r="Q1" t="s">
        <v>386</v>
      </c>
      <c r="R1" t="s">
        <v>350</v>
      </c>
      <c r="S1" t="s">
        <v>391</v>
      </c>
      <c r="T1" t="s">
        <v>169</v>
      </c>
      <c r="U1" t="s">
        <v>354</v>
      </c>
    </row>
    <row r="2" spans="1:21" x14ac:dyDescent="0.25">
      <c r="A2" s="8" t="s">
        <v>387</v>
      </c>
      <c r="B2" s="8">
        <v>8</v>
      </c>
      <c r="C2" s="77"/>
      <c r="D2" s="77" t="s">
        <v>388</v>
      </c>
      <c r="E2" s="70" t="s">
        <v>389</v>
      </c>
      <c r="F2" s="8">
        <v>1</v>
      </c>
      <c r="G2" s="77">
        <v>10000705</v>
      </c>
      <c r="H2" s="8" t="s">
        <v>381</v>
      </c>
      <c r="I2" s="8" t="s">
        <v>381</v>
      </c>
      <c r="J2" s="8">
        <v>100</v>
      </c>
      <c r="K2" s="8" t="s">
        <v>390</v>
      </c>
      <c r="L2" s="8" t="s">
        <v>387</v>
      </c>
      <c r="M2" s="8" t="s">
        <v>389</v>
      </c>
      <c r="N2" s="8">
        <v>57600</v>
      </c>
      <c r="O2" s="8">
        <v>57600</v>
      </c>
      <c r="P2" s="8">
        <v>0</v>
      </c>
      <c r="Q2" s="8">
        <v>0</v>
      </c>
      <c r="R2" s="8">
        <v>79200</v>
      </c>
      <c r="S2" s="8"/>
      <c r="T2" s="8"/>
      <c r="U2" s="8">
        <v>79200</v>
      </c>
    </row>
    <row r="3" spans="1:21" x14ac:dyDescent="0.25">
      <c r="A3" t="s">
        <v>387</v>
      </c>
      <c r="B3">
        <v>8</v>
      </c>
      <c r="C3" s="77"/>
      <c r="D3" s="77" t="s">
        <v>388</v>
      </c>
      <c r="E3" s="12" t="s">
        <v>389</v>
      </c>
      <c r="F3">
        <v>2</v>
      </c>
      <c r="G3" s="77">
        <v>10000705</v>
      </c>
      <c r="H3" t="s">
        <v>381</v>
      </c>
      <c r="I3" t="s">
        <v>381</v>
      </c>
      <c r="J3">
        <v>100</v>
      </c>
      <c r="K3" t="s">
        <v>390</v>
      </c>
      <c r="L3" t="s">
        <v>387</v>
      </c>
      <c r="M3" t="s">
        <v>389</v>
      </c>
      <c r="N3">
        <v>57600</v>
      </c>
      <c r="O3">
        <v>57600</v>
      </c>
      <c r="P3">
        <v>0</v>
      </c>
      <c r="Q3">
        <v>0</v>
      </c>
      <c r="R3">
        <v>79200</v>
      </c>
      <c r="U3">
        <v>79200</v>
      </c>
    </row>
    <row r="4" spans="1:21" x14ac:dyDescent="0.25">
      <c r="C4" s="12"/>
    </row>
    <row r="5" spans="1:21" x14ac:dyDescent="0.25">
      <c r="C5" s="12"/>
    </row>
    <row r="6" spans="1:21" x14ac:dyDescent="0.25">
      <c r="C6" s="12"/>
    </row>
    <row r="7" spans="1:21" x14ac:dyDescent="0.25">
      <c r="C7" s="12"/>
    </row>
    <row r="8" spans="1:21" x14ac:dyDescent="0.25">
      <c r="C8" s="12"/>
    </row>
    <row r="9" spans="1:21" x14ac:dyDescent="0.25">
      <c r="C9" s="12"/>
    </row>
    <row r="10" spans="1:21" x14ac:dyDescent="0.25">
      <c r="C10" s="12"/>
    </row>
    <row r="11" spans="1:21" x14ac:dyDescent="0.25">
      <c r="C11" s="12"/>
    </row>
    <row r="12" spans="1:21" x14ac:dyDescent="0.25">
      <c r="C12" s="12"/>
    </row>
    <row r="13" spans="1:21" x14ac:dyDescent="0.25">
      <c r="C13" s="12"/>
    </row>
    <row r="14" spans="1:21" x14ac:dyDescent="0.25">
      <c r="C14" s="12"/>
    </row>
  </sheetData>
  <sheetProtection pivotTables="0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17">
    <tabColor rgb="FFFF8080"/>
    <pageSetUpPr fitToPage="1"/>
  </sheetPr>
  <dimension ref="A1:Y33"/>
  <sheetViews>
    <sheetView showGridLines="0" zoomScale="85" zoomScaleNormal="85" workbookViewId="0"/>
  </sheetViews>
  <sheetFormatPr baseColWidth="10" defaultColWidth="11.42578125" defaultRowHeight="15" x14ac:dyDescent="0.25"/>
  <cols>
    <col min="1" max="1" width="16.28515625" bestFit="1" customWidth="1"/>
    <col min="2" max="2" width="10.28515625" bestFit="1" customWidth="1"/>
    <col min="3" max="3" width="7.7109375" style="78" customWidth="1"/>
    <col min="4" max="4" width="7.5703125" style="78" customWidth="1"/>
    <col min="5" max="5" width="10.7109375" style="78" customWidth="1"/>
    <col min="6" max="6" width="11.7109375" bestFit="1" customWidth="1"/>
    <col min="8" max="8" width="14.7109375" bestFit="1" customWidth="1"/>
    <col min="9" max="9" width="14.28515625" bestFit="1" customWidth="1"/>
    <col min="10" max="10" width="21.42578125" customWidth="1"/>
    <col min="11" max="11" width="12.28515625" bestFit="1" customWidth="1"/>
    <col min="12" max="12" width="13.42578125" bestFit="1" customWidth="1"/>
    <col min="13" max="13" width="15.7109375" bestFit="1" customWidth="1"/>
    <col min="14" max="14" width="7.7109375" customWidth="1"/>
  </cols>
  <sheetData>
    <row r="1" spans="1:25" x14ac:dyDescent="0.25">
      <c r="A1" s="8" t="s">
        <v>172</v>
      </c>
      <c r="B1" s="8" t="s">
        <v>355</v>
      </c>
      <c r="C1" s="77" t="s">
        <v>169</v>
      </c>
      <c r="D1" s="77" t="s">
        <v>170</v>
      </c>
      <c r="E1" s="77" t="s">
        <v>351</v>
      </c>
      <c r="F1" s="8" t="s">
        <v>356</v>
      </c>
      <c r="G1" s="8" t="s">
        <v>357</v>
      </c>
      <c r="H1" s="16" t="s">
        <v>358</v>
      </c>
      <c r="I1" s="16" t="s">
        <v>359</v>
      </c>
      <c r="J1" s="16" t="s">
        <v>360</v>
      </c>
      <c r="K1" s="71" t="s">
        <v>187</v>
      </c>
      <c r="L1" s="71" t="s">
        <v>361</v>
      </c>
      <c r="M1" s="16" t="s">
        <v>363</v>
      </c>
      <c r="N1" s="16" t="s">
        <v>362</v>
      </c>
      <c r="Q1" s="80">
        <f>CapDate</f>
        <v>41603</v>
      </c>
      <c r="R1">
        <v>1</v>
      </c>
      <c r="S1" s="12">
        <f>CapDate-1</f>
        <v>41602</v>
      </c>
      <c r="W1">
        <v>1</v>
      </c>
      <c r="X1">
        <f>IF(R1=1,1,0)</f>
        <v>1</v>
      </c>
      <c r="Y1" s="12">
        <f t="shared" ref="Y1:Y15" si="0">Q1</f>
        <v>41603</v>
      </c>
    </row>
    <row r="2" spans="1:25" x14ac:dyDescent="0.25">
      <c r="A2" t="s">
        <v>402</v>
      </c>
      <c r="B2" s="12">
        <v>42088</v>
      </c>
      <c r="C2" s="78">
        <v>25200</v>
      </c>
      <c r="D2" s="78">
        <v>81000</v>
      </c>
      <c r="E2" s="78">
        <v>54000</v>
      </c>
      <c r="H2">
        <f t="shared" ref="H2:H3" si="1">IF(OR(ROW(E2)=2,A2&lt;&gt;A1),E2,H1+E2)</f>
        <v>54000</v>
      </c>
      <c r="I2" s="29">
        <f ca="1">IF(A2&lt;&gt;A1,(TODAY()+1-NOW())*3600*24,I1+24*3600)</f>
        <v>971.28999985288829</v>
      </c>
      <c r="J2" t="str">
        <f>tWCCap[[#This Row],[Work Center]]&amp;VALUE(tWCCap[[#This Row],[Date]])</f>
        <v>AR00/AR270142088</v>
      </c>
      <c r="K2" s="72">
        <f>tWCCap[[#This Row],[Date]]+(tWCCap[[#This Row],[Start]]/3600/24)</f>
        <v>42088.291666666664</v>
      </c>
      <c r="L2" s="72">
        <f>tWCCap[[#This Row],[Date]]+IF(AND(tWCCap[[#This Row],[Stop]]&gt;0,tWCCap[[#This Row],[Start]]=tWCCap[[#This Row],[Stop]]),1+(tWCCap[[#This Row],[Stop]]/3600/24),(tWCCap[[#This Row],[Stop]]/3600/24))</f>
        <v>42088.9375</v>
      </c>
      <c r="M2">
        <f>tWCCap[[#This Row],[Acc_Capacity]]</f>
        <v>54000</v>
      </c>
      <c r="N2">
        <f t="shared" ref="N2:N3" si="2">IF(OR(L2-K2=1,AND(LEFT(J2,8)=LEFT(J1,8),K2=L1)),3,1)</f>
        <v>1</v>
      </c>
      <c r="Q2" s="81">
        <f>Q1+1</f>
        <v>41604</v>
      </c>
      <c r="R2">
        <v>1</v>
      </c>
      <c r="W2">
        <v>2</v>
      </c>
      <c r="X2">
        <f t="shared" ref="X2:X15" si="3">X1+R2</f>
        <v>2</v>
      </c>
      <c r="Y2" s="12">
        <f t="shared" si="0"/>
        <v>41604</v>
      </c>
    </row>
    <row r="3" spans="1:25" x14ac:dyDescent="0.25">
      <c r="A3" t="s">
        <v>402</v>
      </c>
      <c r="B3" s="12">
        <v>42088</v>
      </c>
      <c r="C3" s="78">
        <v>25200</v>
      </c>
      <c r="D3" s="78">
        <v>81000</v>
      </c>
      <c r="E3" s="78">
        <v>54000</v>
      </c>
      <c r="H3">
        <f t="shared" si="1"/>
        <v>108000</v>
      </c>
      <c r="I3" s="29">
        <f ca="1">IF(A3&lt;&gt;A2,(TODAY()+1-NOW())*3600*24,I2+24*3600)</f>
        <v>87371.289999852888</v>
      </c>
      <c r="J3" t="str">
        <f>tWCCap[[#This Row],[Work Center]]&amp;VALUE(tWCCap[[#This Row],[Date]])</f>
        <v>AR00/AR270142088</v>
      </c>
      <c r="K3" s="72">
        <f>tWCCap[[#This Row],[Date]]+(tWCCap[[#This Row],[Start]]/3600/24)</f>
        <v>42088.291666666664</v>
      </c>
      <c r="L3" s="72">
        <f>tWCCap[[#This Row],[Date]]+IF(AND(tWCCap[[#This Row],[Stop]]&gt;0,tWCCap[[#This Row],[Start]]=tWCCap[[#This Row],[Stop]]),1+(tWCCap[[#This Row],[Stop]]/3600/24),(tWCCap[[#This Row],[Stop]]/3600/24))</f>
        <v>42088.9375</v>
      </c>
      <c r="M3">
        <f>tWCCap[[#This Row],[Acc_Capacity]]</f>
        <v>108000</v>
      </c>
      <c r="N3">
        <f t="shared" si="2"/>
        <v>1</v>
      </c>
      <c r="Q3" s="80">
        <f>Q2+1</f>
        <v>41605</v>
      </c>
      <c r="R3">
        <v>0</v>
      </c>
      <c r="U3" s="29" t="e">
        <f>SUMIF(PlanData!$DC$2:$DC$244,1,PlanData!BZ2:BZ244)</f>
        <v>#N/A</v>
      </c>
      <c r="W3">
        <v>3</v>
      </c>
      <c r="X3">
        <f t="shared" si="3"/>
        <v>2</v>
      </c>
      <c r="Y3" s="12">
        <f t="shared" si="0"/>
        <v>41605</v>
      </c>
    </row>
    <row r="4" spans="1:25" x14ac:dyDescent="0.25">
      <c r="Q4" s="81">
        <f t="shared" ref="Q4:Q14" si="4">Q3+1</f>
        <v>41606</v>
      </c>
      <c r="R4">
        <v>0</v>
      </c>
      <c r="U4" s="29">
        <f ca="1">SUMIF(PlanData!$DC2:$DC244,1,PlanData!CW2:CW244)</f>
        <v>0</v>
      </c>
      <c r="W4">
        <v>4</v>
      </c>
      <c r="X4">
        <f t="shared" si="3"/>
        <v>2</v>
      </c>
      <c r="Y4" s="12">
        <f t="shared" si="0"/>
        <v>41606</v>
      </c>
    </row>
    <row r="5" spans="1:25" x14ac:dyDescent="0.25">
      <c r="Q5" s="80">
        <f t="shared" si="4"/>
        <v>41607</v>
      </c>
      <c r="R5">
        <v>1</v>
      </c>
      <c r="U5" s="29" t="e">
        <f ca="1">U3-U4</f>
        <v>#N/A</v>
      </c>
      <c r="W5">
        <v>5</v>
      </c>
      <c r="X5">
        <f t="shared" si="3"/>
        <v>3</v>
      </c>
      <c r="Y5" s="12">
        <f t="shared" si="0"/>
        <v>41607</v>
      </c>
    </row>
    <row r="6" spans="1:25" x14ac:dyDescent="0.25">
      <c r="Q6" s="81">
        <f t="shared" si="4"/>
        <v>41608</v>
      </c>
      <c r="R6">
        <v>1</v>
      </c>
      <c r="U6" s="30" t="e">
        <f ca="1">U5/3600</f>
        <v>#N/A</v>
      </c>
      <c r="W6">
        <v>6</v>
      </c>
      <c r="X6">
        <f t="shared" si="3"/>
        <v>4</v>
      </c>
      <c r="Y6" s="12">
        <f t="shared" si="0"/>
        <v>41608</v>
      </c>
    </row>
    <row r="7" spans="1:25" x14ac:dyDescent="0.25">
      <c r="Q7" s="80">
        <f t="shared" si="4"/>
        <v>41609</v>
      </c>
      <c r="R7">
        <v>1</v>
      </c>
      <c r="U7" s="30">
        <f ca="1">SUM(PlanData!DG2:DG244)*24</f>
        <v>0</v>
      </c>
      <c r="W7">
        <v>7</v>
      </c>
      <c r="X7">
        <f t="shared" si="3"/>
        <v>5</v>
      </c>
      <c r="Y7" s="12">
        <f t="shared" si="0"/>
        <v>41609</v>
      </c>
    </row>
    <row r="8" spans="1:25" x14ac:dyDescent="0.25">
      <c r="Q8" s="81">
        <f t="shared" si="4"/>
        <v>41610</v>
      </c>
      <c r="R8">
        <v>1</v>
      </c>
      <c r="W8">
        <v>8</v>
      </c>
      <c r="X8">
        <f t="shared" si="3"/>
        <v>6</v>
      </c>
      <c r="Y8" s="12">
        <f t="shared" si="0"/>
        <v>41610</v>
      </c>
    </row>
    <row r="9" spans="1:25" x14ac:dyDescent="0.25">
      <c r="Q9" s="80">
        <f t="shared" si="4"/>
        <v>41611</v>
      </c>
      <c r="R9">
        <v>1</v>
      </c>
      <c r="W9">
        <v>9</v>
      </c>
      <c r="X9">
        <f t="shared" si="3"/>
        <v>7</v>
      </c>
      <c r="Y9" s="12">
        <f t="shared" si="0"/>
        <v>41611</v>
      </c>
    </row>
    <row r="10" spans="1:25" x14ac:dyDescent="0.25">
      <c r="Q10" s="81">
        <f t="shared" si="4"/>
        <v>41612</v>
      </c>
      <c r="R10">
        <v>0</v>
      </c>
      <c r="U10" s="85">
        <f>SUM(PlanData!DA2:DA243)*24</f>
        <v>562944</v>
      </c>
      <c r="W10">
        <v>10</v>
      </c>
      <c r="X10">
        <f t="shared" si="3"/>
        <v>7</v>
      </c>
      <c r="Y10" s="12">
        <f t="shared" si="0"/>
        <v>41612</v>
      </c>
    </row>
    <row r="11" spans="1:25" x14ac:dyDescent="0.25">
      <c r="Q11" s="80">
        <f t="shared" si="4"/>
        <v>41613</v>
      </c>
      <c r="R11">
        <v>0</v>
      </c>
      <c r="U11" s="86">
        <f ca="1">U7/U10</f>
        <v>0</v>
      </c>
      <c r="W11">
        <v>11</v>
      </c>
      <c r="X11">
        <f t="shared" si="3"/>
        <v>7</v>
      </c>
      <c r="Y11" s="12">
        <f t="shared" si="0"/>
        <v>41613</v>
      </c>
    </row>
    <row r="12" spans="1:25" x14ac:dyDescent="0.25">
      <c r="Q12" s="81">
        <f t="shared" si="4"/>
        <v>41614</v>
      </c>
      <c r="R12">
        <v>1</v>
      </c>
      <c r="W12">
        <v>12</v>
      </c>
      <c r="X12">
        <f t="shared" si="3"/>
        <v>8</v>
      </c>
      <c r="Y12" s="12">
        <f t="shared" si="0"/>
        <v>41614</v>
      </c>
    </row>
    <row r="13" spans="1:25" x14ac:dyDescent="0.25">
      <c r="Q13" s="80">
        <f t="shared" si="4"/>
        <v>41615</v>
      </c>
      <c r="R13">
        <v>1</v>
      </c>
      <c r="U13" s="29">
        <f>SUM(Cap_Start!B3:B40)</f>
        <v>0</v>
      </c>
      <c r="W13">
        <v>13</v>
      </c>
      <c r="X13">
        <f t="shared" si="3"/>
        <v>9</v>
      </c>
      <c r="Y13" s="12">
        <f t="shared" si="0"/>
        <v>41615</v>
      </c>
    </row>
    <row r="14" spans="1:25" x14ac:dyDescent="0.25">
      <c r="Q14" s="81">
        <f t="shared" si="4"/>
        <v>41616</v>
      </c>
      <c r="R14">
        <v>1</v>
      </c>
      <c r="U14">
        <f>U13/3600</f>
        <v>0</v>
      </c>
      <c r="W14">
        <v>14</v>
      </c>
      <c r="X14">
        <f t="shared" si="3"/>
        <v>10</v>
      </c>
      <c r="Y14" s="12">
        <f t="shared" si="0"/>
        <v>41616</v>
      </c>
    </row>
    <row r="15" spans="1:25" x14ac:dyDescent="0.25">
      <c r="Q15" s="79">
        <f>Q14+1</f>
        <v>41617</v>
      </c>
      <c r="R15">
        <v>1</v>
      </c>
      <c r="U15" s="86" t="e">
        <f ca="1">U5/U13</f>
        <v>#N/A</v>
      </c>
      <c r="W15">
        <v>15</v>
      </c>
      <c r="X15">
        <f t="shared" si="3"/>
        <v>11</v>
      </c>
      <c r="Y15" s="12">
        <f t="shared" si="0"/>
        <v>41617</v>
      </c>
    </row>
    <row r="16" spans="1:25" x14ac:dyDescent="0.25">
      <c r="Q16" s="12"/>
      <c r="W16">
        <v>16</v>
      </c>
    </row>
    <row r="17" spans="17:23" x14ac:dyDescent="0.25">
      <c r="Q17" s="12"/>
      <c r="U17">
        <f ca="1">U10*U11</f>
        <v>0</v>
      </c>
      <c r="W17">
        <v>17</v>
      </c>
    </row>
    <row r="18" spans="17:23" x14ac:dyDescent="0.25">
      <c r="Q18" s="12"/>
      <c r="U18" s="30">
        <f ca="1">U17/17</f>
        <v>0</v>
      </c>
      <c r="W18">
        <v>18</v>
      </c>
    </row>
    <row r="19" spans="17:23" x14ac:dyDescent="0.25">
      <c r="Q19" s="12"/>
      <c r="W19">
        <v>19</v>
      </c>
    </row>
    <row r="20" spans="17:23" x14ac:dyDescent="0.25">
      <c r="Q20" s="12"/>
      <c r="W20">
        <v>20</v>
      </c>
    </row>
    <row r="21" spans="17:23" x14ac:dyDescent="0.25">
      <c r="Q21" s="12"/>
      <c r="W21">
        <v>21</v>
      </c>
    </row>
    <row r="22" spans="17:23" x14ac:dyDescent="0.25">
      <c r="Q22" s="12"/>
      <c r="W22">
        <v>22</v>
      </c>
    </row>
    <row r="23" spans="17:23" x14ac:dyDescent="0.25">
      <c r="Q23" s="12"/>
      <c r="W23">
        <v>23</v>
      </c>
    </row>
    <row r="24" spans="17:23" x14ac:dyDescent="0.25">
      <c r="Q24" s="12"/>
      <c r="W24">
        <v>24</v>
      </c>
    </row>
    <row r="25" spans="17:23" x14ac:dyDescent="0.25">
      <c r="Q25" s="12"/>
      <c r="W25">
        <v>25</v>
      </c>
    </row>
    <row r="26" spans="17:23" x14ac:dyDescent="0.25">
      <c r="Q26" s="12"/>
      <c r="W26">
        <v>26</v>
      </c>
    </row>
    <row r="27" spans="17:23" x14ac:dyDescent="0.25">
      <c r="Q27" s="12"/>
      <c r="W27">
        <v>27</v>
      </c>
    </row>
    <row r="28" spans="17:23" x14ac:dyDescent="0.25">
      <c r="W28">
        <v>28</v>
      </c>
    </row>
    <row r="29" spans="17:23" x14ac:dyDescent="0.25">
      <c r="W29">
        <v>29</v>
      </c>
    </row>
    <row r="30" spans="17:23" x14ac:dyDescent="0.25">
      <c r="W30">
        <v>30</v>
      </c>
    </row>
    <row r="31" spans="17:23" x14ac:dyDescent="0.25">
      <c r="W31">
        <v>31</v>
      </c>
    </row>
    <row r="32" spans="17:23" x14ac:dyDescent="0.25">
      <c r="W32">
        <v>32</v>
      </c>
    </row>
    <row r="33" spans="23:23" x14ac:dyDescent="0.25">
      <c r="W33">
        <v>33</v>
      </c>
    </row>
  </sheetData>
  <pageMargins left="0.7" right="0.7" top="0.75" bottom="0.75" header="0.3" footer="0.3"/>
  <pageSetup paperSize="9" scale="44" fitToHeight="0" orientation="landscape" horizontalDpi="300" verticalDpi="300" r:id="rId1"/>
  <headerFooter>
    <oddFooter xml:space="preserve">&amp;LPrinting date: &amp;D&amp;CPage &amp;P / &amp;N&amp;R&amp;F - &amp;A </oddFooter>
  </headerFooter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11">
    <tabColor rgb="FFFF8080"/>
  </sheetPr>
  <dimension ref="A1:C1"/>
  <sheetViews>
    <sheetView showGridLines="0" zoomScale="85" zoomScaleNormal="85" workbookViewId="0">
      <selection sqref="A1:XFD1048576"/>
    </sheetView>
  </sheetViews>
  <sheetFormatPr baseColWidth="10" defaultColWidth="11.42578125" defaultRowHeight="15" x14ac:dyDescent="0.25"/>
  <cols>
    <col min="1" max="1" width="8.28515625" bestFit="1" customWidth="1"/>
    <col min="2" max="2" width="5.7109375" bestFit="1" customWidth="1"/>
    <col min="3" max="3" width="8.42578125" bestFit="1" customWidth="1"/>
  </cols>
  <sheetData>
    <row r="1" spans="1:3" x14ac:dyDescent="0.25">
      <c r="A1" s="8"/>
      <c r="B1" s="8"/>
      <c r="C1" s="8"/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7483A-4B08-47C4-BC35-64D974E1CAC4}">
  <sheetPr>
    <tabColor rgb="FFFF8080"/>
  </sheetPr>
  <dimension ref="A1:B30"/>
  <sheetViews>
    <sheetView workbookViewId="0">
      <selection activeCell="A2" sqref="A2"/>
    </sheetView>
  </sheetViews>
  <sheetFormatPr baseColWidth="10" defaultRowHeight="15" x14ac:dyDescent="0.25"/>
  <cols>
    <col min="1" max="1" width="32" bestFit="1" customWidth="1"/>
    <col min="2" max="2" width="11.5703125" customWidth="1"/>
  </cols>
  <sheetData>
    <row r="1" spans="1:2" x14ac:dyDescent="0.25">
      <c r="A1" s="171" t="s">
        <v>567</v>
      </c>
      <c r="B1" s="171" t="s">
        <v>568</v>
      </c>
    </row>
    <row r="2" spans="1:2" x14ac:dyDescent="0.25">
      <c r="A2" s="171" t="s">
        <v>535</v>
      </c>
      <c r="B2" s="171" t="s">
        <v>534</v>
      </c>
    </row>
    <row r="3" spans="1:2" x14ac:dyDescent="0.25">
      <c r="A3" s="171" t="s">
        <v>536</v>
      </c>
      <c r="B3" s="171" t="s">
        <v>534</v>
      </c>
    </row>
    <row r="4" spans="1:2" x14ac:dyDescent="0.25">
      <c r="A4" s="171" t="s">
        <v>537</v>
      </c>
      <c r="B4" s="171" t="s">
        <v>534</v>
      </c>
    </row>
    <row r="5" spans="1:2" x14ac:dyDescent="0.25">
      <c r="A5" s="171" t="s">
        <v>538</v>
      </c>
      <c r="B5" s="171" t="s">
        <v>534</v>
      </c>
    </row>
    <row r="6" spans="1:2" x14ac:dyDescent="0.25">
      <c r="A6" s="171" t="s">
        <v>539</v>
      </c>
      <c r="B6" s="171" t="s">
        <v>534</v>
      </c>
    </row>
    <row r="7" spans="1:2" x14ac:dyDescent="0.25">
      <c r="A7" s="171" t="s">
        <v>540</v>
      </c>
      <c r="B7" s="171" t="s">
        <v>534</v>
      </c>
    </row>
    <row r="8" spans="1:2" x14ac:dyDescent="0.25">
      <c r="A8" s="171" t="s">
        <v>541</v>
      </c>
      <c r="B8" s="171" t="s">
        <v>534</v>
      </c>
    </row>
    <row r="9" spans="1:2" x14ac:dyDescent="0.25">
      <c r="A9" s="171" t="s">
        <v>542</v>
      </c>
      <c r="B9" s="171" t="s">
        <v>534</v>
      </c>
    </row>
    <row r="10" spans="1:2" x14ac:dyDescent="0.25">
      <c r="A10" s="171" t="s">
        <v>543</v>
      </c>
      <c r="B10" s="171" t="s">
        <v>534</v>
      </c>
    </row>
    <row r="11" spans="1:2" x14ac:dyDescent="0.25">
      <c r="A11" s="171" t="s">
        <v>545</v>
      </c>
      <c r="B11" s="171" t="s">
        <v>544</v>
      </c>
    </row>
    <row r="12" spans="1:2" x14ac:dyDescent="0.25">
      <c r="A12" s="171" t="s">
        <v>546</v>
      </c>
      <c r="B12" s="171" t="s">
        <v>544</v>
      </c>
    </row>
    <row r="13" spans="1:2" x14ac:dyDescent="0.25">
      <c r="A13" s="171" t="s">
        <v>547</v>
      </c>
      <c r="B13" s="171" t="s">
        <v>544</v>
      </c>
    </row>
    <row r="14" spans="1:2" x14ac:dyDescent="0.25">
      <c r="A14" s="171" t="s">
        <v>548</v>
      </c>
      <c r="B14" s="171" t="s">
        <v>544</v>
      </c>
    </row>
    <row r="15" spans="1:2" x14ac:dyDescent="0.25">
      <c r="A15" s="171" t="s">
        <v>549</v>
      </c>
      <c r="B15" s="171" t="s">
        <v>544</v>
      </c>
    </row>
    <row r="16" spans="1:2" x14ac:dyDescent="0.25">
      <c r="A16" s="171" t="s">
        <v>550</v>
      </c>
      <c r="B16" s="171" t="s">
        <v>544</v>
      </c>
    </row>
    <row r="17" spans="1:2" x14ac:dyDescent="0.25">
      <c r="A17" s="171" t="s">
        <v>551</v>
      </c>
      <c r="B17" s="171" t="s">
        <v>544</v>
      </c>
    </row>
    <row r="18" spans="1:2" x14ac:dyDescent="0.25">
      <c r="A18" s="171" t="s">
        <v>552</v>
      </c>
      <c r="B18" s="171" t="s">
        <v>544</v>
      </c>
    </row>
    <row r="19" spans="1:2" x14ac:dyDescent="0.25">
      <c r="A19" s="171" t="s">
        <v>554</v>
      </c>
      <c r="B19" s="171" t="s">
        <v>553</v>
      </c>
    </row>
    <row r="20" spans="1:2" x14ac:dyDescent="0.25">
      <c r="A20" s="171" t="s">
        <v>555</v>
      </c>
      <c r="B20" s="171" t="s">
        <v>553</v>
      </c>
    </row>
    <row r="21" spans="1:2" x14ac:dyDescent="0.25">
      <c r="A21" s="171" t="s">
        <v>556</v>
      </c>
      <c r="B21" s="171" t="s">
        <v>553</v>
      </c>
    </row>
    <row r="22" spans="1:2" x14ac:dyDescent="0.25">
      <c r="A22" s="171" t="s">
        <v>557</v>
      </c>
      <c r="B22" s="171" t="s">
        <v>553</v>
      </c>
    </row>
    <row r="23" spans="1:2" x14ac:dyDescent="0.25">
      <c r="A23" s="171" t="s">
        <v>559</v>
      </c>
      <c r="B23" s="171" t="s">
        <v>558</v>
      </c>
    </row>
    <row r="24" spans="1:2" x14ac:dyDescent="0.25">
      <c r="A24" s="171" t="s">
        <v>560</v>
      </c>
      <c r="B24" s="171" t="s">
        <v>558</v>
      </c>
    </row>
    <row r="25" spans="1:2" x14ac:dyDescent="0.25">
      <c r="A25" s="171" t="s">
        <v>561</v>
      </c>
      <c r="B25" s="171" t="s">
        <v>558</v>
      </c>
    </row>
    <row r="26" spans="1:2" x14ac:dyDescent="0.25">
      <c r="A26" s="171" t="s">
        <v>562</v>
      </c>
      <c r="B26" s="171" t="s">
        <v>558</v>
      </c>
    </row>
    <row r="27" spans="1:2" x14ac:dyDescent="0.25">
      <c r="A27" s="171" t="s">
        <v>563</v>
      </c>
      <c r="B27" s="171" t="s">
        <v>558</v>
      </c>
    </row>
    <row r="28" spans="1:2" x14ac:dyDescent="0.25">
      <c r="A28" s="171" t="s">
        <v>564</v>
      </c>
      <c r="B28" s="171" t="s">
        <v>558</v>
      </c>
    </row>
    <row r="29" spans="1:2" x14ac:dyDescent="0.25">
      <c r="A29" s="171" t="s">
        <v>565</v>
      </c>
      <c r="B29" s="171" t="s">
        <v>558</v>
      </c>
    </row>
    <row r="30" spans="1:2" x14ac:dyDescent="0.25">
      <c r="A30" s="171" t="s">
        <v>566</v>
      </c>
      <c r="B30" s="171" t="s">
        <v>558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0F8D-3EDC-4122-8A4F-D240FF300C82}">
  <sheetPr>
    <tabColor rgb="FFFF8080"/>
  </sheetPr>
  <dimension ref="A1:H2"/>
  <sheetViews>
    <sheetView workbookViewId="0">
      <selection activeCell="A2" sqref="A2"/>
    </sheetView>
  </sheetViews>
  <sheetFormatPr baseColWidth="10" defaultColWidth="9.140625" defaultRowHeight="15" x14ac:dyDescent="0.25"/>
  <cols>
    <col min="1" max="2" width="10.85546875" bestFit="1" customWidth="1"/>
    <col min="3" max="8" width="11.140625" bestFit="1" customWidth="1"/>
  </cols>
  <sheetData>
    <row r="1" spans="1:8" x14ac:dyDescent="0.25">
      <c r="A1" s="161" t="s">
        <v>4</v>
      </c>
      <c r="B1" s="161" t="s">
        <v>458</v>
      </c>
      <c r="C1" t="s">
        <v>459</v>
      </c>
      <c r="D1" t="s">
        <v>460</v>
      </c>
      <c r="E1" t="s">
        <v>461</v>
      </c>
      <c r="F1" t="s">
        <v>462</v>
      </c>
      <c r="G1" t="s">
        <v>463</v>
      </c>
      <c r="H1" t="s">
        <v>464</v>
      </c>
    </row>
    <row r="2" spans="1:8" x14ac:dyDescent="0.25">
      <c r="A2" s="21">
        <v>123456</v>
      </c>
      <c r="B2" s="162" t="s">
        <v>71</v>
      </c>
      <c r="C2" t="s">
        <v>71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080"/>
  </sheetPr>
  <dimension ref="A1:E4321"/>
  <sheetViews>
    <sheetView workbookViewId="0">
      <selection activeCell="A2" sqref="A2:B4321"/>
    </sheetView>
  </sheetViews>
  <sheetFormatPr baseColWidth="10" defaultColWidth="9.140625" defaultRowHeight="15" x14ac:dyDescent="0.25"/>
  <cols>
    <col min="1" max="1" width="10.28515625" bestFit="1" customWidth="1"/>
    <col min="2" max="2" width="10.140625" bestFit="1" customWidth="1"/>
    <col min="3" max="3" width="13.7109375" bestFit="1" customWidth="1"/>
  </cols>
  <sheetData>
    <row r="1" spans="1:3" x14ac:dyDescent="0.25">
      <c r="A1" t="s">
        <v>4</v>
      </c>
      <c r="B1" t="s">
        <v>433</v>
      </c>
      <c r="C1" s="147" t="s">
        <v>448</v>
      </c>
    </row>
    <row r="2" spans="1:3" x14ac:dyDescent="0.25">
      <c r="A2" s="159">
        <v>1980</v>
      </c>
      <c r="B2" s="159">
        <v>4</v>
      </c>
      <c r="C2" s="146" t="str">
        <f t="shared" ref="C2:C65" si="0">IF(OR(B2=0,B2=1,B2=2,B2=3,B2=4,B2=5),TEXT(B2,"0"),B2)</f>
        <v>4</v>
      </c>
    </row>
    <row r="3" spans="1:3" x14ac:dyDescent="0.25">
      <c r="A3" s="159">
        <v>2064</v>
      </c>
      <c r="B3" s="159">
        <v>1</v>
      </c>
      <c r="C3" s="146" t="str">
        <f t="shared" si="0"/>
        <v>1</v>
      </c>
    </row>
    <row r="4" spans="1:3" x14ac:dyDescent="0.25">
      <c r="A4" s="159">
        <v>3334</v>
      </c>
      <c r="B4" s="159">
        <v>1</v>
      </c>
      <c r="C4" s="146" t="str">
        <f t="shared" si="0"/>
        <v>1</v>
      </c>
    </row>
    <row r="5" spans="1:3" x14ac:dyDescent="0.25">
      <c r="A5" s="159">
        <v>8678</v>
      </c>
      <c r="B5" s="159">
        <v>1</v>
      </c>
      <c r="C5" s="146" t="str">
        <f t="shared" si="0"/>
        <v>1</v>
      </c>
    </row>
    <row r="6" spans="1:3" x14ac:dyDescent="0.25">
      <c r="A6" s="159">
        <v>8679</v>
      </c>
      <c r="B6" s="159">
        <v>1</v>
      </c>
      <c r="C6" s="146" t="str">
        <f t="shared" si="0"/>
        <v>1</v>
      </c>
    </row>
    <row r="7" spans="1:3" x14ac:dyDescent="0.25">
      <c r="A7" s="159">
        <v>8680</v>
      </c>
      <c r="B7" s="159">
        <v>1</v>
      </c>
      <c r="C7" s="146" t="str">
        <f t="shared" si="0"/>
        <v>1</v>
      </c>
    </row>
    <row r="8" spans="1:3" x14ac:dyDescent="0.25">
      <c r="A8" s="159">
        <v>8688</v>
      </c>
      <c r="B8" s="159">
        <v>1</v>
      </c>
      <c r="C8" s="146" t="str">
        <f t="shared" si="0"/>
        <v>1</v>
      </c>
    </row>
    <row r="9" spans="1:3" x14ac:dyDescent="0.25">
      <c r="A9" s="159">
        <v>8689</v>
      </c>
      <c r="B9" s="159">
        <v>3</v>
      </c>
      <c r="C9" s="146" t="str">
        <f t="shared" si="0"/>
        <v>3</v>
      </c>
    </row>
    <row r="10" spans="1:3" x14ac:dyDescent="0.25">
      <c r="A10" s="159">
        <v>23203</v>
      </c>
      <c r="B10" s="159">
        <v>1</v>
      </c>
      <c r="C10" s="146" t="str">
        <f t="shared" si="0"/>
        <v>1</v>
      </c>
    </row>
    <row r="11" spans="1:3" x14ac:dyDescent="0.25">
      <c r="A11" s="159">
        <v>23272</v>
      </c>
      <c r="B11" s="159">
        <v>1</v>
      </c>
      <c r="C11" s="146" t="str">
        <f t="shared" si="0"/>
        <v>1</v>
      </c>
    </row>
    <row r="12" spans="1:3" x14ac:dyDescent="0.25">
      <c r="A12" s="159">
        <v>44046</v>
      </c>
      <c r="B12" s="159">
        <v>1</v>
      </c>
      <c r="C12" s="146" t="str">
        <f t="shared" si="0"/>
        <v>1</v>
      </c>
    </row>
    <row r="13" spans="1:3" x14ac:dyDescent="0.25">
      <c r="A13" s="159">
        <v>100009</v>
      </c>
      <c r="B13" s="159">
        <v>1</v>
      </c>
      <c r="C13" s="146" t="str">
        <f t="shared" si="0"/>
        <v>1</v>
      </c>
    </row>
    <row r="14" spans="1:3" x14ac:dyDescent="0.25">
      <c r="A14" s="159">
        <v>100027</v>
      </c>
      <c r="B14" s="159" t="s">
        <v>437</v>
      </c>
      <c r="C14" s="146" t="str">
        <f t="shared" si="0"/>
        <v>1S</v>
      </c>
    </row>
    <row r="15" spans="1:3" x14ac:dyDescent="0.25">
      <c r="A15" s="159">
        <v>100057</v>
      </c>
      <c r="B15" s="159">
        <v>1</v>
      </c>
      <c r="C15" s="146" t="str">
        <f t="shared" si="0"/>
        <v>1</v>
      </c>
    </row>
    <row r="16" spans="1:3" x14ac:dyDescent="0.25">
      <c r="A16" s="159">
        <v>100073</v>
      </c>
      <c r="B16" s="159" t="s">
        <v>437</v>
      </c>
      <c r="C16" s="146" t="str">
        <f t="shared" si="0"/>
        <v>1S</v>
      </c>
    </row>
    <row r="17" spans="1:3" x14ac:dyDescent="0.25">
      <c r="A17" s="159">
        <v>100078</v>
      </c>
      <c r="B17" s="159">
        <v>1</v>
      </c>
      <c r="C17" s="146" t="str">
        <f t="shared" si="0"/>
        <v>1</v>
      </c>
    </row>
    <row r="18" spans="1:3" x14ac:dyDescent="0.25">
      <c r="A18" s="159">
        <v>100123</v>
      </c>
      <c r="B18" s="159" t="s">
        <v>434</v>
      </c>
      <c r="C18" s="146" t="str">
        <f t="shared" si="0"/>
        <v>GR 3</v>
      </c>
    </row>
    <row r="19" spans="1:3" x14ac:dyDescent="0.25">
      <c r="A19" s="159">
        <v>100124</v>
      </c>
      <c r="B19" s="159" t="s">
        <v>435</v>
      </c>
      <c r="C19" s="146" t="str">
        <f t="shared" si="0"/>
        <v>GR 2</v>
      </c>
    </row>
    <row r="20" spans="1:3" x14ac:dyDescent="0.25">
      <c r="A20" s="159">
        <v>100127</v>
      </c>
      <c r="B20" s="159" t="s">
        <v>437</v>
      </c>
      <c r="C20" s="146" t="str">
        <f t="shared" si="0"/>
        <v>1S</v>
      </c>
    </row>
    <row r="21" spans="1:3" x14ac:dyDescent="0.25">
      <c r="A21" s="159">
        <v>100141</v>
      </c>
      <c r="B21" s="159" t="s">
        <v>437</v>
      </c>
      <c r="C21" s="146" t="str">
        <f t="shared" si="0"/>
        <v>1S</v>
      </c>
    </row>
    <row r="22" spans="1:3" x14ac:dyDescent="0.25">
      <c r="A22" s="159">
        <v>100152</v>
      </c>
      <c r="B22" s="159" t="s">
        <v>435</v>
      </c>
      <c r="C22" s="146" t="str">
        <f t="shared" si="0"/>
        <v>GR 2</v>
      </c>
    </row>
    <row r="23" spans="1:3" x14ac:dyDescent="0.25">
      <c r="A23" s="159">
        <v>100207</v>
      </c>
      <c r="B23" s="159">
        <v>1</v>
      </c>
      <c r="C23" s="146" t="str">
        <f t="shared" si="0"/>
        <v>1</v>
      </c>
    </row>
    <row r="24" spans="1:3" x14ac:dyDescent="0.25">
      <c r="A24" s="159">
        <v>100218</v>
      </c>
      <c r="B24" s="159" t="s">
        <v>437</v>
      </c>
      <c r="C24" s="146" t="str">
        <f t="shared" si="0"/>
        <v>1S</v>
      </c>
    </row>
    <row r="25" spans="1:3" x14ac:dyDescent="0.25">
      <c r="A25" s="159">
        <v>100227</v>
      </c>
      <c r="B25" s="159" t="s">
        <v>437</v>
      </c>
      <c r="C25" s="146" t="str">
        <f t="shared" si="0"/>
        <v>1S</v>
      </c>
    </row>
    <row r="26" spans="1:3" x14ac:dyDescent="0.25">
      <c r="A26" s="159">
        <v>100233</v>
      </c>
      <c r="B26" s="159">
        <v>1</v>
      </c>
      <c r="C26" s="146" t="str">
        <f t="shared" si="0"/>
        <v>1</v>
      </c>
    </row>
    <row r="27" spans="1:3" x14ac:dyDescent="0.25">
      <c r="A27" s="159">
        <v>100267</v>
      </c>
      <c r="B27" s="159">
        <v>1</v>
      </c>
      <c r="C27" s="146" t="str">
        <f t="shared" si="0"/>
        <v>1</v>
      </c>
    </row>
    <row r="28" spans="1:3" x14ac:dyDescent="0.25">
      <c r="A28" s="159">
        <v>100268</v>
      </c>
      <c r="B28" s="159">
        <v>1</v>
      </c>
      <c r="C28" s="146" t="str">
        <f t="shared" si="0"/>
        <v>1</v>
      </c>
    </row>
    <row r="29" spans="1:3" x14ac:dyDescent="0.25">
      <c r="A29" s="159">
        <v>100269</v>
      </c>
      <c r="B29" s="159">
        <v>1</v>
      </c>
      <c r="C29" s="146" t="str">
        <f t="shared" si="0"/>
        <v>1</v>
      </c>
    </row>
    <row r="30" spans="1:3" x14ac:dyDescent="0.25">
      <c r="A30" s="159">
        <v>100270</v>
      </c>
      <c r="B30" s="159">
        <v>1</v>
      </c>
      <c r="C30" s="146" t="str">
        <f t="shared" si="0"/>
        <v>1</v>
      </c>
    </row>
    <row r="31" spans="1:3" x14ac:dyDescent="0.25">
      <c r="A31" s="159">
        <v>100271</v>
      </c>
      <c r="B31" s="159">
        <v>1</v>
      </c>
      <c r="C31" s="146" t="str">
        <f t="shared" si="0"/>
        <v>1</v>
      </c>
    </row>
    <row r="32" spans="1:3" x14ac:dyDescent="0.25">
      <c r="A32" s="159">
        <v>100272</v>
      </c>
      <c r="B32" s="159">
        <v>1</v>
      </c>
      <c r="C32" s="146" t="str">
        <f t="shared" si="0"/>
        <v>1</v>
      </c>
    </row>
    <row r="33" spans="1:3" x14ac:dyDescent="0.25">
      <c r="A33" s="159">
        <v>100273</v>
      </c>
      <c r="B33" s="159" t="s">
        <v>435</v>
      </c>
      <c r="C33" s="146" t="str">
        <f t="shared" si="0"/>
        <v>GR 2</v>
      </c>
    </row>
    <row r="34" spans="1:3" x14ac:dyDescent="0.25">
      <c r="A34" s="159">
        <v>100274</v>
      </c>
      <c r="B34" s="159">
        <v>1</v>
      </c>
      <c r="C34" s="146" t="str">
        <f t="shared" si="0"/>
        <v>1</v>
      </c>
    </row>
    <row r="35" spans="1:3" x14ac:dyDescent="0.25">
      <c r="A35" s="159">
        <v>100278</v>
      </c>
      <c r="B35" s="159">
        <v>1</v>
      </c>
      <c r="C35" s="146" t="str">
        <f t="shared" si="0"/>
        <v>1</v>
      </c>
    </row>
    <row r="36" spans="1:3" x14ac:dyDescent="0.25">
      <c r="A36" s="159">
        <v>100279</v>
      </c>
      <c r="B36" s="159" t="s">
        <v>436</v>
      </c>
      <c r="C36" s="146" t="str">
        <f t="shared" si="0"/>
        <v>GR 6</v>
      </c>
    </row>
    <row r="37" spans="1:3" x14ac:dyDescent="0.25">
      <c r="A37" s="159">
        <v>100280</v>
      </c>
      <c r="B37" s="159" t="s">
        <v>435</v>
      </c>
      <c r="C37" s="146" t="str">
        <f t="shared" si="0"/>
        <v>GR 2</v>
      </c>
    </row>
    <row r="38" spans="1:3" x14ac:dyDescent="0.25">
      <c r="A38" s="159">
        <v>100288</v>
      </c>
      <c r="B38" s="159">
        <v>1</v>
      </c>
      <c r="C38" s="146" t="str">
        <f t="shared" si="0"/>
        <v>1</v>
      </c>
    </row>
    <row r="39" spans="1:3" x14ac:dyDescent="0.25">
      <c r="A39" s="159">
        <v>100300</v>
      </c>
      <c r="B39" s="159">
        <v>1</v>
      </c>
      <c r="C39" s="146" t="str">
        <f t="shared" si="0"/>
        <v>1</v>
      </c>
    </row>
    <row r="40" spans="1:3" x14ac:dyDescent="0.25">
      <c r="A40" s="159">
        <v>100301</v>
      </c>
      <c r="B40" s="159" t="s">
        <v>435</v>
      </c>
      <c r="C40" s="146" t="str">
        <f t="shared" si="0"/>
        <v>GR 2</v>
      </c>
    </row>
    <row r="41" spans="1:3" x14ac:dyDescent="0.25">
      <c r="A41" s="159">
        <v>100315</v>
      </c>
      <c r="B41" s="159" t="s">
        <v>435</v>
      </c>
      <c r="C41" s="146" t="str">
        <f t="shared" si="0"/>
        <v>GR 2</v>
      </c>
    </row>
    <row r="42" spans="1:3" x14ac:dyDescent="0.25">
      <c r="A42" s="159">
        <v>100316</v>
      </c>
      <c r="B42" s="159" t="s">
        <v>435</v>
      </c>
      <c r="C42" s="146" t="str">
        <f t="shared" si="0"/>
        <v>GR 2</v>
      </c>
    </row>
    <row r="43" spans="1:3" x14ac:dyDescent="0.25">
      <c r="A43" s="159">
        <v>100321</v>
      </c>
      <c r="B43" s="159" t="s">
        <v>434</v>
      </c>
      <c r="C43" s="146" t="str">
        <f t="shared" si="0"/>
        <v>GR 3</v>
      </c>
    </row>
    <row r="44" spans="1:3" x14ac:dyDescent="0.25">
      <c r="A44" s="159">
        <v>100325</v>
      </c>
      <c r="B44" s="159" t="s">
        <v>435</v>
      </c>
      <c r="C44" s="146" t="str">
        <f t="shared" si="0"/>
        <v>GR 2</v>
      </c>
    </row>
    <row r="45" spans="1:3" x14ac:dyDescent="0.25">
      <c r="A45" s="159">
        <v>100328</v>
      </c>
      <c r="B45" s="159" t="s">
        <v>435</v>
      </c>
      <c r="C45" s="146" t="str">
        <f t="shared" si="0"/>
        <v>GR 2</v>
      </c>
    </row>
    <row r="46" spans="1:3" x14ac:dyDescent="0.25">
      <c r="A46" s="159">
        <v>100375</v>
      </c>
      <c r="B46" s="159">
        <v>1</v>
      </c>
      <c r="C46" s="146" t="str">
        <f t="shared" si="0"/>
        <v>1</v>
      </c>
    </row>
    <row r="47" spans="1:3" x14ac:dyDescent="0.25">
      <c r="A47" s="159">
        <v>100441</v>
      </c>
      <c r="B47" s="159">
        <v>6</v>
      </c>
      <c r="C47" s="146">
        <f t="shared" si="0"/>
        <v>6</v>
      </c>
    </row>
    <row r="48" spans="1:3" x14ac:dyDescent="0.25">
      <c r="A48" s="159">
        <v>100467</v>
      </c>
      <c r="B48" s="159" t="s">
        <v>437</v>
      </c>
      <c r="C48" s="146" t="str">
        <f t="shared" si="0"/>
        <v>1S</v>
      </c>
    </row>
    <row r="49" spans="1:3" x14ac:dyDescent="0.25">
      <c r="A49" s="159">
        <v>100474</v>
      </c>
      <c r="B49" s="159">
        <v>6</v>
      </c>
      <c r="C49" s="146">
        <f t="shared" si="0"/>
        <v>6</v>
      </c>
    </row>
    <row r="50" spans="1:3" x14ac:dyDescent="0.25">
      <c r="A50" s="159">
        <v>100492</v>
      </c>
      <c r="B50" s="159">
        <v>1</v>
      </c>
      <c r="C50" s="146" t="str">
        <f t="shared" si="0"/>
        <v>1</v>
      </c>
    </row>
    <row r="51" spans="1:3" x14ac:dyDescent="0.25">
      <c r="A51" s="159">
        <v>100498</v>
      </c>
      <c r="B51" s="159">
        <v>1</v>
      </c>
      <c r="C51" s="146" t="str">
        <f t="shared" si="0"/>
        <v>1</v>
      </c>
    </row>
    <row r="52" spans="1:3" x14ac:dyDescent="0.25">
      <c r="A52" s="159">
        <v>100502</v>
      </c>
      <c r="B52" s="159">
        <v>1</v>
      </c>
      <c r="C52" s="146" t="str">
        <f t="shared" si="0"/>
        <v>1</v>
      </c>
    </row>
    <row r="53" spans="1:3" x14ac:dyDescent="0.25">
      <c r="A53" s="159">
        <v>100558</v>
      </c>
      <c r="B53" s="159" t="s">
        <v>437</v>
      </c>
      <c r="C53" s="146" t="str">
        <f t="shared" si="0"/>
        <v>1S</v>
      </c>
    </row>
    <row r="54" spans="1:3" x14ac:dyDescent="0.25">
      <c r="A54" s="159">
        <v>100578</v>
      </c>
      <c r="B54" s="159">
        <v>1</v>
      </c>
      <c r="C54" s="146" t="str">
        <f t="shared" si="0"/>
        <v>1</v>
      </c>
    </row>
    <row r="55" spans="1:3" x14ac:dyDescent="0.25">
      <c r="A55" s="159">
        <v>100607</v>
      </c>
      <c r="B55" s="159" t="s">
        <v>435</v>
      </c>
      <c r="C55" s="146" t="str">
        <f t="shared" si="0"/>
        <v>GR 2</v>
      </c>
    </row>
    <row r="56" spans="1:3" x14ac:dyDescent="0.25">
      <c r="A56" s="159">
        <v>100614</v>
      </c>
      <c r="B56" s="159" t="s">
        <v>438</v>
      </c>
      <c r="C56" s="146" t="str">
        <f t="shared" si="0"/>
        <v>2S</v>
      </c>
    </row>
    <row r="57" spans="1:3" x14ac:dyDescent="0.25">
      <c r="A57" s="159">
        <v>100630</v>
      </c>
      <c r="B57" s="159" t="s">
        <v>435</v>
      </c>
      <c r="C57" s="146" t="str">
        <f t="shared" si="0"/>
        <v>GR 2</v>
      </c>
    </row>
    <row r="58" spans="1:3" x14ac:dyDescent="0.25">
      <c r="A58" s="159">
        <v>100632</v>
      </c>
      <c r="B58" s="159" t="s">
        <v>435</v>
      </c>
      <c r="C58" s="146" t="str">
        <f t="shared" si="0"/>
        <v>GR 2</v>
      </c>
    </row>
    <row r="59" spans="1:3" x14ac:dyDescent="0.25">
      <c r="A59" s="159">
        <v>100637</v>
      </c>
      <c r="B59" s="159" t="s">
        <v>437</v>
      </c>
      <c r="C59" s="146" t="str">
        <f t="shared" si="0"/>
        <v>1S</v>
      </c>
    </row>
    <row r="60" spans="1:3" x14ac:dyDescent="0.25">
      <c r="A60" s="159">
        <v>100656</v>
      </c>
      <c r="B60" s="159">
        <v>4</v>
      </c>
      <c r="C60" s="146" t="str">
        <f t="shared" si="0"/>
        <v>4</v>
      </c>
    </row>
    <row r="61" spans="1:3" x14ac:dyDescent="0.25">
      <c r="A61" s="159">
        <v>100667</v>
      </c>
      <c r="B61" s="159">
        <v>1</v>
      </c>
      <c r="C61" s="146" t="str">
        <f t="shared" si="0"/>
        <v>1</v>
      </c>
    </row>
    <row r="62" spans="1:3" x14ac:dyDescent="0.25">
      <c r="A62" s="159">
        <v>100741</v>
      </c>
      <c r="B62" s="159">
        <v>1</v>
      </c>
      <c r="C62" s="146" t="str">
        <f t="shared" si="0"/>
        <v>1</v>
      </c>
    </row>
    <row r="63" spans="1:3" x14ac:dyDescent="0.25">
      <c r="A63" s="159">
        <v>100754</v>
      </c>
      <c r="B63" s="159">
        <v>1</v>
      </c>
      <c r="C63" s="146" t="str">
        <f t="shared" si="0"/>
        <v>1</v>
      </c>
    </row>
    <row r="64" spans="1:3" x14ac:dyDescent="0.25">
      <c r="A64" s="159">
        <v>100771</v>
      </c>
      <c r="B64" s="159">
        <v>1</v>
      </c>
      <c r="C64" s="146" t="str">
        <f t="shared" si="0"/>
        <v>1</v>
      </c>
    </row>
    <row r="65" spans="1:3" x14ac:dyDescent="0.25">
      <c r="A65" s="159">
        <v>100802</v>
      </c>
      <c r="B65" s="159">
        <v>4</v>
      </c>
      <c r="C65" s="146" t="str">
        <f t="shared" si="0"/>
        <v>4</v>
      </c>
    </row>
    <row r="66" spans="1:3" x14ac:dyDescent="0.25">
      <c r="A66" s="159">
        <v>100828</v>
      </c>
      <c r="B66" s="159">
        <v>1</v>
      </c>
      <c r="C66" s="146" t="str">
        <f t="shared" ref="C66:C129" si="1">IF(OR(B66=0,B66=1,B66=2,B66=3,B66=4,B66=5),TEXT(B66,"0"),B66)</f>
        <v>1</v>
      </c>
    </row>
    <row r="67" spans="1:3" x14ac:dyDescent="0.25">
      <c r="A67" s="159">
        <v>100838</v>
      </c>
      <c r="B67" s="159">
        <v>1</v>
      </c>
      <c r="C67" s="146" t="str">
        <f t="shared" si="1"/>
        <v>1</v>
      </c>
    </row>
    <row r="68" spans="1:3" x14ac:dyDescent="0.25">
      <c r="A68" s="159">
        <v>100851</v>
      </c>
      <c r="B68" s="159">
        <v>4</v>
      </c>
      <c r="C68" s="146" t="str">
        <f t="shared" si="1"/>
        <v>4</v>
      </c>
    </row>
    <row r="69" spans="1:3" x14ac:dyDescent="0.25">
      <c r="A69" s="159">
        <v>100865</v>
      </c>
      <c r="B69" s="159">
        <v>1</v>
      </c>
      <c r="C69" s="146" t="str">
        <f t="shared" si="1"/>
        <v>1</v>
      </c>
    </row>
    <row r="70" spans="1:3" x14ac:dyDescent="0.25">
      <c r="A70" s="159">
        <v>100883</v>
      </c>
      <c r="B70" s="159">
        <v>4</v>
      </c>
      <c r="C70" s="146" t="str">
        <f t="shared" si="1"/>
        <v>4</v>
      </c>
    </row>
    <row r="71" spans="1:3" x14ac:dyDescent="0.25">
      <c r="A71" s="159">
        <v>100892</v>
      </c>
      <c r="B71" s="159">
        <v>2</v>
      </c>
      <c r="C71" s="146" t="str">
        <f t="shared" si="1"/>
        <v>2</v>
      </c>
    </row>
    <row r="72" spans="1:3" x14ac:dyDescent="0.25">
      <c r="A72" s="159">
        <v>100900</v>
      </c>
      <c r="B72" s="159">
        <v>3</v>
      </c>
      <c r="C72" s="146" t="str">
        <f t="shared" si="1"/>
        <v>3</v>
      </c>
    </row>
    <row r="73" spans="1:3" x14ac:dyDescent="0.25">
      <c r="A73" s="159">
        <v>100902</v>
      </c>
      <c r="B73" s="159">
        <v>3</v>
      </c>
      <c r="C73" s="146" t="str">
        <f t="shared" si="1"/>
        <v>3</v>
      </c>
    </row>
    <row r="74" spans="1:3" x14ac:dyDescent="0.25">
      <c r="A74" s="159">
        <v>100910</v>
      </c>
      <c r="B74" s="159">
        <v>3</v>
      </c>
      <c r="C74" s="146" t="str">
        <f t="shared" si="1"/>
        <v>3</v>
      </c>
    </row>
    <row r="75" spans="1:3" x14ac:dyDescent="0.25">
      <c r="A75" s="159">
        <v>100911</v>
      </c>
      <c r="B75" s="159">
        <v>3</v>
      </c>
      <c r="C75" s="146" t="str">
        <f t="shared" si="1"/>
        <v>3</v>
      </c>
    </row>
    <row r="76" spans="1:3" x14ac:dyDescent="0.25">
      <c r="A76" s="159">
        <v>100929</v>
      </c>
      <c r="B76" s="159" t="s">
        <v>437</v>
      </c>
      <c r="C76" s="146" t="str">
        <f t="shared" si="1"/>
        <v>1S</v>
      </c>
    </row>
    <row r="77" spans="1:3" x14ac:dyDescent="0.25">
      <c r="A77" s="159">
        <v>100972</v>
      </c>
      <c r="B77" s="159" t="s">
        <v>439</v>
      </c>
      <c r="C77" s="146" t="str">
        <f t="shared" si="1"/>
        <v>3S</v>
      </c>
    </row>
    <row r="78" spans="1:3" x14ac:dyDescent="0.25">
      <c r="A78" s="159">
        <v>100993</v>
      </c>
      <c r="B78" s="159">
        <v>3</v>
      </c>
      <c r="C78" s="146" t="str">
        <f t="shared" si="1"/>
        <v>3</v>
      </c>
    </row>
    <row r="79" spans="1:3" x14ac:dyDescent="0.25">
      <c r="A79" s="159">
        <v>101012</v>
      </c>
      <c r="B79" s="159">
        <v>1</v>
      </c>
      <c r="C79" s="146" t="str">
        <f t="shared" si="1"/>
        <v>1</v>
      </c>
    </row>
    <row r="80" spans="1:3" x14ac:dyDescent="0.25">
      <c r="A80" s="159">
        <v>101031</v>
      </c>
      <c r="B80" s="159">
        <v>1</v>
      </c>
      <c r="C80" s="146" t="str">
        <f t="shared" si="1"/>
        <v>1</v>
      </c>
    </row>
    <row r="81" spans="1:3" x14ac:dyDescent="0.25">
      <c r="A81" s="159">
        <v>101109</v>
      </c>
      <c r="B81" s="159">
        <v>1</v>
      </c>
      <c r="C81" s="146" t="str">
        <f t="shared" si="1"/>
        <v>1</v>
      </c>
    </row>
    <row r="82" spans="1:3" x14ac:dyDescent="0.25">
      <c r="A82" s="159">
        <v>101189</v>
      </c>
      <c r="B82" s="159">
        <v>1</v>
      </c>
      <c r="C82" s="146" t="str">
        <f t="shared" si="1"/>
        <v>1</v>
      </c>
    </row>
    <row r="83" spans="1:3" x14ac:dyDescent="0.25">
      <c r="A83" s="159">
        <v>101191</v>
      </c>
      <c r="B83" s="159" t="s">
        <v>437</v>
      </c>
      <c r="C83" s="146" t="str">
        <f t="shared" si="1"/>
        <v>1S</v>
      </c>
    </row>
    <row r="84" spans="1:3" x14ac:dyDescent="0.25">
      <c r="A84" s="159">
        <v>101265</v>
      </c>
      <c r="B84" s="159">
        <v>2</v>
      </c>
      <c r="C84" s="146" t="str">
        <f t="shared" si="1"/>
        <v>2</v>
      </c>
    </row>
    <row r="85" spans="1:3" x14ac:dyDescent="0.25">
      <c r="A85" s="159">
        <v>101266</v>
      </c>
      <c r="B85" s="159">
        <v>2</v>
      </c>
      <c r="C85" s="146" t="str">
        <f t="shared" si="1"/>
        <v>2</v>
      </c>
    </row>
    <row r="86" spans="1:3" x14ac:dyDescent="0.25">
      <c r="A86" s="159">
        <v>101272</v>
      </c>
      <c r="B86" s="159">
        <v>4</v>
      </c>
      <c r="C86" s="146" t="str">
        <f t="shared" si="1"/>
        <v>4</v>
      </c>
    </row>
    <row r="87" spans="1:3" x14ac:dyDescent="0.25">
      <c r="A87" s="159">
        <v>101282</v>
      </c>
      <c r="B87" s="159">
        <v>4</v>
      </c>
      <c r="C87" s="146" t="str">
        <f t="shared" si="1"/>
        <v>4</v>
      </c>
    </row>
    <row r="88" spans="1:3" x14ac:dyDescent="0.25">
      <c r="A88" s="159">
        <v>101300</v>
      </c>
      <c r="B88" s="159">
        <v>1</v>
      </c>
      <c r="C88" s="146" t="str">
        <f t="shared" si="1"/>
        <v>1</v>
      </c>
    </row>
    <row r="89" spans="1:3" x14ac:dyDescent="0.25">
      <c r="A89" s="159">
        <v>101303</v>
      </c>
      <c r="B89" s="159">
        <v>4</v>
      </c>
      <c r="C89" s="146" t="str">
        <f t="shared" si="1"/>
        <v>4</v>
      </c>
    </row>
    <row r="90" spans="1:3" x14ac:dyDescent="0.25">
      <c r="A90" s="159">
        <v>101322</v>
      </c>
      <c r="B90" s="159">
        <v>4</v>
      </c>
      <c r="C90" s="146" t="str">
        <f t="shared" si="1"/>
        <v>4</v>
      </c>
    </row>
    <row r="91" spans="1:3" x14ac:dyDescent="0.25">
      <c r="A91" s="159">
        <v>101332</v>
      </c>
      <c r="B91" s="159">
        <v>2</v>
      </c>
      <c r="C91" s="146" t="str">
        <f t="shared" si="1"/>
        <v>2</v>
      </c>
    </row>
    <row r="92" spans="1:3" x14ac:dyDescent="0.25">
      <c r="A92" s="159">
        <v>101337</v>
      </c>
      <c r="B92" s="159">
        <v>2</v>
      </c>
      <c r="C92" s="146" t="str">
        <f t="shared" si="1"/>
        <v>2</v>
      </c>
    </row>
    <row r="93" spans="1:3" x14ac:dyDescent="0.25">
      <c r="A93" s="159">
        <v>101352</v>
      </c>
      <c r="B93" s="159">
        <v>4</v>
      </c>
      <c r="C93" s="146" t="str">
        <f t="shared" si="1"/>
        <v>4</v>
      </c>
    </row>
    <row r="94" spans="1:3" x14ac:dyDescent="0.25">
      <c r="A94" s="159">
        <v>101372</v>
      </c>
      <c r="B94" s="159">
        <v>1</v>
      </c>
      <c r="C94" s="146" t="str">
        <f t="shared" si="1"/>
        <v>1</v>
      </c>
    </row>
    <row r="95" spans="1:3" x14ac:dyDescent="0.25">
      <c r="A95" s="159">
        <v>101403</v>
      </c>
      <c r="B95" s="159">
        <v>2</v>
      </c>
      <c r="C95" s="146" t="str">
        <f t="shared" si="1"/>
        <v>2</v>
      </c>
    </row>
    <row r="96" spans="1:3" x14ac:dyDescent="0.25">
      <c r="A96" s="159">
        <v>101425</v>
      </c>
      <c r="B96" s="159">
        <v>1</v>
      </c>
      <c r="C96" s="146" t="str">
        <f t="shared" si="1"/>
        <v>1</v>
      </c>
    </row>
    <row r="97" spans="1:3" x14ac:dyDescent="0.25">
      <c r="A97" s="159">
        <v>101451</v>
      </c>
      <c r="B97" s="159">
        <v>1</v>
      </c>
      <c r="C97" s="146" t="str">
        <f t="shared" si="1"/>
        <v>1</v>
      </c>
    </row>
    <row r="98" spans="1:3" x14ac:dyDescent="0.25">
      <c r="A98" s="159">
        <v>101502</v>
      </c>
      <c r="B98" s="159">
        <v>4</v>
      </c>
      <c r="C98" s="146" t="str">
        <f t="shared" si="1"/>
        <v>4</v>
      </c>
    </row>
    <row r="99" spans="1:3" x14ac:dyDescent="0.25">
      <c r="A99" s="159">
        <v>101505</v>
      </c>
      <c r="B99" s="159">
        <v>4</v>
      </c>
      <c r="C99" s="146" t="str">
        <f t="shared" si="1"/>
        <v>4</v>
      </c>
    </row>
    <row r="100" spans="1:3" x14ac:dyDescent="0.25">
      <c r="A100" s="159">
        <v>101509</v>
      </c>
      <c r="B100" s="159">
        <v>4</v>
      </c>
      <c r="C100" s="146" t="str">
        <f t="shared" si="1"/>
        <v>4</v>
      </c>
    </row>
    <row r="101" spans="1:3" x14ac:dyDescent="0.25">
      <c r="A101" s="159">
        <v>101532</v>
      </c>
      <c r="B101" s="159" t="s">
        <v>438</v>
      </c>
      <c r="C101" s="146" t="str">
        <f t="shared" si="1"/>
        <v>2S</v>
      </c>
    </row>
    <row r="102" spans="1:3" x14ac:dyDescent="0.25">
      <c r="A102" s="159">
        <v>101538</v>
      </c>
      <c r="B102" s="159" t="s">
        <v>438</v>
      </c>
      <c r="C102" s="146" t="str">
        <f t="shared" si="1"/>
        <v>2S</v>
      </c>
    </row>
    <row r="103" spans="1:3" x14ac:dyDescent="0.25">
      <c r="A103" s="159">
        <v>101542</v>
      </c>
      <c r="B103" s="159">
        <v>2</v>
      </c>
      <c r="C103" s="146" t="str">
        <f t="shared" si="1"/>
        <v>2</v>
      </c>
    </row>
    <row r="104" spans="1:3" x14ac:dyDescent="0.25">
      <c r="A104" s="159">
        <v>101561</v>
      </c>
      <c r="B104" s="159">
        <v>4</v>
      </c>
      <c r="C104" s="146" t="str">
        <f t="shared" si="1"/>
        <v>4</v>
      </c>
    </row>
    <row r="105" spans="1:3" x14ac:dyDescent="0.25">
      <c r="A105" s="159">
        <v>101572</v>
      </c>
      <c r="B105" s="159">
        <v>1</v>
      </c>
      <c r="C105" s="146" t="str">
        <f t="shared" si="1"/>
        <v>1</v>
      </c>
    </row>
    <row r="106" spans="1:3" x14ac:dyDescent="0.25">
      <c r="A106" s="159">
        <v>101601</v>
      </c>
      <c r="B106" s="159">
        <v>5</v>
      </c>
      <c r="C106" s="146" t="str">
        <f t="shared" si="1"/>
        <v>5</v>
      </c>
    </row>
    <row r="107" spans="1:3" x14ac:dyDescent="0.25">
      <c r="A107" s="159">
        <v>101602</v>
      </c>
      <c r="B107" s="159">
        <v>1</v>
      </c>
      <c r="C107" s="146" t="str">
        <f t="shared" si="1"/>
        <v>1</v>
      </c>
    </row>
    <row r="108" spans="1:3" x14ac:dyDescent="0.25">
      <c r="A108" s="159">
        <v>101632</v>
      </c>
      <c r="B108" s="159">
        <v>6</v>
      </c>
      <c r="C108" s="146">
        <f t="shared" si="1"/>
        <v>6</v>
      </c>
    </row>
    <row r="109" spans="1:3" x14ac:dyDescent="0.25">
      <c r="A109" s="159">
        <v>101701</v>
      </c>
      <c r="B109" s="159">
        <v>1</v>
      </c>
      <c r="C109" s="146" t="str">
        <f t="shared" si="1"/>
        <v>1</v>
      </c>
    </row>
    <row r="110" spans="1:3" x14ac:dyDescent="0.25">
      <c r="A110" s="159">
        <v>101704</v>
      </c>
      <c r="B110" s="159">
        <v>4</v>
      </c>
      <c r="C110" s="146" t="str">
        <f t="shared" si="1"/>
        <v>4</v>
      </c>
    </row>
    <row r="111" spans="1:3" x14ac:dyDescent="0.25">
      <c r="A111" s="159">
        <v>101733</v>
      </c>
      <c r="B111" s="159">
        <v>1</v>
      </c>
      <c r="C111" s="146" t="str">
        <f t="shared" si="1"/>
        <v>1</v>
      </c>
    </row>
    <row r="112" spans="1:3" x14ac:dyDescent="0.25">
      <c r="A112" s="159">
        <v>101741</v>
      </c>
      <c r="B112" s="159">
        <v>1</v>
      </c>
      <c r="C112" s="146" t="str">
        <f t="shared" si="1"/>
        <v>1</v>
      </c>
    </row>
    <row r="113" spans="1:3" x14ac:dyDescent="0.25">
      <c r="A113" s="159">
        <v>101821</v>
      </c>
      <c r="B113" s="159">
        <v>5</v>
      </c>
      <c r="C113" s="146" t="str">
        <f t="shared" si="1"/>
        <v>5</v>
      </c>
    </row>
    <row r="114" spans="1:3" x14ac:dyDescent="0.25">
      <c r="A114" s="159">
        <v>101843</v>
      </c>
      <c r="B114" s="159">
        <v>1</v>
      </c>
      <c r="C114" s="146" t="str">
        <f t="shared" si="1"/>
        <v>1</v>
      </c>
    </row>
    <row r="115" spans="1:3" x14ac:dyDescent="0.25">
      <c r="A115" s="159">
        <v>101993</v>
      </c>
      <c r="B115" s="159" t="s">
        <v>441</v>
      </c>
      <c r="C115" s="146" t="str">
        <f t="shared" si="1"/>
        <v>4S</v>
      </c>
    </row>
    <row r="116" spans="1:3" x14ac:dyDescent="0.25">
      <c r="A116" s="159">
        <v>102000</v>
      </c>
      <c r="B116" s="159" t="s">
        <v>434</v>
      </c>
      <c r="C116" s="146" t="str">
        <f t="shared" si="1"/>
        <v>GR 3</v>
      </c>
    </row>
    <row r="117" spans="1:3" x14ac:dyDescent="0.25">
      <c r="A117" s="159">
        <v>102004</v>
      </c>
      <c r="B117" s="159">
        <v>4</v>
      </c>
      <c r="C117" s="146" t="str">
        <f t="shared" si="1"/>
        <v>4</v>
      </c>
    </row>
    <row r="118" spans="1:3" x14ac:dyDescent="0.25">
      <c r="A118" s="159">
        <v>102020</v>
      </c>
      <c r="B118" s="159" t="s">
        <v>435</v>
      </c>
      <c r="C118" s="146" t="str">
        <f t="shared" si="1"/>
        <v>GR 2</v>
      </c>
    </row>
    <row r="119" spans="1:3" x14ac:dyDescent="0.25">
      <c r="A119" s="159">
        <v>102022</v>
      </c>
      <c r="B119" s="159">
        <v>1</v>
      </c>
      <c r="C119" s="146" t="str">
        <f t="shared" si="1"/>
        <v>1</v>
      </c>
    </row>
    <row r="120" spans="1:3" x14ac:dyDescent="0.25">
      <c r="A120" s="159">
        <v>102032</v>
      </c>
      <c r="B120" s="159">
        <v>1</v>
      </c>
      <c r="C120" s="146" t="str">
        <f t="shared" si="1"/>
        <v>1</v>
      </c>
    </row>
    <row r="121" spans="1:3" x14ac:dyDescent="0.25">
      <c r="A121" s="159">
        <v>102070</v>
      </c>
      <c r="B121" s="159" t="s">
        <v>435</v>
      </c>
      <c r="C121" s="146" t="str">
        <f t="shared" si="1"/>
        <v>GR 2</v>
      </c>
    </row>
    <row r="122" spans="1:3" x14ac:dyDescent="0.25">
      <c r="A122" s="159">
        <v>102082</v>
      </c>
      <c r="B122" s="159">
        <v>3</v>
      </c>
      <c r="C122" s="146" t="str">
        <f t="shared" si="1"/>
        <v>3</v>
      </c>
    </row>
    <row r="123" spans="1:3" x14ac:dyDescent="0.25">
      <c r="A123" s="159">
        <v>102112</v>
      </c>
      <c r="B123" s="159">
        <v>1</v>
      </c>
      <c r="C123" s="146" t="str">
        <f t="shared" si="1"/>
        <v>1</v>
      </c>
    </row>
    <row r="124" spans="1:3" x14ac:dyDescent="0.25">
      <c r="A124" s="159">
        <v>102132</v>
      </c>
      <c r="B124" s="159">
        <v>4</v>
      </c>
      <c r="C124" s="146" t="str">
        <f t="shared" si="1"/>
        <v>4</v>
      </c>
    </row>
    <row r="125" spans="1:3" x14ac:dyDescent="0.25">
      <c r="A125" s="159">
        <v>102166</v>
      </c>
      <c r="B125" s="159">
        <v>4</v>
      </c>
      <c r="C125" s="146" t="str">
        <f t="shared" si="1"/>
        <v>4</v>
      </c>
    </row>
    <row r="126" spans="1:3" x14ac:dyDescent="0.25">
      <c r="A126" s="159">
        <v>102200</v>
      </c>
      <c r="B126" s="159">
        <v>1</v>
      </c>
      <c r="C126" s="146" t="str">
        <f t="shared" si="1"/>
        <v>1</v>
      </c>
    </row>
    <row r="127" spans="1:3" x14ac:dyDescent="0.25">
      <c r="A127" s="159">
        <v>102243</v>
      </c>
      <c r="B127" s="159">
        <v>1</v>
      </c>
      <c r="C127" s="146" t="str">
        <f t="shared" si="1"/>
        <v>1</v>
      </c>
    </row>
    <row r="128" spans="1:3" x14ac:dyDescent="0.25">
      <c r="A128" s="159">
        <v>102253</v>
      </c>
      <c r="B128" s="159">
        <v>2</v>
      </c>
      <c r="C128" s="146" t="str">
        <f t="shared" si="1"/>
        <v>2</v>
      </c>
    </row>
    <row r="129" spans="1:3" x14ac:dyDescent="0.25">
      <c r="A129" s="159">
        <v>102268</v>
      </c>
      <c r="B129" s="159">
        <v>1</v>
      </c>
      <c r="C129" s="146" t="str">
        <f t="shared" si="1"/>
        <v>1</v>
      </c>
    </row>
    <row r="130" spans="1:3" x14ac:dyDescent="0.25">
      <c r="A130" s="159">
        <v>102301</v>
      </c>
      <c r="B130" s="159">
        <v>4</v>
      </c>
      <c r="C130" s="146" t="str">
        <f t="shared" ref="C130:C193" si="2">IF(OR(B130=0,B130=1,B130=2,B130=3,B130=4,B130=5),TEXT(B130,"0"),B130)</f>
        <v>4</v>
      </c>
    </row>
    <row r="131" spans="1:3" x14ac:dyDescent="0.25">
      <c r="A131" s="159">
        <v>102303</v>
      </c>
      <c r="B131" s="159">
        <v>4</v>
      </c>
      <c r="C131" s="146" t="str">
        <f t="shared" si="2"/>
        <v>4</v>
      </c>
    </row>
    <row r="132" spans="1:3" x14ac:dyDescent="0.25">
      <c r="A132" s="159">
        <v>102322</v>
      </c>
      <c r="B132" s="159">
        <v>4</v>
      </c>
      <c r="C132" s="146" t="str">
        <f t="shared" si="2"/>
        <v>4</v>
      </c>
    </row>
    <row r="133" spans="1:3" x14ac:dyDescent="0.25">
      <c r="A133" s="159">
        <v>102384</v>
      </c>
      <c r="B133" s="159">
        <v>4</v>
      </c>
      <c r="C133" s="146" t="str">
        <f t="shared" si="2"/>
        <v>4</v>
      </c>
    </row>
    <row r="134" spans="1:3" x14ac:dyDescent="0.25">
      <c r="A134" s="159">
        <v>102391</v>
      </c>
      <c r="B134" s="159">
        <v>1</v>
      </c>
      <c r="C134" s="146" t="str">
        <f t="shared" si="2"/>
        <v>1</v>
      </c>
    </row>
    <row r="135" spans="1:3" x14ac:dyDescent="0.25">
      <c r="A135" s="159">
        <v>102421</v>
      </c>
      <c r="B135" s="159">
        <v>1</v>
      </c>
      <c r="C135" s="146" t="str">
        <f t="shared" si="2"/>
        <v>1</v>
      </c>
    </row>
    <row r="136" spans="1:3" x14ac:dyDescent="0.25">
      <c r="A136" s="159">
        <v>102422</v>
      </c>
      <c r="B136" s="159">
        <v>1</v>
      </c>
      <c r="C136" s="146" t="str">
        <f t="shared" si="2"/>
        <v>1</v>
      </c>
    </row>
    <row r="137" spans="1:3" x14ac:dyDescent="0.25">
      <c r="A137" s="159">
        <v>102451</v>
      </c>
      <c r="B137" s="159">
        <v>1</v>
      </c>
      <c r="C137" s="146" t="str">
        <f t="shared" si="2"/>
        <v>1</v>
      </c>
    </row>
    <row r="138" spans="1:3" x14ac:dyDescent="0.25">
      <c r="A138" s="159">
        <v>102612</v>
      </c>
      <c r="B138" s="159" t="s">
        <v>437</v>
      </c>
      <c r="C138" s="146" t="str">
        <f t="shared" si="2"/>
        <v>1S</v>
      </c>
    </row>
    <row r="139" spans="1:3" x14ac:dyDescent="0.25">
      <c r="A139" s="159">
        <v>102698</v>
      </c>
      <c r="B139" s="159">
        <v>1</v>
      </c>
      <c r="C139" s="146" t="str">
        <f t="shared" si="2"/>
        <v>1</v>
      </c>
    </row>
    <row r="140" spans="1:3" x14ac:dyDescent="0.25">
      <c r="A140" s="159">
        <v>102704</v>
      </c>
      <c r="B140" s="159" t="s">
        <v>454</v>
      </c>
      <c r="C140" s="146" t="str">
        <f t="shared" si="2"/>
        <v>6S</v>
      </c>
    </row>
    <row r="141" spans="1:3" x14ac:dyDescent="0.25">
      <c r="A141" s="159">
        <v>102731</v>
      </c>
      <c r="B141" s="159" t="s">
        <v>441</v>
      </c>
      <c r="C141" s="146" t="str">
        <f t="shared" si="2"/>
        <v>4S</v>
      </c>
    </row>
    <row r="142" spans="1:3" x14ac:dyDescent="0.25">
      <c r="A142" s="159">
        <v>102857</v>
      </c>
      <c r="B142" s="159">
        <v>2</v>
      </c>
      <c r="C142" s="146" t="str">
        <f t="shared" si="2"/>
        <v>2</v>
      </c>
    </row>
    <row r="143" spans="1:3" x14ac:dyDescent="0.25">
      <c r="A143" s="159">
        <v>102859</v>
      </c>
      <c r="B143" s="159" t="s">
        <v>441</v>
      </c>
      <c r="C143" s="146" t="str">
        <f t="shared" si="2"/>
        <v>4S</v>
      </c>
    </row>
    <row r="144" spans="1:3" x14ac:dyDescent="0.25">
      <c r="A144" s="159">
        <v>103000</v>
      </c>
      <c r="B144" s="159">
        <v>1</v>
      </c>
      <c r="C144" s="146" t="str">
        <f t="shared" si="2"/>
        <v>1</v>
      </c>
    </row>
    <row r="145" spans="1:3" x14ac:dyDescent="0.25">
      <c r="A145" s="159">
        <v>103005</v>
      </c>
      <c r="B145" s="159">
        <v>4</v>
      </c>
      <c r="C145" s="146" t="str">
        <f t="shared" si="2"/>
        <v>4</v>
      </c>
    </row>
    <row r="146" spans="1:3" x14ac:dyDescent="0.25">
      <c r="A146" s="159">
        <v>103010</v>
      </c>
      <c r="B146" s="159">
        <v>1</v>
      </c>
      <c r="C146" s="146" t="str">
        <f t="shared" si="2"/>
        <v>1</v>
      </c>
    </row>
    <row r="147" spans="1:3" x14ac:dyDescent="0.25">
      <c r="A147" s="159">
        <v>103081</v>
      </c>
      <c r="B147" s="159">
        <v>1</v>
      </c>
      <c r="C147" s="146" t="str">
        <f t="shared" si="2"/>
        <v>1</v>
      </c>
    </row>
    <row r="148" spans="1:3" x14ac:dyDescent="0.25">
      <c r="A148" s="159">
        <v>103082</v>
      </c>
      <c r="B148" s="159">
        <v>1</v>
      </c>
      <c r="C148" s="146" t="str">
        <f t="shared" si="2"/>
        <v>1</v>
      </c>
    </row>
    <row r="149" spans="1:3" x14ac:dyDescent="0.25">
      <c r="A149" s="159">
        <v>103083</v>
      </c>
      <c r="B149" s="159">
        <v>1</v>
      </c>
      <c r="C149" s="146" t="str">
        <f t="shared" si="2"/>
        <v>1</v>
      </c>
    </row>
    <row r="150" spans="1:3" x14ac:dyDescent="0.25">
      <c r="A150" s="159">
        <v>103084</v>
      </c>
      <c r="B150" s="159">
        <v>1</v>
      </c>
      <c r="C150" s="146" t="str">
        <f t="shared" si="2"/>
        <v>1</v>
      </c>
    </row>
    <row r="151" spans="1:3" x14ac:dyDescent="0.25">
      <c r="A151" s="159">
        <v>103085</v>
      </c>
      <c r="B151" s="159">
        <v>1</v>
      </c>
      <c r="C151" s="146" t="str">
        <f t="shared" si="2"/>
        <v>1</v>
      </c>
    </row>
    <row r="152" spans="1:3" x14ac:dyDescent="0.25">
      <c r="A152" s="159">
        <v>103104</v>
      </c>
      <c r="B152" s="159">
        <v>1</v>
      </c>
      <c r="C152" s="146" t="str">
        <f t="shared" si="2"/>
        <v>1</v>
      </c>
    </row>
    <row r="153" spans="1:3" x14ac:dyDescent="0.25">
      <c r="A153" s="159">
        <v>103119</v>
      </c>
      <c r="B153" s="159">
        <v>4</v>
      </c>
      <c r="C153" s="146" t="str">
        <f t="shared" si="2"/>
        <v>4</v>
      </c>
    </row>
    <row r="154" spans="1:3" x14ac:dyDescent="0.25">
      <c r="A154" s="159">
        <v>103121</v>
      </c>
      <c r="B154" s="159">
        <v>3</v>
      </c>
      <c r="C154" s="146" t="str">
        <f t="shared" si="2"/>
        <v>3</v>
      </c>
    </row>
    <row r="155" spans="1:3" x14ac:dyDescent="0.25">
      <c r="A155" s="159">
        <v>103122</v>
      </c>
      <c r="B155" s="159" t="s">
        <v>441</v>
      </c>
      <c r="C155" s="146" t="str">
        <f t="shared" si="2"/>
        <v>4S</v>
      </c>
    </row>
    <row r="156" spans="1:3" x14ac:dyDescent="0.25">
      <c r="A156" s="159">
        <v>103134</v>
      </c>
      <c r="B156" s="159">
        <v>1</v>
      </c>
      <c r="C156" s="146" t="str">
        <f t="shared" si="2"/>
        <v>1</v>
      </c>
    </row>
    <row r="157" spans="1:3" x14ac:dyDescent="0.25">
      <c r="A157" s="159">
        <v>103189</v>
      </c>
      <c r="B157" s="159">
        <v>1</v>
      </c>
      <c r="C157" s="146" t="str">
        <f t="shared" si="2"/>
        <v>1</v>
      </c>
    </row>
    <row r="158" spans="1:3" x14ac:dyDescent="0.25">
      <c r="A158" s="159">
        <v>103191</v>
      </c>
      <c r="B158" s="159">
        <v>1</v>
      </c>
      <c r="C158" s="146" t="str">
        <f t="shared" si="2"/>
        <v>1</v>
      </c>
    </row>
    <row r="159" spans="1:3" x14ac:dyDescent="0.25">
      <c r="A159" s="159">
        <v>103293</v>
      </c>
      <c r="B159" s="159">
        <v>1</v>
      </c>
      <c r="C159" s="146" t="str">
        <f t="shared" si="2"/>
        <v>1</v>
      </c>
    </row>
    <row r="160" spans="1:3" x14ac:dyDescent="0.25">
      <c r="A160" s="159">
        <v>103294</v>
      </c>
      <c r="B160" s="159">
        <v>5</v>
      </c>
      <c r="C160" s="146" t="str">
        <f t="shared" si="2"/>
        <v>5</v>
      </c>
    </row>
    <row r="161" spans="1:3" x14ac:dyDescent="0.25">
      <c r="A161" s="159">
        <v>103296</v>
      </c>
      <c r="B161" s="159">
        <v>1</v>
      </c>
      <c r="C161" s="146" t="str">
        <f t="shared" si="2"/>
        <v>1</v>
      </c>
    </row>
    <row r="162" spans="1:3" x14ac:dyDescent="0.25">
      <c r="A162" s="159">
        <v>103302</v>
      </c>
      <c r="B162" s="159">
        <v>4</v>
      </c>
      <c r="C162" s="146" t="str">
        <f t="shared" si="2"/>
        <v>4</v>
      </c>
    </row>
    <row r="163" spans="1:3" x14ac:dyDescent="0.25">
      <c r="A163" s="159">
        <v>103328</v>
      </c>
      <c r="B163" s="159">
        <v>1</v>
      </c>
      <c r="C163" s="146" t="str">
        <f t="shared" si="2"/>
        <v>1</v>
      </c>
    </row>
    <row r="164" spans="1:3" x14ac:dyDescent="0.25">
      <c r="A164" s="159">
        <v>103338</v>
      </c>
      <c r="B164" s="159">
        <v>1</v>
      </c>
      <c r="C164" s="146" t="str">
        <f t="shared" si="2"/>
        <v>1</v>
      </c>
    </row>
    <row r="165" spans="1:3" x14ac:dyDescent="0.25">
      <c r="A165" s="159">
        <v>103348</v>
      </c>
      <c r="B165" s="159">
        <v>1</v>
      </c>
      <c r="C165" s="146" t="str">
        <f t="shared" si="2"/>
        <v>1</v>
      </c>
    </row>
    <row r="166" spans="1:3" x14ac:dyDescent="0.25">
      <c r="A166" s="159">
        <v>103458</v>
      </c>
      <c r="B166" s="159">
        <v>1</v>
      </c>
      <c r="C166" s="146" t="str">
        <f t="shared" si="2"/>
        <v>1</v>
      </c>
    </row>
    <row r="167" spans="1:3" x14ac:dyDescent="0.25">
      <c r="A167" s="159">
        <v>103460</v>
      </c>
      <c r="B167" s="159">
        <v>1</v>
      </c>
      <c r="C167" s="146" t="str">
        <f t="shared" si="2"/>
        <v>1</v>
      </c>
    </row>
    <row r="168" spans="1:3" x14ac:dyDescent="0.25">
      <c r="A168" s="159">
        <v>103469</v>
      </c>
      <c r="B168" s="159">
        <v>2</v>
      </c>
      <c r="C168" s="146" t="str">
        <f t="shared" si="2"/>
        <v>2</v>
      </c>
    </row>
    <row r="169" spans="1:3" x14ac:dyDescent="0.25">
      <c r="A169" s="159">
        <v>103479</v>
      </c>
      <c r="B169" s="159">
        <v>1</v>
      </c>
      <c r="C169" s="146" t="str">
        <f t="shared" si="2"/>
        <v>1</v>
      </c>
    </row>
    <row r="170" spans="1:3" x14ac:dyDescent="0.25">
      <c r="A170" s="159">
        <v>103493</v>
      </c>
      <c r="B170" s="159">
        <v>1</v>
      </c>
      <c r="C170" s="146" t="str">
        <f t="shared" si="2"/>
        <v>1</v>
      </c>
    </row>
    <row r="171" spans="1:3" x14ac:dyDescent="0.25">
      <c r="A171" s="159">
        <v>103494</v>
      </c>
      <c r="B171" s="159">
        <v>1</v>
      </c>
      <c r="C171" s="146" t="str">
        <f t="shared" si="2"/>
        <v>1</v>
      </c>
    </row>
    <row r="172" spans="1:3" x14ac:dyDescent="0.25">
      <c r="A172" s="159">
        <v>103506</v>
      </c>
      <c r="B172" s="159">
        <v>1</v>
      </c>
      <c r="C172" s="146" t="str">
        <f t="shared" si="2"/>
        <v>1</v>
      </c>
    </row>
    <row r="173" spans="1:3" x14ac:dyDescent="0.25">
      <c r="A173" s="159">
        <v>103541</v>
      </c>
      <c r="B173" s="159" t="s">
        <v>437</v>
      </c>
      <c r="C173" s="146" t="str">
        <f t="shared" si="2"/>
        <v>1S</v>
      </c>
    </row>
    <row r="174" spans="1:3" x14ac:dyDescent="0.25">
      <c r="A174" s="159">
        <v>103811</v>
      </c>
      <c r="B174" s="159">
        <v>1</v>
      </c>
      <c r="C174" s="146" t="str">
        <f t="shared" si="2"/>
        <v>1</v>
      </c>
    </row>
    <row r="175" spans="1:3" x14ac:dyDescent="0.25">
      <c r="A175" s="159">
        <v>103884</v>
      </c>
      <c r="B175" s="159">
        <v>3</v>
      </c>
      <c r="C175" s="146" t="str">
        <f t="shared" si="2"/>
        <v>3</v>
      </c>
    </row>
    <row r="176" spans="1:3" x14ac:dyDescent="0.25">
      <c r="A176" s="159">
        <v>103922</v>
      </c>
      <c r="B176" s="159">
        <v>5</v>
      </c>
      <c r="C176" s="146" t="str">
        <f t="shared" si="2"/>
        <v>5</v>
      </c>
    </row>
    <row r="177" spans="1:3" x14ac:dyDescent="0.25">
      <c r="A177" s="159">
        <v>103923</v>
      </c>
      <c r="B177" s="159">
        <v>2</v>
      </c>
      <c r="C177" s="146" t="str">
        <f t="shared" si="2"/>
        <v>2</v>
      </c>
    </row>
    <row r="178" spans="1:3" x14ac:dyDescent="0.25">
      <c r="A178" s="159">
        <v>103924</v>
      </c>
      <c r="B178" s="159">
        <v>4</v>
      </c>
      <c r="C178" s="146" t="str">
        <f t="shared" si="2"/>
        <v>4</v>
      </c>
    </row>
    <row r="179" spans="1:3" x14ac:dyDescent="0.25">
      <c r="A179" s="159">
        <v>103974</v>
      </c>
      <c r="B179" s="159">
        <v>4</v>
      </c>
      <c r="C179" s="146" t="str">
        <f t="shared" si="2"/>
        <v>4</v>
      </c>
    </row>
    <row r="180" spans="1:3" x14ac:dyDescent="0.25">
      <c r="A180" s="159">
        <v>104003</v>
      </c>
      <c r="B180" s="159">
        <v>1</v>
      </c>
      <c r="C180" s="146" t="str">
        <f t="shared" si="2"/>
        <v>1</v>
      </c>
    </row>
    <row r="181" spans="1:3" x14ac:dyDescent="0.25">
      <c r="A181" s="159">
        <v>104142</v>
      </c>
      <c r="B181" s="159">
        <v>5</v>
      </c>
      <c r="C181" s="146" t="str">
        <f t="shared" si="2"/>
        <v>5</v>
      </c>
    </row>
    <row r="182" spans="1:3" x14ac:dyDescent="0.25">
      <c r="A182" s="159">
        <v>104171</v>
      </c>
      <c r="B182" s="159">
        <v>5</v>
      </c>
      <c r="C182" s="146" t="str">
        <f t="shared" si="2"/>
        <v>5</v>
      </c>
    </row>
    <row r="183" spans="1:3" x14ac:dyDescent="0.25">
      <c r="A183" s="159">
        <v>104172</v>
      </c>
      <c r="B183" s="159">
        <v>4</v>
      </c>
      <c r="C183" s="146" t="str">
        <f t="shared" si="2"/>
        <v>4</v>
      </c>
    </row>
    <row r="184" spans="1:3" x14ac:dyDescent="0.25">
      <c r="A184" s="159">
        <v>104194</v>
      </c>
      <c r="B184" s="159">
        <v>3</v>
      </c>
      <c r="C184" s="146" t="str">
        <f t="shared" si="2"/>
        <v>3</v>
      </c>
    </row>
    <row r="185" spans="1:3" x14ac:dyDescent="0.25">
      <c r="A185" s="159">
        <v>104212</v>
      </c>
      <c r="B185" s="159">
        <v>3</v>
      </c>
      <c r="C185" s="146" t="str">
        <f t="shared" si="2"/>
        <v>3</v>
      </c>
    </row>
    <row r="186" spans="1:3" x14ac:dyDescent="0.25">
      <c r="A186" s="159">
        <v>104228</v>
      </c>
      <c r="B186" s="159">
        <v>3</v>
      </c>
      <c r="C186" s="146" t="str">
        <f t="shared" si="2"/>
        <v>3</v>
      </c>
    </row>
    <row r="187" spans="1:3" x14ac:dyDescent="0.25">
      <c r="A187" s="159">
        <v>104242</v>
      </c>
      <c r="B187" s="159">
        <v>3</v>
      </c>
      <c r="C187" s="146" t="str">
        <f t="shared" si="2"/>
        <v>3</v>
      </c>
    </row>
    <row r="188" spans="1:3" x14ac:dyDescent="0.25">
      <c r="A188" s="159">
        <v>104262</v>
      </c>
      <c r="B188" s="159">
        <v>3</v>
      </c>
      <c r="C188" s="146" t="str">
        <f t="shared" si="2"/>
        <v>3</v>
      </c>
    </row>
    <row r="189" spans="1:3" x14ac:dyDescent="0.25">
      <c r="A189" s="159">
        <v>104268</v>
      </c>
      <c r="B189" s="159">
        <v>3</v>
      </c>
      <c r="C189" s="146" t="str">
        <f t="shared" si="2"/>
        <v>3</v>
      </c>
    </row>
    <row r="190" spans="1:3" x14ac:dyDescent="0.25">
      <c r="A190" s="159">
        <v>104269</v>
      </c>
      <c r="B190" s="159">
        <v>3</v>
      </c>
      <c r="C190" s="146" t="str">
        <f t="shared" si="2"/>
        <v>3</v>
      </c>
    </row>
    <row r="191" spans="1:3" x14ac:dyDescent="0.25">
      <c r="A191" s="159">
        <v>104282</v>
      </c>
      <c r="B191" s="159">
        <v>5</v>
      </c>
      <c r="C191" s="146" t="str">
        <f t="shared" si="2"/>
        <v>5</v>
      </c>
    </row>
    <row r="192" spans="1:3" x14ac:dyDescent="0.25">
      <c r="A192" s="159">
        <v>104343</v>
      </c>
      <c r="B192" s="159">
        <v>2</v>
      </c>
      <c r="C192" s="146" t="str">
        <f t="shared" si="2"/>
        <v>2</v>
      </c>
    </row>
    <row r="193" spans="1:3" x14ac:dyDescent="0.25">
      <c r="A193" s="159">
        <v>104349</v>
      </c>
      <c r="B193" s="159">
        <v>1</v>
      </c>
      <c r="C193" s="146" t="str">
        <f t="shared" si="2"/>
        <v>1</v>
      </c>
    </row>
    <row r="194" spans="1:3" x14ac:dyDescent="0.25">
      <c r="A194" s="159">
        <v>104453</v>
      </c>
      <c r="B194" s="159">
        <v>4</v>
      </c>
      <c r="C194" s="146" t="str">
        <f t="shared" ref="C194:C257" si="3">IF(OR(B194=0,B194=1,B194=2,B194=3,B194=4,B194=5),TEXT(B194,"0"),B194)</f>
        <v>4</v>
      </c>
    </row>
    <row r="195" spans="1:3" x14ac:dyDescent="0.25">
      <c r="A195" s="159">
        <v>104481</v>
      </c>
      <c r="B195" s="159">
        <v>1</v>
      </c>
      <c r="C195" s="146" t="str">
        <f t="shared" si="3"/>
        <v>1</v>
      </c>
    </row>
    <row r="196" spans="1:3" x14ac:dyDescent="0.25">
      <c r="A196" s="159">
        <v>104502</v>
      </c>
      <c r="B196" s="159" t="s">
        <v>438</v>
      </c>
      <c r="C196" s="146" t="str">
        <f t="shared" si="3"/>
        <v>2S</v>
      </c>
    </row>
    <row r="197" spans="1:3" x14ac:dyDescent="0.25">
      <c r="A197" s="159">
        <v>104525</v>
      </c>
      <c r="B197" s="159">
        <v>4</v>
      </c>
      <c r="C197" s="146" t="str">
        <f t="shared" si="3"/>
        <v>4</v>
      </c>
    </row>
    <row r="198" spans="1:3" x14ac:dyDescent="0.25">
      <c r="A198" s="159">
        <v>104572</v>
      </c>
      <c r="B198" s="159">
        <v>1</v>
      </c>
      <c r="C198" s="146" t="str">
        <f t="shared" si="3"/>
        <v>1</v>
      </c>
    </row>
    <row r="199" spans="1:3" x14ac:dyDescent="0.25">
      <c r="A199" s="159">
        <v>104575</v>
      </c>
      <c r="B199" s="159">
        <v>2</v>
      </c>
      <c r="C199" s="146" t="str">
        <f t="shared" si="3"/>
        <v>2</v>
      </c>
    </row>
    <row r="200" spans="1:3" x14ac:dyDescent="0.25">
      <c r="A200" s="159">
        <v>104576</v>
      </c>
      <c r="B200" s="159">
        <v>1</v>
      </c>
      <c r="C200" s="146" t="str">
        <f t="shared" si="3"/>
        <v>1</v>
      </c>
    </row>
    <row r="201" spans="1:3" x14ac:dyDescent="0.25">
      <c r="A201" s="159">
        <v>104578</v>
      </c>
      <c r="B201" s="159">
        <v>1</v>
      </c>
      <c r="C201" s="146" t="str">
        <f t="shared" si="3"/>
        <v>1</v>
      </c>
    </row>
    <row r="202" spans="1:3" x14ac:dyDescent="0.25">
      <c r="A202" s="159">
        <v>104607</v>
      </c>
      <c r="B202" s="159">
        <v>1</v>
      </c>
      <c r="C202" s="146" t="str">
        <f t="shared" si="3"/>
        <v>1</v>
      </c>
    </row>
    <row r="203" spans="1:3" x14ac:dyDescent="0.25">
      <c r="A203" s="159">
        <v>104622</v>
      </c>
      <c r="B203" s="159">
        <v>1</v>
      </c>
      <c r="C203" s="146" t="str">
        <f t="shared" si="3"/>
        <v>1</v>
      </c>
    </row>
    <row r="204" spans="1:3" x14ac:dyDescent="0.25">
      <c r="A204" s="159">
        <v>104624</v>
      </c>
      <c r="B204" s="159">
        <v>2</v>
      </c>
      <c r="C204" s="146" t="str">
        <f t="shared" si="3"/>
        <v>2</v>
      </c>
    </row>
    <row r="205" spans="1:3" x14ac:dyDescent="0.25">
      <c r="A205" s="159">
        <v>104645</v>
      </c>
      <c r="B205" s="159">
        <v>1</v>
      </c>
      <c r="C205" s="146" t="str">
        <f t="shared" si="3"/>
        <v>1</v>
      </c>
    </row>
    <row r="206" spans="1:3" x14ac:dyDescent="0.25">
      <c r="A206" s="159">
        <v>104651</v>
      </c>
      <c r="B206" s="159">
        <v>1</v>
      </c>
      <c r="C206" s="146" t="str">
        <f t="shared" si="3"/>
        <v>1</v>
      </c>
    </row>
    <row r="207" spans="1:3" x14ac:dyDescent="0.25">
      <c r="A207" s="159">
        <v>104655</v>
      </c>
      <c r="B207" s="159" t="s">
        <v>437</v>
      </c>
      <c r="C207" s="146" t="str">
        <f t="shared" si="3"/>
        <v>1S</v>
      </c>
    </row>
    <row r="208" spans="1:3" x14ac:dyDescent="0.25">
      <c r="A208" s="159">
        <v>104659</v>
      </c>
      <c r="B208" s="159">
        <v>2</v>
      </c>
      <c r="C208" s="146" t="str">
        <f t="shared" si="3"/>
        <v>2</v>
      </c>
    </row>
    <row r="209" spans="1:3" x14ac:dyDescent="0.25">
      <c r="A209" s="159">
        <v>104682</v>
      </c>
      <c r="B209" s="159">
        <v>4</v>
      </c>
      <c r="C209" s="146" t="str">
        <f t="shared" si="3"/>
        <v>4</v>
      </c>
    </row>
    <row r="210" spans="1:3" x14ac:dyDescent="0.25">
      <c r="A210" s="159">
        <v>104692</v>
      </c>
      <c r="B210" s="159">
        <v>1</v>
      </c>
      <c r="C210" s="146" t="str">
        <f t="shared" si="3"/>
        <v>1</v>
      </c>
    </row>
    <row r="211" spans="1:3" x14ac:dyDescent="0.25">
      <c r="A211" s="159">
        <v>104713</v>
      </c>
      <c r="B211" s="159" t="s">
        <v>437</v>
      </c>
      <c r="C211" s="146" t="str">
        <f t="shared" si="3"/>
        <v>1S</v>
      </c>
    </row>
    <row r="212" spans="1:3" x14ac:dyDescent="0.25">
      <c r="A212" s="159">
        <v>104714</v>
      </c>
      <c r="B212" s="159">
        <v>1</v>
      </c>
      <c r="C212" s="146" t="str">
        <f t="shared" si="3"/>
        <v>1</v>
      </c>
    </row>
    <row r="213" spans="1:3" x14ac:dyDescent="0.25">
      <c r="A213" s="159">
        <v>104715</v>
      </c>
      <c r="B213" s="159" t="s">
        <v>437</v>
      </c>
      <c r="C213" s="146" t="str">
        <f t="shared" si="3"/>
        <v>1S</v>
      </c>
    </row>
    <row r="214" spans="1:3" x14ac:dyDescent="0.25">
      <c r="A214" s="159">
        <v>104716</v>
      </c>
      <c r="B214" s="159">
        <v>1</v>
      </c>
      <c r="C214" s="146" t="str">
        <f t="shared" si="3"/>
        <v>1</v>
      </c>
    </row>
    <row r="215" spans="1:3" x14ac:dyDescent="0.25">
      <c r="A215" s="159">
        <v>104748</v>
      </c>
      <c r="B215" s="159">
        <v>4</v>
      </c>
      <c r="C215" s="146" t="str">
        <f t="shared" si="3"/>
        <v>4</v>
      </c>
    </row>
    <row r="216" spans="1:3" x14ac:dyDescent="0.25">
      <c r="A216" s="159">
        <v>104756</v>
      </c>
      <c r="B216" s="159">
        <v>1</v>
      </c>
      <c r="C216" s="146" t="str">
        <f t="shared" si="3"/>
        <v>1</v>
      </c>
    </row>
    <row r="217" spans="1:3" x14ac:dyDescent="0.25">
      <c r="A217" s="159">
        <v>104766</v>
      </c>
      <c r="B217" s="159">
        <v>1</v>
      </c>
      <c r="C217" s="146" t="str">
        <f t="shared" si="3"/>
        <v>1</v>
      </c>
    </row>
    <row r="218" spans="1:3" x14ac:dyDescent="0.25">
      <c r="A218" s="159">
        <v>104772</v>
      </c>
      <c r="B218" s="159">
        <v>4</v>
      </c>
      <c r="C218" s="146" t="str">
        <f t="shared" si="3"/>
        <v>4</v>
      </c>
    </row>
    <row r="219" spans="1:3" x14ac:dyDescent="0.25">
      <c r="A219" s="159">
        <v>104812</v>
      </c>
      <c r="B219" s="159">
        <v>2</v>
      </c>
      <c r="C219" s="146" t="str">
        <f t="shared" si="3"/>
        <v>2</v>
      </c>
    </row>
    <row r="220" spans="1:3" x14ac:dyDescent="0.25">
      <c r="A220" s="159">
        <v>104833</v>
      </c>
      <c r="B220" s="159">
        <v>5</v>
      </c>
      <c r="C220" s="146" t="str">
        <f t="shared" si="3"/>
        <v>5</v>
      </c>
    </row>
    <row r="221" spans="1:3" x14ac:dyDescent="0.25">
      <c r="A221" s="159">
        <v>104835</v>
      </c>
      <c r="B221" s="159">
        <v>5</v>
      </c>
      <c r="C221" s="146" t="str">
        <f t="shared" si="3"/>
        <v>5</v>
      </c>
    </row>
    <row r="222" spans="1:3" x14ac:dyDescent="0.25">
      <c r="A222" s="159">
        <v>104841</v>
      </c>
      <c r="B222" s="159">
        <v>6</v>
      </c>
      <c r="C222" s="146">
        <f t="shared" si="3"/>
        <v>6</v>
      </c>
    </row>
    <row r="223" spans="1:3" x14ac:dyDescent="0.25">
      <c r="A223" s="159">
        <v>104843</v>
      </c>
      <c r="B223" s="159" t="s">
        <v>435</v>
      </c>
      <c r="C223" s="146" t="str">
        <f t="shared" si="3"/>
        <v>GR 2</v>
      </c>
    </row>
    <row r="224" spans="1:3" x14ac:dyDescent="0.25">
      <c r="A224" s="159">
        <v>104844</v>
      </c>
      <c r="B224" s="159" t="s">
        <v>434</v>
      </c>
      <c r="C224" s="146" t="str">
        <f t="shared" si="3"/>
        <v>GR 3</v>
      </c>
    </row>
    <row r="225" spans="1:3" x14ac:dyDescent="0.25">
      <c r="A225" s="159">
        <v>104845</v>
      </c>
      <c r="B225" s="159" t="s">
        <v>435</v>
      </c>
      <c r="C225" s="146" t="str">
        <f t="shared" si="3"/>
        <v>GR 2</v>
      </c>
    </row>
    <row r="226" spans="1:3" x14ac:dyDescent="0.25">
      <c r="A226" s="159">
        <v>104852</v>
      </c>
      <c r="B226" s="159">
        <v>6</v>
      </c>
      <c r="C226" s="146">
        <f t="shared" si="3"/>
        <v>6</v>
      </c>
    </row>
    <row r="227" spans="1:3" x14ac:dyDescent="0.25">
      <c r="A227" s="159">
        <v>104855</v>
      </c>
      <c r="B227" s="159">
        <v>6</v>
      </c>
      <c r="C227" s="146">
        <f t="shared" si="3"/>
        <v>6</v>
      </c>
    </row>
    <row r="228" spans="1:3" x14ac:dyDescent="0.25">
      <c r="A228" s="159">
        <v>104875</v>
      </c>
      <c r="B228" s="159">
        <v>4</v>
      </c>
      <c r="C228" s="146" t="str">
        <f t="shared" si="3"/>
        <v>4</v>
      </c>
    </row>
    <row r="229" spans="1:3" x14ac:dyDescent="0.25">
      <c r="A229" s="159">
        <v>104883</v>
      </c>
      <c r="B229" s="159">
        <v>6</v>
      </c>
      <c r="C229" s="146">
        <f t="shared" si="3"/>
        <v>6</v>
      </c>
    </row>
    <row r="230" spans="1:3" x14ac:dyDescent="0.25">
      <c r="A230" s="159">
        <v>104902</v>
      </c>
      <c r="B230" s="159">
        <v>1</v>
      </c>
      <c r="C230" s="146" t="str">
        <f t="shared" si="3"/>
        <v>1</v>
      </c>
    </row>
    <row r="231" spans="1:3" x14ac:dyDescent="0.25">
      <c r="A231" s="159">
        <v>104921</v>
      </c>
      <c r="B231" s="159" t="s">
        <v>454</v>
      </c>
      <c r="C231" s="146" t="str">
        <f t="shared" si="3"/>
        <v>6S</v>
      </c>
    </row>
    <row r="232" spans="1:3" x14ac:dyDescent="0.25">
      <c r="A232" s="159">
        <v>104932</v>
      </c>
      <c r="B232" s="159">
        <v>1</v>
      </c>
      <c r="C232" s="146" t="str">
        <f t="shared" si="3"/>
        <v>1</v>
      </c>
    </row>
    <row r="233" spans="1:3" x14ac:dyDescent="0.25">
      <c r="A233" s="159">
        <v>104963</v>
      </c>
      <c r="B233" s="159">
        <v>1</v>
      </c>
      <c r="C233" s="146" t="str">
        <f t="shared" si="3"/>
        <v>1</v>
      </c>
    </row>
    <row r="234" spans="1:3" x14ac:dyDescent="0.25">
      <c r="A234" s="159">
        <v>104983</v>
      </c>
      <c r="B234" s="159">
        <v>2</v>
      </c>
      <c r="C234" s="146" t="str">
        <f t="shared" si="3"/>
        <v>2</v>
      </c>
    </row>
    <row r="235" spans="1:3" x14ac:dyDescent="0.25">
      <c r="A235" s="159">
        <v>104991</v>
      </c>
      <c r="B235" s="159">
        <v>2</v>
      </c>
      <c r="C235" s="146" t="str">
        <f t="shared" si="3"/>
        <v>2</v>
      </c>
    </row>
    <row r="236" spans="1:3" x14ac:dyDescent="0.25">
      <c r="A236" s="159">
        <v>105032</v>
      </c>
      <c r="B236" s="159">
        <v>4</v>
      </c>
      <c r="C236" s="146" t="str">
        <f t="shared" si="3"/>
        <v>4</v>
      </c>
    </row>
    <row r="237" spans="1:3" x14ac:dyDescent="0.25">
      <c r="A237" s="159">
        <v>105033</v>
      </c>
      <c r="B237" s="159">
        <v>4</v>
      </c>
      <c r="C237" s="146" t="str">
        <f t="shared" si="3"/>
        <v>4</v>
      </c>
    </row>
    <row r="238" spans="1:3" x14ac:dyDescent="0.25">
      <c r="A238" s="159">
        <v>105051</v>
      </c>
      <c r="B238" s="159">
        <v>1</v>
      </c>
      <c r="C238" s="146" t="str">
        <f t="shared" si="3"/>
        <v>1</v>
      </c>
    </row>
    <row r="239" spans="1:3" x14ac:dyDescent="0.25">
      <c r="A239" s="159">
        <v>105060</v>
      </c>
      <c r="B239" s="159">
        <v>6</v>
      </c>
      <c r="C239" s="146">
        <f t="shared" si="3"/>
        <v>6</v>
      </c>
    </row>
    <row r="240" spans="1:3" x14ac:dyDescent="0.25">
      <c r="A240" s="159">
        <v>105193</v>
      </c>
      <c r="B240" s="159">
        <v>1</v>
      </c>
      <c r="C240" s="146" t="str">
        <f t="shared" si="3"/>
        <v>1</v>
      </c>
    </row>
    <row r="241" spans="1:3" x14ac:dyDescent="0.25">
      <c r="A241" s="159">
        <v>105214</v>
      </c>
      <c r="B241" s="159">
        <v>1</v>
      </c>
      <c r="C241" s="146" t="str">
        <f t="shared" si="3"/>
        <v>1</v>
      </c>
    </row>
    <row r="242" spans="1:3" x14ac:dyDescent="0.25">
      <c r="A242" s="159">
        <v>105254</v>
      </c>
      <c r="B242" s="159">
        <v>1</v>
      </c>
      <c r="C242" s="146" t="str">
        <f t="shared" si="3"/>
        <v>1</v>
      </c>
    </row>
    <row r="243" spans="1:3" x14ac:dyDescent="0.25">
      <c r="A243" s="159">
        <v>105270</v>
      </c>
      <c r="B243" s="159">
        <v>4</v>
      </c>
      <c r="C243" s="146" t="str">
        <f t="shared" si="3"/>
        <v>4</v>
      </c>
    </row>
    <row r="244" spans="1:3" x14ac:dyDescent="0.25">
      <c r="A244" s="159">
        <v>105271</v>
      </c>
      <c r="B244" s="159">
        <v>3</v>
      </c>
      <c r="C244" s="146" t="str">
        <f t="shared" si="3"/>
        <v>3</v>
      </c>
    </row>
    <row r="245" spans="1:3" x14ac:dyDescent="0.25">
      <c r="A245" s="159">
        <v>105361</v>
      </c>
      <c r="B245" s="159">
        <v>3</v>
      </c>
      <c r="C245" s="146" t="str">
        <f t="shared" si="3"/>
        <v>3</v>
      </c>
    </row>
    <row r="246" spans="1:3" x14ac:dyDescent="0.25">
      <c r="A246" s="159">
        <v>105371</v>
      </c>
      <c r="B246" s="159">
        <v>6</v>
      </c>
      <c r="C246" s="146">
        <f t="shared" si="3"/>
        <v>6</v>
      </c>
    </row>
    <row r="247" spans="1:3" x14ac:dyDescent="0.25">
      <c r="A247" s="159">
        <v>105420</v>
      </c>
      <c r="B247" s="159">
        <v>4</v>
      </c>
      <c r="C247" s="146" t="str">
        <f t="shared" si="3"/>
        <v>4</v>
      </c>
    </row>
    <row r="248" spans="1:3" x14ac:dyDescent="0.25">
      <c r="A248" s="159">
        <v>105421</v>
      </c>
      <c r="B248" s="159">
        <v>4</v>
      </c>
      <c r="C248" s="146" t="str">
        <f t="shared" si="3"/>
        <v>4</v>
      </c>
    </row>
    <row r="249" spans="1:3" x14ac:dyDescent="0.25">
      <c r="A249" s="159">
        <v>105422</v>
      </c>
      <c r="B249" s="159">
        <v>4</v>
      </c>
      <c r="C249" s="146" t="str">
        <f t="shared" si="3"/>
        <v>4</v>
      </c>
    </row>
    <row r="250" spans="1:3" x14ac:dyDescent="0.25">
      <c r="A250" s="159">
        <v>105580</v>
      </c>
      <c r="B250" s="159" t="s">
        <v>454</v>
      </c>
      <c r="C250" s="146" t="str">
        <f t="shared" si="3"/>
        <v>6S</v>
      </c>
    </row>
    <row r="251" spans="1:3" x14ac:dyDescent="0.25">
      <c r="A251" s="159">
        <v>105585</v>
      </c>
      <c r="B251" s="159">
        <v>5</v>
      </c>
      <c r="C251" s="146" t="str">
        <f t="shared" si="3"/>
        <v>5</v>
      </c>
    </row>
    <row r="252" spans="1:3" x14ac:dyDescent="0.25">
      <c r="A252" s="159">
        <v>105591</v>
      </c>
      <c r="B252" s="159">
        <v>3</v>
      </c>
      <c r="C252" s="146" t="str">
        <f t="shared" si="3"/>
        <v>3</v>
      </c>
    </row>
    <row r="253" spans="1:3" x14ac:dyDescent="0.25">
      <c r="A253" s="159">
        <v>105602</v>
      </c>
      <c r="B253" s="159">
        <v>2</v>
      </c>
      <c r="C253" s="146" t="str">
        <f t="shared" si="3"/>
        <v>2</v>
      </c>
    </row>
    <row r="254" spans="1:3" x14ac:dyDescent="0.25">
      <c r="A254" s="159">
        <v>105604</v>
      </c>
      <c r="B254" s="159">
        <v>6</v>
      </c>
      <c r="C254" s="146">
        <f t="shared" si="3"/>
        <v>6</v>
      </c>
    </row>
    <row r="255" spans="1:3" x14ac:dyDescent="0.25">
      <c r="A255" s="159">
        <v>105605</v>
      </c>
      <c r="B255" s="159">
        <v>2</v>
      </c>
      <c r="C255" s="146" t="str">
        <f t="shared" si="3"/>
        <v>2</v>
      </c>
    </row>
    <row r="256" spans="1:3" x14ac:dyDescent="0.25">
      <c r="A256" s="159">
        <v>105703</v>
      </c>
      <c r="B256" s="159">
        <v>5</v>
      </c>
      <c r="C256" s="146" t="str">
        <f t="shared" si="3"/>
        <v>5</v>
      </c>
    </row>
    <row r="257" spans="1:3" x14ac:dyDescent="0.25">
      <c r="A257" s="159">
        <v>105713</v>
      </c>
      <c r="B257" s="159">
        <v>1</v>
      </c>
      <c r="C257" s="146" t="str">
        <f t="shared" si="3"/>
        <v>1</v>
      </c>
    </row>
    <row r="258" spans="1:3" x14ac:dyDescent="0.25">
      <c r="A258" s="159">
        <v>105723</v>
      </c>
      <c r="B258" s="159">
        <v>1</v>
      </c>
      <c r="C258" s="146" t="str">
        <f t="shared" ref="C258:C321" si="4">IF(OR(B258=0,B258=1,B258=2,B258=3,B258=4,B258=5),TEXT(B258,"0"),B258)</f>
        <v>1</v>
      </c>
    </row>
    <row r="259" spans="1:3" x14ac:dyDescent="0.25">
      <c r="A259" s="159">
        <v>105733</v>
      </c>
      <c r="B259" s="159">
        <v>1</v>
      </c>
      <c r="C259" s="146" t="str">
        <f t="shared" si="4"/>
        <v>1</v>
      </c>
    </row>
    <row r="260" spans="1:3" x14ac:dyDescent="0.25">
      <c r="A260" s="159">
        <v>105809</v>
      </c>
      <c r="B260" s="159">
        <v>1</v>
      </c>
      <c r="C260" s="146" t="str">
        <f t="shared" si="4"/>
        <v>1</v>
      </c>
    </row>
    <row r="261" spans="1:3" x14ac:dyDescent="0.25">
      <c r="A261" s="159">
        <v>105819</v>
      </c>
      <c r="B261" s="159">
        <v>1</v>
      </c>
      <c r="C261" s="146" t="str">
        <f t="shared" si="4"/>
        <v>1</v>
      </c>
    </row>
    <row r="262" spans="1:3" x14ac:dyDescent="0.25">
      <c r="A262" s="159">
        <v>105853</v>
      </c>
      <c r="B262" s="159">
        <v>1</v>
      </c>
      <c r="C262" s="146" t="str">
        <f t="shared" si="4"/>
        <v>1</v>
      </c>
    </row>
    <row r="263" spans="1:3" x14ac:dyDescent="0.25">
      <c r="A263" s="159">
        <v>105869</v>
      </c>
      <c r="B263" s="159">
        <v>1</v>
      </c>
      <c r="C263" s="146" t="str">
        <f t="shared" si="4"/>
        <v>1</v>
      </c>
    </row>
    <row r="264" spans="1:3" x14ac:dyDescent="0.25">
      <c r="A264" s="159">
        <v>105881</v>
      </c>
      <c r="B264" s="159">
        <v>1</v>
      </c>
      <c r="C264" s="146" t="str">
        <f t="shared" si="4"/>
        <v>1</v>
      </c>
    </row>
    <row r="265" spans="1:3" x14ac:dyDescent="0.25">
      <c r="A265" s="159">
        <v>105894</v>
      </c>
      <c r="B265" s="159">
        <v>1</v>
      </c>
      <c r="C265" s="146" t="str">
        <f t="shared" si="4"/>
        <v>1</v>
      </c>
    </row>
    <row r="266" spans="1:3" x14ac:dyDescent="0.25">
      <c r="A266" s="159">
        <v>105911</v>
      </c>
      <c r="B266" s="159">
        <v>1</v>
      </c>
      <c r="C266" s="146" t="str">
        <f t="shared" si="4"/>
        <v>1</v>
      </c>
    </row>
    <row r="267" spans="1:3" x14ac:dyDescent="0.25">
      <c r="A267" s="159">
        <v>105992</v>
      </c>
      <c r="B267" s="159">
        <v>1</v>
      </c>
      <c r="C267" s="146" t="str">
        <f t="shared" si="4"/>
        <v>1</v>
      </c>
    </row>
    <row r="268" spans="1:3" x14ac:dyDescent="0.25">
      <c r="A268" s="159">
        <v>105993</v>
      </c>
      <c r="B268" s="159">
        <v>6</v>
      </c>
      <c r="C268" s="146">
        <f t="shared" si="4"/>
        <v>6</v>
      </c>
    </row>
    <row r="269" spans="1:3" x14ac:dyDescent="0.25">
      <c r="A269" s="159">
        <v>106006</v>
      </c>
      <c r="B269" s="159">
        <v>1</v>
      </c>
      <c r="C269" s="146" t="str">
        <f t="shared" si="4"/>
        <v>1</v>
      </c>
    </row>
    <row r="270" spans="1:3" x14ac:dyDescent="0.25">
      <c r="A270" s="159">
        <v>106171</v>
      </c>
      <c r="B270" s="159">
        <v>1</v>
      </c>
      <c r="C270" s="146" t="str">
        <f t="shared" si="4"/>
        <v>1</v>
      </c>
    </row>
    <row r="271" spans="1:3" x14ac:dyDescent="0.25">
      <c r="A271" s="159">
        <v>106172</v>
      </c>
      <c r="B271" s="159">
        <v>1</v>
      </c>
      <c r="C271" s="146" t="str">
        <f t="shared" si="4"/>
        <v>1</v>
      </c>
    </row>
    <row r="272" spans="1:3" x14ac:dyDescent="0.25">
      <c r="A272" s="159">
        <v>106185</v>
      </c>
      <c r="B272" s="159">
        <v>4</v>
      </c>
      <c r="C272" s="146" t="str">
        <f t="shared" si="4"/>
        <v>4</v>
      </c>
    </row>
    <row r="273" spans="1:3" x14ac:dyDescent="0.25">
      <c r="A273" s="159">
        <v>106189</v>
      </c>
      <c r="B273" s="159">
        <v>1</v>
      </c>
      <c r="C273" s="146" t="str">
        <f t="shared" si="4"/>
        <v>1</v>
      </c>
    </row>
    <row r="274" spans="1:3" x14ac:dyDescent="0.25">
      <c r="A274" s="159">
        <v>106190</v>
      </c>
      <c r="B274" s="159">
        <v>1</v>
      </c>
      <c r="C274" s="146" t="str">
        <f t="shared" si="4"/>
        <v>1</v>
      </c>
    </row>
    <row r="275" spans="1:3" x14ac:dyDescent="0.25">
      <c r="A275" s="159">
        <v>106195</v>
      </c>
      <c r="B275" s="159">
        <v>1</v>
      </c>
      <c r="C275" s="146" t="str">
        <f t="shared" si="4"/>
        <v>1</v>
      </c>
    </row>
    <row r="276" spans="1:3" x14ac:dyDescent="0.25">
      <c r="A276" s="159">
        <v>106231</v>
      </c>
      <c r="B276" s="159">
        <v>1</v>
      </c>
      <c r="C276" s="146" t="str">
        <f t="shared" si="4"/>
        <v>1</v>
      </c>
    </row>
    <row r="277" spans="1:3" x14ac:dyDescent="0.25">
      <c r="A277" s="159">
        <v>106232</v>
      </c>
      <c r="B277" s="159">
        <v>1</v>
      </c>
      <c r="C277" s="146" t="str">
        <f t="shared" si="4"/>
        <v>1</v>
      </c>
    </row>
    <row r="278" spans="1:3" x14ac:dyDescent="0.25">
      <c r="A278" s="159">
        <v>106233</v>
      </c>
      <c r="B278" s="159">
        <v>1</v>
      </c>
      <c r="C278" s="146" t="str">
        <f t="shared" si="4"/>
        <v>1</v>
      </c>
    </row>
    <row r="279" spans="1:3" x14ac:dyDescent="0.25">
      <c r="A279" s="159">
        <v>106234</v>
      </c>
      <c r="B279" s="159">
        <v>5</v>
      </c>
      <c r="C279" s="146" t="str">
        <f t="shared" si="4"/>
        <v>5</v>
      </c>
    </row>
    <row r="280" spans="1:3" x14ac:dyDescent="0.25">
      <c r="A280" s="159">
        <v>106236</v>
      </c>
      <c r="B280" s="159">
        <v>1</v>
      </c>
      <c r="C280" s="146" t="str">
        <f t="shared" si="4"/>
        <v>1</v>
      </c>
    </row>
    <row r="281" spans="1:3" x14ac:dyDescent="0.25">
      <c r="A281" s="159">
        <v>106238</v>
      </c>
      <c r="B281" s="159">
        <v>1</v>
      </c>
      <c r="C281" s="146" t="str">
        <f t="shared" si="4"/>
        <v>1</v>
      </c>
    </row>
    <row r="282" spans="1:3" x14ac:dyDescent="0.25">
      <c r="A282" s="159">
        <v>106248</v>
      </c>
      <c r="B282" s="159">
        <v>1</v>
      </c>
      <c r="C282" s="146" t="str">
        <f t="shared" si="4"/>
        <v>1</v>
      </c>
    </row>
    <row r="283" spans="1:3" x14ac:dyDescent="0.25">
      <c r="A283" s="159">
        <v>106275</v>
      </c>
      <c r="B283" s="159">
        <v>1</v>
      </c>
      <c r="C283" s="146" t="str">
        <f t="shared" si="4"/>
        <v>1</v>
      </c>
    </row>
    <row r="284" spans="1:3" x14ac:dyDescent="0.25">
      <c r="A284" s="159">
        <v>106276</v>
      </c>
      <c r="B284" s="159">
        <v>1</v>
      </c>
      <c r="C284" s="146" t="str">
        <f t="shared" si="4"/>
        <v>1</v>
      </c>
    </row>
    <row r="285" spans="1:3" x14ac:dyDescent="0.25">
      <c r="A285" s="159">
        <v>106281</v>
      </c>
      <c r="B285" s="159">
        <v>1</v>
      </c>
      <c r="C285" s="146" t="str">
        <f t="shared" si="4"/>
        <v>1</v>
      </c>
    </row>
    <row r="286" spans="1:3" x14ac:dyDescent="0.25">
      <c r="A286" s="159">
        <v>106282</v>
      </c>
      <c r="B286" s="159">
        <v>1</v>
      </c>
      <c r="C286" s="146" t="str">
        <f t="shared" si="4"/>
        <v>1</v>
      </c>
    </row>
    <row r="287" spans="1:3" x14ac:dyDescent="0.25">
      <c r="A287" s="159">
        <v>106290</v>
      </c>
      <c r="B287" s="159">
        <v>5</v>
      </c>
      <c r="C287" s="146" t="str">
        <f t="shared" si="4"/>
        <v>5</v>
      </c>
    </row>
    <row r="288" spans="1:3" x14ac:dyDescent="0.25">
      <c r="A288" s="159">
        <v>106291</v>
      </c>
      <c r="B288" s="159">
        <v>5</v>
      </c>
      <c r="C288" s="146" t="str">
        <f t="shared" si="4"/>
        <v>5</v>
      </c>
    </row>
    <row r="289" spans="1:3" x14ac:dyDescent="0.25">
      <c r="A289" s="159">
        <v>106292</v>
      </c>
      <c r="B289" s="159">
        <v>5</v>
      </c>
      <c r="C289" s="146" t="str">
        <f t="shared" si="4"/>
        <v>5</v>
      </c>
    </row>
    <row r="290" spans="1:3" x14ac:dyDescent="0.25">
      <c r="A290" s="159">
        <v>106330</v>
      </c>
      <c r="B290" s="159">
        <v>6</v>
      </c>
      <c r="C290" s="146">
        <f t="shared" si="4"/>
        <v>6</v>
      </c>
    </row>
    <row r="291" spans="1:3" x14ac:dyDescent="0.25">
      <c r="A291" s="159">
        <v>106331</v>
      </c>
      <c r="B291" s="159">
        <v>1</v>
      </c>
      <c r="C291" s="146" t="str">
        <f t="shared" si="4"/>
        <v>1</v>
      </c>
    </row>
    <row r="292" spans="1:3" x14ac:dyDescent="0.25">
      <c r="A292" s="159">
        <v>106332</v>
      </c>
      <c r="B292" s="159">
        <v>6</v>
      </c>
      <c r="C292" s="146">
        <f t="shared" si="4"/>
        <v>6</v>
      </c>
    </row>
    <row r="293" spans="1:3" x14ac:dyDescent="0.25">
      <c r="A293" s="159">
        <v>106340</v>
      </c>
      <c r="B293" s="159" t="s">
        <v>454</v>
      </c>
      <c r="C293" s="146" t="str">
        <f t="shared" si="4"/>
        <v>6S</v>
      </c>
    </row>
    <row r="294" spans="1:3" x14ac:dyDescent="0.25">
      <c r="A294" s="159">
        <v>106344</v>
      </c>
      <c r="B294" s="159">
        <v>5</v>
      </c>
      <c r="C294" s="146" t="str">
        <f t="shared" si="4"/>
        <v>5</v>
      </c>
    </row>
    <row r="295" spans="1:3" x14ac:dyDescent="0.25">
      <c r="A295" s="159">
        <v>106370</v>
      </c>
      <c r="B295" s="159">
        <v>2</v>
      </c>
      <c r="C295" s="146" t="str">
        <f t="shared" si="4"/>
        <v>2</v>
      </c>
    </row>
    <row r="296" spans="1:3" x14ac:dyDescent="0.25">
      <c r="A296" s="159">
        <v>106371</v>
      </c>
      <c r="B296" s="159" t="s">
        <v>438</v>
      </c>
      <c r="C296" s="146" t="str">
        <f t="shared" si="4"/>
        <v>2S</v>
      </c>
    </row>
    <row r="297" spans="1:3" x14ac:dyDescent="0.25">
      <c r="A297" s="159">
        <v>106374</v>
      </c>
      <c r="B297" s="159" t="s">
        <v>438</v>
      </c>
      <c r="C297" s="146" t="str">
        <f t="shared" si="4"/>
        <v>2S</v>
      </c>
    </row>
    <row r="298" spans="1:3" x14ac:dyDescent="0.25">
      <c r="A298" s="159">
        <v>106376</v>
      </c>
      <c r="B298" s="159" t="s">
        <v>438</v>
      </c>
      <c r="C298" s="146" t="str">
        <f t="shared" si="4"/>
        <v>2S</v>
      </c>
    </row>
    <row r="299" spans="1:3" x14ac:dyDescent="0.25">
      <c r="A299" s="159">
        <v>106379</v>
      </c>
      <c r="B299" s="159" t="s">
        <v>438</v>
      </c>
      <c r="C299" s="146" t="str">
        <f t="shared" si="4"/>
        <v>2S</v>
      </c>
    </row>
    <row r="300" spans="1:3" x14ac:dyDescent="0.25">
      <c r="A300" s="159">
        <v>106396</v>
      </c>
      <c r="B300" s="159">
        <v>1</v>
      </c>
      <c r="C300" s="146" t="str">
        <f t="shared" si="4"/>
        <v>1</v>
      </c>
    </row>
    <row r="301" spans="1:3" x14ac:dyDescent="0.25">
      <c r="A301" s="159">
        <v>106401</v>
      </c>
      <c r="B301" s="159">
        <v>3</v>
      </c>
      <c r="C301" s="146" t="str">
        <f t="shared" si="4"/>
        <v>3</v>
      </c>
    </row>
    <row r="302" spans="1:3" x14ac:dyDescent="0.25">
      <c r="A302" s="159">
        <v>106403</v>
      </c>
      <c r="B302" s="159">
        <v>3</v>
      </c>
      <c r="C302" s="146" t="str">
        <f t="shared" si="4"/>
        <v>3</v>
      </c>
    </row>
    <row r="303" spans="1:3" x14ac:dyDescent="0.25">
      <c r="A303" s="159">
        <v>106405</v>
      </c>
      <c r="B303" s="159">
        <v>3</v>
      </c>
      <c r="C303" s="146" t="str">
        <f t="shared" si="4"/>
        <v>3</v>
      </c>
    </row>
    <row r="304" spans="1:3" x14ac:dyDescent="0.25">
      <c r="A304" s="159">
        <v>106407</v>
      </c>
      <c r="B304" s="159">
        <v>3</v>
      </c>
      <c r="C304" s="146" t="str">
        <f t="shared" si="4"/>
        <v>3</v>
      </c>
    </row>
    <row r="305" spans="1:3" x14ac:dyDescent="0.25">
      <c r="A305" s="159">
        <v>106409</v>
      </c>
      <c r="B305" s="159">
        <v>3</v>
      </c>
      <c r="C305" s="146" t="str">
        <f t="shared" si="4"/>
        <v>3</v>
      </c>
    </row>
    <row r="306" spans="1:3" x14ac:dyDescent="0.25">
      <c r="A306" s="159">
        <v>106411</v>
      </c>
      <c r="B306" s="159">
        <v>3</v>
      </c>
      <c r="C306" s="146" t="str">
        <f t="shared" si="4"/>
        <v>3</v>
      </c>
    </row>
    <row r="307" spans="1:3" x14ac:dyDescent="0.25">
      <c r="A307" s="159">
        <v>106412</v>
      </c>
      <c r="B307" s="159">
        <v>3</v>
      </c>
      <c r="C307" s="146" t="str">
        <f t="shared" si="4"/>
        <v>3</v>
      </c>
    </row>
    <row r="308" spans="1:3" x14ac:dyDescent="0.25">
      <c r="A308" s="159">
        <v>106413</v>
      </c>
      <c r="B308" s="159">
        <v>3</v>
      </c>
      <c r="C308" s="146" t="str">
        <f t="shared" si="4"/>
        <v>3</v>
      </c>
    </row>
    <row r="309" spans="1:3" x14ac:dyDescent="0.25">
      <c r="A309" s="159">
        <v>106414</v>
      </c>
      <c r="B309" s="159">
        <v>3</v>
      </c>
      <c r="C309" s="146" t="str">
        <f t="shared" si="4"/>
        <v>3</v>
      </c>
    </row>
    <row r="310" spans="1:3" x14ac:dyDescent="0.25">
      <c r="A310" s="159">
        <v>106418</v>
      </c>
      <c r="B310" s="159">
        <v>2</v>
      </c>
      <c r="C310" s="146" t="str">
        <f t="shared" si="4"/>
        <v>2</v>
      </c>
    </row>
    <row r="311" spans="1:3" x14ac:dyDescent="0.25">
      <c r="A311" s="159">
        <v>106419</v>
      </c>
      <c r="B311" s="159">
        <v>4</v>
      </c>
      <c r="C311" s="146" t="str">
        <f t="shared" si="4"/>
        <v>4</v>
      </c>
    </row>
    <row r="312" spans="1:3" x14ac:dyDescent="0.25">
      <c r="A312" s="159">
        <v>106420</v>
      </c>
      <c r="B312" s="159">
        <v>2</v>
      </c>
      <c r="C312" s="146" t="str">
        <f t="shared" si="4"/>
        <v>2</v>
      </c>
    </row>
    <row r="313" spans="1:3" x14ac:dyDescent="0.25">
      <c r="A313" s="159">
        <v>106421</v>
      </c>
      <c r="B313" s="159" t="s">
        <v>454</v>
      </c>
      <c r="C313" s="146" t="str">
        <f t="shared" si="4"/>
        <v>6S</v>
      </c>
    </row>
    <row r="314" spans="1:3" x14ac:dyDescent="0.25">
      <c r="A314" s="159">
        <v>106422</v>
      </c>
      <c r="B314" s="159">
        <v>2</v>
      </c>
      <c r="C314" s="146" t="str">
        <f t="shared" si="4"/>
        <v>2</v>
      </c>
    </row>
    <row r="315" spans="1:3" x14ac:dyDescent="0.25">
      <c r="A315" s="159">
        <v>106423</v>
      </c>
      <c r="B315" s="159">
        <v>2</v>
      </c>
      <c r="C315" s="146" t="str">
        <f t="shared" si="4"/>
        <v>2</v>
      </c>
    </row>
    <row r="316" spans="1:3" x14ac:dyDescent="0.25">
      <c r="A316" s="159">
        <v>106424</v>
      </c>
      <c r="B316" s="159">
        <v>2</v>
      </c>
      <c r="C316" s="146" t="str">
        <f t="shared" si="4"/>
        <v>2</v>
      </c>
    </row>
    <row r="317" spans="1:3" x14ac:dyDescent="0.25">
      <c r="A317" s="159">
        <v>106425</v>
      </c>
      <c r="B317" s="159">
        <v>2</v>
      </c>
      <c r="C317" s="146" t="str">
        <f t="shared" si="4"/>
        <v>2</v>
      </c>
    </row>
    <row r="318" spans="1:3" x14ac:dyDescent="0.25">
      <c r="A318" s="159">
        <v>106426</v>
      </c>
      <c r="B318" s="159">
        <v>2</v>
      </c>
      <c r="C318" s="146" t="str">
        <f t="shared" si="4"/>
        <v>2</v>
      </c>
    </row>
    <row r="319" spans="1:3" x14ac:dyDescent="0.25">
      <c r="A319" s="159">
        <v>106427</v>
      </c>
      <c r="B319" s="159" t="s">
        <v>454</v>
      </c>
      <c r="C319" s="146" t="str">
        <f t="shared" si="4"/>
        <v>6S</v>
      </c>
    </row>
    <row r="320" spans="1:3" x14ac:dyDescent="0.25">
      <c r="A320" s="159">
        <v>106428</v>
      </c>
      <c r="B320" s="159">
        <v>4</v>
      </c>
      <c r="C320" s="146" t="str">
        <f t="shared" si="4"/>
        <v>4</v>
      </c>
    </row>
    <row r="321" spans="1:3" x14ac:dyDescent="0.25">
      <c r="A321" s="159">
        <v>106429</v>
      </c>
      <c r="B321" s="159">
        <v>4</v>
      </c>
      <c r="C321" s="146" t="str">
        <f t="shared" si="4"/>
        <v>4</v>
      </c>
    </row>
    <row r="322" spans="1:3" x14ac:dyDescent="0.25">
      <c r="A322" s="159">
        <v>106430</v>
      </c>
      <c r="B322" s="159">
        <v>4</v>
      </c>
      <c r="C322" s="146" t="str">
        <f t="shared" ref="C322:C332" si="5">IF(OR(B322=0,B322=1,B322=2,B322=3,B322=4,B322=5),TEXT(B322,"0"),B322)</f>
        <v>4</v>
      </c>
    </row>
    <row r="323" spans="1:3" x14ac:dyDescent="0.25">
      <c r="A323" s="159">
        <v>106432</v>
      </c>
      <c r="B323" s="159">
        <v>4</v>
      </c>
      <c r="C323" s="146" t="str">
        <f t="shared" si="5"/>
        <v>4</v>
      </c>
    </row>
    <row r="324" spans="1:3" x14ac:dyDescent="0.25">
      <c r="A324" s="159">
        <v>106434</v>
      </c>
      <c r="B324" s="159">
        <v>2</v>
      </c>
      <c r="C324" s="146" t="str">
        <f t="shared" si="5"/>
        <v>2</v>
      </c>
    </row>
    <row r="325" spans="1:3" x14ac:dyDescent="0.25">
      <c r="A325" s="159">
        <v>106435</v>
      </c>
      <c r="B325" s="159">
        <v>2</v>
      </c>
      <c r="C325" s="146" t="str">
        <f t="shared" si="5"/>
        <v>2</v>
      </c>
    </row>
    <row r="326" spans="1:3" x14ac:dyDescent="0.25">
      <c r="A326" s="159">
        <v>106436</v>
      </c>
      <c r="B326" s="159">
        <v>1</v>
      </c>
      <c r="C326" s="146" t="str">
        <f t="shared" si="5"/>
        <v>1</v>
      </c>
    </row>
    <row r="327" spans="1:3" x14ac:dyDescent="0.25">
      <c r="A327" s="159">
        <v>106437</v>
      </c>
      <c r="B327" s="159">
        <v>1</v>
      </c>
      <c r="C327" s="146" t="str">
        <f t="shared" si="5"/>
        <v>1</v>
      </c>
    </row>
    <row r="328" spans="1:3" x14ac:dyDescent="0.25">
      <c r="A328" s="159">
        <v>106439</v>
      </c>
      <c r="B328" s="159" t="s">
        <v>441</v>
      </c>
      <c r="C328" s="146" t="str">
        <f t="shared" si="5"/>
        <v>4S</v>
      </c>
    </row>
    <row r="329" spans="1:3" x14ac:dyDescent="0.25">
      <c r="A329" s="159">
        <v>106440</v>
      </c>
      <c r="B329" s="159">
        <v>6</v>
      </c>
      <c r="C329" s="146">
        <f t="shared" si="5"/>
        <v>6</v>
      </c>
    </row>
    <row r="330" spans="1:3" x14ac:dyDescent="0.25">
      <c r="A330" s="159">
        <v>106442</v>
      </c>
      <c r="B330" s="159">
        <v>6</v>
      </c>
      <c r="C330" s="146">
        <f t="shared" si="5"/>
        <v>6</v>
      </c>
    </row>
    <row r="331" spans="1:3" x14ac:dyDescent="0.25">
      <c r="A331" s="159">
        <v>106480</v>
      </c>
      <c r="B331" s="159">
        <v>3</v>
      </c>
      <c r="C331" s="146" t="str">
        <f t="shared" si="5"/>
        <v>3</v>
      </c>
    </row>
    <row r="332" spans="1:3" x14ac:dyDescent="0.25">
      <c r="A332" s="159">
        <v>106481</v>
      </c>
      <c r="B332" s="159">
        <v>3</v>
      </c>
      <c r="C332" s="146" t="str">
        <f t="shared" si="5"/>
        <v>3</v>
      </c>
    </row>
    <row r="333" spans="1:3" x14ac:dyDescent="0.25">
      <c r="A333" s="159">
        <v>106482</v>
      </c>
      <c r="B333" s="159">
        <v>3</v>
      </c>
      <c r="C333" s="158" t="str">
        <f t="shared" ref="C333:C396" si="6">IF(OR(B333=0,B333=1,B333=2,B333=3,B333=4,B333=5),TEXT(B333,"0"),B333)</f>
        <v>3</v>
      </c>
    </row>
    <row r="334" spans="1:3" x14ac:dyDescent="0.25">
      <c r="A334" s="159">
        <v>106483</v>
      </c>
      <c r="B334" s="159">
        <v>3</v>
      </c>
      <c r="C334" s="158" t="str">
        <f t="shared" si="6"/>
        <v>3</v>
      </c>
    </row>
    <row r="335" spans="1:3" x14ac:dyDescent="0.25">
      <c r="A335" s="159">
        <v>106484</v>
      </c>
      <c r="B335" s="159">
        <v>1</v>
      </c>
      <c r="C335" s="158" t="str">
        <f t="shared" si="6"/>
        <v>1</v>
      </c>
    </row>
    <row r="336" spans="1:3" x14ac:dyDescent="0.25">
      <c r="A336" s="159">
        <v>106485</v>
      </c>
      <c r="B336" s="159">
        <v>6</v>
      </c>
      <c r="C336" s="158">
        <f t="shared" si="6"/>
        <v>6</v>
      </c>
    </row>
    <row r="337" spans="1:3" x14ac:dyDescent="0.25">
      <c r="A337" s="159">
        <v>106633</v>
      </c>
      <c r="B337" s="159">
        <v>1</v>
      </c>
      <c r="C337" s="158" t="str">
        <f t="shared" si="6"/>
        <v>1</v>
      </c>
    </row>
    <row r="338" spans="1:3" x14ac:dyDescent="0.25">
      <c r="A338" s="159">
        <v>106634</v>
      </c>
      <c r="B338" s="159">
        <v>1</v>
      </c>
      <c r="C338" s="158" t="str">
        <f t="shared" si="6"/>
        <v>1</v>
      </c>
    </row>
    <row r="339" spans="1:3" x14ac:dyDescent="0.25">
      <c r="A339" s="159">
        <v>106661</v>
      </c>
      <c r="B339" s="159">
        <v>1</v>
      </c>
      <c r="C339" s="158" t="str">
        <f t="shared" si="6"/>
        <v>1</v>
      </c>
    </row>
    <row r="340" spans="1:3" x14ac:dyDescent="0.25">
      <c r="A340" s="159">
        <v>106750</v>
      </c>
      <c r="B340" s="159" t="s">
        <v>439</v>
      </c>
      <c r="C340" s="158" t="str">
        <f t="shared" si="6"/>
        <v>3S</v>
      </c>
    </row>
    <row r="341" spans="1:3" x14ac:dyDescent="0.25">
      <c r="A341" s="159">
        <v>106752</v>
      </c>
      <c r="B341" s="159">
        <v>1</v>
      </c>
      <c r="C341" s="158" t="str">
        <f t="shared" si="6"/>
        <v>1</v>
      </c>
    </row>
    <row r="342" spans="1:3" x14ac:dyDescent="0.25">
      <c r="A342" s="159">
        <v>106754</v>
      </c>
      <c r="B342" s="159">
        <v>1</v>
      </c>
      <c r="C342" s="158" t="str">
        <f t="shared" si="6"/>
        <v>1</v>
      </c>
    </row>
    <row r="343" spans="1:3" x14ac:dyDescent="0.25">
      <c r="A343" s="159">
        <v>106759</v>
      </c>
      <c r="B343" s="159" t="s">
        <v>437</v>
      </c>
      <c r="C343" s="158" t="str">
        <f t="shared" si="6"/>
        <v>1S</v>
      </c>
    </row>
    <row r="344" spans="1:3" x14ac:dyDescent="0.25">
      <c r="A344" s="159">
        <v>106770</v>
      </c>
      <c r="B344" s="159">
        <v>1</v>
      </c>
      <c r="C344" s="158" t="str">
        <f t="shared" si="6"/>
        <v>1</v>
      </c>
    </row>
    <row r="345" spans="1:3" x14ac:dyDescent="0.25">
      <c r="A345" s="159">
        <v>107304</v>
      </c>
      <c r="B345" s="159">
        <v>1</v>
      </c>
      <c r="C345" s="158" t="str">
        <f t="shared" si="6"/>
        <v>1</v>
      </c>
    </row>
    <row r="346" spans="1:3" x14ac:dyDescent="0.25">
      <c r="A346" s="159">
        <v>107315</v>
      </c>
      <c r="B346" s="159">
        <v>1</v>
      </c>
      <c r="C346" s="158" t="str">
        <f t="shared" si="6"/>
        <v>1</v>
      </c>
    </row>
    <row r="347" spans="1:3" x14ac:dyDescent="0.25">
      <c r="A347" s="159">
        <v>107320</v>
      </c>
      <c r="B347" s="159">
        <v>5</v>
      </c>
      <c r="C347" s="158" t="str">
        <f t="shared" si="6"/>
        <v>5</v>
      </c>
    </row>
    <row r="348" spans="1:3" x14ac:dyDescent="0.25">
      <c r="A348" s="159">
        <v>107321</v>
      </c>
      <c r="B348" s="159">
        <v>1</v>
      </c>
      <c r="C348" s="158" t="str">
        <f t="shared" si="6"/>
        <v>1</v>
      </c>
    </row>
    <row r="349" spans="1:3" x14ac:dyDescent="0.25">
      <c r="A349" s="159">
        <v>107331</v>
      </c>
      <c r="B349" s="159">
        <v>1</v>
      </c>
      <c r="C349" s="158" t="str">
        <f t="shared" si="6"/>
        <v>1</v>
      </c>
    </row>
    <row r="350" spans="1:3" x14ac:dyDescent="0.25">
      <c r="A350" s="159">
        <v>107371</v>
      </c>
      <c r="B350" s="159">
        <v>5</v>
      </c>
      <c r="C350" s="158" t="str">
        <f t="shared" si="6"/>
        <v>5</v>
      </c>
    </row>
    <row r="351" spans="1:3" x14ac:dyDescent="0.25">
      <c r="A351" s="159">
        <v>107405</v>
      </c>
      <c r="B351" s="159">
        <v>1</v>
      </c>
      <c r="C351" s="158" t="str">
        <f t="shared" si="6"/>
        <v>1</v>
      </c>
    </row>
    <row r="352" spans="1:3" x14ac:dyDescent="0.25">
      <c r="A352" s="159">
        <v>107411</v>
      </c>
      <c r="B352" s="159">
        <v>1</v>
      </c>
      <c r="C352" s="158" t="str">
        <f t="shared" si="6"/>
        <v>1</v>
      </c>
    </row>
    <row r="353" spans="1:3" x14ac:dyDescent="0.25">
      <c r="A353" s="159">
        <v>107413</v>
      </c>
      <c r="B353" s="159">
        <v>1</v>
      </c>
      <c r="C353" s="158" t="str">
        <f t="shared" si="6"/>
        <v>1</v>
      </c>
    </row>
    <row r="354" spans="1:3" x14ac:dyDescent="0.25">
      <c r="A354" s="159">
        <v>107417</v>
      </c>
      <c r="B354" s="159">
        <v>1</v>
      </c>
      <c r="C354" s="158" t="str">
        <f t="shared" si="6"/>
        <v>1</v>
      </c>
    </row>
    <row r="355" spans="1:3" x14ac:dyDescent="0.25">
      <c r="A355" s="159">
        <v>107418</v>
      </c>
      <c r="B355" s="159">
        <v>1</v>
      </c>
      <c r="C355" s="158" t="str">
        <f t="shared" si="6"/>
        <v>1</v>
      </c>
    </row>
    <row r="356" spans="1:3" x14ac:dyDescent="0.25">
      <c r="A356" s="159">
        <v>107432</v>
      </c>
      <c r="B356" s="159">
        <v>1</v>
      </c>
      <c r="C356" s="158" t="str">
        <f t="shared" si="6"/>
        <v>1</v>
      </c>
    </row>
    <row r="357" spans="1:3" x14ac:dyDescent="0.25">
      <c r="A357" s="159">
        <v>107455</v>
      </c>
      <c r="B357" s="159">
        <v>1</v>
      </c>
      <c r="C357" s="158" t="str">
        <f t="shared" si="6"/>
        <v>1</v>
      </c>
    </row>
    <row r="358" spans="1:3" x14ac:dyDescent="0.25">
      <c r="A358" s="159">
        <v>107462</v>
      </c>
      <c r="B358" s="159">
        <v>1</v>
      </c>
      <c r="C358" s="158" t="str">
        <f t="shared" si="6"/>
        <v>1</v>
      </c>
    </row>
    <row r="359" spans="1:3" x14ac:dyDescent="0.25">
      <c r="A359" s="159">
        <v>107467</v>
      </c>
      <c r="B359" s="159">
        <v>1</v>
      </c>
      <c r="C359" s="158" t="str">
        <f t="shared" si="6"/>
        <v>1</v>
      </c>
    </row>
    <row r="360" spans="1:3" x14ac:dyDescent="0.25">
      <c r="A360" s="159">
        <v>107470</v>
      </c>
      <c r="B360" s="159">
        <v>5</v>
      </c>
      <c r="C360" s="158" t="str">
        <f t="shared" si="6"/>
        <v>5</v>
      </c>
    </row>
    <row r="361" spans="1:3" x14ac:dyDescent="0.25">
      <c r="A361" s="159">
        <v>107474</v>
      </c>
      <c r="B361" s="159">
        <v>1</v>
      </c>
      <c r="C361" s="158" t="str">
        <f t="shared" si="6"/>
        <v>1</v>
      </c>
    </row>
    <row r="362" spans="1:3" x14ac:dyDescent="0.25">
      <c r="A362" s="159">
        <v>107476</v>
      </c>
      <c r="B362" s="159">
        <v>1</v>
      </c>
      <c r="C362" s="158" t="str">
        <f t="shared" si="6"/>
        <v>1</v>
      </c>
    </row>
    <row r="363" spans="1:3" x14ac:dyDescent="0.25">
      <c r="A363" s="159">
        <v>107479</v>
      </c>
      <c r="B363" s="159">
        <v>1</v>
      </c>
      <c r="C363" s="158" t="str">
        <f t="shared" si="6"/>
        <v>1</v>
      </c>
    </row>
    <row r="364" spans="1:3" x14ac:dyDescent="0.25">
      <c r="A364" s="159">
        <v>107484</v>
      </c>
      <c r="B364" s="159">
        <v>1</v>
      </c>
      <c r="C364" s="158" t="str">
        <f t="shared" si="6"/>
        <v>1</v>
      </c>
    </row>
    <row r="365" spans="1:3" x14ac:dyDescent="0.25">
      <c r="A365" s="159">
        <v>107489</v>
      </c>
      <c r="B365" s="159">
        <v>1</v>
      </c>
      <c r="C365" s="158" t="str">
        <f t="shared" si="6"/>
        <v>1</v>
      </c>
    </row>
    <row r="366" spans="1:3" x14ac:dyDescent="0.25">
      <c r="A366" s="159">
        <v>107491</v>
      </c>
      <c r="B366" s="159">
        <v>1</v>
      </c>
      <c r="C366" s="158" t="str">
        <f t="shared" si="6"/>
        <v>1</v>
      </c>
    </row>
    <row r="367" spans="1:3" x14ac:dyDescent="0.25">
      <c r="A367" s="159">
        <v>107492</v>
      </c>
      <c r="B367" s="159">
        <v>1</v>
      </c>
      <c r="C367" s="158" t="str">
        <f t="shared" si="6"/>
        <v>1</v>
      </c>
    </row>
    <row r="368" spans="1:3" x14ac:dyDescent="0.25">
      <c r="A368" s="159">
        <v>107498</v>
      </c>
      <c r="B368" s="159">
        <v>1</v>
      </c>
      <c r="C368" s="158" t="str">
        <f t="shared" si="6"/>
        <v>1</v>
      </c>
    </row>
    <row r="369" spans="1:3" x14ac:dyDescent="0.25">
      <c r="A369" s="159">
        <v>107529</v>
      </c>
      <c r="B369" s="159">
        <v>1</v>
      </c>
      <c r="C369" s="158" t="str">
        <f t="shared" si="6"/>
        <v>1</v>
      </c>
    </row>
    <row r="370" spans="1:3" x14ac:dyDescent="0.25">
      <c r="A370" s="159">
        <v>107545</v>
      </c>
      <c r="B370" s="159">
        <v>1</v>
      </c>
      <c r="C370" s="158" t="str">
        <f t="shared" si="6"/>
        <v>1</v>
      </c>
    </row>
    <row r="371" spans="1:3" x14ac:dyDescent="0.25">
      <c r="A371" s="159">
        <v>107546</v>
      </c>
      <c r="B371" s="159">
        <v>1</v>
      </c>
      <c r="C371" s="158" t="str">
        <f t="shared" si="6"/>
        <v>1</v>
      </c>
    </row>
    <row r="372" spans="1:3" x14ac:dyDescent="0.25">
      <c r="A372" s="159">
        <v>107547</v>
      </c>
      <c r="B372" s="159">
        <v>1</v>
      </c>
      <c r="C372" s="158" t="str">
        <f t="shared" si="6"/>
        <v>1</v>
      </c>
    </row>
    <row r="373" spans="1:3" x14ac:dyDescent="0.25">
      <c r="A373" s="159">
        <v>107548</v>
      </c>
      <c r="B373" s="159">
        <v>1</v>
      </c>
      <c r="C373" s="158" t="str">
        <f t="shared" si="6"/>
        <v>1</v>
      </c>
    </row>
    <row r="374" spans="1:3" x14ac:dyDescent="0.25">
      <c r="A374" s="159">
        <v>107549</v>
      </c>
      <c r="B374" s="159">
        <v>1</v>
      </c>
      <c r="C374" s="158" t="str">
        <f t="shared" si="6"/>
        <v>1</v>
      </c>
    </row>
    <row r="375" spans="1:3" x14ac:dyDescent="0.25">
      <c r="A375" s="159">
        <v>107550</v>
      </c>
      <c r="B375" s="159">
        <v>1</v>
      </c>
      <c r="C375" s="158" t="str">
        <f t="shared" si="6"/>
        <v>1</v>
      </c>
    </row>
    <row r="376" spans="1:3" x14ac:dyDescent="0.25">
      <c r="A376" s="159">
        <v>107611</v>
      </c>
      <c r="B376" s="159">
        <v>1</v>
      </c>
      <c r="C376" s="158" t="str">
        <f t="shared" si="6"/>
        <v>1</v>
      </c>
    </row>
    <row r="377" spans="1:3" x14ac:dyDescent="0.25">
      <c r="A377" s="159">
        <v>107681</v>
      </c>
      <c r="B377" s="159">
        <v>1</v>
      </c>
      <c r="C377" s="158" t="str">
        <f t="shared" si="6"/>
        <v>1</v>
      </c>
    </row>
    <row r="378" spans="1:3" x14ac:dyDescent="0.25">
      <c r="A378" s="159">
        <v>107691</v>
      </c>
      <c r="B378" s="159">
        <v>1</v>
      </c>
      <c r="C378" s="158" t="str">
        <f t="shared" si="6"/>
        <v>1</v>
      </c>
    </row>
    <row r="379" spans="1:3" x14ac:dyDescent="0.25">
      <c r="A379" s="159">
        <v>107955</v>
      </c>
      <c r="B379" s="159">
        <v>1</v>
      </c>
      <c r="C379" s="158" t="str">
        <f t="shared" si="6"/>
        <v>1</v>
      </c>
    </row>
    <row r="380" spans="1:3" x14ac:dyDescent="0.25">
      <c r="A380" s="159">
        <v>108211</v>
      </c>
      <c r="B380" s="159">
        <v>1</v>
      </c>
      <c r="C380" s="158" t="str">
        <f t="shared" si="6"/>
        <v>1</v>
      </c>
    </row>
    <row r="381" spans="1:3" x14ac:dyDescent="0.25">
      <c r="A381" s="159">
        <v>108212</v>
      </c>
      <c r="B381" s="159" t="s">
        <v>437</v>
      </c>
      <c r="C381" s="158" t="str">
        <f t="shared" si="6"/>
        <v>1S</v>
      </c>
    </row>
    <row r="382" spans="1:3" x14ac:dyDescent="0.25">
      <c r="A382" s="159">
        <v>108432</v>
      </c>
      <c r="B382" s="159">
        <v>1</v>
      </c>
      <c r="C382" s="158" t="str">
        <f t="shared" si="6"/>
        <v>1</v>
      </c>
    </row>
    <row r="383" spans="1:3" x14ac:dyDescent="0.25">
      <c r="A383" s="159">
        <v>108503</v>
      </c>
      <c r="B383" s="159">
        <v>2</v>
      </c>
      <c r="C383" s="158" t="str">
        <f t="shared" si="6"/>
        <v>2</v>
      </c>
    </row>
    <row r="384" spans="1:3" x14ac:dyDescent="0.25">
      <c r="A384" s="159">
        <v>108662</v>
      </c>
      <c r="B384" s="159">
        <v>1</v>
      </c>
      <c r="C384" s="158" t="str">
        <f t="shared" si="6"/>
        <v>1</v>
      </c>
    </row>
    <row r="385" spans="1:3" x14ac:dyDescent="0.25">
      <c r="A385" s="159">
        <v>108671</v>
      </c>
      <c r="B385" s="159" t="s">
        <v>435</v>
      </c>
      <c r="C385" s="158" t="str">
        <f t="shared" si="6"/>
        <v>GR 2</v>
      </c>
    </row>
    <row r="386" spans="1:3" x14ac:dyDescent="0.25">
      <c r="A386" s="159">
        <v>108701</v>
      </c>
      <c r="B386" s="159">
        <v>2</v>
      </c>
      <c r="C386" s="158" t="str">
        <f t="shared" si="6"/>
        <v>2</v>
      </c>
    </row>
    <row r="387" spans="1:3" x14ac:dyDescent="0.25">
      <c r="A387" s="159">
        <v>108702</v>
      </c>
      <c r="B387" s="159">
        <v>3</v>
      </c>
      <c r="C387" s="158" t="str">
        <f t="shared" si="6"/>
        <v>3</v>
      </c>
    </row>
    <row r="388" spans="1:3" x14ac:dyDescent="0.25">
      <c r="A388" s="159">
        <v>108703</v>
      </c>
      <c r="B388" s="159">
        <v>3</v>
      </c>
      <c r="C388" s="158" t="str">
        <f t="shared" si="6"/>
        <v>3</v>
      </c>
    </row>
    <row r="389" spans="1:3" x14ac:dyDescent="0.25">
      <c r="A389" s="159">
        <v>108725</v>
      </c>
      <c r="B389" s="159">
        <v>1</v>
      </c>
      <c r="C389" s="158" t="str">
        <f t="shared" si="6"/>
        <v>1</v>
      </c>
    </row>
    <row r="390" spans="1:3" x14ac:dyDescent="0.25">
      <c r="A390" s="159">
        <v>108726</v>
      </c>
      <c r="B390" s="159">
        <v>1</v>
      </c>
      <c r="C390" s="158" t="str">
        <f t="shared" si="6"/>
        <v>1</v>
      </c>
    </row>
    <row r="391" spans="1:3" x14ac:dyDescent="0.25">
      <c r="A391" s="159">
        <v>108727</v>
      </c>
      <c r="B391" s="159">
        <v>1</v>
      </c>
      <c r="C391" s="158" t="str">
        <f t="shared" si="6"/>
        <v>1</v>
      </c>
    </row>
    <row r="392" spans="1:3" x14ac:dyDescent="0.25">
      <c r="A392" s="159">
        <v>108728</v>
      </c>
      <c r="B392" s="159">
        <v>1</v>
      </c>
      <c r="C392" s="158" t="str">
        <f t="shared" si="6"/>
        <v>1</v>
      </c>
    </row>
    <row r="393" spans="1:3" x14ac:dyDescent="0.25">
      <c r="A393" s="159">
        <v>108729</v>
      </c>
      <c r="B393" s="159">
        <v>1</v>
      </c>
      <c r="C393" s="158" t="str">
        <f t="shared" si="6"/>
        <v>1</v>
      </c>
    </row>
    <row r="394" spans="1:3" x14ac:dyDescent="0.25">
      <c r="A394" s="159">
        <v>108731</v>
      </c>
      <c r="B394" s="159">
        <v>1</v>
      </c>
      <c r="C394" s="158" t="str">
        <f t="shared" si="6"/>
        <v>1</v>
      </c>
    </row>
    <row r="395" spans="1:3" x14ac:dyDescent="0.25">
      <c r="A395" s="159">
        <v>108732</v>
      </c>
      <c r="B395" s="159">
        <v>1</v>
      </c>
      <c r="C395" s="158" t="str">
        <f t="shared" si="6"/>
        <v>1</v>
      </c>
    </row>
    <row r="396" spans="1:3" x14ac:dyDescent="0.25">
      <c r="A396" s="159">
        <v>108734</v>
      </c>
      <c r="B396" s="159">
        <v>1</v>
      </c>
      <c r="C396" s="158" t="str">
        <f t="shared" si="6"/>
        <v>1</v>
      </c>
    </row>
    <row r="397" spans="1:3" x14ac:dyDescent="0.25">
      <c r="A397" s="159">
        <v>108822</v>
      </c>
      <c r="B397" s="159">
        <v>2</v>
      </c>
      <c r="C397" s="158" t="str">
        <f t="shared" ref="C397:C460" si="7">IF(OR(B397=0,B397=1,B397=2,B397=3,B397=4,B397=5),TEXT(B397,"0"),B397)</f>
        <v>2</v>
      </c>
    </row>
    <row r="398" spans="1:3" x14ac:dyDescent="0.25">
      <c r="A398" s="159">
        <v>108827</v>
      </c>
      <c r="B398" s="159">
        <v>1</v>
      </c>
      <c r="C398" s="158" t="str">
        <f t="shared" si="7"/>
        <v>1</v>
      </c>
    </row>
    <row r="399" spans="1:3" x14ac:dyDescent="0.25">
      <c r="A399" s="159">
        <v>108875</v>
      </c>
      <c r="B399" s="159">
        <v>1</v>
      </c>
      <c r="C399" s="158" t="str">
        <f t="shared" si="7"/>
        <v>1</v>
      </c>
    </row>
    <row r="400" spans="1:3" x14ac:dyDescent="0.25">
      <c r="A400" s="159">
        <v>108901</v>
      </c>
      <c r="B400" s="159">
        <v>1</v>
      </c>
      <c r="C400" s="158" t="str">
        <f t="shared" si="7"/>
        <v>1</v>
      </c>
    </row>
    <row r="401" spans="1:3" x14ac:dyDescent="0.25">
      <c r="A401" s="159">
        <v>108903</v>
      </c>
      <c r="B401" s="159">
        <v>1</v>
      </c>
      <c r="C401" s="158" t="str">
        <f t="shared" si="7"/>
        <v>1</v>
      </c>
    </row>
    <row r="402" spans="1:3" x14ac:dyDescent="0.25">
      <c r="A402" s="159">
        <v>108908</v>
      </c>
      <c r="B402" s="159">
        <v>1</v>
      </c>
      <c r="C402" s="158" t="str">
        <f t="shared" si="7"/>
        <v>1</v>
      </c>
    </row>
    <row r="403" spans="1:3" x14ac:dyDescent="0.25">
      <c r="A403" s="159">
        <v>108962</v>
      </c>
      <c r="B403" s="159">
        <v>1</v>
      </c>
      <c r="C403" s="158" t="str">
        <f t="shared" si="7"/>
        <v>1</v>
      </c>
    </row>
    <row r="404" spans="1:3" x14ac:dyDescent="0.25">
      <c r="A404" s="159">
        <v>108964</v>
      </c>
      <c r="B404" s="159">
        <v>1</v>
      </c>
      <c r="C404" s="158" t="str">
        <f t="shared" si="7"/>
        <v>1</v>
      </c>
    </row>
    <row r="405" spans="1:3" x14ac:dyDescent="0.25">
      <c r="A405" s="159">
        <v>108966</v>
      </c>
      <c r="B405" s="159">
        <v>1</v>
      </c>
      <c r="C405" s="158" t="str">
        <f t="shared" si="7"/>
        <v>1</v>
      </c>
    </row>
    <row r="406" spans="1:3" x14ac:dyDescent="0.25">
      <c r="A406" s="159">
        <v>108969</v>
      </c>
      <c r="B406" s="159">
        <v>1</v>
      </c>
      <c r="C406" s="158" t="str">
        <f t="shared" si="7"/>
        <v>1</v>
      </c>
    </row>
    <row r="407" spans="1:3" x14ac:dyDescent="0.25">
      <c r="A407" s="159">
        <v>108970</v>
      </c>
      <c r="B407" s="159">
        <v>1</v>
      </c>
      <c r="C407" s="158" t="str">
        <f t="shared" si="7"/>
        <v>1</v>
      </c>
    </row>
    <row r="408" spans="1:3" x14ac:dyDescent="0.25">
      <c r="A408" s="159">
        <v>108973</v>
      </c>
      <c r="B408" s="159">
        <v>1</v>
      </c>
      <c r="C408" s="158" t="str">
        <f t="shared" si="7"/>
        <v>1</v>
      </c>
    </row>
    <row r="409" spans="1:3" x14ac:dyDescent="0.25">
      <c r="A409" s="159">
        <v>108974</v>
      </c>
      <c r="B409" s="159">
        <v>1</v>
      </c>
      <c r="C409" s="158" t="str">
        <f t="shared" si="7"/>
        <v>1</v>
      </c>
    </row>
    <row r="410" spans="1:3" x14ac:dyDescent="0.25">
      <c r="A410" s="159">
        <v>108978</v>
      </c>
      <c r="B410" s="159">
        <v>1</v>
      </c>
      <c r="C410" s="158" t="str">
        <f t="shared" si="7"/>
        <v>1</v>
      </c>
    </row>
    <row r="411" spans="1:3" x14ac:dyDescent="0.25">
      <c r="A411" s="159">
        <v>108981</v>
      </c>
      <c r="B411" s="159">
        <v>1</v>
      </c>
      <c r="C411" s="158" t="str">
        <f t="shared" si="7"/>
        <v>1</v>
      </c>
    </row>
    <row r="412" spans="1:3" x14ac:dyDescent="0.25">
      <c r="A412" s="159">
        <v>108982</v>
      </c>
      <c r="B412" s="159">
        <v>1</v>
      </c>
      <c r="C412" s="158" t="str">
        <f t="shared" si="7"/>
        <v>1</v>
      </c>
    </row>
    <row r="413" spans="1:3" x14ac:dyDescent="0.25">
      <c r="A413" s="159">
        <v>108983</v>
      </c>
      <c r="B413" s="159">
        <v>1</v>
      </c>
      <c r="C413" s="158" t="str">
        <f t="shared" si="7"/>
        <v>1</v>
      </c>
    </row>
    <row r="414" spans="1:3" x14ac:dyDescent="0.25">
      <c r="A414" s="159">
        <v>108984</v>
      </c>
      <c r="B414" s="159">
        <v>1</v>
      </c>
      <c r="C414" s="158" t="str">
        <f t="shared" si="7"/>
        <v>1</v>
      </c>
    </row>
    <row r="415" spans="1:3" x14ac:dyDescent="0.25">
      <c r="A415" s="159">
        <v>108985</v>
      </c>
      <c r="B415" s="159">
        <v>1</v>
      </c>
      <c r="C415" s="158" t="str">
        <f t="shared" si="7"/>
        <v>1</v>
      </c>
    </row>
    <row r="416" spans="1:3" x14ac:dyDescent="0.25">
      <c r="A416" s="159">
        <v>108988</v>
      </c>
      <c r="B416" s="159">
        <v>1</v>
      </c>
      <c r="C416" s="158" t="str">
        <f t="shared" si="7"/>
        <v>1</v>
      </c>
    </row>
    <row r="417" spans="1:3" x14ac:dyDescent="0.25">
      <c r="A417" s="159">
        <v>108991</v>
      </c>
      <c r="B417" s="159" t="s">
        <v>437</v>
      </c>
      <c r="C417" s="158" t="str">
        <f t="shared" si="7"/>
        <v>1S</v>
      </c>
    </row>
    <row r="418" spans="1:3" x14ac:dyDescent="0.25">
      <c r="A418" s="159">
        <v>108996</v>
      </c>
      <c r="B418" s="159">
        <v>1</v>
      </c>
      <c r="C418" s="158" t="str">
        <f t="shared" si="7"/>
        <v>1</v>
      </c>
    </row>
    <row r="419" spans="1:3" x14ac:dyDescent="0.25">
      <c r="A419" s="159">
        <v>108997</v>
      </c>
      <c r="B419" s="159">
        <v>1</v>
      </c>
      <c r="C419" s="158" t="str">
        <f t="shared" si="7"/>
        <v>1</v>
      </c>
    </row>
    <row r="420" spans="1:3" x14ac:dyDescent="0.25">
      <c r="A420" s="159">
        <v>108999</v>
      </c>
      <c r="B420" s="159">
        <v>1</v>
      </c>
      <c r="C420" s="158" t="str">
        <f t="shared" si="7"/>
        <v>1</v>
      </c>
    </row>
    <row r="421" spans="1:3" x14ac:dyDescent="0.25">
      <c r="A421" s="159">
        <v>109000</v>
      </c>
      <c r="B421" s="159">
        <v>1</v>
      </c>
      <c r="C421" s="158" t="str">
        <f t="shared" si="7"/>
        <v>1</v>
      </c>
    </row>
    <row r="422" spans="1:3" x14ac:dyDescent="0.25">
      <c r="A422" s="159">
        <v>109002</v>
      </c>
      <c r="B422" s="159">
        <v>1</v>
      </c>
      <c r="C422" s="158" t="str">
        <f t="shared" si="7"/>
        <v>1</v>
      </c>
    </row>
    <row r="423" spans="1:3" x14ac:dyDescent="0.25">
      <c r="A423" s="159">
        <v>109004</v>
      </c>
      <c r="B423" s="159">
        <v>1</v>
      </c>
      <c r="C423" s="158" t="str">
        <f t="shared" si="7"/>
        <v>1</v>
      </c>
    </row>
    <row r="424" spans="1:3" x14ac:dyDescent="0.25">
      <c r="A424" s="159">
        <v>109008</v>
      </c>
      <c r="B424" s="159">
        <v>1</v>
      </c>
      <c r="C424" s="158" t="str">
        <f t="shared" si="7"/>
        <v>1</v>
      </c>
    </row>
    <row r="425" spans="1:3" x14ac:dyDescent="0.25">
      <c r="A425" s="159">
        <v>109010</v>
      </c>
      <c r="B425" s="159">
        <v>1</v>
      </c>
      <c r="C425" s="158" t="str">
        <f t="shared" si="7"/>
        <v>1</v>
      </c>
    </row>
    <row r="426" spans="1:3" x14ac:dyDescent="0.25">
      <c r="A426" s="159">
        <v>109012</v>
      </c>
      <c r="B426" s="159">
        <v>1</v>
      </c>
      <c r="C426" s="158" t="str">
        <f t="shared" si="7"/>
        <v>1</v>
      </c>
    </row>
    <row r="427" spans="1:3" x14ac:dyDescent="0.25">
      <c r="A427" s="159">
        <v>109018</v>
      </c>
      <c r="B427" s="159">
        <v>1</v>
      </c>
      <c r="C427" s="158" t="str">
        <f t="shared" si="7"/>
        <v>1</v>
      </c>
    </row>
    <row r="428" spans="1:3" x14ac:dyDescent="0.25">
      <c r="A428" s="159">
        <v>109024</v>
      </c>
      <c r="B428" s="159">
        <v>1</v>
      </c>
      <c r="C428" s="158" t="str">
        <f t="shared" si="7"/>
        <v>1</v>
      </c>
    </row>
    <row r="429" spans="1:3" x14ac:dyDescent="0.25">
      <c r="A429" s="159">
        <v>109027</v>
      </c>
      <c r="B429" s="159">
        <v>1</v>
      </c>
      <c r="C429" s="158" t="str">
        <f t="shared" si="7"/>
        <v>1</v>
      </c>
    </row>
    <row r="430" spans="1:3" x14ac:dyDescent="0.25">
      <c r="A430" s="159">
        <v>109033</v>
      </c>
      <c r="B430" s="159">
        <v>1</v>
      </c>
      <c r="C430" s="158" t="str">
        <f t="shared" si="7"/>
        <v>1</v>
      </c>
    </row>
    <row r="431" spans="1:3" x14ac:dyDescent="0.25">
      <c r="A431" s="159">
        <v>109035</v>
      </c>
      <c r="B431" s="159">
        <v>1</v>
      </c>
      <c r="C431" s="158" t="str">
        <f t="shared" si="7"/>
        <v>1</v>
      </c>
    </row>
    <row r="432" spans="1:3" x14ac:dyDescent="0.25">
      <c r="A432" s="159">
        <v>109036</v>
      </c>
      <c r="B432" s="159">
        <v>1</v>
      </c>
      <c r="C432" s="158" t="str">
        <f t="shared" si="7"/>
        <v>1</v>
      </c>
    </row>
    <row r="433" spans="1:3" x14ac:dyDescent="0.25">
      <c r="A433" s="159">
        <v>109039</v>
      </c>
      <c r="B433" s="159">
        <v>1</v>
      </c>
      <c r="C433" s="158" t="str">
        <f t="shared" si="7"/>
        <v>1</v>
      </c>
    </row>
    <row r="434" spans="1:3" x14ac:dyDescent="0.25">
      <c r="A434" s="159">
        <v>109041</v>
      </c>
      <c r="B434" s="159">
        <v>1</v>
      </c>
      <c r="C434" s="158" t="str">
        <f t="shared" si="7"/>
        <v>1</v>
      </c>
    </row>
    <row r="435" spans="1:3" x14ac:dyDescent="0.25">
      <c r="A435" s="159">
        <v>109042</v>
      </c>
      <c r="B435" s="159">
        <v>1</v>
      </c>
      <c r="C435" s="158" t="str">
        <f t="shared" si="7"/>
        <v>1</v>
      </c>
    </row>
    <row r="436" spans="1:3" x14ac:dyDescent="0.25">
      <c r="A436" s="159">
        <v>109044</v>
      </c>
      <c r="B436" s="159">
        <v>1</v>
      </c>
      <c r="C436" s="158" t="str">
        <f t="shared" si="7"/>
        <v>1</v>
      </c>
    </row>
    <row r="437" spans="1:3" x14ac:dyDescent="0.25">
      <c r="A437" s="159">
        <v>109045</v>
      </c>
      <c r="B437" s="159">
        <v>1</v>
      </c>
      <c r="C437" s="158" t="str">
        <f t="shared" si="7"/>
        <v>1</v>
      </c>
    </row>
    <row r="438" spans="1:3" x14ac:dyDescent="0.25">
      <c r="A438" s="159">
        <v>109047</v>
      </c>
      <c r="B438" s="159">
        <v>1</v>
      </c>
      <c r="C438" s="158" t="str">
        <f t="shared" si="7"/>
        <v>1</v>
      </c>
    </row>
    <row r="439" spans="1:3" x14ac:dyDescent="0.25">
      <c r="A439" s="159">
        <v>109048</v>
      </c>
      <c r="B439" s="159" t="s">
        <v>437</v>
      </c>
      <c r="C439" s="158" t="str">
        <f t="shared" si="7"/>
        <v>1S</v>
      </c>
    </row>
    <row r="440" spans="1:3" x14ac:dyDescent="0.25">
      <c r="A440" s="159">
        <v>109050</v>
      </c>
      <c r="B440" s="159">
        <v>1</v>
      </c>
      <c r="C440" s="158" t="str">
        <f t="shared" si="7"/>
        <v>1</v>
      </c>
    </row>
    <row r="441" spans="1:3" x14ac:dyDescent="0.25">
      <c r="A441" s="159">
        <v>109052</v>
      </c>
      <c r="B441" s="159">
        <v>1</v>
      </c>
      <c r="C441" s="158" t="str">
        <f t="shared" si="7"/>
        <v>1</v>
      </c>
    </row>
    <row r="442" spans="1:3" x14ac:dyDescent="0.25">
      <c r="A442" s="159">
        <v>109054</v>
      </c>
      <c r="B442" s="159">
        <v>1</v>
      </c>
      <c r="C442" s="158" t="str">
        <f t="shared" si="7"/>
        <v>1</v>
      </c>
    </row>
    <row r="443" spans="1:3" x14ac:dyDescent="0.25">
      <c r="A443" s="159">
        <v>109056</v>
      </c>
      <c r="B443" s="159">
        <v>1</v>
      </c>
      <c r="C443" s="158" t="str">
        <f t="shared" si="7"/>
        <v>1</v>
      </c>
    </row>
    <row r="444" spans="1:3" x14ac:dyDescent="0.25">
      <c r="A444" s="159">
        <v>109057</v>
      </c>
      <c r="B444" s="159">
        <v>1</v>
      </c>
      <c r="C444" s="158" t="str">
        <f t="shared" si="7"/>
        <v>1</v>
      </c>
    </row>
    <row r="445" spans="1:3" x14ac:dyDescent="0.25">
      <c r="A445" s="159">
        <v>109058</v>
      </c>
      <c r="B445" s="159">
        <v>1</v>
      </c>
      <c r="C445" s="158" t="str">
        <f t="shared" si="7"/>
        <v>1</v>
      </c>
    </row>
    <row r="446" spans="1:3" x14ac:dyDescent="0.25">
      <c r="A446" s="159">
        <v>109059</v>
      </c>
      <c r="B446" s="159">
        <v>1</v>
      </c>
      <c r="C446" s="158" t="str">
        <f t="shared" si="7"/>
        <v>1</v>
      </c>
    </row>
    <row r="447" spans="1:3" x14ac:dyDescent="0.25">
      <c r="A447" s="159">
        <v>109060</v>
      </c>
      <c r="B447" s="159" t="s">
        <v>437</v>
      </c>
      <c r="C447" s="158" t="str">
        <f t="shared" si="7"/>
        <v>1S</v>
      </c>
    </row>
    <row r="448" spans="1:3" x14ac:dyDescent="0.25">
      <c r="A448" s="159">
        <v>109064</v>
      </c>
      <c r="B448" s="159">
        <v>1</v>
      </c>
      <c r="C448" s="158" t="str">
        <f t="shared" si="7"/>
        <v>1</v>
      </c>
    </row>
    <row r="449" spans="1:3" x14ac:dyDescent="0.25">
      <c r="A449" s="159">
        <v>109065</v>
      </c>
      <c r="B449" s="159">
        <v>1</v>
      </c>
      <c r="C449" s="158" t="str">
        <f t="shared" si="7"/>
        <v>1</v>
      </c>
    </row>
    <row r="450" spans="1:3" x14ac:dyDescent="0.25">
      <c r="A450" s="159">
        <v>109067</v>
      </c>
      <c r="B450" s="159">
        <v>1</v>
      </c>
      <c r="C450" s="158" t="str">
        <f t="shared" si="7"/>
        <v>1</v>
      </c>
    </row>
    <row r="451" spans="1:3" x14ac:dyDescent="0.25">
      <c r="A451" s="159">
        <v>109072</v>
      </c>
      <c r="B451" s="159">
        <v>1</v>
      </c>
      <c r="C451" s="158" t="str">
        <f t="shared" si="7"/>
        <v>1</v>
      </c>
    </row>
    <row r="452" spans="1:3" x14ac:dyDescent="0.25">
      <c r="A452" s="159">
        <v>109074</v>
      </c>
      <c r="B452" s="159">
        <v>1</v>
      </c>
      <c r="C452" s="158" t="str">
        <f t="shared" si="7"/>
        <v>1</v>
      </c>
    </row>
    <row r="453" spans="1:3" x14ac:dyDescent="0.25">
      <c r="A453" s="159">
        <v>109196</v>
      </c>
      <c r="B453" s="159" t="s">
        <v>437</v>
      </c>
      <c r="C453" s="158" t="str">
        <f t="shared" si="7"/>
        <v>1S</v>
      </c>
    </row>
    <row r="454" spans="1:3" x14ac:dyDescent="0.25">
      <c r="A454" s="159">
        <v>109292</v>
      </c>
      <c r="B454" s="159">
        <v>4</v>
      </c>
      <c r="C454" s="158" t="str">
        <f t="shared" si="7"/>
        <v>4</v>
      </c>
    </row>
    <row r="455" spans="1:3" x14ac:dyDescent="0.25">
      <c r="A455" s="159">
        <v>109293</v>
      </c>
      <c r="B455" s="159">
        <v>3</v>
      </c>
      <c r="C455" s="158" t="str">
        <f t="shared" si="7"/>
        <v>3</v>
      </c>
    </row>
    <row r="456" spans="1:3" x14ac:dyDescent="0.25">
      <c r="A456" s="159">
        <v>109294</v>
      </c>
      <c r="B456" s="159">
        <v>1</v>
      </c>
      <c r="C456" s="158" t="str">
        <f t="shared" si="7"/>
        <v>1</v>
      </c>
    </row>
    <row r="457" spans="1:3" x14ac:dyDescent="0.25">
      <c r="A457" s="159">
        <v>109296</v>
      </c>
      <c r="B457" s="159" t="s">
        <v>439</v>
      </c>
      <c r="C457" s="158" t="str">
        <f t="shared" si="7"/>
        <v>3S</v>
      </c>
    </row>
    <row r="458" spans="1:3" x14ac:dyDescent="0.25">
      <c r="A458" s="159">
        <v>109297</v>
      </c>
      <c r="B458" s="159">
        <v>3</v>
      </c>
      <c r="C458" s="158" t="str">
        <f t="shared" si="7"/>
        <v>3</v>
      </c>
    </row>
    <row r="459" spans="1:3" x14ac:dyDescent="0.25">
      <c r="A459" s="159">
        <v>109298</v>
      </c>
      <c r="B459" s="159">
        <v>3</v>
      </c>
      <c r="C459" s="158" t="str">
        <f t="shared" si="7"/>
        <v>3</v>
      </c>
    </row>
    <row r="460" spans="1:3" x14ac:dyDescent="0.25">
      <c r="A460" s="159">
        <v>109301</v>
      </c>
      <c r="B460" s="159">
        <v>1</v>
      </c>
      <c r="C460" s="158" t="str">
        <f t="shared" si="7"/>
        <v>1</v>
      </c>
    </row>
    <row r="461" spans="1:3" x14ac:dyDescent="0.25">
      <c r="A461" s="159">
        <v>109302</v>
      </c>
      <c r="B461" s="159">
        <v>1</v>
      </c>
      <c r="C461" s="158" t="str">
        <f t="shared" ref="C461:C524" si="8">IF(OR(B461=0,B461=1,B461=2,B461=3,B461=4,B461=5),TEXT(B461,"0"),B461)</f>
        <v>1</v>
      </c>
    </row>
    <row r="462" spans="1:3" x14ac:dyDescent="0.25">
      <c r="A462" s="159">
        <v>109303</v>
      </c>
      <c r="B462" s="159">
        <v>1</v>
      </c>
      <c r="C462" s="158" t="str">
        <f t="shared" si="8"/>
        <v>1</v>
      </c>
    </row>
    <row r="463" spans="1:3" x14ac:dyDescent="0.25">
      <c r="A463" s="159">
        <v>109304</v>
      </c>
      <c r="B463" s="159">
        <v>3</v>
      </c>
      <c r="C463" s="158" t="str">
        <f t="shared" si="8"/>
        <v>3</v>
      </c>
    </row>
    <row r="464" spans="1:3" x14ac:dyDescent="0.25">
      <c r="A464" s="159">
        <v>109371</v>
      </c>
      <c r="B464" s="159">
        <v>1</v>
      </c>
      <c r="C464" s="158" t="str">
        <f t="shared" si="8"/>
        <v>1</v>
      </c>
    </row>
    <row r="465" spans="1:3" x14ac:dyDescent="0.25">
      <c r="A465" s="159">
        <v>109386</v>
      </c>
      <c r="B465" s="159">
        <v>3</v>
      </c>
      <c r="C465" s="158" t="str">
        <f t="shared" si="8"/>
        <v>3</v>
      </c>
    </row>
    <row r="466" spans="1:3" x14ac:dyDescent="0.25">
      <c r="A466" s="159">
        <v>110629</v>
      </c>
      <c r="B466" s="159">
        <v>1</v>
      </c>
      <c r="C466" s="158" t="str">
        <f t="shared" si="8"/>
        <v>1</v>
      </c>
    </row>
    <row r="467" spans="1:3" x14ac:dyDescent="0.25">
      <c r="A467" s="159">
        <v>110706</v>
      </c>
      <c r="B467" s="159">
        <v>1</v>
      </c>
      <c r="C467" s="158" t="str">
        <f t="shared" si="8"/>
        <v>1</v>
      </c>
    </row>
    <row r="468" spans="1:3" x14ac:dyDescent="0.25">
      <c r="A468" s="159">
        <v>110737</v>
      </c>
      <c r="B468" s="159">
        <v>6</v>
      </c>
      <c r="C468" s="158">
        <f t="shared" si="8"/>
        <v>6</v>
      </c>
    </row>
    <row r="469" spans="1:3" x14ac:dyDescent="0.25">
      <c r="A469" s="159">
        <v>110738</v>
      </c>
      <c r="B469" s="159">
        <v>6</v>
      </c>
      <c r="C469" s="158">
        <f t="shared" si="8"/>
        <v>6</v>
      </c>
    </row>
    <row r="470" spans="1:3" x14ac:dyDescent="0.25">
      <c r="A470" s="159">
        <v>110739</v>
      </c>
      <c r="B470" s="159">
        <v>6</v>
      </c>
      <c r="C470" s="158">
        <f t="shared" si="8"/>
        <v>6</v>
      </c>
    </row>
    <row r="471" spans="1:3" x14ac:dyDescent="0.25">
      <c r="A471" s="159">
        <v>110741</v>
      </c>
      <c r="B471" s="159">
        <v>1</v>
      </c>
      <c r="C471" s="158" t="str">
        <f t="shared" si="8"/>
        <v>1</v>
      </c>
    </row>
    <row r="472" spans="1:3" x14ac:dyDescent="0.25">
      <c r="A472" s="159">
        <v>110813</v>
      </c>
      <c r="B472" s="159">
        <v>3</v>
      </c>
      <c r="C472" s="158" t="str">
        <f t="shared" si="8"/>
        <v>3</v>
      </c>
    </row>
    <row r="473" spans="1:3" x14ac:dyDescent="0.25">
      <c r="A473" s="159">
        <v>110901</v>
      </c>
      <c r="B473" s="159">
        <v>1</v>
      </c>
      <c r="C473" s="158" t="str">
        <f t="shared" si="8"/>
        <v>1</v>
      </c>
    </row>
    <row r="474" spans="1:3" x14ac:dyDescent="0.25">
      <c r="A474" s="159">
        <v>110906</v>
      </c>
      <c r="B474" s="159">
        <v>1</v>
      </c>
      <c r="C474" s="158" t="str">
        <f t="shared" si="8"/>
        <v>1</v>
      </c>
    </row>
    <row r="475" spans="1:3" x14ac:dyDescent="0.25">
      <c r="A475" s="159">
        <v>110911</v>
      </c>
      <c r="B475" s="159">
        <v>1</v>
      </c>
      <c r="C475" s="158" t="str">
        <f t="shared" si="8"/>
        <v>1</v>
      </c>
    </row>
    <row r="476" spans="1:3" x14ac:dyDescent="0.25">
      <c r="A476" s="159">
        <v>110962</v>
      </c>
      <c r="B476" s="159">
        <v>1</v>
      </c>
      <c r="C476" s="158" t="str">
        <f t="shared" si="8"/>
        <v>1</v>
      </c>
    </row>
    <row r="477" spans="1:3" x14ac:dyDescent="0.25">
      <c r="A477" s="159">
        <v>111522</v>
      </c>
      <c r="B477" s="159">
        <v>2</v>
      </c>
      <c r="C477" s="158" t="str">
        <f t="shared" si="8"/>
        <v>2</v>
      </c>
    </row>
    <row r="478" spans="1:3" x14ac:dyDescent="0.25">
      <c r="A478" s="159">
        <v>111871</v>
      </c>
      <c r="B478" s="159">
        <v>4</v>
      </c>
      <c r="C478" s="158" t="str">
        <f t="shared" si="8"/>
        <v>4</v>
      </c>
    </row>
    <row r="479" spans="1:3" x14ac:dyDescent="0.25">
      <c r="A479" s="159">
        <v>111945</v>
      </c>
      <c r="B479" s="159">
        <v>6</v>
      </c>
      <c r="C479" s="158">
        <f t="shared" si="8"/>
        <v>6</v>
      </c>
    </row>
    <row r="480" spans="1:3" x14ac:dyDescent="0.25">
      <c r="A480" s="159">
        <v>111975</v>
      </c>
      <c r="B480" s="159">
        <v>1</v>
      </c>
      <c r="C480" s="158" t="str">
        <f t="shared" si="8"/>
        <v>1</v>
      </c>
    </row>
    <row r="481" spans="1:3" x14ac:dyDescent="0.25">
      <c r="A481" s="159">
        <v>111976</v>
      </c>
      <c r="B481" s="159">
        <v>1</v>
      </c>
      <c r="C481" s="158" t="str">
        <f t="shared" si="8"/>
        <v>1</v>
      </c>
    </row>
    <row r="482" spans="1:3" x14ac:dyDescent="0.25">
      <c r="A482" s="159">
        <v>112050</v>
      </c>
      <c r="B482" s="159">
        <v>1</v>
      </c>
      <c r="C482" s="158" t="str">
        <f t="shared" si="8"/>
        <v>1</v>
      </c>
    </row>
    <row r="483" spans="1:3" x14ac:dyDescent="0.25">
      <c r="A483" s="159">
        <v>112105</v>
      </c>
      <c r="B483" s="159">
        <v>1</v>
      </c>
      <c r="C483" s="158" t="str">
        <f t="shared" si="8"/>
        <v>1</v>
      </c>
    </row>
    <row r="484" spans="1:3" x14ac:dyDescent="0.25">
      <c r="A484" s="159">
        <v>112481</v>
      </c>
      <c r="B484" s="159">
        <v>3</v>
      </c>
      <c r="C484" s="158" t="str">
        <f t="shared" si="8"/>
        <v>3</v>
      </c>
    </row>
    <row r="485" spans="1:3" x14ac:dyDescent="0.25">
      <c r="A485" s="159">
        <v>112482</v>
      </c>
      <c r="B485" s="159">
        <v>4</v>
      </c>
      <c r="C485" s="158" t="str">
        <f t="shared" si="8"/>
        <v>4</v>
      </c>
    </row>
    <row r="486" spans="1:3" x14ac:dyDescent="0.25">
      <c r="A486" s="159">
        <v>112512</v>
      </c>
      <c r="B486" s="159">
        <v>1</v>
      </c>
      <c r="C486" s="158" t="str">
        <f t="shared" si="8"/>
        <v>1</v>
      </c>
    </row>
    <row r="487" spans="1:3" x14ac:dyDescent="0.25">
      <c r="A487" s="159">
        <v>112532</v>
      </c>
      <c r="B487" s="159">
        <v>1</v>
      </c>
      <c r="C487" s="158" t="str">
        <f t="shared" si="8"/>
        <v>1</v>
      </c>
    </row>
    <row r="488" spans="1:3" x14ac:dyDescent="0.25">
      <c r="A488" s="159">
        <v>112731</v>
      </c>
      <c r="B488" s="159">
        <v>1</v>
      </c>
      <c r="C488" s="158" t="str">
        <f t="shared" si="8"/>
        <v>1</v>
      </c>
    </row>
    <row r="489" spans="1:3" x14ac:dyDescent="0.25">
      <c r="A489" s="159">
        <v>112870</v>
      </c>
      <c r="B489" s="159">
        <v>1</v>
      </c>
      <c r="C489" s="158" t="str">
        <f t="shared" si="8"/>
        <v>1</v>
      </c>
    </row>
    <row r="490" spans="1:3" x14ac:dyDescent="0.25">
      <c r="A490" s="159">
        <v>112871</v>
      </c>
      <c r="B490" s="159">
        <v>3</v>
      </c>
      <c r="C490" s="158" t="str">
        <f t="shared" si="8"/>
        <v>3</v>
      </c>
    </row>
    <row r="491" spans="1:3" x14ac:dyDescent="0.25">
      <c r="A491" s="159">
        <v>112872</v>
      </c>
      <c r="B491" s="159">
        <v>3</v>
      </c>
      <c r="C491" s="158" t="str">
        <f t="shared" si="8"/>
        <v>3</v>
      </c>
    </row>
    <row r="492" spans="1:3" x14ac:dyDescent="0.25">
      <c r="A492" s="159">
        <v>112873</v>
      </c>
      <c r="B492" s="159">
        <v>3</v>
      </c>
      <c r="C492" s="158" t="str">
        <f t="shared" si="8"/>
        <v>3</v>
      </c>
    </row>
    <row r="493" spans="1:3" x14ac:dyDescent="0.25">
      <c r="A493" s="159">
        <v>112874</v>
      </c>
      <c r="B493" s="159">
        <v>3</v>
      </c>
      <c r="C493" s="158" t="str">
        <f t="shared" si="8"/>
        <v>3</v>
      </c>
    </row>
    <row r="494" spans="1:3" x14ac:dyDescent="0.25">
      <c r="A494" s="159">
        <v>112968</v>
      </c>
      <c r="B494" s="159" t="s">
        <v>437</v>
      </c>
      <c r="C494" s="158" t="str">
        <f t="shared" si="8"/>
        <v>1S</v>
      </c>
    </row>
    <row r="495" spans="1:3" x14ac:dyDescent="0.25">
      <c r="A495" s="159">
        <v>113324</v>
      </c>
      <c r="B495" s="159">
        <v>3</v>
      </c>
      <c r="C495" s="158" t="str">
        <f t="shared" si="8"/>
        <v>3</v>
      </c>
    </row>
    <row r="496" spans="1:3" x14ac:dyDescent="0.25">
      <c r="A496" s="159">
        <v>113332</v>
      </c>
      <c r="B496" s="159">
        <v>1</v>
      </c>
      <c r="C496" s="158" t="str">
        <f t="shared" si="8"/>
        <v>1</v>
      </c>
    </row>
    <row r="497" spans="1:3" x14ac:dyDescent="0.25">
      <c r="A497" s="159">
        <v>113335</v>
      </c>
      <c r="B497" s="159">
        <v>1</v>
      </c>
      <c r="C497" s="158" t="str">
        <f t="shared" si="8"/>
        <v>1</v>
      </c>
    </row>
    <row r="498" spans="1:3" x14ac:dyDescent="0.25">
      <c r="A498" s="159">
        <v>113355</v>
      </c>
      <c r="B498" s="159">
        <v>1</v>
      </c>
      <c r="C498" s="158" t="str">
        <f t="shared" si="8"/>
        <v>1</v>
      </c>
    </row>
    <row r="499" spans="1:3" x14ac:dyDescent="0.25">
      <c r="A499" s="159">
        <v>113356</v>
      </c>
      <c r="B499" s="159">
        <v>2</v>
      </c>
      <c r="C499" s="158" t="str">
        <f t="shared" si="8"/>
        <v>2</v>
      </c>
    </row>
    <row r="500" spans="1:3" x14ac:dyDescent="0.25">
      <c r="A500" s="159">
        <v>113444</v>
      </c>
      <c r="B500" s="159">
        <v>1</v>
      </c>
      <c r="C500" s="158" t="str">
        <f t="shared" si="8"/>
        <v>1</v>
      </c>
    </row>
    <row r="501" spans="1:3" x14ac:dyDescent="0.25">
      <c r="A501" s="159">
        <v>113471</v>
      </c>
      <c r="B501" s="159">
        <v>3</v>
      </c>
      <c r="C501" s="158" t="str">
        <f t="shared" si="8"/>
        <v>3</v>
      </c>
    </row>
    <row r="502" spans="1:3" x14ac:dyDescent="0.25">
      <c r="A502" s="159">
        <v>113491</v>
      </c>
      <c r="B502" s="159">
        <v>1</v>
      </c>
      <c r="C502" s="158" t="str">
        <f t="shared" si="8"/>
        <v>1</v>
      </c>
    </row>
    <row r="503" spans="1:3" x14ac:dyDescent="0.25">
      <c r="A503" s="159">
        <v>113563</v>
      </c>
      <c r="B503" s="159" t="s">
        <v>454</v>
      </c>
      <c r="C503" s="158" t="str">
        <f t="shared" si="8"/>
        <v>6S</v>
      </c>
    </row>
    <row r="504" spans="1:3" x14ac:dyDescent="0.25">
      <c r="A504" s="159">
        <v>113572</v>
      </c>
      <c r="B504" s="159">
        <v>1</v>
      </c>
      <c r="C504" s="158" t="str">
        <f t="shared" si="8"/>
        <v>1</v>
      </c>
    </row>
    <row r="505" spans="1:3" x14ac:dyDescent="0.25">
      <c r="A505" s="159">
        <v>113573</v>
      </c>
      <c r="B505" s="159">
        <v>1</v>
      </c>
      <c r="C505" s="158" t="str">
        <f t="shared" si="8"/>
        <v>1</v>
      </c>
    </row>
    <row r="506" spans="1:3" x14ac:dyDescent="0.25">
      <c r="A506" s="159">
        <v>113625</v>
      </c>
      <c r="B506" s="159">
        <v>1</v>
      </c>
      <c r="C506" s="158" t="str">
        <f t="shared" si="8"/>
        <v>1</v>
      </c>
    </row>
    <row r="507" spans="1:3" x14ac:dyDescent="0.25">
      <c r="A507" s="159">
        <v>113691</v>
      </c>
      <c r="B507" s="159">
        <v>2</v>
      </c>
      <c r="C507" s="158" t="str">
        <f t="shared" si="8"/>
        <v>2</v>
      </c>
    </row>
    <row r="508" spans="1:3" x14ac:dyDescent="0.25">
      <c r="A508" s="159">
        <v>113731</v>
      </c>
      <c r="B508" s="159">
        <v>1</v>
      </c>
      <c r="C508" s="158" t="str">
        <f t="shared" si="8"/>
        <v>1</v>
      </c>
    </row>
    <row r="509" spans="1:3" x14ac:dyDescent="0.25">
      <c r="A509" s="159">
        <v>113732</v>
      </c>
      <c r="B509" s="159">
        <v>3</v>
      </c>
      <c r="C509" s="158" t="str">
        <f t="shared" si="8"/>
        <v>3</v>
      </c>
    </row>
    <row r="510" spans="1:3" x14ac:dyDescent="0.25">
      <c r="A510" s="159">
        <v>113733</v>
      </c>
      <c r="B510" s="159">
        <v>3</v>
      </c>
      <c r="C510" s="158" t="str">
        <f t="shared" si="8"/>
        <v>3</v>
      </c>
    </row>
    <row r="511" spans="1:3" x14ac:dyDescent="0.25">
      <c r="A511" s="159">
        <v>113782</v>
      </c>
      <c r="B511" s="159">
        <v>1</v>
      </c>
      <c r="C511" s="158" t="str">
        <f t="shared" si="8"/>
        <v>1</v>
      </c>
    </row>
    <row r="512" spans="1:3" x14ac:dyDescent="0.25">
      <c r="A512" s="159">
        <v>113802</v>
      </c>
      <c r="B512" s="159">
        <v>1</v>
      </c>
      <c r="C512" s="158" t="str">
        <f t="shared" si="8"/>
        <v>1</v>
      </c>
    </row>
    <row r="513" spans="1:3" x14ac:dyDescent="0.25">
      <c r="A513" s="159">
        <v>113804</v>
      </c>
      <c r="B513" s="159">
        <v>1</v>
      </c>
      <c r="C513" s="158" t="str">
        <f t="shared" si="8"/>
        <v>1</v>
      </c>
    </row>
    <row r="514" spans="1:3" x14ac:dyDescent="0.25">
      <c r="A514" s="159">
        <v>113831</v>
      </c>
      <c r="B514" s="159">
        <v>1</v>
      </c>
      <c r="C514" s="158" t="str">
        <f t="shared" si="8"/>
        <v>1</v>
      </c>
    </row>
    <row r="515" spans="1:3" x14ac:dyDescent="0.25">
      <c r="A515" s="159">
        <v>113841</v>
      </c>
      <c r="B515" s="159">
        <v>1</v>
      </c>
      <c r="C515" s="158" t="str">
        <f t="shared" si="8"/>
        <v>1</v>
      </c>
    </row>
    <row r="516" spans="1:3" x14ac:dyDescent="0.25">
      <c r="A516" s="159">
        <v>113842</v>
      </c>
      <c r="B516" s="159" t="s">
        <v>437</v>
      </c>
      <c r="C516" s="158" t="str">
        <f t="shared" si="8"/>
        <v>1S</v>
      </c>
    </row>
    <row r="517" spans="1:3" x14ac:dyDescent="0.25">
      <c r="A517" s="159">
        <v>113906</v>
      </c>
      <c r="B517" s="159">
        <v>1</v>
      </c>
      <c r="C517" s="158" t="str">
        <f t="shared" si="8"/>
        <v>1</v>
      </c>
    </row>
    <row r="518" spans="1:3" x14ac:dyDescent="0.25">
      <c r="A518" s="159">
        <v>113921</v>
      </c>
      <c r="B518" s="159">
        <v>4</v>
      </c>
      <c r="C518" s="158" t="str">
        <f t="shared" si="8"/>
        <v>4</v>
      </c>
    </row>
    <row r="519" spans="1:3" x14ac:dyDescent="0.25">
      <c r="A519" s="159">
        <v>113922</v>
      </c>
      <c r="B519" s="159">
        <v>2</v>
      </c>
      <c r="C519" s="158" t="str">
        <f t="shared" si="8"/>
        <v>2</v>
      </c>
    </row>
    <row r="520" spans="1:3" x14ac:dyDescent="0.25">
      <c r="A520" s="159">
        <v>113924</v>
      </c>
      <c r="B520" s="159">
        <v>4</v>
      </c>
      <c r="C520" s="158" t="str">
        <f t="shared" si="8"/>
        <v>4</v>
      </c>
    </row>
    <row r="521" spans="1:3" x14ac:dyDescent="0.25">
      <c r="A521" s="159">
        <v>113953</v>
      </c>
      <c r="B521" s="159">
        <v>1</v>
      </c>
      <c r="C521" s="158" t="str">
        <f t="shared" si="8"/>
        <v>1</v>
      </c>
    </row>
    <row r="522" spans="1:3" x14ac:dyDescent="0.25">
      <c r="A522" s="159">
        <v>113954</v>
      </c>
      <c r="B522" s="159">
        <v>1</v>
      </c>
      <c r="C522" s="158" t="str">
        <f t="shared" si="8"/>
        <v>1</v>
      </c>
    </row>
    <row r="523" spans="1:3" x14ac:dyDescent="0.25">
      <c r="A523" s="159">
        <v>113955</v>
      </c>
      <c r="B523" s="159">
        <v>1</v>
      </c>
      <c r="C523" s="158" t="str">
        <f t="shared" si="8"/>
        <v>1</v>
      </c>
    </row>
    <row r="524" spans="1:3" x14ac:dyDescent="0.25">
      <c r="A524" s="159">
        <v>113956</v>
      </c>
      <c r="B524" s="159">
        <v>1</v>
      </c>
      <c r="C524" s="158" t="str">
        <f t="shared" si="8"/>
        <v>1</v>
      </c>
    </row>
    <row r="525" spans="1:3" x14ac:dyDescent="0.25">
      <c r="A525" s="159">
        <v>113957</v>
      </c>
      <c r="B525" s="159" t="s">
        <v>437</v>
      </c>
      <c r="C525" s="158" t="str">
        <f t="shared" ref="C525:C588" si="9">IF(OR(B525=0,B525=1,B525=2,B525=3,B525=4,B525=5),TEXT(B525,"0"),B525)</f>
        <v>1S</v>
      </c>
    </row>
    <row r="526" spans="1:3" x14ac:dyDescent="0.25">
      <c r="A526" s="159">
        <v>113958</v>
      </c>
      <c r="B526" s="159">
        <v>1</v>
      </c>
      <c r="C526" s="158" t="str">
        <f t="shared" si="9"/>
        <v>1</v>
      </c>
    </row>
    <row r="527" spans="1:3" x14ac:dyDescent="0.25">
      <c r="A527" s="159">
        <v>113959</v>
      </c>
      <c r="B527" s="159" t="s">
        <v>437</v>
      </c>
      <c r="C527" s="158" t="str">
        <f t="shared" si="9"/>
        <v>1S</v>
      </c>
    </row>
    <row r="528" spans="1:3" x14ac:dyDescent="0.25">
      <c r="A528" s="159">
        <v>113981</v>
      </c>
      <c r="B528" s="159">
        <v>1</v>
      </c>
      <c r="C528" s="158" t="str">
        <f t="shared" si="9"/>
        <v>1</v>
      </c>
    </row>
    <row r="529" spans="1:3" x14ac:dyDescent="0.25">
      <c r="A529" s="159">
        <v>113983</v>
      </c>
      <c r="B529" s="159">
        <v>1</v>
      </c>
      <c r="C529" s="158" t="str">
        <f t="shared" si="9"/>
        <v>1</v>
      </c>
    </row>
    <row r="530" spans="1:3" x14ac:dyDescent="0.25">
      <c r="A530" s="159">
        <v>113984</v>
      </c>
      <c r="B530" s="159">
        <v>1</v>
      </c>
      <c r="C530" s="158" t="str">
        <f t="shared" si="9"/>
        <v>1</v>
      </c>
    </row>
    <row r="531" spans="1:3" x14ac:dyDescent="0.25">
      <c r="A531" s="159">
        <v>113985</v>
      </c>
      <c r="B531" s="159">
        <v>1</v>
      </c>
      <c r="C531" s="158" t="str">
        <f t="shared" si="9"/>
        <v>1</v>
      </c>
    </row>
    <row r="532" spans="1:3" x14ac:dyDescent="0.25">
      <c r="A532" s="159">
        <v>113986</v>
      </c>
      <c r="B532" s="159">
        <v>1</v>
      </c>
      <c r="C532" s="158" t="str">
        <f t="shared" si="9"/>
        <v>1</v>
      </c>
    </row>
    <row r="533" spans="1:3" x14ac:dyDescent="0.25">
      <c r="A533" s="159">
        <v>113987</v>
      </c>
      <c r="B533" s="159">
        <v>1</v>
      </c>
      <c r="C533" s="158" t="str">
        <f t="shared" si="9"/>
        <v>1</v>
      </c>
    </row>
    <row r="534" spans="1:3" x14ac:dyDescent="0.25">
      <c r="A534" s="159">
        <v>113988</v>
      </c>
      <c r="B534" s="159">
        <v>1</v>
      </c>
      <c r="C534" s="158" t="str">
        <f t="shared" si="9"/>
        <v>1</v>
      </c>
    </row>
    <row r="535" spans="1:3" x14ac:dyDescent="0.25">
      <c r="A535" s="159">
        <v>113991</v>
      </c>
      <c r="B535" s="159">
        <v>1</v>
      </c>
      <c r="C535" s="158" t="str">
        <f t="shared" si="9"/>
        <v>1</v>
      </c>
    </row>
    <row r="536" spans="1:3" x14ac:dyDescent="0.25">
      <c r="A536" s="159">
        <v>113992</v>
      </c>
      <c r="B536" s="159">
        <v>1</v>
      </c>
      <c r="C536" s="158" t="str">
        <f t="shared" si="9"/>
        <v>1</v>
      </c>
    </row>
    <row r="537" spans="1:3" x14ac:dyDescent="0.25">
      <c r="A537" s="159">
        <v>113993</v>
      </c>
      <c r="B537" s="159">
        <v>1</v>
      </c>
      <c r="C537" s="158" t="str">
        <f t="shared" si="9"/>
        <v>1</v>
      </c>
    </row>
    <row r="538" spans="1:3" x14ac:dyDescent="0.25">
      <c r="A538" s="159">
        <v>113994</v>
      </c>
      <c r="B538" s="159">
        <v>1</v>
      </c>
      <c r="C538" s="158" t="str">
        <f t="shared" si="9"/>
        <v>1</v>
      </c>
    </row>
    <row r="539" spans="1:3" x14ac:dyDescent="0.25">
      <c r="A539" s="159">
        <v>113997</v>
      </c>
      <c r="B539" s="159">
        <v>1</v>
      </c>
      <c r="C539" s="158" t="str">
        <f t="shared" si="9"/>
        <v>1</v>
      </c>
    </row>
    <row r="540" spans="1:3" x14ac:dyDescent="0.25">
      <c r="A540" s="159">
        <v>113998</v>
      </c>
      <c r="B540" s="159">
        <v>1</v>
      </c>
      <c r="C540" s="158" t="str">
        <f t="shared" si="9"/>
        <v>1</v>
      </c>
    </row>
    <row r="541" spans="1:3" x14ac:dyDescent="0.25">
      <c r="A541" s="159">
        <v>114000</v>
      </c>
      <c r="B541" s="159">
        <v>1</v>
      </c>
      <c r="C541" s="158" t="str">
        <f t="shared" si="9"/>
        <v>1</v>
      </c>
    </row>
    <row r="542" spans="1:3" x14ac:dyDescent="0.25">
      <c r="A542" s="159">
        <v>114003</v>
      </c>
      <c r="B542" s="159">
        <v>1</v>
      </c>
      <c r="C542" s="158" t="str">
        <f t="shared" si="9"/>
        <v>1</v>
      </c>
    </row>
    <row r="543" spans="1:3" x14ac:dyDescent="0.25">
      <c r="A543" s="159">
        <v>114011</v>
      </c>
      <c r="B543" s="159">
        <v>1</v>
      </c>
      <c r="C543" s="158" t="str">
        <f t="shared" si="9"/>
        <v>1</v>
      </c>
    </row>
    <row r="544" spans="1:3" x14ac:dyDescent="0.25">
      <c r="A544" s="159">
        <v>114012</v>
      </c>
      <c r="B544" s="159">
        <v>1</v>
      </c>
      <c r="C544" s="158" t="str">
        <f t="shared" si="9"/>
        <v>1</v>
      </c>
    </row>
    <row r="545" spans="1:3" x14ac:dyDescent="0.25">
      <c r="A545" s="159">
        <v>114061</v>
      </c>
      <c r="B545" s="159" t="s">
        <v>435</v>
      </c>
      <c r="C545" s="158" t="str">
        <f t="shared" si="9"/>
        <v>GR 2</v>
      </c>
    </row>
    <row r="546" spans="1:3" x14ac:dyDescent="0.25">
      <c r="A546" s="159">
        <v>114087</v>
      </c>
      <c r="B546" s="159">
        <v>5</v>
      </c>
      <c r="C546" s="158" t="str">
        <f t="shared" si="9"/>
        <v>5</v>
      </c>
    </row>
    <row r="547" spans="1:3" x14ac:dyDescent="0.25">
      <c r="A547" s="159">
        <v>114163</v>
      </c>
      <c r="B547" s="159">
        <v>3</v>
      </c>
      <c r="C547" s="158" t="str">
        <f t="shared" si="9"/>
        <v>3</v>
      </c>
    </row>
    <row r="548" spans="1:3" x14ac:dyDescent="0.25">
      <c r="A548" s="159">
        <v>114164</v>
      </c>
      <c r="B548" s="159">
        <v>3</v>
      </c>
      <c r="C548" s="158" t="str">
        <f t="shared" si="9"/>
        <v>3</v>
      </c>
    </row>
    <row r="549" spans="1:3" x14ac:dyDescent="0.25">
      <c r="A549" s="159">
        <v>114165</v>
      </c>
      <c r="B549" s="159">
        <v>1</v>
      </c>
      <c r="C549" s="158" t="str">
        <f t="shared" si="9"/>
        <v>1</v>
      </c>
    </row>
    <row r="550" spans="1:3" x14ac:dyDescent="0.25">
      <c r="A550" s="159">
        <v>114166</v>
      </c>
      <c r="B550" s="159">
        <v>3</v>
      </c>
      <c r="C550" s="158" t="str">
        <f t="shared" si="9"/>
        <v>3</v>
      </c>
    </row>
    <row r="551" spans="1:3" x14ac:dyDescent="0.25">
      <c r="A551" s="159">
        <v>114167</v>
      </c>
      <c r="B551" s="159">
        <v>2</v>
      </c>
      <c r="C551" s="158" t="str">
        <f t="shared" si="9"/>
        <v>2</v>
      </c>
    </row>
    <row r="552" spans="1:3" x14ac:dyDescent="0.25">
      <c r="A552" s="159">
        <v>114168</v>
      </c>
      <c r="B552" s="159">
        <v>4</v>
      </c>
      <c r="C552" s="158" t="str">
        <f t="shared" si="9"/>
        <v>4</v>
      </c>
    </row>
    <row r="553" spans="1:3" x14ac:dyDescent="0.25">
      <c r="A553" s="159">
        <v>114171</v>
      </c>
      <c r="B553" s="159">
        <v>3</v>
      </c>
      <c r="C553" s="158" t="str">
        <f t="shared" si="9"/>
        <v>3</v>
      </c>
    </row>
    <row r="554" spans="1:3" x14ac:dyDescent="0.25">
      <c r="A554" s="159">
        <v>114172</v>
      </c>
      <c r="B554" s="159">
        <v>4</v>
      </c>
      <c r="C554" s="158" t="str">
        <f t="shared" si="9"/>
        <v>4</v>
      </c>
    </row>
    <row r="555" spans="1:3" x14ac:dyDescent="0.25">
      <c r="A555" s="159">
        <v>114173</v>
      </c>
      <c r="B555" s="159">
        <v>5</v>
      </c>
      <c r="C555" s="158" t="str">
        <f t="shared" si="9"/>
        <v>5</v>
      </c>
    </row>
    <row r="556" spans="1:3" x14ac:dyDescent="0.25">
      <c r="A556" s="159">
        <v>114174</v>
      </c>
      <c r="B556" s="159" t="s">
        <v>437</v>
      </c>
      <c r="C556" s="158" t="str">
        <f t="shared" si="9"/>
        <v>1S</v>
      </c>
    </row>
    <row r="557" spans="1:3" x14ac:dyDescent="0.25">
      <c r="A557" s="159">
        <v>114178</v>
      </c>
      <c r="B557" s="159">
        <v>3</v>
      </c>
      <c r="C557" s="158" t="str">
        <f t="shared" si="9"/>
        <v>3</v>
      </c>
    </row>
    <row r="558" spans="1:3" x14ac:dyDescent="0.25">
      <c r="A558" s="159">
        <v>114180</v>
      </c>
      <c r="B558" s="159">
        <v>3</v>
      </c>
      <c r="C558" s="158" t="str">
        <f t="shared" si="9"/>
        <v>3</v>
      </c>
    </row>
    <row r="559" spans="1:3" x14ac:dyDescent="0.25">
      <c r="A559" s="159">
        <v>114183</v>
      </c>
      <c r="B559" s="159">
        <v>2</v>
      </c>
      <c r="C559" s="158" t="str">
        <f t="shared" si="9"/>
        <v>2</v>
      </c>
    </row>
    <row r="560" spans="1:3" x14ac:dyDescent="0.25">
      <c r="A560" s="159">
        <v>114184</v>
      </c>
      <c r="B560" s="159">
        <v>1</v>
      </c>
      <c r="C560" s="158" t="str">
        <f t="shared" si="9"/>
        <v>1</v>
      </c>
    </row>
    <row r="561" spans="1:3" x14ac:dyDescent="0.25">
      <c r="A561" s="159">
        <v>114185</v>
      </c>
      <c r="B561" s="159">
        <v>3</v>
      </c>
      <c r="C561" s="158" t="str">
        <f t="shared" si="9"/>
        <v>3</v>
      </c>
    </row>
    <row r="562" spans="1:3" x14ac:dyDescent="0.25">
      <c r="A562" s="159">
        <v>114186</v>
      </c>
      <c r="B562" s="159">
        <v>5</v>
      </c>
      <c r="C562" s="158" t="str">
        <f t="shared" si="9"/>
        <v>5</v>
      </c>
    </row>
    <row r="563" spans="1:3" x14ac:dyDescent="0.25">
      <c r="A563" s="159">
        <v>114187</v>
      </c>
      <c r="B563" s="159">
        <v>4</v>
      </c>
      <c r="C563" s="158" t="str">
        <f t="shared" si="9"/>
        <v>4</v>
      </c>
    </row>
    <row r="564" spans="1:3" x14ac:dyDescent="0.25">
      <c r="A564" s="159">
        <v>114188</v>
      </c>
      <c r="B564" s="159" t="s">
        <v>454</v>
      </c>
      <c r="C564" s="158" t="str">
        <f t="shared" si="9"/>
        <v>6S</v>
      </c>
    </row>
    <row r="565" spans="1:3" x14ac:dyDescent="0.25">
      <c r="A565" s="159">
        <v>114189</v>
      </c>
      <c r="B565" s="159" t="s">
        <v>438</v>
      </c>
      <c r="C565" s="158" t="str">
        <f t="shared" si="9"/>
        <v>2S</v>
      </c>
    </row>
    <row r="566" spans="1:3" x14ac:dyDescent="0.25">
      <c r="A566" s="159">
        <v>114242</v>
      </c>
      <c r="B566" s="159">
        <v>3</v>
      </c>
      <c r="C566" s="158" t="str">
        <f t="shared" si="9"/>
        <v>3</v>
      </c>
    </row>
    <row r="567" spans="1:3" x14ac:dyDescent="0.25">
      <c r="A567" s="159">
        <v>114252</v>
      </c>
      <c r="B567" s="159">
        <v>1</v>
      </c>
      <c r="C567" s="158" t="str">
        <f t="shared" si="9"/>
        <v>1</v>
      </c>
    </row>
    <row r="568" spans="1:3" x14ac:dyDescent="0.25">
      <c r="A568" s="159">
        <v>114424</v>
      </c>
      <c r="B568" s="159">
        <v>1</v>
      </c>
      <c r="C568" s="158" t="str">
        <f t="shared" si="9"/>
        <v>1</v>
      </c>
    </row>
    <row r="569" spans="1:3" x14ac:dyDescent="0.25">
      <c r="A569" s="159">
        <v>114425</v>
      </c>
      <c r="B569" s="159">
        <v>1</v>
      </c>
      <c r="C569" s="158" t="str">
        <f t="shared" si="9"/>
        <v>1</v>
      </c>
    </row>
    <row r="570" spans="1:3" x14ac:dyDescent="0.25">
      <c r="A570" s="159">
        <v>114551</v>
      </c>
      <c r="B570" s="159" t="s">
        <v>438</v>
      </c>
      <c r="C570" s="158" t="str">
        <f t="shared" si="9"/>
        <v>2S</v>
      </c>
    </row>
    <row r="571" spans="1:3" x14ac:dyDescent="0.25">
      <c r="A571" s="159">
        <v>114552</v>
      </c>
      <c r="B571" s="159">
        <v>4</v>
      </c>
      <c r="C571" s="158" t="str">
        <f t="shared" si="9"/>
        <v>4</v>
      </c>
    </row>
    <row r="572" spans="1:3" x14ac:dyDescent="0.25">
      <c r="A572" s="159">
        <v>114553</v>
      </c>
      <c r="B572" s="159">
        <v>4</v>
      </c>
      <c r="C572" s="158" t="str">
        <f t="shared" si="9"/>
        <v>4</v>
      </c>
    </row>
    <row r="573" spans="1:3" x14ac:dyDescent="0.25">
      <c r="A573" s="159">
        <v>114554</v>
      </c>
      <c r="B573" s="159">
        <v>4</v>
      </c>
      <c r="C573" s="158" t="str">
        <f t="shared" si="9"/>
        <v>4</v>
      </c>
    </row>
    <row r="574" spans="1:3" x14ac:dyDescent="0.25">
      <c r="A574" s="159">
        <v>114555</v>
      </c>
      <c r="B574" s="159" t="s">
        <v>437</v>
      </c>
      <c r="C574" s="158" t="str">
        <f t="shared" si="9"/>
        <v>1S</v>
      </c>
    </row>
    <row r="575" spans="1:3" x14ac:dyDescent="0.25">
      <c r="A575" s="159">
        <v>114556</v>
      </c>
      <c r="B575" s="159">
        <v>1</v>
      </c>
      <c r="C575" s="158" t="str">
        <f t="shared" si="9"/>
        <v>1</v>
      </c>
    </row>
    <row r="576" spans="1:3" x14ac:dyDescent="0.25">
      <c r="A576" s="159">
        <v>114557</v>
      </c>
      <c r="B576" s="159" t="s">
        <v>454</v>
      </c>
      <c r="C576" s="158" t="str">
        <f t="shared" si="9"/>
        <v>6S</v>
      </c>
    </row>
    <row r="577" spans="1:3" x14ac:dyDescent="0.25">
      <c r="A577" s="159">
        <v>114558</v>
      </c>
      <c r="B577" s="159" t="s">
        <v>441</v>
      </c>
      <c r="C577" s="158" t="str">
        <f t="shared" si="9"/>
        <v>4S</v>
      </c>
    </row>
    <row r="578" spans="1:3" x14ac:dyDescent="0.25">
      <c r="A578" s="159">
        <v>114559</v>
      </c>
      <c r="B578" s="159">
        <v>4</v>
      </c>
      <c r="C578" s="158" t="str">
        <f t="shared" si="9"/>
        <v>4</v>
      </c>
    </row>
    <row r="579" spans="1:3" x14ac:dyDescent="0.25">
      <c r="A579" s="159">
        <v>114560</v>
      </c>
      <c r="B579" s="159" t="s">
        <v>441</v>
      </c>
      <c r="C579" s="158" t="str">
        <f t="shared" si="9"/>
        <v>4S</v>
      </c>
    </row>
    <row r="580" spans="1:3" x14ac:dyDescent="0.25">
      <c r="A580" s="159">
        <v>114561</v>
      </c>
      <c r="B580" s="159">
        <v>4</v>
      </c>
      <c r="C580" s="158" t="str">
        <f t="shared" si="9"/>
        <v>4</v>
      </c>
    </row>
    <row r="581" spans="1:3" x14ac:dyDescent="0.25">
      <c r="A581" s="159">
        <v>114562</v>
      </c>
      <c r="B581" s="159">
        <v>4</v>
      </c>
      <c r="C581" s="158" t="str">
        <f t="shared" si="9"/>
        <v>4</v>
      </c>
    </row>
    <row r="582" spans="1:3" x14ac:dyDescent="0.25">
      <c r="A582" s="159">
        <v>114563</v>
      </c>
      <c r="B582" s="159">
        <v>4</v>
      </c>
      <c r="C582" s="158" t="str">
        <f t="shared" si="9"/>
        <v>4</v>
      </c>
    </row>
    <row r="583" spans="1:3" x14ac:dyDescent="0.25">
      <c r="A583" s="159">
        <v>114565</v>
      </c>
      <c r="B583" s="159" t="s">
        <v>439</v>
      </c>
      <c r="C583" s="158" t="str">
        <f t="shared" si="9"/>
        <v>3S</v>
      </c>
    </row>
    <row r="584" spans="1:3" x14ac:dyDescent="0.25">
      <c r="A584" s="159">
        <v>114571</v>
      </c>
      <c r="B584" s="159">
        <v>1</v>
      </c>
      <c r="C584" s="158" t="str">
        <f t="shared" si="9"/>
        <v>1</v>
      </c>
    </row>
    <row r="585" spans="1:3" x14ac:dyDescent="0.25">
      <c r="A585" s="159">
        <v>114572</v>
      </c>
      <c r="B585" s="159">
        <v>1</v>
      </c>
      <c r="C585" s="158" t="str">
        <f t="shared" si="9"/>
        <v>1</v>
      </c>
    </row>
    <row r="586" spans="1:3" x14ac:dyDescent="0.25">
      <c r="A586" s="159">
        <v>114573</v>
      </c>
      <c r="B586" s="159">
        <v>4</v>
      </c>
      <c r="C586" s="158" t="str">
        <f t="shared" si="9"/>
        <v>4</v>
      </c>
    </row>
    <row r="587" spans="1:3" x14ac:dyDescent="0.25">
      <c r="A587" s="159">
        <v>114574</v>
      </c>
      <c r="B587" s="159">
        <v>4</v>
      </c>
      <c r="C587" s="158" t="str">
        <f t="shared" si="9"/>
        <v>4</v>
      </c>
    </row>
    <row r="588" spans="1:3" x14ac:dyDescent="0.25">
      <c r="A588" s="159">
        <v>114575</v>
      </c>
      <c r="B588" s="159">
        <v>1</v>
      </c>
      <c r="C588" s="158" t="str">
        <f t="shared" si="9"/>
        <v>1</v>
      </c>
    </row>
    <row r="589" spans="1:3" x14ac:dyDescent="0.25">
      <c r="A589" s="159">
        <v>114576</v>
      </c>
      <c r="B589" s="159" t="s">
        <v>441</v>
      </c>
      <c r="C589" s="158" t="str">
        <f t="shared" ref="C589:C652" si="10">IF(OR(B589=0,B589=1,B589=2,B589=3,B589=4,B589=5),TEXT(B589,"0"),B589)</f>
        <v>4S</v>
      </c>
    </row>
    <row r="590" spans="1:3" x14ac:dyDescent="0.25">
      <c r="A590" s="159">
        <v>114577</v>
      </c>
      <c r="B590" s="159">
        <v>2</v>
      </c>
      <c r="C590" s="158" t="str">
        <f t="shared" si="10"/>
        <v>2</v>
      </c>
    </row>
    <row r="591" spans="1:3" x14ac:dyDescent="0.25">
      <c r="A591" s="159">
        <v>114578</v>
      </c>
      <c r="B591" s="159" t="s">
        <v>441</v>
      </c>
      <c r="C591" s="158" t="str">
        <f t="shared" si="10"/>
        <v>4S</v>
      </c>
    </row>
    <row r="592" spans="1:3" x14ac:dyDescent="0.25">
      <c r="A592" s="159">
        <v>114662</v>
      </c>
      <c r="B592" s="159">
        <v>1</v>
      </c>
      <c r="C592" s="158" t="str">
        <f t="shared" si="10"/>
        <v>1</v>
      </c>
    </row>
    <row r="593" spans="1:3" x14ac:dyDescent="0.25">
      <c r="A593" s="159">
        <v>114683</v>
      </c>
      <c r="B593" s="159" t="s">
        <v>454</v>
      </c>
      <c r="C593" s="158" t="str">
        <f t="shared" si="10"/>
        <v>6S</v>
      </c>
    </row>
    <row r="594" spans="1:3" x14ac:dyDescent="0.25">
      <c r="A594" s="159">
        <v>114684</v>
      </c>
      <c r="B594" s="159">
        <v>3</v>
      </c>
      <c r="C594" s="158" t="str">
        <f t="shared" si="10"/>
        <v>3</v>
      </c>
    </row>
    <row r="595" spans="1:3" x14ac:dyDescent="0.25">
      <c r="A595" s="159">
        <v>114763</v>
      </c>
      <c r="B595" s="159">
        <v>3</v>
      </c>
      <c r="C595" s="158" t="str">
        <f t="shared" si="10"/>
        <v>3</v>
      </c>
    </row>
    <row r="596" spans="1:3" x14ac:dyDescent="0.25">
      <c r="A596" s="159">
        <v>114871</v>
      </c>
      <c r="B596" s="159">
        <v>1</v>
      </c>
      <c r="C596" s="158" t="str">
        <f t="shared" si="10"/>
        <v>1</v>
      </c>
    </row>
    <row r="597" spans="1:3" x14ac:dyDescent="0.25">
      <c r="A597" s="159">
        <v>114923</v>
      </c>
      <c r="B597" s="159">
        <v>1</v>
      </c>
      <c r="C597" s="158" t="str">
        <f t="shared" si="10"/>
        <v>1</v>
      </c>
    </row>
    <row r="598" spans="1:3" x14ac:dyDescent="0.25">
      <c r="A598" s="159">
        <v>114924</v>
      </c>
      <c r="B598" s="159">
        <v>3</v>
      </c>
      <c r="C598" s="158" t="str">
        <f t="shared" si="10"/>
        <v>3</v>
      </c>
    </row>
    <row r="599" spans="1:3" x14ac:dyDescent="0.25">
      <c r="A599" s="159">
        <v>114971</v>
      </c>
      <c r="B599" s="159">
        <v>1</v>
      </c>
      <c r="C599" s="158" t="str">
        <f t="shared" si="10"/>
        <v>1</v>
      </c>
    </row>
    <row r="600" spans="1:3" x14ac:dyDescent="0.25">
      <c r="A600" s="159">
        <v>114982</v>
      </c>
      <c r="B600" s="159" t="s">
        <v>437</v>
      </c>
      <c r="C600" s="158" t="str">
        <f t="shared" si="10"/>
        <v>1S</v>
      </c>
    </row>
    <row r="601" spans="1:3" x14ac:dyDescent="0.25">
      <c r="A601" s="159">
        <v>115081</v>
      </c>
      <c r="B601" s="159">
        <v>1</v>
      </c>
      <c r="C601" s="158" t="str">
        <f t="shared" si="10"/>
        <v>1</v>
      </c>
    </row>
    <row r="602" spans="1:3" x14ac:dyDescent="0.25">
      <c r="A602" s="159">
        <v>115091</v>
      </c>
      <c r="B602" s="159">
        <v>1</v>
      </c>
      <c r="C602" s="158" t="str">
        <f t="shared" si="10"/>
        <v>1</v>
      </c>
    </row>
    <row r="603" spans="1:3" x14ac:dyDescent="0.25">
      <c r="A603" s="159">
        <v>115092</v>
      </c>
      <c r="B603" s="159">
        <v>1</v>
      </c>
      <c r="C603" s="158" t="str">
        <f t="shared" si="10"/>
        <v>1</v>
      </c>
    </row>
    <row r="604" spans="1:3" x14ac:dyDescent="0.25">
      <c r="A604" s="159">
        <v>115093</v>
      </c>
      <c r="B604" s="159">
        <v>1</v>
      </c>
      <c r="C604" s="158" t="str">
        <f t="shared" si="10"/>
        <v>1</v>
      </c>
    </row>
    <row r="605" spans="1:3" x14ac:dyDescent="0.25">
      <c r="A605" s="159">
        <v>115112</v>
      </c>
      <c r="B605" s="159">
        <v>4</v>
      </c>
      <c r="C605" s="158" t="str">
        <f t="shared" si="10"/>
        <v>4</v>
      </c>
    </row>
    <row r="606" spans="1:3" x14ac:dyDescent="0.25">
      <c r="A606" s="159">
        <v>115132</v>
      </c>
      <c r="B606" s="159" t="s">
        <v>454</v>
      </c>
      <c r="C606" s="158" t="str">
        <f t="shared" si="10"/>
        <v>6S</v>
      </c>
    </row>
    <row r="607" spans="1:3" x14ac:dyDescent="0.25">
      <c r="A607" s="159">
        <v>115401</v>
      </c>
      <c r="B607" s="159">
        <v>1</v>
      </c>
      <c r="C607" s="158" t="str">
        <f t="shared" si="10"/>
        <v>1</v>
      </c>
    </row>
    <row r="608" spans="1:3" x14ac:dyDescent="0.25">
      <c r="A608" s="159">
        <v>115411</v>
      </c>
      <c r="B608" s="159">
        <v>1</v>
      </c>
      <c r="C608" s="158" t="str">
        <f t="shared" si="10"/>
        <v>1</v>
      </c>
    </row>
    <row r="609" spans="1:3" x14ac:dyDescent="0.25">
      <c r="A609" s="159">
        <v>115516</v>
      </c>
      <c r="B609" s="159">
        <v>1</v>
      </c>
      <c r="C609" s="158" t="str">
        <f t="shared" si="10"/>
        <v>1</v>
      </c>
    </row>
    <row r="610" spans="1:3" x14ac:dyDescent="0.25">
      <c r="A610" s="159">
        <v>115517</v>
      </c>
      <c r="B610" s="159">
        <v>2</v>
      </c>
      <c r="C610" s="158" t="str">
        <f t="shared" si="10"/>
        <v>2</v>
      </c>
    </row>
    <row r="611" spans="1:3" x14ac:dyDescent="0.25">
      <c r="A611" s="159">
        <v>115518</v>
      </c>
      <c r="B611" s="159">
        <v>3</v>
      </c>
      <c r="C611" s="158" t="str">
        <f t="shared" si="10"/>
        <v>3</v>
      </c>
    </row>
    <row r="612" spans="1:3" x14ac:dyDescent="0.25">
      <c r="A612" s="159">
        <v>115542</v>
      </c>
      <c r="B612" s="159" t="s">
        <v>438</v>
      </c>
      <c r="C612" s="158" t="str">
        <f t="shared" si="10"/>
        <v>2S</v>
      </c>
    </row>
    <row r="613" spans="1:3" x14ac:dyDescent="0.25">
      <c r="A613" s="159">
        <v>115543</v>
      </c>
      <c r="B613" s="159" t="s">
        <v>441</v>
      </c>
      <c r="C613" s="158" t="str">
        <f t="shared" si="10"/>
        <v>4S</v>
      </c>
    </row>
    <row r="614" spans="1:3" x14ac:dyDescent="0.25">
      <c r="A614" s="159">
        <v>115551</v>
      </c>
      <c r="B614" s="159">
        <v>1</v>
      </c>
      <c r="C614" s="158" t="str">
        <f t="shared" si="10"/>
        <v>1</v>
      </c>
    </row>
    <row r="615" spans="1:3" x14ac:dyDescent="0.25">
      <c r="A615" s="159">
        <v>115652</v>
      </c>
      <c r="B615" s="159">
        <v>1</v>
      </c>
      <c r="C615" s="158" t="str">
        <f t="shared" si="10"/>
        <v>1</v>
      </c>
    </row>
    <row r="616" spans="1:3" x14ac:dyDescent="0.25">
      <c r="A616" s="159">
        <v>115713</v>
      </c>
      <c r="B616" s="159" t="s">
        <v>441</v>
      </c>
      <c r="C616" s="158" t="str">
        <f t="shared" si="10"/>
        <v>4S</v>
      </c>
    </row>
    <row r="617" spans="1:3" x14ac:dyDescent="0.25">
      <c r="A617" s="159">
        <v>115752</v>
      </c>
      <c r="B617" s="159">
        <v>1</v>
      </c>
      <c r="C617" s="158" t="str">
        <f t="shared" si="10"/>
        <v>1</v>
      </c>
    </row>
    <row r="618" spans="1:3" x14ac:dyDescent="0.25">
      <c r="A618" s="159">
        <v>115754</v>
      </c>
      <c r="B618" s="159">
        <v>1</v>
      </c>
      <c r="C618" s="158" t="str">
        <f t="shared" si="10"/>
        <v>1</v>
      </c>
    </row>
    <row r="619" spans="1:3" x14ac:dyDescent="0.25">
      <c r="A619" s="159">
        <v>115756</v>
      </c>
      <c r="B619" s="159">
        <v>1</v>
      </c>
      <c r="C619" s="158" t="str">
        <f t="shared" si="10"/>
        <v>1</v>
      </c>
    </row>
    <row r="620" spans="1:3" x14ac:dyDescent="0.25">
      <c r="A620" s="159">
        <v>115757</v>
      </c>
      <c r="B620" s="159">
        <v>1</v>
      </c>
      <c r="C620" s="158" t="str">
        <f t="shared" si="10"/>
        <v>1</v>
      </c>
    </row>
    <row r="621" spans="1:3" x14ac:dyDescent="0.25">
      <c r="A621" s="159">
        <v>115758</v>
      </c>
      <c r="B621" s="159">
        <v>1</v>
      </c>
      <c r="C621" s="158" t="str">
        <f t="shared" si="10"/>
        <v>1</v>
      </c>
    </row>
    <row r="622" spans="1:3" x14ac:dyDescent="0.25">
      <c r="A622" s="159">
        <v>115821</v>
      </c>
      <c r="B622" s="159">
        <v>6</v>
      </c>
      <c r="C622" s="158">
        <f t="shared" si="10"/>
        <v>6</v>
      </c>
    </row>
    <row r="623" spans="1:3" x14ac:dyDescent="0.25">
      <c r="A623" s="159">
        <v>115921</v>
      </c>
      <c r="B623" s="159" t="s">
        <v>437</v>
      </c>
      <c r="C623" s="158" t="str">
        <f t="shared" si="10"/>
        <v>1S</v>
      </c>
    </row>
    <row r="624" spans="1:3" x14ac:dyDescent="0.25">
      <c r="A624" s="159">
        <v>115922</v>
      </c>
      <c r="B624" s="159" t="s">
        <v>437</v>
      </c>
      <c r="C624" s="158" t="str">
        <f t="shared" si="10"/>
        <v>1S</v>
      </c>
    </row>
    <row r="625" spans="1:3" x14ac:dyDescent="0.25">
      <c r="A625" s="159">
        <v>115923</v>
      </c>
      <c r="B625" s="159">
        <v>1</v>
      </c>
      <c r="C625" s="158" t="str">
        <f t="shared" si="10"/>
        <v>1</v>
      </c>
    </row>
    <row r="626" spans="1:3" x14ac:dyDescent="0.25">
      <c r="A626" s="159">
        <v>115924</v>
      </c>
      <c r="B626" s="159" t="s">
        <v>437</v>
      </c>
      <c r="C626" s="158" t="str">
        <f t="shared" si="10"/>
        <v>1S</v>
      </c>
    </row>
    <row r="627" spans="1:3" x14ac:dyDescent="0.25">
      <c r="A627" s="159">
        <v>115925</v>
      </c>
      <c r="B627" s="159">
        <v>1</v>
      </c>
      <c r="C627" s="158" t="str">
        <f t="shared" si="10"/>
        <v>1</v>
      </c>
    </row>
    <row r="628" spans="1:3" x14ac:dyDescent="0.25">
      <c r="A628" s="159">
        <v>115926</v>
      </c>
      <c r="B628" s="159">
        <v>1</v>
      </c>
      <c r="C628" s="158" t="str">
        <f t="shared" si="10"/>
        <v>1</v>
      </c>
    </row>
    <row r="629" spans="1:3" x14ac:dyDescent="0.25">
      <c r="A629" s="159">
        <v>115927</v>
      </c>
      <c r="B629" s="159">
        <v>1</v>
      </c>
      <c r="C629" s="158" t="str">
        <f t="shared" si="10"/>
        <v>1</v>
      </c>
    </row>
    <row r="630" spans="1:3" x14ac:dyDescent="0.25">
      <c r="A630" s="159">
        <v>115928</v>
      </c>
      <c r="B630" s="159" t="s">
        <v>438</v>
      </c>
      <c r="C630" s="158" t="str">
        <f t="shared" si="10"/>
        <v>2S</v>
      </c>
    </row>
    <row r="631" spans="1:3" x14ac:dyDescent="0.25">
      <c r="A631" s="159">
        <v>115929</v>
      </c>
      <c r="B631" s="159">
        <v>4</v>
      </c>
      <c r="C631" s="158" t="str">
        <f t="shared" si="10"/>
        <v>4</v>
      </c>
    </row>
    <row r="632" spans="1:3" x14ac:dyDescent="0.25">
      <c r="A632" s="159">
        <v>115930</v>
      </c>
      <c r="B632" s="159">
        <v>5</v>
      </c>
      <c r="C632" s="158" t="str">
        <f t="shared" si="10"/>
        <v>5</v>
      </c>
    </row>
    <row r="633" spans="1:3" x14ac:dyDescent="0.25">
      <c r="A633" s="159">
        <v>115931</v>
      </c>
      <c r="B633" s="159">
        <v>1</v>
      </c>
      <c r="C633" s="158" t="str">
        <f t="shared" si="10"/>
        <v>1</v>
      </c>
    </row>
    <row r="634" spans="1:3" x14ac:dyDescent="0.25">
      <c r="A634" s="159">
        <v>115935</v>
      </c>
      <c r="B634" s="159">
        <v>4</v>
      </c>
      <c r="C634" s="158" t="str">
        <f t="shared" si="10"/>
        <v>4</v>
      </c>
    </row>
    <row r="635" spans="1:3" x14ac:dyDescent="0.25">
      <c r="A635" s="159">
        <v>115936</v>
      </c>
      <c r="B635" s="159">
        <v>4</v>
      </c>
      <c r="C635" s="158" t="str">
        <f t="shared" si="10"/>
        <v>4</v>
      </c>
    </row>
    <row r="636" spans="1:3" x14ac:dyDescent="0.25">
      <c r="A636" s="159">
        <v>115937</v>
      </c>
      <c r="B636" s="159">
        <v>4</v>
      </c>
      <c r="C636" s="158" t="str">
        <f t="shared" si="10"/>
        <v>4</v>
      </c>
    </row>
    <row r="637" spans="1:3" x14ac:dyDescent="0.25">
      <c r="A637" s="159">
        <v>115938</v>
      </c>
      <c r="B637" s="159">
        <v>1</v>
      </c>
      <c r="C637" s="158" t="str">
        <f t="shared" si="10"/>
        <v>1</v>
      </c>
    </row>
    <row r="638" spans="1:3" x14ac:dyDescent="0.25">
      <c r="A638" s="159">
        <v>115939</v>
      </c>
      <c r="B638" s="159">
        <v>1</v>
      </c>
      <c r="C638" s="158" t="str">
        <f t="shared" si="10"/>
        <v>1</v>
      </c>
    </row>
    <row r="639" spans="1:3" x14ac:dyDescent="0.25">
      <c r="A639" s="159">
        <v>115940</v>
      </c>
      <c r="B639" s="159">
        <v>6</v>
      </c>
      <c r="C639" s="158">
        <f t="shared" si="10"/>
        <v>6</v>
      </c>
    </row>
    <row r="640" spans="1:3" x14ac:dyDescent="0.25">
      <c r="A640" s="159">
        <v>115941</v>
      </c>
      <c r="B640" s="159">
        <v>4</v>
      </c>
      <c r="C640" s="158" t="str">
        <f t="shared" si="10"/>
        <v>4</v>
      </c>
    </row>
    <row r="641" spans="1:3" x14ac:dyDescent="0.25">
      <c r="A641" s="159">
        <v>115942</v>
      </c>
      <c r="B641" s="159">
        <v>1</v>
      </c>
      <c r="C641" s="158" t="str">
        <f t="shared" si="10"/>
        <v>1</v>
      </c>
    </row>
    <row r="642" spans="1:3" x14ac:dyDescent="0.25">
      <c r="A642" s="159">
        <v>115943</v>
      </c>
      <c r="B642" s="159">
        <v>2</v>
      </c>
      <c r="C642" s="158" t="str">
        <f t="shared" si="10"/>
        <v>2</v>
      </c>
    </row>
    <row r="643" spans="1:3" x14ac:dyDescent="0.25">
      <c r="A643" s="159">
        <v>115944</v>
      </c>
      <c r="B643" s="159">
        <v>4</v>
      </c>
      <c r="C643" s="158" t="str">
        <f t="shared" si="10"/>
        <v>4</v>
      </c>
    </row>
    <row r="644" spans="1:3" x14ac:dyDescent="0.25">
      <c r="A644" s="159">
        <v>115945</v>
      </c>
      <c r="B644" s="159">
        <v>3</v>
      </c>
      <c r="C644" s="158" t="str">
        <f t="shared" si="10"/>
        <v>3</v>
      </c>
    </row>
    <row r="645" spans="1:3" x14ac:dyDescent="0.25">
      <c r="A645" s="159">
        <v>115946</v>
      </c>
      <c r="B645" s="159" t="s">
        <v>438</v>
      </c>
      <c r="C645" s="158" t="str">
        <f t="shared" si="10"/>
        <v>2S</v>
      </c>
    </row>
    <row r="646" spans="1:3" x14ac:dyDescent="0.25">
      <c r="A646" s="159">
        <v>115947</v>
      </c>
      <c r="B646" s="159">
        <v>3</v>
      </c>
      <c r="C646" s="158" t="str">
        <f t="shared" si="10"/>
        <v>3</v>
      </c>
    </row>
    <row r="647" spans="1:3" x14ac:dyDescent="0.25">
      <c r="A647" s="159">
        <v>115948</v>
      </c>
      <c r="B647" s="159">
        <v>2</v>
      </c>
      <c r="C647" s="158" t="str">
        <f t="shared" si="10"/>
        <v>2</v>
      </c>
    </row>
    <row r="648" spans="1:3" x14ac:dyDescent="0.25">
      <c r="A648" s="159">
        <v>115949</v>
      </c>
      <c r="B648" s="159">
        <v>4</v>
      </c>
      <c r="C648" s="158" t="str">
        <f t="shared" si="10"/>
        <v>4</v>
      </c>
    </row>
    <row r="649" spans="1:3" x14ac:dyDescent="0.25">
      <c r="A649" s="159">
        <v>115950</v>
      </c>
      <c r="B649" s="159">
        <v>4</v>
      </c>
      <c r="C649" s="158" t="str">
        <f t="shared" si="10"/>
        <v>4</v>
      </c>
    </row>
    <row r="650" spans="1:3" x14ac:dyDescent="0.25">
      <c r="A650" s="159">
        <v>115951</v>
      </c>
      <c r="B650" s="159">
        <v>5</v>
      </c>
      <c r="C650" s="158" t="str">
        <f t="shared" si="10"/>
        <v>5</v>
      </c>
    </row>
    <row r="651" spans="1:3" x14ac:dyDescent="0.25">
      <c r="A651" s="159">
        <v>115952</v>
      </c>
      <c r="B651" s="159" t="s">
        <v>454</v>
      </c>
      <c r="C651" s="158" t="str">
        <f t="shared" si="10"/>
        <v>6S</v>
      </c>
    </row>
    <row r="652" spans="1:3" x14ac:dyDescent="0.25">
      <c r="A652" s="159">
        <v>115953</v>
      </c>
      <c r="B652" s="159">
        <v>4</v>
      </c>
      <c r="C652" s="158" t="str">
        <f t="shared" si="10"/>
        <v>4</v>
      </c>
    </row>
    <row r="653" spans="1:3" x14ac:dyDescent="0.25">
      <c r="A653" s="159">
        <v>115954</v>
      </c>
      <c r="B653" s="159">
        <v>2</v>
      </c>
      <c r="C653" s="158" t="str">
        <f t="shared" ref="C653:C716" si="11">IF(OR(B653=0,B653=1,B653=2,B653=3,B653=4,B653=5),TEXT(B653,"0"),B653)</f>
        <v>2</v>
      </c>
    </row>
    <row r="654" spans="1:3" x14ac:dyDescent="0.25">
      <c r="A654" s="159">
        <v>115971</v>
      </c>
      <c r="B654" s="159">
        <v>1</v>
      </c>
      <c r="C654" s="158" t="str">
        <f t="shared" si="11"/>
        <v>1</v>
      </c>
    </row>
    <row r="655" spans="1:3" x14ac:dyDescent="0.25">
      <c r="A655" s="159">
        <v>115973</v>
      </c>
      <c r="B655" s="159">
        <v>1</v>
      </c>
      <c r="C655" s="158" t="str">
        <f t="shared" si="11"/>
        <v>1</v>
      </c>
    </row>
    <row r="656" spans="1:3" x14ac:dyDescent="0.25">
      <c r="A656" s="159">
        <v>115981</v>
      </c>
      <c r="B656" s="159">
        <v>1</v>
      </c>
      <c r="C656" s="158" t="str">
        <f t="shared" si="11"/>
        <v>1</v>
      </c>
    </row>
    <row r="657" spans="1:3" x14ac:dyDescent="0.25">
      <c r="A657" s="159">
        <v>116072</v>
      </c>
      <c r="B657" s="159">
        <v>1</v>
      </c>
      <c r="C657" s="158" t="str">
        <f t="shared" si="11"/>
        <v>1</v>
      </c>
    </row>
    <row r="658" spans="1:3" x14ac:dyDescent="0.25">
      <c r="A658" s="159">
        <v>116101</v>
      </c>
      <c r="B658" s="159">
        <v>1</v>
      </c>
      <c r="C658" s="158" t="str">
        <f t="shared" si="11"/>
        <v>1</v>
      </c>
    </row>
    <row r="659" spans="1:3" x14ac:dyDescent="0.25">
      <c r="A659" s="159">
        <v>116102</v>
      </c>
      <c r="B659" s="159">
        <v>1</v>
      </c>
      <c r="C659" s="158" t="str">
        <f t="shared" si="11"/>
        <v>1</v>
      </c>
    </row>
    <row r="660" spans="1:3" x14ac:dyDescent="0.25">
      <c r="A660" s="159">
        <v>116202</v>
      </c>
      <c r="B660" s="159">
        <v>1</v>
      </c>
      <c r="C660" s="158" t="str">
        <f t="shared" si="11"/>
        <v>1</v>
      </c>
    </row>
    <row r="661" spans="1:3" x14ac:dyDescent="0.25">
      <c r="A661" s="159">
        <v>116225</v>
      </c>
      <c r="B661" s="159">
        <v>3</v>
      </c>
      <c r="C661" s="158" t="str">
        <f t="shared" si="11"/>
        <v>3</v>
      </c>
    </row>
    <row r="662" spans="1:3" x14ac:dyDescent="0.25">
      <c r="A662" s="159">
        <v>116336</v>
      </c>
      <c r="B662" s="159" t="s">
        <v>435</v>
      </c>
      <c r="C662" s="158" t="str">
        <f t="shared" si="11"/>
        <v>GR 2</v>
      </c>
    </row>
    <row r="663" spans="1:3" x14ac:dyDescent="0.25">
      <c r="A663" s="159">
        <v>116337</v>
      </c>
      <c r="B663" s="159" t="s">
        <v>435</v>
      </c>
      <c r="C663" s="158" t="str">
        <f t="shared" si="11"/>
        <v>GR 2</v>
      </c>
    </row>
    <row r="664" spans="1:3" x14ac:dyDescent="0.25">
      <c r="A664" s="159">
        <v>116361</v>
      </c>
      <c r="B664" s="159" t="s">
        <v>440</v>
      </c>
      <c r="C664" s="158" t="str">
        <f t="shared" si="11"/>
        <v>5S</v>
      </c>
    </row>
    <row r="665" spans="1:3" x14ac:dyDescent="0.25">
      <c r="A665" s="159">
        <v>116362</v>
      </c>
      <c r="B665" s="159">
        <v>4</v>
      </c>
      <c r="C665" s="158" t="str">
        <f t="shared" si="11"/>
        <v>4</v>
      </c>
    </row>
    <row r="666" spans="1:3" x14ac:dyDescent="0.25">
      <c r="A666" s="159">
        <v>116372</v>
      </c>
      <c r="B666" s="159" t="s">
        <v>435</v>
      </c>
      <c r="C666" s="158" t="str">
        <f t="shared" si="11"/>
        <v>GR 2</v>
      </c>
    </row>
    <row r="667" spans="1:3" x14ac:dyDescent="0.25">
      <c r="A667" s="159">
        <v>116391</v>
      </c>
      <c r="B667" s="159">
        <v>3</v>
      </c>
      <c r="C667" s="158" t="str">
        <f t="shared" si="11"/>
        <v>3</v>
      </c>
    </row>
    <row r="668" spans="1:3" x14ac:dyDescent="0.25">
      <c r="A668" s="159">
        <v>116515</v>
      </c>
      <c r="B668" s="159">
        <v>3</v>
      </c>
      <c r="C668" s="158" t="str">
        <f t="shared" si="11"/>
        <v>3</v>
      </c>
    </row>
    <row r="669" spans="1:3" x14ac:dyDescent="0.25">
      <c r="A669" s="159">
        <v>116517</v>
      </c>
      <c r="B669" s="159">
        <v>1</v>
      </c>
      <c r="C669" s="158" t="str">
        <f t="shared" si="11"/>
        <v>1</v>
      </c>
    </row>
    <row r="670" spans="1:3" x14ac:dyDescent="0.25">
      <c r="A670" s="159">
        <v>116533</v>
      </c>
      <c r="B670" s="159">
        <v>1</v>
      </c>
      <c r="C670" s="158" t="str">
        <f t="shared" si="11"/>
        <v>1</v>
      </c>
    </row>
    <row r="671" spans="1:3" x14ac:dyDescent="0.25">
      <c r="A671" s="159">
        <v>116534</v>
      </c>
      <c r="B671" s="159">
        <v>1</v>
      </c>
      <c r="C671" s="158" t="str">
        <f t="shared" si="11"/>
        <v>1</v>
      </c>
    </row>
    <row r="672" spans="1:3" x14ac:dyDescent="0.25">
      <c r="A672" s="159">
        <v>116632</v>
      </c>
      <c r="B672" s="159">
        <v>1</v>
      </c>
      <c r="C672" s="158" t="str">
        <f t="shared" si="11"/>
        <v>1</v>
      </c>
    </row>
    <row r="673" spans="1:3" x14ac:dyDescent="0.25">
      <c r="A673" s="159">
        <v>116641</v>
      </c>
      <c r="B673" s="159">
        <v>1</v>
      </c>
      <c r="C673" s="158" t="str">
        <f t="shared" si="11"/>
        <v>1</v>
      </c>
    </row>
    <row r="674" spans="1:3" x14ac:dyDescent="0.25">
      <c r="A674" s="159">
        <v>116663</v>
      </c>
      <c r="B674" s="159">
        <v>1</v>
      </c>
      <c r="C674" s="158" t="str">
        <f t="shared" si="11"/>
        <v>1</v>
      </c>
    </row>
    <row r="675" spans="1:3" x14ac:dyDescent="0.25">
      <c r="A675" s="159">
        <v>116664</v>
      </c>
      <c r="B675" s="159">
        <v>1</v>
      </c>
      <c r="C675" s="158" t="str">
        <f t="shared" si="11"/>
        <v>1</v>
      </c>
    </row>
    <row r="676" spans="1:3" x14ac:dyDescent="0.25">
      <c r="A676" s="159">
        <v>116671</v>
      </c>
      <c r="B676" s="159">
        <v>1</v>
      </c>
      <c r="C676" s="158" t="str">
        <f t="shared" si="11"/>
        <v>1</v>
      </c>
    </row>
    <row r="677" spans="1:3" x14ac:dyDescent="0.25">
      <c r="A677" s="159">
        <v>116701</v>
      </c>
      <c r="B677" s="159">
        <v>5</v>
      </c>
      <c r="C677" s="158" t="str">
        <f t="shared" si="11"/>
        <v>5</v>
      </c>
    </row>
    <row r="678" spans="1:3" x14ac:dyDescent="0.25">
      <c r="A678" s="159">
        <v>116714</v>
      </c>
      <c r="B678" s="159">
        <v>2</v>
      </c>
      <c r="C678" s="158" t="str">
        <f t="shared" si="11"/>
        <v>2</v>
      </c>
    </row>
    <row r="679" spans="1:3" x14ac:dyDescent="0.25">
      <c r="A679" s="159">
        <v>116715</v>
      </c>
      <c r="B679" s="159">
        <v>2</v>
      </c>
      <c r="C679" s="158" t="str">
        <f t="shared" si="11"/>
        <v>2</v>
      </c>
    </row>
    <row r="680" spans="1:3" x14ac:dyDescent="0.25">
      <c r="A680" s="159">
        <v>116863</v>
      </c>
      <c r="B680" s="159">
        <v>3</v>
      </c>
      <c r="C680" s="158" t="str">
        <f t="shared" si="11"/>
        <v>3</v>
      </c>
    </row>
    <row r="681" spans="1:3" x14ac:dyDescent="0.25">
      <c r="A681" s="159">
        <v>116865</v>
      </c>
      <c r="B681" s="159">
        <v>1</v>
      </c>
      <c r="C681" s="158" t="str">
        <f t="shared" si="11"/>
        <v>1</v>
      </c>
    </row>
    <row r="682" spans="1:3" x14ac:dyDescent="0.25">
      <c r="A682" s="159">
        <v>116902</v>
      </c>
      <c r="B682" s="159">
        <v>2</v>
      </c>
      <c r="C682" s="158" t="str">
        <f t="shared" si="11"/>
        <v>2</v>
      </c>
    </row>
    <row r="683" spans="1:3" x14ac:dyDescent="0.25">
      <c r="A683" s="159">
        <v>116903</v>
      </c>
      <c r="B683" s="159" t="s">
        <v>437</v>
      </c>
      <c r="C683" s="158" t="str">
        <f t="shared" si="11"/>
        <v>1S</v>
      </c>
    </row>
    <row r="684" spans="1:3" x14ac:dyDescent="0.25">
      <c r="A684" s="159">
        <v>116954</v>
      </c>
      <c r="B684" s="159">
        <v>1</v>
      </c>
      <c r="C684" s="158" t="str">
        <f t="shared" si="11"/>
        <v>1</v>
      </c>
    </row>
    <row r="685" spans="1:3" x14ac:dyDescent="0.25">
      <c r="A685" s="159">
        <v>116964</v>
      </c>
      <c r="B685" s="159">
        <v>4</v>
      </c>
      <c r="C685" s="158" t="str">
        <f t="shared" si="11"/>
        <v>4</v>
      </c>
    </row>
    <row r="686" spans="1:3" x14ac:dyDescent="0.25">
      <c r="A686" s="159">
        <v>116971</v>
      </c>
      <c r="B686" s="159">
        <v>2</v>
      </c>
      <c r="C686" s="158" t="str">
        <f t="shared" si="11"/>
        <v>2</v>
      </c>
    </row>
    <row r="687" spans="1:3" x14ac:dyDescent="0.25">
      <c r="A687" s="159">
        <v>116973</v>
      </c>
      <c r="B687" s="159">
        <v>4</v>
      </c>
      <c r="C687" s="158" t="str">
        <f t="shared" si="11"/>
        <v>4</v>
      </c>
    </row>
    <row r="688" spans="1:3" x14ac:dyDescent="0.25">
      <c r="A688" s="159">
        <v>117061</v>
      </c>
      <c r="B688" s="159">
        <v>1</v>
      </c>
      <c r="C688" s="158" t="str">
        <f t="shared" si="11"/>
        <v>1</v>
      </c>
    </row>
    <row r="689" spans="1:3" x14ac:dyDescent="0.25">
      <c r="A689" s="159">
        <v>117081</v>
      </c>
      <c r="B689" s="159">
        <v>1</v>
      </c>
      <c r="C689" s="158" t="str">
        <f t="shared" si="11"/>
        <v>1</v>
      </c>
    </row>
    <row r="690" spans="1:3" x14ac:dyDescent="0.25">
      <c r="A690" s="159">
        <v>117172</v>
      </c>
      <c r="B690" s="159" t="s">
        <v>437</v>
      </c>
      <c r="C690" s="158" t="str">
        <f t="shared" si="11"/>
        <v>1S</v>
      </c>
    </row>
    <row r="691" spans="1:3" x14ac:dyDescent="0.25">
      <c r="A691" s="159">
        <v>117511</v>
      </c>
      <c r="B691" s="159">
        <v>1</v>
      </c>
      <c r="C691" s="158" t="str">
        <f t="shared" si="11"/>
        <v>1</v>
      </c>
    </row>
    <row r="692" spans="1:3" x14ac:dyDescent="0.25">
      <c r="A692" s="159">
        <v>117561</v>
      </c>
      <c r="B692" s="159">
        <v>1</v>
      </c>
      <c r="C692" s="158" t="str">
        <f t="shared" si="11"/>
        <v>1</v>
      </c>
    </row>
    <row r="693" spans="1:3" x14ac:dyDescent="0.25">
      <c r="A693" s="159">
        <v>117687</v>
      </c>
      <c r="B693" s="159">
        <v>1</v>
      </c>
      <c r="C693" s="158" t="str">
        <f t="shared" si="11"/>
        <v>1</v>
      </c>
    </row>
    <row r="694" spans="1:3" x14ac:dyDescent="0.25">
      <c r="A694" s="159">
        <v>117711</v>
      </c>
      <c r="B694" s="159">
        <v>1</v>
      </c>
      <c r="C694" s="158" t="str">
        <f t="shared" si="11"/>
        <v>1</v>
      </c>
    </row>
    <row r="695" spans="1:3" x14ac:dyDescent="0.25">
      <c r="A695" s="159">
        <v>117762</v>
      </c>
      <c r="B695" s="159">
        <v>1</v>
      </c>
      <c r="C695" s="158" t="str">
        <f t="shared" si="11"/>
        <v>1</v>
      </c>
    </row>
    <row r="696" spans="1:3" x14ac:dyDescent="0.25">
      <c r="A696" s="159">
        <v>117831</v>
      </c>
      <c r="B696" s="159" t="s">
        <v>442</v>
      </c>
      <c r="C696" s="158" t="str">
        <f t="shared" si="11"/>
        <v>GR 8</v>
      </c>
    </row>
    <row r="697" spans="1:3" x14ac:dyDescent="0.25">
      <c r="A697" s="159">
        <v>117841</v>
      </c>
      <c r="B697" s="159" t="s">
        <v>454</v>
      </c>
      <c r="C697" s="158" t="str">
        <f t="shared" si="11"/>
        <v>6S</v>
      </c>
    </row>
    <row r="698" spans="1:3" x14ac:dyDescent="0.25">
      <c r="A698" s="159">
        <v>117842</v>
      </c>
      <c r="B698" s="159" t="s">
        <v>454</v>
      </c>
      <c r="C698" s="158" t="str">
        <f t="shared" si="11"/>
        <v>6S</v>
      </c>
    </row>
    <row r="699" spans="1:3" x14ac:dyDescent="0.25">
      <c r="A699" s="159">
        <v>117931</v>
      </c>
      <c r="B699" s="159">
        <v>5</v>
      </c>
      <c r="C699" s="158" t="str">
        <f t="shared" si="11"/>
        <v>5</v>
      </c>
    </row>
    <row r="700" spans="1:3" x14ac:dyDescent="0.25">
      <c r="A700" s="159">
        <v>118002</v>
      </c>
      <c r="B700" s="159">
        <v>3</v>
      </c>
      <c r="C700" s="158" t="str">
        <f t="shared" si="11"/>
        <v>3</v>
      </c>
    </row>
    <row r="701" spans="1:3" x14ac:dyDescent="0.25">
      <c r="A701" s="159">
        <v>118031</v>
      </c>
      <c r="B701" s="159" t="s">
        <v>438</v>
      </c>
      <c r="C701" s="158" t="str">
        <f t="shared" si="11"/>
        <v>2S</v>
      </c>
    </row>
    <row r="702" spans="1:3" x14ac:dyDescent="0.25">
      <c r="A702" s="159">
        <v>118072</v>
      </c>
      <c r="B702" s="159">
        <v>1</v>
      </c>
      <c r="C702" s="158" t="str">
        <f t="shared" si="11"/>
        <v>1</v>
      </c>
    </row>
    <row r="703" spans="1:3" x14ac:dyDescent="0.25">
      <c r="A703" s="159">
        <v>118091</v>
      </c>
      <c r="B703" s="159">
        <v>1</v>
      </c>
      <c r="C703" s="158" t="str">
        <f t="shared" si="11"/>
        <v>1</v>
      </c>
    </row>
    <row r="704" spans="1:3" x14ac:dyDescent="0.25">
      <c r="A704" s="159">
        <v>118122</v>
      </c>
      <c r="B704" s="159">
        <v>1</v>
      </c>
      <c r="C704" s="158" t="str">
        <f t="shared" si="11"/>
        <v>1</v>
      </c>
    </row>
    <row r="705" spans="1:3" x14ac:dyDescent="0.25">
      <c r="A705" s="159">
        <v>118123</v>
      </c>
      <c r="B705" s="159">
        <v>1</v>
      </c>
      <c r="C705" s="158" t="str">
        <f t="shared" si="11"/>
        <v>1</v>
      </c>
    </row>
    <row r="706" spans="1:3" x14ac:dyDescent="0.25">
      <c r="A706" s="159">
        <v>118131</v>
      </c>
      <c r="B706" s="159">
        <v>1</v>
      </c>
      <c r="C706" s="158" t="str">
        <f t="shared" si="11"/>
        <v>1</v>
      </c>
    </row>
    <row r="707" spans="1:3" x14ac:dyDescent="0.25">
      <c r="A707" s="159">
        <v>118147</v>
      </c>
      <c r="B707" s="159">
        <v>2</v>
      </c>
      <c r="C707" s="158" t="str">
        <f t="shared" si="11"/>
        <v>2</v>
      </c>
    </row>
    <row r="708" spans="1:3" x14ac:dyDescent="0.25">
      <c r="A708" s="159">
        <v>118162</v>
      </c>
      <c r="B708" s="159">
        <v>1</v>
      </c>
      <c r="C708" s="158" t="str">
        <f t="shared" si="11"/>
        <v>1</v>
      </c>
    </row>
    <row r="709" spans="1:3" x14ac:dyDescent="0.25">
      <c r="A709" s="159">
        <v>118221</v>
      </c>
      <c r="B709" s="159">
        <v>1</v>
      </c>
      <c r="C709" s="158" t="str">
        <f t="shared" si="11"/>
        <v>1</v>
      </c>
    </row>
    <row r="710" spans="1:3" x14ac:dyDescent="0.25">
      <c r="A710" s="159">
        <v>118222</v>
      </c>
      <c r="B710" s="159">
        <v>1</v>
      </c>
      <c r="C710" s="158" t="str">
        <f t="shared" si="11"/>
        <v>1</v>
      </c>
    </row>
    <row r="711" spans="1:3" x14ac:dyDescent="0.25">
      <c r="A711" s="159">
        <v>118262</v>
      </c>
      <c r="B711" s="159">
        <v>1</v>
      </c>
      <c r="C711" s="158" t="str">
        <f t="shared" si="11"/>
        <v>1</v>
      </c>
    </row>
    <row r="712" spans="1:3" x14ac:dyDescent="0.25">
      <c r="A712" s="159">
        <v>118294</v>
      </c>
      <c r="B712" s="159">
        <v>1</v>
      </c>
      <c r="C712" s="158" t="str">
        <f t="shared" si="11"/>
        <v>1</v>
      </c>
    </row>
    <row r="713" spans="1:3" x14ac:dyDescent="0.25">
      <c r="A713" s="159">
        <v>118313</v>
      </c>
      <c r="B713" s="159">
        <v>1</v>
      </c>
      <c r="C713" s="158" t="str">
        <f t="shared" si="11"/>
        <v>1</v>
      </c>
    </row>
    <row r="714" spans="1:3" x14ac:dyDescent="0.25">
      <c r="A714" s="159">
        <v>118376</v>
      </c>
      <c r="B714" s="159">
        <v>1</v>
      </c>
      <c r="C714" s="158" t="str">
        <f t="shared" si="11"/>
        <v>1</v>
      </c>
    </row>
    <row r="715" spans="1:3" x14ac:dyDescent="0.25">
      <c r="A715" s="159">
        <v>118377</v>
      </c>
      <c r="B715" s="159">
        <v>4</v>
      </c>
      <c r="C715" s="158" t="str">
        <f t="shared" si="11"/>
        <v>4</v>
      </c>
    </row>
    <row r="716" spans="1:3" x14ac:dyDescent="0.25">
      <c r="A716" s="159">
        <v>118381</v>
      </c>
      <c r="B716" s="159">
        <v>1</v>
      </c>
      <c r="C716" s="158" t="str">
        <f t="shared" si="11"/>
        <v>1</v>
      </c>
    </row>
    <row r="717" spans="1:3" x14ac:dyDescent="0.25">
      <c r="A717" s="159">
        <v>118385</v>
      </c>
      <c r="B717" s="159">
        <v>1</v>
      </c>
      <c r="C717" s="158" t="str">
        <f t="shared" ref="C717:C780" si="12">IF(OR(B717=0,B717=1,B717=2,B717=3,B717=4,B717=5),TEXT(B717,"0"),B717)</f>
        <v>1</v>
      </c>
    </row>
    <row r="718" spans="1:3" x14ac:dyDescent="0.25">
      <c r="A718" s="159">
        <v>118400</v>
      </c>
      <c r="B718" s="159">
        <v>1</v>
      </c>
      <c r="C718" s="158" t="str">
        <f t="shared" si="12"/>
        <v>1</v>
      </c>
    </row>
    <row r="719" spans="1:3" x14ac:dyDescent="0.25">
      <c r="A719" s="159">
        <v>118401</v>
      </c>
      <c r="B719" s="159" t="s">
        <v>439</v>
      </c>
      <c r="C719" s="158" t="str">
        <f t="shared" si="12"/>
        <v>3S</v>
      </c>
    </row>
    <row r="720" spans="1:3" x14ac:dyDescent="0.25">
      <c r="A720" s="159">
        <v>118402</v>
      </c>
      <c r="B720" s="159">
        <v>1</v>
      </c>
      <c r="C720" s="158" t="str">
        <f t="shared" si="12"/>
        <v>1</v>
      </c>
    </row>
    <row r="721" spans="1:3" x14ac:dyDescent="0.25">
      <c r="A721" s="159">
        <v>118403</v>
      </c>
      <c r="B721" s="159">
        <v>3</v>
      </c>
      <c r="C721" s="158" t="str">
        <f t="shared" si="12"/>
        <v>3</v>
      </c>
    </row>
    <row r="722" spans="1:3" x14ac:dyDescent="0.25">
      <c r="A722" s="159">
        <v>118421</v>
      </c>
      <c r="B722" s="159">
        <v>1</v>
      </c>
      <c r="C722" s="158" t="str">
        <f t="shared" si="12"/>
        <v>1</v>
      </c>
    </row>
    <row r="723" spans="1:3" x14ac:dyDescent="0.25">
      <c r="A723" s="159">
        <v>118423</v>
      </c>
      <c r="B723" s="159">
        <v>1</v>
      </c>
      <c r="C723" s="158" t="str">
        <f t="shared" si="12"/>
        <v>1</v>
      </c>
    </row>
    <row r="724" spans="1:3" x14ac:dyDescent="0.25">
      <c r="A724" s="159">
        <v>118471</v>
      </c>
      <c r="B724" s="159">
        <v>1</v>
      </c>
      <c r="C724" s="158" t="str">
        <f t="shared" si="12"/>
        <v>1</v>
      </c>
    </row>
    <row r="725" spans="1:3" x14ac:dyDescent="0.25">
      <c r="A725" s="159">
        <v>118517</v>
      </c>
      <c r="B725" s="159">
        <v>3</v>
      </c>
      <c r="C725" s="158" t="str">
        <f t="shared" si="12"/>
        <v>3</v>
      </c>
    </row>
    <row r="726" spans="1:3" x14ac:dyDescent="0.25">
      <c r="A726" s="159">
        <v>118518</v>
      </c>
      <c r="B726" s="159">
        <v>3</v>
      </c>
      <c r="C726" s="158" t="str">
        <f t="shared" si="12"/>
        <v>3</v>
      </c>
    </row>
    <row r="727" spans="1:3" x14ac:dyDescent="0.25">
      <c r="A727" s="159">
        <v>118591</v>
      </c>
      <c r="B727" s="159">
        <v>1</v>
      </c>
      <c r="C727" s="158" t="str">
        <f t="shared" si="12"/>
        <v>1</v>
      </c>
    </row>
    <row r="728" spans="1:3" x14ac:dyDescent="0.25">
      <c r="A728" s="159">
        <v>118597</v>
      </c>
      <c r="B728" s="159">
        <v>4</v>
      </c>
      <c r="C728" s="158" t="str">
        <f t="shared" si="12"/>
        <v>4</v>
      </c>
    </row>
    <row r="729" spans="1:3" x14ac:dyDescent="0.25">
      <c r="A729" s="159">
        <v>118604</v>
      </c>
      <c r="B729" s="159">
        <v>1</v>
      </c>
      <c r="C729" s="158" t="str">
        <f t="shared" si="12"/>
        <v>1</v>
      </c>
    </row>
    <row r="730" spans="1:3" x14ac:dyDescent="0.25">
      <c r="A730" s="159">
        <v>118621</v>
      </c>
      <c r="B730" s="159">
        <v>1</v>
      </c>
      <c r="C730" s="158" t="str">
        <f t="shared" si="12"/>
        <v>1</v>
      </c>
    </row>
    <row r="731" spans="1:3" x14ac:dyDescent="0.25">
      <c r="A731" s="159">
        <v>118641</v>
      </c>
      <c r="B731" s="159">
        <v>1</v>
      </c>
      <c r="C731" s="158" t="str">
        <f t="shared" si="12"/>
        <v>1</v>
      </c>
    </row>
    <row r="732" spans="1:3" x14ac:dyDescent="0.25">
      <c r="A732" s="159">
        <v>118671</v>
      </c>
      <c r="B732" s="159">
        <v>1</v>
      </c>
      <c r="C732" s="158" t="str">
        <f t="shared" si="12"/>
        <v>1</v>
      </c>
    </row>
    <row r="733" spans="1:3" x14ac:dyDescent="0.25">
      <c r="A733" s="159">
        <v>118672</v>
      </c>
      <c r="B733" s="159">
        <v>1</v>
      </c>
      <c r="C733" s="158" t="str">
        <f t="shared" si="12"/>
        <v>1</v>
      </c>
    </row>
    <row r="734" spans="1:3" x14ac:dyDescent="0.25">
      <c r="A734" s="159">
        <v>118682</v>
      </c>
      <c r="B734" s="159">
        <v>1</v>
      </c>
      <c r="C734" s="158" t="str">
        <f t="shared" si="12"/>
        <v>1</v>
      </c>
    </row>
    <row r="735" spans="1:3" x14ac:dyDescent="0.25">
      <c r="A735" s="159">
        <v>118791</v>
      </c>
      <c r="B735" s="159">
        <v>1</v>
      </c>
      <c r="C735" s="158" t="str">
        <f t="shared" si="12"/>
        <v>1</v>
      </c>
    </row>
    <row r="736" spans="1:3" x14ac:dyDescent="0.25">
      <c r="A736" s="159">
        <v>118792</v>
      </c>
      <c r="B736" s="159">
        <v>1</v>
      </c>
      <c r="C736" s="158" t="str">
        <f t="shared" si="12"/>
        <v>1</v>
      </c>
    </row>
    <row r="737" spans="1:3" x14ac:dyDescent="0.25">
      <c r="A737" s="159">
        <v>118793</v>
      </c>
      <c r="B737" s="159">
        <v>3</v>
      </c>
      <c r="C737" s="158" t="str">
        <f t="shared" si="12"/>
        <v>3</v>
      </c>
    </row>
    <row r="738" spans="1:3" x14ac:dyDescent="0.25">
      <c r="A738" s="159">
        <v>118794</v>
      </c>
      <c r="B738" s="159">
        <v>1</v>
      </c>
      <c r="C738" s="158" t="str">
        <f t="shared" si="12"/>
        <v>1</v>
      </c>
    </row>
    <row r="739" spans="1:3" x14ac:dyDescent="0.25">
      <c r="A739" s="159">
        <v>118795</v>
      </c>
      <c r="B739" s="159">
        <v>1</v>
      </c>
      <c r="C739" s="158" t="str">
        <f t="shared" si="12"/>
        <v>1</v>
      </c>
    </row>
    <row r="740" spans="1:3" x14ac:dyDescent="0.25">
      <c r="A740" s="159">
        <v>118836</v>
      </c>
      <c r="B740" s="159">
        <v>1</v>
      </c>
      <c r="C740" s="158" t="str">
        <f t="shared" si="12"/>
        <v>1</v>
      </c>
    </row>
    <row r="741" spans="1:3" x14ac:dyDescent="0.25">
      <c r="A741" s="159">
        <v>118863</v>
      </c>
      <c r="B741" s="159">
        <v>1</v>
      </c>
      <c r="C741" s="158" t="str">
        <f t="shared" si="12"/>
        <v>1</v>
      </c>
    </row>
    <row r="742" spans="1:3" x14ac:dyDescent="0.25">
      <c r="A742" s="159">
        <v>118882</v>
      </c>
      <c r="B742" s="159">
        <v>1</v>
      </c>
      <c r="C742" s="158" t="str">
        <f t="shared" si="12"/>
        <v>1</v>
      </c>
    </row>
    <row r="743" spans="1:3" x14ac:dyDescent="0.25">
      <c r="A743" s="159">
        <v>118899</v>
      </c>
      <c r="B743" s="159">
        <v>1</v>
      </c>
      <c r="C743" s="158" t="str">
        <f t="shared" si="12"/>
        <v>1</v>
      </c>
    </row>
    <row r="744" spans="1:3" x14ac:dyDescent="0.25">
      <c r="A744" s="159">
        <v>118942</v>
      </c>
      <c r="B744" s="159">
        <v>1</v>
      </c>
      <c r="C744" s="158" t="str">
        <f t="shared" si="12"/>
        <v>1</v>
      </c>
    </row>
    <row r="745" spans="1:3" x14ac:dyDescent="0.25">
      <c r="A745" s="159">
        <v>118945</v>
      </c>
      <c r="B745" s="159" t="s">
        <v>437</v>
      </c>
      <c r="C745" s="158" t="str">
        <f t="shared" si="12"/>
        <v>1S</v>
      </c>
    </row>
    <row r="746" spans="1:3" x14ac:dyDescent="0.25">
      <c r="A746" s="159">
        <v>119012</v>
      </c>
      <c r="B746" s="159">
        <v>1</v>
      </c>
      <c r="C746" s="158" t="str">
        <f t="shared" si="12"/>
        <v>1</v>
      </c>
    </row>
    <row r="747" spans="1:3" x14ac:dyDescent="0.25">
      <c r="A747" s="159">
        <v>119021</v>
      </c>
      <c r="B747" s="159">
        <v>2</v>
      </c>
      <c r="C747" s="158" t="str">
        <f t="shared" si="12"/>
        <v>2</v>
      </c>
    </row>
    <row r="748" spans="1:3" x14ac:dyDescent="0.25">
      <c r="A748" s="159">
        <v>119041</v>
      </c>
      <c r="B748" s="159" t="s">
        <v>435</v>
      </c>
      <c r="C748" s="158" t="str">
        <f t="shared" si="12"/>
        <v>GR 2</v>
      </c>
    </row>
    <row r="749" spans="1:3" x14ac:dyDescent="0.25">
      <c r="A749" s="159">
        <v>119072</v>
      </c>
      <c r="B749" s="159">
        <v>1</v>
      </c>
      <c r="C749" s="158" t="str">
        <f t="shared" si="12"/>
        <v>1</v>
      </c>
    </row>
    <row r="750" spans="1:3" x14ac:dyDescent="0.25">
      <c r="A750" s="159">
        <v>119092</v>
      </c>
      <c r="B750" s="159">
        <v>1</v>
      </c>
      <c r="C750" s="158" t="str">
        <f t="shared" si="12"/>
        <v>1</v>
      </c>
    </row>
    <row r="751" spans="1:3" x14ac:dyDescent="0.25">
      <c r="A751" s="159">
        <v>119093</v>
      </c>
      <c r="B751" s="159">
        <v>3</v>
      </c>
      <c r="C751" s="158" t="str">
        <f t="shared" si="12"/>
        <v>3</v>
      </c>
    </row>
    <row r="752" spans="1:3" x14ac:dyDescent="0.25">
      <c r="A752" s="159">
        <v>119344</v>
      </c>
      <c r="B752" s="159">
        <v>1</v>
      </c>
      <c r="C752" s="158" t="str">
        <f t="shared" si="12"/>
        <v>1</v>
      </c>
    </row>
    <row r="753" spans="1:3" x14ac:dyDescent="0.25">
      <c r="A753" s="159">
        <v>119425</v>
      </c>
      <c r="B753" s="159" t="s">
        <v>434</v>
      </c>
      <c r="C753" s="158" t="str">
        <f t="shared" si="12"/>
        <v>GR 3</v>
      </c>
    </row>
    <row r="754" spans="1:3" x14ac:dyDescent="0.25">
      <c r="A754" s="159">
        <v>119431</v>
      </c>
      <c r="B754" s="159">
        <v>4</v>
      </c>
      <c r="C754" s="158" t="str">
        <f t="shared" si="12"/>
        <v>4</v>
      </c>
    </row>
    <row r="755" spans="1:3" x14ac:dyDescent="0.25">
      <c r="A755" s="159">
        <v>119432</v>
      </c>
      <c r="B755" s="159">
        <v>2</v>
      </c>
      <c r="C755" s="158" t="str">
        <f t="shared" si="12"/>
        <v>2</v>
      </c>
    </row>
    <row r="756" spans="1:3" x14ac:dyDescent="0.25">
      <c r="A756" s="159">
        <v>119461</v>
      </c>
      <c r="B756" s="159">
        <v>1</v>
      </c>
      <c r="C756" s="158" t="str">
        <f t="shared" si="12"/>
        <v>1</v>
      </c>
    </row>
    <row r="757" spans="1:3" x14ac:dyDescent="0.25">
      <c r="A757" s="159">
        <v>119464</v>
      </c>
      <c r="B757" s="159">
        <v>1</v>
      </c>
      <c r="C757" s="158" t="str">
        <f t="shared" si="12"/>
        <v>1</v>
      </c>
    </row>
    <row r="758" spans="1:3" x14ac:dyDescent="0.25">
      <c r="A758" s="159">
        <v>119466</v>
      </c>
      <c r="B758" s="159">
        <v>1</v>
      </c>
      <c r="C758" s="158" t="str">
        <f t="shared" si="12"/>
        <v>1</v>
      </c>
    </row>
    <row r="759" spans="1:3" x14ac:dyDescent="0.25">
      <c r="A759" s="159">
        <v>119471</v>
      </c>
      <c r="B759" s="159">
        <v>1</v>
      </c>
      <c r="C759" s="158" t="str">
        <f t="shared" si="12"/>
        <v>1</v>
      </c>
    </row>
    <row r="760" spans="1:3" x14ac:dyDescent="0.25">
      <c r="A760" s="159">
        <v>119472</v>
      </c>
      <c r="B760" s="159">
        <v>1</v>
      </c>
      <c r="C760" s="158" t="str">
        <f t="shared" si="12"/>
        <v>1</v>
      </c>
    </row>
    <row r="761" spans="1:3" x14ac:dyDescent="0.25">
      <c r="A761" s="159">
        <v>119503</v>
      </c>
      <c r="B761" s="159" t="s">
        <v>438</v>
      </c>
      <c r="C761" s="158" t="str">
        <f t="shared" si="12"/>
        <v>2S</v>
      </c>
    </row>
    <row r="762" spans="1:3" x14ac:dyDescent="0.25">
      <c r="A762" s="159">
        <v>119521</v>
      </c>
      <c r="B762" s="159">
        <v>1</v>
      </c>
      <c r="C762" s="158" t="str">
        <f t="shared" si="12"/>
        <v>1</v>
      </c>
    </row>
    <row r="763" spans="1:3" x14ac:dyDescent="0.25">
      <c r="A763" s="159">
        <v>119561</v>
      </c>
      <c r="B763" s="159">
        <v>6</v>
      </c>
      <c r="C763" s="158">
        <f t="shared" si="12"/>
        <v>6</v>
      </c>
    </row>
    <row r="764" spans="1:3" x14ac:dyDescent="0.25">
      <c r="A764" s="159">
        <v>119562</v>
      </c>
      <c r="B764" s="159">
        <v>2</v>
      </c>
      <c r="C764" s="158" t="str">
        <f t="shared" si="12"/>
        <v>2</v>
      </c>
    </row>
    <row r="765" spans="1:3" x14ac:dyDescent="0.25">
      <c r="A765" s="159">
        <v>119563</v>
      </c>
      <c r="B765" s="159">
        <v>4</v>
      </c>
      <c r="C765" s="158" t="str">
        <f t="shared" si="12"/>
        <v>4</v>
      </c>
    </row>
    <row r="766" spans="1:3" x14ac:dyDescent="0.25">
      <c r="A766" s="159">
        <v>119631</v>
      </c>
      <c r="B766" s="159">
        <v>1</v>
      </c>
      <c r="C766" s="158" t="str">
        <f t="shared" si="12"/>
        <v>1</v>
      </c>
    </row>
    <row r="767" spans="1:3" x14ac:dyDescent="0.25">
      <c r="A767" s="159">
        <v>119667</v>
      </c>
      <c r="B767" s="159">
        <v>1</v>
      </c>
      <c r="C767" s="158" t="str">
        <f t="shared" si="12"/>
        <v>1</v>
      </c>
    </row>
    <row r="768" spans="1:3" x14ac:dyDescent="0.25">
      <c r="A768" s="159">
        <v>119668</v>
      </c>
      <c r="B768" s="159">
        <v>1</v>
      </c>
      <c r="C768" s="158" t="str">
        <f t="shared" si="12"/>
        <v>1</v>
      </c>
    </row>
    <row r="769" spans="1:3" x14ac:dyDescent="0.25">
      <c r="A769" s="159">
        <v>119691</v>
      </c>
      <c r="B769" s="159">
        <v>2</v>
      </c>
      <c r="C769" s="158" t="str">
        <f t="shared" si="12"/>
        <v>2</v>
      </c>
    </row>
    <row r="770" spans="1:3" x14ac:dyDescent="0.25">
      <c r="A770" s="159">
        <v>119692</v>
      </c>
      <c r="B770" s="159">
        <v>1</v>
      </c>
      <c r="C770" s="158" t="str">
        <f t="shared" si="12"/>
        <v>1</v>
      </c>
    </row>
    <row r="771" spans="1:3" x14ac:dyDescent="0.25">
      <c r="A771" s="159">
        <v>119695</v>
      </c>
      <c r="B771" s="159">
        <v>1</v>
      </c>
      <c r="C771" s="158" t="str">
        <f t="shared" si="12"/>
        <v>1</v>
      </c>
    </row>
    <row r="772" spans="1:3" x14ac:dyDescent="0.25">
      <c r="A772" s="159">
        <v>119697</v>
      </c>
      <c r="B772" s="159">
        <v>1</v>
      </c>
      <c r="C772" s="158" t="str">
        <f t="shared" si="12"/>
        <v>1</v>
      </c>
    </row>
    <row r="773" spans="1:3" x14ac:dyDescent="0.25">
      <c r="A773" s="159">
        <v>119698</v>
      </c>
      <c r="B773" s="159">
        <v>1</v>
      </c>
      <c r="C773" s="158" t="str">
        <f t="shared" si="12"/>
        <v>1</v>
      </c>
    </row>
    <row r="774" spans="1:3" x14ac:dyDescent="0.25">
      <c r="A774" s="159">
        <v>119725</v>
      </c>
      <c r="B774" s="159">
        <v>4</v>
      </c>
      <c r="C774" s="158" t="str">
        <f t="shared" si="12"/>
        <v>4</v>
      </c>
    </row>
    <row r="775" spans="1:3" x14ac:dyDescent="0.25">
      <c r="A775" s="159">
        <v>119731</v>
      </c>
      <c r="B775" s="159">
        <v>3</v>
      </c>
      <c r="C775" s="158" t="str">
        <f t="shared" si="12"/>
        <v>3</v>
      </c>
    </row>
    <row r="776" spans="1:3" x14ac:dyDescent="0.25">
      <c r="A776" s="159">
        <v>119805</v>
      </c>
      <c r="B776" s="159">
        <v>1</v>
      </c>
      <c r="C776" s="158" t="str">
        <f t="shared" si="12"/>
        <v>1</v>
      </c>
    </row>
    <row r="777" spans="1:3" x14ac:dyDescent="0.25">
      <c r="A777" s="159">
        <v>119806</v>
      </c>
      <c r="B777" s="159">
        <v>1</v>
      </c>
      <c r="C777" s="158" t="str">
        <f t="shared" si="12"/>
        <v>1</v>
      </c>
    </row>
    <row r="778" spans="1:3" x14ac:dyDescent="0.25">
      <c r="A778" s="159">
        <v>119808</v>
      </c>
      <c r="B778" s="159">
        <v>1</v>
      </c>
      <c r="C778" s="158" t="str">
        <f t="shared" si="12"/>
        <v>1</v>
      </c>
    </row>
    <row r="779" spans="1:3" x14ac:dyDescent="0.25">
      <c r="A779" s="159">
        <v>119810</v>
      </c>
      <c r="B779" s="159">
        <v>1</v>
      </c>
      <c r="C779" s="158" t="str">
        <f t="shared" si="12"/>
        <v>1</v>
      </c>
    </row>
    <row r="780" spans="1:3" x14ac:dyDescent="0.25">
      <c r="A780" s="159">
        <v>119856</v>
      </c>
      <c r="B780" s="159">
        <v>1</v>
      </c>
      <c r="C780" s="158" t="str">
        <f t="shared" si="12"/>
        <v>1</v>
      </c>
    </row>
    <row r="781" spans="1:3" x14ac:dyDescent="0.25">
      <c r="A781" s="159">
        <v>119859</v>
      </c>
      <c r="B781" s="159">
        <v>1</v>
      </c>
      <c r="C781" s="158" t="str">
        <f t="shared" ref="C781:C844" si="13">IF(OR(B781=0,B781=1,B781=2,B781=3,B781=4,B781=5),TEXT(B781,"0"),B781)</f>
        <v>1</v>
      </c>
    </row>
    <row r="782" spans="1:3" x14ac:dyDescent="0.25">
      <c r="A782" s="159">
        <v>119876</v>
      </c>
      <c r="B782" s="159" t="s">
        <v>435</v>
      </c>
      <c r="C782" s="158" t="str">
        <f t="shared" si="13"/>
        <v>GR 2</v>
      </c>
    </row>
    <row r="783" spans="1:3" x14ac:dyDescent="0.25">
      <c r="A783" s="159">
        <v>119901</v>
      </c>
      <c r="B783" s="159">
        <v>1</v>
      </c>
      <c r="C783" s="158" t="str">
        <f t="shared" si="13"/>
        <v>1</v>
      </c>
    </row>
    <row r="784" spans="1:3" x14ac:dyDescent="0.25">
      <c r="A784" s="159">
        <v>119931</v>
      </c>
      <c r="B784" s="159">
        <v>1</v>
      </c>
      <c r="C784" s="158" t="str">
        <f t="shared" si="13"/>
        <v>1</v>
      </c>
    </row>
    <row r="785" spans="1:3" x14ac:dyDescent="0.25">
      <c r="A785" s="159">
        <v>120002</v>
      </c>
      <c r="B785" s="159" t="s">
        <v>454</v>
      </c>
      <c r="C785" s="158" t="str">
        <f t="shared" si="13"/>
        <v>6S</v>
      </c>
    </row>
    <row r="786" spans="1:3" x14ac:dyDescent="0.25">
      <c r="A786" s="159">
        <v>120042</v>
      </c>
      <c r="B786" s="159">
        <v>3</v>
      </c>
      <c r="C786" s="158" t="str">
        <f t="shared" si="13"/>
        <v>3</v>
      </c>
    </row>
    <row r="787" spans="1:3" x14ac:dyDescent="0.25">
      <c r="A787" s="159">
        <v>120043</v>
      </c>
      <c r="B787" s="159">
        <v>4</v>
      </c>
      <c r="C787" s="158" t="str">
        <f t="shared" si="13"/>
        <v>4</v>
      </c>
    </row>
    <row r="788" spans="1:3" x14ac:dyDescent="0.25">
      <c r="A788" s="159">
        <v>120044</v>
      </c>
      <c r="B788" s="159">
        <v>1</v>
      </c>
      <c r="C788" s="158" t="str">
        <f t="shared" si="13"/>
        <v>1</v>
      </c>
    </row>
    <row r="789" spans="1:3" x14ac:dyDescent="0.25">
      <c r="A789" s="159">
        <v>120045</v>
      </c>
      <c r="B789" s="159">
        <v>2</v>
      </c>
      <c r="C789" s="158" t="str">
        <f t="shared" si="13"/>
        <v>2</v>
      </c>
    </row>
    <row r="790" spans="1:3" x14ac:dyDescent="0.25">
      <c r="A790" s="159">
        <v>120046</v>
      </c>
      <c r="B790" s="159">
        <v>1</v>
      </c>
      <c r="C790" s="158" t="str">
        <f t="shared" si="13"/>
        <v>1</v>
      </c>
    </row>
    <row r="791" spans="1:3" x14ac:dyDescent="0.25">
      <c r="A791" s="159">
        <v>120049</v>
      </c>
      <c r="B791" s="159">
        <v>2</v>
      </c>
      <c r="C791" s="158" t="str">
        <f t="shared" si="13"/>
        <v>2</v>
      </c>
    </row>
    <row r="792" spans="1:3" x14ac:dyDescent="0.25">
      <c r="A792" s="159">
        <v>120063</v>
      </c>
      <c r="B792" s="159">
        <v>4</v>
      </c>
      <c r="C792" s="158" t="str">
        <f t="shared" si="13"/>
        <v>4</v>
      </c>
    </row>
    <row r="793" spans="1:3" x14ac:dyDescent="0.25">
      <c r="A793" s="159">
        <v>120081</v>
      </c>
      <c r="B793" s="159">
        <v>1</v>
      </c>
      <c r="C793" s="158" t="str">
        <f t="shared" si="13"/>
        <v>1</v>
      </c>
    </row>
    <row r="794" spans="1:3" x14ac:dyDescent="0.25">
      <c r="A794" s="159">
        <v>120092</v>
      </c>
      <c r="B794" s="159">
        <v>1</v>
      </c>
      <c r="C794" s="158" t="str">
        <f t="shared" si="13"/>
        <v>1</v>
      </c>
    </row>
    <row r="795" spans="1:3" x14ac:dyDescent="0.25">
      <c r="A795" s="159">
        <v>120161</v>
      </c>
      <c r="B795" s="159">
        <v>1</v>
      </c>
      <c r="C795" s="158" t="str">
        <f t="shared" si="13"/>
        <v>1</v>
      </c>
    </row>
    <row r="796" spans="1:3" x14ac:dyDescent="0.25">
      <c r="A796" s="159">
        <v>120281</v>
      </c>
      <c r="B796" s="159">
        <v>1</v>
      </c>
      <c r="C796" s="158" t="str">
        <f t="shared" si="13"/>
        <v>1</v>
      </c>
    </row>
    <row r="797" spans="1:3" x14ac:dyDescent="0.25">
      <c r="A797" s="159">
        <v>120282</v>
      </c>
      <c r="B797" s="159">
        <v>1</v>
      </c>
      <c r="C797" s="158" t="str">
        <f t="shared" si="13"/>
        <v>1</v>
      </c>
    </row>
    <row r="798" spans="1:3" x14ac:dyDescent="0.25">
      <c r="A798" s="159">
        <v>120331</v>
      </c>
      <c r="B798" s="159">
        <v>1</v>
      </c>
      <c r="C798" s="158" t="str">
        <f t="shared" si="13"/>
        <v>1</v>
      </c>
    </row>
    <row r="799" spans="1:3" x14ac:dyDescent="0.25">
      <c r="A799" s="159">
        <v>120391</v>
      </c>
      <c r="B799" s="159">
        <v>4</v>
      </c>
      <c r="C799" s="158" t="str">
        <f t="shared" si="13"/>
        <v>4</v>
      </c>
    </row>
    <row r="800" spans="1:3" x14ac:dyDescent="0.25">
      <c r="A800" s="159">
        <v>120402</v>
      </c>
      <c r="B800" s="159">
        <v>1</v>
      </c>
      <c r="C800" s="158" t="str">
        <f t="shared" si="13"/>
        <v>1</v>
      </c>
    </row>
    <row r="801" spans="1:3" x14ac:dyDescent="0.25">
      <c r="A801" s="159">
        <v>120403</v>
      </c>
      <c r="B801" s="159">
        <v>1</v>
      </c>
      <c r="C801" s="158" t="str">
        <f t="shared" si="13"/>
        <v>1</v>
      </c>
    </row>
    <row r="802" spans="1:3" x14ac:dyDescent="0.25">
      <c r="A802" s="159">
        <v>120404</v>
      </c>
      <c r="B802" s="159">
        <v>4</v>
      </c>
      <c r="C802" s="158" t="str">
        <f t="shared" si="13"/>
        <v>4</v>
      </c>
    </row>
    <row r="803" spans="1:3" x14ac:dyDescent="0.25">
      <c r="A803" s="159">
        <v>120443</v>
      </c>
      <c r="B803" s="159">
        <v>1</v>
      </c>
      <c r="C803" s="158" t="str">
        <f t="shared" si="13"/>
        <v>1</v>
      </c>
    </row>
    <row r="804" spans="1:3" x14ac:dyDescent="0.25">
      <c r="A804" s="159">
        <v>120455</v>
      </c>
      <c r="B804" s="159">
        <v>1</v>
      </c>
      <c r="C804" s="158" t="str">
        <f t="shared" si="13"/>
        <v>1</v>
      </c>
    </row>
    <row r="805" spans="1:3" x14ac:dyDescent="0.25">
      <c r="A805" s="159">
        <v>120456</v>
      </c>
      <c r="B805" s="159">
        <v>3</v>
      </c>
      <c r="C805" s="158" t="str">
        <f t="shared" si="13"/>
        <v>3</v>
      </c>
    </row>
    <row r="806" spans="1:3" x14ac:dyDescent="0.25">
      <c r="A806" s="159">
        <v>120458</v>
      </c>
      <c r="B806" s="159" t="s">
        <v>440</v>
      </c>
      <c r="C806" s="158" t="str">
        <f t="shared" si="13"/>
        <v>5S</v>
      </c>
    </row>
    <row r="807" spans="1:3" x14ac:dyDescent="0.25">
      <c r="A807" s="159">
        <v>120459</v>
      </c>
      <c r="B807" s="159" t="s">
        <v>439</v>
      </c>
      <c r="C807" s="158" t="str">
        <f t="shared" si="13"/>
        <v>3S</v>
      </c>
    </row>
    <row r="808" spans="1:3" x14ac:dyDescent="0.25">
      <c r="A808" s="159">
        <v>120464</v>
      </c>
      <c r="B808" s="159">
        <v>2</v>
      </c>
      <c r="C808" s="158" t="str">
        <f t="shared" si="13"/>
        <v>2</v>
      </c>
    </row>
    <row r="809" spans="1:3" x14ac:dyDescent="0.25">
      <c r="A809" s="159">
        <v>120476</v>
      </c>
      <c r="B809" s="159">
        <v>5</v>
      </c>
      <c r="C809" s="158" t="str">
        <f t="shared" si="13"/>
        <v>5</v>
      </c>
    </row>
    <row r="810" spans="1:3" x14ac:dyDescent="0.25">
      <c r="A810" s="159">
        <v>120477</v>
      </c>
      <c r="B810" s="159">
        <v>5</v>
      </c>
      <c r="C810" s="158" t="str">
        <f t="shared" si="13"/>
        <v>5</v>
      </c>
    </row>
    <row r="811" spans="1:3" x14ac:dyDescent="0.25">
      <c r="A811" s="159">
        <v>120536</v>
      </c>
      <c r="B811" s="159">
        <v>1</v>
      </c>
      <c r="C811" s="158" t="str">
        <f t="shared" si="13"/>
        <v>1</v>
      </c>
    </row>
    <row r="812" spans="1:3" x14ac:dyDescent="0.25">
      <c r="A812" s="159">
        <v>120566</v>
      </c>
      <c r="B812" s="159">
        <v>1</v>
      </c>
      <c r="C812" s="158" t="str">
        <f t="shared" si="13"/>
        <v>1</v>
      </c>
    </row>
    <row r="813" spans="1:3" x14ac:dyDescent="0.25">
      <c r="A813" s="159">
        <v>120567</v>
      </c>
      <c r="B813" s="159">
        <v>1</v>
      </c>
      <c r="C813" s="158" t="str">
        <f t="shared" si="13"/>
        <v>1</v>
      </c>
    </row>
    <row r="814" spans="1:3" x14ac:dyDescent="0.25">
      <c r="A814" s="159">
        <v>120622</v>
      </c>
      <c r="B814" s="159">
        <v>1</v>
      </c>
      <c r="C814" s="158" t="str">
        <f t="shared" si="13"/>
        <v>1</v>
      </c>
    </row>
    <row r="815" spans="1:3" x14ac:dyDescent="0.25">
      <c r="A815" s="159">
        <v>120632</v>
      </c>
      <c r="B815" s="159">
        <v>1</v>
      </c>
      <c r="C815" s="158" t="str">
        <f t="shared" si="13"/>
        <v>1</v>
      </c>
    </row>
    <row r="816" spans="1:3" x14ac:dyDescent="0.25">
      <c r="A816" s="159">
        <v>120633</v>
      </c>
      <c r="B816" s="159">
        <v>1</v>
      </c>
      <c r="C816" s="158" t="str">
        <f t="shared" si="13"/>
        <v>1</v>
      </c>
    </row>
    <row r="817" spans="1:3" x14ac:dyDescent="0.25">
      <c r="A817" s="159">
        <v>120634</v>
      </c>
      <c r="B817" s="159">
        <v>1</v>
      </c>
      <c r="C817" s="158" t="str">
        <f t="shared" si="13"/>
        <v>1</v>
      </c>
    </row>
    <row r="818" spans="1:3" x14ac:dyDescent="0.25">
      <c r="A818" s="159">
        <v>120635</v>
      </c>
      <c r="B818" s="159">
        <v>1</v>
      </c>
      <c r="C818" s="158" t="str">
        <f t="shared" si="13"/>
        <v>1</v>
      </c>
    </row>
    <row r="819" spans="1:3" x14ac:dyDescent="0.25">
      <c r="A819" s="159">
        <v>120636</v>
      </c>
      <c r="B819" s="159">
        <v>1</v>
      </c>
      <c r="C819" s="158" t="str">
        <f t="shared" si="13"/>
        <v>1</v>
      </c>
    </row>
    <row r="820" spans="1:3" x14ac:dyDescent="0.25">
      <c r="A820" s="159">
        <v>120642</v>
      </c>
      <c r="B820" s="159">
        <v>1</v>
      </c>
      <c r="C820" s="158" t="str">
        <f t="shared" si="13"/>
        <v>1</v>
      </c>
    </row>
    <row r="821" spans="1:3" x14ac:dyDescent="0.25">
      <c r="A821" s="159">
        <v>120654</v>
      </c>
      <c r="B821" s="159">
        <v>1</v>
      </c>
      <c r="C821" s="158" t="str">
        <f t="shared" si="13"/>
        <v>1</v>
      </c>
    </row>
    <row r="822" spans="1:3" x14ac:dyDescent="0.25">
      <c r="A822" s="159">
        <v>120655</v>
      </c>
      <c r="B822" s="159">
        <v>3</v>
      </c>
      <c r="C822" s="158" t="str">
        <f t="shared" si="13"/>
        <v>3</v>
      </c>
    </row>
    <row r="823" spans="1:3" x14ac:dyDescent="0.25">
      <c r="A823" s="159">
        <v>120666</v>
      </c>
      <c r="B823" s="159">
        <v>1</v>
      </c>
      <c r="C823" s="158" t="str">
        <f t="shared" si="13"/>
        <v>1</v>
      </c>
    </row>
    <row r="824" spans="1:3" x14ac:dyDescent="0.25">
      <c r="A824" s="159">
        <v>120675</v>
      </c>
      <c r="B824" s="159">
        <v>1</v>
      </c>
      <c r="C824" s="158" t="str">
        <f t="shared" si="13"/>
        <v>1</v>
      </c>
    </row>
    <row r="825" spans="1:3" x14ac:dyDescent="0.25">
      <c r="A825" s="159">
        <v>120676</v>
      </c>
      <c r="B825" s="159">
        <v>1</v>
      </c>
      <c r="C825" s="158" t="str">
        <f t="shared" si="13"/>
        <v>1</v>
      </c>
    </row>
    <row r="826" spans="1:3" x14ac:dyDescent="0.25">
      <c r="A826" s="159">
        <v>120704</v>
      </c>
      <c r="B826" s="159">
        <v>1</v>
      </c>
      <c r="C826" s="158" t="str">
        <f t="shared" si="13"/>
        <v>1</v>
      </c>
    </row>
    <row r="827" spans="1:3" x14ac:dyDescent="0.25">
      <c r="A827" s="159">
        <v>120719</v>
      </c>
      <c r="B827" s="159">
        <v>1</v>
      </c>
      <c r="C827" s="158" t="str">
        <f t="shared" si="13"/>
        <v>1</v>
      </c>
    </row>
    <row r="828" spans="1:3" x14ac:dyDescent="0.25">
      <c r="A828" s="159">
        <v>120753</v>
      </c>
      <c r="B828" s="159" t="s">
        <v>441</v>
      </c>
      <c r="C828" s="158" t="str">
        <f t="shared" si="13"/>
        <v>4S</v>
      </c>
    </row>
    <row r="829" spans="1:3" x14ac:dyDescent="0.25">
      <c r="A829" s="159">
        <v>120754</v>
      </c>
      <c r="B829" s="159">
        <v>3</v>
      </c>
      <c r="C829" s="158" t="str">
        <f t="shared" si="13"/>
        <v>3</v>
      </c>
    </row>
    <row r="830" spans="1:3" x14ac:dyDescent="0.25">
      <c r="A830" s="159">
        <v>120755</v>
      </c>
      <c r="B830" s="159">
        <v>3</v>
      </c>
      <c r="C830" s="158" t="str">
        <f t="shared" si="13"/>
        <v>3</v>
      </c>
    </row>
    <row r="831" spans="1:3" x14ac:dyDescent="0.25">
      <c r="A831" s="159">
        <v>120792</v>
      </c>
      <c r="B831" s="159">
        <v>1</v>
      </c>
      <c r="C831" s="158" t="str">
        <f t="shared" si="13"/>
        <v>1</v>
      </c>
    </row>
    <row r="832" spans="1:3" x14ac:dyDescent="0.25">
      <c r="A832" s="159">
        <v>120793</v>
      </c>
      <c r="B832" s="159">
        <v>1</v>
      </c>
      <c r="C832" s="158" t="str">
        <f t="shared" si="13"/>
        <v>1</v>
      </c>
    </row>
    <row r="833" spans="1:3" x14ac:dyDescent="0.25">
      <c r="A833" s="159">
        <v>120801</v>
      </c>
      <c r="B833" s="159">
        <v>4</v>
      </c>
      <c r="C833" s="158" t="str">
        <f t="shared" si="13"/>
        <v>4</v>
      </c>
    </row>
    <row r="834" spans="1:3" x14ac:dyDescent="0.25">
      <c r="A834" s="159">
        <v>120819</v>
      </c>
      <c r="B834" s="159">
        <v>4</v>
      </c>
      <c r="C834" s="158" t="str">
        <f t="shared" si="13"/>
        <v>4</v>
      </c>
    </row>
    <row r="835" spans="1:3" x14ac:dyDescent="0.25">
      <c r="A835" s="159">
        <v>120822</v>
      </c>
      <c r="B835" s="159">
        <v>4</v>
      </c>
      <c r="C835" s="158" t="str">
        <f t="shared" si="13"/>
        <v>4</v>
      </c>
    </row>
    <row r="836" spans="1:3" x14ac:dyDescent="0.25">
      <c r="A836" s="159">
        <v>120824</v>
      </c>
      <c r="B836" s="159">
        <v>1</v>
      </c>
      <c r="C836" s="158" t="str">
        <f t="shared" si="13"/>
        <v>1</v>
      </c>
    </row>
    <row r="837" spans="1:3" x14ac:dyDescent="0.25">
      <c r="A837" s="159">
        <v>120825</v>
      </c>
      <c r="B837" s="159">
        <v>1</v>
      </c>
      <c r="C837" s="158" t="str">
        <f t="shared" si="13"/>
        <v>1</v>
      </c>
    </row>
    <row r="838" spans="1:3" x14ac:dyDescent="0.25">
      <c r="A838" s="159">
        <v>120826</v>
      </c>
      <c r="B838" s="159">
        <v>1</v>
      </c>
      <c r="C838" s="158" t="str">
        <f t="shared" si="13"/>
        <v>1</v>
      </c>
    </row>
    <row r="839" spans="1:3" x14ac:dyDescent="0.25">
      <c r="A839" s="159">
        <v>120831</v>
      </c>
      <c r="B839" s="159">
        <v>1</v>
      </c>
      <c r="C839" s="158" t="str">
        <f t="shared" si="13"/>
        <v>1</v>
      </c>
    </row>
    <row r="840" spans="1:3" x14ac:dyDescent="0.25">
      <c r="A840" s="159">
        <v>120832</v>
      </c>
      <c r="B840" s="159">
        <v>1</v>
      </c>
      <c r="C840" s="158" t="str">
        <f t="shared" si="13"/>
        <v>1</v>
      </c>
    </row>
    <row r="841" spans="1:3" x14ac:dyDescent="0.25">
      <c r="A841" s="159">
        <v>120833</v>
      </c>
      <c r="B841" s="159">
        <v>1</v>
      </c>
      <c r="C841" s="158" t="str">
        <f t="shared" si="13"/>
        <v>1</v>
      </c>
    </row>
    <row r="842" spans="1:3" x14ac:dyDescent="0.25">
      <c r="A842" s="159">
        <v>120836</v>
      </c>
      <c r="B842" s="159">
        <v>1</v>
      </c>
      <c r="C842" s="158" t="str">
        <f t="shared" si="13"/>
        <v>1</v>
      </c>
    </row>
    <row r="843" spans="1:3" x14ac:dyDescent="0.25">
      <c r="A843" s="159">
        <v>120837</v>
      </c>
      <c r="B843" s="159">
        <v>1</v>
      </c>
      <c r="C843" s="158" t="str">
        <f t="shared" si="13"/>
        <v>1</v>
      </c>
    </row>
    <row r="844" spans="1:3" x14ac:dyDescent="0.25">
      <c r="A844" s="159">
        <v>120841</v>
      </c>
      <c r="B844" s="159">
        <v>1</v>
      </c>
      <c r="C844" s="158" t="str">
        <f t="shared" si="13"/>
        <v>1</v>
      </c>
    </row>
    <row r="845" spans="1:3" x14ac:dyDescent="0.25">
      <c r="A845" s="159">
        <v>120843</v>
      </c>
      <c r="B845" s="159">
        <v>6</v>
      </c>
      <c r="C845" s="158">
        <f t="shared" ref="C845:C908" si="14">IF(OR(B845=0,B845=1,B845=2,B845=3,B845=4,B845=5),TEXT(B845,"0"),B845)</f>
        <v>6</v>
      </c>
    </row>
    <row r="846" spans="1:3" x14ac:dyDescent="0.25">
      <c r="A846" s="159">
        <v>120844</v>
      </c>
      <c r="B846" s="159">
        <v>1</v>
      </c>
      <c r="C846" s="158" t="str">
        <f t="shared" si="14"/>
        <v>1</v>
      </c>
    </row>
    <row r="847" spans="1:3" x14ac:dyDescent="0.25">
      <c r="A847" s="159">
        <v>120845</v>
      </c>
      <c r="B847" s="159">
        <v>1</v>
      </c>
      <c r="C847" s="158" t="str">
        <f t="shared" si="14"/>
        <v>1</v>
      </c>
    </row>
    <row r="848" spans="1:3" x14ac:dyDescent="0.25">
      <c r="A848" s="159">
        <v>120846</v>
      </c>
      <c r="B848" s="159">
        <v>1</v>
      </c>
      <c r="C848" s="158" t="str">
        <f t="shared" si="14"/>
        <v>1</v>
      </c>
    </row>
    <row r="849" spans="1:3" x14ac:dyDescent="0.25">
      <c r="A849" s="159">
        <v>120848</v>
      </c>
      <c r="B849" s="159">
        <v>1</v>
      </c>
      <c r="C849" s="158" t="str">
        <f t="shared" si="14"/>
        <v>1</v>
      </c>
    </row>
    <row r="850" spans="1:3" x14ac:dyDescent="0.25">
      <c r="A850" s="159">
        <v>120851</v>
      </c>
      <c r="B850" s="159">
        <v>1</v>
      </c>
      <c r="C850" s="158" t="str">
        <f t="shared" si="14"/>
        <v>1</v>
      </c>
    </row>
    <row r="851" spans="1:3" x14ac:dyDescent="0.25">
      <c r="A851" s="159">
        <v>120853</v>
      </c>
      <c r="B851" s="159">
        <v>1</v>
      </c>
      <c r="C851" s="158" t="str">
        <f t="shared" si="14"/>
        <v>1</v>
      </c>
    </row>
    <row r="852" spans="1:3" x14ac:dyDescent="0.25">
      <c r="A852" s="159">
        <v>120854</v>
      </c>
      <c r="B852" s="159">
        <v>1</v>
      </c>
      <c r="C852" s="158" t="str">
        <f t="shared" si="14"/>
        <v>1</v>
      </c>
    </row>
    <row r="853" spans="1:3" x14ac:dyDescent="0.25">
      <c r="A853" s="159">
        <v>120856</v>
      </c>
      <c r="B853" s="159">
        <v>1</v>
      </c>
      <c r="C853" s="158" t="str">
        <f t="shared" si="14"/>
        <v>1</v>
      </c>
    </row>
    <row r="854" spans="1:3" x14ac:dyDescent="0.25">
      <c r="A854" s="159">
        <v>120857</v>
      </c>
      <c r="B854" s="159">
        <v>1</v>
      </c>
      <c r="C854" s="158" t="str">
        <f t="shared" si="14"/>
        <v>1</v>
      </c>
    </row>
    <row r="855" spans="1:3" x14ac:dyDescent="0.25">
      <c r="A855" s="159">
        <v>120859</v>
      </c>
      <c r="B855" s="159">
        <v>5</v>
      </c>
      <c r="C855" s="158" t="str">
        <f t="shared" si="14"/>
        <v>5</v>
      </c>
    </row>
    <row r="856" spans="1:3" x14ac:dyDescent="0.25">
      <c r="A856" s="159">
        <v>120860</v>
      </c>
      <c r="B856" s="159">
        <v>1</v>
      </c>
      <c r="C856" s="158" t="str">
        <f t="shared" si="14"/>
        <v>1</v>
      </c>
    </row>
    <row r="857" spans="1:3" x14ac:dyDescent="0.25">
      <c r="A857" s="159">
        <v>120861</v>
      </c>
      <c r="B857" s="159">
        <v>1</v>
      </c>
      <c r="C857" s="158" t="str">
        <f t="shared" si="14"/>
        <v>1</v>
      </c>
    </row>
    <row r="858" spans="1:3" x14ac:dyDescent="0.25">
      <c r="A858" s="159">
        <v>120862</v>
      </c>
      <c r="B858" s="159">
        <v>1</v>
      </c>
      <c r="C858" s="158" t="str">
        <f t="shared" si="14"/>
        <v>1</v>
      </c>
    </row>
    <row r="859" spans="1:3" x14ac:dyDescent="0.25">
      <c r="A859" s="159">
        <v>120863</v>
      </c>
      <c r="B859" s="159">
        <v>1</v>
      </c>
      <c r="C859" s="158" t="str">
        <f t="shared" si="14"/>
        <v>1</v>
      </c>
    </row>
    <row r="860" spans="1:3" x14ac:dyDescent="0.25">
      <c r="A860" s="159">
        <v>120864</v>
      </c>
      <c r="B860" s="159">
        <v>1</v>
      </c>
      <c r="C860" s="158" t="str">
        <f t="shared" si="14"/>
        <v>1</v>
      </c>
    </row>
    <row r="861" spans="1:3" x14ac:dyDescent="0.25">
      <c r="A861" s="159">
        <v>120867</v>
      </c>
      <c r="B861" s="159">
        <v>1</v>
      </c>
      <c r="C861" s="158" t="str">
        <f t="shared" si="14"/>
        <v>1</v>
      </c>
    </row>
    <row r="862" spans="1:3" x14ac:dyDescent="0.25">
      <c r="A862" s="159">
        <v>120868</v>
      </c>
      <c r="B862" s="159">
        <v>1</v>
      </c>
      <c r="C862" s="158" t="str">
        <f t="shared" si="14"/>
        <v>1</v>
      </c>
    </row>
    <row r="863" spans="1:3" x14ac:dyDescent="0.25">
      <c r="A863" s="159">
        <v>120870</v>
      </c>
      <c r="B863" s="159">
        <v>1</v>
      </c>
      <c r="C863" s="158" t="str">
        <f t="shared" si="14"/>
        <v>1</v>
      </c>
    </row>
    <row r="864" spans="1:3" x14ac:dyDescent="0.25">
      <c r="A864" s="159">
        <v>120872</v>
      </c>
      <c r="B864" s="159">
        <v>1</v>
      </c>
      <c r="C864" s="158" t="str">
        <f t="shared" si="14"/>
        <v>1</v>
      </c>
    </row>
    <row r="865" spans="1:3" x14ac:dyDescent="0.25">
      <c r="A865" s="159">
        <v>120876</v>
      </c>
      <c r="B865" s="159">
        <v>1</v>
      </c>
      <c r="C865" s="158" t="str">
        <f t="shared" si="14"/>
        <v>1</v>
      </c>
    </row>
    <row r="866" spans="1:3" x14ac:dyDescent="0.25">
      <c r="A866" s="159">
        <v>120878</v>
      </c>
      <c r="B866" s="159">
        <v>1</v>
      </c>
      <c r="C866" s="158" t="str">
        <f t="shared" si="14"/>
        <v>1</v>
      </c>
    </row>
    <row r="867" spans="1:3" x14ac:dyDescent="0.25">
      <c r="A867" s="159">
        <v>120880</v>
      </c>
      <c r="B867" s="159">
        <v>1</v>
      </c>
      <c r="C867" s="158" t="str">
        <f t="shared" si="14"/>
        <v>1</v>
      </c>
    </row>
    <row r="868" spans="1:3" x14ac:dyDescent="0.25">
      <c r="A868" s="159">
        <v>120884</v>
      </c>
      <c r="B868" s="159">
        <v>1</v>
      </c>
      <c r="C868" s="158" t="str">
        <f t="shared" si="14"/>
        <v>1</v>
      </c>
    </row>
    <row r="869" spans="1:3" x14ac:dyDescent="0.25">
      <c r="A869" s="159">
        <v>120885</v>
      </c>
      <c r="B869" s="159">
        <v>1</v>
      </c>
      <c r="C869" s="158" t="str">
        <f t="shared" si="14"/>
        <v>1</v>
      </c>
    </row>
    <row r="870" spans="1:3" x14ac:dyDescent="0.25">
      <c r="A870" s="159">
        <v>120886</v>
      </c>
      <c r="B870" s="159">
        <v>1</v>
      </c>
      <c r="C870" s="158" t="str">
        <f t="shared" si="14"/>
        <v>1</v>
      </c>
    </row>
    <row r="871" spans="1:3" x14ac:dyDescent="0.25">
      <c r="A871" s="159">
        <v>120888</v>
      </c>
      <c r="B871" s="159">
        <v>1</v>
      </c>
      <c r="C871" s="158" t="str">
        <f t="shared" si="14"/>
        <v>1</v>
      </c>
    </row>
    <row r="872" spans="1:3" x14ac:dyDescent="0.25">
      <c r="A872" s="159">
        <v>120894</v>
      </c>
      <c r="B872" s="159">
        <v>1</v>
      </c>
      <c r="C872" s="158" t="str">
        <f t="shared" si="14"/>
        <v>1</v>
      </c>
    </row>
    <row r="873" spans="1:3" x14ac:dyDescent="0.25">
      <c r="A873" s="159">
        <v>120897</v>
      </c>
      <c r="B873" s="159">
        <v>6</v>
      </c>
      <c r="C873" s="158">
        <f t="shared" si="14"/>
        <v>6</v>
      </c>
    </row>
    <row r="874" spans="1:3" x14ac:dyDescent="0.25">
      <c r="A874" s="159">
        <v>120898</v>
      </c>
      <c r="B874" s="159">
        <v>6</v>
      </c>
      <c r="C874" s="158">
        <f t="shared" si="14"/>
        <v>6</v>
      </c>
    </row>
    <row r="875" spans="1:3" x14ac:dyDescent="0.25">
      <c r="A875" s="159">
        <v>120900</v>
      </c>
      <c r="B875" s="159">
        <v>6</v>
      </c>
      <c r="C875" s="158">
        <f t="shared" si="14"/>
        <v>6</v>
      </c>
    </row>
    <row r="876" spans="1:3" x14ac:dyDescent="0.25">
      <c r="A876" s="159">
        <v>120902</v>
      </c>
      <c r="B876" s="159">
        <v>1</v>
      </c>
      <c r="C876" s="158" t="str">
        <f t="shared" si="14"/>
        <v>1</v>
      </c>
    </row>
    <row r="877" spans="1:3" x14ac:dyDescent="0.25">
      <c r="A877" s="159">
        <v>120903</v>
      </c>
      <c r="B877" s="159">
        <v>1</v>
      </c>
      <c r="C877" s="158" t="str">
        <f t="shared" si="14"/>
        <v>1</v>
      </c>
    </row>
    <row r="878" spans="1:3" x14ac:dyDescent="0.25">
      <c r="A878" s="159">
        <v>120993</v>
      </c>
      <c r="B878" s="159">
        <v>3</v>
      </c>
      <c r="C878" s="158" t="str">
        <f t="shared" si="14"/>
        <v>3</v>
      </c>
    </row>
    <row r="879" spans="1:3" x14ac:dyDescent="0.25">
      <c r="A879" s="159">
        <v>121000</v>
      </c>
      <c r="B879" s="159">
        <v>6</v>
      </c>
      <c r="C879" s="158">
        <f t="shared" si="14"/>
        <v>6</v>
      </c>
    </row>
    <row r="880" spans="1:3" x14ac:dyDescent="0.25">
      <c r="A880" s="159">
        <v>121001</v>
      </c>
      <c r="B880" s="159">
        <v>4</v>
      </c>
      <c r="C880" s="158" t="str">
        <f t="shared" si="14"/>
        <v>4</v>
      </c>
    </row>
    <row r="881" spans="1:3" x14ac:dyDescent="0.25">
      <c r="A881" s="159">
        <v>121003</v>
      </c>
      <c r="B881" s="159">
        <v>6</v>
      </c>
      <c r="C881" s="158">
        <f t="shared" si="14"/>
        <v>6</v>
      </c>
    </row>
    <row r="882" spans="1:3" x14ac:dyDescent="0.25">
      <c r="A882" s="159">
        <v>121004</v>
      </c>
      <c r="B882" s="159">
        <v>4</v>
      </c>
      <c r="C882" s="158" t="str">
        <f t="shared" si="14"/>
        <v>4</v>
      </c>
    </row>
    <row r="883" spans="1:3" x14ac:dyDescent="0.25">
      <c r="A883" s="159">
        <v>121005</v>
      </c>
      <c r="B883" s="159">
        <v>6</v>
      </c>
      <c r="C883" s="158">
        <f t="shared" si="14"/>
        <v>6</v>
      </c>
    </row>
    <row r="884" spans="1:3" x14ac:dyDescent="0.25">
      <c r="A884" s="159">
        <v>121006</v>
      </c>
      <c r="B884" s="159">
        <v>2</v>
      </c>
      <c r="C884" s="158" t="str">
        <f t="shared" si="14"/>
        <v>2</v>
      </c>
    </row>
    <row r="885" spans="1:3" x14ac:dyDescent="0.25">
      <c r="A885" s="159">
        <v>121007</v>
      </c>
      <c r="B885" s="159">
        <v>3</v>
      </c>
      <c r="C885" s="158" t="str">
        <f t="shared" si="14"/>
        <v>3</v>
      </c>
    </row>
    <row r="886" spans="1:3" x14ac:dyDescent="0.25">
      <c r="A886" s="159">
        <v>121008</v>
      </c>
      <c r="B886" s="159">
        <v>2</v>
      </c>
      <c r="C886" s="158" t="str">
        <f t="shared" si="14"/>
        <v>2</v>
      </c>
    </row>
    <row r="887" spans="1:3" x14ac:dyDescent="0.25">
      <c r="A887" s="159">
        <v>121021</v>
      </c>
      <c r="B887" s="159">
        <v>1</v>
      </c>
      <c r="C887" s="158" t="str">
        <f t="shared" si="14"/>
        <v>1</v>
      </c>
    </row>
    <row r="888" spans="1:3" x14ac:dyDescent="0.25">
      <c r="A888" s="159">
        <v>121025</v>
      </c>
      <c r="B888" s="159">
        <v>3</v>
      </c>
      <c r="C888" s="158" t="str">
        <f t="shared" si="14"/>
        <v>3</v>
      </c>
    </row>
    <row r="889" spans="1:3" x14ac:dyDescent="0.25">
      <c r="A889" s="159">
        <v>121026</v>
      </c>
      <c r="B889" s="159">
        <v>3</v>
      </c>
      <c r="C889" s="158" t="str">
        <f t="shared" si="14"/>
        <v>3</v>
      </c>
    </row>
    <row r="890" spans="1:3" x14ac:dyDescent="0.25">
      <c r="A890" s="159">
        <v>121027</v>
      </c>
      <c r="B890" s="159">
        <v>2</v>
      </c>
      <c r="C890" s="158" t="str">
        <f t="shared" si="14"/>
        <v>2</v>
      </c>
    </row>
    <row r="891" spans="1:3" x14ac:dyDescent="0.25">
      <c r="A891" s="159">
        <v>121035</v>
      </c>
      <c r="B891" s="159">
        <v>1</v>
      </c>
      <c r="C891" s="158" t="str">
        <f t="shared" si="14"/>
        <v>1</v>
      </c>
    </row>
    <row r="892" spans="1:3" x14ac:dyDescent="0.25">
      <c r="A892" s="159">
        <v>121037</v>
      </c>
      <c r="B892" s="159">
        <v>1</v>
      </c>
      <c r="C892" s="158" t="str">
        <f t="shared" si="14"/>
        <v>1</v>
      </c>
    </row>
    <row r="893" spans="1:3" x14ac:dyDescent="0.25">
      <c r="A893" s="159">
        <v>121043</v>
      </c>
      <c r="B893" s="159">
        <v>1</v>
      </c>
      <c r="C893" s="158" t="str">
        <f t="shared" si="14"/>
        <v>1</v>
      </c>
    </row>
    <row r="894" spans="1:3" x14ac:dyDescent="0.25">
      <c r="A894" s="159">
        <v>121046</v>
      </c>
      <c r="B894" s="159">
        <v>1</v>
      </c>
      <c r="C894" s="158" t="str">
        <f t="shared" si="14"/>
        <v>1</v>
      </c>
    </row>
    <row r="895" spans="1:3" x14ac:dyDescent="0.25">
      <c r="A895" s="159">
        <v>121047</v>
      </c>
      <c r="B895" s="159">
        <v>4</v>
      </c>
      <c r="C895" s="158" t="str">
        <f t="shared" si="14"/>
        <v>4</v>
      </c>
    </row>
    <row r="896" spans="1:3" x14ac:dyDescent="0.25">
      <c r="A896" s="159">
        <v>121048</v>
      </c>
      <c r="B896" s="159">
        <v>6</v>
      </c>
      <c r="C896" s="158">
        <f t="shared" si="14"/>
        <v>6</v>
      </c>
    </row>
    <row r="897" spans="1:3" x14ac:dyDescent="0.25">
      <c r="A897" s="159">
        <v>121049</v>
      </c>
      <c r="B897" s="159">
        <v>1</v>
      </c>
      <c r="C897" s="158" t="str">
        <f t="shared" si="14"/>
        <v>1</v>
      </c>
    </row>
    <row r="898" spans="1:3" x14ac:dyDescent="0.25">
      <c r="A898" s="159">
        <v>121050</v>
      </c>
      <c r="B898" s="159">
        <v>6</v>
      </c>
      <c r="C898" s="158">
        <f t="shared" si="14"/>
        <v>6</v>
      </c>
    </row>
    <row r="899" spans="1:3" x14ac:dyDescent="0.25">
      <c r="A899" s="159">
        <v>121051</v>
      </c>
      <c r="B899" s="159">
        <v>1</v>
      </c>
      <c r="C899" s="158" t="str">
        <f t="shared" si="14"/>
        <v>1</v>
      </c>
    </row>
    <row r="900" spans="1:3" x14ac:dyDescent="0.25">
      <c r="A900" s="159">
        <v>121052</v>
      </c>
      <c r="B900" s="159">
        <v>1</v>
      </c>
      <c r="C900" s="158" t="str">
        <f t="shared" si="14"/>
        <v>1</v>
      </c>
    </row>
    <row r="901" spans="1:3" x14ac:dyDescent="0.25">
      <c r="A901" s="159">
        <v>121053</v>
      </c>
      <c r="B901" s="159">
        <v>5</v>
      </c>
      <c r="C901" s="158" t="str">
        <f t="shared" si="14"/>
        <v>5</v>
      </c>
    </row>
    <row r="902" spans="1:3" x14ac:dyDescent="0.25">
      <c r="A902" s="159">
        <v>121057</v>
      </c>
      <c r="B902" s="159">
        <v>1</v>
      </c>
      <c r="C902" s="158" t="str">
        <f t="shared" si="14"/>
        <v>1</v>
      </c>
    </row>
    <row r="903" spans="1:3" x14ac:dyDescent="0.25">
      <c r="A903" s="159">
        <v>121063</v>
      </c>
      <c r="B903" s="159">
        <v>1</v>
      </c>
      <c r="C903" s="158" t="str">
        <f t="shared" si="14"/>
        <v>1</v>
      </c>
    </row>
    <row r="904" spans="1:3" x14ac:dyDescent="0.25">
      <c r="A904" s="159">
        <v>121111</v>
      </c>
      <c r="B904" s="159">
        <v>5</v>
      </c>
      <c r="C904" s="158" t="str">
        <f t="shared" si="14"/>
        <v>5</v>
      </c>
    </row>
    <row r="905" spans="1:3" x14ac:dyDescent="0.25">
      <c r="A905" s="159">
        <v>121121</v>
      </c>
      <c r="B905" s="159">
        <v>1</v>
      </c>
      <c r="C905" s="158" t="str">
        <f t="shared" si="14"/>
        <v>1</v>
      </c>
    </row>
    <row r="906" spans="1:3" x14ac:dyDescent="0.25">
      <c r="A906" s="159">
        <v>121154</v>
      </c>
      <c r="B906" s="159">
        <v>1</v>
      </c>
      <c r="C906" s="158" t="str">
        <f t="shared" si="14"/>
        <v>1</v>
      </c>
    </row>
    <row r="907" spans="1:3" x14ac:dyDescent="0.25">
      <c r="A907" s="159">
        <v>121157</v>
      </c>
      <c r="B907" s="159">
        <v>4</v>
      </c>
      <c r="C907" s="158" t="str">
        <f t="shared" si="14"/>
        <v>4</v>
      </c>
    </row>
    <row r="908" spans="1:3" x14ac:dyDescent="0.25">
      <c r="A908" s="159">
        <v>121159</v>
      </c>
      <c r="B908" s="159">
        <v>1</v>
      </c>
      <c r="C908" s="158" t="str">
        <f t="shared" si="14"/>
        <v>1</v>
      </c>
    </row>
    <row r="909" spans="1:3" x14ac:dyDescent="0.25">
      <c r="A909" s="159">
        <v>121161</v>
      </c>
      <c r="B909" s="159">
        <v>4</v>
      </c>
      <c r="C909" s="158" t="str">
        <f t="shared" ref="C909:C972" si="15">IF(OR(B909=0,B909=1,B909=2,B909=3,B909=4,B909=5),TEXT(B909,"0"),B909)</f>
        <v>4</v>
      </c>
    </row>
    <row r="910" spans="1:3" x14ac:dyDescent="0.25">
      <c r="A910" s="159">
        <v>121162</v>
      </c>
      <c r="B910" s="159">
        <v>1</v>
      </c>
      <c r="C910" s="158" t="str">
        <f t="shared" si="15"/>
        <v>1</v>
      </c>
    </row>
    <row r="911" spans="1:3" x14ac:dyDescent="0.25">
      <c r="A911" s="159">
        <v>121163</v>
      </c>
      <c r="B911" s="159">
        <v>1</v>
      </c>
      <c r="C911" s="158" t="str">
        <f t="shared" si="15"/>
        <v>1</v>
      </c>
    </row>
    <row r="912" spans="1:3" x14ac:dyDescent="0.25">
      <c r="A912" s="159">
        <v>121164</v>
      </c>
      <c r="B912" s="159">
        <v>1</v>
      </c>
      <c r="C912" s="158" t="str">
        <f t="shared" si="15"/>
        <v>1</v>
      </c>
    </row>
    <row r="913" spans="1:3" x14ac:dyDescent="0.25">
      <c r="A913" s="159">
        <v>121165</v>
      </c>
      <c r="B913" s="159">
        <v>1</v>
      </c>
      <c r="C913" s="158" t="str">
        <f t="shared" si="15"/>
        <v>1</v>
      </c>
    </row>
    <row r="914" spans="1:3" x14ac:dyDescent="0.25">
      <c r="A914" s="159">
        <v>121166</v>
      </c>
      <c r="B914" s="159">
        <v>1</v>
      </c>
      <c r="C914" s="158" t="str">
        <f t="shared" si="15"/>
        <v>1</v>
      </c>
    </row>
    <row r="915" spans="1:3" x14ac:dyDescent="0.25">
      <c r="A915" s="159">
        <v>121168</v>
      </c>
      <c r="B915" s="159">
        <v>4</v>
      </c>
      <c r="C915" s="158" t="str">
        <f t="shared" si="15"/>
        <v>4</v>
      </c>
    </row>
    <row r="916" spans="1:3" x14ac:dyDescent="0.25">
      <c r="A916" s="159">
        <v>121169</v>
      </c>
      <c r="B916" s="159">
        <v>6</v>
      </c>
      <c r="C916" s="158">
        <f t="shared" si="15"/>
        <v>6</v>
      </c>
    </row>
    <row r="917" spans="1:3" x14ac:dyDescent="0.25">
      <c r="A917" s="159">
        <v>121171</v>
      </c>
      <c r="B917" s="159">
        <v>1</v>
      </c>
      <c r="C917" s="158" t="str">
        <f t="shared" si="15"/>
        <v>1</v>
      </c>
    </row>
    <row r="918" spans="1:3" x14ac:dyDescent="0.25">
      <c r="A918" s="159">
        <v>121172</v>
      </c>
      <c r="B918" s="159">
        <v>1</v>
      </c>
      <c r="C918" s="158" t="str">
        <f t="shared" si="15"/>
        <v>1</v>
      </c>
    </row>
    <row r="919" spans="1:3" x14ac:dyDescent="0.25">
      <c r="A919" s="159">
        <v>121196</v>
      </c>
      <c r="B919" s="159">
        <v>1</v>
      </c>
      <c r="C919" s="158" t="str">
        <f t="shared" si="15"/>
        <v>1</v>
      </c>
    </row>
    <row r="920" spans="1:3" x14ac:dyDescent="0.25">
      <c r="A920" s="159">
        <v>121197</v>
      </c>
      <c r="B920" s="159">
        <v>1</v>
      </c>
      <c r="C920" s="158" t="str">
        <f t="shared" si="15"/>
        <v>1</v>
      </c>
    </row>
    <row r="921" spans="1:3" x14ac:dyDescent="0.25">
      <c r="A921" s="159">
        <v>121242</v>
      </c>
      <c r="B921" s="159">
        <v>1</v>
      </c>
      <c r="C921" s="158" t="str">
        <f t="shared" si="15"/>
        <v>1</v>
      </c>
    </row>
    <row r="922" spans="1:3" x14ac:dyDescent="0.25">
      <c r="A922" s="159">
        <v>121243</v>
      </c>
      <c r="B922" s="159">
        <v>1</v>
      </c>
      <c r="C922" s="158" t="str">
        <f t="shared" si="15"/>
        <v>1</v>
      </c>
    </row>
    <row r="923" spans="1:3" x14ac:dyDescent="0.25">
      <c r="A923" s="159">
        <v>121244</v>
      </c>
      <c r="B923" s="159">
        <v>1</v>
      </c>
      <c r="C923" s="158" t="str">
        <f t="shared" si="15"/>
        <v>1</v>
      </c>
    </row>
    <row r="924" spans="1:3" x14ac:dyDescent="0.25">
      <c r="A924" s="159">
        <v>121245</v>
      </c>
      <c r="B924" s="159">
        <v>1</v>
      </c>
      <c r="C924" s="158" t="str">
        <f t="shared" si="15"/>
        <v>1</v>
      </c>
    </row>
    <row r="925" spans="1:3" x14ac:dyDescent="0.25">
      <c r="A925" s="159">
        <v>121310</v>
      </c>
      <c r="B925" s="159">
        <v>5</v>
      </c>
      <c r="C925" s="158" t="str">
        <f t="shared" si="15"/>
        <v>5</v>
      </c>
    </row>
    <row r="926" spans="1:3" x14ac:dyDescent="0.25">
      <c r="A926" s="159">
        <v>121359</v>
      </c>
      <c r="B926" s="159">
        <v>1</v>
      </c>
      <c r="C926" s="158" t="str">
        <f t="shared" si="15"/>
        <v>1</v>
      </c>
    </row>
    <row r="927" spans="1:3" x14ac:dyDescent="0.25">
      <c r="A927" s="159">
        <v>121360</v>
      </c>
      <c r="B927" s="159">
        <v>1</v>
      </c>
      <c r="C927" s="158" t="str">
        <f t="shared" si="15"/>
        <v>1</v>
      </c>
    </row>
    <row r="928" spans="1:3" x14ac:dyDescent="0.25">
      <c r="A928" s="159">
        <v>121368</v>
      </c>
      <c r="B928" s="159">
        <v>1</v>
      </c>
      <c r="C928" s="158" t="str">
        <f t="shared" si="15"/>
        <v>1</v>
      </c>
    </row>
    <row r="929" spans="1:3" x14ac:dyDescent="0.25">
      <c r="A929" s="159">
        <v>121369</v>
      </c>
      <c r="B929" s="159">
        <v>1</v>
      </c>
      <c r="C929" s="158" t="str">
        <f t="shared" si="15"/>
        <v>1</v>
      </c>
    </row>
    <row r="930" spans="1:3" x14ac:dyDescent="0.25">
      <c r="A930" s="159">
        <v>121370</v>
      </c>
      <c r="B930" s="159">
        <v>1</v>
      </c>
      <c r="C930" s="158" t="str">
        <f t="shared" si="15"/>
        <v>1</v>
      </c>
    </row>
    <row r="931" spans="1:3" x14ac:dyDescent="0.25">
      <c r="A931" s="159">
        <v>121402</v>
      </c>
      <c r="B931" s="159">
        <v>1</v>
      </c>
      <c r="C931" s="158" t="str">
        <f t="shared" si="15"/>
        <v>1</v>
      </c>
    </row>
    <row r="932" spans="1:3" x14ac:dyDescent="0.25">
      <c r="A932" s="159">
        <v>121414</v>
      </c>
      <c r="B932" s="159">
        <v>6</v>
      </c>
      <c r="C932" s="158">
        <f t="shared" si="15"/>
        <v>6</v>
      </c>
    </row>
    <row r="933" spans="1:3" x14ac:dyDescent="0.25">
      <c r="A933" s="159">
        <v>121425</v>
      </c>
      <c r="B933" s="159">
        <v>4</v>
      </c>
      <c r="C933" s="158" t="str">
        <f t="shared" si="15"/>
        <v>4</v>
      </c>
    </row>
    <row r="934" spans="1:3" x14ac:dyDescent="0.25">
      <c r="A934" s="159">
        <v>121432</v>
      </c>
      <c r="B934" s="159">
        <v>2</v>
      </c>
      <c r="C934" s="158" t="str">
        <f t="shared" si="15"/>
        <v>2</v>
      </c>
    </row>
    <row r="935" spans="1:3" x14ac:dyDescent="0.25">
      <c r="A935" s="159">
        <v>121433</v>
      </c>
      <c r="B935" s="159">
        <v>3</v>
      </c>
      <c r="C935" s="158" t="str">
        <f t="shared" si="15"/>
        <v>3</v>
      </c>
    </row>
    <row r="936" spans="1:3" x14ac:dyDescent="0.25">
      <c r="A936" s="159">
        <v>121434</v>
      </c>
      <c r="B936" s="159" t="s">
        <v>437</v>
      </c>
      <c r="C936" s="158" t="str">
        <f t="shared" si="15"/>
        <v>1S</v>
      </c>
    </row>
    <row r="937" spans="1:3" x14ac:dyDescent="0.25">
      <c r="A937" s="159">
        <v>121435</v>
      </c>
      <c r="B937" s="159">
        <v>1</v>
      </c>
      <c r="C937" s="158" t="str">
        <f t="shared" si="15"/>
        <v>1</v>
      </c>
    </row>
    <row r="938" spans="1:3" x14ac:dyDescent="0.25">
      <c r="A938" s="159">
        <v>121436</v>
      </c>
      <c r="B938" s="159" t="s">
        <v>437</v>
      </c>
      <c r="C938" s="158" t="str">
        <f t="shared" si="15"/>
        <v>1S</v>
      </c>
    </row>
    <row r="939" spans="1:3" x14ac:dyDescent="0.25">
      <c r="A939" s="159">
        <v>121438</v>
      </c>
      <c r="B939" s="159">
        <v>3</v>
      </c>
      <c r="C939" s="158" t="str">
        <f t="shared" si="15"/>
        <v>3</v>
      </c>
    </row>
    <row r="940" spans="1:3" x14ac:dyDescent="0.25">
      <c r="A940" s="159">
        <v>121439</v>
      </c>
      <c r="B940" s="159">
        <v>1</v>
      </c>
      <c r="C940" s="158" t="str">
        <f t="shared" si="15"/>
        <v>1</v>
      </c>
    </row>
    <row r="941" spans="1:3" x14ac:dyDescent="0.25">
      <c r="A941" s="159">
        <v>121440</v>
      </c>
      <c r="B941" s="159">
        <v>1</v>
      </c>
      <c r="C941" s="158" t="str">
        <f t="shared" si="15"/>
        <v>1</v>
      </c>
    </row>
    <row r="942" spans="1:3" x14ac:dyDescent="0.25">
      <c r="A942" s="159">
        <v>121441</v>
      </c>
      <c r="B942" s="159">
        <v>1</v>
      </c>
      <c r="C942" s="158" t="str">
        <f t="shared" si="15"/>
        <v>1</v>
      </c>
    </row>
    <row r="943" spans="1:3" x14ac:dyDescent="0.25">
      <c r="A943" s="159">
        <v>121442</v>
      </c>
      <c r="B943" s="159">
        <v>1</v>
      </c>
      <c r="C943" s="158" t="str">
        <f t="shared" si="15"/>
        <v>1</v>
      </c>
    </row>
    <row r="944" spans="1:3" x14ac:dyDescent="0.25">
      <c r="A944" s="159">
        <v>121443</v>
      </c>
      <c r="B944" s="159">
        <v>1</v>
      </c>
      <c r="C944" s="158" t="str">
        <f t="shared" si="15"/>
        <v>1</v>
      </c>
    </row>
    <row r="945" spans="1:3" x14ac:dyDescent="0.25">
      <c r="A945" s="159">
        <v>121447</v>
      </c>
      <c r="B945" s="159">
        <v>1</v>
      </c>
      <c r="C945" s="158" t="str">
        <f t="shared" si="15"/>
        <v>1</v>
      </c>
    </row>
    <row r="946" spans="1:3" x14ac:dyDescent="0.25">
      <c r="A946" s="159">
        <v>121452</v>
      </c>
      <c r="B946" s="159">
        <v>6</v>
      </c>
      <c r="C946" s="158">
        <f t="shared" si="15"/>
        <v>6</v>
      </c>
    </row>
    <row r="947" spans="1:3" x14ac:dyDescent="0.25">
      <c r="A947" s="159">
        <v>121453</v>
      </c>
      <c r="B947" s="159">
        <v>4</v>
      </c>
      <c r="C947" s="158" t="str">
        <f t="shared" si="15"/>
        <v>4</v>
      </c>
    </row>
    <row r="948" spans="1:3" x14ac:dyDescent="0.25">
      <c r="A948" s="159">
        <v>121464</v>
      </c>
      <c r="B948" s="159">
        <v>2</v>
      </c>
      <c r="C948" s="158" t="str">
        <f t="shared" si="15"/>
        <v>2</v>
      </c>
    </row>
    <row r="949" spans="1:3" x14ac:dyDescent="0.25">
      <c r="A949" s="159">
        <v>121465</v>
      </c>
      <c r="B949" s="159">
        <v>1</v>
      </c>
      <c r="C949" s="158" t="str">
        <f t="shared" si="15"/>
        <v>1</v>
      </c>
    </row>
    <row r="950" spans="1:3" x14ac:dyDescent="0.25">
      <c r="A950" s="159">
        <v>121471</v>
      </c>
      <c r="B950" s="159">
        <v>4</v>
      </c>
      <c r="C950" s="158" t="str">
        <f t="shared" si="15"/>
        <v>4</v>
      </c>
    </row>
    <row r="951" spans="1:3" x14ac:dyDescent="0.25">
      <c r="A951" s="159">
        <v>121485</v>
      </c>
      <c r="B951" s="159">
        <v>1</v>
      </c>
      <c r="C951" s="158" t="str">
        <f t="shared" si="15"/>
        <v>1</v>
      </c>
    </row>
    <row r="952" spans="1:3" x14ac:dyDescent="0.25">
      <c r="A952" s="159">
        <v>121486</v>
      </c>
      <c r="B952" s="159">
        <v>2</v>
      </c>
      <c r="C952" s="158" t="str">
        <f t="shared" si="15"/>
        <v>2</v>
      </c>
    </row>
    <row r="953" spans="1:3" x14ac:dyDescent="0.25">
      <c r="A953" s="159">
        <v>121487</v>
      </c>
      <c r="B953" s="159">
        <v>4</v>
      </c>
      <c r="C953" s="158" t="str">
        <f t="shared" si="15"/>
        <v>4</v>
      </c>
    </row>
    <row r="954" spans="1:3" x14ac:dyDescent="0.25">
      <c r="A954" s="159">
        <v>121511</v>
      </c>
      <c r="B954" s="159">
        <v>3</v>
      </c>
      <c r="C954" s="158" t="str">
        <f t="shared" si="15"/>
        <v>3</v>
      </c>
    </row>
    <row r="955" spans="1:3" x14ac:dyDescent="0.25">
      <c r="A955" s="159">
        <v>121528</v>
      </c>
      <c r="B955" s="159">
        <v>1</v>
      </c>
      <c r="C955" s="158" t="str">
        <f t="shared" si="15"/>
        <v>1</v>
      </c>
    </row>
    <row r="956" spans="1:3" x14ac:dyDescent="0.25">
      <c r="A956" s="159">
        <v>121531</v>
      </c>
      <c r="B956" s="159">
        <v>3</v>
      </c>
      <c r="C956" s="158" t="str">
        <f t="shared" si="15"/>
        <v>3</v>
      </c>
    </row>
    <row r="957" spans="1:3" x14ac:dyDescent="0.25">
      <c r="A957" s="159">
        <v>121533</v>
      </c>
      <c r="B957" s="159">
        <v>1</v>
      </c>
      <c r="C957" s="158" t="str">
        <f t="shared" si="15"/>
        <v>1</v>
      </c>
    </row>
    <row r="958" spans="1:3" x14ac:dyDescent="0.25">
      <c r="A958" s="159">
        <v>121545</v>
      </c>
      <c r="B958" s="159">
        <v>3</v>
      </c>
      <c r="C958" s="158" t="str">
        <f t="shared" si="15"/>
        <v>3</v>
      </c>
    </row>
    <row r="959" spans="1:3" x14ac:dyDescent="0.25">
      <c r="A959" s="159">
        <v>121546</v>
      </c>
      <c r="B959" s="159">
        <v>3</v>
      </c>
      <c r="C959" s="158" t="str">
        <f t="shared" si="15"/>
        <v>3</v>
      </c>
    </row>
    <row r="960" spans="1:3" x14ac:dyDescent="0.25">
      <c r="A960" s="159">
        <v>121547</v>
      </c>
      <c r="B960" s="159">
        <v>3</v>
      </c>
      <c r="C960" s="158" t="str">
        <f t="shared" si="15"/>
        <v>3</v>
      </c>
    </row>
    <row r="961" spans="1:3" x14ac:dyDescent="0.25">
      <c r="A961" s="159">
        <v>121548</v>
      </c>
      <c r="B961" s="159">
        <v>1</v>
      </c>
      <c r="C961" s="158" t="str">
        <f t="shared" si="15"/>
        <v>1</v>
      </c>
    </row>
    <row r="962" spans="1:3" x14ac:dyDescent="0.25">
      <c r="A962" s="159">
        <v>121549</v>
      </c>
      <c r="B962" s="159">
        <v>1</v>
      </c>
      <c r="C962" s="158" t="str">
        <f t="shared" si="15"/>
        <v>1</v>
      </c>
    </row>
    <row r="963" spans="1:3" x14ac:dyDescent="0.25">
      <c r="A963" s="159">
        <v>121551</v>
      </c>
      <c r="B963" s="159">
        <v>1</v>
      </c>
      <c r="C963" s="158" t="str">
        <f t="shared" si="15"/>
        <v>1</v>
      </c>
    </row>
    <row r="964" spans="1:3" x14ac:dyDescent="0.25">
      <c r="A964" s="159">
        <v>121588</v>
      </c>
      <c r="B964" s="159">
        <v>5</v>
      </c>
      <c r="C964" s="158" t="str">
        <f t="shared" si="15"/>
        <v>5</v>
      </c>
    </row>
    <row r="965" spans="1:3" x14ac:dyDescent="0.25">
      <c r="A965" s="159">
        <v>121589</v>
      </c>
      <c r="B965" s="159">
        <v>1</v>
      </c>
      <c r="C965" s="158" t="str">
        <f t="shared" si="15"/>
        <v>1</v>
      </c>
    </row>
    <row r="966" spans="1:3" x14ac:dyDescent="0.25">
      <c r="A966" s="159">
        <v>121591</v>
      </c>
      <c r="B966" s="159">
        <v>5</v>
      </c>
      <c r="C966" s="158" t="str">
        <f t="shared" si="15"/>
        <v>5</v>
      </c>
    </row>
    <row r="967" spans="1:3" x14ac:dyDescent="0.25">
      <c r="A967" s="159">
        <v>121592</v>
      </c>
      <c r="B967" s="159" t="s">
        <v>439</v>
      </c>
      <c r="C967" s="158" t="str">
        <f t="shared" si="15"/>
        <v>3S</v>
      </c>
    </row>
    <row r="968" spans="1:3" x14ac:dyDescent="0.25">
      <c r="A968" s="159">
        <v>121593</v>
      </c>
      <c r="B968" s="159" t="s">
        <v>439</v>
      </c>
      <c r="C968" s="158" t="str">
        <f t="shared" si="15"/>
        <v>3S</v>
      </c>
    </row>
    <row r="969" spans="1:3" x14ac:dyDescent="0.25">
      <c r="A969" s="159">
        <v>121594</v>
      </c>
      <c r="B969" s="159" t="s">
        <v>439</v>
      </c>
      <c r="C969" s="158" t="str">
        <f t="shared" si="15"/>
        <v>3S</v>
      </c>
    </row>
    <row r="970" spans="1:3" x14ac:dyDescent="0.25">
      <c r="A970" s="159">
        <v>121595</v>
      </c>
      <c r="B970" s="159">
        <v>1</v>
      </c>
      <c r="C970" s="158" t="str">
        <f t="shared" si="15"/>
        <v>1</v>
      </c>
    </row>
    <row r="971" spans="1:3" x14ac:dyDescent="0.25">
      <c r="A971" s="159">
        <v>121596</v>
      </c>
      <c r="B971" s="159">
        <v>1</v>
      </c>
      <c r="C971" s="158" t="str">
        <f t="shared" si="15"/>
        <v>1</v>
      </c>
    </row>
    <row r="972" spans="1:3" x14ac:dyDescent="0.25">
      <c r="A972" s="159">
        <v>121597</v>
      </c>
      <c r="B972" s="159">
        <v>1</v>
      </c>
      <c r="C972" s="158" t="str">
        <f t="shared" si="15"/>
        <v>1</v>
      </c>
    </row>
    <row r="973" spans="1:3" x14ac:dyDescent="0.25">
      <c r="A973" s="159">
        <v>121603</v>
      </c>
      <c r="B973" s="159">
        <v>1</v>
      </c>
      <c r="C973" s="158" t="str">
        <f t="shared" ref="C973:C1036" si="16">IF(OR(B973=0,B973=1,B973=2,B973=3,B973=4,B973=5),TEXT(B973,"0"),B973)</f>
        <v>1</v>
      </c>
    </row>
    <row r="974" spans="1:3" x14ac:dyDescent="0.25">
      <c r="A974" s="159">
        <v>121605</v>
      </c>
      <c r="B974" s="159">
        <v>1</v>
      </c>
      <c r="C974" s="158" t="str">
        <f t="shared" si="16"/>
        <v>1</v>
      </c>
    </row>
    <row r="975" spans="1:3" x14ac:dyDescent="0.25">
      <c r="A975" s="159">
        <v>121606</v>
      </c>
      <c r="B975" s="159">
        <v>1</v>
      </c>
      <c r="C975" s="158" t="str">
        <f t="shared" si="16"/>
        <v>1</v>
      </c>
    </row>
    <row r="976" spans="1:3" x14ac:dyDescent="0.25">
      <c r="A976" s="159">
        <v>121618</v>
      </c>
      <c r="B976" s="159" t="s">
        <v>439</v>
      </c>
      <c r="C976" s="158" t="str">
        <f t="shared" si="16"/>
        <v>3S</v>
      </c>
    </row>
    <row r="977" spans="1:3" x14ac:dyDescent="0.25">
      <c r="A977" s="159">
        <v>121647</v>
      </c>
      <c r="B977" s="159" t="s">
        <v>440</v>
      </c>
      <c r="C977" s="158" t="str">
        <f t="shared" si="16"/>
        <v>5S</v>
      </c>
    </row>
    <row r="978" spans="1:3" x14ac:dyDescent="0.25">
      <c r="A978" s="159">
        <v>121648</v>
      </c>
      <c r="B978" s="159" t="s">
        <v>454</v>
      </c>
      <c r="C978" s="158" t="str">
        <f t="shared" si="16"/>
        <v>6S</v>
      </c>
    </row>
    <row r="979" spans="1:3" x14ac:dyDescent="0.25">
      <c r="A979" s="159">
        <v>121649</v>
      </c>
      <c r="B979" s="159" t="s">
        <v>454</v>
      </c>
      <c r="C979" s="158" t="str">
        <f t="shared" si="16"/>
        <v>6S</v>
      </c>
    </row>
    <row r="980" spans="1:3" x14ac:dyDescent="0.25">
      <c r="A980" s="159">
        <v>121671</v>
      </c>
      <c r="B980" s="159">
        <v>1</v>
      </c>
      <c r="C980" s="158" t="str">
        <f t="shared" si="16"/>
        <v>1</v>
      </c>
    </row>
    <row r="981" spans="1:3" x14ac:dyDescent="0.25">
      <c r="A981" s="159">
        <v>121672</v>
      </c>
      <c r="B981" s="159">
        <v>1</v>
      </c>
      <c r="C981" s="158" t="str">
        <f t="shared" si="16"/>
        <v>1</v>
      </c>
    </row>
    <row r="982" spans="1:3" x14ac:dyDescent="0.25">
      <c r="A982" s="159">
        <v>121678</v>
      </c>
      <c r="B982" s="159">
        <v>3</v>
      </c>
      <c r="C982" s="158" t="str">
        <f t="shared" si="16"/>
        <v>3</v>
      </c>
    </row>
    <row r="983" spans="1:3" x14ac:dyDescent="0.25">
      <c r="A983" s="159">
        <v>121679</v>
      </c>
      <c r="B983" s="159">
        <v>3</v>
      </c>
      <c r="C983" s="158" t="str">
        <f t="shared" si="16"/>
        <v>3</v>
      </c>
    </row>
    <row r="984" spans="1:3" x14ac:dyDescent="0.25">
      <c r="A984" s="159">
        <v>121681</v>
      </c>
      <c r="B984" s="159">
        <v>3</v>
      </c>
      <c r="C984" s="158" t="str">
        <f t="shared" si="16"/>
        <v>3</v>
      </c>
    </row>
    <row r="985" spans="1:3" x14ac:dyDescent="0.25">
      <c r="A985" s="159">
        <v>121691</v>
      </c>
      <c r="B985" s="159">
        <v>1</v>
      </c>
      <c r="C985" s="158" t="str">
        <f t="shared" si="16"/>
        <v>1</v>
      </c>
    </row>
    <row r="986" spans="1:3" x14ac:dyDescent="0.25">
      <c r="A986" s="159">
        <v>121692</v>
      </c>
      <c r="B986" s="159">
        <v>1</v>
      </c>
      <c r="C986" s="158" t="str">
        <f t="shared" si="16"/>
        <v>1</v>
      </c>
    </row>
    <row r="987" spans="1:3" x14ac:dyDescent="0.25">
      <c r="A987" s="159">
        <v>121693</v>
      </c>
      <c r="B987" s="159">
        <v>1</v>
      </c>
      <c r="C987" s="158" t="str">
        <f t="shared" si="16"/>
        <v>1</v>
      </c>
    </row>
    <row r="988" spans="1:3" x14ac:dyDescent="0.25">
      <c r="A988" s="159">
        <v>121695</v>
      </c>
      <c r="B988" s="159">
        <v>1</v>
      </c>
      <c r="C988" s="158" t="str">
        <f t="shared" si="16"/>
        <v>1</v>
      </c>
    </row>
    <row r="989" spans="1:3" x14ac:dyDescent="0.25">
      <c r="A989" s="159">
        <v>121696</v>
      </c>
      <c r="B989" s="159">
        <v>1</v>
      </c>
      <c r="C989" s="158" t="str">
        <f t="shared" si="16"/>
        <v>1</v>
      </c>
    </row>
    <row r="990" spans="1:3" x14ac:dyDescent="0.25">
      <c r="A990" s="159">
        <v>121698</v>
      </c>
      <c r="B990" s="159">
        <v>6</v>
      </c>
      <c r="C990" s="158">
        <f t="shared" si="16"/>
        <v>6</v>
      </c>
    </row>
    <row r="991" spans="1:3" x14ac:dyDescent="0.25">
      <c r="A991" s="159">
        <v>121699</v>
      </c>
      <c r="B991" s="159">
        <v>6</v>
      </c>
      <c r="C991" s="158">
        <f t="shared" si="16"/>
        <v>6</v>
      </c>
    </row>
    <row r="992" spans="1:3" x14ac:dyDescent="0.25">
      <c r="A992" s="159">
        <v>121701</v>
      </c>
      <c r="B992" s="159">
        <v>1</v>
      </c>
      <c r="C992" s="158" t="str">
        <f t="shared" si="16"/>
        <v>1</v>
      </c>
    </row>
    <row r="993" spans="1:3" x14ac:dyDescent="0.25">
      <c r="A993" s="159">
        <v>121702</v>
      </c>
      <c r="B993" s="159">
        <v>6</v>
      </c>
      <c r="C993" s="158">
        <f t="shared" si="16"/>
        <v>6</v>
      </c>
    </row>
    <row r="994" spans="1:3" x14ac:dyDescent="0.25">
      <c r="A994" s="159">
        <v>121705</v>
      </c>
      <c r="B994" s="159">
        <v>4</v>
      </c>
      <c r="C994" s="158" t="str">
        <f t="shared" si="16"/>
        <v>4</v>
      </c>
    </row>
    <row r="995" spans="1:3" x14ac:dyDescent="0.25">
      <c r="A995" s="159">
        <v>121742</v>
      </c>
      <c r="B995" s="159">
        <v>4</v>
      </c>
      <c r="C995" s="158" t="str">
        <f t="shared" si="16"/>
        <v>4</v>
      </c>
    </row>
    <row r="996" spans="1:3" x14ac:dyDescent="0.25">
      <c r="A996" s="159">
        <v>121755</v>
      </c>
      <c r="B996" s="159">
        <v>2</v>
      </c>
      <c r="C996" s="158" t="str">
        <f t="shared" si="16"/>
        <v>2</v>
      </c>
    </row>
    <row r="997" spans="1:3" x14ac:dyDescent="0.25">
      <c r="A997" s="159">
        <v>121756</v>
      </c>
      <c r="B997" s="159">
        <v>4</v>
      </c>
      <c r="C997" s="158" t="str">
        <f t="shared" si="16"/>
        <v>4</v>
      </c>
    </row>
    <row r="998" spans="1:3" x14ac:dyDescent="0.25">
      <c r="A998" s="159">
        <v>121757</v>
      </c>
      <c r="B998" s="159">
        <v>1</v>
      </c>
      <c r="C998" s="158" t="str">
        <f t="shared" si="16"/>
        <v>1</v>
      </c>
    </row>
    <row r="999" spans="1:3" x14ac:dyDescent="0.25">
      <c r="A999" s="159">
        <v>121759</v>
      </c>
      <c r="B999" s="159">
        <v>1</v>
      </c>
      <c r="C999" s="158" t="str">
        <f t="shared" si="16"/>
        <v>1</v>
      </c>
    </row>
    <row r="1000" spans="1:3" x14ac:dyDescent="0.25">
      <c r="A1000" s="159">
        <v>121760</v>
      </c>
      <c r="B1000" s="159">
        <v>1</v>
      </c>
      <c r="C1000" s="158" t="str">
        <f t="shared" si="16"/>
        <v>1</v>
      </c>
    </row>
    <row r="1001" spans="1:3" x14ac:dyDescent="0.25">
      <c r="A1001" s="159">
        <v>121761</v>
      </c>
      <c r="B1001" s="159">
        <v>2</v>
      </c>
      <c r="C1001" s="158" t="str">
        <f t="shared" si="16"/>
        <v>2</v>
      </c>
    </row>
    <row r="1002" spans="1:3" x14ac:dyDescent="0.25">
      <c r="A1002" s="159">
        <v>121764</v>
      </c>
      <c r="B1002" s="159">
        <v>1</v>
      </c>
      <c r="C1002" s="158" t="str">
        <f t="shared" si="16"/>
        <v>1</v>
      </c>
    </row>
    <row r="1003" spans="1:3" x14ac:dyDescent="0.25">
      <c r="A1003" s="159">
        <v>121765</v>
      </c>
      <c r="B1003" s="159">
        <v>3</v>
      </c>
      <c r="C1003" s="158" t="str">
        <f t="shared" si="16"/>
        <v>3</v>
      </c>
    </row>
    <row r="1004" spans="1:3" x14ac:dyDescent="0.25">
      <c r="A1004" s="159">
        <v>121793</v>
      </c>
      <c r="B1004" s="159">
        <v>1</v>
      </c>
      <c r="C1004" s="158" t="str">
        <f t="shared" si="16"/>
        <v>1</v>
      </c>
    </row>
    <row r="1005" spans="1:3" x14ac:dyDescent="0.25">
      <c r="A1005" s="159">
        <v>121938</v>
      </c>
      <c r="B1005" s="159">
        <v>1</v>
      </c>
      <c r="C1005" s="158" t="str">
        <f t="shared" si="16"/>
        <v>1</v>
      </c>
    </row>
    <row r="1006" spans="1:3" x14ac:dyDescent="0.25">
      <c r="A1006" s="159">
        <v>121941</v>
      </c>
      <c r="B1006" s="159">
        <v>4</v>
      </c>
      <c r="C1006" s="158" t="str">
        <f t="shared" si="16"/>
        <v>4</v>
      </c>
    </row>
    <row r="1007" spans="1:3" x14ac:dyDescent="0.25">
      <c r="A1007" s="159">
        <v>121951</v>
      </c>
      <c r="B1007" s="159">
        <v>1</v>
      </c>
      <c r="C1007" s="158" t="str">
        <f t="shared" si="16"/>
        <v>1</v>
      </c>
    </row>
    <row r="1008" spans="1:3" x14ac:dyDescent="0.25">
      <c r="A1008" s="159">
        <v>121954</v>
      </c>
      <c r="B1008" s="159">
        <v>2</v>
      </c>
      <c r="C1008" s="158" t="str">
        <f t="shared" si="16"/>
        <v>2</v>
      </c>
    </row>
    <row r="1009" spans="1:3" x14ac:dyDescent="0.25">
      <c r="A1009" s="159">
        <v>121955</v>
      </c>
      <c r="B1009" s="159" t="s">
        <v>437</v>
      </c>
      <c r="C1009" s="158" t="str">
        <f t="shared" si="16"/>
        <v>1S</v>
      </c>
    </row>
    <row r="1010" spans="1:3" x14ac:dyDescent="0.25">
      <c r="A1010" s="159">
        <v>121957</v>
      </c>
      <c r="B1010" s="159">
        <v>2</v>
      </c>
      <c r="C1010" s="158" t="str">
        <f t="shared" si="16"/>
        <v>2</v>
      </c>
    </row>
    <row r="1011" spans="1:3" x14ac:dyDescent="0.25">
      <c r="A1011" s="159">
        <v>121958</v>
      </c>
      <c r="B1011" s="159">
        <v>2</v>
      </c>
      <c r="C1011" s="158" t="str">
        <f t="shared" si="16"/>
        <v>2</v>
      </c>
    </row>
    <row r="1012" spans="1:3" x14ac:dyDescent="0.25">
      <c r="A1012" s="159">
        <v>121963</v>
      </c>
      <c r="B1012" s="159">
        <v>6</v>
      </c>
      <c r="C1012" s="158">
        <f t="shared" si="16"/>
        <v>6</v>
      </c>
    </row>
    <row r="1013" spans="1:3" x14ac:dyDescent="0.25">
      <c r="A1013" s="159">
        <v>121964</v>
      </c>
      <c r="B1013" s="159">
        <v>5</v>
      </c>
      <c r="C1013" s="158" t="str">
        <f t="shared" si="16"/>
        <v>5</v>
      </c>
    </row>
    <row r="1014" spans="1:3" x14ac:dyDescent="0.25">
      <c r="A1014" s="159">
        <v>121965</v>
      </c>
      <c r="B1014" s="159">
        <v>6</v>
      </c>
      <c r="C1014" s="158">
        <f t="shared" si="16"/>
        <v>6</v>
      </c>
    </row>
    <row r="1015" spans="1:3" x14ac:dyDescent="0.25">
      <c r="A1015" s="159">
        <v>122022</v>
      </c>
      <c r="B1015" s="159">
        <v>1</v>
      </c>
      <c r="C1015" s="158" t="str">
        <f t="shared" si="16"/>
        <v>1</v>
      </c>
    </row>
    <row r="1016" spans="1:3" x14ac:dyDescent="0.25">
      <c r="A1016" s="159">
        <v>122034</v>
      </c>
      <c r="B1016" s="159">
        <v>2</v>
      </c>
      <c r="C1016" s="158" t="str">
        <f t="shared" si="16"/>
        <v>2</v>
      </c>
    </row>
    <row r="1017" spans="1:3" x14ac:dyDescent="0.25">
      <c r="A1017" s="159">
        <v>122035</v>
      </c>
      <c r="B1017" s="159">
        <v>2</v>
      </c>
      <c r="C1017" s="158" t="str">
        <f t="shared" si="16"/>
        <v>2</v>
      </c>
    </row>
    <row r="1018" spans="1:3" x14ac:dyDescent="0.25">
      <c r="A1018" s="159">
        <v>122036</v>
      </c>
      <c r="B1018" s="159">
        <v>1</v>
      </c>
      <c r="C1018" s="158" t="str">
        <f t="shared" si="16"/>
        <v>1</v>
      </c>
    </row>
    <row r="1019" spans="1:3" x14ac:dyDescent="0.25">
      <c r="A1019" s="159">
        <v>122046</v>
      </c>
      <c r="B1019" s="159">
        <v>3</v>
      </c>
      <c r="C1019" s="158" t="str">
        <f t="shared" si="16"/>
        <v>3</v>
      </c>
    </row>
    <row r="1020" spans="1:3" x14ac:dyDescent="0.25">
      <c r="A1020" s="159">
        <v>122105</v>
      </c>
      <c r="B1020" s="159">
        <v>6</v>
      </c>
      <c r="C1020" s="158">
        <f t="shared" si="16"/>
        <v>6</v>
      </c>
    </row>
    <row r="1021" spans="1:3" x14ac:dyDescent="0.25">
      <c r="A1021" s="159">
        <v>122106</v>
      </c>
      <c r="B1021" s="159">
        <v>6</v>
      </c>
      <c r="C1021" s="158">
        <f t="shared" si="16"/>
        <v>6</v>
      </c>
    </row>
    <row r="1022" spans="1:3" x14ac:dyDescent="0.25">
      <c r="A1022" s="159">
        <v>122107</v>
      </c>
      <c r="B1022" s="159">
        <v>6</v>
      </c>
      <c r="C1022" s="158">
        <f t="shared" si="16"/>
        <v>6</v>
      </c>
    </row>
    <row r="1023" spans="1:3" x14ac:dyDescent="0.25">
      <c r="A1023" s="159">
        <v>122108</v>
      </c>
      <c r="B1023" s="159">
        <v>4</v>
      </c>
      <c r="C1023" s="158" t="str">
        <f t="shared" si="16"/>
        <v>4</v>
      </c>
    </row>
    <row r="1024" spans="1:3" x14ac:dyDescent="0.25">
      <c r="A1024" s="159">
        <v>122125</v>
      </c>
      <c r="B1024" s="159" t="s">
        <v>441</v>
      </c>
      <c r="C1024" s="158" t="str">
        <f t="shared" si="16"/>
        <v>4S</v>
      </c>
    </row>
    <row r="1025" spans="1:3" x14ac:dyDescent="0.25">
      <c r="A1025" s="159">
        <v>122129</v>
      </c>
      <c r="B1025" s="159">
        <v>1</v>
      </c>
      <c r="C1025" s="158" t="str">
        <f t="shared" si="16"/>
        <v>1</v>
      </c>
    </row>
    <row r="1026" spans="1:3" x14ac:dyDescent="0.25">
      <c r="A1026" s="159">
        <v>122130</v>
      </c>
      <c r="B1026" s="159">
        <v>1</v>
      </c>
      <c r="C1026" s="158" t="str">
        <f t="shared" si="16"/>
        <v>1</v>
      </c>
    </row>
    <row r="1027" spans="1:3" x14ac:dyDescent="0.25">
      <c r="A1027" s="159">
        <v>122131</v>
      </c>
      <c r="B1027" s="159">
        <v>1</v>
      </c>
      <c r="C1027" s="158" t="str">
        <f t="shared" si="16"/>
        <v>1</v>
      </c>
    </row>
    <row r="1028" spans="1:3" x14ac:dyDescent="0.25">
      <c r="A1028" s="159">
        <v>122132</v>
      </c>
      <c r="B1028" s="159">
        <v>1</v>
      </c>
      <c r="C1028" s="158" t="str">
        <f t="shared" si="16"/>
        <v>1</v>
      </c>
    </row>
    <row r="1029" spans="1:3" x14ac:dyDescent="0.25">
      <c r="A1029" s="159">
        <v>122133</v>
      </c>
      <c r="B1029" s="159">
        <v>1</v>
      </c>
      <c r="C1029" s="158" t="str">
        <f t="shared" si="16"/>
        <v>1</v>
      </c>
    </row>
    <row r="1030" spans="1:3" x14ac:dyDescent="0.25">
      <c r="A1030" s="159">
        <v>122134</v>
      </c>
      <c r="B1030" s="159" t="s">
        <v>441</v>
      </c>
      <c r="C1030" s="158" t="str">
        <f t="shared" si="16"/>
        <v>4S</v>
      </c>
    </row>
    <row r="1031" spans="1:3" x14ac:dyDescent="0.25">
      <c r="A1031" s="159">
        <v>122136</v>
      </c>
      <c r="B1031" s="159">
        <v>1</v>
      </c>
      <c r="C1031" s="158" t="str">
        <f t="shared" si="16"/>
        <v>1</v>
      </c>
    </row>
    <row r="1032" spans="1:3" x14ac:dyDescent="0.25">
      <c r="A1032" s="159">
        <v>122137</v>
      </c>
      <c r="B1032" s="159">
        <v>1</v>
      </c>
      <c r="C1032" s="158" t="str">
        <f t="shared" si="16"/>
        <v>1</v>
      </c>
    </row>
    <row r="1033" spans="1:3" x14ac:dyDescent="0.25">
      <c r="A1033" s="159">
        <v>122138</v>
      </c>
      <c r="B1033" s="159">
        <v>1</v>
      </c>
      <c r="C1033" s="158" t="str">
        <f t="shared" si="16"/>
        <v>1</v>
      </c>
    </row>
    <row r="1034" spans="1:3" x14ac:dyDescent="0.25">
      <c r="A1034" s="159">
        <v>122140</v>
      </c>
      <c r="B1034" s="159">
        <v>1</v>
      </c>
      <c r="C1034" s="158" t="str">
        <f t="shared" si="16"/>
        <v>1</v>
      </c>
    </row>
    <row r="1035" spans="1:3" x14ac:dyDescent="0.25">
      <c r="A1035" s="159">
        <v>122141</v>
      </c>
      <c r="B1035" s="159">
        <v>4</v>
      </c>
      <c r="C1035" s="158" t="str">
        <f t="shared" si="16"/>
        <v>4</v>
      </c>
    </row>
    <row r="1036" spans="1:3" x14ac:dyDescent="0.25">
      <c r="A1036" s="159">
        <v>122142</v>
      </c>
      <c r="B1036" s="159">
        <v>1</v>
      </c>
      <c r="C1036" s="158" t="str">
        <f t="shared" si="16"/>
        <v>1</v>
      </c>
    </row>
    <row r="1037" spans="1:3" x14ac:dyDescent="0.25">
      <c r="A1037" s="159">
        <v>122143</v>
      </c>
      <c r="B1037" s="159">
        <v>4</v>
      </c>
      <c r="C1037" s="158" t="str">
        <f t="shared" ref="C1037:C1100" si="17">IF(OR(B1037=0,B1037=1,B1037=2,B1037=3,B1037=4,B1037=5),TEXT(B1037,"0"),B1037)</f>
        <v>4</v>
      </c>
    </row>
    <row r="1038" spans="1:3" x14ac:dyDescent="0.25">
      <c r="A1038" s="159">
        <v>122144</v>
      </c>
      <c r="B1038" s="159">
        <v>4</v>
      </c>
      <c r="C1038" s="158" t="str">
        <f t="shared" si="17"/>
        <v>4</v>
      </c>
    </row>
    <row r="1039" spans="1:3" x14ac:dyDescent="0.25">
      <c r="A1039" s="159">
        <v>122145</v>
      </c>
      <c r="B1039" s="159">
        <v>4</v>
      </c>
      <c r="C1039" s="158" t="str">
        <f t="shared" si="17"/>
        <v>4</v>
      </c>
    </row>
    <row r="1040" spans="1:3" x14ac:dyDescent="0.25">
      <c r="A1040" s="159">
        <v>122147</v>
      </c>
      <c r="B1040" s="159" t="s">
        <v>454</v>
      </c>
      <c r="C1040" s="158" t="str">
        <f t="shared" si="17"/>
        <v>6S</v>
      </c>
    </row>
    <row r="1041" spans="1:3" x14ac:dyDescent="0.25">
      <c r="A1041" s="159">
        <v>122148</v>
      </c>
      <c r="B1041" s="159">
        <v>4</v>
      </c>
      <c r="C1041" s="158" t="str">
        <f t="shared" si="17"/>
        <v>4</v>
      </c>
    </row>
    <row r="1042" spans="1:3" x14ac:dyDescent="0.25">
      <c r="A1042" s="159">
        <v>122150</v>
      </c>
      <c r="B1042" s="159">
        <v>4</v>
      </c>
      <c r="C1042" s="158" t="str">
        <f t="shared" si="17"/>
        <v>4</v>
      </c>
    </row>
    <row r="1043" spans="1:3" x14ac:dyDescent="0.25">
      <c r="A1043" s="159">
        <v>122151</v>
      </c>
      <c r="B1043" s="159" t="s">
        <v>438</v>
      </c>
      <c r="C1043" s="158" t="str">
        <f t="shared" si="17"/>
        <v>2S</v>
      </c>
    </row>
    <row r="1044" spans="1:3" x14ac:dyDescent="0.25">
      <c r="A1044" s="159">
        <v>122152</v>
      </c>
      <c r="B1044" s="159" t="s">
        <v>437</v>
      </c>
      <c r="C1044" s="158" t="str">
        <f t="shared" si="17"/>
        <v>1S</v>
      </c>
    </row>
    <row r="1045" spans="1:3" x14ac:dyDescent="0.25">
      <c r="A1045" s="159">
        <v>122153</v>
      </c>
      <c r="B1045" s="159" t="s">
        <v>454</v>
      </c>
      <c r="C1045" s="158" t="str">
        <f t="shared" si="17"/>
        <v>6S</v>
      </c>
    </row>
    <row r="1046" spans="1:3" x14ac:dyDescent="0.25">
      <c r="A1046" s="159">
        <v>122178</v>
      </c>
      <c r="B1046" s="159">
        <v>1</v>
      </c>
      <c r="C1046" s="158" t="str">
        <f t="shared" si="17"/>
        <v>1</v>
      </c>
    </row>
    <row r="1047" spans="1:3" x14ac:dyDescent="0.25">
      <c r="A1047" s="159">
        <v>122183</v>
      </c>
      <c r="B1047" s="159">
        <v>3</v>
      </c>
      <c r="C1047" s="158" t="str">
        <f t="shared" si="17"/>
        <v>3</v>
      </c>
    </row>
    <row r="1048" spans="1:3" x14ac:dyDescent="0.25">
      <c r="A1048" s="159">
        <v>122185</v>
      </c>
      <c r="B1048" s="159">
        <v>1</v>
      </c>
      <c r="C1048" s="158" t="str">
        <f t="shared" si="17"/>
        <v>1</v>
      </c>
    </row>
    <row r="1049" spans="1:3" x14ac:dyDescent="0.25">
      <c r="A1049" s="159">
        <v>122186</v>
      </c>
      <c r="B1049" s="159">
        <v>1</v>
      </c>
      <c r="C1049" s="158" t="str">
        <f t="shared" si="17"/>
        <v>1</v>
      </c>
    </row>
    <row r="1050" spans="1:3" x14ac:dyDescent="0.25">
      <c r="A1050" s="159">
        <v>122195</v>
      </c>
      <c r="B1050" s="159">
        <v>5</v>
      </c>
      <c r="C1050" s="158" t="str">
        <f t="shared" si="17"/>
        <v>5</v>
      </c>
    </row>
    <row r="1051" spans="1:3" x14ac:dyDescent="0.25">
      <c r="A1051" s="159">
        <v>122196</v>
      </c>
      <c r="B1051" s="159" t="s">
        <v>436</v>
      </c>
      <c r="C1051" s="158" t="str">
        <f t="shared" si="17"/>
        <v>GR 6</v>
      </c>
    </row>
    <row r="1052" spans="1:3" x14ac:dyDescent="0.25">
      <c r="A1052" s="159">
        <v>122199</v>
      </c>
      <c r="B1052" s="159">
        <v>4</v>
      </c>
      <c r="C1052" s="158" t="str">
        <f t="shared" si="17"/>
        <v>4</v>
      </c>
    </row>
    <row r="1053" spans="1:3" x14ac:dyDescent="0.25">
      <c r="A1053" s="159">
        <v>122208</v>
      </c>
      <c r="B1053" s="159">
        <v>6</v>
      </c>
      <c r="C1053" s="158">
        <f t="shared" si="17"/>
        <v>6</v>
      </c>
    </row>
    <row r="1054" spans="1:3" x14ac:dyDescent="0.25">
      <c r="A1054" s="159">
        <v>122209</v>
      </c>
      <c r="B1054" s="159">
        <v>4</v>
      </c>
      <c r="C1054" s="158" t="str">
        <f t="shared" si="17"/>
        <v>4</v>
      </c>
    </row>
    <row r="1055" spans="1:3" x14ac:dyDescent="0.25">
      <c r="A1055" s="159">
        <v>122212</v>
      </c>
      <c r="B1055" s="159" t="s">
        <v>437</v>
      </c>
      <c r="C1055" s="158" t="str">
        <f t="shared" si="17"/>
        <v>1S</v>
      </c>
    </row>
    <row r="1056" spans="1:3" x14ac:dyDescent="0.25">
      <c r="A1056" s="159">
        <v>122231</v>
      </c>
      <c r="B1056" s="159">
        <v>1</v>
      </c>
      <c r="C1056" s="158" t="str">
        <f t="shared" si="17"/>
        <v>1</v>
      </c>
    </row>
    <row r="1057" spans="1:3" x14ac:dyDescent="0.25">
      <c r="A1057" s="159">
        <v>122232</v>
      </c>
      <c r="B1057" s="159" t="s">
        <v>437</v>
      </c>
      <c r="C1057" s="158" t="str">
        <f t="shared" si="17"/>
        <v>1S</v>
      </c>
    </row>
    <row r="1058" spans="1:3" x14ac:dyDescent="0.25">
      <c r="A1058" s="159">
        <v>122235</v>
      </c>
      <c r="B1058" s="159">
        <v>1</v>
      </c>
      <c r="C1058" s="158" t="str">
        <f t="shared" si="17"/>
        <v>1</v>
      </c>
    </row>
    <row r="1059" spans="1:3" x14ac:dyDescent="0.25">
      <c r="A1059" s="159">
        <v>122312</v>
      </c>
      <c r="B1059" s="159">
        <v>1</v>
      </c>
      <c r="C1059" s="158" t="str">
        <f t="shared" si="17"/>
        <v>1</v>
      </c>
    </row>
    <row r="1060" spans="1:3" x14ac:dyDescent="0.25">
      <c r="A1060" s="159">
        <v>122343</v>
      </c>
      <c r="B1060" s="159">
        <v>1</v>
      </c>
      <c r="C1060" s="158" t="str">
        <f t="shared" si="17"/>
        <v>1</v>
      </c>
    </row>
    <row r="1061" spans="1:3" x14ac:dyDescent="0.25">
      <c r="A1061" s="159">
        <v>122434</v>
      </c>
      <c r="B1061" s="159">
        <v>1</v>
      </c>
      <c r="C1061" s="158" t="str">
        <f t="shared" si="17"/>
        <v>1</v>
      </c>
    </row>
    <row r="1062" spans="1:3" x14ac:dyDescent="0.25">
      <c r="A1062" s="159">
        <v>122435</v>
      </c>
      <c r="B1062" s="159">
        <v>3</v>
      </c>
      <c r="C1062" s="158" t="str">
        <f t="shared" si="17"/>
        <v>3</v>
      </c>
    </row>
    <row r="1063" spans="1:3" x14ac:dyDescent="0.25">
      <c r="A1063" s="159">
        <v>122436</v>
      </c>
      <c r="B1063" s="159">
        <v>1</v>
      </c>
      <c r="C1063" s="158" t="str">
        <f t="shared" si="17"/>
        <v>1</v>
      </c>
    </row>
    <row r="1064" spans="1:3" x14ac:dyDescent="0.25">
      <c r="A1064" s="159">
        <v>122437</v>
      </c>
      <c r="B1064" s="159">
        <v>3</v>
      </c>
      <c r="C1064" s="158" t="str">
        <f t="shared" si="17"/>
        <v>3</v>
      </c>
    </row>
    <row r="1065" spans="1:3" x14ac:dyDescent="0.25">
      <c r="A1065" s="159">
        <v>122459</v>
      </c>
      <c r="B1065" s="159">
        <v>1</v>
      </c>
      <c r="C1065" s="158" t="str">
        <f t="shared" si="17"/>
        <v>1</v>
      </c>
    </row>
    <row r="1066" spans="1:3" x14ac:dyDescent="0.25">
      <c r="A1066" s="159">
        <v>122460</v>
      </c>
      <c r="B1066" s="159">
        <v>2</v>
      </c>
      <c r="C1066" s="158" t="str">
        <f t="shared" si="17"/>
        <v>2</v>
      </c>
    </row>
    <row r="1067" spans="1:3" x14ac:dyDescent="0.25">
      <c r="A1067" s="159">
        <v>122463</v>
      </c>
      <c r="B1067" s="159" t="s">
        <v>436</v>
      </c>
      <c r="C1067" s="158" t="str">
        <f t="shared" si="17"/>
        <v>GR 6</v>
      </c>
    </row>
    <row r="1068" spans="1:3" x14ac:dyDescent="0.25">
      <c r="A1068" s="159">
        <v>122465</v>
      </c>
      <c r="B1068" s="159">
        <v>1</v>
      </c>
      <c r="C1068" s="158" t="str">
        <f t="shared" si="17"/>
        <v>1</v>
      </c>
    </row>
    <row r="1069" spans="1:3" x14ac:dyDescent="0.25">
      <c r="A1069" s="159">
        <v>122466</v>
      </c>
      <c r="B1069" s="159">
        <v>1</v>
      </c>
      <c r="C1069" s="158" t="str">
        <f t="shared" si="17"/>
        <v>1</v>
      </c>
    </row>
    <row r="1070" spans="1:3" x14ac:dyDescent="0.25">
      <c r="A1070" s="159">
        <v>122477</v>
      </c>
      <c r="B1070" s="159">
        <v>1</v>
      </c>
      <c r="C1070" s="158" t="str">
        <f t="shared" si="17"/>
        <v>1</v>
      </c>
    </row>
    <row r="1071" spans="1:3" x14ac:dyDescent="0.25">
      <c r="A1071" s="159">
        <v>122478</v>
      </c>
      <c r="B1071" s="159">
        <v>4</v>
      </c>
      <c r="C1071" s="158" t="str">
        <f t="shared" si="17"/>
        <v>4</v>
      </c>
    </row>
    <row r="1072" spans="1:3" x14ac:dyDescent="0.25">
      <c r="A1072" s="159">
        <v>122479</v>
      </c>
      <c r="B1072" s="159">
        <v>3</v>
      </c>
      <c r="C1072" s="158" t="str">
        <f t="shared" si="17"/>
        <v>3</v>
      </c>
    </row>
    <row r="1073" spans="1:3" x14ac:dyDescent="0.25">
      <c r="A1073" s="159">
        <v>122490</v>
      </c>
      <c r="B1073" s="159" t="s">
        <v>434</v>
      </c>
      <c r="C1073" s="158" t="str">
        <f t="shared" si="17"/>
        <v>GR 3</v>
      </c>
    </row>
    <row r="1074" spans="1:3" x14ac:dyDescent="0.25">
      <c r="A1074" s="159">
        <v>122494</v>
      </c>
      <c r="B1074" s="159" t="s">
        <v>443</v>
      </c>
      <c r="C1074" s="158" t="str">
        <f t="shared" si="17"/>
        <v>GR 16</v>
      </c>
    </row>
    <row r="1075" spans="1:3" x14ac:dyDescent="0.25">
      <c r="A1075" s="159">
        <v>122499</v>
      </c>
      <c r="B1075" s="159">
        <v>1</v>
      </c>
      <c r="C1075" s="158" t="str">
        <f t="shared" si="17"/>
        <v>1</v>
      </c>
    </row>
    <row r="1076" spans="1:3" x14ac:dyDescent="0.25">
      <c r="A1076" s="159">
        <v>122501</v>
      </c>
      <c r="B1076" s="159">
        <v>5</v>
      </c>
      <c r="C1076" s="158" t="str">
        <f t="shared" si="17"/>
        <v>5</v>
      </c>
    </row>
    <row r="1077" spans="1:3" x14ac:dyDescent="0.25">
      <c r="A1077" s="159">
        <v>122507</v>
      </c>
      <c r="B1077" s="159">
        <v>5</v>
      </c>
      <c r="C1077" s="158" t="str">
        <f t="shared" si="17"/>
        <v>5</v>
      </c>
    </row>
    <row r="1078" spans="1:3" x14ac:dyDescent="0.25">
      <c r="A1078" s="159">
        <v>122530</v>
      </c>
      <c r="B1078" s="159" t="s">
        <v>441</v>
      </c>
      <c r="C1078" s="158" t="str">
        <f t="shared" si="17"/>
        <v>4S</v>
      </c>
    </row>
    <row r="1079" spans="1:3" x14ac:dyDescent="0.25">
      <c r="A1079" s="159">
        <v>122573</v>
      </c>
      <c r="B1079" s="159">
        <v>6</v>
      </c>
      <c r="C1079" s="158">
        <f t="shared" si="17"/>
        <v>6</v>
      </c>
    </row>
    <row r="1080" spans="1:3" x14ac:dyDescent="0.25">
      <c r="A1080" s="159">
        <v>122574</v>
      </c>
      <c r="B1080" s="159">
        <v>6</v>
      </c>
      <c r="C1080" s="158">
        <f t="shared" si="17"/>
        <v>6</v>
      </c>
    </row>
    <row r="1081" spans="1:3" x14ac:dyDescent="0.25">
      <c r="A1081" s="159">
        <v>122575</v>
      </c>
      <c r="B1081" s="159" t="s">
        <v>439</v>
      </c>
      <c r="C1081" s="158" t="str">
        <f t="shared" si="17"/>
        <v>3S</v>
      </c>
    </row>
    <row r="1082" spans="1:3" x14ac:dyDescent="0.25">
      <c r="A1082" s="159">
        <v>122668</v>
      </c>
      <c r="B1082" s="159">
        <v>1</v>
      </c>
      <c r="C1082" s="158" t="str">
        <f t="shared" si="17"/>
        <v>1</v>
      </c>
    </row>
    <row r="1083" spans="1:3" x14ac:dyDescent="0.25">
      <c r="A1083" s="159">
        <v>122881</v>
      </c>
      <c r="B1083" s="159">
        <v>1</v>
      </c>
      <c r="C1083" s="158" t="str">
        <f t="shared" si="17"/>
        <v>1</v>
      </c>
    </row>
    <row r="1084" spans="1:3" x14ac:dyDescent="0.25">
      <c r="A1084" s="159">
        <v>122981</v>
      </c>
      <c r="B1084" s="159">
        <v>1</v>
      </c>
      <c r="C1084" s="158" t="str">
        <f t="shared" si="17"/>
        <v>1</v>
      </c>
    </row>
    <row r="1085" spans="1:3" x14ac:dyDescent="0.25">
      <c r="A1085" s="159">
        <v>123031</v>
      </c>
      <c r="B1085" s="159">
        <v>2</v>
      </c>
      <c r="C1085" s="158" t="str">
        <f t="shared" si="17"/>
        <v>2</v>
      </c>
    </row>
    <row r="1086" spans="1:3" x14ac:dyDescent="0.25">
      <c r="A1086" s="159">
        <v>123032</v>
      </c>
      <c r="B1086" s="159">
        <v>3</v>
      </c>
      <c r="C1086" s="158" t="str">
        <f t="shared" si="17"/>
        <v>3</v>
      </c>
    </row>
    <row r="1087" spans="1:3" x14ac:dyDescent="0.25">
      <c r="A1087" s="159">
        <v>123033</v>
      </c>
      <c r="B1087" s="159">
        <v>1</v>
      </c>
      <c r="C1087" s="158" t="str">
        <f t="shared" si="17"/>
        <v>1</v>
      </c>
    </row>
    <row r="1088" spans="1:3" x14ac:dyDescent="0.25">
      <c r="A1088" s="159">
        <v>123034</v>
      </c>
      <c r="B1088" s="159">
        <v>4</v>
      </c>
      <c r="C1088" s="158" t="str">
        <f t="shared" si="17"/>
        <v>4</v>
      </c>
    </row>
    <row r="1089" spans="1:3" x14ac:dyDescent="0.25">
      <c r="A1089" s="159">
        <v>123035</v>
      </c>
      <c r="B1089" s="159">
        <v>4</v>
      </c>
      <c r="C1089" s="158" t="str">
        <f t="shared" si="17"/>
        <v>4</v>
      </c>
    </row>
    <row r="1090" spans="1:3" x14ac:dyDescent="0.25">
      <c r="A1090" s="159">
        <v>123041</v>
      </c>
      <c r="B1090" s="159">
        <v>3</v>
      </c>
      <c r="C1090" s="158" t="str">
        <f t="shared" si="17"/>
        <v>3</v>
      </c>
    </row>
    <row r="1091" spans="1:3" x14ac:dyDescent="0.25">
      <c r="A1091" s="159">
        <v>123042</v>
      </c>
      <c r="B1091" s="159">
        <v>4</v>
      </c>
      <c r="C1091" s="158" t="str">
        <f t="shared" si="17"/>
        <v>4</v>
      </c>
    </row>
    <row r="1092" spans="1:3" x14ac:dyDescent="0.25">
      <c r="A1092" s="159">
        <v>123044</v>
      </c>
      <c r="B1092" s="159" t="s">
        <v>441</v>
      </c>
      <c r="C1092" s="158" t="str">
        <f t="shared" si="17"/>
        <v>4S</v>
      </c>
    </row>
    <row r="1093" spans="1:3" x14ac:dyDescent="0.25">
      <c r="A1093" s="159">
        <v>123051</v>
      </c>
      <c r="B1093" s="159">
        <v>3</v>
      </c>
      <c r="C1093" s="158" t="str">
        <f t="shared" si="17"/>
        <v>3</v>
      </c>
    </row>
    <row r="1094" spans="1:3" x14ac:dyDescent="0.25">
      <c r="A1094" s="159">
        <v>123064</v>
      </c>
      <c r="B1094" s="159">
        <v>3</v>
      </c>
      <c r="C1094" s="158" t="str">
        <f t="shared" si="17"/>
        <v>3</v>
      </c>
    </row>
    <row r="1095" spans="1:3" x14ac:dyDescent="0.25">
      <c r="A1095" s="159">
        <v>123065</v>
      </c>
      <c r="B1095" s="159" t="s">
        <v>435</v>
      </c>
      <c r="C1095" s="158" t="str">
        <f t="shared" si="17"/>
        <v>GR 2</v>
      </c>
    </row>
    <row r="1096" spans="1:3" x14ac:dyDescent="0.25">
      <c r="A1096" s="159">
        <v>123066</v>
      </c>
      <c r="B1096" s="159">
        <v>5</v>
      </c>
      <c r="C1096" s="158" t="str">
        <f t="shared" si="17"/>
        <v>5</v>
      </c>
    </row>
    <row r="1097" spans="1:3" x14ac:dyDescent="0.25">
      <c r="A1097" s="159">
        <v>123081</v>
      </c>
      <c r="B1097" s="159">
        <v>1</v>
      </c>
      <c r="C1097" s="158" t="str">
        <f t="shared" si="17"/>
        <v>1</v>
      </c>
    </row>
    <row r="1098" spans="1:3" x14ac:dyDescent="0.25">
      <c r="A1098" s="159">
        <v>123085</v>
      </c>
      <c r="B1098" s="159">
        <v>5</v>
      </c>
      <c r="C1098" s="158" t="str">
        <f t="shared" si="17"/>
        <v>5</v>
      </c>
    </row>
    <row r="1099" spans="1:3" x14ac:dyDescent="0.25">
      <c r="A1099" s="159">
        <v>123086</v>
      </c>
      <c r="B1099" s="159">
        <v>5</v>
      </c>
      <c r="C1099" s="158" t="str">
        <f t="shared" si="17"/>
        <v>5</v>
      </c>
    </row>
    <row r="1100" spans="1:3" x14ac:dyDescent="0.25">
      <c r="A1100" s="159">
        <v>123101</v>
      </c>
      <c r="B1100" s="159">
        <v>1</v>
      </c>
      <c r="C1100" s="158" t="str">
        <f t="shared" si="17"/>
        <v>1</v>
      </c>
    </row>
    <row r="1101" spans="1:3" x14ac:dyDescent="0.25">
      <c r="A1101" s="159">
        <v>123111</v>
      </c>
      <c r="B1101" s="159">
        <v>1</v>
      </c>
      <c r="C1101" s="158" t="str">
        <f t="shared" ref="C1101:C1164" si="18">IF(OR(B1101=0,B1101=1,B1101=2,B1101=3,B1101=4,B1101=5),TEXT(B1101,"0"),B1101)</f>
        <v>1</v>
      </c>
    </row>
    <row r="1102" spans="1:3" x14ac:dyDescent="0.25">
      <c r="A1102" s="159">
        <v>123129</v>
      </c>
      <c r="B1102" s="159" t="s">
        <v>439</v>
      </c>
      <c r="C1102" s="158" t="str">
        <f t="shared" si="18"/>
        <v>3S</v>
      </c>
    </row>
    <row r="1103" spans="1:3" x14ac:dyDescent="0.25">
      <c r="A1103" s="159">
        <v>123141</v>
      </c>
      <c r="B1103" s="159">
        <v>2</v>
      </c>
      <c r="C1103" s="158" t="str">
        <f t="shared" si="18"/>
        <v>2</v>
      </c>
    </row>
    <row r="1104" spans="1:3" x14ac:dyDescent="0.25">
      <c r="A1104" s="159">
        <v>123142</v>
      </c>
      <c r="B1104" s="159">
        <v>6</v>
      </c>
      <c r="C1104" s="158">
        <f t="shared" si="18"/>
        <v>6</v>
      </c>
    </row>
    <row r="1105" spans="1:3" x14ac:dyDescent="0.25">
      <c r="A1105" s="159">
        <v>123143</v>
      </c>
      <c r="B1105" s="159">
        <v>5</v>
      </c>
      <c r="C1105" s="158" t="str">
        <f t="shared" si="18"/>
        <v>5</v>
      </c>
    </row>
    <row r="1106" spans="1:3" x14ac:dyDescent="0.25">
      <c r="A1106" s="159">
        <v>123161</v>
      </c>
      <c r="B1106" s="159" t="s">
        <v>441</v>
      </c>
      <c r="C1106" s="158" t="str">
        <f t="shared" si="18"/>
        <v>4S</v>
      </c>
    </row>
    <row r="1107" spans="1:3" x14ac:dyDescent="0.25">
      <c r="A1107" s="159">
        <v>123162</v>
      </c>
      <c r="B1107" s="159" t="s">
        <v>454</v>
      </c>
      <c r="C1107" s="158" t="str">
        <f t="shared" si="18"/>
        <v>6S</v>
      </c>
    </row>
    <row r="1108" spans="1:3" x14ac:dyDescent="0.25">
      <c r="A1108" s="159">
        <v>123163</v>
      </c>
      <c r="B1108" s="159" t="s">
        <v>441</v>
      </c>
      <c r="C1108" s="158" t="str">
        <f t="shared" si="18"/>
        <v>4S</v>
      </c>
    </row>
    <row r="1109" spans="1:3" x14ac:dyDescent="0.25">
      <c r="A1109" s="159">
        <v>123168</v>
      </c>
      <c r="B1109" s="159" t="s">
        <v>441</v>
      </c>
      <c r="C1109" s="158" t="str">
        <f t="shared" si="18"/>
        <v>4S</v>
      </c>
    </row>
    <row r="1110" spans="1:3" x14ac:dyDescent="0.25">
      <c r="A1110" s="159">
        <v>123172</v>
      </c>
      <c r="B1110" s="159" t="s">
        <v>454</v>
      </c>
      <c r="C1110" s="158" t="str">
        <f t="shared" si="18"/>
        <v>6S</v>
      </c>
    </row>
    <row r="1111" spans="1:3" x14ac:dyDescent="0.25">
      <c r="A1111" s="159">
        <v>123174</v>
      </c>
      <c r="B1111" s="159" t="s">
        <v>454</v>
      </c>
      <c r="C1111" s="158" t="str">
        <f t="shared" si="18"/>
        <v>6S</v>
      </c>
    </row>
    <row r="1112" spans="1:3" x14ac:dyDescent="0.25">
      <c r="A1112" s="159">
        <v>123175</v>
      </c>
      <c r="B1112" s="159" t="s">
        <v>438</v>
      </c>
      <c r="C1112" s="158" t="str">
        <f t="shared" si="18"/>
        <v>2S</v>
      </c>
    </row>
    <row r="1113" spans="1:3" x14ac:dyDescent="0.25">
      <c r="A1113" s="159">
        <v>123197</v>
      </c>
      <c r="B1113" s="159">
        <v>4</v>
      </c>
      <c r="C1113" s="158" t="str">
        <f t="shared" si="18"/>
        <v>4</v>
      </c>
    </row>
    <row r="1114" spans="1:3" x14ac:dyDescent="0.25">
      <c r="A1114" s="159">
        <v>123198</v>
      </c>
      <c r="B1114" s="159">
        <v>1</v>
      </c>
      <c r="C1114" s="158" t="str">
        <f t="shared" si="18"/>
        <v>1</v>
      </c>
    </row>
    <row r="1115" spans="1:3" x14ac:dyDescent="0.25">
      <c r="A1115" s="159">
        <v>123199</v>
      </c>
      <c r="B1115" s="159">
        <v>3</v>
      </c>
      <c r="C1115" s="158" t="str">
        <f t="shared" si="18"/>
        <v>3</v>
      </c>
    </row>
    <row r="1116" spans="1:3" x14ac:dyDescent="0.25">
      <c r="A1116" s="159">
        <v>123200</v>
      </c>
      <c r="B1116" s="159">
        <v>5</v>
      </c>
      <c r="C1116" s="158" t="str">
        <f t="shared" si="18"/>
        <v>5</v>
      </c>
    </row>
    <row r="1117" spans="1:3" x14ac:dyDescent="0.25">
      <c r="A1117" s="159">
        <v>123201</v>
      </c>
      <c r="B1117" s="159">
        <v>3</v>
      </c>
      <c r="C1117" s="158" t="str">
        <f t="shared" si="18"/>
        <v>3</v>
      </c>
    </row>
    <row r="1118" spans="1:3" x14ac:dyDescent="0.25">
      <c r="A1118" s="159">
        <v>123202</v>
      </c>
      <c r="B1118" s="159">
        <v>1</v>
      </c>
      <c r="C1118" s="158" t="str">
        <f t="shared" si="18"/>
        <v>1</v>
      </c>
    </row>
    <row r="1119" spans="1:3" x14ac:dyDescent="0.25">
      <c r="A1119" s="159">
        <v>123203</v>
      </c>
      <c r="B1119" s="159">
        <v>1</v>
      </c>
      <c r="C1119" s="158" t="str">
        <f t="shared" si="18"/>
        <v>1</v>
      </c>
    </row>
    <row r="1120" spans="1:3" x14ac:dyDescent="0.25">
      <c r="A1120" s="159">
        <v>123204</v>
      </c>
      <c r="B1120" s="159">
        <v>4</v>
      </c>
      <c r="C1120" s="158" t="str">
        <f t="shared" si="18"/>
        <v>4</v>
      </c>
    </row>
    <row r="1121" spans="1:3" x14ac:dyDescent="0.25">
      <c r="A1121" s="159">
        <v>123205</v>
      </c>
      <c r="B1121" s="159">
        <v>1</v>
      </c>
      <c r="C1121" s="158" t="str">
        <f t="shared" si="18"/>
        <v>1</v>
      </c>
    </row>
    <row r="1122" spans="1:3" x14ac:dyDescent="0.25">
      <c r="A1122" s="159">
        <v>123207</v>
      </c>
      <c r="B1122" s="159">
        <v>1</v>
      </c>
      <c r="C1122" s="158" t="str">
        <f t="shared" si="18"/>
        <v>1</v>
      </c>
    </row>
    <row r="1123" spans="1:3" x14ac:dyDescent="0.25">
      <c r="A1123" s="159">
        <v>123208</v>
      </c>
      <c r="B1123" s="159" t="s">
        <v>441</v>
      </c>
      <c r="C1123" s="158" t="str">
        <f t="shared" si="18"/>
        <v>4S</v>
      </c>
    </row>
    <row r="1124" spans="1:3" x14ac:dyDescent="0.25">
      <c r="A1124" s="159">
        <v>123210</v>
      </c>
      <c r="B1124" s="159">
        <v>6</v>
      </c>
      <c r="C1124" s="158">
        <f t="shared" si="18"/>
        <v>6</v>
      </c>
    </row>
    <row r="1125" spans="1:3" x14ac:dyDescent="0.25">
      <c r="A1125" s="159">
        <v>123211</v>
      </c>
      <c r="B1125" s="159">
        <v>6</v>
      </c>
      <c r="C1125" s="158">
        <f t="shared" si="18"/>
        <v>6</v>
      </c>
    </row>
    <row r="1126" spans="1:3" x14ac:dyDescent="0.25">
      <c r="A1126" s="159">
        <v>123212</v>
      </c>
      <c r="B1126" s="159">
        <v>6</v>
      </c>
      <c r="C1126" s="158">
        <f t="shared" si="18"/>
        <v>6</v>
      </c>
    </row>
    <row r="1127" spans="1:3" x14ac:dyDescent="0.25">
      <c r="A1127" s="159">
        <v>123213</v>
      </c>
      <c r="B1127" s="159">
        <v>6</v>
      </c>
      <c r="C1127" s="158">
        <f t="shared" si="18"/>
        <v>6</v>
      </c>
    </row>
    <row r="1128" spans="1:3" x14ac:dyDescent="0.25">
      <c r="A1128" s="159">
        <v>123214</v>
      </c>
      <c r="B1128" s="159">
        <v>5</v>
      </c>
      <c r="C1128" s="158" t="str">
        <f t="shared" si="18"/>
        <v>5</v>
      </c>
    </row>
    <row r="1129" spans="1:3" x14ac:dyDescent="0.25">
      <c r="A1129" s="159">
        <v>123215</v>
      </c>
      <c r="B1129" s="159">
        <v>5</v>
      </c>
      <c r="C1129" s="158" t="str">
        <f t="shared" si="18"/>
        <v>5</v>
      </c>
    </row>
    <row r="1130" spans="1:3" x14ac:dyDescent="0.25">
      <c r="A1130" s="159">
        <v>123217</v>
      </c>
      <c r="B1130" s="159">
        <v>6</v>
      </c>
      <c r="C1130" s="158">
        <f t="shared" si="18"/>
        <v>6</v>
      </c>
    </row>
    <row r="1131" spans="1:3" x14ac:dyDescent="0.25">
      <c r="A1131" s="159">
        <v>123218</v>
      </c>
      <c r="B1131" s="159">
        <v>5</v>
      </c>
      <c r="C1131" s="158" t="str">
        <f t="shared" si="18"/>
        <v>5</v>
      </c>
    </row>
    <row r="1132" spans="1:3" x14ac:dyDescent="0.25">
      <c r="A1132" s="159">
        <v>123219</v>
      </c>
      <c r="B1132" s="159">
        <v>2</v>
      </c>
      <c r="C1132" s="158" t="str">
        <f t="shared" si="18"/>
        <v>2</v>
      </c>
    </row>
    <row r="1133" spans="1:3" x14ac:dyDescent="0.25">
      <c r="A1133" s="159">
        <v>123252</v>
      </c>
      <c r="B1133" s="159">
        <v>5</v>
      </c>
      <c r="C1133" s="158" t="str">
        <f t="shared" si="18"/>
        <v>5</v>
      </c>
    </row>
    <row r="1134" spans="1:3" x14ac:dyDescent="0.25">
      <c r="A1134" s="159">
        <v>123253</v>
      </c>
      <c r="B1134" s="159">
        <v>2</v>
      </c>
      <c r="C1134" s="158" t="str">
        <f t="shared" si="18"/>
        <v>2</v>
      </c>
    </row>
    <row r="1135" spans="1:3" x14ac:dyDescent="0.25">
      <c r="A1135" s="159">
        <v>123261</v>
      </c>
      <c r="B1135" s="159">
        <v>2</v>
      </c>
      <c r="C1135" s="158" t="str">
        <f t="shared" si="18"/>
        <v>2</v>
      </c>
    </row>
    <row r="1136" spans="1:3" x14ac:dyDescent="0.25">
      <c r="A1136" s="159">
        <v>123263</v>
      </c>
      <c r="B1136" s="159">
        <v>2</v>
      </c>
      <c r="C1136" s="158" t="str">
        <f t="shared" si="18"/>
        <v>2</v>
      </c>
    </row>
    <row r="1137" spans="1:3" x14ac:dyDescent="0.25">
      <c r="A1137" s="159">
        <v>123268</v>
      </c>
      <c r="B1137" s="159">
        <v>4</v>
      </c>
      <c r="C1137" s="158" t="str">
        <f t="shared" si="18"/>
        <v>4</v>
      </c>
    </row>
    <row r="1138" spans="1:3" x14ac:dyDescent="0.25">
      <c r="A1138" s="159">
        <v>123269</v>
      </c>
      <c r="B1138" s="159">
        <v>2</v>
      </c>
      <c r="C1138" s="158" t="str">
        <f t="shared" si="18"/>
        <v>2</v>
      </c>
    </row>
    <row r="1139" spans="1:3" x14ac:dyDescent="0.25">
      <c r="A1139" s="159">
        <v>123270</v>
      </c>
      <c r="B1139" s="159">
        <v>4</v>
      </c>
      <c r="C1139" s="158" t="str">
        <f t="shared" si="18"/>
        <v>4</v>
      </c>
    </row>
    <row r="1140" spans="1:3" x14ac:dyDescent="0.25">
      <c r="A1140" s="159">
        <v>123271</v>
      </c>
      <c r="B1140" s="159">
        <v>3</v>
      </c>
      <c r="C1140" s="158" t="str">
        <f t="shared" si="18"/>
        <v>3</v>
      </c>
    </row>
    <row r="1141" spans="1:3" x14ac:dyDescent="0.25">
      <c r="A1141" s="159">
        <v>123272</v>
      </c>
      <c r="B1141" s="159">
        <v>2</v>
      </c>
      <c r="C1141" s="158" t="str">
        <f t="shared" si="18"/>
        <v>2</v>
      </c>
    </row>
    <row r="1142" spans="1:3" x14ac:dyDescent="0.25">
      <c r="A1142" s="159">
        <v>123273</v>
      </c>
      <c r="B1142" s="159">
        <v>5</v>
      </c>
      <c r="C1142" s="158" t="str">
        <f t="shared" si="18"/>
        <v>5</v>
      </c>
    </row>
    <row r="1143" spans="1:3" x14ac:dyDescent="0.25">
      <c r="A1143" s="159">
        <v>123274</v>
      </c>
      <c r="B1143" s="159">
        <v>4</v>
      </c>
      <c r="C1143" s="158" t="str">
        <f t="shared" si="18"/>
        <v>4</v>
      </c>
    </row>
    <row r="1144" spans="1:3" x14ac:dyDescent="0.25">
      <c r="A1144" s="159">
        <v>123311</v>
      </c>
      <c r="B1144" s="159">
        <v>4</v>
      </c>
      <c r="C1144" s="158" t="str">
        <f t="shared" si="18"/>
        <v>4</v>
      </c>
    </row>
    <row r="1145" spans="1:3" x14ac:dyDescent="0.25">
      <c r="A1145" s="159">
        <v>123312</v>
      </c>
      <c r="B1145" s="159">
        <v>3</v>
      </c>
      <c r="C1145" s="158" t="str">
        <f t="shared" si="18"/>
        <v>3</v>
      </c>
    </row>
    <row r="1146" spans="1:3" x14ac:dyDescent="0.25">
      <c r="A1146" s="159">
        <v>123326</v>
      </c>
      <c r="B1146" s="159">
        <v>1</v>
      </c>
      <c r="C1146" s="158" t="str">
        <f t="shared" si="18"/>
        <v>1</v>
      </c>
    </row>
    <row r="1147" spans="1:3" x14ac:dyDescent="0.25">
      <c r="A1147" s="159">
        <v>123329</v>
      </c>
      <c r="B1147" s="159">
        <v>1</v>
      </c>
      <c r="C1147" s="158" t="str">
        <f t="shared" si="18"/>
        <v>1</v>
      </c>
    </row>
    <row r="1148" spans="1:3" x14ac:dyDescent="0.25">
      <c r="A1148" s="159">
        <v>123330</v>
      </c>
      <c r="B1148" s="159">
        <v>1</v>
      </c>
      <c r="C1148" s="158" t="str">
        <f t="shared" si="18"/>
        <v>1</v>
      </c>
    </row>
    <row r="1149" spans="1:3" x14ac:dyDescent="0.25">
      <c r="A1149" s="159">
        <v>123331</v>
      </c>
      <c r="B1149" s="159">
        <v>5</v>
      </c>
      <c r="C1149" s="158" t="str">
        <f t="shared" si="18"/>
        <v>5</v>
      </c>
    </row>
    <row r="1150" spans="1:3" x14ac:dyDescent="0.25">
      <c r="A1150" s="159">
        <v>123381</v>
      </c>
      <c r="B1150" s="159">
        <v>2</v>
      </c>
      <c r="C1150" s="158" t="str">
        <f t="shared" si="18"/>
        <v>2</v>
      </c>
    </row>
    <row r="1151" spans="1:3" x14ac:dyDescent="0.25">
      <c r="A1151" s="159">
        <v>123382</v>
      </c>
      <c r="B1151" s="159">
        <v>2</v>
      </c>
      <c r="C1151" s="158" t="str">
        <f t="shared" si="18"/>
        <v>2</v>
      </c>
    </row>
    <row r="1152" spans="1:3" x14ac:dyDescent="0.25">
      <c r="A1152" s="159">
        <v>123383</v>
      </c>
      <c r="B1152" s="159">
        <v>1</v>
      </c>
      <c r="C1152" s="158" t="str">
        <f t="shared" si="18"/>
        <v>1</v>
      </c>
    </row>
    <row r="1153" spans="1:3" x14ac:dyDescent="0.25">
      <c r="A1153" s="159">
        <v>123384</v>
      </c>
      <c r="B1153" s="159">
        <v>1</v>
      </c>
      <c r="C1153" s="158" t="str">
        <f t="shared" si="18"/>
        <v>1</v>
      </c>
    </row>
    <row r="1154" spans="1:3" x14ac:dyDescent="0.25">
      <c r="A1154" s="159">
        <v>123385</v>
      </c>
      <c r="B1154" s="159">
        <v>1</v>
      </c>
      <c r="C1154" s="158" t="str">
        <f t="shared" si="18"/>
        <v>1</v>
      </c>
    </row>
    <row r="1155" spans="1:3" x14ac:dyDescent="0.25">
      <c r="A1155" s="159">
        <v>123397</v>
      </c>
      <c r="B1155" s="159">
        <v>5</v>
      </c>
      <c r="C1155" s="158" t="str">
        <f t="shared" si="18"/>
        <v>5</v>
      </c>
    </row>
    <row r="1156" spans="1:3" x14ac:dyDescent="0.25">
      <c r="A1156" s="159">
        <v>123398</v>
      </c>
      <c r="B1156" s="159">
        <v>6</v>
      </c>
      <c r="C1156" s="158">
        <f t="shared" si="18"/>
        <v>6</v>
      </c>
    </row>
    <row r="1157" spans="1:3" x14ac:dyDescent="0.25">
      <c r="A1157" s="159">
        <v>123399</v>
      </c>
      <c r="B1157" s="159">
        <v>6</v>
      </c>
      <c r="C1157" s="158">
        <f t="shared" si="18"/>
        <v>6</v>
      </c>
    </row>
    <row r="1158" spans="1:3" x14ac:dyDescent="0.25">
      <c r="A1158" s="159">
        <v>123405</v>
      </c>
      <c r="B1158" s="159">
        <v>4</v>
      </c>
      <c r="C1158" s="158" t="str">
        <f t="shared" si="18"/>
        <v>4</v>
      </c>
    </row>
    <row r="1159" spans="1:3" x14ac:dyDescent="0.25">
      <c r="A1159" s="159">
        <v>123406</v>
      </c>
      <c r="B1159" s="159">
        <v>6</v>
      </c>
      <c r="C1159" s="158">
        <f t="shared" si="18"/>
        <v>6</v>
      </c>
    </row>
    <row r="1160" spans="1:3" x14ac:dyDescent="0.25">
      <c r="A1160" s="159">
        <v>123407</v>
      </c>
      <c r="B1160" s="159">
        <v>1</v>
      </c>
      <c r="C1160" s="158" t="str">
        <f t="shared" si="18"/>
        <v>1</v>
      </c>
    </row>
    <row r="1161" spans="1:3" x14ac:dyDescent="0.25">
      <c r="A1161" s="159">
        <v>123408</v>
      </c>
      <c r="B1161" s="159">
        <v>4</v>
      </c>
      <c r="C1161" s="158" t="str">
        <f t="shared" si="18"/>
        <v>4</v>
      </c>
    </row>
    <row r="1162" spans="1:3" x14ac:dyDescent="0.25">
      <c r="A1162" s="159">
        <v>123422</v>
      </c>
      <c r="B1162" s="159">
        <v>2</v>
      </c>
      <c r="C1162" s="158" t="str">
        <f t="shared" si="18"/>
        <v>2</v>
      </c>
    </row>
    <row r="1163" spans="1:3" x14ac:dyDescent="0.25">
      <c r="A1163" s="159">
        <v>123423</v>
      </c>
      <c r="B1163" s="159">
        <v>6</v>
      </c>
      <c r="C1163" s="158">
        <f t="shared" si="18"/>
        <v>6</v>
      </c>
    </row>
    <row r="1164" spans="1:3" x14ac:dyDescent="0.25">
      <c r="A1164" s="159">
        <v>123459</v>
      </c>
      <c r="B1164" s="159" t="s">
        <v>454</v>
      </c>
      <c r="C1164" s="158" t="str">
        <f t="shared" si="18"/>
        <v>6S</v>
      </c>
    </row>
    <row r="1165" spans="1:3" x14ac:dyDescent="0.25">
      <c r="A1165" s="159">
        <v>123462</v>
      </c>
      <c r="B1165" s="159">
        <v>1</v>
      </c>
      <c r="C1165" s="158" t="str">
        <f t="shared" ref="C1165:C1228" si="19">IF(OR(B1165=0,B1165=1,B1165=2,B1165=3,B1165=4,B1165=5),TEXT(B1165,"0"),B1165)</f>
        <v>1</v>
      </c>
    </row>
    <row r="1166" spans="1:3" x14ac:dyDescent="0.25">
      <c r="A1166" s="159">
        <v>123471</v>
      </c>
      <c r="B1166" s="159" t="s">
        <v>454</v>
      </c>
      <c r="C1166" s="158" t="str">
        <f t="shared" si="19"/>
        <v>6S</v>
      </c>
    </row>
    <row r="1167" spans="1:3" x14ac:dyDescent="0.25">
      <c r="A1167" s="159">
        <v>123563</v>
      </c>
      <c r="B1167" s="159">
        <v>1</v>
      </c>
      <c r="C1167" s="158" t="str">
        <f t="shared" si="19"/>
        <v>1</v>
      </c>
    </row>
    <row r="1168" spans="1:3" x14ac:dyDescent="0.25">
      <c r="A1168" s="159">
        <v>123564</v>
      </c>
      <c r="B1168" s="159">
        <v>1</v>
      </c>
      <c r="C1168" s="158" t="str">
        <f t="shared" si="19"/>
        <v>1</v>
      </c>
    </row>
    <row r="1169" spans="1:5" x14ac:dyDescent="0.25">
      <c r="A1169" s="159">
        <v>123668</v>
      </c>
      <c r="B1169" s="159">
        <v>4</v>
      </c>
      <c r="C1169" s="158" t="str">
        <f t="shared" si="19"/>
        <v>4</v>
      </c>
    </row>
    <row r="1170" spans="1:5" x14ac:dyDescent="0.25">
      <c r="A1170" s="159">
        <v>123675</v>
      </c>
      <c r="B1170" s="159" t="s">
        <v>440</v>
      </c>
      <c r="C1170" s="158" t="str">
        <f t="shared" si="19"/>
        <v>5S</v>
      </c>
    </row>
    <row r="1171" spans="1:5" x14ac:dyDescent="0.25">
      <c r="A1171" s="159">
        <v>123676</v>
      </c>
      <c r="B1171" s="159">
        <v>1</v>
      </c>
      <c r="C1171" s="158" t="str">
        <f t="shared" si="19"/>
        <v>1</v>
      </c>
    </row>
    <row r="1172" spans="1:5" x14ac:dyDescent="0.25">
      <c r="A1172" s="159">
        <v>123677</v>
      </c>
      <c r="B1172" s="159">
        <v>3</v>
      </c>
      <c r="C1172" s="158" t="str">
        <f t="shared" si="19"/>
        <v>3</v>
      </c>
    </row>
    <row r="1173" spans="1:5" x14ac:dyDescent="0.25">
      <c r="A1173" s="159">
        <v>123678</v>
      </c>
      <c r="B1173" s="159">
        <v>2</v>
      </c>
      <c r="C1173" s="158" t="str">
        <f t="shared" si="19"/>
        <v>2</v>
      </c>
    </row>
    <row r="1174" spans="1:5" x14ac:dyDescent="0.25">
      <c r="A1174" s="159">
        <v>123697</v>
      </c>
      <c r="B1174" s="159">
        <v>4</v>
      </c>
      <c r="C1174" s="158" t="str">
        <f t="shared" si="19"/>
        <v>4</v>
      </c>
    </row>
    <row r="1175" spans="1:5" x14ac:dyDescent="0.25">
      <c r="A1175" s="159">
        <v>123711</v>
      </c>
      <c r="B1175" s="159">
        <v>5</v>
      </c>
      <c r="C1175" s="158" t="str">
        <f t="shared" si="19"/>
        <v>5</v>
      </c>
    </row>
    <row r="1176" spans="1:5" x14ac:dyDescent="0.25">
      <c r="A1176" s="159">
        <v>123712</v>
      </c>
      <c r="B1176" s="159">
        <v>4</v>
      </c>
      <c r="C1176" s="158" t="str">
        <f t="shared" si="19"/>
        <v>4</v>
      </c>
    </row>
    <row r="1177" spans="1:5" x14ac:dyDescent="0.25">
      <c r="A1177" s="159">
        <v>123716</v>
      </c>
      <c r="B1177" s="159">
        <v>4</v>
      </c>
      <c r="C1177" s="158" t="str">
        <f t="shared" si="19"/>
        <v>4</v>
      </c>
    </row>
    <row r="1178" spans="1:5" x14ac:dyDescent="0.25">
      <c r="A1178" s="159">
        <v>123717</v>
      </c>
      <c r="B1178" s="159">
        <v>1</v>
      </c>
      <c r="C1178" s="158" t="str">
        <f t="shared" si="19"/>
        <v>1</v>
      </c>
    </row>
    <row r="1179" spans="1:5" x14ac:dyDescent="0.25">
      <c r="A1179" s="159">
        <v>123718</v>
      </c>
      <c r="B1179" s="159" t="s">
        <v>438</v>
      </c>
      <c r="C1179" s="158" t="str">
        <f t="shared" si="19"/>
        <v>2S</v>
      </c>
    </row>
    <row r="1180" spans="1:5" x14ac:dyDescent="0.25">
      <c r="A1180" s="159">
        <v>123728</v>
      </c>
      <c r="B1180" s="159">
        <v>1</v>
      </c>
      <c r="C1180" s="158" t="str">
        <f t="shared" si="19"/>
        <v>1</v>
      </c>
    </row>
    <row r="1181" spans="1:5" x14ac:dyDescent="0.25">
      <c r="A1181" s="159">
        <v>123729</v>
      </c>
      <c r="B1181" s="159">
        <v>1</v>
      </c>
      <c r="C1181" s="158" t="str">
        <f t="shared" si="19"/>
        <v>1</v>
      </c>
    </row>
    <row r="1182" spans="1:5" x14ac:dyDescent="0.25">
      <c r="A1182" s="159">
        <v>123730</v>
      </c>
      <c r="B1182" s="159">
        <v>5</v>
      </c>
      <c r="C1182" s="158" t="str">
        <f t="shared" si="19"/>
        <v>5</v>
      </c>
    </row>
    <row r="1183" spans="1:5" x14ac:dyDescent="0.25">
      <c r="A1183" s="159">
        <v>123731</v>
      </c>
      <c r="B1183" s="159">
        <v>5</v>
      </c>
      <c r="C1183" s="158" t="str">
        <f t="shared" si="19"/>
        <v>5</v>
      </c>
    </row>
    <row r="1184" spans="1:5" x14ac:dyDescent="0.25">
      <c r="A1184" s="159">
        <v>123732</v>
      </c>
      <c r="B1184" s="159">
        <v>1</v>
      </c>
      <c r="C1184" s="158" t="str">
        <f t="shared" si="19"/>
        <v>1</v>
      </c>
      <c r="D1184" s="146"/>
      <c r="E1184" s="146"/>
    </row>
    <row r="1185" spans="1:3" x14ac:dyDescent="0.25">
      <c r="A1185" s="159">
        <v>123733</v>
      </c>
      <c r="B1185" s="159">
        <v>1</v>
      </c>
      <c r="C1185" s="158" t="str">
        <f t="shared" si="19"/>
        <v>1</v>
      </c>
    </row>
    <row r="1186" spans="1:3" x14ac:dyDescent="0.25">
      <c r="A1186" s="159">
        <v>123734</v>
      </c>
      <c r="B1186" s="159">
        <v>4</v>
      </c>
      <c r="C1186" s="158" t="str">
        <f t="shared" si="19"/>
        <v>4</v>
      </c>
    </row>
    <row r="1187" spans="1:3" x14ac:dyDescent="0.25">
      <c r="A1187" s="159">
        <v>123735</v>
      </c>
      <c r="B1187" s="159">
        <v>3</v>
      </c>
      <c r="C1187" s="158" t="str">
        <f t="shared" si="19"/>
        <v>3</v>
      </c>
    </row>
    <row r="1188" spans="1:3" x14ac:dyDescent="0.25">
      <c r="A1188" s="159">
        <v>123736</v>
      </c>
      <c r="B1188" s="159">
        <v>1</v>
      </c>
      <c r="C1188" s="158" t="str">
        <f t="shared" si="19"/>
        <v>1</v>
      </c>
    </row>
    <row r="1189" spans="1:3" x14ac:dyDescent="0.25">
      <c r="A1189" s="159">
        <v>123742</v>
      </c>
      <c r="B1189" s="159">
        <v>1</v>
      </c>
      <c r="C1189" s="158" t="str">
        <f t="shared" si="19"/>
        <v>1</v>
      </c>
    </row>
    <row r="1190" spans="1:3" x14ac:dyDescent="0.25">
      <c r="A1190" s="159">
        <v>123743</v>
      </c>
      <c r="B1190" s="159">
        <v>1</v>
      </c>
      <c r="C1190" s="158" t="str">
        <f t="shared" si="19"/>
        <v>1</v>
      </c>
    </row>
    <row r="1191" spans="1:3" x14ac:dyDescent="0.25">
      <c r="A1191" s="159">
        <v>123744</v>
      </c>
      <c r="B1191" s="159">
        <v>1</v>
      </c>
      <c r="C1191" s="158" t="str">
        <f t="shared" si="19"/>
        <v>1</v>
      </c>
    </row>
    <row r="1192" spans="1:3" x14ac:dyDescent="0.25">
      <c r="A1192" s="159">
        <v>123745</v>
      </c>
      <c r="B1192" s="159">
        <v>1</v>
      </c>
      <c r="C1192" s="158" t="str">
        <f t="shared" si="19"/>
        <v>1</v>
      </c>
    </row>
    <row r="1193" spans="1:3" x14ac:dyDescent="0.25">
      <c r="A1193" s="159">
        <v>123751</v>
      </c>
      <c r="B1193" s="159">
        <v>1</v>
      </c>
      <c r="C1193" s="158" t="str">
        <f t="shared" si="19"/>
        <v>1</v>
      </c>
    </row>
    <row r="1194" spans="1:3" x14ac:dyDescent="0.25">
      <c r="A1194" s="159">
        <v>123752</v>
      </c>
      <c r="B1194" s="159">
        <v>1</v>
      </c>
      <c r="C1194" s="158" t="str">
        <f t="shared" si="19"/>
        <v>1</v>
      </c>
    </row>
    <row r="1195" spans="1:3" x14ac:dyDescent="0.25">
      <c r="A1195" s="159">
        <v>123753</v>
      </c>
      <c r="B1195" s="159">
        <v>1</v>
      </c>
      <c r="C1195" s="158" t="str">
        <f t="shared" si="19"/>
        <v>1</v>
      </c>
    </row>
    <row r="1196" spans="1:3" x14ac:dyDescent="0.25">
      <c r="A1196" s="159">
        <v>123754</v>
      </c>
      <c r="B1196" s="159">
        <v>2</v>
      </c>
      <c r="C1196" s="158" t="str">
        <f t="shared" si="19"/>
        <v>2</v>
      </c>
    </row>
    <row r="1197" spans="1:3" x14ac:dyDescent="0.25">
      <c r="A1197" s="159">
        <v>123782</v>
      </c>
      <c r="B1197" s="159">
        <v>4</v>
      </c>
      <c r="C1197" s="158" t="str">
        <f t="shared" si="19"/>
        <v>4</v>
      </c>
    </row>
    <row r="1198" spans="1:3" x14ac:dyDescent="0.25">
      <c r="A1198" s="159">
        <v>123783</v>
      </c>
      <c r="B1198" s="159">
        <v>4</v>
      </c>
      <c r="C1198" s="158" t="str">
        <f t="shared" si="19"/>
        <v>4</v>
      </c>
    </row>
    <row r="1199" spans="1:3" x14ac:dyDescent="0.25">
      <c r="A1199" s="159">
        <v>123784</v>
      </c>
      <c r="B1199" s="159">
        <v>6</v>
      </c>
      <c r="C1199" s="158">
        <f t="shared" si="19"/>
        <v>6</v>
      </c>
    </row>
    <row r="1200" spans="1:3" x14ac:dyDescent="0.25">
      <c r="A1200" s="159">
        <v>123785</v>
      </c>
      <c r="B1200" s="159">
        <v>3</v>
      </c>
      <c r="C1200" s="158" t="str">
        <f t="shared" si="19"/>
        <v>3</v>
      </c>
    </row>
    <row r="1201" spans="1:3" x14ac:dyDescent="0.25">
      <c r="A1201" s="159">
        <v>123786</v>
      </c>
      <c r="B1201" s="159" t="s">
        <v>440</v>
      </c>
      <c r="C1201" s="158" t="str">
        <f t="shared" si="19"/>
        <v>5S</v>
      </c>
    </row>
    <row r="1202" spans="1:3" x14ac:dyDescent="0.25">
      <c r="A1202" s="159">
        <v>123801</v>
      </c>
      <c r="B1202" s="159">
        <v>3</v>
      </c>
      <c r="C1202" s="158" t="str">
        <f t="shared" si="19"/>
        <v>3</v>
      </c>
    </row>
    <row r="1203" spans="1:3" x14ac:dyDescent="0.25">
      <c r="A1203" s="159">
        <v>123851</v>
      </c>
      <c r="B1203" s="159">
        <v>1</v>
      </c>
      <c r="C1203" s="158" t="str">
        <f t="shared" si="19"/>
        <v>1</v>
      </c>
    </row>
    <row r="1204" spans="1:3" x14ac:dyDescent="0.25">
      <c r="A1204" s="159">
        <v>123866</v>
      </c>
      <c r="B1204" s="159">
        <v>3</v>
      </c>
      <c r="C1204" s="158" t="str">
        <f t="shared" si="19"/>
        <v>3</v>
      </c>
    </row>
    <row r="1205" spans="1:3" x14ac:dyDescent="0.25">
      <c r="A1205" s="159">
        <v>123872</v>
      </c>
      <c r="B1205" s="159">
        <v>3</v>
      </c>
      <c r="C1205" s="158" t="str">
        <f t="shared" si="19"/>
        <v>3</v>
      </c>
    </row>
    <row r="1206" spans="1:3" x14ac:dyDescent="0.25">
      <c r="A1206" s="159">
        <v>123873</v>
      </c>
      <c r="B1206" s="159">
        <v>3</v>
      </c>
      <c r="C1206" s="158" t="str">
        <f t="shared" si="19"/>
        <v>3</v>
      </c>
    </row>
    <row r="1207" spans="1:3" x14ac:dyDescent="0.25">
      <c r="A1207" s="159">
        <v>123902</v>
      </c>
      <c r="B1207" s="159">
        <v>1</v>
      </c>
      <c r="C1207" s="158" t="str">
        <f t="shared" si="19"/>
        <v>1</v>
      </c>
    </row>
    <row r="1208" spans="1:3" x14ac:dyDescent="0.25">
      <c r="A1208" s="159">
        <v>123903</v>
      </c>
      <c r="B1208" s="159">
        <v>3</v>
      </c>
      <c r="C1208" s="158" t="str">
        <f t="shared" si="19"/>
        <v>3</v>
      </c>
    </row>
    <row r="1209" spans="1:3" x14ac:dyDescent="0.25">
      <c r="A1209" s="159">
        <v>123904</v>
      </c>
      <c r="B1209" s="159">
        <v>3</v>
      </c>
      <c r="C1209" s="158" t="str">
        <f t="shared" si="19"/>
        <v>3</v>
      </c>
    </row>
    <row r="1210" spans="1:3" x14ac:dyDescent="0.25">
      <c r="A1210" s="159">
        <v>123905</v>
      </c>
      <c r="B1210" s="159">
        <v>4</v>
      </c>
      <c r="C1210" s="158" t="str">
        <f t="shared" si="19"/>
        <v>4</v>
      </c>
    </row>
    <row r="1211" spans="1:3" x14ac:dyDescent="0.25">
      <c r="A1211" s="159">
        <v>123906</v>
      </c>
      <c r="B1211" s="159">
        <v>4</v>
      </c>
      <c r="C1211" s="158" t="str">
        <f t="shared" si="19"/>
        <v>4</v>
      </c>
    </row>
    <row r="1212" spans="1:3" x14ac:dyDescent="0.25">
      <c r="A1212" s="159">
        <v>123909</v>
      </c>
      <c r="B1212" s="159">
        <v>2</v>
      </c>
      <c r="C1212" s="158" t="str">
        <f t="shared" si="19"/>
        <v>2</v>
      </c>
    </row>
    <row r="1213" spans="1:3" x14ac:dyDescent="0.25">
      <c r="A1213" s="159">
        <v>123941</v>
      </c>
      <c r="B1213" s="159">
        <v>1</v>
      </c>
      <c r="C1213" s="158" t="str">
        <f t="shared" si="19"/>
        <v>1</v>
      </c>
    </row>
    <row r="1214" spans="1:3" x14ac:dyDescent="0.25">
      <c r="A1214" s="159">
        <v>123942</v>
      </c>
      <c r="B1214" s="159">
        <v>1</v>
      </c>
      <c r="C1214" s="158" t="str">
        <f t="shared" si="19"/>
        <v>1</v>
      </c>
    </row>
    <row r="1215" spans="1:3" x14ac:dyDescent="0.25">
      <c r="A1215" s="159">
        <v>123943</v>
      </c>
      <c r="B1215" s="159">
        <v>1</v>
      </c>
      <c r="C1215" s="158" t="str">
        <f t="shared" si="19"/>
        <v>1</v>
      </c>
    </row>
    <row r="1216" spans="1:3" x14ac:dyDescent="0.25">
      <c r="A1216" s="159">
        <v>123944</v>
      </c>
      <c r="B1216" s="159">
        <v>1</v>
      </c>
      <c r="C1216" s="158" t="str">
        <f t="shared" si="19"/>
        <v>1</v>
      </c>
    </row>
    <row r="1217" spans="1:3" x14ac:dyDescent="0.25">
      <c r="A1217" s="159">
        <v>123945</v>
      </c>
      <c r="B1217" s="159">
        <v>1</v>
      </c>
      <c r="C1217" s="158" t="str">
        <f t="shared" si="19"/>
        <v>1</v>
      </c>
    </row>
    <row r="1218" spans="1:3" x14ac:dyDescent="0.25">
      <c r="A1218" s="159">
        <v>123966</v>
      </c>
      <c r="B1218" s="159">
        <v>6</v>
      </c>
      <c r="C1218" s="158">
        <f t="shared" si="19"/>
        <v>6</v>
      </c>
    </row>
    <row r="1219" spans="1:3" x14ac:dyDescent="0.25">
      <c r="A1219" s="159">
        <v>123967</v>
      </c>
      <c r="B1219" s="159">
        <v>1</v>
      </c>
      <c r="C1219" s="158" t="str">
        <f t="shared" si="19"/>
        <v>1</v>
      </c>
    </row>
    <row r="1220" spans="1:3" x14ac:dyDescent="0.25">
      <c r="A1220" s="159">
        <v>123968</v>
      </c>
      <c r="B1220" s="159">
        <v>1</v>
      </c>
      <c r="C1220" s="158" t="str">
        <f t="shared" si="19"/>
        <v>1</v>
      </c>
    </row>
    <row r="1221" spans="1:3" x14ac:dyDescent="0.25">
      <c r="A1221" s="159">
        <v>123969</v>
      </c>
      <c r="B1221" s="159">
        <v>1</v>
      </c>
      <c r="C1221" s="158" t="str">
        <f t="shared" si="19"/>
        <v>1</v>
      </c>
    </row>
    <row r="1222" spans="1:3" x14ac:dyDescent="0.25">
      <c r="A1222" s="159">
        <v>123971</v>
      </c>
      <c r="B1222" s="159">
        <v>4</v>
      </c>
      <c r="C1222" s="158" t="str">
        <f t="shared" si="19"/>
        <v>4</v>
      </c>
    </row>
    <row r="1223" spans="1:3" x14ac:dyDescent="0.25">
      <c r="A1223" s="159">
        <v>123981</v>
      </c>
      <c r="B1223" s="159">
        <v>5</v>
      </c>
      <c r="C1223" s="158" t="str">
        <f t="shared" si="19"/>
        <v>5</v>
      </c>
    </row>
    <row r="1224" spans="1:3" x14ac:dyDescent="0.25">
      <c r="A1224" s="159">
        <v>123982</v>
      </c>
      <c r="B1224" s="159">
        <v>1</v>
      </c>
      <c r="C1224" s="158" t="str">
        <f t="shared" si="19"/>
        <v>1</v>
      </c>
    </row>
    <row r="1225" spans="1:3" x14ac:dyDescent="0.25">
      <c r="A1225" s="159">
        <v>123983</v>
      </c>
      <c r="B1225" s="159">
        <v>6</v>
      </c>
      <c r="C1225" s="158">
        <f t="shared" si="19"/>
        <v>6</v>
      </c>
    </row>
    <row r="1226" spans="1:3" x14ac:dyDescent="0.25">
      <c r="A1226" s="159">
        <v>123991</v>
      </c>
      <c r="B1226" s="159">
        <v>4</v>
      </c>
      <c r="C1226" s="158" t="str">
        <f t="shared" si="19"/>
        <v>4</v>
      </c>
    </row>
    <row r="1227" spans="1:3" x14ac:dyDescent="0.25">
      <c r="A1227" s="159">
        <v>123992</v>
      </c>
      <c r="B1227" s="159">
        <v>2</v>
      </c>
      <c r="C1227" s="158" t="str">
        <f t="shared" si="19"/>
        <v>2</v>
      </c>
    </row>
    <row r="1228" spans="1:3" x14ac:dyDescent="0.25">
      <c r="A1228" s="159">
        <v>123993</v>
      </c>
      <c r="B1228" s="159" t="s">
        <v>441</v>
      </c>
      <c r="C1228" s="158" t="str">
        <f t="shared" si="19"/>
        <v>4S</v>
      </c>
    </row>
    <row r="1229" spans="1:3" x14ac:dyDescent="0.25">
      <c r="A1229" s="159">
        <v>124002</v>
      </c>
      <c r="B1229" s="159">
        <v>6</v>
      </c>
      <c r="C1229" s="158">
        <f t="shared" ref="C1229:C1292" si="20">IF(OR(B1229=0,B1229=1,B1229=2,B1229=3,B1229=4,B1229=5),TEXT(B1229,"0"),B1229)</f>
        <v>6</v>
      </c>
    </row>
    <row r="1230" spans="1:3" x14ac:dyDescent="0.25">
      <c r="A1230" s="159">
        <v>124003</v>
      </c>
      <c r="B1230" s="159" t="s">
        <v>454</v>
      </c>
      <c r="C1230" s="158" t="str">
        <f t="shared" si="20"/>
        <v>6S</v>
      </c>
    </row>
    <row r="1231" spans="1:3" x14ac:dyDescent="0.25">
      <c r="A1231" s="159">
        <v>124041</v>
      </c>
      <c r="B1231" s="159">
        <v>4</v>
      </c>
      <c r="C1231" s="158" t="str">
        <f t="shared" si="20"/>
        <v>4</v>
      </c>
    </row>
    <row r="1232" spans="1:3" x14ac:dyDescent="0.25">
      <c r="A1232" s="159">
        <v>124101</v>
      </c>
      <c r="B1232" s="159">
        <v>1</v>
      </c>
      <c r="C1232" s="158" t="str">
        <f t="shared" si="20"/>
        <v>1</v>
      </c>
    </row>
    <row r="1233" spans="1:3" x14ac:dyDescent="0.25">
      <c r="A1233" s="159">
        <v>124103</v>
      </c>
      <c r="B1233" s="159">
        <v>2</v>
      </c>
      <c r="C1233" s="158" t="str">
        <f t="shared" si="20"/>
        <v>2</v>
      </c>
    </row>
    <row r="1234" spans="1:3" x14ac:dyDescent="0.25">
      <c r="A1234" s="159">
        <v>124104</v>
      </c>
      <c r="B1234" s="159">
        <v>1</v>
      </c>
      <c r="C1234" s="158" t="str">
        <f t="shared" si="20"/>
        <v>1</v>
      </c>
    </row>
    <row r="1235" spans="1:3" x14ac:dyDescent="0.25">
      <c r="A1235" s="159">
        <v>124105</v>
      </c>
      <c r="B1235" s="159">
        <v>1</v>
      </c>
      <c r="C1235" s="158" t="str">
        <f t="shared" si="20"/>
        <v>1</v>
      </c>
    </row>
    <row r="1236" spans="1:3" x14ac:dyDescent="0.25">
      <c r="A1236" s="159">
        <v>124142</v>
      </c>
      <c r="B1236" s="159">
        <v>4</v>
      </c>
      <c r="C1236" s="158" t="str">
        <f t="shared" si="20"/>
        <v>4</v>
      </c>
    </row>
    <row r="1237" spans="1:3" x14ac:dyDescent="0.25">
      <c r="A1237" s="159">
        <v>124143</v>
      </c>
      <c r="B1237" s="159">
        <v>4</v>
      </c>
      <c r="C1237" s="158" t="str">
        <f t="shared" si="20"/>
        <v>4</v>
      </c>
    </row>
    <row r="1238" spans="1:3" x14ac:dyDescent="0.25">
      <c r="A1238" s="159">
        <v>124144</v>
      </c>
      <c r="B1238" s="159" t="s">
        <v>439</v>
      </c>
      <c r="C1238" s="158" t="str">
        <f t="shared" si="20"/>
        <v>3S</v>
      </c>
    </row>
    <row r="1239" spans="1:3" x14ac:dyDescent="0.25">
      <c r="A1239" s="159">
        <v>124145</v>
      </c>
      <c r="B1239" s="159">
        <v>3</v>
      </c>
      <c r="C1239" s="158" t="str">
        <f t="shared" si="20"/>
        <v>3</v>
      </c>
    </row>
    <row r="1240" spans="1:3" x14ac:dyDescent="0.25">
      <c r="A1240" s="159">
        <v>124146</v>
      </c>
      <c r="B1240" s="159">
        <v>1</v>
      </c>
      <c r="C1240" s="158" t="str">
        <f t="shared" si="20"/>
        <v>1</v>
      </c>
    </row>
    <row r="1241" spans="1:3" x14ac:dyDescent="0.25">
      <c r="A1241" s="159">
        <v>124147</v>
      </c>
      <c r="B1241" s="159">
        <v>1</v>
      </c>
      <c r="C1241" s="158" t="str">
        <f t="shared" si="20"/>
        <v>1</v>
      </c>
    </row>
    <row r="1242" spans="1:3" x14ac:dyDescent="0.25">
      <c r="A1242" s="159">
        <v>124151</v>
      </c>
      <c r="B1242" s="159">
        <v>1</v>
      </c>
      <c r="C1242" s="158" t="str">
        <f t="shared" si="20"/>
        <v>1</v>
      </c>
    </row>
    <row r="1243" spans="1:3" x14ac:dyDescent="0.25">
      <c r="A1243" s="159">
        <v>124152</v>
      </c>
      <c r="B1243" s="159">
        <v>1</v>
      </c>
      <c r="C1243" s="158" t="str">
        <f t="shared" si="20"/>
        <v>1</v>
      </c>
    </row>
    <row r="1244" spans="1:3" x14ac:dyDescent="0.25">
      <c r="A1244" s="159">
        <v>124153</v>
      </c>
      <c r="B1244" s="159">
        <v>1</v>
      </c>
      <c r="C1244" s="158" t="str">
        <f t="shared" si="20"/>
        <v>1</v>
      </c>
    </row>
    <row r="1245" spans="1:3" x14ac:dyDescent="0.25">
      <c r="A1245" s="159">
        <v>124154</v>
      </c>
      <c r="B1245" s="159">
        <v>1</v>
      </c>
      <c r="C1245" s="158" t="str">
        <f t="shared" si="20"/>
        <v>1</v>
      </c>
    </row>
    <row r="1246" spans="1:3" x14ac:dyDescent="0.25">
      <c r="A1246" s="159">
        <v>124155</v>
      </c>
      <c r="B1246" s="159">
        <v>1</v>
      </c>
      <c r="C1246" s="158" t="str">
        <f t="shared" si="20"/>
        <v>1</v>
      </c>
    </row>
    <row r="1247" spans="1:3" x14ac:dyDescent="0.25">
      <c r="A1247" s="159">
        <v>124156</v>
      </c>
      <c r="B1247" s="159">
        <v>2</v>
      </c>
      <c r="C1247" s="158" t="str">
        <f t="shared" si="20"/>
        <v>2</v>
      </c>
    </row>
    <row r="1248" spans="1:3" x14ac:dyDescent="0.25">
      <c r="A1248" s="159">
        <v>124158</v>
      </c>
      <c r="B1248" s="159">
        <v>1</v>
      </c>
      <c r="C1248" s="158" t="str">
        <f t="shared" si="20"/>
        <v>1</v>
      </c>
    </row>
    <row r="1249" spans="1:3" x14ac:dyDescent="0.25">
      <c r="A1249" s="159">
        <v>150074</v>
      </c>
      <c r="B1249" s="159" t="s">
        <v>435</v>
      </c>
      <c r="C1249" s="158" t="str">
        <f t="shared" si="20"/>
        <v>GR 2</v>
      </c>
    </row>
    <row r="1250" spans="1:3" x14ac:dyDescent="0.25">
      <c r="A1250" s="159">
        <v>150075</v>
      </c>
      <c r="B1250" s="159" t="s">
        <v>436</v>
      </c>
      <c r="C1250" s="158" t="str">
        <f t="shared" si="20"/>
        <v>GR 6</v>
      </c>
    </row>
    <row r="1251" spans="1:3" x14ac:dyDescent="0.25">
      <c r="A1251" s="159">
        <v>150076</v>
      </c>
      <c r="B1251" s="159" t="s">
        <v>436</v>
      </c>
      <c r="C1251" s="158" t="str">
        <f t="shared" si="20"/>
        <v>GR 6</v>
      </c>
    </row>
    <row r="1252" spans="1:3" x14ac:dyDescent="0.25">
      <c r="A1252" s="159">
        <v>150077</v>
      </c>
      <c r="B1252" s="159" t="s">
        <v>436</v>
      </c>
      <c r="C1252" s="158" t="str">
        <f t="shared" si="20"/>
        <v>GR 6</v>
      </c>
    </row>
    <row r="1253" spans="1:3" x14ac:dyDescent="0.25">
      <c r="A1253" s="159">
        <v>150079</v>
      </c>
      <c r="B1253" s="159" t="s">
        <v>444</v>
      </c>
      <c r="C1253" s="158" t="str">
        <f t="shared" si="20"/>
        <v>GR 15</v>
      </c>
    </row>
    <row r="1254" spans="1:3" x14ac:dyDescent="0.25">
      <c r="A1254" s="159">
        <v>150080</v>
      </c>
      <c r="B1254" s="159" t="s">
        <v>435</v>
      </c>
      <c r="C1254" s="158" t="str">
        <f t="shared" si="20"/>
        <v>GR 2</v>
      </c>
    </row>
    <row r="1255" spans="1:3" x14ac:dyDescent="0.25">
      <c r="A1255" s="159">
        <v>150081</v>
      </c>
      <c r="B1255" s="159" t="s">
        <v>435</v>
      </c>
      <c r="C1255" s="158" t="str">
        <f t="shared" si="20"/>
        <v>GR 2</v>
      </c>
    </row>
    <row r="1256" spans="1:3" x14ac:dyDescent="0.25">
      <c r="A1256" s="159">
        <v>150082</v>
      </c>
      <c r="B1256" s="159" t="s">
        <v>436</v>
      </c>
      <c r="C1256" s="158" t="str">
        <f t="shared" si="20"/>
        <v>GR 6</v>
      </c>
    </row>
    <row r="1257" spans="1:3" x14ac:dyDescent="0.25">
      <c r="A1257" s="159">
        <v>150083</v>
      </c>
      <c r="B1257" s="159" t="s">
        <v>445</v>
      </c>
      <c r="C1257" s="158" t="str">
        <f t="shared" si="20"/>
        <v>GR 4</v>
      </c>
    </row>
    <row r="1258" spans="1:3" x14ac:dyDescent="0.25">
      <c r="A1258" s="159">
        <v>150085</v>
      </c>
      <c r="B1258" s="159" t="s">
        <v>445</v>
      </c>
      <c r="C1258" s="158" t="str">
        <f t="shared" si="20"/>
        <v>GR 4</v>
      </c>
    </row>
    <row r="1259" spans="1:3" x14ac:dyDescent="0.25">
      <c r="A1259" s="159">
        <v>150133</v>
      </c>
      <c r="B1259" s="159">
        <v>5</v>
      </c>
      <c r="C1259" s="158" t="str">
        <f t="shared" si="20"/>
        <v>5</v>
      </c>
    </row>
    <row r="1260" spans="1:3" x14ac:dyDescent="0.25">
      <c r="A1260" s="159">
        <v>150134</v>
      </c>
      <c r="B1260" s="159">
        <v>2</v>
      </c>
      <c r="C1260" s="158" t="str">
        <f t="shared" si="20"/>
        <v>2</v>
      </c>
    </row>
    <row r="1261" spans="1:3" x14ac:dyDescent="0.25">
      <c r="A1261" s="159">
        <v>150154</v>
      </c>
      <c r="B1261" s="159">
        <v>1</v>
      </c>
      <c r="C1261" s="158" t="str">
        <f t="shared" si="20"/>
        <v>1</v>
      </c>
    </row>
    <row r="1262" spans="1:3" x14ac:dyDescent="0.25">
      <c r="A1262" s="159">
        <v>150158</v>
      </c>
      <c r="B1262" s="159">
        <v>4</v>
      </c>
      <c r="C1262" s="158" t="str">
        <f t="shared" si="20"/>
        <v>4</v>
      </c>
    </row>
    <row r="1263" spans="1:3" x14ac:dyDescent="0.25">
      <c r="A1263" s="159">
        <v>150159</v>
      </c>
      <c r="B1263" s="159" t="s">
        <v>454</v>
      </c>
      <c r="C1263" s="158" t="str">
        <f t="shared" si="20"/>
        <v>6S</v>
      </c>
    </row>
    <row r="1264" spans="1:3" x14ac:dyDescent="0.25">
      <c r="A1264" s="159">
        <v>150160</v>
      </c>
      <c r="B1264" s="159" t="s">
        <v>438</v>
      </c>
      <c r="C1264" s="158" t="str">
        <f t="shared" si="20"/>
        <v>2S</v>
      </c>
    </row>
    <row r="1265" spans="1:3" x14ac:dyDescent="0.25">
      <c r="A1265" s="159">
        <v>150161</v>
      </c>
      <c r="B1265" s="159" t="s">
        <v>441</v>
      </c>
      <c r="C1265" s="158" t="str">
        <f t="shared" si="20"/>
        <v>4S</v>
      </c>
    </row>
    <row r="1266" spans="1:3" x14ac:dyDescent="0.25">
      <c r="A1266" s="159">
        <v>150176</v>
      </c>
      <c r="B1266" s="159">
        <v>1</v>
      </c>
      <c r="C1266" s="158" t="str">
        <f t="shared" si="20"/>
        <v>1</v>
      </c>
    </row>
    <row r="1267" spans="1:3" x14ac:dyDescent="0.25">
      <c r="A1267" s="159">
        <v>150182</v>
      </c>
      <c r="B1267" s="159">
        <v>3</v>
      </c>
      <c r="C1267" s="158" t="str">
        <f t="shared" si="20"/>
        <v>3</v>
      </c>
    </row>
    <row r="1268" spans="1:3" x14ac:dyDescent="0.25">
      <c r="A1268" s="159">
        <v>150183</v>
      </c>
      <c r="B1268" s="159">
        <v>6</v>
      </c>
      <c r="C1268" s="158">
        <f t="shared" si="20"/>
        <v>6</v>
      </c>
    </row>
    <row r="1269" spans="1:3" x14ac:dyDescent="0.25">
      <c r="A1269" s="159">
        <v>150191</v>
      </c>
      <c r="B1269" s="159">
        <v>1</v>
      </c>
      <c r="C1269" s="158" t="str">
        <f t="shared" si="20"/>
        <v>1</v>
      </c>
    </row>
    <row r="1270" spans="1:3" x14ac:dyDescent="0.25">
      <c r="A1270" s="159">
        <v>150192</v>
      </c>
      <c r="B1270" s="159">
        <v>2</v>
      </c>
      <c r="C1270" s="158" t="str">
        <f t="shared" si="20"/>
        <v>2</v>
      </c>
    </row>
    <row r="1271" spans="1:3" x14ac:dyDescent="0.25">
      <c r="A1271" s="159">
        <v>150193</v>
      </c>
      <c r="B1271" s="159">
        <v>2</v>
      </c>
      <c r="C1271" s="158" t="str">
        <f t="shared" si="20"/>
        <v>2</v>
      </c>
    </row>
    <row r="1272" spans="1:3" x14ac:dyDescent="0.25">
      <c r="A1272" s="159">
        <v>150194</v>
      </c>
      <c r="B1272" s="159">
        <v>2</v>
      </c>
      <c r="C1272" s="158" t="str">
        <f t="shared" si="20"/>
        <v>2</v>
      </c>
    </row>
    <row r="1273" spans="1:3" x14ac:dyDescent="0.25">
      <c r="A1273" s="159">
        <v>150195</v>
      </c>
      <c r="B1273" s="159">
        <v>2</v>
      </c>
      <c r="C1273" s="158" t="str">
        <f t="shared" si="20"/>
        <v>2</v>
      </c>
    </row>
    <row r="1274" spans="1:3" x14ac:dyDescent="0.25">
      <c r="A1274" s="159">
        <v>150196</v>
      </c>
      <c r="B1274" s="159">
        <v>2</v>
      </c>
      <c r="C1274" s="158" t="str">
        <f t="shared" si="20"/>
        <v>2</v>
      </c>
    </row>
    <row r="1275" spans="1:3" x14ac:dyDescent="0.25">
      <c r="A1275" s="159">
        <v>150197</v>
      </c>
      <c r="B1275" s="159">
        <v>1</v>
      </c>
      <c r="C1275" s="158" t="str">
        <f t="shared" si="20"/>
        <v>1</v>
      </c>
    </row>
    <row r="1276" spans="1:3" x14ac:dyDescent="0.25">
      <c r="A1276" s="159">
        <v>150198</v>
      </c>
      <c r="B1276" s="159">
        <v>2</v>
      </c>
      <c r="C1276" s="158" t="str">
        <f t="shared" si="20"/>
        <v>2</v>
      </c>
    </row>
    <row r="1277" spans="1:3" x14ac:dyDescent="0.25">
      <c r="A1277" s="159">
        <v>150199</v>
      </c>
      <c r="B1277" s="159">
        <v>2</v>
      </c>
      <c r="C1277" s="158" t="str">
        <f t="shared" si="20"/>
        <v>2</v>
      </c>
    </row>
    <row r="1278" spans="1:3" x14ac:dyDescent="0.25">
      <c r="A1278" s="159">
        <v>150200</v>
      </c>
      <c r="B1278" s="159">
        <v>4</v>
      </c>
      <c r="C1278" s="158" t="str">
        <f t="shared" si="20"/>
        <v>4</v>
      </c>
    </row>
    <row r="1279" spans="1:3" x14ac:dyDescent="0.25">
      <c r="A1279" s="159">
        <v>150201</v>
      </c>
      <c r="B1279" s="159">
        <v>4</v>
      </c>
      <c r="C1279" s="158" t="str">
        <f t="shared" si="20"/>
        <v>4</v>
      </c>
    </row>
    <row r="1280" spans="1:3" x14ac:dyDescent="0.25">
      <c r="A1280" s="159">
        <v>150202</v>
      </c>
      <c r="B1280" s="159">
        <v>2</v>
      </c>
      <c r="C1280" s="158" t="str">
        <f t="shared" si="20"/>
        <v>2</v>
      </c>
    </row>
    <row r="1281" spans="1:3" x14ac:dyDescent="0.25">
      <c r="A1281" s="159">
        <v>150245</v>
      </c>
      <c r="B1281" s="159">
        <v>1</v>
      </c>
      <c r="C1281" s="158" t="str">
        <f t="shared" si="20"/>
        <v>1</v>
      </c>
    </row>
    <row r="1282" spans="1:3" x14ac:dyDescent="0.25">
      <c r="A1282" s="159">
        <v>150248</v>
      </c>
      <c r="B1282" s="159">
        <v>3</v>
      </c>
      <c r="C1282" s="158" t="str">
        <f t="shared" si="20"/>
        <v>3</v>
      </c>
    </row>
    <row r="1283" spans="1:3" x14ac:dyDescent="0.25">
      <c r="A1283" s="159">
        <v>150249</v>
      </c>
      <c r="B1283" s="159">
        <v>2</v>
      </c>
      <c r="C1283" s="158" t="str">
        <f t="shared" si="20"/>
        <v>2</v>
      </c>
    </row>
    <row r="1284" spans="1:3" x14ac:dyDescent="0.25">
      <c r="A1284" s="159">
        <v>150251</v>
      </c>
      <c r="B1284" s="159" t="s">
        <v>437</v>
      </c>
      <c r="C1284" s="158" t="str">
        <f t="shared" si="20"/>
        <v>1S</v>
      </c>
    </row>
    <row r="1285" spans="1:3" x14ac:dyDescent="0.25">
      <c r="A1285" s="159">
        <v>150268</v>
      </c>
      <c r="B1285" s="159">
        <v>2</v>
      </c>
      <c r="C1285" s="158" t="str">
        <f t="shared" si="20"/>
        <v>2</v>
      </c>
    </row>
    <row r="1286" spans="1:3" x14ac:dyDescent="0.25">
      <c r="A1286" s="159">
        <v>150273</v>
      </c>
      <c r="B1286" s="159" t="s">
        <v>434</v>
      </c>
      <c r="C1286" s="158" t="str">
        <f t="shared" si="20"/>
        <v>GR 3</v>
      </c>
    </row>
    <row r="1287" spans="1:3" x14ac:dyDescent="0.25">
      <c r="A1287" s="159">
        <v>150275</v>
      </c>
      <c r="B1287" s="159" t="s">
        <v>434</v>
      </c>
      <c r="C1287" s="158" t="str">
        <f t="shared" si="20"/>
        <v>GR 3</v>
      </c>
    </row>
    <row r="1288" spans="1:3" x14ac:dyDescent="0.25">
      <c r="A1288" s="159">
        <v>150276</v>
      </c>
      <c r="B1288" s="159" t="s">
        <v>435</v>
      </c>
      <c r="C1288" s="158" t="str">
        <f t="shared" si="20"/>
        <v>GR 2</v>
      </c>
    </row>
    <row r="1289" spans="1:3" x14ac:dyDescent="0.25">
      <c r="A1289" s="159">
        <v>150280</v>
      </c>
      <c r="B1289" s="159" t="s">
        <v>435</v>
      </c>
      <c r="C1289" s="158" t="str">
        <f t="shared" si="20"/>
        <v>GR 2</v>
      </c>
    </row>
    <row r="1290" spans="1:3" x14ac:dyDescent="0.25">
      <c r="A1290" s="159">
        <v>150281</v>
      </c>
      <c r="B1290" s="159" t="s">
        <v>446</v>
      </c>
      <c r="C1290" s="158" t="str">
        <f t="shared" si="20"/>
        <v>GR 9</v>
      </c>
    </row>
    <row r="1291" spans="1:3" x14ac:dyDescent="0.25">
      <c r="A1291" s="159">
        <v>150284</v>
      </c>
      <c r="B1291" s="159" t="s">
        <v>436</v>
      </c>
      <c r="C1291" s="158" t="str">
        <f t="shared" si="20"/>
        <v>GR 6</v>
      </c>
    </row>
    <row r="1292" spans="1:3" x14ac:dyDescent="0.25">
      <c r="A1292" s="159">
        <v>150286</v>
      </c>
      <c r="B1292" s="159" t="s">
        <v>434</v>
      </c>
      <c r="C1292" s="158" t="str">
        <f t="shared" si="20"/>
        <v>GR 3</v>
      </c>
    </row>
    <row r="1293" spans="1:3" x14ac:dyDescent="0.25">
      <c r="A1293" s="159">
        <v>150288</v>
      </c>
      <c r="B1293" s="159" t="s">
        <v>436</v>
      </c>
      <c r="C1293" s="158" t="str">
        <f t="shared" ref="C1293:C1356" si="21">IF(OR(B1293=0,B1293=1,B1293=2,B1293=3,B1293=4,B1293=5),TEXT(B1293,"0"),B1293)</f>
        <v>GR 6</v>
      </c>
    </row>
    <row r="1294" spans="1:3" x14ac:dyDescent="0.25">
      <c r="A1294" s="159">
        <v>150290</v>
      </c>
      <c r="B1294" s="159">
        <v>1</v>
      </c>
      <c r="C1294" s="158" t="str">
        <f t="shared" si="21"/>
        <v>1</v>
      </c>
    </row>
    <row r="1295" spans="1:3" x14ac:dyDescent="0.25">
      <c r="A1295" s="159">
        <v>150296</v>
      </c>
      <c r="B1295" s="159">
        <v>5</v>
      </c>
      <c r="C1295" s="158" t="str">
        <f t="shared" si="21"/>
        <v>5</v>
      </c>
    </row>
    <row r="1296" spans="1:3" x14ac:dyDescent="0.25">
      <c r="A1296" s="159">
        <v>150297</v>
      </c>
      <c r="B1296" s="159">
        <v>5</v>
      </c>
      <c r="C1296" s="158" t="str">
        <f t="shared" si="21"/>
        <v>5</v>
      </c>
    </row>
    <row r="1297" spans="1:3" x14ac:dyDescent="0.25">
      <c r="A1297" s="159">
        <v>150307</v>
      </c>
      <c r="B1297" s="159">
        <v>4</v>
      </c>
      <c r="C1297" s="158" t="str">
        <f t="shared" si="21"/>
        <v>4</v>
      </c>
    </row>
    <row r="1298" spans="1:3" x14ac:dyDescent="0.25">
      <c r="A1298" s="159">
        <v>150308</v>
      </c>
      <c r="B1298" s="159">
        <v>4</v>
      </c>
      <c r="C1298" s="158" t="str">
        <f t="shared" si="21"/>
        <v>4</v>
      </c>
    </row>
    <row r="1299" spans="1:3" x14ac:dyDescent="0.25">
      <c r="A1299" s="159">
        <v>150309</v>
      </c>
      <c r="B1299" s="159">
        <v>4</v>
      </c>
      <c r="C1299" s="158" t="str">
        <f t="shared" si="21"/>
        <v>4</v>
      </c>
    </row>
    <row r="1300" spans="1:3" x14ac:dyDescent="0.25">
      <c r="A1300" s="159">
        <v>150310</v>
      </c>
      <c r="B1300" s="159">
        <v>1</v>
      </c>
      <c r="C1300" s="158" t="str">
        <f t="shared" si="21"/>
        <v>1</v>
      </c>
    </row>
    <row r="1301" spans="1:3" x14ac:dyDescent="0.25">
      <c r="A1301" s="159">
        <v>150311</v>
      </c>
      <c r="B1301" s="159">
        <v>1</v>
      </c>
      <c r="C1301" s="158" t="str">
        <f t="shared" si="21"/>
        <v>1</v>
      </c>
    </row>
    <row r="1302" spans="1:3" x14ac:dyDescent="0.25">
      <c r="A1302" s="159">
        <v>150312</v>
      </c>
      <c r="B1302" s="159" t="s">
        <v>454</v>
      </c>
      <c r="C1302" s="158" t="str">
        <f t="shared" si="21"/>
        <v>6S</v>
      </c>
    </row>
    <row r="1303" spans="1:3" x14ac:dyDescent="0.25">
      <c r="A1303" s="159">
        <v>150314</v>
      </c>
      <c r="B1303" s="159">
        <v>6</v>
      </c>
      <c r="C1303" s="158">
        <f t="shared" si="21"/>
        <v>6</v>
      </c>
    </row>
    <row r="1304" spans="1:3" x14ac:dyDescent="0.25">
      <c r="A1304" s="159">
        <v>152085</v>
      </c>
      <c r="B1304" s="159">
        <v>5</v>
      </c>
      <c r="C1304" s="158" t="str">
        <f t="shared" si="21"/>
        <v>5</v>
      </c>
    </row>
    <row r="1305" spans="1:3" x14ac:dyDescent="0.25">
      <c r="A1305" s="159">
        <v>152086</v>
      </c>
      <c r="B1305" s="159">
        <v>6</v>
      </c>
      <c r="C1305" s="158">
        <f t="shared" si="21"/>
        <v>6</v>
      </c>
    </row>
    <row r="1306" spans="1:3" x14ac:dyDescent="0.25">
      <c r="A1306" s="159">
        <v>152097</v>
      </c>
      <c r="B1306" s="159" t="s">
        <v>441</v>
      </c>
      <c r="C1306" s="158" t="str">
        <f t="shared" si="21"/>
        <v>4S</v>
      </c>
    </row>
    <row r="1307" spans="1:3" x14ac:dyDescent="0.25">
      <c r="A1307" s="159">
        <v>152098</v>
      </c>
      <c r="B1307" s="159" t="s">
        <v>441</v>
      </c>
      <c r="C1307" s="158" t="str">
        <f t="shared" si="21"/>
        <v>4S</v>
      </c>
    </row>
    <row r="1308" spans="1:3" x14ac:dyDescent="0.25">
      <c r="A1308" s="159">
        <v>152100</v>
      </c>
      <c r="B1308" s="159" t="s">
        <v>445</v>
      </c>
      <c r="C1308" s="158" t="str">
        <f t="shared" si="21"/>
        <v>GR 4</v>
      </c>
    </row>
    <row r="1309" spans="1:3" x14ac:dyDescent="0.25">
      <c r="A1309" s="159">
        <v>152101</v>
      </c>
      <c r="B1309" s="159" t="s">
        <v>447</v>
      </c>
      <c r="C1309" s="158" t="str">
        <f t="shared" si="21"/>
        <v>GR 14</v>
      </c>
    </row>
    <row r="1310" spans="1:3" x14ac:dyDescent="0.25">
      <c r="A1310" s="159">
        <v>152113</v>
      </c>
      <c r="B1310" s="159">
        <v>1</v>
      </c>
      <c r="C1310" s="158" t="str">
        <f t="shared" si="21"/>
        <v>1</v>
      </c>
    </row>
    <row r="1311" spans="1:3" x14ac:dyDescent="0.25">
      <c r="A1311" s="159">
        <v>152114</v>
      </c>
      <c r="B1311" s="159">
        <v>1</v>
      </c>
      <c r="C1311" s="158" t="str">
        <f t="shared" si="21"/>
        <v>1</v>
      </c>
    </row>
    <row r="1312" spans="1:3" x14ac:dyDescent="0.25">
      <c r="A1312" s="159">
        <v>152115</v>
      </c>
      <c r="B1312" s="159">
        <v>3</v>
      </c>
      <c r="C1312" s="158" t="str">
        <f t="shared" si="21"/>
        <v>3</v>
      </c>
    </row>
    <row r="1313" spans="1:3" x14ac:dyDescent="0.25">
      <c r="A1313" s="159">
        <v>152116</v>
      </c>
      <c r="B1313" s="159">
        <v>1</v>
      </c>
      <c r="C1313" s="158" t="str">
        <f t="shared" si="21"/>
        <v>1</v>
      </c>
    </row>
    <row r="1314" spans="1:3" x14ac:dyDescent="0.25">
      <c r="A1314" s="159">
        <v>152126</v>
      </c>
      <c r="B1314" s="159">
        <v>3</v>
      </c>
      <c r="C1314" s="158" t="str">
        <f t="shared" si="21"/>
        <v>3</v>
      </c>
    </row>
    <row r="1315" spans="1:3" x14ac:dyDescent="0.25">
      <c r="A1315" s="159">
        <v>152128</v>
      </c>
      <c r="B1315" s="159">
        <v>1</v>
      </c>
      <c r="C1315" s="158" t="str">
        <f t="shared" si="21"/>
        <v>1</v>
      </c>
    </row>
    <row r="1316" spans="1:3" x14ac:dyDescent="0.25">
      <c r="A1316" s="159">
        <v>152129</v>
      </c>
      <c r="B1316" s="159">
        <v>1</v>
      </c>
      <c r="C1316" s="158" t="str">
        <f t="shared" si="21"/>
        <v>1</v>
      </c>
    </row>
    <row r="1317" spans="1:3" x14ac:dyDescent="0.25">
      <c r="A1317" s="159">
        <v>152132</v>
      </c>
      <c r="B1317" s="159">
        <v>2</v>
      </c>
      <c r="C1317" s="158" t="str">
        <f t="shared" si="21"/>
        <v>2</v>
      </c>
    </row>
    <row r="1318" spans="1:3" x14ac:dyDescent="0.25">
      <c r="A1318" s="159">
        <v>152133</v>
      </c>
      <c r="B1318" s="159">
        <v>1</v>
      </c>
      <c r="C1318" s="158" t="str">
        <f t="shared" si="21"/>
        <v>1</v>
      </c>
    </row>
    <row r="1319" spans="1:3" x14ac:dyDescent="0.25">
      <c r="A1319" s="159">
        <v>152223</v>
      </c>
      <c r="B1319" s="159">
        <v>1</v>
      </c>
      <c r="C1319" s="158" t="str">
        <f t="shared" si="21"/>
        <v>1</v>
      </c>
    </row>
    <row r="1320" spans="1:3" x14ac:dyDescent="0.25">
      <c r="A1320" s="159">
        <v>152272</v>
      </c>
      <c r="B1320" s="159">
        <v>3</v>
      </c>
      <c r="C1320" s="158" t="str">
        <f t="shared" si="21"/>
        <v>3</v>
      </c>
    </row>
    <row r="1321" spans="1:3" x14ac:dyDescent="0.25">
      <c r="A1321" s="159">
        <v>152273</v>
      </c>
      <c r="B1321" s="159">
        <v>1</v>
      </c>
      <c r="C1321" s="158" t="str">
        <f t="shared" si="21"/>
        <v>1</v>
      </c>
    </row>
    <row r="1322" spans="1:3" x14ac:dyDescent="0.25">
      <c r="A1322" s="159">
        <v>152274</v>
      </c>
      <c r="B1322" s="159">
        <v>1</v>
      </c>
      <c r="C1322" s="158" t="str">
        <f t="shared" si="21"/>
        <v>1</v>
      </c>
    </row>
    <row r="1323" spans="1:3" x14ac:dyDescent="0.25">
      <c r="A1323" s="159">
        <v>152276</v>
      </c>
      <c r="B1323" s="159">
        <v>6</v>
      </c>
      <c r="C1323" s="158">
        <f t="shared" si="21"/>
        <v>6</v>
      </c>
    </row>
    <row r="1324" spans="1:3" x14ac:dyDescent="0.25">
      <c r="A1324" s="159">
        <v>152309</v>
      </c>
      <c r="B1324" s="159">
        <v>3</v>
      </c>
      <c r="C1324" s="158" t="str">
        <f t="shared" si="21"/>
        <v>3</v>
      </c>
    </row>
    <row r="1325" spans="1:3" x14ac:dyDescent="0.25">
      <c r="A1325" s="159">
        <v>152310</v>
      </c>
      <c r="B1325" s="159">
        <v>5</v>
      </c>
      <c r="C1325" s="158" t="str">
        <f t="shared" si="21"/>
        <v>5</v>
      </c>
    </row>
    <row r="1326" spans="1:3" x14ac:dyDescent="0.25">
      <c r="A1326" s="159">
        <v>152311</v>
      </c>
      <c r="B1326" s="159">
        <v>1</v>
      </c>
      <c r="C1326" s="158" t="str">
        <f t="shared" si="21"/>
        <v>1</v>
      </c>
    </row>
    <row r="1327" spans="1:3" x14ac:dyDescent="0.25">
      <c r="A1327" s="159">
        <v>152312</v>
      </c>
      <c r="B1327" s="159">
        <v>2</v>
      </c>
      <c r="C1327" s="158" t="str">
        <f t="shared" si="21"/>
        <v>2</v>
      </c>
    </row>
    <row r="1328" spans="1:3" x14ac:dyDescent="0.25">
      <c r="A1328" s="159">
        <v>152313</v>
      </c>
      <c r="B1328" s="159">
        <v>3</v>
      </c>
      <c r="C1328" s="158" t="str">
        <f t="shared" si="21"/>
        <v>3</v>
      </c>
    </row>
    <row r="1329" spans="1:3" x14ac:dyDescent="0.25">
      <c r="A1329" s="159">
        <v>152375</v>
      </c>
      <c r="B1329" s="159">
        <v>1</v>
      </c>
      <c r="C1329" s="158" t="str">
        <f t="shared" si="21"/>
        <v>1</v>
      </c>
    </row>
    <row r="1330" spans="1:3" x14ac:dyDescent="0.25">
      <c r="A1330" s="159">
        <v>152405</v>
      </c>
      <c r="B1330" s="159">
        <v>3</v>
      </c>
      <c r="C1330" s="158" t="str">
        <f t="shared" si="21"/>
        <v>3</v>
      </c>
    </row>
    <row r="1331" spans="1:3" x14ac:dyDescent="0.25">
      <c r="A1331" s="159">
        <v>152406</v>
      </c>
      <c r="B1331" s="159">
        <v>3</v>
      </c>
      <c r="C1331" s="158" t="str">
        <f t="shared" si="21"/>
        <v>3</v>
      </c>
    </row>
    <row r="1332" spans="1:3" x14ac:dyDescent="0.25">
      <c r="A1332" s="159">
        <v>152407</v>
      </c>
      <c r="B1332" s="159">
        <v>2</v>
      </c>
      <c r="C1332" s="158" t="str">
        <f t="shared" si="21"/>
        <v>2</v>
      </c>
    </row>
    <row r="1333" spans="1:3" x14ac:dyDescent="0.25">
      <c r="A1333" s="159">
        <v>152411</v>
      </c>
      <c r="B1333" s="159">
        <v>5</v>
      </c>
      <c r="C1333" s="158" t="str">
        <f t="shared" si="21"/>
        <v>5</v>
      </c>
    </row>
    <row r="1334" spans="1:3" x14ac:dyDescent="0.25">
      <c r="A1334" s="159">
        <v>152412</v>
      </c>
      <c r="B1334" s="159">
        <v>1</v>
      </c>
      <c r="C1334" s="158" t="str">
        <f t="shared" si="21"/>
        <v>1</v>
      </c>
    </row>
    <row r="1335" spans="1:3" x14ac:dyDescent="0.25">
      <c r="A1335" s="159">
        <v>152413</v>
      </c>
      <c r="B1335" s="159">
        <v>1</v>
      </c>
      <c r="C1335" s="158" t="str">
        <f t="shared" si="21"/>
        <v>1</v>
      </c>
    </row>
    <row r="1336" spans="1:3" x14ac:dyDescent="0.25">
      <c r="A1336" s="159">
        <v>152417</v>
      </c>
      <c r="B1336" s="159" t="s">
        <v>444</v>
      </c>
      <c r="C1336" s="158" t="str">
        <f t="shared" si="21"/>
        <v>GR 15</v>
      </c>
    </row>
    <row r="1337" spans="1:3" x14ac:dyDescent="0.25">
      <c r="A1337" s="159">
        <v>152418</v>
      </c>
      <c r="B1337" s="159" t="s">
        <v>435</v>
      </c>
      <c r="C1337" s="158" t="str">
        <f t="shared" si="21"/>
        <v>GR 2</v>
      </c>
    </row>
    <row r="1338" spans="1:3" x14ac:dyDescent="0.25">
      <c r="A1338" s="159">
        <v>152419</v>
      </c>
      <c r="B1338" s="159" t="s">
        <v>435</v>
      </c>
      <c r="C1338" s="158" t="str">
        <f t="shared" si="21"/>
        <v>GR 2</v>
      </c>
    </row>
    <row r="1339" spans="1:3" x14ac:dyDescent="0.25">
      <c r="A1339" s="159">
        <v>152420</v>
      </c>
      <c r="B1339" s="159" t="s">
        <v>434</v>
      </c>
      <c r="C1339" s="158" t="str">
        <f t="shared" si="21"/>
        <v>GR 3</v>
      </c>
    </row>
    <row r="1340" spans="1:3" x14ac:dyDescent="0.25">
      <c r="A1340" s="159">
        <v>152422</v>
      </c>
      <c r="B1340" s="159" t="s">
        <v>435</v>
      </c>
      <c r="C1340" s="158" t="str">
        <f t="shared" si="21"/>
        <v>GR 2</v>
      </c>
    </row>
    <row r="1341" spans="1:3" x14ac:dyDescent="0.25">
      <c r="A1341" s="159">
        <v>152423</v>
      </c>
      <c r="B1341" s="159" t="s">
        <v>434</v>
      </c>
      <c r="C1341" s="158" t="str">
        <f t="shared" si="21"/>
        <v>GR 3</v>
      </c>
    </row>
    <row r="1342" spans="1:3" x14ac:dyDescent="0.25">
      <c r="A1342" s="159">
        <v>152425</v>
      </c>
      <c r="B1342" s="159" t="s">
        <v>435</v>
      </c>
      <c r="C1342" s="158" t="str">
        <f t="shared" si="21"/>
        <v>GR 2</v>
      </c>
    </row>
    <row r="1343" spans="1:3" x14ac:dyDescent="0.25">
      <c r="A1343" s="159">
        <v>152427</v>
      </c>
      <c r="B1343" s="159" t="s">
        <v>435</v>
      </c>
      <c r="C1343" s="158" t="str">
        <f t="shared" si="21"/>
        <v>GR 2</v>
      </c>
    </row>
    <row r="1344" spans="1:3" x14ac:dyDescent="0.25">
      <c r="A1344" s="159">
        <v>152428</v>
      </c>
      <c r="B1344" s="159" t="s">
        <v>436</v>
      </c>
      <c r="C1344" s="158" t="str">
        <f t="shared" si="21"/>
        <v>GR 6</v>
      </c>
    </row>
    <row r="1345" spans="1:3" x14ac:dyDescent="0.25">
      <c r="A1345" s="159">
        <v>152429</v>
      </c>
      <c r="B1345" s="159" t="s">
        <v>435</v>
      </c>
      <c r="C1345" s="158" t="str">
        <f t="shared" si="21"/>
        <v>GR 2</v>
      </c>
    </row>
    <row r="1346" spans="1:3" x14ac:dyDescent="0.25">
      <c r="A1346" s="159">
        <v>152458</v>
      </c>
      <c r="B1346" s="159">
        <v>1</v>
      </c>
      <c r="C1346" s="158" t="str">
        <f t="shared" si="21"/>
        <v>1</v>
      </c>
    </row>
    <row r="1347" spans="1:3" x14ac:dyDescent="0.25">
      <c r="A1347" s="159">
        <v>152814</v>
      </c>
      <c r="B1347" s="159" t="s">
        <v>437</v>
      </c>
      <c r="C1347" s="158" t="str">
        <f t="shared" si="21"/>
        <v>1S</v>
      </c>
    </row>
    <row r="1348" spans="1:3" x14ac:dyDescent="0.25">
      <c r="A1348" s="159">
        <v>152815</v>
      </c>
      <c r="B1348" s="159">
        <v>1</v>
      </c>
      <c r="C1348" s="158" t="str">
        <f t="shared" si="21"/>
        <v>1</v>
      </c>
    </row>
    <row r="1349" spans="1:3" x14ac:dyDescent="0.25">
      <c r="A1349" s="159">
        <v>152816</v>
      </c>
      <c r="B1349" s="159">
        <v>1</v>
      </c>
      <c r="C1349" s="158" t="str">
        <f t="shared" si="21"/>
        <v>1</v>
      </c>
    </row>
    <row r="1350" spans="1:3" x14ac:dyDescent="0.25">
      <c r="A1350" s="159">
        <v>152817</v>
      </c>
      <c r="B1350" s="159">
        <v>1</v>
      </c>
      <c r="C1350" s="158" t="str">
        <f t="shared" si="21"/>
        <v>1</v>
      </c>
    </row>
    <row r="1351" spans="1:3" x14ac:dyDescent="0.25">
      <c r="A1351" s="159">
        <v>152818</v>
      </c>
      <c r="B1351" s="159">
        <v>1</v>
      </c>
      <c r="C1351" s="158" t="str">
        <f t="shared" si="21"/>
        <v>1</v>
      </c>
    </row>
    <row r="1352" spans="1:3" x14ac:dyDescent="0.25">
      <c r="A1352" s="159">
        <v>152819</v>
      </c>
      <c r="B1352" s="159" t="s">
        <v>437</v>
      </c>
      <c r="C1352" s="158" t="str">
        <f t="shared" si="21"/>
        <v>1S</v>
      </c>
    </row>
    <row r="1353" spans="1:3" x14ac:dyDescent="0.25">
      <c r="A1353" s="159">
        <v>152820</v>
      </c>
      <c r="B1353" s="159">
        <v>1</v>
      </c>
      <c r="C1353" s="158" t="str">
        <f t="shared" si="21"/>
        <v>1</v>
      </c>
    </row>
    <row r="1354" spans="1:3" x14ac:dyDescent="0.25">
      <c r="A1354" s="159">
        <v>152821</v>
      </c>
      <c r="B1354" s="159">
        <v>1</v>
      </c>
      <c r="C1354" s="158" t="str">
        <f t="shared" si="21"/>
        <v>1</v>
      </c>
    </row>
    <row r="1355" spans="1:3" x14ac:dyDescent="0.25">
      <c r="A1355" s="159">
        <v>152822</v>
      </c>
      <c r="B1355" s="159">
        <v>1</v>
      </c>
      <c r="C1355" s="158" t="str">
        <f t="shared" si="21"/>
        <v>1</v>
      </c>
    </row>
    <row r="1356" spans="1:3" x14ac:dyDescent="0.25">
      <c r="A1356" s="159">
        <v>152823</v>
      </c>
      <c r="B1356" s="159">
        <v>1</v>
      </c>
      <c r="C1356" s="158" t="str">
        <f t="shared" si="21"/>
        <v>1</v>
      </c>
    </row>
    <row r="1357" spans="1:3" x14ac:dyDescent="0.25">
      <c r="A1357" s="159">
        <v>152840</v>
      </c>
      <c r="B1357" s="159">
        <v>1</v>
      </c>
      <c r="C1357" s="158" t="str">
        <f t="shared" ref="C1357:C1420" si="22">IF(OR(B1357=0,B1357=1,B1357=2,B1357=3,B1357=4,B1357=5),TEXT(B1357,"0"),B1357)</f>
        <v>1</v>
      </c>
    </row>
    <row r="1358" spans="1:3" x14ac:dyDescent="0.25">
      <c r="A1358" s="159">
        <v>152842</v>
      </c>
      <c r="B1358" s="159">
        <v>1</v>
      </c>
      <c r="C1358" s="158" t="str">
        <f t="shared" si="22"/>
        <v>1</v>
      </c>
    </row>
    <row r="1359" spans="1:3" x14ac:dyDescent="0.25">
      <c r="A1359" s="159">
        <v>152844</v>
      </c>
      <c r="B1359" s="159">
        <v>4</v>
      </c>
      <c r="C1359" s="158" t="str">
        <f t="shared" si="22"/>
        <v>4</v>
      </c>
    </row>
    <row r="1360" spans="1:3" x14ac:dyDescent="0.25">
      <c r="A1360" s="159">
        <v>152845</v>
      </c>
      <c r="B1360" s="159">
        <v>4</v>
      </c>
      <c r="C1360" s="158" t="str">
        <f t="shared" si="22"/>
        <v>4</v>
      </c>
    </row>
    <row r="1361" spans="1:3" x14ac:dyDescent="0.25">
      <c r="A1361" s="159">
        <v>152846</v>
      </c>
      <c r="B1361" s="159">
        <v>1</v>
      </c>
      <c r="C1361" s="158" t="str">
        <f t="shared" si="22"/>
        <v>1</v>
      </c>
    </row>
    <row r="1362" spans="1:3" x14ac:dyDescent="0.25">
      <c r="A1362" s="159">
        <v>152869</v>
      </c>
      <c r="B1362" s="159">
        <v>1</v>
      </c>
      <c r="C1362" s="158" t="str">
        <f t="shared" si="22"/>
        <v>1</v>
      </c>
    </row>
    <row r="1363" spans="1:3" x14ac:dyDescent="0.25">
      <c r="A1363" s="159">
        <v>152870</v>
      </c>
      <c r="B1363" s="159">
        <v>1</v>
      </c>
      <c r="C1363" s="158" t="str">
        <f t="shared" si="22"/>
        <v>1</v>
      </c>
    </row>
    <row r="1364" spans="1:3" x14ac:dyDescent="0.25">
      <c r="A1364" s="159">
        <v>152887</v>
      </c>
      <c r="B1364" s="159">
        <v>4</v>
      </c>
      <c r="C1364" s="158" t="str">
        <f t="shared" si="22"/>
        <v>4</v>
      </c>
    </row>
    <row r="1365" spans="1:3" x14ac:dyDescent="0.25">
      <c r="A1365" s="159">
        <v>152888</v>
      </c>
      <c r="B1365" s="159">
        <v>4</v>
      </c>
      <c r="C1365" s="158" t="str">
        <f t="shared" si="22"/>
        <v>4</v>
      </c>
    </row>
    <row r="1366" spans="1:3" x14ac:dyDescent="0.25">
      <c r="A1366" s="159">
        <v>152942</v>
      </c>
      <c r="B1366" s="159">
        <v>4</v>
      </c>
      <c r="C1366" s="158" t="str">
        <f t="shared" si="22"/>
        <v>4</v>
      </c>
    </row>
    <row r="1367" spans="1:3" x14ac:dyDescent="0.25">
      <c r="A1367" s="159">
        <v>152943</v>
      </c>
      <c r="B1367" s="159">
        <v>6</v>
      </c>
      <c r="C1367" s="158">
        <f t="shared" si="22"/>
        <v>6</v>
      </c>
    </row>
    <row r="1368" spans="1:3" x14ac:dyDescent="0.25">
      <c r="A1368" s="159">
        <v>152975</v>
      </c>
      <c r="B1368" s="159">
        <v>4</v>
      </c>
      <c r="C1368" s="158" t="str">
        <f t="shared" si="22"/>
        <v>4</v>
      </c>
    </row>
    <row r="1369" spans="1:3" x14ac:dyDescent="0.25">
      <c r="A1369" s="159">
        <v>152976</v>
      </c>
      <c r="B1369" s="159">
        <v>1</v>
      </c>
      <c r="C1369" s="158" t="str">
        <f t="shared" si="22"/>
        <v>1</v>
      </c>
    </row>
    <row r="1370" spans="1:3" x14ac:dyDescent="0.25">
      <c r="A1370" s="159">
        <v>152977</v>
      </c>
      <c r="B1370" s="159">
        <v>1</v>
      </c>
      <c r="C1370" s="158" t="str">
        <f t="shared" si="22"/>
        <v>1</v>
      </c>
    </row>
    <row r="1371" spans="1:3" x14ac:dyDescent="0.25">
      <c r="A1371" s="159">
        <v>152978</v>
      </c>
      <c r="B1371" s="159">
        <v>1</v>
      </c>
      <c r="C1371" s="158" t="str">
        <f t="shared" si="22"/>
        <v>1</v>
      </c>
    </row>
    <row r="1372" spans="1:3" x14ac:dyDescent="0.25">
      <c r="A1372" s="159">
        <v>152986</v>
      </c>
      <c r="B1372" s="159" t="s">
        <v>435</v>
      </c>
      <c r="C1372" s="158" t="str">
        <f t="shared" si="22"/>
        <v>GR 2</v>
      </c>
    </row>
    <row r="1373" spans="1:3" x14ac:dyDescent="0.25">
      <c r="A1373" s="159">
        <v>152988</v>
      </c>
      <c r="B1373" s="159" t="s">
        <v>436</v>
      </c>
      <c r="C1373" s="158" t="str">
        <f t="shared" si="22"/>
        <v>GR 6</v>
      </c>
    </row>
    <row r="1374" spans="1:3" x14ac:dyDescent="0.25">
      <c r="A1374" s="159">
        <v>152989</v>
      </c>
      <c r="B1374" s="159" t="s">
        <v>444</v>
      </c>
      <c r="C1374" s="158" t="str">
        <f t="shared" si="22"/>
        <v>GR 15</v>
      </c>
    </row>
    <row r="1375" spans="1:3" x14ac:dyDescent="0.25">
      <c r="A1375" s="159">
        <v>153546</v>
      </c>
      <c r="B1375" s="159">
        <v>3</v>
      </c>
      <c r="C1375" s="158" t="str">
        <f t="shared" si="22"/>
        <v>3</v>
      </c>
    </row>
    <row r="1376" spans="1:3" x14ac:dyDescent="0.25">
      <c r="A1376" s="159">
        <v>153547</v>
      </c>
      <c r="B1376" s="159">
        <v>1</v>
      </c>
      <c r="C1376" s="158" t="str">
        <f t="shared" si="22"/>
        <v>1</v>
      </c>
    </row>
    <row r="1377" spans="1:3" x14ac:dyDescent="0.25">
      <c r="A1377" s="159">
        <v>153548</v>
      </c>
      <c r="B1377" s="159">
        <v>1</v>
      </c>
      <c r="C1377" s="158" t="str">
        <f t="shared" si="22"/>
        <v>1</v>
      </c>
    </row>
    <row r="1378" spans="1:3" x14ac:dyDescent="0.25">
      <c r="A1378" s="159">
        <v>153549</v>
      </c>
      <c r="B1378" s="159">
        <v>4</v>
      </c>
      <c r="C1378" s="158" t="str">
        <f t="shared" si="22"/>
        <v>4</v>
      </c>
    </row>
    <row r="1379" spans="1:3" x14ac:dyDescent="0.25">
      <c r="A1379" s="159">
        <v>153552</v>
      </c>
      <c r="B1379" s="159">
        <v>1</v>
      </c>
      <c r="C1379" s="158" t="str">
        <f t="shared" si="22"/>
        <v>1</v>
      </c>
    </row>
    <row r="1380" spans="1:3" x14ac:dyDescent="0.25">
      <c r="A1380" s="159">
        <v>153553</v>
      </c>
      <c r="B1380" s="159">
        <v>1</v>
      </c>
      <c r="C1380" s="158" t="str">
        <f t="shared" si="22"/>
        <v>1</v>
      </c>
    </row>
    <row r="1381" spans="1:3" x14ac:dyDescent="0.25">
      <c r="A1381" s="159">
        <v>153554</v>
      </c>
      <c r="B1381" s="159">
        <v>6</v>
      </c>
      <c r="C1381" s="158">
        <f t="shared" si="22"/>
        <v>6</v>
      </c>
    </row>
    <row r="1382" spans="1:3" x14ac:dyDescent="0.25">
      <c r="A1382" s="159">
        <v>153555</v>
      </c>
      <c r="B1382" s="159">
        <v>6</v>
      </c>
      <c r="C1382" s="158">
        <f t="shared" si="22"/>
        <v>6</v>
      </c>
    </row>
    <row r="1383" spans="1:3" x14ac:dyDescent="0.25">
      <c r="A1383" s="159">
        <v>153577</v>
      </c>
      <c r="B1383" s="159">
        <v>4</v>
      </c>
      <c r="C1383" s="158" t="str">
        <f t="shared" si="22"/>
        <v>4</v>
      </c>
    </row>
    <row r="1384" spans="1:3" x14ac:dyDescent="0.25">
      <c r="A1384" s="159">
        <v>153582</v>
      </c>
      <c r="B1384" s="159">
        <v>3</v>
      </c>
      <c r="C1384" s="158" t="str">
        <f t="shared" si="22"/>
        <v>3</v>
      </c>
    </row>
    <row r="1385" spans="1:3" x14ac:dyDescent="0.25">
      <c r="A1385" s="159">
        <v>153674</v>
      </c>
      <c r="B1385" s="159">
        <v>3</v>
      </c>
      <c r="C1385" s="158" t="str">
        <f t="shared" si="22"/>
        <v>3</v>
      </c>
    </row>
    <row r="1386" spans="1:3" x14ac:dyDescent="0.25">
      <c r="A1386" s="159">
        <v>153675</v>
      </c>
      <c r="B1386" s="159">
        <v>3</v>
      </c>
      <c r="C1386" s="158" t="str">
        <f t="shared" si="22"/>
        <v>3</v>
      </c>
    </row>
    <row r="1387" spans="1:3" x14ac:dyDescent="0.25">
      <c r="A1387" s="159">
        <v>153676</v>
      </c>
      <c r="B1387" s="159">
        <v>1</v>
      </c>
      <c r="C1387" s="158" t="str">
        <f t="shared" si="22"/>
        <v>1</v>
      </c>
    </row>
    <row r="1388" spans="1:3" x14ac:dyDescent="0.25">
      <c r="A1388" s="159">
        <v>153678</v>
      </c>
      <c r="B1388" s="159">
        <v>1</v>
      </c>
      <c r="C1388" s="158" t="str">
        <f t="shared" si="22"/>
        <v>1</v>
      </c>
    </row>
    <row r="1389" spans="1:3" x14ac:dyDescent="0.25">
      <c r="A1389" s="159">
        <v>153882</v>
      </c>
      <c r="B1389" s="159">
        <v>1</v>
      </c>
      <c r="C1389" s="158" t="str">
        <f t="shared" si="22"/>
        <v>1</v>
      </c>
    </row>
    <row r="1390" spans="1:3" x14ac:dyDescent="0.25">
      <c r="A1390" s="159">
        <v>153883</v>
      </c>
      <c r="B1390" s="159">
        <v>1</v>
      </c>
      <c r="C1390" s="158" t="str">
        <f t="shared" si="22"/>
        <v>1</v>
      </c>
    </row>
    <row r="1391" spans="1:3" x14ac:dyDescent="0.25">
      <c r="A1391" s="159">
        <v>153910</v>
      </c>
      <c r="B1391" s="159">
        <v>1</v>
      </c>
      <c r="C1391" s="158" t="str">
        <f t="shared" si="22"/>
        <v>1</v>
      </c>
    </row>
    <row r="1392" spans="1:3" x14ac:dyDescent="0.25">
      <c r="A1392" s="159">
        <v>153911</v>
      </c>
      <c r="B1392" s="159">
        <v>1</v>
      </c>
      <c r="C1392" s="158" t="str">
        <f t="shared" si="22"/>
        <v>1</v>
      </c>
    </row>
    <row r="1393" spans="1:3" x14ac:dyDescent="0.25">
      <c r="A1393" s="159">
        <v>153912</v>
      </c>
      <c r="B1393" s="159">
        <v>1</v>
      </c>
      <c r="C1393" s="158" t="str">
        <f t="shared" si="22"/>
        <v>1</v>
      </c>
    </row>
    <row r="1394" spans="1:3" x14ac:dyDescent="0.25">
      <c r="A1394" s="159">
        <v>153913</v>
      </c>
      <c r="B1394" s="159">
        <v>1</v>
      </c>
      <c r="C1394" s="158" t="str">
        <f t="shared" si="22"/>
        <v>1</v>
      </c>
    </row>
    <row r="1395" spans="1:3" x14ac:dyDescent="0.25">
      <c r="A1395" s="159">
        <v>153914</v>
      </c>
      <c r="B1395" s="159">
        <v>1</v>
      </c>
      <c r="C1395" s="158" t="str">
        <f t="shared" si="22"/>
        <v>1</v>
      </c>
    </row>
    <row r="1396" spans="1:3" x14ac:dyDescent="0.25">
      <c r="A1396" s="159">
        <v>153992</v>
      </c>
      <c r="B1396" s="159" t="s">
        <v>435</v>
      </c>
      <c r="C1396" s="158" t="str">
        <f t="shared" si="22"/>
        <v>GR 2</v>
      </c>
    </row>
    <row r="1397" spans="1:3" x14ac:dyDescent="0.25">
      <c r="A1397" s="159">
        <v>154083</v>
      </c>
      <c r="B1397" s="159">
        <v>2</v>
      </c>
      <c r="C1397" s="158" t="str">
        <f t="shared" si="22"/>
        <v>2</v>
      </c>
    </row>
    <row r="1398" spans="1:3" x14ac:dyDescent="0.25">
      <c r="A1398" s="159">
        <v>154095</v>
      </c>
      <c r="B1398" s="159">
        <v>1</v>
      </c>
      <c r="C1398" s="158" t="str">
        <f t="shared" si="22"/>
        <v>1</v>
      </c>
    </row>
    <row r="1399" spans="1:3" x14ac:dyDescent="0.25">
      <c r="A1399" s="159">
        <v>154096</v>
      </c>
      <c r="B1399" s="159">
        <v>4</v>
      </c>
      <c r="C1399" s="158" t="str">
        <f t="shared" si="22"/>
        <v>4</v>
      </c>
    </row>
    <row r="1400" spans="1:3" x14ac:dyDescent="0.25">
      <c r="A1400" s="159">
        <v>154176</v>
      </c>
      <c r="B1400" s="159">
        <v>5</v>
      </c>
      <c r="C1400" s="158" t="str">
        <f t="shared" si="22"/>
        <v>5</v>
      </c>
    </row>
    <row r="1401" spans="1:3" x14ac:dyDescent="0.25">
      <c r="A1401" s="159">
        <v>154177</v>
      </c>
      <c r="B1401" s="159">
        <v>3</v>
      </c>
      <c r="C1401" s="158" t="str">
        <f t="shared" si="22"/>
        <v>3</v>
      </c>
    </row>
    <row r="1402" spans="1:3" x14ac:dyDescent="0.25">
      <c r="A1402" s="159">
        <v>154178</v>
      </c>
      <c r="B1402" s="159">
        <v>5</v>
      </c>
      <c r="C1402" s="158" t="str">
        <f t="shared" si="22"/>
        <v>5</v>
      </c>
    </row>
    <row r="1403" spans="1:3" x14ac:dyDescent="0.25">
      <c r="A1403" s="159">
        <v>154179</v>
      </c>
      <c r="B1403" s="159">
        <v>2</v>
      </c>
      <c r="C1403" s="158" t="str">
        <f t="shared" si="22"/>
        <v>2</v>
      </c>
    </row>
    <row r="1404" spans="1:3" x14ac:dyDescent="0.25">
      <c r="A1404" s="159">
        <v>154180</v>
      </c>
      <c r="B1404" s="159">
        <v>3</v>
      </c>
      <c r="C1404" s="158" t="str">
        <f t="shared" si="22"/>
        <v>3</v>
      </c>
    </row>
    <row r="1405" spans="1:3" x14ac:dyDescent="0.25">
      <c r="A1405" s="159">
        <v>154181</v>
      </c>
      <c r="B1405" s="159">
        <v>3</v>
      </c>
      <c r="C1405" s="158" t="str">
        <f t="shared" si="22"/>
        <v>3</v>
      </c>
    </row>
    <row r="1406" spans="1:3" x14ac:dyDescent="0.25">
      <c r="A1406" s="159">
        <v>154182</v>
      </c>
      <c r="B1406" s="159" t="s">
        <v>437</v>
      </c>
      <c r="C1406" s="158" t="str">
        <f t="shared" si="22"/>
        <v>1S</v>
      </c>
    </row>
    <row r="1407" spans="1:3" x14ac:dyDescent="0.25">
      <c r="A1407" s="159">
        <v>154183</v>
      </c>
      <c r="B1407" s="159">
        <v>1</v>
      </c>
      <c r="C1407" s="158" t="str">
        <f t="shared" si="22"/>
        <v>1</v>
      </c>
    </row>
    <row r="1408" spans="1:3" x14ac:dyDescent="0.25">
      <c r="A1408" s="159">
        <v>154184</v>
      </c>
      <c r="B1408" s="159">
        <v>3</v>
      </c>
      <c r="C1408" s="158" t="str">
        <f t="shared" si="22"/>
        <v>3</v>
      </c>
    </row>
    <row r="1409" spans="1:3" x14ac:dyDescent="0.25">
      <c r="A1409" s="159">
        <v>154185</v>
      </c>
      <c r="B1409" s="159">
        <v>4</v>
      </c>
      <c r="C1409" s="158" t="str">
        <f t="shared" si="22"/>
        <v>4</v>
      </c>
    </row>
    <row r="1410" spans="1:3" x14ac:dyDescent="0.25">
      <c r="A1410" s="159">
        <v>154186</v>
      </c>
      <c r="B1410" s="159">
        <v>3</v>
      </c>
      <c r="C1410" s="158" t="str">
        <f t="shared" si="22"/>
        <v>3</v>
      </c>
    </row>
    <row r="1411" spans="1:3" x14ac:dyDescent="0.25">
      <c r="A1411" s="159">
        <v>154187</v>
      </c>
      <c r="B1411" s="159">
        <v>1</v>
      </c>
      <c r="C1411" s="158" t="str">
        <f t="shared" si="22"/>
        <v>1</v>
      </c>
    </row>
    <row r="1412" spans="1:3" x14ac:dyDescent="0.25">
      <c r="A1412" s="159">
        <v>154188</v>
      </c>
      <c r="B1412" s="159">
        <v>2</v>
      </c>
      <c r="C1412" s="158" t="str">
        <f t="shared" si="22"/>
        <v>2</v>
      </c>
    </row>
    <row r="1413" spans="1:3" x14ac:dyDescent="0.25">
      <c r="A1413" s="159">
        <v>154189</v>
      </c>
      <c r="B1413" s="159">
        <v>2</v>
      </c>
      <c r="C1413" s="158" t="str">
        <f t="shared" si="22"/>
        <v>2</v>
      </c>
    </row>
    <row r="1414" spans="1:3" x14ac:dyDescent="0.25">
      <c r="A1414" s="159">
        <v>154190</v>
      </c>
      <c r="B1414" s="159">
        <v>2</v>
      </c>
      <c r="C1414" s="158" t="str">
        <f t="shared" si="22"/>
        <v>2</v>
      </c>
    </row>
    <row r="1415" spans="1:3" x14ac:dyDescent="0.25">
      <c r="A1415" s="159">
        <v>154192</v>
      </c>
      <c r="B1415" s="159">
        <v>6</v>
      </c>
      <c r="C1415" s="158">
        <f t="shared" si="22"/>
        <v>6</v>
      </c>
    </row>
    <row r="1416" spans="1:3" x14ac:dyDescent="0.25">
      <c r="A1416" s="159">
        <v>154194</v>
      </c>
      <c r="B1416" s="159">
        <v>1</v>
      </c>
      <c r="C1416" s="158" t="str">
        <f t="shared" si="22"/>
        <v>1</v>
      </c>
    </row>
    <row r="1417" spans="1:3" x14ac:dyDescent="0.25">
      <c r="A1417" s="159">
        <v>154195</v>
      </c>
      <c r="B1417" s="159">
        <v>4</v>
      </c>
      <c r="C1417" s="158" t="str">
        <f t="shared" si="22"/>
        <v>4</v>
      </c>
    </row>
    <row r="1418" spans="1:3" x14ac:dyDescent="0.25">
      <c r="A1418" s="159">
        <v>154252</v>
      </c>
      <c r="B1418" s="159">
        <v>6</v>
      </c>
      <c r="C1418" s="158">
        <f t="shared" si="22"/>
        <v>6</v>
      </c>
    </row>
    <row r="1419" spans="1:3" x14ac:dyDescent="0.25">
      <c r="A1419" s="159">
        <v>154253</v>
      </c>
      <c r="B1419" s="159">
        <v>1</v>
      </c>
      <c r="C1419" s="158" t="str">
        <f t="shared" si="22"/>
        <v>1</v>
      </c>
    </row>
    <row r="1420" spans="1:3" x14ac:dyDescent="0.25">
      <c r="A1420" s="159">
        <v>154319</v>
      </c>
      <c r="B1420" s="159">
        <v>1</v>
      </c>
      <c r="C1420" s="158" t="str">
        <f t="shared" si="22"/>
        <v>1</v>
      </c>
    </row>
    <row r="1421" spans="1:3" x14ac:dyDescent="0.25">
      <c r="A1421" s="159">
        <v>154330</v>
      </c>
      <c r="B1421" s="159">
        <v>5</v>
      </c>
      <c r="C1421" s="158" t="str">
        <f t="shared" ref="C1421:C1484" si="23">IF(OR(B1421=0,B1421=1,B1421=2,B1421=3,B1421=4,B1421=5),TEXT(B1421,"0"),B1421)</f>
        <v>5</v>
      </c>
    </row>
    <row r="1422" spans="1:3" x14ac:dyDescent="0.25">
      <c r="A1422" s="159">
        <v>154331</v>
      </c>
      <c r="B1422" s="159">
        <v>5</v>
      </c>
      <c r="C1422" s="158" t="str">
        <f t="shared" si="23"/>
        <v>5</v>
      </c>
    </row>
    <row r="1423" spans="1:3" x14ac:dyDescent="0.25">
      <c r="A1423" s="159">
        <v>154332</v>
      </c>
      <c r="B1423" s="159">
        <v>1</v>
      </c>
      <c r="C1423" s="158" t="str">
        <f t="shared" si="23"/>
        <v>1</v>
      </c>
    </row>
    <row r="1424" spans="1:3" x14ac:dyDescent="0.25">
      <c r="A1424" s="159">
        <v>154452</v>
      </c>
      <c r="B1424" s="159">
        <v>6</v>
      </c>
      <c r="C1424" s="158">
        <f t="shared" si="23"/>
        <v>6</v>
      </c>
    </row>
    <row r="1425" spans="1:3" x14ac:dyDescent="0.25">
      <c r="A1425" s="159">
        <v>154453</v>
      </c>
      <c r="B1425" s="159" t="s">
        <v>454</v>
      </c>
      <c r="C1425" s="158" t="str">
        <f t="shared" si="23"/>
        <v>6S</v>
      </c>
    </row>
    <row r="1426" spans="1:3" x14ac:dyDescent="0.25">
      <c r="A1426" s="159">
        <v>154473</v>
      </c>
      <c r="B1426" s="159">
        <v>1</v>
      </c>
      <c r="C1426" s="158" t="str">
        <f t="shared" si="23"/>
        <v>1</v>
      </c>
    </row>
    <row r="1427" spans="1:3" x14ac:dyDescent="0.25">
      <c r="A1427" s="159">
        <v>154515</v>
      </c>
      <c r="B1427" s="159">
        <v>1</v>
      </c>
      <c r="C1427" s="158" t="str">
        <f t="shared" si="23"/>
        <v>1</v>
      </c>
    </row>
    <row r="1428" spans="1:3" x14ac:dyDescent="0.25">
      <c r="A1428" s="159">
        <v>154516</v>
      </c>
      <c r="B1428" s="159">
        <v>1</v>
      </c>
      <c r="C1428" s="158" t="str">
        <f t="shared" si="23"/>
        <v>1</v>
      </c>
    </row>
    <row r="1429" spans="1:3" x14ac:dyDescent="0.25">
      <c r="A1429" s="159">
        <v>154529</v>
      </c>
      <c r="B1429" s="159">
        <v>1</v>
      </c>
      <c r="C1429" s="158" t="str">
        <f t="shared" si="23"/>
        <v>1</v>
      </c>
    </row>
    <row r="1430" spans="1:3" x14ac:dyDescent="0.25">
      <c r="A1430" s="159">
        <v>154575</v>
      </c>
      <c r="B1430" s="159">
        <v>6</v>
      </c>
      <c r="C1430" s="158">
        <f t="shared" si="23"/>
        <v>6</v>
      </c>
    </row>
    <row r="1431" spans="1:3" x14ac:dyDescent="0.25">
      <c r="A1431" s="159">
        <v>154576</v>
      </c>
      <c r="B1431" s="159">
        <v>6</v>
      </c>
      <c r="C1431" s="158">
        <f t="shared" si="23"/>
        <v>6</v>
      </c>
    </row>
    <row r="1432" spans="1:3" x14ac:dyDescent="0.25">
      <c r="A1432" s="159">
        <v>154598</v>
      </c>
      <c r="B1432" s="159">
        <v>4</v>
      </c>
      <c r="C1432" s="158" t="str">
        <f t="shared" si="23"/>
        <v>4</v>
      </c>
    </row>
    <row r="1433" spans="1:3" x14ac:dyDescent="0.25">
      <c r="A1433" s="159">
        <v>154604</v>
      </c>
      <c r="B1433" s="159">
        <v>1</v>
      </c>
      <c r="C1433" s="158" t="str">
        <f t="shared" si="23"/>
        <v>1</v>
      </c>
    </row>
    <row r="1434" spans="1:3" x14ac:dyDescent="0.25">
      <c r="A1434" s="159">
        <v>154637</v>
      </c>
      <c r="B1434" s="159">
        <v>3</v>
      </c>
      <c r="C1434" s="158" t="str">
        <f t="shared" si="23"/>
        <v>3</v>
      </c>
    </row>
    <row r="1435" spans="1:3" x14ac:dyDescent="0.25">
      <c r="A1435" s="159">
        <v>154639</v>
      </c>
      <c r="B1435" s="159">
        <v>3</v>
      </c>
      <c r="C1435" s="158" t="str">
        <f t="shared" si="23"/>
        <v>3</v>
      </c>
    </row>
    <row r="1436" spans="1:3" x14ac:dyDescent="0.25">
      <c r="A1436" s="159">
        <v>154640</v>
      </c>
      <c r="B1436" s="159">
        <v>3</v>
      </c>
      <c r="C1436" s="158" t="str">
        <f t="shared" si="23"/>
        <v>3</v>
      </c>
    </row>
    <row r="1437" spans="1:3" x14ac:dyDescent="0.25">
      <c r="A1437" s="159">
        <v>154641</v>
      </c>
      <c r="B1437" s="159">
        <v>3</v>
      </c>
      <c r="C1437" s="158" t="str">
        <f t="shared" si="23"/>
        <v>3</v>
      </c>
    </row>
    <row r="1438" spans="1:3" x14ac:dyDescent="0.25">
      <c r="A1438" s="159">
        <v>154642</v>
      </c>
      <c r="B1438" s="159">
        <v>3</v>
      </c>
      <c r="C1438" s="158" t="str">
        <f t="shared" si="23"/>
        <v>3</v>
      </c>
    </row>
    <row r="1439" spans="1:3" x14ac:dyDescent="0.25">
      <c r="A1439" s="159">
        <v>154674</v>
      </c>
      <c r="B1439" s="159">
        <v>1</v>
      </c>
      <c r="C1439" s="158" t="str">
        <f t="shared" si="23"/>
        <v>1</v>
      </c>
    </row>
    <row r="1440" spans="1:3" x14ac:dyDescent="0.25">
      <c r="A1440" s="159">
        <v>154706</v>
      </c>
      <c r="B1440" s="159">
        <v>1</v>
      </c>
      <c r="C1440" s="158" t="str">
        <f t="shared" si="23"/>
        <v>1</v>
      </c>
    </row>
    <row r="1441" spans="1:3" x14ac:dyDescent="0.25">
      <c r="A1441" s="159">
        <v>154707</v>
      </c>
      <c r="B1441" s="159">
        <v>1</v>
      </c>
      <c r="C1441" s="158" t="str">
        <f t="shared" si="23"/>
        <v>1</v>
      </c>
    </row>
    <row r="1442" spans="1:3" x14ac:dyDescent="0.25">
      <c r="A1442" s="159">
        <v>154708</v>
      </c>
      <c r="B1442" s="159">
        <v>1</v>
      </c>
      <c r="C1442" s="158" t="str">
        <f t="shared" si="23"/>
        <v>1</v>
      </c>
    </row>
    <row r="1443" spans="1:3" x14ac:dyDescent="0.25">
      <c r="A1443" s="159">
        <v>154709</v>
      </c>
      <c r="B1443" s="159">
        <v>1</v>
      </c>
      <c r="C1443" s="158" t="str">
        <f t="shared" si="23"/>
        <v>1</v>
      </c>
    </row>
    <row r="1444" spans="1:3" x14ac:dyDescent="0.25">
      <c r="A1444" s="159">
        <v>154730</v>
      </c>
      <c r="B1444" s="159">
        <v>4</v>
      </c>
      <c r="C1444" s="158" t="str">
        <f t="shared" si="23"/>
        <v>4</v>
      </c>
    </row>
    <row r="1445" spans="1:3" x14ac:dyDescent="0.25">
      <c r="A1445" s="159">
        <v>154786</v>
      </c>
      <c r="B1445" s="159">
        <v>1</v>
      </c>
      <c r="C1445" s="158" t="str">
        <f t="shared" si="23"/>
        <v>1</v>
      </c>
    </row>
    <row r="1446" spans="1:3" x14ac:dyDescent="0.25">
      <c r="A1446" s="159">
        <v>154787</v>
      </c>
      <c r="B1446" s="159">
        <v>1</v>
      </c>
      <c r="C1446" s="158" t="str">
        <f t="shared" si="23"/>
        <v>1</v>
      </c>
    </row>
    <row r="1447" spans="1:3" x14ac:dyDescent="0.25">
      <c r="A1447" s="159">
        <v>154788</v>
      </c>
      <c r="B1447" s="159">
        <v>1</v>
      </c>
      <c r="C1447" s="158" t="str">
        <f t="shared" si="23"/>
        <v>1</v>
      </c>
    </row>
    <row r="1448" spans="1:3" x14ac:dyDescent="0.25">
      <c r="A1448" s="159">
        <v>154789</v>
      </c>
      <c r="B1448" s="159">
        <v>1</v>
      </c>
      <c r="C1448" s="158" t="str">
        <f t="shared" si="23"/>
        <v>1</v>
      </c>
    </row>
    <row r="1449" spans="1:3" x14ac:dyDescent="0.25">
      <c r="A1449" s="159">
        <v>154790</v>
      </c>
      <c r="B1449" s="159">
        <v>1</v>
      </c>
      <c r="C1449" s="158" t="str">
        <f t="shared" si="23"/>
        <v>1</v>
      </c>
    </row>
    <row r="1450" spans="1:3" x14ac:dyDescent="0.25">
      <c r="A1450" s="159">
        <v>521064</v>
      </c>
      <c r="B1450" s="159">
        <v>1</v>
      </c>
      <c r="C1450" s="158" t="str">
        <f t="shared" si="23"/>
        <v>1</v>
      </c>
    </row>
    <row r="1451" spans="1:3" x14ac:dyDescent="0.25">
      <c r="A1451" s="159">
        <v>602662</v>
      </c>
      <c r="B1451" s="159">
        <v>1</v>
      </c>
      <c r="C1451" s="158" t="str">
        <f t="shared" si="23"/>
        <v>1</v>
      </c>
    </row>
    <row r="1452" spans="1:3" x14ac:dyDescent="0.25">
      <c r="A1452" s="159">
        <v>602664</v>
      </c>
      <c r="B1452" s="159" t="s">
        <v>437</v>
      </c>
      <c r="C1452" s="158" t="str">
        <f t="shared" si="23"/>
        <v>1S</v>
      </c>
    </row>
    <row r="1453" spans="1:3" x14ac:dyDescent="0.25">
      <c r="A1453" s="159">
        <v>602665</v>
      </c>
      <c r="B1453" s="159" t="s">
        <v>437</v>
      </c>
      <c r="C1453" s="158" t="str">
        <f t="shared" si="23"/>
        <v>1S</v>
      </c>
    </row>
    <row r="1454" spans="1:3" x14ac:dyDescent="0.25">
      <c r="A1454" s="159">
        <v>602670</v>
      </c>
      <c r="B1454" s="159">
        <v>1</v>
      </c>
      <c r="C1454" s="158" t="str">
        <f t="shared" si="23"/>
        <v>1</v>
      </c>
    </row>
    <row r="1455" spans="1:3" x14ac:dyDescent="0.25">
      <c r="A1455" s="159">
        <v>602671</v>
      </c>
      <c r="B1455" s="159">
        <v>1</v>
      </c>
      <c r="C1455" s="158" t="str">
        <f t="shared" si="23"/>
        <v>1</v>
      </c>
    </row>
    <row r="1456" spans="1:3" x14ac:dyDescent="0.25">
      <c r="A1456" s="159">
        <v>602672</v>
      </c>
      <c r="B1456" s="159">
        <v>1</v>
      </c>
      <c r="C1456" s="158" t="str">
        <f t="shared" si="23"/>
        <v>1</v>
      </c>
    </row>
    <row r="1457" spans="1:3" x14ac:dyDescent="0.25">
      <c r="A1457" s="159">
        <v>602673</v>
      </c>
      <c r="B1457" s="159">
        <v>1</v>
      </c>
      <c r="C1457" s="158" t="str">
        <f t="shared" si="23"/>
        <v>1</v>
      </c>
    </row>
    <row r="1458" spans="1:3" x14ac:dyDescent="0.25">
      <c r="A1458" s="159">
        <v>602676</v>
      </c>
      <c r="B1458" s="159" t="s">
        <v>437</v>
      </c>
      <c r="C1458" s="158" t="str">
        <f t="shared" si="23"/>
        <v>1S</v>
      </c>
    </row>
    <row r="1459" spans="1:3" x14ac:dyDescent="0.25">
      <c r="A1459" s="159">
        <v>602677</v>
      </c>
      <c r="B1459" s="159" t="s">
        <v>437</v>
      </c>
      <c r="C1459" s="158" t="str">
        <f t="shared" si="23"/>
        <v>1S</v>
      </c>
    </row>
    <row r="1460" spans="1:3" x14ac:dyDescent="0.25">
      <c r="A1460" s="159">
        <v>602681</v>
      </c>
      <c r="B1460" s="159" t="s">
        <v>437</v>
      </c>
      <c r="C1460" s="158" t="str">
        <f t="shared" si="23"/>
        <v>1S</v>
      </c>
    </row>
    <row r="1461" spans="1:3" x14ac:dyDescent="0.25">
      <c r="A1461" s="159">
        <v>602682</v>
      </c>
      <c r="B1461" s="159" t="s">
        <v>437</v>
      </c>
      <c r="C1461" s="158" t="str">
        <f t="shared" si="23"/>
        <v>1S</v>
      </c>
    </row>
    <row r="1462" spans="1:3" x14ac:dyDescent="0.25">
      <c r="A1462" s="159">
        <v>602685</v>
      </c>
      <c r="B1462" s="159" t="s">
        <v>437</v>
      </c>
      <c r="C1462" s="158" t="str">
        <f t="shared" si="23"/>
        <v>1S</v>
      </c>
    </row>
    <row r="1463" spans="1:3" x14ac:dyDescent="0.25">
      <c r="A1463" s="159">
        <v>602686</v>
      </c>
      <c r="B1463" s="159" t="s">
        <v>437</v>
      </c>
      <c r="C1463" s="158" t="str">
        <f t="shared" si="23"/>
        <v>1S</v>
      </c>
    </row>
    <row r="1464" spans="1:3" x14ac:dyDescent="0.25">
      <c r="A1464" s="159">
        <v>602688</v>
      </c>
      <c r="B1464" s="159">
        <v>1</v>
      </c>
      <c r="C1464" s="158" t="str">
        <f t="shared" si="23"/>
        <v>1</v>
      </c>
    </row>
    <row r="1465" spans="1:3" x14ac:dyDescent="0.25">
      <c r="A1465" s="159">
        <v>602689</v>
      </c>
      <c r="B1465" s="159">
        <v>1</v>
      </c>
      <c r="C1465" s="158" t="str">
        <f t="shared" si="23"/>
        <v>1</v>
      </c>
    </row>
    <row r="1466" spans="1:3" x14ac:dyDescent="0.25">
      <c r="A1466" s="159">
        <v>602690</v>
      </c>
      <c r="B1466" s="159" t="s">
        <v>437</v>
      </c>
      <c r="C1466" s="158" t="str">
        <f t="shared" si="23"/>
        <v>1S</v>
      </c>
    </row>
    <row r="1467" spans="1:3" x14ac:dyDescent="0.25">
      <c r="A1467" s="159">
        <v>602691</v>
      </c>
      <c r="B1467" s="159" t="s">
        <v>437</v>
      </c>
      <c r="C1467" s="158" t="str">
        <f t="shared" si="23"/>
        <v>1S</v>
      </c>
    </row>
    <row r="1468" spans="1:3" x14ac:dyDescent="0.25">
      <c r="A1468" s="159">
        <v>602692</v>
      </c>
      <c r="B1468" s="159" t="s">
        <v>437</v>
      </c>
      <c r="C1468" s="158" t="str">
        <f t="shared" si="23"/>
        <v>1S</v>
      </c>
    </row>
    <row r="1469" spans="1:3" x14ac:dyDescent="0.25">
      <c r="A1469" s="159">
        <v>602694</v>
      </c>
      <c r="B1469" s="159">
        <v>1</v>
      </c>
      <c r="C1469" s="158" t="str">
        <f t="shared" si="23"/>
        <v>1</v>
      </c>
    </row>
    <row r="1470" spans="1:3" x14ac:dyDescent="0.25">
      <c r="A1470" s="159">
        <v>602695</v>
      </c>
      <c r="B1470" s="159">
        <v>1</v>
      </c>
      <c r="C1470" s="158" t="str">
        <f t="shared" si="23"/>
        <v>1</v>
      </c>
    </row>
    <row r="1471" spans="1:3" x14ac:dyDescent="0.25">
      <c r="A1471" s="159">
        <v>602696</v>
      </c>
      <c r="B1471" s="159">
        <v>1</v>
      </c>
      <c r="C1471" s="158" t="str">
        <f t="shared" si="23"/>
        <v>1</v>
      </c>
    </row>
    <row r="1472" spans="1:3" x14ac:dyDescent="0.25">
      <c r="A1472" s="159">
        <v>602697</v>
      </c>
      <c r="B1472" s="159">
        <v>1</v>
      </c>
      <c r="C1472" s="158" t="str">
        <f t="shared" si="23"/>
        <v>1</v>
      </c>
    </row>
    <row r="1473" spans="1:3" x14ac:dyDescent="0.25">
      <c r="A1473" s="159">
        <v>602706</v>
      </c>
      <c r="B1473" s="159">
        <v>1</v>
      </c>
      <c r="C1473" s="158" t="str">
        <f t="shared" si="23"/>
        <v>1</v>
      </c>
    </row>
    <row r="1474" spans="1:3" x14ac:dyDescent="0.25">
      <c r="A1474" s="159">
        <v>602709</v>
      </c>
      <c r="B1474" s="159">
        <v>1</v>
      </c>
      <c r="C1474" s="158" t="str">
        <f t="shared" si="23"/>
        <v>1</v>
      </c>
    </row>
    <row r="1475" spans="1:3" x14ac:dyDescent="0.25">
      <c r="A1475" s="159">
        <v>602710</v>
      </c>
      <c r="B1475" s="159">
        <v>1</v>
      </c>
      <c r="C1475" s="158" t="str">
        <f t="shared" si="23"/>
        <v>1</v>
      </c>
    </row>
    <row r="1476" spans="1:3" x14ac:dyDescent="0.25">
      <c r="A1476" s="159">
        <v>602714</v>
      </c>
      <c r="B1476" s="159" t="s">
        <v>437</v>
      </c>
      <c r="C1476" s="158" t="str">
        <f t="shared" si="23"/>
        <v>1S</v>
      </c>
    </row>
    <row r="1477" spans="1:3" x14ac:dyDescent="0.25">
      <c r="A1477" s="159">
        <v>602715</v>
      </c>
      <c r="B1477" s="159" t="s">
        <v>437</v>
      </c>
      <c r="C1477" s="158" t="str">
        <f t="shared" si="23"/>
        <v>1S</v>
      </c>
    </row>
    <row r="1478" spans="1:3" x14ac:dyDescent="0.25">
      <c r="A1478" s="159">
        <v>602716</v>
      </c>
      <c r="B1478" s="159">
        <v>1</v>
      </c>
      <c r="C1478" s="158" t="str">
        <f t="shared" si="23"/>
        <v>1</v>
      </c>
    </row>
    <row r="1479" spans="1:3" x14ac:dyDescent="0.25">
      <c r="A1479" s="159">
        <v>602717</v>
      </c>
      <c r="B1479" s="159">
        <v>3</v>
      </c>
      <c r="C1479" s="158" t="str">
        <f t="shared" si="23"/>
        <v>3</v>
      </c>
    </row>
    <row r="1480" spans="1:3" x14ac:dyDescent="0.25">
      <c r="A1480" s="159">
        <v>602718</v>
      </c>
      <c r="B1480" s="159">
        <v>1</v>
      </c>
      <c r="C1480" s="158" t="str">
        <f t="shared" si="23"/>
        <v>1</v>
      </c>
    </row>
    <row r="1481" spans="1:3" x14ac:dyDescent="0.25">
      <c r="A1481" s="159">
        <v>602719</v>
      </c>
      <c r="B1481" s="159">
        <v>1</v>
      </c>
      <c r="C1481" s="158" t="str">
        <f t="shared" si="23"/>
        <v>1</v>
      </c>
    </row>
    <row r="1482" spans="1:3" x14ac:dyDescent="0.25">
      <c r="A1482" s="159">
        <v>602720</v>
      </c>
      <c r="B1482" s="159">
        <v>1</v>
      </c>
      <c r="C1482" s="158" t="str">
        <f t="shared" si="23"/>
        <v>1</v>
      </c>
    </row>
    <row r="1483" spans="1:3" x14ac:dyDescent="0.25">
      <c r="A1483" s="159">
        <v>602721</v>
      </c>
      <c r="B1483" s="159" t="s">
        <v>437</v>
      </c>
      <c r="C1483" s="158" t="str">
        <f t="shared" si="23"/>
        <v>1S</v>
      </c>
    </row>
    <row r="1484" spans="1:3" x14ac:dyDescent="0.25">
      <c r="A1484" s="159">
        <v>602722</v>
      </c>
      <c r="B1484" s="159" t="s">
        <v>437</v>
      </c>
      <c r="C1484" s="158" t="str">
        <f t="shared" si="23"/>
        <v>1S</v>
      </c>
    </row>
    <row r="1485" spans="1:3" x14ac:dyDescent="0.25">
      <c r="A1485" s="159">
        <v>602727</v>
      </c>
      <c r="B1485" s="159" t="s">
        <v>437</v>
      </c>
      <c r="C1485" s="158" t="str">
        <f t="shared" ref="C1485:C1548" si="24">IF(OR(B1485=0,B1485=1,B1485=2,B1485=3,B1485=4,B1485=5),TEXT(B1485,"0"),B1485)</f>
        <v>1S</v>
      </c>
    </row>
    <row r="1486" spans="1:3" x14ac:dyDescent="0.25">
      <c r="A1486" s="159">
        <v>602728</v>
      </c>
      <c r="B1486" s="159" t="s">
        <v>437</v>
      </c>
      <c r="C1486" s="158" t="str">
        <f t="shared" si="24"/>
        <v>1S</v>
      </c>
    </row>
    <row r="1487" spans="1:3" x14ac:dyDescent="0.25">
      <c r="A1487" s="159">
        <v>602729</v>
      </c>
      <c r="B1487" s="159" t="s">
        <v>438</v>
      </c>
      <c r="C1487" s="158" t="str">
        <f t="shared" si="24"/>
        <v>2S</v>
      </c>
    </row>
    <row r="1488" spans="1:3" x14ac:dyDescent="0.25">
      <c r="A1488" s="159">
        <v>602730</v>
      </c>
      <c r="B1488" s="159" t="s">
        <v>437</v>
      </c>
      <c r="C1488" s="158" t="str">
        <f t="shared" si="24"/>
        <v>1S</v>
      </c>
    </row>
    <row r="1489" spans="1:3" x14ac:dyDescent="0.25">
      <c r="A1489" s="159">
        <v>602731</v>
      </c>
      <c r="B1489" s="159" t="s">
        <v>438</v>
      </c>
      <c r="C1489" s="158" t="str">
        <f t="shared" si="24"/>
        <v>2S</v>
      </c>
    </row>
    <row r="1490" spans="1:3" x14ac:dyDescent="0.25">
      <c r="A1490" s="159">
        <v>602732</v>
      </c>
      <c r="B1490" s="159" t="s">
        <v>437</v>
      </c>
      <c r="C1490" s="158" t="str">
        <f t="shared" si="24"/>
        <v>1S</v>
      </c>
    </row>
    <row r="1491" spans="1:3" x14ac:dyDescent="0.25">
      <c r="A1491" s="159">
        <v>602733</v>
      </c>
      <c r="B1491" s="159">
        <v>1</v>
      </c>
      <c r="C1491" s="158" t="str">
        <f t="shared" si="24"/>
        <v>1</v>
      </c>
    </row>
    <row r="1492" spans="1:3" x14ac:dyDescent="0.25">
      <c r="A1492" s="159">
        <v>602734</v>
      </c>
      <c r="B1492" s="159">
        <v>4</v>
      </c>
      <c r="C1492" s="158" t="str">
        <f t="shared" si="24"/>
        <v>4</v>
      </c>
    </row>
    <row r="1493" spans="1:3" x14ac:dyDescent="0.25">
      <c r="A1493" s="159">
        <v>602736</v>
      </c>
      <c r="B1493" s="159">
        <v>1</v>
      </c>
      <c r="C1493" s="158" t="str">
        <f t="shared" si="24"/>
        <v>1</v>
      </c>
    </row>
    <row r="1494" spans="1:3" x14ac:dyDescent="0.25">
      <c r="A1494" s="159">
        <v>602737</v>
      </c>
      <c r="B1494" s="159">
        <v>1</v>
      </c>
      <c r="C1494" s="158" t="str">
        <f t="shared" si="24"/>
        <v>1</v>
      </c>
    </row>
    <row r="1495" spans="1:3" x14ac:dyDescent="0.25">
      <c r="A1495" s="159">
        <v>602741</v>
      </c>
      <c r="B1495" s="159">
        <v>1</v>
      </c>
      <c r="C1495" s="158" t="str">
        <f t="shared" si="24"/>
        <v>1</v>
      </c>
    </row>
    <row r="1496" spans="1:3" x14ac:dyDescent="0.25">
      <c r="A1496" s="159">
        <v>602746</v>
      </c>
      <c r="B1496" s="159">
        <v>1</v>
      </c>
      <c r="C1496" s="158" t="str">
        <f t="shared" si="24"/>
        <v>1</v>
      </c>
    </row>
    <row r="1497" spans="1:3" x14ac:dyDescent="0.25">
      <c r="A1497" s="159">
        <v>602747</v>
      </c>
      <c r="B1497" s="159">
        <v>1</v>
      </c>
      <c r="C1497" s="158" t="str">
        <f t="shared" si="24"/>
        <v>1</v>
      </c>
    </row>
    <row r="1498" spans="1:3" x14ac:dyDescent="0.25">
      <c r="A1498" s="159">
        <v>602752</v>
      </c>
      <c r="B1498" s="159">
        <v>4</v>
      </c>
      <c r="C1498" s="158" t="str">
        <f t="shared" si="24"/>
        <v>4</v>
      </c>
    </row>
    <row r="1499" spans="1:3" x14ac:dyDescent="0.25">
      <c r="A1499" s="159">
        <v>602753</v>
      </c>
      <c r="B1499" s="159">
        <v>1</v>
      </c>
      <c r="C1499" s="158" t="str">
        <f t="shared" si="24"/>
        <v>1</v>
      </c>
    </row>
    <row r="1500" spans="1:3" x14ac:dyDescent="0.25">
      <c r="A1500" s="159">
        <v>602754</v>
      </c>
      <c r="B1500" s="159">
        <v>1</v>
      </c>
      <c r="C1500" s="158" t="str">
        <f t="shared" si="24"/>
        <v>1</v>
      </c>
    </row>
    <row r="1501" spans="1:3" x14ac:dyDescent="0.25">
      <c r="A1501" s="159">
        <v>602755</v>
      </c>
      <c r="B1501" s="159">
        <v>1</v>
      </c>
      <c r="C1501" s="158" t="str">
        <f t="shared" si="24"/>
        <v>1</v>
      </c>
    </row>
    <row r="1502" spans="1:3" x14ac:dyDescent="0.25">
      <c r="A1502" s="159">
        <v>602756</v>
      </c>
      <c r="B1502" s="159">
        <v>1</v>
      </c>
      <c r="C1502" s="158" t="str">
        <f t="shared" si="24"/>
        <v>1</v>
      </c>
    </row>
    <row r="1503" spans="1:3" x14ac:dyDescent="0.25">
      <c r="A1503" s="159">
        <v>602757</v>
      </c>
      <c r="B1503" s="159">
        <v>4</v>
      </c>
      <c r="C1503" s="158" t="str">
        <f t="shared" si="24"/>
        <v>4</v>
      </c>
    </row>
    <row r="1504" spans="1:3" x14ac:dyDescent="0.25">
      <c r="A1504" s="159">
        <v>602758</v>
      </c>
      <c r="B1504" s="159">
        <v>1</v>
      </c>
      <c r="C1504" s="158" t="str">
        <f t="shared" si="24"/>
        <v>1</v>
      </c>
    </row>
    <row r="1505" spans="1:3" x14ac:dyDescent="0.25">
      <c r="A1505" s="159">
        <v>602762</v>
      </c>
      <c r="B1505" s="159">
        <v>1</v>
      </c>
      <c r="C1505" s="158" t="str">
        <f t="shared" si="24"/>
        <v>1</v>
      </c>
    </row>
    <row r="1506" spans="1:3" x14ac:dyDescent="0.25">
      <c r="A1506" s="159">
        <v>602763</v>
      </c>
      <c r="B1506" s="159">
        <v>4</v>
      </c>
      <c r="C1506" s="158" t="str">
        <f t="shared" si="24"/>
        <v>4</v>
      </c>
    </row>
    <row r="1507" spans="1:3" x14ac:dyDescent="0.25">
      <c r="A1507" s="159">
        <v>602764</v>
      </c>
      <c r="B1507" s="159">
        <v>4</v>
      </c>
      <c r="C1507" s="158" t="str">
        <f t="shared" si="24"/>
        <v>4</v>
      </c>
    </row>
    <row r="1508" spans="1:3" x14ac:dyDescent="0.25">
      <c r="A1508" s="159">
        <v>602765</v>
      </c>
      <c r="B1508" s="159">
        <v>1</v>
      </c>
      <c r="C1508" s="158" t="str">
        <f t="shared" si="24"/>
        <v>1</v>
      </c>
    </row>
    <row r="1509" spans="1:3" x14ac:dyDescent="0.25">
      <c r="A1509" s="159">
        <v>602766</v>
      </c>
      <c r="B1509" s="159">
        <v>4</v>
      </c>
      <c r="C1509" s="158" t="str">
        <f t="shared" si="24"/>
        <v>4</v>
      </c>
    </row>
    <row r="1510" spans="1:3" x14ac:dyDescent="0.25">
      <c r="A1510" s="159">
        <v>602767</v>
      </c>
      <c r="B1510" s="159">
        <v>3</v>
      </c>
      <c r="C1510" s="158" t="str">
        <f t="shared" si="24"/>
        <v>3</v>
      </c>
    </row>
    <row r="1511" spans="1:3" x14ac:dyDescent="0.25">
      <c r="A1511" s="159">
        <v>602768</v>
      </c>
      <c r="B1511" s="159" t="s">
        <v>437</v>
      </c>
      <c r="C1511" s="158" t="str">
        <f t="shared" si="24"/>
        <v>1S</v>
      </c>
    </row>
    <row r="1512" spans="1:3" x14ac:dyDescent="0.25">
      <c r="A1512" s="159">
        <v>602769</v>
      </c>
      <c r="B1512" s="159" t="s">
        <v>437</v>
      </c>
      <c r="C1512" s="158" t="str">
        <f t="shared" si="24"/>
        <v>1S</v>
      </c>
    </row>
    <row r="1513" spans="1:3" x14ac:dyDescent="0.25">
      <c r="A1513" s="159">
        <v>602770</v>
      </c>
      <c r="B1513" s="159">
        <v>4</v>
      </c>
      <c r="C1513" s="158" t="str">
        <f t="shared" si="24"/>
        <v>4</v>
      </c>
    </row>
    <row r="1514" spans="1:3" x14ac:dyDescent="0.25">
      <c r="A1514" s="159">
        <v>602771</v>
      </c>
      <c r="B1514" s="159">
        <v>1</v>
      </c>
      <c r="C1514" s="158" t="str">
        <f t="shared" si="24"/>
        <v>1</v>
      </c>
    </row>
    <row r="1515" spans="1:3" x14ac:dyDescent="0.25">
      <c r="A1515" s="159">
        <v>602772</v>
      </c>
      <c r="B1515" s="159">
        <v>4</v>
      </c>
      <c r="C1515" s="158" t="str">
        <f t="shared" si="24"/>
        <v>4</v>
      </c>
    </row>
    <row r="1516" spans="1:3" x14ac:dyDescent="0.25">
      <c r="A1516" s="159">
        <v>602773</v>
      </c>
      <c r="B1516" s="159">
        <v>3</v>
      </c>
      <c r="C1516" s="158" t="str">
        <f t="shared" si="24"/>
        <v>3</v>
      </c>
    </row>
    <row r="1517" spans="1:3" x14ac:dyDescent="0.25">
      <c r="A1517" s="159">
        <v>602774</v>
      </c>
      <c r="B1517" s="159">
        <v>1</v>
      </c>
      <c r="C1517" s="158" t="str">
        <f t="shared" si="24"/>
        <v>1</v>
      </c>
    </row>
    <row r="1518" spans="1:3" x14ac:dyDescent="0.25">
      <c r="A1518" s="159">
        <v>602775</v>
      </c>
      <c r="B1518" s="159">
        <v>3</v>
      </c>
      <c r="C1518" s="158" t="str">
        <f t="shared" si="24"/>
        <v>3</v>
      </c>
    </row>
    <row r="1519" spans="1:3" x14ac:dyDescent="0.25">
      <c r="A1519" s="159">
        <v>602778</v>
      </c>
      <c r="B1519" s="159" t="s">
        <v>439</v>
      </c>
      <c r="C1519" s="158" t="str">
        <f t="shared" si="24"/>
        <v>3S</v>
      </c>
    </row>
    <row r="1520" spans="1:3" x14ac:dyDescent="0.25">
      <c r="A1520" s="159">
        <v>602779</v>
      </c>
      <c r="B1520" s="159" t="s">
        <v>437</v>
      </c>
      <c r="C1520" s="158" t="str">
        <f t="shared" si="24"/>
        <v>1S</v>
      </c>
    </row>
    <row r="1521" spans="1:3" x14ac:dyDescent="0.25">
      <c r="A1521" s="159">
        <v>602780</v>
      </c>
      <c r="B1521" s="159" t="s">
        <v>439</v>
      </c>
      <c r="C1521" s="158" t="str">
        <f t="shared" si="24"/>
        <v>3S</v>
      </c>
    </row>
    <row r="1522" spans="1:3" x14ac:dyDescent="0.25">
      <c r="A1522" s="159">
        <v>602781</v>
      </c>
      <c r="B1522" s="159">
        <v>3</v>
      </c>
      <c r="C1522" s="158" t="str">
        <f t="shared" si="24"/>
        <v>3</v>
      </c>
    </row>
    <row r="1523" spans="1:3" x14ac:dyDescent="0.25">
      <c r="A1523" s="159">
        <v>602782</v>
      </c>
      <c r="B1523" s="159">
        <v>1</v>
      </c>
      <c r="C1523" s="158" t="str">
        <f t="shared" si="24"/>
        <v>1</v>
      </c>
    </row>
    <row r="1524" spans="1:3" x14ac:dyDescent="0.25">
      <c r="A1524" s="159">
        <v>602783</v>
      </c>
      <c r="B1524" s="159">
        <v>1</v>
      </c>
      <c r="C1524" s="158" t="str">
        <f t="shared" si="24"/>
        <v>1</v>
      </c>
    </row>
    <row r="1525" spans="1:3" x14ac:dyDescent="0.25">
      <c r="A1525" s="159">
        <v>602787</v>
      </c>
      <c r="B1525" s="159">
        <v>1</v>
      </c>
      <c r="C1525" s="158" t="str">
        <f t="shared" si="24"/>
        <v>1</v>
      </c>
    </row>
    <row r="1526" spans="1:3" x14ac:dyDescent="0.25">
      <c r="A1526" s="159">
        <v>602788</v>
      </c>
      <c r="B1526" s="159">
        <v>1</v>
      </c>
      <c r="C1526" s="158" t="str">
        <f t="shared" si="24"/>
        <v>1</v>
      </c>
    </row>
    <row r="1527" spans="1:3" x14ac:dyDescent="0.25">
      <c r="A1527" s="159">
        <v>602789</v>
      </c>
      <c r="B1527" s="159">
        <v>1</v>
      </c>
      <c r="C1527" s="158" t="str">
        <f t="shared" si="24"/>
        <v>1</v>
      </c>
    </row>
    <row r="1528" spans="1:3" x14ac:dyDescent="0.25">
      <c r="A1528" s="159">
        <v>602793</v>
      </c>
      <c r="B1528" s="159">
        <v>1</v>
      </c>
      <c r="C1528" s="158" t="str">
        <f t="shared" si="24"/>
        <v>1</v>
      </c>
    </row>
    <row r="1529" spans="1:3" x14ac:dyDescent="0.25">
      <c r="A1529" s="159">
        <v>602794</v>
      </c>
      <c r="B1529" s="159">
        <v>1</v>
      </c>
      <c r="C1529" s="158" t="str">
        <f t="shared" si="24"/>
        <v>1</v>
      </c>
    </row>
    <row r="1530" spans="1:3" x14ac:dyDescent="0.25">
      <c r="A1530" s="159">
        <v>602795</v>
      </c>
      <c r="B1530" s="159">
        <v>1</v>
      </c>
      <c r="C1530" s="158" t="str">
        <f t="shared" si="24"/>
        <v>1</v>
      </c>
    </row>
    <row r="1531" spans="1:3" x14ac:dyDescent="0.25">
      <c r="A1531" s="159">
        <v>602796</v>
      </c>
      <c r="B1531" s="159" t="s">
        <v>437</v>
      </c>
      <c r="C1531" s="158" t="str">
        <f t="shared" si="24"/>
        <v>1S</v>
      </c>
    </row>
    <row r="1532" spans="1:3" x14ac:dyDescent="0.25">
      <c r="A1532" s="159">
        <v>602797</v>
      </c>
      <c r="B1532" s="159" t="s">
        <v>437</v>
      </c>
      <c r="C1532" s="158" t="str">
        <f t="shared" si="24"/>
        <v>1S</v>
      </c>
    </row>
    <row r="1533" spans="1:3" x14ac:dyDescent="0.25">
      <c r="A1533" s="159">
        <v>602798</v>
      </c>
      <c r="B1533" s="159" t="s">
        <v>437</v>
      </c>
      <c r="C1533" s="158" t="str">
        <f t="shared" si="24"/>
        <v>1S</v>
      </c>
    </row>
    <row r="1534" spans="1:3" x14ac:dyDescent="0.25">
      <c r="A1534" s="159">
        <v>602801</v>
      </c>
      <c r="B1534" s="159">
        <v>1</v>
      </c>
      <c r="C1534" s="158" t="str">
        <f t="shared" si="24"/>
        <v>1</v>
      </c>
    </row>
    <row r="1535" spans="1:3" x14ac:dyDescent="0.25">
      <c r="A1535" s="159">
        <v>602802</v>
      </c>
      <c r="B1535" s="159">
        <v>1</v>
      </c>
      <c r="C1535" s="158" t="str">
        <f t="shared" si="24"/>
        <v>1</v>
      </c>
    </row>
    <row r="1536" spans="1:3" x14ac:dyDescent="0.25">
      <c r="A1536" s="159">
        <v>602803</v>
      </c>
      <c r="B1536" s="159" t="s">
        <v>437</v>
      </c>
      <c r="C1536" s="158" t="str">
        <f t="shared" si="24"/>
        <v>1S</v>
      </c>
    </row>
    <row r="1537" spans="1:3" x14ac:dyDescent="0.25">
      <c r="A1537" s="159">
        <v>602804</v>
      </c>
      <c r="B1537" s="159">
        <v>1</v>
      </c>
      <c r="C1537" s="158" t="str">
        <f t="shared" si="24"/>
        <v>1</v>
      </c>
    </row>
    <row r="1538" spans="1:3" x14ac:dyDescent="0.25">
      <c r="A1538" s="159">
        <v>602806</v>
      </c>
      <c r="B1538" s="159">
        <v>1</v>
      </c>
      <c r="C1538" s="158" t="str">
        <f t="shared" si="24"/>
        <v>1</v>
      </c>
    </row>
    <row r="1539" spans="1:3" x14ac:dyDescent="0.25">
      <c r="A1539" s="159">
        <v>602807</v>
      </c>
      <c r="B1539" s="159">
        <v>1</v>
      </c>
      <c r="C1539" s="158" t="str">
        <f t="shared" si="24"/>
        <v>1</v>
      </c>
    </row>
    <row r="1540" spans="1:3" x14ac:dyDescent="0.25">
      <c r="A1540" s="159">
        <v>602808</v>
      </c>
      <c r="B1540" s="159">
        <v>1</v>
      </c>
      <c r="C1540" s="158" t="str">
        <f t="shared" si="24"/>
        <v>1</v>
      </c>
    </row>
    <row r="1541" spans="1:3" x14ac:dyDescent="0.25">
      <c r="A1541" s="159">
        <v>602812</v>
      </c>
      <c r="B1541" s="159">
        <v>4</v>
      </c>
      <c r="C1541" s="158" t="str">
        <f t="shared" si="24"/>
        <v>4</v>
      </c>
    </row>
    <row r="1542" spans="1:3" x14ac:dyDescent="0.25">
      <c r="A1542" s="159">
        <v>602813</v>
      </c>
      <c r="B1542" s="159">
        <v>1</v>
      </c>
      <c r="C1542" s="158" t="str">
        <f t="shared" si="24"/>
        <v>1</v>
      </c>
    </row>
    <row r="1543" spans="1:3" x14ac:dyDescent="0.25">
      <c r="A1543" s="159">
        <v>602814</v>
      </c>
      <c r="B1543" s="159">
        <v>4</v>
      </c>
      <c r="C1543" s="158" t="str">
        <f t="shared" si="24"/>
        <v>4</v>
      </c>
    </row>
    <row r="1544" spans="1:3" x14ac:dyDescent="0.25">
      <c r="A1544" s="159">
        <v>602815</v>
      </c>
      <c r="B1544" s="159">
        <v>2</v>
      </c>
      <c r="C1544" s="158" t="str">
        <f t="shared" si="24"/>
        <v>2</v>
      </c>
    </row>
    <row r="1545" spans="1:3" x14ac:dyDescent="0.25">
      <c r="A1545" s="159">
        <v>602816</v>
      </c>
      <c r="B1545" s="159">
        <v>1</v>
      </c>
      <c r="C1545" s="158" t="str">
        <f t="shared" si="24"/>
        <v>1</v>
      </c>
    </row>
    <row r="1546" spans="1:3" x14ac:dyDescent="0.25">
      <c r="A1546" s="159">
        <v>602817</v>
      </c>
      <c r="B1546" s="159">
        <v>4</v>
      </c>
      <c r="C1546" s="158" t="str">
        <f t="shared" si="24"/>
        <v>4</v>
      </c>
    </row>
    <row r="1547" spans="1:3" x14ac:dyDescent="0.25">
      <c r="A1547" s="159">
        <v>602818</v>
      </c>
      <c r="B1547" s="159">
        <v>1</v>
      </c>
      <c r="C1547" s="158" t="str">
        <f t="shared" si="24"/>
        <v>1</v>
      </c>
    </row>
    <row r="1548" spans="1:3" x14ac:dyDescent="0.25">
      <c r="A1548" s="159">
        <v>602819</v>
      </c>
      <c r="B1548" s="159">
        <v>4</v>
      </c>
      <c r="C1548" s="158" t="str">
        <f t="shared" si="24"/>
        <v>4</v>
      </c>
    </row>
    <row r="1549" spans="1:3" x14ac:dyDescent="0.25">
      <c r="A1549" s="159">
        <v>602820</v>
      </c>
      <c r="B1549" s="159">
        <v>1</v>
      </c>
      <c r="C1549" s="158" t="str">
        <f t="shared" ref="C1549:C1612" si="25">IF(OR(B1549=0,B1549=1,B1549=2,B1549=3,B1549=4,B1549=5),TEXT(B1549,"0"),B1549)</f>
        <v>1</v>
      </c>
    </row>
    <row r="1550" spans="1:3" x14ac:dyDescent="0.25">
      <c r="A1550" s="159">
        <v>602821</v>
      </c>
      <c r="B1550" s="159">
        <v>4</v>
      </c>
      <c r="C1550" s="158" t="str">
        <f t="shared" si="25"/>
        <v>4</v>
      </c>
    </row>
    <row r="1551" spans="1:3" x14ac:dyDescent="0.25">
      <c r="A1551" s="159">
        <v>602822</v>
      </c>
      <c r="B1551" s="159" t="s">
        <v>437</v>
      </c>
      <c r="C1551" s="158" t="str">
        <f t="shared" si="25"/>
        <v>1S</v>
      </c>
    </row>
    <row r="1552" spans="1:3" x14ac:dyDescent="0.25">
      <c r="A1552" s="159">
        <v>602823</v>
      </c>
      <c r="B1552" s="159" t="s">
        <v>437</v>
      </c>
      <c r="C1552" s="158" t="str">
        <f t="shared" si="25"/>
        <v>1S</v>
      </c>
    </row>
    <row r="1553" spans="1:3" x14ac:dyDescent="0.25">
      <c r="A1553" s="159">
        <v>602824</v>
      </c>
      <c r="B1553" s="159" t="s">
        <v>437</v>
      </c>
      <c r="C1553" s="158" t="str">
        <f t="shared" si="25"/>
        <v>1S</v>
      </c>
    </row>
    <row r="1554" spans="1:3" x14ac:dyDescent="0.25">
      <c r="A1554" s="159">
        <v>602825</v>
      </c>
      <c r="B1554" s="159">
        <v>4</v>
      </c>
      <c r="C1554" s="158" t="str">
        <f t="shared" si="25"/>
        <v>4</v>
      </c>
    </row>
    <row r="1555" spans="1:3" x14ac:dyDescent="0.25">
      <c r="A1555" s="159">
        <v>602826</v>
      </c>
      <c r="B1555" s="159">
        <v>4</v>
      </c>
      <c r="C1555" s="158" t="str">
        <f t="shared" si="25"/>
        <v>4</v>
      </c>
    </row>
    <row r="1556" spans="1:3" x14ac:dyDescent="0.25">
      <c r="A1556" s="159">
        <v>602827</v>
      </c>
      <c r="B1556" s="159">
        <v>1</v>
      </c>
      <c r="C1556" s="158" t="str">
        <f t="shared" si="25"/>
        <v>1</v>
      </c>
    </row>
    <row r="1557" spans="1:3" x14ac:dyDescent="0.25">
      <c r="A1557" s="159">
        <v>602828</v>
      </c>
      <c r="B1557" s="159">
        <v>4</v>
      </c>
      <c r="C1557" s="158" t="str">
        <f t="shared" si="25"/>
        <v>4</v>
      </c>
    </row>
    <row r="1558" spans="1:3" x14ac:dyDescent="0.25">
      <c r="A1558" s="159">
        <v>602829</v>
      </c>
      <c r="B1558" s="159">
        <v>4</v>
      </c>
      <c r="C1558" s="158" t="str">
        <f t="shared" si="25"/>
        <v>4</v>
      </c>
    </row>
    <row r="1559" spans="1:3" x14ac:dyDescent="0.25">
      <c r="A1559" s="159">
        <v>602830</v>
      </c>
      <c r="B1559" s="159">
        <v>1</v>
      </c>
      <c r="C1559" s="158" t="str">
        <f t="shared" si="25"/>
        <v>1</v>
      </c>
    </row>
    <row r="1560" spans="1:3" x14ac:dyDescent="0.25">
      <c r="A1560" s="159">
        <v>602831</v>
      </c>
      <c r="B1560" s="159">
        <v>2</v>
      </c>
      <c r="C1560" s="158" t="str">
        <f t="shared" si="25"/>
        <v>2</v>
      </c>
    </row>
    <row r="1561" spans="1:3" x14ac:dyDescent="0.25">
      <c r="A1561" s="159">
        <v>602832</v>
      </c>
      <c r="B1561" s="159">
        <v>1</v>
      </c>
      <c r="C1561" s="158" t="str">
        <f t="shared" si="25"/>
        <v>1</v>
      </c>
    </row>
    <row r="1562" spans="1:3" x14ac:dyDescent="0.25">
      <c r="A1562" s="159">
        <v>602833</v>
      </c>
      <c r="B1562" s="159" t="s">
        <v>437</v>
      </c>
      <c r="C1562" s="158" t="str">
        <f t="shared" si="25"/>
        <v>1S</v>
      </c>
    </row>
    <row r="1563" spans="1:3" x14ac:dyDescent="0.25">
      <c r="A1563" s="159">
        <v>602834</v>
      </c>
      <c r="B1563" s="159" t="s">
        <v>437</v>
      </c>
      <c r="C1563" s="158" t="str">
        <f t="shared" si="25"/>
        <v>1S</v>
      </c>
    </row>
    <row r="1564" spans="1:3" x14ac:dyDescent="0.25">
      <c r="A1564" s="159">
        <v>602835</v>
      </c>
      <c r="B1564" s="159" t="s">
        <v>437</v>
      </c>
      <c r="C1564" s="158" t="str">
        <f t="shared" si="25"/>
        <v>1S</v>
      </c>
    </row>
    <row r="1565" spans="1:3" x14ac:dyDescent="0.25">
      <c r="A1565" s="159">
        <v>602838</v>
      </c>
      <c r="B1565" s="159">
        <v>1</v>
      </c>
      <c r="C1565" s="158" t="str">
        <f t="shared" si="25"/>
        <v>1</v>
      </c>
    </row>
    <row r="1566" spans="1:3" x14ac:dyDescent="0.25">
      <c r="A1566" s="159">
        <v>602839</v>
      </c>
      <c r="B1566" s="159">
        <v>1</v>
      </c>
      <c r="C1566" s="158" t="str">
        <f t="shared" si="25"/>
        <v>1</v>
      </c>
    </row>
    <row r="1567" spans="1:3" x14ac:dyDescent="0.25">
      <c r="A1567" s="159">
        <v>602840</v>
      </c>
      <c r="B1567" s="159">
        <v>1</v>
      </c>
      <c r="C1567" s="158" t="str">
        <f t="shared" si="25"/>
        <v>1</v>
      </c>
    </row>
    <row r="1568" spans="1:3" x14ac:dyDescent="0.25">
      <c r="A1568" s="159">
        <v>602841</v>
      </c>
      <c r="B1568" s="159">
        <v>1</v>
      </c>
      <c r="C1568" s="158" t="str">
        <f t="shared" si="25"/>
        <v>1</v>
      </c>
    </row>
    <row r="1569" spans="1:3" x14ac:dyDescent="0.25">
      <c r="A1569" s="159">
        <v>602842</v>
      </c>
      <c r="B1569" s="159">
        <v>1</v>
      </c>
      <c r="C1569" s="158" t="str">
        <f t="shared" si="25"/>
        <v>1</v>
      </c>
    </row>
    <row r="1570" spans="1:3" x14ac:dyDescent="0.25">
      <c r="A1570" s="159">
        <v>602843</v>
      </c>
      <c r="B1570" s="159">
        <v>1</v>
      </c>
      <c r="C1570" s="158" t="str">
        <f t="shared" si="25"/>
        <v>1</v>
      </c>
    </row>
    <row r="1571" spans="1:3" x14ac:dyDescent="0.25">
      <c r="A1571" s="159">
        <v>602844</v>
      </c>
      <c r="B1571" s="159">
        <v>1</v>
      </c>
      <c r="C1571" s="158" t="str">
        <f t="shared" si="25"/>
        <v>1</v>
      </c>
    </row>
    <row r="1572" spans="1:3" x14ac:dyDescent="0.25">
      <c r="A1572" s="159">
        <v>602845</v>
      </c>
      <c r="B1572" s="159">
        <v>1</v>
      </c>
      <c r="C1572" s="158" t="str">
        <f t="shared" si="25"/>
        <v>1</v>
      </c>
    </row>
    <row r="1573" spans="1:3" x14ac:dyDescent="0.25">
      <c r="A1573" s="159">
        <v>602846</v>
      </c>
      <c r="B1573" s="159">
        <v>1</v>
      </c>
      <c r="C1573" s="158" t="str">
        <f t="shared" si="25"/>
        <v>1</v>
      </c>
    </row>
    <row r="1574" spans="1:3" x14ac:dyDescent="0.25">
      <c r="A1574" s="159">
        <v>602847</v>
      </c>
      <c r="B1574" s="159">
        <v>2</v>
      </c>
      <c r="C1574" s="158" t="str">
        <f t="shared" si="25"/>
        <v>2</v>
      </c>
    </row>
    <row r="1575" spans="1:3" x14ac:dyDescent="0.25">
      <c r="A1575" s="159">
        <v>602848</v>
      </c>
      <c r="B1575" s="159">
        <v>1</v>
      </c>
      <c r="C1575" s="158" t="str">
        <f t="shared" si="25"/>
        <v>1</v>
      </c>
    </row>
    <row r="1576" spans="1:3" x14ac:dyDescent="0.25">
      <c r="A1576" s="159">
        <v>602854</v>
      </c>
      <c r="B1576" s="159">
        <v>1</v>
      </c>
      <c r="C1576" s="158" t="str">
        <f t="shared" si="25"/>
        <v>1</v>
      </c>
    </row>
    <row r="1577" spans="1:3" x14ac:dyDescent="0.25">
      <c r="A1577" s="159">
        <v>602855</v>
      </c>
      <c r="B1577" s="159">
        <v>1</v>
      </c>
      <c r="C1577" s="158" t="str">
        <f t="shared" si="25"/>
        <v>1</v>
      </c>
    </row>
    <row r="1578" spans="1:3" x14ac:dyDescent="0.25">
      <c r="A1578" s="159">
        <v>602856</v>
      </c>
      <c r="B1578" s="159" t="s">
        <v>437</v>
      </c>
      <c r="C1578" s="158" t="str">
        <f t="shared" si="25"/>
        <v>1S</v>
      </c>
    </row>
    <row r="1579" spans="1:3" x14ac:dyDescent="0.25">
      <c r="A1579" s="159">
        <v>602857</v>
      </c>
      <c r="B1579" s="159">
        <v>1</v>
      </c>
      <c r="C1579" s="158" t="str">
        <f t="shared" si="25"/>
        <v>1</v>
      </c>
    </row>
    <row r="1580" spans="1:3" x14ac:dyDescent="0.25">
      <c r="A1580" s="159">
        <v>602860</v>
      </c>
      <c r="B1580" s="159">
        <v>2</v>
      </c>
      <c r="C1580" s="158" t="str">
        <f t="shared" si="25"/>
        <v>2</v>
      </c>
    </row>
    <row r="1581" spans="1:3" x14ac:dyDescent="0.25">
      <c r="A1581" s="159">
        <v>602861</v>
      </c>
      <c r="B1581" s="159">
        <v>1</v>
      </c>
      <c r="C1581" s="158" t="str">
        <f t="shared" si="25"/>
        <v>1</v>
      </c>
    </row>
    <row r="1582" spans="1:3" x14ac:dyDescent="0.25">
      <c r="A1582" s="159">
        <v>602862</v>
      </c>
      <c r="B1582" s="159">
        <v>2</v>
      </c>
      <c r="C1582" s="158" t="str">
        <f t="shared" si="25"/>
        <v>2</v>
      </c>
    </row>
    <row r="1583" spans="1:3" x14ac:dyDescent="0.25">
      <c r="A1583" s="159">
        <v>602863</v>
      </c>
      <c r="B1583" s="159">
        <v>4</v>
      </c>
      <c r="C1583" s="158" t="str">
        <f t="shared" si="25"/>
        <v>4</v>
      </c>
    </row>
    <row r="1584" spans="1:3" x14ac:dyDescent="0.25">
      <c r="A1584" s="159">
        <v>602866</v>
      </c>
      <c r="B1584" s="159" t="s">
        <v>438</v>
      </c>
      <c r="C1584" s="158" t="str">
        <f t="shared" si="25"/>
        <v>2S</v>
      </c>
    </row>
    <row r="1585" spans="1:3" x14ac:dyDescent="0.25">
      <c r="A1585" s="159">
        <v>602867</v>
      </c>
      <c r="B1585" s="159" t="s">
        <v>438</v>
      </c>
      <c r="C1585" s="158" t="str">
        <f t="shared" si="25"/>
        <v>2S</v>
      </c>
    </row>
    <row r="1586" spans="1:3" x14ac:dyDescent="0.25">
      <c r="A1586" s="159">
        <v>602868</v>
      </c>
      <c r="B1586" s="159">
        <v>2</v>
      </c>
      <c r="C1586" s="158" t="str">
        <f t="shared" si="25"/>
        <v>2</v>
      </c>
    </row>
    <row r="1587" spans="1:3" x14ac:dyDescent="0.25">
      <c r="A1587" s="159">
        <v>602869</v>
      </c>
      <c r="B1587" s="159">
        <v>1</v>
      </c>
      <c r="C1587" s="158" t="str">
        <f t="shared" si="25"/>
        <v>1</v>
      </c>
    </row>
    <row r="1588" spans="1:3" x14ac:dyDescent="0.25">
      <c r="A1588" s="159">
        <v>602870</v>
      </c>
      <c r="B1588" s="159" t="s">
        <v>438</v>
      </c>
      <c r="C1588" s="158" t="str">
        <f t="shared" si="25"/>
        <v>2S</v>
      </c>
    </row>
    <row r="1589" spans="1:3" x14ac:dyDescent="0.25">
      <c r="A1589" s="159">
        <v>602871</v>
      </c>
      <c r="B1589" s="159" t="s">
        <v>438</v>
      </c>
      <c r="C1589" s="158" t="str">
        <f t="shared" si="25"/>
        <v>2S</v>
      </c>
    </row>
    <row r="1590" spans="1:3" x14ac:dyDescent="0.25">
      <c r="A1590" s="159">
        <v>602872</v>
      </c>
      <c r="B1590" s="159">
        <v>4</v>
      </c>
      <c r="C1590" s="158" t="str">
        <f t="shared" si="25"/>
        <v>4</v>
      </c>
    </row>
    <row r="1591" spans="1:3" x14ac:dyDescent="0.25">
      <c r="A1591" s="159">
        <v>602873</v>
      </c>
      <c r="B1591" s="159">
        <v>1</v>
      </c>
      <c r="C1591" s="158" t="str">
        <f t="shared" si="25"/>
        <v>1</v>
      </c>
    </row>
    <row r="1592" spans="1:3" x14ac:dyDescent="0.25">
      <c r="A1592" s="159">
        <v>602874</v>
      </c>
      <c r="B1592" s="159">
        <v>1</v>
      </c>
      <c r="C1592" s="158" t="str">
        <f t="shared" si="25"/>
        <v>1</v>
      </c>
    </row>
    <row r="1593" spans="1:3" x14ac:dyDescent="0.25">
      <c r="A1593" s="159">
        <v>602875</v>
      </c>
      <c r="B1593" s="159">
        <v>6</v>
      </c>
      <c r="C1593" s="158">
        <f t="shared" si="25"/>
        <v>6</v>
      </c>
    </row>
    <row r="1594" spans="1:3" x14ac:dyDescent="0.25">
      <c r="A1594" s="159">
        <v>602876</v>
      </c>
      <c r="B1594" s="159">
        <v>1</v>
      </c>
      <c r="C1594" s="158" t="str">
        <f t="shared" si="25"/>
        <v>1</v>
      </c>
    </row>
    <row r="1595" spans="1:3" x14ac:dyDescent="0.25">
      <c r="A1595" s="159">
        <v>602877</v>
      </c>
      <c r="B1595" s="159">
        <v>6</v>
      </c>
      <c r="C1595" s="158">
        <f t="shared" si="25"/>
        <v>6</v>
      </c>
    </row>
    <row r="1596" spans="1:3" x14ac:dyDescent="0.25">
      <c r="A1596" s="159">
        <v>602878</v>
      </c>
      <c r="B1596" s="159">
        <v>1</v>
      </c>
      <c r="C1596" s="158" t="str">
        <f t="shared" si="25"/>
        <v>1</v>
      </c>
    </row>
    <row r="1597" spans="1:3" x14ac:dyDescent="0.25">
      <c r="A1597" s="159">
        <v>602879</v>
      </c>
      <c r="B1597" s="159">
        <v>1</v>
      </c>
      <c r="C1597" s="158" t="str">
        <f t="shared" si="25"/>
        <v>1</v>
      </c>
    </row>
    <row r="1598" spans="1:3" x14ac:dyDescent="0.25">
      <c r="A1598" s="159">
        <v>602880</v>
      </c>
      <c r="B1598" s="159">
        <v>5</v>
      </c>
      <c r="C1598" s="158" t="str">
        <f t="shared" si="25"/>
        <v>5</v>
      </c>
    </row>
    <row r="1599" spans="1:3" x14ac:dyDescent="0.25">
      <c r="A1599" s="159">
        <v>602881</v>
      </c>
      <c r="B1599" s="159">
        <v>1</v>
      </c>
      <c r="C1599" s="158" t="str">
        <f t="shared" si="25"/>
        <v>1</v>
      </c>
    </row>
    <row r="1600" spans="1:3" x14ac:dyDescent="0.25">
      <c r="A1600" s="159">
        <v>602882</v>
      </c>
      <c r="B1600" s="159">
        <v>1</v>
      </c>
      <c r="C1600" s="158" t="str">
        <f t="shared" si="25"/>
        <v>1</v>
      </c>
    </row>
    <row r="1601" spans="1:3" x14ac:dyDescent="0.25">
      <c r="A1601" s="159">
        <v>602883</v>
      </c>
      <c r="B1601" s="159">
        <v>1</v>
      </c>
      <c r="C1601" s="158" t="str">
        <f t="shared" si="25"/>
        <v>1</v>
      </c>
    </row>
    <row r="1602" spans="1:3" x14ac:dyDescent="0.25">
      <c r="A1602" s="159">
        <v>602884</v>
      </c>
      <c r="B1602" s="159">
        <v>1</v>
      </c>
      <c r="C1602" s="158" t="str">
        <f t="shared" si="25"/>
        <v>1</v>
      </c>
    </row>
    <row r="1603" spans="1:3" x14ac:dyDescent="0.25">
      <c r="A1603" s="159">
        <v>602885</v>
      </c>
      <c r="B1603" s="159">
        <v>1</v>
      </c>
      <c r="C1603" s="158" t="str">
        <f t="shared" si="25"/>
        <v>1</v>
      </c>
    </row>
    <row r="1604" spans="1:3" x14ac:dyDescent="0.25">
      <c r="A1604" s="159">
        <v>602886</v>
      </c>
      <c r="B1604" s="159">
        <v>1</v>
      </c>
      <c r="C1604" s="158" t="str">
        <f t="shared" si="25"/>
        <v>1</v>
      </c>
    </row>
    <row r="1605" spans="1:3" x14ac:dyDescent="0.25">
      <c r="A1605" s="159">
        <v>602888</v>
      </c>
      <c r="B1605" s="159">
        <v>4</v>
      </c>
      <c r="C1605" s="158" t="str">
        <f t="shared" si="25"/>
        <v>4</v>
      </c>
    </row>
    <row r="1606" spans="1:3" x14ac:dyDescent="0.25">
      <c r="A1606" s="159">
        <v>602889</v>
      </c>
      <c r="B1606" s="159">
        <v>1</v>
      </c>
      <c r="C1606" s="158" t="str">
        <f t="shared" si="25"/>
        <v>1</v>
      </c>
    </row>
    <row r="1607" spans="1:3" x14ac:dyDescent="0.25">
      <c r="A1607" s="159">
        <v>602890</v>
      </c>
      <c r="B1607" s="159">
        <v>1</v>
      </c>
      <c r="C1607" s="158" t="str">
        <f t="shared" si="25"/>
        <v>1</v>
      </c>
    </row>
    <row r="1608" spans="1:3" x14ac:dyDescent="0.25">
      <c r="A1608" s="159">
        <v>602891</v>
      </c>
      <c r="B1608" s="159">
        <v>1</v>
      </c>
      <c r="C1608" s="158" t="str">
        <f t="shared" si="25"/>
        <v>1</v>
      </c>
    </row>
    <row r="1609" spans="1:3" x14ac:dyDescent="0.25">
      <c r="A1609" s="159">
        <v>602892</v>
      </c>
      <c r="B1609" s="159">
        <v>5</v>
      </c>
      <c r="C1609" s="158" t="str">
        <f t="shared" si="25"/>
        <v>5</v>
      </c>
    </row>
    <row r="1610" spans="1:3" x14ac:dyDescent="0.25">
      <c r="A1610" s="159">
        <v>602895</v>
      </c>
      <c r="B1610" s="159">
        <v>4</v>
      </c>
      <c r="C1610" s="158" t="str">
        <f t="shared" si="25"/>
        <v>4</v>
      </c>
    </row>
    <row r="1611" spans="1:3" x14ac:dyDescent="0.25">
      <c r="A1611" s="159">
        <v>602896</v>
      </c>
      <c r="B1611" s="159">
        <v>1</v>
      </c>
      <c r="C1611" s="158" t="str">
        <f t="shared" si="25"/>
        <v>1</v>
      </c>
    </row>
    <row r="1612" spans="1:3" x14ac:dyDescent="0.25">
      <c r="A1612" s="159">
        <v>602897</v>
      </c>
      <c r="B1612" s="159">
        <v>4</v>
      </c>
      <c r="C1612" s="158" t="str">
        <f t="shared" si="25"/>
        <v>4</v>
      </c>
    </row>
    <row r="1613" spans="1:3" x14ac:dyDescent="0.25">
      <c r="A1613" s="159">
        <v>602898</v>
      </c>
      <c r="B1613" s="159">
        <v>1</v>
      </c>
      <c r="C1613" s="158" t="str">
        <f t="shared" ref="C1613:C1676" si="26">IF(OR(B1613=0,B1613=1,B1613=2,B1613=3,B1613=4,B1613=5),TEXT(B1613,"0"),B1613)</f>
        <v>1</v>
      </c>
    </row>
    <row r="1614" spans="1:3" x14ac:dyDescent="0.25">
      <c r="A1614" s="159">
        <v>602899</v>
      </c>
      <c r="B1614" s="159">
        <v>4</v>
      </c>
      <c r="C1614" s="158" t="str">
        <f t="shared" si="26"/>
        <v>4</v>
      </c>
    </row>
    <row r="1615" spans="1:3" x14ac:dyDescent="0.25">
      <c r="A1615" s="159">
        <v>602905</v>
      </c>
      <c r="B1615" s="159">
        <v>1</v>
      </c>
      <c r="C1615" s="158" t="str">
        <f t="shared" si="26"/>
        <v>1</v>
      </c>
    </row>
    <row r="1616" spans="1:3" x14ac:dyDescent="0.25">
      <c r="A1616" s="159">
        <v>602906</v>
      </c>
      <c r="B1616" s="159">
        <v>1</v>
      </c>
      <c r="C1616" s="158" t="str">
        <f t="shared" si="26"/>
        <v>1</v>
      </c>
    </row>
    <row r="1617" spans="1:3" x14ac:dyDescent="0.25">
      <c r="A1617" s="159">
        <v>602907</v>
      </c>
      <c r="B1617" s="159">
        <v>1</v>
      </c>
      <c r="C1617" s="158" t="str">
        <f t="shared" si="26"/>
        <v>1</v>
      </c>
    </row>
    <row r="1618" spans="1:3" x14ac:dyDescent="0.25">
      <c r="A1618" s="159">
        <v>602908</v>
      </c>
      <c r="B1618" s="159" t="s">
        <v>454</v>
      </c>
      <c r="C1618" s="158" t="str">
        <f t="shared" si="26"/>
        <v>6S</v>
      </c>
    </row>
    <row r="1619" spans="1:3" x14ac:dyDescent="0.25">
      <c r="A1619" s="159">
        <v>602909</v>
      </c>
      <c r="B1619" s="159" t="s">
        <v>437</v>
      </c>
      <c r="C1619" s="158" t="str">
        <f t="shared" si="26"/>
        <v>1S</v>
      </c>
    </row>
    <row r="1620" spans="1:3" x14ac:dyDescent="0.25">
      <c r="A1620" s="159">
        <v>602918</v>
      </c>
      <c r="B1620" s="159">
        <v>1</v>
      </c>
      <c r="C1620" s="158" t="str">
        <f t="shared" si="26"/>
        <v>1</v>
      </c>
    </row>
    <row r="1621" spans="1:3" x14ac:dyDescent="0.25">
      <c r="A1621" s="159">
        <v>602919</v>
      </c>
      <c r="B1621" s="159">
        <v>4</v>
      </c>
      <c r="C1621" s="158" t="str">
        <f t="shared" si="26"/>
        <v>4</v>
      </c>
    </row>
    <row r="1622" spans="1:3" x14ac:dyDescent="0.25">
      <c r="A1622" s="159">
        <v>602920</v>
      </c>
      <c r="B1622" s="159">
        <v>1</v>
      </c>
      <c r="C1622" s="158" t="str">
        <f t="shared" si="26"/>
        <v>1</v>
      </c>
    </row>
    <row r="1623" spans="1:3" x14ac:dyDescent="0.25">
      <c r="A1623" s="159">
        <v>602921</v>
      </c>
      <c r="B1623" s="159">
        <v>4</v>
      </c>
      <c r="C1623" s="158" t="str">
        <f t="shared" si="26"/>
        <v>4</v>
      </c>
    </row>
    <row r="1624" spans="1:3" x14ac:dyDescent="0.25">
      <c r="A1624" s="159">
        <v>602922</v>
      </c>
      <c r="B1624" s="159">
        <v>1</v>
      </c>
      <c r="C1624" s="158" t="str">
        <f t="shared" si="26"/>
        <v>1</v>
      </c>
    </row>
    <row r="1625" spans="1:3" x14ac:dyDescent="0.25">
      <c r="A1625" s="159">
        <v>602923</v>
      </c>
      <c r="B1625" s="159">
        <v>4</v>
      </c>
      <c r="C1625" s="158" t="str">
        <f t="shared" si="26"/>
        <v>4</v>
      </c>
    </row>
    <row r="1626" spans="1:3" x14ac:dyDescent="0.25">
      <c r="A1626" s="159">
        <v>602924</v>
      </c>
      <c r="B1626" s="159" t="s">
        <v>437</v>
      </c>
      <c r="C1626" s="158" t="str">
        <f t="shared" si="26"/>
        <v>1S</v>
      </c>
    </row>
    <row r="1627" spans="1:3" x14ac:dyDescent="0.25">
      <c r="A1627" s="159">
        <v>602925</v>
      </c>
      <c r="B1627" s="159">
        <v>4</v>
      </c>
      <c r="C1627" s="158" t="str">
        <f t="shared" si="26"/>
        <v>4</v>
      </c>
    </row>
    <row r="1628" spans="1:3" x14ac:dyDescent="0.25">
      <c r="A1628" s="159">
        <v>602926</v>
      </c>
      <c r="B1628" s="159">
        <v>1</v>
      </c>
      <c r="C1628" s="158" t="str">
        <f t="shared" si="26"/>
        <v>1</v>
      </c>
    </row>
    <row r="1629" spans="1:3" x14ac:dyDescent="0.25">
      <c r="A1629" s="159">
        <v>602930</v>
      </c>
      <c r="B1629" s="159">
        <v>1</v>
      </c>
      <c r="C1629" s="158" t="str">
        <f t="shared" si="26"/>
        <v>1</v>
      </c>
    </row>
    <row r="1630" spans="1:3" x14ac:dyDescent="0.25">
      <c r="A1630" s="159">
        <v>602931</v>
      </c>
      <c r="B1630" s="159">
        <v>1</v>
      </c>
      <c r="C1630" s="158" t="str">
        <f t="shared" si="26"/>
        <v>1</v>
      </c>
    </row>
    <row r="1631" spans="1:3" x14ac:dyDescent="0.25">
      <c r="A1631" s="159">
        <v>602938</v>
      </c>
      <c r="B1631" s="159">
        <v>3</v>
      </c>
      <c r="C1631" s="158" t="str">
        <f t="shared" si="26"/>
        <v>3</v>
      </c>
    </row>
    <row r="1632" spans="1:3" x14ac:dyDescent="0.25">
      <c r="A1632" s="159">
        <v>602939</v>
      </c>
      <c r="B1632" s="159">
        <v>1</v>
      </c>
      <c r="C1632" s="158" t="str">
        <f t="shared" si="26"/>
        <v>1</v>
      </c>
    </row>
    <row r="1633" spans="1:3" x14ac:dyDescent="0.25">
      <c r="A1633" s="159">
        <v>602940</v>
      </c>
      <c r="B1633" s="159" t="s">
        <v>437</v>
      </c>
      <c r="C1633" s="158" t="str">
        <f t="shared" si="26"/>
        <v>1S</v>
      </c>
    </row>
    <row r="1634" spans="1:3" x14ac:dyDescent="0.25">
      <c r="A1634" s="159">
        <v>602941</v>
      </c>
      <c r="B1634" s="159">
        <v>1</v>
      </c>
      <c r="C1634" s="158" t="str">
        <f t="shared" si="26"/>
        <v>1</v>
      </c>
    </row>
    <row r="1635" spans="1:3" x14ac:dyDescent="0.25">
      <c r="A1635" s="159">
        <v>602942</v>
      </c>
      <c r="B1635" s="159">
        <v>1</v>
      </c>
      <c r="C1635" s="158" t="str">
        <f t="shared" si="26"/>
        <v>1</v>
      </c>
    </row>
    <row r="1636" spans="1:3" x14ac:dyDescent="0.25">
      <c r="A1636" s="159">
        <v>602943</v>
      </c>
      <c r="B1636" s="159">
        <v>1</v>
      </c>
      <c r="C1636" s="158" t="str">
        <f t="shared" si="26"/>
        <v>1</v>
      </c>
    </row>
    <row r="1637" spans="1:3" x14ac:dyDescent="0.25">
      <c r="A1637" s="159">
        <v>602944</v>
      </c>
      <c r="B1637" s="159">
        <v>1</v>
      </c>
      <c r="C1637" s="158" t="str">
        <f t="shared" si="26"/>
        <v>1</v>
      </c>
    </row>
    <row r="1638" spans="1:3" x14ac:dyDescent="0.25">
      <c r="A1638" s="159">
        <v>602945</v>
      </c>
      <c r="B1638" s="159">
        <v>4</v>
      </c>
      <c r="C1638" s="158" t="str">
        <f t="shared" si="26"/>
        <v>4</v>
      </c>
    </row>
    <row r="1639" spans="1:3" x14ac:dyDescent="0.25">
      <c r="A1639" s="159">
        <v>602946</v>
      </c>
      <c r="B1639" s="159">
        <v>1</v>
      </c>
      <c r="C1639" s="158" t="str">
        <f t="shared" si="26"/>
        <v>1</v>
      </c>
    </row>
    <row r="1640" spans="1:3" x14ac:dyDescent="0.25">
      <c r="A1640" s="159">
        <v>602947</v>
      </c>
      <c r="B1640" s="159">
        <v>4</v>
      </c>
      <c r="C1640" s="158" t="str">
        <f t="shared" si="26"/>
        <v>4</v>
      </c>
    </row>
    <row r="1641" spans="1:3" x14ac:dyDescent="0.25">
      <c r="A1641" s="159">
        <v>602948</v>
      </c>
      <c r="B1641" s="159">
        <v>1</v>
      </c>
      <c r="C1641" s="158" t="str">
        <f t="shared" si="26"/>
        <v>1</v>
      </c>
    </row>
    <row r="1642" spans="1:3" x14ac:dyDescent="0.25">
      <c r="A1642" s="159">
        <v>602954</v>
      </c>
      <c r="B1642" s="159">
        <v>1</v>
      </c>
      <c r="C1642" s="158" t="str">
        <f t="shared" si="26"/>
        <v>1</v>
      </c>
    </row>
    <row r="1643" spans="1:3" x14ac:dyDescent="0.25">
      <c r="A1643" s="159">
        <v>602955</v>
      </c>
      <c r="B1643" s="159">
        <v>1</v>
      </c>
      <c r="C1643" s="158" t="str">
        <f t="shared" si="26"/>
        <v>1</v>
      </c>
    </row>
    <row r="1644" spans="1:3" x14ac:dyDescent="0.25">
      <c r="A1644" s="159">
        <v>602956</v>
      </c>
      <c r="B1644" s="159">
        <v>1</v>
      </c>
      <c r="C1644" s="158" t="str">
        <f t="shared" si="26"/>
        <v>1</v>
      </c>
    </row>
    <row r="1645" spans="1:3" x14ac:dyDescent="0.25">
      <c r="A1645" s="159">
        <v>602957</v>
      </c>
      <c r="B1645" s="159">
        <v>1</v>
      </c>
      <c r="C1645" s="158" t="str">
        <f t="shared" si="26"/>
        <v>1</v>
      </c>
    </row>
    <row r="1646" spans="1:3" x14ac:dyDescent="0.25">
      <c r="A1646" s="159">
        <v>602958</v>
      </c>
      <c r="B1646" s="159">
        <v>1</v>
      </c>
      <c r="C1646" s="158" t="str">
        <f t="shared" si="26"/>
        <v>1</v>
      </c>
    </row>
    <row r="1647" spans="1:3" x14ac:dyDescent="0.25">
      <c r="A1647" s="159">
        <v>602960</v>
      </c>
      <c r="B1647" s="159">
        <v>1</v>
      </c>
      <c r="C1647" s="158" t="str">
        <f t="shared" si="26"/>
        <v>1</v>
      </c>
    </row>
    <row r="1648" spans="1:3" x14ac:dyDescent="0.25">
      <c r="A1648" s="159">
        <v>602964</v>
      </c>
      <c r="B1648" s="159">
        <v>2</v>
      </c>
      <c r="C1648" s="158" t="str">
        <f t="shared" si="26"/>
        <v>2</v>
      </c>
    </row>
    <row r="1649" spans="1:3" x14ac:dyDescent="0.25">
      <c r="A1649" s="159">
        <v>602965</v>
      </c>
      <c r="B1649" s="159">
        <v>1</v>
      </c>
      <c r="C1649" s="158" t="str">
        <f t="shared" si="26"/>
        <v>1</v>
      </c>
    </row>
    <row r="1650" spans="1:3" x14ac:dyDescent="0.25">
      <c r="A1650" s="159">
        <v>602966</v>
      </c>
      <c r="B1650" s="159">
        <v>2</v>
      </c>
      <c r="C1650" s="158" t="str">
        <f t="shared" si="26"/>
        <v>2</v>
      </c>
    </row>
    <row r="1651" spans="1:3" x14ac:dyDescent="0.25">
      <c r="A1651" s="159">
        <v>602967</v>
      </c>
      <c r="B1651" s="159">
        <v>4</v>
      </c>
      <c r="C1651" s="158" t="str">
        <f t="shared" si="26"/>
        <v>4</v>
      </c>
    </row>
    <row r="1652" spans="1:3" x14ac:dyDescent="0.25">
      <c r="A1652" s="159">
        <v>602969</v>
      </c>
      <c r="B1652" s="159">
        <v>2</v>
      </c>
      <c r="C1652" s="158" t="str">
        <f t="shared" si="26"/>
        <v>2</v>
      </c>
    </row>
    <row r="1653" spans="1:3" x14ac:dyDescent="0.25">
      <c r="A1653" s="159">
        <v>602970</v>
      </c>
      <c r="B1653" s="159">
        <v>2</v>
      </c>
      <c r="C1653" s="158" t="str">
        <f t="shared" si="26"/>
        <v>2</v>
      </c>
    </row>
    <row r="1654" spans="1:3" x14ac:dyDescent="0.25">
      <c r="A1654" s="159">
        <v>602973</v>
      </c>
      <c r="B1654" s="159" t="s">
        <v>441</v>
      </c>
      <c r="C1654" s="158" t="str">
        <f t="shared" si="26"/>
        <v>4S</v>
      </c>
    </row>
    <row r="1655" spans="1:3" x14ac:dyDescent="0.25">
      <c r="A1655" s="159">
        <v>602974</v>
      </c>
      <c r="B1655" s="159">
        <v>1</v>
      </c>
      <c r="C1655" s="158" t="str">
        <f t="shared" si="26"/>
        <v>1</v>
      </c>
    </row>
    <row r="1656" spans="1:3" x14ac:dyDescent="0.25">
      <c r="A1656" s="159">
        <v>602976</v>
      </c>
      <c r="B1656" s="159">
        <v>1</v>
      </c>
      <c r="C1656" s="158" t="str">
        <f t="shared" si="26"/>
        <v>1</v>
      </c>
    </row>
    <row r="1657" spans="1:3" x14ac:dyDescent="0.25">
      <c r="A1657" s="159">
        <v>602977</v>
      </c>
      <c r="B1657" s="159">
        <v>1</v>
      </c>
      <c r="C1657" s="158" t="str">
        <f t="shared" si="26"/>
        <v>1</v>
      </c>
    </row>
    <row r="1658" spans="1:3" x14ac:dyDescent="0.25">
      <c r="A1658" s="159">
        <v>602978</v>
      </c>
      <c r="B1658" s="159">
        <v>4</v>
      </c>
      <c r="C1658" s="158" t="str">
        <f t="shared" si="26"/>
        <v>4</v>
      </c>
    </row>
    <row r="1659" spans="1:3" x14ac:dyDescent="0.25">
      <c r="A1659" s="159">
        <v>602979</v>
      </c>
      <c r="B1659" s="159">
        <v>1</v>
      </c>
      <c r="C1659" s="158" t="str">
        <f t="shared" si="26"/>
        <v>1</v>
      </c>
    </row>
    <row r="1660" spans="1:3" x14ac:dyDescent="0.25">
      <c r="A1660" s="159">
        <v>602980</v>
      </c>
      <c r="B1660" s="159">
        <v>4</v>
      </c>
      <c r="C1660" s="158" t="str">
        <f t="shared" si="26"/>
        <v>4</v>
      </c>
    </row>
    <row r="1661" spans="1:3" x14ac:dyDescent="0.25">
      <c r="A1661" s="159">
        <v>602981</v>
      </c>
      <c r="B1661" s="159">
        <v>1</v>
      </c>
      <c r="C1661" s="158" t="str">
        <f t="shared" si="26"/>
        <v>1</v>
      </c>
    </row>
    <row r="1662" spans="1:3" x14ac:dyDescent="0.25">
      <c r="A1662" s="159">
        <v>602985</v>
      </c>
      <c r="B1662" s="159">
        <v>4</v>
      </c>
      <c r="C1662" s="158" t="str">
        <f t="shared" si="26"/>
        <v>4</v>
      </c>
    </row>
    <row r="1663" spans="1:3" x14ac:dyDescent="0.25">
      <c r="A1663" s="159">
        <v>602986</v>
      </c>
      <c r="B1663" s="159">
        <v>1</v>
      </c>
      <c r="C1663" s="158" t="str">
        <f t="shared" si="26"/>
        <v>1</v>
      </c>
    </row>
    <row r="1664" spans="1:3" x14ac:dyDescent="0.25">
      <c r="A1664" s="159">
        <v>602999</v>
      </c>
      <c r="B1664" s="159">
        <v>4</v>
      </c>
      <c r="C1664" s="158" t="str">
        <f t="shared" si="26"/>
        <v>4</v>
      </c>
    </row>
    <row r="1665" spans="1:3" x14ac:dyDescent="0.25">
      <c r="A1665" s="159">
        <v>603000</v>
      </c>
      <c r="B1665" s="159">
        <v>1</v>
      </c>
      <c r="C1665" s="158" t="str">
        <f t="shared" si="26"/>
        <v>1</v>
      </c>
    </row>
    <row r="1666" spans="1:3" x14ac:dyDescent="0.25">
      <c r="A1666" s="159">
        <v>603001</v>
      </c>
      <c r="B1666" s="159">
        <v>4</v>
      </c>
      <c r="C1666" s="158" t="str">
        <f t="shared" si="26"/>
        <v>4</v>
      </c>
    </row>
    <row r="1667" spans="1:3" x14ac:dyDescent="0.25">
      <c r="A1667" s="159">
        <v>603002</v>
      </c>
      <c r="B1667" s="159">
        <v>1</v>
      </c>
      <c r="C1667" s="158" t="str">
        <f t="shared" si="26"/>
        <v>1</v>
      </c>
    </row>
    <row r="1668" spans="1:3" x14ac:dyDescent="0.25">
      <c r="A1668" s="159">
        <v>603003</v>
      </c>
      <c r="B1668" s="159">
        <v>4</v>
      </c>
      <c r="C1668" s="158" t="str">
        <f t="shared" si="26"/>
        <v>4</v>
      </c>
    </row>
    <row r="1669" spans="1:3" x14ac:dyDescent="0.25">
      <c r="A1669" s="159">
        <v>603006</v>
      </c>
      <c r="B1669" s="159">
        <v>1</v>
      </c>
      <c r="C1669" s="158" t="str">
        <f t="shared" si="26"/>
        <v>1</v>
      </c>
    </row>
    <row r="1670" spans="1:3" x14ac:dyDescent="0.25">
      <c r="A1670" s="159">
        <v>603007</v>
      </c>
      <c r="B1670" s="159">
        <v>1</v>
      </c>
      <c r="C1670" s="158" t="str">
        <f t="shared" si="26"/>
        <v>1</v>
      </c>
    </row>
    <row r="1671" spans="1:3" x14ac:dyDescent="0.25">
      <c r="A1671" s="159">
        <v>603008</v>
      </c>
      <c r="B1671" s="159" t="s">
        <v>437</v>
      </c>
      <c r="C1671" s="158" t="str">
        <f t="shared" si="26"/>
        <v>1S</v>
      </c>
    </row>
    <row r="1672" spans="1:3" x14ac:dyDescent="0.25">
      <c r="A1672" s="159">
        <v>603011</v>
      </c>
      <c r="B1672" s="159">
        <v>1</v>
      </c>
      <c r="C1672" s="158" t="str">
        <f t="shared" si="26"/>
        <v>1</v>
      </c>
    </row>
    <row r="1673" spans="1:3" x14ac:dyDescent="0.25">
      <c r="A1673" s="159">
        <v>603012</v>
      </c>
      <c r="B1673" s="159" t="s">
        <v>454</v>
      </c>
      <c r="C1673" s="158" t="str">
        <f t="shared" si="26"/>
        <v>6S</v>
      </c>
    </row>
    <row r="1674" spans="1:3" x14ac:dyDescent="0.25">
      <c r="A1674" s="159">
        <v>603013</v>
      </c>
      <c r="B1674" s="159">
        <v>1</v>
      </c>
      <c r="C1674" s="158" t="str">
        <f t="shared" si="26"/>
        <v>1</v>
      </c>
    </row>
    <row r="1675" spans="1:3" x14ac:dyDescent="0.25">
      <c r="A1675" s="159">
        <v>603014</v>
      </c>
      <c r="B1675" s="159">
        <v>6</v>
      </c>
      <c r="C1675" s="158">
        <f t="shared" si="26"/>
        <v>6</v>
      </c>
    </row>
    <row r="1676" spans="1:3" x14ac:dyDescent="0.25">
      <c r="A1676" s="159">
        <v>603015</v>
      </c>
      <c r="B1676" s="159" t="s">
        <v>437</v>
      </c>
      <c r="C1676" s="158" t="str">
        <f t="shared" si="26"/>
        <v>1S</v>
      </c>
    </row>
    <row r="1677" spans="1:3" x14ac:dyDescent="0.25">
      <c r="A1677" s="159">
        <v>603022</v>
      </c>
      <c r="B1677" s="159">
        <v>1</v>
      </c>
      <c r="C1677" s="158" t="str">
        <f t="shared" ref="C1677:C1740" si="27">IF(OR(B1677=0,B1677=1,B1677=2,B1677=3,B1677=4,B1677=5),TEXT(B1677,"0"),B1677)</f>
        <v>1</v>
      </c>
    </row>
    <row r="1678" spans="1:3" x14ac:dyDescent="0.25">
      <c r="A1678" s="159">
        <v>603023</v>
      </c>
      <c r="B1678" s="159" t="s">
        <v>441</v>
      </c>
      <c r="C1678" s="158" t="str">
        <f t="shared" si="27"/>
        <v>4S</v>
      </c>
    </row>
    <row r="1679" spans="1:3" x14ac:dyDescent="0.25">
      <c r="A1679" s="159">
        <v>603024</v>
      </c>
      <c r="B1679" s="159">
        <v>4</v>
      </c>
      <c r="C1679" s="158" t="str">
        <f t="shared" si="27"/>
        <v>4</v>
      </c>
    </row>
    <row r="1680" spans="1:3" x14ac:dyDescent="0.25">
      <c r="A1680" s="159">
        <v>603025</v>
      </c>
      <c r="B1680" s="159" t="s">
        <v>437</v>
      </c>
      <c r="C1680" s="158" t="str">
        <f t="shared" si="27"/>
        <v>1S</v>
      </c>
    </row>
    <row r="1681" spans="1:3" x14ac:dyDescent="0.25">
      <c r="A1681" s="159">
        <v>603027</v>
      </c>
      <c r="B1681" s="159" t="s">
        <v>454</v>
      </c>
      <c r="C1681" s="158" t="str">
        <f t="shared" si="27"/>
        <v>6S</v>
      </c>
    </row>
    <row r="1682" spans="1:3" x14ac:dyDescent="0.25">
      <c r="A1682" s="159">
        <v>603028</v>
      </c>
      <c r="B1682" s="159">
        <v>1</v>
      </c>
      <c r="C1682" s="158" t="str">
        <f t="shared" si="27"/>
        <v>1</v>
      </c>
    </row>
    <row r="1683" spans="1:3" x14ac:dyDescent="0.25">
      <c r="A1683" s="159">
        <v>603029</v>
      </c>
      <c r="B1683" s="159" t="s">
        <v>454</v>
      </c>
      <c r="C1683" s="158" t="str">
        <f t="shared" si="27"/>
        <v>6S</v>
      </c>
    </row>
    <row r="1684" spans="1:3" x14ac:dyDescent="0.25">
      <c r="A1684" s="159">
        <v>603030</v>
      </c>
      <c r="B1684" s="159">
        <v>4</v>
      </c>
      <c r="C1684" s="158" t="str">
        <f t="shared" si="27"/>
        <v>4</v>
      </c>
    </row>
    <row r="1685" spans="1:3" x14ac:dyDescent="0.25">
      <c r="A1685" s="159">
        <v>603031</v>
      </c>
      <c r="B1685" s="159">
        <v>1</v>
      </c>
      <c r="C1685" s="158" t="str">
        <f t="shared" si="27"/>
        <v>1</v>
      </c>
    </row>
    <row r="1686" spans="1:3" x14ac:dyDescent="0.25">
      <c r="A1686" s="159">
        <v>603032</v>
      </c>
      <c r="B1686" s="159">
        <v>5</v>
      </c>
      <c r="C1686" s="158" t="str">
        <f t="shared" si="27"/>
        <v>5</v>
      </c>
    </row>
    <row r="1687" spans="1:3" x14ac:dyDescent="0.25">
      <c r="A1687" s="159">
        <v>603033</v>
      </c>
      <c r="B1687" s="159">
        <v>1</v>
      </c>
      <c r="C1687" s="158" t="str">
        <f t="shared" si="27"/>
        <v>1</v>
      </c>
    </row>
    <row r="1688" spans="1:3" x14ac:dyDescent="0.25">
      <c r="A1688" s="159">
        <v>603034</v>
      </c>
      <c r="B1688" s="159">
        <v>5</v>
      </c>
      <c r="C1688" s="158" t="str">
        <f t="shared" si="27"/>
        <v>5</v>
      </c>
    </row>
    <row r="1689" spans="1:3" x14ac:dyDescent="0.25">
      <c r="A1689" s="159">
        <v>603037</v>
      </c>
      <c r="B1689" s="159">
        <v>4</v>
      </c>
      <c r="C1689" s="158" t="str">
        <f t="shared" si="27"/>
        <v>4</v>
      </c>
    </row>
    <row r="1690" spans="1:3" x14ac:dyDescent="0.25">
      <c r="A1690" s="159">
        <v>603038</v>
      </c>
      <c r="B1690" s="159">
        <v>1</v>
      </c>
      <c r="C1690" s="158" t="str">
        <f t="shared" si="27"/>
        <v>1</v>
      </c>
    </row>
    <row r="1691" spans="1:3" x14ac:dyDescent="0.25">
      <c r="A1691" s="159">
        <v>603039</v>
      </c>
      <c r="B1691" s="159">
        <v>1</v>
      </c>
      <c r="C1691" s="158" t="str">
        <f t="shared" si="27"/>
        <v>1</v>
      </c>
    </row>
    <row r="1692" spans="1:3" x14ac:dyDescent="0.25">
      <c r="A1692" s="159">
        <v>603040</v>
      </c>
      <c r="B1692" s="159">
        <v>1</v>
      </c>
      <c r="C1692" s="158" t="str">
        <f t="shared" si="27"/>
        <v>1</v>
      </c>
    </row>
    <row r="1693" spans="1:3" x14ac:dyDescent="0.25">
      <c r="A1693" s="159">
        <v>603041</v>
      </c>
      <c r="B1693" s="159">
        <v>4</v>
      </c>
      <c r="C1693" s="158" t="str">
        <f t="shared" si="27"/>
        <v>4</v>
      </c>
    </row>
    <row r="1694" spans="1:3" x14ac:dyDescent="0.25">
      <c r="A1694" s="159">
        <v>603042</v>
      </c>
      <c r="B1694" s="159">
        <v>4</v>
      </c>
      <c r="C1694" s="158" t="str">
        <f t="shared" si="27"/>
        <v>4</v>
      </c>
    </row>
    <row r="1695" spans="1:3" x14ac:dyDescent="0.25">
      <c r="A1695" s="159">
        <v>603043</v>
      </c>
      <c r="B1695" s="159">
        <v>1</v>
      </c>
      <c r="C1695" s="158" t="str">
        <f t="shared" si="27"/>
        <v>1</v>
      </c>
    </row>
    <row r="1696" spans="1:3" x14ac:dyDescent="0.25">
      <c r="A1696" s="159">
        <v>603044</v>
      </c>
      <c r="B1696" s="159">
        <v>4</v>
      </c>
      <c r="C1696" s="158" t="str">
        <f t="shared" si="27"/>
        <v>4</v>
      </c>
    </row>
    <row r="1697" spans="1:3" x14ac:dyDescent="0.25">
      <c r="A1697" s="159">
        <v>603047</v>
      </c>
      <c r="B1697" s="159">
        <v>2</v>
      </c>
      <c r="C1697" s="158" t="str">
        <f t="shared" si="27"/>
        <v>2</v>
      </c>
    </row>
    <row r="1698" spans="1:3" x14ac:dyDescent="0.25">
      <c r="A1698" s="159">
        <v>603048</v>
      </c>
      <c r="B1698" s="159">
        <v>1</v>
      </c>
      <c r="C1698" s="158" t="str">
        <f t="shared" si="27"/>
        <v>1</v>
      </c>
    </row>
    <row r="1699" spans="1:3" x14ac:dyDescent="0.25">
      <c r="A1699" s="159">
        <v>603050</v>
      </c>
      <c r="B1699" s="159">
        <v>4</v>
      </c>
      <c r="C1699" s="158" t="str">
        <f t="shared" si="27"/>
        <v>4</v>
      </c>
    </row>
    <row r="1700" spans="1:3" x14ac:dyDescent="0.25">
      <c r="A1700" s="159">
        <v>603051</v>
      </c>
      <c r="B1700" s="159">
        <v>1</v>
      </c>
      <c r="C1700" s="158" t="str">
        <f t="shared" si="27"/>
        <v>1</v>
      </c>
    </row>
    <row r="1701" spans="1:3" x14ac:dyDescent="0.25">
      <c r="A1701" s="159">
        <v>603052</v>
      </c>
      <c r="B1701" s="159">
        <v>4</v>
      </c>
      <c r="C1701" s="158" t="str">
        <f t="shared" si="27"/>
        <v>4</v>
      </c>
    </row>
    <row r="1702" spans="1:3" x14ac:dyDescent="0.25">
      <c r="A1702" s="159">
        <v>603053</v>
      </c>
      <c r="B1702" s="159">
        <v>1</v>
      </c>
      <c r="C1702" s="158" t="str">
        <f t="shared" si="27"/>
        <v>1</v>
      </c>
    </row>
    <row r="1703" spans="1:3" x14ac:dyDescent="0.25">
      <c r="A1703" s="159">
        <v>603054</v>
      </c>
      <c r="B1703" s="159">
        <v>4</v>
      </c>
      <c r="C1703" s="158" t="str">
        <f t="shared" si="27"/>
        <v>4</v>
      </c>
    </row>
    <row r="1704" spans="1:3" x14ac:dyDescent="0.25">
      <c r="A1704" s="159">
        <v>603055</v>
      </c>
      <c r="B1704" s="159">
        <v>1</v>
      </c>
      <c r="C1704" s="158" t="str">
        <f t="shared" si="27"/>
        <v>1</v>
      </c>
    </row>
    <row r="1705" spans="1:3" x14ac:dyDescent="0.25">
      <c r="A1705" s="159">
        <v>603056</v>
      </c>
      <c r="B1705" s="159">
        <v>1</v>
      </c>
      <c r="C1705" s="158" t="str">
        <f t="shared" si="27"/>
        <v>1</v>
      </c>
    </row>
    <row r="1706" spans="1:3" x14ac:dyDescent="0.25">
      <c r="A1706" s="159">
        <v>603057</v>
      </c>
      <c r="B1706" s="159">
        <v>1</v>
      </c>
      <c r="C1706" s="158" t="str">
        <f t="shared" si="27"/>
        <v>1</v>
      </c>
    </row>
    <row r="1707" spans="1:3" x14ac:dyDescent="0.25">
      <c r="A1707" s="159">
        <v>603058</v>
      </c>
      <c r="B1707" s="159">
        <v>1</v>
      </c>
      <c r="C1707" s="158" t="str">
        <f t="shared" si="27"/>
        <v>1</v>
      </c>
    </row>
    <row r="1708" spans="1:3" x14ac:dyDescent="0.25">
      <c r="A1708" s="159">
        <v>603059</v>
      </c>
      <c r="B1708" s="159">
        <v>1</v>
      </c>
      <c r="C1708" s="158" t="str">
        <f t="shared" si="27"/>
        <v>1</v>
      </c>
    </row>
    <row r="1709" spans="1:3" x14ac:dyDescent="0.25">
      <c r="A1709" s="159">
        <v>603062</v>
      </c>
      <c r="B1709" s="159">
        <v>1</v>
      </c>
      <c r="C1709" s="158" t="str">
        <f t="shared" si="27"/>
        <v>1</v>
      </c>
    </row>
    <row r="1710" spans="1:3" x14ac:dyDescent="0.25">
      <c r="A1710" s="159">
        <v>603071</v>
      </c>
      <c r="B1710" s="159">
        <v>4</v>
      </c>
      <c r="C1710" s="158" t="str">
        <f t="shared" si="27"/>
        <v>4</v>
      </c>
    </row>
    <row r="1711" spans="1:3" x14ac:dyDescent="0.25">
      <c r="A1711" s="159">
        <v>603072</v>
      </c>
      <c r="B1711" s="159">
        <v>1</v>
      </c>
      <c r="C1711" s="158" t="str">
        <f t="shared" si="27"/>
        <v>1</v>
      </c>
    </row>
    <row r="1712" spans="1:3" x14ac:dyDescent="0.25">
      <c r="A1712" s="159">
        <v>603073</v>
      </c>
      <c r="B1712" s="159">
        <v>1</v>
      </c>
      <c r="C1712" s="158" t="str">
        <f t="shared" si="27"/>
        <v>1</v>
      </c>
    </row>
    <row r="1713" spans="1:3" x14ac:dyDescent="0.25">
      <c r="A1713" s="159">
        <v>603074</v>
      </c>
      <c r="B1713" s="159">
        <v>1</v>
      </c>
      <c r="C1713" s="158" t="str">
        <f t="shared" si="27"/>
        <v>1</v>
      </c>
    </row>
    <row r="1714" spans="1:3" x14ac:dyDescent="0.25">
      <c r="A1714" s="159">
        <v>603075</v>
      </c>
      <c r="B1714" s="159">
        <v>1</v>
      </c>
      <c r="C1714" s="158" t="str">
        <f t="shared" si="27"/>
        <v>1</v>
      </c>
    </row>
    <row r="1715" spans="1:3" x14ac:dyDescent="0.25">
      <c r="A1715" s="159">
        <v>603076</v>
      </c>
      <c r="B1715" s="159">
        <v>1</v>
      </c>
      <c r="C1715" s="158" t="str">
        <f t="shared" si="27"/>
        <v>1</v>
      </c>
    </row>
    <row r="1716" spans="1:3" x14ac:dyDescent="0.25">
      <c r="A1716" s="159">
        <v>603079</v>
      </c>
      <c r="B1716" s="159">
        <v>1</v>
      </c>
      <c r="C1716" s="158" t="str">
        <f t="shared" si="27"/>
        <v>1</v>
      </c>
    </row>
    <row r="1717" spans="1:3" x14ac:dyDescent="0.25">
      <c r="A1717" s="159">
        <v>603080</v>
      </c>
      <c r="B1717" s="159">
        <v>1</v>
      </c>
      <c r="C1717" s="158" t="str">
        <f t="shared" si="27"/>
        <v>1</v>
      </c>
    </row>
    <row r="1718" spans="1:3" x14ac:dyDescent="0.25">
      <c r="A1718" s="159">
        <v>603083</v>
      </c>
      <c r="B1718" s="159" t="s">
        <v>441</v>
      </c>
      <c r="C1718" s="158" t="str">
        <f t="shared" si="27"/>
        <v>4S</v>
      </c>
    </row>
    <row r="1719" spans="1:3" x14ac:dyDescent="0.25">
      <c r="A1719" s="159">
        <v>603084</v>
      </c>
      <c r="B1719" s="159" t="s">
        <v>437</v>
      </c>
      <c r="C1719" s="158" t="str">
        <f t="shared" si="27"/>
        <v>1S</v>
      </c>
    </row>
    <row r="1720" spans="1:3" x14ac:dyDescent="0.25">
      <c r="A1720" s="159">
        <v>603089</v>
      </c>
      <c r="B1720" s="159">
        <v>1</v>
      </c>
      <c r="C1720" s="158" t="str">
        <f t="shared" si="27"/>
        <v>1</v>
      </c>
    </row>
    <row r="1721" spans="1:3" x14ac:dyDescent="0.25">
      <c r="A1721" s="159">
        <v>603117</v>
      </c>
      <c r="B1721" s="159">
        <v>3</v>
      </c>
      <c r="C1721" s="158" t="str">
        <f t="shared" si="27"/>
        <v>3</v>
      </c>
    </row>
    <row r="1722" spans="1:3" x14ac:dyDescent="0.25">
      <c r="A1722" s="159">
        <v>603118</v>
      </c>
      <c r="B1722" s="159">
        <v>1</v>
      </c>
      <c r="C1722" s="158" t="str">
        <f t="shared" si="27"/>
        <v>1</v>
      </c>
    </row>
    <row r="1723" spans="1:3" x14ac:dyDescent="0.25">
      <c r="A1723" s="159">
        <v>603119</v>
      </c>
      <c r="B1723" s="159">
        <v>3</v>
      </c>
      <c r="C1723" s="158" t="str">
        <f t="shared" si="27"/>
        <v>3</v>
      </c>
    </row>
    <row r="1724" spans="1:3" x14ac:dyDescent="0.25">
      <c r="A1724" s="159">
        <v>603120</v>
      </c>
      <c r="B1724" s="159">
        <v>1</v>
      </c>
      <c r="C1724" s="158" t="str">
        <f t="shared" si="27"/>
        <v>1</v>
      </c>
    </row>
    <row r="1725" spans="1:3" x14ac:dyDescent="0.25">
      <c r="A1725" s="159">
        <v>603121</v>
      </c>
      <c r="B1725" s="159">
        <v>1</v>
      </c>
      <c r="C1725" s="158" t="str">
        <f t="shared" si="27"/>
        <v>1</v>
      </c>
    </row>
    <row r="1726" spans="1:3" x14ac:dyDescent="0.25">
      <c r="A1726" s="159">
        <v>603122</v>
      </c>
      <c r="B1726" s="159">
        <v>1</v>
      </c>
      <c r="C1726" s="158" t="str">
        <f t="shared" si="27"/>
        <v>1</v>
      </c>
    </row>
    <row r="1727" spans="1:3" x14ac:dyDescent="0.25">
      <c r="A1727" s="159">
        <v>603123</v>
      </c>
      <c r="B1727" s="159">
        <v>3</v>
      </c>
      <c r="C1727" s="158" t="str">
        <f t="shared" si="27"/>
        <v>3</v>
      </c>
    </row>
    <row r="1728" spans="1:3" x14ac:dyDescent="0.25">
      <c r="A1728" s="159">
        <v>603124</v>
      </c>
      <c r="B1728" s="159">
        <v>3</v>
      </c>
      <c r="C1728" s="158" t="str">
        <f t="shared" si="27"/>
        <v>3</v>
      </c>
    </row>
    <row r="1729" spans="1:3" x14ac:dyDescent="0.25">
      <c r="A1729" s="159">
        <v>603125</v>
      </c>
      <c r="B1729" s="159">
        <v>1</v>
      </c>
      <c r="C1729" s="158" t="str">
        <f t="shared" si="27"/>
        <v>1</v>
      </c>
    </row>
    <row r="1730" spans="1:3" x14ac:dyDescent="0.25">
      <c r="A1730" s="159">
        <v>603138</v>
      </c>
      <c r="B1730" s="159">
        <v>1</v>
      </c>
      <c r="C1730" s="158" t="str">
        <f t="shared" si="27"/>
        <v>1</v>
      </c>
    </row>
    <row r="1731" spans="1:3" x14ac:dyDescent="0.25">
      <c r="A1731" s="159">
        <v>603139</v>
      </c>
      <c r="B1731" s="159">
        <v>1</v>
      </c>
      <c r="C1731" s="158" t="str">
        <f t="shared" si="27"/>
        <v>1</v>
      </c>
    </row>
    <row r="1732" spans="1:3" x14ac:dyDescent="0.25">
      <c r="A1732" s="159">
        <v>603140</v>
      </c>
      <c r="B1732" s="159">
        <v>1</v>
      </c>
      <c r="C1732" s="158" t="str">
        <f t="shared" si="27"/>
        <v>1</v>
      </c>
    </row>
    <row r="1733" spans="1:3" x14ac:dyDescent="0.25">
      <c r="A1733" s="159">
        <v>603141</v>
      </c>
      <c r="B1733" s="159">
        <v>1</v>
      </c>
      <c r="C1733" s="158" t="str">
        <f t="shared" si="27"/>
        <v>1</v>
      </c>
    </row>
    <row r="1734" spans="1:3" x14ac:dyDescent="0.25">
      <c r="A1734" s="159">
        <v>603142</v>
      </c>
      <c r="B1734" s="159">
        <v>2</v>
      </c>
      <c r="C1734" s="158" t="str">
        <f t="shared" si="27"/>
        <v>2</v>
      </c>
    </row>
    <row r="1735" spans="1:3" x14ac:dyDescent="0.25">
      <c r="A1735" s="159">
        <v>603151</v>
      </c>
      <c r="B1735" s="159">
        <v>6</v>
      </c>
      <c r="C1735" s="158">
        <f t="shared" si="27"/>
        <v>6</v>
      </c>
    </row>
    <row r="1736" spans="1:3" x14ac:dyDescent="0.25">
      <c r="A1736" s="159">
        <v>603152</v>
      </c>
      <c r="B1736" s="159">
        <v>1</v>
      </c>
      <c r="C1736" s="158" t="str">
        <f t="shared" si="27"/>
        <v>1</v>
      </c>
    </row>
    <row r="1737" spans="1:3" x14ac:dyDescent="0.25">
      <c r="A1737" s="159">
        <v>603156</v>
      </c>
      <c r="B1737" s="159">
        <v>1</v>
      </c>
      <c r="C1737" s="158" t="str">
        <f t="shared" si="27"/>
        <v>1</v>
      </c>
    </row>
    <row r="1738" spans="1:3" x14ac:dyDescent="0.25">
      <c r="A1738" s="159">
        <v>603157</v>
      </c>
      <c r="B1738" s="159">
        <v>3</v>
      </c>
      <c r="C1738" s="158" t="str">
        <f t="shared" si="27"/>
        <v>3</v>
      </c>
    </row>
    <row r="1739" spans="1:3" x14ac:dyDescent="0.25">
      <c r="A1739" s="159">
        <v>603158</v>
      </c>
      <c r="B1739" s="159">
        <v>1</v>
      </c>
      <c r="C1739" s="158" t="str">
        <f t="shared" si="27"/>
        <v>1</v>
      </c>
    </row>
    <row r="1740" spans="1:3" x14ac:dyDescent="0.25">
      <c r="A1740" s="159">
        <v>603159</v>
      </c>
      <c r="B1740" s="159">
        <v>3</v>
      </c>
      <c r="C1740" s="158" t="str">
        <f t="shared" si="27"/>
        <v>3</v>
      </c>
    </row>
    <row r="1741" spans="1:3" x14ac:dyDescent="0.25">
      <c r="A1741" s="159">
        <v>603160</v>
      </c>
      <c r="B1741" s="159">
        <v>3</v>
      </c>
      <c r="C1741" s="158" t="str">
        <f t="shared" ref="C1741:C1804" si="28">IF(OR(B1741=0,B1741=1,B1741=2,B1741=3,B1741=4,B1741=5),TEXT(B1741,"0"),B1741)</f>
        <v>3</v>
      </c>
    </row>
    <row r="1742" spans="1:3" x14ac:dyDescent="0.25">
      <c r="A1742" s="159">
        <v>603161</v>
      </c>
      <c r="B1742" s="159">
        <v>1</v>
      </c>
      <c r="C1742" s="158" t="str">
        <f t="shared" si="28"/>
        <v>1</v>
      </c>
    </row>
    <row r="1743" spans="1:3" x14ac:dyDescent="0.25">
      <c r="A1743" s="159">
        <v>603162</v>
      </c>
      <c r="B1743" s="159">
        <v>3</v>
      </c>
      <c r="C1743" s="158" t="str">
        <f t="shared" si="28"/>
        <v>3</v>
      </c>
    </row>
    <row r="1744" spans="1:3" x14ac:dyDescent="0.25">
      <c r="A1744" s="159">
        <v>603163</v>
      </c>
      <c r="B1744" s="159">
        <v>1</v>
      </c>
      <c r="C1744" s="158" t="str">
        <f t="shared" si="28"/>
        <v>1</v>
      </c>
    </row>
    <row r="1745" spans="1:3" x14ac:dyDescent="0.25">
      <c r="A1745" s="159">
        <v>603167</v>
      </c>
      <c r="B1745" s="159">
        <v>3</v>
      </c>
      <c r="C1745" s="158" t="str">
        <f t="shared" si="28"/>
        <v>3</v>
      </c>
    </row>
    <row r="1746" spans="1:3" x14ac:dyDescent="0.25">
      <c r="A1746" s="159">
        <v>603168</v>
      </c>
      <c r="B1746" s="159">
        <v>1</v>
      </c>
      <c r="C1746" s="158" t="str">
        <f t="shared" si="28"/>
        <v>1</v>
      </c>
    </row>
    <row r="1747" spans="1:3" x14ac:dyDescent="0.25">
      <c r="A1747" s="159">
        <v>603170</v>
      </c>
      <c r="B1747" s="159">
        <v>1</v>
      </c>
      <c r="C1747" s="158" t="str">
        <f t="shared" si="28"/>
        <v>1</v>
      </c>
    </row>
    <row r="1748" spans="1:3" x14ac:dyDescent="0.25">
      <c r="A1748" s="159">
        <v>603171</v>
      </c>
      <c r="B1748" s="159" t="s">
        <v>437</v>
      </c>
      <c r="C1748" s="158" t="str">
        <f t="shared" si="28"/>
        <v>1S</v>
      </c>
    </row>
    <row r="1749" spans="1:3" x14ac:dyDescent="0.25">
      <c r="A1749" s="159">
        <v>603172</v>
      </c>
      <c r="B1749" s="159">
        <v>1</v>
      </c>
      <c r="C1749" s="158" t="str">
        <f t="shared" si="28"/>
        <v>1</v>
      </c>
    </row>
    <row r="1750" spans="1:3" x14ac:dyDescent="0.25">
      <c r="A1750" s="159">
        <v>603185</v>
      </c>
      <c r="B1750" s="159">
        <v>4</v>
      </c>
      <c r="C1750" s="158" t="str">
        <f t="shared" si="28"/>
        <v>4</v>
      </c>
    </row>
    <row r="1751" spans="1:3" x14ac:dyDescent="0.25">
      <c r="A1751" s="159">
        <v>603186</v>
      </c>
      <c r="B1751" s="159">
        <v>1</v>
      </c>
      <c r="C1751" s="158" t="str">
        <f t="shared" si="28"/>
        <v>1</v>
      </c>
    </row>
    <row r="1752" spans="1:3" x14ac:dyDescent="0.25">
      <c r="A1752" s="159">
        <v>603187</v>
      </c>
      <c r="B1752" s="159">
        <v>1</v>
      </c>
      <c r="C1752" s="158" t="str">
        <f t="shared" si="28"/>
        <v>1</v>
      </c>
    </row>
    <row r="1753" spans="1:3" x14ac:dyDescent="0.25">
      <c r="A1753" s="159">
        <v>603189</v>
      </c>
      <c r="B1753" s="159">
        <v>1</v>
      </c>
      <c r="C1753" s="158" t="str">
        <f t="shared" si="28"/>
        <v>1</v>
      </c>
    </row>
    <row r="1754" spans="1:3" x14ac:dyDescent="0.25">
      <c r="A1754" s="159">
        <v>603190</v>
      </c>
      <c r="B1754" s="159">
        <v>1</v>
      </c>
      <c r="C1754" s="158" t="str">
        <f t="shared" si="28"/>
        <v>1</v>
      </c>
    </row>
    <row r="1755" spans="1:3" x14ac:dyDescent="0.25">
      <c r="A1755" s="159">
        <v>603191</v>
      </c>
      <c r="B1755" s="159">
        <v>1</v>
      </c>
      <c r="C1755" s="158" t="str">
        <f t="shared" si="28"/>
        <v>1</v>
      </c>
    </row>
    <row r="1756" spans="1:3" x14ac:dyDescent="0.25">
      <c r="A1756" s="159">
        <v>603193</v>
      </c>
      <c r="B1756" s="159">
        <v>1</v>
      </c>
      <c r="C1756" s="158" t="str">
        <f t="shared" si="28"/>
        <v>1</v>
      </c>
    </row>
    <row r="1757" spans="1:3" x14ac:dyDescent="0.25">
      <c r="A1757" s="159">
        <v>603194</v>
      </c>
      <c r="B1757" s="159" t="s">
        <v>438</v>
      </c>
      <c r="C1757" s="158" t="str">
        <f t="shared" si="28"/>
        <v>2S</v>
      </c>
    </row>
    <row r="1758" spans="1:3" x14ac:dyDescent="0.25">
      <c r="A1758" s="159">
        <v>603195</v>
      </c>
      <c r="B1758" s="159">
        <v>2</v>
      </c>
      <c r="C1758" s="158" t="str">
        <f t="shared" si="28"/>
        <v>2</v>
      </c>
    </row>
    <row r="1759" spans="1:3" x14ac:dyDescent="0.25">
      <c r="A1759" s="159">
        <v>603196</v>
      </c>
      <c r="B1759" s="159" t="s">
        <v>437</v>
      </c>
      <c r="C1759" s="158" t="str">
        <f t="shared" si="28"/>
        <v>1S</v>
      </c>
    </row>
    <row r="1760" spans="1:3" x14ac:dyDescent="0.25">
      <c r="A1760" s="159">
        <v>603197</v>
      </c>
      <c r="B1760" s="159" t="s">
        <v>438</v>
      </c>
      <c r="C1760" s="158" t="str">
        <f t="shared" si="28"/>
        <v>2S</v>
      </c>
    </row>
    <row r="1761" spans="1:3" x14ac:dyDescent="0.25">
      <c r="A1761" s="159">
        <v>603198</v>
      </c>
      <c r="B1761" s="159">
        <v>1</v>
      </c>
      <c r="C1761" s="158" t="str">
        <f t="shared" si="28"/>
        <v>1</v>
      </c>
    </row>
    <row r="1762" spans="1:3" x14ac:dyDescent="0.25">
      <c r="A1762" s="159">
        <v>603202</v>
      </c>
      <c r="B1762" s="159">
        <v>1</v>
      </c>
      <c r="C1762" s="158" t="str">
        <f t="shared" si="28"/>
        <v>1</v>
      </c>
    </row>
    <row r="1763" spans="1:3" x14ac:dyDescent="0.25">
      <c r="A1763" s="159">
        <v>603204</v>
      </c>
      <c r="B1763" s="159">
        <v>2</v>
      </c>
      <c r="C1763" s="158" t="str">
        <f t="shared" si="28"/>
        <v>2</v>
      </c>
    </row>
    <row r="1764" spans="1:3" x14ac:dyDescent="0.25">
      <c r="A1764" s="159">
        <v>603205</v>
      </c>
      <c r="B1764" s="159">
        <v>1</v>
      </c>
      <c r="C1764" s="158" t="str">
        <f t="shared" si="28"/>
        <v>1</v>
      </c>
    </row>
    <row r="1765" spans="1:3" x14ac:dyDescent="0.25">
      <c r="A1765" s="159">
        <v>603206</v>
      </c>
      <c r="B1765" s="159">
        <v>4</v>
      </c>
      <c r="C1765" s="158" t="str">
        <f t="shared" si="28"/>
        <v>4</v>
      </c>
    </row>
    <row r="1766" spans="1:3" x14ac:dyDescent="0.25">
      <c r="A1766" s="159">
        <v>603207</v>
      </c>
      <c r="B1766" s="159">
        <v>1</v>
      </c>
      <c r="C1766" s="158" t="str">
        <f t="shared" si="28"/>
        <v>1</v>
      </c>
    </row>
    <row r="1767" spans="1:3" x14ac:dyDescent="0.25">
      <c r="A1767" s="159">
        <v>603209</v>
      </c>
      <c r="B1767" s="159">
        <v>1</v>
      </c>
      <c r="C1767" s="158" t="str">
        <f t="shared" si="28"/>
        <v>1</v>
      </c>
    </row>
    <row r="1768" spans="1:3" x14ac:dyDescent="0.25">
      <c r="A1768" s="159">
        <v>603213</v>
      </c>
      <c r="B1768" s="159">
        <v>2</v>
      </c>
      <c r="C1768" s="158" t="str">
        <f t="shared" si="28"/>
        <v>2</v>
      </c>
    </row>
    <row r="1769" spans="1:3" x14ac:dyDescent="0.25">
      <c r="A1769" s="159">
        <v>603214</v>
      </c>
      <c r="B1769" s="159">
        <v>1</v>
      </c>
      <c r="C1769" s="158" t="str">
        <f t="shared" si="28"/>
        <v>1</v>
      </c>
    </row>
    <row r="1770" spans="1:3" x14ac:dyDescent="0.25">
      <c r="A1770" s="159">
        <v>603215</v>
      </c>
      <c r="B1770" s="159">
        <v>2</v>
      </c>
      <c r="C1770" s="158" t="str">
        <f t="shared" si="28"/>
        <v>2</v>
      </c>
    </row>
    <row r="1771" spans="1:3" x14ac:dyDescent="0.25">
      <c r="A1771" s="159">
        <v>603218</v>
      </c>
      <c r="B1771" s="159">
        <v>1</v>
      </c>
      <c r="C1771" s="158" t="str">
        <f t="shared" si="28"/>
        <v>1</v>
      </c>
    </row>
    <row r="1772" spans="1:3" x14ac:dyDescent="0.25">
      <c r="A1772" s="159">
        <v>603219</v>
      </c>
      <c r="B1772" s="159">
        <v>1</v>
      </c>
      <c r="C1772" s="158" t="str">
        <f t="shared" si="28"/>
        <v>1</v>
      </c>
    </row>
    <row r="1773" spans="1:3" x14ac:dyDescent="0.25">
      <c r="A1773" s="159">
        <v>603224</v>
      </c>
      <c r="B1773" s="159">
        <v>1</v>
      </c>
      <c r="C1773" s="158" t="str">
        <f t="shared" si="28"/>
        <v>1</v>
      </c>
    </row>
    <row r="1774" spans="1:3" x14ac:dyDescent="0.25">
      <c r="A1774" s="159">
        <v>603225</v>
      </c>
      <c r="B1774" s="159">
        <v>4</v>
      </c>
      <c r="C1774" s="158" t="str">
        <f t="shared" si="28"/>
        <v>4</v>
      </c>
    </row>
    <row r="1775" spans="1:3" x14ac:dyDescent="0.25">
      <c r="A1775" s="159">
        <v>603227</v>
      </c>
      <c r="B1775" s="159">
        <v>1</v>
      </c>
      <c r="C1775" s="158" t="str">
        <f t="shared" si="28"/>
        <v>1</v>
      </c>
    </row>
    <row r="1776" spans="1:3" x14ac:dyDescent="0.25">
      <c r="A1776" s="159">
        <v>603228</v>
      </c>
      <c r="B1776" s="159">
        <v>1</v>
      </c>
      <c r="C1776" s="158" t="str">
        <f t="shared" si="28"/>
        <v>1</v>
      </c>
    </row>
    <row r="1777" spans="1:3" x14ac:dyDescent="0.25">
      <c r="A1777" s="159">
        <v>603229</v>
      </c>
      <c r="B1777" s="159">
        <v>1</v>
      </c>
      <c r="C1777" s="158" t="str">
        <f t="shared" si="28"/>
        <v>1</v>
      </c>
    </row>
    <row r="1778" spans="1:3" x14ac:dyDescent="0.25">
      <c r="A1778" s="159">
        <v>603230</v>
      </c>
      <c r="B1778" s="159">
        <v>1</v>
      </c>
      <c r="C1778" s="158" t="str">
        <f t="shared" si="28"/>
        <v>1</v>
      </c>
    </row>
    <row r="1779" spans="1:3" x14ac:dyDescent="0.25">
      <c r="A1779" s="159">
        <v>603232</v>
      </c>
      <c r="B1779" s="159">
        <v>1</v>
      </c>
      <c r="C1779" s="158" t="str">
        <f t="shared" si="28"/>
        <v>1</v>
      </c>
    </row>
    <row r="1780" spans="1:3" x14ac:dyDescent="0.25">
      <c r="A1780" s="159">
        <v>603234</v>
      </c>
      <c r="B1780" s="159">
        <v>1</v>
      </c>
      <c r="C1780" s="158" t="str">
        <f t="shared" si="28"/>
        <v>1</v>
      </c>
    </row>
    <row r="1781" spans="1:3" x14ac:dyDescent="0.25">
      <c r="A1781" s="159">
        <v>603235</v>
      </c>
      <c r="B1781" s="159" t="s">
        <v>441</v>
      </c>
      <c r="C1781" s="158" t="str">
        <f t="shared" si="28"/>
        <v>4S</v>
      </c>
    </row>
    <row r="1782" spans="1:3" x14ac:dyDescent="0.25">
      <c r="A1782" s="159">
        <v>603236</v>
      </c>
      <c r="B1782" s="159">
        <v>1</v>
      </c>
      <c r="C1782" s="158" t="str">
        <f t="shared" si="28"/>
        <v>1</v>
      </c>
    </row>
    <row r="1783" spans="1:3" x14ac:dyDescent="0.25">
      <c r="A1783" s="159">
        <v>603237</v>
      </c>
      <c r="B1783" s="159" t="s">
        <v>437</v>
      </c>
      <c r="C1783" s="158" t="str">
        <f t="shared" si="28"/>
        <v>1S</v>
      </c>
    </row>
    <row r="1784" spans="1:3" x14ac:dyDescent="0.25">
      <c r="A1784" s="159">
        <v>603238</v>
      </c>
      <c r="B1784" s="159">
        <v>1</v>
      </c>
      <c r="C1784" s="158" t="str">
        <f t="shared" si="28"/>
        <v>1</v>
      </c>
    </row>
    <row r="1785" spans="1:3" x14ac:dyDescent="0.25">
      <c r="A1785" s="159">
        <v>603239</v>
      </c>
      <c r="B1785" s="159">
        <v>1</v>
      </c>
      <c r="C1785" s="158" t="str">
        <f t="shared" si="28"/>
        <v>1</v>
      </c>
    </row>
    <row r="1786" spans="1:3" x14ac:dyDescent="0.25">
      <c r="A1786" s="159">
        <v>603240</v>
      </c>
      <c r="B1786" s="159">
        <v>4</v>
      </c>
      <c r="C1786" s="158" t="str">
        <f t="shared" si="28"/>
        <v>4</v>
      </c>
    </row>
    <row r="1787" spans="1:3" x14ac:dyDescent="0.25">
      <c r="A1787" s="159">
        <v>603241</v>
      </c>
      <c r="B1787" s="159">
        <v>1</v>
      </c>
      <c r="C1787" s="158" t="str">
        <f t="shared" si="28"/>
        <v>1</v>
      </c>
    </row>
    <row r="1788" spans="1:3" x14ac:dyDescent="0.25">
      <c r="A1788" s="159">
        <v>603247</v>
      </c>
      <c r="B1788" s="159">
        <v>1</v>
      </c>
      <c r="C1788" s="158" t="str">
        <f t="shared" si="28"/>
        <v>1</v>
      </c>
    </row>
    <row r="1789" spans="1:3" x14ac:dyDescent="0.25">
      <c r="A1789" s="159">
        <v>603248</v>
      </c>
      <c r="B1789" s="159">
        <v>4</v>
      </c>
      <c r="C1789" s="158" t="str">
        <f t="shared" si="28"/>
        <v>4</v>
      </c>
    </row>
    <row r="1790" spans="1:3" x14ac:dyDescent="0.25">
      <c r="A1790" s="159">
        <v>603250</v>
      </c>
      <c r="B1790" s="159">
        <v>5</v>
      </c>
      <c r="C1790" s="158" t="str">
        <f t="shared" si="28"/>
        <v>5</v>
      </c>
    </row>
    <row r="1791" spans="1:3" x14ac:dyDescent="0.25">
      <c r="A1791" s="159">
        <v>603253</v>
      </c>
      <c r="B1791" s="159">
        <v>1</v>
      </c>
      <c r="C1791" s="158" t="str">
        <f t="shared" si="28"/>
        <v>1</v>
      </c>
    </row>
    <row r="1792" spans="1:3" x14ac:dyDescent="0.25">
      <c r="A1792" s="159">
        <v>603257</v>
      </c>
      <c r="B1792" s="159">
        <v>6</v>
      </c>
      <c r="C1792" s="158">
        <f t="shared" si="28"/>
        <v>6</v>
      </c>
    </row>
    <row r="1793" spans="1:3" x14ac:dyDescent="0.25">
      <c r="A1793" s="159">
        <v>603260</v>
      </c>
      <c r="B1793" s="159">
        <v>1</v>
      </c>
      <c r="C1793" s="158" t="str">
        <f t="shared" si="28"/>
        <v>1</v>
      </c>
    </row>
    <row r="1794" spans="1:3" x14ac:dyDescent="0.25">
      <c r="A1794" s="159">
        <v>603261</v>
      </c>
      <c r="B1794" s="159">
        <v>1</v>
      </c>
      <c r="C1794" s="158" t="str">
        <f t="shared" si="28"/>
        <v>1</v>
      </c>
    </row>
    <row r="1795" spans="1:3" x14ac:dyDescent="0.25">
      <c r="A1795" s="159">
        <v>603273</v>
      </c>
      <c r="B1795" s="159">
        <v>2</v>
      </c>
      <c r="C1795" s="158" t="str">
        <f t="shared" si="28"/>
        <v>2</v>
      </c>
    </row>
    <row r="1796" spans="1:3" x14ac:dyDescent="0.25">
      <c r="A1796" s="159">
        <v>603276</v>
      </c>
      <c r="B1796" s="159">
        <v>1</v>
      </c>
      <c r="C1796" s="158" t="str">
        <f t="shared" si="28"/>
        <v>1</v>
      </c>
    </row>
    <row r="1797" spans="1:3" x14ac:dyDescent="0.25">
      <c r="A1797" s="159">
        <v>603277</v>
      </c>
      <c r="B1797" s="159">
        <v>4</v>
      </c>
      <c r="C1797" s="158" t="str">
        <f t="shared" si="28"/>
        <v>4</v>
      </c>
    </row>
    <row r="1798" spans="1:3" x14ac:dyDescent="0.25">
      <c r="A1798" s="159">
        <v>603278</v>
      </c>
      <c r="B1798" s="159">
        <v>4</v>
      </c>
      <c r="C1798" s="158" t="str">
        <f t="shared" si="28"/>
        <v>4</v>
      </c>
    </row>
    <row r="1799" spans="1:3" x14ac:dyDescent="0.25">
      <c r="A1799" s="159">
        <v>603279</v>
      </c>
      <c r="B1799" s="159">
        <v>1</v>
      </c>
      <c r="C1799" s="158" t="str">
        <f t="shared" si="28"/>
        <v>1</v>
      </c>
    </row>
    <row r="1800" spans="1:3" x14ac:dyDescent="0.25">
      <c r="A1800" s="159">
        <v>603280</v>
      </c>
      <c r="B1800" s="159">
        <v>1</v>
      </c>
      <c r="C1800" s="158" t="str">
        <f t="shared" si="28"/>
        <v>1</v>
      </c>
    </row>
    <row r="1801" spans="1:3" x14ac:dyDescent="0.25">
      <c r="A1801" s="159">
        <v>603281</v>
      </c>
      <c r="B1801" s="159">
        <v>2</v>
      </c>
      <c r="C1801" s="158" t="str">
        <f t="shared" si="28"/>
        <v>2</v>
      </c>
    </row>
    <row r="1802" spans="1:3" x14ac:dyDescent="0.25">
      <c r="A1802" s="159">
        <v>603282</v>
      </c>
      <c r="B1802" s="159">
        <v>4</v>
      </c>
      <c r="C1802" s="158" t="str">
        <f t="shared" si="28"/>
        <v>4</v>
      </c>
    </row>
    <row r="1803" spans="1:3" x14ac:dyDescent="0.25">
      <c r="A1803" s="159">
        <v>603283</v>
      </c>
      <c r="B1803" s="159">
        <v>1</v>
      </c>
      <c r="C1803" s="158" t="str">
        <f t="shared" si="28"/>
        <v>1</v>
      </c>
    </row>
    <row r="1804" spans="1:3" x14ac:dyDescent="0.25">
      <c r="A1804" s="159">
        <v>603292</v>
      </c>
      <c r="B1804" s="159">
        <v>3</v>
      </c>
      <c r="C1804" s="158" t="str">
        <f t="shared" si="28"/>
        <v>3</v>
      </c>
    </row>
    <row r="1805" spans="1:3" x14ac:dyDescent="0.25">
      <c r="A1805" s="159">
        <v>603293</v>
      </c>
      <c r="B1805" s="159">
        <v>6</v>
      </c>
      <c r="C1805" s="158">
        <f t="shared" ref="C1805:C1868" si="29">IF(OR(B1805=0,B1805=1,B1805=2,B1805=3,B1805=4,B1805=5),TEXT(B1805,"0"),B1805)</f>
        <v>6</v>
      </c>
    </row>
    <row r="1806" spans="1:3" x14ac:dyDescent="0.25">
      <c r="A1806" s="159">
        <v>603300</v>
      </c>
      <c r="B1806" s="159">
        <v>3</v>
      </c>
      <c r="C1806" s="158" t="str">
        <f t="shared" si="29"/>
        <v>3</v>
      </c>
    </row>
    <row r="1807" spans="1:3" x14ac:dyDescent="0.25">
      <c r="A1807" s="159">
        <v>603301</v>
      </c>
      <c r="B1807" s="159">
        <v>1</v>
      </c>
      <c r="C1807" s="158" t="str">
        <f t="shared" si="29"/>
        <v>1</v>
      </c>
    </row>
    <row r="1808" spans="1:3" x14ac:dyDescent="0.25">
      <c r="A1808" s="159">
        <v>603302</v>
      </c>
      <c r="B1808" s="159">
        <v>3</v>
      </c>
      <c r="C1808" s="158" t="str">
        <f t="shared" si="29"/>
        <v>3</v>
      </c>
    </row>
    <row r="1809" spans="1:3" x14ac:dyDescent="0.25">
      <c r="A1809" s="159">
        <v>603303</v>
      </c>
      <c r="B1809" s="159">
        <v>6</v>
      </c>
      <c r="C1809" s="158">
        <f t="shared" si="29"/>
        <v>6</v>
      </c>
    </row>
    <row r="1810" spans="1:3" x14ac:dyDescent="0.25">
      <c r="A1810" s="159">
        <v>603327</v>
      </c>
      <c r="B1810" s="159">
        <v>1</v>
      </c>
      <c r="C1810" s="158" t="str">
        <f t="shared" si="29"/>
        <v>1</v>
      </c>
    </row>
    <row r="1811" spans="1:3" x14ac:dyDescent="0.25">
      <c r="A1811" s="159">
        <v>603328</v>
      </c>
      <c r="B1811" s="159">
        <v>4</v>
      </c>
      <c r="C1811" s="158" t="str">
        <f t="shared" si="29"/>
        <v>4</v>
      </c>
    </row>
    <row r="1812" spans="1:3" x14ac:dyDescent="0.25">
      <c r="A1812" s="159">
        <v>603333</v>
      </c>
      <c r="B1812" s="159">
        <v>1</v>
      </c>
      <c r="C1812" s="158" t="str">
        <f t="shared" si="29"/>
        <v>1</v>
      </c>
    </row>
    <row r="1813" spans="1:3" x14ac:dyDescent="0.25">
      <c r="A1813" s="159">
        <v>603334</v>
      </c>
      <c r="B1813" s="159">
        <v>6</v>
      </c>
      <c r="C1813" s="158">
        <f t="shared" si="29"/>
        <v>6</v>
      </c>
    </row>
    <row r="1814" spans="1:3" x14ac:dyDescent="0.25">
      <c r="A1814" s="159">
        <v>603335</v>
      </c>
      <c r="B1814" s="159" t="s">
        <v>437</v>
      </c>
      <c r="C1814" s="158" t="str">
        <f t="shared" si="29"/>
        <v>1S</v>
      </c>
    </row>
    <row r="1815" spans="1:3" x14ac:dyDescent="0.25">
      <c r="A1815" s="159">
        <v>603344</v>
      </c>
      <c r="B1815" s="159">
        <v>3</v>
      </c>
      <c r="C1815" s="158" t="str">
        <f t="shared" si="29"/>
        <v>3</v>
      </c>
    </row>
    <row r="1816" spans="1:3" x14ac:dyDescent="0.25">
      <c r="A1816" s="159">
        <v>603345</v>
      </c>
      <c r="B1816" s="159">
        <v>1</v>
      </c>
      <c r="C1816" s="158" t="str">
        <f t="shared" si="29"/>
        <v>1</v>
      </c>
    </row>
    <row r="1817" spans="1:3" x14ac:dyDescent="0.25">
      <c r="A1817" s="159">
        <v>603346</v>
      </c>
      <c r="B1817" s="159">
        <v>3</v>
      </c>
      <c r="C1817" s="158" t="str">
        <f t="shared" si="29"/>
        <v>3</v>
      </c>
    </row>
    <row r="1818" spans="1:3" x14ac:dyDescent="0.25">
      <c r="A1818" s="159">
        <v>603347</v>
      </c>
      <c r="B1818" s="159">
        <v>1</v>
      </c>
      <c r="C1818" s="158" t="str">
        <f t="shared" si="29"/>
        <v>1</v>
      </c>
    </row>
    <row r="1819" spans="1:3" x14ac:dyDescent="0.25">
      <c r="A1819" s="159">
        <v>603348</v>
      </c>
      <c r="B1819" s="159">
        <v>1</v>
      </c>
      <c r="C1819" s="158" t="str">
        <f t="shared" si="29"/>
        <v>1</v>
      </c>
    </row>
    <row r="1820" spans="1:3" x14ac:dyDescent="0.25">
      <c r="A1820" s="159">
        <v>603349</v>
      </c>
      <c r="B1820" s="159">
        <v>1</v>
      </c>
      <c r="C1820" s="158" t="str">
        <f t="shared" si="29"/>
        <v>1</v>
      </c>
    </row>
    <row r="1821" spans="1:3" x14ac:dyDescent="0.25">
      <c r="A1821" s="159">
        <v>603354</v>
      </c>
      <c r="B1821" s="159" t="s">
        <v>439</v>
      </c>
      <c r="C1821" s="158" t="str">
        <f t="shared" si="29"/>
        <v>3S</v>
      </c>
    </row>
    <row r="1822" spans="1:3" x14ac:dyDescent="0.25">
      <c r="A1822" s="159">
        <v>603355</v>
      </c>
      <c r="B1822" s="159">
        <v>1</v>
      </c>
      <c r="C1822" s="158" t="str">
        <f t="shared" si="29"/>
        <v>1</v>
      </c>
    </row>
    <row r="1823" spans="1:3" x14ac:dyDescent="0.25">
      <c r="A1823" s="159">
        <v>603356</v>
      </c>
      <c r="B1823" s="159">
        <v>1</v>
      </c>
      <c r="C1823" s="158" t="str">
        <f t="shared" si="29"/>
        <v>1</v>
      </c>
    </row>
    <row r="1824" spans="1:3" x14ac:dyDescent="0.25">
      <c r="A1824" s="159">
        <v>603357</v>
      </c>
      <c r="B1824" s="159">
        <v>5</v>
      </c>
      <c r="C1824" s="158" t="str">
        <f t="shared" si="29"/>
        <v>5</v>
      </c>
    </row>
    <row r="1825" spans="1:3" x14ac:dyDescent="0.25">
      <c r="A1825" s="159">
        <v>603358</v>
      </c>
      <c r="B1825" s="159">
        <v>1</v>
      </c>
      <c r="C1825" s="158" t="str">
        <f t="shared" si="29"/>
        <v>1</v>
      </c>
    </row>
    <row r="1826" spans="1:3" x14ac:dyDescent="0.25">
      <c r="A1826" s="159">
        <v>603359</v>
      </c>
      <c r="B1826" s="159">
        <v>1</v>
      </c>
      <c r="C1826" s="158" t="str">
        <f t="shared" si="29"/>
        <v>1</v>
      </c>
    </row>
    <row r="1827" spans="1:3" x14ac:dyDescent="0.25">
      <c r="A1827" s="159">
        <v>603360</v>
      </c>
      <c r="B1827" s="159">
        <v>1</v>
      </c>
      <c r="C1827" s="158" t="str">
        <f t="shared" si="29"/>
        <v>1</v>
      </c>
    </row>
    <row r="1828" spans="1:3" x14ac:dyDescent="0.25">
      <c r="A1828" s="159">
        <v>603375</v>
      </c>
      <c r="B1828" s="159">
        <v>4</v>
      </c>
      <c r="C1828" s="158" t="str">
        <f t="shared" si="29"/>
        <v>4</v>
      </c>
    </row>
    <row r="1829" spans="1:3" x14ac:dyDescent="0.25">
      <c r="A1829" s="159">
        <v>603378</v>
      </c>
      <c r="B1829" s="159">
        <v>1</v>
      </c>
      <c r="C1829" s="158" t="str">
        <f t="shared" si="29"/>
        <v>1</v>
      </c>
    </row>
    <row r="1830" spans="1:3" x14ac:dyDescent="0.25">
      <c r="A1830" s="159">
        <v>603379</v>
      </c>
      <c r="B1830" s="159">
        <v>1</v>
      </c>
      <c r="C1830" s="158" t="str">
        <f t="shared" si="29"/>
        <v>1</v>
      </c>
    </row>
    <row r="1831" spans="1:3" x14ac:dyDescent="0.25">
      <c r="A1831" s="159">
        <v>603380</v>
      </c>
      <c r="B1831" s="159">
        <v>1</v>
      </c>
      <c r="C1831" s="158" t="str">
        <f t="shared" si="29"/>
        <v>1</v>
      </c>
    </row>
    <row r="1832" spans="1:3" x14ac:dyDescent="0.25">
      <c r="A1832" s="159">
        <v>603382</v>
      </c>
      <c r="B1832" s="159">
        <v>1</v>
      </c>
      <c r="C1832" s="158" t="str">
        <f t="shared" si="29"/>
        <v>1</v>
      </c>
    </row>
    <row r="1833" spans="1:3" x14ac:dyDescent="0.25">
      <c r="A1833" s="159">
        <v>603389</v>
      </c>
      <c r="B1833" s="159">
        <v>1</v>
      </c>
      <c r="C1833" s="158" t="str">
        <f t="shared" si="29"/>
        <v>1</v>
      </c>
    </row>
    <row r="1834" spans="1:3" x14ac:dyDescent="0.25">
      <c r="A1834" s="159">
        <v>603390</v>
      </c>
      <c r="B1834" s="159">
        <v>6</v>
      </c>
      <c r="C1834" s="158">
        <f t="shared" si="29"/>
        <v>6</v>
      </c>
    </row>
    <row r="1835" spans="1:3" x14ac:dyDescent="0.25">
      <c r="A1835" s="159">
        <v>603391</v>
      </c>
      <c r="B1835" s="159" t="s">
        <v>437</v>
      </c>
      <c r="C1835" s="158" t="str">
        <f t="shared" si="29"/>
        <v>1S</v>
      </c>
    </row>
    <row r="1836" spans="1:3" x14ac:dyDescent="0.25">
      <c r="A1836" s="159">
        <v>603392</v>
      </c>
      <c r="B1836" s="159">
        <v>2</v>
      </c>
      <c r="C1836" s="158" t="str">
        <f t="shared" si="29"/>
        <v>2</v>
      </c>
    </row>
    <row r="1837" spans="1:3" x14ac:dyDescent="0.25">
      <c r="A1837" s="159">
        <v>603393</v>
      </c>
      <c r="B1837" s="159">
        <v>1</v>
      </c>
      <c r="C1837" s="158" t="str">
        <f t="shared" si="29"/>
        <v>1</v>
      </c>
    </row>
    <row r="1838" spans="1:3" x14ac:dyDescent="0.25">
      <c r="A1838" s="159">
        <v>603394</v>
      </c>
      <c r="B1838" s="159">
        <v>1</v>
      </c>
      <c r="C1838" s="158" t="str">
        <f t="shared" si="29"/>
        <v>1</v>
      </c>
    </row>
    <row r="1839" spans="1:3" x14ac:dyDescent="0.25">
      <c r="A1839" s="159">
        <v>603399</v>
      </c>
      <c r="B1839" s="159">
        <v>1</v>
      </c>
      <c r="C1839" s="158" t="str">
        <f t="shared" si="29"/>
        <v>1</v>
      </c>
    </row>
    <row r="1840" spans="1:3" x14ac:dyDescent="0.25">
      <c r="A1840" s="159">
        <v>603400</v>
      </c>
      <c r="B1840" s="159">
        <v>2</v>
      </c>
      <c r="C1840" s="158" t="str">
        <f t="shared" si="29"/>
        <v>2</v>
      </c>
    </row>
    <row r="1841" spans="1:3" x14ac:dyDescent="0.25">
      <c r="A1841" s="159">
        <v>603401</v>
      </c>
      <c r="B1841" s="159">
        <v>1</v>
      </c>
      <c r="C1841" s="158" t="str">
        <f t="shared" si="29"/>
        <v>1</v>
      </c>
    </row>
    <row r="1842" spans="1:3" x14ac:dyDescent="0.25">
      <c r="A1842" s="159">
        <v>603402</v>
      </c>
      <c r="B1842" s="159">
        <v>4</v>
      </c>
      <c r="C1842" s="158" t="str">
        <f t="shared" si="29"/>
        <v>4</v>
      </c>
    </row>
    <row r="1843" spans="1:3" x14ac:dyDescent="0.25">
      <c r="A1843" s="159">
        <v>603403</v>
      </c>
      <c r="B1843" s="159">
        <v>1</v>
      </c>
      <c r="C1843" s="158" t="str">
        <f t="shared" si="29"/>
        <v>1</v>
      </c>
    </row>
    <row r="1844" spans="1:3" x14ac:dyDescent="0.25">
      <c r="A1844" s="159">
        <v>603404</v>
      </c>
      <c r="B1844" s="159">
        <v>4</v>
      </c>
      <c r="C1844" s="158" t="str">
        <f t="shared" si="29"/>
        <v>4</v>
      </c>
    </row>
    <row r="1845" spans="1:3" x14ac:dyDescent="0.25">
      <c r="A1845" s="159">
        <v>603406</v>
      </c>
      <c r="B1845" s="159" t="s">
        <v>437</v>
      </c>
      <c r="C1845" s="158" t="str">
        <f t="shared" si="29"/>
        <v>1S</v>
      </c>
    </row>
    <row r="1846" spans="1:3" x14ac:dyDescent="0.25">
      <c r="A1846" s="159">
        <v>603407</v>
      </c>
      <c r="B1846" s="159" t="s">
        <v>439</v>
      </c>
      <c r="C1846" s="158" t="str">
        <f t="shared" si="29"/>
        <v>3S</v>
      </c>
    </row>
    <row r="1847" spans="1:3" x14ac:dyDescent="0.25">
      <c r="A1847" s="159">
        <v>603410</v>
      </c>
      <c r="B1847" s="159" t="s">
        <v>437</v>
      </c>
      <c r="C1847" s="158" t="str">
        <f t="shared" si="29"/>
        <v>1S</v>
      </c>
    </row>
    <row r="1848" spans="1:3" x14ac:dyDescent="0.25">
      <c r="A1848" s="159">
        <v>603411</v>
      </c>
      <c r="B1848" s="159" t="s">
        <v>437</v>
      </c>
      <c r="C1848" s="158" t="str">
        <f t="shared" si="29"/>
        <v>1S</v>
      </c>
    </row>
    <row r="1849" spans="1:3" x14ac:dyDescent="0.25">
      <c r="A1849" s="159">
        <v>603422</v>
      </c>
      <c r="B1849" s="159">
        <v>1</v>
      </c>
      <c r="C1849" s="158" t="str">
        <f t="shared" si="29"/>
        <v>1</v>
      </c>
    </row>
    <row r="1850" spans="1:3" x14ac:dyDescent="0.25">
      <c r="A1850" s="159">
        <v>603427</v>
      </c>
      <c r="B1850" s="159" t="s">
        <v>437</v>
      </c>
      <c r="C1850" s="158" t="str">
        <f t="shared" si="29"/>
        <v>1S</v>
      </c>
    </row>
    <row r="1851" spans="1:3" x14ac:dyDescent="0.25">
      <c r="A1851" s="159">
        <v>603428</v>
      </c>
      <c r="B1851" s="159">
        <v>1</v>
      </c>
      <c r="C1851" s="158" t="str">
        <f t="shared" si="29"/>
        <v>1</v>
      </c>
    </row>
    <row r="1852" spans="1:3" x14ac:dyDescent="0.25">
      <c r="A1852" s="159">
        <v>603430</v>
      </c>
      <c r="B1852" s="159">
        <v>1</v>
      </c>
      <c r="C1852" s="158" t="str">
        <f t="shared" si="29"/>
        <v>1</v>
      </c>
    </row>
    <row r="1853" spans="1:3" x14ac:dyDescent="0.25">
      <c r="A1853" s="159">
        <v>603431</v>
      </c>
      <c r="B1853" s="159">
        <v>1</v>
      </c>
      <c r="C1853" s="158" t="str">
        <f t="shared" si="29"/>
        <v>1</v>
      </c>
    </row>
    <row r="1854" spans="1:3" x14ac:dyDescent="0.25">
      <c r="A1854" s="159">
        <v>603432</v>
      </c>
      <c r="B1854" s="159">
        <v>1</v>
      </c>
      <c r="C1854" s="158" t="str">
        <f t="shared" si="29"/>
        <v>1</v>
      </c>
    </row>
    <row r="1855" spans="1:3" x14ac:dyDescent="0.25">
      <c r="A1855" s="159">
        <v>603439</v>
      </c>
      <c r="B1855" s="159">
        <v>1</v>
      </c>
      <c r="C1855" s="158" t="str">
        <f t="shared" si="29"/>
        <v>1</v>
      </c>
    </row>
    <row r="1856" spans="1:3" x14ac:dyDescent="0.25">
      <c r="A1856" s="159">
        <v>603474</v>
      </c>
      <c r="B1856" s="159">
        <v>1</v>
      </c>
      <c r="C1856" s="158" t="str">
        <f t="shared" si="29"/>
        <v>1</v>
      </c>
    </row>
    <row r="1857" spans="1:3" x14ac:dyDescent="0.25">
      <c r="A1857" s="159">
        <v>603476</v>
      </c>
      <c r="B1857" s="159">
        <v>1</v>
      </c>
      <c r="C1857" s="158" t="str">
        <f t="shared" si="29"/>
        <v>1</v>
      </c>
    </row>
    <row r="1858" spans="1:3" x14ac:dyDescent="0.25">
      <c r="A1858" s="159">
        <v>603477</v>
      </c>
      <c r="B1858" s="159">
        <v>1</v>
      </c>
      <c r="C1858" s="158" t="str">
        <f t="shared" si="29"/>
        <v>1</v>
      </c>
    </row>
    <row r="1859" spans="1:3" x14ac:dyDescent="0.25">
      <c r="A1859" s="159">
        <v>603680</v>
      </c>
      <c r="B1859" s="159" t="s">
        <v>437</v>
      </c>
      <c r="C1859" s="158" t="str">
        <f t="shared" si="29"/>
        <v>1S</v>
      </c>
    </row>
    <row r="1860" spans="1:3" x14ac:dyDescent="0.25">
      <c r="A1860" s="159">
        <v>603681</v>
      </c>
      <c r="B1860" s="159" t="s">
        <v>437</v>
      </c>
      <c r="C1860" s="158" t="str">
        <f t="shared" si="29"/>
        <v>1S</v>
      </c>
    </row>
    <row r="1861" spans="1:3" x14ac:dyDescent="0.25">
      <c r="A1861" s="159">
        <v>603692</v>
      </c>
      <c r="B1861" s="159" t="s">
        <v>440</v>
      </c>
      <c r="C1861" s="158" t="str">
        <f t="shared" si="29"/>
        <v>5S</v>
      </c>
    </row>
    <row r="1862" spans="1:3" x14ac:dyDescent="0.25">
      <c r="A1862" s="159">
        <v>603693</v>
      </c>
      <c r="B1862" s="159" t="s">
        <v>437</v>
      </c>
      <c r="C1862" s="158" t="str">
        <f t="shared" si="29"/>
        <v>1S</v>
      </c>
    </row>
    <row r="1863" spans="1:3" x14ac:dyDescent="0.25">
      <c r="A1863" s="159">
        <v>603694</v>
      </c>
      <c r="B1863" s="159" t="s">
        <v>437</v>
      </c>
      <c r="C1863" s="158" t="str">
        <f t="shared" si="29"/>
        <v>1S</v>
      </c>
    </row>
    <row r="1864" spans="1:3" x14ac:dyDescent="0.25">
      <c r="A1864" s="159">
        <v>603695</v>
      </c>
      <c r="B1864" s="159">
        <v>1</v>
      </c>
      <c r="C1864" s="158" t="str">
        <f t="shared" si="29"/>
        <v>1</v>
      </c>
    </row>
    <row r="1865" spans="1:3" x14ac:dyDescent="0.25">
      <c r="A1865" s="159">
        <v>603696</v>
      </c>
      <c r="B1865" s="159">
        <v>1</v>
      </c>
      <c r="C1865" s="158" t="str">
        <f t="shared" si="29"/>
        <v>1</v>
      </c>
    </row>
    <row r="1866" spans="1:3" x14ac:dyDescent="0.25">
      <c r="A1866" s="159">
        <v>603697</v>
      </c>
      <c r="B1866" s="159" t="s">
        <v>437</v>
      </c>
      <c r="C1866" s="158" t="str">
        <f t="shared" si="29"/>
        <v>1S</v>
      </c>
    </row>
    <row r="1867" spans="1:3" x14ac:dyDescent="0.25">
      <c r="A1867" s="159">
        <v>603698</v>
      </c>
      <c r="B1867" s="159" t="s">
        <v>437</v>
      </c>
      <c r="C1867" s="158" t="str">
        <f t="shared" si="29"/>
        <v>1S</v>
      </c>
    </row>
    <row r="1868" spans="1:3" x14ac:dyDescent="0.25">
      <c r="A1868" s="159">
        <v>603699</v>
      </c>
      <c r="B1868" s="159" t="s">
        <v>437</v>
      </c>
      <c r="C1868" s="158" t="str">
        <f t="shared" si="29"/>
        <v>1S</v>
      </c>
    </row>
    <row r="1869" spans="1:3" x14ac:dyDescent="0.25">
      <c r="A1869" s="159">
        <v>603700</v>
      </c>
      <c r="B1869" s="159" t="s">
        <v>437</v>
      </c>
      <c r="C1869" s="158" t="str">
        <f t="shared" ref="C1869:C1932" si="30">IF(OR(B1869=0,B1869=1,B1869=2,B1869=3,B1869=4,B1869=5),TEXT(B1869,"0"),B1869)</f>
        <v>1S</v>
      </c>
    </row>
    <row r="1870" spans="1:3" x14ac:dyDescent="0.25">
      <c r="A1870" s="159">
        <v>603701</v>
      </c>
      <c r="B1870" s="159" t="s">
        <v>437</v>
      </c>
      <c r="C1870" s="158" t="str">
        <f t="shared" si="30"/>
        <v>1S</v>
      </c>
    </row>
    <row r="1871" spans="1:3" x14ac:dyDescent="0.25">
      <c r="A1871" s="159">
        <v>603702</v>
      </c>
      <c r="B1871" s="159" t="s">
        <v>437</v>
      </c>
      <c r="C1871" s="158" t="str">
        <f t="shared" si="30"/>
        <v>1S</v>
      </c>
    </row>
    <row r="1872" spans="1:3" x14ac:dyDescent="0.25">
      <c r="A1872" s="159">
        <v>603703</v>
      </c>
      <c r="B1872" s="159" t="s">
        <v>437</v>
      </c>
      <c r="C1872" s="158" t="str">
        <f t="shared" si="30"/>
        <v>1S</v>
      </c>
    </row>
    <row r="1873" spans="1:3" x14ac:dyDescent="0.25">
      <c r="A1873" s="159">
        <v>603704</v>
      </c>
      <c r="B1873" s="159">
        <v>2</v>
      </c>
      <c r="C1873" s="158" t="str">
        <f t="shared" si="30"/>
        <v>2</v>
      </c>
    </row>
    <row r="1874" spans="1:3" x14ac:dyDescent="0.25">
      <c r="A1874" s="159">
        <v>603755</v>
      </c>
      <c r="B1874" s="159" t="s">
        <v>437</v>
      </c>
      <c r="C1874" s="158" t="str">
        <f t="shared" si="30"/>
        <v>1S</v>
      </c>
    </row>
    <row r="1875" spans="1:3" x14ac:dyDescent="0.25">
      <c r="A1875" s="159">
        <v>603756</v>
      </c>
      <c r="B1875" s="159">
        <v>1</v>
      </c>
      <c r="C1875" s="158" t="str">
        <f t="shared" si="30"/>
        <v>1</v>
      </c>
    </row>
    <row r="1876" spans="1:3" x14ac:dyDescent="0.25">
      <c r="A1876" s="159">
        <v>603822</v>
      </c>
      <c r="B1876" s="159">
        <v>1</v>
      </c>
      <c r="C1876" s="158" t="str">
        <f t="shared" si="30"/>
        <v>1</v>
      </c>
    </row>
    <row r="1877" spans="1:3" x14ac:dyDescent="0.25">
      <c r="A1877" s="159">
        <v>603823</v>
      </c>
      <c r="B1877" s="159">
        <v>1</v>
      </c>
      <c r="C1877" s="158" t="str">
        <f t="shared" si="30"/>
        <v>1</v>
      </c>
    </row>
    <row r="1878" spans="1:3" x14ac:dyDescent="0.25">
      <c r="A1878" s="159">
        <v>603824</v>
      </c>
      <c r="B1878" s="159">
        <v>1</v>
      </c>
      <c r="C1878" s="158" t="str">
        <f t="shared" si="30"/>
        <v>1</v>
      </c>
    </row>
    <row r="1879" spans="1:3" x14ac:dyDescent="0.25">
      <c r="A1879" s="159">
        <v>603825</v>
      </c>
      <c r="B1879" s="159">
        <v>1</v>
      </c>
      <c r="C1879" s="158" t="str">
        <f t="shared" si="30"/>
        <v>1</v>
      </c>
    </row>
    <row r="1880" spans="1:3" x14ac:dyDescent="0.25">
      <c r="A1880" s="159">
        <v>603826</v>
      </c>
      <c r="B1880" s="159">
        <v>1</v>
      </c>
      <c r="C1880" s="158" t="str">
        <f t="shared" si="30"/>
        <v>1</v>
      </c>
    </row>
    <row r="1881" spans="1:3" x14ac:dyDescent="0.25">
      <c r="A1881" s="159">
        <v>603827</v>
      </c>
      <c r="B1881" s="159">
        <v>1</v>
      </c>
      <c r="C1881" s="158" t="str">
        <f t="shared" si="30"/>
        <v>1</v>
      </c>
    </row>
    <row r="1882" spans="1:3" x14ac:dyDescent="0.25">
      <c r="A1882" s="159">
        <v>603828</v>
      </c>
      <c r="B1882" s="159">
        <v>1</v>
      </c>
      <c r="C1882" s="158" t="str">
        <f t="shared" si="30"/>
        <v>1</v>
      </c>
    </row>
    <row r="1883" spans="1:3" x14ac:dyDescent="0.25">
      <c r="A1883" s="159">
        <v>603829</v>
      </c>
      <c r="B1883" s="159">
        <v>1</v>
      </c>
      <c r="C1883" s="158" t="str">
        <f t="shared" si="30"/>
        <v>1</v>
      </c>
    </row>
    <row r="1884" spans="1:3" x14ac:dyDescent="0.25">
      <c r="A1884" s="159">
        <v>603830</v>
      </c>
      <c r="B1884" s="159">
        <v>1</v>
      </c>
      <c r="C1884" s="158" t="str">
        <f t="shared" si="30"/>
        <v>1</v>
      </c>
    </row>
    <row r="1885" spans="1:3" x14ac:dyDescent="0.25">
      <c r="A1885" s="159">
        <v>603831</v>
      </c>
      <c r="B1885" s="159">
        <v>1</v>
      </c>
      <c r="C1885" s="158" t="str">
        <f t="shared" si="30"/>
        <v>1</v>
      </c>
    </row>
    <row r="1886" spans="1:3" x14ac:dyDescent="0.25">
      <c r="A1886" s="159">
        <v>603832</v>
      </c>
      <c r="B1886" s="159">
        <v>1</v>
      </c>
      <c r="C1886" s="158" t="str">
        <f t="shared" si="30"/>
        <v>1</v>
      </c>
    </row>
    <row r="1887" spans="1:3" x14ac:dyDescent="0.25">
      <c r="A1887" s="159">
        <v>603833</v>
      </c>
      <c r="B1887" s="159">
        <v>1</v>
      </c>
      <c r="C1887" s="158" t="str">
        <f t="shared" si="30"/>
        <v>1</v>
      </c>
    </row>
    <row r="1888" spans="1:3" x14ac:dyDescent="0.25">
      <c r="A1888" s="159">
        <v>603834</v>
      </c>
      <c r="B1888" s="159">
        <v>1</v>
      </c>
      <c r="C1888" s="158" t="str">
        <f t="shared" si="30"/>
        <v>1</v>
      </c>
    </row>
    <row r="1889" spans="1:3" x14ac:dyDescent="0.25">
      <c r="A1889" s="159">
        <v>603835</v>
      </c>
      <c r="B1889" s="159">
        <v>1</v>
      </c>
      <c r="C1889" s="158" t="str">
        <f t="shared" si="30"/>
        <v>1</v>
      </c>
    </row>
    <row r="1890" spans="1:3" x14ac:dyDescent="0.25">
      <c r="A1890" s="159">
        <v>603836</v>
      </c>
      <c r="B1890" s="159">
        <v>1</v>
      </c>
      <c r="C1890" s="158" t="str">
        <f t="shared" si="30"/>
        <v>1</v>
      </c>
    </row>
    <row r="1891" spans="1:3" x14ac:dyDescent="0.25">
      <c r="A1891" s="159">
        <v>603837</v>
      </c>
      <c r="B1891" s="159">
        <v>1</v>
      </c>
      <c r="C1891" s="158" t="str">
        <f t="shared" si="30"/>
        <v>1</v>
      </c>
    </row>
    <row r="1892" spans="1:3" x14ac:dyDescent="0.25">
      <c r="A1892" s="159">
        <v>603838</v>
      </c>
      <c r="B1892" s="159">
        <v>1</v>
      </c>
      <c r="C1892" s="158" t="str">
        <f t="shared" si="30"/>
        <v>1</v>
      </c>
    </row>
    <row r="1893" spans="1:3" x14ac:dyDescent="0.25">
      <c r="A1893" s="159">
        <v>603839</v>
      </c>
      <c r="B1893" s="159">
        <v>1</v>
      </c>
      <c r="C1893" s="158" t="str">
        <f t="shared" si="30"/>
        <v>1</v>
      </c>
    </row>
    <row r="1894" spans="1:3" x14ac:dyDescent="0.25">
      <c r="A1894" s="159">
        <v>603840</v>
      </c>
      <c r="B1894" s="159">
        <v>1</v>
      </c>
      <c r="C1894" s="158" t="str">
        <f t="shared" si="30"/>
        <v>1</v>
      </c>
    </row>
    <row r="1895" spans="1:3" x14ac:dyDescent="0.25">
      <c r="A1895" s="159">
        <v>603841</v>
      </c>
      <c r="B1895" s="159">
        <v>1</v>
      </c>
      <c r="C1895" s="158" t="str">
        <f t="shared" si="30"/>
        <v>1</v>
      </c>
    </row>
    <row r="1896" spans="1:3" x14ac:dyDescent="0.25">
      <c r="A1896" s="159">
        <v>603842</v>
      </c>
      <c r="B1896" s="159">
        <v>1</v>
      </c>
      <c r="C1896" s="158" t="str">
        <f t="shared" si="30"/>
        <v>1</v>
      </c>
    </row>
    <row r="1897" spans="1:3" x14ac:dyDescent="0.25">
      <c r="A1897" s="159">
        <v>603843</v>
      </c>
      <c r="B1897" s="159">
        <v>1</v>
      </c>
      <c r="C1897" s="158" t="str">
        <f t="shared" si="30"/>
        <v>1</v>
      </c>
    </row>
    <row r="1898" spans="1:3" x14ac:dyDescent="0.25">
      <c r="A1898" s="159">
        <v>603844</v>
      </c>
      <c r="B1898" s="159">
        <v>1</v>
      </c>
      <c r="C1898" s="158" t="str">
        <f t="shared" si="30"/>
        <v>1</v>
      </c>
    </row>
    <row r="1899" spans="1:3" x14ac:dyDescent="0.25">
      <c r="A1899" s="159">
        <v>603845</v>
      </c>
      <c r="B1899" s="159">
        <v>1</v>
      </c>
      <c r="C1899" s="158" t="str">
        <f t="shared" si="30"/>
        <v>1</v>
      </c>
    </row>
    <row r="1900" spans="1:3" x14ac:dyDescent="0.25">
      <c r="A1900" s="159">
        <v>603846</v>
      </c>
      <c r="B1900" s="159">
        <v>1</v>
      </c>
      <c r="C1900" s="158" t="str">
        <f t="shared" si="30"/>
        <v>1</v>
      </c>
    </row>
    <row r="1901" spans="1:3" x14ac:dyDescent="0.25">
      <c r="A1901" s="159">
        <v>603849</v>
      </c>
      <c r="B1901" s="159">
        <v>3</v>
      </c>
      <c r="C1901" s="158" t="str">
        <f t="shared" si="30"/>
        <v>3</v>
      </c>
    </row>
    <row r="1902" spans="1:3" x14ac:dyDescent="0.25">
      <c r="A1902" s="159">
        <v>603850</v>
      </c>
      <c r="B1902" s="159">
        <v>1</v>
      </c>
      <c r="C1902" s="158" t="str">
        <f t="shared" si="30"/>
        <v>1</v>
      </c>
    </row>
    <row r="1903" spans="1:3" x14ac:dyDescent="0.25">
      <c r="A1903" s="159">
        <v>603851</v>
      </c>
      <c r="B1903" s="159">
        <v>1</v>
      </c>
      <c r="C1903" s="158" t="str">
        <f t="shared" si="30"/>
        <v>1</v>
      </c>
    </row>
    <row r="1904" spans="1:3" x14ac:dyDescent="0.25">
      <c r="A1904" s="159">
        <v>603852</v>
      </c>
      <c r="B1904" s="159">
        <v>1</v>
      </c>
      <c r="C1904" s="158" t="str">
        <f t="shared" si="30"/>
        <v>1</v>
      </c>
    </row>
    <row r="1905" spans="1:3" x14ac:dyDescent="0.25">
      <c r="A1905" s="159">
        <v>603853</v>
      </c>
      <c r="B1905" s="159">
        <v>1</v>
      </c>
      <c r="C1905" s="158" t="str">
        <f t="shared" si="30"/>
        <v>1</v>
      </c>
    </row>
    <row r="1906" spans="1:3" x14ac:dyDescent="0.25">
      <c r="A1906" s="159">
        <v>603854</v>
      </c>
      <c r="B1906" s="159">
        <v>1</v>
      </c>
      <c r="C1906" s="158" t="str">
        <f t="shared" si="30"/>
        <v>1</v>
      </c>
    </row>
    <row r="1907" spans="1:3" x14ac:dyDescent="0.25">
      <c r="A1907" s="159">
        <v>603855</v>
      </c>
      <c r="B1907" s="159">
        <v>3</v>
      </c>
      <c r="C1907" s="158" t="str">
        <f t="shared" si="30"/>
        <v>3</v>
      </c>
    </row>
    <row r="1908" spans="1:3" x14ac:dyDescent="0.25">
      <c r="A1908" s="159">
        <v>603856</v>
      </c>
      <c r="B1908" s="159">
        <v>1</v>
      </c>
      <c r="C1908" s="158" t="str">
        <f t="shared" si="30"/>
        <v>1</v>
      </c>
    </row>
    <row r="1909" spans="1:3" x14ac:dyDescent="0.25">
      <c r="A1909" s="159">
        <v>603857</v>
      </c>
      <c r="B1909" s="159">
        <v>3</v>
      </c>
      <c r="C1909" s="158" t="str">
        <f t="shared" si="30"/>
        <v>3</v>
      </c>
    </row>
    <row r="1910" spans="1:3" x14ac:dyDescent="0.25">
      <c r="A1910" s="159">
        <v>603858</v>
      </c>
      <c r="B1910" s="159">
        <v>5</v>
      </c>
      <c r="C1910" s="158" t="str">
        <f t="shared" si="30"/>
        <v>5</v>
      </c>
    </row>
    <row r="1911" spans="1:3" x14ac:dyDescent="0.25">
      <c r="A1911" s="159">
        <v>603859</v>
      </c>
      <c r="B1911" s="159">
        <v>3</v>
      </c>
      <c r="C1911" s="158" t="str">
        <f t="shared" si="30"/>
        <v>3</v>
      </c>
    </row>
    <row r="1912" spans="1:3" x14ac:dyDescent="0.25">
      <c r="A1912" s="159">
        <v>603860</v>
      </c>
      <c r="B1912" s="159">
        <v>1</v>
      </c>
      <c r="C1912" s="158" t="str">
        <f t="shared" si="30"/>
        <v>1</v>
      </c>
    </row>
    <row r="1913" spans="1:3" x14ac:dyDescent="0.25">
      <c r="A1913" s="159">
        <v>603864</v>
      </c>
      <c r="B1913" s="159">
        <v>1</v>
      </c>
      <c r="C1913" s="158" t="str">
        <f t="shared" si="30"/>
        <v>1</v>
      </c>
    </row>
    <row r="1914" spans="1:3" x14ac:dyDescent="0.25">
      <c r="A1914" s="159">
        <v>603865</v>
      </c>
      <c r="B1914" s="159" t="s">
        <v>439</v>
      </c>
      <c r="C1914" s="158" t="str">
        <f t="shared" si="30"/>
        <v>3S</v>
      </c>
    </row>
    <row r="1915" spans="1:3" x14ac:dyDescent="0.25">
      <c r="A1915" s="159">
        <v>603870</v>
      </c>
      <c r="B1915" s="159">
        <v>1</v>
      </c>
      <c r="C1915" s="158" t="str">
        <f t="shared" si="30"/>
        <v>1</v>
      </c>
    </row>
    <row r="1916" spans="1:3" x14ac:dyDescent="0.25">
      <c r="A1916" s="159">
        <v>603871</v>
      </c>
      <c r="B1916" s="159">
        <v>3</v>
      </c>
      <c r="C1916" s="158" t="str">
        <f t="shared" si="30"/>
        <v>3</v>
      </c>
    </row>
    <row r="1917" spans="1:3" x14ac:dyDescent="0.25">
      <c r="A1917" s="159">
        <v>603883</v>
      </c>
      <c r="B1917" s="159">
        <v>1</v>
      </c>
      <c r="C1917" s="158" t="str">
        <f t="shared" si="30"/>
        <v>1</v>
      </c>
    </row>
    <row r="1918" spans="1:3" x14ac:dyDescent="0.25">
      <c r="A1918" s="159">
        <v>603884</v>
      </c>
      <c r="B1918" s="159">
        <v>1</v>
      </c>
      <c r="C1918" s="158" t="str">
        <f t="shared" si="30"/>
        <v>1</v>
      </c>
    </row>
    <row r="1919" spans="1:3" x14ac:dyDescent="0.25">
      <c r="A1919" s="159">
        <v>603885</v>
      </c>
      <c r="B1919" s="159">
        <v>1</v>
      </c>
      <c r="C1919" s="158" t="str">
        <f t="shared" si="30"/>
        <v>1</v>
      </c>
    </row>
    <row r="1920" spans="1:3" x14ac:dyDescent="0.25">
      <c r="A1920" s="159">
        <v>603886</v>
      </c>
      <c r="B1920" s="159">
        <v>1</v>
      </c>
      <c r="C1920" s="158" t="str">
        <f t="shared" si="30"/>
        <v>1</v>
      </c>
    </row>
    <row r="1921" spans="1:3" x14ac:dyDescent="0.25">
      <c r="A1921" s="159">
        <v>603893</v>
      </c>
      <c r="B1921" s="159">
        <v>1</v>
      </c>
      <c r="C1921" s="158" t="str">
        <f t="shared" si="30"/>
        <v>1</v>
      </c>
    </row>
    <row r="1922" spans="1:3" x14ac:dyDescent="0.25">
      <c r="A1922" s="159">
        <v>603894</v>
      </c>
      <c r="B1922" s="159">
        <v>1</v>
      </c>
      <c r="C1922" s="158" t="str">
        <f t="shared" si="30"/>
        <v>1</v>
      </c>
    </row>
    <row r="1923" spans="1:3" x14ac:dyDescent="0.25">
      <c r="A1923" s="159">
        <v>603895</v>
      </c>
      <c r="B1923" s="159">
        <v>1</v>
      </c>
      <c r="C1923" s="158" t="str">
        <f t="shared" si="30"/>
        <v>1</v>
      </c>
    </row>
    <row r="1924" spans="1:3" x14ac:dyDescent="0.25">
      <c r="A1924" s="159">
        <v>603896</v>
      </c>
      <c r="B1924" s="159">
        <v>1</v>
      </c>
      <c r="C1924" s="158" t="str">
        <f t="shared" si="30"/>
        <v>1</v>
      </c>
    </row>
    <row r="1925" spans="1:3" x14ac:dyDescent="0.25">
      <c r="A1925" s="159">
        <v>603899</v>
      </c>
      <c r="B1925" s="159">
        <v>1</v>
      </c>
      <c r="C1925" s="158" t="str">
        <f t="shared" si="30"/>
        <v>1</v>
      </c>
    </row>
    <row r="1926" spans="1:3" x14ac:dyDescent="0.25">
      <c r="A1926" s="159">
        <v>603900</v>
      </c>
      <c r="B1926" s="159">
        <v>1</v>
      </c>
      <c r="C1926" s="158" t="str">
        <f t="shared" si="30"/>
        <v>1</v>
      </c>
    </row>
    <row r="1927" spans="1:3" x14ac:dyDescent="0.25">
      <c r="A1927" s="159">
        <v>603901</v>
      </c>
      <c r="B1927" s="159">
        <v>1</v>
      </c>
      <c r="C1927" s="158" t="str">
        <f t="shared" si="30"/>
        <v>1</v>
      </c>
    </row>
    <row r="1928" spans="1:3" x14ac:dyDescent="0.25">
      <c r="A1928" s="159">
        <v>603902</v>
      </c>
      <c r="B1928" s="159">
        <v>1</v>
      </c>
      <c r="C1928" s="158" t="str">
        <f t="shared" si="30"/>
        <v>1</v>
      </c>
    </row>
    <row r="1929" spans="1:3" x14ac:dyDescent="0.25">
      <c r="A1929" s="159">
        <v>603905</v>
      </c>
      <c r="B1929" s="159">
        <v>1</v>
      </c>
      <c r="C1929" s="158" t="str">
        <f t="shared" si="30"/>
        <v>1</v>
      </c>
    </row>
    <row r="1930" spans="1:3" x14ac:dyDescent="0.25">
      <c r="A1930" s="159">
        <v>603906</v>
      </c>
      <c r="B1930" s="159">
        <v>1</v>
      </c>
      <c r="C1930" s="158" t="str">
        <f t="shared" si="30"/>
        <v>1</v>
      </c>
    </row>
    <row r="1931" spans="1:3" x14ac:dyDescent="0.25">
      <c r="A1931" s="159">
        <v>603909</v>
      </c>
      <c r="B1931" s="159">
        <v>1</v>
      </c>
      <c r="C1931" s="158" t="str">
        <f t="shared" si="30"/>
        <v>1</v>
      </c>
    </row>
    <row r="1932" spans="1:3" x14ac:dyDescent="0.25">
      <c r="A1932" s="159">
        <v>603910</v>
      </c>
      <c r="B1932" s="159">
        <v>1</v>
      </c>
      <c r="C1932" s="158" t="str">
        <f t="shared" si="30"/>
        <v>1</v>
      </c>
    </row>
    <row r="1933" spans="1:3" x14ac:dyDescent="0.25">
      <c r="A1933" s="159">
        <v>603911</v>
      </c>
      <c r="B1933" s="159">
        <v>1</v>
      </c>
      <c r="C1933" s="158" t="str">
        <f t="shared" ref="C1933:C1996" si="31">IF(OR(B1933=0,B1933=1,B1933=2,B1933=3,B1933=4,B1933=5),TEXT(B1933,"0"),B1933)</f>
        <v>1</v>
      </c>
    </row>
    <row r="1934" spans="1:3" x14ac:dyDescent="0.25">
      <c r="A1934" s="159">
        <v>603912</v>
      </c>
      <c r="B1934" s="159">
        <v>1</v>
      </c>
      <c r="C1934" s="158" t="str">
        <f t="shared" si="31"/>
        <v>1</v>
      </c>
    </row>
    <row r="1935" spans="1:3" x14ac:dyDescent="0.25">
      <c r="A1935" s="159">
        <v>603913</v>
      </c>
      <c r="B1935" s="159">
        <v>1</v>
      </c>
      <c r="C1935" s="158" t="str">
        <f t="shared" si="31"/>
        <v>1</v>
      </c>
    </row>
    <row r="1936" spans="1:3" x14ac:dyDescent="0.25">
      <c r="A1936" s="159">
        <v>603914</v>
      </c>
      <c r="B1936" s="159">
        <v>1</v>
      </c>
      <c r="C1936" s="158" t="str">
        <f t="shared" si="31"/>
        <v>1</v>
      </c>
    </row>
    <row r="1937" spans="1:3" x14ac:dyDescent="0.25">
      <c r="A1937" s="159">
        <v>603915</v>
      </c>
      <c r="B1937" s="159">
        <v>1</v>
      </c>
      <c r="C1937" s="158" t="str">
        <f t="shared" si="31"/>
        <v>1</v>
      </c>
    </row>
    <row r="1938" spans="1:3" x14ac:dyDescent="0.25">
      <c r="A1938" s="159">
        <v>603916</v>
      </c>
      <c r="B1938" s="159">
        <v>1</v>
      </c>
      <c r="C1938" s="158" t="str">
        <f t="shared" si="31"/>
        <v>1</v>
      </c>
    </row>
    <row r="1939" spans="1:3" x14ac:dyDescent="0.25">
      <c r="A1939" s="159">
        <v>603919</v>
      </c>
      <c r="B1939" s="159">
        <v>1</v>
      </c>
      <c r="C1939" s="158" t="str">
        <f t="shared" si="31"/>
        <v>1</v>
      </c>
    </row>
    <row r="1940" spans="1:3" x14ac:dyDescent="0.25">
      <c r="A1940" s="159">
        <v>603920</v>
      </c>
      <c r="B1940" s="159">
        <v>1</v>
      </c>
      <c r="C1940" s="158" t="str">
        <f t="shared" si="31"/>
        <v>1</v>
      </c>
    </row>
    <row r="1941" spans="1:3" x14ac:dyDescent="0.25">
      <c r="A1941" s="159">
        <v>603921</v>
      </c>
      <c r="B1941" s="159">
        <v>1</v>
      </c>
      <c r="C1941" s="158" t="str">
        <f t="shared" si="31"/>
        <v>1</v>
      </c>
    </row>
    <row r="1942" spans="1:3" x14ac:dyDescent="0.25">
      <c r="A1942" s="159">
        <v>603922</v>
      </c>
      <c r="B1942" s="159">
        <v>1</v>
      </c>
      <c r="C1942" s="158" t="str">
        <f t="shared" si="31"/>
        <v>1</v>
      </c>
    </row>
    <row r="1943" spans="1:3" x14ac:dyDescent="0.25">
      <c r="A1943" s="159">
        <v>603931</v>
      </c>
      <c r="B1943" s="159">
        <v>1</v>
      </c>
      <c r="C1943" s="158" t="str">
        <f t="shared" si="31"/>
        <v>1</v>
      </c>
    </row>
    <row r="1944" spans="1:3" x14ac:dyDescent="0.25">
      <c r="A1944" s="159">
        <v>603932</v>
      </c>
      <c r="B1944" s="159">
        <v>1</v>
      </c>
      <c r="C1944" s="158" t="str">
        <f t="shared" si="31"/>
        <v>1</v>
      </c>
    </row>
    <row r="1945" spans="1:3" x14ac:dyDescent="0.25">
      <c r="A1945" s="159">
        <v>603935</v>
      </c>
      <c r="B1945" s="159">
        <v>1</v>
      </c>
      <c r="C1945" s="158" t="str">
        <f t="shared" si="31"/>
        <v>1</v>
      </c>
    </row>
    <row r="1946" spans="1:3" x14ac:dyDescent="0.25">
      <c r="A1946" s="159">
        <v>603936</v>
      </c>
      <c r="B1946" s="159">
        <v>1</v>
      </c>
      <c r="C1946" s="158" t="str">
        <f t="shared" si="31"/>
        <v>1</v>
      </c>
    </row>
    <row r="1947" spans="1:3" x14ac:dyDescent="0.25">
      <c r="A1947" s="159">
        <v>603941</v>
      </c>
      <c r="B1947" s="159">
        <v>1</v>
      </c>
      <c r="C1947" s="158" t="str">
        <f t="shared" si="31"/>
        <v>1</v>
      </c>
    </row>
    <row r="1948" spans="1:3" x14ac:dyDescent="0.25">
      <c r="A1948" s="159">
        <v>603942</v>
      </c>
      <c r="B1948" s="159">
        <v>1</v>
      </c>
      <c r="C1948" s="158" t="str">
        <f t="shared" si="31"/>
        <v>1</v>
      </c>
    </row>
    <row r="1949" spans="1:3" x14ac:dyDescent="0.25">
      <c r="A1949" s="159">
        <v>603943</v>
      </c>
      <c r="B1949" s="159">
        <v>1</v>
      </c>
      <c r="C1949" s="158" t="str">
        <f t="shared" si="31"/>
        <v>1</v>
      </c>
    </row>
    <row r="1950" spans="1:3" x14ac:dyDescent="0.25">
      <c r="A1950" s="159">
        <v>603944</v>
      </c>
      <c r="B1950" s="159">
        <v>1</v>
      </c>
      <c r="C1950" s="158" t="str">
        <f t="shared" si="31"/>
        <v>1</v>
      </c>
    </row>
    <row r="1951" spans="1:3" x14ac:dyDescent="0.25">
      <c r="A1951" s="159">
        <v>603945</v>
      </c>
      <c r="B1951" s="159">
        <v>1</v>
      </c>
      <c r="C1951" s="158" t="str">
        <f t="shared" si="31"/>
        <v>1</v>
      </c>
    </row>
    <row r="1952" spans="1:3" x14ac:dyDescent="0.25">
      <c r="A1952" s="159">
        <v>603946</v>
      </c>
      <c r="B1952" s="159">
        <v>1</v>
      </c>
      <c r="C1952" s="158" t="str">
        <f t="shared" si="31"/>
        <v>1</v>
      </c>
    </row>
    <row r="1953" spans="1:3" x14ac:dyDescent="0.25">
      <c r="A1953" s="159">
        <v>603947</v>
      </c>
      <c r="B1953" s="159">
        <v>1</v>
      </c>
      <c r="C1953" s="158" t="str">
        <f t="shared" si="31"/>
        <v>1</v>
      </c>
    </row>
    <row r="1954" spans="1:3" x14ac:dyDescent="0.25">
      <c r="A1954" s="159">
        <v>603948</v>
      </c>
      <c r="B1954" s="159">
        <v>1</v>
      </c>
      <c r="C1954" s="158" t="str">
        <f t="shared" si="31"/>
        <v>1</v>
      </c>
    </row>
    <row r="1955" spans="1:3" x14ac:dyDescent="0.25">
      <c r="A1955" s="159">
        <v>603949</v>
      </c>
      <c r="B1955" s="159">
        <v>1</v>
      </c>
      <c r="C1955" s="158" t="str">
        <f t="shared" si="31"/>
        <v>1</v>
      </c>
    </row>
    <row r="1956" spans="1:3" x14ac:dyDescent="0.25">
      <c r="A1956" s="159">
        <v>603951</v>
      </c>
      <c r="B1956" s="159">
        <v>1</v>
      </c>
      <c r="C1956" s="158" t="str">
        <f t="shared" si="31"/>
        <v>1</v>
      </c>
    </row>
    <row r="1957" spans="1:3" x14ac:dyDescent="0.25">
      <c r="A1957" s="159">
        <v>603952</v>
      </c>
      <c r="B1957" s="159">
        <v>1</v>
      </c>
      <c r="C1957" s="158" t="str">
        <f t="shared" si="31"/>
        <v>1</v>
      </c>
    </row>
    <row r="1958" spans="1:3" x14ac:dyDescent="0.25">
      <c r="A1958" s="159">
        <v>603953</v>
      </c>
      <c r="B1958" s="159">
        <v>1</v>
      </c>
      <c r="C1958" s="158" t="str">
        <f t="shared" si="31"/>
        <v>1</v>
      </c>
    </row>
    <row r="1959" spans="1:3" x14ac:dyDescent="0.25">
      <c r="A1959" s="159">
        <v>603960</v>
      </c>
      <c r="B1959" s="159">
        <v>1</v>
      </c>
      <c r="C1959" s="158" t="str">
        <f t="shared" si="31"/>
        <v>1</v>
      </c>
    </row>
    <row r="1960" spans="1:3" x14ac:dyDescent="0.25">
      <c r="A1960" s="159">
        <v>603961</v>
      </c>
      <c r="B1960" s="159">
        <v>1</v>
      </c>
      <c r="C1960" s="158" t="str">
        <f t="shared" si="31"/>
        <v>1</v>
      </c>
    </row>
    <row r="1961" spans="1:3" x14ac:dyDescent="0.25">
      <c r="A1961" s="159">
        <v>603962</v>
      </c>
      <c r="B1961" s="159">
        <v>1</v>
      </c>
      <c r="C1961" s="158" t="str">
        <f t="shared" si="31"/>
        <v>1</v>
      </c>
    </row>
    <row r="1962" spans="1:3" x14ac:dyDescent="0.25">
      <c r="A1962" s="159">
        <v>603963</v>
      </c>
      <c r="B1962" s="159">
        <v>1</v>
      </c>
      <c r="C1962" s="158" t="str">
        <f t="shared" si="31"/>
        <v>1</v>
      </c>
    </row>
    <row r="1963" spans="1:3" x14ac:dyDescent="0.25">
      <c r="A1963" s="159">
        <v>603964</v>
      </c>
      <c r="B1963" s="159">
        <v>1</v>
      </c>
      <c r="C1963" s="158" t="str">
        <f t="shared" si="31"/>
        <v>1</v>
      </c>
    </row>
    <row r="1964" spans="1:3" x14ac:dyDescent="0.25">
      <c r="A1964" s="159">
        <v>603965</v>
      </c>
      <c r="B1964" s="159">
        <v>1</v>
      </c>
      <c r="C1964" s="158" t="str">
        <f t="shared" si="31"/>
        <v>1</v>
      </c>
    </row>
    <row r="1965" spans="1:3" x14ac:dyDescent="0.25">
      <c r="A1965" s="159">
        <v>603966</v>
      </c>
      <c r="B1965" s="159">
        <v>1</v>
      </c>
      <c r="C1965" s="158" t="str">
        <f t="shared" si="31"/>
        <v>1</v>
      </c>
    </row>
    <row r="1966" spans="1:3" x14ac:dyDescent="0.25">
      <c r="A1966" s="159">
        <v>603967</v>
      </c>
      <c r="B1966" s="159">
        <v>1</v>
      </c>
      <c r="C1966" s="158" t="str">
        <f t="shared" si="31"/>
        <v>1</v>
      </c>
    </row>
    <row r="1967" spans="1:3" x14ac:dyDescent="0.25">
      <c r="A1967" s="159">
        <v>603968</v>
      </c>
      <c r="B1967" s="159">
        <v>1</v>
      </c>
      <c r="C1967" s="158" t="str">
        <f t="shared" si="31"/>
        <v>1</v>
      </c>
    </row>
    <row r="1968" spans="1:3" x14ac:dyDescent="0.25">
      <c r="A1968" s="159">
        <v>603969</v>
      </c>
      <c r="B1968" s="159">
        <v>1</v>
      </c>
      <c r="C1968" s="158" t="str">
        <f t="shared" si="31"/>
        <v>1</v>
      </c>
    </row>
    <row r="1969" spans="1:3" x14ac:dyDescent="0.25">
      <c r="A1969" s="159">
        <v>603972</v>
      </c>
      <c r="B1969" s="159">
        <v>1</v>
      </c>
      <c r="C1969" s="158" t="str">
        <f t="shared" si="31"/>
        <v>1</v>
      </c>
    </row>
    <row r="1970" spans="1:3" x14ac:dyDescent="0.25">
      <c r="A1970" s="159">
        <v>603973</v>
      </c>
      <c r="B1970" s="159">
        <v>1</v>
      </c>
      <c r="C1970" s="158" t="str">
        <f t="shared" si="31"/>
        <v>1</v>
      </c>
    </row>
    <row r="1971" spans="1:3" x14ac:dyDescent="0.25">
      <c r="A1971" s="159">
        <v>603974</v>
      </c>
      <c r="B1971" s="159">
        <v>1</v>
      </c>
      <c r="C1971" s="158" t="str">
        <f t="shared" si="31"/>
        <v>1</v>
      </c>
    </row>
    <row r="1972" spans="1:3" x14ac:dyDescent="0.25">
      <c r="A1972" s="159">
        <v>603975</v>
      </c>
      <c r="B1972" s="159">
        <v>1</v>
      </c>
      <c r="C1972" s="158" t="str">
        <f t="shared" si="31"/>
        <v>1</v>
      </c>
    </row>
    <row r="1973" spans="1:3" x14ac:dyDescent="0.25">
      <c r="A1973" s="159">
        <v>603978</v>
      </c>
      <c r="B1973" s="159">
        <v>1</v>
      </c>
      <c r="C1973" s="158" t="str">
        <f t="shared" si="31"/>
        <v>1</v>
      </c>
    </row>
    <row r="1974" spans="1:3" x14ac:dyDescent="0.25">
      <c r="A1974" s="159">
        <v>603979</v>
      </c>
      <c r="B1974" s="159">
        <v>1</v>
      </c>
      <c r="C1974" s="158" t="str">
        <f t="shared" si="31"/>
        <v>1</v>
      </c>
    </row>
    <row r="1975" spans="1:3" x14ac:dyDescent="0.25">
      <c r="A1975" s="159">
        <v>603984</v>
      </c>
      <c r="B1975" s="159">
        <v>1</v>
      </c>
      <c r="C1975" s="158" t="str">
        <f t="shared" si="31"/>
        <v>1</v>
      </c>
    </row>
    <row r="1976" spans="1:3" x14ac:dyDescent="0.25">
      <c r="A1976" s="159">
        <v>603985</v>
      </c>
      <c r="B1976" s="159">
        <v>1</v>
      </c>
      <c r="C1976" s="158" t="str">
        <f t="shared" si="31"/>
        <v>1</v>
      </c>
    </row>
    <row r="1977" spans="1:3" x14ac:dyDescent="0.25">
      <c r="A1977" s="159">
        <v>603986</v>
      </c>
      <c r="B1977" s="159">
        <v>1</v>
      </c>
      <c r="C1977" s="158" t="str">
        <f t="shared" si="31"/>
        <v>1</v>
      </c>
    </row>
    <row r="1978" spans="1:3" x14ac:dyDescent="0.25">
      <c r="A1978" s="159">
        <v>603987</v>
      </c>
      <c r="B1978" s="159">
        <v>1</v>
      </c>
      <c r="C1978" s="158" t="str">
        <f t="shared" si="31"/>
        <v>1</v>
      </c>
    </row>
    <row r="1979" spans="1:3" x14ac:dyDescent="0.25">
      <c r="A1979" s="159">
        <v>603988</v>
      </c>
      <c r="B1979" s="159">
        <v>1</v>
      </c>
      <c r="C1979" s="158" t="str">
        <f t="shared" si="31"/>
        <v>1</v>
      </c>
    </row>
    <row r="1980" spans="1:3" x14ac:dyDescent="0.25">
      <c r="A1980" s="159">
        <v>603989</v>
      </c>
      <c r="B1980" s="159">
        <v>1</v>
      </c>
      <c r="C1980" s="158" t="str">
        <f t="shared" si="31"/>
        <v>1</v>
      </c>
    </row>
    <row r="1981" spans="1:3" x14ac:dyDescent="0.25">
      <c r="A1981" s="159">
        <v>603990</v>
      </c>
      <c r="B1981" s="159">
        <v>1</v>
      </c>
      <c r="C1981" s="158" t="str">
        <f t="shared" si="31"/>
        <v>1</v>
      </c>
    </row>
    <row r="1982" spans="1:3" x14ac:dyDescent="0.25">
      <c r="A1982" s="159">
        <v>603991</v>
      </c>
      <c r="B1982" s="159">
        <v>1</v>
      </c>
      <c r="C1982" s="158" t="str">
        <f t="shared" si="31"/>
        <v>1</v>
      </c>
    </row>
    <row r="1983" spans="1:3" x14ac:dyDescent="0.25">
      <c r="A1983" s="159">
        <v>603992</v>
      </c>
      <c r="B1983" s="159">
        <v>1</v>
      </c>
      <c r="C1983" s="158" t="str">
        <f t="shared" si="31"/>
        <v>1</v>
      </c>
    </row>
    <row r="1984" spans="1:3" x14ac:dyDescent="0.25">
      <c r="A1984" s="159">
        <v>603993</v>
      </c>
      <c r="B1984" s="159">
        <v>1</v>
      </c>
      <c r="C1984" s="158" t="str">
        <f t="shared" si="31"/>
        <v>1</v>
      </c>
    </row>
    <row r="1985" spans="1:3" x14ac:dyDescent="0.25">
      <c r="A1985" s="159">
        <v>603996</v>
      </c>
      <c r="B1985" s="159">
        <v>1</v>
      </c>
      <c r="C1985" s="158" t="str">
        <f t="shared" si="31"/>
        <v>1</v>
      </c>
    </row>
    <row r="1986" spans="1:3" x14ac:dyDescent="0.25">
      <c r="A1986" s="159">
        <v>603997</v>
      </c>
      <c r="B1986" s="159">
        <v>1</v>
      </c>
      <c r="C1986" s="158" t="str">
        <f t="shared" si="31"/>
        <v>1</v>
      </c>
    </row>
    <row r="1987" spans="1:3" x14ac:dyDescent="0.25">
      <c r="A1987" s="159">
        <v>603998</v>
      </c>
      <c r="B1987" s="159">
        <v>1</v>
      </c>
      <c r="C1987" s="158" t="str">
        <f t="shared" si="31"/>
        <v>1</v>
      </c>
    </row>
    <row r="1988" spans="1:3" x14ac:dyDescent="0.25">
      <c r="A1988" s="159">
        <v>603999</v>
      </c>
      <c r="B1988" s="159">
        <v>1</v>
      </c>
      <c r="C1988" s="158" t="str">
        <f t="shared" si="31"/>
        <v>1</v>
      </c>
    </row>
    <row r="1989" spans="1:3" x14ac:dyDescent="0.25">
      <c r="A1989" s="159">
        <v>604000</v>
      </c>
      <c r="B1989" s="159">
        <v>1</v>
      </c>
      <c r="C1989" s="158" t="str">
        <f t="shared" si="31"/>
        <v>1</v>
      </c>
    </row>
    <row r="1990" spans="1:3" x14ac:dyDescent="0.25">
      <c r="A1990" s="159">
        <v>604001</v>
      </c>
      <c r="B1990" s="159">
        <v>1</v>
      </c>
      <c r="C1990" s="158" t="str">
        <f t="shared" si="31"/>
        <v>1</v>
      </c>
    </row>
    <row r="1991" spans="1:3" x14ac:dyDescent="0.25">
      <c r="A1991" s="159">
        <v>604002</v>
      </c>
      <c r="B1991" s="159">
        <v>1</v>
      </c>
      <c r="C1991" s="158" t="str">
        <f t="shared" si="31"/>
        <v>1</v>
      </c>
    </row>
    <row r="1992" spans="1:3" x14ac:dyDescent="0.25">
      <c r="A1992" s="159">
        <v>604003</v>
      </c>
      <c r="B1992" s="159">
        <v>1</v>
      </c>
      <c r="C1992" s="158" t="str">
        <f t="shared" si="31"/>
        <v>1</v>
      </c>
    </row>
    <row r="1993" spans="1:3" x14ac:dyDescent="0.25">
      <c r="A1993" s="159">
        <v>604004</v>
      </c>
      <c r="B1993" s="159">
        <v>1</v>
      </c>
      <c r="C1993" s="158" t="str">
        <f t="shared" si="31"/>
        <v>1</v>
      </c>
    </row>
    <row r="1994" spans="1:3" x14ac:dyDescent="0.25">
      <c r="A1994" s="159">
        <v>604005</v>
      </c>
      <c r="B1994" s="159">
        <v>1</v>
      </c>
      <c r="C1994" s="158" t="str">
        <f t="shared" si="31"/>
        <v>1</v>
      </c>
    </row>
    <row r="1995" spans="1:3" x14ac:dyDescent="0.25">
      <c r="A1995" s="159">
        <v>604006</v>
      </c>
      <c r="B1995" s="159">
        <v>1</v>
      </c>
      <c r="C1995" s="158" t="str">
        <f t="shared" si="31"/>
        <v>1</v>
      </c>
    </row>
    <row r="1996" spans="1:3" x14ac:dyDescent="0.25">
      <c r="A1996" s="159">
        <v>604007</v>
      </c>
      <c r="B1996" s="159">
        <v>1</v>
      </c>
      <c r="C1996" s="158" t="str">
        <f t="shared" si="31"/>
        <v>1</v>
      </c>
    </row>
    <row r="1997" spans="1:3" x14ac:dyDescent="0.25">
      <c r="A1997" s="159">
        <v>604008</v>
      </c>
      <c r="B1997" s="159">
        <v>1</v>
      </c>
      <c r="C1997" s="158" t="str">
        <f t="shared" ref="C1997:C2060" si="32">IF(OR(B1997=0,B1997=1,B1997=2,B1997=3,B1997=4,B1997=5),TEXT(B1997,"0"),B1997)</f>
        <v>1</v>
      </c>
    </row>
    <row r="1998" spans="1:3" x14ac:dyDescent="0.25">
      <c r="A1998" s="159">
        <v>604009</v>
      </c>
      <c r="B1998" s="159">
        <v>1</v>
      </c>
      <c r="C1998" s="158" t="str">
        <f t="shared" si="32"/>
        <v>1</v>
      </c>
    </row>
    <row r="1999" spans="1:3" x14ac:dyDescent="0.25">
      <c r="A1999" s="159">
        <v>604014</v>
      </c>
      <c r="B1999" s="159">
        <v>1</v>
      </c>
      <c r="C1999" s="158" t="str">
        <f t="shared" si="32"/>
        <v>1</v>
      </c>
    </row>
    <row r="2000" spans="1:3" x14ac:dyDescent="0.25">
      <c r="A2000" s="159">
        <v>604015</v>
      </c>
      <c r="B2000" s="159">
        <v>1</v>
      </c>
      <c r="C2000" s="158" t="str">
        <f t="shared" si="32"/>
        <v>1</v>
      </c>
    </row>
    <row r="2001" spans="1:3" x14ac:dyDescent="0.25">
      <c r="A2001" s="159">
        <v>604016</v>
      </c>
      <c r="B2001" s="159">
        <v>1</v>
      </c>
      <c r="C2001" s="158" t="str">
        <f t="shared" si="32"/>
        <v>1</v>
      </c>
    </row>
    <row r="2002" spans="1:3" x14ac:dyDescent="0.25">
      <c r="A2002" s="159">
        <v>604017</v>
      </c>
      <c r="B2002" s="159">
        <v>1</v>
      </c>
      <c r="C2002" s="158" t="str">
        <f t="shared" si="32"/>
        <v>1</v>
      </c>
    </row>
    <row r="2003" spans="1:3" x14ac:dyDescent="0.25">
      <c r="A2003" s="159">
        <v>604018</v>
      </c>
      <c r="B2003" s="159">
        <v>1</v>
      </c>
      <c r="C2003" s="158" t="str">
        <f t="shared" si="32"/>
        <v>1</v>
      </c>
    </row>
    <row r="2004" spans="1:3" x14ac:dyDescent="0.25">
      <c r="A2004" s="159">
        <v>604019</v>
      </c>
      <c r="B2004" s="159">
        <v>1</v>
      </c>
      <c r="C2004" s="158" t="str">
        <f t="shared" si="32"/>
        <v>1</v>
      </c>
    </row>
    <row r="2005" spans="1:3" x14ac:dyDescent="0.25">
      <c r="A2005" s="159">
        <v>604020</v>
      </c>
      <c r="B2005" s="159">
        <v>1</v>
      </c>
      <c r="C2005" s="158" t="str">
        <f t="shared" si="32"/>
        <v>1</v>
      </c>
    </row>
    <row r="2006" spans="1:3" x14ac:dyDescent="0.25">
      <c r="A2006" s="159">
        <v>604021</v>
      </c>
      <c r="B2006" s="159">
        <v>1</v>
      </c>
      <c r="C2006" s="158" t="str">
        <f t="shared" si="32"/>
        <v>1</v>
      </c>
    </row>
    <row r="2007" spans="1:3" x14ac:dyDescent="0.25">
      <c r="A2007" s="159">
        <v>604024</v>
      </c>
      <c r="B2007" s="159">
        <v>1</v>
      </c>
      <c r="C2007" s="158" t="str">
        <f t="shared" si="32"/>
        <v>1</v>
      </c>
    </row>
    <row r="2008" spans="1:3" x14ac:dyDescent="0.25">
      <c r="A2008" s="159">
        <v>604025</v>
      </c>
      <c r="B2008" s="159">
        <v>1</v>
      </c>
      <c r="C2008" s="158" t="str">
        <f t="shared" si="32"/>
        <v>1</v>
      </c>
    </row>
    <row r="2009" spans="1:3" x14ac:dyDescent="0.25">
      <c r="A2009" s="159">
        <v>604028</v>
      </c>
      <c r="B2009" s="159">
        <v>1</v>
      </c>
      <c r="C2009" s="158" t="str">
        <f t="shared" si="32"/>
        <v>1</v>
      </c>
    </row>
    <row r="2010" spans="1:3" x14ac:dyDescent="0.25">
      <c r="A2010" s="159">
        <v>604029</v>
      </c>
      <c r="B2010" s="159">
        <v>1</v>
      </c>
      <c r="C2010" s="158" t="str">
        <f t="shared" si="32"/>
        <v>1</v>
      </c>
    </row>
    <row r="2011" spans="1:3" x14ac:dyDescent="0.25">
      <c r="A2011" s="159">
        <v>604030</v>
      </c>
      <c r="B2011" s="159">
        <v>1</v>
      </c>
      <c r="C2011" s="158" t="str">
        <f t="shared" si="32"/>
        <v>1</v>
      </c>
    </row>
    <row r="2012" spans="1:3" x14ac:dyDescent="0.25">
      <c r="A2012" s="159">
        <v>604031</v>
      </c>
      <c r="B2012" s="159">
        <v>1</v>
      </c>
      <c r="C2012" s="158" t="str">
        <f t="shared" si="32"/>
        <v>1</v>
      </c>
    </row>
    <row r="2013" spans="1:3" x14ac:dyDescent="0.25">
      <c r="A2013" s="159">
        <v>604032</v>
      </c>
      <c r="B2013" s="159">
        <v>1</v>
      </c>
      <c r="C2013" s="158" t="str">
        <f t="shared" si="32"/>
        <v>1</v>
      </c>
    </row>
    <row r="2014" spans="1:3" x14ac:dyDescent="0.25">
      <c r="A2014" s="159">
        <v>604033</v>
      </c>
      <c r="B2014" s="159">
        <v>1</v>
      </c>
      <c r="C2014" s="158" t="str">
        <f t="shared" si="32"/>
        <v>1</v>
      </c>
    </row>
    <row r="2015" spans="1:3" x14ac:dyDescent="0.25">
      <c r="A2015" s="159">
        <v>604034</v>
      </c>
      <c r="B2015" s="159">
        <v>1</v>
      </c>
      <c r="C2015" s="158" t="str">
        <f t="shared" si="32"/>
        <v>1</v>
      </c>
    </row>
    <row r="2016" spans="1:3" x14ac:dyDescent="0.25">
      <c r="A2016" s="159">
        <v>604035</v>
      </c>
      <c r="B2016" s="159">
        <v>1</v>
      </c>
      <c r="C2016" s="158" t="str">
        <f t="shared" si="32"/>
        <v>1</v>
      </c>
    </row>
    <row r="2017" spans="1:3" x14ac:dyDescent="0.25">
      <c r="A2017" s="159">
        <v>604036</v>
      </c>
      <c r="B2017" s="159">
        <v>1</v>
      </c>
      <c r="C2017" s="158" t="str">
        <f t="shared" si="32"/>
        <v>1</v>
      </c>
    </row>
    <row r="2018" spans="1:3" x14ac:dyDescent="0.25">
      <c r="A2018" s="159">
        <v>604037</v>
      </c>
      <c r="B2018" s="159">
        <v>1</v>
      </c>
      <c r="C2018" s="158" t="str">
        <f t="shared" si="32"/>
        <v>1</v>
      </c>
    </row>
    <row r="2019" spans="1:3" x14ac:dyDescent="0.25">
      <c r="A2019" s="159">
        <v>604040</v>
      </c>
      <c r="B2019" s="159">
        <v>1</v>
      </c>
      <c r="C2019" s="158" t="str">
        <f t="shared" si="32"/>
        <v>1</v>
      </c>
    </row>
    <row r="2020" spans="1:3" x14ac:dyDescent="0.25">
      <c r="A2020" s="159">
        <v>604041</v>
      </c>
      <c r="B2020" s="159">
        <v>1</v>
      </c>
      <c r="C2020" s="158" t="str">
        <f t="shared" si="32"/>
        <v>1</v>
      </c>
    </row>
    <row r="2021" spans="1:3" x14ac:dyDescent="0.25">
      <c r="A2021" s="159">
        <v>604042</v>
      </c>
      <c r="B2021" s="159">
        <v>1</v>
      </c>
      <c r="C2021" s="158" t="str">
        <f t="shared" si="32"/>
        <v>1</v>
      </c>
    </row>
    <row r="2022" spans="1:3" x14ac:dyDescent="0.25">
      <c r="A2022" s="159">
        <v>604043</v>
      </c>
      <c r="B2022" s="159">
        <v>1</v>
      </c>
      <c r="C2022" s="158" t="str">
        <f t="shared" si="32"/>
        <v>1</v>
      </c>
    </row>
    <row r="2023" spans="1:3" x14ac:dyDescent="0.25">
      <c r="A2023" s="159">
        <v>604044</v>
      </c>
      <c r="B2023" s="159">
        <v>1</v>
      </c>
      <c r="C2023" s="158" t="str">
        <f t="shared" si="32"/>
        <v>1</v>
      </c>
    </row>
    <row r="2024" spans="1:3" x14ac:dyDescent="0.25">
      <c r="A2024" s="159">
        <v>604045</v>
      </c>
      <c r="B2024" s="159">
        <v>1</v>
      </c>
      <c r="C2024" s="158" t="str">
        <f t="shared" si="32"/>
        <v>1</v>
      </c>
    </row>
    <row r="2025" spans="1:3" x14ac:dyDescent="0.25">
      <c r="A2025" s="159">
        <v>604046</v>
      </c>
      <c r="B2025" s="159">
        <v>1</v>
      </c>
      <c r="C2025" s="158" t="str">
        <f t="shared" si="32"/>
        <v>1</v>
      </c>
    </row>
    <row r="2026" spans="1:3" x14ac:dyDescent="0.25">
      <c r="A2026" s="159">
        <v>604047</v>
      </c>
      <c r="B2026" s="159">
        <v>1</v>
      </c>
      <c r="C2026" s="158" t="str">
        <f t="shared" si="32"/>
        <v>1</v>
      </c>
    </row>
    <row r="2027" spans="1:3" x14ac:dyDescent="0.25">
      <c r="A2027" s="159">
        <v>604050</v>
      </c>
      <c r="B2027" s="159">
        <v>1</v>
      </c>
      <c r="C2027" s="158" t="str">
        <f t="shared" si="32"/>
        <v>1</v>
      </c>
    </row>
    <row r="2028" spans="1:3" x14ac:dyDescent="0.25">
      <c r="A2028" s="159">
        <v>604051</v>
      </c>
      <c r="B2028" s="159">
        <v>1</v>
      </c>
      <c r="C2028" s="158" t="str">
        <f t="shared" si="32"/>
        <v>1</v>
      </c>
    </row>
    <row r="2029" spans="1:3" x14ac:dyDescent="0.25">
      <c r="A2029" s="159">
        <v>604052</v>
      </c>
      <c r="B2029" s="159">
        <v>1</v>
      </c>
      <c r="C2029" s="158" t="str">
        <f t="shared" si="32"/>
        <v>1</v>
      </c>
    </row>
    <row r="2030" spans="1:3" x14ac:dyDescent="0.25">
      <c r="A2030" s="159">
        <v>604053</v>
      </c>
      <c r="B2030" s="159">
        <v>1</v>
      </c>
      <c r="C2030" s="158" t="str">
        <f t="shared" si="32"/>
        <v>1</v>
      </c>
    </row>
    <row r="2031" spans="1:3" x14ac:dyDescent="0.25">
      <c r="A2031" s="159">
        <v>604054</v>
      </c>
      <c r="B2031" s="159">
        <v>1</v>
      </c>
      <c r="C2031" s="158" t="str">
        <f t="shared" si="32"/>
        <v>1</v>
      </c>
    </row>
    <row r="2032" spans="1:3" x14ac:dyDescent="0.25">
      <c r="A2032" s="159">
        <v>604055</v>
      </c>
      <c r="B2032" s="159">
        <v>1</v>
      </c>
      <c r="C2032" s="158" t="str">
        <f t="shared" si="32"/>
        <v>1</v>
      </c>
    </row>
    <row r="2033" spans="1:3" x14ac:dyDescent="0.25">
      <c r="A2033" s="159">
        <v>604056</v>
      </c>
      <c r="B2033" s="159">
        <v>1</v>
      </c>
      <c r="C2033" s="158" t="str">
        <f t="shared" si="32"/>
        <v>1</v>
      </c>
    </row>
    <row r="2034" spans="1:3" x14ac:dyDescent="0.25">
      <c r="A2034" s="159">
        <v>604057</v>
      </c>
      <c r="B2034" s="159">
        <v>1</v>
      </c>
      <c r="C2034" s="158" t="str">
        <f t="shared" si="32"/>
        <v>1</v>
      </c>
    </row>
    <row r="2035" spans="1:3" x14ac:dyDescent="0.25">
      <c r="A2035" s="159">
        <v>604058</v>
      </c>
      <c r="B2035" s="159">
        <v>1</v>
      </c>
      <c r="C2035" s="158" t="str">
        <f t="shared" si="32"/>
        <v>1</v>
      </c>
    </row>
    <row r="2036" spans="1:3" x14ac:dyDescent="0.25">
      <c r="A2036" s="159">
        <v>604059</v>
      </c>
      <c r="B2036" s="159">
        <v>1</v>
      </c>
      <c r="C2036" s="158" t="str">
        <f t="shared" si="32"/>
        <v>1</v>
      </c>
    </row>
    <row r="2037" spans="1:3" x14ac:dyDescent="0.25">
      <c r="A2037" s="159">
        <v>604060</v>
      </c>
      <c r="B2037" s="159">
        <v>1</v>
      </c>
      <c r="C2037" s="158" t="str">
        <f t="shared" si="32"/>
        <v>1</v>
      </c>
    </row>
    <row r="2038" spans="1:3" x14ac:dyDescent="0.25">
      <c r="A2038" s="159">
        <v>604061</v>
      </c>
      <c r="B2038" s="159">
        <v>1</v>
      </c>
      <c r="C2038" s="158" t="str">
        <f t="shared" si="32"/>
        <v>1</v>
      </c>
    </row>
    <row r="2039" spans="1:3" x14ac:dyDescent="0.25">
      <c r="A2039" s="159">
        <v>604062</v>
      </c>
      <c r="B2039" s="159">
        <v>1</v>
      </c>
      <c r="C2039" s="158" t="str">
        <f t="shared" si="32"/>
        <v>1</v>
      </c>
    </row>
    <row r="2040" spans="1:3" x14ac:dyDescent="0.25">
      <c r="A2040" s="159">
        <v>604063</v>
      </c>
      <c r="B2040" s="159">
        <v>1</v>
      </c>
      <c r="C2040" s="158" t="str">
        <f t="shared" si="32"/>
        <v>1</v>
      </c>
    </row>
    <row r="2041" spans="1:3" x14ac:dyDescent="0.25">
      <c r="A2041" s="159">
        <v>604064</v>
      </c>
      <c r="B2041" s="159">
        <v>1</v>
      </c>
      <c r="C2041" s="158" t="str">
        <f t="shared" si="32"/>
        <v>1</v>
      </c>
    </row>
    <row r="2042" spans="1:3" x14ac:dyDescent="0.25">
      <c r="A2042" s="159">
        <v>604065</v>
      </c>
      <c r="B2042" s="159">
        <v>1</v>
      </c>
      <c r="C2042" s="158" t="str">
        <f t="shared" si="32"/>
        <v>1</v>
      </c>
    </row>
    <row r="2043" spans="1:3" x14ac:dyDescent="0.25">
      <c r="A2043" s="159">
        <v>604066</v>
      </c>
      <c r="B2043" s="159">
        <v>1</v>
      </c>
      <c r="C2043" s="158" t="str">
        <f t="shared" si="32"/>
        <v>1</v>
      </c>
    </row>
    <row r="2044" spans="1:3" x14ac:dyDescent="0.25">
      <c r="A2044" s="159">
        <v>604067</v>
      </c>
      <c r="B2044" s="159">
        <v>1</v>
      </c>
      <c r="C2044" s="158" t="str">
        <f t="shared" si="32"/>
        <v>1</v>
      </c>
    </row>
    <row r="2045" spans="1:3" x14ac:dyDescent="0.25">
      <c r="A2045" s="159">
        <v>604068</v>
      </c>
      <c r="B2045" s="159">
        <v>1</v>
      </c>
      <c r="C2045" s="158" t="str">
        <f t="shared" si="32"/>
        <v>1</v>
      </c>
    </row>
    <row r="2046" spans="1:3" x14ac:dyDescent="0.25">
      <c r="A2046" s="159">
        <v>604069</v>
      </c>
      <c r="B2046" s="159">
        <v>1</v>
      </c>
      <c r="C2046" s="158" t="str">
        <f t="shared" si="32"/>
        <v>1</v>
      </c>
    </row>
    <row r="2047" spans="1:3" x14ac:dyDescent="0.25">
      <c r="A2047" s="159">
        <v>604070</v>
      </c>
      <c r="B2047" s="159">
        <v>1</v>
      </c>
      <c r="C2047" s="158" t="str">
        <f t="shared" si="32"/>
        <v>1</v>
      </c>
    </row>
    <row r="2048" spans="1:3" x14ac:dyDescent="0.25">
      <c r="A2048" s="159">
        <v>604071</v>
      </c>
      <c r="B2048" s="159">
        <v>1</v>
      </c>
      <c r="C2048" s="158" t="str">
        <f t="shared" si="32"/>
        <v>1</v>
      </c>
    </row>
    <row r="2049" spans="1:3" x14ac:dyDescent="0.25">
      <c r="A2049" s="159">
        <v>604074</v>
      </c>
      <c r="B2049" s="159">
        <v>1</v>
      </c>
      <c r="C2049" s="158" t="str">
        <f t="shared" si="32"/>
        <v>1</v>
      </c>
    </row>
    <row r="2050" spans="1:3" x14ac:dyDescent="0.25">
      <c r="A2050" s="159">
        <v>604075</v>
      </c>
      <c r="B2050" s="159">
        <v>1</v>
      </c>
      <c r="C2050" s="158" t="str">
        <f t="shared" si="32"/>
        <v>1</v>
      </c>
    </row>
    <row r="2051" spans="1:3" x14ac:dyDescent="0.25">
      <c r="A2051" s="159">
        <v>604076</v>
      </c>
      <c r="B2051" s="159">
        <v>1</v>
      </c>
      <c r="C2051" s="158" t="str">
        <f t="shared" si="32"/>
        <v>1</v>
      </c>
    </row>
    <row r="2052" spans="1:3" x14ac:dyDescent="0.25">
      <c r="A2052" s="159">
        <v>604077</v>
      </c>
      <c r="B2052" s="159">
        <v>1</v>
      </c>
      <c r="C2052" s="158" t="str">
        <f t="shared" si="32"/>
        <v>1</v>
      </c>
    </row>
    <row r="2053" spans="1:3" x14ac:dyDescent="0.25">
      <c r="A2053" s="159">
        <v>604078</v>
      </c>
      <c r="B2053" s="159">
        <v>1</v>
      </c>
      <c r="C2053" s="158" t="str">
        <f t="shared" si="32"/>
        <v>1</v>
      </c>
    </row>
    <row r="2054" spans="1:3" x14ac:dyDescent="0.25">
      <c r="A2054" s="159">
        <v>604079</v>
      </c>
      <c r="B2054" s="159">
        <v>1</v>
      </c>
      <c r="C2054" s="158" t="str">
        <f t="shared" si="32"/>
        <v>1</v>
      </c>
    </row>
    <row r="2055" spans="1:3" x14ac:dyDescent="0.25">
      <c r="A2055" s="159">
        <v>604080</v>
      </c>
      <c r="B2055" s="159">
        <v>1</v>
      </c>
      <c r="C2055" s="158" t="str">
        <f t="shared" si="32"/>
        <v>1</v>
      </c>
    </row>
    <row r="2056" spans="1:3" x14ac:dyDescent="0.25">
      <c r="A2056" s="159">
        <v>604081</v>
      </c>
      <c r="B2056" s="159">
        <v>1</v>
      </c>
      <c r="C2056" s="158" t="str">
        <f t="shared" si="32"/>
        <v>1</v>
      </c>
    </row>
    <row r="2057" spans="1:3" x14ac:dyDescent="0.25">
      <c r="A2057" s="159">
        <v>604088</v>
      </c>
      <c r="B2057" s="159">
        <v>1</v>
      </c>
      <c r="C2057" s="158" t="str">
        <f t="shared" si="32"/>
        <v>1</v>
      </c>
    </row>
    <row r="2058" spans="1:3" x14ac:dyDescent="0.25">
      <c r="A2058" s="159">
        <v>604089</v>
      </c>
      <c r="B2058" s="159">
        <v>1</v>
      </c>
      <c r="C2058" s="158" t="str">
        <f t="shared" si="32"/>
        <v>1</v>
      </c>
    </row>
    <row r="2059" spans="1:3" x14ac:dyDescent="0.25">
      <c r="A2059" s="159">
        <v>604090</v>
      </c>
      <c r="B2059" s="159">
        <v>1</v>
      </c>
      <c r="C2059" s="158" t="str">
        <f t="shared" si="32"/>
        <v>1</v>
      </c>
    </row>
    <row r="2060" spans="1:3" x14ac:dyDescent="0.25">
      <c r="A2060" s="159">
        <v>604091</v>
      </c>
      <c r="B2060" s="159">
        <v>1</v>
      </c>
      <c r="C2060" s="158" t="str">
        <f t="shared" si="32"/>
        <v>1</v>
      </c>
    </row>
    <row r="2061" spans="1:3" x14ac:dyDescent="0.25">
      <c r="A2061" s="159">
        <v>604092</v>
      </c>
      <c r="B2061" s="159">
        <v>1</v>
      </c>
      <c r="C2061" s="158" t="str">
        <f t="shared" ref="C2061:C2124" si="33">IF(OR(B2061=0,B2061=1,B2061=2,B2061=3,B2061=4,B2061=5),TEXT(B2061,"0"),B2061)</f>
        <v>1</v>
      </c>
    </row>
    <row r="2062" spans="1:3" x14ac:dyDescent="0.25">
      <c r="A2062" s="159">
        <v>604093</v>
      </c>
      <c r="B2062" s="159">
        <v>1</v>
      </c>
      <c r="C2062" s="158" t="str">
        <f t="shared" si="33"/>
        <v>1</v>
      </c>
    </row>
    <row r="2063" spans="1:3" x14ac:dyDescent="0.25">
      <c r="A2063" s="159">
        <v>604094</v>
      </c>
      <c r="B2063" s="159">
        <v>1</v>
      </c>
      <c r="C2063" s="158" t="str">
        <f t="shared" si="33"/>
        <v>1</v>
      </c>
    </row>
    <row r="2064" spans="1:3" x14ac:dyDescent="0.25">
      <c r="A2064" s="159">
        <v>604095</v>
      </c>
      <c r="B2064" s="159">
        <v>1</v>
      </c>
      <c r="C2064" s="158" t="str">
        <f t="shared" si="33"/>
        <v>1</v>
      </c>
    </row>
    <row r="2065" spans="1:3" x14ac:dyDescent="0.25">
      <c r="A2065" s="159">
        <v>604098</v>
      </c>
      <c r="B2065" s="159">
        <v>1</v>
      </c>
      <c r="C2065" s="158" t="str">
        <f t="shared" si="33"/>
        <v>1</v>
      </c>
    </row>
    <row r="2066" spans="1:3" x14ac:dyDescent="0.25">
      <c r="A2066" s="159">
        <v>604099</v>
      </c>
      <c r="B2066" s="159">
        <v>1</v>
      </c>
      <c r="C2066" s="158" t="str">
        <f t="shared" si="33"/>
        <v>1</v>
      </c>
    </row>
    <row r="2067" spans="1:3" x14ac:dyDescent="0.25">
      <c r="A2067" s="159">
        <v>604100</v>
      </c>
      <c r="B2067" s="159">
        <v>1</v>
      </c>
      <c r="C2067" s="158" t="str">
        <f t="shared" si="33"/>
        <v>1</v>
      </c>
    </row>
    <row r="2068" spans="1:3" x14ac:dyDescent="0.25">
      <c r="A2068" s="159">
        <v>604101</v>
      </c>
      <c r="B2068" s="159">
        <v>1</v>
      </c>
      <c r="C2068" s="158" t="str">
        <f t="shared" si="33"/>
        <v>1</v>
      </c>
    </row>
    <row r="2069" spans="1:3" x14ac:dyDescent="0.25">
      <c r="A2069" s="159">
        <v>604102</v>
      </c>
      <c r="B2069" s="159">
        <v>1</v>
      </c>
      <c r="C2069" s="158" t="str">
        <f t="shared" si="33"/>
        <v>1</v>
      </c>
    </row>
    <row r="2070" spans="1:3" x14ac:dyDescent="0.25">
      <c r="A2070" s="159">
        <v>604103</v>
      </c>
      <c r="B2070" s="159">
        <v>1</v>
      </c>
      <c r="C2070" s="158" t="str">
        <f t="shared" si="33"/>
        <v>1</v>
      </c>
    </row>
    <row r="2071" spans="1:3" x14ac:dyDescent="0.25">
      <c r="A2071" s="159">
        <v>604108</v>
      </c>
      <c r="B2071" s="159">
        <v>1</v>
      </c>
      <c r="C2071" s="158" t="str">
        <f t="shared" si="33"/>
        <v>1</v>
      </c>
    </row>
    <row r="2072" spans="1:3" x14ac:dyDescent="0.25">
      <c r="A2072" s="159">
        <v>604109</v>
      </c>
      <c r="B2072" s="159">
        <v>1</v>
      </c>
      <c r="C2072" s="158" t="str">
        <f t="shared" si="33"/>
        <v>1</v>
      </c>
    </row>
    <row r="2073" spans="1:3" x14ac:dyDescent="0.25">
      <c r="A2073" s="159">
        <v>604110</v>
      </c>
      <c r="B2073" s="159">
        <v>1</v>
      </c>
      <c r="C2073" s="158" t="str">
        <f t="shared" si="33"/>
        <v>1</v>
      </c>
    </row>
    <row r="2074" spans="1:3" x14ac:dyDescent="0.25">
      <c r="A2074" s="159">
        <v>604111</v>
      </c>
      <c r="B2074" s="159">
        <v>1</v>
      </c>
      <c r="C2074" s="158" t="str">
        <f t="shared" si="33"/>
        <v>1</v>
      </c>
    </row>
    <row r="2075" spans="1:3" x14ac:dyDescent="0.25">
      <c r="A2075" s="159">
        <v>604112</v>
      </c>
      <c r="B2075" s="159">
        <v>1</v>
      </c>
      <c r="C2075" s="158" t="str">
        <f t="shared" si="33"/>
        <v>1</v>
      </c>
    </row>
    <row r="2076" spans="1:3" x14ac:dyDescent="0.25">
      <c r="A2076" s="159">
        <v>604113</v>
      </c>
      <c r="B2076" s="159">
        <v>1</v>
      </c>
      <c r="C2076" s="158" t="str">
        <f t="shared" si="33"/>
        <v>1</v>
      </c>
    </row>
    <row r="2077" spans="1:3" x14ac:dyDescent="0.25">
      <c r="A2077" s="159">
        <v>604114</v>
      </c>
      <c r="B2077" s="159">
        <v>1</v>
      </c>
      <c r="C2077" s="158" t="str">
        <f t="shared" si="33"/>
        <v>1</v>
      </c>
    </row>
    <row r="2078" spans="1:3" x14ac:dyDescent="0.25">
      <c r="A2078" s="159">
        <v>604115</v>
      </c>
      <c r="B2078" s="159">
        <v>1</v>
      </c>
      <c r="C2078" s="158" t="str">
        <f t="shared" si="33"/>
        <v>1</v>
      </c>
    </row>
    <row r="2079" spans="1:3" x14ac:dyDescent="0.25">
      <c r="A2079" s="159">
        <v>604116</v>
      </c>
      <c r="B2079" s="159">
        <v>1</v>
      </c>
      <c r="C2079" s="158" t="str">
        <f t="shared" si="33"/>
        <v>1</v>
      </c>
    </row>
    <row r="2080" spans="1:3" x14ac:dyDescent="0.25">
      <c r="A2080" s="159">
        <v>604117</v>
      </c>
      <c r="B2080" s="159">
        <v>1</v>
      </c>
      <c r="C2080" s="158" t="str">
        <f t="shared" si="33"/>
        <v>1</v>
      </c>
    </row>
    <row r="2081" spans="1:3" x14ac:dyDescent="0.25">
      <c r="A2081" s="159">
        <v>604118</v>
      </c>
      <c r="B2081" s="159">
        <v>1</v>
      </c>
      <c r="C2081" s="158" t="str">
        <f t="shared" si="33"/>
        <v>1</v>
      </c>
    </row>
    <row r="2082" spans="1:3" x14ac:dyDescent="0.25">
      <c r="A2082" s="159">
        <v>604119</v>
      </c>
      <c r="B2082" s="159">
        <v>1</v>
      </c>
      <c r="C2082" s="158" t="str">
        <f t="shared" si="33"/>
        <v>1</v>
      </c>
    </row>
    <row r="2083" spans="1:3" x14ac:dyDescent="0.25">
      <c r="A2083" s="159">
        <v>604120</v>
      </c>
      <c r="B2083" s="159">
        <v>1</v>
      </c>
      <c r="C2083" s="158" t="str">
        <f t="shared" si="33"/>
        <v>1</v>
      </c>
    </row>
    <row r="2084" spans="1:3" x14ac:dyDescent="0.25">
      <c r="A2084" s="159">
        <v>604121</v>
      </c>
      <c r="B2084" s="159">
        <v>1</v>
      </c>
      <c r="C2084" s="158" t="str">
        <f t="shared" si="33"/>
        <v>1</v>
      </c>
    </row>
    <row r="2085" spans="1:3" x14ac:dyDescent="0.25">
      <c r="A2085" s="159">
        <v>604122</v>
      </c>
      <c r="B2085" s="159">
        <v>1</v>
      </c>
      <c r="C2085" s="158" t="str">
        <f t="shared" si="33"/>
        <v>1</v>
      </c>
    </row>
    <row r="2086" spans="1:3" x14ac:dyDescent="0.25">
      <c r="A2086" s="159">
        <v>604123</v>
      </c>
      <c r="B2086" s="159">
        <v>1</v>
      </c>
      <c r="C2086" s="158" t="str">
        <f t="shared" si="33"/>
        <v>1</v>
      </c>
    </row>
    <row r="2087" spans="1:3" x14ac:dyDescent="0.25">
      <c r="A2087" s="159">
        <v>604124</v>
      </c>
      <c r="B2087" s="159">
        <v>1</v>
      </c>
      <c r="C2087" s="158" t="str">
        <f t="shared" si="33"/>
        <v>1</v>
      </c>
    </row>
    <row r="2088" spans="1:3" x14ac:dyDescent="0.25">
      <c r="A2088" s="159">
        <v>604125</v>
      </c>
      <c r="B2088" s="159">
        <v>1</v>
      </c>
      <c r="C2088" s="158" t="str">
        <f t="shared" si="33"/>
        <v>1</v>
      </c>
    </row>
    <row r="2089" spans="1:3" x14ac:dyDescent="0.25">
      <c r="A2089" s="159">
        <v>604126</v>
      </c>
      <c r="B2089" s="159">
        <v>1</v>
      </c>
      <c r="C2089" s="158" t="str">
        <f t="shared" si="33"/>
        <v>1</v>
      </c>
    </row>
    <row r="2090" spans="1:3" x14ac:dyDescent="0.25">
      <c r="A2090" s="159">
        <v>604127</v>
      </c>
      <c r="B2090" s="159">
        <v>1</v>
      </c>
      <c r="C2090" s="158" t="str">
        <f t="shared" si="33"/>
        <v>1</v>
      </c>
    </row>
    <row r="2091" spans="1:3" x14ac:dyDescent="0.25">
      <c r="A2091" s="159">
        <v>604128</v>
      </c>
      <c r="B2091" s="159">
        <v>1</v>
      </c>
      <c r="C2091" s="158" t="str">
        <f t="shared" si="33"/>
        <v>1</v>
      </c>
    </row>
    <row r="2092" spans="1:3" x14ac:dyDescent="0.25">
      <c r="A2092" s="159">
        <v>604129</v>
      </c>
      <c r="B2092" s="159">
        <v>1</v>
      </c>
      <c r="C2092" s="158" t="str">
        <f t="shared" si="33"/>
        <v>1</v>
      </c>
    </row>
    <row r="2093" spans="1:3" x14ac:dyDescent="0.25">
      <c r="A2093" s="159">
        <v>604130</v>
      </c>
      <c r="B2093" s="159">
        <v>1</v>
      </c>
      <c r="C2093" s="158" t="str">
        <f t="shared" si="33"/>
        <v>1</v>
      </c>
    </row>
    <row r="2094" spans="1:3" x14ac:dyDescent="0.25">
      <c r="A2094" s="159">
        <v>604131</v>
      </c>
      <c r="B2094" s="159">
        <v>1</v>
      </c>
      <c r="C2094" s="158" t="str">
        <f t="shared" si="33"/>
        <v>1</v>
      </c>
    </row>
    <row r="2095" spans="1:3" x14ac:dyDescent="0.25">
      <c r="A2095" s="159">
        <v>604134</v>
      </c>
      <c r="B2095" s="159">
        <v>1</v>
      </c>
      <c r="C2095" s="158" t="str">
        <f t="shared" si="33"/>
        <v>1</v>
      </c>
    </row>
    <row r="2096" spans="1:3" x14ac:dyDescent="0.25">
      <c r="A2096" s="159">
        <v>604135</v>
      </c>
      <c r="B2096" s="159">
        <v>1</v>
      </c>
      <c r="C2096" s="158" t="str">
        <f t="shared" si="33"/>
        <v>1</v>
      </c>
    </row>
    <row r="2097" spans="1:3" x14ac:dyDescent="0.25">
      <c r="A2097" s="159">
        <v>604136</v>
      </c>
      <c r="B2097" s="159">
        <v>1</v>
      </c>
      <c r="C2097" s="158" t="str">
        <f t="shared" si="33"/>
        <v>1</v>
      </c>
    </row>
    <row r="2098" spans="1:3" x14ac:dyDescent="0.25">
      <c r="A2098" s="159">
        <v>604137</v>
      </c>
      <c r="B2098" s="159">
        <v>1</v>
      </c>
      <c r="C2098" s="158" t="str">
        <f t="shared" si="33"/>
        <v>1</v>
      </c>
    </row>
    <row r="2099" spans="1:3" x14ac:dyDescent="0.25">
      <c r="A2099" s="159">
        <v>604138</v>
      </c>
      <c r="B2099" s="159">
        <v>1</v>
      </c>
      <c r="C2099" s="158" t="str">
        <f t="shared" si="33"/>
        <v>1</v>
      </c>
    </row>
    <row r="2100" spans="1:3" x14ac:dyDescent="0.25">
      <c r="A2100" s="159">
        <v>604139</v>
      </c>
      <c r="B2100" s="159">
        <v>1</v>
      </c>
      <c r="C2100" s="158" t="str">
        <f t="shared" si="33"/>
        <v>1</v>
      </c>
    </row>
    <row r="2101" spans="1:3" x14ac:dyDescent="0.25">
      <c r="A2101" s="159">
        <v>604144</v>
      </c>
      <c r="B2101" s="159">
        <v>1</v>
      </c>
      <c r="C2101" s="158" t="str">
        <f t="shared" si="33"/>
        <v>1</v>
      </c>
    </row>
    <row r="2102" spans="1:3" x14ac:dyDescent="0.25">
      <c r="A2102" s="159">
        <v>604145</v>
      </c>
      <c r="B2102" s="159">
        <v>1</v>
      </c>
      <c r="C2102" s="158" t="str">
        <f t="shared" si="33"/>
        <v>1</v>
      </c>
    </row>
    <row r="2103" spans="1:3" x14ac:dyDescent="0.25">
      <c r="A2103" s="159">
        <v>604146</v>
      </c>
      <c r="B2103" s="159">
        <v>1</v>
      </c>
      <c r="C2103" s="158" t="str">
        <f t="shared" si="33"/>
        <v>1</v>
      </c>
    </row>
    <row r="2104" spans="1:3" x14ac:dyDescent="0.25">
      <c r="A2104" s="159">
        <v>604147</v>
      </c>
      <c r="B2104" s="159">
        <v>1</v>
      </c>
      <c r="C2104" s="158" t="str">
        <f t="shared" si="33"/>
        <v>1</v>
      </c>
    </row>
    <row r="2105" spans="1:3" x14ac:dyDescent="0.25">
      <c r="A2105" s="159">
        <v>604148</v>
      </c>
      <c r="B2105" s="159">
        <v>1</v>
      </c>
      <c r="C2105" s="158" t="str">
        <f t="shared" si="33"/>
        <v>1</v>
      </c>
    </row>
    <row r="2106" spans="1:3" x14ac:dyDescent="0.25">
      <c r="A2106" s="159">
        <v>604149</v>
      </c>
      <c r="B2106" s="159">
        <v>1</v>
      </c>
      <c r="C2106" s="158" t="str">
        <f t="shared" si="33"/>
        <v>1</v>
      </c>
    </row>
    <row r="2107" spans="1:3" x14ac:dyDescent="0.25">
      <c r="A2107" s="159">
        <v>604158</v>
      </c>
      <c r="B2107" s="159">
        <v>1</v>
      </c>
      <c r="C2107" s="158" t="str">
        <f t="shared" si="33"/>
        <v>1</v>
      </c>
    </row>
    <row r="2108" spans="1:3" x14ac:dyDescent="0.25">
      <c r="A2108" s="159">
        <v>604159</v>
      </c>
      <c r="B2108" s="159">
        <v>1</v>
      </c>
      <c r="C2108" s="158" t="str">
        <f t="shared" si="33"/>
        <v>1</v>
      </c>
    </row>
    <row r="2109" spans="1:3" x14ac:dyDescent="0.25">
      <c r="A2109" s="159">
        <v>604160</v>
      </c>
      <c r="B2109" s="159">
        <v>1</v>
      </c>
      <c r="C2109" s="158" t="str">
        <f t="shared" si="33"/>
        <v>1</v>
      </c>
    </row>
    <row r="2110" spans="1:3" x14ac:dyDescent="0.25">
      <c r="A2110" s="159">
        <v>604161</v>
      </c>
      <c r="B2110" s="159">
        <v>1</v>
      </c>
      <c r="C2110" s="158" t="str">
        <f t="shared" si="33"/>
        <v>1</v>
      </c>
    </row>
    <row r="2111" spans="1:3" x14ac:dyDescent="0.25">
      <c r="A2111" s="159">
        <v>604162</v>
      </c>
      <c r="B2111" s="159">
        <v>1</v>
      </c>
      <c r="C2111" s="158" t="str">
        <f t="shared" si="33"/>
        <v>1</v>
      </c>
    </row>
    <row r="2112" spans="1:3" x14ac:dyDescent="0.25">
      <c r="A2112" s="159">
        <v>604163</v>
      </c>
      <c r="B2112" s="159">
        <v>1</v>
      </c>
      <c r="C2112" s="158" t="str">
        <f t="shared" si="33"/>
        <v>1</v>
      </c>
    </row>
    <row r="2113" spans="1:3" x14ac:dyDescent="0.25">
      <c r="A2113" s="159">
        <v>604176</v>
      </c>
      <c r="B2113" s="159">
        <v>1</v>
      </c>
      <c r="C2113" s="158" t="str">
        <f t="shared" si="33"/>
        <v>1</v>
      </c>
    </row>
    <row r="2114" spans="1:3" x14ac:dyDescent="0.25">
      <c r="A2114" s="159">
        <v>604177</v>
      </c>
      <c r="B2114" s="159">
        <v>1</v>
      </c>
      <c r="C2114" s="158" t="str">
        <f t="shared" si="33"/>
        <v>1</v>
      </c>
    </row>
    <row r="2115" spans="1:3" x14ac:dyDescent="0.25">
      <c r="A2115" s="159">
        <v>604178</v>
      </c>
      <c r="B2115" s="159">
        <v>1</v>
      </c>
      <c r="C2115" s="158" t="str">
        <f t="shared" si="33"/>
        <v>1</v>
      </c>
    </row>
    <row r="2116" spans="1:3" x14ac:dyDescent="0.25">
      <c r="A2116" s="159">
        <v>604179</v>
      </c>
      <c r="B2116" s="159">
        <v>1</v>
      </c>
      <c r="C2116" s="158" t="str">
        <f t="shared" si="33"/>
        <v>1</v>
      </c>
    </row>
    <row r="2117" spans="1:3" x14ac:dyDescent="0.25">
      <c r="A2117" s="159">
        <v>604180</v>
      </c>
      <c r="B2117" s="159">
        <v>1</v>
      </c>
      <c r="C2117" s="158" t="str">
        <f t="shared" si="33"/>
        <v>1</v>
      </c>
    </row>
    <row r="2118" spans="1:3" x14ac:dyDescent="0.25">
      <c r="A2118" s="159">
        <v>604181</v>
      </c>
      <c r="B2118" s="159">
        <v>1</v>
      </c>
      <c r="C2118" s="158" t="str">
        <f t="shared" si="33"/>
        <v>1</v>
      </c>
    </row>
    <row r="2119" spans="1:3" x14ac:dyDescent="0.25">
      <c r="A2119" s="159">
        <v>604182</v>
      </c>
      <c r="B2119" s="159">
        <v>1</v>
      </c>
      <c r="C2119" s="158" t="str">
        <f t="shared" si="33"/>
        <v>1</v>
      </c>
    </row>
    <row r="2120" spans="1:3" x14ac:dyDescent="0.25">
      <c r="A2120" s="159">
        <v>604183</v>
      </c>
      <c r="B2120" s="159">
        <v>1</v>
      </c>
      <c r="C2120" s="158" t="str">
        <f t="shared" si="33"/>
        <v>1</v>
      </c>
    </row>
    <row r="2121" spans="1:3" x14ac:dyDescent="0.25">
      <c r="A2121" s="159">
        <v>604184</v>
      </c>
      <c r="B2121" s="159">
        <v>1</v>
      </c>
      <c r="C2121" s="158" t="str">
        <f t="shared" si="33"/>
        <v>1</v>
      </c>
    </row>
    <row r="2122" spans="1:3" x14ac:dyDescent="0.25">
      <c r="A2122" s="159">
        <v>604185</v>
      </c>
      <c r="B2122" s="159">
        <v>1</v>
      </c>
      <c r="C2122" s="158" t="str">
        <f t="shared" si="33"/>
        <v>1</v>
      </c>
    </row>
    <row r="2123" spans="1:3" x14ac:dyDescent="0.25">
      <c r="A2123" s="159">
        <v>604192</v>
      </c>
      <c r="B2123" s="159">
        <v>1</v>
      </c>
      <c r="C2123" s="158" t="str">
        <f t="shared" si="33"/>
        <v>1</v>
      </c>
    </row>
    <row r="2124" spans="1:3" x14ac:dyDescent="0.25">
      <c r="A2124" s="159">
        <v>604193</v>
      </c>
      <c r="B2124" s="159">
        <v>1</v>
      </c>
      <c r="C2124" s="158" t="str">
        <f t="shared" si="33"/>
        <v>1</v>
      </c>
    </row>
    <row r="2125" spans="1:3" x14ac:dyDescent="0.25">
      <c r="A2125" s="159">
        <v>604194</v>
      </c>
      <c r="B2125" s="159">
        <v>1</v>
      </c>
      <c r="C2125" s="158" t="str">
        <f t="shared" ref="C2125:C2188" si="34">IF(OR(B2125=0,B2125=1,B2125=2,B2125=3,B2125=4,B2125=5),TEXT(B2125,"0"),B2125)</f>
        <v>1</v>
      </c>
    </row>
    <row r="2126" spans="1:3" x14ac:dyDescent="0.25">
      <c r="A2126" s="159">
        <v>604195</v>
      </c>
      <c r="B2126" s="159">
        <v>1</v>
      </c>
      <c r="C2126" s="158" t="str">
        <f t="shared" si="34"/>
        <v>1</v>
      </c>
    </row>
    <row r="2127" spans="1:3" x14ac:dyDescent="0.25">
      <c r="A2127" s="159">
        <v>604208</v>
      </c>
      <c r="B2127" s="159">
        <v>1</v>
      </c>
      <c r="C2127" s="158" t="str">
        <f t="shared" si="34"/>
        <v>1</v>
      </c>
    </row>
    <row r="2128" spans="1:3" x14ac:dyDescent="0.25">
      <c r="A2128" s="159">
        <v>604209</v>
      </c>
      <c r="B2128" s="159">
        <v>1</v>
      </c>
      <c r="C2128" s="158" t="str">
        <f t="shared" si="34"/>
        <v>1</v>
      </c>
    </row>
    <row r="2129" spans="1:3" x14ac:dyDescent="0.25">
      <c r="A2129" s="159">
        <v>604210</v>
      </c>
      <c r="B2129" s="159">
        <v>1</v>
      </c>
      <c r="C2129" s="158" t="str">
        <f t="shared" si="34"/>
        <v>1</v>
      </c>
    </row>
    <row r="2130" spans="1:3" x14ac:dyDescent="0.25">
      <c r="A2130" s="159">
        <v>604211</v>
      </c>
      <c r="B2130" s="159">
        <v>1</v>
      </c>
      <c r="C2130" s="158" t="str">
        <f t="shared" si="34"/>
        <v>1</v>
      </c>
    </row>
    <row r="2131" spans="1:3" x14ac:dyDescent="0.25">
      <c r="A2131" s="159">
        <v>604212</v>
      </c>
      <c r="B2131" s="159">
        <v>1</v>
      </c>
      <c r="C2131" s="158" t="str">
        <f t="shared" si="34"/>
        <v>1</v>
      </c>
    </row>
    <row r="2132" spans="1:3" x14ac:dyDescent="0.25">
      <c r="A2132" s="159">
        <v>604213</v>
      </c>
      <c r="B2132" s="159">
        <v>1</v>
      </c>
      <c r="C2132" s="158" t="str">
        <f t="shared" si="34"/>
        <v>1</v>
      </c>
    </row>
    <row r="2133" spans="1:3" x14ac:dyDescent="0.25">
      <c r="A2133" s="159">
        <v>604214</v>
      </c>
      <c r="B2133" s="159">
        <v>1</v>
      </c>
      <c r="C2133" s="158" t="str">
        <f t="shared" si="34"/>
        <v>1</v>
      </c>
    </row>
    <row r="2134" spans="1:3" x14ac:dyDescent="0.25">
      <c r="A2134" s="159">
        <v>604215</v>
      </c>
      <c r="B2134" s="159">
        <v>1</v>
      </c>
      <c r="C2134" s="158" t="str">
        <f t="shared" si="34"/>
        <v>1</v>
      </c>
    </row>
    <row r="2135" spans="1:3" x14ac:dyDescent="0.25">
      <c r="A2135" s="159">
        <v>604216</v>
      </c>
      <c r="B2135" s="159">
        <v>1</v>
      </c>
      <c r="C2135" s="158" t="str">
        <f t="shared" si="34"/>
        <v>1</v>
      </c>
    </row>
    <row r="2136" spans="1:3" x14ac:dyDescent="0.25">
      <c r="A2136" s="159">
        <v>604217</v>
      </c>
      <c r="B2136" s="159">
        <v>1</v>
      </c>
      <c r="C2136" s="158" t="str">
        <f t="shared" si="34"/>
        <v>1</v>
      </c>
    </row>
    <row r="2137" spans="1:3" x14ac:dyDescent="0.25">
      <c r="A2137" s="159">
        <v>604218</v>
      </c>
      <c r="B2137" s="159">
        <v>1</v>
      </c>
      <c r="C2137" s="158" t="str">
        <f t="shared" si="34"/>
        <v>1</v>
      </c>
    </row>
    <row r="2138" spans="1:3" x14ac:dyDescent="0.25">
      <c r="A2138" s="159">
        <v>604219</v>
      </c>
      <c r="B2138" s="159">
        <v>1</v>
      </c>
      <c r="C2138" s="158" t="str">
        <f t="shared" si="34"/>
        <v>1</v>
      </c>
    </row>
    <row r="2139" spans="1:3" x14ac:dyDescent="0.25">
      <c r="A2139" s="159">
        <v>604220</v>
      </c>
      <c r="B2139" s="159">
        <v>1</v>
      </c>
      <c r="C2139" s="158" t="str">
        <f t="shared" si="34"/>
        <v>1</v>
      </c>
    </row>
    <row r="2140" spans="1:3" x14ac:dyDescent="0.25">
      <c r="A2140" s="159">
        <v>604221</v>
      </c>
      <c r="B2140" s="159">
        <v>1</v>
      </c>
      <c r="C2140" s="158" t="str">
        <f t="shared" si="34"/>
        <v>1</v>
      </c>
    </row>
    <row r="2141" spans="1:3" x14ac:dyDescent="0.25">
      <c r="A2141" s="159">
        <v>604222</v>
      </c>
      <c r="B2141" s="159">
        <v>1</v>
      </c>
      <c r="C2141" s="158" t="str">
        <f t="shared" si="34"/>
        <v>1</v>
      </c>
    </row>
    <row r="2142" spans="1:3" x14ac:dyDescent="0.25">
      <c r="A2142" s="159">
        <v>604223</v>
      </c>
      <c r="B2142" s="159">
        <v>1</v>
      </c>
      <c r="C2142" s="158" t="str">
        <f t="shared" si="34"/>
        <v>1</v>
      </c>
    </row>
    <row r="2143" spans="1:3" x14ac:dyDescent="0.25">
      <c r="A2143" s="159">
        <v>604224</v>
      </c>
      <c r="B2143" s="159">
        <v>1</v>
      </c>
      <c r="C2143" s="158" t="str">
        <f t="shared" si="34"/>
        <v>1</v>
      </c>
    </row>
    <row r="2144" spans="1:3" x14ac:dyDescent="0.25">
      <c r="A2144" s="159">
        <v>604225</v>
      </c>
      <c r="B2144" s="159">
        <v>1</v>
      </c>
      <c r="C2144" s="158" t="str">
        <f t="shared" si="34"/>
        <v>1</v>
      </c>
    </row>
    <row r="2145" spans="1:3" x14ac:dyDescent="0.25">
      <c r="A2145" s="159">
        <v>604232</v>
      </c>
      <c r="B2145" s="159">
        <v>1</v>
      </c>
      <c r="C2145" s="158" t="str">
        <f t="shared" si="34"/>
        <v>1</v>
      </c>
    </row>
    <row r="2146" spans="1:3" x14ac:dyDescent="0.25">
      <c r="A2146" s="159">
        <v>604233</v>
      </c>
      <c r="B2146" s="159">
        <v>1</v>
      </c>
      <c r="C2146" s="158" t="str">
        <f t="shared" si="34"/>
        <v>1</v>
      </c>
    </row>
    <row r="2147" spans="1:3" x14ac:dyDescent="0.25">
      <c r="A2147" s="159">
        <v>604234</v>
      </c>
      <c r="B2147" s="159">
        <v>1</v>
      </c>
      <c r="C2147" s="158" t="str">
        <f t="shared" si="34"/>
        <v>1</v>
      </c>
    </row>
    <row r="2148" spans="1:3" x14ac:dyDescent="0.25">
      <c r="A2148" s="159">
        <v>604235</v>
      </c>
      <c r="B2148" s="159">
        <v>1</v>
      </c>
      <c r="C2148" s="158" t="str">
        <f t="shared" si="34"/>
        <v>1</v>
      </c>
    </row>
    <row r="2149" spans="1:3" x14ac:dyDescent="0.25">
      <c r="A2149" s="159">
        <v>604236</v>
      </c>
      <c r="B2149" s="159">
        <v>1</v>
      </c>
      <c r="C2149" s="158" t="str">
        <f t="shared" si="34"/>
        <v>1</v>
      </c>
    </row>
    <row r="2150" spans="1:3" x14ac:dyDescent="0.25">
      <c r="A2150" s="159">
        <v>604237</v>
      </c>
      <c r="B2150" s="159">
        <v>1</v>
      </c>
      <c r="C2150" s="158" t="str">
        <f t="shared" si="34"/>
        <v>1</v>
      </c>
    </row>
    <row r="2151" spans="1:3" x14ac:dyDescent="0.25">
      <c r="A2151" s="159">
        <v>604238</v>
      </c>
      <c r="B2151" s="159">
        <v>1</v>
      </c>
      <c r="C2151" s="158" t="str">
        <f t="shared" si="34"/>
        <v>1</v>
      </c>
    </row>
    <row r="2152" spans="1:3" x14ac:dyDescent="0.25">
      <c r="A2152" s="159">
        <v>604239</v>
      </c>
      <c r="B2152" s="159">
        <v>1</v>
      </c>
      <c r="C2152" s="158" t="str">
        <f t="shared" si="34"/>
        <v>1</v>
      </c>
    </row>
    <row r="2153" spans="1:3" x14ac:dyDescent="0.25">
      <c r="A2153" s="159">
        <v>604240</v>
      </c>
      <c r="B2153" s="159">
        <v>1</v>
      </c>
      <c r="C2153" s="158" t="str">
        <f t="shared" si="34"/>
        <v>1</v>
      </c>
    </row>
    <row r="2154" spans="1:3" x14ac:dyDescent="0.25">
      <c r="A2154" s="159">
        <v>604241</v>
      </c>
      <c r="B2154" s="159">
        <v>1</v>
      </c>
      <c r="C2154" s="158" t="str">
        <f t="shared" si="34"/>
        <v>1</v>
      </c>
    </row>
    <row r="2155" spans="1:3" x14ac:dyDescent="0.25">
      <c r="A2155" s="159">
        <v>604242</v>
      </c>
      <c r="B2155" s="159">
        <v>1</v>
      </c>
      <c r="C2155" s="158" t="str">
        <f t="shared" si="34"/>
        <v>1</v>
      </c>
    </row>
    <row r="2156" spans="1:3" x14ac:dyDescent="0.25">
      <c r="A2156" s="159">
        <v>604243</v>
      </c>
      <c r="B2156" s="159">
        <v>1</v>
      </c>
      <c r="C2156" s="158" t="str">
        <f t="shared" si="34"/>
        <v>1</v>
      </c>
    </row>
    <row r="2157" spans="1:3" x14ac:dyDescent="0.25">
      <c r="A2157" s="159">
        <v>604244</v>
      </c>
      <c r="B2157" s="159">
        <v>1</v>
      </c>
      <c r="C2157" s="158" t="str">
        <f t="shared" si="34"/>
        <v>1</v>
      </c>
    </row>
    <row r="2158" spans="1:3" x14ac:dyDescent="0.25">
      <c r="A2158" s="159">
        <v>604247</v>
      </c>
      <c r="B2158" s="159">
        <v>1</v>
      </c>
      <c r="C2158" s="158" t="str">
        <f t="shared" si="34"/>
        <v>1</v>
      </c>
    </row>
    <row r="2159" spans="1:3" x14ac:dyDescent="0.25">
      <c r="A2159" s="159">
        <v>604248</v>
      </c>
      <c r="B2159" s="159">
        <v>1</v>
      </c>
      <c r="C2159" s="158" t="str">
        <f t="shared" si="34"/>
        <v>1</v>
      </c>
    </row>
    <row r="2160" spans="1:3" x14ac:dyDescent="0.25">
      <c r="A2160" s="159">
        <v>604249</v>
      </c>
      <c r="B2160" s="159">
        <v>1</v>
      </c>
      <c r="C2160" s="158" t="str">
        <f t="shared" si="34"/>
        <v>1</v>
      </c>
    </row>
    <row r="2161" spans="1:3" x14ac:dyDescent="0.25">
      <c r="A2161" s="159">
        <v>604250</v>
      </c>
      <c r="B2161" s="159">
        <v>1</v>
      </c>
      <c r="C2161" s="158" t="str">
        <f t="shared" si="34"/>
        <v>1</v>
      </c>
    </row>
    <row r="2162" spans="1:3" x14ac:dyDescent="0.25">
      <c r="A2162" s="159">
        <v>604251</v>
      </c>
      <c r="B2162" s="159">
        <v>1</v>
      </c>
      <c r="C2162" s="158" t="str">
        <f t="shared" si="34"/>
        <v>1</v>
      </c>
    </row>
    <row r="2163" spans="1:3" x14ac:dyDescent="0.25">
      <c r="A2163" s="159">
        <v>604252</v>
      </c>
      <c r="B2163" s="159">
        <v>1</v>
      </c>
      <c r="C2163" s="158" t="str">
        <f t="shared" si="34"/>
        <v>1</v>
      </c>
    </row>
    <row r="2164" spans="1:3" x14ac:dyDescent="0.25">
      <c r="A2164" s="159">
        <v>604255</v>
      </c>
      <c r="B2164" s="159">
        <v>1</v>
      </c>
      <c r="C2164" s="158" t="str">
        <f t="shared" si="34"/>
        <v>1</v>
      </c>
    </row>
    <row r="2165" spans="1:3" x14ac:dyDescent="0.25">
      <c r="A2165" s="159">
        <v>604256</v>
      </c>
      <c r="B2165" s="159">
        <v>1</v>
      </c>
      <c r="C2165" s="158" t="str">
        <f t="shared" si="34"/>
        <v>1</v>
      </c>
    </row>
    <row r="2166" spans="1:3" x14ac:dyDescent="0.25">
      <c r="A2166" s="159">
        <v>604257</v>
      </c>
      <c r="B2166" s="159">
        <v>1</v>
      </c>
      <c r="C2166" s="158" t="str">
        <f t="shared" si="34"/>
        <v>1</v>
      </c>
    </row>
    <row r="2167" spans="1:3" x14ac:dyDescent="0.25">
      <c r="A2167" s="159">
        <v>604258</v>
      </c>
      <c r="B2167" s="159">
        <v>1</v>
      </c>
      <c r="C2167" s="158" t="str">
        <f t="shared" si="34"/>
        <v>1</v>
      </c>
    </row>
    <row r="2168" spans="1:3" x14ac:dyDescent="0.25">
      <c r="A2168" s="159">
        <v>604259</v>
      </c>
      <c r="B2168" s="159">
        <v>1</v>
      </c>
      <c r="C2168" s="158" t="str">
        <f t="shared" si="34"/>
        <v>1</v>
      </c>
    </row>
    <row r="2169" spans="1:3" x14ac:dyDescent="0.25">
      <c r="A2169" s="159">
        <v>604260</v>
      </c>
      <c r="B2169" s="159">
        <v>1</v>
      </c>
      <c r="C2169" s="158" t="str">
        <f t="shared" si="34"/>
        <v>1</v>
      </c>
    </row>
    <row r="2170" spans="1:3" x14ac:dyDescent="0.25">
      <c r="A2170" s="159">
        <v>604261</v>
      </c>
      <c r="B2170" s="159">
        <v>1</v>
      </c>
      <c r="C2170" s="158" t="str">
        <f t="shared" si="34"/>
        <v>1</v>
      </c>
    </row>
    <row r="2171" spans="1:3" x14ac:dyDescent="0.25">
      <c r="A2171" s="159">
        <v>604262</v>
      </c>
      <c r="B2171" s="159">
        <v>1</v>
      </c>
      <c r="C2171" s="158" t="str">
        <f t="shared" si="34"/>
        <v>1</v>
      </c>
    </row>
    <row r="2172" spans="1:3" x14ac:dyDescent="0.25">
      <c r="A2172" s="159">
        <v>604263</v>
      </c>
      <c r="B2172" s="159">
        <v>1</v>
      </c>
      <c r="C2172" s="158" t="str">
        <f t="shared" si="34"/>
        <v>1</v>
      </c>
    </row>
    <row r="2173" spans="1:3" x14ac:dyDescent="0.25">
      <c r="A2173" s="159">
        <v>604264</v>
      </c>
      <c r="B2173" s="159">
        <v>1</v>
      </c>
      <c r="C2173" s="158" t="str">
        <f t="shared" si="34"/>
        <v>1</v>
      </c>
    </row>
    <row r="2174" spans="1:3" x14ac:dyDescent="0.25">
      <c r="A2174" s="159">
        <v>604265</v>
      </c>
      <c r="B2174" s="159">
        <v>1</v>
      </c>
      <c r="C2174" s="158" t="str">
        <f t="shared" si="34"/>
        <v>1</v>
      </c>
    </row>
    <row r="2175" spans="1:3" x14ac:dyDescent="0.25">
      <c r="A2175" s="159">
        <v>604266</v>
      </c>
      <c r="B2175" s="159">
        <v>1</v>
      </c>
      <c r="C2175" s="158" t="str">
        <f t="shared" si="34"/>
        <v>1</v>
      </c>
    </row>
    <row r="2176" spans="1:3" x14ac:dyDescent="0.25">
      <c r="A2176" s="159">
        <v>604267</v>
      </c>
      <c r="B2176" s="159">
        <v>1</v>
      </c>
      <c r="C2176" s="158" t="str">
        <f t="shared" si="34"/>
        <v>1</v>
      </c>
    </row>
    <row r="2177" spans="1:3" x14ac:dyDescent="0.25">
      <c r="A2177" s="159">
        <v>604268</v>
      </c>
      <c r="B2177" s="159">
        <v>1</v>
      </c>
      <c r="C2177" s="158" t="str">
        <f t="shared" si="34"/>
        <v>1</v>
      </c>
    </row>
    <row r="2178" spans="1:3" x14ac:dyDescent="0.25">
      <c r="A2178" s="159">
        <v>604269</v>
      </c>
      <c r="B2178" s="159">
        <v>1</v>
      </c>
      <c r="C2178" s="158" t="str">
        <f t="shared" si="34"/>
        <v>1</v>
      </c>
    </row>
    <row r="2179" spans="1:3" x14ac:dyDescent="0.25">
      <c r="A2179" s="159">
        <v>604270</v>
      </c>
      <c r="B2179" s="159">
        <v>1</v>
      </c>
      <c r="C2179" s="158" t="str">
        <f t="shared" si="34"/>
        <v>1</v>
      </c>
    </row>
    <row r="2180" spans="1:3" x14ac:dyDescent="0.25">
      <c r="A2180" s="159">
        <v>604275</v>
      </c>
      <c r="B2180" s="159">
        <v>1</v>
      </c>
      <c r="C2180" s="158" t="str">
        <f t="shared" si="34"/>
        <v>1</v>
      </c>
    </row>
    <row r="2181" spans="1:3" x14ac:dyDescent="0.25">
      <c r="A2181" s="159">
        <v>604276</v>
      </c>
      <c r="B2181" s="159">
        <v>1</v>
      </c>
      <c r="C2181" s="158" t="str">
        <f t="shared" si="34"/>
        <v>1</v>
      </c>
    </row>
    <row r="2182" spans="1:3" x14ac:dyDescent="0.25">
      <c r="A2182" s="159">
        <v>604277</v>
      </c>
      <c r="B2182" s="159">
        <v>1</v>
      </c>
      <c r="C2182" s="158" t="str">
        <f t="shared" si="34"/>
        <v>1</v>
      </c>
    </row>
    <row r="2183" spans="1:3" x14ac:dyDescent="0.25">
      <c r="A2183" s="159">
        <v>604278</v>
      </c>
      <c r="B2183" s="159">
        <v>1</v>
      </c>
      <c r="C2183" s="158" t="str">
        <f t="shared" si="34"/>
        <v>1</v>
      </c>
    </row>
    <row r="2184" spans="1:3" x14ac:dyDescent="0.25">
      <c r="A2184" s="159">
        <v>604293</v>
      </c>
      <c r="B2184" s="159">
        <v>1</v>
      </c>
      <c r="C2184" s="158" t="str">
        <f t="shared" si="34"/>
        <v>1</v>
      </c>
    </row>
    <row r="2185" spans="1:3" x14ac:dyDescent="0.25">
      <c r="A2185" s="159">
        <v>604294</v>
      </c>
      <c r="B2185" s="159">
        <v>1</v>
      </c>
      <c r="C2185" s="158" t="str">
        <f t="shared" si="34"/>
        <v>1</v>
      </c>
    </row>
    <row r="2186" spans="1:3" x14ac:dyDescent="0.25">
      <c r="A2186" s="159">
        <v>604295</v>
      </c>
      <c r="B2186" s="159">
        <v>1</v>
      </c>
      <c r="C2186" s="158" t="str">
        <f t="shared" si="34"/>
        <v>1</v>
      </c>
    </row>
    <row r="2187" spans="1:3" x14ac:dyDescent="0.25">
      <c r="A2187" s="159">
        <v>604296</v>
      </c>
      <c r="B2187" s="159">
        <v>1</v>
      </c>
      <c r="C2187" s="158" t="str">
        <f t="shared" si="34"/>
        <v>1</v>
      </c>
    </row>
    <row r="2188" spans="1:3" x14ac:dyDescent="0.25">
      <c r="A2188" s="159">
        <v>604299</v>
      </c>
      <c r="B2188" s="159">
        <v>1</v>
      </c>
      <c r="C2188" s="158" t="str">
        <f t="shared" si="34"/>
        <v>1</v>
      </c>
    </row>
    <row r="2189" spans="1:3" x14ac:dyDescent="0.25">
      <c r="A2189" s="159">
        <v>604300</v>
      </c>
      <c r="B2189" s="159">
        <v>1</v>
      </c>
      <c r="C2189" s="158" t="str">
        <f t="shared" ref="C2189:C2252" si="35">IF(OR(B2189=0,B2189=1,B2189=2,B2189=3,B2189=4,B2189=5),TEXT(B2189,"0"),B2189)</f>
        <v>1</v>
      </c>
    </row>
    <row r="2190" spans="1:3" x14ac:dyDescent="0.25">
      <c r="A2190" s="159">
        <v>604301</v>
      </c>
      <c r="B2190" s="159">
        <v>1</v>
      </c>
      <c r="C2190" s="158" t="str">
        <f t="shared" si="35"/>
        <v>1</v>
      </c>
    </row>
    <row r="2191" spans="1:3" x14ac:dyDescent="0.25">
      <c r="A2191" s="159">
        <v>604302</v>
      </c>
      <c r="B2191" s="159">
        <v>1</v>
      </c>
      <c r="C2191" s="158" t="str">
        <f t="shared" si="35"/>
        <v>1</v>
      </c>
    </row>
    <row r="2192" spans="1:3" x14ac:dyDescent="0.25">
      <c r="A2192" s="159">
        <v>604303</v>
      </c>
      <c r="B2192" s="159">
        <v>1</v>
      </c>
      <c r="C2192" s="158" t="str">
        <f t="shared" si="35"/>
        <v>1</v>
      </c>
    </row>
    <row r="2193" spans="1:3" x14ac:dyDescent="0.25">
      <c r="A2193" s="159">
        <v>604304</v>
      </c>
      <c r="B2193" s="159">
        <v>1</v>
      </c>
      <c r="C2193" s="158" t="str">
        <f t="shared" si="35"/>
        <v>1</v>
      </c>
    </row>
    <row r="2194" spans="1:3" x14ac:dyDescent="0.25">
      <c r="A2194" s="159">
        <v>604309</v>
      </c>
      <c r="B2194" s="159">
        <v>1</v>
      </c>
      <c r="C2194" s="158" t="str">
        <f t="shared" si="35"/>
        <v>1</v>
      </c>
    </row>
    <row r="2195" spans="1:3" x14ac:dyDescent="0.25">
      <c r="A2195" s="159">
        <v>604310</v>
      </c>
      <c r="B2195" s="159">
        <v>1</v>
      </c>
      <c r="C2195" s="158" t="str">
        <f t="shared" si="35"/>
        <v>1</v>
      </c>
    </row>
    <row r="2196" spans="1:3" x14ac:dyDescent="0.25">
      <c r="A2196" s="159">
        <v>604311</v>
      </c>
      <c r="B2196" s="159">
        <v>1</v>
      </c>
      <c r="C2196" s="158" t="str">
        <f t="shared" si="35"/>
        <v>1</v>
      </c>
    </row>
    <row r="2197" spans="1:3" x14ac:dyDescent="0.25">
      <c r="A2197" s="159">
        <v>604312</v>
      </c>
      <c r="B2197" s="159">
        <v>1</v>
      </c>
      <c r="C2197" s="158" t="str">
        <f t="shared" si="35"/>
        <v>1</v>
      </c>
    </row>
    <row r="2198" spans="1:3" x14ac:dyDescent="0.25">
      <c r="A2198" s="159">
        <v>604313</v>
      </c>
      <c r="B2198" s="159">
        <v>1</v>
      </c>
      <c r="C2198" s="158" t="str">
        <f t="shared" si="35"/>
        <v>1</v>
      </c>
    </row>
    <row r="2199" spans="1:3" x14ac:dyDescent="0.25">
      <c r="A2199" s="159">
        <v>604314</v>
      </c>
      <c r="B2199" s="159">
        <v>1</v>
      </c>
      <c r="C2199" s="158" t="str">
        <f t="shared" si="35"/>
        <v>1</v>
      </c>
    </row>
    <row r="2200" spans="1:3" x14ac:dyDescent="0.25">
      <c r="A2200" s="159">
        <v>604315</v>
      </c>
      <c r="B2200" s="159">
        <v>1</v>
      </c>
      <c r="C2200" s="158" t="str">
        <f t="shared" si="35"/>
        <v>1</v>
      </c>
    </row>
    <row r="2201" spans="1:3" x14ac:dyDescent="0.25">
      <c r="A2201" s="159">
        <v>604316</v>
      </c>
      <c r="B2201" s="159">
        <v>1</v>
      </c>
      <c r="C2201" s="158" t="str">
        <f t="shared" si="35"/>
        <v>1</v>
      </c>
    </row>
    <row r="2202" spans="1:3" x14ac:dyDescent="0.25">
      <c r="A2202" s="159">
        <v>604317</v>
      </c>
      <c r="B2202" s="159">
        <v>1</v>
      </c>
      <c r="C2202" s="158" t="str">
        <f t="shared" si="35"/>
        <v>1</v>
      </c>
    </row>
    <row r="2203" spans="1:3" x14ac:dyDescent="0.25">
      <c r="A2203" s="159">
        <v>604318</v>
      </c>
      <c r="B2203" s="159">
        <v>1</v>
      </c>
      <c r="C2203" s="158" t="str">
        <f t="shared" si="35"/>
        <v>1</v>
      </c>
    </row>
    <row r="2204" spans="1:3" x14ac:dyDescent="0.25">
      <c r="A2204" s="159">
        <v>604327</v>
      </c>
      <c r="B2204" s="159">
        <v>1</v>
      </c>
      <c r="C2204" s="158" t="str">
        <f t="shared" si="35"/>
        <v>1</v>
      </c>
    </row>
    <row r="2205" spans="1:3" x14ac:dyDescent="0.25">
      <c r="A2205" s="159">
        <v>604328</v>
      </c>
      <c r="B2205" s="159">
        <v>1</v>
      </c>
      <c r="C2205" s="158" t="str">
        <f t="shared" si="35"/>
        <v>1</v>
      </c>
    </row>
    <row r="2206" spans="1:3" x14ac:dyDescent="0.25">
      <c r="A2206" s="159">
        <v>604329</v>
      </c>
      <c r="B2206" s="159">
        <v>1</v>
      </c>
      <c r="C2206" s="158" t="str">
        <f t="shared" si="35"/>
        <v>1</v>
      </c>
    </row>
    <row r="2207" spans="1:3" x14ac:dyDescent="0.25">
      <c r="A2207" s="159">
        <v>604330</v>
      </c>
      <c r="B2207" s="159">
        <v>1</v>
      </c>
      <c r="C2207" s="158" t="str">
        <f t="shared" si="35"/>
        <v>1</v>
      </c>
    </row>
    <row r="2208" spans="1:3" x14ac:dyDescent="0.25">
      <c r="A2208" s="159">
        <v>604331</v>
      </c>
      <c r="B2208" s="159">
        <v>1</v>
      </c>
      <c r="C2208" s="158" t="str">
        <f t="shared" si="35"/>
        <v>1</v>
      </c>
    </row>
    <row r="2209" spans="1:3" x14ac:dyDescent="0.25">
      <c r="A2209" s="159">
        <v>604332</v>
      </c>
      <c r="B2209" s="159">
        <v>1</v>
      </c>
      <c r="C2209" s="158" t="str">
        <f t="shared" si="35"/>
        <v>1</v>
      </c>
    </row>
    <row r="2210" spans="1:3" x14ac:dyDescent="0.25">
      <c r="A2210" s="159">
        <v>604333</v>
      </c>
      <c r="B2210" s="159">
        <v>1</v>
      </c>
      <c r="C2210" s="158" t="str">
        <f t="shared" si="35"/>
        <v>1</v>
      </c>
    </row>
    <row r="2211" spans="1:3" x14ac:dyDescent="0.25">
      <c r="A2211" s="159">
        <v>604334</v>
      </c>
      <c r="B2211" s="159">
        <v>1</v>
      </c>
      <c r="C2211" s="158" t="str">
        <f t="shared" si="35"/>
        <v>1</v>
      </c>
    </row>
    <row r="2212" spans="1:3" x14ac:dyDescent="0.25">
      <c r="A2212" s="159">
        <v>604335</v>
      </c>
      <c r="B2212" s="159">
        <v>1</v>
      </c>
      <c r="C2212" s="158" t="str">
        <f t="shared" si="35"/>
        <v>1</v>
      </c>
    </row>
    <row r="2213" spans="1:3" x14ac:dyDescent="0.25">
      <c r="A2213" s="159">
        <v>604336</v>
      </c>
      <c r="B2213" s="159">
        <v>1</v>
      </c>
      <c r="C2213" s="158" t="str">
        <f t="shared" si="35"/>
        <v>1</v>
      </c>
    </row>
    <row r="2214" spans="1:3" x14ac:dyDescent="0.25">
      <c r="A2214" s="159">
        <v>604339</v>
      </c>
      <c r="B2214" s="159">
        <v>1</v>
      </c>
      <c r="C2214" s="158" t="str">
        <f t="shared" si="35"/>
        <v>1</v>
      </c>
    </row>
    <row r="2215" spans="1:3" x14ac:dyDescent="0.25">
      <c r="A2215" s="159">
        <v>604340</v>
      </c>
      <c r="B2215" s="159">
        <v>1</v>
      </c>
      <c r="C2215" s="158" t="str">
        <f t="shared" si="35"/>
        <v>1</v>
      </c>
    </row>
    <row r="2216" spans="1:3" x14ac:dyDescent="0.25">
      <c r="A2216" s="159">
        <v>604341</v>
      </c>
      <c r="B2216" s="159">
        <v>1</v>
      </c>
      <c r="C2216" s="158" t="str">
        <f t="shared" si="35"/>
        <v>1</v>
      </c>
    </row>
    <row r="2217" spans="1:3" x14ac:dyDescent="0.25">
      <c r="A2217" s="159">
        <v>604342</v>
      </c>
      <c r="B2217" s="159">
        <v>1</v>
      </c>
      <c r="C2217" s="158" t="str">
        <f t="shared" si="35"/>
        <v>1</v>
      </c>
    </row>
    <row r="2218" spans="1:3" x14ac:dyDescent="0.25">
      <c r="A2218" s="159">
        <v>604343</v>
      </c>
      <c r="B2218" s="159">
        <v>1</v>
      </c>
      <c r="C2218" s="158" t="str">
        <f t="shared" si="35"/>
        <v>1</v>
      </c>
    </row>
    <row r="2219" spans="1:3" x14ac:dyDescent="0.25">
      <c r="A2219" s="159">
        <v>604344</v>
      </c>
      <c r="B2219" s="159">
        <v>1</v>
      </c>
      <c r="C2219" s="158" t="str">
        <f t="shared" si="35"/>
        <v>1</v>
      </c>
    </row>
    <row r="2220" spans="1:3" x14ac:dyDescent="0.25">
      <c r="A2220" s="159">
        <v>604345</v>
      </c>
      <c r="B2220" s="159">
        <v>1</v>
      </c>
      <c r="C2220" s="158" t="str">
        <f t="shared" si="35"/>
        <v>1</v>
      </c>
    </row>
    <row r="2221" spans="1:3" x14ac:dyDescent="0.25">
      <c r="A2221" s="159">
        <v>604346</v>
      </c>
      <c r="B2221" s="159">
        <v>1</v>
      </c>
      <c r="C2221" s="158" t="str">
        <f t="shared" si="35"/>
        <v>1</v>
      </c>
    </row>
    <row r="2222" spans="1:3" x14ac:dyDescent="0.25">
      <c r="A2222" s="159">
        <v>604349</v>
      </c>
      <c r="B2222" s="159">
        <v>1</v>
      </c>
      <c r="C2222" s="158" t="str">
        <f t="shared" si="35"/>
        <v>1</v>
      </c>
    </row>
    <row r="2223" spans="1:3" x14ac:dyDescent="0.25">
      <c r="A2223" s="159">
        <v>604350</v>
      </c>
      <c r="B2223" s="159">
        <v>1</v>
      </c>
      <c r="C2223" s="158" t="str">
        <f t="shared" si="35"/>
        <v>1</v>
      </c>
    </row>
    <row r="2224" spans="1:3" x14ac:dyDescent="0.25">
      <c r="A2224" s="159">
        <v>604351</v>
      </c>
      <c r="B2224" s="159">
        <v>1</v>
      </c>
      <c r="C2224" s="158" t="str">
        <f t="shared" si="35"/>
        <v>1</v>
      </c>
    </row>
    <row r="2225" spans="1:3" x14ac:dyDescent="0.25">
      <c r="A2225" s="159">
        <v>604352</v>
      </c>
      <c r="B2225" s="159">
        <v>1</v>
      </c>
      <c r="C2225" s="158" t="str">
        <f t="shared" si="35"/>
        <v>1</v>
      </c>
    </row>
    <row r="2226" spans="1:3" x14ac:dyDescent="0.25">
      <c r="A2226" s="159">
        <v>604353</v>
      </c>
      <c r="B2226" s="159">
        <v>1</v>
      </c>
      <c r="C2226" s="158" t="str">
        <f t="shared" si="35"/>
        <v>1</v>
      </c>
    </row>
    <row r="2227" spans="1:3" x14ac:dyDescent="0.25">
      <c r="A2227" s="159">
        <v>604354</v>
      </c>
      <c r="B2227" s="159">
        <v>1</v>
      </c>
      <c r="C2227" s="158" t="str">
        <f t="shared" si="35"/>
        <v>1</v>
      </c>
    </row>
    <row r="2228" spans="1:3" x14ac:dyDescent="0.25">
      <c r="A2228" s="159">
        <v>604355</v>
      </c>
      <c r="B2228" s="159">
        <v>1</v>
      </c>
      <c r="C2228" s="158" t="str">
        <f t="shared" si="35"/>
        <v>1</v>
      </c>
    </row>
    <row r="2229" spans="1:3" x14ac:dyDescent="0.25">
      <c r="A2229" s="159">
        <v>604356</v>
      </c>
      <c r="B2229" s="159">
        <v>1</v>
      </c>
      <c r="C2229" s="158" t="str">
        <f t="shared" si="35"/>
        <v>1</v>
      </c>
    </row>
    <row r="2230" spans="1:3" x14ac:dyDescent="0.25">
      <c r="A2230" s="159">
        <v>604359</v>
      </c>
      <c r="B2230" s="159">
        <v>1</v>
      </c>
      <c r="C2230" s="158" t="str">
        <f t="shared" si="35"/>
        <v>1</v>
      </c>
    </row>
    <row r="2231" spans="1:3" x14ac:dyDescent="0.25">
      <c r="A2231" s="159">
        <v>604360</v>
      </c>
      <c r="B2231" s="159">
        <v>1</v>
      </c>
      <c r="C2231" s="158" t="str">
        <f t="shared" si="35"/>
        <v>1</v>
      </c>
    </row>
    <row r="2232" spans="1:3" x14ac:dyDescent="0.25">
      <c r="A2232" s="159">
        <v>604363</v>
      </c>
      <c r="B2232" s="159">
        <v>1</v>
      </c>
      <c r="C2232" s="158" t="str">
        <f t="shared" si="35"/>
        <v>1</v>
      </c>
    </row>
    <row r="2233" spans="1:3" x14ac:dyDescent="0.25">
      <c r="A2233" s="159">
        <v>604364</v>
      </c>
      <c r="B2233" s="159">
        <v>1</v>
      </c>
      <c r="C2233" s="158" t="str">
        <f t="shared" si="35"/>
        <v>1</v>
      </c>
    </row>
    <row r="2234" spans="1:3" x14ac:dyDescent="0.25">
      <c r="A2234" s="159">
        <v>604365</v>
      </c>
      <c r="B2234" s="159">
        <v>1</v>
      </c>
      <c r="C2234" s="158" t="str">
        <f t="shared" si="35"/>
        <v>1</v>
      </c>
    </row>
    <row r="2235" spans="1:3" x14ac:dyDescent="0.25">
      <c r="A2235" s="159">
        <v>604366</v>
      </c>
      <c r="B2235" s="159">
        <v>1</v>
      </c>
      <c r="C2235" s="158" t="str">
        <f t="shared" si="35"/>
        <v>1</v>
      </c>
    </row>
    <row r="2236" spans="1:3" x14ac:dyDescent="0.25">
      <c r="A2236" s="159">
        <v>604367</v>
      </c>
      <c r="B2236" s="159">
        <v>1</v>
      </c>
      <c r="C2236" s="158" t="str">
        <f t="shared" si="35"/>
        <v>1</v>
      </c>
    </row>
    <row r="2237" spans="1:3" x14ac:dyDescent="0.25">
      <c r="A2237" s="159">
        <v>604368</v>
      </c>
      <c r="B2237" s="159">
        <v>1</v>
      </c>
      <c r="C2237" s="158" t="str">
        <f t="shared" si="35"/>
        <v>1</v>
      </c>
    </row>
    <row r="2238" spans="1:3" x14ac:dyDescent="0.25">
      <c r="A2238" s="159">
        <v>604369</v>
      </c>
      <c r="B2238" s="159">
        <v>1</v>
      </c>
      <c r="C2238" s="158" t="str">
        <f t="shared" si="35"/>
        <v>1</v>
      </c>
    </row>
    <row r="2239" spans="1:3" x14ac:dyDescent="0.25">
      <c r="A2239" s="159">
        <v>604370</v>
      </c>
      <c r="B2239" s="159">
        <v>1</v>
      </c>
      <c r="C2239" s="158" t="str">
        <f t="shared" si="35"/>
        <v>1</v>
      </c>
    </row>
    <row r="2240" spans="1:3" x14ac:dyDescent="0.25">
      <c r="A2240" s="159">
        <v>604371</v>
      </c>
      <c r="B2240" s="159">
        <v>1</v>
      </c>
      <c r="C2240" s="158" t="str">
        <f t="shared" si="35"/>
        <v>1</v>
      </c>
    </row>
    <row r="2241" spans="1:3" x14ac:dyDescent="0.25">
      <c r="A2241" s="159">
        <v>604372</v>
      </c>
      <c r="B2241" s="159">
        <v>1</v>
      </c>
      <c r="C2241" s="158" t="str">
        <f t="shared" si="35"/>
        <v>1</v>
      </c>
    </row>
    <row r="2242" spans="1:3" x14ac:dyDescent="0.25">
      <c r="A2242" s="159">
        <v>604373</v>
      </c>
      <c r="B2242" s="159">
        <v>1</v>
      </c>
      <c r="C2242" s="158" t="str">
        <f t="shared" si="35"/>
        <v>1</v>
      </c>
    </row>
    <row r="2243" spans="1:3" x14ac:dyDescent="0.25">
      <c r="A2243" s="159">
        <v>604374</v>
      </c>
      <c r="B2243" s="159">
        <v>1</v>
      </c>
      <c r="C2243" s="158" t="str">
        <f t="shared" si="35"/>
        <v>1</v>
      </c>
    </row>
    <row r="2244" spans="1:3" x14ac:dyDescent="0.25">
      <c r="A2244" s="159">
        <v>604375</v>
      </c>
      <c r="B2244" s="159">
        <v>1</v>
      </c>
      <c r="C2244" s="158" t="str">
        <f t="shared" si="35"/>
        <v>1</v>
      </c>
    </row>
    <row r="2245" spans="1:3" x14ac:dyDescent="0.25">
      <c r="A2245" s="159">
        <v>604380</v>
      </c>
      <c r="B2245" s="159">
        <v>1</v>
      </c>
      <c r="C2245" s="158" t="str">
        <f t="shared" si="35"/>
        <v>1</v>
      </c>
    </row>
    <row r="2246" spans="1:3" x14ac:dyDescent="0.25">
      <c r="A2246" s="159">
        <v>604381</v>
      </c>
      <c r="B2246" s="159">
        <v>1</v>
      </c>
      <c r="C2246" s="158" t="str">
        <f t="shared" si="35"/>
        <v>1</v>
      </c>
    </row>
    <row r="2247" spans="1:3" x14ac:dyDescent="0.25">
      <c r="A2247" s="159">
        <v>604400</v>
      </c>
      <c r="B2247" s="159">
        <v>1</v>
      </c>
      <c r="C2247" s="158" t="str">
        <f t="shared" si="35"/>
        <v>1</v>
      </c>
    </row>
    <row r="2248" spans="1:3" x14ac:dyDescent="0.25">
      <c r="A2248" s="159">
        <v>604401</v>
      </c>
      <c r="B2248" s="159">
        <v>1</v>
      </c>
      <c r="C2248" s="158" t="str">
        <f t="shared" si="35"/>
        <v>1</v>
      </c>
    </row>
    <row r="2249" spans="1:3" x14ac:dyDescent="0.25">
      <c r="A2249" s="159">
        <v>604402</v>
      </c>
      <c r="B2249" s="159">
        <v>1</v>
      </c>
      <c r="C2249" s="158" t="str">
        <f t="shared" si="35"/>
        <v>1</v>
      </c>
    </row>
    <row r="2250" spans="1:3" x14ac:dyDescent="0.25">
      <c r="A2250" s="159">
        <v>604403</v>
      </c>
      <c r="B2250" s="159">
        <v>1</v>
      </c>
      <c r="C2250" s="158" t="str">
        <f t="shared" si="35"/>
        <v>1</v>
      </c>
    </row>
    <row r="2251" spans="1:3" x14ac:dyDescent="0.25">
      <c r="A2251" s="159">
        <v>604404</v>
      </c>
      <c r="B2251" s="159">
        <v>1</v>
      </c>
      <c r="C2251" s="158" t="str">
        <f t="shared" si="35"/>
        <v>1</v>
      </c>
    </row>
    <row r="2252" spans="1:3" x14ac:dyDescent="0.25">
      <c r="A2252" s="159">
        <v>604405</v>
      </c>
      <c r="B2252" s="159">
        <v>1</v>
      </c>
      <c r="C2252" s="158" t="str">
        <f t="shared" si="35"/>
        <v>1</v>
      </c>
    </row>
    <row r="2253" spans="1:3" x14ac:dyDescent="0.25">
      <c r="A2253" s="159">
        <v>604406</v>
      </c>
      <c r="B2253" s="159">
        <v>1</v>
      </c>
      <c r="C2253" s="158" t="str">
        <f t="shared" ref="C2253:C2316" si="36">IF(OR(B2253=0,B2253=1,B2253=2,B2253=3,B2253=4,B2253=5),TEXT(B2253,"0"),B2253)</f>
        <v>1</v>
      </c>
    </row>
    <row r="2254" spans="1:3" x14ac:dyDescent="0.25">
      <c r="A2254" s="159">
        <v>604407</v>
      </c>
      <c r="B2254" s="159">
        <v>1</v>
      </c>
      <c r="C2254" s="158" t="str">
        <f t="shared" si="36"/>
        <v>1</v>
      </c>
    </row>
    <row r="2255" spans="1:3" x14ac:dyDescent="0.25">
      <c r="A2255" s="159">
        <v>604410</v>
      </c>
      <c r="B2255" s="159">
        <v>1</v>
      </c>
      <c r="C2255" s="158" t="str">
        <f t="shared" si="36"/>
        <v>1</v>
      </c>
    </row>
    <row r="2256" spans="1:3" x14ac:dyDescent="0.25">
      <c r="A2256" s="159">
        <v>604411</v>
      </c>
      <c r="B2256" s="159">
        <v>1</v>
      </c>
      <c r="C2256" s="158" t="str">
        <f t="shared" si="36"/>
        <v>1</v>
      </c>
    </row>
    <row r="2257" spans="1:3" x14ac:dyDescent="0.25">
      <c r="A2257" s="159">
        <v>604414</v>
      </c>
      <c r="B2257" s="159">
        <v>1</v>
      </c>
      <c r="C2257" s="158" t="str">
        <f t="shared" si="36"/>
        <v>1</v>
      </c>
    </row>
    <row r="2258" spans="1:3" x14ac:dyDescent="0.25">
      <c r="A2258" s="159">
        <v>604415</v>
      </c>
      <c r="B2258" s="159">
        <v>1</v>
      </c>
      <c r="C2258" s="158" t="str">
        <f t="shared" si="36"/>
        <v>1</v>
      </c>
    </row>
    <row r="2259" spans="1:3" x14ac:dyDescent="0.25">
      <c r="A2259" s="159">
        <v>604416</v>
      </c>
      <c r="B2259" s="159">
        <v>1</v>
      </c>
      <c r="C2259" s="158" t="str">
        <f t="shared" si="36"/>
        <v>1</v>
      </c>
    </row>
    <row r="2260" spans="1:3" x14ac:dyDescent="0.25">
      <c r="A2260" s="159">
        <v>604417</v>
      </c>
      <c r="B2260" s="159">
        <v>1</v>
      </c>
      <c r="C2260" s="158" t="str">
        <f t="shared" si="36"/>
        <v>1</v>
      </c>
    </row>
    <row r="2261" spans="1:3" x14ac:dyDescent="0.25">
      <c r="A2261" s="159">
        <v>604426</v>
      </c>
      <c r="B2261" s="159">
        <v>1</v>
      </c>
      <c r="C2261" s="158" t="str">
        <f t="shared" si="36"/>
        <v>1</v>
      </c>
    </row>
    <row r="2262" spans="1:3" x14ac:dyDescent="0.25">
      <c r="A2262" s="159">
        <v>604427</v>
      </c>
      <c r="B2262" s="159">
        <v>1</v>
      </c>
      <c r="C2262" s="158" t="str">
        <f t="shared" si="36"/>
        <v>1</v>
      </c>
    </row>
    <row r="2263" spans="1:3" x14ac:dyDescent="0.25">
      <c r="A2263" s="159">
        <v>604432</v>
      </c>
      <c r="B2263" s="159">
        <v>1</v>
      </c>
      <c r="C2263" s="158" t="str">
        <f t="shared" si="36"/>
        <v>1</v>
      </c>
    </row>
    <row r="2264" spans="1:3" x14ac:dyDescent="0.25">
      <c r="A2264" s="159">
        <v>604433</v>
      </c>
      <c r="B2264" s="159">
        <v>1</v>
      </c>
      <c r="C2264" s="158" t="str">
        <f t="shared" si="36"/>
        <v>1</v>
      </c>
    </row>
    <row r="2265" spans="1:3" x14ac:dyDescent="0.25">
      <c r="A2265" s="159">
        <v>604434</v>
      </c>
      <c r="B2265" s="159">
        <v>1</v>
      </c>
      <c r="C2265" s="158" t="str">
        <f t="shared" si="36"/>
        <v>1</v>
      </c>
    </row>
    <row r="2266" spans="1:3" x14ac:dyDescent="0.25">
      <c r="A2266" s="159">
        <v>604435</v>
      </c>
      <c r="B2266" s="159">
        <v>1</v>
      </c>
      <c r="C2266" s="158" t="str">
        <f t="shared" si="36"/>
        <v>1</v>
      </c>
    </row>
    <row r="2267" spans="1:3" x14ac:dyDescent="0.25">
      <c r="A2267" s="159">
        <v>604440</v>
      </c>
      <c r="B2267" s="159">
        <v>1</v>
      </c>
      <c r="C2267" s="158" t="str">
        <f t="shared" si="36"/>
        <v>1</v>
      </c>
    </row>
    <row r="2268" spans="1:3" x14ac:dyDescent="0.25">
      <c r="A2268" s="159">
        <v>604441</v>
      </c>
      <c r="B2268" s="159">
        <v>1</v>
      </c>
      <c r="C2268" s="158" t="str">
        <f t="shared" si="36"/>
        <v>1</v>
      </c>
    </row>
    <row r="2269" spans="1:3" x14ac:dyDescent="0.25">
      <c r="A2269" s="159">
        <v>604442</v>
      </c>
      <c r="B2269" s="159">
        <v>1</v>
      </c>
      <c r="C2269" s="158" t="str">
        <f t="shared" si="36"/>
        <v>1</v>
      </c>
    </row>
    <row r="2270" spans="1:3" x14ac:dyDescent="0.25">
      <c r="A2270" s="159">
        <v>604443</v>
      </c>
      <c r="B2270" s="159">
        <v>1</v>
      </c>
      <c r="C2270" s="158" t="str">
        <f t="shared" si="36"/>
        <v>1</v>
      </c>
    </row>
    <row r="2271" spans="1:3" x14ac:dyDescent="0.25">
      <c r="A2271" s="159">
        <v>604444</v>
      </c>
      <c r="B2271" s="159">
        <v>1</v>
      </c>
      <c r="C2271" s="158" t="str">
        <f t="shared" si="36"/>
        <v>1</v>
      </c>
    </row>
    <row r="2272" spans="1:3" x14ac:dyDescent="0.25">
      <c r="A2272" s="159">
        <v>604445</v>
      </c>
      <c r="B2272" s="159">
        <v>1</v>
      </c>
      <c r="C2272" s="158" t="str">
        <f t="shared" si="36"/>
        <v>1</v>
      </c>
    </row>
    <row r="2273" spans="1:3" x14ac:dyDescent="0.25">
      <c r="A2273" s="159">
        <v>604446</v>
      </c>
      <c r="B2273" s="159">
        <v>1</v>
      </c>
      <c r="C2273" s="158" t="str">
        <f t="shared" si="36"/>
        <v>1</v>
      </c>
    </row>
    <row r="2274" spans="1:3" x14ac:dyDescent="0.25">
      <c r="A2274" s="159">
        <v>604447</v>
      </c>
      <c r="B2274" s="159">
        <v>1</v>
      </c>
      <c r="C2274" s="158" t="str">
        <f t="shared" si="36"/>
        <v>1</v>
      </c>
    </row>
    <row r="2275" spans="1:3" x14ac:dyDescent="0.25">
      <c r="A2275" s="159">
        <v>604448</v>
      </c>
      <c r="B2275" s="159">
        <v>1</v>
      </c>
      <c r="C2275" s="158" t="str">
        <f t="shared" si="36"/>
        <v>1</v>
      </c>
    </row>
    <row r="2276" spans="1:3" x14ac:dyDescent="0.25">
      <c r="A2276" s="159">
        <v>604449</v>
      </c>
      <c r="B2276" s="159">
        <v>1</v>
      </c>
      <c r="C2276" s="158" t="str">
        <f t="shared" si="36"/>
        <v>1</v>
      </c>
    </row>
    <row r="2277" spans="1:3" x14ac:dyDescent="0.25">
      <c r="A2277" s="159">
        <v>604450</v>
      </c>
      <c r="B2277" s="159">
        <v>1</v>
      </c>
      <c r="C2277" s="158" t="str">
        <f t="shared" si="36"/>
        <v>1</v>
      </c>
    </row>
    <row r="2278" spans="1:3" x14ac:dyDescent="0.25">
      <c r="A2278" s="159">
        <v>604451</v>
      </c>
      <c r="B2278" s="159">
        <v>1</v>
      </c>
      <c r="C2278" s="158" t="str">
        <f t="shared" si="36"/>
        <v>1</v>
      </c>
    </row>
    <row r="2279" spans="1:3" x14ac:dyDescent="0.25">
      <c r="A2279" s="159">
        <v>604466</v>
      </c>
      <c r="B2279" s="159">
        <v>1</v>
      </c>
      <c r="C2279" s="158" t="str">
        <f t="shared" si="36"/>
        <v>1</v>
      </c>
    </row>
    <row r="2280" spans="1:3" x14ac:dyDescent="0.25">
      <c r="A2280" s="159">
        <v>604467</v>
      </c>
      <c r="B2280" s="159">
        <v>1</v>
      </c>
      <c r="C2280" s="158" t="str">
        <f t="shared" si="36"/>
        <v>1</v>
      </c>
    </row>
    <row r="2281" spans="1:3" x14ac:dyDescent="0.25">
      <c r="A2281" s="159">
        <v>604468</v>
      </c>
      <c r="B2281" s="159">
        <v>1</v>
      </c>
      <c r="C2281" s="158" t="str">
        <f t="shared" si="36"/>
        <v>1</v>
      </c>
    </row>
    <row r="2282" spans="1:3" x14ac:dyDescent="0.25">
      <c r="A2282" s="159">
        <v>604469</v>
      </c>
      <c r="B2282" s="159">
        <v>1</v>
      </c>
      <c r="C2282" s="158" t="str">
        <f t="shared" si="36"/>
        <v>1</v>
      </c>
    </row>
    <row r="2283" spans="1:3" x14ac:dyDescent="0.25">
      <c r="A2283" s="159">
        <v>604470</v>
      </c>
      <c r="B2283" s="159">
        <v>1</v>
      </c>
      <c r="C2283" s="158" t="str">
        <f t="shared" si="36"/>
        <v>1</v>
      </c>
    </row>
    <row r="2284" spans="1:3" x14ac:dyDescent="0.25">
      <c r="A2284" s="159">
        <v>604471</v>
      </c>
      <c r="B2284" s="159">
        <v>1</v>
      </c>
      <c r="C2284" s="158" t="str">
        <f t="shared" si="36"/>
        <v>1</v>
      </c>
    </row>
    <row r="2285" spans="1:3" x14ac:dyDescent="0.25">
      <c r="A2285" s="159">
        <v>604472</v>
      </c>
      <c r="B2285" s="159">
        <v>1</v>
      </c>
      <c r="C2285" s="158" t="str">
        <f t="shared" si="36"/>
        <v>1</v>
      </c>
    </row>
    <row r="2286" spans="1:3" x14ac:dyDescent="0.25">
      <c r="A2286" s="159">
        <v>604473</v>
      </c>
      <c r="B2286" s="159">
        <v>1</v>
      </c>
      <c r="C2286" s="158" t="str">
        <f t="shared" si="36"/>
        <v>1</v>
      </c>
    </row>
    <row r="2287" spans="1:3" x14ac:dyDescent="0.25">
      <c r="A2287" s="159">
        <v>604474</v>
      </c>
      <c r="B2287" s="159">
        <v>1</v>
      </c>
      <c r="C2287" s="158" t="str">
        <f t="shared" si="36"/>
        <v>1</v>
      </c>
    </row>
    <row r="2288" spans="1:3" x14ac:dyDescent="0.25">
      <c r="A2288" s="159">
        <v>604475</v>
      </c>
      <c r="B2288" s="159">
        <v>1</v>
      </c>
      <c r="C2288" s="158" t="str">
        <f t="shared" si="36"/>
        <v>1</v>
      </c>
    </row>
    <row r="2289" spans="1:3" x14ac:dyDescent="0.25">
      <c r="A2289" s="159">
        <v>604476</v>
      </c>
      <c r="B2289" s="159">
        <v>1</v>
      </c>
      <c r="C2289" s="158" t="str">
        <f t="shared" si="36"/>
        <v>1</v>
      </c>
    </row>
    <row r="2290" spans="1:3" x14ac:dyDescent="0.25">
      <c r="A2290" s="159">
        <v>604477</v>
      </c>
      <c r="B2290" s="159">
        <v>1</v>
      </c>
      <c r="C2290" s="158" t="str">
        <f t="shared" si="36"/>
        <v>1</v>
      </c>
    </row>
    <row r="2291" spans="1:3" x14ac:dyDescent="0.25">
      <c r="A2291" s="159">
        <v>604478</v>
      </c>
      <c r="B2291" s="159">
        <v>1</v>
      </c>
      <c r="C2291" s="158" t="str">
        <f t="shared" si="36"/>
        <v>1</v>
      </c>
    </row>
    <row r="2292" spans="1:3" x14ac:dyDescent="0.25">
      <c r="A2292" s="159">
        <v>604479</v>
      </c>
      <c r="B2292" s="159">
        <v>1</v>
      </c>
      <c r="C2292" s="158" t="str">
        <f t="shared" si="36"/>
        <v>1</v>
      </c>
    </row>
    <row r="2293" spans="1:3" x14ac:dyDescent="0.25">
      <c r="A2293" s="159">
        <v>604480</v>
      </c>
      <c r="B2293" s="159">
        <v>1</v>
      </c>
      <c r="C2293" s="158" t="str">
        <f t="shared" si="36"/>
        <v>1</v>
      </c>
    </row>
    <row r="2294" spans="1:3" x14ac:dyDescent="0.25">
      <c r="A2294" s="159">
        <v>604481</v>
      </c>
      <c r="B2294" s="159">
        <v>1</v>
      </c>
      <c r="C2294" s="158" t="str">
        <f t="shared" si="36"/>
        <v>1</v>
      </c>
    </row>
    <row r="2295" spans="1:3" x14ac:dyDescent="0.25">
      <c r="A2295" s="159">
        <v>604482</v>
      </c>
      <c r="B2295" s="159">
        <v>1</v>
      </c>
      <c r="C2295" s="158" t="str">
        <f t="shared" si="36"/>
        <v>1</v>
      </c>
    </row>
    <row r="2296" spans="1:3" x14ac:dyDescent="0.25">
      <c r="A2296" s="159">
        <v>604483</v>
      </c>
      <c r="B2296" s="159">
        <v>1</v>
      </c>
      <c r="C2296" s="158" t="str">
        <f t="shared" si="36"/>
        <v>1</v>
      </c>
    </row>
    <row r="2297" spans="1:3" x14ac:dyDescent="0.25">
      <c r="A2297" s="159">
        <v>604484</v>
      </c>
      <c r="B2297" s="159">
        <v>1</v>
      </c>
      <c r="C2297" s="158" t="str">
        <f t="shared" si="36"/>
        <v>1</v>
      </c>
    </row>
    <row r="2298" spans="1:3" x14ac:dyDescent="0.25">
      <c r="A2298" s="159">
        <v>604485</v>
      </c>
      <c r="B2298" s="159">
        <v>1</v>
      </c>
      <c r="C2298" s="158" t="str">
        <f t="shared" si="36"/>
        <v>1</v>
      </c>
    </row>
    <row r="2299" spans="1:3" x14ac:dyDescent="0.25">
      <c r="A2299" s="159">
        <v>604486</v>
      </c>
      <c r="B2299" s="159">
        <v>1</v>
      </c>
      <c r="C2299" s="158" t="str">
        <f t="shared" si="36"/>
        <v>1</v>
      </c>
    </row>
    <row r="2300" spans="1:3" x14ac:dyDescent="0.25">
      <c r="A2300" s="159">
        <v>604487</v>
      </c>
      <c r="B2300" s="159">
        <v>1</v>
      </c>
      <c r="C2300" s="158" t="str">
        <f t="shared" si="36"/>
        <v>1</v>
      </c>
    </row>
    <row r="2301" spans="1:3" x14ac:dyDescent="0.25">
      <c r="A2301" s="159">
        <v>604488</v>
      </c>
      <c r="B2301" s="159">
        <v>1</v>
      </c>
      <c r="C2301" s="158" t="str">
        <f t="shared" si="36"/>
        <v>1</v>
      </c>
    </row>
    <row r="2302" spans="1:3" x14ac:dyDescent="0.25">
      <c r="A2302" s="159">
        <v>604489</v>
      </c>
      <c r="B2302" s="159">
        <v>1</v>
      </c>
      <c r="C2302" s="158" t="str">
        <f t="shared" si="36"/>
        <v>1</v>
      </c>
    </row>
    <row r="2303" spans="1:3" x14ac:dyDescent="0.25">
      <c r="A2303" s="159">
        <v>604490</v>
      </c>
      <c r="B2303" s="159">
        <v>1</v>
      </c>
      <c r="C2303" s="158" t="str">
        <f t="shared" si="36"/>
        <v>1</v>
      </c>
    </row>
    <row r="2304" spans="1:3" x14ac:dyDescent="0.25">
      <c r="A2304" s="159">
        <v>604491</v>
      </c>
      <c r="B2304" s="159">
        <v>1</v>
      </c>
      <c r="C2304" s="158" t="str">
        <f t="shared" si="36"/>
        <v>1</v>
      </c>
    </row>
    <row r="2305" spans="1:3" x14ac:dyDescent="0.25">
      <c r="A2305" s="159">
        <v>604492</v>
      </c>
      <c r="B2305" s="159">
        <v>1</v>
      </c>
      <c r="C2305" s="158" t="str">
        <f t="shared" si="36"/>
        <v>1</v>
      </c>
    </row>
    <row r="2306" spans="1:3" x14ac:dyDescent="0.25">
      <c r="A2306" s="159">
        <v>604493</v>
      </c>
      <c r="B2306" s="159">
        <v>1</v>
      </c>
      <c r="C2306" s="158" t="str">
        <f t="shared" si="36"/>
        <v>1</v>
      </c>
    </row>
    <row r="2307" spans="1:3" x14ac:dyDescent="0.25">
      <c r="A2307" s="159">
        <v>604494</v>
      </c>
      <c r="B2307" s="159">
        <v>1</v>
      </c>
      <c r="C2307" s="158" t="str">
        <f t="shared" si="36"/>
        <v>1</v>
      </c>
    </row>
    <row r="2308" spans="1:3" x14ac:dyDescent="0.25">
      <c r="A2308" s="159">
        <v>604495</v>
      </c>
      <c r="B2308" s="159">
        <v>1</v>
      </c>
      <c r="C2308" s="158" t="str">
        <f t="shared" si="36"/>
        <v>1</v>
      </c>
    </row>
    <row r="2309" spans="1:3" x14ac:dyDescent="0.25">
      <c r="A2309" s="159">
        <v>604496</v>
      </c>
      <c r="B2309" s="159">
        <v>1</v>
      </c>
      <c r="C2309" s="158" t="str">
        <f t="shared" si="36"/>
        <v>1</v>
      </c>
    </row>
    <row r="2310" spans="1:3" x14ac:dyDescent="0.25">
      <c r="A2310" s="159">
        <v>604497</v>
      </c>
      <c r="B2310" s="159">
        <v>1</v>
      </c>
      <c r="C2310" s="158" t="str">
        <f t="shared" si="36"/>
        <v>1</v>
      </c>
    </row>
    <row r="2311" spans="1:3" x14ac:dyDescent="0.25">
      <c r="A2311" s="159">
        <v>604498</v>
      </c>
      <c r="B2311" s="159">
        <v>1</v>
      </c>
      <c r="C2311" s="158" t="str">
        <f t="shared" si="36"/>
        <v>1</v>
      </c>
    </row>
    <row r="2312" spans="1:3" x14ac:dyDescent="0.25">
      <c r="A2312" s="159">
        <v>604499</v>
      </c>
      <c r="B2312" s="159">
        <v>1</v>
      </c>
      <c r="C2312" s="158" t="str">
        <f t="shared" si="36"/>
        <v>1</v>
      </c>
    </row>
    <row r="2313" spans="1:3" x14ac:dyDescent="0.25">
      <c r="A2313" s="159">
        <v>604500</v>
      </c>
      <c r="B2313" s="159">
        <v>1</v>
      </c>
      <c r="C2313" s="158" t="str">
        <f t="shared" si="36"/>
        <v>1</v>
      </c>
    </row>
    <row r="2314" spans="1:3" x14ac:dyDescent="0.25">
      <c r="A2314" s="159">
        <v>604501</v>
      </c>
      <c r="B2314" s="159">
        <v>1</v>
      </c>
      <c r="C2314" s="158" t="str">
        <f t="shared" si="36"/>
        <v>1</v>
      </c>
    </row>
    <row r="2315" spans="1:3" x14ac:dyDescent="0.25">
      <c r="A2315" s="159">
        <v>604502</v>
      </c>
      <c r="B2315" s="159">
        <v>1</v>
      </c>
      <c r="C2315" s="158" t="str">
        <f t="shared" si="36"/>
        <v>1</v>
      </c>
    </row>
    <row r="2316" spans="1:3" x14ac:dyDescent="0.25">
      <c r="A2316" s="159">
        <v>604513</v>
      </c>
      <c r="B2316" s="159">
        <v>1</v>
      </c>
      <c r="C2316" s="158" t="str">
        <f t="shared" si="36"/>
        <v>1</v>
      </c>
    </row>
    <row r="2317" spans="1:3" x14ac:dyDescent="0.25">
      <c r="A2317" s="159">
        <v>604514</v>
      </c>
      <c r="B2317" s="159">
        <v>1</v>
      </c>
      <c r="C2317" s="158" t="str">
        <f t="shared" ref="C2317:C2380" si="37">IF(OR(B2317=0,B2317=1,B2317=2,B2317=3,B2317=4,B2317=5),TEXT(B2317,"0"),B2317)</f>
        <v>1</v>
      </c>
    </row>
    <row r="2318" spans="1:3" x14ac:dyDescent="0.25">
      <c r="A2318" s="159">
        <v>604521</v>
      </c>
      <c r="B2318" s="159">
        <v>1</v>
      </c>
      <c r="C2318" s="158" t="str">
        <f t="shared" si="37"/>
        <v>1</v>
      </c>
    </row>
    <row r="2319" spans="1:3" x14ac:dyDescent="0.25">
      <c r="A2319" s="159">
        <v>604522</v>
      </c>
      <c r="B2319" s="159">
        <v>1</v>
      </c>
      <c r="C2319" s="158" t="str">
        <f t="shared" si="37"/>
        <v>1</v>
      </c>
    </row>
    <row r="2320" spans="1:3" x14ac:dyDescent="0.25">
      <c r="A2320" s="159">
        <v>604523</v>
      </c>
      <c r="B2320" s="159">
        <v>1</v>
      </c>
      <c r="C2320" s="158" t="str">
        <f t="shared" si="37"/>
        <v>1</v>
      </c>
    </row>
    <row r="2321" spans="1:3" x14ac:dyDescent="0.25">
      <c r="A2321" s="159">
        <v>604524</v>
      </c>
      <c r="B2321" s="159">
        <v>1</v>
      </c>
      <c r="C2321" s="158" t="str">
        <f t="shared" si="37"/>
        <v>1</v>
      </c>
    </row>
    <row r="2322" spans="1:3" x14ac:dyDescent="0.25">
      <c r="A2322" s="159">
        <v>604525</v>
      </c>
      <c r="B2322" s="159">
        <v>1</v>
      </c>
      <c r="C2322" s="158" t="str">
        <f t="shared" si="37"/>
        <v>1</v>
      </c>
    </row>
    <row r="2323" spans="1:3" x14ac:dyDescent="0.25">
      <c r="A2323" s="159">
        <v>604526</v>
      </c>
      <c r="B2323" s="159">
        <v>1</v>
      </c>
      <c r="C2323" s="158" t="str">
        <f t="shared" si="37"/>
        <v>1</v>
      </c>
    </row>
    <row r="2324" spans="1:3" x14ac:dyDescent="0.25">
      <c r="A2324" s="159">
        <v>604527</v>
      </c>
      <c r="B2324" s="159">
        <v>1</v>
      </c>
      <c r="C2324" s="158" t="str">
        <f t="shared" si="37"/>
        <v>1</v>
      </c>
    </row>
    <row r="2325" spans="1:3" x14ac:dyDescent="0.25">
      <c r="A2325" s="159">
        <v>604528</v>
      </c>
      <c r="B2325" s="159">
        <v>1</v>
      </c>
      <c r="C2325" s="158" t="str">
        <f t="shared" si="37"/>
        <v>1</v>
      </c>
    </row>
    <row r="2326" spans="1:3" x14ac:dyDescent="0.25">
      <c r="A2326" s="159">
        <v>604529</v>
      </c>
      <c r="B2326" s="159">
        <v>1</v>
      </c>
      <c r="C2326" s="158" t="str">
        <f t="shared" si="37"/>
        <v>1</v>
      </c>
    </row>
    <row r="2327" spans="1:3" x14ac:dyDescent="0.25">
      <c r="A2327" s="159">
        <v>604530</v>
      </c>
      <c r="B2327" s="159">
        <v>1</v>
      </c>
      <c r="C2327" s="158" t="str">
        <f t="shared" si="37"/>
        <v>1</v>
      </c>
    </row>
    <row r="2328" spans="1:3" x14ac:dyDescent="0.25">
      <c r="A2328" s="159">
        <v>604531</v>
      </c>
      <c r="B2328" s="159">
        <v>1</v>
      </c>
      <c r="C2328" s="158" t="str">
        <f t="shared" si="37"/>
        <v>1</v>
      </c>
    </row>
    <row r="2329" spans="1:3" x14ac:dyDescent="0.25">
      <c r="A2329" s="159">
        <v>604536</v>
      </c>
      <c r="B2329" s="159">
        <v>1</v>
      </c>
      <c r="C2329" s="158" t="str">
        <f t="shared" si="37"/>
        <v>1</v>
      </c>
    </row>
    <row r="2330" spans="1:3" x14ac:dyDescent="0.25">
      <c r="A2330" s="159">
        <v>604537</v>
      </c>
      <c r="B2330" s="159">
        <v>1</v>
      </c>
      <c r="C2330" s="158" t="str">
        <f t="shared" si="37"/>
        <v>1</v>
      </c>
    </row>
    <row r="2331" spans="1:3" x14ac:dyDescent="0.25">
      <c r="A2331" s="159">
        <v>604540</v>
      </c>
      <c r="B2331" s="159">
        <v>1</v>
      </c>
      <c r="C2331" s="158" t="str">
        <f t="shared" si="37"/>
        <v>1</v>
      </c>
    </row>
    <row r="2332" spans="1:3" x14ac:dyDescent="0.25">
      <c r="A2332" s="159">
        <v>604541</v>
      </c>
      <c r="B2332" s="159">
        <v>1</v>
      </c>
      <c r="C2332" s="158" t="str">
        <f t="shared" si="37"/>
        <v>1</v>
      </c>
    </row>
    <row r="2333" spans="1:3" x14ac:dyDescent="0.25">
      <c r="A2333" s="159">
        <v>604542</v>
      </c>
      <c r="B2333" s="159">
        <v>1</v>
      </c>
      <c r="C2333" s="158" t="str">
        <f t="shared" si="37"/>
        <v>1</v>
      </c>
    </row>
    <row r="2334" spans="1:3" x14ac:dyDescent="0.25">
      <c r="A2334" s="159">
        <v>604543</v>
      </c>
      <c r="B2334" s="159">
        <v>1</v>
      </c>
      <c r="C2334" s="158" t="str">
        <f t="shared" si="37"/>
        <v>1</v>
      </c>
    </row>
    <row r="2335" spans="1:3" x14ac:dyDescent="0.25">
      <c r="A2335" s="159">
        <v>604544</v>
      </c>
      <c r="B2335" s="159">
        <v>1</v>
      </c>
      <c r="C2335" s="158" t="str">
        <f t="shared" si="37"/>
        <v>1</v>
      </c>
    </row>
    <row r="2336" spans="1:3" x14ac:dyDescent="0.25">
      <c r="A2336" s="159">
        <v>604545</v>
      </c>
      <c r="B2336" s="159">
        <v>1</v>
      </c>
      <c r="C2336" s="158" t="str">
        <f t="shared" si="37"/>
        <v>1</v>
      </c>
    </row>
    <row r="2337" spans="1:3" x14ac:dyDescent="0.25">
      <c r="A2337" s="159">
        <v>604568</v>
      </c>
      <c r="B2337" s="159">
        <v>1</v>
      </c>
      <c r="C2337" s="158" t="str">
        <f t="shared" si="37"/>
        <v>1</v>
      </c>
    </row>
    <row r="2338" spans="1:3" x14ac:dyDescent="0.25">
      <c r="A2338" s="159">
        <v>604569</v>
      </c>
      <c r="B2338" s="159">
        <v>1</v>
      </c>
      <c r="C2338" s="158" t="str">
        <f t="shared" si="37"/>
        <v>1</v>
      </c>
    </row>
    <row r="2339" spans="1:3" x14ac:dyDescent="0.25">
      <c r="A2339" s="159">
        <v>604570</v>
      </c>
      <c r="B2339" s="159">
        <v>1</v>
      </c>
      <c r="C2339" s="158" t="str">
        <f t="shared" si="37"/>
        <v>1</v>
      </c>
    </row>
    <row r="2340" spans="1:3" x14ac:dyDescent="0.25">
      <c r="A2340" s="159">
        <v>604571</v>
      </c>
      <c r="B2340" s="159">
        <v>1</v>
      </c>
      <c r="C2340" s="158" t="str">
        <f t="shared" si="37"/>
        <v>1</v>
      </c>
    </row>
    <row r="2341" spans="1:3" x14ac:dyDescent="0.25">
      <c r="A2341" s="159">
        <v>604572</v>
      </c>
      <c r="B2341" s="159">
        <v>1</v>
      </c>
      <c r="C2341" s="158" t="str">
        <f t="shared" si="37"/>
        <v>1</v>
      </c>
    </row>
    <row r="2342" spans="1:3" x14ac:dyDescent="0.25">
      <c r="A2342" s="159">
        <v>604573</v>
      </c>
      <c r="B2342" s="159">
        <v>1</v>
      </c>
      <c r="C2342" s="158" t="str">
        <f t="shared" si="37"/>
        <v>1</v>
      </c>
    </row>
    <row r="2343" spans="1:3" x14ac:dyDescent="0.25">
      <c r="A2343" s="159">
        <v>604574</v>
      </c>
      <c r="B2343" s="159">
        <v>1</v>
      </c>
      <c r="C2343" s="158" t="str">
        <f t="shared" si="37"/>
        <v>1</v>
      </c>
    </row>
    <row r="2344" spans="1:3" x14ac:dyDescent="0.25">
      <c r="A2344" s="159">
        <v>604575</v>
      </c>
      <c r="B2344" s="159">
        <v>1</v>
      </c>
      <c r="C2344" s="158" t="str">
        <f t="shared" si="37"/>
        <v>1</v>
      </c>
    </row>
    <row r="2345" spans="1:3" x14ac:dyDescent="0.25">
      <c r="A2345" s="159">
        <v>604576</v>
      </c>
      <c r="B2345" s="159">
        <v>1</v>
      </c>
      <c r="C2345" s="158" t="str">
        <f t="shared" si="37"/>
        <v>1</v>
      </c>
    </row>
    <row r="2346" spans="1:3" x14ac:dyDescent="0.25">
      <c r="A2346" s="159">
        <v>604577</v>
      </c>
      <c r="B2346" s="159">
        <v>1</v>
      </c>
      <c r="C2346" s="158" t="str">
        <f t="shared" si="37"/>
        <v>1</v>
      </c>
    </row>
    <row r="2347" spans="1:3" x14ac:dyDescent="0.25">
      <c r="A2347" s="159">
        <v>604578</v>
      </c>
      <c r="B2347" s="159">
        <v>1</v>
      </c>
      <c r="C2347" s="158" t="str">
        <f t="shared" si="37"/>
        <v>1</v>
      </c>
    </row>
    <row r="2348" spans="1:3" x14ac:dyDescent="0.25">
      <c r="A2348" s="159">
        <v>604579</v>
      </c>
      <c r="B2348" s="159">
        <v>1</v>
      </c>
      <c r="C2348" s="158" t="str">
        <f t="shared" si="37"/>
        <v>1</v>
      </c>
    </row>
    <row r="2349" spans="1:3" x14ac:dyDescent="0.25">
      <c r="A2349" s="159">
        <v>604580</v>
      </c>
      <c r="B2349" s="159">
        <v>1</v>
      </c>
      <c r="C2349" s="158" t="str">
        <f t="shared" si="37"/>
        <v>1</v>
      </c>
    </row>
    <row r="2350" spans="1:3" x14ac:dyDescent="0.25">
      <c r="A2350" s="159">
        <v>604581</v>
      </c>
      <c r="B2350" s="159">
        <v>1</v>
      </c>
      <c r="C2350" s="158" t="str">
        <f t="shared" si="37"/>
        <v>1</v>
      </c>
    </row>
    <row r="2351" spans="1:3" x14ac:dyDescent="0.25">
      <c r="A2351" s="159">
        <v>604582</v>
      </c>
      <c r="B2351" s="159">
        <v>1</v>
      </c>
      <c r="C2351" s="158" t="str">
        <f t="shared" si="37"/>
        <v>1</v>
      </c>
    </row>
    <row r="2352" spans="1:3" x14ac:dyDescent="0.25">
      <c r="A2352" s="159">
        <v>604583</v>
      </c>
      <c r="B2352" s="159">
        <v>1</v>
      </c>
      <c r="C2352" s="158" t="str">
        <f t="shared" si="37"/>
        <v>1</v>
      </c>
    </row>
    <row r="2353" spans="1:3" x14ac:dyDescent="0.25">
      <c r="A2353" s="159">
        <v>604584</v>
      </c>
      <c r="B2353" s="159">
        <v>1</v>
      </c>
      <c r="C2353" s="158" t="str">
        <f t="shared" si="37"/>
        <v>1</v>
      </c>
    </row>
    <row r="2354" spans="1:3" x14ac:dyDescent="0.25">
      <c r="A2354" s="159">
        <v>604585</v>
      </c>
      <c r="B2354" s="159">
        <v>1</v>
      </c>
      <c r="C2354" s="158" t="str">
        <f t="shared" si="37"/>
        <v>1</v>
      </c>
    </row>
    <row r="2355" spans="1:3" x14ac:dyDescent="0.25">
      <c r="A2355" s="159">
        <v>604586</v>
      </c>
      <c r="B2355" s="159">
        <v>1</v>
      </c>
      <c r="C2355" s="158" t="str">
        <f t="shared" si="37"/>
        <v>1</v>
      </c>
    </row>
    <row r="2356" spans="1:3" x14ac:dyDescent="0.25">
      <c r="A2356" s="159">
        <v>604587</v>
      </c>
      <c r="B2356" s="159">
        <v>1</v>
      </c>
      <c r="C2356" s="158" t="str">
        <f t="shared" si="37"/>
        <v>1</v>
      </c>
    </row>
    <row r="2357" spans="1:3" x14ac:dyDescent="0.25">
      <c r="A2357" s="159">
        <v>604596</v>
      </c>
      <c r="B2357" s="159">
        <v>1</v>
      </c>
      <c r="C2357" s="158" t="str">
        <f t="shared" si="37"/>
        <v>1</v>
      </c>
    </row>
    <row r="2358" spans="1:3" x14ac:dyDescent="0.25">
      <c r="A2358" s="159">
        <v>604597</v>
      </c>
      <c r="B2358" s="159">
        <v>1</v>
      </c>
      <c r="C2358" s="158" t="str">
        <f t="shared" si="37"/>
        <v>1</v>
      </c>
    </row>
    <row r="2359" spans="1:3" x14ac:dyDescent="0.25">
      <c r="A2359" s="159">
        <v>604598</v>
      </c>
      <c r="B2359" s="159">
        <v>1</v>
      </c>
      <c r="C2359" s="158" t="str">
        <f t="shared" si="37"/>
        <v>1</v>
      </c>
    </row>
    <row r="2360" spans="1:3" x14ac:dyDescent="0.25">
      <c r="A2360" s="159">
        <v>604599</v>
      </c>
      <c r="B2360" s="159">
        <v>1</v>
      </c>
      <c r="C2360" s="158" t="str">
        <f t="shared" si="37"/>
        <v>1</v>
      </c>
    </row>
    <row r="2361" spans="1:3" x14ac:dyDescent="0.25">
      <c r="A2361" s="159">
        <v>604600</v>
      </c>
      <c r="B2361" s="159">
        <v>1</v>
      </c>
      <c r="C2361" s="158" t="str">
        <f t="shared" si="37"/>
        <v>1</v>
      </c>
    </row>
    <row r="2362" spans="1:3" x14ac:dyDescent="0.25">
      <c r="A2362" s="159">
        <v>604601</v>
      </c>
      <c r="B2362" s="159">
        <v>1</v>
      </c>
      <c r="C2362" s="158" t="str">
        <f t="shared" si="37"/>
        <v>1</v>
      </c>
    </row>
    <row r="2363" spans="1:3" x14ac:dyDescent="0.25">
      <c r="A2363" s="159">
        <v>604602</v>
      </c>
      <c r="B2363" s="159">
        <v>1</v>
      </c>
      <c r="C2363" s="158" t="str">
        <f t="shared" si="37"/>
        <v>1</v>
      </c>
    </row>
    <row r="2364" spans="1:3" x14ac:dyDescent="0.25">
      <c r="A2364" s="159">
        <v>604603</v>
      </c>
      <c r="B2364" s="159">
        <v>1</v>
      </c>
      <c r="C2364" s="158" t="str">
        <f t="shared" si="37"/>
        <v>1</v>
      </c>
    </row>
    <row r="2365" spans="1:3" x14ac:dyDescent="0.25">
      <c r="A2365" s="159">
        <v>604606</v>
      </c>
      <c r="B2365" s="159">
        <v>1</v>
      </c>
      <c r="C2365" s="158" t="str">
        <f t="shared" si="37"/>
        <v>1</v>
      </c>
    </row>
    <row r="2366" spans="1:3" x14ac:dyDescent="0.25">
      <c r="A2366" s="159">
        <v>604607</v>
      </c>
      <c r="B2366" s="159">
        <v>1</v>
      </c>
      <c r="C2366" s="158" t="str">
        <f t="shared" si="37"/>
        <v>1</v>
      </c>
    </row>
    <row r="2367" spans="1:3" x14ac:dyDescent="0.25">
      <c r="A2367" s="159">
        <v>604608</v>
      </c>
      <c r="B2367" s="159">
        <v>1</v>
      </c>
      <c r="C2367" s="158" t="str">
        <f t="shared" si="37"/>
        <v>1</v>
      </c>
    </row>
    <row r="2368" spans="1:3" x14ac:dyDescent="0.25">
      <c r="A2368" s="159">
        <v>604615</v>
      </c>
      <c r="B2368" s="159">
        <v>1</v>
      </c>
      <c r="C2368" s="158" t="str">
        <f t="shared" si="37"/>
        <v>1</v>
      </c>
    </row>
    <row r="2369" spans="1:3" x14ac:dyDescent="0.25">
      <c r="A2369" s="159">
        <v>604616</v>
      </c>
      <c r="B2369" s="159">
        <v>1</v>
      </c>
      <c r="C2369" s="158" t="str">
        <f t="shared" si="37"/>
        <v>1</v>
      </c>
    </row>
    <row r="2370" spans="1:3" x14ac:dyDescent="0.25">
      <c r="A2370" s="159">
        <v>604617</v>
      </c>
      <c r="B2370" s="159">
        <v>1</v>
      </c>
      <c r="C2370" s="158" t="str">
        <f t="shared" si="37"/>
        <v>1</v>
      </c>
    </row>
    <row r="2371" spans="1:3" x14ac:dyDescent="0.25">
      <c r="A2371" s="159">
        <v>604618</v>
      </c>
      <c r="B2371" s="159">
        <v>1</v>
      </c>
      <c r="C2371" s="158" t="str">
        <f t="shared" si="37"/>
        <v>1</v>
      </c>
    </row>
    <row r="2372" spans="1:3" x14ac:dyDescent="0.25">
      <c r="A2372" s="159">
        <v>604619</v>
      </c>
      <c r="B2372" s="159">
        <v>1</v>
      </c>
      <c r="C2372" s="158" t="str">
        <f t="shared" si="37"/>
        <v>1</v>
      </c>
    </row>
    <row r="2373" spans="1:3" x14ac:dyDescent="0.25">
      <c r="A2373" s="159">
        <v>604620</v>
      </c>
      <c r="B2373" s="159">
        <v>1</v>
      </c>
      <c r="C2373" s="158" t="str">
        <f t="shared" si="37"/>
        <v>1</v>
      </c>
    </row>
    <row r="2374" spans="1:3" x14ac:dyDescent="0.25">
      <c r="A2374" s="159">
        <v>604621</v>
      </c>
      <c r="B2374" s="159">
        <v>1</v>
      </c>
      <c r="C2374" s="158" t="str">
        <f t="shared" si="37"/>
        <v>1</v>
      </c>
    </row>
    <row r="2375" spans="1:3" x14ac:dyDescent="0.25">
      <c r="A2375" s="159">
        <v>604622</v>
      </c>
      <c r="B2375" s="159">
        <v>1</v>
      </c>
      <c r="C2375" s="158" t="str">
        <f t="shared" si="37"/>
        <v>1</v>
      </c>
    </row>
    <row r="2376" spans="1:3" x14ac:dyDescent="0.25">
      <c r="A2376" s="159">
        <v>604623</v>
      </c>
      <c r="B2376" s="159">
        <v>1</v>
      </c>
      <c r="C2376" s="158" t="str">
        <f t="shared" si="37"/>
        <v>1</v>
      </c>
    </row>
    <row r="2377" spans="1:3" x14ac:dyDescent="0.25">
      <c r="A2377" s="159">
        <v>604624</v>
      </c>
      <c r="B2377" s="159">
        <v>1</v>
      </c>
      <c r="C2377" s="158" t="str">
        <f t="shared" si="37"/>
        <v>1</v>
      </c>
    </row>
    <row r="2378" spans="1:3" x14ac:dyDescent="0.25">
      <c r="A2378" s="159">
        <v>604629</v>
      </c>
      <c r="B2378" s="159">
        <v>1</v>
      </c>
      <c r="C2378" s="158" t="str">
        <f t="shared" si="37"/>
        <v>1</v>
      </c>
    </row>
    <row r="2379" spans="1:3" x14ac:dyDescent="0.25">
      <c r="A2379" s="159">
        <v>604630</v>
      </c>
      <c r="B2379" s="159">
        <v>1</v>
      </c>
      <c r="C2379" s="158" t="str">
        <f t="shared" si="37"/>
        <v>1</v>
      </c>
    </row>
    <row r="2380" spans="1:3" x14ac:dyDescent="0.25">
      <c r="A2380" s="159">
        <v>604638</v>
      </c>
      <c r="B2380" s="159">
        <v>1</v>
      </c>
      <c r="C2380" s="158" t="str">
        <f t="shared" si="37"/>
        <v>1</v>
      </c>
    </row>
    <row r="2381" spans="1:3" x14ac:dyDescent="0.25">
      <c r="A2381" s="159">
        <v>604639</v>
      </c>
      <c r="B2381" s="159">
        <v>1</v>
      </c>
      <c r="C2381" s="158" t="str">
        <f t="shared" ref="C2381:C2444" si="38">IF(OR(B2381=0,B2381=1,B2381=2,B2381=3,B2381=4,B2381=5),TEXT(B2381,"0"),B2381)</f>
        <v>1</v>
      </c>
    </row>
    <row r="2382" spans="1:3" x14ac:dyDescent="0.25">
      <c r="A2382" s="159">
        <v>604640</v>
      </c>
      <c r="B2382" s="159">
        <v>1</v>
      </c>
      <c r="C2382" s="158" t="str">
        <f t="shared" si="38"/>
        <v>1</v>
      </c>
    </row>
    <row r="2383" spans="1:3" x14ac:dyDescent="0.25">
      <c r="A2383" s="159">
        <v>604641</v>
      </c>
      <c r="B2383" s="159">
        <v>1</v>
      </c>
      <c r="C2383" s="158" t="str">
        <f t="shared" si="38"/>
        <v>1</v>
      </c>
    </row>
    <row r="2384" spans="1:3" x14ac:dyDescent="0.25">
      <c r="A2384" s="159">
        <v>604644</v>
      </c>
      <c r="B2384" s="159">
        <v>1</v>
      </c>
      <c r="C2384" s="158" t="str">
        <f t="shared" si="38"/>
        <v>1</v>
      </c>
    </row>
    <row r="2385" spans="1:3" x14ac:dyDescent="0.25">
      <c r="A2385" s="159">
        <v>604645</v>
      </c>
      <c r="B2385" s="159">
        <v>1</v>
      </c>
      <c r="C2385" s="158" t="str">
        <f t="shared" si="38"/>
        <v>1</v>
      </c>
    </row>
    <row r="2386" spans="1:3" x14ac:dyDescent="0.25">
      <c r="A2386" s="159">
        <v>604646</v>
      </c>
      <c r="B2386" s="159">
        <v>1</v>
      </c>
      <c r="C2386" s="158" t="str">
        <f t="shared" si="38"/>
        <v>1</v>
      </c>
    </row>
    <row r="2387" spans="1:3" x14ac:dyDescent="0.25">
      <c r="A2387" s="159">
        <v>604647</v>
      </c>
      <c r="B2387" s="159">
        <v>1</v>
      </c>
      <c r="C2387" s="158" t="str">
        <f t="shared" si="38"/>
        <v>1</v>
      </c>
    </row>
    <row r="2388" spans="1:3" x14ac:dyDescent="0.25">
      <c r="A2388" s="159">
        <v>604648</v>
      </c>
      <c r="B2388" s="159">
        <v>1</v>
      </c>
      <c r="C2388" s="158" t="str">
        <f t="shared" si="38"/>
        <v>1</v>
      </c>
    </row>
    <row r="2389" spans="1:3" x14ac:dyDescent="0.25">
      <c r="A2389" s="159">
        <v>604649</v>
      </c>
      <c r="B2389" s="159">
        <v>1</v>
      </c>
      <c r="C2389" s="158" t="str">
        <f t="shared" si="38"/>
        <v>1</v>
      </c>
    </row>
    <row r="2390" spans="1:3" x14ac:dyDescent="0.25">
      <c r="A2390" s="159">
        <v>604650</v>
      </c>
      <c r="B2390" s="159">
        <v>1</v>
      </c>
      <c r="C2390" s="158" t="str">
        <f t="shared" si="38"/>
        <v>1</v>
      </c>
    </row>
    <row r="2391" spans="1:3" x14ac:dyDescent="0.25">
      <c r="A2391" s="159">
        <v>604651</v>
      </c>
      <c r="B2391" s="159">
        <v>1</v>
      </c>
      <c r="C2391" s="158" t="str">
        <f t="shared" si="38"/>
        <v>1</v>
      </c>
    </row>
    <row r="2392" spans="1:3" x14ac:dyDescent="0.25">
      <c r="A2392" s="159">
        <v>604652</v>
      </c>
      <c r="B2392" s="159">
        <v>1</v>
      </c>
      <c r="C2392" s="158" t="str">
        <f t="shared" si="38"/>
        <v>1</v>
      </c>
    </row>
    <row r="2393" spans="1:3" x14ac:dyDescent="0.25">
      <c r="A2393" s="159">
        <v>604653</v>
      </c>
      <c r="B2393" s="159">
        <v>1</v>
      </c>
      <c r="C2393" s="158" t="str">
        <f t="shared" si="38"/>
        <v>1</v>
      </c>
    </row>
    <row r="2394" spans="1:3" x14ac:dyDescent="0.25">
      <c r="A2394" s="159">
        <v>604654</v>
      </c>
      <c r="B2394" s="159">
        <v>1</v>
      </c>
      <c r="C2394" s="158" t="str">
        <f t="shared" si="38"/>
        <v>1</v>
      </c>
    </row>
    <row r="2395" spans="1:3" x14ac:dyDescent="0.25">
      <c r="A2395" s="159">
        <v>604655</v>
      </c>
      <c r="B2395" s="159">
        <v>1</v>
      </c>
      <c r="C2395" s="158" t="str">
        <f t="shared" si="38"/>
        <v>1</v>
      </c>
    </row>
    <row r="2396" spans="1:3" x14ac:dyDescent="0.25">
      <c r="A2396" s="159">
        <v>604656</v>
      </c>
      <c r="B2396" s="159">
        <v>1</v>
      </c>
      <c r="C2396" s="158" t="str">
        <f t="shared" si="38"/>
        <v>1</v>
      </c>
    </row>
    <row r="2397" spans="1:3" x14ac:dyDescent="0.25">
      <c r="A2397" s="159">
        <v>604657</v>
      </c>
      <c r="B2397" s="159">
        <v>1</v>
      </c>
      <c r="C2397" s="158" t="str">
        <f t="shared" si="38"/>
        <v>1</v>
      </c>
    </row>
    <row r="2398" spans="1:3" x14ac:dyDescent="0.25">
      <c r="A2398" s="159">
        <v>604658</v>
      </c>
      <c r="B2398" s="159">
        <v>1</v>
      </c>
      <c r="C2398" s="158" t="str">
        <f t="shared" si="38"/>
        <v>1</v>
      </c>
    </row>
    <row r="2399" spans="1:3" x14ac:dyDescent="0.25">
      <c r="A2399" s="159">
        <v>604659</v>
      </c>
      <c r="B2399" s="159">
        <v>1</v>
      </c>
      <c r="C2399" s="158" t="str">
        <f t="shared" si="38"/>
        <v>1</v>
      </c>
    </row>
    <row r="2400" spans="1:3" x14ac:dyDescent="0.25">
      <c r="A2400" s="159">
        <v>604660</v>
      </c>
      <c r="B2400" s="159">
        <v>1</v>
      </c>
      <c r="C2400" s="158" t="str">
        <f t="shared" si="38"/>
        <v>1</v>
      </c>
    </row>
    <row r="2401" spans="1:3" x14ac:dyDescent="0.25">
      <c r="A2401" s="159">
        <v>604661</v>
      </c>
      <c r="B2401" s="159">
        <v>1</v>
      </c>
      <c r="C2401" s="158" t="str">
        <f t="shared" si="38"/>
        <v>1</v>
      </c>
    </row>
    <row r="2402" spans="1:3" x14ac:dyDescent="0.25">
      <c r="A2402" s="159">
        <v>604662</v>
      </c>
      <c r="B2402" s="159">
        <v>1</v>
      </c>
      <c r="C2402" s="158" t="str">
        <f t="shared" si="38"/>
        <v>1</v>
      </c>
    </row>
    <row r="2403" spans="1:3" x14ac:dyDescent="0.25">
      <c r="A2403" s="159">
        <v>604663</v>
      </c>
      <c r="B2403" s="159">
        <v>1</v>
      </c>
      <c r="C2403" s="158" t="str">
        <f t="shared" si="38"/>
        <v>1</v>
      </c>
    </row>
    <row r="2404" spans="1:3" x14ac:dyDescent="0.25">
      <c r="A2404" s="159">
        <v>604664</v>
      </c>
      <c r="B2404" s="159">
        <v>1</v>
      </c>
      <c r="C2404" s="158" t="str">
        <f t="shared" si="38"/>
        <v>1</v>
      </c>
    </row>
    <row r="2405" spans="1:3" x14ac:dyDescent="0.25">
      <c r="A2405" s="159">
        <v>604665</v>
      </c>
      <c r="B2405" s="159">
        <v>1</v>
      </c>
      <c r="C2405" s="158" t="str">
        <f t="shared" si="38"/>
        <v>1</v>
      </c>
    </row>
    <row r="2406" spans="1:3" x14ac:dyDescent="0.25">
      <c r="A2406" s="159">
        <v>604673</v>
      </c>
      <c r="B2406" s="159">
        <v>1</v>
      </c>
      <c r="C2406" s="158" t="str">
        <f t="shared" si="38"/>
        <v>1</v>
      </c>
    </row>
    <row r="2407" spans="1:3" x14ac:dyDescent="0.25">
      <c r="A2407" s="159">
        <v>604674</v>
      </c>
      <c r="B2407" s="159">
        <v>1</v>
      </c>
      <c r="C2407" s="158" t="str">
        <f t="shared" si="38"/>
        <v>1</v>
      </c>
    </row>
    <row r="2408" spans="1:3" x14ac:dyDescent="0.25">
      <c r="A2408" s="159">
        <v>604675</v>
      </c>
      <c r="B2408" s="159">
        <v>1</v>
      </c>
      <c r="C2408" s="158" t="str">
        <f t="shared" si="38"/>
        <v>1</v>
      </c>
    </row>
    <row r="2409" spans="1:3" x14ac:dyDescent="0.25">
      <c r="A2409" s="159">
        <v>604676</v>
      </c>
      <c r="B2409" s="159">
        <v>1</v>
      </c>
      <c r="C2409" s="158" t="str">
        <f t="shared" si="38"/>
        <v>1</v>
      </c>
    </row>
    <row r="2410" spans="1:3" x14ac:dyDescent="0.25">
      <c r="A2410" s="159">
        <v>604679</v>
      </c>
      <c r="B2410" s="159">
        <v>1</v>
      </c>
      <c r="C2410" s="158" t="str">
        <f t="shared" si="38"/>
        <v>1</v>
      </c>
    </row>
    <row r="2411" spans="1:3" x14ac:dyDescent="0.25">
      <c r="A2411" s="159">
        <v>604680</v>
      </c>
      <c r="B2411" s="159">
        <v>1</v>
      </c>
      <c r="C2411" s="158" t="str">
        <f t="shared" si="38"/>
        <v>1</v>
      </c>
    </row>
    <row r="2412" spans="1:3" x14ac:dyDescent="0.25">
      <c r="A2412" s="159">
        <v>604689</v>
      </c>
      <c r="B2412" s="159">
        <v>1</v>
      </c>
      <c r="C2412" s="158" t="str">
        <f t="shared" si="38"/>
        <v>1</v>
      </c>
    </row>
    <row r="2413" spans="1:3" x14ac:dyDescent="0.25">
      <c r="A2413" s="159">
        <v>604690</v>
      </c>
      <c r="B2413" s="159">
        <v>1</v>
      </c>
      <c r="C2413" s="158" t="str">
        <f t="shared" si="38"/>
        <v>1</v>
      </c>
    </row>
    <row r="2414" spans="1:3" x14ac:dyDescent="0.25">
      <c r="A2414" s="159">
        <v>604693</v>
      </c>
      <c r="B2414" s="159">
        <v>1</v>
      </c>
      <c r="C2414" s="158" t="str">
        <f t="shared" si="38"/>
        <v>1</v>
      </c>
    </row>
    <row r="2415" spans="1:3" x14ac:dyDescent="0.25">
      <c r="A2415" s="159">
        <v>604694</v>
      </c>
      <c r="B2415" s="159">
        <v>1</v>
      </c>
      <c r="C2415" s="158" t="str">
        <f t="shared" si="38"/>
        <v>1</v>
      </c>
    </row>
    <row r="2416" spans="1:3" x14ac:dyDescent="0.25">
      <c r="A2416" s="159">
        <v>604695</v>
      </c>
      <c r="B2416" s="159">
        <v>1</v>
      </c>
      <c r="C2416" s="158" t="str">
        <f t="shared" si="38"/>
        <v>1</v>
      </c>
    </row>
    <row r="2417" spans="1:3" x14ac:dyDescent="0.25">
      <c r="A2417" s="159">
        <v>604696</v>
      </c>
      <c r="B2417" s="159">
        <v>1</v>
      </c>
      <c r="C2417" s="158" t="str">
        <f t="shared" si="38"/>
        <v>1</v>
      </c>
    </row>
    <row r="2418" spans="1:3" x14ac:dyDescent="0.25">
      <c r="A2418" s="159">
        <v>604717</v>
      </c>
      <c r="B2418" s="159">
        <v>1</v>
      </c>
      <c r="C2418" s="158" t="str">
        <f t="shared" si="38"/>
        <v>1</v>
      </c>
    </row>
    <row r="2419" spans="1:3" x14ac:dyDescent="0.25">
      <c r="A2419" s="159">
        <v>604718</v>
      </c>
      <c r="B2419" s="159">
        <v>1</v>
      </c>
      <c r="C2419" s="158" t="str">
        <f t="shared" si="38"/>
        <v>1</v>
      </c>
    </row>
    <row r="2420" spans="1:3" x14ac:dyDescent="0.25">
      <c r="A2420" s="159">
        <v>604723</v>
      </c>
      <c r="B2420" s="159">
        <v>1</v>
      </c>
      <c r="C2420" s="158" t="str">
        <f t="shared" si="38"/>
        <v>1</v>
      </c>
    </row>
    <row r="2421" spans="1:3" x14ac:dyDescent="0.25">
      <c r="A2421" s="159">
        <v>604724</v>
      </c>
      <c r="B2421" s="159">
        <v>1</v>
      </c>
      <c r="C2421" s="158" t="str">
        <f t="shared" si="38"/>
        <v>1</v>
      </c>
    </row>
    <row r="2422" spans="1:3" x14ac:dyDescent="0.25">
      <c r="A2422" s="159">
        <v>604725</v>
      </c>
      <c r="B2422" s="159">
        <v>1</v>
      </c>
      <c r="C2422" s="158" t="str">
        <f t="shared" si="38"/>
        <v>1</v>
      </c>
    </row>
    <row r="2423" spans="1:3" x14ac:dyDescent="0.25">
      <c r="A2423" s="159">
        <v>604726</v>
      </c>
      <c r="B2423" s="159">
        <v>1</v>
      </c>
      <c r="C2423" s="158" t="str">
        <f t="shared" si="38"/>
        <v>1</v>
      </c>
    </row>
    <row r="2424" spans="1:3" x14ac:dyDescent="0.25">
      <c r="A2424" s="159">
        <v>604727</v>
      </c>
      <c r="B2424" s="159">
        <v>1</v>
      </c>
      <c r="C2424" s="158" t="str">
        <f t="shared" si="38"/>
        <v>1</v>
      </c>
    </row>
    <row r="2425" spans="1:3" x14ac:dyDescent="0.25">
      <c r="A2425" s="159">
        <v>604728</v>
      </c>
      <c r="B2425" s="159">
        <v>1</v>
      </c>
      <c r="C2425" s="158" t="str">
        <f t="shared" si="38"/>
        <v>1</v>
      </c>
    </row>
    <row r="2426" spans="1:3" x14ac:dyDescent="0.25">
      <c r="A2426" s="159">
        <v>604729</v>
      </c>
      <c r="B2426" s="159">
        <v>1</v>
      </c>
      <c r="C2426" s="158" t="str">
        <f t="shared" si="38"/>
        <v>1</v>
      </c>
    </row>
    <row r="2427" spans="1:3" x14ac:dyDescent="0.25">
      <c r="A2427" s="159">
        <v>604730</v>
      </c>
      <c r="B2427" s="159">
        <v>1</v>
      </c>
      <c r="C2427" s="158" t="str">
        <f t="shared" si="38"/>
        <v>1</v>
      </c>
    </row>
    <row r="2428" spans="1:3" x14ac:dyDescent="0.25">
      <c r="A2428" s="159">
        <v>604731</v>
      </c>
      <c r="B2428" s="159">
        <v>1</v>
      </c>
      <c r="C2428" s="158" t="str">
        <f t="shared" si="38"/>
        <v>1</v>
      </c>
    </row>
    <row r="2429" spans="1:3" x14ac:dyDescent="0.25">
      <c r="A2429" s="159">
        <v>604732</v>
      </c>
      <c r="B2429" s="159">
        <v>1</v>
      </c>
      <c r="C2429" s="158" t="str">
        <f t="shared" si="38"/>
        <v>1</v>
      </c>
    </row>
    <row r="2430" spans="1:3" x14ac:dyDescent="0.25">
      <c r="A2430" s="159">
        <v>604733</v>
      </c>
      <c r="B2430" s="159">
        <v>1</v>
      </c>
      <c r="C2430" s="158" t="str">
        <f t="shared" si="38"/>
        <v>1</v>
      </c>
    </row>
    <row r="2431" spans="1:3" x14ac:dyDescent="0.25">
      <c r="A2431" s="159">
        <v>604734</v>
      </c>
      <c r="B2431" s="159">
        <v>1</v>
      </c>
      <c r="C2431" s="158" t="str">
        <f t="shared" si="38"/>
        <v>1</v>
      </c>
    </row>
    <row r="2432" spans="1:3" x14ac:dyDescent="0.25">
      <c r="A2432" s="159">
        <v>604735</v>
      </c>
      <c r="B2432" s="159">
        <v>1</v>
      </c>
      <c r="C2432" s="158" t="str">
        <f t="shared" si="38"/>
        <v>1</v>
      </c>
    </row>
    <row r="2433" spans="1:3" x14ac:dyDescent="0.25">
      <c r="A2433" s="159">
        <v>604736</v>
      </c>
      <c r="B2433" s="159">
        <v>1</v>
      </c>
      <c r="C2433" s="158" t="str">
        <f t="shared" si="38"/>
        <v>1</v>
      </c>
    </row>
    <row r="2434" spans="1:3" x14ac:dyDescent="0.25">
      <c r="A2434" s="159">
        <v>604737</v>
      </c>
      <c r="B2434" s="159">
        <v>1</v>
      </c>
      <c r="C2434" s="158" t="str">
        <f t="shared" si="38"/>
        <v>1</v>
      </c>
    </row>
    <row r="2435" spans="1:3" x14ac:dyDescent="0.25">
      <c r="A2435" s="159">
        <v>604738</v>
      </c>
      <c r="B2435" s="159">
        <v>1</v>
      </c>
      <c r="C2435" s="158" t="str">
        <f t="shared" si="38"/>
        <v>1</v>
      </c>
    </row>
    <row r="2436" spans="1:3" x14ac:dyDescent="0.25">
      <c r="A2436" s="159">
        <v>604753</v>
      </c>
      <c r="B2436" s="159">
        <v>1</v>
      </c>
      <c r="C2436" s="158" t="str">
        <f t="shared" si="38"/>
        <v>1</v>
      </c>
    </row>
    <row r="2437" spans="1:3" x14ac:dyDescent="0.25">
      <c r="A2437" s="159">
        <v>604754</v>
      </c>
      <c r="B2437" s="159">
        <v>1</v>
      </c>
      <c r="C2437" s="158" t="str">
        <f t="shared" si="38"/>
        <v>1</v>
      </c>
    </row>
    <row r="2438" spans="1:3" x14ac:dyDescent="0.25">
      <c r="A2438" s="159">
        <v>604755</v>
      </c>
      <c r="B2438" s="159">
        <v>1</v>
      </c>
      <c r="C2438" s="158" t="str">
        <f t="shared" si="38"/>
        <v>1</v>
      </c>
    </row>
    <row r="2439" spans="1:3" x14ac:dyDescent="0.25">
      <c r="A2439" s="159">
        <v>604756</v>
      </c>
      <c r="B2439" s="159">
        <v>1</v>
      </c>
      <c r="C2439" s="158" t="str">
        <f t="shared" si="38"/>
        <v>1</v>
      </c>
    </row>
    <row r="2440" spans="1:3" x14ac:dyDescent="0.25">
      <c r="A2440" s="159">
        <v>604763</v>
      </c>
      <c r="B2440" s="159">
        <v>1</v>
      </c>
      <c r="C2440" s="158" t="str">
        <f t="shared" si="38"/>
        <v>1</v>
      </c>
    </row>
    <row r="2441" spans="1:3" x14ac:dyDescent="0.25">
      <c r="A2441" s="159">
        <v>604764</v>
      </c>
      <c r="B2441" s="159">
        <v>1</v>
      </c>
      <c r="C2441" s="158" t="str">
        <f t="shared" si="38"/>
        <v>1</v>
      </c>
    </row>
    <row r="2442" spans="1:3" x14ac:dyDescent="0.25">
      <c r="A2442" s="159">
        <v>604765</v>
      </c>
      <c r="B2442" s="159">
        <v>1</v>
      </c>
      <c r="C2442" s="158" t="str">
        <f t="shared" si="38"/>
        <v>1</v>
      </c>
    </row>
    <row r="2443" spans="1:3" x14ac:dyDescent="0.25">
      <c r="A2443" s="159">
        <v>604766</v>
      </c>
      <c r="B2443" s="159">
        <v>1</v>
      </c>
      <c r="C2443" s="158" t="str">
        <f t="shared" si="38"/>
        <v>1</v>
      </c>
    </row>
    <row r="2444" spans="1:3" x14ac:dyDescent="0.25">
      <c r="A2444" s="159">
        <v>604767</v>
      </c>
      <c r="B2444" s="159">
        <v>1</v>
      </c>
      <c r="C2444" s="158" t="str">
        <f t="shared" si="38"/>
        <v>1</v>
      </c>
    </row>
    <row r="2445" spans="1:3" x14ac:dyDescent="0.25">
      <c r="A2445" s="159">
        <v>604768</v>
      </c>
      <c r="B2445" s="159">
        <v>1</v>
      </c>
      <c r="C2445" s="158" t="str">
        <f t="shared" ref="C2445:C2508" si="39">IF(OR(B2445=0,B2445=1,B2445=2,B2445=3,B2445=4,B2445=5),TEXT(B2445,"0"),B2445)</f>
        <v>1</v>
      </c>
    </row>
    <row r="2446" spans="1:3" x14ac:dyDescent="0.25">
      <c r="A2446" s="159">
        <v>604775</v>
      </c>
      <c r="B2446" s="159">
        <v>1</v>
      </c>
      <c r="C2446" s="158" t="str">
        <f t="shared" si="39"/>
        <v>1</v>
      </c>
    </row>
    <row r="2447" spans="1:3" x14ac:dyDescent="0.25">
      <c r="A2447" s="159">
        <v>604776</v>
      </c>
      <c r="B2447" s="159">
        <v>1</v>
      </c>
      <c r="C2447" s="158" t="str">
        <f t="shared" si="39"/>
        <v>1</v>
      </c>
    </row>
    <row r="2448" spans="1:3" x14ac:dyDescent="0.25">
      <c r="A2448" s="159">
        <v>604777</v>
      </c>
      <c r="B2448" s="159">
        <v>1</v>
      </c>
      <c r="C2448" s="158" t="str">
        <f t="shared" si="39"/>
        <v>1</v>
      </c>
    </row>
    <row r="2449" spans="1:3" x14ac:dyDescent="0.25">
      <c r="A2449" s="159">
        <v>604778</v>
      </c>
      <c r="B2449" s="159">
        <v>1</v>
      </c>
      <c r="C2449" s="158" t="str">
        <f t="shared" si="39"/>
        <v>1</v>
      </c>
    </row>
    <row r="2450" spans="1:3" x14ac:dyDescent="0.25">
      <c r="A2450" s="159">
        <v>604779</v>
      </c>
      <c r="B2450" s="159">
        <v>1</v>
      </c>
      <c r="C2450" s="158" t="str">
        <f t="shared" si="39"/>
        <v>1</v>
      </c>
    </row>
    <row r="2451" spans="1:3" x14ac:dyDescent="0.25">
      <c r="A2451" s="159">
        <v>604780</v>
      </c>
      <c r="B2451" s="159">
        <v>1</v>
      </c>
      <c r="C2451" s="158" t="str">
        <f t="shared" si="39"/>
        <v>1</v>
      </c>
    </row>
    <row r="2452" spans="1:3" x14ac:dyDescent="0.25">
      <c r="A2452" s="159">
        <v>604781</v>
      </c>
      <c r="B2452" s="159">
        <v>1</v>
      </c>
      <c r="C2452" s="158" t="str">
        <f t="shared" si="39"/>
        <v>1</v>
      </c>
    </row>
    <row r="2453" spans="1:3" x14ac:dyDescent="0.25">
      <c r="A2453" s="159">
        <v>604782</v>
      </c>
      <c r="B2453" s="159">
        <v>1</v>
      </c>
      <c r="C2453" s="158" t="str">
        <f t="shared" si="39"/>
        <v>1</v>
      </c>
    </row>
    <row r="2454" spans="1:3" x14ac:dyDescent="0.25">
      <c r="A2454" s="159">
        <v>604783</v>
      </c>
      <c r="B2454" s="159">
        <v>1</v>
      </c>
      <c r="C2454" s="158" t="str">
        <f t="shared" si="39"/>
        <v>1</v>
      </c>
    </row>
    <row r="2455" spans="1:3" x14ac:dyDescent="0.25">
      <c r="A2455" s="159">
        <v>604784</v>
      </c>
      <c r="B2455" s="159">
        <v>1</v>
      </c>
      <c r="C2455" s="158" t="str">
        <f t="shared" si="39"/>
        <v>1</v>
      </c>
    </row>
    <row r="2456" spans="1:3" x14ac:dyDescent="0.25">
      <c r="A2456" s="159">
        <v>604787</v>
      </c>
      <c r="B2456" s="159">
        <v>1</v>
      </c>
      <c r="C2456" s="158" t="str">
        <f t="shared" si="39"/>
        <v>1</v>
      </c>
    </row>
    <row r="2457" spans="1:3" x14ac:dyDescent="0.25">
      <c r="A2457" s="159">
        <v>604788</v>
      </c>
      <c r="B2457" s="159">
        <v>1</v>
      </c>
      <c r="C2457" s="158" t="str">
        <f t="shared" si="39"/>
        <v>1</v>
      </c>
    </row>
    <row r="2458" spans="1:3" x14ac:dyDescent="0.25">
      <c r="A2458" s="159">
        <v>604789</v>
      </c>
      <c r="B2458" s="159">
        <v>1</v>
      </c>
      <c r="C2458" s="158" t="str">
        <f t="shared" si="39"/>
        <v>1</v>
      </c>
    </row>
    <row r="2459" spans="1:3" x14ac:dyDescent="0.25">
      <c r="A2459" s="159">
        <v>604790</v>
      </c>
      <c r="B2459" s="159">
        <v>1</v>
      </c>
      <c r="C2459" s="158" t="str">
        <f t="shared" si="39"/>
        <v>1</v>
      </c>
    </row>
    <row r="2460" spans="1:3" x14ac:dyDescent="0.25">
      <c r="A2460" s="159">
        <v>604799</v>
      </c>
      <c r="B2460" s="159">
        <v>1</v>
      </c>
      <c r="C2460" s="158" t="str">
        <f t="shared" si="39"/>
        <v>1</v>
      </c>
    </row>
    <row r="2461" spans="1:3" x14ac:dyDescent="0.25">
      <c r="A2461" s="159">
        <v>604800</v>
      </c>
      <c r="B2461" s="159">
        <v>1</v>
      </c>
      <c r="C2461" s="158" t="str">
        <f t="shared" si="39"/>
        <v>1</v>
      </c>
    </row>
    <row r="2462" spans="1:3" x14ac:dyDescent="0.25">
      <c r="A2462" s="159">
        <v>604801</v>
      </c>
      <c r="B2462" s="159">
        <v>1</v>
      </c>
      <c r="C2462" s="158" t="str">
        <f t="shared" si="39"/>
        <v>1</v>
      </c>
    </row>
    <row r="2463" spans="1:3" x14ac:dyDescent="0.25">
      <c r="A2463" s="159">
        <v>604802</v>
      </c>
      <c r="B2463" s="159">
        <v>1</v>
      </c>
      <c r="C2463" s="158" t="str">
        <f t="shared" si="39"/>
        <v>1</v>
      </c>
    </row>
    <row r="2464" spans="1:3" x14ac:dyDescent="0.25">
      <c r="A2464" s="159">
        <v>604811</v>
      </c>
      <c r="B2464" s="159">
        <v>1</v>
      </c>
      <c r="C2464" s="158" t="str">
        <f t="shared" si="39"/>
        <v>1</v>
      </c>
    </row>
    <row r="2465" spans="1:3" x14ac:dyDescent="0.25">
      <c r="A2465" s="159">
        <v>604812</v>
      </c>
      <c r="B2465" s="159">
        <v>1</v>
      </c>
      <c r="C2465" s="158" t="str">
        <f t="shared" si="39"/>
        <v>1</v>
      </c>
    </row>
    <row r="2466" spans="1:3" x14ac:dyDescent="0.25">
      <c r="A2466" s="159">
        <v>604813</v>
      </c>
      <c r="B2466" s="159">
        <v>1</v>
      </c>
      <c r="C2466" s="158" t="str">
        <f t="shared" si="39"/>
        <v>1</v>
      </c>
    </row>
    <row r="2467" spans="1:3" x14ac:dyDescent="0.25">
      <c r="A2467" s="159">
        <v>604814</v>
      </c>
      <c r="B2467" s="159">
        <v>1</v>
      </c>
      <c r="C2467" s="158" t="str">
        <f t="shared" si="39"/>
        <v>1</v>
      </c>
    </row>
    <row r="2468" spans="1:3" x14ac:dyDescent="0.25">
      <c r="A2468" s="159">
        <v>604815</v>
      </c>
      <c r="B2468" s="159">
        <v>1</v>
      </c>
      <c r="C2468" s="158" t="str">
        <f t="shared" si="39"/>
        <v>1</v>
      </c>
    </row>
    <row r="2469" spans="1:3" x14ac:dyDescent="0.25">
      <c r="A2469" s="159">
        <v>604816</v>
      </c>
      <c r="B2469" s="159">
        <v>1</v>
      </c>
      <c r="C2469" s="158" t="str">
        <f t="shared" si="39"/>
        <v>1</v>
      </c>
    </row>
    <row r="2470" spans="1:3" x14ac:dyDescent="0.25">
      <c r="A2470" s="159">
        <v>604823</v>
      </c>
      <c r="B2470" s="159">
        <v>1</v>
      </c>
      <c r="C2470" s="158" t="str">
        <f t="shared" si="39"/>
        <v>1</v>
      </c>
    </row>
    <row r="2471" spans="1:3" x14ac:dyDescent="0.25">
      <c r="A2471" s="159">
        <v>604824</v>
      </c>
      <c r="B2471" s="159">
        <v>1</v>
      </c>
      <c r="C2471" s="158" t="str">
        <f t="shared" si="39"/>
        <v>1</v>
      </c>
    </row>
    <row r="2472" spans="1:3" x14ac:dyDescent="0.25">
      <c r="A2472" s="159">
        <v>604825</v>
      </c>
      <c r="B2472" s="159">
        <v>1</v>
      </c>
      <c r="C2472" s="158" t="str">
        <f t="shared" si="39"/>
        <v>1</v>
      </c>
    </row>
    <row r="2473" spans="1:3" x14ac:dyDescent="0.25">
      <c r="A2473" s="159">
        <v>604826</v>
      </c>
      <c r="B2473" s="159">
        <v>1</v>
      </c>
      <c r="C2473" s="158" t="str">
        <f t="shared" si="39"/>
        <v>1</v>
      </c>
    </row>
    <row r="2474" spans="1:3" x14ac:dyDescent="0.25">
      <c r="A2474" s="159">
        <v>604827</v>
      </c>
      <c r="B2474" s="159">
        <v>1</v>
      </c>
      <c r="C2474" s="158" t="str">
        <f t="shared" si="39"/>
        <v>1</v>
      </c>
    </row>
    <row r="2475" spans="1:3" x14ac:dyDescent="0.25">
      <c r="A2475" s="159">
        <v>604828</v>
      </c>
      <c r="B2475" s="159">
        <v>1</v>
      </c>
      <c r="C2475" s="158" t="str">
        <f t="shared" si="39"/>
        <v>1</v>
      </c>
    </row>
    <row r="2476" spans="1:3" x14ac:dyDescent="0.25">
      <c r="A2476" s="159">
        <v>604829</v>
      </c>
      <c r="B2476" s="159">
        <v>1</v>
      </c>
      <c r="C2476" s="158" t="str">
        <f t="shared" si="39"/>
        <v>1</v>
      </c>
    </row>
    <row r="2477" spans="1:3" x14ac:dyDescent="0.25">
      <c r="A2477" s="159">
        <v>604830</v>
      </c>
      <c r="B2477" s="159">
        <v>1</v>
      </c>
      <c r="C2477" s="158" t="str">
        <f t="shared" si="39"/>
        <v>1</v>
      </c>
    </row>
    <row r="2478" spans="1:3" x14ac:dyDescent="0.25">
      <c r="A2478" s="159">
        <v>604831</v>
      </c>
      <c r="B2478" s="159">
        <v>1</v>
      </c>
      <c r="C2478" s="158" t="str">
        <f t="shared" si="39"/>
        <v>1</v>
      </c>
    </row>
    <row r="2479" spans="1:3" x14ac:dyDescent="0.25">
      <c r="A2479" s="159">
        <v>604832</v>
      </c>
      <c r="B2479" s="159">
        <v>1</v>
      </c>
      <c r="C2479" s="158" t="str">
        <f t="shared" si="39"/>
        <v>1</v>
      </c>
    </row>
    <row r="2480" spans="1:3" x14ac:dyDescent="0.25">
      <c r="A2480" s="159">
        <v>604841</v>
      </c>
      <c r="B2480" s="159">
        <v>1</v>
      </c>
      <c r="C2480" s="158" t="str">
        <f t="shared" si="39"/>
        <v>1</v>
      </c>
    </row>
    <row r="2481" spans="1:3" x14ac:dyDescent="0.25">
      <c r="A2481" s="159">
        <v>604842</v>
      </c>
      <c r="B2481" s="159">
        <v>1</v>
      </c>
      <c r="C2481" s="158" t="str">
        <f t="shared" si="39"/>
        <v>1</v>
      </c>
    </row>
    <row r="2482" spans="1:3" x14ac:dyDescent="0.25">
      <c r="A2482" s="159">
        <v>604843</v>
      </c>
      <c r="B2482" s="159">
        <v>1</v>
      </c>
      <c r="C2482" s="158" t="str">
        <f t="shared" si="39"/>
        <v>1</v>
      </c>
    </row>
    <row r="2483" spans="1:3" x14ac:dyDescent="0.25">
      <c r="A2483" s="159">
        <v>604844</v>
      </c>
      <c r="B2483" s="159">
        <v>1</v>
      </c>
      <c r="C2483" s="158" t="str">
        <f t="shared" si="39"/>
        <v>1</v>
      </c>
    </row>
    <row r="2484" spans="1:3" x14ac:dyDescent="0.25">
      <c r="A2484" s="159">
        <v>604845</v>
      </c>
      <c r="B2484" s="159">
        <v>1</v>
      </c>
      <c r="C2484" s="158" t="str">
        <f t="shared" si="39"/>
        <v>1</v>
      </c>
    </row>
    <row r="2485" spans="1:3" x14ac:dyDescent="0.25">
      <c r="A2485" s="159">
        <v>604846</v>
      </c>
      <c r="B2485" s="159">
        <v>1</v>
      </c>
      <c r="C2485" s="158" t="str">
        <f t="shared" si="39"/>
        <v>1</v>
      </c>
    </row>
    <row r="2486" spans="1:3" x14ac:dyDescent="0.25">
      <c r="A2486" s="159">
        <v>604847</v>
      </c>
      <c r="B2486" s="159">
        <v>1</v>
      </c>
      <c r="C2486" s="158" t="str">
        <f t="shared" si="39"/>
        <v>1</v>
      </c>
    </row>
    <row r="2487" spans="1:3" x14ac:dyDescent="0.25">
      <c r="A2487" s="159">
        <v>604848</v>
      </c>
      <c r="B2487" s="159">
        <v>1</v>
      </c>
      <c r="C2487" s="158" t="str">
        <f t="shared" si="39"/>
        <v>1</v>
      </c>
    </row>
    <row r="2488" spans="1:3" x14ac:dyDescent="0.25">
      <c r="A2488" s="159">
        <v>604849</v>
      </c>
      <c r="B2488" s="159">
        <v>1</v>
      </c>
      <c r="C2488" s="158" t="str">
        <f t="shared" si="39"/>
        <v>1</v>
      </c>
    </row>
    <row r="2489" spans="1:3" x14ac:dyDescent="0.25">
      <c r="A2489" s="159">
        <v>604850</v>
      </c>
      <c r="B2489" s="159">
        <v>1</v>
      </c>
      <c r="C2489" s="158" t="str">
        <f t="shared" si="39"/>
        <v>1</v>
      </c>
    </row>
    <row r="2490" spans="1:3" x14ac:dyDescent="0.25">
      <c r="A2490" s="159">
        <v>604851</v>
      </c>
      <c r="B2490" s="159">
        <v>1</v>
      </c>
      <c r="C2490" s="158" t="str">
        <f t="shared" si="39"/>
        <v>1</v>
      </c>
    </row>
    <row r="2491" spans="1:3" x14ac:dyDescent="0.25">
      <c r="A2491" s="159">
        <v>604852</v>
      </c>
      <c r="B2491" s="159">
        <v>1</v>
      </c>
      <c r="C2491" s="158" t="str">
        <f t="shared" si="39"/>
        <v>1</v>
      </c>
    </row>
    <row r="2492" spans="1:3" x14ac:dyDescent="0.25">
      <c r="A2492" s="159">
        <v>604855</v>
      </c>
      <c r="B2492" s="159">
        <v>1</v>
      </c>
      <c r="C2492" s="158" t="str">
        <f t="shared" si="39"/>
        <v>1</v>
      </c>
    </row>
    <row r="2493" spans="1:3" x14ac:dyDescent="0.25">
      <c r="A2493" s="159">
        <v>604856</v>
      </c>
      <c r="B2493" s="159">
        <v>1</v>
      </c>
      <c r="C2493" s="158" t="str">
        <f t="shared" si="39"/>
        <v>1</v>
      </c>
    </row>
    <row r="2494" spans="1:3" x14ac:dyDescent="0.25">
      <c r="A2494" s="159">
        <v>604865</v>
      </c>
      <c r="B2494" s="159">
        <v>1</v>
      </c>
      <c r="C2494" s="158" t="str">
        <f t="shared" si="39"/>
        <v>1</v>
      </c>
    </row>
    <row r="2495" spans="1:3" x14ac:dyDescent="0.25">
      <c r="A2495" s="159">
        <v>604866</v>
      </c>
      <c r="B2495" s="159">
        <v>1</v>
      </c>
      <c r="C2495" s="158" t="str">
        <f t="shared" si="39"/>
        <v>1</v>
      </c>
    </row>
    <row r="2496" spans="1:3" x14ac:dyDescent="0.25">
      <c r="A2496" s="159">
        <v>604867</v>
      </c>
      <c r="B2496" s="159">
        <v>1</v>
      </c>
      <c r="C2496" s="158" t="str">
        <f t="shared" si="39"/>
        <v>1</v>
      </c>
    </row>
    <row r="2497" spans="1:3" x14ac:dyDescent="0.25">
      <c r="A2497" s="159">
        <v>604868</v>
      </c>
      <c r="B2497" s="159">
        <v>1</v>
      </c>
      <c r="C2497" s="158" t="str">
        <f t="shared" si="39"/>
        <v>1</v>
      </c>
    </row>
    <row r="2498" spans="1:3" x14ac:dyDescent="0.25">
      <c r="A2498" s="159">
        <v>604875</v>
      </c>
      <c r="B2498" s="159">
        <v>1</v>
      </c>
      <c r="C2498" s="158" t="str">
        <f t="shared" si="39"/>
        <v>1</v>
      </c>
    </row>
    <row r="2499" spans="1:3" x14ac:dyDescent="0.25">
      <c r="A2499" s="159">
        <v>604876</v>
      </c>
      <c r="B2499" s="159">
        <v>1</v>
      </c>
      <c r="C2499" s="158" t="str">
        <f t="shared" si="39"/>
        <v>1</v>
      </c>
    </row>
    <row r="2500" spans="1:3" x14ac:dyDescent="0.25">
      <c r="A2500" s="159">
        <v>604879</v>
      </c>
      <c r="B2500" s="159">
        <v>1</v>
      </c>
      <c r="C2500" s="158" t="str">
        <f t="shared" si="39"/>
        <v>1</v>
      </c>
    </row>
    <row r="2501" spans="1:3" x14ac:dyDescent="0.25">
      <c r="A2501" s="159">
        <v>604880</v>
      </c>
      <c r="B2501" s="159">
        <v>1</v>
      </c>
      <c r="C2501" s="158" t="str">
        <f t="shared" si="39"/>
        <v>1</v>
      </c>
    </row>
    <row r="2502" spans="1:3" x14ac:dyDescent="0.25">
      <c r="A2502" s="159">
        <v>604881</v>
      </c>
      <c r="B2502" s="159">
        <v>1</v>
      </c>
      <c r="C2502" s="158" t="str">
        <f t="shared" si="39"/>
        <v>1</v>
      </c>
    </row>
    <row r="2503" spans="1:3" x14ac:dyDescent="0.25">
      <c r="A2503" s="159">
        <v>604882</v>
      </c>
      <c r="B2503" s="159">
        <v>1</v>
      </c>
      <c r="C2503" s="158" t="str">
        <f t="shared" si="39"/>
        <v>1</v>
      </c>
    </row>
    <row r="2504" spans="1:3" x14ac:dyDescent="0.25">
      <c r="A2504" s="159">
        <v>604883</v>
      </c>
      <c r="B2504" s="159">
        <v>1</v>
      </c>
      <c r="C2504" s="158" t="str">
        <f t="shared" si="39"/>
        <v>1</v>
      </c>
    </row>
    <row r="2505" spans="1:3" x14ac:dyDescent="0.25">
      <c r="A2505" s="159">
        <v>604884</v>
      </c>
      <c r="B2505" s="159">
        <v>1</v>
      </c>
      <c r="C2505" s="158" t="str">
        <f t="shared" si="39"/>
        <v>1</v>
      </c>
    </row>
    <row r="2506" spans="1:3" x14ac:dyDescent="0.25">
      <c r="A2506" s="159">
        <v>604887</v>
      </c>
      <c r="B2506" s="159">
        <v>1</v>
      </c>
      <c r="C2506" s="158" t="str">
        <f t="shared" si="39"/>
        <v>1</v>
      </c>
    </row>
    <row r="2507" spans="1:3" x14ac:dyDescent="0.25">
      <c r="A2507" s="159">
        <v>604888</v>
      </c>
      <c r="B2507" s="159">
        <v>1</v>
      </c>
      <c r="C2507" s="158" t="str">
        <f t="shared" si="39"/>
        <v>1</v>
      </c>
    </row>
    <row r="2508" spans="1:3" x14ac:dyDescent="0.25">
      <c r="A2508" s="159">
        <v>604893</v>
      </c>
      <c r="B2508" s="159">
        <v>1</v>
      </c>
      <c r="C2508" s="158" t="str">
        <f t="shared" si="39"/>
        <v>1</v>
      </c>
    </row>
    <row r="2509" spans="1:3" x14ac:dyDescent="0.25">
      <c r="A2509" s="159">
        <v>604894</v>
      </c>
      <c r="B2509" s="159">
        <v>1</v>
      </c>
      <c r="C2509" s="158" t="str">
        <f t="shared" ref="C2509:C2572" si="40">IF(OR(B2509=0,B2509=1,B2509=2,B2509=3,B2509=4,B2509=5),TEXT(B2509,"0"),B2509)</f>
        <v>1</v>
      </c>
    </row>
    <row r="2510" spans="1:3" x14ac:dyDescent="0.25">
      <c r="A2510" s="159">
        <v>604895</v>
      </c>
      <c r="B2510" s="159">
        <v>1</v>
      </c>
      <c r="C2510" s="158" t="str">
        <f t="shared" si="40"/>
        <v>1</v>
      </c>
    </row>
    <row r="2511" spans="1:3" x14ac:dyDescent="0.25">
      <c r="A2511" s="159">
        <v>604896</v>
      </c>
      <c r="B2511" s="159">
        <v>1</v>
      </c>
      <c r="C2511" s="158" t="str">
        <f t="shared" si="40"/>
        <v>1</v>
      </c>
    </row>
    <row r="2512" spans="1:3" x14ac:dyDescent="0.25">
      <c r="A2512" s="159">
        <v>604901</v>
      </c>
      <c r="B2512" s="159">
        <v>1</v>
      </c>
      <c r="C2512" s="158" t="str">
        <f t="shared" si="40"/>
        <v>1</v>
      </c>
    </row>
    <row r="2513" spans="1:3" x14ac:dyDescent="0.25">
      <c r="A2513" s="159">
        <v>604902</v>
      </c>
      <c r="B2513" s="159">
        <v>1</v>
      </c>
      <c r="C2513" s="158" t="str">
        <f t="shared" si="40"/>
        <v>1</v>
      </c>
    </row>
    <row r="2514" spans="1:3" x14ac:dyDescent="0.25">
      <c r="A2514" s="159">
        <v>604903</v>
      </c>
      <c r="B2514" s="159">
        <v>1</v>
      </c>
      <c r="C2514" s="158" t="str">
        <f t="shared" si="40"/>
        <v>1</v>
      </c>
    </row>
    <row r="2515" spans="1:3" x14ac:dyDescent="0.25">
      <c r="A2515" s="159">
        <v>604904</v>
      </c>
      <c r="B2515" s="159">
        <v>1</v>
      </c>
      <c r="C2515" s="158" t="str">
        <f t="shared" si="40"/>
        <v>1</v>
      </c>
    </row>
    <row r="2516" spans="1:3" x14ac:dyDescent="0.25">
      <c r="A2516" s="159">
        <v>604905</v>
      </c>
      <c r="B2516" s="159">
        <v>1</v>
      </c>
      <c r="C2516" s="158" t="str">
        <f t="shared" si="40"/>
        <v>1</v>
      </c>
    </row>
    <row r="2517" spans="1:3" x14ac:dyDescent="0.25">
      <c r="A2517" s="159">
        <v>604906</v>
      </c>
      <c r="B2517" s="159">
        <v>1</v>
      </c>
      <c r="C2517" s="158" t="str">
        <f t="shared" si="40"/>
        <v>1</v>
      </c>
    </row>
    <row r="2518" spans="1:3" x14ac:dyDescent="0.25">
      <c r="A2518" s="159">
        <v>604907</v>
      </c>
      <c r="B2518" s="159">
        <v>1</v>
      </c>
      <c r="C2518" s="158" t="str">
        <f t="shared" si="40"/>
        <v>1</v>
      </c>
    </row>
    <row r="2519" spans="1:3" x14ac:dyDescent="0.25">
      <c r="A2519" s="159">
        <v>604909</v>
      </c>
      <c r="B2519" s="159">
        <v>1</v>
      </c>
      <c r="C2519" s="158" t="str">
        <f t="shared" si="40"/>
        <v>1</v>
      </c>
    </row>
    <row r="2520" spans="1:3" x14ac:dyDescent="0.25">
      <c r="A2520" s="159">
        <v>604910</v>
      </c>
      <c r="B2520" s="159">
        <v>1</v>
      </c>
      <c r="C2520" s="158" t="str">
        <f t="shared" si="40"/>
        <v>1</v>
      </c>
    </row>
    <row r="2521" spans="1:3" x14ac:dyDescent="0.25">
      <c r="A2521" s="159">
        <v>604919</v>
      </c>
      <c r="B2521" s="159">
        <v>1</v>
      </c>
      <c r="C2521" s="158" t="str">
        <f t="shared" si="40"/>
        <v>1</v>
      </c>
    </row>
    <row r="2522" spans="1:3" x14ac:dyDescent="0.25">
      <c r="A2522" s="159">
        <v>604920</v>
      </c>
      <c r="B2522" s="159">
        <v>1</v>
      </c>
      <c r="C2522" s="158" t="str">
        <f t="shared" si="40"/>
        <v>1</v>
      </c>
    </row>
    <row r="2523" spans="1:3" x14ac:dyDescent="0.25">
      <c r="A2523" s="159">
        <v>604921</v>
      </c>
      <c r="B2523" s="159">
        <v>1</v>
      </c>
      <c r="C2523" s="158" t="str">
        <f t="shared" si="40"/>
        <v>1</v>
      </c>
    </row>
    <row r="2524" spans="1:3" x14ac:dyDescent="0.25">
      <c r="A2524" s="159">
        <v>604922</v>
      </c>
      <c r="B2524" s="159">
        <v>1</v>
      </c>
      <c r="C2524" s="158" t="str">
        <f t="shared" si="40"/>
        <v>1</v>
      </c>
    </row>
    <row r="2525" spans="1:3" x14ac:dyDescent="0.25">
      <c r="A2525" s="159">
        <v>604923</v>
      </c>
      <c r="B2525" s="159">
        <v>1</v>
      </c>
      <c r="C2525" s="158" t="str">
        <f t="shared" si="40"/>
        <v>1</v>
      </c>
    </row>
    <row r="2526" spans="1:3" x14ac:dyDescent="0.25">
      <c r="A2526" s="159">
        <v>604924</v>
      </c>
      <c r="B2526" s="159">
        <v>1</v>
      </c>
      <c r="C2526" s="158" t="str">
        <f t="shared" si="40"/>
        <v>1</v>
      </c>
    </row>
    <row r="2527" spans="1:3" x14ac:dyDescent="0.25">
      <c r="A2527" s="159">
        <v>604925</v>
      </c>
      <c r="B2527" s="159">
        <v>1</v>
      </c>
      <c r="C2527" s="158" t="str">
        <f t="shared" si="40"/>
        <v>1</v>
      </c>
    </row>
    <row r="2528" spans="1:3" x14ac:dyDescent="0.25">
      <c r="A2528" s="159">
        <v>604926</v>
      </c>
      <c r="B2528" s="159">
        <v>1</v>
      </c>
      <c r="C2528" s="158" t="str">
        <f t="shared" si="40"/>
        <v>1</v>
      </c>
    </row>
    <row r="2529" spans="1:3" x14ac:dyDescent="0.25">
      <c r="A2529" s="159">
        <v>604927</v>
      </c>
      <c r="B2529" s="159">
        <v>1</v>
      </c>
      <c r="C2529" s="158" t="str">
        <f t="shared" si="40"/>
        <v>1</v>
      </c>
    </row>
    <row r="2530" spans="1:3" x14ac:dyDescent="0.25">
      <c r="A2530" s="159">
        <v>604928</v>
      </c>
      <c r="B2530" s="159">
        <v>1</v>
      </c>
      <c r="C2530" s="158" t="str">
        <f t="shared" si="40"/>
        <v>1</v>
      </c>
    </row>
    <row r="2531" spans="1:3" x14ac:dyDescent="0.25">
      <c r="A2531" s="159">
        <v>604929</v>
      </c>
      <c r="B2531" s="159">
        <v>1</v>
      </c>
      <c r="C2531" s="158" t="str">
        <f t="shared" si="40"/>
        <v>1</v>
      </c>
    </row>
    <row r="2532" spans="1:3" x14ac:dyDescent="0.25">
      <c r="A2532" s="159">
        <v>604930</v>
      </c>
      <c r="B2532" s="159">
        <v>1</v>
      </c>
      <c r="C2532" s="158" t="str">
        <f t="shared" si="40"/>
        <v>1</v>
      </c>
    </row>
    <row r="2533" spans="1:3" x14ac:dyDescent="0.25">
      <c r="A2533" s="159">
        <v>604933</v>
      </c>
      <c r="B2533" s="159">
        <v>1</v>
      </c>
      <c r="C2533" s="158" t="str">
        <f t="shared" si="40"/>
        <v>1</v>
      </c>
    </row>
    <row r="2534" spans="1:3" x14ac:dyDescent="0.25">
      <c r="A2534" s="159">
        <v>604934</v>
      </c>
      <c r="B2534" s="159">
        <v>1</v>
      </c>
      <c r="C2534" s="158" t="str">
        <f t="shared" si="40"/>
        <v>1</v>
      </c>
    </row>
    <row r="2535" spans="1:3" x14ac:dyDescent="0.25">
      <c r="A2535" s="159">
        <v>604941</v>
      </c>
      <c r="B2535" s="159">
        <v>1</v>
      </c>
      <c r="C2535" s="158" t="str">
        <f t="shared" si="40"/>
        <v>1</v>
      </c>
    </row>
    <row r="2536" spans="1:3" x14ac:dyDescent="0.25">
      <c r="A2536" s="159">
        <v>604954</v>
      </c>
      <c r="B2536" s="159">
        <v>1</v>
      </c>
      <c r="C2536" s="158" t="str">
        <f t="shared" si="40"/>
        <v>1</v>
      </c>
    </row>
    <row r="2537" spans="1:3" x14ac:dyDescent="0.25">
      <c r="A2537" s="159">
        <v>604955</v>
      </c>
      <c r="B2537" s="159">
        <v>1</v>
      </c>
      <c r="C2537" s="158" t="str">
        <f t="shared" si="40"/>
        <v>1</v>
      </c>
    </row>
    <row r="2538" spans="1:3" x14ac:dyDescent="0.25">
      <c r="A2538" s="159">
        <v>604956</v>
      </c>
      <c r="B2538" s="159">
        <v>1</v>
      </c>
      <c r="C2538" s="158" t="str">
        <f t="shared" si="40"/>
        <v>1</v>
      </c>
    </row>
    <row r="2539" spans="1:3" x14ac:dyDescent="0.25">
      <c r="A2539" s="159">
        <v>604957</v>
      </c>
      <c r="B2539" s="159">
        <v>1</v>
      </c>
      <c r="C2539" s="158" t="str">
        <f t="shared" si="40"/>
        <v>1</v>
      </c>
    </row>
    <row r="2540" spans="1:3" x14ac:dyDescent="0.25">
      <c r="A2540" s="159">
        <v>604958</v>
      </c>
      <c r="B2540" s="159">
        <v>1</v>
      </c>
      <c r="C2540" s="158" t="str">
        <f t="shared" si="40"/>
        <v>1</v>
      </c>
    </row>
    <row r="2541" spans="1:3" x14ac:dyDescent="0.25">
      <c r="A2541" s="159">
        <v>604959</v>
      </c>
      <c r="B2541" s="159">
        <v>1</v>
      </c>
      <c r="C2541" s="158" t="str">
        <f t="shared" si="40"/>
        <v>1</v>
      </c>
    </row>
    <row r="2542" spans="1:3" x14ac:dyDescent="0.25">
      <c r="A2542" s="159">
        <v>604960</v>
      </c>
      <c r="B2542" s="159">
        <v>1</v>
      </c>
      <c r="C2542" s="158" t="str">
        <f t="shared" si="40"/>
        <v>1</v>
      </c>
    </row>
    <row r="2543" spans="1:3" x14ac:dyDescent="0.25">
      <c r="A2543" s="159">
        <v>604961</v>
      </c>
      <c r="B2543" s="159">
        <v>1</v>
      </c>
      <c r="C2543" s="158" t="str">
        <f t="shared" si="40"/>
        <v>1</v>
      </c>
    </row>
    <row r="2544" spans="1:3" x14ac:dyDescent="0.25">
      <c r="A2544" s="159">
        <v>604962</v>
      </c>
      <c r="B2544" s="159">
        <v>1</v>
      </c>
      <c r="C2544" s="158" t="str">
        <f t="shared" si="40"/>
        <v>1</v>
      </c>
    </row>
    <row r="2545" spans="1:3" x14ac:dyDescent="0.25">
      <c r="A2545" s="159">
        <v>604963</v>
      </c>
      <c r="B2545" s="159">
        <v>1</v>
      </c>
      <c r="C2545" s="158" t="str">
        <f t="shared" si="40"/>
        <v>1</v>
      </c>
    </row>
    <row r="2546" spans="1:3" x14ac:dyDescent="0.25">
      <c r="A2546" s="159">
        <v>604964</v>
      </c>
      <c r="B2546" s="159">
        <v>1</v>
      </c>
      <c r="C2546" s="158" t="str">
        <f t="shared" si="40"/>
        <v>1</v>
      </c>
    </row>
    <row r="2547" spans="1:3" x14ac:dyDescent="0.25">
      <c r="A2547" s="159">
        <v>604965</v>
      </c>
      <c r="B2547" s="159">
        <v>1</v>
      </c>
      <c r="C2547" s="158" t="str">
        <f t="shared" si="40"/>
        <v>1</v>
      </c>
    </row>
    <row r="2548" spans="1:3" x14ac:dyDescent="0.25">
      <c r="A2548" s="159">
        <v>604966</v>
      </c>
      <c r="B2548" s="159">
        <v>1</v>
      </c>
      <c r="C2548" s="158" t="str">
        <f t="shared" si="40"/>
        <v>1</v>
      </c>
    </row>
    <row r="2549" spans="1:3" x14ac:dyDescent="0.25">
      <c r="A2549" s="159">
        <v>604967</v>
      </c>
      <c r="B2549" s="159">
        <v>1</v>
      </c>
      <c r="C2549" s="158" t="str">
        <f t="shared" si="40"/>
        <v>1</v>
      </c>
    </row>
    <row r="2550" spans="1:3" x14ac:dyDescent="0.25">
      <c r="A2550" s="159">
        <v>604982</v>
      </c>
      <c r="B2550" s="159">
        <v>1</v>
      </c>
      <c r="C2550" s="158" t="str">
        <f t="shared" si="40"/>
        <v>1</v>
      </c>
    </row>
    <row r="2551" spans="1:3" x14ac:dyDescent="0.25">
      <c r="A2551" s="159">
        <v>604983</v>
      </c>
      <c r="B2551" s="159">
        <v>1</v>
      </c>
      <c r="C2551" s="158" t="str">
        <f t="shared" si="40"/>
        <v>1</v>
      </c>
    </row>
    <row r="2552" spans="1:3" x14ac:dyDescent="0.25">
      <c r="A2552" s="159">
        <v>604984</v>
      </c>
      <c r="B2552" s="159">
        <v>1</v>
      </c>
      <c r="C2552" s="158" t="str">
        <f t="shared" si="40"/>
        <v>1</v>
      </c>
    </row>
    <row r="2553" spans="1:3" x14ac:dyDescent="0.25">
      <c r="A2553" s="159">
        <v>604985</v>
      </c>
      <c r="B2553" s="159">
        <v>1</v>
      </c>
      <c r="C2553" s="158" t="str">
        <f t="shared" si="40"/>
        <v>1</v>
      </c>
    </row>
    <row r="2554" spans="1:3" x14ac:dyDescent="0.25">
      <c r="A2554" s="159">
        <v>605061</v>
      </c>
      <c r="B2554" s="159">
        <v>3</v>
      </c>
      <c r="C2554" s="158" t="str">
        <f t="shared" si="40"/>
        <v>3</v>
      </c>
    </row>
    <row r="2555" spans="1:3" x14ac:dyDescent="0.25">
      <c r="A2555" s="159">
        <v>605062</v>
      </c>
      <c r="B2555" s="159">
        <v>1</v>
      </c>
      <c r="C2555" s="158" t="str">
        <f t="shared" si="40"/>
        <v>1</v>
      </c>
    </row>
    <row r="2556" spans="1:3" x14ac:dyDescent="0.25">
      <c r="A2556" s="159">
        <v>605096</v>
      </c>
      <c r="B2556" s="159">
        <v>1</v>
      </c>
      <c r="C2556" s="158" t="str">
        <f t="shared" si="40"/>
        <v>1</v>
      </c>
    </row>
    <row r="2557" spans="1:3" x14ac:dyDescent="0.25">
      <c r="A2557" s="159">
        <v>605097</v>
      </c>
      <c r="B2557" s="159">
        <v>1</v>
      </c>
      <c r="C2557" s="158" t="str">
        <f t="shared" si="40"/>
        <v>1</v>
      </c>
    </row>
    <row r="2558" spans="1:3" x14ac:dyDescent="0.25">
      <c r="A2558" s="159">
        <v>605290</v>
      </c>
      <c r="B2558" s="159">
        <v>5</v>
      </c>
      <c r="C2558" s="158" t="str">
        <f t="shared" si="40"/>
        <v>5</v>
      </c>
    </row>
    <row r="2559" spans="1:3" x14ac:dyDescent="0.25">
      <c r="A2559" s="159">
        <v>605291</v>
      </c>
      <c r="B2559" s="159">
        <v>3</v>
      </c>
      <c r="C2559" s="158" t="str">
        <f t="shared" si="40"/>
        <v>3</v>
      </c>
    </row>
    <row r="2560" spans="1:3" x14ac:dyDescent="0.25">
      <c r="A2560" s="159">
        <v>605293</v>
      </c>
      <c r="B2560" s="159">
        <v>1</v>
      </c>
      <c r="C2560" s="158" t="str">
        <f t="shared" si="40"/>
        <v>1</v>
      </c>
    </row>
    <row r="2561" spans="1:3" x14ac:dyDescent="0.25">
      <c r="A2561" s="159">
        <v>605294</v>
      </c>
      <c r="B2561" s="159">
        <v>1</v>
      </c>
      <c r="C2561" s="158" t="str">
        <f t="shared" si="40"/>
        <v>1</v>
      </c>
    </row>
    <row r="2562" spans="1:3" x14ac:dyDescent="0.25">
      <c r="A2562" s="159">
        <v>605295</v>
      </c>
      <c r="B2562" s="159">
        <v>1</v>
      </c>
      <c r="C2562" s="158" t="str">
        <f t="shared" si="40"/>
        <v>1</v>
      </c>
    </row>
    <row r="2563" spans="1:3" x14ac:dyDescent="0.25">
      <c r="A2563" s="159">
        <v>605296</v>
      </c>
      <c r="B2563" s="159">
        <v>1</v>
      </c>
      <c r="C2563" s="158" t="str">
        <f t="shared" si="40"/>
        <v>1</v>
      </c>
    </row>
    <row r="2564" spans="1:3" x14ac:dyDescent="0.25">
      <c r="A2564" s="159">
        <v>605358</v>
      </c>
      <c r="B2564" s="159">
        <v>1</v>
      </c>
      <c r="C2564" s="158" t="str">
        <f t="shared" si="40"/>
        <v>1</v>
      </c>
    </row>
    <row r="2565" spans="1:3" x14ac:dyDescent="0.25">
      <c r="A2565" s="159">
        <v>605360</v>
      </c>
      <c r="B2565" s="159">
        <v>1</v>
      </c>
      <c r="C2565" s="158" t="str">
        <f t="shared" si="40"/>
        <v>1</v>
      </c>
    </row>
    <row r="2566" spans="1:3" x14ac:dyDescent="0.25">
      <c r="A2566" s="159">
        <v>605361</v>
      </c>
      <c r="B2566" s="159">
        <v>1</v>
      </c>
      <c r="C2566" s="158" t="str">
        <f t="shared" si="40"/>
        <v>1</v>
      </c>
    </row>
    <row r="2567" spans="1:3" x14ac:dyDescent="0.25">
      <c r="A2567" s="159">
        <v>605460</v>
      </c>
      <c r="B2567" s="159">
        <v>1</v>
      </c>
      <c r="C2567" s="158" t="str">
        <f t="shared" si="40"/>
        <v>1</v>
      </c>
    </row>
    <row r="2568" spans="1:3" x14ac:dyDescent="0.25">
      <c r="A2568" s="159">
        <v>605461</v>
      </c>
      <c r="B2568" s="159">
        <v>1</v>
      </c>
      <c r="C2568" s="158" t="str">
        <f t="shared" si="40"/>
        <v>1</v>
      </c>
    </row>
    <row r="2569" spans="1:3" x14ac:dyDescent="0.25">
      <c r="A2569" s="159">
        <v>605500</v>
      </c>
      <c r="B2569" s="159">
        <v>3</v>
      </c>
      <c r="C2569" s="158" t="str">
        <f t="shared" si="40"/>
        <v>3</v>
      </c>
    </row>
    <row r="2570" spans="1:3" x14ac:dyDescent="0.25">
      <c r="A2570" s="159">
        <v>605501</v>
      </c>
      <c r="B2570" s="159">
        <v>1</v>
      </c>
      <c r="C2570" s="158" t="str">
        <f t="shared" si="40"/>
        <v>1</v>
      </c>
    </row>
    <row r="2571" spans="1:3" x14ac:dyDescent="0.25">
      <c r="A2571" s="159">
        <v>605502</v>
      </c>
      <c r="B2571" s="159">
        <v>1</v>
      </c>
      <c r="C2571" s="158" t="str">
        <f t="shared" si="40"/>
        <v>1</v>
      </c>
    </row>
    <row r="2572" spans="1:3" x14ac:dyDescent="0.25">
      <c r="A2572" s="159">
        <v>605503</v>
      </c>
      <c r="B2572" s="159">
        <v>1</v>
      </c>
      <c r="C2572" s="158" t="str">
        <f t="shared" si="40"/>
        <v>1</v>
      </c>
    </row>
    <row r="2573" spans="1:3" x14ac:dyDescent="0.25">
      <c r="A2573" s="159">
        <v>605504</v>
      </c>
      <c r="B2573" s="159">
        <v>1</v>
      </c>
      <c r="C2573" s="158" t="str">
        <f t="shared" ref="C2573:C2636" si="41">IF(OR(B2573=0,B2573=1,B2573=2,B2573=3,B2573=4,B2573=5),TEXT(B2573,"0"),B2573)</f>
        <v>1</v>
      </c>
    </row>
    <row r="2574" spans="1:3" x14ac:dyDescent="0.25">
      <c r="A2574" s="159">
        <v>605505</v>
      </c>
      <c r="B2574" s="159">
        <v>1</v>
      </c>
      <c r="C2574" s="158" t="str">
        <f t="shared" si="41"/>
        <v>1</v>
      </c>
    </row>
    <row r="2575" spans="1:3" x14ac:dyDescent="0.25">
      <c r="A2575" s="159">
        <v>605930</v>
      </c>
      <c r="B2575" s="159">
        <v>3</v>
      </c>
      <c r="C2575" s="158" t="str">
        <f t="shared" si="41"/>
        <v>3</v>
      </c>
    </row>
    <row r="2576" spans="1:3" x14ac:dyDescent="0.25">
      <c r="A2576" s="159">
        <v>605940</v>
      </c>
      <c r="B2576" s="159">
        <v>1</v>
      </c>
      <c r="C2576" s="158" t="str">
        <f t="shared" si="41"/>
        <v>1</v>
      </c>
    </row>
    <row r="2577" spans="1:3" x14ac:dyDescent="0.25">
      <c r="A2577" s="159">
        <v>605942</v>
      </c>
      <c r="B2577" s="159">
        <v>1</v>
      </c>
      <c r="C2577" s="158" t="str">
        <f t="shared" si="41"/>
        <v>1</v>
      </c>
    </row>
    <row r="2578" spans="1:3" x14ac:dyDescent="0.25">
      <c r="A2578" s="159">
        <v>605943</v>
      </c>
      <c r="B2578" s="159">
        <v>1</v>
      </c>
      <c r="C2578" s="158" t="str">
        <f t="shared" si="41"/>
        <v>1</v>
      </c>
    </row>
    <row r="2579" spans="1:3" x14ac:dyDescent="0.25">
      <c r="A2579" s="159">
        <v>606065</v>
      </c>
      <c r="B2579" s="159">
        <v>1</v>
      </c>
      <c r="C2579" s="158" t="str">
        <f t="shared" si="41"/>
        <v>1</v>
      </c>
    </row>
    <row r="2580" spans="1:3" x14ac:dyDescent="0.25">
      <c r="A2580" s="159">
        <v>606066</v>
      </c>
      <c r="B2580" s="159">
        <v>1</v>
      </c>
      <c r="C2580" s="158" t="str">
        <f t="shared" si="41"/>
        <v>1</v>
      </c>
    </row>
    <row r="2581" spans="1:3" x14ac:dyDescent="0.25">
      <c r="A2581" s="159">
        <v>606071</v>
      </c>
      <c r="B2581" s="159" t="s">
        <v>437</v>
      </c>
      <c r="C2581" s="158" t="str">
        <f t="shared" si="41"/>
        <v>1S</v>
      </c>
    </row>
    <row r="2582" spans="1:3" x14ac:dyDescent="0.25">
      <c r="A2582" s="159">
        <v>606250</v>
      </c>
      <c r="B2582" s="159">
        <v>3</v>
      </c>
      <c r="C2582" s="158" t="str">
        <f t="shared" si="41"/>
        <v>3</v>
      </c>
    </row>
    <row r="2583" spans="1:3" x14ac:dyDescent="0.25">
      <c r="A2583" s="159">
        <v>606252</v>
      </c>
      <c r="B2583" s="159">
        <v>1</v>
      </c>
      <c r="C2583" s="158" t="str">
        <f t="shared" si="41"/>
        <v>1</v>
      </c>
    </row>
    <row r="2584" spans="1:3" x14ac:dyDescent="0.25">
      <c r="A2584" s="159">
        <v>606253</v>
      </c>
      <c r="B2584" s="159">
        <v>1</v>
      </c>
      <c r="C2584" s="158" t="str">
        <f t="shared" si="41"/>
        <v>1</v>
      </c>
    </row>
    <row r="2585" spans="1:3" x14ac:dyDescent="0.25">
      <c r="A2585" s="159">
        <v>606254</v>
      </c>
      <c r="B2585" s="159">
        <v>1</v>
      </c>
      <c r="C2585" s="158" t="str">
        <f t="shared" si="41"/>
        <v>1</v>
      </c>
    </row>
    <row r="2586" spans="1:3" x14ac:dyDescent="0.25">
      <c r="A2586" s="159">
        <v>606255</v>
      </c>
      <c r="B2586" s="159">
        <v>1</v>
      </c>
      <c r="C2586" s="158" t="str">
        <f t="shared" si="41"/>
        <v>1</v>
      </c>
    </row>
    <row r="2587" spans="1:3" x14ac:dyDescent="0.25">
      <c r="A2587" s="159">
        <v>606256</v>
      </c>
      <c r="B2587" s="159">
        <v>1</v>
      </c>
      <c r="C2587" s="158" t="str">
        <f t="shared" si="41"/>
        <v>1</v>
      </c>
    </row>
    <row r="2588" spans="1:3" x14ac:dyDescent="0.25">
      <c r="A2588" s="159">
        <v>606620</v>
      </c>
      <c r="B2588" s="159">
        <v>3</v>
      </c>
      <c r="C2588" s="158" t="str">
        <f t="shared" si="41"/>
        <v>3</v>
      </c>
    </row>
    <row r="2589" spans="1:3" x14ac:dyDescent="0.25">
      <c r="A2589" s="159">
        <v>606621</v>
      </c>
      <c r="B2589" s="159">
        <v>1</v>
      </c>
      <c r="C2589" s="158" t="str">
        <f t="shared" si="41"/>
        <v>1</v>
      </c>
    </row>
    <row r="2590" spans="1:3" x14ac:dyDescent="0.25">
      <c r="A2590" s="159">
        <v>606622</v>
      </c>
      <c r="B2590" s="159">
        <v>1</v>
      </c>
      <c r="C2590" s="158" t="str">
        <f t="shared" si="41"/>
        <v>1</v>
      </c>
    </row>
    <row r="2591" spans="1:3" x14ac:dyDescent="0.25">
      <c r="A2591" s="159">
        <v>606623</v>
      </c>
      <c r="B2591" s="159">
        <v>1</v>
      </c>
      <c r="C2591" s="158" t="str">
        <f t="shared" si="41"/>
        <v>1</v>
      </c>
    </row>
    <row r="2592" spans="1:3" x14ac:dyDescent="0.25">
      <c r="A2592" s="159">
        <v>606624</v>
      </c>
      <c r="B2592" s="159">
        <v>1</v>
      </c>
      <c r="C2592" s="158" t="str">
        <f t="shared" si="41"/>
        <v>1</v>
      </c>
    </row>
    <row r="2593" spans="1:3" x14ac:dyDescent="0.25">
      <c r="A2593" s="159">
        <v>606625</v>
      </c>
      <c r="B2593" s="159">
        <v>1</v>
      </c>
      <c r="C2593" s="158" t="str">
        <f t="shared" si="41"/>
        <v>1</v>
      </c>
    </row>
    <row r="2594" spans="1:3" x14ac:dyDescent="0.25">
      <c r="A2594" s="159">
        <v>606640</v>
      </c>
      <c r="B2594" s="159">
        <v>1</v>
      </c>
      <c r="C2594" s="158" t="str">
        <f t="shared" si="41"/>
        <v>1</v>
      </c>
    </row>
    <row r="2595" spans="1:3" x14ac:dyDescent="0.25">
      <c r="A2595" s="159">
        <v>606641</v>
      </c>
      <c r="B2595" s="159">
        <v>1</v>
      </c>
      <c r="C2595" s="158" t="str">
        <f t="shared" si="41"/>
        <v>1</v>
      </c>
    </row>
    <row r="2596" spans="1:3" x14ac:dyDescent="0.25">
      <c r="A2596" s="159">
        <v>606642</v>
      </c>
      <c r="B2596" s="159">
        <v>1</v>
      </c>
      <c r="C2596" s="158" t="str">
        <f t="shared" si="41"/>
        <v>1</v>
      </c>
    </row>
    <row r="2597" spans="1:3" x14ac:dyDescent="0.25">
      <c r="A2597" s="159">
        <v>606643</v>
      </c>
      <c r="B2597" s="159">
        <v>1</v>
      </c>
      <c r="C2597" s="158" t="str">
        <f t="shared" si="41"/>
        <v>1</v>
      </c>
    </row>
    <row r="2598" spans="1:3" x14ac:dyDescent="0.25">
      <c r="A2598" s="159">
        <v>606644</v>
      </c>
      <c r="B2598" s="159">
        <v>1</v>
      </c>
      <c r="C2598" s="158" t="str">
        <f t="shared" si="41"/>
        <v>1</v>
      </c>
    </row>
    <row r="2599" spans="1:3" x14ac:dyDescent="0.25">
      <c r="A2599" s="159">
        <v>606645</v>
      </c>
      <c r="B2599" s="159">
        <v>1</v>
      </c>
      <c r="C2599" s="158" t="str">
        <f t="shared" si="41"/>
        <v>1</v>
      </c>
    </row>
    <row r="2600" spans="1:3" x14ac:dyDescent="0.25">
      <c r="A2600" s="159">
        <v>606804</v>
      </c>
      <c r="B2600" s="159">
        <v>4</v>
      </c>
      <c r="C2600" s="158" t="str">
        <f t="shared" si="41"/>
        <v>4</v>
      </c>
    </row>
    <row r="2601" spans="1:3" x14ac:dyDescent="0.25">
      <c r="A2601" s="159">
        <v>607430</v>
      </c>
      <c r="B2601" s="159">
        <v>1</v>
      </c>
      <c r="C2601" s="158" t="str">
        <f t="shared" si="41"/>
        <v>1</v>
      </c>
    </row>
    <row r="2602" spans="1:3" x14ac:dyDescent="0.25">
      <c r="A2602" s="159">
        <v>607431</v>
      </c>
      <c r="B2602" s="159">
        <v>1</v>
      </c>
      <c r="C2602" s="158" t="str">
        <f t="shared" si="41"/>
        <v>1</v>
      </c>
    </row>
    <row r="2603" spans="1:3" x14ac:dyDescent="0.25">
      <c r="A2603" s="159">
        <v>607564</v>
      </c>
      <c r="B2603" s="159">
        <v>1</v>
      </c>
      <c r="C2603" s="158" t="str">
        <f t="shared" si="41"/>
        <v>1</v>
      </c>
    </row>
    <row r="2604" spans="1:3" x14ac:dyDescent="0.25">
      <c r="A2604" s="159">
        <v>607565</v>
      </c>
      <c r="B2604" s="159">
        <v>1</v>
      </c>
      <c r="C2604" s="158" t="str">
        <f t="shared" si="41"/>
        <v>1</v>
      </c>
    </row>
    <row r="2605" spans="1:3" x14ac:dyDescent="0.25">
      <c r="A2605" s="159">
        <v>607652</v>
      </c>
      <c r="B2605" s="159">
        <v>1</v>
      </c>
      <c r="C2605" s="158" t="str">
        <f t="shared" si="41"/>
        <v>1</v>
      </c>
    </row>
    <row r="2606" spans="1:3" x14ac:dyDescent="0.25">
      <c r="A2606" s="159">
        <v>607660</v>
      </c>
      <c r="B2606" s="159">
        <v>5</v>
      </c>
      <c r="C2606" s="158" t="str">
        <f t="shared" si="41"/>
        <v>5</v>
      </c>
    </row>
    <row r="2607" spans="1:3" x14ac:dyDescent="0.25">
      <c r="A2607" s="159">
        <v>607661</v>
      </c>
      <c r="B2607" s="159">
        <v>1</v>
      </c>
      <c r="C2607" s="158" t="str">
        <f t="shared" si="41"/>
        <v>1</v>
      </c>
    </row>
    <row r="2608" spans="1:3" x14ac:dyDescent="0.25">
      <c r="A2608" s="159">
        <v>607662</v>
      </c>
      <c r="B2608" s="159">
        <v>1</v>
      </c>
      <c r="C2608" s="158" t="str">
        <f t="shared" si="41"/>
        <v>1</v>
      </c>
    </row>
    <row r="2609" spans="1:3" x14ac:dyDescent="0.25">
      <c r="A2609" s="159">
        <v>607663</v>
      </c>
      <c r="B2609" s="159">
        <v>1</v>
      </c>
      <c r="C2609" s="158" t="str">
        <f t="shared" si="41"/>
        <v>1</v>
      </c>
    </row>
    <row r="2610" spans="1:3" x14ac:dyDescent="0.25">
      <c r="A2610" s="159">
        <v>607664</v>
      </c>
      <c r="B2610" s="159">
        <v>1</v>
      </c>
      <c r="C2610" s="158" t="str">
        <f t="shared" si="41"/>
        <v>1</v>
      </c>
    </row>
    <row r="2611" spans="1:3" x14ac:dyDescent="0.25">
      <c r="A2611" s="159">
        <v>607665</v>
      </c>
      <c r="B2611" s="159">
        <v>1</v>
      </c>
      <c r="C2611" s="158" t="str">
        <f t="shared" si="41"/>
        <v>1</v>
      </c>
    </row>
    <row r="2612" spans="1:3" x14ac:dyDescent="0.25">
      <c r="A2612" s="159">
        <v>607666</v>
      </c>
      <c r="B2612" s="159">
        <v>1</v>
      </c>
      <c r="C2612" s="158" t="str">
        <f t="shared" si="41"/>
        <v>1</v>
      </c>
    </row>
    <row r="2613" spans="1:3" x14ac:dyDescent="0.25">
      <c r="A2613" s="159">
        <v>607667</v>
      </c>
      <c r="B2613" s="159">
        <v>1</v>
      </c>
      <c r="C2613" s="158" t="str">
        <f t="shared" si="41"/>
        <v>1</v>
      </c>
    </row>
    <row r="2614" spans="1:3" x14ac:dyDescent="0.25">
      <c r="A2614" s="159">
        <v>607680</v>
      </c>
      <c r="B2614" s="159">
        <v>4</v>
      </c>
      <c r="C2614" s="158" t="str">
        <f t="shared" si="41"/>
        <v>4</v>
      </c>
    </row>
    <row r="2615" spans="1:3" x14ac:dyDescent="0.25">
      <c r="A2615" s="159">
        <v>607681</v>
      </c>
      <c r="B2615" s="159">
        <v>1</v>
      </c>
      <c r="C2615" s="158" t="str">
        <f t="shared" si="41"/>
        <v>1</v>
      </c>
    </row>
    <row r="2616" spans="1:3" x14ac:dyDescent="0.25">
      <c r="A2616" s="159">
        <v>607682</v>
      </c>
      <c r="B2616" s="159">
        <v>1</v>
      </c>
      <c r="C2616" s="158" t="str">
        <f t="shared" si="41"/>
        <v>1</v>
      </c>
    </row>
    <row r="2617" spans="1:3" x14ac:dyDescent="0.25">
      <c r="A2617" s="159">
        <v>607683</v>
      </c>
      <c r="B2617" s="159">
        <v>1</v>
      </c>
      <c r="C2617" s="158" t="str">
        <f t="shared" si="41"/>
        <v>1</v>
      </c>
    </row>
    <row r="2618" spans="1:3" x14ac:dyDescent="0.25">
      <c r="A2618" s="159">
        <v>607684</v>
      </c>
      <c r="B2618" s="159">
        <v>1</v>
      </c>
      <c r="C2618" s="158" t="str">
        <f t="shared" si="41"/>
        <v>1</v>
      </c>
    </row>
    <row r="2619" spans="1:3" x14ac:dyDescent="0.25">
      <c r="A2619" s="159">
        <v>607685</v>
      </c>
      <c r="B2619" s="159">
        <v>1</v>
      </c>
      <c r="C2619" s="158" t="str">
        <f t="shared" si="41"/>
        <v>1</v>
      </c>
    </row>
    <row r="2620" spans="1:3" x14ac:dyDescent="0.25">
      <c r="A2620" s="159">
        <v>607701</v>
      </c>
      <c r="B2620" s="159">
        <v>1</v>
      </c>
      <c r="C2620" s="158" t="str">
        <f t="shared" si="41"/>
        <v>1</v>
      </c>
    </row>
    <row r="2621" spans="1:3" x14ac:dyDescent="0.25">
      <c r="A2621" s="159">
        <v>607702</v>
      </c>
      <c r="B2621" s="159">
        <v>1</v>
      </c>
      <c r="C2621" s="158" t="str">
        <f t="shared" si="41"/>
        <v>1</v>
      </c>
    </row>
    <row r="2622" spans="1:3" x14ac:dyDescent="0.25">
      <c r="A2622" s="159">
        <v>607703</v>
      </c>
      <c r="B2622" s="159">
        <v>1</v>
      </c>
      <c r="C2622" s="158" t="str">
        <f t="shared" si="41"/>
        <v>1</v>
      </c>
    </row>
    <row r="2623" spans="1:3" x14ac:dyDescent="0.25">
      <c r="A2623" s="159">
        <v>607704</v>
      </c>
      <c r="B2623" s="159">
        <v>1</v>
      </c>
      <c r="C2623" s="158" t="str">
        <f t="shared" si="41"/>
        <v>1</v>
      </c>
    </row>
    <row r="2624" spans="1:3" x14ac:dyDescent="0.25">
      <c r="A2624" s="159">
        <v>607705</v>
      </c>
      <c r="B2624" s="159">
        <v>1</v>
      </c>
      <c r="C2624" s="158" t="str">
        <f t="shared" si="41"/>
        <v>1</v>
      </c>
    </row>
    <row r="2625" spans="1:3" x14ac:dyDescent="0.25">
      <c r="A2625" s="159">
        <v>607720</v>
      </c>
      <c r="B2625" s="159">
        <v>3</v>
      </c>
      <c r="C2625" s="158" t="str">
        <f t="shared" si="41"/>
        <v>3</v>
      </c>
    </row>
    <row r="2626" spans="1:3" x14ac:dyDescent="0.25">
      <c r="A2626" s="159">
        <v>607721</v>
      </c>
      <c r="B2626" s="159">
        <v>1</v>
      </c>
      <c r="C2626" s="158" t="str">
        <f t="shared" si="41"/>
        <v>1</v>
      </c>
    </row>
    <row r="2627" spans="1:3" x14ac:dyDescent="0.25">
      <c r="A2627" s="159">
        <v>607722</v>
      </c>
      <c r="B2627" s="159">
        <v>1</v>
      </c>
      <c r="C2627" s="158" t="str">
        <f t="shared" si="41"/>
        <v>1</v>
      </c>
    </row>
    <row r="2628" spans="1:3" x14ac:dyDescent="0.25">
      <c r="A2628" s="159">
        <v>607723</v>
      </c>
      <c r="B2628" s="159">
        <v>1</v>
      </c>
      <c r="C2628" s="158" t="str">
        <f t="shared" si="41"/>
        <v>1</v>
      </c>
    </row>
    <row r="2629" spans="1:3" x14ac:dyDescent="0.25">
      <c r="A2629" s="159">
        <v>607724</v>
      </c>
      <c r="B2629" s="159">
        <v>1</v>
      </c>
      <c r="C2629" s="158" t="str">
        <f t="shared" si="41"/>
        <v>1</v>
      </c>
    </row>
    <row r="2630" spans="1:3" x14ac:dyDescent="0.25">
      <c r="A2630" s="159">
        <v>607725</v>
      </c>
      <c r="B2630" s="159">
        <v>1</v>
      </c>
      <c r="C2630" s="158" t="str">
        <f t="shared" si="41"/>
        <v>1</v>
      </c>
    </row>
    <row r="2631" spans="1:3" x14ac:dyDescent="0.25">
      <c r="A2631" s="159">
        <v>607730</v>
      </c>
      <c r="B2631" s="159">
        <v>2</v>
      </c>
      <c r="C2631" s="158" t="str">
        <f t="shared" si="41"/>
        <v>2</v>
      </c>
    </row>
    <row r="2632" spans="1:3" x14ac:dyDescent="0.25">
      <c r="A2632" s="159">
        <v>607731</v>
      </c>
      <c r="B2632" s="159">
        <v>1</v>
      </c>
      <c r="C2632" s="158" t="str">
        <f t="shared" si="41"/>
        <v>1</v>
      </c>
    </row>
    <row r="2633" spans="1:3" x14ac:dyDescent="0.25">
      <c r="A2633" s="159">
        <v>607732</v>
      </c>
      <c r="B2633" s="159">
        <v>1</v>
      </c>
      <c r="C2633" s="158" t="str">
        <f t="shared" si="41"/>
        <v>1</v>
      </c>
    </row>
    <row r="2634" spans="1:3" x14ac:dyDescent="0.25">
      <c r="A2634" s="159">
        <v>607733</v>
      </c>
      <c r="B2634" s="159">
        <v>1</v>
      </c>
      <c r="C2634" s="158" t="str">
        <f t="shared" si="41"/>
        <v>1</v>
      </c>
    </row>
    <row r="2635" spans="1:3" x14ac:dyDescent="0.25">
      <c r="A2635" s="159">
        <v>607810</v>
      </c>
      <c r="B2635" s="159">
        <v>1</v>
      </c>
      <c r="C2635" s="158" t="str">
        <f t="shared" si="41"/>
        <v>1</v>
      </c>
    </row>
    <row r="2636" spans="1:3" x14ac:dyDescent="0.25">
      <c r="A2636" s="159">
        <v>607820</v>
      </c>
      <c r="B2636" s="159">
        <v>1</v>
      </c>
      <c r="C2636" s="158" t="str">
        <f t="shared" si="41"/>
        <v>1</v>
      </c>
    </row>
    <row r="2637" spans="1:3" x14ac:dyDescent="0.25">
      <c r="A2637" s="159">
        <v>607821</v>
      </c>
      <c r="B2637" s="159">
        <v>1</v>
      </c>
      <c r="C2637" s="158" t="str">
        <f t="shared" ref="C2637:C2677" si="42">IF(OR(B2637=0,B2637=1,B2637=2,B2637=3,B2637=4,B2637=5),TEXT(B2637,"0"),B2637)</f>
        <v>1</v>
      </c>
    </row>
    <row r="2638" spans="1:3" x14ac:dyDescent="0.25">
      <c r="A2638" s="159">
        <v>607822</v>
      </c>
      <c r="B2638" s="159">
        <v>1</v>
      </c>
      <c r="C2638" s="158" t="str">
        <f t="shared" si="42"/>
        <v>1</v>
      </c>
    </row>
    <row r="2639" spans="1:3" x14ac:dyDescent="0.25">
      <c r="A2639" s="159">
        <v>607841</v>
      </c>
      <c r="B2639" s="159">
        <v>1</v>
      </c>
      <c r="C2639" s="158" t="str">
        <f t="shared" si="42"/>
        <v>1</v>
      </c>
    </row>
    <row r="2640" spans="1:3" x14ac:dyDescent="0.25">
      <c r="A2640" s="159">
        <v>607860</v>
      </c>
      <c r="B2640" s="159">
        <v>1</v>
      </c>
      <c r="C2640" s="158" t="str">
        <f t="shared" si="42"/>
        <v>1</v>
      </c>
    </row>
    <row r="2641" spans="1:3" x14ac:dyDescent="0.25">
      <c r="A2641" s="159">
        <v>607861</v>
      </c>
      <c r="B2641" s="159">
        <v>1</v>
      </c>
      <c r="C2641" s="158" t="str">
        <f t="shared" si="42"/>
        <v>1</v>
      </c>
    </row>
    <row r="2642" spans="1:3" x14ac:dyDescent="0.25">
      <c r="A2642" s="159">
        <v>607870</v>
      </c>
      <c r="B2642" s="159">
        <v>1</v>
      </c>
      <c r="C2642" s="158" t="str">
        <f t="shared" si="42"/>
        <v>1</v>
      </c>
    </row>
    <row r="2643" spans="1:3" x14ac:dyDescent="0.25">
      <c r="A2643" s="159">
        <v>607871</v>
      </c>
      <c r="B2643" s="159">
        <v>1</v>
      </c>
      <c r="C2643" s="158" t="str">
        <f t="shared" si="42"/>
        <v>1</v>
      </c>
    </row>
    <row r="2644" spans="1:3" x14ac:dyDescent="0.25">
      <c r="A2644" s="159">
        <v>607880</v>
      </c>
      <c r="B2644" s="159">
        <v>1</v>
      </c>
      <c r="C2644" s="158" t="str">
        <f t="shared" si="42"/>
        <v>1</v>
      </c>
    </row>
    <row r="2645" spans="1:3" x14ac:dyDescent="0.25">
      <c r="A2645" s="159">
        <v>607881</v>
      </c>
      <c r="B2645" s="159">
        <v>1</v>
      </c>
      <c r="C2645" s="158" t="str">
        <f t="shared" si="42"/>
        <v>1</v>
      </c>
    </row>
    <row r="2646" spans="1:3" x14ac:dyDescent="0.25">
      <c r="A2646" s="159">
        <v>607882</v>
      </c>
      <c r="B2646" s="159">
        <v>1</v>
      </c>
      <c r="C2646" s="158" t="str">
        <f t="shared" si="42"/>
        <v>1</v>
      </c>
    </row>
    <row r="2647" spans="1:3" x14ac:dyDescent="0.25">
      <c r="A2647" s="159">
        <v>607883</v>
      </c>
      <c r="B2647" s="159">
        <v>1</v>
      </c>
      <c r="C2647" s="158" t="str">
        <f t="shared" si="42"/>
        <v>1</v>
      </c>
    </row>
    <row r="2648" spans="1:3" x14ac:dyDescent="0.25">
      <c r="A2648" s="159">
        <v>607980</v>
      </c>
      <c r="B2648" s="159">
        <v>2</v>
      </c>
      <c r="C2648" s="158" t="str">
        <f t="shared" si="42"/>
        <v>2</v>
      </c>
    </row>
    <row r="2649" spans="1:3" x14ac:dyDescent="0.25">
      <c r="A2649" s="159">
        <v>607981</v>
      </c>
      <c r="B2649" s="159">
        <v>1</v>
      </c>
      <c r="C2649" s="158" t="str">
        <f t="shared" si="42"/>
        <v>1</v>
      </c>
    </row>
    <row r="2650" spans="1:3" x14ac:dyDescent="0.25">
      <c r="A2650" s="159">
        <v>607982</v>
      </c>
      <c r="B2650" s="159">
        <v>1</v>
      </c>
      <c r="C2650" s="158" t="str">
        <f t="shared" si="42"/>
        <v>1</v>
      </c>
    </row>
    <row r="2651" spans="1:3" x14ac:dyDescent="0.25">
      <c r="A2651" s="159">
        <v>607983</v>
      </c>
      <c r="B2651" s="159">
        <v>1</v>
      </c>
      <c r="C2651" s="158" t="str">
        <f t="shared" si="42"/>
        <v>1</v>
      </c>
    </row>
    <row r="2652" spans="1:3" x14ac:dyDescent="0.25">
      <c r="A2652" s="159">
        <v>607984</v>
      </c>
      <c r="B2652" s="159">
        <v>1</v>
      </c>
      <c r="C2652" s="158" t="str">
        <f t="shared" si="42"/>
        <v>1</v>
      </c>
    </row>
    <row r="2653" spans="1:3" x14ac:dyDescent="0.25">
      <c r="A2653" s="159">
        <v>607985</v>
      </c>
      <c r="B2653" s="159">
        <v>1</v>
      </c>
      <c r="C2653" s="158" t="str">
        <f t="shared" si="42"/>
        <v>1</v>
      </c>
    </row>
    <row r="2654" spans="1:3" x14ac:dyDescent="0.25">
      <c r="A2654" s="159">
        <v>608140</v>
      </c>
      <c r="B2654" s="159">
        <v>1</v>
      </c>
      <c r="C2654" s="158" t="str">
        <f t="shared" si="42"/>
        <v>1</v>
      </c>
    </row>
    <row r="2655" spans="1:3" x14ac:dyDescent="0.25">
      <c r="A2655" s="159">
        <v>608200</v>
      </c>
      <c r="B2655" s="159" t="s">
        <v>437</v>
      </c>
      <c r="C2655" s="158" t="str">
        <f t="shared" si="42"/>
        <v>1S</v>
      </c>
    </row>
    <row r="2656" spans="1:3" x14ac:dyDescent="0.25">
      <c r="A2656" s="159">
        <v>608202</v>
      </c>
      <c r="B2656" s="159" t="s">
        <v>437</v>
      </c>
      <c r="C2656" s="158" t="str">
        <f t="shared" si="42"/>
        <v>1S</v>
      </c>
    </row>
    <row r="2657" spans="1:3" x14ac:dyDescent="0.25">
      <c r="A2657" s="159">
        <v>608203</v>
      </c>
      <c r="B2657" s="159">
        <v>1</v>
      </c>
      <c r="C2657" s="158" t="str">
        <f t="shared" si="42"/>
        <v>1</v>
      </c>
    </row>
    <row r="2658" spans="1:3" x14ac:dyDescent="0.25">
      <c r="A2658" s="159">
        <v>608204</v>
      </c>
      <c r="B2658" s="159">
        <v>1</v>
      </c>
      <c r="C2658" s="158" t="str">
        <f t="shared" si="42"/>
        <v>1</v>
      </c>
    </row>
    <row r="2659" spans="1:3" x14ac:dyDescent="0.25">
      <c r="A2659" s="159">
        <v>609470</v>
      </c>
      <c r="B2659" s="159">
        <v>1</v>
      </c>
      <c r="C2659" s="158" t="str">
        <f t="shared" si="42"/>
        <v>1</v>
      </c>
    </row>
    <row r="2660" spans="1:3" x14ac:dyDescent="0.25">
      <c r="A2660" s="159">
        <v>609471</v>
      </c>
      <c r="B2660" s="159">
        <v>1</v>
      </c>
      <c r="C2660" s="158" t="str">
        <f t="shared" si="42"/>
        <v>1</v>
      </c>
    </row>
    <row r="2661" spans="1:3" x14ac:dyDescent="0.25">
      <c r="A2661" s="159">
        <v>609472</v>
      </c>
      <c r="B2661" s="159">
        <v>1</v>
      </c>
      <c r="C2661" s="158" t="str">
        <f t="shared" si="42"/>
        <v>1</v>
      </c>
    </row>
    <row r="2662" spans="1:3" x14ac:dyDescent="0.25">
      <c r="A2662" s="159">
        <v>609473</v>
      </c>
      <c r="B2662" s="159">
        <v>1</v>
      </c>
      <c r="C2662" s="158" t="str">
        <f t="shared" si="42"/>
        <v>1</v>
      </c>
    </row>
    <row r="2663" spans="1:3" x14ac:dyDescent="0.25">
      <c r="A2663" s="159">
        <v>609481</v>
      </c>
      <c r="B2663" s="159">
        <v>1</v>
      </c>
      <c r="C2663" s="158" t="str">
        <f t="shared" si="42"/>
        <v>1</v>
      </c>
    </row>
    <row r="2664" spans="1:3" x14ac:dyDescent="0.25">
      <c r="A2664" s="159">
        <v>609482</v>
      </c>
      <c r="B2664" s="159">
        <v>1</v>
      </c>
      <c r="C2664" s="158" t="str">
        <f t="shared" si="42"/>
        <v>1</v>
      </c>
    </row>
    <row r="2665" spans="1:3" x14ac:dyDescent="0.25">
      <c r="A2665" s="159">
        <v>609560</v>
      </c>
      <c r="B2665" s="159">
        <v>1</v>
      </c>
      <c r="C2665" s="158" t="str">
        <f t="shared" si="42"/>
        <v>1</v>
      </c>
    </row>
    <row r="2666" spans="1:3" x14ac:dyDescent="0.25">
      <c r="A2666" s="159">
        <v>609561</v>
      </c>
      <c r="B2666" s="159">
        <v>1</v>
      </c>
      <c r="C2666" s="158" t="str">
        <f t="shared" si="42"/>
        <v>1</v>
      </c>
    </row>
    <row r="2667" spans="1:3" x14ac:dyDescent="0.25">
      <c r="A2667" s="159">
        <v>609562</v>
      </c>
      <c r="B2667" s="159">
        <v>1</v>
      </c>
      <c r="C2667" s="158" t="str">
        <f t="shared" si="42"/>
        <v>1</v>
      </c>
    </row>
    <row r="2668" spans="1:3" x14ac:dyDescent="0.25">
      <c r="A2668" s="159">
        <v>609563</v>
      </c>
      <c r="B2668" s="159">
        <v>1</v>
      </c>
      <c r="C2668" s="158" t="str">
        <f t="shared" si="42"/>
        <v>1</v>
      </c>
    </row>
    <row r="2669" spans="1:3" x14ac:dyDescent="0.25">
      <c r="A2669" s="159">
        <v>609564</v>
      </c>
      <c r="B2669" s="159">
        <v>1</v>
      </c>
      <c r="C2669" s="158" t="str">
        <f t="shared" si="42"/>
        <v>1</v>
      </c>
    </row>
    <row r="2670" spans="1:3" x14ac:dyDescent="0.25">
      <c r="A2670" s="159">
        <v>609691</v>
      </c>
      <c r="B2670" s="159">
        <v>1</v>
      </c>
      <c r="C2670" s="158" t="str">
        <f t="shared" si="42"/>
        <v>1</v>
      </c>
    </row>
    <row r="2671" spans="1:3" x14ac:dyDescent="0.25">
      <c r="A2671" s="159">
        <v>609692</v>
      </c>
      <c r="B2671" s="159">
        <v>1</v>
      </c>
      <c r="C2671" s="158" t="str">
        <f t="shared" si="42"/>
        <v>1</v>
      </c>
    </row>
    <row r="2672" spans="1:3" x14ac:dyDescent="0.25">
      <c r="A2672" s="159">
        <v>609693</v>
      </c>
      <c r="B2672" s="159">
        <v>1</v>
      </c>
      <c r="C2672" s="158" t="str">
        <f t="shared" si="42"/>
        <v>1</v>
      </c>
    </row>
    <row r="2673" spans="1:3" x14ac:dyDescent="0.25">
      <c r="A2673" s="159">
        <v>609694</v>
      </c>
      <c r="B2673" s="159">
        <v>1</v>
      </c>
      <c r="C2673" s="158" t="str">
        <f t="shared" si="42"/>
        <v>1</v>
      </c>
    </row>
    <row r="2674" spans="1:3" x14ac:dyDescent="0.25">
      <c r="A2674" s="159">
        <v>609695</v>
      </c>
      <c r="B2674" s="159">
        <v>1</v>
      </c>
      <c r="C2674" s="158" t="str">
        <f t="shared" si="42"/>
        <v>1</v>
      </c>
    </row>
    <row r="2675" spans="1:3" x14ac:dyDescent="0.25">
      <c r="A2675" s="159">
        <v>609696</v>
      </c>
      <c r="B2675" s="159">
        <v>1</v>
      </c>
      <c r="C2675" s="158" t="str">
        <f t="shared" si="42"/>
        <v>1</v>
      </c>
    </row>
    <row r="2676" spans="1:3" x14ac:dyDescent="0.25">
      <c r="A2676" s="159">
        <v>609701</v>
      </c>
      <c r="B2676" s="159">
        <v>1</v>
      </c>
      <c r="C2676" s="158" t="str">
        <f t="shared" si="42"/>
        <v>1</v>
      </c>
    </row>
    <row r="2677" spans="1:3" x14ac:dyDescent="0.25">
      <c r="A2677" s="159">
        <v>609712</v>
      </c>
      <c r="B2677" s="159">
        <v>1</v>
      </c>
      <c r="C2677" s="158" t="str">
        <f t="shared" si="42"/>
        <v>1</v>
      </c>
    </row>
    <row r="2678" spans="1:3" x14ac:dyDescent="0.25">
      <c r="A2678" s="159">
        <v>609713</v>
      </c>
      <c r="B2678" s="159">
        <v>1</v>
      </c>
      <c r="C2678" s="158" t="str">
        <f t="shared" ref="C2678:C2741" si="43">IF(OR(B2678=0,B2678=1,B2678=2,B2678=3,B2678=4,B2678=5),TEXT(B2678,"0"),B2678)</f>
        <v>1</v>
      </c>
    </row>
    <row r="2679" spans="1:3" x14ac:dyDescent="0.25">
      <c r="A2679" s="159">
        <v>609820</v>
      </c>
      <c r="B2679" s="159">
        <v>3</v>
      </c>
      <c r="C2679" s="158" t="str">
        <f t="shared" si="43"/>
        <v>3</v>
      </c>
    </row>
    <row r="2680" spans="1:3" x14ac:dyDescent="0.25">
      <c r="A2680" s="159">
        <v>609821</v>
      </c>
      <c r="B2680" s="159">
        <v>1</v>
      </c>
      <c r="C2680" s="158" t="str">
        <f t="shared" si="43"/>
        <v>1</v>
      </c>
    </row>
    <row r="2681" spans="1:3" x14ac:dyDescent="0.25">
      <c r="A2681" s="159">
        <v>609822</v>
      </c>
      <c r="B2681" s="159">
        <v>1</v>
      </c>
      <c r="C2681" s="158" t="str">
        <f t="shared" si="43"/>
        <v>1</v>
      </c>
    </row>
    <row r="2682" spans="1:3" x14ac:dyDescent="0.25">
      <c r="A2682" s="159">
        <v>609823</v>
      </c>
      <c r="B2682" s="159">
        <v>1</v>
      </c>
      <c r="C2682" s="158" t="str">
        <f t="shared" si="43"/>
        <v>1</v>
      </c>
    </row>
    <row r="2683" spans="1:3" x14ac:dyDescent="0.25">
      <c r="A2683" s="159">
        <v>609824</v>
      </c>
      <c r="B2683" s="159">
        <v>1</v>
      </c>
      <c r="C2683" s="158" t="str">
        <f t="shared" si="43"/>
        <v>1</v>
      </c>
    </row>
    <row r="2684" spans="1:3" x14ac:dyDescent="0.25">
      <c r="A2684" s="159">
        <v>609825</v>
      </c>
      <c r="B2684" s="159">
        <v>1</v>
      </c>
      <c r="C2684" s="158" t="str">
        <f t="shared" si="43"/>
        <v>1</v>
      </c>
    </row>
    <row r="2685" spans="1:3" x14ac:dyDescent="0.25">
      <c r="A2685" s="159">
        <v>609840</v>
      </c>
      <c r="B2685" s="159" t="s">
        <v>437</v>
      </c>
      <c r="C2685" s="158" t="str">
        <f t="shared" si="43"/>
        <v>1S</v>
      </c>
    </row>
    <row r="2686" spans="1:3" x14ac:dyDescent="0.25">
      <c r="A2686" s="159">
        <v>609841</v>
      </c>
      <c r="B2686" s="159">
        <v>1</v>
      </c>
      <c r="C2686" s="158" t="str">
        <f t="shared" si="43"/>
        <v>1</v>
      </c>
    </row>
    <row r="2687" spans="1:3" x14ac:dyDescent="0.25">
      <c r="A2687" s="159">
        <v>609842</v>
      </c>
      <c r="B2687" s="159">
        <v>1</v>
      </c>
      <c r="C2687" s="158" t="str">
        <f t="shared" si="43"/>
        <v>1</v>
      </c>
    </row>
    <row r="2688" spans="1:3" x14ac:dyDescent="0.25">
      <c r="A2688" s="159">
        <v>609843</v>
      </c>
      <c r="B2688" s="159">
        <v>1</v>
      </c>
      <c r="C2688" s="158" t="str">
        <f t="shared" si="43"/>
        <v>1</v>
      </c>
    </row>
    <row r="2689" spans="1:3" x14ac:dyDescent="0.25">
      <c r="A2689" s="159">
        <v>609844</v>
      </c>
      <c r="B2689" s="159">
        <v>1</v>
      </c>
      <c r="C2689" s="158" t="str">
        <f t="shared" si="43"/>
        <v>1</v>
      </c>
    </row>
    <row r="2690" spans="1:3" x14ac:dyDescent="0.25">
      <c r="A2690" s="159">
        <v>609845</v>
      </c>
      <c r="B2690" s="159">
        <v>1</v>
      </c>
      <c r="C2690" s="158" t="str">
        <f t="shared" si="43"/>
        <v>1</v>
      </c>
    </row>
    <row r="2691" spans="1:3" x14ac:dyDescent="0.25">
      <c r="A2691" s="159">
        <v>609900</v>
      </c>
      <c r="B2691" s="159">
        <v>1</v>
      </c>
      <c r="C2691" s="158" t="str">
        <f t="shared" si="43"/>
        <v>1</v>
      </c>
    </row>
    <row r="2692" spans="1:3" x14ac:dyDescent="0.25">
      <c r="A2692" s="159">
        <v>609901</v>
      </c>
      <c r="B2692" s="159">
        <v>1</v>
      </c>
      <c r="C2692" s="158" t="str">
        <f t="shared" si="43"/>
        <v>1</v>
      </c>
    </row>
    <row r="2693" spans="1:3" x14ac:dyDescent="0.25">
      <c r="A2693" s="159">
        <v>609916</v>
      </c>
      <c r="B2693" s="159">
        <v>3</v>
      </c>
      <c r="C2693" s="158" t="str">
        <f t="shared" si="43"/>
        <v>3</v>
      </c>
    </row>
    <row r="2694" spans="1:3" x14ac:dyDescent="0.25">
      <c r="A2694" s="159">
        <v>609917</v>
      </c>
      <c r="B2694" s="159">
        <v>1</v>
      </c>
      <c r="C2694" s="158" t="str">
        <f t="shared" si="43"/>
        <v>1</v>
      </c>
    </row>
    <row r="2695" spans="1:3" x14ac:dyDescent="0.25">
      <c r="A2695" s="159">
        <v>609918</v>
      </c>
      <c r="B2695" s="159">
        <v>1</v>
      </c>
      <c r="C2695" s="158" t="str">
        <f t="shared" si="43"/>
        <v>1</v>
      </c>
    </row>
    <row r="2696" spans="1:3" x14ac:dyDescent="0.25">
      <c r="A2696" s="159">
        <v>609919</v>
      </c>
      <c r="B2696" s="159">
        <v>1</v>
      </c>
      <c r="C2696" s="158" t="str">
        <f t="shared" si="43"/>
        <v>1</v>
      </c>
    </row>
    <row r="2697" spans="1:3" x14ac:dyDescent="0.25">
      <c r="A2697" s="159">
        <v>609920</v>
      </c>
      <c r="B2697" s="159">
        <v>1</v>
      </c>
      <c r="C2697" s="158" t="str">
        <f t="shared" si="43"/>
        <v>1</v>
      </c>
    </row>
    <row r="2698" spans="1:3" x14ac:dyDescent="0.25">
      <c r="A2698" s="159">
        <v>609921</v>
      </c>
      <c r="B2698" s="159">
        <v>1</v>
      </c>
      <c r="C2698" s="158" t="str">
        <f t="shared" si="43"/>
        <v>1</v>
      </c>
    </row>
    <row r="2699" spans="1:3" x14ac:dyDescent="0.25">
      <c r="A2699" s="159">
        <v>609931</v>
      </c>
      <c r="B2699" s="159">
        <v>1</v>
      </c>
      <c r="C2699" s="158" t="str">
        <f t="shared" si="43"/>
        <v>1</v>
      </c>
    </row>
    <row r="2700" spans="1:3" x14ac:dyDescent="0.25">
      <c r="A2700" s="159">
        <v>609932</v>
      </c>
      <c r="B2700" s="159">
        <v>1</v>
      </c>
      <c r="C2700" s="158" t="str">
        <f t="shared" si="43"/>
        <v>1</v>
      </c>
    </row>
    <row r="2701" spans="1:3" x14ac:dyDescent="0.25">
      <c r="A2701" s="159">
        <v>609933</v>
      </c>
      <c r="B2701" s="159">
        <v>1</v>
      </c>
      <c r="C2701" s="158" t="str">
        <f t="shared" si="43"/>
        <v>1</v>
      </c>
    </row>
    <row r="2702" spans="1:3" x14ac:dyDescent="0.25">
      <c r="A2702" s="159">
        <v>609934</v>
      </c>
      <c r="B2702" s="159">
        <v>1</v>
      </c>
      <c r="C2702" s="158" t="str">
        <f t="shared" si="43"/>
        <v>1</v>
      </c>
    </row>
    <row r="2703" spans="1:3" x14ac:dyDescent="0.25">
      <c r="A2703" s="159">
        <v>610070</v>
      </c>
      <c r="B2703" s="159">
        <v>2</v>
      </c>
      <c r="C2703" s="158" t="str">
        <f t="shared" si="43"/>
        <v>2</v>
      </c>
    </row>
    <row r="2704" spans="1:3" x14ac:dyDescent="0.25">
      <c r="A2704" s="159">
        <v>610071</v>
      </c>
      <c r="B2704" s="159">
        <v>1</v>
      </c>
      <c r="C2704" s="158" t="str">
        <f t="shared" si="43"/>
        <v>1</v>
      </c>
    </row>
    <row r="2705" spans="1:3" x14ac:dyDescent="0.25">
      <c r="A2705" s="159">
        <v>610072</v>
      </c>
      <c r="B2705" s="159">
        <v>1</v>
      </c>
      <c r="C2705" s="158" t="str">
        <f t="shared" si="43"/>
        <v>1</v>
      </c>
    </row>
    <row r="2706" spans="1:3" x14ac:dyDescent="0.25">
      <c r="A2706" s="159">
        <v>610073</v>
      </c>
      <c r="B2706" s="159">
        <v>1</v>
      </c>
      <c r="C2706" s="158" t="str">
        <f t="shared" si="43"/>
        <v>1</v>
      </c>
    </row>
    <row r="2707" spans="1:3" x14ac:dyDescent="0.25">
      <c r="A2707" s="159">
        <v>610074</v>
      </c>
      <c r="B2707" s="159">
        <v>1</v>
      </c>
      <c r="C2707" s="158" t="str">
        <f t="shared" si="43"/>
        <v>1</v>
      </c>
    </row>
    <row r="2708" spans="1:3" x14ac:dyDescent="0.25">
      <c r="A2708" s="159">
        <v>610075</v>
      </c>
      <c r="B2708" s="159">
        <v>1</v>
      </c>
      <c r="C2708" s="158" t="str">
        <f t="shared" si="43"/>
        <v>1</v>
      </c>
    </row>
    <row r="2709" spans="1:3" x14ac:dyDescent="0.25">
      <c r="A2709" s="159">
        <v>610077</v>
      </c>
      <c r="B2709" s="159">
        <v>1</v>
      </c>
      <c r="C2709" s="158" t="str">
        <f t="shared" si="43"/>
        <v>1</v>
      </c>
    </row>
    <row r="2710" spans="1:3" x14ac:dyDescent="0.25">
      <c r="A2710" s="159">
        <v>610078</v>
      </c>
      <c r="B2710" s="159">
        <v>1</v>
      </c>
      <c r="C2710" s="158" t="str">
        <f t="shared" si="43"/>
        <v>1</v>
      </c>
    </row>
    <row r="2711" spans="1:3" x14ac:dyDescent="0.25">
      <c r="A2711" s="159">
        <v>610108</v>
      </c>
      <c r="B2711" s="159">
        <v>1</v>
      </c>
      <c r="C2711" s="158" t="str">
        <f t="shared" si="43"/>
        <v>1</v>
      </c>
    </row>
    <row r="2712" spans="1:3" x14ac:dyDescent="0.25">
      <c r="A2712" s="159">
        <v>610130</v>
      </c>
      <c r="B2712" s="159">
        <v>1</v>
      </c>
      <c r="C2712" s="158" t="str">
        <f t="shared" si="43"/>
        <v>1</v>
      </c>
    </row>
    <row r="2713" spans="1:3" x14ac:dyDescent="0.25">
      <c r="A2713" s="159">
        <v>610131</v>
      </c>
      <c r="B2713" s="159">
        <v>1</v>
      </c>
      <c r="C2713" s="158" t="str">
        <f t="shared" si="43"/>
        <v>1</v>
      </c>
    </row>
    <row r="2714" spans="1:3" x14ac:dyDescent="0.25">
      <c r="A2714" s="159">
        <v>610132</v>
      </c>
      <c r="B2714" s="159">
        <v>1</v>
      </c>
      <c r="C2714" s="158" t="str">
        <f t="shared" si="43"/>
        <v>1</v>
      </c>
    </row>
    <row r="2715" spans="1:3" x14ac:dyDescent="0.25">
      <c r="A2715" s="159">
        <v>610133</v>
      </c>
      <c r="B2715" s="159">
        <v>1</v>
      </c>
      <c r="C2715" s="158" t="str">
        <f t="shared" si="43"/>
        <v>1</v>
      </c>
    </row>
    <row r="2716" spans="1:3" x14ac:dyDescent="0.25">
      <c r="A2716" s="159">
        <v>610134</v>
      </c>
      <c r="B2716" s="159">
        <v>1</v>
      </c>
      <c r="C2716" s="158" t="str">
        <f t="shared" si="43"/>
        <v>1</v>
      </c>
    </row>
    <row r="2717" spans="1:3" x14ac:dyDescent="0.25">
      <c r="A2717" s="159">
        <v>610135</v>
      </c>
      <c r="B2717" s="159">
        <v>1</v>
      </c>
      <c r="C2717" s="158" t="str">
        <f t="shared" si="43"/>
        <v>1</v>
      </c>
    </row>
    <row r="2718" spans="1:3" x14ac:dyDescent="0.25">
      <c r="A2718" s="159">
        <v>610161</v>
      </c>
      <c r="B2718" s="159">
        <v>1</v>
      </c>
      <c r="C2718" s="158" t="str">
        <f t="shared" si="43"/>
        <v>1</v>
      </c>
    </row>
    <row r="2719" spans="1:3" x14ac:dyDescent="0.25">
      <c r="A2719" s="159">
        <v>610162</v>
      </c>
      <c r="B2719" s="159">
        <v>1</v>
      </c>
      <c r="C2719" s="158" t="str">
        <f t="shared" si="43"/>
        <v>1</v>
      </c>
    </row>
    <row r="2720" spans="1:3" x14ac:dyDescent="0.25">
      <c r="A2720" s="159">
        <v>610163</v>
      </c>
      <c r="B2720" s="159">
        <v>1</v>
      </c>
      <c r="C2720" s="158" t="str">
        <f t="shared" si="43"/>
        <v>1</v>
      </c>
    </row>
    <row r="2721" spans="1:3" x14ac:dyDescent="0.25">
      <c r="A2721" s="159">
        <v>610164</v>
      </c>
      <c r="B2721" s="159">
        <v>1</v>
      </c>
      <c r="C2721" s="158" t="str">
        <f t="shared" si="43"/>
        <v>1</v>
      </c>
    </row>
    <row r="2722" spans="1:3" x14ac:dyDescent="0.25">
      <c r="A2722" s="159">
        <v>610165</v>
      </c>
      <c r="B2722" s="159">
        <v>1</v>
      </c>
      <c r="C2722" s="158" t="str">
        <f t="shared" si="43"/>
        <v>1</v>
      </c>
    </row>
    <row r="2723" spans="1:3" x14ac:dyDescent="0.25">
      <c r="A2723" s="159">
        <v>610172</v>
      </c>
      <c r="B2723" s="159">
        <v>3</v>
      </c>
      <c r="C2723" s="158" t="str">
        <f t="shared" si="43"/>
        <v>3</v>
      </c>
    </row>
    <row r="2724" spans="1:3" x14ac:dyDescent="0.25">
      <c r="A2724" s="159">
        <v>610173</v>
      </c>
      <c r="B2724" s="159">
        <v>1</v>
      </c>
      <c r="C2724" s="158" t="str">
        <f t="shared" si="43"/>
        <v>1</v>
      </c>
    </row>
    <row r="2725" spans="1:3" x14ac:dyDescent="0.25">
      <c r="A2725" s="159">
        <v>610175</v>
      </c>
      <c r="B2725" s="159">
        <v>1</v>
      </c>
      <c r="C2725" s="158" t="str">
        <f t="shared" si="43"/>
        <v>1</v>
      </c>
    </row>
    <row r="2726" spans="1:3" x14ac:dyDescent="0.25">
      <c r="A2726" s="159">
        <v>610176</v>
      </c>
      <c r="B2726" s="159">
        <v>1</v>
      </c>
      <c r="C2726" s="158" t="str">
        <f t="shared" si="43"/>
        <v>1</v>
      </c>
    </row>
    <row r="2727" spans="1:3" x14ac:dyDescent="0.25">
      <c r="A2727" s="159">
        <v>610177</v>
      </c>
      <c r="B2727" s="159">
        <v>1</v>
      </c>
      <c r="C2727" s="158" t="str">
        <f t="shared" si="43"/>
        <v>1</v>
      </c>
    </row>
    <row r="2728" spans="1:3" x14ac:dyDescent="0.25">
      <c r="A2728" s="159">
        <v>610178</v>
      </c>
      <c r="B2728" s="159">
        <v>1</v>
      </c>
      <c r="C2728" s="158" t="str">
        <f t="shared" si="43"/>
        <v>1</v>
      </c>
    </row>
    <row r="2729" spans="1:3" x14ac:dyDescent="0.25">
      <c r="A2729" s="159">
        <v>610180</v>
      </c>
      <c r="B2729" s="159">
        <v>1</v>
      </c>
      <c r="C2729" s="158" t="str">
        <f t="shared" si="43"/>
        <v>1</v>
      </c>
    </row>
    <row r="2730" spans="1:3" x14ac:dyDescent="0.25">
      <c r="A2730" s="159">
        <v>610182</v>
      </c>
      <c r="B2730" s="159">
        <v>1</v>
      </c>
      <c r="C2730" s="158" t="str">
        <f t="shared" si="43"/>
        <v>1</v>
      </c>
    </row>
    <row r="2731" spans="1:3" x14ac:dyDescent="0.25">
      <c r="A2731" s="159">
        <v>610183</v>
      </c>
      <c r="B2731" s="159">
        <v>1</v>
      </c>
      <c r="C2731" s="158" t="str">
        <f t="shared" si="43"/>
        <v>1</v>
      </c>
    </row>
    <row r="2732" spans="1:3" x14ac:dyDescent="0.25">
      <c r="A2732" s="159">
        <v>610250</v>
      </c>
      <c r="B2732" s="159">
        <v>2</v>
      </c>
      <c r="C2732" s="158" t="str">
        <f t="shared" si="43"/>
        <v>2</v>
      </c>
    </row>
    <row r="2733" spans="1:3" x14ac:dyDescent="0.25">
      <c r="A2733" s="159">
        <v>610290</v>
      </c>
      <c r="B2733" s="159">
        <v>1</v>
      </c>
      <c r="C2733" s="158" t="str">
        <f t="shared" si="43"/>
        <v>1</v>
      </c>
    </row>
    <row r="2734" spans="1:3" x14ac:dyDescent="0.25">
      <c r="A2734" s="159">
        <v>610291</v>
      </c>
      <c r="B2734" s="159">
        <v>1</v>
      </c>
      <c r="C2734" s="158" t="str">
        <f t="shared" si="43"/>
        <v>1</v>
      </c>
    </row>
    <row r="2735" spans="1:3" x14ac:dyDescent="0.25">
      <c r="A2735" s="159">
        <v>610292</v>
      </c>
      <c r="B2735" s="159">
        <v>1</v>
      </c>
      <c r="C2735" s="158" t="str">
        <f t="shared" si="43"/>
        <v>1</v>
      </c>
    </row>
    <row r="2736" spans="1:3" x14ac:dyDescent="0.25">
      <c r="A2736" s="159">
        <v>610293</v>
      </c>
      <c r="B2736" s="159">
        <v>1</v>
      </c>
      <c r="C2736" s="158" t="str">
        <f t="shared" si="43"/>
        <v>1</v>
      </c>
    </row>
    <row r="2737" spans="1:3" x14ac:dyDescent="0.25">
      <c r="A2737" s="159">
        <v>610310</v>
      </c>
      <c r="B2737" s="159">
        <v>1</v>
      </c>
      <c r="C2737" s="158" t="str">
        <f t="shared" si="43"/>
        <v>1</v>
      </c>
    </row>
    <row r="2738" spans="1:3" x14ac:dyDescent="0.25">
      <c r="A2738" s="159">
        <v>610311</v>
      </c>
      <c r="B2738" s="159">
        <v>1</v>
      </c>
      <c r="C2738" s="158" t="str">
        <f t="shared" si="43"/>
        <v>1</v>
      </c>
    </row>
    <row r="2739" spans="1:3" x14ac:dyDescent="0.25">
      <c r="A2739" s="159">
        <v>610331</v>
      </c>
      <c r="B2739" s="159">
        <v>1</v>
      </c>
      <c r="C2739" s="158" t="str">
        <f t="shared" si="43"/>
        <v>1</v>
      </c>
    </row>
    <row r="2740" spans="1:3" x14ac:dyDescent="0.25">
      <c r="A2740" s="159">
        <v>610332</v>
      </c>
      <c r="B2740" s="159">
        <v>1</v>
      </c>
      <c r="C2740" s="158" t="str">
        <f t="shared" si="43"/>
        <v>1</v>
      </c>
    </row>
    <row r="2741" spans="1:3" x14ac:dyDescent="0.25">
      <c r="A2741" s="159">
        <v>610333</v>
      </c>
      <c r="B2741" s="159">
        <v>1</v>
      </c>
      <c r="C2741" s="158" t="str">
        <f t="shared" si="43"/>
        <v>1</v>
      </c>
    </row>
    <row r="2742" spans="1:3" x14ac:dyDescent="0.25">
      <c r="A2742" s="159">
        <v>610334</v>
      </c>
      <c r="B2742" s="159">
        <v>1</v>
      </c>
      <c r="C2742" s="158" t="str">
        <f t="shared" ref="C2742:C2805" si="44">IF(OR(B2742=0,B2742=1,B2742=2,B2742=3,B2742=4,B2742=5),TEXT(B2742,"0"),B2742)</f>
        <v>1</v>
      </c>
    </row>
    <row r="2743" spans="1:3" x14ac:dyDescent="0.25">
      <c r="A2743" s="159">
        <v>610336</v>
      </c>
      <c r="B2743" s="159">
        <v>1</v>
      </c>
      <c r="C2743" s="158" t="str">
        <f t="shared" si="44"/>
        <v>1</v>
      </c>
    </row>
    <row r="2744" spans="1:3" x14ac:dyDescent="0.25">
      <c r="A2744" s="159">
        <v>610337</v>
      </c>
      <c r="B2744" s="159">
        <v>1</v>
      </c>
      <c r="C2744" s="158" t="str">
        <f t="shared" si="44"/>
        <v>1</v>
      </c>
    </row>
    <row r="2745" spans="1:3" x14ac:dyDescent="0.25">
      <c r="A2745" s="159">
        <v>610338</v>
      </c>
      <c r="B2745" s="159">
        <v>1</v>
      </c>
      <c r="C2745" s="158" t="str">
        <f t="shared" si="44"/>
        <v>1</v>
      </c>
    </row>
    <row r="2746" spans="1:3" x14ac:dyDescent="0.25">
      <c r="A2746" s="159">
        <v>610339</v>
      </c>
      <c r="B2746" s="159">
        <v>1</v>
      </c>
      <c r="C2746" s="158" t="str">
        <f t="shared" si="44"/>
        <v>1</v>
      </c>
    </row>
    <row r="2747" spans="1:3" x14ac:dyDescent="0.25">
      <c r="A2747" s="159">
        <v>610400</v>
      </c>
      <c r="B2747" s="159">
        <v>1</v>
      </c>
      <c r="C2747" s="158" t="str">
        <f t="shared" si="44"/>
        <v>1</v>
      </c>
    </row>
    <row r="2748" spans="1:3" x14ac:dyDescent="0.25">
      <c r="A2748" s="159">
        <v>610440</v>
      </c>
      <c r="B2748" s="159">
        <v>1</v>
      </c>
      <c r="C2748" s="158" t="str">
        <f t="shared" si="44"/>
        <v>1</v>
      </c>
    </row>
    <row r="2749" spans="1:3" x14ac:dyDescent="0.25">
      <c r="A2749" s="159">
        <v>610460</v>
      </c>
      <c r="B2749" s="159">
        <v>1</v>
      </c>
      <c r="C2749" s="158" t="str">
        <f t="shared" si="44"/>
        <v>1</v>
      </c>
    </row>
    <row r="2750" spans="1:3" x14ac:dyDescent="0.25">
      <c r="A2750" s="159">
        <v>610461</v>
      </c>
      <c r="B2750" s="159">
        <v>1</v>
      </c>
      <c r="C2750" s="158" t="str">
        <f t="shared" si="44"/>
        <v>1</v>
      </c>
    </row>
    <row r="2751" spans="1:3" x14ac:dyDescent="0.25">
      <c r="A2751" s="159">
        <v>610462</v>
      </c>
      <c r="B2751" s="159">
        <v>1</v>
      </c>
      <c r="C2751" s="158" t="str">
        <f t="shared" si="44"/>
        <v>1</v>
      </c>
    </row>
    <row r="2752" spans="1:3" x14ac:dyDescent="0.25">
      <c r="A2752" s="159">
        <v>610463</v>
      </c>
      <c r="B2752" s="159">
        <v>1</v>
      </c>
      <c r="C2752" s="158" t="str">
        <f t="shared" si="44"/>
        <v>1</v>
      </c>
    </row>
    <row r="2753" spans="1:3" x14ac:dyDescent="0.25">
      <c r="A2753" s="159">
        <v>610464</v>
      </c>
      <c r="B2753" s="159">
        <v>1</v>
      </c>
      <c r="C2753" s="158" t="str">
        <f t="shared" si="44"/>
        <v>1</v>
      </c>
    </row>
    <row r="2754" spans="1:3" x14ac:dyDescent="0.25">
      <c r="A2754" s="159">
        <v>610465</v>
      </c>
      <c r="B2754" s="159">
        <v>1</v>
      </c>
      <c r="C2754" s="158" t="str">
        <f t="shared" si="44"/>
        <v>1</v>
      </c>
    </row>
    <row r="2755" spans="1:3" x14ac:dyDescent="0.25">
      <c r="A2755" s="159">
        <v>610466</v>
      </c>
      <c r="B2755" s="159">
        <v>1</v>
      </c>
      <c r="C2755" s="158" t="str">
        <f t="shared" si="44"/>
        <v>1</v>
      </c>
    </row>
    <row r="2756" spans="1:3" x14ac:dyDescent="0.25">
      <c r="A2756" s="159">
        <v>610467</v>
      </c>
      <c r="B2756" s="159">
        <v>1</v>
      </c>
      <c r="C2756" s="158" t="str">
        <f t="shared" si="44"/>
        <v>1</v>
      </c>
    </row>
    <row r="2757" spans="1:3" x14ac:dyDescent="0.25">
      <c r="A2757" s="159">
        <v>610470</v>
      </c>
      <c r="B2757" s="159">
        <v>3</v>
      </c>
      <c r="C2757" s="158" t="str">
        <f t="shared" si="44"/>
        <v>3</v>
      </c>
    </row>
    <row r="2758" spans="1:3" x14ac:dyDescent="0.25">
      <c r="A2758" s="159">
        <v>610471</v>
      </c>
      <c r="B2758" s="159">
        <v>1</v>
      </c>
      <c r="C2758" s="158" t="str">
        <f t="shared" si="44"/>
        <v>1</v>
      </c>
    </row>
    <row r="2759" spans="1:3" x14ac:dyDescent="0.25">
      <c r="A2759" s="159">
        <v>610472</v>
      </c>
      <c r="B2759" s="159">
        <v>1</v>
      </c>
      <c r="C2759" s="158" t="str">
        <f t="shared" si="44"/>
        <v>1</v>
      </c>
    </row>
    <row r="2760" spans="1:3" x14ac:dyDescent="0.25">
      <c r="A2760" s="159">
        <v>610473</v>
      </c>
      <c r="B2760" s="159">
        <v>1</v>
      </c>
      <c r="C2760" s="158" t="str">
        <f t="shared" si="44"/>
        <v>1</v>
      </c>
    </row>
    <row r="2761" spans="1:3" x14ac:dyDescent="0.25">
      <c r="A2761" s="159">
        <v>610474</v>
      </c>
      <c r="B2761" s="159">
        <v>1</v>
      </c>
      <c r="C2761" s="158" t="str">
        <f t="shared" si="44"/>
        <v>1</v>
      </c>
    </row>
    <row r="2762" spans="1:3" x14ac:dyDescent="0.25">
      <c r="A2762" s="159">
        <v>610475</v>
      </c>
      <c r="B2762" s="159">
        <v>1</v>
      </c>
      <c r="C2762" s="158" t="str">
        <f t="shared" si="44"/>
        <v>1</v>
      </c>
    </row>
    <row r="2763" spans="1:3" x14ac:dyDescent="0.25">
      <c r="A2763" s="159">
        <v>610476</v>
      </c>
      <c r="B2763" s="159">
        <v>1</v>
      </c>
      <c r="C2763" s="158" t="str">
        <f t="shared" si="44"/>
        <v>1</v>
      </c>
    </row>
    <row r="2764" spans="1:3" x14ac:dyDescent="0.25">
      <c r="A2764" s="159">
        <v>610477</v>
      </c>
      <c r="B2764" s="159">
        <v>1</v>
      </c>
      <c r="C2764" s="158" t="str">
        <f t="shared" si="44"/>
        <v>1</v>
      </c>
    </row>
    <row r="2765" spans="1:3" x14ac:dyDescent="0.25">
      <c r="A2765" s="159">
        <v>610479</v>
      </c>
      <c r="B2765" s="159">
        <v>1</v>
      </c>
      <c r="C2765" s="158" t="str">
        <f t="shared" si="44"/>
        <v>1</v>
      </c>
    </row>
    <row r="2766" spans="1:3" x14ac:dyDescent="0.25">
      <c r="A2766" s="159">
        <v>610480</v>
      </c>
      <c r="B2766" s="159">
        <v>1</v>
      </c>
      <c r="C2766" s="158" t="str">
        <f t="shared" si="44"/>
        <v>1</v>
      </c>
    </row>
    <row r="2767" spans="1:3" x14ac:dyDescent="0.25">
      <c r="A2767" s="159">
        <v>610481</v>
      </c>
      <c r="B2767" s="159">
        <v>1</v>
      </c>
      <c r="C2767" s="158" t="str">
        <f t="shared" si="44"/>
        <v>1</v>
      </c>
    </row>
    <row r="2768" spans="1:3" x14ac:dyDescent="0.25">
      <c r="A2768" s="159">
        <v>610482</v>
      </c>
      <c r="B2768" s="159">
        <v>1</v>
      </c>
      <c r="C2768" s="158" t="str">
        <f t="shared" si="44"/>
        <v>1</v>
      </c>
    </row>
    <row r="2769" spans="1:3" x14ac:dyDescent="0.25">
      <c r="A2769" s="159">
        <v>610550</v>
      </c>
      <c r="B2769" s="159">
        <v>1</v>
      </c>
      <c r="C2769" s="158" t="str">
        <f t="shared" si="44"/>
        <v>1</v>
      </c>
    </row>
    <row r="2770" spans="1:3" x14ac:dyDescent="0.25">
      <c r="A2770" s="159">
        <v>610570</v>
      </c>
      <c r="B2770" s="159">
        <v>1</v>
      </c>
      <c r="C2770" s="158" t="str">
        <f t="shared" si="44"/>
        <v>1</v>
      </c>
    </row>
    <row r="2771" spans="1:3" x14ac:dyDescent="0.25">
      <c r="A2771" s="159">
        <v>610571</v>
      </c>
      <c r="B2771" s="159">
        <v>1</v>
      </c>
      <c r="C2771" s="158" t="str">
        <f t="shared" si="44"/>
        <v>1</v>
      </c>
    </row>
    <row r="2772" spans="1:3" x14ac:dyDescent="0.25">
      <c r="A2772" s="159">
        <v>610572</v>
      </c>
      <c r="B2772" s="159">
        <v>1</v>
      </c>
      <c r="C2772" s="158" t="str">
        <f t="shared" si="44"/>
        <v>1</v>
      </c>
    </row>
    <row r="2773" spans="1:3" x14ac:dyDescent="0.25">
      <c r="A2773" s="159">
        <v>610573</v>
      </c>
      <c r="B2773" s="159">
        <v>1</v>
      </c>
      <c r="C2773" s="158" t="str">
        <f t="shared" si="44"/>
        <v>1</v>
      </c>
    </row>
    <row r="2774" spans="1:3" x14ac:dyDescent="0.25">
      <c r="A2774" s="159">
        <v>610574</v>
      </c>
      <c r="B2774" s="159" t="s">
        <v>437</v>
      </c>
      <c r="C2774" s="158" t="str">
        <f t="shared" si="44"/>
        <v>1S</v>
      </c>
    </row>
    <row r="2775" spans="1:3" x14ac:dyDescent="0.25">
      <c r="A2775" s="159">
        <v>610575</v>
      </c>
      <c r="B2775" s="159" t="s">
        <v>437</v>
      </c>
      <c r="C2775" s="158" t="str">
        <f t="shared" si="44"/>
        <v>1S</v>
      </c>
    </row>
    <row r="2776" spans="1:3" x14ac:dyDescent="0.25">
      <c r="A2776" s="159">
        <v>610577</v>
      </c>
      <c r="B2776" s="159">
        <v>1</v>
      </c>
      <c r="C2776" s="158" t="str">
        <f t="shared" si="44"/>
        <v>1</v>
      </c>
    </row>
    <row r="2777" spans="1:3" x14ac:dyDescent="0.25">
      <c r="A2777" s="159">
        <v>610578</v>
      </c>
      <c r="B2777" s="159">
        <v>1</v>
      </c>
      <c r="C2777" s="158" t="str">
        <f t="shared" si="44"/>
        <v>1</v>
      </c>
    </row>
    <row r="2778" spans="1:3" x14ac:dyDescent="0.25">
      <c r="A2778" s="159">
        <v>610579</v>
      </c>
      <c r="B2778" s="159">
        <v>2</v>
      </c>
      <c r="C2778" s="158" t="str">
        <f t="shared" si="44"/>
        <v>2</v>
      </c>
    </row>
    <row r="2779" spans="1:3" x14ac:dyDescent="0.25">
      <c r="A2779" s="159">
        <v>610580</v>
      </c>
      <c r="B2779" s="159">
        <v>2</v>
      </c>
      <c r="C2779" s="158" t="str">
        <f t="shared" si="44"/>
        <v>2</v>
      </c>
    </row>
    <row r="2780" spans="1:3" x14ac:dyDescent="0.25">
      <c r="A2780" s="159">
        <v>610581</v>
      </c>
      <c r="B2780" s="159">
        <v>1</v>
      </c>
      <c r="C2780" s="158" t="str">
        <f t="shared" si="44"/>
        <v>1</v>
      </c>
    </row>
    <row r="2781" spans="1:3" x14ac:dyDescent="0.25">
      <c r="A2781" s="159">
        <v>610582</v>
      </c>
      <c r="B2781" s="159">
        <v>1</v>
      </c>
      <c r="C2781" s="158" t="str">
        <f t="shared" si="44"/>
        <v>1</v>
      </c>
    </row>
    <row r="2782" spans="1:3" x14ac:dyDescent="0.25">
      <c r="A2782" s="159">
        <v>610583</v>
      </c>
      <c r="B2782" s="159">
        <v>1</v>
      </c>
      <c r="C2782" s="158" t="str">
        <f t="shared" si="44"/>
        <v>1</v>
      </c>
    </row>
    <row r="2783" spans="1:3" x14ac:dyDescent="0.25">
      <c r="A2783" s="159">
        <v>610761</v>
      </c>
      <c r="B2783" s="159">
        <v>4</v>
      </c>
      <c r="C2783" s="158" t="str">
        <f t="shared" si="44"/>
        <v>4</v>
      </c>
    </row>
    <row r="2784" spans="1:3" x14ac:dyDescent="0.25">
      <c r="A2784" s="159">
        <v>610762</v>
      </c>
      <c r="B2784" s="159">
        <v>2</v>
      </c>
      <c r="C2784" s="158" t="str">
        <f t="shared" si="44"/>
        <v>2</v>
      </c>
    </row>
    <row r="2785" spans="1:3" x14ac:dyDescent="0.25">
      <c r="A2785" s="159">
        <v>610800</v>
      </c>
      <c r="B2785" s="159">
        <v>1</v>
      </c>
      <c r="C2785" s="158" t="str">
        <f t="shared" si="44"/>
        <v>1</v>
      </c>
    </row>
    <row r="2786" spans="1:3" x14ac:dyDescent="0.25">
      <c r="A2786" s="159">
        <v>610801</v>
      </c>
      <c r="B2786" s="159">
        <v>1</v>
      </c>
      <c r="C2786" s="158" t="str">
        <f t="shared" si="44"/>
        <v>1</v>
      </c>
    </row>
    <row r="2787" spans="1:3" x14ac:dyDescent="0.25">
      <c r="A2787" s="159">
        <v>610802</v>
      </c>
      <c r="B2787" s="159">
        <v>1</v>
      </c>
      <c r="C2787" s="158" t="str">
        <f t="shared" si="44"/>
        <v>1</v>
      </c>
    </row>
    <row r="2788" spans="1:3" x14ac:dyDescent="0.25">
      <c r="A2788" s="159">
        <v>610803</v>
      </c>
      <c r="B2788" s="159">
        <v>1</v>
      </c>
      <c r="C2788" s="158" t="str">
        <f t="shared" si="44"/>
        <v>1</v>
      </c>
    </row>
    <row r="2789" spans="1:3" x14ac:dyDescent="0.25">
      <c r="A2789" s="159">
        <v>610804</v>
      </c>
      <c r="B2789" s="159">
        <v>1</v>
      </c>
      <c r="C2789" s="158" t="str">
        <f t="shared" si="44"/>
        <v>1</v>
      </c>
    </row>
    <row r="2790" spans="1:3" x14ac:dyDescent="0.25">
      <c r="A2790" s="159">
        <v>610805</v>
      </c>
      <c r="B2790" s="159">
        <v>1</v>
      </c>
      <c r="C2790" s="158" t="str">
        <f t="shared" si="44"/>
        <v>1</v>
      </c>
    </row>
    <row r="2791" spans="1:3" x14ac:dyDescent="0.25">
      <c r="A2791" s="159">
        <v>610811</v>
      </c>
      <c r="B2791" s="159">
        <v>1</v>
      </c>
      <c r="C2791" s="158" t="str">
        <f t="shared" si="44"/>
        <v>1</v>
      </c>
    </row>
    <row r="2792" spans="1:3" x14ac:dyDescent="0.25">
      <c r="A2792" s="159">
        <v>610812</v>
      </c>
      <c r="B2792" s="159">
        <v>1</v>
      </c>
      <c r="C2792" s="158" t="str">
        <f t="shared" si="44"/>
        <v>1</v>
      </c>
    </row>
    <row r="2793" spans="1:3" x14ac:dyDescent="0.25">
      <c r="A2793" s="159">
        <v>610813</v>
      </c>
      <c r="B2793" s="159">
        <v>1</v>
      </c>
      <c r="C2793" s="158" t="str">
        <f t="shared" si="44"/>
        <v>1</v>
      </c>
    </row>
    <row r="2794" spans="1:3" x14ac:dyDescent="0.25">
      <c r="A2794" s="159">
        <v>610814</v>
      </c>
      <c r="B2794" s="159">
        <v>1</v>
      </c>
      <c r="C2794" s="158" t="str">
        <f t="shared" si="44"/>
        <v>1</v>
      </c>
    </row>
    <row r="2795" spans="1:3" x14ac:dyDescent="0.25">
      <c r="A2795" s="159">
        <v>610820</v>
      </c>
      <c r="B2795" s="159">
        <v>1</v>
      </c>
      <c r="C2795" s="158" t="str">
        <f t="shared" si="44"/>
        <v>1</v>
      </c>
    </row>
    <row r="2796" spans="1:3" x14ac:dyDescent="0.25">
      <c r="A2796" s="159">
        <v>610821</v>
      </c>
      <c r="B2796" s="159">
        <v>1</v>
      </c>
      <c r="C2796" s="158" t="str">
        <f t="shared" si="44"/>
        <v>1</v>
      </c>
    </row>
    <row r="2797" spans="1:3" x14ac:dyDescent="0.25">
      <c r="A2797" s="159">
        <v>610822</v>
      </c>
      <c r="B2797" s="159">
        <v>1</v>
      </c>
      <c r="C2797" s="158" t="str">
        <f t="shared" si="44"/>
        <v>1</v>
      </c>
    </row>
    <row r="2798" spans="1:3" x14ac:dyDescent="0.25">
      <c r="A2798" s="159">
        <v>610823</v>
      </c>
      <c r="B2798" s="159">
        <v>1</v>
      </c>
      <c r="C2798" s="158" t="str">
        <f t="shared" si="44"/>
        <v>1</v>
      </c>
    </row>
    <row r="2799" spans="1:3" x14ac:dyDescent="0.25">
      <c r="A2799" s="159">
        <v>610824</v>
      </c>
      <c r="B2799" s="159">
        <v>1</v>
      </c>
      <c r="C2799" s="158" t="str">
        <f t="shared" si="44"/>
        <v>1</v>
      </c>
    </row>
    <row r="2800" spans="1:3" x14ac:dyDescent="0.25">
      <c r="A2800" s="159">
        <v>610825</v>
      </c>
      <c r="B2800" s="159">
        <v>1</v>
      </c>
      <c r="C2800" s="158" t="str">
        <f t="shared" si="44"/>
        <v>1</v>
      </c>
    </row>
    <row r="2801" spans="1:3" x14ac:dyDescent="0.25">
      <c r="A2801" s="159">
        <v>610826</v>
      </c>
      <c r="B2801" s="159">
        <v>1</v>
      </c>
      <c r="C2801" s="158" t="str">
        <f t="shared" si="44"/>
        <v>1</v>
      </c>
    </row>
    <row r="2802" spans="1:3" x14ac:dyDescent="0.25">
      <c r="A2802" s="159">
        <v>610827</v>
      </c>
      <c r="B2802" s="159">
        <v>1</v>
      </c>
      <c r="C2802" s="158" t="str">
        <f t="shared" si="44"/>
        <v>1</v>
      </c>
    </row>
    <row r="2803" spans="1:3" x14ac:dyDescent="0.25">
      <c r="A2803" s="159">
        <v>610828</v>
      </c>
      <c r="B2803" s="159">
        <v>1</v>
      </c>
      <c r="C2803" s="158" t="str">
        <f t="shared" si="44"/>
        <v>1</v>
      </c>
    </row>
    <row r="2804" spans="1:3" x14ac:dyDescent="0.25">
      <c r="A2804" s="159">
        <v>610840</v>
      </c>
      <c r="B2804" s="159">
        <v>1</v>
      </c>
      <c r="C2804" s="158" t="str">
        <f t="shared" si="44"/>
        <v>1</v>
      </c>
    </row>
    <row r="2805" spans="1:3" x14ac:dyDescent="0.25">
      <c r="A2805" s="159">
        <v>610841</v>
      </c>
      <c r="B2805" s="159">
        <v>1</v>
      </c>
      <c r="C2805" s="158" t="str">
        <f t="shared" si="44"/>
        <v>1</v>
      </c>
    </row>
    <row r="2806" spans="1:3" x14ac:dyDescent="0.25">
      <c r="A2806" s="159">
        <v>610843</v>
      </c>
      <c r="B2806" s="159">
        <v>1</v>
      </c>
      <c r="C2806" s="158" t="str">
        <f t="shared" ref="C2806:C2869" si="45">IF(OR(B2806=0,B2806=1,B2806=2,B2806=3,B2806=4,B2806=5),TEXT(B2806,"0"),B2806)</f>
        <v>1</v>
      </c>
    </row>
    <row r="2807" spans="1:3" x14ac:dyDescent="0.25">
      <c r="A2807" s="159">
        <v>610844</v>
      </c>
      <c r="B2807" s="159">
        <v>1</v>
      </c>
      <c r="C2807" s="158" t="str">
        <f t="shared" si="45"/>
        <v>1</v>
      </c>
    </row>
    <row r="2808" spans="1:3" x14ac:dyDescent="0.25">
      <c r="A2808" s="159">
        <v>610852</v>
      </c>
      <c r="B2808" s="159">
        <v>1</v>
      </c>
      <c r="C2808" s="158" t="str">
        <f t="shared" si="45"/>
        <v>1</v>
      </c>
    </row>
    <row r="2809" spans="1:3" x14ac:dyDescent="0.25">
      <c r="A2809" s="159">
        <v>610853</v>
      </c>
      <c r="B2809" s="159">
        <v>1</v>
      </c>
      <c r="C2809" s="158" t="str">
        <f t="shared" si="45"/>
        <v>1</v>
      </c>
    </row>
    <row r="2810" spans="1:3" x14ac:dyDescent="0.25">
      <c r="A2810" s="159">
        <v>610854</v>
      </c>
      <c r="B2810" s="159">
        <v>1</v>
      </c>
      <c r="C2810" s="158" t="str">
        <f t="shared" si="45"/>
        <v>1</v>
      </c>
    </row>
    <row r="2811" spans="1:3" x14ac:dyDescent="0.25">
      <c r="A2811" s="159">
        <v>610855</v>
      </c>
      <c r="B2811" s="159">
        <v>1</v>
      </c>
      <c r="C2811" s="158" t="str">
        <f t="shared" si="45"/>
        <v>1</v>
      </c>
    </row>
    <row r="2812" spans="1:3" x14ac:dyDescent="0.25">
      <c r="A2812" s="159">
        <v>610869</v>
      </c>
      <c r="B2812" s="159">
        <v>1</v>
      </c>
      <c r="C2812" s="158" t="str">
        <f t="shared" si="45"/>
        <v>1</v>
      </c>
    </row>
    <row r="2813" spans="1:3" x14ac:dyDescent="0.25">
      <c r="A2813" s="159">
        <v>610871</v>
      </c>
      <c r="B2813" s="159">
        <v>1</v>
      </c>
      <c r="C2813" s="158" t="str">
        <f t="shared" si="45"/>
        <v>1</v>
      </c>
    </row>
    <row r="2814" spans="1:3" x14ac:dyDescent="0.25">
      <c r="A2814" s="159">
        <v>610872</v>
      </c>
      <c r="B2814" s="159">
        <v>1</v>
      </c>
      <c r="C2814" s="158" t="str">
        <f t="shared" si="45"/>
        <v>1</v>
      </c>
    </row>
    <row r="2815" spans="1:3" x14ac:dyDescent="0.25">
      <c r="A2815" s="159">
        <v>610880</v>
      </c>
      <c r="B2815" s="159">
        <v>1</v>
      </c>
      <c r="C2815" s="158" t="str">
        <f t="shared" si="45"/>
        <v>1</v>
      </c>
    </row>
    <row r="2816" spans="1:3" x14ac:dyDescent="0.25">
      <c r="A2816" s="159">
        <v>610881</v>
      </c>
      <c r="B2816" s="159">
        <v>1</v>
      </c>
      <c r="C2816" s="158" t="str">
        <f t="shared" si="45"/>
        <v>1</v>
      </c>
    </row>
    <row r="2817" spans="1:3" x14ac:dyDescent="0.25">
      <c r="A2817" s="159">
        <v>610882</v>
      </c>
      <c r="B2817" s="159">
        <v>1</v>
      </c>
      <c r="C2817" s="158" t="str">
        <f t="shared" si="45"/>
        <v>1</v>
      </c>
    </row>
    <row r="2818" spans="1:3" x14ac:dyDescent="0.25">
      <c r="A2818" s="159">
        <v>610883</v>
      </c>
      <c r="B2818" s="159">
        <v>1</v>
      </c>
      <c r="C2818" s="158" t="str">
        <f t="shared" si="45"/>
        <v>1</v>
      </c>
    </row>
    <row r="2819" spans="1:3" x14ac:dyDescent="0.25">
      <c r="A2819" s="159">
        <v>610885</v>
      </c>
      <c r="B2819" s="159">
        <v>1</v>
      </c>
      <c r="C2819" s="158" t="str">
        <f t="shared" si="45"/>
        <v>1</v>
      </c>
    </row>
    <row r="2820" spans="1:3" x14ac:dyDescent="0.25">
      <c r="A2820" s="159">
        <v>610886</v>
      </c>
      <c r="B2820" s="159">
        <v>1</v>
      </c>
      <c r="C2820" s="158" t="str">
        <f t="shared" si="45"/>
        <v>1</v>
      </c>
    </row>
    <row r="2821" spans="1:3" x14ac:dyDescent="0.25">
      <c r="A2821" s="159">
        <v>610887</v>
      </c>
      <c r="B2821" s="159">
        <v>1</v>
      </c>
      <c r="C2821" s="158" t="str">
        <f t="shared" si="45"/>
        <v>1</v>
      </c>
    </row>
    <row r="2822" spans="1:3" x14ac:dyDescent="0.25">
      <c r="A2822" s="159">
        <v>610888</v>
      </c>
      <c r="B2822" s="159">
        <v>1</v>
      </c>
      <c r="C2822" s="158" t="str">
        <f t="shared" si="45"/>
        <v>1</v>
      </c>
    </row>
    <row r="2823" spans="1:3" x14ac:dyDescent="0.25">
      <c r="A2823" s="159">
        <v>610920</v>
      </c>
      <c r="B2823" s="159">
        <v>3</v>
      </c>
      <c r="C2823" s="158" t="str">
        <f t="shared" si="45"/>
        <v>3</v>
      </c>
    </row>
    <row r="2824" spans="1:3" x14ac:dyDescent="0.25">
      <c r="A2824" s="159">
        <v>610921</v>
      </c>
      <c r="B2824" s="159">
        <v>1</v>
      </c>
      <c r="C2824" s="158" t="str">
        <f t="shared" si="45"/>
        <v>1</v>
      </c>
    </row>
    <row r="2825" spans="1:3" x14ac:dyDescent="0.25">
      <c r="A2825" s="159">
        <v>610922</v>
      </c>
      <c r="B2825" s="159">
        <v>1</v>
      </c>
      <c r="C2825" s="158" t="str">
        <f t="shared" si="45"/>
        <v>1</v>
      </c>
    </row>
    <row r="2826" spans="1:3" x14ac:dyDescent="0.25">
      <c r="A2826" s="159">
        <v>610923</v>
      </c>
      <c r="B2826" s="159">
        <v>1</v>
      </c>
      <c r="C2826" s="158" t="str">
        <f t="shared" si="45"/>
        <v>1</v>
      </c>
    </row>
    <row r="2827" spans="1:3" x14ac:dyDescent="0.25">
      <c r="A2827" s="159">
        <v>610924</v>
      </c>
      <c r="B2827" s="159">
        <v>1</v>
      </c>
      <c r="C2827" s="158" t="str">
        <f t="shared" si="45"/>
        <v>1</v>
      </c>
    </row>
    <row r="2828" spans="1:3" x14ac:dyDescent="0.25">
      <c r="A2828" s="159">
        <v>610925</v>
      </c>
      <c r="B2828" s="159">
        <v>1</v>
      </c>
      <c r="C2828" s="158" t="str">
        <f t="shared" si="45"/>
        <v>1</v>
      </c>
    </row>
    <row r="2829" spans="1:3" x14ac:dyDescent="0.25">
      <c r="A2829" s="159">
        <v>610926</v>
      </c>
      <c r="B2829" s="159">
        <v>1</v>
      </c>
      <c r="C2829" s="158" t="str">
        <f t="shared" si="45"/>
        <v>1</v>
      </c>
    </row>
    <row r="2830" spans="1:3" x14ac:dyDescent="0.25">
      <c r="A2830" s="159">
        <v>610927</v>
      </c>
      <c r="B2830" s="159">
        <v>1</v>
      </c>
      <c r="C2830" s="158" t="str">
        <f t="shared" si="45"/>
        <v>1</v>
      </c>
    </row>
    <row r="2831" spans="1:3" x14ac:dyDescent="0.25">
      <c r="A2831" s="159">
        <v>611030</v>
      </c>
      <c r="B2831" s="159">
        <v>1</v>
      </c>
      <c r="C2831" s="158" t="str">
        <f t="shared" si="45"/>
        <v>1</v>
      </c>
    </row>
    <row r="2832" spans="1:3" x14ac:dyDescent="0.25">
      <c r="A2832" s="159">
        <v>611031</v>
      </c>
      <c r="B2832" s="159">
        <v>1</v>
      </c>
      <c r="C2832" s="158" t="str">
        <f t="shared" si="45"/>
        <v>1</v>
      </c>
    </row>
    <row r="2833" spans="1:3" x14ac:dyDescent="0.25">
      <c r="A2833" s="159">
        <v>611032</v>
      </c>
      <c r="B2833" s="159">
        <v>1</v>
      </c>
      <c r="C2833" s="158" t="str">
        <f t="shared" si="45"/>
        <v>1</v>
      </c>
    </row>
    <row r="2834" spans="1:3" x14ac:dyDescent="0.25">
      <c r="A2834" s="159">
        <v>611033</v>
      </c>
      <c r="B2834" s="159" t="s">
        <v>441</v>
      </c>
      <c r="C2834" s="158" t="str">
        <f t="shared" si="45"/>
        <v>4S</v>
      </c>
    </row>
    <row r="2835" spans="1:3" x14ac:dyDescent="0.25">
      <c r="A2835" s="159">
        <v>611034</v>
      </c>
      <c r="B2835" s="159">
        <v>1</v>
      </c>
      <c r="C2835" s="158" t="str">
        <f t="shared" si="45"/>
        <v>1</v>
      </c>
    </row>
    <row r="2836" spans="1:3" x14ac:dyDescent="0.25">
      <c r="A2836" s="159">
        <v>611045</v>
      </c>
      <c r="B2836" s="159">
        <v>2</v>
      </c>
      <c r="C2836" s="158" t="str">
        <f t="shared" si="45"/>
        <v>2</v>
      </c>
    </row>
    <row r="2837" spans="1:3" x14ac:dyDescent="0.25">
      <c r="A2837" s="159">
        <v>611046</v>
      </c>
      <c r="B2837" s="159">
        <v>1</v>
      </c>
      <c r="C2837" s="158" t="str">
        <f t="shared" si="45"/>
        <v>1</v>
      </c>
    </row>
    <row r="2838" spans="1:3" x14ac:dyDescent="0.25">
      <c r="A2838" s="159">
        <v>611047</v>
      </c>
      <c r="B2838" s="159">
        <v>1</v>
      </c>
      <c r="C2838" s="158" t="str">
        <f t="shared" si="45"/>
        <v>1</v>
      </c>
    </row>
    <row r="2839" spans="1:3" x14ac:dyDescent="0.25">
      <c r="A2839" s="159">
        <v>611060</v>
      </c>
      <c r="B2839" s="159">
        <v>2</v>
      </c>
      <c r="C2839" s="158" t="str">
        <f t="shared" si="45"/>
        <v>2</v>
      </c>
    </row>
    <row r="2840" spans="1:3" x14ac:dyDescent="0.25">
      <c r="A2840" s="159">
        <v>611061</v>
      </c>
      <c r="B2840" s="159">
        <v>1</v>
      </c>
      <c r="C2840" s="158" t="str">
        <f t="shared" si="45"/>
        <v>1</v>
      </c>
    </row>
    <row r="2841" spans="1:3" x14ac:dyDescent="0.25">
      <c r="A2841" s="159">
        <v>611062</v>
      </c>
      <c r="B2841" s="159">
        <v>1</v>
      </c>
      <c r="C2841" s="158" t="str">
        <f t="shared" si="45"/>
        <v>1</v>
      </c>
    </row>
    <row r="2842" spans="1:3" x14ac:dyDescent="0.25">
      <c r="A2842" s="159">
        <v>611069</v>
      </c>
      <c r="B2842" s="159">
        <v>1</v>
      </c>
      <c r="C2842" s="158" t="str">
        <f t="shared" si="45"/>
        <v>1</v>
      </c>
    </row>
    <row r="2843" spans="1:3" x14ac:dyDescent="0.25">
      <c r="A2843" s="159">
        <v>611070</v>
      </c>
      <c r="B2843" s="159">
        <v>1</v>
      </c>
      <c r="C2843" s="158" t="str">
        <f t="shared" si="45"/>
        <v>1</v>
      </c>
    </row>
    <row r="2844" spans="1:3" x14ac:dyDescent="0.25">
      <c r="A2844" s="159">
        <v>611071</v>
      </c>
      <c r="B2844" s="159">
        <v>1</v>
      </c>
      <c r="C2844" s="158" t="str">
        <f t="shared" si="45"/>
        <v>1</v>
      </c>
    </row>
    <row r="2845" spans="1:3" x14ac:dyDescent="0.25">
      <c r="A2845" s="159">
        <v>611072</v>
      </c>
      <c r="B2845" s="159">
        <v>1</v>
      </c>
      <c r="C2845" s="158" t="str">
        <f t="shared" si="45"/>
        <v>1</v>
      </c>
    </row>
    <row r="2846" spans="1:3" x14ac:dyDescent="0.25">
      <c r="A2846" s="159">
        <v>611073</v>
      </c>
      <c r="B2846" s="159">
        <v>1</v>
      </c>
      <c r="C2846" s="158" t="str">
        <f t="shared" si="45"/>
        <v>1</v>
      </c>
    </row>
    <row r="2847" spans="1:3" x14ac:dyDescent="0.25">
      <c r="A2847" s="159">
        <v>611074</v>
      </c>
      <c r="B2847" s="159">
        <v>1</v>
      </c>
      <c r="C2847" s="158" t="str">
        <f t="shared" si="45"/>
        <v>1</v>
      </c>
    </row>
    <row r="2848" spans="1:3" x14ac:dyDescent="0.25">
      <c r="A2848" s="159">
        <v>611082</v>
      </c>
      <c r="B2848" s="159">
        <v>3</v>
      </c>
      <c r="C2848" s="158" t="str">
        <f t="shared" si="45"/>
        <v>3</v>
      </c>
    </row>
    <row r="2849" spans="1:3" x14ac:dyDescent="0.25">
      <c r="A2849" s="159">
        <v>611083</v>
      </c>
      <c r="B2849" s="159">
        <v>1</v>
      </c>
      <c r="C2849" s="158" t="str">
        <f t="shared" si="45"/>
        <v>1</v>
      </c>
    </row>
    <row r="2850" spans="1:3" x14ac:dyDescent="0.25">
      <c r="A2850" s="159">
        <v>611084</v>
      </c>
      <c r="B2850" s="159">
        <v>1</v>
      </c>
      <c r="C2850" s="158" t="str">
        <f t="shared" si="45"/>
        <v>1</v>
      </c>
    </row>
    <row r="2851" spans="1:3" x14ac:dyDescent="0.25">
      <c r="A2851" s="159">
        <v>611162</v>
      </c>
      <c r="B2851" s="159">
        <v>1</v>
      </c>
      <c r="C2851" s="158" t="str">
        <f t="shared" si="45"/>
        <v>1</v>
      </c>
    </row>
    <row r="2852" spans="1:3" x14ac:dyDescent="0.25">
      <c r="A2852" s="159">
        <v>611163</v>
      </c>
      <c r="B2852" s="159">
        <v>1</v>
      </c>
      <c r="C2852" s="158" t="str">
        <f t="shared" si="45"/>
        <v>1</v>
      </c>
    </row>
    <row r="2853" spans="1:3" x14ac:dyDescent="0.25">
      <c r="A2853" s="159">
        <v>611164</v>
      </c>
      <c r="B2853" s="159">
        <v>1</v>
      </c>
      <c r="C2853" s="158" t="str">
        <f t="shared" si="45"/>
        <v>1</v>
      </c>
    </row>
    <row r="2854" spans="1:3" x14ac:dyDescent="0.25">
      <c r="A2854" s="159">
        <v>611202</v>
      </c>
      <c r="B2854" s="159">
        <v>1</v>
      </c>
      <c r="C2854" s="158" t="str">
        <f t="shared" si="45"/>
        <v>1</v>
      </c>
    </row>
    <row r="2855" spans="1:3" x14ac:dyDescent="0.25">
      <c r="A2855" s="159">
        <v>611203</v>
      </c>
      <c r="B2855" s="159">
        <v>1</v>
      </c>
      <c r="C2855" s="158" t="str">
        <f t="shared" si="45"/>
        <v>1</v>
      </c>
    </row>
    <row r="2856" spans="1:3" x14ac:dyDescent="0.25">
      <c r="A2856" s="159">
        <v>611204</v>
      </c>
      <c r="B2856" s="159">
        <v>1</v>
      </c>
      <c r="C2856" s="158" t="str">
        <f t="shared" si="45"/>
        <v>1</v>
      </c>
    </row>
    <row r="2857" spans="1:3" x14ac:dyDescent="0.25">
      <c r="A2857" s="159">
        <v>611205</v>
      </c>
      <c r="B2857" s="159">
        <v>1</v>
      </c>
      <c r="C2857" s="158" t="str">
        <f t="shared" si="45"/>
        <v>1</v>
      </c>
    </row>
    <row r="2858" spans="1:3" x14ac:dyDescent="0.25">
      <c r="A2858" s="159">
        <v>611233</v>
      </c>
      <c r="B2858" s="159">
        <v>1</v>
      </c>
      <c r="C2858" s="158" t="str">
        <f t="shared" si="45"/>
        <v>1</v>
      </c>
    </row>
    <row r="2859" spans="1:3" x14ac:dyDescent="0.25">
      <c r="A2859" s="159">
        <v>611521</v>
      </c>
      <c r="B2859" s="159">
        <v>4</v>
      </c>
      <c r="C2859" s="158" t="str">
        <f t="shared" si="45"/>
        <v>4</v>
      </c>
    </row>
    <row r="2860" spans="1:3" x14ac:dyDescent="0.25">
      <c r="A2860" s="159">
        <v>611522</v>
      </c>
      <c r="B2860" s="159">
        <v>1</v>
      </c>
      <c r="C2860" s="158" t="str">
        <f t="shared" si="45"/>
        <v>1</v>
      </c>
    </row>
    <row r="2861" spans="1:3" x14ac:dyDescent="0.25">
      <c r="A2861" s="159">
        <v>611523</v>
      </c>
      <c r="B2861" s="159">
        <v>1</v>
      </c>
      <c r="C2861" s="158" t="str">
        <f t="shared" si="45"/>
        <v>1</v>
      </c>
    </row>
    <row r="2862" spans="1:3" x14ac:dyDescent="0.25">
      <c r="A2862" s="159">
        <v>611524</v>
      </c>
      <c r="B2862" s="159">
        <v>1</v>
      </c>
      <c r="C2862" s="158" t="str">
        <f t="shared" si="45"/>
        <v>1</v>
      </c>
    </row>
    <row r="2863" spans="1:3" x14ac:dyDescent="0.25">
      <c r="A2863" s="159">
        <v>611530</v>
      </c>
      <c r="B2863" s="159">
        <v>1</v>
      </c>
      <c r="C2863" s="158" t="str">
        <f t="shared" si="45"/>
        <v>1</v>
      </c>
    </row>
    <row r="2864" spans="1:3" x14ac:dyDescent="0.25">
      <c r="A2864" s="159">
        <v>611531</v>
      </c>
      <c r="B2864" s="159">
        <v>1</v>
      </c>
      <c r="C2864" s="158" t="str">
        <f t="shared" si="45"/>
        <v>1</v>
      </c>
    </row>
    <row r="2865" spans="1:3" x14ac:dyDescent="0.25">
      <c r="A2865" s="159">
        <v>611532</v>
      </c>
      <c r="B2865" s="159">
        <v>1</v>
      </c>
      <c r="C2865" s="158" t="str">
        <f t="shared" si="45"/>
        <v>1</v>
      </c>
    </row>
    <row r="2866" spans="1:3" x14ac:dyDescent="0.25">
      <c r="A2866" s="159">
        <v>611552</v>
      </c>
      <c r="B2866" s="159">
        <v>1</v>
      </c>
      <c r="C2866" s="158" t="str">
        <f t="shared" si="45"/>
        <v>1</v>
      </c>
    </row>
    <row r="2867" spans="1:3" x14ac:dyDescent="0.25">
      <c r="A2867" s="159">
        <v>611553</v>
      </c>
      <c r="B2867" s="159">
        <v>1</v>
      </c>
      <c r="C2867" s="158" t="str">
        <f t="shared" si="45"/>
        <v>1</v>
      </c>
    </row>
    <row r="2868" spans="1:3" x14ac:dyDescent="0.25">
      <c r="A2868" s="159">
        <v>611555</v>
      </c>
      <c r="B2868" s="159">
        <v>1</v>
      </c>
      <c r="C2868" s="158" t="str">
        <f t="shared" si="45"/>
        <v>1</v>
      </c>
    </row>
    <row r="2869" spans="1:3" x14ac:dyDescent="0.25">
      <c r="A2869" s="159">
        <v>611556</v>
      </c>
      <c r="B2869" s="159">
        <v>1</v>
      </c>
      <c r="C2869" s="158" t="str">
        <f t="shared" si="45"/>
        <v>1</v>
      </c>
    </row>
    <row r="2870" spans="1:3" x14ac:dyDescent="0.25">
      <c r="A2870" s="159">
        <v>611557</v>
      </c>
      <c r="B2870" s="159">
        <v>1</v>
      </c>
      <c r="C2870" s="158" t="str">
        <f t="shared" ref="C2870:C2933" si="46">IF(OR(B2870=0,B2870=1,B2870=2,B2870=3,B2870=4,B2870=5),TEXT(B2870,"0"),B2870)</f>
        <v>1</v>
      </c>
    </row>
    <row r="2871" spans="1:3" x14ac:dyDescent="0.25">
      <c r="A2871" s="159">
        <v>611558</v>
      </c>
      <c r="B2871" s="159">
        <v>1</v>
      </c>
      <c r="C2871" s="158" t="str">
        <f t="shared" si="46"/>
        <v>1</v>
      </c>
    </row>
    <row r="2872" spans="1:3" x14ac:dyDescent="0.25">
      <c r="A2872" s="159">
        <v>611559</v>
      </c>
      <c r="B2872" s="159">
        <v>3</v>
      </c>
      <c r="C2872" s="158" t="str">
        <f t="shared" si="46"/>
        <v>3</v>
      </c>
    </row>
    <row r="2873" spans="1:3" x14ac:dyDescent="0.25">
      <c r="A2873" s="159">
        <v>611560</v>
      </c>
      <c r="B2873" s="159">
        <v>1</v>
      </c>
      <c r="C2873" s="158" t="str">
        <f t="shared" si="46"/>
        <v>1</v>
      </c>
    </row>
    <row r="2874" spans="1:3" x14ac:dyDescent="0.25">
      <c r="A2874" s="159">
        <v>611562</v>
      </c>
      <c r="B2874" s="159">
        <v>1</v>
      </c>
      <c r="C2874" s="158" t="str">
        <f t="shared" si="46"/>
        <v>1</v>
      </c>
    </row>
    <row r="2875" spans="1:3" x14ac:dyDescent="0.25">
      <c r="A2875" s="159">
        <v>611563</v>
      </c>
      <c r="B2875" s="159">
        <v>1</v>
      </c>
      <c r="C2875" s="158" t="str">
        <f t="shared" si="46"/>
        <v>1</v>
      </c>
    </row>
    <row r="2876" spans="1:3" x14ac:dyDescent="0.25">
      <c r="A2876" s="159">
        <v>611564</v>
      </c>
      <c r="B2876" s="159">
        <v>1</v>
      </c>
      <c r="C2876" s="158" t="str">
        <f t="shared" si="46"/>
        <v>1</v>
      </c>
    </row>
    <row r="2877" spans="1:3" x14ac:dyDescent="0.25">
      <c r="A2877" s="159">
        <v>611565</v>
      </c>
      <c r="B2877" s="159">
        <v>1</v>
      </c>
      <c r="C2877" s="158" t="str">
        <f t="shared" si="46"/>
        <v>1</v>
      </c>
    </row>
    <row r="2878" spans="1:3" x14ac:dyDescent="0.25">
      <c r="A2878" s="159">
        <v>611598</v>
      </c>
      <c r="B2878" s="159">
        <v>1</v>
      </c>
      <c r="C2878" s="158" t="str">
        <f t="shared" si="46"/>
        <v>1</v>
      </c>
    </row>
    <row r="2879" spans="1:3" x14ac:dyDescent="0.25">
      <c r="A2879" s="159">
        <v>611599</v>
      </c>
      <c r="B2879" s="159">
        <v>1</v>
      </c>
      <c r="C2879" s="158" t="str">
        <f t="shared" si="46"/>
        <v>1</v>
      </c>
    </row>
    <row r="2880" spans="1:3" x14ac:dyDescent="0.25">
      <c r="A2880" s="159">
        <v>611601</v>
      </c>
      <c r="B2880" s="159">
        <v>5</v>
      </c>
      <c r="C2880" s="158" t="str">
        <f t="shared" si="46"/>
        <v>5</v>
      </c>
    </row>
    <row r="2881" spans="1:3" x14ac:dyDescent="0.25">
      <c r="A2881" s="159">
        <v>611602</v>
      </c>
      <c r="B2881" s="159">
        <v>1</v>
      </c>
      <c r="C2881" s="158" t="str">
        <f t="shared" si="46"/>
        <v>1</v>
      </c>
    </row>
    <row r="2882" spans="1:3" x14ac:dyDescent="0.25">
      <c r="A2882" s="159">
        <v>611603</v>
      </c>
      <c r="B2882" s="159">
        <v>1</v>
      </c>
      <c r="C2882" s="158" t="str">
        <f t="shared" si="46"/>
        <v>1</v>
      </c>
    </row>
    <row r="2883" spans="1:3" x14ac:dyDescent="0.25">
      <c r="A2883" s="159">
        <v>611604</v>
      </c>
      <c r="B2883" s="159">
        <v>1</v>
      </c>
      <c r="C2883" s="158" t="str">
        <f t="shared" si="46"/>
        <v>1</v>
      </c>
    </row>
    <row r="2884" spans="1:3" x14ac:dyDescent="0.25">
      <c r="A2884" s="159">
        <v>611651</v>
      </c>
      <c r="B2884" s="159">
        <v>1</v>
      </c>
      <c r="C2884" s="158" t="str">
        <f t="shared" si="46"/>
        <v>1</v>
      </c>
    </row>
    <row r="2885" spans="1:3" x14ac:dyDescent="0.25">
      <c r="A2885" s="159">
        <v>611652</v>
      </c>
      <c r="B2885" s="159">
        <v>1</v>
      </c>
      <c r="C2885" s="158" t="str">
        <f t="shared" si="46"/>
        <v>1</v>
      </c>
    </row>
    <row r="2886" spans="1:3" x14ac:dyDescent="0.25">
      <c r="A2886" s="159">
        <v>611678</v>
      </c>
      <c r="B2886" s="159">
        <v>1</v>
      </c>
      <c r="C2886" s="158" t="str">
        <f t="shared" si="46"/>
        <v>1</v>
      </c>
    </row>
    <row r="2887" spans="1:3" x14ac:dyDescent="0.25">
      <c r="A2887" s="159">
        <v>611679</v>
      </c>
      <c r="B2887" s="159">
        <v>1</v>
      </c>
      <c r="C2887" s="158" t="str">
        <f t="shared" si="46"/>
        <v>1</v>
      </c>
    </row>
    <row r="2888" spans="1:3" x14ac:dyDescent="0.25">
      <c r="A2888" s="159">
        <v>611680</v>
      </c>
      <c r="B2888" s="159">
        <v>1</v>
      </c>
      <c r="C2888" s="158" t="str">
        <f t="shared" si="46"/>
        <v>1</v>
      </c>
    </row>
    <row r="2889" spans="1:3" x14ac:dyDescent="0.25">
      <c r="A2889" s="159">
        <v>611681</v>
      </c>
      <c r="B2889" s="159">
        <v>1</v>
      </c>
      <c r="C2889" s="158" t="str">
        <f t="shared" si="46"/>
        <v>1</v>
      </c>
    </row>
    <row r="2890" spans="1:3" x14ac:dyDescent="0.25">
      <c r="A2890" s="159">
        <v>611682</v>
      </c>
      <c r="B2890" s="159">
        <v>1</v>
      </c>
      <c r="C2890" s="158" t="str">
        <f t="shared" si="46"/>
        <v>1</v>
      </c>
    </row>
    <row r="2891" spans="1:3" x14ac:dyDescent="0.25">
      <c r="A2891" s="159">
        <v>611760</v>
      </c>
      <c r="B2891" s="159">
        <v>1</v>
      </c>
      <c r="C2891" s="158" t="str">
        <f t="shared" si="46"/>
        <v>1</v>
      </c>
    </row>
    <row r="2892" spans="1:3" x14ac:dyDescent="0.25">
      <c r="A2892" s="159">
        <v>611761</v>
      </c>
      <c r="B2892" s="159">
        <v>1</v>
      </c>
      <c r="C2892" s="158" t="str">
        <f t="shared" si="46"/>
        <v>1</v>
      </c>
    </row>
    <row r="2893" spans="1:3" x14ac:dyDescent="0.25">
      <c r="A2893" s="159">
        <v>611762</v>
      </c>
      <c r="B2893" s="159">
        <v>1</v>
      </c>
      <c r="C2893" s="158" t="str">
        <f t="shared" si="46"/>
        <v>1</v>
      </c>
    </row>
    <row r="2894" spans="1:3" x14ac:dyDescent="0.25">
      <c r="A2894" s="159">
        <v>611763</v>
      </c>
      <c r="B2894" s="159">
        <v>1</v>
      </c>
      <c r="C2894" s="158" t="str">
        <f t="shared" si="46"/>
        <v>1</v>
      </c>
    </row>
    <row r="2895" spans="1:3" x14ac:dyDescent="0.25">
      <c r="A2895" s="159">
        <v>611764</v>
      </c>
      <c r="B2895" s="159">
        <v>1</v>
      </c>
      <c r="C2895" s="158" t="str">
        <f t="shared" si="46"/>
        <v>1</v>
      </c>
    </row>
    <row r="2896" spans="1:3" x14ac:dyDescent="0.25">
      <c r="A2896" s="159">
        <v>611765</v>
      </c>
      <c r="B2896" s="159">
        <v>1</v>
      </c>
      <c r="C2896" s="158" t="str">
        <f t="shared" si="46"/>
        <v>1</v>
      </c>
    </row>
    <row r="2897" spans="1:3" x14ac:dyDescent="0.25">
      <c r="A2897" s="159">
        <v>611785</v>
      </c>
      <c r="B2897" s="159" t="s">
        <v>435</v>
      </c>
      <c r="C2897" s="158" t="str">
        <f t="shared" si="46"/>
        <v>GR 2</v>
      </c>
    </row>
    <row r="2898" spans="1:3" x14ac:dyDescent="0.25">
      <c r="A2898" s="159">
        <v>611817</v>
      </c>
      <c r="B2898" s="159" t="s">
        <v>455</v>
      </c>
      <c r="C2898" s="158" t="str">
        <f t="shared" si="46"/>
        <v>GR 13</v>
      </c>
    </row>
    <row r="2899" spans="1:3" x14ac:dyDescent="0.25">
      <c r="A2899" s="159">
        <v>611825</v>
      </c>
      <c r="B2899" s="159" t="s">
        <v>435</v>
      </c>
      <c r="C2899" s="158" t="str">
        <f t="shared" si="46"/>
        <v>GR 2</v>
      </c>
    </row>
    <row r="2900" spans="1:3" x14ac:dyDescent="0.25">
      <c r="A2900" s="159">
        <v>611827</v>
      </c>
      <c r="B2900" s="159" t="s">
        <v>456</v>
      </c>
      <c r="C2900" s="158" t="str">
        <f t="shared" si="46"/>
        <v>GR 7</v>
      </c>
    </row>
    <row r="2901" spans="1:3" x14ac:dyDescent="0.25">
      <c r="A2901" s="159">
        <v>611833</v>
      </c>
      <c r="B2901" s="159" t="s">
        <v>444</v>
      </c>
      <c r="C2901" s="158" t="str">
        <f t="shared" si="46"/>
        <v>GR 15</v>
      </c>
    </row>
    <row r="2902" spans="1:3" x14ac:dyDescent="0.25">
      <c r="A2902" s="159">
        <v>611837</v>
      </c>
      <c r="B2902" s="159" t="s">
        <v>457</v>
      </c>
      <c r="C2902" s="158" t="str">
        <f t="shared" si="46"/>
        <v>GR 1</v>
      </c>
    </row>
    <row r="2903" spans="1:3" x14ac:dyDescent="0.25">
      <c r="A2903" s="159">
        <v>611910</v>
      </c>
      <c r="B2903" s="159">
        <v>1</v>
      </c>
      <c r="C2903" s="158" t="str">
        <f t="shared" si="46"/>
        <v>1</v>
      </c>
    </row>
    <row r="2904" spans="1:3" x14ac:dyDescent="0.25">
      <c r="A2904" s="159">
        <v>611911</v>
      </c>
      <c r="B2904" s="159">
        <v>1</v>
      </c>
      <c r="C2904" s="158" t="str">
        <f t="shared" si="46"/>
        <v>1</v>
      </c>
    </row>
    <row r="2905" spans="1:3" x14ac:dyDescent="0.25">
      <c r="A2905" s="159">
        <v>611912</v>
      </c>
      <c r="B2905" s="159">
        <v>1</v>
      </c>
      <c r="C2905" s="158" t="str">
        <f t="shared" si="46"/>
        <v>1</v>
      </c>
    </row>
    <row r="2906" spans="1:3" x14ac:dyDescent="0.25">
      <c r="A2906" s="159">
        <v>612010</v>
      </c>
      <c r="B2906" s="159">
        <v>3</v>
      </c>
      <c r="C2906" s="158" t="str">
        <f t="shared" si="46"/>
        <v>3</v>
      </c>
    </row>
    <row r="2907" spans="1:3" x14ac:dyDescent="0.25">
      <c r="A2907" s="159">
        <v>612011</v>
      </c>
      <c r="B2907" s="159">
        <v>1</v>
      </c>
      <c r="C2907" s="158" t="str">
        <f t="shared" si="46"/>
        <v>1</v>
      </c>
    </row>
    <row r="2908" spans="1:3" x14ac:dyDescent="0.25">
      <c r="A2908" s="159">
        <v>612012</v>
      </c>
      <c r="B2908" s="159">
        <v>1</v>
      </c>
      <c r="C2908" s="158" t="str">
        <f t="shared" si="46"/>
        <v>1</v>
      </c>
    </row>
    <row r="2909" spans="1:3" x14ac:dyDescent="0.25">
      <c r="A2909" s="159">
        <v>612013</v>
      </c>
      <c r="B2909" s="159">
        <v>1</v>
      </c>
      <c r="C2909" s="158" t="str">
        <f t="shared" si="46"/>
        <v>1</v>
      </c>
    </row>
    <row r="2910" spans="1:3" x14ac:dyDescent="0.25">
      <c r="A2910" s="159">
        <v>612014</v>
      </c>
      <c r="B2910" s="159">
        <v>1</v>
      </c>
      <c r="C2910" s="158" t="str">
        <f t="shared" si="46"/>
        <v>1</v>
      </c>
    </row>
    <row r="2911" spans="1:3" x14ac:dyDescent="0.25">
      <c r="A2911" s="159">
        <v>612015</v>
      </c>
      <c r="B2911" s="159">
        <v>1</v>
      </c>
      <c r="C2911" s="158" t="str">
        <f t="shared" si="46"/>
        <v>1</v>
      </c>
    </row>
    <row r="2912" spans="1:3" x14ac:dyDescent="0.25">
      <c r="A2912" s="159">
        <v>612016</v>
      </c>
      <c r="B2912" s="159">
        <v>2</v>
      </c>
      <c r="C2912" s="158" t="str">
        <f t="shared" si="46"/>
        <v>2</v>
      </c>
    </row>
    <row r="2913" spans="1:3" x14ac:dyDescent="0.25">
      <c r="A2913" s="159">
        <v>612017</v>
      </c>
      <c r="B2913" s="159">
        <v>1</v>
      </c>
      <c r="C2913" s="158" t="str">
        <f t="shared" si="46"/>
        <v>1</v>
      </c>
    </row>
    <row r="2914" spans="1:3" x14ac:dyDescent="0.25">
      <c r="A2914" s="159">
        <v>612018</v>
      </c>
      <c r="B2914" s="159">
        <v>1</v>
      </c>
      <c r="C2914" s="158" t="str">
        <f t="shared" si="46"/>
        <v>1</v>
      </c>
    </row>
    <row r="2915" spans="1:3" x14ac:dyDescent="0.25">
      <c r="A2915" s="159">
        <v>612019</v>
      </c>
      <c r="B2915" s="159">
        <v>1</v>
      </c>
      <c r="C2915" s="158" t="str">
        <f t="shared" si="46"/>
        <v>1</v>
      </c>
    </row>
    <row r="2916" spans="1:3" x14ac:dyDescent="0.25">
      <c r="A2916" s="159">
        <v>612020</v>
      </c>
      <c r="B2916" s="159">
        <v>3</v>
      </c>
      <c r="C2916" s="158" t="str">
        <f t="shared" si="46"/>
        <v>3</v>
      </c>
    </row>
    <row r="2917" spans="1:3" x14ac:dyDescent="0.25">
      <c r="A2917" s="159">
        <v>612021</v>
      </c>
      <c r="B2917" s="159">
        <v>1</v>
      </c>
      <c r="C2917" s="158" t="str">
        <f t="shared" si="46"/>
        <v>1</v>
      </c>
    </row>
    <row r="2918" spans="1:3" x14ac:dyDescent="0.25">
      <c r="A2918" s="159">
        <v>612023</v>
      </c>
      <c r="B2918" s="159">
        <v>1</v>
      </c>
      <c r="C2918" s="158" t="str">
        <f t="shared" si="46"/>
        <v>1</v>
      </c>
    </row>
    <row r="2919" spans="1:3" x14ac:dyDescent="0.25">
      <c r="A2919" s="159">
        <v>612024</v>
      </c>
      <c r="B2919" s="159">
        <v>1</v>
      </c>
      <c r="C2919" s="158" t="str">
        <f t="shared" si="46"/>
        <v>1</v>
      </c>
    </row>
    <row r="2920" spans="1:3" x14ac:dyDescent="0.25">
      <c r="A2920" s="159">
        <v>612026</v>
      </c>
      <c r="B2920" s="159">
        <v>1</v>
      </c>
      <c r="C2920" s="158" t="str">
        <f t="shared" si="46"/>
        <v>1</v>
      </c>
    </row>
    <row r="2921" spans="1:3" x14ac:dyDescent="0.25">
      <c r="A2921" s="159">
        <v>612027</v>
      </c>
      <c r="B2921" s="159">
        <v>1</v>
      </c>
      <c r="C2921" s="158" t="str">
        <f t="shared" si="46"/>
        <v>1</v>
      </c>
    </row>
    <row r="2922" spans="1:3" x14ac:dyDescent="0.25">
      <c r="A2922" s="159">
        <v>612028</v>
      </c>
      <c r="B2922" s="159">
        <v>1</v>
      </c>
      <c r="C2922" s="158" t="str">
        <f t="shared" si="46"/>
        <v>1</v>
      </c>
    </row>
    <row r="2923" spans="1:3" x14ac:dyDescent="0.25">
      <c r="A2923" s="159">
        <v>612030</v>
      </c>
      <c r="B2923" s="159">
        <v>1</v>
      </c>
      <c r="C2923" s="158" t="str">
        <f t="shared" si="46"/>
        <v>1</v>
      </c>
    </row>
    <row r="2924" spans="1:3" x14ac:dyDescent="0.25">
      <c r="A2924" s="159">
        <v>612031</v>
      </c>
      <c r="B2924" s="159">
        <v>1</v>
      </c>
      <c r="C2924" s="158" t="str">
        <f t="shared" si="46"/>
        <v>1</v>
      </c>
    </row>
    <row r="2925" spans="1:3" x14ac:dyDescent="0.25">
      <c r="A2925" s="159">
        <v>612032</v>
      </c>
      <c r="B2925" s="159">
        <v>1</v>
      </c>
      <c r="C2925" s="158" t="str">
        <f t="shared" si="46"/>
        <v>1</v>
      </c>
    </row>
    <row r="2926" spans="1:3" x14ac:dyDescent="0.25">
      <c r="A2926" s="159">
        <v>612033</v>
      </c>
      <c r="B2926" s="159">
        <v>1</v>
      </c>
      <c r="C2926" s="158" t="str">
        <f t="shared" si="46"/>
        <v>1</v>
      </c>
    </row>
    <row r="2927" spans="1:3" x14ac:dyDescent="0.25">
      <c r="A2927" s="159">
        <v>612034</v>
      </c>
      <c r="B2927" s="159">
        <v>1</v>
      </c>
      <c r="C2927" s="158" t="str">
        <f t="shared" si="46"/>
        <v>1</v>
      </c>
    </row>
    <row r="2928" spans="1:3" x14ac:dyDescent="0.25">
      <c r="A2928" s="159">
        <v>612035</v>
      </c>
      <c r="B2928" s="159">
        <v>1</v>
      </c>
      <c r="C2928" s="158" t="str">
        <f t="shared" si="46"/>
        <v>1</v>
      </c>
    </row>
    <row r="2929" spans="1:3" x14ac:dyDescent="0.25">
      <c r="A2929" s="159">
        <v>612036</v>
      </c>
      <c r="B2929" s="159">
        <v>1</v>
      </c>
      <c r="C2929" s="158" t="str">
        <f t="shared" si="46"/>
        <v>1</v>
      </c>
    </row>
    <row r="2930" spans="1:3" x14ac:dyDescent="0.25">
      <c r="A2930" s="159">
        <v>612065</v>
      </c>
      <c r="B2930" s="159">
        <v>1</v>
      </c>
      <c r="C2930" s="158" t="str">
        <f t="shared" si="46"/>
        <v>1</v>
      </c>
    </row>
    <row r="2931" spans="1:3" x14ac:dyDescent="0.25">
      <c r="A2931" s="159">
        <v>612066</v>
      </c>
      <c r="B2931" s="159">
        <v>1</v>
      </c>
      <c r="C2931" s="158" t="str">
        <f t="shared" si="46"/>
        <v>1</v>
      </c>
    </row>
    <row r="2932" spans="1:3" x14ac:dyDescent="0.25">
      <c r="A2932" s="159">
        <v>612067</v>
      </c>
      <c r="B2932" s="159">
        <v>1</v>
      </c>
      <c r="C2932" s="158" t="str">
        <f t="shared" si="46"/>
        <v>1</v>
      </c>
    </row>
    <row r="2933" spans="1:3" x14ac:dyDescent="0.25">
      <c r="A2933" s="159">
        <v>612069</v>
      </c>
      <c r="B2933" s="159">
        <v>1</v>
      </c>
      <c r="C2933" s="158" t="str">
        <f t="shared" si="46"/>
        <v>1</v>
      </c>
    </row>
    <row r="2934" spans="1:3" x14ac:dyDescent="0.25">
      <c r="A2934" s="159">
        <v>612071</v>
      </c>
      <c r="B2934" s="159">
        <v>1</v>
      </c>
      <c r="C2934" s="158" t="str">
        <f t="shared" ref="C2934:C2997" si="47">IF(OR(B2934=0,B2934=1,B2934=2,B2934=3,B2934=4,B2934=5),TEXT(B2934,"0"),B2934)</f>
        <v>1</v>
      </c>
    </row>
    <row r="2935" spans="1:3" x14ac:dyDescent="0.25">
      <c r="A2935" s="159">
        <v>612072</v>
      </c>
      <c r="B2935" s="159">
        <v>1</v>
      </c>
      <c r="C2935" s="158" t="str">
        <f t="shared" si="47"/>
        <v>1</v>
      </c>
    </row>
    <row r="2936" spans="1:3" x14ac:dyDescent="0.25">
      <c r="A2936" s="159">
        <v>612073</v>
      </c>
      <c r="B2936" s="159">
        <v>1</v>
      </c>
      <c r="C2936" s="158" t="str">
        <f t="shared" si="47"/>
        <v>1</v>
      </c>
    </row>
    <row r="2937" spans="1:3" x14ac:dyDescent="0.25">
      <c r="A2937" s="159">
        <v>612074</v>
      </c>
      <c r="B2937" s="159">
        <v>1</v>
      </c>
      <c r="C2937" s="158" t="str">
        <f t="shared" si="47"/>
        <v>1</v>
      </c>
    </row>
    <row r="2938" spans="1:3" x14ac:dyDescent="0.25">
      <c r="A2938" s="159">
        <v>612075</v>
      </c>
      <c r="B2938" s="159">
        <v>1</v>
      </c>
      <c r="C2938" s="158" t="str">
        <f t="shared" si="47"/>
        <v>1</v>
      </c>
    </row>
    <row r="2939" spans="1:3" x14ac:dyDescent="0.25">
      <c r="A2939" s="159">
        <v>612076</v>
      </c>
      <c r="B2939" s="159">
        <v>2</v>
      </c>
      <c r="C2939" s="158" t="str">
        <f t="shared" si="47"/>
        <v>2</v>
      </c>
    </row>
    <row r="2940" spans="1:3" x14ac:dyDescent="0.25">
      <c r="A2940" s="159">
        <v>612077</v>
      </c>
      <c r="B2940" s="159">
        <v>1</v>
      </c>
      <c r="C2940" s="158" t="str">
        <f t="shared" si="47"/>
        <v>1</v>
      </c>
    </row>
    <row r="2941" spans="1:3" x14ac:dyDescent="0.25">
      <c r="A2941" s="159">
        <v>612078</v>
      </c>
      <c r="B2941" s="159">
        <v>1</v>
      </c>
      <c r="C2941" s="158" t="str">
        <f t="shared" si="47"/>
        <v>1</v>
      </c>
    </row>
    <row r="2942" spans="1:3" x14ac:dyDescent="0.25">
      <c r="A2942" s="159">
        <v>612080</v>
      </c>
      <c r="B2942" s="159">
        <v>1</v>
      </c>
      <c r="C2942" s="158" t="str">
        <f t="shared" si="47"/>
        <v>1</v>
      </c>
    </row>
    <row r="2943" spans="1:3" x14ac:dyDescent="0.25">
      <c r="A2943" s="159">
        <v>612082</v>
      </c>
      <c r="B2943" s="159">
        <v>1</v>
      </c>
      <c r="C2943" s="158" t="str">
        <f t="shared" si="47"/>
        <v>1</v>
      </c>
    </row>
    <row r="2944" spans="1:3" x14ac:dyDescent="0.25">
      <c r="A2944" s="159">
        <v>612083</v>
      </c>
      <c r="B2944" s="159">
        <v>1</v>
      </c>
      <c r="C2944" s="158" t="str">
        <f t="shared" si="47"/>
        <v>1</v>
      </c>
    </row>
    <row r="2945" spans="1:3" x14ac:dyDescent="0.25">
      <c r="A2945" s="159">
        <v>612084</v>
      </c>
      <c r="B2945" s="159">
        <v>1</v>
      </c>
      <c r="C2945" s="158" t="str">
        <f t="shared" si="47"/>
        <v>1</v>
      </c>
    </row>
    <row r="2946" spans="1:3" x14ac:dyDescent="0.25">
      <c r="A2946" s="159">
        <v>612085</v>
      </c>
      <c r="B2946" s="159">
        <v>1</v>
      </c>
      <c r="C2946" s="158" t="str">
        <f t="shared" si="47"/>
        <v>1</v>
      </c>
    </row>
    <row r="2947" spans="1:3" x14ac:dyDescent="0.25">
      <c r="A2947" s="159">
        <v>612087</v>
      </c>
      <c r="B2947" s="159">
        <v>1</v>
      </c>
      <c r="C2947" s="158" t="str">
        <f t="shared" si="47"/>
        <v>1</v>
      </c>
    </row>
    <row r="2948" spans="1:3" x14ac:dyDescent="0.25">
      <c r="A2948" s="159">
        <v>612088</v>
      </c>
      <c r="B2948" s="159">
        <v>1</v>
      </c>
      <c r="C2948" s="158" t="str">
        <f t="shared" si="47"/>
        <v>1</v>
      </c>
    </row>
    <row r="2949" spans="1:3" x14ac:dyDescent="0.25">
      <c r="A2949" s="159">
        <v>612090</v>
      </c>
      <c r="B2949" s="159">
        <v>1</v>
      </c>
      <c r="C2949" s="158" t="str">
        <f t="shared" si="47"/>
        <v>1</v>
      </c>
    </row>
    <row r="2950" spans="1:3" x14ac:dyDescent="0.25">
      <c r="A2950" s="159">
        <v>612091</v>
      </c>
      <c r="B2950" s="159">
        <v>1</v>
      </c>
      <c r="C2950" s="158" t="str">
        <f t="shared" si="47"/>
        <v>1</v>
      </c>
    </row>
    <row r="2951" spans="1:3" x14ac:dyDescent="0.25">
      <c r="A2951" s="159">
        <v>612092</v>
      </c>
      <c r="B2951" s="159">
        <v>1</v>
      </c>
      <c r="C2951" s="158" t="str">
        <f t="shared" si="47"/>
        <v>1</v>
      </c>
    </row>
    <row r="2952" spans="1:3" x14ac:dyDescent="0.25">
      <c r="A2952" s="159">
        <v>612093</v>
      </c>
      <c r="B2952" s="159">
        <v>1</v>
      </c>
      <c r="C2952" s="158" t="str">
        <f t="shared" si="47"/>
        <v>1</v>
      </c>
    </row>
    <row r="2953" spans="1:3" x14ac:dyDescent="0.25">
      <c r="A2953" s="159">
        <v>612094</v>
      </c>
      <c r="B2953" s="159">
        <v>1</v>
      </c>
      <c r="C2953" s="158" t="str">
        <f t="shared" si="47"/>
        <v>1</v>
      </c>
    </row>
    <row r="2954" spans="1:3" x14ac:dyDescent="0.25">
      <c r="A2954" s="159">
        <v>612161</v>
      </c>
      <c r="B2954" s="159">
        <v>1</v>
      </c>
      <c r="C2954" s="158" t="str">
        <f t="shared" si="47"/>
        <v>1</v>
      </c>
    </row>
    <row r="2955" spans="1:3" x14ac:dyDescent="0.25">
      <c r="A2955" s="159">
        <v>612162</v>
      </c>
      <c r="B2955" s="159">
        <v>1</v>
      </c>
      <c r="C2955" s="158" t="str">
        <f t="shared" si="47"/>
        <v>1</v>
      </c>
    </row>
    <row r="2956" spans="1:3" x14ac:dyDescent="0.25">
      <c r="A2956" s="159">
        <v>612163</v>
      </c>
      <c r="B2956" s="159">
        <v>1</v>
      </c>
      <c r="C2956" s="158" t="str">
        <f t="shared" si="47"/>
        <v>1</v>
      </c>
    </row>
    <row r="2957" spans="1:3" x14ac:dyDescent="0.25">
      <c r="A2957" s="159">
        <v>612164</v>
      </c>
      <c r="B2957" s="159">
        <v>1</v>
      </c>
      <c r="C2957" s="158" t="str">
        <f t="shared" si="47"/>
        <v>1</v>
      </c>
    </row>
    <row r="2958" spans="1:3" x14ac:dyDescent="0.25">
      <c r="A2958" s="159">
        <v>612210</v>
      </c>
      <c r="B2958" s="159">
        <v>1</v>
      </c>
      <c r="C2958" s="158" t="str">
        <f t="shared" si="47"/>
        <v>1</v>
      </c>
    </row>
    <row r="2959" spans="1:3" x14ac:dyDescent="0.25">
      <c r="A2959" s="159">
        <v>612211</v>
      </c>
      <c r="B2959" s="159">
        <v>1</v>
      </c>
      <c r="C2959" s="158" t="str">
        <f t="shared" si="47"/>
        <v>1</v>
      </c>
    </row>
    <row r="2960" spans="1:3" x14ac:dyDescent="0.25">
      <c r="A2960" s="159">
        <v>612212</v>
      </c>
      <c r="B2960" s="159">
        <v>1</v>
      </c>
      <c r="C2960" s="158" t="str">
        <f t="shared" si="47"/>
        <v>1</v>
      </c>
    </row>
    <row r="2961" spans="1:3" x14ac:dyDescent="0.25">
      <c r="A2961" s="159">
        <v>612213</v>
      </c>
      <c r="B2961" s="159">
        <v>1</v>
      </c>
      <c r="C2961" s="158" t="str">
        <f t="shared" si="47"/>
        <v>1</v>
      </c>
    </row>
    <row r="2962" spans="1:3" x14ac:dyDescent="0.25">
      <c r="A2962" s="159">
        <v>612214</v>
      </c>
      <c r="B2962" s="159">
        <v>1</v>
      </c>
      <c r="C2962" s="158" t="str">
        <f t="shared" si="47"/>
        <v>1</v>
      </c>
    </row>
    <row r="2963" spans="1:3" x14ac:dyDescent="0.25">
      <c r="A2963" s="159">
        <v>612216</v>
      </c>
      <c r="B2963" s="159">
        <v>1</v>
      </c>
      <c r="C2963" s="158" t="str">
        <f t="shared" si="47"/>
        <v>1</v>
      </c>
    </row>
    <row r="2964" spans="1:3" x14ac:dyDescent="0.25">
      <c r="A2964" s="159">
        <v>612217</v>
      </c>
      <c r="B2964" s="159">
        <v>1</v>
      </c>
      <c r="C2964" s="158" t="str">
        <f t="shared" si="47"/>
        <v>1</v>
      </c>
    </row>
    <row r="2965" spans="1:3" x14ac:dyDescent="0.25">
      <c r="A2965" s="159">
        <v>612260</v>
      </c>
      <c r="B2965" s="159">
        <v>1</v>
      </c>
      <c r="C2965" s="158" t="str">
        <f t="shared" si="47"/>
        <v>1</v>
      </c>
    </row>
    <row r="2966" spans="1:3" x14ac:dyDescent="0.25">
      <c r="A2966" s="159">
        <v>612261</v>
      </c>
      <c r="B2966" s="159">
        <v>1</v>
      </c>
      <c r="C2966" s="158" t="str">
        <f t="shared" si="47"/>
        <v>1</v>
      </c>
    </row>
    <row r="2967" spans="1:3" x14ac:dyDescent="0.25">
      <c r="A2967" s="159">
        <v>612262</v>
      </c>
      <c r="B2967" s="159">
        <v>1</v>
      </c>
      <c r="C2967" s="158" t="str">
        <f t="shared" si="47"/>
        <v>1</v>
      </c>
    </row>
    <row r="2968" spans="1:3" x14ac:dyDescent="0.25">
      <c r="A2968" s="159">
        <v>612285</v>
      </c>
      <c r="B2968" s="159">
        <v>4</v>
      </c>
      <c r="C2968" s="158" t="str">
        <f t="shared" si="47"/>
        <v>4</v>
      </c>
    </row>
    <row r="2969" spans="1:3" x14ac:dyDescent="0.25">
      <c r="A2969" s="159">
        <v>612286</v>
      </c>
      <c r="B2969" s="159">
        <v>1</v>
      </c>
      <c r="C2969" s="158" t="str">
        <f t="shared" si="47"/>
        <v>1</v>
      </c>
    </row>
    <row r="2970" spans="1:3" x14ac:dyDescent="0.25">
      <c r="A2970" s="159">
        <v>612287</v>
      </c>
      <c r="B2970" s="159">
        <v>1</v>
      </c>
      <c r="C2970" s="158" t="str">
        <f t="shared" si="47"/>
        <v>1</v>
      </c>
    </row>
    <row r="2971" spans="1:3" x14ac:dyDescent="0.25">
      <c r="A2971" s="159">
        <v>612288</v>
      </c>
      <c r="B2971" s="159">
        <v>1</v>
      </c>
      <c r="C2971" s="158" t="str">
        <f t="shared" si="47"/>
        <v>1</v>
      </c>
    </row>
    <row r="2972" spans="1:3" x14ac:dyDescent="0.25">
      <c r="A2972" s="159">
        <v>612291</v>
      </c>
      <c r="B2972" s="159">
        <v>1</v>
      </c>
      <c r="C2972" s="158" t="str">
        <f t="shared" si="47"/>
        <v>1</v>
      </c>
    </row>
    <row r="2973" spans="1:3" x14ac:dyDescent="0.25">
      <c r="A2973" s="159">
        <v>612292</v>
      </c>
      <c r="B2973" s="159">
        <v>1</v>
      </c>
      <c r="C2973" s="158" t="str">
        <f t="shared" si="47"/>
        <v>1</v>
      </c>
    </row>
    <row r="2974" spans="1:3" x14ac:dyDescent="0.25">
      <c r="A2974" s="159">
        <v>612293</v>
      </c>
      <c r="B2974" s="159">
        <v>1</v>
      </c>
      <c r="C2974" s="158" t="str">
        <f t="shared" si="47"/>
        <v>1</v>
      </c>
    </row>
    <row r="2975" spans="1:3" x14ac:dyDescent="0.25">
      <c r="A2975" s="159">
        <v>612294</v>
      </c>
      <c r="B2975" s="159">
        <v>1</v>
      </c>
      <c r="C2975" s="158" t="str">
        <f t="shared" si="47"/>
        <v>1</v>
      </c>
    </row>
    <row r="2976" spans="1:3" x14ac:dyDescent="0.25">
      <c r="A2976" s="159">
        <v>612361</v>
      </c>
      <c r="B2976" s="159">
        <v>5</v>
      </c>
      <c r="C2976" s="158" t="str">
        <f t="shared" si="47"/>
        <v>5</v>
      </c>
    </row>
    <row r="2977" spans="1:3" x14ac:dyDescent="0.25">
      <c r="A2977" s="159">
        <v>612362</v>
      </c>
      <c r="B2977" s="159">
        <v>1</v>
      </c>
      <c r="C2977" s="158" t="str">
        <f t="shared" si="47"/>
        <v>1</v>
      </c>
    </row>
    <row r="2978" spans="1:3" x14ac:dyDescent="0.25">
      <c r="A2978" s="159">
        <v>612363</v>
      </c>
      <c r="B2978" s="159">
        <v>1</v>
      </c>
      <c r="C2978" s="158" t="str">
        <f t="shared" si="47"/>
        <v>1</v>
      </c>
    </row>
    <row r="2979" spans="1:3" x14ac:dyDescent="0.25">
      <c r="A2979" s="159">
        <v>612364</v>
      </c>
      <c r="B2979" s="159">
        <v>1</v>
      </c>
      <c r="C2979" s="158" t="str">
        <f t="shared" si="47"/>
        <v>1</v>
      </c>
    </row>
    <row r="2980" spans="1:3" x14ac:dyDescent="0.25">
      <c r="A2980" s="159">
        <v>612365</v>
      </c>
      <c r="B2980" s="159">
        <v>1</v>
      </c>
      <c r="C2980" s="158" t="str">
        <f t="shared" si="47"/>
        <v>1</v>
      </c>
    </row>
    <row r="2981" spans="1:3" x14ac:dyDescent="0.25">
      <c r="A2981" s="159">
        <v>612380</v>
      </c>
      <c r="B2981" s="159">
        <v>1</v>
      </c>
      <c r="C2981" s="158" t="str">
        <f t="shared" si="47"/>
        <v>1</v>
      </c>
    </row>
    <row r="2982" spans="1:3" x14ac:dyDescent="0.25">
      <c r="A2982" s="159">
        <v>612381</v>
      </c>
      <c r="B2982" s="159">
        <v>1</v>
      </c>
      <c r="C2982" s="158" t="str">
        <f t="shared" si="47"/>
        <v>1</v>
      </c>
    </row>
    <row r="2983" spans="1:3" x14ac:dyDescent="0.25">
      <c r="A2983" s="159">
        <v>612382</v>
      </c>
      <c r="B2983" s="159">
        <v>1</v>
      </c>
      <c r="C2983" s="158" t="str">
        <f t="shared" si="47"/>
        <v>1</v>
      </c>
    </row>
    <row r="2984" spans="1:3" x14ac:dyDescent="0.25">
      <c r="A2984" s="159">
        <v>612383</v>
      </c>
      <c r="B2984" s="159">
        <v>1</v>
      </c>
      <c r="C2984" s="158" t="str">
        <f t="shared" si="47"/>
        <v>1</v>
      </c>
    </row>
    <row r="2985" spans="1:3" x14ac:dyDescent="0.25">
      <c r="A2985" s="159">
        <v>612384</v>
      </c>
      <c r="B2985" s="159">
        <v>1</v>
      </c>
      <c r="C2985" s="158" t="str">
        <f t="shared" si="47"/>
        <v>1</v>
      </c>
    </row>
    <row r="2986" spans="1:3" x14ac:dyDescent="0.25">
      <c r="A2986" s="159">
        <v>612385</v>
      </c>
      <c r="B2986" s="159">
        <v>1</v>
      </c>
      <c r="C2986" s="158" t="str">
        <f t="shared" si="47"/>
        <v>1</v>
      </c>
    </row>
    <row r="2987" spans="1:3" x14ac:dyDescent="0.25">
      <c r="A2987" s="159">
        <v>612386</v>
      </c>
      <c r="B2987" s="159">
        <v>3</v>
      </c>
      <c r="C2987" s="158" t="str">
        <f t="shared" si="47"/>
        <v>3</v>
      </c>
    </row>
    <row r="2988" spans="1:3" x14ac:dyDescent="0.25">
      <c r="A2988" s="159">
        <v>612387</v>
      </c>
      <c r="B2988" s="159">
        <v>3</v>
      </c>
      <c r="C2988" s="158" t="str">
        <f t="shared" si="47"/>
        <v>3</v>
      </c>
    </row>
    <row r="2989" spans="1:3" x14ac:dyDescent="0.25">
      <c r="A2989" s="159">
        <v>612388</v>
      </c>
      <c r="B2989" s="159">
        <v>1</v>
      </c>
      <c r="C2989" s="158" t="str">
        <f t="shared" si="47"/>
        <v>1</v>
      </c>
    </row>
    <row r="2990" spans="1:3" x14ac:dyDescent="0.25">
      <c r="A2990" s="159">
        <v>612389</v>
      </c>
      <c r="B2990" s="159">
        <v>1</v>
      </c>
      <c r="C2990" s="158" t="str">
        <f t="shared" si="47"/>
        <v>1</v>
      </c>
    </row>
    <row r="2991" spans="1:3" x14ac:dyDescent="0.25">
      <c r="A2991" s="159">
        <v>612526</v>
      </c>
      <c r="B2991" s="159">
        <v>6</v>
      </c>
      <c r="C2991" s="158">
        <f t="shared" si="47"/>
        <v>6</v>
      </c>
    </row>
    <row r="2992" spans="1:3" x14ac:dyDescent="0.25">
      <c r="A2992" s="159">
        <v>612527</v>
      </c>
      <c r="B2992" s="159">
        <v>3</v>
      </c>
      <c r="C2992" s="158" t="str">
        <f t="shared" si="47"/>
        <v>3</v>
      </c>
    </row>
    <row r="2993" spans="1:3" x14ac:dyDescent="0.25">
      <c r="A2993" s="159">
        <v>612528</v>
      </c>
      <c r="B2993" s="159">
        <v>1</v>
      </c>
      <c r="C2993" s="158" t="str">
        <f t="shared" si="47"/>
        <v>1</v>
      </c>
    </row>
    <row r="2994" spans="1:3" x14ac:dyDescent="0.25">
      <c r="A2994" s="159">
        <v>612529</v>
      </c>
      <c r="B2994" s="159">
        <v>1</v>
      </c>
      <c r="C2994" s="158" t="str">
        <f t="shared" si="47"/>
        <v>1</v>
      </c>
    </row>
    <row r="2995" spans="1:3" x14ac:dyDescent="0.25">
      <c r="A2995" s="159">
        <v>612530</v>
      </c>
      <c r="B2995" s="159">
        <v>1</v>
      </c>
      <c r="C2995" s="158" t="str">
        <f t="shared" si="47"/>
        <v>1</v>
      </c>
    </row>
    <row r="2996" spans="1:3" x14ac:dyDescent="0.25">
      <c r="A2996" s="159">
        <v>612531</v>
      </c>
      <c r="B2996" s="159">
        <v>1</v>
      </c>
      <c r="C2996" s="158" t="str">
        <f t="shared" si="47"/>
        <v>1</v>
      </c>
    </row>
    <row r="2997" spans="1:3" x14ac:dyDescent="0.25">
      <c r="A2997" s="159">
        <v>612556</v>
      </c>
      <c r="B2997" s="159">
        <v>1</v>
      </c>
      <c r="C2997" s="158" t="str">
        <f t="shared" si="47"/>
        <v>1</v>
      </c>
    </row>
    <row r="2998" spans="1:3" x14ac:dyDescent="0.25">
      <c r="A2998" s="159">
        <v>612612</v>
      </c>
      <c r="B2998" s="159">
        <v>1</v>
      </c>
      <c r="C2998" s="158" t="str">
        <f t="shared" ref="C2998:C3061" si="48">IF(OR(B2998=0,B2998=1,B2998=2,B2998=3,B2998=4,B2998=5),TEXT(B2998,"0"),B2998)</f>
        <v>1</v>
      </c>
    </row>
    <row r="2999" spans="1:3" x14ac:dyDescent="0.25">
      <c r="A2999" s="159">
        <v>612613</v>
      </c>
      <c r="B2999" s="159">
        <v>1</v>
      </c>
      <c r="C2999" s="158" t="str">
        <f t="shared" si="48"/>
        <v>1</v>
      </c>
    </row>
    <row r="3000" spans="1:3" x14ac:dyDescent="0.25">
      <c r="A3000" s="159">
        <v>612620</v>
      </c>
      <c r="B3000" s="159">
        <v>4</v>
      </c>
      <c r="C3000" s="158" t="str">
        <f t="shared" si="48"/>
        <v>4</v>
      </c>
    </row>
    <row r="3001" spans="1:3" x14ac:dyDescent="0.25">
      <c r="A3001" s="159">
        <v>612622</v>
      </c>
      <c r="B3001" s="159">
        <v>1</v>
      </c>
      <c r="C3001" s="158" t="str">
        <f t="shared" si="48"/>
        <v>1</v>
      </c>
    </row>
    <row r="3002" spans="1:3" x14ac:dyDescent="0.25">
      <c r="A3002" s="159">
        <v>612623</v>
      </c>
      <c r="B3002" s="159">
        <v>1</v>
      </c>
      <c r="C3002" s="158" t="str">
        <f t="shared" si="48"/>
        <v>1</v>
      </c>
    </row>
    <row r="3003" spans="1:3" x14ac:dyDescent="0.25">
      <c r="A3003" s="159">
        <v>612624</v>
      </c>
      <c r="B3003" s="159">
        <v>1</v>
      </c>
      <c r="C3003" s="158" t="str">
        <f t="shared" si="48"/>
        <v>1</v>
      </c>
    </row>
    <row r="3004" spans="1:3" x14ac:dyDescent="0.25">
      <c r="A3004" s="159">
        <v>612625</v>
      </c>
      <c r="B3004" s="159">
        <v>1</v>
      </c>
      <c r="C3004" s="158" t="str">
        <f t="shared" si="48"/>
        <v>1</v>
      </c>
    </row>
    <row r="3005" spans="1:3" x14ac:dyDescent="0.25">
      <c r="A3005" s="159">
        <v>612629</v>
      </c>
      <c r="B3005" s="159">
        <v>2</v>
      </c>
      <c r="C3005" s="158" t="str">
        <f t="shared" si="48"/>
        <v>2</v>
      </c>
    </row>
    <row r="3006" spans="1:3" x14ac:dyDescent="0.25">
      <c r="A3006" s="159">
        <v>612631</v>
      </c>
      <c r="B3006" s="159">
        <v>1</v>
      </c>
      <c r="C3006" s="158" t="str">
        <f t="shared" si="48"/>
        <v>1</v>
      </c>
    </row>
    <row r="3007" spans="1:3" x14ac:dyDescent="0.25">
      <c r="A3007" s="159">
        <v>612632</v>
      </c>
      <c r="B3007" s="159">
        <v>1</v>
      </c>
      <c r="C3007" s="158" t="str">
        <f t="shared" si="48"/>
        <v>1</v>
      </c>
    </row>
    <row r="3008" spans="1:3" x14ac:dyDescent="0.25">
      <c r="A3008" s="159">
        <v>612633</v>
      </c>
      <c r="B3008" s="159">
        <v>1</v>
      </c>
      <c r="C3008" s="158" t="str">
        <f t="shared" si="48"/>
        <v>1</v>
      </c>
    </row>
    <row r="3009" spans="1:3" x14ac:dyDescent="0.25">
      <c r="A3009" s="159">
        <v>612634</v>
      </c>
      <c r="B3009" s="159">
        <v>1</v>
      </c>
      <c r="C3009" s="158" t="str">
        <f t="shared" si="48"/>
        <v>1</v>
      </c>
    </row>
    <row r="3010" spans="1:3" x14ac:dyDescent="0.25">
      <c r="A3010" s="159">
        <v>612635</v>
      </c>
      <c r="B3010" s="159" t="s">
        <v>437</v>
      </c>
      <c r="C3010" s="158" t="str">
        <f t="shared" si="48"/>
        <v>1S</v>
      </c>
    </row>
    <row r="3011" spans="1:3" x14ac:dyDescent="0.25">
      <c r="A3011" s="159">
        <v>612636</v>
      </c>
      <c r="B3011" s="159">
        <v>1</v>
      </c>
      <c r="C3011" s="158" t="str">
        <f t="shared" si="48"/>
        <v>1</v>
      </c>
    </row>
    <row r="3012" spans="1:3" x14ac:dyDescent="0.25">
      <c r="A3012" s="159">
        <v>612637</v>
      </c>
      <c r="B3012" s="159">
        <v>1</v>
      </c>
      <c r="C3012" s="158" t="str">
        <f t="shared" si="48"/>
        <v>1</v>
      </c>
    </row>
    <row r="3013" spans="1:3" x14ac:dyDescent="0.25">
      <c r="A3013" s="159">
        <v>612638</v>
      </c>
      <c r="B3013" s="159">
        <v>1</v>
      </c>
      <c r="C3013" s="158" t="str">
        <f t="shared" si="48"/>
        <v>1</v>
      </c>
    </row>
    <row r="3014" spans="1:3" x14ac:dyDescent="0.25">
      <c r="A3014" s="159">
        <v>612639</v>
      </c>
      <c r="B3014" s="159">
        <v>1</v>
      </c>
      <c r="C3014" s="158" t="str">
        <f t="shared" si="48"/>
        <v>1</v>
      </c>
    </row>
    <row r="3015" spans="1:3" x14ac:dyDescent="0.25">
      <c r="A3015" s="159">
        <v>612640</v>
      </c>
      <c r="B3015" s="159">
        <v>1</v>
      </c>
      <c r="C3015" s="158" t="str">
        <f t="shared" si="48"/>
        <v>1</v>
      </c>
    </row>
    <row r="3016" spans="1:3" x14ac:dyDescent="0.25">
      <c r="A3016" s="159">
        <v>612641</v>
      </c>
      <c r="B3016" s="159">
        <v>1</v>
      </c>
      <c r="C3016" s="158" t="str">
        <f t="shared" si="48"/>
        <v>1</v>
      </c>
    </row>
    <row r="3017" spans="1:3" x14ac:dyDescent="0.25">
      <c r="A3017" s="159">
        <v>612642</v>
      </c>
      <c r="B3017" s="159">
        <v>1</v>
      </c>
      <c r="C3017" s="158" t="str">
        <f t="shared" si="48"/>
        <v>1</v>
      </c>
    </row>
    <row r="3018" spans="1:3" x14ac:dyDescent="0.25">
      <c r="A3018" s="159">
        <v>612643</v>
      </c>
      <c r="B3018" s="159">
        <v>1</v>
      </c>
      <c r="C3018" s="158" t="str">
        <f t="shared" si="48"/>
        <v>1</v>
      </c>
    </row>
    <row r="3019" spans="1:3" x14ac:dyDescent="0.25">
      <c r="A3019" s="159">
        <v>612644</v>
      </c>
      <c r="B3019" s="159">
        <v>1</v>
      </c>
      <c r="C3019" s="158" t="str">
        <f t="shared" si="48"/>
        <v>1</v>
      </c>
    </row>
    <row r="3020" spans="1:3" x14ac:dyDescent="0.25">
      <c r="A3020" s="159">
        <v>612645</v>
      </c>
      <c r="B3020" s="159">
        <v>1</v>
      </c>
      <c r="C3020" s="158" t="str">
        <f t="shared" si="48"/>
        <v>1</v>
      </c>
    </row>
    <row r="3021" spans="1:3" x14ac:dyDescent="0.25">
      <c r="A3021" s="159">
        <v>612646</v>
      </c>
      <c r="B3021" s="159">
        <v>1</v>
      </c>
      <c r="C3021" s="158" t="str">
        <f t="shared" si="48"/>
        <v>1</v>
      </c>
    </row>
    <row r="3022" spans="1:3" x14ac:dyDescent="0.25">
      <c r="A3022" s="159">
        <v>612647</v>
      </c>
      <c r="B3022" s="159" t="s">
        <v>437</v>
      </c>
      <c r="C3022" s="158" t="str">
        <f t="shared" si="48"/>
        <v>1S</v>
      </c>
    </row>
    <row r="3023" spans="1:3" x14ac:dyDescent="0.25">
      <c r="A3023" s="159">
        <v>612648</v>
      </c>
      <c r="B3023" s="159">
        <v>1</v>
      </c>
      <c r="C3023" s="158" t="str">
        <f t="shared" si="48"/>
        <v>1</v>
      </c>
    </row>
    <row r="3024" spans="1:3" x14ac:dyDescent="0.25">
      <c r="A3024" s="159">
        <v>612649</v>
      </c>
      <c r="B3024" s="159">
        <v>1</v>
      </c>
      <c r="C3024" s="158" t="str">
        <f t="shared" si="48"/>
        <v>1</v>
      </c>
    </row>
    <row r="3025" spans="1:3" x14ac:dyDescent="0.25">
      <c r="A3025" s="159">
        <v>612650</v>
      </c>
      <c r="B3025" s="159">
        <v>1</v>
      </c>
      <c r="C3025" s="158" t="str">
        <f t="shared" si="48"/>
        <v>1</v>
      </c>
    </row>
    <row r="3026" spans="1:3" x14ac:dyDescent="0.25">
      <c r="A3026" s="159">
        <v>612651</v>
      </c>
      <c r="B3026" s="159">
        <v>1</v>
      </c>
      <c r="C3026" s="158" t="str">
        <f t="shared" si="48"/>
        <v>1</v>
      </c>
    </row>
    <row r="3027" spans="1:3" x14ac:dyDescent="0.25">
      <c r="A3027" s="159">
        <v>612652</v>
      </c>
      <c r="B3027" s="159">
        <v>1</v>
      </c>
      <c r="C3027" s="158" t="str">
        <f t="shared" si="48"/>
        <v>1</v>
      </c>
    </row>
    <row r="3028" spans="1:3" x14ac:dyDescent="0.25">
      <c r="A3028" s="159">
        <v>612661</v>
      </c>
      <c r="B3028" s="159">
        <v>1</v>
      </c>
      <c r="C3028" s="158" t="str">
        <f t="shared" si="48"/>
        <v>1</v>
      </c>
    </row>
    <row r="3029" spans="1:3" x14ac:dyDescent="0.25">
      <c r="A3029" s="159">
        <v>612666</v>
      </c>
      <c r="B3029" s="159">
        <v>1</v>
      </c>
      <c r="C3029" s="158" t="str">
        <f t="shared" si="48"/>
        <v>1</v>
      </c>
    </row>
    <row r="3030" spans="1:3" x14ac:dyDescent="0.25">
      <c r="A3030" s="159">
        <v>612728</v>
      </c>
      <c r="B3030" s="159">
        <v>1</v>
      </c>
      <c r="C3030" s="158" t="str">
        <f t="shared" si="48"/>
        <v>1</v>
      </c>
    </row>
    <row r="3031" spans="1:3" x14ac:dyDescent="0.25">
      <c r="A3031" s="159">
        <v>612741</v>
      </c>
      <c r="B3031" s="159">
        <v>2</v>
      </c>
      <c r="C3031" s="158" t="str">
        <f t="shared" si="48"/>
        <v>2</v>
      </c>
    </row>
    <row r="3032" spans="1:3" x14ac:dyDescent="0.25">
      <c r="A3032" s="159">
        <v>612742</v>
      </c>
      <c r="B3032" s="159">
        <v>1</v>
      </c>
      <c r="C3032" s="158" t="str">
        <f t="shared" si="48"/>
        <v>1</v>
      </c>
    </row>
    <row r="3033" spans="1:3" x14ac:dyDescent="0.25">
      <c r="A3033" s="159">
        <v>612743</v>
      </c>
      <c r="B3033" s="159">
        <v>1</v>
      </c>
      <c r="C3033" s="158" t="str">
        <f t="shared" si="48"/>
        <v>1</v>
      </c>
    </row>
    <row r="3034" spans="1:3" x14ac:dyDescent="0.25">
      <c r="A3034" s="159">
        <v>612744</v>
      </c>
      <c r="B3034" s="159">
        <v>1</v>
      </c>
      <c r="C3034" s="158" t="str">
        <f t="shared" si="48"/>
        <v>1</v>
      </c>
    </row>
    <row r="3035" spans="1:3" x14ac:dyDescent="0.25">
      <c r="A3035" s="159">
        <v>612760</v>
      </c>
      <c r="B3035" s="159">
        <v>1</v>
      </c>
      <c r="C3035" s="158" t="str">
        <f t="shared" si="48"/>
        <v>1</v>
      </c>
    </row>
    <row r="3036" spans="1:3" x14ac:dyDescent="0.25">
      <c r="A3036" s="159">
        <v>612761</v>
      </c>
      <c r="B3036" s="159">
        <v>1</v>
      </c>
      <c r="C3036" s="158" t="str">
        <f t="shared" si="48"/>
        <v>1</v>
      </c>
    </row>
    <row r="3037" spans="1:3" x14ac:dyDescent="0.25">
      <c r="A3037" s="159">
        <v>612777</v>
      </c>
      <c r="B3037" s="159">
        <v>1</v>
      </c>
      <c r="C3037" s="158" t="str">
        <f t="shared" si="48"/>
        <v>1</v>
      </c>
    </row>
    <row r="3038" spans="1:3" x14ac:dyDescent="0.25">
      <c r="A3038" s="159">
        <v>612778</v>
      </c>
      <c r="B3038" s="159">
        <v>1</v>
      </c>
      <c r="C3038" s="158" t="str">
        <f t="shared" si="48"/>
        <v>1</v>
      </c>
    </row>
    <row r="3039" spans="1:3" x14ac:dyDescent="0.25">
      <c r="A3039" s="159">
        <v>612779</v>
      </c>
      <c r="B3039" s="159">
        <v>1</v>
      </c>
      <c r="C3039" s="158" t="str">
        <f t="shared" si="48"/>
        <v>1</v>
      </c>
    </row>
    <row r="3040" spans="1:3" x14ac:dyDescent="0.25">
      <c r="A3040" s="159">
        <v>612780</v>
      </c>
      <c r="B3040" s="159">
        <v>1</v>
      </c>
      <c r="C3040" s="158" t="str">
        <f t="shared" si="48"/>
        <v>1</v>
      </c>
    </row>
    <row r="3041" spans="1:3" x14ac:dyDescent="0.25">
      <c r="A3041" s="159">
        <v>612781</v>
      </c>
      <c r="B3041" s="159">
        <v>1</v>
      </c>
      <c r="C3041" s="158" t="str">
        <f t="shared" si="48"/>
        <v>1</v>
      </c>
    </row>
    <row r="3042" spans="1:3" x14ac:dyDescent="0.25">
      <c r="A3042" s="159">
        <v>612782</v>
      </c>
      <c r="B3042" s="159">
        <v>1</v>
      </c>
      <c r="C3042" s="158" t="str">
        <f t="shared" si="48"/>
        <v>1</v>
      </c>
    </row>
    <row r="3043" spans="1:3" x14ac:dyDescent="0.25">
      <c r="A3043" s="159">
        <v>612920</v>
      </c>
      <c r="B3043" s="159">
        <v>1</v>
      </c>
      <c r="C3043" s="158" t="str">
        <f t="shared" si="48"/>
        <v>1</v>
      </c>
    </row>
    <row r="3044" spans="1:3" x14ac:dyDescent="0.25">
      <c r="A3044" s="159">
        <v>612921</v>
      </c>
      <c r="B3044" s="159">
        <v>1</v>
      </c>
      <c r="C3044" s="158" t="str">
        <f t="shared" si="48"/>
        <v>1</v>
      </c>
    </row>
    <row r="3045" spans="1:3" x14ac:dyDescent="0.25">
      <c r="A3045" s="159">
        <v>612922</v>
      </c>
      <c r="B3045" s="159">
        <v>1</v>
      </c>
      <c r="C3045" s="158" t="str">
        <f t="shared" si="48"/>
        <v>1</v>
      </c>
    </row>
    <row r="3046" spans="1:3" x14ac:dyDescent="0.25">
      <c r="A3046" s="159">
        <v>612923</v>
      </c>
      <c r="B3046" s="159">
        <v>1</v>
      </c>
      <c r="C3046" s="158" t="str">
        <f t="shared" si="48"/>
        <v>1</v>
      </c>
    </row>
    <row r="3047" spans="1:3" x14ac:dyDescent="0.25">
      <c r="A3047" s="159">
        <v>612924</v>
      </c>
      <c r="B3047" s="159">
        <v>1</v>
      </c>
      <c r="C3047" s="158" t="str">
        <f t="shared" si="48"/>
        <v>1</v>
      </c>
    </row>
    <row r="3048" spans="1:3" x14ac:dyDescent="0.25">
      <c r="A3048" s="159">
        <v>612926</v>
      </c>
      <c r="B3048" s="159">
        <v>1</v>
      </c>
      <c r="C3048" s="158" t="str">
        <f t="shared" si="48"/>
        <v>1</v>
      </c>
    </row>
    <row r="3049" spans="1:3" x14ac:dyDescent="0.25">
      <c r="A3049" s="159">
        <v>612927</v>
      </c>
      <c r="B3049" s="159">
        <v>1</v>
      </c>
      <c r="C3049" s="158" t="str">
        <f t="shared" si="48"/>
        <v>1</v>
      </c>
    </row>
    <row r="3050" spans="1:3" x14ac:dyDescent="0.25">
      <c r="A3050" s="159">
        <v>612934</v>
      </c>
      <c r="B3050" s="159">
        <v>1</v>
      </c>
      <c r="C3050" s="158" t="str">
        <f t="shared" si="48"/>
        <v>1</v>
      </c>
    </row>
    <row r="3051" spans="1:3" x14ac:dyDescent="0.25">
      <c r="A3051" s="159">
        <v>612935</v>
      </c>
      <c r="B3051" s="159">
        <v>1</v>
      </c>
      <c r="C3051" s="158" t="str">
        <f t="shared" si="48"/>
        <v>1</v>
      </c>
    </row>
    <row r="3052" spans="1:3" x14ac:dyDescent="0.25">
      <c r="A3052" s="159">
        <v>612936</v>
      </c>
      <c r="B3052" s="159">
        <v>1</v>
      </c>
      <c r="C3052" s="158" t="str">
        <f t="shared" si="48"/>
        <v>1</v>
      </c>
    </row>
    <row r="3053" spans="1:3" x14ac:dyDescent="0.25">
      <c r="A3053" s="159">
        <v>612937</v>
      </c>
      <c r="B3053" s="159">
        <v>1</v>
      </c>
      <c r="C3053" s="158" t="str">
        <f t="shared" si="48"/>
        <v>1</v>
      </c>
    </row>
    <row r="3054" spans="1:3" x14ac:dyDescent="0.25">
      <c r="A3054" s="159">
        <v>612970</v>
      </c>
      <c r="B3054" s="159">
        <v>2</v>
      </c>
      <c r="C3054" s="158" t="str">
        <f t="shared" si="48"/>
        <v>2</v>
      </c>
    </row>
    <row r="3055" spans="1:3" x14ac:dyDescent="0.25">
      <c r="A3055" s="159">
        <v>612971</v>
      </c>
      <c r="B3055" s="159">
        <v>1</v>
      </c>
      <c r="C3055" s="158" t="str">
        <f t="shared" si="48"/>
        <v>1</v>
      </c>
    </row>
    <row r="3056" spans="1:3" x14ac:dyDescent="0.25">
      <c r="A3056" s="159">
        <v>612972</v>
      </c>
      <c r="B3056" s="159">
        <v>1</v>
      </c>
      <c r="C3056" s="158" t="str">
        <f t="shared" si="48"/>
        <v>1</v>
      </c>
    </row>
    <row r="3057" spans="1:3" x14ac:dyDescent="0.25">
      <c r="A3057" s="159">
        <v>612973</v>
      </c>
      <c r="B3057" s="159">
        <v>1</v>
      </c>
      <c r="C3057" s="158" t="str">
        <f t="shared" si="48"/>
        <v>1</v>
      </c>
    </row>
    <row r="3058" spans="1:3" x14ac:dyDescent="0.25">
      <c r="A3058" s="159">
        <v>612974</v>
      </c>
      <c r="B3058" s="159">
        <v>1</v>
      </c>
      <c r="C3058" s="158" t="str">
        <f t="shared" si="48"/>
        <v>1</v>
      </c>
    </row>
    <row r="3059" spans="1:3" x14ac:dyDescent="0.25">
      <c r="A3059" s="159">
        <v>612975</v>
      </c>
      <c r="B3059" s="159">
        <v>1</v>
      </c>
      <c r="C3059" s="158" t="str">
        <f t="shared" si="48"/>
        <v>1</v>
      </c>
    </row>
    <row r="3060" spans="1:3" x14ac:dyDescent="0.25">
      <c r="A3060" s="159">
        <v>612983</v>
      </c>
      <c r="B3060" s="159" t="s">
        <v>437</v>
      </c>
      <c r="C3060" s="158" t="str">
        <f t="shared" si="48"/>
        <v>1S</v>
      </c>
    </row>
    <row r="3061" spans="1:3" x14ac:dyDescent="0.25">
      <c r="A3061" s="159">
        <v>612984</v>
      </c>
      <c r="B3061" s="159">
        <v>1</v>
      </c>
      <c r="C3061" s="158" t="str">
        <f t="shared" si="48"/>
        <v>1</v>
      </c>
    </row>
    <row r="3062" spans="1:3" x14ac:dyDescent="0.25">
      <c r="A3062" s="159">
        <v>612985</v>
      </c>
      <c r="B3062" s="159">
        <v>1</v>
      </c>
      <c r="C3062" s="158" t="str">
        <f t="shared" ref="C3062:C3125" si="49">IF(OR(B3062=0,B3062=1,B3062=2,B3062=3,B3062=4,B3062=5),TEXT(B3062,"0"),B3062)</f>
        <v>1</v>
      </c>
    </row>
    <row r="3063" spans="1:3" x14ac:dyDescent="0.25">
      <c r="A3063" s="159">
        <v>612986</v>
      </c>
      <c r="B3063" s="159">
        <v>1</v>
      </c>
      <c r="C3063" s="158" t="str">
        <f t="shared" si="49"/>
        <v>1</v>
      </c>
    </row>
    <row r="3064" spans="1:3" x14ac:dyDescent="0.25">
      <c r="A3064" s="159">
        <v>612987</v>
      </c>
      <c r="B3064" s="159">
        <v>1</v>
      </c>
      <c r="C3064" s="158" t="str">
        <f t="shared" si="49"/>
        <v>1</v>
      </c>
    </row>
    <row r="3065" spans="1:3" x14ac:dyDescent="0.25">
      <c r="A3065" s="159">
        <v>612988</v>
      </c>
      <c r="B3065" s="159">
        <v>1</v>
      </c>
      <c r="C3065" s="158" t="str">
        <f t="shared" si="49"/>
        <v>1</v>
      </c>
    </row>
    <row r="3066" spans="1:3" x14ac:dyDescent="0.25">
      <c r="A3066" s="159">
        <v>612990</v>
      </c>
      <c r="B3066" s="159">
        <v>1</v>
      </c>
      <c r="C3066" s="158" t="str">
        <f t="shared" si="49"/>
        <v>1</v>
      </c>
    </row>
    <row r="3067" spans="1:3" x14ac:dyDescent="0.25">
      <c r="A3067" s="159">
        <v>612991</v>
      </c>
      <c r="B3067" s="159">
        <v>1</v>
      </c>
      <c r="C3067" s="158" t="str">
        <f t="shared" si="49"/>
        <v>1</v>
      </c>
    </row>
    <row r="3068" spans="1:3" x14ac:dyDescent="0.25">
      <c r="A3068" s="159">
        <v>613020</v>
      </c>
      <c r="B3068" s="159">
        <v>3</v>
      </c>
      <c r="C3068" s="158" t="str">
        <f t="shared" si="49"/>
        <v>3</v>
      </c>
    </row>
    <row r="3069" spans="1:3" x14ac:dyDescent="0.25">
      <c r="A3069" s="159">
        <v>613021</v>
      </c>
      <c r="B3069" s="159">
        <v>1</v>
      </c>
      <c r="C3069" s="158" t="str">
        <f t="shared" si="49"/>
        <v>1</v>
      </c>
    </row>
    <row r="3070" spans="1:3" x14ac:dyDescent="0.25">
      <c r="A3070" s="159">
        <v>613022</v>
      </c>
      <c r="B3070" s="159">
        <v>1</v>
      </c>
      <c r="C3070" s="158" t="str">
        <f t="shared" si="49"/>
        <v>1</v>
      </c>
    </row>
    <row r="3071" spans="1:3" x14ac:dyDescent="0.25">
      <c r="A3071" s="159">
        <v>613023</v>
      </c>
      <c r="B3071" s="159">
        <v>1</v>
      </c>
      <c r="C3071" s="158" t="str">
        <f t="shared" si="49"/>
        <v>1</v>
      </c>
    </row>
    <row r="3072" spans="1:3" x14ac:dyDescent="0.25">
      <c r="A3072" s="159">
        <v>613024</v>
      </c>
      <c r="B3072" s="159">
        <v>3</v>
      </c>
      <c r="C3072" s="158" t="str">
        <f t="shared" si="49"/>
        <v>3</v>
      </c>
    </row>
    <row r="3073" spans="1:3" x14ac:dyDescent="0.25">
      <c r="A3073" s="159">
        <v>613150</v>
      </c>
      <c r="B3073" s="159">
        <v>1</v>
      </c>
      <c r="C3073" s="158" t="str">
        <f t="shared" si="49"/>
        <v>1</v>
      </c>
    </row>
    <row r="3074" spans="1:3" x14ac:dyDescent="0.25">
      <c r="A3074" s="159">
        <v>613151</v>
      </c>
      <c r="B3074" s="159">
        <v>1</v>
      </c>
      <c r="C3074" s="158" t="str">
        <f t="shared" si="49"/>
        <v>1</v>
      </c>
    </row>
    <row r="3075" spans="1:3" x14ac:dyDescent="0.25">
      <c r="A3075" s="159">
        <v>613152</v>
      </c>
      <c r="B3075" s="159">
        <v>1</v>
      </c>
      <c r="C3075" s="158" t="str">
        <f t="shared" si="49"/>
        <v>1</v>
      </c>
    </row>
    <row r="3076" spans="1:3" x14ac:dyDescent="0.25">
      <c r="A3076" s="159">
        <v>613153</v>
      </c>
      <c r="B3076" s="159">
        <v>1</v>
      </c>
      <c r="C3076" s="158" t="str">
        <f t="shared" si="49"/>
        <v>1</v>
      </c>
    </row>
    <row r="3077" spans="1:3" x14ac:dyDescent="0.25">
      <c r="A3077" s="159">
        <v>613154</v>
      </c>
      <c r="B3077" s="159">
        <v>1</v>
      </c>
      <c r="C3077" s="158" t="str">
        <f t="shared" si="49"/>
        <v>1</v>
      </c>
    </row>
    <row r="3078" spans="1:3" x14ac:dyDescent="0.25">
      <c r="A3078" s="159">
        <v>613181</v>
      </c>
      <c r="B3078" s="159">
        <v>1</v>
      </c>
      <c r="C3078" s="158" t="str">
        <f t="shared" si="49"/>
        <v>1</v>
      </c>
    </row>
    <row r="3079" spans="1:3" x14ac:dyDescent="0.25">
      <c r="A3079" s="159">
        <v>613210</v>
      </c>
      <c r="B3079" s="159">
        <v>1</v>
      </c>
      <c r="C3079" s="158" t="str">
        <f t="shared" si="49"/>
        <v>1</v>
      </c>
    </row>
    <row r="3080" spans="1:3" x14ac:dyDescent="0.25">
      <c r="A3080" s="159">
        <v>613211</v>
      </c>
      <c r="B3080" s="159">
        <v>1</v>
      </c>
      <c r="C3080" s="158" t="str">
        <f t="shared" si="49"/>
        <v>1</v>
      </c>
    </row>
    <row r="3081" spans="1:3" x14ac:dyDescent="0.25">
      <c r="A3081" s="159">
        <v>613212</v>
      </c>
      <c r="B3081" s="159">
        <v>1</v>
      </c>
      <c r="C3081" s="158" t="str">
        <f t="shared" si="49"/>
        <v>1</v>
      </c>
    </row>
    <row r="3082" spans="1:3" x14ac:dyDescent="0.25">
      <c r="A3082" s="159">
        <v>613213</v>
      </c>
      <c r="B3082" s="159">
        <v>1</v>
      </c>
      <c r="C3082" s="158" t="str">
        <f t="shared" si="49"/>
        <v>1</v>
      </c>
    </row>
    <row r="3083" spans="1:3" x14ac:dyDescent="0.25">
      <c r="A3083" s="159">
        <v>613214</v>
      </c>
      <c r="B3083" s="159">
        <v>1</v>
      </c>
      <c r="C3083" s="158" t="str">
        <f t="shared" si="49"/>
        <v>1</v>
      </c>
    </row>
    <row r="3084" spans="1:3" x14ac:dyDescent="0.25">
      <c r="A3084" s="159">
        <v>613215</v>
      </c>
      <c r="B3084" s="159">
        <v>1</v>
      </c>
      <c r="C3084" s="158" t="str">
        <f t="shared" si="49"/>
        <v>1</v>
      </c>
    </row>
    <row r="3085" spans="1:3" x14ac:dyDescent="0.25">
      <c r="A3085" s="159">
        <v>613216</v>
      </c>
      <c r="B3085" s="159">
        <v>1</v>
      </c>
      <c r="C3085" s="158" t="str">
        <f t="shared" si="49"/>
        <v>1</v>
      </c>
    </row>
    <row r="3086" spans="1:3" x14ac:dyDescent="0.25">
      <c r="A3086" s="159">
        <v>613217</v>
      </c>
      <c r="B3086" s="159">
        <v>1</v>
      </c>
      <c r="C3086" s="158" t="str">
        <f t="shared" si="49"/>
        <v>1</v>
      </c>
    </row>
    <row r="3087" spans="1:3" x14ac:dyDescent="0.25">
      <c r="A3087" s="159">
        <v>613218</v>
      </c>
      <c r="B3087" s="159">
        <v>1</v>
      </c>
      <c r="C3087" s="158" t="str">
        <f t="shared" si="49"/>
        <v>1</v>
      </c>
    </row>
    <row r="3088" spans="1:3" x14ac:dyDescent="0.25">
      <c r="A3088" s="159">
        <v>613219</v>
      </c>
      <c r="B3088" s="159">
        <v>1</v>
      </c>
      <c r="C3088" s="158" t="str">
        <f t="shared" si="49"/>
        <v>1</v>
      </c>
    </row>
    <row r="3089" spans="1:3" x14ac:dyDescent="0.25">
      <c r="A3089" s="159">
        <v>613220</v>
      </c>
      <c r="B3089" s="159">
        <v>1</v>
      </c>
      <c r="C3089" s="158" t="str">
        <f t="shared" si="49"/>
        <v>1</v>
      </c>
    </row>
    <row r="3090" spans="1:3" x14ac:dyDescent="0.25">
      <c r="A3090" s="159">
        <v>613221</v>
      </c>
      <c r="B3090" s="159">
        <v>1</v>
      </c>
      <c r="C3090" s="158" t="str">
        <f t="shared" si="49"/>
        <v>1</v>
      </c>
    </row>
    <row r="3091" spans="1:3" x14ac:dyDescent="0.25">
      <c r="A3091" s="159">
        <v>613222</v>
      </c>
      <c r="B3091" s="159">
        <v>1</v>
      </c>
      <c r="C3091" s="158" t="str">
        <f t="shared" si="49"/>
        <v>1</v>
      </c>
    </row>
    <row r="3092" spans="1:3" x14ac:dyDescent="0.25">
      <c r="A3092" s="159">
        <v>613223</v>
      </c>
      <c r="B3092" s="159">
        <v>1</v>
      </c>
      <c r="C3092" s="158" t="str">
        <f t="shared" si="49"/>
        <v>1</v>
      </c>
    </row>
    <row r="3093" spans="1:3" x14ac:dyDescent="0.25">
      <c r="A3093" s="159">
        <v>613224</v>
      </c>
      <c r="B3093" s="159">
        <v>1</v>
      </c>
      <c r="C3093" s="158" t="str">
        <f t="shared" si="49"/>
        <v>1</v>
      </c>
    </row>
    <row r="3094" spans="1:3" x14ac:dyDescent="0.25">
      <c r="A3094" s="159">
        <v>613225</v>
      </c>
      <c r="B3094" s="159">
        <v>1</v>
      </c>
      <c r="C3094" s="158" t="str">
        <f t="shared" si="49"/>
        <v>1</v>
      </c>
    </row>
    <row r="3095" spans="1:3" x14ac:dyDescent="0.25">
      <c r="A3095" s="159">
        <v>613226</v>
      </c>
      <c r="B3095" s="159">
        <v>1</v>
      </c>
      <c r="C3095" s="158" t="str">
        <f t="shared" si="49"/>
        <v>1</v>
      </c>
    </row>
    <row r="3096" spans="1:3" x14ac:dyDescent="0.25">
      <c r="A3096" s="159">
        <v>613227</v>
      </c>
      <c r="B3096" s="159">
        <v>1</v>
      </c>
      <c r="C3096" s="158" t="str">
        <f t="shared" si="49"/>
        <v>1</v>
      </c>
    </row>
    <row r="3097" spans="1:3" x14ac:dyDescent="0.25">
      <c r="A3097" s="159">
        <v>613228</v>
      </c>
      <c r="B3097" s="159">
        <v>1</v>
      </c>
      <c r="C3097" s="158" t="str">
        <f t="shared" si="49"/>
        <v>1</v>
      </c>
    </row>
    <row r="3098" spans="1:3" x14ac:dyDescent="0.25">
      <c r="A3098" s="159">
        <v>613229</v>
      </c>
      <c r="B3098" s="159">
        <v>1</v>
      </c>
      <c r="C3098" s="158" t="str">
        <f t="shared" si="49"/>
        <v>1</v>
      </c>
    </row>
    <row r="3099" spans="1:3" x14ac:dyDescent="0.25">
      <c r="A3099" s="159">
        <v>613230</v>
      </c>
      <c r="B3099" s="159">
        <v>1</v>
      </c>
      <c r="C3099" s="158" t="str">
        <f t="shared" si="49"/>
        <v>1</v>
      </c>
    </row>
    <row r="3100" spans="1:3" x14ac:dyDescent="0.25">
      <c r="A3100" s="159">
        <v>613421</v>
      </c>
      <c r="B3100" s="159">
        <v>1</v>
      </c>
      <c r="C3100" s="158" t="str">
        <f t="shared" si="49"/>
        <v>1</v>
      </c>
    </row>
    <row r="3101" spans="1:3" x14ac:dyDescent="0.25">
      <c r="A3101" s="159">
        <v>613422</v>
      </c>
      <c r="B3101" s="159">
        <v>1</v>
      </c>
      <c r="C3101" s="158" t="str">
        <f t="shared" si="49"/>
        <v>1</v>
      </c>
    </row>
    <row r="3102" spans="1:3" x14ac:dyDescent="0.25">
      <c r="A3102" s="159">
        <v>613423</v>
      </c>
      <c r="B3102" s="159">
        <v>1</v>
      </c>
      <c r="C3102" s="158" t="str">
        <f t="shared" si="49"/>
        <v>1</v>
      </c>
    </row>
    <row r="3103" spans="1:3" x14ac:dyDescent="0.25">
      <c r="A3103" s="159">
        <v>613424</v>
      </c>
      <c r="B3103" s="159">
        <v>1</v>
      </c>
      <c r="C3103" s="158" t="str">
        <f t="shared" si="49"/>
        <v>1</v>
      </c>
    </row>
    <row r="3104" spans="1:3" x14ac:dyDescent="0.25">
      <c r="A3104" s="159">
        <v>613425</v>
      </c>
      <c r="B3104" s="159">
        <v>1</v>
      </c>
      <c r="C3104" s="158" t="str">
        <f t="shared" si="49"/>
        <v>1</v>
      </c>
    </row>
    <row r="3105" spans="1:3" x14ac:dyDescent="0.25">
      <c r="A3105" s="159">
        <v>613426</v>
      </c>
      <c r="B3105" s="159">
        <v>1</v>
      </c>
      <c r="C3105" s="158" t="str">
        <f t="shared" si="49"/>
        <v>1</v>
      </c>
    </row>
    <row r="3106" spans="1:3" x14ac:dyDescent="0.25">
      <c r="A3106" s="159">
        <v>613427</v>
      </c>
      <c r="B3106" s="159">
        <v>1</v>
      </c>
      <c r="C3106" s="158" t="str">
        <f t="shared" si="49"/>
        <v>1</v>
      </c>
    </row>
    <row r="3107" spans="1:3" x14ac:dyDescent="0.25">
      <c r="A3107" s="159">
        <v>613428</v>
      </c>
      <c r="B3107" s="159">
        <v>1</v>
      </c>
      <c r="C3107" s="158" t="str">
        <f t="shared" si="49"/>
        <v>1</v>
      </c>
    </row>
    <row r="3108" spans="1:3" x14ac:dyDescent="0.25">
      <c r="A3108" s="159">
        <v>613429</v>
      </c>
      <c r="B3108" s="159">
        <v>1</v>
      </c>
      <c r="C3108" s="158" t="str">
        <f t="shared" si="49"/>
        <v>1</v>
      </c>
    </row>
    <row r="3109" spans="1:3" x14ac:dyDescent="0.25">
      <c r="A3109" s="159">
        <v>613430</v>
      </c>
      <c r="B3109" s="159">
        <v>1</v>
      </c>
      <c r="C3109" s="158" t="str">
        <f t="shared" si="49"/>
        <v>1</v>
      </c>
    </row>
    <row r="3110" spans="1:3" x14ac:dyDescent="0.25">
      <c r="A3110" s="159">
        <v>613431</v>
      </c>
      <c r="B3110" s="159">
        <v>1</v>
      </c>
      <c r="C3110" s="158" t="str">
        <f t="shared" si="49"/>
        <v>1</v>
      </c>
    </row>
    <row r="3111" spans="1:3" x14ac:dyDescent="0.25">
      <c r="A3111" s="159">
        <v>613432</v>
      </c>
      <c r="B3111" s="159">
        <v>1</v>
      </c>
      <c r="C3111" s="158" t="str">
        <f t="shared" si="49"/>
        <v>1</v>
      </c>
    </row>
    <row r="3112" spans="1:3" x14ac:dyDescent="0.25">
      <c r="A3112" s="159">
        <v>613433</v>
      </c>
      <c r="B3112" s="159">
        <v>1</v>
      </c>
      <c r="C3112" s="158" t="str">
        <f t="shared" si="49"/>
        <v>1</v>
      </c>
    </row>
    <row r="3113" spans="1:3" x14ac:dyDescent="0.25">
      <c r="A3113" s="159">
        <v>613434</v>
      </c>
      <c r="B3113" s="159">
        <v>1</v>
      </c>
      <c r="C3113" s="158" t="str">
        <f t="shared" si="49"/>
        <v>1</v>
      </c>
    </row>
    <row r="3114" spans="1:3" x14ac:dyDescent="0.25">
      <c r="A3114" s="159">
        <v>613435</v>
      </c>
      <c r="B3114" s="159">
        <v>1</v>
      </c>
      <c r="C3114" s="158" t="str">
        <f t="shared" si="49"/>
        <v>1</v>
      </c>
    </row>
    <row r="3115" spans="1:3" x14ac:dyDescent="0.25">
      <c r="A3115" s="159">
        <v>613436</v>
      </c>
      <c r="B3115" s="159">
        <v>1</v>
      </c>
      <c r="C3115" s="158" t="str">
        <f t="shared" si="49"/>
        <v>1</v>
      </c>
    </row>
    <row r="3116" spans="1:3" x14ac:dyDescent="0.25">
      <c r="A3116" s="159">
        <v>613437</v>
      </c>
      <c r="B3116" s="159">
        <v>3</v>
      </c>
      <c r="C3116" s="158" t="str">
        <f t="shared" si="49"/>
        <v>3</v>
      </c>
    </row>
    <row r="3117" spans="1:3" x14ac:dyDescent="0.25">
      <c r="A3117" s="159">
        <v>613438</v>
      </c>
      <c r="B3117" s="159">
        <v>1</v>
      </c>
      <c r="C3117" s="158" t="str">
        <f t="shared" si="49"/>
        <v>1</v>
      </c>
    </row>
    <row r="3118" spans="1:3" x14ac:dyDescent="0.25">
      <c r="A3118" s="159">
        <v>613439</v>
      </c>
      <c r="B3118" s="159">
        <v>1</v>
      </c>
      <c r="C3118" s="158" t="str">
        <f t="shared" si="49"/>
        <v>1</v>
      </c>
    </row>
    <row r="3119" spans="1:3" x14ac:dyDescent="0.25">
      <c r="A3119" s="159">
        <v>613440</v>
      </c>
      <c r="B3119" s="159">
        <v>1</v>
      </c>
      <c r="C3119" s="158" t="str">
        <f t="shared" si="49"/>
        <v>1</v>
      </c>
    </row>
    <row r="3120" spans="1:3" x14ac:dyDescent="0.25">
      <c r="A3120" s="159">
        <v>613441</v>
      </c>
      <c r="B3120" s="159">
        <v>1</v>
      </c>
      <c r="C3120" s="158" t="str">
        <f t="shared" si="49"/>
        <v>1</v>
      </c>
    </row>
    <row r="3121" spans="1:3" x14ac:dyDescent="0.25">
      <c r="A3121" s="159">
        <v>613442</v>
      </c>
      <c r="B3121" s="159">
        <v>1</v>
      </c>
      <c r="C3121" s="158" t="str">
        <f t="shared" si="49"/>
        <v>1</v>
      </c>
    </row>
    <row r="3122" spans="1:3" x14ac:dyDescent="0.25">
      <c r="A3122" s="159">
        <v>613444</v>
      </c>
      <c r="B3122" s="159">
        <v>1</v>
      </c>
      <c r="C3122" s="158" t="str">
        <f t="shared" si="49"/>
        <v>1</v>
      </c>
    </row>
    <row r="3123" spans="1:3" x14ac:dyDescent="0.25">
      <c r="A3123" s="159">
        <v>613445</v>
      </c>
      <c r="B3123" s="159">
        <v>1</v>
      </c>
      <c r="C3123" s="158" t="str">
        <f t="shared" si="49"/>
        <v>1</v>
      </c>
    </row>
    <row r="3124" spans="1:3" x14ac:dyDescent="0.25">
      <c r="A3124" s="159">
        <v>613446</v>
      </c>
      <c r="B3124" s="159">
        <v>3</v>
      </c>
      <c r="C3124" s="158" t="str">
        <f t="shared" si="49"/>
        <v>3</v>
      </c>
    </row>
    <row r="3125" spans="1:3" x14ac:dyDescent="0.25">
      <c r="A3125" s="159">
        <v>613447</v>
      </c>
      <c r="B3125" s="159">
        <v>1</v>
      </c>
      <c r="C3125" s="158" t="str">
        <f t="shared" si="49"/>
        <v>1</v>
      </c>
    </row>
    <row r="3126" spans="1:3" x14ac:dyDescent="0.25">
      <c r="A3126" s="159">
        <v>613448</v>
      </c>
      <c r="B3126" s="159">
        <v>1</v>
      </c>
      <c r="C3126" s="158" t="str">
        <f t="shared" ref="C3126:C3189" si="50">IF(OR(B3126=0,B3126=1,B3126=2,B3126=3,B3126=4,B3126=5),TEXT(B3126,"0"),B3126)</f>
        <v>1</v>
      </c>
    </row>
    <row r="3127" spans="1:3" x14ac:dyDescent="0.25">
      <c r="A3127" s="159">
        <v>613449</v>
      </c>
      <c r="B3127" s="159">
        <v>1</v>
      </c>
      <c r="C3127" s="158" t="str">
        <f t="shared" si="50"/>
        <v>1</v>
      </c>
    </row>
    <row r="3128" spans="1:3" x14ac:dyDescent="0.25">
      <c r="A3128" s="159">
        <v>613450</v>
      </c>
      <c r="B3128" s="159">
        <v>1</v>
      </c>
      <c r="C3128" s="158" t="str">
        <f t="shared" si="50"/>
        <v>1</v>
      </c>
    </row>
    <row r="3129" spans="1:3" x14ac:dyDescent="0.25">
      <c r="A3129" s="159">
        <v>613514</v>
      </c>
      <c r="B3129" s="159" t="s">
        <v>439</v>
      </c>
      <c r="C3129" s="158" t="str">
        <f t="shared" si="50"/>
        <v>3S</v>
      </c>
    </row>
    <row r="3130" spans="1:3" x14ac:dyDescent="0.25">
      <c r="A3130" s="159">
        <v>613515</v>
      </c>
      <c r="B3130" s="159">
        <v>1</v>
      </c>
      <c r="C3130" s="158" t="str">
        <f t="shared" si="50"/>
        <v>1</v>
      </c>
    </row>
    <row r="3131" spans="1:3" x14ac:dyDescent="0.25">
      <c r="A3131" s="159">
        <v>613516</v>
      </c>
      <c r="B3131" s="159">
        <v>1</v>
      </c>
      <c r="C3131" s="158" t="str">
        <f t="shared" si="50"/>
        <v>1</v>
      </c>
    </row>
    <row r="3132" spans="1:3" x14ac:dyDescent="0.25">
      <c r="A3132" s="159">
        <v>613517</v>
      </c>
      <c r="B3132" s="159">
        <v>1</v>
      </c>
      <c r="C3132" s="158" t="str">
        <f t="shared" si="50"/>
        <v>1</v>
      </c>
    </row>
    <row r="3133" spans="1:3" x14ac:dyDescent="0.25">
      <c r="A3133" s="159">
        <v>613613</v>
      </c>
      <c r="B3133" s="159">
        <v>3</v>
      </c>
      <c r="C3133" s="158" t="str">
        <f t="shared" si="50"/>
        <v>3</v>
      </c>
    </row>
    <row r="3134" spans="1:3" x14ac:dyDescent="0.25">
      <c r="A3134" s="159">
        <v>613614</v>
      </c>
      <c r="B3134" s="159">
        <v>1</v>
      </c>
      <c r="C3134" s="158" t="str">
        <f t="shared" si="50"/>
        <v>1</v>
      </c>
    </row>
    <row r="3135" spans="1:3" x14ac:dyDescent="0.25">
      <c r="A3135" s="159">
        <v>613615</v>
      </c>
      <c r="B3135" s="159">
        <v>1</v>
      </c>
      <c r="C3135" s="158" t="str">
        <f t="shared" si="50"/>
        <v>1</v>
      </c>
    </row>
    <row r="3136" spans="1:3" x14ac:dyDescent="0.25">
      <c r="A3136" s="159">
        <v>613616</v>
      </c>
      <c r="B3136" s="159">
        <v>1</v>
      </c>
      <c r="C3136" s="158" t="str">
        <f t="shared" si="50"/>
        <v>1</v>
      </c>
    </row>
    <row r="3137" spans="1:3" x14ac:dyDescent="0.25">
      <c r="A3137" s="159">
        <v>613617</v>
      </c>
      <c r="B3137" s="159">
        <v>1</v>
      </c>
      <c r="C3137" s="158" t="str">
        <f t="shared" si="50"/>
        <v>1</v>
      </c>
    </row>
    <row r="3138" spans="1:3" x14ac:dyDescent="0.25">
      <c r="A3138" s="159">
        <v>613618</v>
      </c>
      <c r="B3138" s="159">
        <v>1</v>
      </c>
      <c r="C3138" s="158" t="str">
        <f t="shared" si="50"/>
        <v>1</v>
      </c>
    </row>
    <row r="3139" spans="1:3" x14ac:dyDescent="0.25">
      <c r="A3139" s="159">
        <v>613660</v>
      </c>
      <c r="B3139" s="159">
        <v>4</v>
      </c>
      <c r="C3139" s="158" t="str">
        <f t="shared" si="50"/>
        <v>4</v>
      </c>
    </row>
    <row r="3140" spans="1:3" x14ac:dyDescent="0.25">
      <c r="A3140" s="159">
        <v>613661</v>
      </c>
      <c r="B3140" s="159">
        <v>1</v>
      </c>
      <c r="C3140" s="158" t="str">
        <f t="shared" si="50"/>
        <v>1</v>
      </c>
    </row>
    <row r="3141" spans="1:3" x14ac:dyDescent="0.25">
      <c r="A3141" s="159">
        <v>613662</v>
      </c>
      <c r="B3141" s="159">
        <v>1</v>
      </c>
      <c r="C3141" s="158" t="str">
        <f t="shared" si="50"/>
        <v>1</v>
      </c>
    </row>
    <row r="3142" spans="1:3" x14ac:dyDescent="0.25">
      <c r="A3142" s="159">
        <v>613663</v>
      </c>
      <c r="B3142" s="159">
        <v>1</v>
      </c>
      <c r="C3142" s="158" t="str">
        <f t="shared" si="50"/>
        <v>1</v>
      </c>
    </row>
    <row r="3143" spans="1:3" x14ac:dyDescent="0.25">
      <c r="A3143" s="159">
        <v>613664</v>
      </c>
      <c r="B3143" s="159">
        <v>1</v>
      </c>
      <c r="C3143" s="158" t="str">
        <f t="shared" si="50"/>
        <v>1</v>
      </c>
    </row>
    <row r="3144" spans="1:3" x14ac:dyDescent="0.25">
      <c r="A3144" s="159">
        <v>613665</v>
      </c>
      <c r="B3144" s="159">
        <v>1</v>
      </c>
      <c r="C3144" s="158" t="str">
        <f t="shared" si="50"/>
        <v>1</v>
      </c>
    </row>
    <row r="3145" spans="1:3" x14ac:dyDescent="0.25">
      <c r="A3145" s="159">
        <v>613666</v>
      </c>
      <c r="B3145" s="159">
        <v>4</v>
      </c>
      <c r="C3145" s="158" t="str">
        <f t="shared" si="50"/>
        <v>4</v>
      </c>
    </row>
    <row r="3146" spans="1:3" x14ac:dyDescent="0.25">
      <c r="A3146" s="159">
        <v>613667</v>
      </c>
      <c r="B3146" s="159">
        <v>1</v>
      </c>
      <c r="C3146" s="158" t="str">
        <f t="shared" si="50"/>
        <v>1</v>
      </c>
    </row>
    <row r="3147" spans="1:3" x14ac:dyDescent="0.25">
      <c r="A3147" s="159">
        <v>613668</v>
      </c>
      <c r="B3147" s="159">
        <v>1</v>
      </c>
      <c r="C3147" s="158" t="str">
        <f t="shared" si="50"/>
        <v>1</v>
      </c>
    </row>
    <row r="3148" spans="1:3" x14ac:dyDescent="0.25">
      <c r="A3148" s="159">
        <v>613669</v>
      </c>
      <c r="B3148" s="159">
        <v>1</v>
      </c>
      <c r="C3148" s="158" t="str">
        <f t="shared" si="50"/>
        <v>1</v>
      </c>
    </row>
    <row r="3149" spans="1:3" x14ac:dyDescent="0.25">
      <c r="A3149" s="159">
        <v>613670</v>
      </c>
      <c r="B3149" s="159">
        <v>1</v>
      </c>
      <c r="C3149" s="158" t="str">
        <f t="shared" si="50"/>
        <v>1</v>
      </c>
    </row>
    <row r="3150" spans="1:3" x14ac:dyDescent="0.25">
      <c r="A3150" s="159">
        <v>613671</v>
      </c>
      <c r="B3150" s="159">
        <v>1</v>
      </c>
      <c r="C3150" s="158" t="str">
        <f t="shared" si="50"/>
        <v>1</v>
      </c>
    </row>
    <row r="3151" spans="1:3" x14ac:dyDescent="0.25">
      <c r="A3151" s="159">
        <v>613672</v>
      </c>
      <c r="B3151" s="159">
        <v>1</v>
      </c>
      <c r="C3151" s="158" t="str">
        <f t="shared" si="50"/>
        <v>1</v>
      </c>
    </row>
    <row r="3152" spans="1:3" x14ac:dyDescent="0.25">
      <c r="A3152" s="159">
        <v>613673</v>
      </c>
      <c r="B3152" s="159">
        <v>4</v>
      </c>
      <c r="C3152" s="158" t="str">
        <f t="shared" si="50"/>
        <v>4</v>
      </c>
    </row>
    <row r="3153" spans="1:3" x14ac:dyDescent="0.25">
      <c r="A3153" s="159">
        <v>613674</v>
      </c>
      <c r="B3153" s="159">
        <v>1</v>
      </c>
      <c r="C3153" s="158" t="str">
        <f t="shared" si="50"/>
        <v>1</v>
      </c>
    </row>
    <row r="3154" spans="1:3" x14ac:dyDescent="0.25">
      <c r="A3154" s="159">
        <v>613675</v>
      </c>
      <c r="B3154" s="159">
        <v>1</v>
      </c>
      <c r="C3154" s="158" t="str">
        <f t="shared" si="50"/>
        <v>1</v>
      </c>
    </row>
    <row r="3155" spans="1:3" x14ac:dyDescent="0.25">
      <c r="A3155" s="159">
        <v>613676</v>
      </c>
      <c r="B3155" s="159">
        <v>1</v>
      </c>
      <c r="C3155" s="158" t="str">
        <f t="shared" si="50"/>
        <v>1</v>
      </c>
    </row>
    <row r="3156" spans="1:3" x14ac:dyDescent="0.25">
      <c r="A3156" s="159">
        <v>613677</v>
      </c>
      <c r="B3156" s="159">
        <v>1</v>
      </c>
      <c r="C3156" s="158" t="str">
        <f t="shared" si="50"/>
        <v>1</v>
      </c>
    </row>
    <row r="3157" spans="1:3" x14ac:dyDescent="0.25">
      <c r="A3157" s="159">
        <v>613678</v>
      </c>
      <c r="B3157" s="159">
        <v>1</v>
      </c>
      <c r="C3157" s="158" t="str">
        <f t="shared" si="50"/>
        <v>1</v>
      </c>
    </row>
    <row r="3158" spans="1:3" x14ac:dyDescent="0.25">
      <c r="A3158" s="159">
        <v>613679</v>
      </c>
      <c r="B3158" s="159">
        <v>4</v>
      </c>
      <c r="C3158" s="158" t="str">
        <f t="shared" si="50"/>
        <v>4</v>
      </c>
    </row>
    <row r="3159" spans="1:3" x14ac:dyDescent="0.25">
      <c r="A3159" s="159">
        <v>613680</v>
      </c>
      <c r="B3159" s="159">
        <v>1</v>
      </c>
      <c r="C3159" s="158" t="str">
        <f t="shared" si="50"/>
        <v>1</v>
      </c>
    </row>
    <row r="3160" spans="1:3" x14ac:dyDescent="0.25">
      <c r="A3160" s="159">
        <v>613681</v>
      </c>
      <c r="B3160" s="159">
        <v>1</v>
      </c>
      <c r="C3160" s="158" t="str">
        <f t="shared" si="50"/>
        <v>1</v>
      </c>
    </row>
    <row r="3161" spans="1:3" x14ac:dyDescent="0.25">
      <c r="A3161" s="159">
        <v>613682</v>
      </c>
      <c r="B3161" s="159">
        <v>1</v>
      </c>
      <c r="C3161" s="158" t="str">
        <f t="shared" si="50"/>
        <v>1</v>
      </c>
    </row>
    <row r="3162" spans="1:3" x14ac:dyDescent="0.25">
      <c r="A3162" s="159">
        <v>613710</v>
      </c>
      <c r="B3162" s="159">
        <v>4</v>
      </c>
      <c r="C3162" s="158" t="str">
        <f t="shared" si="50"/>
        <v>4</v>
      </c>
    </row>
    <row r="3163" spans="1:3" x14ac:dyDescent="0.25">
      <c r="A3163" s="159">
        <v>613711</v>
      </c>
      <c r="B3163" s="159">
        <v>1</v>
      </c>
      <c r="C3163" s="158" t="str">
        <f t="shared" si="50"/>
        <v>1</v>
      </c>
    </row>
    <row r="3164" spans="1:3" x14ac:dyDescent="0.25">
      <c r="A3164" s="159">
        <v>613712</v>
      </c>
      <c r="B3164" s="159">
        <v>1</v>
      </c>
      <c r="C3164" s="158" t="str">
        <f t="shared" si="50"/>
        <v>1</v>
      </c>
    </row>
    <row r="3165" spans="1:3" x14ac:dyDescent="0.25">
      <c r="A3165" s="159">
        <v>613713</v>
      </c>
      <c r="B3165" s="159">
        <v>1</v>
      </c>
      <c r="C3165" s="158" t="str">
        <f t="shared" si="50"/>
        <v>1</v>
      </c>
    </row>
    <row r="3166" spans="1:3" x14ac:dyDescent="0.25">
      <c r="A3166" s="159">
        <v>613714</v>
      </c>
      <c r="B3166" s="159">
        <v>1</v>
      </c>
      <c r="C3166" s="158" t="str">
        <f t="shared" si="50"/>
        <v>1</v>
      </c>
    </row>
    <row r="3167" spans="1:3" x14ac:dyDescent="0.25">
      <c r="A3167" s="159">
        <v>613724</v>
      </c>
      <c r="B3167" s="159">
        <v>1</v>
      </c>
      <c r="C3167" s="158" t="str">
        <f t="shared" si="50"/>
        <v>1</v>
      </c>
    </row>
    <row r="3168" spans="1:3" x14ac:dyDescent="0.25">
      <c r="A3168" s="159">
        <v>613725</v>
      </c>
      <c r="B3168" s="159">
        <v>1</v>
      </c>
      <c r="C3168" s="158" t="str">
        <f t="shared" si="50"/>
        <v>1</v>
      </c>
    </row>
    <row r="3169" spans="1:3" x14ac:dyDescent="0.25">
      <c r="A3169" s="159">
        <v>613726</v>
      </c>
      <c r="B3169" s="159">
        <v>1</v>
      </c>
      <c r="C3169" s="158" t="str">
        <f t="shared" si="50"/>
        <v>1</v>
      </c>
    </row>
    <row r="3170" spans="1:3" x14ac:dyDescent="0.25">
      <c r="A3170" s="159">
        <v>613727</v>
      </c>
      <c r="B3170" s="159">
        <v>1</v>
      </c>
      <c r="C3170" s="158" t="str">
        <f t="shared" si="50"/>
        <v>1</v>
      </c>
    </row>
    <row r="3171" spans="1:3" x14ac:dyDescent="0.25">
      <c r="A3171" s="159">
        <v>613780</v>
      </c>
      <c r="B3171" s="159">
        <v>1</v>
      </c>
      <c r="C3171" s="158" t="str">
        <f t="shared" si="50"/>
        <v>1</v>
      </c>
    </row>
    <row r="3172" spans="1:3" x14ac:dyDescent="0.25">
      <c r="A3172" s="159">
        <v>613781</v>
      </c>
      <c r="B3172" s="159">
        <v>1</v>
      </c>
      <c r="C3172" s="158" t="str">
        <f t="shared" si="50"/>
        <v>1</v>
      </c>
    </row>
    <row r="3173" spans="1:3" x14ac:dyDescent="0.25">
      <c r="A3173" s="159">
        <v>613782</v>
      </c>
      <c r="B3173" s="159">
        <v>1</v>
      </c>
      <c r="C3173" s="158" t="str">
        <f t="shared" si="50"/>
        <v>1</v>
      </c>
    </row>
    <row r="3174" spans="1:3" x14ac:dyDescent="0.25">
      <c r="A3174" s="159">
        <v>613783</v>
      </c>
      <c r="B3174" s="159">
        <v>1</v>
      </c>
      <c r="C3174" s="158" t="str">
        <f t="shared" si="50"/>
        <v>1</v>
      </c>
    </row>
    <row r="3175" spans="1:3" x14ac:dyDescent="0.25">
      <c r="A3175" s="159">
        <v>613800</v>
      </c>
      <c r="B3175" s="159">
        <v>3</v>
      </c>
      <c r="C3175" s="158" t="str">
        <f t="shared" si="50"/>
        <v>3</v>
      </c>
    </row>
    <row r="3176" spans="1:3" x14ac:dyDescent="0.25">
      <c r="A3176" s="159">
        <v>613801</v>
      </c>
      <c r="B3176" s="159">
        <v>1</v>
      </c>
      <c r="C3176" s="158" t="str">
        <f t="shared" si="50"/>
        <v>1</v>
      </c>
    </row>
    <row r="3177" spans="1:3" x14ac:dyDescent="0.25">
      <c r="A3177" s="159">
        <v>613803</v>
      </c>
      <c r="B3177" s="159">
        <v>1</v>
      </c>
      <c r="C3177" s="158" t="str">
        <f t="shared" si="50"/>
        <v>1</v>
      </c>
    </row>
    <row r="3178" spans="1:3" x14ac:dyDescent="0.25">
      <c r="A3178" s="159">
        <v>613804</v>
      </c>
      <c r="B3178" s="159">
        <v>1</v>
      </c>
      <c r="C3178" s="158" t="str">
        <f t="shared" si="50"/>
        <v>1</v>
      </c>
    </row>
    <row r="3179" spans="1:3" x14ac:dyDescent="0.25">
      <c r="A3179" s="159">
        <v>613805</v>
      </c>
      <c r="B3179" s="159">
        <v>1</v>
      </c>
      <c r="C3179" s="158" t="str">
        <f t="shared" si="50"/>
        <v>1</v>
      </c>
    </row>
    <row r="3180" spans="1:3" x14ac:dyDescent="0.25">
      <c r="A3180" s="159">
        <v>613806</v>
      </c>
      <c r="B3180" s="159">
        <v>1</v>
      </c>
      <c r="C3180" s="158" t="str">
        <f t="shared" si="50"/>
        <v>1</v>
      </c>
    </row>
    <row r="3181" spans="1:3" x14ac:dyDescent="0.25">
      <c r="A3181" s="159">
        <v>613811</v>
      </c>
      <c r="B3181" s="159">
        <v>1</v>
      </c>
      <c r="C3181" s="158" t="str">
        <f t="shared" si="50"/>
        <v>1</v>
      </c>
    </row>
    <row r="3182" spans="1:3" x14ac:dyDescent="0.25">
      <c r="A3182" s="159">
        <v>613812</v>
      </c>
      <c r="B3182" s="159">
        <v>1</v>
      </c>
      <c r="C3182" s="158" t="str">
        <f t="shared" si="50"/>
        <v>1</v>
      </c>
    </row>
    <row r="3183" spans="1:3" x14ac:dyDescent="0.25">
      <c r="A3183" s="159">
        <v>613813</v>
      </c>
      <c r="B3183" s="159">
        <v>1</v>
      </c>
      <c r="C3183" s="158" t="str">
        <f t="shared" si="50"/>
        <v>1</v>
      </c>
    </row>
    <row r="3184" spans="1:3" x14ac:dyDescent="0.25">
      <c r="A3184" s="159">
        <v>613814</v>
      </c>
      <c r="B3184" s="159">
        <v>1</v>
      </c>
      <c r="C3184" s="158" t="str">
        <f t="shared" si="50"/>
        <v>1</v>
      </c>
    </row>
    <row r="3185" spans="1:3" x14ac:dyDescent="0.25">
      <c r="A3185" s="159">
        <v>613831</v>
      </c>
      <c r="B3185" s="159">
        <v>3</v>
      </c>
      <c r="C3185" s="158" t="str">
        <f t="shared" si="50"/>
        <v>3</v>
      </c>
    </row>
    <row r="3186" spans="1:3" x14ac:dyDescent="0.25">
      <c r="A3186" s="159">
        <v>613832</v>
      </c>
      <c r="B3186" s="159">
        <v>1</v>
      </c>
      <c r="C3186" s="158" t="str">
        <f t="shared" si="50"/>
        <v>1</v>
      </c>
    </row>
    <row r="3187" spans="1:3" x14ac:dyDescent="0.25">
      <c r="A3187" s="159">
        <v>613833</v>
      </c>
      <c r="B3187" s="159">
        <v>1</v>
      </c>
      <c r="C3187" s="158" t="str">
        <f t="shared" si="50"/>
        <v>1</v>
      </c>
    </row>
    <row r="3188" spans="1:3" x14ac:dyDescent="0.25">
      <c r="A3188" s="159">
        <v>613834</v>
      </c>
      <c r="B3188" s="159">
        <v>1</v>
      </c>
      <c r="C3188" s="158" t="str">
        <f t="shared" si="50"/>
        <v>1</v>
      </c>
    </row>
    <row r="3189" spans="1:3" x14ac:dyDescent="0.25">
      <c r="A3189" s="159">
        <v>613835</v>
      </c>
      <c r="B3189" s="159">
        <v>1</v>
      </c>
      <c r="C3189" s="158" t="str">
        <f t="shared" si="50"/>
        <v>1</v>
      </c>
    </row>
    <row r="3190" spans="1:3" x14ac:dyDescent="0.25">
      <c r="A3190" s="159">
        <v>613836</v>
      </c>
      <c r="B3190" s="159">
        <v>1</v>
      </c>
      <c r="C3190" s="158" t="str">
        <f t="shared" ref="C3190:C3253" si="51">IF(OR(B3190=0,B3190=1,B3190=2,B3190=3,B3190=4,B3190=5),TEXT(B3190,"0"),B3190)</f>
        <v>1</v>
      </c>
    </row>
    <row r="3191" spans="1:3" x14ac:dyDescent="0.25">
      <c r="A3191" s="159">
        <v>613845</v>
      </c>
      <c r="B3191" s="159">
        <v>4</v>
      </c>
      <c r="C3191" s="158" t="str">
        <f t="shared" si="51"/>
        <v>4</v>
      </c>
    </row>
    <row r="3192" spans="1:3" x14ac:dyDescent="0.25">
      <c r="A3192" s="159">
        <v>613846</v>
      </c>
      <c r="B3192" s="159">
        <v>1</v>
      </c>
      <c r="C3192" s="158" t="str">
        <f t="shared" si="51"/>
        <v>1</v>
      </c>
    </row>
    <row r="3193" spans="1:3" x14ac:dyDescent="0.25">
      <c r="A3193" s="159">
        <v>613847</v>
      </c>
      <c r="B3193" s="159">
        <v>1</v>
      </c>
      <c r="C3193" s="158" t="str">
        <f t="shared" si="51"/>
        <v>1</v>
      </c>
    </row>
    <row r="3194" spans="1:3" x14ac:dyDescent="0.25">
      <c r="A3194" s="159">
        <v>613848</v>
      </c>
      <c r="B3194" s="159">
        <v>1</v>
      </c>
      <c r="C3194" s="158" t="str">
        <f t="shared" si="51"/>
        <v>1</v>
      </c>
    </row>
    <row r="3195" spans="1:3" x14ac:dyDescent="0.25">
      <c r="A3195" s="159">
        <v>613849</v>
      </c>
      <c r="B3195" s="159" t="s">
        <v>437</v>
      </c>
      <c r="C3195" s="158" t="str">
        <f t="shared" si="51"/>
        <v>1S</v>
      </c>
    </row>
    <row r="3196" spans="1:3" x14ac:dyDescent="0.25">
      <c r="A3196" s="159">
        <v>613850</v>
      </c>
      <c r="B3196" s="159">
        <v>1</v>
      </c>
      <c r="C3196" s="158" t="str">
        <f t="shared" si="51"/>
        <v>1</v>
      </c>
    </row>
    <row r="3197" spans="1:3" x14ac:dyDescent="0.25">
      <c r="A3197" s="159">
        <v>613851</v>
      </c>
      <c r="B3197" s="159">
        <v>1</v>
      </c>
      <c r="C3197" s="158" t="str">
        <f t="shared" si="51"/>
        <v>1</v>
      </c>
    </row>
    <row r="3198" spans="1:3" x14ac:dyDescent="0.25">
      <c r="A3198" s="159">
        <v>613870</v>
      </c>
      <c r="B3198" s="159">
        <v>5</v>
      </c>
      <c r="C3198" s="158" t="str">
        <f t="shared" si="51"/>
        <v>5</v>
      </c>
    </row>
    <row r="3199" spans="1:3" x14ac:dyDescent="0.25">
      <c r="A3199" s="159">
        <v>613871</v>
      </c>
      <c r="B3199" s="159">
        <v>1</v>
      </c>
      <c r="C3199" s="158" t="str">
        <f t="shared" si="51"/>
        <v>1</v>
      </c>
    </row>
    <row r="3200" spans="1:3" x14ac:dyDescent="0.25">
      <c r="A3200" s="159">
        <v>613872</v>
      </c>
      <c r="B3200" s="159">
        <v>1</v>
      </c>
      <c r="C3200" s="158" t="str">
        <f t="shared" si="51"/>
        <v>1</v>
      </c>
    </row>
    <row r="3201" spans="1:3" x14ac:dyDescent="0.25">
      <c r="A3201" s="159">
        <v>613920</v>
      </c>
      <c r="B3201" s="159" t="s">
        <v>439</v>
      </c>
      <c r="C3201" s="158" t="str">
        <f t="shared" si="51"/>
        <v>3S</v>
      </c>
    </row>
    <row r="3202" spans="1:3" x14ac:dyDescent="0.25">
      <c r="A3202" s="159">
        <v>613921</v>
      </c>
      <c r="B3202" s="159">
        <v>1</v>
      </c>
      <c r="C3202" s="158" t="str">
        <f t="shared" si="51"/>
        <v>1</v>
      </c>
    </row>
    <row r="3203" spans="1:3" x14ac:dyDescent="0.25">
      <c r="A3203" s="159">
        <v>613922</v>
      </c>
      <c r="B3203" s="159">
        <v>1</v>
      </c>
      <c r="C3203" s="158" t="str">
        <f t="shared" si="51"/>
        <v>1</v>
      </c>
    </row>
    <row r="3204" spans="1:3" x14ac:dyDescent="0.25">
      <c r="A3204" s="159">
        <v>613923</v>
      </c>
      <c r="B3204" s="159">
        <v>1</v>
      </c>
      <c r="C3204" s="158" t="str">
        <f t="shared" si="51"/>
        <v>1</v>
      </c>
    </row>
    <row r="3205" spans="1:3" x14ac:dyDescent="0.25">
      <c r="A3205" s="159">
        <v>613924</v>
      </c>
      <c r="B3205" s="159">
        <v>1</v>
      </c>
      <c r="C3205" s="158" t="str">
        <f t="shared" si="51"/>
        <v>1</v>
      </c>
    </row>
    <row r="3206" spans="1:3" x14ac:dyDescent="0.25">
      <c r="A3206" s="159">
        <v>613925</v>
      </c>
      <c r="B3206" s="159">
        <v>1</v>
      </c>
      <c r="C3206" s="158" t="str">
        <f t="shared" si="51"/>
        <v>1</v>
      </c>
    </row>
    <row r="3207" spans="1:3" x14ac:dyDescent="0.25">
      <c r="A3207" s="159">
        <v>613926</v>
      </c>
      <c r="B3207" s="159">
        <v>2</v>
      </c>
      <c r="C3207" s="158" t="str">
        <f t="shared" si="51"/>
        <v>2</v>
      </c>
    </row>
    <row r="3208" spans="1:3" x14ac:dyDescent="0.25">
      <c r="A3208" s="159">
        <v>613927</v>
      </c>
      <c r="B3208" s="159">
        <v>1</v>
      </c>
      <c r="C3208" s="158" t="str">
        <f t="shared" si="51"/>
        <v>1</v>
      </c>
    </row>
    <row r="3209" spans="1:3" x14ac:dyDescent="0.25">
      <c r="A3209" s="159">
        <v>613928</v>
      </c>
      <c r="B3209" s="159">
        <v>1</v>
      </c>
      <c r="C3209" s="158" t="str">
        <f t="shared" si="51"/>
        <v>1</v>
      </c>
    </row>
    <row r="3210" spans="1:3" x14ac:dyDescent="0.25">
      <c r="A3210" s="159">
        <v>613929</v>
      </c>
      <c r="B3210" s="159">
        <v>1</v>
      </c>
      <c r="C3210" s="158" t="str">
        <f t="shared" si="51"/>
        <v>1</v>
      </c>
    </row>
    <row r="3211" spans="1:3" x14ac:dyDescent="0.25">
      <c r="A3211" s="159">
        <v>613930</v>
      </c>
      <c r="B3211" s="159">
        <v>5</v>
      </c>
      <c r="C3211" s="158" t="str">
        <f t="shared" si="51"/>
        <v>5</v>
      </c>
    </row>
    <row r="3212" spans="1:3" x14ac:dyDescent="0.25">
      <c r="A3212" s="159">
        <v>613931</v>
      </c>
      <c r="B3212" s="159">
        <v>1</v>
      </c>
      <c r="C3212" s="158" t="str">
        <f t="shared" si="51"/>
        <v>1</v>
      </c>
    </row>
    <row r="3213" spans="1:3" x14ac:dyDescent="0.25">
      <c r="A3213" s="159">
        <v>613932</v>
      </c>
      <c r="B3213" s="159">
        <v>1</v>
      </c>
      <c r="C3213" s="158" t="str">
        <f t="shared" si="51"/>
        <v>1</v>
      </c>
    </row>
    <row r="3214" spans="1:3" x14ac:dyDescent="0.25">
      <c r="A3214" s="159">
        <v>613933</v>
      </c>
      <c r="B3214" s="159">
        <v>1</v>
      </c>
      <c r="C3214" s="158" t="str">
        <f t="shared" si="51"/>
        <v>1</v>
      </c>
    </row>
    <row r="3215" spans="1:3" x14ac:dyDescent="0.25">
      <c r="A3215" s="159">
        <v>613934</v>
      </c>
      <c r="B3215" s="159">
        <v>2</v>
      </c>
      <c r="C3215" s="158" t="str">
        <f t="shared" si="51"/>
        <v>2</v>
      </c>
    </row>
    <row r="3216" spans="1:3" x14ac:dyDescent="0.25">
      <c r="A3216" s="159">
        <v>613935</v>
      </c>
      <c r="B3216" s="159">
        <v>1</v>
      </c>
      <c r="C3216" s="158" t="str">
        <f t="shared" si="51"/>
        <v>1</v>
      </c>
    </row>
    <row r="3217" spans="1:3" x14ac:dyDescent="0.25">
      <c r="A3217" s="159">
        <v>613936</v>
      </c>
      <c r="B3217" s="159">
        <v>1</v>
      </c>
      <c r="C3217" s="158" t="str">
        <f t="shared" si="51"/>
        <v>1</v>
      </c>
    </row>
    <row r="3218" spans="1:3" x14ac:dyDescent="0.25">
      <c r="A3218" s="159">
        <v>613937</v>
      </c>
      <c r="B3218" s="159">
        <v>6</v>
      </c>
      <c r="C3218" s="158">
        <f t="shared" si="51"/>
        <v>6</v>
      </c>
    </row>
    <row r="3219" spans="1:3" x14ac:dyDescent="0.25">
      <c r="A3219" s="159">
        <v>613938</v>
      </c>
      <c r="B3219" s="159">
        <v>1</v>
      </c>
      <c r="C3219" s="158" t="str">
        <f t="shared" si="51"/>
        <v>1</v>
      </c>
    </row>
    <row r="3220" spans="1:3" x14ac:dyDescent="0.25">
      <c r="A3220" s="159">
        <v>613939</v>
      </c>
      <c r="B3220" s="159">
        <v>1</v>
      </c>
      <c r="C3220" s="158" t="str">
        <f t="shared" si="51"/>
        <v>1</v>
      </c>
    </row>
    <row r="3221" spans="1:3" x14ac:dyDescent="0.25">
      <c r="A3221" s="159">
        <v>613940</v>
      </c>
      <c r="B3221" s="159">
        <v>1</v>
      </c>
      <c r="C3221" s="158" t="str">
        <f t="shared" si="51"/>
        <v>1</v>
      </c>
    </row>
    <row r="3222" spans="1:3" x14ac:dyDescent="0.25">
      <c r="A3222" s="159">
        <v>613941</v>
      </c>
      <c r="B3222" s="159">
        <v>2</v>
      </c>
      <c r="C3222" s="158" t="str">
        <f t="shared" si="51"/>
        <v>2</v>
      </c>
    </row>
    <row r="3223" spans="1:3" x14ac:dyDescent="0.25">
      <c r="A3223" s="159">
        <v>613942</v>
      </c>
      <c r="B3223" s="159">
        <v>1</v>
      </c>
      <c r="C3223" s="158" t="str">
        <f t="shared" si="51"/>
        <v>1</v>
      </c>
    </row>
    <row r="3224" spans="1:3" x14ac:dyDescent="0.25">
      <c r="A3224" s="159">
        <v>613943</v>
      </c>
      <c r="B3224" s="159">
        <v>1</v>
      </c>
      <c r="C3224" s="158" t="str">
        <f t="shared" si="51"/>
        <v>1</v>
      </c>
    </row>
    <row r="3225" spans="1:3" x14ac:dyDescent="0.25">
      <c r="A3225" s="159">
        <v>613944</v>
      </c>
      <c r="B3225" s="159">
        <v>5</v>
      </c>
      <c r="C3225" s="158" t="str">
        <f t="shared" si="51"/>
        <v>5</v>
      </c>
    </row>
    <row r="3226" spans="1:3" x14ac:dyDescent="0.25">
      <c r="A3226" s="159">
        <v>613945</v>
      </c>
      <c r="B3226" s="159">
        <v>1</v>
      </c>
      <c r="C3226" s="158" t="str">
        <f t="shared" si="51"/>
        <v>1</v>
      </c>
    </row>
    <row r="3227" spans="1:3" x14ac:dyDescent="0.25">
      <c r="A3227" s="159">
        <v>613946</v>
      </c>
      <c r="B3227" s="159">
        <v>1</v>
      </c>
      <c r="C3227" s="158" t="str">
        <f t="shared" si="51"/>
        <v>1</v>
      </c>
    </row>
    <row r="3228" spans="1:3" x14ac:dyDescent="0.25">
      <c r="A3228" s="159">
        <v>613947</v>
      </c>
      <c r="B3228" s="159">
        <v>1</v>
      </c>
      <c r="C3228" s="158" t="str">
        <f t="shared" si="51"/>
        <v>1</v>
      </c>
    </row>
    <row r="3229" spans="1:3" x14ac:dyDescent="0.25">
      <c r="A3229" s="159">
        <v>613950</v>
      </c>
      <c r="B3229" s="159">
        <v>3</v>
      </c>
      <c r="C3229" s="158" t="str">
        <f t="shared" si="51"/>
        <v>3</v>
      </c>
    </row>
    <row r="3230" spans="1:3" x14ac:dyDescent="0.25">
      <c r="A3230" s="159">
        <v>613953</v>
      </c>
      <c r="B3230" s="159">
        <v>1</v>
      </c>
      <c r="C3230" s="158" t="str">
        <f t="shared" si="51"/>
        <v>1</v>
      </c>
    </row>
    <row r="3231" spans="1:3" x14ac:dyDescent="0.25">
      <c r="A3231" s="159">
        <v>613954</v>
      </c>
      <c r="B3231" s="159">
        <v>1</v>
      </c>
      <c r="C3231" s="158" t="str">
        <f t="shared" si="51"/>
        <v>1</v>
      </c>
    </row>
    <row r="3232" spans="1:3" x14ac:dyDescent="0.25">
      <c r="A3232" s="159">
        <v>613955</v>
      </c>
      <c r="B3232" s="159">
        <v>3</v>
      </c>
      <c r="C3232" s="158" t="str">
        <f t="shared" si="51"/>
        <v>3</v>
      </c>
    </row>
    <row r="3233" spans="1:3" x14ac:dyDescent="0.25">
      <c r="A3233" s="159">
        <v>613956</v>
      </c>
      <c r="B3233" s="159">
        <v>1</v>
      </c>
      <c r="C3233" s="158" t="str">
        <f t="shared" si="51"/>
        <v>1</v>
      </c>
    </row>
    <row r="3234" spans="1:3" x14ac:dyDescent="0.25">
      <c r="A3234" s="159">
        <v>613957</v>
      </c>
      <c r="B3234" s="159">
        <v>1</v>
      </c>
      <c r="C3234" s="158" t="str">
        <f t="shared" si="51"/>
        <v>1</v>
      </c>
    </row>
    <row r="3235" spans="1:3" x14ac:dyDescent="0.25">
      <c r="A3235" s="159">
        <v>613958</v>
      </c>
      <c r="B3235" s="159">
        <v>1</v>
      </c>
      <c r="C3235" s="158" t="str">
        <f t="shared" si="51"/>
        <v>1</v>
      </c>
    </row>
    <row r="3236" spans="1:3" x14ac:dyDescent="0.25">
      <c r="A3236" s="159">
        <v>613959</v>
      </c>
      <c r="B3236" s="159">
        <v>3</v>
      </c>
      <c r="C3236" s="158" t="str">
        <f t="shared" si="51"/>
        <v>3</v>
      </c>
    </row>
    <row r="3237" spans="1:3" x14ac:dyDescent="0.25">
      <c r="A3237" s="159">
        <v>613962</v>
      </c>
      <c r="B3237" s="159">
        <v>1</v>
      </c>
      <c r="C3237" s="158" t="str">
        <f t="shared" si="51"/>
        <v>1</v>
      </c>
    </row>
    <row r="3238" spans="1:3" x14ac:dyDescent="0.25">
      <c r="A3238" s="159">
        <v>613963</v>
      </c>
      <c r="B3238" s="159">
        <v>1</v>
      </c>
      <c r="C3238" s="158" t="str">
        <f t="shared" si="51"/>
        <v>1</v>
      </c>
    </row>
    <row r="3239" spans="1:3" x14ac:dyDescent="0.25">
      <c r="A3239" s="159">
        <v>613964</v>
      </c>
      <c r="B3239" s="159">
        <v>6</v>
      </c>
      <c r="C3239" s="158">
        <f t="shared" si="51"/>
        <v>6</v>
      </c>
    </row>
    <row r="3240" spans="1:3" x14ac:dyDescent="0.25">
      <c r="A3240" s="159">
        <v>613965</v>
      </c>
      <c r="B3240" s="159">
        <v>1</v>
      </c>
      <c r="C3240" s="158" t="str">
        <f t="shared" si="51"/>
        <v>1</v>
      </c>
    </row>
    <row r="3241" spans="1:3" x14ac:dyDescent="0.25">
      <c r="A3241" s="159">
        <v>613966</v>
      </c>
      <c r="B3241" s="159">
        <v>1</v>
      </c>
      <c r="C3241" s="158" t="str">
        <f t="shared" si="51"/>
        <v>1</v>
      </c>
    </row>
    <row r="3242" spans="1:3" x14ac:dyDescent="0.25">
      <c r="A3242" s="159">
        <v>613967</v>
      </c>
      <c r="B3242" s="159">
        <v>1</v>
      </c>
      <c r="C3242" s="158" t="str">
        <f t="shared" si="51"/>
        <v>1</v>
      </c>
    </row>
    <row r="3243" spans="1:3" x14ac:dyDescent="0.25">
      <c r="A3243" s="159">
        <v>613970</v>
      </c>
      <c r="B3243" s="159">
        <v>2</v>
      </c>
      <c r="C3243" s="158" t="str">
        <f t="shared" si="51"/>
        <v>2</v>
      </c>
    </row>
    <row r="3244" spans="1:3" x14ac:dyDescent="0.25">
      <c r="A3244" s="159">
        <v>613971</v>
      </c>
      <c r="B3244" s="159">
        <v>1</v>
      </c>
      <c r="C3244" s="158" t="str">
        <f t="shared" si="51"/>
        <v>1</v>
      </c>
    </row>
    <row r="3245" spans="1:3" x14ac:dyDescent="0.25">
      <c r="A3245" s="159">
        <v>613972</v>
      </c>
      <c r="B3245" s="159">
        <v>1</v>
      </c>
      <c r="C3245" s="158" t="str">
        <f t="shared" si="51"/>
        <v>1</v>
      </c>
    </row>
    <row r="3246" spans="1:3" x14ac:dyDescent="0.25">
      <c r="A3246" s="159">
        <v>613973</v>
      </c>
      <c r="B3246" s="159">
        <v>1</v>
      </c>
      <c r="C3246" s="158" t="str">
        <f t="shared" si="51"/>
        <v>1</v>
      </c>
    </row>
    <row r="3247" spans="1:3" x14ac:dyDescent="0.25">
      <c r="A3247" s="159">
        <v>613974</v>
      </c>
      <c r="B3247" s="159">
        <v>1</v>
      </c>
      <c r="C3247" s="158" t="str">
        <f t="shared" si="51"/>
        <v>1</v>
      </c>
    </row>
    <row r="3248" spans="1:3" x14ac:dyDescent="0.25">
      <c r="A3248" s="159">
        <v>613975</v>
      </c>
      <c r="B3248" s="159">
        <v>1</v>
      </c>
      <c r="C3248" s="158" t="str">
        <f t="shared" si="51"/>
        <v>1</v>
      </c>
    </row>
    <row r="3249" spans="1:3" x14ac:dyDescent="0.25">
      <c r="A3249" s="159">
        <v>613976</v>
      </c>
      <c r="B3249" s="159">
        <v>3</v>
      </c>
      <c r="C3249" s="158" t="str">
        <f t="shared" si="51"/>
        <v>3</v>
      </c>
    </row>
    <row r="3250" spans="1:3" x14ac:dyDescent="0.25">
      <c r="A3250" s="159">
        <v>613977</v>
      </c>
      <c r="B3250" s="159">
        <v>1</v>
      </c>
      <c r="C3250" s="158" t="str">
        <f t="shared" si="51"/>
        <v>1</v>
      </c>
    </row>
    <row r="3251" spans="1:3" x14ac:dyDescent="0.25">
      <c r="A3251" s="159">
        <v>613978</v>
      </c>
      <c r="B3251" s="159">
        <v>1</v>
      </c>
      <c r="C3251" s="158" t="str">
        <f t="shared" si="51"/>
        <v>1</v>
      </c>
    </row>
    <row r="3252" spans="1:3" x14ac:dyDescent="0.25">
      <c r="A3252" s="159">
        <v>613979</v>
      </c>
      <c r="B3252" s="159">
        <v>1</v>
      </c>
      <c r="C3252" s="158" t="str">
        <f t="shared" si="51"/>
        <v>1</v>
      </c>
    </row>
    <row r="3253" spans="1:3" x14ac:dyDescent="0.25">
      <c r="A3253" s="159">
        <v>613980</v>
      </c>
      <c r="B3253" s="159">
        <v>1</v>
      </c>
      <c r="C3253" s="158" t="str">
        <f t="shared" si="51"/>
        <v>1</v>
      </c>
    </row>
    <row r="3254" spans="1:3" x14ac:dyDescent="0.25">
      <c r="A3254" s="159">
        <v>613981</v>
      </c>
      <c r="B3254" s="159">
        <v>1</v>
      </c>
      <c r="C3254" s="158" t="str">
        <f t="shared" ref="C3254:C3317" si="52">IF(OR(B3254=0,B3254=1,B3254=2,B3254=3,B3254=4,B3254=5),TEXT(B3254,"0"),B3254)</f>
        <v>1</v>
      </c>
    </row>
    <row r="3255" spans="1:3" x14ac:dyDescent="0.25">
      <c r="A3255" s="159">
        <v>613982</v>
      </c>
      <c r="B3255" s="159">
        <v>3</v>
      </c>
      <c r="C3255" s="158" t="str">
        <f t="shared" si="52"/>
        <v>3</v>
      </c>
    </row>
    <row r="3256" spans="1:3" x14ac:dyDescent="0.25">
      <c r="A3256" s="159">
        <v>613983</v>
      </c>
      <c r="B3256" s="159">
        <v>1</v>
      </c>
      <c r="C3256" s="158" t="str">
        <f t="shared" si="52"/>
        <v>1</v>
      </c>
    </row>
    <row r="3257" spans="1:3" x14ac:dyDescent="0.25">
      <c r="A3257" s="159">
        <v>613984</v>
      </c>
      <c r="B3257" s="159">
        <v>1</v>
      </c>
      <c r="C3257" s="158" t="str">
        <f t="shared" si="52"/>
        <v>1</v>
      </c>
    </row>
    <row r="3258" spans="1:3" x14ac:dyDescent="0.25">
      <c r="A3258" s="159">
        <v>613985</v>
      </c>
      <c r="B3258" s="159">
        <v>1</v>
      </c>
      <c r="C3258" s="158" t="str">
        <f t="shared" si="52"/>
        <v>1</v>
      </c>
    </row>
    <row r="3259" spans="1:3" x14ac:dyDescent="0.25">
      <c r="A3259" s="159">
        <v>613986</v>
      </c>
      <c r="B3259" s="159">
        <v>5</v>
      </c>
      <c r="C3259" s="158" t="str">
        <f t="shared" si="52"/>
        <v>5</v>
      </c>
    </row>
    <row r="3260" spans="1:3" x14ac:dyDescent="0.25">
      <c r="A3260" s="159">
        <v>613987</v>
      </c>
      <c r="B3260" s="159">
        <v>1</v>
      </c>
      <c r="C3260" s="158" t="str">
        <f t="shared" si="52"/>
        <v>1</v>
      </c>
    </row>
    <row r="3261" spans="1:3" x14ac:dyDescent="0.25">
      <c r="A3261" s="159">
        <v>613988</v>
      </c>
      <c r="B3261" s="159">
        <v>1</v>
      </c>
      <c r="C3261" s="158" t="str">
        <f t="shared" si="52"/>
        <v>1</v>
      </c>
    </row>
    <row r="3262" spans="1:3" x14ac:dyDescent="0.25">
      <c r="A3262" s="159">
        <v>613989</v>
      </c>
      <c r="B3262" s="159">
        <v>1</v>
      </c>
      <c r="C3262" s="158" t="str">
        <f t="shared" si="52"/>
        <v>1</v>
      </c>
    </row>
    <row r="3263" spans="1:3" x14ac:dyDescent="0.25">
      <c r="A3263" s="159">
        <v>613990</v>
      </c>
      <c r="B3263" s="159">
        <v>1</v>
      </c>
      <c r="C3263" s="158" t="str">
        <f t="shared" si="52"/>
        <v>1</v>
      </c>
    </row>
    <row r="3264" spans="1:3" x14ac:dyDescent="0.25">
      <c r="A3264" s="159">
        <v>613991</v>
      </c>
      <c r="B3264" s="159">
        <v>1</v>
      </c>
      <c r="C3264" s="158" t="str">
        <f t="shared" si="52"/>
        <v>1</v>
      </c>
    </row>
    <row r="3265" spans="1:3" x14ac:dyDescent="0.25">
      <c r="A3265" s="159">
        <v>613992</v>
      </c>
      <c r="B3265" s="159">
        <v>1</v>
      </c>
      <c r="C3265" s="158" t="str">
        <f t="shared" si="52"/>
        <v>1</v>
      </c>
    </row>
    <row r="3266" spans="1:3" x14ac:dyDescent="0.25">
      <c r="A3266" s="159">
        <v>613993</v>
      </c>
      <c r="B3266" s="159">
        <v>1</v>
      </c>
      <c r="C3266" s="158" t="str">
        <f t="shared" si="52"/>
        <v>1</v>
      </c>
    </row>
    <row r="3267" spans="1:3" x14ac:dyDescent="0.25">
      <c r="A3267" s="159">
        <v>613994</v>
      </c>
      <c r="B3267" s="159">
        <v>1</v>
      </c>
      <c r="C3267" s="158" t="str">
        <f t="shared" si="52"/>
        <v>1</v>
      </c>
    </row>
    <row r="3268" spans="1:3" x14ac:dyDescent="0.25">
      <c r="A3268" s="159">
        <v>613995</v>
      </c>
      <c r="B3268" s="159">
        <v>1</v>
      </c>
      <c r="C3268" s="158" t="str">
        <f t="shared" si="52"/>
        <v>1</v>
      </c>
    </row>
    <row r="3269" spans="1:3" x14ac:dyDescent="0.25">
      <c r="A3269" s="159">
        <v>613996</v>
      </c>
      <c r="B3269" s="159">
        <v>1</v>
      </c>
      <c r="C3269" s="158" t="str">
        <f t="shared" si="52"/>
        <v>1</v>
      </c>
    </row>
    <row r="3270" spans="1:3" x14ac:dyDescent="0.25">
      <c r="A3270" s="159">
        <v>613997</v>
      </c>
      <c r="B3270" s="159">
        <v>1</v>
      </c>
      <c r="C3270" s="158" t="str">
        <f t="shared" si="52"/>
        <v>1</v>
      </c>
    </row>
    <row r="3271" spans="1:3" x14ac:dyDescent="0.25">
      <c r="A3271" s="159">
        <v>613998</v>
      </c>
      <c r="B3271" s="159">
        <v>4</v>
      </c>
      <c r="C3271" s="158" t="str">
        <f t="shared" si="52"/>
        <v>4</v>
      </c>
    </row>
    <row r="3272" spans="1:3" x14ac:dyDescent="0.25">
      <c r="A3272" s="159">
        <v>613999</v>
      </c>
      <c r="B3272" s="159">
        <v>1</v>
      </c>
      <c r="C3272" s="158" t="str">
        <f t="shared" si="52"/>
        <v>1</v>
      </c>
    </row>
    <row r="3273" spans="1:3" x14ac:dyDescent="0.25">
      <c r="A3273" s="159">
        <v>614000</v>
      </c>
      <c r="B3273" s="159">
        <v>1</v>
      </c>
      <c r="C3273" s="158" t="str">
        <f t="shared" si="52"/>
        <v>1</v>
      </c>
    </row>
    <row r="3274" spans="1:3" x14ac:dyDescent="0.25">
      <c r="A3274" s="159">
        <v>614002</v>
      </c>
      <c r="B3274" s="159" t="s">
        <v>441</v>
      </c>
      <c r="C3274" s="158" t="str">
        <f t="shared" si="52"/>
        <v>4S</v>
      </c>
    </row>
    <row r="3275" spans="1:3" x14ac:dyDescent="0.25">
      <c r="A3275" s="159">
        <v>614003</v>
      </c>
      <c r="B3275" s="159" t="s">
        <v>437</v>
      </c>
      <c r="C3275" s="158" t="str">
        <f t="shared" si="52"/>
        <v>1S</v>
      </c>
    </row>
    <row r="3276" spans="1:3" x14ac:dyDescent="0.25">
      <c r="A3276" s="159">
        <v>614004</v>
      </c>
      <c r="B3276" s="159">
        <v>1</v>
      </c>
      <c r="C3276" s="158" t="str">
        <f t="shared" si="52"/>
        <v>1</v>
      </c>
    </row>
    <row r="3277" spans="1:3" x14ac:dyDescent="0.25">
      <c r="A3277" s="159">
        <v>614005</v>
      </c>
      <c r="B3277" s="159">
        <v>1</v>
      </c>
      <c r="C3277" s="158" t="str">
        <f t="shared" si="52"/>
        <v>1</v>
      </c>
    </row>
    <row r="3278" spans="1:3" x14ac:dyDescent="0.25">
      <c r="A3278" s="159">
        <v>614007</v>
      </c>
      <c r="B3278" s="159">
        <v>1</v>
      </c>
      <c r="C3278" s="158" t="str">
        <f t="shared" si="52"/>
        <v>1</v>
      </c>
    </row>
    <row r="3279" spans="1:3" x14ac:dyDescent="0.25">
      <c r="A3279" s="159">
        <v>614008</v>
      </c>
      <c r="B3279" s="159">
        <v>1</v>
      </c>
      <c r="C3279" s="158" t="str">
        <f t="shared" si="52"/>
        <v>1</v>
      </c>
    </row>
    <row r="3280" spans="1:3" x14ac:dyDescent="0.25">
      <c r="A3280" s="159">
        <v>614009</v>
      </c>
      <c r="B3280" s="159">
        <v>1</v>
      </c>
      <c r="C3280" s="158" t="str">
        <f t="shared" si="52"/>
        <v>1</v>
      </c>
    </row>
    <row r="3281" spans="1:3" x14ac:dyDescent="0.25">
      <c r="A3281" s="159">
        <v>614010</v>
      </c>
      <c r="B3281" s="159">
        <v>1</v>
      </c>
      <c r="C3281" s="158" t="str">
        <f t="shared" si="52"/>
        <v>1</v>
      </c>
    </row>
    <row r="3282" spans="1:3" x14ac:dyDescent="0.25">
      <c r="A3282" s="159">
        <v>614011</v>
      </c>
      <c r="B3282" s="159">
        <v>1</v>
      </c>
      <c r="C3282" s="158" t="str">
        <f t="shared" si="52"/>
        <v>1</v>
      </c>
    </row>
    <row r="3283" spans="1:3" x14ac:dyDescent="0.25">
      <c r="A3283" s="159">
        <v>614012</v>
      </c>
      <c r="B3283" s="159">
        <v>1</v>
      </c>
      <c r="C3283" s="158" t="str">
        <f t="shared" si="52"/>
        <v>1</v>
      </c>
    </row>
    <row r="3284" spans="1:3" x14ac:dyDescent="0.25">
      <c r="A3284" s="159">
        <v>614021</v>
      </c>
      <c r="B3284" s="159" t="s">
        <v>454</v>
      </c>
      <c r="C3284" s="158" t="str">
        <f t="shared" si="52"/>
        <v>6S</v>
      </c>
    </row>
    <row r="3285" spans="1:3" x14ac:dyDescent="0.25">
      <c r="A3285" s="159">
        <v>614022</v>
      </c>
      <c r="B3285" s="159" t="s">
        <v>437</v>
      </c>
      <c r="C3285" s="158" t="str">
        <f t="shared" si="52"/>
        <v>1S</v>
      </c>
    </row>
    <row r="3286" spans="1:3" x14ac:dyDescent="0.25">
      <c r="A3286" s="159">
        <v>614023</v>
      </c>
      <c r="B3286" s="159">
        <v>1</v>
      </c>
      <c r="C3286" s="158" t="str">
        <f t="shared" si="52"/>
        <v>1</v>
      </c>
    </row>
    <row r="3287" spans="1:3" x14ac:dyDescent="0.25">
      <c r="A3287" s="159">
        <v>614024</v>
      </c>
      <c r="B3287" s="159">
        <v>1</v>
      </c>
      <c r="C3287" s="158" t="str">
        <f t="shared" si="52"/>
        <v>1</v>
      </c>
    </row>
    <row r="3288" spans="1:3" x14ac:dyDescent="0.25">
      <c r="A3288" s="159">
        <v>614025</v>
      </c>
      <c r="B3288" s="159">
        <v>3</v>
      </c>
      <c r="C3288" s="158" t="str">
        <f t="shared" si="52"/>
        <v>3</v>
      </c>
    </row>
    <row r="3289" spans="1:3" x14ac:dyDescent="0.25">
      <c r="A3289" s="159">
        <v>614026</v>
      </c>
      <c r="B3289" s="159">
        <v>1</v>
      </c>
      <c r="C3289" s="158" t="str">
        <f t="shared" si="52"/>
        <v>1</v>
      </c>
    </row>
    <row r="3290" spans="1:3" x14ac:dyDescent="0.25">
      <c r="A3290" s="159">
        <v>614027</v>
      </c>
      <c r="B3290" s="159">
        <v>1</v>
      </c>
      <c r="C3290" s="158" t="str">
        <f t="shared" si="52"/>
        <v>1</v>
      </c>
    </row>
    <row r="3291" spans="1:3" x14ac:dyDescent="0.25">
      <c r="A3291" s="159">
        <v>614028</v>
      </c>
      <c r="B3291" s="159">
        <v>1</v>
      </c>
      <c r="C3291" s="158" t="str">
        <f t="shared" si="52"/>
        <v>1</v>
      </c>
    </row>
    <row r="3292" spans="1:3" x14ac:dyDescent="0.25">
      <c r="A3292" s="159">
        <v>614029</v>
      </c>
      <c r="B3292" s="159">
        <v>1</v>
      </c>
      <c r="C3292" s="158" t="str">
        <f t="shared" si="52"/>
        <v>1</v>
      </c>
    </row>
    <row r="3293" spans="1:3" x14ac:dyDescent="0.25">
      <c r="A3293" s="159">
        <v>614030</v>
      </c>
      <c r="B3293" s="159">
        <v>1</v>
      </c>
      <c r="C3293" s="158" t="str">
        <f t="shared" si="52"/>
        <v>1</v>
      </c>
    </row>
    <row r="3294" spans="1:3" x14ac:dyDescent="0.25">
      <c r="A3294" s="159">
        <v>614031</v>
      </c>
      <c r="B3294" s="159">
        <v>6</v>
      </c>
      <c r="C3294" s="158">
        <f t="shared" si="52"/>
        <v>6</v>
      </c>
    </row>
    <row r="3295" spans="1:3" x14ac:dyDescent="0.25">
      <c r="A3295" s="159">
        <v>614032</v>
      </c>
      <c r="B3295" s="159">
        <v>1</v>
      </c>
      <c r="C3295" s="158" t="str">
        <f t="shared" si="52"/>
        <v>1</v>
      </c>
    </row>
    <row r="3296" spans="1:3" x14ac:dyDescent="0.25">
      <c r="A3296" s="159">
        <v>614033</v>
      </c>
      <c r="B3296" s="159">
        <v>1</v>
      </c>
      <c r="C3296" s="158" t="str">
        <f t="shared" si="52"/>
        <v>1</v>
      </c>
    </row>
    <row r="3297" spans="1:3" x14ac:dyDescent="0.25">
      <c r="A3297" s="159">
        <v>614034</v>
      </c>
      <c r="B3297" s="159">
        <v>1</v>
      </c>
      <c r="C3297" s="158" t="str">
        <f t="shared" si="52"/>
        <v>1</v>
      </c>
    </row>
    <row r="3298" spans="1:3" x14ac:dyDescent="0.25">
      <c r="A3298" s="159">
        <v>614035</v>
      </c>
      <c r="B3298" s="159" t="s">
        <v>437</v>
      </c>
      <c r="C3298" s="158" t="str">
        <f t="shared" si="52"/>
        <v>1S</v>
      </c>
    </row>
    <row r="3299" spans="1:3" x14ac:dyDescent="0.25">
      <c r="A3299" s="159">
        <v>614036</v>
      </c>
      <c r="B3299" s="159">
        <v>1</v>
      </c>
      <c r="C3299" s="158" t="str">
        <f t="shared" si="52"/>
        <v>1</v>
      </c>
    </row>
    <row r="3300" spans="1:3" x14ac:dyDescent="0.25">
      <c r="A3300" s="159">
        <v>614037</v>
      </c>
      <c r="B3300" s="159">
        <v>1</v>
      </c>
      <c r="C3300" s="158" t="str">
        <f t="shared" si="52"/>
        <v>1</v>
      </c>
    </row>
    <row r="3301" spans="1:3" x14ac:dyDescent="0.25">
      <c r="A3301" s="159">
        <v>614038</v>
      </c>
      <c r="B3301" s="159" t="s">
        <v>438</v>
      </c>
      <c r="C3301" s="158" t="str">
        <f t="shared" si="52"/>
        <v>2S</v>
      </c>
    </row>
    <row r="3302" spans="1:3" x14ac:dyDescent="0.25">
      <c r="A3302" s="159">
        <v>614039</v>
      </c>
      <c r="B3302" s="159" t="s">
        <v>437</v>
      </c>
      <c r="C3302" s="158" t="str">
        <f t="shared" si="52"/>
        <v>1S</v>
      </c>
    </row>
    <row r="3303" spans="1:3" x14ac:dyDescent="0.25">
      <c r="A3303" s="159">
        <v>614040</v>
      </c>
      <c r="B3303" s="159">
        <v>1</v>
      </c>
      <c r="C3303" s="158" t="str">
        <f t="shared" si="52"/>
        <v>1</v>
      </c>
    </row>
    <row r="3304" spans="1:3" x14ac:dyDescent="0.25">
      <c r="A3304" s="159">
        <v>614041</v>
      </c>
      <c r="B3304" s="159">
        <v>1</v>
      </c>
      <c r="C3304" s="158" t="str">
        <f t="shared" si="52"/>
        <v>1</v>
      </c>
    </row>
    <row r="3305" spans="1:3" x14ac:dyDescent="0.25">
      <c r="A3305" s="159">
        <v>614042</v>
      </c>
      <c r="B3305" s="159" t="s">
        <v>437</v>
      </c>
      <c r="C3305" s="158" t="str">
        <f t="shared" si="52"/>
        <v>1S</v>
      </c>
    </row>
    <row r="3306" spans="1:3" x14ac:dyDescent="0.25">
      <c r="A3306" s="159">
        <v>614044</v>
      </c>
      <c r="B3306" s="159">
        <v>1</v>
      </c>
      <c r="C3306" s="158" t="str">
        <f t="shared" si="52"/>
        <v>1</v>
      </c>
    </row>
    <row r="3307" spans="1:3" x14ac:dyDescent="0.25">
      <c r="A3307" s="159">
        <v>614045</v>
      </c>
      <c r="B3307" s="159">
        <v>1</v>
      </c>
      <c r="C3307" s="158" t="str">
        <f t="shared" si="52"/>
        <v>1</v>
      </c>
    </row>
    <row r="3308" spans="1:3" x14ac:dyDescent="0.25">
      <c r="A3308" s="159">
        <v>614056</v>
      </c>
      <c r="B3308" s="159">
        <v>1</v>
      </c>
      <c r="C3308" s="158" t="str">
        <f t="shared" si="52"/>
        <v>1</v>
      </c>
    </row>
    <row r="3309" spans="1:3" x14ac:dyDescent="0.25">
      <c r="A3309" s="159">
        <v>614057</v>
      </c>
      <c r="B3309" s="159">
        <v>1</v>
      </c>
      <c r="C3309" s="158" t="str">
        <f t="shared" si="52"/>
        <v>1</v>
      </c>
    </row>
    <row r="3310" spans="1:3" x14ac:dyDescent="0.25">
      <c r="A3310" s="159">
        <v>614058</v>
      </c>
      <c r="B3310" s="159">
        <v>1</v>
      </c>
      <c r="C3310" s="158" t="str">
        <f t="shared" si="52"/>
        <v>1</v>
      </c>
    </row>
    <row r="3311" spans="1:3" x14ac:dyDescent="0.25">
      <c r="A3311" s="159">
        <v>614059</v>
      </c>
      <c r="B3311" s="159">
        <v>1</v>
      </c>
      <c r="C3311" s="158" t="str">
        <f t="shared" si="52"/>
        <v>1</v>
      </c>
    </row>
    <row r="3312" spans="1:3" x14ac:dyDescent="0.25">
      <c r="A3312" s="159">
        <v>614078</v>
      </c>
      <c r="B3312" s="159" t="s">
        <v>454</v>
      </c>
      <c r="C3312" s="158" t="str">
        <f t="shared" si="52"/>
        <v>6S</v>
      </c>
    </row>
    <row r="3313" spans="1:3" x14ac:dyDescent="0.25">
      <c r="A3313" s="159">
        <v>614079</v>
      </c>
      <c r="B3313" s="159">
        <v>3</v>
      </c>
      <c r="C3313" s="158" t="str">
        <f t="shared" si="52"/>
        <v>3</v>
      </c>
    </row>
    <row r="3314" spans="1:3" x14ac:dyDescent="0.25">
      <c r="A3314" s="159">
        <v>614080</v>
      </c>
      <c r="B3314" s="159">
        <v>1</v>
      </c>
      <c r="C3314" s="158" t="str">
        <f t="shared" si="52"/>
        <v>1</v>
      </c>
    </row>
    <row r="3315" spans="1:3" x14ac:dyDescent="0.25">
      <c r="A3315" s="159">
        <v>614081</v>
      </c>
      <c r="B3315" s="159">
        <v>1</v>
      </c>
      <c r="C3315" s="158" t="str">
        <f t="shared" si="52"/>
        <v>1</v>
      </c>
    </row>
    <row r="3316" spans="1:3" x14ac:dyDescent="0.25">
      <c r="A3316" s="159">
        <v>614082</v>
      </c>
      <c r="B3316" s="159">
        <v>1</v>
      </c>
      <c r="C3316" s="158" t="str">
        <f t="shared" si="52"/>
        <v>1</v>
      </c>
    </row>
    <row r="3317" spans="1:3" x14ac:dyDescent="0.25">
      <c r="A3317" s="159">
        <v>614083</v>
      </c>
      <c r="B3317" s="159">
        <v>1</v>
      </c>
      <c r="C3317" s="158" t="str">
        <f t="shared" si="52"/>
        <v>1</v>
      </c>
    </row>
    <row r="3318" spans="1:3" x14ac:dyDescent="0.25">
      <c r="A3318" s="159">
        <v>614084</v>
      </c>
      <c r="B3318" s="159" t="s">
        <v>439</v>
      </c>
      <c r="C3318" s="158" t="str">
        <f t="shared" ref="C3318:C3381" si="53">IF(OR(B3318=0,B3318=1,B3318=2,B3318=3,B3318=4,B3318=5),TEXT(B3318,"0"),B3318)</f>
        <v>3S</v>
      </c>
    </row>
    <row r="3319" spans="1:3" x14ac:dyDescent="0.25">
      <c r="A3319" s="159">
        <v>614085</v>
      </c>
      <c r="B3319" s="159">
        <v>3</v>
      </c>
      <c r="C3319" s="158" t="str">
        <f t="shared" si="53"/>
        <v>3</v>
      </c>
    </row>
    <row r="3320" spans="1:3" x14ac:dyDescent="0.25">
      <c r="A3320" s="159">
        <v>614086</v>
      </c>
      <c r="B3320" s="159">
        <v>1</v>
      </c>
      <c r="C3320" s="158" t="str">
        <f t="shared" si="53"/>
        <v>1</v>
      </c>
    </row>
    <row r="3321" spans="1:3" x14ac:dyDescent="0.25">
      <c r="A3321" s="159">
        <v>614087</v>
      </c>
      <c r="B3321" s="159">
        <v>1</v>
      </c>
      <c r="C3321" s="158" t="str">
        <f t="shared" si="53"/>
        <v>1</v>
      </c>
    </row>
    <row r="3322" spans="1:3" x14ac:dyDescent="0.25">
      <c r="A3322" s="159">
        <v>614088</v>
      </c>
      <c r="B3322" s="159">
        <v>1</v>
      </c>
      <c r="C3322" s="158" t="str">
        <f t="shared" si="53"/>
        <v>1</v>
      </c>
    </row>
    <row r="3323" spans="1:3" x14ac:dyDescent="0.25">
      <c r="A3323" s="159">
        <v>614089</v>
      </c>
      <c r="B3323" s="159">
        <v>1</v>
      </c>
      <c r="C3323" s="158" t="str">
        <f t="shared" si="53"/>
        <v>1</v>
      </c>
    </row>
    <row r="3324" spans="1:3" x14ac:dyDescent="0.25">
      <c r="A3324" s="159">
        <v>614090</v>
      </c>
      <c r="B3324" s="159">
        <v>3</v>
      </c>
      <c r="C3324" s="158" t="str">
        <f t="shared" si="53"/>
        <v>3</v>
      </c>
    </row>
    <row r="3325" spans="1:3" x14ac:dyDescent="0.25">
      <c r="A3325" s="159">
        <v>614091</v>
      </c>
      <c r="B3325" s="159">
        <v>3</v>
      </c>
      <c r="C3325" s="158" t="str">
        <f t="shared" si="53"/>
        <v>3</v>
      </c>
    </row>
    <row r="3326" spans="1:3" x14ac:dyDescent="0.25">
      <c r="A3326" s="159">
        <v>614092</v>
      </c>
      <c r="B3326" s="159">
        <v>1</v>
      </c>
      <c r="C3326" s="158" t="str">
        <f t="shared" si="53"/>
        <v>1</v>
      </c>
    </row>
    <row r="3327" spans="1:3" x14ac:dyDescent="0.25">
      <c r="A3327" s="159">
        <v>614093</v>
      </c>
      <c r="B3327" s="159">
        <v>1</v>
      </c>
      <c r="C3327" s="158" t="str">
        <f t="shared" si="53"/>
        <v>1</v>
      </c>
    </row>
    <row r="3328" spans="1:3" x14ac:dyDescent="0.25">
      <c r="A3328" s="159">
        <v>614094</v>
      </c>
      <c r="B3328" s="159">
        <v>1</v>
      </c>
      <c r="C3328" s="158" t="str">
        <f t="shared" si="53"/>
        <v>1</v>
      </c>
    </row>
    <row r="3329" spans="1:3" x14ac:dyDescent="0.25">
      <c r="A3329" s="159">
        <v>614095</v>
      </c>
      <c r="B3329" s="159">
        <v>1</v>
      </c>
      <c r="C3329" s="158" t="str">
        <f t="shared" si="53"/>
        <v>1</v>
      </c>
    </row>
    <row r="3330" spans="1:3" x14ac:dyDescent="0.25">
      <c r="A3330" s="159">
        <v>614096</v>
      </c>
      <c r="B3330" s="159">
        <v>1</v>
      </c>
      <c r="C3330" s="158" t="str">
        <f t="shared" si="53"/>
        <v>1</v>
      </c>
    </row>
    <row r="3331" spans="1:3" x14ac:dyDescent="0.25">
      <c r="A3331" s="159">
        <v>614097</v>
      </c>
      <c r="B3331" s="159">
        <v>1</v>
      </c>
      <c r="C3331" s="158" t="str">
        <f t="shared" si="53"/>
        <v>1</v>
      </c>
    </row>
    <row r="3332" spans="1:3" x14ac:dyDescent="0.25">
      <c r="A3332" s="159">
        <v>614098</v>
      </c>
      <c r="B3332" s="159">
        <v>1</v>
      </c>
      <c r="C3332" s="158" t="str">
        <f t="shared" si="53"/>
        <v>1</v>
      </c>
    </row>
    <row r="3333" spans="1:3" x14ac:dyDescent="0.25">
      <c r="A3333" s="159">
        <v>614099</v>
      </c>
      <c r="B3333" s="159">
        <v>1</v>
      </c>
      <c r="C3333" s="158" t="str">
        <f t="shared" si="53"/>
        <v>1</v>
      </c>
    </row>
    <row r="3334" spans="1:3" x14ac:dyDescent="0.25">
      <c r="A3334" s="159">
        <v>614100</v>
      </c>
      <c r="B3334" s="159">
        <v>1</v>
      </c>
      <c r="C3334" s="158" t="str">
        <f t="shared" si="53"/>
        <v>1</v>
      </c>
    </row>
    <row r="3335" spans="1:3" x14ac:dyDescent="0.25">
      <c r="A3335" s="159">
        <v>614101</v>
      </c>
      <c r="B3335" s="159">
        <v>1</v>
      </c>
      <c r="C3335" s="158" t="str">
        <f t="shared" si="53"/>
        <v>1</v>
      </c>
    </row>
    <row r="3336" spans="1:3" x14ac:dyDescent="0.25">
      <c r="A3336" s="159">
        <v>614102</v>
      </c>
      <c r="B3336" s="159">
        <v>1</v>
      </c>
      <c r="C3336" s="158" t="str">
        <f t="shared" si="53"/>
        <v>1</v>
      </c>
    </row>
    <row r="3337" spans="1:3" x14ac:dyDescent="0.25">
      <c r="A3337" s="159">
        <v>614103</v>
      </c>
      <c r="B3337" s="159">
        <v>1</v>
      </c>
      <c r="C3337" s="158" t="str">
        <f t="shared" si="53"/>
        <v>1</v>
      </c>
    </row>
    <row r="3338" spans="1:3" x14ac:dyDescent="0.25">
      <c r="A3338" s="159">
        <v>614104</v>
      </c>
      <c r="B3338" s="159">
        <v>1</v>
      </c>
      <c r="C3338" s="158" t="str">
        <f t="shared" si="53"/>
        <v>1</v>
      </c>
    </row>
    <row r="3339" spans="1:3" x14ac:dyDescent="0.25">
      <c r="A3339" s="159">
        <v>614105</v>
      </c>
      <c r="B3339" s="159">
        <v>1</v>
      </c>
      <c r="C3339" s="158" t="str">
        <f t="shared" si="53"/>
        <v>1</v>
      </c>
    </row>
    <row r="3340" spans="1:3" x14ac:dyDescent="0.25">
      <c r="A3340" s="159">
        <v>614116</v>
      </c>
      <c r="B3340" s="159">
        <v>2</v>
      </c>
      <c r="C3340" s="158" t="str">
        <f t="shared" si="53"/>
        <v>2</v>
      </c>
    </row>
    <row r="3341" spans="1:3" x14ac:dyDescent="0.25">
      <c r="A3341" s="159">
        <v>614118</v>
      </c>
      <c r="B3341" s="159">
        <v>1</v>
      </c>
      <c r="C3341" s="158" t="str">
        <f t="shared" si="53"/>
        <v>1</v>
      </c>
    </row>
    <row r="3342" spans="1:3" x14ac:dyDescent="0.25">
      <c r="A3342" s="159">
        <v>614119</v>
      </c>
      <c r="B3342" s="159">
        <v>1</v>
      </c>
      <c r="C3342" s="158" t="str">
        <f t="shared" si="53"/>
        <v>1</v>
      </c>
    </row>
    <row r="3343" spans="1:3" x14ac:dyDescent="0.25">
      <c r="A3343" s="159">
        <v>614120</v>
      </c>
      <c r="B3343" s="159">
        <v>1</v>
      </c>
      <c r="C3343" s="158" t="str">
        <f t="shared" si="53"/>
        <v>1</v>
      </c>
    </row>
    <row r="3344" spans="1:3" x14ac:dyDescent="0.25">
      <c r="A3344" s="159">
        <v>614121</v>
      </c>
      <c r="B3344" s="159">
        <v>1</v>
      </c>
      <c r="C3344" s="158" t="str">
        <f t="shared" si="53"/>
        <v>1</v>
      </c>
    </row>
    <row r="3345" spans="1:3" x14ac:dyDescent="0.25">
      <c r="A3345" s="159">
        <v>614122</v>
      </c>
      <c r="B3345" s="159">
        <v>1</v>
      </c>
      <c r="C3345" s="158" t="str">
        <f t="shared" si="53"/>
        <v>1</v>
      </c>
    </row>
    <row r="3346" spans="1:3" x14ac:dyDescent="0.25">
      <c r="A3346" s="159">
        <v>614123</v>
      </c>
      <c r="B3346" s="159">
        <v>1</v>
      </c>
      <c r="C3346" s="158" t="str">
        <f t="shared" si="53"/>
        <v>1</v>
      </c>
    </row>
    <row r="3347" spans="1:3" x14ac:dyDescent="0.25">
      <c r="A3347" s="159">
        <v>614160</v>
      </c>
      <c r="B3347" s="159">
        <v>4</v>
      </c>
      <c r="C3347" s="158" t="str">
        <f t="shared" si="53"/>
        <v>4</v>
      </c>
    </row>
    <row r="3348" spans="1:3" x14ac:dyDescent="0.25">
      <c r="A3348" s="159">
        <v>614161</v>
      </c>
      <c r="B3348" s="159">
        <v>1</v>
      </c>
      <c r="C3348" s="158" t="str">
        <f t="shared" si="53"/>
        <v>1</v>
      </c>
    </row>
    <row r="3349" spans="1:3" x14ac:dyDescent="0.25">
      <c r="A3349" s="159">
        <v>614162</v>
      </c>
      <c r="B3349" s="159">
        <v>1</v>
      </c>
      <c r="C3349" s="158" t="str">
        <f t="shared" si="53"/>
        <v>1</v>
      </c>
    </row>
    <row r="3350" spans="1:3" x14ac:dyDescent="0.25">
      <c r="A3350" s="159">
        <v>614163</v>
      </c>
      <c r="B3350" s="159">
        <v>1</v>
      </c>
      <c r="C3350" s="158" t="str">
        <f t="shared" si="53"/>
        <v>1</v>
      </c>
    </row>
    <row r="3351" spans="1:3" x14ac:dyDescent="0.25">
      <c r="A3351" s="159">
        <v>614164</v>
      </c>
      <c r="B3351" s="159">
        <v>1</v>
      </c>
      <c r="C3351" s="158" t="str">
        <f t="shared" si="53"/>
        <v>1</v>
      </c>
    </row>
    <row r="3352" spans="1:3" x14ac:dyDescent="0.25">
      <c r="A3352" s="159">
        <v>614165</v>
      </c>
      <c r="B3352" s="159">
        <v>1</v>
      </c>
      <c r="C3352" s="158" t="str">
        <f t="shared" si="53"/>
        <v>1</v>
      </c>
    </row>
    <row r="3353" spans="1:3" x14ac:dyDescent="0.25">
      <c r="A3353" s="159">
        <v>614170</v>
      </c>
      <c r="B3353" s="159">
        <v>3</v>
      </c>
      <c r="C3353" s="158" t="str">
        <f t="shared" si="53"/>
        <v>3</v>
      </c>
    </row>
    <row r="3354" spans="1:3" x14ac:dyDescent="0.25">
      <c r="A3354" s="159">
        <v>614172</v>
      </c>
      <c r="B3354" s="159">
        <v>1</v>
      </c>
      <c r="C3354" s="158" t="str">
        <f t="shared" si="53"/>
        <v>1</v>
      </c>
    </row>
    <row r="3355" spans="1:3" x14ac:dyDescent="0.25">
      <c r="A3355" s="159">
        <v>614173</v>
      </c>
      <c r="B3355" s="159">
        <v>1</v>
      </c>
      <c r="C3355" s="158" t="str">
        <f t="shared" si="53"/>
        <v>1</v>
      </c>
    </row>
    <row r="3356" spans="1:3" x14ac:dyDescent="0.25">
      <c r="A3356" s="159">
        <v>614174</v>
      </c>
      <c r="B3356" s="159">
        <v>1</v>
      </c>
      <c r="C3356" s="158" t="str">
        <f t="shared" si="53"/>
        <v>1</v>
      </c>
    </row>
    <row r="3357" spans="1:3" x14ac:dyDescent="0.25">
      <c r="A3357" s="159">
        <v>614175</v>
      </c>
      <c r="B3357" s="159">
        <v>1</v>
      </c>
      <c r="C3357" s="158" t="str">
        <f t="shared" si="53"/>
        <v>1</v>
      </c>
    </row>
    <row r="3358" spans="1:3" x14ac:dyDescent="0.25">
      <c r="A3358" s="159">
        <v>614176</v>
      </c>
      <c r="B3358" s="159">
        <v>4</v>
      </c>
      <c r="C3358" s="158" t="str">
        <f t="shared" si="53"/>
        <v>4</v>
      </c>
    </row>
    <row r="3359" spans="1:3" x14ac:dyDescent="0.25">
      <c r="A3359" s="159">
        <v>614178</v>
      </c>
      <c r="B3359" s="159">
        <v>1</v>
      </c>
      <c r="C3359" s="158" t="str">
        <f t="shared" si="53"/>
        <v>1</v>
      </c>
    </row>
    <row r="3360" spans="1:3" x14ac:dyDescent="0.25">
      <c r="A3360" s="159">
        <v>614179</v>
      </c>
      <c r="B3360" s="159">
        <v>1</v>
      </c>
      <c r="C3360" s="158" t="str">
        <f t="shared" si="53"/>
        <v>1</v>
      </c>
    </row>
    <row r="3361" spans="1:3" x14ac:dyDescent="0.25">
      <c r="A3361" s="159">
        <v>614180</v>
      </c>
      <c r="B3361" s="159">
        <v>1</v>
      </c>
      <c r="C3361" s="158" t="str">
        <f t="shared" si="53"/>
        <v>1</v>
      </c>
    </row>
    <row r="3362" spans="1:3" x14ac:dyDescent="0.25">
      <c r="A3362" s="159">
        <v>614181</v>
      </c>
      <c r="B3362" s="159">
        <v>1</v>
      </c>
      <c r="C3362" s="158" t="str">
        <f t="shared" si="53"/>
        <v>1</v>
      </c>
    </row>
    <row r="3363" spans="1:3" x14ac:dyDescent="0.25">
      <c r="A3363" s="159">
        <v>614201</v>
      </c>
      <c r="B3363" s="159">
        <v>4</v>
      </c>
      <c r="C3363" s="158" t="str">
        <f t="shared" si="53"/>
        <v>4</v>
      </c>
    </row>
    <row r="3364" spans="1:3" x14ac:dyDescent="0.25">
      <c r="A3364" s="159">
        <v>614202</v>
      </c>
      <c r="B3364" s="159">
        <v>1</v>
      </c>
      <c r="C3364" s="158" t="str">
        <f t="shared" si="53"/>
        <v>1</v>
      </c>
    </row>
    <row r="3365" spans="1:3" x14ac:dyDescent="0.25">
      <c r="A3365" s="159">
        <v>614203</v>
      </c>
      <c r="B3365" s="159">
        <v>1</v>
      </c>
      <c r="C3365" s="158" t="str">
        <f t="shared" si="53"/>
        <v>1</v>
      </c>
    </row>
    <row r="3366" spans="1:3" x14ac:dyDescent="0.25">
      <c r="A3366" s="159">
        <v>614204</v>
      </c>
      <c r="B3366" s="159">
        <v>1</v>
      </c>
      <c r="C3366" s="158" t="str">
        <f t="shared" si="53"/>
        <v>1</v>
      </c>
    </row>
    <row r="3367" spans="1:3" x14ac:dyDescent="0.25">
      <c r="A3367" s="159">
        <v>614210</v>
      </c>
      <c r="B3367" s="159">
        <v>5</v>
      </c>
      <c r="C3367" s="158" t="str">
        <f t="shared" si="53"/>
        <v>5</v>
      </c>
    </row>
    <row r="3368" spans="1:3" x14ac:dyDescent="0.25">
      <c r="A3368" s="159">
        <v>614211</v>
      </c>
      <c r="B3368" s="159">
        <v>1</v>
      </c>
      <c r="C3368" s="158" t="str">
        <f t="shared" si="53"/>
        <v>1</v>
      </c>
    </row>
    <row r="3369" spans="1:3" x14ac:dyDescent="0.25">
      <c r="A3369" s="159">
        <v>614212</v>
      </c>
      <c r="B3369" s="159">
        <v>1</v>
      </c>
      <c r="C3369" s="158" t="str">
        <f t="shared" si="53"/>
        <v>1</v>
      </c>
    </row>
    <row r="3370" spans="1:3" x14ac:dyDescent="0.25">
      <c r="A3370" s="159">
        <v>614213</v>
      </c>
      <c r="B3370" s="159">
        <v>5</v>
      </c>
      <c r="C3370" s="158" t="str">
        <f t="shared" si="53"/>
        <v>5</v>
      </c>
    </row>
    <row r="3371" spans="1:3" x14ac:dyDescent="0.25">
      <c r="A3371" s="159">
        <v>614215</v>
      </c>
      <c r="B3371" s="159">
        <v>1</v>
      </c>
      <c r="C3371" s="158" t="str">
        <f t="shared" si="53"/>
        <v>1</v>
      </c>
    </row>
    <row r="3372" spans="1:3" x14ac:dyDescent="0.25">
      <c r="A3372" s="159">
        <v>614216</v>
      </c>
      <c r="B3372" s="159">
        <v>1</v>
      </c>
      <c r="C3372" s="158" t="str">
        <f t="shared" si="53"/>
        <v>1</v>
      </c>
    </row>
    <row r="3373" spans="1:3" x14ac:dyDescent="0.25">
      <c r="A3373" s="159">
        <v>614218</v>
      </c>
      <c r="B3373" s="159">
        <v>3</v>
      </c>
      <c r="C3373" s="158" t="str">
        <f t="shared" si="53"/>
        <v>3</v>
      </c>
    </row>
    <row r="3374" spans="1:3" x14ac:dyDescent="0.25">
      <c r="A3374" s="159">
        <v>614219</v>
      </c>
      <c r="B3374" s="159">
        <v>1</v>
      </c>
      <c r="C3374" s="158" t="str">
        <f t="shared" si="53"/>
        <v>1</v>
      </c>
    </row>
    <row r="3375" spans="1:3" x14ac:dyDescent="0.25">
      <c r="A3375" s="159">
        <v>614220</v>
      </c>
      <c r="B3375" s="159">
        <v>1</v>
      </c>
      <c r="C3375" s="158" t="str">
        <f t="shared" si="53"/>
        <v>1</v>
      </c>
    </row>
    <row r="3376" spans="1:3" x14ac:dyDescent="0.25">
      <c r="A3376" s="159">
        <v>614221</v>
      </c>
      <c r="B3376" s="159">
        <v>1</v>
      </c>
      <c r="C3376" s="158" t="str">
        <f t="shared" si="53"/>
        <v>1</v>
      </c>
    </row>
    <row r="3377" spans="1:3" x14ac:dyDescent="0.25">
      <c r="A3377" s="159">
        <v>614222</v>
      </c>
      <c r="B3377" s="159">
        <v>1</v>
      </c>
      <c r="C3377" s="158" t="str">
        <f t="shared" si="53"/>
        <v>1</v>
      </c>
    </row>
    <row r="3378" spans="1:3" x14ac:dyDescent="0.25">
      <c r="A3378" s="159">
        <v>614223</v>
      </c>
      <c r="B3378" s="159">
        <v>1</v>
      </c>
      <c r="C3378" s="158" t="str">
        <f t="shared" si="53"/>
        <v>1</v>
      </c>
    </row>
    <row r="3379" spans="1:3" x14ac:dyDescent="0.25">
      <c r="A3379" s="159">
        <v>614250</v>
      </c>
      <c r="B3379" s="159">
        <v>3</v>
      </c>
      <c r="C3379" s="158" t="str">
        <f t="shared" si="53"/>
        <v>3</v>
      </c>
    </row>
    <row r="3380" spans="1:3" x14ac:dyDescent="0.25">
      <c r="A3380" s="159">
        <v>614251</v>
      </c>
      <c r="B3380" s="159">
        <v>1</v>
      </c>
      <c r="C3380" s="158" t="str">
        <f t="shared" si="53"/>
        <v>1</v>
      </c>
    </row>
    <row r="3381" spans="1:3" x14ac:dyDescent="0.25">
      <c r="A3381" s="159">
        <v>614252</v>
      </c>
      <c r="B3381" s="159">
        <v>1</v>
      </c>
      <c r="C3381" s="158" t="str">
        <f t="shared" si="53"/>
        <v>1</v>
      </c>
    </row>
    <row r="3382" spans="1:3" x14ac:dyDescent="0.25">
      <c r="A3382" s="159">
        <v>614253</v>
      </c>
      <c r="B3382" s="159">
        <v>1</v>
      </c>
      <c r="C3382" s="158" t="str">
        <f t="shared" ref="C3382:C3445" si="54">IF(OR(B3382=0,B3382=1,B3382=2,B3382=3,B3382=4,B3382=5),TEXT(B3382,"0"),B3382)</f>
        <v>1</v>
      </c>
    </row>
    <row r="3383" spans="1:3" x14ac:dyDescent="0.25">
      <c r="A3383" s="159">
        <v>614281</v>
      </c>
      <c r="B3383" s="159">
        <v>2</v>
      </c>
      <c r="C3383" s="158" t="str">
        <f t="shared" si="54"/>
        <v>2</v>
      </c>
    </row>
    <row r="3384" spans="1:3" x14ac:dyDescent="0.25">
      <c r="A3384" s="159">
        <v>614282</v>
      </c>
      <c r="B3384" s="159">
        <v>1</v>
      </c>
      <c r="C3384" s="158" t="str">
        <f t="shared" si="54"/>
        <v>1</v>
      </c>
    </row>
    <row r="3385" spans="1:3" x14ac:dyDescent="0.25">
      <c r="A3385" s="159">
        <v>614283</v>
      </c>
      <c r="B3385" s="159">
        <v>1</v>
      </c>
      <c r="C3385" s="158" t="str">
        <f t="shared" si="54"/>
        <v>1</v>
      </c>
    </row>
    <row r="3386" spans="1:3" x14ac:dyDescent="0.25">
      <c r="A3386" s="159">
        <v>614284</v>
      </c>
      <c r="B3386" s="159">
        <v>1</v>
      </c>
      <c r="C3386" s="158" t="str">
        <f t="shared" si="54"/>
        <v>1</v>
      </c>
    </row>
    <row r="3387" spans="1:3" x14ac:dyDescent="0.25">
      <c r="A3387" s="159">
        <v>614285</v>
      </c>
      <c r="B3387" s="159">
        <v>6</v>
      </c>
      <c r="C3387" s="158">
        <f t="shared" si="54"/>
        <v>6</v>
      </c>
    </row>
    <row r="3388" spans="1:3" x14ac:dyDescent="0.25">
      <c r="A3388" s="159">
        <v>614286</v>
      </c>
      <c r="B3388" s="159">
        <v>1</v>
      </c>
      <c r="C3388" s="158" t="str">
        <f t="shared" si="54"/>
        <v>1</v>
      </c>
    </row>
    <row r="3389" spans="1:3" x14ac:dyDescent="0.25">
      <c r="A3389" s="159">
        <v>614287</v>
      </c>
      <c r="B3389" s="159">
        <v>1</v>
      </c>
      <c r="C3389" s="158" t="str">
        <f t="shared" si="54"/>
        <v>1</v>
      </c>
    </row>
    <row r="3390" spans="1:3" x14ac:dyDescent="0.25">
      <c r="A3390" s="159">
        <v>614288</v>
      </c>
      <c r="B3390" s="159">
        <v>1</v>
      </c>
      <c r="C3390" s="158" t="str">
        <f t="shared" si="54"/>
        <v>1</v>
      </c>
    </row>
    <row r="3391" spans="1:3" x14ac:dyDescent="0.25">
      <c r="A3391" s="159">
        <v>614302</v>
      </c>
      <c r="B3391" s="159">
        <v>1</v>
      </c>
      <c r="C3391" s="158" t="str">
        <f t="shared" si="54"/>
        <v>1</v>
      </c>
    </row>
    <row r="3392" spans="1:3" x14ac:dyDescent="0.25">
      <c r="A3392" s="159">
        <v>614303</v>
      </c>
      <c r="B3392" s="159">
        <v>1</v>
      </c>
      <c r="C3392" s="158" t="str">
        <f t="shared" si="54"/>
        <v>1</v>
      </c>
    </row>
    <row r="3393" spans="1:3" x14ac:dyDescent="0.25">
      <c r="A3393" s="159">
        <v>614304</v>
      </c>
      <c r="B3393" s="159">
        <v>1</v>
      </c>
      <c r="C3393" s="158" t="str">
        <f t="shared" si="54"/>
        <v>1</v>
      </c>
    </row>
    <row r="3394" spans="1:3" x14ac:dyDescent="0.25">
      <c r="A3394" s="159">
        <v>614306</v>
      </c>
      <c r="B3394" s="159">
        <v>1</v>
      </c>
      <c r="C3394" s="158" t="str">
        <f t="shared" si="54"/>
        <v>1</v>
      </c>
    </row>
    <row r="3395" spans="1:3" x14ac:dyDescent="0.25">
      <c r="A3395" s="159">
        <v>614307</v>
      </c>
      <c r="B3395" s="159">
        <v>1</v>
      </c>
      <c r="C3395" s="158" t="str">
        <f t="shared" si="54"/>
        <v>1</v>
      </c>
    </row>
    <row r="3396" spans="1:3" x14ac:dyDescent="0.25">
      <c r="A3396" s="159">
        <v>614309</v>
      </c>
      <c r="B3396" s="159">
        <v>2</v>
      </c>
      <c r="C3396" s="158" t="str">
        <f t="shared" si="54"/>
        <v>2</v>
      </c>
    </row>
    <row r="3397" spans="1:3" x14ac:dyDescent="0.25">
      <c r="A3397" s="159">
        <v>614310</v>
      </c>
      <c r="B3397" s="159">
        <v>1</v>
      </c>
      <c r="C3397" s="158" t="str">
        <f t="shared" si="54"/>
        <v>1</v>
      </c>
    </row>
    <row r="3398" spans="1:3" x14ac:dyDescent="0.25">
      <c r="A3398" s="159">
        <v>614311</v>
      </c>
      <c r="B3398" s="159">
        <v>1</v>
      </c>
      <c r="C3398" s="158" t="str">
        <f t="shared" si="54"/>
        <v>1</v>
      </c>
    </row>
    <row r="3399" spans="1:3" x14ac:dyDescent="0.25">
      <c r="A3399" s="159">
        <v>614312</v>
      </c>
      <c r="B3399" s="159">
        <v>1</v>
      </c>
      <c r="C3399" s="158" t="str">
        <f t="shared" si="54"/>
        <v>1</v>
      </c>
    </row>
    <row r="3400" spans="1:3" x14ac:dyDescent="0.25">
      <c r="A3400" s="159">
        <v>614380</v>
      </c>
      <c r="B3400" s="159" t="s">
        <v>440</v>
      </c>
      <c r="C3400" s="158" t="str">
        <f t="shared" si="54"/>
        <v>5S</v>
      </c>
    </row>
    <row r="3401" spans="1:3" x14ac:dyDescent="0.25">
      <c r="A3401" s="159">
        <v>614381</v>
      </c>
      <c r="B3401" s="159" t="s">
        <v>437</v>
      </c>
      <c r="C3401" s="158" t="str">
        <f t="shared" si="54"/>
        <v>1S</v>
      </c>
    </row>
    <row r="3402" spans="1:3" x14ac:dyDescent="0.25">
      <c r="A3402" s="159">
        <v>614382</v>
      </c>
      <c r="B3402" s="159">
        <v>1</v>
      </c>
      <c r="C3402" s="158" t="str">
        <f t="shared" si="54"/>
        <v>1</v>
      </c>
    </row>
    <row r="3403" spans="1:3" x14ac:dyDescent="0.25">
      <c r="A3403" s="159">
        <v>614383</v>
      </c>
      <c r="B3403" s="159">
        <v>1</v>
      </c>
      <c r="C3403" s="158" t="str">
        <f t="shared" si="54"/>
        <v>1</v>
      </c>
    </row>
    <row r="3404" spans="1:3" x14ac:dyDescent="0.25">
      <c r="A3404" s="159">
        <v>614384</v>
      </c>
      <c r="B3404" s="159">
        <v>1</v>
      </c>
      <c r="C3404" s="158" t="str">
        <f t="shared" si="54"/>
        <v>1</v>
      </c>
    </row>
    <row r="3405" spans="1:3" x14ac:dyDescent="0.25">
      <c r="A3405" s="159">
        <v>614385</v>
      </c>
      <c r="B3405" s="159">
        <v>1</v>
      </c>
      <c r="C3405" s="158" t="str">
        <f t="shared" si="54"/>
        <v>1</v>
      </c>
    </row>
    <row r="3406" spans="1:3" x14ac:dyDescent="0.25">
      <c r="A3406" s="159">
        <v>614386</v>
      </c>
      <c r="B3406" s="159" t="s">
        <v>437</v>
      </c>
      <c r="C3406" s="158" t="str">
        <f t="shared" si="54"/>
        <v>1S</v>
      </c>
    </row>
    <row r="3407" spans="1:3" x14ac:dyDescent="0.25">
      <c r="A3407" s="159">
        <v>614387</v>
      </c>
      <c r="B3407" s="159">
        <v>1</v>
      </c>
      <c r="C3407" s="158" t="str">
        <f t="shared" si="54"/>
        <v>1</v>
      </c>
    </row>
    <row r="3408" spans="1:3" x14ac:dyDescent="0.25">
      <c r="A3408" s="159">
        <v>614388</v>
      </c>
      <c r="B3408" s="159">
        <v>1</v>
      </c>
      <c r="C3408" s="158" t="str">
        <f t="shared" si="54"/>
        <v>1</v>
      </c>
    </row>
    <row r="3409" spans="1:3" x14ac:dyDescent="0.25">
      <c r="A3409" s="159">
        <v>614389</v>
      </c>
      <c r="B3409" s="159">
        <v>1</v>
      </c>
      <c r="C3409" s="158" t="str">
        <f t="shared" si="54"/>
        <v>1</v>
      </c>
    </row>
    <row r="3410" spans="1:3" x14ac:dyDescent="0.25">
      <c r="A3410" s="159">
        <v>614390</v>
      </c>
      <c r="B3410" s="159">
        <v>1</v>
      </c>
      <c r="C3410" s="158" t="str">
        <f t="shared" si="54"/>
        <v>1</v>
      </c>
    </row>
    <row r="3411" spans="1:3" x14ac:dyDescent="0.25">
      <c r="A3411" s="159">
        <v>614391</v>
      </c>
      <c r="B3411" s="159">
        <v>1</v>
      </c>
      <c r="C3411" s="158" t="str">
        <f t="shared" si="54"/>
        <v>1</v>
      </c>
    </row>
    <row r="3412" spans="1:3" x14ac:dyDescent="0.25">
      <c r="A3412" s="159">
        <v>614393</v>
      </c>
      <c r="B3412" s="159">
        <v>1</v>
      </c>
      <c r="C3412" s="158" t="str">
        <f t="shared" si="54"/>
        <v>1</v>
      </c>
    </row>
    <row r="3413" spans="1:3" x14ac:dyDescent="0.25">
      <c r="A3413" s="159">
        <v>614394</v>
      </c>
      <c r="B3413" s="159">
        <v>1</v>
      </c>
      <c r="C3413" s="158" t="str">
        <f t="shared" si="54"/>
        <v>1</v>
      </c>
    </row>
    <row r="3414" spans="1:3" x14ac:dyDescent="0.25">
      <c r="A3414" s="159">
        <v>614395</v>
      </c>
      <c r="B3414" s="159">
        <v>1</v>
      </c>
      <c r="C3414" s="158" t="str">
        <f t="shared" si="54"/>
        <v>1</v>
      </c>
    </row>
    <row r="3415" spans="1:3" x14ac:dyDescent="0.25">
      <c r="A3415" s="159">
        <v>614397</v>
      </c>
      <c r="B3415" s="159">
        <v>1</v>
      </c>
      <c r="C3415" s="158" t="str">
        <f t="shared" si="54"/>
        <v>1</v>
      </c>
    </row>
    <row r="3416" spans="1:3" x14ac:dyDescent="0.25">
      <c r="A3416" s="159">
        <v>614398</v>
      </c>
      <c r="B3416" s="159">
        <v>1</v>
      </c>
      <c r="C3416" s="158" t="str">
        <f t="shared" si="54"/>
        <v>1</v>
      </c>
    </row>
    <row r="3417" spans="1:3" x14ac:dyDescent="0.25">
      <c r="A3417" s="159">
        <v>614400</v>
      </c>
      <c r="B3417" s="159">
        <v>1</v>
      </c>
      <c r="C3417" s="158" t="str">
        <f t="shared" si="54"/>
        <v>1</v>
      </c>
    </row>
    <row r="3418" spans="1:3" x14ac:dyDescent="0.25">
      <c r="A3418" s="159">
        <v>614401</v>
      </c>
      <c r="B3418" s="159">
        <v>1</v>
      </c>
      <c r="C3418" s="158" t="str">
        <f t="shared" si="54"/>
        <v>1</v>
      </c>
    </row>
    <row r="3419" spans="1:3" x14ac:dyDescent="0.25">
      <c r="A3419" s="159">
        <v>614420</v>
      </c>
      <c r="B3419" s="159">
        <v>1</v>
      </c>
      <c r="C3419" s="158" t="str">
        <f t="shared" si="54"/>
        <v>1</v>
      </c>
    </row>
    <row r="3420" spans="1:3" x14ac:dyDescent="0.25">
      <c r="A3420" s="159">
        <v>614422</v>
      </c>
      <c r="B3420" s="159">
        <v>1</v>
      </c>
      <c r="C3420" s="158" t="str">
        <f t="shared" si="54"/>
        <v>1</v>
      </c>
    </row>
    <row r="3421" spans="1:3" x14ac:dyDescent="0.25">
      <c r="A3421" s="159">
        <v>614423</v>
      </c>
      <c r="B3421" s="159">
        <v>1</v>
      </c>
      <c r="C3421" s="158" t="str">
        <f t="shared" si="54"/>
        <v>1</v>
      </c>
    </row>
    <row r="3422" spans="1:3" x14ac:dyDescent="0.25">
      <c r="A3422" s="159">
        <v>614424</v>
      </c>
      <c r="B3422" s="159">
        <v>1</v>
      </c>
      <c r="C3422" s="158" t="str">
        <f t="shared" si="54"/>
        <v>1</v>
      </c>
    </row>
    <row r="3423" spans="1:3" x14ac:dyDescent="0.25">
      <c r="A3423" s="159">
        <v>614425</v>
      </c>
      <c r="B3423" s="159">
        <v>1</v>
      </c>
      <c r="C3423" s="158" t="str">
        <f t="shared" si="54"/>
        <v>1</v>
      </c>
    </row>
    <row r="3424" spans="1:3" x14ac:dyDescent="0.25">
      <c r="A3424" s="159">
        <v>614426</v>
      </c>
      <c r="B3424" s="159">
        <v>1</v>
      </c>
      <c r="C3424" s="158" t="str">
        <f t="shared" si="54"/>
        <v>1</v>
      </c>
    </row>
    <row r="3425" spans="1:3" x14ac:dyDescent="0.25">
      <c r="A3425" s="159">
        <v>614427</v>
      </c>
      <c r="B3425" s="159">
        <v>1</v>
      </c>
      <c r="C3425" s="158" t="str">
        <f t="shared" si="54"/>
        <v>1</v>
      </c>
    </row>
    <row r="3426" spans="1:3" x14ac:dyDescent="0.25">
      <c r="A3426" s="159">
        <v>614428</v>
      </c>
      <c r="B3426" s="159">
        <v>1</v>
      </c>
      <c r="C3426" s="158" t="str">
        <f t="shared" si="54"/>
        <v>1</v>
      </c>
    </row>
    <row r="3427" spans="1:3" x14ac:dyDescent="0.25">
      <c r="A3427" s="159">
        <v>614429</v>
      </c>
      <c r="B3427" s="159">
        <v>1</v>
      </c>
      <c r="C3427" s="158" t="str">
        <f t="shared" si="54"/>
        <v>1</v>
      </c>
    </row>
    <row r="3428" spans="1:3" x14ac:dyDescent="0.25">
      <c r="A3428" s="159">
        <v>614430</v>
      </c>
      <c r="B3428" s="159">
        <v>1</v>
      </c>
      <c r="C3428" s="158" t="str">
        <f t="shared" si="54"/>
        <v>1</v>
      </c>
    </row>
    <row r="3429" spans="1:3" x14ac:dyDescent="0.25">
      <c r="A3429" s="159">
        <v>614431</v>
      </c>
      <c r="B3429" s="159">
        <v>1</v>
      </c>
      <c r="C3429" s="158" t="str">
        <f t="shared" si="54"/>
        <v>1</v>
      </c>
    </row>
    <row r="3430" spans="1:3" x14ac:dyDescent="0.25">
      <c r="A3430" s="159">
        <v>614432</v>
      </c>
      <c r="B3430" s="159">
        <v>1</v>
      </c>
      <c r="C3430" s="158" t="str">
        <f t="shared" si="54"/>
        <v>1</v>
      </c>
    </row>
    <row r="3431" spans="1:3" x14ac:dyDescent="0.25">
      <c r="A3431" s="159">
        <v>614500</v>
      </c>
      <c r="B3431" s="159">
        <v>4</v>
      </c>
      <c r="C3431" s="158" t="str">
        <f t="shared" si="54"/>
        <v>4</v>
      </c>
    </row>
    <row r="3432" spans="1:3" x14ac:dyDescent="0.25">
      <c r="A3432" s="159">
        <v>614503</v>
      </c>
      <c r="B3432" s="159">
        <v>1</v>
      </c>
      <c r="C3432" s="158" t="str">
        <f t="shared" si="54"/>
        <v>1</v>
      </c>
    </row>
    <row r="3433" spans="1:3" x14ac:dyDescent="0.25">
      <c r="A3433" s="159">
        <v>614504</v>
      </c>
      <c r="B3433" s="159">
        <v>1</v>
      </c>
      <c r="C3433" s="158" t="str">
        <f t="shared" si="54"/>
        <v>1</v>
      </c>
    </row>
    <row r="3434" spans="1:3" x14ac:dyDescent="0.25">
      <c r="A3434" s="159">
        <v>614505</v>
      </c>
      <c r="B3434" s="159">
        <v>1</v>
      </c>
      <c r="C3434" s="158" t="str">
        <f t="shared" si="54"/>
        <v>1</v>
      </c>
    </row>
    <row r="3435" spans="1:3" x14ac:dyDescent="0.25">
      <c r="A3435" s="159">
        <v>614513</v>
      </c>
      <c r="B3435" s="159">
        <v>4</v>
      </c>
      <c r="C3435" s="158" t="str">
        <f t="shared" si="54"/>
        <v>4</v>
      </c>
    </row>
    <row r="3436" spans="1:3" x14ac:dyDescent="0.25">
      <c r="A3436" s="159">
        <v>614514</v>
      </c>
      <c r="B3436" s="159">
        <v>1</v>
      </c>
      <c r="C3436" s="158" t="str">
        <f t="shared" si="54"/>
        <v>1</v>
      </c>
    </row>
    <row r="3437" spans="1:3" x14ac:dyDescent="0.25">
      <c r="A3437" s="159">
        <v>614515</v>
      </c>
      <c r="B3437" s="159">
        <v>1</v>
      </c>
      <c r="C3437" s="158" t="str">
        <f t="shared" si="54"/>
        <v>1</v>
      </c>
    </row>
    <row r="3438" spans="1:3" x14ac:dyDescent="0.25">
      <c r="A3438" s="159">
        <v>614516</v>
      </c>
      <c r="B3438" s="159">
        <v>1</v>
      </c>
      <c r="C3438" s="158" t="str">
        <f t="shared" si="54"/>
        <v>1</v>
      </c>
    </row>
    <row r="3439" spans="1:3" x14ac:dyDescent="0.25">
      <c r="A3439" s="159">
        <v>614550</v>
      </c>
      <c r="B3439" s="159">
        <v>1</v>
      </c>
      <c r="C3439" s="158" t="str">
        <f t="shared" si="54"/>
        <v>1</v>
      </c>
    </row>
    <row r="3440" spans="1:3" x14ac:dyDescent="0.25">
      <c r="A3440" s="159">
        <v>614551</v>
      </c>
      <c r="B3440" s="159">
        <v>1</v>
      </c>
      <c r="C3440" s="158" t="str">
        <f t="shared" si="54"/>
        <v>1</v>
      </c>
    </row>
    <row r="3441" spans="1:3" x14ac:dyDescent="0.25">
      <c r="A3441" s="159">
        <v>614552</v>
      </c>
      <c r="B3441" s="159">
        <v>1</v>
      </c>
      <c r="C3441" s="158" t="str">
        <f t="shared" si="54"/>
        <v>1</v>
      </c>
    </row>
    <row r="3442" spans="1:3" x14ac:dyDescent="0.25">
      <c r="A3442" s="159">
        <v>614553</v>
      </c>
      <c r="B3442" s="159">
        <v>1</v>
      </c>
      <c r="C3442" s="158" t="str">
        <f t="shared" si="54"/>
        <v>1</v>
      </c>
    </row>
    <row r="3443" spans="1:3" x14ac:dyDescent="0.25">
      <c r="A3443" s="159">
        <v>614554</v>
      </c>
      <c r="B3443" s="159">
        <v>1</v>
      </c>
      <c r="C3443" s="158" t="str">
        <f t="shared" si="54"/>
        <v>1</v>
      </c>
    </row>
    <row r="3444" spans="1:3" x14ac:dyDescent="0.25">
      <c r="A3444" s="159">
        <v>614555</v>
      </c>
      <c r="B3444" s="159">
        <v>1</v>
      </c>
      <c r="C3444" s="158" t="str">
        <f t="shared" si="54"/>
        <v>1</v>
      </c>
    </row>
    <row r="3445" spans="1:3" x14ac:dyDescent="0.25">
      <c r="A3445" s="159">
        <v>614556</v>
      </c>
      <c r="B3445" s="159">
        <v>5</v>
      </c>
      <c r="C3445" s="158" t="str">
        <f t="shared" si="54"/>
        <v>5</v>
      </c>
    </row>
    <row r="3446" spans="1:3" x14ac:dyDescent="0.25">
      <c r="A3446" s="159">
        <v>614557</v>
      </c>
      <c r="B3446" s="159">
        <v>3</v>
      </c>
      <c r="C3446" s="158" t="str">
        <f t="shared" ref="C3446:C3509" si="55">IF(OR(B3446=0,B3446=1,B3446=2,B3446=3,B3446=4,B3446=5),TEXT(B3446,"0"),B3446)</f>
        <v>3</v>
      </c>
    </row>
    <row r="3447" spans="1:3" x14ac:dyDescent="0.25">
      <c r="A3447" s="159">
        <v>614558</v>
      </c>
      <c r="B3447" s="159">
        <v>1</v>
      </c>
      <c r="C3447" s="158" t="str">
        <f t="shared" si="55"/>
        <v>1</v>
      </c>
    </row>
    <row r="3448" spans="1:3" x14ac:dyDescent="0.25">
      <c r="A3448" s="159">
        <v>614559</v>
      </c>
      <c r="B3448" s="159">
        <v>1</v>
      </c>
      <c r="C3448" s="158" t="str">
        <f t="shared" si="55"/>
        <v>1</v>
      </c>
    </row>
    <row r="3449" spans="1:3" x14ac:dyDescent="0.25">
      <c r="A3449" s="159">
        <v>614560</v>
      </c>
      <c r="B3449" s="159">
        <v>1</v>
      </c>
      <c r="C3449" s="158" t="str">
        <f t="shared" si="55"/>
        <v>1</v>
      </c>
    </row>
    <row r="3450" spans="1:3" x14ac:dyDescent="0.25">
      <c r="A3450" s="159">
        <v>614561</v>
      </c>
      <c r="B3450" s="159">
        <v>1</v>
      </c>
      <c r="C3450" s="158" t="str">
        <f t="shared" si="55"/>
        <v>1</v>
      </c>
    </row>
    <row r="3451" spans="1:3" x14ac:dyDescent="0.25">
      <c r="A3451" s="159">
        <v>614562</v>
      </c>
      <c r="B3451" s="159">
        <v>5</v>
      </c>
      <c r="C3451" s="158" t="str">
        <f t="shared" si="55"/>
        <v>5</v>
      </c>
    </row>
    <row r="3452" spans="1:3" x14ac:dyDescent="0.25">
      <c r="A3452" s="159">
        <v>614563</v>
      </c>
      <c r="B3452" s="159">
        <v>1</v>
      </c>
      <c r="C3452" s="158" t="str">
        <f t="shared" si="55"/>
        <v>1</v>
      </c>
    </row>
    <row r="3453" spans="1:3" x14ac:dyDescent="0.25">
      <c r="A3453" s="159">
        <v>614565</v>
      </c>
      <c r="B3453" s="159">
        <v>1</v>
      </c>
      <c r="C3453" s="158" t="str">
        <f t="shared" si="55"/>
        <v>1</v>
      </c>
    </row>
    <row r="3454" spans="1:3" x14ac:dyDescent="0.25">
      <c r="A3454" s="159">
        <v>614566</v>
      </c>
      <c r="B3454" s="159">
        <v>1</v>
      </c>
      <c r="C3454" s="158" t="str">
        <f t="shared" si="55"/>
        <v>1</v>
      </c>
    </row>
    <row r="3455" spans="1:3" x14ac:dyDescent="0.25">
      <c r="A3455" s="159">
        <v>614567</v>
      </c>
      <c r="B3455" s="159">
        <v>1</v>
      </c>
      <c r="C3455" s="158" t="str">
        <f t="shared" si="55"/>
        <v>1</v>
      </c>
    </row>
    <row r="3456" spans="1:3" x14ac:dyDescent="0.25">
      <c r="A3456" s="159">
        <v>614568</v>
      </c>
      <c r="B3456" s="159">
        <v>1</v>
      </c>
      <c r="C3456" s="158" t="str">
        <f t="shared" si="55"/>
        <v>1</v>
      </c>
    </row>
    <row r="3457" spans="1:3" x14ac:dyDescent="0.25">
      <c r="A3457" s="159">
        <v>614574</v>
      </c>
      <c r="B3457" s="159">
        <v>1</v>
      </c>
      <c r="C3457" s="158" t="str">
        <f t="shared" si="55"/>
        <v>1</v>
      </c>
    </row>
    <row r="3458" spans="1:3" x14ac:dyDescent="0.25">
      <c r="A3458" s="159">
        <v>614575</v>
      </c>
      <c r="B3458" s="159">
        <v>1</v>
      </c>
      <c r="C3458" s="158" t="str">
        <f t="shared" si="55"/>
        <v>1</v>
      </c>
    </row>
    <row r="3459" spans="1:3" x14ac:dyDescent="0.25">
      <c r="A3459" s="159">
        <v>614576</v>
      </c>
      <c r="B3459" s="159">
        <v>1</v>
      </c>
      <c r="C3459" s="158" t="str">
        <f t="shared" si="55"/>
        <v>1</v>
      </c>
    </row>
    <row r="3460" spans="1:3" x14ac:dyDescent="0.25">
      <c r="A3460" s="159">
        <v>614577</v>
      </c>
      <c r="B3460" s="159">
        <v>1</v>
      </c>
      <c r="C3460" s="158" t="str">
        <f t="shared" si="55"/>
        <v>1</v>
      </c>
    </row>
    <row r="3461" spans="1:3" x14ac:dyDescent="0.25">
      <c r="A3461" s="159">
        <v>614578</v>
      </c>
      <c r="B3461" s="159">
        <v>1</v>
      </c>
      <c r="C3461" s="158" t="str">
        <f t="shared" si="55"/>
        <v>1</v>
      </c>
    </row>
    <row r="3462" spans="1:3" x14ac:dyDescent="0.25">
      <c r="A3462" s="159">
        <v>614579</v>
      </c>
      <c r="B3462" s="159">
        <v>1</v>
      </c>
      <c r="C3462" s="158" t="str">
        <f t="shared" si="55"/>
        <v>1</v>
      </c>
    </row>
    <row r="3463" spans="1:3" x14ac:dyDescent="0.25">
      <c r="A3463" s="159">
        <v>614580</v>
      </c>
      <c r="B3463" s="159">
        <v>1</v>
      </c>
      <c r="C3463" s="158" t="str">
        <f t="shared" si="55"/>
        <v>1</v>
      </c>
    </row>
    <row r="3464" spans="1:3" x14ac:dyDescent="0.25">
      <c r="A3464" s="159">
        <v>614581</v>
      </c>
      <c r="B3464" s="159">
        <v>1</v>
      </c>
      <c r="C3464" s="158" t="str">
        <f t="shared" si="55"/>
        <v>1</v>
      </c>
    </row>
    <row r="3465" spans="1:3" x14ac:dyDescent="0.25">
      <c r="A3465" s="159">
        <v>614582</v>
      </c>
      <c r="B3465" s="159">
        <v>1</v>
      </c>
      <c r="C3465" s="158" t="str">
        <f t="shared" si="55"/>
        <v>1</v>
      </c>
    </row>
    <row r="3466" spans="1:3" x14ac:dyDescent="0.25">
      <c r="A3466" s="159">
        <v>614583</v>
      </c>
      <c r="B3466" s="159">
        <v>1</v>
      </c>
      <c r="C3466" s="158" t="str">
        <f t="shared" si="55"/>
        <v>1</v>
      </c>
    </row>
    <row r="3467" spans="1:3" x14ac:dyDescent="0.25">
      <c r="A3467" s="159">
        <v>614584</v>
      </c>
      <c r="B3467" s="159">
        <v>1</v>
      </c>
      <c r="C3467" s="158" t="str">
        <f t="shared" si="55"/>
        <v>1</v>
      </c>
    </row>
    <row r="3468" spans="1:3" x14ac:dyDescent="0.25">
      <c r="A3468" s="159">
        <v>614585</v>
      </c>
      <c r="B3468" s="159">
        <v>1</v>
      </c>
      <c r="C3468" s="158" t="str">
        <f t="shared" si="55"/>
        <v>1</v>
      </c>
    </row>
    <row r="3469" spans="1:3" x14ac:dyDescent="0.25">
      <c r="A3469" s="159">
        <v>614648</v>
      </c>
      <c r="B3469" s="159">
        <v>1</v>
      </c>
      <c r="C3469" s="158" t="str">
        <f t="shared" si="55"/>
        <v>1</v>
      </c>
    </row>
    <row r="3470" spans="1:3" x14ac:dyDescent="0.25">
      <c r="A3470" s="159">
        <v>614649</v>
      </c>
      <c r="B3470" s="159">
        <v>1</v>
      </c>
      <c r="C3470" s="158" t="str">
        <f t="shared" si="55"/>
        <v>1</v>
      </c>
    </row>
    <row r="3471" spans="1:3" x14ac:dyDescent="0.25">
      <c r="A3471" s="159">
        <v>614650</v>
      </c>
      <c r="B3471" s="159">
        <v>1</v>
      </c>
      <c r="C3471" s="158" t="str">
        <f t="shared" si="55"/>
        <v>1</v>
      </c>
    </row>
    <row r="3472" spans="1:3" x14ac:dyDescent="0.25">
      <c r="A3472" s="159">
        <v>614651</v>
      </c>
      <c r="B3472" s="159">
        <v>1</v>
      </c>
      <c r="C3472" s="158" t="str">
        <f t="shared" si="55"/>
        <v>1</v>
      </c>
    </row>
    <row r="3473" spans="1:3" x14ac:dyDescent="0.25">
      <c r="A3473" s="159">
        <v>614670</v>
      </c>
      <c r="B3473" s="159">
        <v>1</v>
      </c>
      <c r="C3473" s="158" t="str">
        <f t="shared" si="55"/>
        <v>1</v>
      </c>
    </row>
    <row r="3474" spans="1:3" x14ac:dyDescent="0.25">
      <c r="A3474" s="159">
        <v>614671</v>
      </c>
      <c r="B3474" s="159">
        <v>1</v>
      </c>
      <c r="C3474" s="158" t="str">
        <f t="shared" si="55"/>
        <v>1</v>
      </c>
    </row>
    <row r="3475" spans="1:3" x14ac:dyDescent="0.25">
      <c r="A3475" s="159">
        <v>614672</v>
      </c>
      <c r="B3475" s="159">
        <v>1</v>
      </c>
      <c r="C3475" s="158" t="str">
        <f t="shared" si="55"/>
        <v>1</v>
      </c>
    </row>
    <row r="3476" spans="1:3" x14ac:dyDescent="0.25">
      <c r="A3476" s="159">
        <v>614673</v>
      </c>
      <c r="B3476" s="159">
        <v>1</v>
      </c>
      <c r="C3476" s="158" t="str">
        <f t="shared" si="55"/>
        <v>1</v>
      </c>
    </row>
    <row r="3477" spans="1:3" x14ac:dyDescent="0.25">
      <c r="A3477" s="159">
        <v>614674</v>
      </c>
      <c r="B3477" s="159">
        <v>1</v>
      </c>
      <c r="C3477" s="158" t="str">
        <f t="shared" si="55"/>
        <v>1</v>
      </c>
    </row>
    <row r="3478" spans="1:3" x14ac:dyDescent="0.25">
      <c r="A3478" s="159">
        <v>614676</v>
      </c>
      <c r="B3478" s="159">
        <v>1</v>
      </c>
      <c r="C3478" s="158" t="str">
        <f t="shared" si="55"/>
        <v>1</v>
      </c>
    </row>
    <row r="3479" spans="1:3" x14ac:dyDescent="0.25">
      <c r="A3479" s="159">
        <v>614677</v>
      </c>
      <c r="B3479" s="159">
        <v>1</v>
      </c>
      <c r="C3479" s="158" t="str">
        <f t="shared" si="55"/>
        <v>1</v>
      </c>
    </row>
    <row r="3480" spans="1:3" x14ac:dyDescent="0.25">
      <c r="A3480" s="159">
        <v>614682</v>
      </c>
      <c r="B3480" s="159" t="s">
        <v>440</v>
      </c>
      <c r="C3480" s="158" t="str">
        <f t="shared" si="55"/>
        <v>5S</v>
      </c>
    </row>
    <row r="3481" spans="1:3" x14ac:dyDescent="0.25">
      <c r="A3481" s="159">
        <v>614683</v>
      </c>
      <c r="B3481" s="159" t="s">
        <v>437</v>
      </c>
      <c r="C3481" s="158" t="str">
        <f t="shared" si="55"/>
        <v>1S</v>
      </c>
    </row>
    <row r="3482" spans="1:3" x14ac:dyDescent="0.25">
      <c r="A3482" s="159">
        <v>614684</v>
      </c>
      <c r="B3482" s="159">
        <v>1</v>
      </c>
      <c r="C3482" s="158" t="str">
        <f t="shared" si="55"/>
        <v>1</v>
      </c>
    </row>
    <row r="3483" spans="1:3" x14ac:dyDescent="0.25">
      <c r="A3483" s="159">
        <v>614685</v>
      </c>
      <c r="B3483" s="159">
        <v>1</v>
      </c>
      <c r="C3483" s="158" t="str">
        <f t="shared" si="55"/>
        <v>1</v>
      </c>
    </row>
    <row r="3484" spans="1:3" x14ac:dyDescent="0.25">
      <c r="A3484" s="159">
        <v>614686</v>
      </c>
      <c r="B3484" s="159">
        <v>1</v>
      </c>
      <c r="C3484" s="158" t="str">
        <f t="shared" si="55"/>
        <v>1</v>
      </c>
    </row>
    <row r="3485" spans="1:3" x14ac:dyDescent="0.25">
      <c r="A3485" s="159">
        <v>614687</v>
      </c>
      <c r="B3485" s="159">
        <v>1</v>
      </c>
      <c r="C3485" s="158" t="str">
        <f t="shared" si="55"/>
        <v>1</v>
      </c>
    </row>
    <row r="3486" spans="1:3" x14ac:dyDescent="0.25">
      <c r="A3486" s="159">
        <v>614688</v>
      </c>
      <c r="B3486" s="159">
        <v>3</v>
      </c>
      <c r="C3486" s="158" t="str">
        <f t="shared" si="55"/>
        <v>3</v>
      </c>
    </row>
    <row r="3487" spans="1:3" x14ac:dyDescent="0.25">
      <c r="A3487" s="159">
        <v>614689</v>
      </c>
      <c r="B3487" s="159">
        <v>1</v>
      </c>
      <c r="C3487" s="158" t="str">
        <f t="shared" si="55"/>
        <v>1</v>
      </c>
    </row>
    <row r="3488" spans="1:3" x14ac:dyDescent="0.25">
      <c r="A3488" s="159">
        <v>614690</v>
      </c>
      <c r="B3488" s="159">
        <v>1</v>
      </c>
      <c r="C3488" s="158" t="str">
        <f t="shared" si="55"/>
        <v>1</v>
      </c>
    </row>
    <row r="3489" spans="1:3" x14ac:dyDescent="0.25">
      <c r="A3489" s="159">
        <v>614691</v>
      </c>
      <c r="B3489" s="159">
        <v>1</v>
      </c>
      <c r="C3489" s="158" t="str">
        <f t="shared" si="55"/>
        <v>1</v>
      </c>
    </row>
    <row r="3490" spans="1:3" x14ac:dyDescent="0.25">
      <c r="A3490" s="159">
        <v>614692</v>
      </c>
      <c r="B3490" s="159">
        <v>1</v>
      </c>
      <c r="C3490" s="158" t="str">
        <f t="shared" si="55"/>
        <v>1</v>
      </c>
    </row>
    <row r="3491" spans="1:3" x14ac:dyDescent="0.25">
      <c r="A3491" s="159">
        <v>614693</v>
      </c>
      <c r="B3491" s="159">
        <v>1</v>
      </c>
      <c r="C3491" s="158" t="str">
        <f t="shared" si="55"/>
        <v>1</v>
      </c>
    </row>
    <row r="3492" spans="1:3" x14ac:dyDescent="0.25">
      <c r="A3492" s="159">
        <v>614694</v>
      </c>
      <c r="B3492" s="159">
        <v>1</v>
      </c>
      <c r="C3492" s="158" t="str">
        <f t="shared" si="55"/>
        <v>1</v>
      </c>
    </row>
    <row r="3493" spans="1:3" x14ac:dyDescent="0.25">
      <c r="A3493" s="159">
        <v>614695</v>
      </c>
      <c r="B3493" s="159">
        <v>1</v>
      </c>
      <c r="C3493" s="158" t="str">
        <f t="shared" si="55"/>
        <v>1</v>
      </c>
    </row>
    <row r="3494" spans="1:3" x14ac:dyDescent="0.25">
      <c r="A3494" s="159">
        <v>614696</v>
      </c>
      <c r="B3494" s="159">
        <v>1</v>
      </c>
      <c r="C3494" s="158" t="str">
        <f t="shared" si="55"/>
        <v>1</v>
      </c>
    </row>
    <row r="3495" spans="1:3" x14ac:dyDescent="0.25">
      <c r="A3495" s="159">
        <v>614697</v>
      </c>
      <c r="B3495" s="159">
        <v>1</v>
      </c>
      <c r="C3495" s="158" t="str">
        <f t="shared" si="55"/>
        <v>1</v>
      </c>
    </row>
    <row r="3496" spans="1:3" x14ac:dyDescent="0.25">
      <c r="A3496" s="159">
        <v>614698</v>
      </c>
      <c r="B3496" s="159">
        <v>1</v>
      </c>
      <c r="C3496" s="158" t="str">
        <f t="shared" si="55"/>
        <v>1</v>
      </c>
    </row>
    <row r="3497" spans="1:3" x14ac:dyDescent="0.25">
      <c r="A3497" s="159">
        <v>614699</v>
      </c>
      <c r="B3497" s="159">
        <v>1</v>
      </c>
      <c r="C3497" s="158" t="str">
        <f t="shared" si="55"/>
        <v>1</v>
      </c>
    </row>
    <row r="3498" spans="1:3" x14ac:dyDescent="0.25">
      <c r="A3498" s="159">
        <v>614707</v>
      </c>
      <c r="B3498" s="159">
        <v>1</v>
      </c>
      <c r="C3498" s="158" t="str">
        <f t="shared" si="55"/>
        <v>1</v>
      </c>
    </row>
    <row r="3499" spans="1:3" x14ac:dyDescent="0.25">
      <c r="A3499" s="159">
        <v>614715</v>
      </c>
      <c r="B3499" s="159">
        <v>1</v>
      </c>
      <c r="C3499" s="158" t="str">
        <f t="shared" si="55"/>
        <v>1</v>
      </c>
    </row>
    <row r="3500" spans="1:3" x14ac:dyDescent="0.25">
      <c r="A3500" s="159">
        <v>614716</v>
      </c>
      <c r="B3500" s="159">
        <v>1</v>
      </c>
      <c r="C3500" s="158" t="str">
        <f t="shared" si="55"/>
        <v>1</v>
      </c>
    </row>
    <row r="3501" spans="1:3" x14ac:dyDescent="0.25">
      <c r="A3501" s="159">
        <v>614717</v>
      </c>
      <c r="B3501" s="159">
        <v>1</v>
      </c>
      <c r="C3501" s="158" t="str">
        <f t="shared" si="55"/>
        <v>1</v>
      </c>
    </row>
    <row r="3502" spans="1:3" x14ac:dyDescent="0.25">
      <c r="A3502" s="159">
        <v>614718</v>
      </c>
      <c r="B3502" s="159">
        <v>1</v>
      </c>
      <c r="C3502" s="158" t="str">
        <f t="shared" si="55"/>
        <v>1</v>
      </c>
    </row>
    <row r="3503" spans="1:3" x14ac:dyDescent="0.25">
      <c r="A3503" s="159">
        <v>614787</v>
      </c>
      <c r="B3503" s="159">
        <v>1</v>
      </c>
      <c r="C3503" s="158" t="str">
        <f t="shared" si="55"/>
        <v>1</v>
      </c>
    </row>
    <row r="3504" spans="1:3" x14ac:dyDescent="0.25">
      <c r="A3504" s="159">
        <v>614788</v>
      </c>
      <c r="B3504" s="159">
        <v>1</v>
      </c>
      <c r="C3504" s="158" t="str">
        <f t="shared" si="55"/>
        <v>1</v>
      </c>
    </row>
    <row r="3505" spans="1:3" x14ac:dyDescent="0.25">
      <c r="A3505" s="159">
        <v>614800</v>
      </c>
      <c r="B3505" s="159">
        <v>1</v>
      </c>
      <c r="C3505" s="158" t="str">
        <f t="shared" si="55"/>
        <v>1</v>
      </c>
    </row>
    <row r="3506" spans="1:3" x14ac:dyDescent="0.25">
      <c r="A3506" s="159">
        <v>614801</v>
      </c>
      <c r="B3506" s="159">
        <v>1</v>
      </c>
      <c r="C3506" s="158" t="str">
        <f t="shared" si="55"/>
        <v>1</v>
      </c>
    </row>
    <row r="3507" spans="1:3" x14ac:dyDescent="0.25">
      <c r="A3507" s="159">
        <v>614802</v>
      </c>
      <c r="B3507" s="159">
        <v>1</v>
      </c>
      <c r="C3507" s="158" t="str">
        <f t="shared" si="55"/>
        <v>1</v>
      </c>
    </row>
    <row r="3508" spans="1:3" x14ac:dyDescent="0.25">
      <c r="A3508" s="159">
        <v>614830</v>
      </c>
      <c r="B3508" s="159">
        <v>3</v>
      </c>
      <c r="C3508" s="158" t="str">
        <f t="shared" si="55"/>
        <v>3</v>
      </c>
    </row>
    <row r="3509" spans="1:3" x14ac:dyDescent="0.25">
      <c r="A3509" s="159">
        <v>614831</v>
      </c>
      <c r="B3509" s="159">
        <v>1</v>
      </c>
      <c r="C3509" s="158" t="str">
        <f t="shared" si="55"/>
        <v>1</v>
      </c>
    </row>
    <row r="3510" spans="1:3" x14ac:dyDescent="0.25">
      <c r="A3510" s="159">
        <v>614832</v>
      </c>
      <c r="B3510" s="159">
        <v>1</v>
      </c>
      <c r="C3510" s="158" t="str">
        <f t="shared" ref="C3510:C3573" si="56">IF(OR(B3510=0,B3510=1,B3510=2,B3510=3,B3510=4,B3510=5),TEXT(B3510,"0"),B3510)</f>
        <v>1</v>
      </c>
    </row>
    <row r="3511" spans="1:3" x14ac:dyDescent="0.25">
      <c r="A3511" s="159">
        <v>614833</v>
      </c>
      <c r="B3511" s="159">
        <v>1</v>
      </c>
      <c r="C3511" s="158" t="str">
        <f t="shared" si="56"/>
        <v>1</v>
      </c>
    </row>
    <row r="3512" spans="1:3" x14ac:dyDescent="0.25">
      <c r="A3512" s="159">
        <v>614834</v>
      </c>
      <c r="B3512" s="159">
        <v>1</v>
      </c>
      <c r="C3512" s="158" t="str">
        <f t="shared" si="56"/>
        <v>1</v>
      </c>
    </row>
    <row r="3513" spans="1:3" x14ac:dyDescent="0.25">
      <c r="A3513" s="159">
        <v>614835</v>
      </c>
      <c r="B3513" s="159">
        <v>1</v>
      </c>
      <c r="C3513" s="158" t="str">
        <f t="shared" si="56"/>
        <v>1</v>
      </c>
    </row>
    <row r="3514" spans="1:3" x14ac:dyDescent="0.25">
      <c r="A3514" s="159">
        <v>614836</v>
      </c>
      <c r="B3514" s="159">
        <v>1</v>
      </c>
      <c r="C3514" s="158" t="str">
        <f t="shared" si="56"/>
        <v>1</v>
      </c>
    </row>
    <row r="3515" spans="1:3" x14ac:dyDescent="0.25">
      <c r="A3515" s="159">
        <v>614837</v>
      </c>
      <c r="B3515" s="159">
        <v>3</v>
      </c>
      <c r="C3515" s="158" t="str">
        <f t="shared" si="56"/>
        <v>3</v>
      </c>
    </row>
    <row r="3516" spans="1:3" x14ac:dyDescent="0.25">
      <c r="A3516" s="159">
        <v>614838</v>
      </c>
      <c r="B3516" s="159">
        <v>1</v>
      </c>
      <c r="C3516" s="158" t="str">
        <f t="shared" si="56"/>
        <v>1</v>
      </c>
    </row>
    <row r="3517" spans="1:3" x14ac:dyDescent="0.25">
      <c r="A3517" s="159">
        <v>614839</v>
      </c>
      <c r="B3517" s="159">
        <v>1</v>
      </c>
      <c r="C3517" s="158" t="str">
        <f t="shared" si="56"/>
        <v>1</v>
      </c>
    </row>
    <row r="3518" spans="1:3" x14ac:dyDescent="0.25">
      <c r="A3518" s="159">
        <v>614840</v>
      </c>
      <c r="B3518" s="159">
        <v>1</v>
      </c>
      <c r="C3518" s="158" t="str">
        <f t="shared" si="56"/>
        <v>1</v>
      </c>
    </row>
    <row r="3519" spans="1:3" x14ac:dyDescent="0.25">
      <c r="A3519" s="159">
        <v>614841</v>
      </c>
      <c r="B3519" s="159">
        <v>1</v>
      </c>
      <c r="C3519" s="158" t="str">
        <f t="shared" si="56"/>
        <v>1</v>
      </c>
    </row>
    <row r="3520" spans="1:3" x14ac:dyDescent="0.25">
      <c r="A3520" s="159">
        <v>614842</v>
      </c>
      <c r="B3520" s="159">
        <v>1</v>
      </c>
      <c r="C3520" s="158" t="str">
        <f t="shared" si="56"/>
        <v>1</v>
      </c>
    </row>
    <row r="3521" spans="1:3" x14ac:dyDescent="0.25">
      <c r="A3521" s="159">
        <v>614843</v>
      </c>
      <c r="B3521" s="159">
        <v>1</v>
      </c>
      <c r="C3521" s="158" t="str">
        <f t="shared" si="56"/>
        <v>1</v>
      </c>
    </row>
    <row r="3522" spans="1:3" x14ac:dyDescent="0.25">
      <c r="A3522" s="159">
        <v>614844</v>
      </c>
      <c r="B3522" s="159">
        <v>3</v>
      </c>
      <c r="C3522" s="158" t="str">
        <f t="shared" si="56"/>
        <v>3</v>
      </c>
    </row>
    <row r="3523" spans="1:3" x14ac:dyDescent="0.25">
      <c r="A3523" s="159">
        <v>614845</v>
      </c>
      <c r="B3523" s="159">
        <v>1</v>
      </c>
      <c r="C3523" s="158" t="str">
        <f t="shared" si="56"/>
        <v>1</v>
      </c>
    </row>
    <row r="3524" spans="1:3" x14ac:dyDescent="0.25">
      <c r="A3524" s="159">
        <v>614846</v>
      </c>
      <c r="B3524" s="159">
        <v>1</v>
      </c>
      <c r="C3524" s="158" t="str">
        <f t="shared" si="56"/>
        <v>1</v>
      </c>
    </row>
    <row r="3525" spans="1:3" x14ac:dyDescent="0.25">
      <c r="A3525" s="159">
        <v>614847</v>
      </c>
      <c r="B3525" s="159">
        <v>1</v>
      </c>
      <c r="C3525" s="158" t="str">
        <f t="shared" si="56"/>
        <v>1</v>
      </c>
    </row>
    <row r="3526" spans="1:3" x14ac:dyDescent="0.25">
      <c r="A3526" s="159">
        <v>614848</v>
      </c>
      <c r="B3526" s="159">
        <v>1</v>
      </c>
      <c r="C3526" s="158" t="str">
        <f t="shared" si="56"/>
        <v>1</v>
      </c>
    </row>
    <row r="3527" spans="1:3" x14ac:dyDescent="0.25">
      <c r="A3527" s="159">
        <v>614849</v>
      </c>
      <c r="B3527" s="159">
        <v>1</v>
      </c>
      <c r="C3527" s="158" t="str">
        <f t="shared" si="56"/>
        <v>1</v>
      </c>
    </row>
    <row r="3528" spans="1:3" x14ac:dyDescent="0.25">
      <c r="A3528" s="159">
        <v>614850</v>
      </c>
      <c r="B3528" s="159">
        <v>1</v>
      </c>
      <c r="C3528" s="158" t="str">
        <f t="shared" si="56"/>
        <v>1</v>
      </c>
    </row>
    <row r="3529" spans="1:3" x14ac:dyDescent="0.25">
      <c r="A3529" s="159">
        <v>614870</v>
      </c>
      <c r="B3529" s="159">
        <v>1</v>
      </c>
      <c r="C3529" s="158" t="str">
        <f t="shared" si="56"/>
        <v>1</v>
      </c>
    </row>
    <row r="3530" spans="1:3" x14ac:dyDescent="0.25">
      <c r="A3530" s="159">
        <v>614871</v>
      </c>
      <c r="B3530" s="159">
        <v>1</v>
      </c>
      <c r="C3530" s="158" t="str">
        <f t="shared" si="56"/>
        <v>1</v>
      </c>
    </row>
    <row r="3531" spans="1:3" x14ac:dyDescent="0.25">
      <c r="A3531" s="159">
        <v>614872</v>
      </c>
      <c r="B3531" s="159">
        <v>1</v>
      </c>
      <c r="C3531" s="158" t="str">
        <f t="shared" si="56"/>
        <v>1</v>
      </c>
    </row>
    <row r="3532" spans="1:3" x14ac:dyDescent="0.25">
      <c r="A3532" s="159">
        <v>614873</v>
      </c>
      <c r="B3532" s="159">
        <v>1</v>
      </c>
      <c r="C3532" s="158" t="str">
        <f t="shared" si="56"/>
        <v>1</v>
      </c>
    </row>
    <row r="3533" spans="1:3" x14ac:dyDescent="0.25">
      <c r="A3533" s="159">
        <v>614874</v>
      </c>
      <c r="B3533" s="159">
        <v>1</v>
      </c>
      <c r="C3533" s="158" t="str">
        <f t="shared" si="56"/>
        <v>1</v>
      </c>
    </row>
    <row r="3534" spans="1:3" x14ac:dyDescent="0.25">
      <c r="A3534" s="159">
        <v>614875</v>
      </c>
      <c r="B3534" s="159">
        <v>1</v>
      </c>
      <c r="C3534" s="158" t="str">
        <f t="shared" si="56"/>
        <v>1</v>
      </c>
    </row>
    <row r="3535" spans="1:3" x14ac:dyDescent="0.25">
      <c r="A3535" s="159">
        <v>614876</v>
      </c>
      <c r="B3535" s="159">
        <v>1</v>
      </c>
      <c r="C3535" s="158" t="str">
        <f t="shared" si="56"/>
        <v>1</v>
      </c>
    </row>
    <row r="3536" spans="1:3" x14ac:dyDescent="0.25">
      <c r="A3536" s="159">
        <v>614877</v>
      </c>
      <c r="B3536" s="159">
        <v>1</v>
      </c>
      <c r="C3536" s="158" t="str">
        <f t="shared" si="56"/>
        <v>1</v>
      </c>
    </row>
    <row r="3537" spans="1:3" x14ac:dyDescent="0.25">
      <c r="A3537" s="159">
        <v>614878</v>
      </c>
      <c r="B3537" s="159">
        <v>1</v>
      </c>
      <c r="C3537" s="158" t="str">
        <f t="shared" si="56"/>
        <v>1</v>
      </c>
    </row>
    <row r="3538" spans="1:3" x14ac:dyDescent="0.25">
      <c r="A3538" s="159">
        <v>614879</v>
      </c>
      <c r="B3538" s="159">
        <v>1</v>
      </c>
      <c r="C3538" s="158" t="str">
        <f t="shared" si="56"/>
        <v>1</v>
      </c>
    </row>
    <row r="3539" spans="1:3" x14ac:dyDescent="0.25">
      <c r="A3539" s="159">
        <v>614880</v>
      </c>
      <c r="B3539" s="159">
        <v>1</v>
      </c>
      <c r="C3539" s="158" t="str">
        <f t="shared" si="56"/>
        <v>1</v>
      </c>
    </row>
    <row r="3540" spans="1:3" x14ac:dyDescent="0.25">
      <c r="A3540" s="159">
        <v>614881</v>
      </c>
      <c r="B3540" s="159">
        <v>1</v>
      </c>
      <c r="C3540" s="158" t="str">
        <f t="shared" si="56"/>
        <v>1</v>
      </c>
    </row>
    <row r="3541" spans="1:3" x14ac:dyDescent="0.25">
      <c r="A3541" s="159">
        <v>614882</v>
      </c>
      <c r="B3541" s="159">
        <v>1</v>
      </c>
      <c r="C3541" s="158" t="str">
        <f t="shared" si="56"/>
        <v>1</v>
      </c>
    </row>
    <row r="3542" spans="1:3" x14ac:dyDescent="0.25">
      <c r="A3542" s="159">
        <v>614883</v>
      </c>
      <c r="B3542" s="159">
        <v>1</v>
      </c>
      <c r="C3542" s="158" t="str">
        <f t="shared" si="56"/>
        <v>1</v>
      </c>
    </row>
    <row r="3543" spans="1:3" x14ac:dyDescent="0.25">
      <c r="A3543" s="159">
        <v>614884</v>
      </c>
      <c r="B3543" s="159">
        <v>1</v>
      </c>
      <c r="C3543" s="158" t="str">
        <f t="shared" si="56"/>
        <v>1</v>
      </c>
    </row>
    <row r="3544" spans="1:3" x14ac:dyDescent="0.25">
      <c r="A3544" s="159">
        <v>614885</v>
      </c>
      <c r="B3544" s="159">
        <v>1</v>
      </c>
      <c r="C3544" s="158" t="str">
        <f t="shared" si="56"/>
        <v>1</v>
      </c>
    </row>
    <row r="3545" spans="1:3" x14ac:dyDescent="0.25">
      <c r="A3545" s="159">
        <v>614895</v>
      </c>
      <c r="B3545" s="159">
        <v>1</v>
      </c>
      <c r="C3545" s="158" t="str">
        <f t="shared" si="56"/>
        <v>1</v>
      </c>
    </row>
    <row r="3546" spans="1:3" x14ac:dyDescent="0.25">
      <c r="A3546" s="159">
        <v>614896</v>
      </c>
      <c r="B3546" s="159">
        <v>1</v>
      </c>
      <c r="C3546" s="158" t="str">
        <f t="shared" si="56"/>
        <v>1</v>
      </c>
    </row>
    <row r="3547" spans="1:3" x14ac:dyDescent="0.25">
      <c r="A3547" s="159">
        <v>614905</v>
      </c>
      <c r="B3547" s="159">
        <v>1</v>
      </c>
      <c r="C3547" s="158" t="str">
        <f t="shared" si="56"/>
        <v>1</v>
      </c>
    </row>
    <row r="3548" spans="1:3" x14ac:dyDescent="0.25">
      <c r="A3548" s="159">
        <v>614930</v>
      </c>
      <c r="B3548" s="159">
        <v>1</v>
      </c>
      <c r="C3548" s="158" t="str">
        <f t="shared" si="56"/>
        <v>1</v>
      </c>
    </row>
    <row r="3549" spans="1:3" x14ac:dyDescent="0.25">
      <c r="A3549" s="159">
        <v>614931</v>
      </c>
      <c r="B3549" s="159">
        <v>1</v>
      </c>
      <c r="C3549" s="158" t="str">
        <f t="shared" si="56"/>
        <v>1</v>
      </c>
    </row>
    <row r="3550" spans="1:3" x14ac:dyDescent="0.25">
      <c r="A3550" s="159">
        <v>614950</v>
      </c>
      <c r="B3550" s="159">
        <v>1</v>
      </c>
      <c r="C3550" s="158" t="str">
        <f t="shared" si="56"/>
        <v>1</v>
      </c>
    </row>
    <row r="3551" spans="1:3" x14ac:dyDescent="0.25">
      <c r="A3551" s="159">
        <v>615010</v>
      </c>
      <c r="B3551" s="159" t="s">
        <v>439</v>
      </c>
      <c r="C3551" s="158" t="str">
        <f t="shared" si="56"/>
        <v>3S</v>
      </c>
    </row>
    <row r="3552" spans="1:3" x14ac:dyDescent="0.25">
      <c r="A3552" s="159">
        <v>615011</v>
      </c>
      <c r="B3552" s="159">
        <v>1</v>
      </c>
      <c r="C3552" s="158" t="str">
        <f t="shared" si="56"/>
        <v>1</v>
      </c>
    </row>
    <row r="3553" spans="1:3" x14ac:dyDescent="0.25">
      <c r="A3553" s="159">
        <v>615012</v>
      </c>
      <c r="B3553" s="159">
        <v>1</v>
      </c>
      <c r="C3553" s="158" t="str">
        <f t="shared" si="56"/>
        <v>1</v>
      </c>
    </row>
    <row r="3554" spans="1:3" x14ac:dyDescent="0.25">
      <c r="A3554" s="159">
        <v>615013</v>
      </c>
      <c r="B3554" s="159">
        <v>1</v>
      </c>
      <c r="C3554" s="158" t="str">
        <f t="shared" si="56"/>
        <v>1</v>
      </c>
    </row>
    <row r="3555" spans="1:3" x14ac:dyDescent="0.25">
      <c r="A3555" s="159">
        <v>615014</v>
      </c>
      <c r="B3555" s="159">
        <v>1</v>
      </c>
      <c r="C3555" s="158" t="str">
        <f t="shared" si="56"/>
        <v>1</v>
      </c>
    </row>
    <row r="3556" spans="1:3" x14ac:dyDescent="0.25">
      <c r="A3556" s="159">
        <v>615015</v>
      </c>
      <c r="B3556" s="159">
        <v>1</v>
      </c>
      <c r="C3556" s="158" t="str">
        <f t="shared" si="56"/>
        <v>1</v>
      </c>
    </row>
    <row r="3557" spans="1:3" x14ac:dyDescent="0.25">
      <c r="A3557" s="159">
        <v>615016</v>
      </c>
      <c r="B3557" s="159">
        <v>3</v>
      </c>
      <c r="C3557" s="158" t="str">
        <f t="shared" si="56"/>
        <v>3</v>
      </c>
    </row>
    <row r="3558" spans="1:3" x14ac:dyDescent="0.25">
      <c r="A3558" s="159">
        <v>615017</v>
      </c>
      <c r="B3558" s="159">
        <v>1</v>
      </c>
      <c r="C3558" s="158" t="str">
        <f t="shared" si="56"/>
        <v>1</v>
      </c>
    </row>
    <row r="3559" spans="1:3" x14ac:dyDescent="0.25">
      <c r="A3559" s="159">
        <v>615019</v>
      </c>
      <c r="B3559" s="159">
        <v>1</v>
      </c>
      <c r="C3559" s="158" t="str">
        <f t="shared" si="56"/>
        <v>1</v>
      </c>
    </row>
    <row r="3560" spans="1:3" x14ac:dyDescent="0.25">
      <c r="A3560" s="159">
        <v>615020</v>
      </c>
      <c r="B3560" s="159">
        <v>1</v>
      </c>
      <c r="C3560" s="158" t="str">
        <f t="shared" si="56"/>
        <v>1</v>
      </c>
    </row>
    <row r="3561" spans="1:3" x14ac:dyDescent="0.25">
      <c r="A3561" s="159">
        <v>615021</v>
      </c>
      <c r="B3561" s="159">
        <v>1</v>
      </c>
      <c r="C3561" s="158" t="str">
        <f t="shared" si="56"/>
        <v>1</v>
      </c>
    </row>
    <row r="3562" spans="1:3" x14ac:dyDescent="0.25">
      <c r="A3562" s="159">
        <v>615022</v>
      </c>
      <c r="B3562" s="159">
        <v>1</v>
      </c>
      <c r="C3562" s="158" t="str">
        <f t="shared" si="56"/>
        <v>1</v>
      </c>
    </row>
    <row r="3563" spans="1:3" x14ac:dyDescent="0.25">
      <c r="A3563" s="159">
        <v>615030</v>
      </c>
      <c r="B3563" s="159">
        <v>4</v>
      </c>
      <c r="C3563" s="158" t="str">
        <f t="shared" si="56"/>
        <v>4</v>
      </c>
    </row>
    <row r="3564" spans="1:3" x14ac:dyDescent="0.25">
      <c r="A3564" s="159">
        <v>615031</v>
      </c>
      <c r="B3564" s="159">
        <v>1</v>
      </c>
      <c r="C3564" s="158" t="str">
        <f t="shared" si="56"/>
        <v>1</v>
      </c>
    </row>
    <row r="3565" spans="1:3" x14ac:dyDescent="0.25">
      <c r="A3565" s="159">
        <v>615032</v>
      </c>
      <c r="B3565" s="159">
        <v>1</v>
      </c>
      <c r="C3565" s="158" t="str">
        <f t="shared" si="56"/>
        <v>1</v>
      </c>
    </row>
    <row r="3566" spans="1:3" x14ac:dyDescent="0.25">
      <c r="A3566" s="159">
        <v>615033</v>
      </c>
      <c r="B3566" s="159">
        <v>1</v>
      </c>
      <c r="C3566" s="158" t="str">
        <f t="shared" si="56"/>
        <v>1</v>
      </c>
    </row>
    <row r="3567" spans="1:3" x14ac:dyDescent="0.25">
      <c r="A3567" s="159">
        <v>615034</v>
      </c>
      <c r="B3567" s="159">
        <v>1</v>
      </c>
      <c r="C3567" s="158" t="str">
        <f t="shared" si="56"/>
        <v>1</v>
      </c>
    </row>
    <row r="3568" spans="1:3" x14ac:dyDescent="0.25">
      <c r="A3568" s="159">
        <v>615038</v>
      </c>
      <c r="B3568" s="159">
        <v>1</v>
      </c>
      <c r="C3568" s="158" t="str">
        <f t="shared" si="56"/>
        <v>1</v>
      </c>
    </row>
    <row r="3569" spans="1:3" x14ac:dyDescent="0.25">
      <c r="A3569" s="159">
        <v>615051</v>
      </c>
      <c r="B3569" s="159" t="s">
        <v>437</v>
      </c>
      <c r="C3569" s="158" t="str">
        <f t="shared" si="56"/>
        <v>1S</v>
      </c>
    </row>
    <row r="3570" spans="1:3" x14ac:dyDescent="0.25">
      <c r="A3570" s="159">
        <v>615052</v>
      </c>
      <c r="B3570" s="159" t="s">
        <v>437</v>
      </c>
      <c r="C3570" s="158" t="str">
        <f t="shared" si="56"/>
        <v>1S</v>
      </c>
    </row>
    <row r="3571" spans="1:3" x14ac:dyDescent="0.25">
      <c r="A3571" s="159">
        <v>615053</v>
      </c>
      <c r="B3571" s="159">
        <v>1</v>
      </c>
      <c r="C3571" s="158" t="str">
        <f t="shared" si="56"/>
        <v>1</v>
      </c>
    </row>
    <row r="3572" spans="1:3" x14ac:dyDescent="0.25">
      <c r="A3572" s="159">
        <v>615054</v>
      </c>
      <c r="B3572" s="159" t="s">
        <v>437</v>
      </c>
      <c r="C3572" s="158" t="str">
        <f t="shared" si="56"/>
        <v>1S</v>
      </c>
    </row>
    <row r="3573" spans="1:3" x14ac:dyDescent="0.25">
      <c r="A3573" s="159">
        <v>615055</v>
      </c>
      <c r="B3573" s="159">
        <v>1</v>
      </c>
      <c r="C3573" s="158" t="str">
        <f t="shared" si="56"/>
        <v>1</v>
      </c>
    </row>
    <row r="3574" spans="1:3" x14ac:dyDescent="0.25">
      <c r="A3574" s="159">
        <v>615056</v>
      </c>
      <c r="B3574" s="159">
        <v>1</v>
      </c>
      <c r="C3574" s="158" t="str">
        <f t="shared" ref="C3574:C3637" si="57">IF(OR(B3574=0,B3574=1,B3574=2,B3574=3,B3574=4,B3574=5),TEXT(B3574,"0"),B3574)</f>
        <v>1</v>
      </c>
    </row>
    <row r="3575" spans="1:3" x14ac:dyDescent="0.25">
      <c r="A3575" s="159">
        <v>615091</v>
      </c>
      <c r="B3575" s="159">
        <v>1</v>
      </c>
      <c r="C3575" s="158" t="str">
        <f t="shared" si="57"/>
        <v>1</v>
      </c>
    </row>
    <row r="3576" spans="1:3" x14ac:dyDescent="0.25">
      <c r="A3576" s="159">
        <v>630001</v>
      </c>
      <c r="B3576" s="159">
        <v>1</v>
      </c>
      <c r="C3576" s="158" t="str">
        <f t="shared" si="57"/>
        <v>1</v>
      </c>
    </row>
    <row r="3577" spans="1:3" x14ac:dyDescent="0.25">
      <c r="A3577" s="159">
        <v>630002</v>
      </c>
      <c r="B3577" s="159">
        <v>1</v>
      </c>
      <c r="C3577" s="158" t="str">
        <f t="shared" si="57"/>
        <v>1</v>
      </c>
    </row>
    <row r="3578" spans="1:3" x14ac:dyDescent="0.25">
      <c r="A3578" s="159">
        <v>630003</v>
      </c>
      <c r="B3578" s="159">
        <v>1</v>
      </c>
      <c r="C3578" s="158" t="str">
        <f t="shared" si="57"/>
        <v>1</v>
      </c>
    </row>
    <row r="3579" spans="1:3" x14ac:dyDescent="0.25">
      <c r="A3579" s="159">
        <v>630004</v>
      </c>
      <c r="B3579" s="159">
        <v>1</v>
      </c>
      <c r="C3579" s="158" t="str">
        <f t="shared" si="57"/>
        <v>1</v>
      </c>
    </row>
    <row r="3580" spans="1:3" x14ac:dyDescent="0.25">
      <c r="A3580" s="159">
        <v>630005</v>
      </c>
      <c r="B3580" s="159">
        <v>1</v>
      </c>
      <c r="C3580" s="158" t="str">
        <f t="shared" si="57"/>
        <v>1</v>
      </c>
    </row>
    <row r="3581" spans="1:3" x14ac:dyDescent="0.25">
      <c r="A3581" s="159">
        <v>630006</v>
      </c>
      <c r="B3581" s="159">
        <v>1</v>
      </c>
      <c r="C3581" s="158" t="str">
        <f t="shared" si="57"/>
        <v>1</v>
      </c>
    </row>
    <row r="3582" spans="1:3" x14ac:dyDescent="0.25">
      <c r="A3582" s="159">
        <v>630007</v>
      </c>
      <c r="B3582" s="159">
        <v>1</v>
      </c>
      <c r="C3582" s="158" t="str">
        <f t="shared" si="57"/>
        <v>1</v>
      </c>
    </row>
    <row r="3583" spans="1:3" x14ac:dyDescent="0.25">
      <c r="A3583" s="159">
        <v>630008</v>
      </c>
      <c r="B3583" s="159">
        <v>1</v>
      </c>
      <c r="C3583" s="158" t="str">
        <f t="shared" si="57"/>
        <v>1</v>
      </c>
    </row>
    <row r="3584" spans="1:3" x14ac:dyDescent="0.25">
      <c r="A3584" s="159">
        <v>630010</v>
      </c>
      <c r="B3584" s="159">
        <v>1</v>
      </c>
      <c r="C3584" s="158" t="str">
        <f t="shared" si="57"/>
        <v>1</v>
      </c>
    </row>
    <row r="3585" spans="1:3" x14ac:dyDescent="0.25">
      <c r="A3585" s="159">
        <v>630013</v>
      </c>
      <c r="B3585" s="159">
        <v>1</v>
      </c>
      <c r="C3585" s="158" t="str">
        <f t="shared" si="57"/>
        <v>1</v>
      </c>
    </row>
    <row r="3586" spans="1:3" x14ac:dyDescent="0.25">
      <c r="A3586" s="159">
        <v>630014</v>
      </c>
      <c r="B3586" s="159">
        <v>1</v>
      </c>
      <c r="C3586" s="158" t="str">
        <f t="shared" si="57"/>
        <v>1</v>
      </c>
    </row>
    <row r="3587" spans="1:3" x14ac:dyDescent="0.25">
      <c r="A3587" s="159">
        <v>630015</v>
      </c>
      <c r="B3587" s="159">
        <v>1</v>
      </c>
      <c r="C3587" s="158" t="str">
        <f t="shared" si="57"/>
        <v>1</v>
      </c>
    </row>
    <row r="3588" spans="1:3" x14ac:dyDescent="0.25">
      <c r="A3588" s="159">
        <v>630016</v>
      </c>
      <c r="B3588" s="159">
        <v>1</v>
      </c>
      <c r="C3588" s="158" t="str">
        <f t="shared" si="57"/>
        <v>1</v>
      </c>
    </row>
    <row r="3589" spans="1:3" x14ac:dyDescent="0.25">
      <c r="A3589" s="159">
        <v>630017</v>
      </c>
      <c r="B3589" s="159">
        <v>1</v>
      </c>
      <c r="C3589" s="158" t="str">
        <f t="shared" si="57"/>
        <v>1</v>
      </c>
    </row>
    <row r="3590" spans="1:3" x14ac:dyDescent="0.25">
      <c r="A3590" s="159">
        <v>630018</v>
      </c>
      <c r="B3590" s="159">
        <v>1</v>
      </c>
      <c r="C3590" s="158" t="str">
        <f t="shared" si="57"/>
        <v>1</v>
      </c>
    </row>
    <row r="3591" spans="1:3" x14ac:dyDescent="0.25">
      <c r="A3591" s="159">
        <v>630019</v>
      </c>
      <c r="B3591" s="159">
        <v>1</v>
      </c>
      <c r="C3591" s="158" t="str">
        <f t="shared" si="57"/>
        <v>1</v>
      </c>
    </row>
    <row r="3592" spans="1:3" x14ac:dyDescent="0.25">
      <c r="A3592" s="159">
        <v>630021</v>
      </c>
      <c r="B3592" s="159">
        <v>1</v>
      </c>
      <c r="C3592" s="158" t="str">
        <f t="shared" si="57"/>
        <v>1</v>
      </c>
    </row>
    <row r="3593" spans="1:3" x14ac:dyDescent="0.25">
      <c r="A3593" s="159">
        <v>630022</v>
      </c>
      <c r="B3593" s="159">
        <v>1</v>
      </c>
      <c r="C3593" s="158" t="str">
        <f t="shared" si="57"/>
        <v>1</v>
      </c>
    </row>
    <row r="3594" spans="1:3" x14ac:dyDescent="0.25">
      <c r="A3594" s="159">
        <v>630023</v>
      </c>
      <c r="B3594" s="159">
        <v>1</v>
      </c>
      <c r="C3594" s="158" t="str">
        <f t="shared" si="57"/>
        <v>1</v>
      </c>
    </row>
    <row r="3595" spans="1:3" x14ac:dyDescent="0.25">
      <c r="A3595" s="159">
        <v>630024</v>
      </c>
      <c r="B3595" s="159">
        <v>1</v>
      </c>
      <c r="C3595" s="158" t="str">
        <f t="shared" si="57"/>
        <v>1</v>
      </c>
    </row>
    <row r="3596" spans="1:3" x14ac:dyDescent="0.25">
      <c r="A3596" s="159">
        <v>630025</v>
      </c>
      <c r="B3596" s="159">
        <v>1</v>
      </c>
      <c r="C3596" s="158" t="str">
        <f t="shared" si="57"/>
        <v>1</v>
      </c>
    </row>
    <row r="3597" spans="1:3" x14ac:dyDescent="0.25">
      <c r="A3597" s="159">
        <v>630027</v>
      </c>
      <c r="B3597" s="159">
        <v>2</v>
      </c>
      <c r="C3597" s="158" t="str">
        <f t="shared" si="57"/>
        <v>2</v>
      </c>
    </row>
    <row r="3598" spans="1:3" x14ac:dyDescent="0.25">
      <c r="A3598" s="159">
        <v>630028</v>
      </c>
      <c r="B3598" s="159">
        <v>1</v>
      </c>
      <c r="C3598" s="158" t="str">
        <f t="shared" si="57"/>
        <v>1</v>
      </c>
    </row>
    <row r="3599" spans="1:3" x14ac:dyDescent="0.25">
      <c r="A3599" s="159">
        <v>630029</v>
      </c>
      <c r="B3599" s="159">
        <v>1</v>
      </c>
      <c r="C3599" s="158" t="str">
        <f t="shared" si="57"/>
        <v>1</v>
      </c>
    </row>
    <row r="3600" spans="1:3" x14ac:dyDescent="0.25">
      <c r="A3600" s="159">
        <v>630030</v>
      </c>
      <c r="B3600" s="159">
        <v>1</v>
      </c>
      <c r="C3600" s="158" t="str">
        <f t="shared" si="57"/>
        <v>1</v>
      </c>
    </row>
    <row r="3601" spans="1:3" x14ac:dyDescent="0.25">
      <c r="A3601" s="159">
        <v>630031</v>
      </c>
      <c r="B3601" s="159">
        <v>1</v>
      </c>
      <c r="C3601" s="158" t="str">
        <f t="shared" si="57"/>
        <v>1</v>
      </c>
    </row>
    <row r="3602" spans="1:3" x14ac:dyDescent="0.25">
      <c r="A3602" s="159">
        <v>630032</v>
      </c>
      <c r="B3602" s="159">
        <v>2</v>
      </c>
      <c r="C3602" s="158" t="str">
        <f t="shared" si="57"/>
        <v>2</v>
      </c>
    </row>
    <row r="3603" spans="1:3" x14ac:dyDescent="0.25">
      <c r="A3603" s="159">
        <v>630033</v>
      </c>
      <c r="B3603" s="159" t="s">
        <v>437</v>
      </c>
      <c r="C3603" s="158" t="str">
        <f t="shared" si="57"/>
        <v>1S</v>
      </c>
    </row>
    <row r="3604" spans="1:3" x14ac:dyDescent="0.25">
      <c r="A3604" s="159">
        <v>630034</v>
      </c>
      <c r="B3604" s="159">
        <v>1</v>
      </c>
      <c r="C3604" s="158" t="str">
        <f t="shared" si="57"/>
        <v>1</v>
      </c>
    </row>
    <row r="3605" spans="1:3" x14ac:dyDescent="0.25">
      <c r="A3605" s="159">
        <v>630035</v>
      </c>
      <c r="B3605" s="159">
        <v>1</v>
      </c>
      <c r="C3605" s="158" t="str">
        <f t="shared" si="57"/>
        <v>1</v>
      </c>
    </row>
    <row r="3606" spans="1:3" x14ac:dyDescent="0.25">
      <c r="A3606" s="159">
        <v>630037</v>
      </c>
      <c r="B3606" s="159">
        <v>1</v>
      </c>
      <c r="C3606" s="158" t="str">
        <f t="shared" si="57"/>
        <v>1</v>
      </c>
    </row>
    <row r="3607" spans="1:3" x14ac:dyDescent="0.25">
      <c r="A3607" s="159">
        <v>630039</v>
      </c>
      <c r="B3607" s="159">
        <v>5</v>
      </c>
      <c r="C3607" s="158" t="str">
        <f t="shared" si="57"/>
        <v>5</v>
      </c>
    </row>
    <row r="3608" spans="1:3" x14ac:dyDescent="0.25">
      <c r="A3608" s="159">
        <v>630040</v>
      </c>
      <c r="B3608" s="159">
        <v>1</v>
      </c>
      <c r="C3608" s="158" t="str">
        <f t="shared" si="57"/>
        <v>1</v>
      </c>
    </row>
    <row r="3609" spans="1:3" x14ac:dyDescent="0.25">
      <c r="A3609" s="159">
        <v>630041</v>
      </c>
      <c r="B3609" s="159">
        <v>1</v>
      </c>
      <c r="C3609" s="158" t="str">
        <f t="shared" si="57"/>
        <v>1</v>
      </c>
    </row>
    <row r="3610" spans="1:3" x14ac:dyDescent="0.25">
      <c r="A3610" s="159">
        <v>630042</v>
      </c>
      <c r="B3610" s="159">
        <v>1</v>
      </c>
      <c r="C3610" s="158" t="str">
        <f t="shared" si="57"/>
        <v>1</v>
      </c>
    </row>
    <row r="3611" spans="1:3" x14ac:dyDescent="0.25">
      <c r="A3611" s="159">
        <v>630044</v>
      </c>
      <c r="B3611" s="159">
        <v>1</v>
      </c>
      <c r="C3611" s="158" t="str">
        <f t="shared" si="57"/>
        <v>1</v>
      </c>
    </row>
    <row r="3612" spans="1:3" x14ac:dyDescent="0.25">
      <c r="A3612" s="159">
        <v>630045</v>
      </c>
      <c r="B3612" s="159">
        <v>1</v>
      </c>
      <c r="C3612" s="158" t="str">
        <f t="shared" si="57"/>
        <v>1</v>
      </c>
    </row>
    <row r="3613" spans="1:3" x14ac:dyDescent="0.25">
      <c r="A3613" s="159">
        <v>630046</v>
      </c>
      <c r="B3613" s="159">
        <v>1</v>
      </c>
      <c r="C3613" s="158" t="str">
        <f t="shared" si="57"/>
        <v>1</v>
      </c>
    </row>
    <row r="3614" spans="1:3" x14ac:dyDescent="0.25">
      <c r="A3614" s="159">
        <v>630047</v>
      </c>
      <c r="B3614" s="159">
        <v>1</v>
      </c>
      <c r="C3614" s="158" t="str">
        <f t="shared" si="57"/>
        <v>1</v>
      </c>
    </row>
    <row r="3615" spans="1:3" x14ac:dyDescent="0.25">
      <c r="A3615" s="159">
        <v>630048</v>
      </c>
      <c r="B3615" s="159">
        <v>1</v>
      </c>
      <c r="C3615" s="158" t="str">
        <f t="shared" si="57"/>
        <v>1</v>
      </c>
    </row>
    <row r="3616" spans="1:3" x14ac:dyDescent="0.25">
      <c r="A3616" s="159">
        <v>630050</v>
      </c>
      <c r="B3616" s="159">
        <v>1</v>
      </c>
      <c r="C3616" s="158" t="str">
        <f t="shared" si="57"/>
        <v>1</v>
      </c>
    </row>
    <row r="3617" spans="1:3" x14ac:dyDescent="0.25">
      <c r="A3617" s="159">
        <v>630051</v>
      </c>
      <c r="B3617" s="159">
        <v>1</v>
      </c>
      <c r="C3617" s="158" t="str">
        <f t="shared" si="57"/>
        <v>1</v>
      </c>
    </row>
    <row r="3618" spans="1:3" x14ac:dyDescent="0.25">
      <c r="A3618" s="159">
        <v>630052</v>
      </c>
      <c r="B3618" s="159">
        <v>1</v>
      </c>
      <c r="C3618" s="158" t="str">
        <f t="shared" si="57"/>
        <v>1</v>
      </c>
    </row>
    <row r="3619" spans="1:3" x14ac:dyDescent="0.25">
      <c r="A3619" s="159">
        <v>630053</v>
      </c>
      <c r="B3619" s="159">
        <v>1</v>
      </c>
      <c r="C3619" s="158" t="str">
        <f t="shared" si="57"/>
        <v>1</v>
      </c>
    </row>
    <row r="3620" spans="1:3" x14ac:dyDescent="0.25">
      <c r="A3620" s="159">
        <v>630054</v>
      </c>
      <c r="B3620" s="159">
        <v>1</v>
      </c>
      <c r="C3620" s="158" t="str">
        <f t="shared" si="57"/>
        <v>1</v>
      </c>
    </row>
    <row r="3621" spans="1:3" x14ac:dyDescent="0.25">
      <c r="A3621" s="159">
        <v>630055</v>
      </c>
      <c r="B3621" s="159">
        <v>1</v>
      </c>
      <c r="C3621" s="158" t="str">
        <f t="shared" si="57"/>
        <v>1</v>
      </c>
    </row>
    <row r="3622" spans="1:3" x14ac:dyDescent="0.25">
      <c r="A3622" s="159">
        <v>630056</v>
      </c>
      <c r="B3622" s="159">
        <v>1</v>
      </c>
      <c r="C3622" s="158" t="str">
        <f t="shared" si="57"/>
        <v>1</v>
      </c>
    </row>
    <row r="3623" spans="1:3" x14ac:dyDescent="0.25">
      <c r="A3623" s="159">
        <v>630057</v>
      </c>
      <c r="B3623" s="159">
        <v>1</v>
      </c>
      <c r="C3623" s="158" t="str">
        <f t="shared" si="57"/>
        <v>1</v>
      </c>
    </row>
    <row r="3624" spans="1:3" x14ac:dyDescent="0.25">
      <c r="A3624" s="159">
        <v>630058</v>
      </c>
      <c r="B3624" s="159">
        <v>1</v>
      </c>
      <c r="C3624" s="158" t="str">
        <f t="shared" si="57"/>
        <v>1</v>
      </c>
    </row>
    <row r="3625" spans="1:3" x14ac:dyDescent="0.25">
      <c r="A3625" s="159">
        <v>630059</v>
      </c>
      <c r="B3625" s="159">
        <v>1</v>
      </c>
      <c r="C3625" s="158" t="str">
        <f t="shared" si="57"/>
        <v>1</v>
      </c>
    </row>
    <row r="3626" spans="1:3" x14ac:dyDescent="0.25">
      <c r="A3626" s="159">
        <v>630060</v>
      </c>
      <c r="B3626" s="159">
        <v>1</v>
      </c>
      <c r="C3626" s="158" t="str">
        <f t="shared" si="57"/>
        <v>1</v>
      </c>
    </row>
    <row r="3627" spans="1:3" x14ac:dyDescent="0.25">
      <c r="A3627" s="159">
        <v>630062</v>
      </c>
      <c r="B3627" s="159">
        <v>1</v>
      </c>
      <c r="C3627" s="158" t="str">
        <f t="shared" si="57"/>
        <v>1</v>
      </c>
    </row>
    <row r="3628" spans="1:3" x14ac:dyDescent="0.25">
      <c r="A3628" s="159">
        <v>630063</v>
      </c>
      <c r="B3628" s="159">
        <v>1</v>
      </c>
      <c r="C3628" s="158" t="str">
        <f t="shared" si="57"/>
        <v>1</v>
      </c>
    </row>
    <row r="3629" spans="1:3" x14ac:dyDescent="0.25">
      <c r="A3629" s="159">
        <v>630064</v>
      </c>
      <c r="B3629" s="159">
        <v>1</v>
      </c>
      <c r="C3629" s="158" t="str">
        <f t="shared" si="57"/>
        <v>1</v>
      </c>
    </row>
    <row r="3630" spans="1:3" x14ac:dyDescent="0.25">
      <c r="A3630" s="159">
        <v>630065</v>
      </c>
      <c r="B3630" s="159">
        <v>3</v>
      </c>
      <c r="C3630" s="158" t="str">
        <f t="shared" si="57"/>
        <v>3</v>
      </c>
    </row>
    <row r="3631" spans="1:3" x14ac:dyDescent="0.25">
      <c r="A3631" s="159">
        <v>630067</v>
      </c>
      <c r="B3631" s="159">
        <v>1</v>
      </c>
      <c r="C3631" s="158" t="str">
        <f t="shared" si="57"/>
        <v>1</v>
      </c>
    </row>
    <row r="3632" spans="1:3" x14ac:dyDescent="0.25">
      <c r="A3632" s="159">
        <v>630068</v>
      </c>
      <c r="B3632" s="159">
        <v>1</v>
      </c>
      <c r="C3632" s="158" t="str">
        <f t="shared" si="57"/>
        <v>1</v>
      </c>
    </row>
    <row r="3633" spans="1:3" x14ac:dyDescent="0.25">
      <c r="A3633" s="159">
        <v>630069</v>
      </c>
      <c r="B3633" s="159">
        <v>1</v>
      </c>
      <c r="C3633" s="158" t="str">
        <f t="shared" si="57"/>
        <v>1</v>
      </c>
    </row>
    <row r="3634" spans="1:3" x14ac:dyDescent="0.25">
      <c r="A3634" s="159">
        <v>630070</v>
      </c>
      <c r="B3634" s="159">
        <v>1</v>
      </c>
      <c r="C3634" s="158" t="str">
        <f t="shared" si="57"/>
        <v>1</v>
      </c>
    </row>
    <row r="3635" spans="1:3" x14ac:dyDescent="0.25">
      <c r="A3635" s="159">
        <v>630071</v>
      </c>
      <c r="B3635" s="159">
        <v>1</v>
      </c>
      <c r="C3635" s="158" t="str">
        <f t="shared" si="57"/>
        <v>1</v>
      </c>
    </row>
    <row r="3636" spans="1:3" x14ac:dyDescent="0.25">
      <c r="A3636" s="159">
        <v>630072</v>
      </c>
      <c r="B3636" s="159">
        <v>1</v>
      </c>
      <c r="C3636" s="158" t="str">
        <f t="shared" si="57"/>
        <v>1</v>
      </c>
    </row>
    <row r="3637" spans="1:3" x14ac:dyDescent="0.25">
      <c r="A3637" s="159">
        <v>630073</v>
      </c>
      <c r="B3637" s="159">
        <v>1</v>
      </c>
      <c r="C3637" s="158" t="str">
        <f t="shared" si="57"/>
        <v>1</v>
      </c>
    </row>
    <row r="3638" spans="1:3" x14ac:dyDescent="0.25">
      <c r="A3638" s="159">
        <v>630074</v>
      </c>
      <c r="B3638" s="159">
        <v>1</v>
      </c>
      <c r="C3638" s="158" t="str">
        <f t="shared" ref="C3638:C3701" si="58">IF(OR(B3638=0,B3638=1,B3638=2,B3638=3,B3638=4,B3638=5),TEXT(B3638,"0"),B3638)</f>
        <v>1</v>
      </c>
    </row>
    <row r="3639" spans="1:3" x14ac:dyDescent="0.25">
      <c r="A3639" s="159">
        <v>630075</v>
      </c>
      <c r="B3639" s="159">
        <v>3</v>
      </c>
      <c r="C3639" s="158" t="str">
        <f t="shared" si="58"/>
        <v>3</v>
      </c>
    </row>
    <row r="3640" spans="1:3" x14ac:dyDescent="0.25">
      <c r="A3640" s="159">
        <v>630076</v>
      </c>
      <c r="B3640" s="159">
        <v>1</v>
      </c>
      <c r="C3640" s="158" t="str">
        <f t="shared" si="58"/>
        <v>1</v>
      </c>
    </row>
    <row r="3641" spans="1:3" x14ac:dyDescent="0.25">
      <c r="A3641" s="159">
        <v>630077</v>
      </c>
      <c r="B3641" s="159">
        <v>1</v>
      </c>
      <c r="C3641" s="158" t="str">
        <f t="shared" si="58"/>
        <v>1</v>
      </c>
    </row>
    <row r="3642" spans="1:3" x14ac:dyDescent="0.25">
      <c r="A3642" s="159">
        <v>630078</v>
      </c>
      <c r="B3642" s="159">
        <v>1</v>
      </c>
      <c r="C3642" s="158" t="str">
        <f t="shared" si="58"/>
        <v>1</v>
      </c>
    </row>
    <row r="3643" spans="1:3" x14ac:dyDescent="0.25">
      <c r="A3643" s="159">
        <v>630079</v>
      </c>
      <c r="B3643" s="159">
        <v>1</v>
      </c>
      <c r="C3643" s="158" t="str">
        <f t="shared" si="58"/>
        <v>1</v>
      </c>
    </row>
    <row r="3644" spans="1:3" x14ac:dyDescent="0.25">
      <c r="A3644" s="159">
        <v>630080</v>
      </c>
      <c r="B3644" s="159">
        <v>1</v>
      </c>
      <c r="C3644" s="158" t="str">
        <f t="shared" si="58"/>
        <v>1</v>
      </c>
    </row>
    <row r="3645" spans="1:3" x14ac:dyDescent="0.25">
      <c r="A3645" s="159">
        <v>630081</v>
      </c>
      <c r="B3645" s="159">
        <v>1</v>
      </c>
      <c r="C3645" s="158" t="str">
        <f t="shared" si="58"/>
        <v>1</v>
      </c>
    </row>
    <row r="3646" spans="1:3" x14ac:dyDescent="0.25">
      <c r="A3646" s="159">
        <v>630082</v>
      </c>
      <c r="B3646" s="159">
        <v>1</v>
      </c>
      <c r="C3646" s="158" t="str">
        <f t="shared" si="58"/>
        <v>1</v>
      </c>
    </row>
    <row r="3647" spans="1:3" x14ac:dyDescent="0.25">
      <c r="A3647" s="159">
        <v>630083</v>
      </c>
      <c r="B3647" s="159">
        <v>1</v>
      </c>
      <c r="C3647" s="158" t="str">
        <f t="shared" si="58"/>
        <v>1</v>
      </c>
    </row>
    <row r="3648" spans="1:3" x14ac:dyDescent="0.25">
      <c r="A3648" s="159">
        <v>630084</v>
      </c>
      <c r="B3648" s="159">
        <v>1</v>
      </c>
      <c r="C3648" s="158" t="str">
        <f t="shared" si="58"/>
        <v>1</v>
      </c>
    </row>
    <row r="3649" spans="1:3" x14ac:dyDescent="0.25">
      <c r="A3649" s="159">
        <v>630085</v>
      </c>
      <c r="B3649" s="159">
        <v>1</v>
      </c>
      <c r="C3649" s="158" t="str">
        <f t="shared" si="58"/>
        <v>1</v>
      </c>
    </row>
    <row r="3650" spans="1:3" x14ac:dyDescent="0.25">
      <c r="A3650" s="159">
        <v>630091</v>
      </c>
      <c r="B3650" s="159">
        <v>1</v>
      </c>
      <c r="C3650" s="158" t="str">
        <f t="shared" si="58"/>
        <v>1</v>
      </c>
    </row>
    <row r="3651" spans="1:3" x14ac:dyDescent="0.25">
      <c r="A3651" s="159">
        <v>630092</v>
      </c>
      <c r="B3651" s="159">
        <v>1</v>
      </c>
      <c r="C3651" s="158" t="str">
        <f t="shared" si="58"/>
        <v>1</v>
      </c>
    </row>
    <row r="3652" spans="1:3" x14ac:dyDescent="0.25">
      <c r="A3652" s="159">
        <v>630094</v>
      </c>
      <c r="B3652" s="159">
        <v>2</v>
      </c>
      <c r="C3652" s="158" t="str">
        <f t="shared" si="58"/>
        <v>2</v>
      </c>
    </row>
    <row r="3653" spans="1:3" x14ac:dyDescent="0.25">
      <c r="A3653" s="159">
        <v>630095</v>
      </c>
      <c r="B3653" s="159">
        <v>2</v>
      </c>
      <c r="C3653" s="158" t="str">
        <f t="shared" si="58"/>
        <v>2</v>
      </c>
    </row>
    <row r="3654" spans="1:3" x14ac:dyDescent="0.25">
      <c r="A3654" s="159">
        <v>630096</v>
      </c>
      <c r="B3654" s="159">
        <v>2</v>
      </c>
      <c r="C3654" s="158" t="str">
        <f t="shared" si="58"/>
        <v>2</v>
      </c>
    </row>
    <row r="3655" spans="1:3" x14ac:dyDescent="0.25">
      <c r="A3655" s="159">
        <v>630097</v>
      </c>
      <c r="B3655" s="159">
        <v>2</v>
      </c>
      <c r="C3655" s="158" t="str">
        <f t="shared" si="58"/>
        <v>2</v>
      </c>
    </row>
    <row r="3656" spans="1:3" x14ac:dyDescent="0.25">
      <c r="A3656" s="159">
        <v>630098</v>
      </c>
      <c r="B3656" s="159">
        <v>1</v>
      </c>
      <c r="C3656" s="158" t="str">
        <f t="shared" si="58"/>
        <v>1</v>
      </c>
    </row>
    <row r="3657" spans="1:3" x14ac:dyDescent="0.25">
      <c r="A3657" s="159">
        <v>630099</v>
      </c>
      <c r="B3657" s="159">
        <v>2</v>
      </c>
      <c r="C3657" s="158" t="str">
        <f t="shared" si="58"/>
        <v>2</v>
      </c>
    </row>
    <row r="3658" spans="1:3" x14ac:dyDescent="0.25">
      <c r="A3658" s="159">
        <v>630100</v>
      </c>
      <c r="B3658" s="159">
        <v>2</v>
      </c>
      <c r="C3658" s="158" t="str">
        <f t="shared" si="58"/>
        <v>2</v>
      </c>
    </row>
    <row r="3659" spans="1:3" x14ac:dyDescent="0.25">
      <c r="A3659" s="159">
        <v>630101</v>
      </c>
      <c r="B3659" s="159">
        <v>4</v>
      </c>
      <c r="C3659" s="158" t="str">
        <f t="shared" si="58"/>
        <v>4</v>
      </c>
    </row>
    <row r="3660" spans="1:3" x14ac:dyDescent="0.25">
      <c r="A3660" s="159">
        <v>630102</v>
      </c>
      <c r="B3660" s="159">
        <v>1</v>
      </c>
      <c r="C3660" s="158" t="str">
        <f t="shared" si="58"/>
        <v>1</v>
      </c>
    </row>
    <row r="3661" spans="1:3" x14ac:dyDescent="0.25">
      <c r="A3661" s="159">
        <v>630103</v>
      </c>
      <c r="B3661" s="159">
        <v>1</v>
      </c>
      <c r="C3661" s="158" t="str">
        <f t="shared" si="58"/>
        <v>1</v>
      </c>
    </row>
    <row r="3662" spans="1:3" x14ac:dyDescent="0.25">
      <c r="A3662" s="159">
        <v>630104</v>
      </c>
      <c r="B3662" s="159">
        <v>1</v>
      </c>
      <c r="C3662" s="158" t="str">
        <f t="shared" si="58"/>
        <v>1</v>
      </c>
    </row>
    <row r="3663" spans="1:3" x14ac:dyDescent="0.25">
      <c r="A3663" s="159">
        <v>630105</v>
      </c>
      <c r="B3663" s="159">
        <v>1</v>
      </c>
      <c r="C3663" s="158" t="str">
        <f t="shared" si="58"/>
        <v>1</v>
      </c>
    </row>
    <row r="3664" spans="1:3" x14ac:dyDescent="0.25">
      <c r="A3664" s="159">
        <v>630106</v>
      </c>
      <c r="B3664" s="159">
        <v>1</v>
      </c>
      <c r="C3664" s="158" t="str">
        <f t="shared" si="58"/>
        <v>1</v>
      </c>
    </row>
    <row r="3665" spans="1:3" x14ac:dyDescent="0.25">
      <c r="A3665" s="159">
        <v>630107</v>
      </c>
      <c r="B3665" s="159">
        <v>1</v>
      </c>
      <c r="C3665" s="158" t="str">
        <f t="shared" si="58"/>
        <v>1</v>
      </c>
    </row>
    <row r="3666" spans="1:3" x14ac:dyDescent="0.25">
      <c r="A3666" s="159">
        <v>630108</v>
      </c>
      <c r="B3666" s="159">
        <v>1</v>
      </c>
      <c r="C3666" s="158" t="str">
        <f t="shared" si="58"/>
        <v>1</v>
      </c>
    </row>
    <row r="3667" spans="1:3" x14ac:dyDescent="0.25">
      <c r="A3667" s="159">
        <v>630109</v>
      </c>
      <c r="B3667" s="159">
        <v>1</v>
      </c>
      <c r="C3667" s="158" t="str">
        <f t="shared" si="58"/>
        <v>1</v>
      </c>
    </row>
    <row r="3668" spans="1:3" x14ac:dyDescent="0.25">
      <c r="A3668" s="159">
        <v>630110</v>
      </c>
      <c r="B3668" s="159">
        <v>1</v>
      </c>
      <c r="C3668" s="158" t="str">
        <f t="shared" si="58"/>
        <v>1</v>
      </c>
    </row>
    <row r="3669" spans="1:3" x14ac:dyDescent="0.25">
      <c r="A3669" s="159">
        <v>630111</v>
      </c>
      <c r="B3669" s="159">
        <v>1</v>
      </c>
      <c r="C3669" s="158" t="str">
        <f t="shared" si="58"/>
        <v>1</v>
      </c>
    </row>
    <row r="3670" spans="1:3" x14ac:dyDescent="0.25">
      <c r="A3670" s="159">
        <v>630112</v>
      </c>
      <c r="B3670" s="159">
        <v>1</v>
      </c>
      <c r="C3670" s="158" t="str">
        <f t="shared" si="58"/>
        <v>1</v>
      </c>
    </row>
    <row r="3671" spans="1:3" x14ac:dyDescent="0.25">
      <c r="A3671" s="159">
        <v>630113</v>
      </c>
      <c r="B3671" s="159">
        <v>1</v>
      </c>
      <c r="C3671" s="158" t="str">
        <f t="shared" si="58"/>
        <v>1</v>
      </c>
    </row>
    <row r="3672" spans="1:3" x14ac:dyDescent="0.25">
      <c r="A3672" s="159">
        <v>630114</v>
      </c>
      <c r="B3672" s="159">
        <v>1</v>
      </c>
      <c r="C3672" s="158" t="str">
        <f t="shared" si="58"/>
        <v>1</v>
      </c>
    </row>
    <row r="3673" spans="1:3" x14ac:dyDescent="0.25">
      <c r="A3673" s="159">
        <v>630115</v>
      </c>
      <c r="B3673" s="159">
        <v>1</v>
      </c>
      <c r="C3673" s="158" t="str">
        <f t="shared" si="58"/>
        <v>1</v>
      </c>
    </row>
    <row r="3674" spans="1:3" x14ac:dyDescent="0.25">
      <c r="A3674" s="159">
        <v>630116</v>
      </c>
      <c r="B3674" s="159">
        <v>1</v>
      </c>
      <c r="C3674" s="158" t="str">
        <f t="shared" si="58"/>
        <v>1</v>
      </c>
    </row>
    <row r="3675" spans="1:3" x14ac:dyDescent="0.25">
      <c r="A3675" s="159">
        <v>630117</v>
      </c>
      <c r="B3675" s="159">
        <v>1</v>
      </c>
      <c r="C3675" s="158" t="str">
        <f t="shared" si="58"/>
        <v>1</v>
      </c>
    </row>
    <row r="3676" spans="1:3" x14ac:dyDescent="0.25">
      <c r="A3676" s="159">
        <v>630118</v>
      </c>
      <c r="B3676" s="159">
        <v>1</v>
      </c>
      <c r="C3676" s="158" t="str">
        <f t="shared" si="58"/>
        <v>1</v>
      </c>
    </row>
    <row r="3677" spans="1:3" x14ac:dyDescent="0.25">
      <c r="A3677" s="159">
        <v>630119</v>
      </c>
      <c r="B3677" s="159">
        <v>1</v>
      </c>
      <c r="C3677" s="158" t="str">
        <f t="shared" si="58"/>
        <v>1</v>
      </c>
    </row>
    <row r="3678" spans="1:3" x14ac:dyDescent="0.25">
      <c r="A3678" s="159">
        <v>630120</v>
      </c>
      <c r="B3678" s="159">
        <v>1</v>
      </c>
      <c r="C3678" s="158" t="str">
        <f t="shared" si="58"/>
        <v>1</v>
      </c>
    </row>
    <row r="3679" spans="1:3" x14ac:dyDescent="0.25">
      <c r="A3679" s="159">
        <v>630121</v>
      </c>
      <c r="B3679" s="159">
        <v>1</v>
      </c>
      <c r="C3679" s="158" t="str">
        <f t="shared" si="58"/>
        <v>1</v>
      </c>
    </row>
    <row r="3680" spans="1:3" x14ac:dyDescent="0.25">
      <c r="A3680" s="159">
        <v>630122</v>
      </c>
      <c r="B3680" s="159">
        <v>1</v>
      </c>
      <c r="C3680" s="158" t="str">
        <f t="shared" si="58"/>
        <v>1</v>
      </c>
    </row>
    <row r="3681" spans="1:3" x14ac:dyDescent="0.25">
      <c r="A3681" s="159">
        <v>630123</v>
      </c>
      <c r="B3681" s="159">
        <v>1</v>
      </c>
      <c r="C3681" s="158" t="str">
        <f t="shared" si="58"/>
        <v>1</v>
      </c>
    </row>
    <row r="3682" spans="1:3" x14ac:dyDescent="0.25">
      <c r="A3682" s="159">
        <v>630124</v>
      </c>
      <c r="B3682" s="159">
        <v>1</v>
      </c>
      <c r="C3682" s="158" t="str">
        <f t="shared" si="58"/>
        <v>1</v>
      </c>
    </row>
    <row r="3683" spans="1:3" x14ac:dyDescent="0.25">
      <c r="A3683" s="159">
        <v>630125</v>
      </c>
      <c r="B3683" s="159">
        <v>1</v>
      </c>
      <c r="C3683" s="158" t="str">
        <f t="shared" si="58"/>
        <v>1</v>
      </c>
    </row>
    <row r="3684" spans="1:3" x14ac:dyDescent="0.25">
      <c r="A3684" s="159">
        <v>630127</v>
      </c>
      <c r="B3684" s="159">
        <v>2</v>
      </c>
      <c r="C3684" s="158" t="str">
        <f t="shared" si="58"/>
        <v>2</v>
      </c>
    </row>
    <row r="3685" spans="1:3" x14ac:dyDescent="0.25">
      <c r="A3685" s="159">
        <v>630128</v>
      </c>
      <c r="B3685" s="159">
        <v>1</v>
      </c>
      <c r="C3685" s="158" t="str">
        <f t="shared" si="58"/>
        <v>1</v>
      </c>
    </row>
    <row r="3686" spans="1:3" x14ac:dyDescent="0.25">
      <c r="A3686" s="159">
        <v>630129</v>
      </c>
      <c r="B3686" s="159">
        <v>1</v>
      </c>
      <c r="C3686" s="158" t="str">
        <f t="shared" si="58"/>
        <v>1</v>
      </c>
    </row>
    <row r="3687" spans="1:3" x14ac:dyDescent="0.25">
      <c r="A3687" s="159">
        <v>630130</v>
      </c>
      <c r="B3687" s="159">
        <v>1</v>
      </c>
      <c r="C3687" s="158" t="str">
        <f t="shared" si="58"/>
        <v>1</v>
      </c>
    </row>
    <row r="3688" spans="1:3" x14ac:dyDescent="0.25">
      <c r="A3688" s="159">
        <v>630131</v>
      </c>
      <c r="B3688" s="159">
        <v>1</v>
      </c>
      <c r="C3688" s="158" t="str">
        <f t="shared" si="58"/>
        <v>1</v>
      </c>
    </row>
    <row r="3689" spans="1:3" x14ac:dyDescent="0.25">
      <c r="A3689" s="159">
        <v>630134</v>
      </c>
      <c r="B3689" s="159">
        <v>4</v>
      </c>
      <c r="C3689" s="158" t="str">
        <f t="shared" si="58"/>
        <v>4</v>
      </c>
    </row>
    <row r="3690" spans="1:3" x14ac:dyDescent="0.25">
      <c r="A3690" s="159">
        <v>630135</v>
      </c>
      <c r="B3690" s="159">
        <v>4</v>
      </c>
      <c r="C3690" s="158" t="str">
        <f t="shared" si="58"/>
        <v>4</v>
      </c>
    </row>
    <row r="3691" spans="1:3" x14ac:dyDescent="0.25">
      <c r="A3691" s="159">
        <v>630136</v>
      </c>
      <c r="B3691" s="159">
        <v>5</v>
      </c>
      <c r="C3691" s="158" t="str">
        <f t="shared" si="58"/>
        <v>5</v>
      </c>
    </row>
    <row r="3692" spans="1:3" x14ac:dyDescent="0.25">
      <c r="A3692" s="159">
        <v>630137</v>
      </c>
      <c r="B3692" s="159" t="s">
        <v>454</v>
      </c>
      <c r="C3692" s="158" t="str">
        <f t="shared" si="58"/>
        <v>6S</v>
      </c>
    </row>
    <row r="3693" spans="1:3" x14ac:dyDescent="0.25">
      <c r="A3693" s="159">
        <v>630138</v>
      </c>
      <c r="B3693" s="159">
        <v>2</v>
      </c>
      <c r="C3693" s="158" t="str">
        <f t="shared" si="58"/>
        <v>2</v>
      </c>
    </row>
    <row r="3694" spans="1:3" x14ac:dyDescent="0.25">
      <c r="A3694" s="159">
        <v>630139</v>
      </c>
      <c r="B3694" s="159">
        <v>4</v>
      </c>
      <c r="C3694" s="158" t="str">
        <f t="shared" si="58"/>
        <v>4</v>
      </c>
    </row>
    <row r="3695" spans="1:3" x14ac:dyDescent="0.25">
      <c r="A3695" s="159">
        <v>630140</v>
      </c>
      <c r="B3695" s="159">
        <v>1</v>
      </c>
      <c r="C3695" s="158" t="str">
        <f t="shared" si="58"/>
        <v>1</v>
      </c>
    </row>
    <row r="3696" spans="1:3" x14ac:dyDescent="0.25">
      <c r="A3696" s="159">
        <v>630141</v>
      </c>
      <c r="B3696" s="159">
        <v>1</v>
      </c>
      <c r="C3696" s="158" t="str">
        <f t="shared" si="58"/>
        <v>1</v>
      </c>
    </row>
    <row r="3697" spans="1:3" x14ac:dyDescent="0.25">
      <c r="A3697" s="159">
        <v>630142</v>
      </c>
      <c r="B3697" s="159">
        <v>1</v>
      </c>
      <c r="C3697" s="158" t="str">
        <f t="shared" si="58"/>
        <v>1</v>
      </c>
    </row>
    <row r="3698" spans="1:3" x14ac:dyDescent="0.25">
      <c r="A3698" s="159">
        <v>630143</v>
      </c>
      <c r="B3698" s="159">
        <v>1</v>
      </c>
      <c r="C3698" s="158" t="str">
        <f t="shared" si="58"/>
        <v>1</v>
      </c>
    </row>
    <row r="3699" spans="1:3" x14ac:dyDescent="0.25">
      <c r="A3699" s="159">
        <v>630144</v>
      </c>
      <c r="B3699" s="159">
        <v>1</v>
      </c>
      <c r="C3699" s="158" t="str">
        <f t="shared" si="58"/>
        <v>1</v>
      </c>
    </row>
    <row r="3700" spans="1:3" x14ac:dyDescent="0.25">
      <c r="A3700" s="159">
        <v>630145</v>
      </c>
      <c r="B3700" s="159">
        <v>1</v>
      </c>
      <c r="C3700" s="158" t="str">
        <f t="shared" si="58"/>
        <v>1</v>
      </c>
    </row>
    <row r="3701" spans="1:3" x14ac:dyDescent="0.25">
      <c r="A3701" s="159">
        <v>630146</v>
      </c>
      <c r="B3701" s="159">
        <v>1</v>
      </c>
      <c r="C3701" s="158" t="str">
        <f t="shared" si="58"/>
        <v>1</v>
      </c>
    </row>
    <row r="3702" spans="1:3" x14ac:dyDescent="0.25">
      <c r="A3702" s="159">
        <v>630147</v>
      </c>
      <c r="B3702" s="159">
        <v>1</v>
      </c>
      <c r="C3702" s="158" t="str">
        <f t="shared" ref="C3702:C3765" si="59">IF(OR(B3702=0,B3702=1,B3702=2,B3702=3,B3702=4,B3702=5),TEXT(B3702,"0"),B3702)</f>
        <v>1</v>
      </c>
    </row>
    <row r="3703" spans="1:3" x14ac:dyDescent="0.25">
      <c r="A3703" s="159">
        <v>630148</v>
      </c>
      <c r="B3703" s="159">
        <v>4</v>
      </c>
      <c r="C3703" s="158" t="str">
        <f t="shared" si="59"/>
        <v>4</v>
      </c>
    </row>
    <row r="3704" spans="1:3" x14ac:dyDescent="0.25">
      <c r="A3704" s="159">
        <v>630149</v>
      </c>
      <c r="B3704" s="159">
        <v>1</v>
      </c>
      <c r="C3704" s="158" t="str">
        <f t="shared" si="59"/>
        <v>1</v>
      </c>
    </row>
    <row r="3705" spans="1:3" x14ac:dyDescent="0.25">
      <c r="A3705" s="159">
        <v>630150</v>
      </c>
      <c r="B3705" s="159">
        <v>2</v>
      </c>
      <c r="C3705" s="158" t="str">
        <f t="shared" si="59"/>
        <v>2</v>
      </c>
    </row>
    <row r="3706" spans="1:3" x14ac:dyDescent="0.25">
      <c r="A3706" s="159">
        <v>630151</v>
      </c>
      <c r="B3706" s="159">
        <v>1</v>
      </c>
      <c r="C3706" s="158" t="str">
        <f t="shared" si="59"/>
        <v>1</v>
      </c>
    </row>
    <row r="3707" spans="1:3" x14ac:dyDescent="0.25">
      <c r="A3707" s="159">
        <v>630152</v>
      </c>
      <c r="B3707" s="159">
        <v>1</v>
      </c>
      <c r="C3707" s="158" t="str">
        <f t="shared" si="59"/>
        <v>1</v>
      </c>
    </row>
    <row r="3708" spans="1:3" x14ac:dyDescent="0.25">
      <c r="A3708" s="159">
        <v>630153</v>
      </c>
      <c r="B3708" s="159">
        <v>4</v>
      </c>
      <c r="C3708" s="158" t="str">
        <f t="shared" si="59"/>
        <v>4</v>
      </c>
    </row>
    <row r="3709" spans="1:3" x14ac:dyDescent="0.25">
      <c r="A3709" s="159">
        <v>630154</v>
      </c>
      <c r="B3709" s="159">
        <v>5</v>
      </c>
      <c r="C3709" s="158" t="str">
        <f t="shared" si="59"/>
        <v>5</v>
      </c>
    </row>
    <row r="3710" spans="1:3" x14ac:dyDescent="0.25">
      <c r="A3710" s="159">
        <v>630155</v>
      </c>
      <c r="B3710" s="159">
        <v>1</v>
      </c>
      <c r="C3710" s="158" t="str">
        <f t="shared" si="59"/>
        <v>1</v>
      </c>
    </row>
    <row r="3711" spans="1:3" x14ac:dyDescent="0.25">
      <c r="A3711" s="159">
        <v>630156</v>
      </c>
      <c r="B3711" s="159">
        <v>1</v>
      </c>
      <c r="C3711" s="158" t="str">
        <f t="shared" si="59"/>
        <v>1</v>
      </c>
    </row>
    <row r="3712" spans="1:3" x14ac:dyDescent="0.25">
      <c r="A3712" s="159">
        <v>630157</v>
      </c>
      <c r="B3712" s="159">
        <v>1</v>
      </c>
      <c r="C3712" s="158" t="str">
        <f t="shared" si="59"/>
        <v>1</v>
      </c>
    </row>
    <row r="3713" spans="1:3" x14ac:dyDescent="0.25">
      <c r="A3713" s="159">
        <v>630159</v>
      </c>
      <c r="B3713" s="159">
        <v>5</v>
      </c>
      <c r="C3713" s="158" t="str">
        <f t="shared" si="59"/>
        <v>5</v>
      </c>
    </row>
    <row r="3714" spans="1:3" x14ac:dyDescent="0.25">
      <c r="A3714" s="159">
        <v>630160</v>
      </c>
      <c r="B3714" s="159">
        <v>1</v>
      </c>
      <c r="C3714" s="158" t="str">
        <f t="shared" si="59"/>
        <v>1</v>
      </c>
    </row>
    <row r="3715" spans="1:3" x14ac:dyDescent="0.25">
      <c r="A3715" s="159">
        <v>630161</v>
      </c>
      <c r="B3715" s="159">
        <v>1</v>
      </c>
      <c r="C3715" s="158" t="str">
        <f t="shared" si="59"/>
        <v>1</v>
      </c>
    </row>
    <row r="3716" spans="1:3" x14ac:dyDescent="0.25">
      <c r="A3716" s="159">
        <v>630162</v>
      </c>
      <c r="B3716" s="159">
        <v>1</v>
      </c>
      <c r="C3716" s="158" t="str">
        <f t="shared" si="59"/>
        <v>1</v>
      </c>
    </row>
    <row r="3717" spans="1:3" x14ac:dyDescent="0.25">
      <c r="A3717" s="159">
        <v>630163</v>
      </c>
      <c r="B3717" s="159">
        <v>1</v>
      </c>
      <c r="C3717" s="158" t="str">
        <f t="shared" si="59"/>
        <v>1</v>
      </c>
    </row>
    <row r="3718" spans="1:3" x14ac:dyDescent="0.25">
      <c r="A3718" s="159">
        <v>630164</v>
      </c>
      <c r="B3718" s="159">
        <v>1</v>
      </c>
      <c r="C3718" s="158" t="str">
        <f t="shared" si="59"/>
        <v>1</v>
      </c>
    </row>
    <row r="3719" spans="1:3" x14ac:dyDescent="0.25">
      <c r="A3719" s="159">
        <v>630165</v>
      </c>
      <c r="B3719" s="159">
        <v>1</v>
      </c>
      <c r="C3719" s="158" t="str">
        <f t="shared" si="59"/>
        <v>1</v>
      </c>
    </row>
    <row r="3720" spans="1:3" x14ac:dyDescent="0.25">
      <c r="A3720" s="159">
        <v>630166</v>
      </c>
      <c r="B3720" s="159">
        <v>1</v>
      </c>
      <c r="C3720" s="158" t="str">
        <f t="shared" si="59"/>
        <v>1</v>
      </c>
    </row>
    <row r="3721" spans="1:3" x14ac:dyDescent="0.25">
      <c r="A3721" s="159">
        <v>630167</v>
      </c>
      <c r="B3721" s="159">
        <v>1</v>
      </c>
      <c r="C3721" s="158" t="str">
        <f t="shared" si="59"/>
        <v>1</v>
      </c>
    </row>
    <row r="3722" spans="1:3" x14ac:dyDescent="0.25">
      <c r="A3722" s="159">
        <v>630168</v>
      </c>
      <c r="B3722" s="159">
        <v>1</v>
      </c>
      <c r="C3722" s="158" t="str">
        <f t="shared" si="59"/>
        <v>1</v>
      </c>
    </row>
    <row r="3723" spans="1:3" x14ac:dyDescent="0.25">
      <c r="A3723" s="159">
        <v>630173</v>
      </c>
      <c r="B3723" s="159">
        <v>1</v>
      </c>
      <c r="C3723" s="158" t="str">
        <f t="shared" si="59"/>
        <v>1</v>
      </c>
    </row>
    <row r="3724" spans="1:3" x14ac:dyDescent="0.25">
      <c r="A3724" s="159">
        <v>630174</v>
      </c>
      <c r="B3724" s="159">
        <v>1</v>
      </c>
      <c r="C3724" s="158" t="str">
        <f t="shared" si="59"/>
        <v>1</v>
      </c>
    </row>
    <row r="3725" spans="1:3" x14ac:dyDescent="0.25">
      <c r="A3725" s="159">
        <v>630175</v>
      </c>
      <c r="B3725" s="159">
        <v>1</v>
      </c>
      <c r="C3725" s="158" t="str">
        <f t="shared" si="59"/>
        <v>1</v>
      </c>
    </row>
    <row r="3726" spans="1:3" x14ac:dyDescent="0.25">
      <c r="A3726" s="159">
        <v>630176</v>
      </c>
      <c r="B3726" s="159">
        <v>1</v>
      </c>
      <c r="C3726" s="158" t="str">
        <f t="shared" si="59"/>
        <v>1</v>
      </c>
    </row>
    <row r="3727" spans="1:3" x14ac:dyDescent="0.25">
      <c r="A3727" s="159">
        <v>630177</v>
      </c>
      <c r="B3727" s="159">
        <v>1</v>
      </c>
      <c r="C3727" s="158" t="str">
        <f t="shared" si="59"/>
        <v>1</v>
      </c>
    </row>
    <row r="3728" spans="1:3" x14ac:dyDescent="0.25">
      <c r="A3728" s="159">
        <v>630178</v>
      </c>
      <c r="B3728" s="159">
        <v>1</v>
      </c>
      <c r="C3728" s="158" t="str">
        <f t="shared" si="59"/>
        <v>1</v>
      </c>
    </row>
    <row r="3729" spans="1:3" x14ac:dyDescent="0.25">
      <c r="A3729" s="159">
        <v>630179</v>
      </c>
      <c r="B3729" s="159">
        <v>1</v>
      </c>
      <c r="C3729" s="158" t="str">
        <f t="shared" si="59"/>
        <v>1</v>
      </c>
    </row>
    <row r="3730" spans="1:3" x14ac:dyDescent="0.25">
      <c r="A3730" s="159">
        <v>630180</v>
      </c>
      <c r="B3730" s="159">
        <v>1</v>
      </c>
      <c r="C3730" s="158" t="str">
        <f t="shared" si="59"/>
        <v>1</v>
      </c>
    </row>
    <row r="3731" spans="1:3" x14ac:dyDescent="0.25">
      <c r="A3731" s="159">
        <v>630181</v>
      </c>
      <c r="B3731" s="159">
        <v>1</v>
      </c>
      <c r="C3731" s="158" t="str">
        <f t="shared" si="59"/>
        <v>1</v>
      </c>
    </row>
    <row r="3732" spans="1:3" x14ac:dyDescent="0.25">
      <c r="A3732" s="159">
        <v>630182</v>
      </c>
      <c r="B3732" s="159">
        <v>1</v>
      </c>
      <c r="C3732" s="158" t="str">
        <f t="shared" si="59"/>
        <v>1</v>
      </c>
    </row>
    <row r="3733" spans="1:3" x14ac:dyDescent="0.25">
      <c r="A3733" s="159">
        <v>630183</v>
      </c>
      <c r="B3733" s="159">
        <v>1</v>
      </c>
      <c r="C3733" s="158" t="str">
        <f t="shared" si="59"/>
        <v>1</v>
      </c>
    </row>
    <row r="3734" spans="1:3" x14ac:dyDescent="0.25">
      <c r="A3734" s="159">
        <v>630185</v>
      </c>
      <c r="B3734" s="159">
        <v>5</v>
      </c>
      <c r="C3734" s="158" t="str">
        <f t="shared" si="59"/>
        <v>5</v>
      </c>
    </row>
    <row r="3735" spans="1:3" x14ac:dyDescent="0.25">
      <c r="A3735" s="159">
        <v>630186</v>
      </c>
      <c r="B3735" s="159">
        <v>5</v>
      </c>
      <c r="C3735" s="158" t="str">
        <f t="shared" si="59"/>
        <v>5</v>
      </c>
    </row>
    <row r="3736" spans="1:3" x14ac:dyDescent="0.25">
      <c r="A3736" s="159">
        <v>630187</v>
      </c>
      <c r="B3736" s="159">
        <v>1</v>
      </c>
      <c r="C3736" s="158" t="str">
        <f t="shared" si="59"/>
        <v>1</v>
      </c>
    </row>
    <row r="3737" spans="1:3" x14ac:dyDescent="0.25">
      <c r="A3737" s="159">
        <v>630188</v>
      </c>
      <c r="B3737" s="159">
        <v>1</v>
      </c>
      <c r="C3737" s="158" t="str">
        <f t="shared" si="59"/>
        <v>1</v>
      </c>
    </row>
    <row r="3738" spans="1:3" x14ac:dyDescent="0.25">
      <c r="A3738" s="159">
        <v>630189</v>
      </c>
      <c r="B3738" s="159">
        <v>1</v>
      </c>
      <c r="C3738" s="158" t="str">
        <f t="shared" si="59"/>
        <v>1</v>
      </c>
    </row>
    <row r="3739" spans="1:3" x14ac:dyDescent="0.25">
      <c r="A3739" s="159">
        <v>630190</v>
      </c>
      <c r="B3739" s="159">
        <v>1</v>
      </c>
      <c r="C3739" s="158" t="str">
        <f t="shared" si="59"/>
        <v>1</v>
      </c>
    </row>
    <row r="3740" spans="1:3" x14ac:dyDescent="0.25">
      <c r="A3740" s="159">
        <v>630191</v>
      </c>
      <c r="B3740" s="159">
        <v>1</v>
      </c>
      <c r="C3740" s="158" t="str">
        <f t="shared" si="59"/>
        <v>1</v>
      </c>
    </row>
    <row r="3741" spans="1:3" x14ac:dyDescent="0.25">
      <c r="A3741" s="159">
        <v>630192</v>
      </c>
      <c r="B3741" s="159">
        <v>1</v>
      </c>
      <c r="C3741" s="158" t="str">
        <f t="shared" si="59"/>
        <v>1</v>
      </c>
    </row>
    <row r="3742" spans="1:3" x14ac:dyDescent="0.25">
      <c r="A3742" s="159">
        <v>630193</v>
      </c>
      <c r="B3742" s="159">
        <v>4</v>
      </c>
      <c r="C3742" s="158" t="str">
        <f t="shared" si="59"/>
        <v>4</v>
      </c>
    </row>
    <row r="3743" spans="1:3" x14ac:dyDescent="0.25">
      <c r="A3743" s="159">
        <v>630194</v>
      </c>
      <c r="B3743" s="159">
        <v>4</v>
      </c>
      <c r="C3743" s="158" t="str">
        <f t="shared" si="59"/>
        <v>4</v>
      </c>
    </row>
    <row r="3744" spans="1:3" x14ac:dyDescent="0.25">
      <c r="A3744" s="159">
        <v>630196</v>
      </c>
      <c r="B3744" s="159">
        <v>1</v>
      </c>
      <c r="C3744" s="158" t="str">
        <f t="shared" si="59"/>
        <v>1</v>
      </c>
    </row>
    <row r="3745" spans="1:3" x14ac:dyDescent="0.25">
      <c r="A3745" s="159">
        <v>630197</v>
      </c>
      <c r="B3745" s="159">
        <v>1</v>
      </c>
      <c r="C3745" s="158" t="str">
        <f t="shared" si="59"/>
        <v>1</v>
      </c>
    </row>
    <row r="3746" spans="1:3" x14ac:dyDescent="0.25">
      <c r="A3746" s="159">
        <v>630202</v>
      </c>
      <c r="B3746" s="159">
        <v>1</v>
      </c>
      <c r="C3746" s="158" t="str">
        <f t="shared" si="59"/>
        <v>1</v>
      </c>
    </row>
    <row r="3747" spans="1:3" x14ac:dyDescent="0.25">
      <c r="A3747" s="159">
        <v>630204</v>
      </c>
      <c r="B3747" s="159">
        <v>1</v>
      </c>
      <c r="C3747" s="158" t="str">
        <f t="shared" si="59"/>
        <v>1</v>
      </c>
    </row>
    <row r="3748" spans="1:3" x14ac:dyDescent="0.25">
      <c r="A3748" s="159">
        <v>630209</v>
      </c>
      <c r="B3748" s="159">
        <v>1</v>
      </c>
      <c r="C3748" s="158" t="str">
        <f t="shared" si="59"/>
        <v>1</v>
      </c>
    </row>
    <row r="3749" spans="1:3" x14ac:dyDescent="0.25">
      <c r="A3749" s="159">
        <v>630210</v>
      </c>
      <c r="B3749" s="159">
        <v>1</v>
      </c>
      <c r="C3749" s="158" t="str">
        <f t="shared" si="59"/>
        <v>1</v>
      </c>
    </row>
    <row r="3750" spans="1:3" x14ac:dyDescent="0.25">
      <c r="A3750" s="159">
        <v>630211</v>
      </c>
      <c r="B3750" s="159">
        <v>3</v>
      </c>
      <c r="C3750" s="158" t="str">
        <f t="shared" si="59"/>
        <v>3</v>
      </c>
    </row>
    <row r="3751" spans="1:3" x14ac:dyDescent="0.25">
      <c r="A3751" s="159">
        <v>630212</v>
      </c>
      <c r="B3751" s="159">
        <v>1</v>
      </c>
      <c r="C3751" s="158" t="str">
        <f t="shared" si="59"/>
        <v>1</v>
      </c>
    </row>
    <row r="3752" spans="1:3" x14ac:dyDescent="0.25">
      <c r="A3752" s="159">
        <v>630213</v>
      </c>
      <c r="B3752" s="159">
        <v>1</v>
      </c>
      <c r="C3752" s="158" t="str">
        <f t="shared" si="59"/>
        <v>1</v>
      </c>
    </row>
    <row r="3753" spans="1:3" x14ac:dyDescent="0.25">
      <c r="A3753" s="159">
        <v>630214</v>
      </c>
      <c r="B3753" s="159">
        <v>1</v>
      </c>
      <c r="C3753" s="158" t="str">
        <f t="shared" si="59"/>
        <v>1</v>
      </c>
    </row>
    <row r="3754" spans="1:3" x14ac:dyDescent="0.25">
      <c r="A3754" s="159">
        <v>630215</v>
      </c>
      <c r="B3754" s="159">
        <v>1</v>
      </c>
      <c r="C3754" s="158" t="str">
        <f t="shared" si="59"/>
        <v>1</v>
      </c>
    </row>
    <row r="3755" spans="1:3" x14ac:dyDescent="0.25">
      <c r="A3755" s="159">
        <v>630216</v>
      </c>
      <c r="B3755" s="159">
        <v>1</v>
      </c>
      <c r="C3755" s="158" t="str">
        <f t="shared" si="59"/>
        <v>1</v>
      </c>
    </row>
    <row r="3756" spans="1:3" x14ac:dyDescent="0.25">
      <c r="A3756" s="159">
        <v>630217</v>
      </c>
      <c r="B3756" s="159">
        <v>3</v>
      </c>
      <c r="C3756" s="158" t="str">
        <f t="shared" si="59"/>
        <v>3</v>
      </c>
    </row>
    <row r="3757" spans="1:3" x14ac:dyDescent="0.25">
      <c r="A3757" s="159">
        <v>630218</v>
      </c>
      <c r="B3757" s="159">
        <v>3</v>
      </c>
      <c r="C3757" s="158" t="str">
        <f t="shared" si="59"/>
        <v>3</v>
      </c>
    </row>
    <row r="3758" spans="1:3" x14ac:dyDescent="0.25">
      <c r="A3758" s="159">
        <v>630219</v>
      </c>
      <c r="B3758" s="159">
        <v>1</v>
      </c>
      <c r="C3758" s="158" t="str">
        <f t="shared" si="59"/>
        <v>1</v>
      </c>
    </row>
    <row r="3759" spans="1:3" x14ac:dyDescent="0.25">
      <c r="A3759" s="159">
        <v>630220</v>
      </c>
      <c r="B3759" s="159">
        <v>1</v>
      </c>
      <c r="C3759" s="158" t="str">
        <f t="shared" si="59"/>
        <v>1</v>
      </c>
    </row>
    <row r="3760" spans="1:3" x14ac:dyDescent="0.25">
      <c r="A3760" s="159">
        <v>630221</v>
      </c>
      <c r="B3760" s="159">
        <v>1</v>
      </c>
      <c r="C3760" s="158" t="str">
        <f t="shared" si="59"/>
        <v>1</v>
      </c>
    </row>
    <row r="3761" spans="1:3" x14ac:dyDescent="0.25">
      <c r="A3761" s="159">
        <v>630222</v>
      </c>
      <c r="B3761" s="159">
        <v>1</v>
      </c>
      <c r="C3761" s="158" t="str">
        <f t="shared" si="59"/>
        <v>1</v>
      </c>
    </row>
    <row r="3762" spans="1:3" x14ac:dyDescent="0.25">
      <c r="A3762" s="159">
        <v>630223</v>
      </c>
      <c r="B3762" s="159">
        <v>5</v>
      </c>
      <c r="C3762" s="158" t="str">
        <f t="shared" si="59"/>
        <v>5</v>
      </c>
    </row>
    <row r="3763" spans="1:3" x14ac:dyDescent="0.25">
      <c r="A3763" s="159">
        <v>630224</v>
      </c>
      <c r="B3763" s="159">
        <v>1</v>
      </c>
      <c r="C3763" s="158" t="str">
        <f t="shared" si="59"/>
        <v>1</v>
      </c>
    </row>
    <row r="3764" spans="1:3" x14ac:dyDescent="0.25">
      <c r="A3764" s="159">
        <v>630225</v>
      </c>
      <c r="B3764" s="159">
        <v>1</v>
      </c>
      <c r="C3764" s="158" t="str">
        <f t="shared" si="59"/>
        <v>1</v>
      </c>
    </row>
    <row r="3765" spans="1:3" x14ac:dyDescent="0.25">
      <c r="A3765" s="159">
        <v>630226</v>
      </c>
      <c r="B3765" s="159">
        <v>1</v>
      </c>
      <c r="C3765" s="158" t="str">
        <f t="shared" si="59"/>
        <v>1</v>
      </c>
    </row>
    <row r="3766" spans="1:3" x14ac:dyDescent="0.25">
      <c r="A3766" s="159">
        <v>630227</v>
      </c>
      <c r="B3766" s="159">
        <v>1</v>
      </c>
      <c r="C3766" s="158" t="str">
        <f t="shared" ref="C3766:C3829" si="60">IF(OR(B3766=0,B3766=1,B3766=2,B3766=3,B3766=4,B3766=5),TEXT(B3766,"0"),B3766)</f>
        <v>1</v>
      </c>
    </row>
    <row r="3767" spans="1:3" x14ac:dyDescent="0.25">
      <c r="A3767" s="159">
        <v>630228</v>
      </c>
      <c r="B3767" s="159">
        <v>1</v>
      </c>
      <c r="C3767" s="158" t="str">
        <f t="shared" si="60"/>
        <v>1</v>
      </c>
    </row>
    <row r="3768" spans="1:3" x14ac:dyDescent="0.25">
      <c r="A3768" s="159">
        <v>630229</v>
      </c>
      <c r="B3768" s="159">
        <v>5</v>
      </c>
      <c r="C3768" s="158" t="str">
        <f t="shared" si="60"/>
        <v>5</v>
      </c>
    </row>
    <row r="3769" spans="1:3" x14ac:dyDescent="0.25">
      <c r="A3769" s="159">
        <v>630230</v>
      </c>
      <c r="B3769" s="159">
        <v>4</v>
      </c>
      <c r="C3769" s="158" t="str">
        <f t="shared" si="60"/>
        <v>4</v>
      </c>
    </row>
    <row r="3770" spans="1:3" x14ac:dyDescent="0.25">
      <c r="A3770" s="159">
        <v>630233</v>
      </c>
      <c r="B3770" s="159">
        <v>1</v>
      </c>
      <c r="C3770" s="158" t="str">
        <f t="shared" si="60"/>
        <v>1</v>
      </c>
    </row>
    <row r="3771" spans="1:3" x14ac:dyDescent="0.25">
      <c r="A3771" s="159">
        <v>630234</v>
      </c>
      <c r="B3771" s="159">
        <v>1</v>
      </c>
      <c r="C3771" s="158" t="str">
        <f t="shared" si="60"/>
        <v>1</v>
      </c>
    </row>
    <row r="3772" spans="1:3" x14ac:dyDescent="0.25">
      <c r="A3772" s="159">
        <v>630235</v>
      </c>
      <c r="B3772" s="159">
        <v>1</v>
      </c>
      <c r="C3772" s="158" t="str">
        <f t="shared" si="60"/>
        <v>1</v>
      </c>
    </row>
    <row r="3773" spans="1:3" x14ac:dyDescent="0.25">
      <c r="A3773" s="159">
        <v>630236</v>
      </c>
      <c r="B3773" s="159">
        <v>1</v>
      </c>
      <c r="C3773" s="158" t="str">
        <f t="shared" si="60"/>
        <v>1</v>
      </c>
    </row>
    <row r="3774" spans="1:3" x14ac:dyDescent="0.25">
      <c r="A3774" s="159">
        <v>630237</v>
      </c>
      <c r="B3774" s="159">
        <v>1</v>
      </c>
      <c r="C3774" s="158" t="str">
        <f t="shared" si="60"/>
        <v>1</v>
      </c>
    </row>
    <row r="3775" spans="1:3" x14ac:dyDescent="0.25">
      <c r="A3775" s="159">
        <v>630238</v>
      </c>
      <c r="B3775" s="159">
        <v>1</v>
      </c>
      <c r="C3775" s="158" t="str">
        <f t="shared" si="60"/>
        <v>1</v>
      </c>
    </row>
    <row r="3776" spans="1:3" x14ac:dyDescent="0.25">
      <c r="A3776" s="159">
        <v>630242</v>
      </c>
      <c r="B3776" s="159">
        <v>3</v>
      </c>
      <c r="C3776" s="158" t="str">
        <f t="shared" si="60"/>
        <v>3</v>
      </c>
    </row>
    <row r="3777" spans="1:3" x14ac:dyDescent="0.25">
      <c r="A3777" s="159">
        <v>630243</v>
      </c>
      <c r="B3777" s="159">
        <v>1</v>
      </c>
      <c r="C3777" s="158" t="str">
        <f t="shared" si="60"/>
        <v>1</v>
      </c>
    </row>
    <row r="3778" spans="1:3" x14ac:dyDescent="0.25">
      <c r="A3778" s="159">
        <v>630244</v>
      </c>
      <c r="B3778" s="159">
        <v>1</v>
      </c>
      <c r="C3778" s="158" t="str">
        <f t="shared" si="60"/>
        <v>1</v>
      </c>
    </row>
    <row r="3779" spans="1:3" x14ac:dyDescent="0.25">
      <c r="A3779" s="159">
        <v>630245</v>
      </c>
      <c r="B3779" s="159">
        <v>1</v>
      </c>
      <c r="C3779" s="158" t="str">
        <f t="shared" si="60"/>
        <v>1</v>
      </c>
    </row>
    <row r="3780" spans="1:3" x14ac:dyDescent="0.25">
      <c r="A3780" s="159">
        <v>630246</v>
      </c>
      <c r="B3780" s="159" t="s">
        <v>437</v>
      </c>
      <c r="C3780" s="158" t="str">
        <f t="shared" si="60"/>
        <v>1S</v>
      </c>
    </row>
    <row r="3781" spans="1:3" x14ac:dyDescent="0.25">
      <c r="A3781" s="159">
        <v>630247</v>
      </c>
      <c r="B3781" s="159">
        <v>1</v>
      </c>
      <c r="C3781" s="158" t="str">
        <f t="shared" si="60"/>
        <v>1</v>
      </c>
    </row>
    <row r="3782" spans="1:3" x14ac:dyDescent="0.25">
      <c r="A3782" s="159">
        <v>630248</v>
      </c>
      <c r="B3782" s="159">
        <v>1</v>
      </c>
      <c r="C3782" s="158" t="str">
        <f t="shared" si="60"/>
        <v>1</v>
      </c>
    </row>
    <row r="3783" spans="1:3" x14ac:dyDescent="0.25">
      <c r="A3783" s="159">
        <v>630249</v>
      </c>
      <c r="B3783" s="159">
        <v>1</v>
      </c>
      <c r="C3783" s="158" t="str">
        <f t="shared" si="60"/>
        <v>1</v>
      </c>
    </row>
    <row r="3784" spans="1:3" x14ac:dyDescent="0.25">
      <c r="A3784" s="159">
        <v>630250</v>
      </c>
      <c r="B3784" s="159">
        <v>1</v>
      </c>
      <c r="C3784" s="158" t="str">
        <f t="shared" si="60"/>
        <v>1</v>
      </c>
    </row>
    <row r="3785" spans="1:3" x14ac:dyDescent="0.25">
      <c r="A3785" s="159">
        <v>630251</v>
      </c>
      <c r="B3785" s="159">
        <v>1</v>
      </c>
      <c r="C3785" s="158" t="str">
        <f t="shared" si="60"/>
        <v>1</v>
      </c>
    </row>
    <row r="3786" spans="1:3" x14ac:dyDescent="0.25">
      <c r="A3786" s="159">
        <v>630252</v>
      </c>
      <c r="B3786" s="159">
        <v>1</v>
      </c>
      <c r="C3786" s="158" t="str">
        <f t="shared" si="60"/>
        <v>1</v>
      </c>
    </row>
    <row r="3787" spans="1:3" x14ac:dyDescent="0.25">
      <c r="A3787" s="159">
        <v>630253</v>
      </c>
      <c r="B3787" s="159">
        <v>1</v>
      </c>
      <c r="C3787" s="158" t="str">
        <f t="shared" si="60"/>
        <v>1</v>
      </c>
    </row>
    <row r="3788" spans="1:3" x14ac:dyDescent="0.25">
      <c r="A3788" s="159">
        <v>630254</v>
      </c>
      <c r="B3788" s="159">
        <v>1</v>
      </c>
      <c r="C3788" s="158" t="str">
        <f t="shared" si="60"/>
        <v>1</v>
      </c>
    </row>
    <row r="3789" spans="1:3" x14ac:dyDescent="0.25">
      <c r="A3789" s="159">
        <v>630255</v>
      </c>
      <c r="B3789" s="159">
        <v>1</v>
      </c>
      <c r="C3789" s="158" t="str">
        <f t="shared" si="60"/>
        <v>1</v>
      </c>
    </row>
    <row r="3790" spans="1:3" x14ac:dyDescent="0.25">
      <c r="A3790" s="159">
        <v>630256</v>
      </c>
      <c r="B3790" s="159">
        <v>1</v>
      </c>
      <c r="C3790" s="158" t="str">
        <f t="shared" si="60"/>
        <v>1</v>
      </c>
    </row>
    <row r="3791" spans="1:3" x14ac:dyDescent="0.25">
      <c r="A3791" s="159">
        <v>630257</v>
      </c>
      <c r="B3791" s="159">
        <v>1</v>
      </c>
      <c r="C3791" s="158" t="str">
        <f t="shared" si="60"/>
        <v>1</v>
      </c>
    </row>
    <row r="3792" spans="1:3" x14ac:dyDescent="0.25">
      <c r="A3792" s="159">
        <v>630258</v>
      </c>
      <c r="B3792" s="159">
        <v>3</v>
      </c>
      <c r="C3792" s="158" t="str">
        <f t="shared" si="60"/>
        <v>3</v>
      </c>
    </row>
    <row r="3793" spans="1:3" x14ac:dyDescent="0.25">
      <c r="A3793" s="159">
        <v>630259</v>
      </c>
      <c r="B3793" s="159">
        <v>1</v>
      </c>
      <c r="C3793" s="158" t="str">
        <f t="shared" si="60"/>
        <v>1</v>
      </c>
    </row>
    <row r="3794" spans="1:3" x14ac:dyDescent="0.25">
      <c r="A3794" s="159">
        <v>630260</v>
      </c>
      <c r="B3794" s="159">
        <v>1</v>
      </c>
      <c r="C3794" s="158" t="str">
        <f t="shared" si="60"/>
        <v>1</v>
      </c>
    </row>
    <row r="3795" spans="1:3" x14ac:dyDescent="0.25">
      <c r="A3795" s="159">
        <v>630261</v>
      </c>
      <c r="B3795" s="159">
        <v>1</v>
      </c>
      <c r="C3795" s="158" t="str">
        <f t="shared" si="60"/>
        <v>1</v>
      </c>
    </row>
    <row r="3796" spans="1:3" x14ac:dyDescent="0.25">
      <c r="A3796" s="159">
        <v>630262</v>
      </c>
      <c r="B3796" s="159">
        <v>1</v>
      </c>
      <c r="C3796" s="158" t="str">
        <f t="shared" si="60"/>
        <v>1</v>
      </c>
    </row>
    <row r="3797" spans="1:3" x14ac:dyDescent="0.25">
      <c r="A3797" s="159">
        <v>630263</v>
      </c>
      <c r="B3797" s="159">
        <v>1</v>
      </c>
      <c r="C3797" s="158" t="str">
        <f t="shared" si="60"/>
        <v>1</v>
      </c>
    </row>
    <row r="3798" spans="1:3" x14ac:dyDescent="0.25">
      <c r="A3798" s="159">
        <v>630264</v>
      </c>
      <c r="B3798" s="159">
        <v>3</v>
      </c>
      <c r="C3798" s="158" t="str">
        <f t="shared" si="60"/>
        <v>3</v>
      </c>
    </row>
    <row r="3799" spans="1:3" x14ac:dyDescent="0.25">
      <c r="A3799" s="159">
        <v>630265</v>
      </c>
      <c r="B3799" s="159">
        <v>1</v>
      </c>
      <c r="C3799" s="158" t="str">
        <f t="shared" si="60"/>
        <v>1</v>
      </c>
    </row>
    <row r="3800" spans="1:3" x14ac:dyDescent="0.25">
      <c r="A3800" s="159">
        <v>630268</v>
      </c>
      <c r="B3800" s="159">
        <v>4</v>
      </c>
      <c r="C3800" s="158" t="str">
        <f t="shared" si="60"/>
        <v>4</v>
      </c>
    </row>
    <row r="3801" spans="1:3" x14ac:dyDescent="0.25">
      <c r="A3801" s="159">
        <v>630269</v>
      </c>
      <c r="B3801" s="159">
        <v>1</v>
      </c>
      <c r="C3801" s="158" t="str">
        <f t="shared" si="60"/>
        <v>1</v>
      </c>
    </row>
    <row r="3802" spans="1:3" x14ac:dyDescent="0.25">
      <c r="A3802" s="159">
        <v>630270</v>
      </c>
      <c r="B3802" s="159">
        <v>1</v>
      </c>
      <c r="C3802" s="158" t="str">
        <f t="shared" si="60"/>
        <v>1</v>
      </c>
    </row>
    <row r="3803" spans="1:3" x14ac:dyDescent="0.25">
      <c r="A3803" s="159">
        <v>630271</v>
      </c>
      <c r="B3803" s="159">
        <v>1</v>
      </c>
      <c r="C3803" s="158" t="str">
        <f t="shared" si="60"/>
        <v>1</v>
      </c>
    </row>
    <row r="3804" spans="1:3" x14ac:dyDescent="0.25">
      <c r="A3804" s="159">
        <v>630272</v>
      </c>
      <c r="B3804" s="159">
        <v>1</v>
      </c>
      <c r="C3804" s="158" t="str">
        <f t="shared" si="60"/>
        <v>1</v>
      </c>
    </row>
    <row r="3805" spans="1:3" x14ac:dyDescent="0.25">
      <c r="A3805" s="159">
        <v>630273</v>
      </c>
      <c r="B3805" s="159">
        <v>1</v>
      </c>
      <c r="C3805" s="158" t="str">
        <f t="shared" si="60"/>
        <v>1</v>
      </c>
    </row>
    <row r="3806" spans="1:3" x14ac:dyDescent="0.25">
      <c r="A3806" s="159">
        <v>630274</v>
      </c>
      <c r="B3806" s="159">
        <v>1</v>
      </c>
      <c r="C3806" s="158" t="str">
        <f t="shared" si="60"/>
        <v>1</v>
      </c>
    </row>
    <row r="3807" spans="1:3" x14ac:dyDescent="0.25">
      <c r="A3807" s="159">
        <v>630275</v>
      </c>
      <c r="B3807" s="159">
        <v>1</v>
      </c>
      <c r="C3807" s="158" t="str">
        <f t="shared" si="60"/>
        <v>1</v>
      </c>
    </row>
    <row r="3808" spans="1:3" x14ac:dyDescent="0.25">
      <c r="A3808" s="159">
        <v>630276</v>
      </c>
      <c r="B3808" s="159">
        <v>3</v>
      </c>
      <c r="C3808" s="158" t="str">
        <f t="shared" si="60"/>
        <v>3</v>
      </c>
    </row>
    <row r="3809" spans="1:3" x14ac:dyDescent="0.25">
      <c r="A3809" s="159">
        <v>630277</v>
      </c>
      <c r="B3809" s="159">
        <v>1</v>
      </c>
      <c r="C3809" s="158" t="str">
        <f t="shared" si="60"/>
        <v>1</v>
      </c>
    </row>
    <row r="3810" spans="1:3" x14ac:dyDescent="0.25">
      <c r="A3810" s="159">
        <v>630278</v>
      </c>
      <c r="B3810" s="159">
        <v>1</v>
      </c>
      <c r="C3810" s="158" t="str">
        <f t="shared" si="60"/>
        <v>1</v>
      </c>
    </row>
    <row r="3811" spans="1:3" x14ac:dyDescent="0.25">
      <c r="A3811" s="159">
        <v>630279</v>
      </c>
      <c r="B3811" s="159">
        <v>1</v>
      </c>
      <c r="C3811" s="158" t="str">
        <f t="shared" si="60"/>
        <v>1</v>
      </c>
    </row>
    <row r="3812" spans="1:3" x14ac:dyDescent="0.25">
      <c r="A3812" s="159">
        <v>630280</v>
      </c>
      <c r="B3812" s="159">
        <v>1</v>
      </c>
      <c r="C3812" s="158" t="str">
        <f t="shared" si="60"/>
        <v>1</v>
      </c>
    </row>
    <row r="3813" spans="1:3" x14ac:dyDescent="0.25">
      <c r="A3813" s="159">
        <v>630281</v>
      </c>
      <c r="B3813" s="159">
        <v>1</v>
      </c>
      <c r="C3813" s="158" t="str">
        <f t="shared" si="60"/>
        <v>1</v>
      </c>
    </row>
    <row r="3814" spans="1:3" x14ac:dyDescent="0.25">
      <c r="A3814" s="159">
        <v>630282</v>
      </c>
      <c r="B3814" s="159">
        <v>1</v>
      </c>
      <c r="C3814" s="158" t="str">
        <f t="shared" si="60"/>
        <v>1</v>
      </c>
    </row>
    <row r="3815" spans="1:3" x14ac:dyDescent="0.25">
      <c r="A3815" s="159">
        <v>630283</v>
      </c>
      <c r="B3815" s="159">
        <v>1</v>
      </c>
      <c r="C3815" s="158" t="str">
        <f t="shared" si="60"/>
        <v>1</v>
      </c>
    </row>
    <row r="3816" spans="1:3" x14ac:dyDescent="0.25">
      <c r="A3816" s="159">
        <v>630284</v>
      </c>
      <c r="B3816" s="159">
        <v>1</v>
      </c>
      <c r="C3816" s="158" t="str">
        <f t="shared" si="60"/>
        <v>1</v>
      </c>
    </row>
    <row r="3817" spans="1:3" x14ac:dyDescent="0.25">
      <c r="A3817" s="159">
        <v>630285</v>
      </c>
      <c r="B3817" s="159">
        <v>1</v>
      </c>
      <c r="C3817" s="158" t="str">
        <f t="shared" si="60"/>
        <v>1</v>
      </c>
    </row>
    <row r="3818" spans="1:3" x14ac:dyDescent="0.25">
      <c r="A3818" s="159">
        <v>630286</v>
      </c>
      <c r="B3818" s="159">
        <v>1</v>
      </c>
      <c r="C3818" s="158" t="str">
        <f t="shared" si="60"/>
        <v>1</v>
      </c>
    </row>
    <row r="3819" spans="1:3" x14ac:dyDescent="0.25">
      <c r="A3819" s="159">
        <v>630288</v>
      </c>
      <c r="B3819" s="159">
        <v>1</v>
      </c>
      <c r="C3819" s="158" t="str">
        <f t="shared" si="60"/>
        <v>1</v>
      </c>
    </row>
    <row r="3820" spans="1:3" x14ac:dyDescent="0.25">
      <c r="A3820" s="159">
        <v>630289</v>
      </c>
      <c r="B3820" s="159">
        <v>1</v>
      </c>
      <c r="C3820" s="158" t="str">
        <f t="shared" si="60"/>
        <v>1</v>
      </c>
    </row>
    <row r="3821" spans="1:3" x14ac:dyDescent="0.25">
      <c r="A3821" s="159">
        <v>630290</v>
      </c>
      <c r="B3821" s="159">
        <v>1</v>
      </c>
      <c r="C3821" s="158" t="str">
        <f t="shared" si="60"/>
        <v>1</v>
      </c>
    </row>
    <row r="3822" spans="1:3" x14ac:dyDescent="0.25">
      <c r="A3822" s="159">
        <v>630291</v>
      </c>
      <c r="B3822" s="159">
        <v>1</v>
      </c>
      <c r="C3822" s="158" t="str">
        <f t="shared" si="60"/>
        <v>1</v>
      </c>
    </row>
    <row r="3823" spans="1:3" x14ac:dyDescent="0.25">
      <c r="A3823" s="159">
        <v>630292</v>
      </c>
      <c r="B3823" s="159">
        <v>1</v>
      </c>
      <c r="C3823" s="158" t="str">
        <f t="shared" si="60"/>
        <v>1</v>
      </c>
    </row>
    <row r="3824" spans="1:3" x14ac:dyDescent="0.25">
      <c r="A3824" s="159">
        <v>630293</v>
      </c>
      <c r="B3824" s="159">
        <v>1</v>
      </c>
      <c r="C3824" s="158" t="str">
        <f t="shared" si="60"/>
        <v>1</v>
      </c>
    </row>
    <row r="3825" spans="1:3" x14ac:dyDescent="0.25">
      <c r="A3825" s="159">
        <v>630294</v>
      </c>
      <c r="B3825" s="159">
        <v>1</v>
      </c>
      <c r="C3825" s="158" t="str">
        <f t="shared" si="60"/>
        <v>1</v>
      </c>
    </row>
    <row r="3826" spans="1:3" x14ac:dyDescent="0.25">
      <c r="A3826" s="159">
        <v>630295</v>
      </c>
      <c r="B3826" s="159">
        <v>1</v>
      </c>
      <c r="C3826" s="158" t="str">
        <f t="shared" si="60"/>
        <v>1</v>
      </c>
    </row>
    <row r="3827" spans="1:3" x14ac:dyDescent="0.25">
      <c r="A3827" s="159">
        <v>630296</v>
      </c>
      <c r="B3827" s="159">
        <v>1</v>
      </c>
      <c r="C3827" s="158" t="str">
        <f t="shared" si="60"/>
        <v>1</v>
      </c>
    </row>
    <row r="3828" spans="1:3" x14ac:dyDescent="0.25">
      <c r="A3828" s="159">
        <v>630297</v>
      </c>
      <c r="B3828" s="159">
        <v>1</v>
      </c>
      <c r="C3828" s="158" t="str">
        <f t="shared" si="60"/>
        <v>1</v>
      </c>
    </row>
    <row r="3829" spans="1:3" x14ac:dyDescent="0.25">
      <c r="A3829" s="159">
        <v>630298</v>
      </c>
      <c r="B3829" s="159">
        <v>3</v>
      </c>
      <c r="C3829" s="158" t="str">
        <f t="shared" si="60"/>
        <v>3</v>
      </c>
    </row>
    <row r="3830" spans="1:3" x14ac:dyDescent="0.25">
      <c r="A3830" s="159">
        <v>630299</v>
      </c>
      <c r="B3830" s="159">
        <v>3</v>
      </c>
      <c r="C3830" s="158" t="str">
        <f t="shared" ref="C3830:C3893" si="61">IF(OR(B3830=0,B3830=1,B3830=2,B3830=3,B3830=4,B3830=5),TEXT(B3830,"0"),B3830)</f>
        <v>3</v>
      </c>
    </row>
    <row r="3831" spans="1:3" x14ac:dyDescent="0.25">
      <c r="A3831" s="159">
        <v>630300</v>
      </c>
      <c r="B3831" s="159">
        <v>1</v>
      </c>
      <c r="C3831" s="158" t="str">
        <f t="shared" si="61"/>
        <v>1</v>
      </c>
    </row>
    <row r="3832" spans="1:3" x14ac:dyDescent="0.25">
      <c r="A3832" s="159">
        <v>630301</v>
      </c>
      <c r="B3832" s="159">
        <v>1</v>
      </c>
      <c r="C3832" s="158" t="str">
        <f t="shared" si="61"/>
        <v>1</v>
      </c>
    </row>
    <row r="3833" spans="1:3" x14ac:dyDescent="0.25">
      <c r="A3833" s="159">
        <v>630302</v>
      </c>
      <c r="B3833" s="159">
        <v>1</v>
      </c>
      <c r="C3833" s="158" t="str">
        <f t="shared" si="61"/>
        <v>1</v>
      </c>
    </row>
    <row r="3834" spans="1:3" x14ac:dyDescent="0.25">
      <c r="A3834" s="159">
        <v>630303</v>
      </c>
      <c r="B3834" s="159">
        <v>1</v>
      </c>
      <c r="C3834" s="158" t="str">
        <f t="shared" si="61"/>
        <v>1</v>
      </c>
    </row>
    <row r="3835" spans="1:3" x14ac:dyDescent="0.25">
      <c r="A3835" s="159">
        <v>630304</v>
      </c>
      <c r="B3835" s="159">
        <v>1</v>
      </c>
      <c r="C3835" s="158" t="str">
        <f t="shared" si="61"/>
        <v>1</v>
      </c>
    </row>
    <row r="3836" spans="1:3" x14ac:dyDescent="0.25">
      <c r="A3836" s="159">
        <v>630305</v>
      </c>
      <c r="B3836" s="159">
        <v>1</v>
      </c>
      <c r="C3836" s="158" t="str">
        <f t="shared" si="61"/>
        <v>1</v>
      </c>
    </row>
    <row r="3837" spans="1:3" x14ac:dyDescent="0.25">
      <c r="A3837" s="159">
        <v>630306</v>
      </c>
      <c r="B3837" s="159">
        <v>4</v>
      </c>
      <c r="C3837" s="158" t="str">
        <f t="shared" si="61"/>
        <v>4</v>
      </c>
    </row>
    <row r="3838" spans="1:3" x14ac:dyDescent="0.25">
      <c r="A3838" s="159">
        <v>630307</v>
      </c>
      <c r="B3838" s="159">
        <v>1</v>
      </c>
      <c r="C3838" s="158" t="str">
        <f t="shared" si="61"/>
        <v>1</v>
      </c>
    </row>
    <row r="3839" spans="1:3" x14ac:dyDescent="0.25">
      <c r="A3839" s="159">
        <v>630308</v>
      </c>
      <c r="B3839" s="159">
        <v>1</v>
      </c>
      <c r="C3839" s="158" t="str">
        <f t="shared" si="61"/>
        <v>1</v>
      </c>
    </row>
    <row r="3840" spans="1:3" x14ac:dyDescent="0.25">
      <c r="A3840" s="159">
        <v>630309</v>
      </c>
      <c r="B3840" s="159">
        <v>1</v>
      </c>
      <c r="C3840" s="158" t="str">
        <f t="shared" si="61"/>
        <v>1</v>
      </c>
    </row>
    <row r="3841" spans="1:3" x14ac:dyDescent="0.25">
      <c r="A3841" s="159">
        <v>630310</v>
      </c>
      <c r="B3841" s="159">
        <v>1</v>
      </c>
      <c r="C3841" s="158" t="str">
        <f t="shared" si="61"/>
        <v>1</v>
      </c>
    </row>
    <row r="3842" spans="1:3" x14ac:dyDescent="0.25">
      <c r="A3842" s="159">
        <v>630311</v>
      </c>
      <c r="B3842" s="159">
        <v>3</v>
      </c>
      <c r="C3842" s="158" t="str">
        <f t="shared" si="61"/>
        <v>3</v>
      </c>
    </row>
    <row r="3843" spans="1:3" x14ac:dyDescent="0.25">
      <c r="A3843" s="159">
        <v>630312</v>
      </c>
      <c r="B3843" s="159">
        <v>1</v>
      </c>
      <c r="C3843" s="158" t="str">
        <f t="shared" si="61"/>
        <v>1</v>
      </c>
    </row>
    <row r="3844" spans="1:3" x14ac:dyDescent="0.25">
      <c r="A3844" s="159">
        <v>630313</v>
      </c>
      <c r="B3844" s="159">
        <v>1</v>
      </c>
      <c r="C3844" s="158" t="str">
        <f t="shared" si="61"/>
        <v>1</v>
      </c>
    </row>
    <row r="3845" spans="1:3" x14ac:dyDescent="0.25">
      <c r="A3845" s="159">
        <v>630314</v>
      </c>
      <c r="B3845" s="159">
        <v>1</v>
      </c>
      <c r="C3845" s="158" t="str">
        <f t="shared" si="61"/>
        <v>1</v>
      </c>
    </row>
    <row r="3846" spans="1:3" x14ac:dyDescent="0.25">
      <c r="A3846" s="159">
        <v>630315</v>
      </c>
      <c r="B3846" s="159">
        <v>1</v>
      </c>
      <c r="C3846" s="158" t="str">
        <f t="shared" si="61"/>
        <v>1</v>
      </c>
    </row>
    <row r="3847" spans="1:3" x14ac:dyDescent="0.25">
      <c r="A3847" s="159">
        <v>630316</v>
      </c>
      <c r="B3847" s="159">
        <v>1</v>
      </c>
      <c r="C3847" s="158" t="str">
        <f t="shared" si="61"/>
        <v>1</v>
      </c>
    </row>
    <row r="3848" spans="1:3" x14ac:dyDescent="0.25">
      <c r="A3848" s="159">
        <v>630317</v>
      </c>
      <c r="B3848" s="159">
        <v>1</v>
      </c>
      <c r="C3848" s="158" t="str">
        <f t="shared" si="61"/>
        <v>1</v>
      </c>
    </row>
    <row r="3849" spans="1:3" x14ac:dyDescent="0.25">
      <c r="A3849" s="159">
        <v>630318</v>
      </c>
      <c r="B3849" s="159">
        <v>1</v>
      </c>
      <c r="C3849" s="158" t="str">
        <f t="shared" si="61"/>
        <v>1</v>
      </c>
    </row>
    <row r="3850" spans="1:3" x14ac:dyDescent="0.25">
      <c r="A3850" s="159">
        <v>630319</v>
      </c>
      <c r="B3850" s="159">
        <v>1</v>
      </c>
      <c r="C3850" s="158" t="str">
        <f t="shared" si="61"/>
        <v>1</v>
      </c>
    </row>
    <row r="3851" spans="1:3" x14ac:dyDescent="0.25">
      <c r="A3851" s="159">
        <v>630320</v>
      </c>
      <c r="B3851" s="159">
        <v>3</v>
      </c>
      <c r="C3851" s="158" t="str">
        <f t="shared" si="61"/>
        <v>3</v>
      </c>
    </row>
    <row r="3852" spans="1:3" x14ac:dyDescent="0.25">
      <c r="A3852" s="159">
        <v>630321</v>
      </c>
      <c r="B3852" s="159">
        <v>1</v>
      </c>
      <c r="C3852" s="158" t="str">
        <f t="shared" si="61"/>
        <v>1</v>
      </c>
    </row>
    <row r="3853" spans="1:3" x14ac:dyDescent="0.25">
      <c r="A3853" s="159">
        <v>630323</v>
      </c>
      <c r="B3853" s="159">
        <v>1</v>
      </c>
      <c r="C3853" s="158" t="str">
        <f t="shared" si="61"/>
        <v>1</v>
      </c>
    </row>
    <row r="3854" spans="1:3" x14ac:dyDescent="0.25">
      <c r="A3854" s="159">
        <v>630325</v>
      </c>
      <c r="B3854" s="159">
        <v>1</v>
      </c>
      <c r="C3854" s="158" t="str">
        <f t="shared" si="61"/>
        <v>1</v>
      </c>
    </row>
    <row r="3855" spans="1:3" x14ac:dyDescent="0.25">
      <c r="A3855" s="159">
        <v>630326</v>
      </c>
      <c r="B3855" s="159">
        <v>5</v>
      </c>
      <c r="C3855" s="158" t="str">
        <f t="shared" si="61"/>
        <v>5</v>
      </c>
    </row>
    <row r="3856" spans="1:3" x14ac:dyDescent="0.25">
      <c r="A3856" s="159">
        <v>630327</v>
      </c>
      <c r="B3856" s="159">
        <v>1</v>
      </c>
      <c r="C3856" s="158" t="str">
        <f t="shared" si="61"/>
        <v>1</v>
      </c>
    </row>
    <row r="3857" spans="1:3" x14ac:dyDescent="0.25">
      <c r="A3857" s="159">
        <v>630328</v>
      </c>
      <c r="B3857" s="159">
        <v>1</v>
      </c>
      <c r="C3857" s="158" t="str">
        <f t="shared" si="61"/>
        <v>1</v>
      </c>
    </row>
    <row r="3858" spans="1:3" x14ac:dyDescent="0.25">
      <c r="A3858" s="159">
        <v>630329</v>
      </c>
      <c r="B3858" s="159">
        <v>1</v>
      </c>
      <c r="C3858" s="158" t="str">
        <f t="shared" si="61"/>
        <v>1</v>
      </c>
    </row>
    <row r="3859" spans="1:3" x14ac:dyDescent="0.25">
      <c r="A3859" s="159">
        <v>630330</v>
      </c>
      <c r="B3859" s="159">
        <v>1</v>
      </c>
      <c r="C3859" s="158" t="str">
        <f t="shared" si="61"/>
        <v>1</v>
      </c>
    </row>
    <row r="3860" spans="1:3" x14ac:dyDescent="0.25">
      <c r="A3860" s="159">
        <v>630331</v>
      </c>
      <c r="B3860" s="159">
        <v>5</v>
      </c>
      <c r="C3860" s="158" t="str">
        <f t="shared" si="61"/>
        <v>5</v>
      </c>
    </row>
    <row r="3861" spans="1:3" x14ac:dyDescent="0.25">
      <c r="A3861" s="159">
        <v>630332</v>
      </c>
      <c r="B3861" s="159">
        <v>1</v>
      </c>
      <c r="C3861" s="158" t="str">
        <f t="shared" si="61"/>
        <v>1</v>
      </c>
    </row>
    <row r="3862" spans="1:3" x14ac:dyDescent="0.25">
      <c r="A3862" s="159">
        <v>630333</v>
      </c>
      <c r="B3862" s="159">
        <v>1</v>
      </c>
      <c r="C3862" s="158" t="str">
        <f t="shared" si="61"/>
        <v>1</v>
      </c>
    </row>
    <row r="3863" spans="1:3" x14ac:dyDescent="0.25">
      <c r="A3863" s="159">
        <v>630334</v>
      </c>
      <c r="B3863" s="159">
        <v>1</v>
      </c>
      <c r="C3863" s="158" t="str">
        <f t="shared" si="61"/>
        <v>1</v>
      </c>
    </row>
    <row r="3864" spans="1:3" x14ac:dyDescent="0.25">
      <c r="A3864" s="159">
        <v>630335</v>
      </c>
      <c r="B3864" s="159">
        <v>3</v>
      </c>
      <c r="C3864" s="158" t="str">
        <f t="shared" si="61"/>
        <v>3</v>
      </c>
    </row>
    <row r="3865" spans="1:3" x14ac:dyDescent="0.25">
      <c r="A3865" s="159">
        <v>630336</v>
      </c>
      <c r="B3865" s="159">
        <v>1</v>
      </c>
      <c r="C3865" s="158" t="str">
        <f t="shared" si="61"/>
        <v>1</v>
      </c>
    </row>
    <row r="3866" spans="1:3" x14ac:dyDescent="0.25">
      <c r="A3866" s="159">
        <v>630337</v>
      </c>
      <c r="B3866" s="159">
        <v>1</v>
      </c>
      <c r="C3866" s="158" t="str">
        <f t="shared" si="61"/>
        <v>1</v>
      </c>
    </row>
    <row r="3867" spans="1:3" x14ac:dyDescent="0.25">
      <c r="A3867" s="159">
        <v>630338</v>
      </c>
      <c r="B3867" s="159">
        <v>1</v>
      </c>
      <c r="C3867" s="158" t="str">
        <f t="shared" si="61"/>
        <v>1</v>
      </c>
    </row>
    <row r="3868" spans="1:3" x14ac:dyDescent="0.25">
      <c r="A3868" s="159">
        <v>630339</v>
      </c>
      <c r="B3868" s="159">
        <v>1</v>
      </c>
      <c r="C3868" s="158" t="str">
        <f t="shared" si="61"/>
        <v>1</v>
      </c>
    </row>
    <row r="3869" spans="1:3" x14ac:dyDescent="0.25">
      <c r="A3869" s="159">
        <v>630340</v>
      </c>
      <c r="B3869" s="159">
        <v>1</v>
      </c>
      <c r="C3869" s="158" t="str">
        <f t="shared" si="61"/>
        <v>1</v>
      </c>
    </row>
    <row r="3870" spans="1:3" x14ac:dyDescent="0.25">
      <c r="A3870" s="159">
        <v>630341</v>
      </c>
      <c r="B3870" s="159">
        <v>1</v>
      </c>
      <c r="C3870" s="158" t="str">
        <f t="shared" si="61"/>
        <v>1</v>
      </c>
    </row>
    <row r="3871" spans="1:3" x14ac:dyDescent="0.25">
      <c r="A3871" s="159">
        <v>630342</v>
      </c>
      <c r="B3871" s="159">
        <v>3</v>
      </c>
      <c r="C3871" s="158" t="str">
        <f t="shared" si="61"/>
        <v>3</v>
      </c>
    </row>
    <row r="3872" spans="1:3" x14ac:dyDescent="0.25">
      <c r="A3872" s="159">
        <v>630343</v>
      </c>
      <c r="B3872" s="159">
        <v>1</v>
      </c>
      <c r="C3872" s="158" t="str">
        <f t="shared" si="61"/>
        <v>1</v>
      </c>
    </row>
    <row r="3873" spans="1:3" x14ac:dyDescent="0.25">
      <c r="A3873" s="159">
        <v>630344</v>
      </c>
      <c r="B3873" s="159">
        <v>1</v>
      </c>
      <c r="C3873" s="158" t="str">
        <f t="shared" si="61"/>
        <v>1</v>
      </c>
    </row>
    <row r="3874" spans="1:3" x14ac:dyDescent="0.25">
      <c r="A3874" s="159">
        <v>630345</v>
      </c>
      <c r="B3874" s="159">
        <v>1</v>
      </c>
      <c r="C3874" s="158" t="str">
        <f t="shared" si="61"/>
        <v>1</v>
      </c>
    </row>
    <row r="3875" spans="1:3" x14ac:dyDescent="0.25">
      <c r="A3875" s="159">
        <v>630346</v>
      </c>
      <c r="B3875" s="159">
        <v>1</v>
      </c>
      <c r="C3875" s="158" t="str">
        <f t="shared" si="61"/>
        <v>1</v>
      </c>
    </row>
    <row r="3876" spans="1:3" x14ac:dyDescent="0.25">
      <c r="A3876" s="159">
        <v>630347</v>
      </c>
      <c r="B3876" s="159">
        <v>1</v>
      </c>
      <c r="C3876" s="158" t="str">
        <f t="shared" si="61"/>
        <v>1</v>
      </c>
    </row>
    <row r="3877" spans="1:3" x14ac:dyDescent="0.25">
      <c r="A3877" s="159">
        <v>630348</v>
      </c>
      <c r="B3877" s="159">
        <v>1</v>
      </c>
      <c r="C3877" s="158" t="str">
        <f t="shared" si="61"/>
        <v>1</v>
      </c>
    </row>
    <row r="3878" spans="1:3" x14ac:dyDescent="0.25">
      <c r="A3878" s="159">
        <v>630349</v>
      </c>
      <c r="B3878" s="159">
        <v>1</v>
      </c>
      <c r="C3878" s="158" t="str">
        <f t="shared" si="61"/>
        <v>1</v>
      </c>
    </row>
    <row r="3879" spans="1:3" x14ac:dyDescent="0.25">
      <c r="A3879" s="159">
        <v>630350</v>
      </c>
      <c r="B3879" s="159">
        <v>1</v>
      </c>
      <c r="C3879" s="158" t="str">
        <f t="shared" si="61"/>
        <v>1</v>
      </c>
    </row>
    <row r="3880" spans="1:3" x14ac:dyDescent="0.25">
      <c r="A3880" s="159">
        <v>630351</v>
      </c>
      <c r="B3880" s="159">
        <v>2</v>
      </c>
      <c r="C3880" s="158" t="str">
        <f t="shared" si="61"/>
        <v>2</v>
      </c>
    </row>
    <row r="3881" spans="1:3" x14ac:dyDescent="0.25">
      <c r="A3881" s="159">
        <v>630352</v>
      </c>
      <c r="B3881" s="159">
        <v>1</v>
      </c>
      <c r="C3881" s="158" t="str">
        <f t="shared" si="61"/>
        <v>1</v>
      </c>
    </row>
    <row r="3882" spans="1:3" x14ac:dyDescent="0.25">
      <c r="A3882" s="159">
        <v>630353</v>
      </c>
      <c r="B3882" s="159">
        <v>1</v>
      </c>
      <c r="C3882" s="158" t="str">
        <f t="shared" si="61"/>
        <v>1</v>
      </c>
    </row>
    <row r="3883" spans="1:3" x14ac:dyDescent="0.25">
      <c r="A3883" s="159">
        <v>630354</v>
      </c>
      <c r="B3883" s="159">
        <v>1</v>
      </c>
      <c r="C3883" s="158" t="str">
        <f t="shared" si="61"/>
        <v>1</v>
      </c>
    </row>
    <row r="3884" spans="1:3" x14ac:dyDescent="0.25">
      <c r="A3884" s="159">
        <v>630355</v>
      </c>
      <c r="B3884" s="159">
        <v>1</v>
      </c>
      <c r="C3884" s="158" t="str">
        <f t="shared" si="61"/>
        <v>1</v>
      </c>
    </row>
    <row r="3885" spans="1:3" x14ac:dyDescent="0.25">
      <c r="A3885" s="159">
        <v>630356</v>
      </c>
      <c r="B3885" s="159">
        <v>1</v>
      </c>
      <c r="C3885" s="158" t="str">
        <f t="shared" si="61"/>
        <v>1</v>
      </c>
    </row>
    <row r="3886" spans="1:3" x14ac:dyDescent="0.25">
      <c r="A3886" s="159">
        <v>630357</v>
      </c>
      <c r="B3886" s="159">
        <v>5</v>
      </c>
      <c r="C3886" s="158" t="str">
        <f t="shared" si="61"/>
        <v>5</v>
      </c>
    </row>
    <row r="3887" spans="1:3" x14ac:dyDescent="0.25">
      <c r="A3887" s="159">
        <v>630358</v>
      </c>
      <c r="B3887" s="159">
        <v>1</v>
      </c>
      <c r="C3887" s="158" t="str">
        <f t="shared" si="61"/>
        <v>1</v>
      </c>
    </row>
    <row r="3888" spans="1:3" x14ac:dyDescent="0.25">
      <c r="A3888" s="159">
        <v>630359</v>
      </c>
      <c r="B3888" s="159">
        <v>1</v>
      </c>
      <c r="C3888" s="158" t="str">
        <f t="shared" si="61"/>
        <v>1</v>
      </c>
    </row>
    <row r="3889" spans="1:3" x14ac:dyDescent="0.25">
      <c r="A3889" s="159">
        <v>630360</v>
      </c>
      <c r="B3889" s="159">
        <v>1</v>
      </c>
      <c r="C3889" s="158" t="str">
        <f t="shared" si="61"/>
        <v>1</v>
      </c>
    </row>
    <row r="3890" spans="1:3" x14ac:dyDescent="0.25">
      <c r="A3890" s="159">
        <v>630362</v>
      </c>
      <c r="B3890" s="159" t="s">
        <v>454</v>
      </c>
      <c r="C3890" s="158" t="str">
        <f t="shared" si="61"/>
        <v>6S</v>
      </c>
    </row>
    <row r="3891" spans="1:3" x14ac:dyDescent="0.25">
      <c r="A3891" s="159">
        <v>630364</v>
      </c>
      <c r="B3891" s="159">
        <v>1</v>
      </c>
      <c r="C3891" s="158" t="str">
        <f t="shared" si="61"/>
        <v>1</v>
      </c>
    </row>
    <row r="3892" spans="1:3" x14ac:dyDescent="0.25">
      <c r="A3892" s="159">
        <v>630365</v>
      </c>
      <c r="B3892" s="159">
        <v>1</v>
      </c>
      <c r="C3892" s="158" t="str">
        <f t="shared" si="61"/>
        <v>1</v>
      </c>
    </row>
    <row r="3893" spans="1:3" x14ac:dyDescent="0.25">
      <c r="A3893" s="159">
        <v>630366</v>
      </c>
      <c r="B3893" s="159">
        <v>1</v>
      </c>
      <c r="C3893" s="158" t="str">
        <f t="shared" si="61"/>
        <v>1</v>
      </c>
    </row>
    <row r="3894" spans="1:3" x14ac:dyDescent="0.25">
      <c r="A3894" s="159">
        <v>630367</v>
      </c>
      <c r="B3894" s="159">
        <v>1</v>
      </c>
      <c r="C3894" s="158" t="str">
        <f t="shared" ref="C3894:C3957" si="62">IF(OR(B3894=0,B3894=1,B3894=2,B3894=3,B3894=4,B3894=5),TEXT(B3894,"0"),B3894)</f>
        <v>1</v>
      </c>
    </row>
    <row r="3895" spans="1:3" x14ac:dyDescent="0.25">
      <c r="A3895" s="159">
        <v>630368</v>
      </c>
      <c r="B3895" s="159">
        <v>1</v>
      </c>
      <c r="C3895" s="158" t="str">
        <f t="shared" si="62"/>
        <v>1</v>
      </c>
    </row>
    <row r="3896" spans="1:3" x14ac:dyDescent="0.25">
      <c r="A3896" s="159">
        <v>630369</v>
      </c>
      <c r="B3896" s="159">
        <v>1</v>
      </c>
      <c r="C3896" s="158" t="str">
        <f t="shared" si="62"/>
        <v>1</v>
      </c>
    </row>
    <row r="3897" spans="1:3" x14ac:dyDescent="0.25">
      <c r="A3897" s="159">
        <v>630370</v>
      </c>
      <c r="B3897" s="159">
        <v>4</v>
      </c>
      <c r="C3897" s="158" t="str">
        <f t="shared" si="62"/>
        <v>4</v>
      </c>
    </row>
    <row r="3898" spans="1:3" x14ac:dyDescent="0.25">
      <c r="A3898" s="159">
        <v>630371</v>
      </c>
      <c r="B3898" s="159">
        <v>1</v>
      </c>
      <c r="C3898" s="158" t="str">
        <f t="shared" si="62"/>
        <v>1</v>
      </c>
    </row>
    <row r="3899" spans="1:3" x14ac:dyDescent="0.25">
      <c r="A3899" s="159">
        <v>630372</v>
      </c>
      <c r="B3899" s="159">
        <v>1</v>
      </c>
      <c r="C3899" s="158" t="str">
        <f t="shared" si="62"/>
        <v>1</v>
      </c>
    </row>
    <row r="3900" spans="1:3" x14ac:dyDescent="0.25">
      <c r="A3900" s="159">
        <v>630373</v>
      </c>
      <c r="B3900" s="159">
        <v>1</v>
      </c>
      <c r="C3900" s="158" t="str">
        <f t="shared" si="62"/>
        <v>1</v>
      </c>
    </row>
    <row r="3901" spans="1:3" x14ac:dyDescent="0.25">
      <c r="A3901" s="159">
        <v>630374</v>
      </c>
      <c r="B3901" s="159">
        <v>1</v>
      </c>
      <c r="C3901" s="158" t="str">
        <f t="shared" si="62"/>
        <v>1</v>
      </c>
    </row>
    <row r="3902" spans="1:3" x14ac:dyDescent="0.25">
      <c r="A3902" s="159">
        <v>630375</v>
      </c>
      <c r="B3902" s="159">
        <v>4</v>
      </c>
      <c r="C3902" s="158" t="str">
        <f t="shared" si="62"/>
        <v>4</v>
      </c>
    </row>
    <row r="3903" spans="1:3" x14ac:dyDescent="0.25">
      <c r="A3903" s="159">
        <v>630376</v>
      </c>
      <c r="B3903" s="159">
        <v>1</v>
      </c>
      <c r="C3903" s="158" t="str">
        <f t="shared" si="62"/>
        <v>1</v>
      </c>
    </row>
    <row r="3904" spans="1:3" x14ac:dyDescent="0.25">
      <c r="A3904" s="159">
        <v>630377</v>
      </c>
      <c r="B3904" s="159">
        <v>1</v>
      </c>
      <c r="C3904" s="158" t="str">
        <f t="shared" si="62"/>
        <v>1</v>
      </c>
    </row>
    <row r="3905" spans="1:3" x14ac:dyDescent="0.25">
      <c r="A3905" s="159">
        <v>630378</v>
      </c>
      <c r="B3905" s="159">
        <v>1</v>
      </c>
      <c r="C3905" s="158" t="str">
        <f t="shared" si="62"/>
        <v>1</v>
      </c>
    </row>
    <row r="3906" spans="1:3" x14ac:dyDescent="0.25">
      <c r="A3906" s="159">
        <v>630379</v>
      </c>
      <c r="B3906" s="159">
        <v>1</v>
      </c>
      <c r="C3906" s="158" t="str">
        <f t="shared" si="62"/>
        <v>1</v>
      </c>
    </row>
    <row r="3907" spans="1:3" x14ac:dyDescent="0.25">
      <c r="A3907" s="159">
        <v>630380</v>
      </c>
      <c r="B3907" s="159">
        <v>1</v>
      </c>
      <c r="C3907" s="158" t="str">
        <f t="shared" si="62"/>
        <v>1</v>
      </c>
    </row>
    <row r="3908" spans="1:3" x14ac:dyDescent="0.25">
      <c r="A3908" s="159">
        <v>630381</v>
      </c>
      <c r="B3908" s="159">
        <v>1</v>
      </c>
      <c r="C3908" s="158" t="str">
        <f t="shared" si="62"/>
        <v>1</v>
      </c>
    </row>
    <row r="3909" spans="1:3" x14ac:dyDescent="0.25">
      <c r="A3909" s="159">
        <v>630382</v>
      </c>
      <c r="B3909" s="159">
        <v>1</v>
      </c>
      <c r="C3909" s="158" t="str">
        <f t="shared" si="62"/>
        <v>1</v>
      </c>
    </row>
    <row r="3910" spans="1:3" x14ac:dyDescent="0.25">
      <c r="A3910" s="159">
        <v>630383</v>
      </c>
      <c r="B3910" s="159">
        <v>1</v>
      </c>
      <c r="C3910" s="158" t="str">
        <f t="shared" si="62"/>
        <v>1</v>
      </c>
    </row>
    <row r="3911" spans="1:3" x14ac:dyDescent="0.25">
      <c r="A3911" s="159">
        <v>630384</v>
      </c>
      <c r="B3911" s="159">
        <v>4</v>
      </c>
      <c r="C3911" s="158" t="str">
        <f t="shared" si="62"/>
        <v>4</v>
      </c>
    </row>
    <row r="3912" spans="1:3" x14ac:dyDescent="0.25">
      <c r="A3912" s="159">
        <v>630385</v>
      </c>
      <c r="B3912" s="159">
        <v>2</v>
      </c>
      <c r="C3912" s="158" t="str">
        <f t="shared" si="62"/>
        <v>2</v>
      </c>
    </row>
    <row r="3913" spans="1:3" x14ac:dyDescent="0.25">
      <c r="A3913" s="159">
        <v>630386</v>
      </c>
      <c r="B3913" s="159" t="s">
        <v>438</v>
      </c>
      <c r="C3913" s="158" t="str">
        <f t="shared" si="62"/>
        <v>2S</v>
      </c>
    </row>
    <row r="3914" spans="1:3" x14ac:dyDescent="0.25">
      <c r="A3914" s="159">
        <v>630387</v>
      </c>
      <c r="B3914" s="159" t="s">
        <v>437</v>
      </c>
      <c r="C3914" s="158" t="str">
        <f t="shared" si="62"/>
        <v>1S</v>
      </c>
    </row>
    <row r="3915" spans="1:3" x14ac:dyDescent="0.25">
      <c r="A3915" s="159">
        <v>630388</v>
      </c>
      <c r="B3915" s="159">
        <v>1</v>
      </c>
      <c r="C3915" s="158" t="str">
        <f t="shared" si="62"/>
        <v>1</v>
      </c>
    </row>
    <row r="3916" spans="1:3" x14ac:dyDescent="0.25">
      <c r="A3916" s="159">
        <v>630389</v>
      </c>
      <c r="B3916" s="159">
        <v>1</v>
      </c>
      <c r="C3916" s="158" t="str">
        <f t="shared" si="62"/>
        <v>1</v>
      </c>
    </row>
    <row r="3917" spans="1:3" x14ac:dyDescent="0.25">
      <c r="A3917" s="159">
        <v>630390</v>
      </c>
      <c r="B3917" s="159" t="s">
        <v>438</v>
      </c>
      <c r="C3917" s="158" t="str">
        <f t="shared" si="62"/>
        <v>2S</v>
      </c>
    </row>
    <row r="3918" spans="1:3" x14ac:dyDescent="0.25">
      <c r="A3918" s="159">
        <v>630391</v>
      </c>
      <c r="B3918" s="159">
        <v>4</v>
      </c>
      <c r="C3918" s="158" t="str">
        <f t="shared" si="62"/>
        <v>4</v>
      </c>
    </row>
    <row r="3919" spans="1:3" x14ac:dyDescent="0.25">
      <c r="A3919" s="159">
        <v>630392</v>
      </c>
      <c r="B3919" s="159">
        <v>4</v>
      </c>
      <c r="C3919" s="158" t="str">
        <f t="shared" si="62"/>
        <v>4</v>
      </c>
    </row>
    <row r="3920" spans="1:3" x14ac:dyDescent="0.25">
      <c r="A3920" s="159">
        <v>630393</v>
      </c>
      <c r="B3920" s="159">
        <v>1</v>
      </c>
      <c r="C3920" s="158" t="str">
        <f t="shared" si="62"/>
        <v>1</v>
      </c>
    </row>
    <row r="3921" spans="1:3" x14ac:dyDescent="0.25">
      <c r="A3921" s="159">
        <v>630395</v>
      </c>
      <c r="B3921" s="159">
        <v>1</v>
      </c>
      <c r="C3921" s="158" t="str">
        <f t="shared" si="62"/>
        <v>1</v>
      </c>
    </row>
    <row r="3922" spans="1:3" x14ac:dyDescent="0.25">
      <c r="A3922" s="159">
        <v>630396</v>
      </c>
      <c r="B3922" s="159">
        <v>1</v>
      </c>
      <c r="C3922" s="158" t="str">
        <f t="shared" si="62"/>
        <v>1</v>
      </c>
    </row>
    <row r="3923" spans="1:3" x14ac:dyDescent="0.25">
      <c r="A3923" s="159">
        <v>630397</v>
      </c>
      <c r="B3923" s="159">
        <v>1</v>
      </c>
      <c r="C3923" s="158" t="str">
        <f t="shared" si="62"/>
        <v>1</v>
      </c>
    </row>
    <row r="3924" spans="1:3" x14ac:dyDescent="0.25">
      <c r="A3924" s="159">
        <v>630398</v>
      </c>
      <c r="B3924" s="159">
        <v>1</v>
      </c>
      <c r="C3924" s="158" t="str">
        <f t="shared" si="62"/>
        <v>1</v>
      </c>
    </row>
    <row r="3925" spans="1:3" x14ac:dyDescent="0.25">
      <c r="A3925" s="159">
        <v>630400</v>
      </c>
      <c r="B3925" s="159">
        <v>1</v>
      </c>
      <c r="C3925" s="158" t="str">
        <f t="shared" si="62"/>
        <v>1</v>
      </c>
    </row>
    <row r="3926" spans="1:3" x14ac:dyDescent="0.25">
      <c r="A3926" s="159">
        <v>630402</v>
      </c>
      <c r="B3926" s="159">
        <v>1</v>
      </c>
      <c r="C3926" s="158" t="str">
        <f t="shared" si="62"/>
        <v>1</v>
      </c>
    </row>
    <row r="3927" spans="1:3" x14ac:dyDescent="0.25">
      <c r="A3927" s="159">
        <v>630405</v>
      </c>
      <c r="B3927" s="159">
        <v>1</v>
      </c>
      <c r="C3927" s="158" t="str">
        <f t="shared" si="62"/>
        <v>1</v>
      </c>
    </row>
    <row r="3928" spans="1:3" x14ac:dyDescent="0.25">
      <c r="A3928" s="159">
        <v>630406</v>
      </c>
      <c r="B3928" s="159">
        <v>1</v>
      </c>
      <c r="C3928" s="158" t="str">
        <f t="shared" si="62"/>
        <v>1</v>
      </c>
    </row>
    <row r="3929" spans="1:3" x14ac:dyDescent="0.25">
      <c r="A3929" s="159">
        <v>630407</v>
      </c>
      <c r="B3929" s="159">
        <v>1</v>
      </c>
      <c r="C3929" s="158" t="str">
        <f t="shared" si="62"/>
        <v>1</v>
      </c>
    </row>
    <row r="3930" spans="1:3" x14ac:dyDescent="0.25">
      <c r="A3930" s="159">
        <v>630408</v>
      </c>
      <c r="B3930" s="159">
        <v>1</v>
      </c>
      <c r="C3930" s="158" t="str">
        <f t="shared" si="62"/>
        <v>1</v>
      </c>
    </row>
    <row r="3931" spans="1:3" x14ac:dyDescent="0.25">
      <c r="A3931" s="159">
        <v>630409</v>
      </c>
      <c r="B3931" s="159">
        <v>1</v>
      </c>
      <c r="C3931" s="158" t="str">
        <f t="shared" si="62"/>
        <v>1</v>
      </c>
    </row>
    <row r="3932" spans="1:3" x14ac:dyDescent="0.25">
      <c r="A3932" s="159">
        <v>630410</v>
      </c>
      <c r="B3932" s="159">
        <v>1</v>
      </c>
      <c r="C3932" s="158" t="str">
        <f t="shared" si="62"/>
        <v>1</v>
      </c>
    </row>
    <row r="3933" spans="1:3" x14ac:dyDescent="0.25">
      <c r="A3933" s="159">
        <v>630411</v>
      </c>
      <c r="B3933" s="159">
        <v>4</v>
      </c>
      <c r="C3933" s="158" t="str">
        <f t="shared" si="62"/>
        <v>4</v>
      </c>
    </row>
    <row r="3934" spans="1:3" x14ac:dyDescent="0.25">
      <c r="A3934" s="159">
        <v>630412</v>
      </c>
      <c r="B3934" s="159">
        <v>4</v>
      </c>
      <c r="C3934" s="158" t="str">
        <f t="shared" si="62"/>
        <v>4</v>
      </c>
    </row>
    <row r="3935" spans="1:3" x14ac:dyDescent="0.25">
      <c r="A3935" s="159">
        <v>630413</v>
      </c>
      <c r="B3935" s="159">
        <v>1</v>
      </c>
      <c r="C3935" s="158" t="str">
        <f t="shared" si="62"/>
        <v>1</v>
      </c>
    </row>
    <row r="3936" spans="1:3" x14ac:dyDescent="0.25">
      <c r="A3936" s="159">
        <v>630414</v>
      </c>
      <c r="B3936" s="159">
        <v>1</v>
      </c>
      <c r="C3936" s="158" t="str">
        <f t="shared" si="62"/>
        <v>1</v>
      </c>
    </row>
    <row r="3937" spans="1:3" x14ac:dyDescent="0.25">
      <c r="A3937" s="159">
        <v>630415</v>
      </c>
      <c r="B3937" s="159">
        <v>1</v>
      </c>
      <c r="C3937" s="158" t="str">
        <f t="shared" si="62"/>
        <v>1</v>
      </c>
    </row>
    <row r="3938" spans="1:3" x14ac:dyDescent="0.25">
      <c r="A3938" s="159">
        <v>630417</v>
      </c>
      <c r="B3938" s="159">
        <v>4</v>
      </c>
      <c r="C3938" s="158" t="str">
        <f t="shared" si="62"/>
        <v>4</v>
      </c>
    </row>
    <row r="3939" spans="1:3" x14ac:dyDescent="0.25">
      <c r="A3939" s="159">
        <v>630418</v>
      </c>
      <c r="B3939" s="159">
        <v>4</v>
      </c>
      <c r="C3939" s="158" t="str">
        <f t="shared" si="62"/>
        <v>4</v>
      </c>
    </row>
    <row r="3940" spans="1:3" x14ac:dyDescent="0.25">
      <c r="A3940" s="159">
        <v>630419</v>
      </c>
      <c r="B3940" s="159">
        <v>1</v>
      </c>
      <c r="C3940" s="158" t="str">
        <f t="shared" si="62"/>
        <v>1</v>
      </c>
    </row>
    <row r="3941" spans="1:3" x14ac:dyDescent="0.25">
      <c r="A3941" s="159">
        <v>630420</v>
      </c>
      <c r="B3941" s="159">
        <v>1</v>
      </c>
      <c r="C3941" s="158" t="str">
        <f t="shared" si="62"/>
        <v>1</v>
      </c>
    </row>
    <row r="3942" spans="1:3" x14ac:dyDescent="0.25">
      <c r="A3942" s="159">
        <v>630421</v>
      </c>
      <c r="B3942" s="159">
        <v>1</v>
      </c>
      <c r="C3942" s="158" t="str">
        <f t="shared" si="62"/>
        <v>1</v>
      </c>
    </row>
    <row r="3943" spans="1:3" x14ac:dyDescent="0.25">
      <c r="A3943" s="159">
        <v>630422</v>
      </c>
      <c r="B3943" s="159">
        <v>1</v>
      </c>
      <c r="C3943" s="158" t="str">
        <f t="shared" si="62"/>
        <v>1</v>
      </c>
    </row>
    <row r="3944" spans="1:3" x14ac:dyDescent="0.25">
      <c r="A3944" s="159">
        <v>630423</v>
      </c>
      <c r="B3944" s="159">
        <v>1</v>
      </c>
      <c r="C3944" s="158" t="str">
        <f t="shared" si="62"/>
        <v>1</v>
      </c>
    </row>
    <row r="3945" spans="1:3" x14ac:dyDescent="0.25">
      <c r="A3945" s="159">
        <v>630425</v>
      </c>
      <c r="B3945" s="159">
        <v>1</v>
      </c>
      <c r="C3945" s="158" t="str">
        <f t="shared" si="62"/>
        <v>1</v>
      </c>
    </row>
    <row r="3946" spans="1:3" x14ac:dyDescent="0.25">
      <c r="A3946" s="159">
        <v>630426</v>
      </c>
      <c r="B3946" s="159">
        <v>1</v>
      </c>
      <c r="C3946" s="158" t="str">
        <f t="shared" si="62"/>
        <v>1</v>
      </c>
    </row>
    <row r="3947" spans="1:3" x14ac:dyDescent="0.25">
      <c r="A3947" s="159">
        <v>630427</v>
      </c>
      <c r="B3947" s="159">
        <v>1</v>
      </c>
      <c r="C3947" s="158" t="str">
        <f t="shared" si="62"/>
        <v>1</v>
      </c>
    </row>
    <row r="3948" spans="1:3" x14ac:dyDescent="0.25">
      <c r="A3948" s="159">
        <v>630428</v>
      </c>
      <c r="B3948" s="159">
        <v>1</v>
      </c>
      <c r="C3948" s="158" t="str">
        <f t="shared" si="62"/>
        <v>1</v>
      </c>
    </row>
    <row r="3949" spans="1:3" x14ac:dyDescent="0.25">
      <c r="A3949" s="159">
        <v>630429</v>
      </c>
      <c r="B3949" s="159">
        <v>1</v>
      </c>
      <c r="C3949" s="158" t="str">
        <f t="shared" si="62"/>
        <v>1</v>
      </c>
    </row>
    <row r="3950" spans="1:3" x14ac:dyDescent="0.25">
      <c r="A3950" s="159">
        <v>630430</v>
      </c>
      <c r="B3950" s="159">
        <v>1</v>
      </c>
      <c r="C3950" s="158" t="str">
        <f t="shared" si="62"/>
        <v>1</v>
      </c>
    </row>
    <row r="3951" spans="1:3" x14ac:dyDescent="0.25">
      <c r="A3951" s="159">
        <v>630431</v>
      </c>
      <c r="B3951" s="159">
        <v>1</v>
      </c>
      <c r="C3951" s="158" t="str">
        <f t="shared" si="62"/>
        <v>1</v>
      </c>
    </row>
    <row r="3952" spans="1:3" x14ac:dyDescent="0.25">
      <c r="A3952" s="159">
        <v>630432</v>
      </c>
      <c r="B3952" s="159">
        <v>1</v>
      </c>
      <c r="C3952" s="158" t="str">
        <f t="shared" si="62"/>
        <v>1</v>
      </c>
    </row>
    <row r="3953" spans="1:3" x14ac:dyDescent="0.25">
      <c r="A3953" s="159">
        <v>630433</v>
      </c>
      <c r="B3953" s="159">
        <v>1</v>
      </c>
      <c r="C3953" s="158" t="str">
        <f t="shared" si="62"/>
        <v>1</v>
      </c>
    </row>
    <row r="3954" spans="1:3" x14ac:dyDescent="0.25">
      <c r="A3954" s="159">
        <v>630437</v>
      </c>
      <c r="B3954" s="159">
        <v>6</v>
      </c>
      <c r="C3954" s="158">
        <f t="shared" si="62"/>
        <v>6</v>
      </c>
    </row>
    <row r="3955" spans="1:3" x14ac:dyDescent="0.25">
      <c r="A3955" s="159">
        <v>630438</v>
      </c>
      <c r="B3955" s="159">
        <v>1</v>
      </c>
      <c r="C3955" s="158" t="str">
        <f t="shared" si="62"/>
        <v>1</v>
      </c>
    </row>
    <row r="3956" spans="1:3" x14ac:dyDescent="0.25">
      <c r="A3956" s="159">
        <v>630439</v>
      </c>
      <c r="B3956" s="159">
        <v>1</v>
      </c>
      <c r="C3956" s="158" t="str">
        <f t="shared" si="62"/>
        <v>1</v>
      </c>
    </row>
    <row r="3957" spans="1:3" x14ac:dyDescent="0.25">
      <c r="A3957" s="159">
        <v>630440</v>
      </c>
      <c r="B3957" s="159">
        <v>1</v>
      </c>
      <c r="C3957" s="158" t="str">
        <f t="shared" si="62"/>
        <v>1</v>
      </c>
    </row>
    <row r="3958" spans="1:3" x14ac:dyDescent="0.25">
      <c r="A3958" s="159">
        <v>630441</v>
      </c>
      <c r="B3958" s="159">
        <v>1</v>
      </c>
      <c r="C3958" s="158" t="str">
        <f t="shared" ref="C3958:C4021" si="63">IF(OR(B3958=0,B3958=1,B3958=2,B3958=3,B3958=4,B3958=5),TEXT(B3958,"0"),B3958)</f>
        <v>1</v>
      </c>
    </row>
    <row r="3959" spans="1:3" x14ac:dyDescent="0.25">
      <c r="A3959" s="159">
        <v>630442</v>
      </c>
      <c r="B3959" s="159">
        <v>1</v>
      </c>
      <c r="C3959" s="158" t="str">
        <f t="shared" si="63"/>
        <v>1</v>
      </c>
    </row>
    <row r="3960" spans="1:3" x14ac:dyDescent="0.25">
      <c r="A3960" s="159">
        <v>630443</v>
      </c>
      <c r="B3960" s="159">
        <v>1</v>
      </c>
      <c r="C3960" s="158" t="str">
        <f t="shared" si="63"/>
        <v>1</v>
      </c>
    </row>
    <row r="3961" spans="1:3" x14ac:dyDescent="0.25">
      <c r="A3961" s="159">
        <v>630444</v>
      </c>
      <c r="B3961" s="159">
        <v>1</v>
      </c>
      <c r="C3961" s="158" t="str">
        <f t="shared" si="63"/>
        <v>1</v>
      </c>
    </row>
    <row r="3962" spans="1:3" x14ac:dyDescent="0.25">
      <c r="A3962" s="159">
        <v>630445</v>
      </c>
      <c r="B3962" s="159">
        <v>1</v>
      </c>
      <c r="C3962" s="158" t="str">
        <f t="shared" si="63"/>
        <v>1</v>
      </c>
    </row>
    <row r="3963" spans="1:3" x14ac:dyDescent="0.25">
      <c r="A3963" s="159">
        <v>630446</v>
      </c>
      <c r="B3963" s="159">
        <v>1</v>
      </c>
      <c r="C3963" s="158" t="str">
        <f t="shared" si="63"/>
        <v>1</v>
      </c>
    </row>
    <row r="3964" spans="1:3" x14ac:dyDescent="0.25">
      <c r="A3964" s="159">
        <v>630447</v>
      </c>
      <c r="B3964" s="159">
        <v>1</v>
      </c>
      <c r="C3964" s="158" t="str">
        <f t="shared" si="63"/>
        <v>1</v>
      </c>
    </row>
    <row r="3965" spans="1:3" x14ac:dyDescent="0.25">
      <c r="A3965" s="159">
        <v>630448</v>
      </c>
      <c r="B3965" s="159">
        <v>1</v>
      </c>
      <c r="C3965" s="158" t="str">
        <f t="shared" si="63"/>
        <v>1</v>
      </c>
    </row>
    <row r="3966" spans="1:3" x14ac:dyDescent="0.25">
      <c r="A3966" s="159">
        <v>630449</v>
      </c>
      <c r="B3966" s="159">
        <v>4</v>
      </c>
      <c r="C3966" s="158" t="str">
        <f t="shared" si="63"/>
        <v>4</v>
      </c>
    </row>
    <row r="3967" spans="1:3" x14ac:dyDescent="0.25">
      <c r="A3967" s="159">
        <v>630450</v>
      </c>
      <c r="B3967" s="159">
        <v>1</v>
      </c>
      <c r="C3967" s="158" t="str">
        <f t="shared" si="63"/>
        <v>1</v>
      </c>
    </row>
    <row r="3968" spans="1:3" x14ac:dyDescent="0.25">
      <c r="A3968" s="159">
        <v>630451</v>
      </c>
      <c r="B3968" s="159">
        <v>1</v>
      </c>
      <c r="C3968" s="158" t="str">
        <f t="shared" si="63"/>
        <v>1</v>
      </c>
    </row>
    <row r="3969" spans="1:3" x14ac:dyDescent="0.25">
      <c r="A3969" s="159">
        <v>630452</v>
      </c>
      <c r="B3969" s="159" t="s">
        <v>437</v>
      </c>
      <c r="C3969" s="158" t="str">
        <f t="shared" si="63"/>
        <v>1S</v>
      </c>
    </row>
    <row r="3970" spans="1:3" x14ac:dyDescent="0.25">
      <c r="A3970" s="159">
        <v>630453</v>
      </c>
      <c r="B3970" s="159">
        <v>5</v>
      </c>
      <c r="C3970" s="158" t="str">
        <f t="shared" si="63"/>
        <v>5</v>
      </c>
    </row>
    <row r="3971" spans="1:3" x14ac:dyDescent="0.25">
      <c r="A3971" s="159">
        <v>630454</v>
      </c>
      <c r="B3971" s="159">
        <v>1</v>
      </c>
      <c r="C3971" s="158" t="str">
        <f t="shared" si="63"/>
        <v>1</v>
      </c>
    </row>
    <row r="3972" spans="1:3" x14ac:dyDescent="0.25">
      <c r="A3972" s="159">
        <v>630455</v>
      </c>
      <c r="B3972" s="159">
        <v>1</v>
      </c>
      <c r="C3972" s="158" t="str">
        <f t="shared" si="63"/>
        <v>1</v>
      </c>
    </row>
    <row r="3973" spans="1:3" x14ac:dyDescent="0.25">
      <c r="A3973" s="159">
        <v>630456</v>
      </c>
      <c r="B3973" s="159">
        <v>1</v>
      </c>
      <c r="C3973" s="158" t="str">
        <f t="shared" si="63"/>
        <v>1</v>
      </c>
    </row>
    <row r="3974" spans="1:3" x14ac:dyDescent="0.25">
      <c r="A3974" s="159">
        <v>630457</v>
      </c>
      <c r="B3974" s="159">
        <v>5</v>
      </c>
      <c r="C3974" s="158" t="str">
        <f t="shared" si="63"/>
        <v>5</v>
      </c>
    </row>
    <row r="3975" spans="1:3" x14ac:dyDescent="0.25">
      <c r="A3975" s="159">
        <v>630458</v>
      </c>
      <c r="B3975" s="159">
        <v>1</v>
      </c>
      <c r="C3975" s="158" t="str">
        <f t="shared" si="63"/>
        <v>1</v>
      </c>
    </row>
    <row r="3976" spans="1:3" x14ac:dyDescent="0.25">
      <c r="A3976" s="159">
        <v>630459</v>
      </c>
      <c r="B3976" s="159">
        <v>1</v>
      </c>
      <c r="C3976" s="158" t="str">
        <f t="shared" si="63"/>
        <v>1</v>
      </c>
    </row>
    <row r="3977" spans="1:3" x14ac:dyDescent="0.25">
      <c r="A3977" s="159">
        <v>630460</v>
      </c>
      <c r="B3977" s="159">
        <v>1</v>
      </c>
      <c r="C3977" s="158" t="str">
        <f t="shared" si="63"/>
        <v>1</v>
      </c>
    </row>
    <row r="3978" spans="1:3" x14ac:dyDescent="0.25">
      <c r="A3978" s="159">
        <v>630461</v>
      </c>
      <c r="B3978" s="159">
        <v>1</v>
      </c>
      <c r="C3978" s="158" t="str">
        <f t="shared" si="63"/>
        <v>1</v>
      </c>
    </row>
    <row r="3979" spans="1:3" x14ac:dyDescent="0.25">
      <c r="A3979" s="159">
        <v>630462</v>
      </c>
      <c r="B3979" s="159">
        <v>1</v>
      </c>
      <c r="C3979" s="158" t="str">
        <f t="shared" si="63"/>
        <v>1</v>
      </c>
    </row>
    <row r="3980" spans="1:3" x14ac:dyDescent="0.25">
      <c r="A3980" s="159">
        <v>630463</v>
      </c>
      <c r="B3980" s="159">
        <v>1</v>
      </c>
      <c r="C3980" s="158" t="str">
        <f t="shared" si="63"/>
        <v>1</v>
      </c>
    </row>
    <row r="3981" spans="1:3" x14ac:dyDescent="0.25">
      <c r="A3981" s="159">
        <v>630464</v>
      </c>
      <c r="B3981" s="159">
        <v>1</v>
      </c>
      <c r="C3981" s="158" t="str">
        <f t="shared" si="63"/>
        <v>1</v>
      </c>
    </row>
    <row r="3982" spans="1:3" x14ac:dyDescent="0.25">
      <c r="A3982" s="159">
        <v>630465</v>
      </c>
      <c r="B3982" s="159">
        <v>1</v>
      </c>
      <c r="C3982" s="158" t="str">
        <f t="shared" si="63"/>
        <v>1</v>
      </c>
    </row>
    <row r="3983" spans="1:3" x14ac:dyDescent="0.25">
      <c r="A3983" s="159">
        <v>630466</v>
      </c>
      <c r="B3983" s="159">
        <v>1</v>
      </c>
      <c r="C3983" s="158" t="str">
        <f t="shared" si="63"/>
        <v>1</v>
      </c>
    </row>
    <row r="3984" spans="1:3" x14ac:dyDescent="0.25">
      <c r="A3984" s="159">
        <v>630467</v>
      </c>
      <c r="B3984" s="159">
        <v>1</v>
      </c>
      <c r="C3984" s="158" t="str">
        <f t="shared" si="63"/>
        <v>1</v>
      </c>
    </row>
    <row r="3985" spans="1:3" x14ac:dyDescent="0.25">
      <c r="A3985" s="159">
        <v>630468</v>
      </c>
      <c r="B3985" s="159">
        <v>1</v>
      </c>
      <c r="C3985" s="158" t="str">
        <f t="shared" si="63"/>
        <v>1</v>
      </c>
    </row>
    <row r="3986" spans="1:3" x14ac:dyDescent="0.25">
      <c r="A3986" s="159">
        <v>630469</v>
      </c>
      <c r="B3986" s="159">
        <v>1</v>
      </c>
      <c r="C3986" s="158" t="str">
        <f t="shared" si="63"/>
        <v>1</v>
      </c>
    </row>
    <row r="3987" spans="1:3" x14ac:dyDescent="0.25">
      <c r="A3987" s="159">
        <v>630470</v>
      </c>
      <c r="B3987" s="159">
        <v>1</v>
      </c>
      <c r="C3987" s="158" t="str">
        <f t="shared" si="63"/>
        <v>1</v>
      </c>
    </row>
    <row r="3988" spans="1:3" x14ac:dyDescent="0.25">
      <c r="A3988" s="159">
        <v>630471</v>
      </c>
      <c r="B3988" s="159">
        <v>1</v>
      </c>
      <c r="C3988" s="158" t="str">
        <f t="shared" si="63"/>
        <v>1</v>
      </c>
    </row>
    <row r="3989" spans="1:3" x14ac:dyDescent="0.25">
      <c r="A3989" s="159">
        <v>630472</v>
      </c>
      <c r="B3989" s="159">
        <v>1</v>
      </c>
      <c r="C3989" s="158" t="str">
        <f t="shared" si="63"/>
        <v>1</v>
      </c>
    </row>
    <row r="3990" spans="1:3" x14ac:dyDescent="0.25">
      <c r="A3990" s="159">
        <v>630473</v>
      </c>
      <c r="B3990" s="159">
        <v>3</v>
      </c>
      <c r="C3990" s="158" t="str">
        <f t="shared" si="63"/>
        <v>3</v>
      </c>
    </row>
    <row r="3991" spans="1:3" x14ac:dyDescent="0.25">
      <c r="A3991" s="159">
        <v>630474</v>
      </c>
      <c r="B3991" s="159">
        <v>1</v>
      </c>
      <c r="C3991" s="158" t="str">
        <f t="shared" si="63"/>
        <v>1</v>
      </c>
    </row>
    <row r="3992" spans="1:3" x14ac:dyDescent="0.25">
      <c r="A3992" s="159">
        <v>630476</v>
      </c>
      <c r="B3992" s="159">
        <v>1</v>
      </c>
      <c r="C3992" s="158" t="str">
        <f t="shared" si="63"/>
        <v>1</v>
      </c>
    </row>
    <row r="3993" spans="1:3" x14ac:dyDescent="0.25">
      <c r="A3993" s="159">
        <v>630477</v>
      </c>
      <c r="B3993" s="159">
        <v>1</v>
      </c>
      <c r="C3993" s="158" t="str">
        <f t="shared" si="63"/>
        <v>1</v>
      </c>
    </row>
    <row r="3994" spans="1:3" x14ac:dyDescent="0.25">
      <c r="A3994" s="159">
        <v>630478</v>
      </c>
      <c r="B3994" s="159">
        <v>1</v>
      </c>
      <c r="C3994" s="158" t="str">
        <f t="shared" si="63"/>
        <v>1</v>
      </c>
    </row>
    <row r="3995" spans="1:3" x14ac:dyDescent="0.25">
      <c r="A3995" s="159">
        <v>630479</v>
      </c>
      <c r="B3995" s="159">
        <v>1</v>
      </c>
      <c r="C3995" s="158" t="str">
        <f t="shared" si="63"/>
        <v>1</v>
      </c>
    </row>
    <row r="3996" spans="1:3" x14ac:dyDescent="0.25">
      <c r="A3996" s="159">
        <v>630481</v>
      </c>
      <c r="B3996" s="159">
        <v>1</v>
      </c>
      <c r="C3996" s="158" t="str">
        <f t="shared" si="63"/>
        <v>1</v>
      </c>
    </row>
    <row r="3997" spans="1:3" x14ac:dyDescent="0.25">
      <c r="A3997" s="159">
        <v>630482</v>
      </c>
      <c r="B3997" s="159">
        <v>6</v>
      </c>
      <c r="C3997" s="158">
        <f t="shared" si="63"/>
        <v>6</v>
      </c>
    </row>
    <row r="3998" spans="1:3" x14ac:dyDescent="0.25">
      <c r="A3998" s="159">
        <v>630483</v>
      </c>
      <c r="B3998" s="159">
        <v>1</v>
      </c>
      <c r="C3998" s="158" t="str">
        <f t="shared" si="63"/>
        <v>1</v>
      </c>
    </row>
    <row r="3999" spans="1:3" x14ac:dyDescent="0.25">
      <c r="A3999" s="159">
        <v>630486</v>
      </c>
      <c r="B3999" s="159">
        <v>6</v>
      </c>
      <c r="C3999" s="158">
        <f t="shared" si="63"/>
        <v>6</v>
      </c>
    </row>
    <row r="4000" spans="1:3" x14ac:dyDescent="0.25">
      <c r="A4000" s="159">
        <v>630487</v>
      </c>
      <c r="B4000" s="159">
        <v>1</v>
      </c>
      <c r="C4000" s="158" t="str">
        <f t="shared" si="63"/>
        <v>1</v>
      </c>
    </row>
    <row r="4001" spans="1:3" x14ac:dyDescent="0.25">
      <c r="A4001" s="159">
        <v>630490</v>
      </c>
      <c r="B4001" s="159">
        <v>1</v>
      </c>
      <c r="C4001" s="158" t="str">
        <f t="shared" si="63"/>
        <v>1</v>
      </c>
    </row>
    <row r="4002" spans="1:3" x14ac:dyDescent="0.25">
      <c r="A4002" s="159">
        <v>630499</v>
      </c>
      <c r="B4002" s="159">
        <v>3</v>
      </c>
      <c r="C4002" s="158" t="str">
        <f t="shared" si="63"/>
        <v>3</v>
      </c>
    </row>
    <row r="4003" spans="1:3" x14ac:dyDescent="0.25">
      <c r="A4003" s="159">
        <v>630504</v>
      </c>
      <c r="B4003" s="159">
        <v>3</v>
      </c>
      <c r="C4003" s="158" t="str">
        <f t="shared" si="63"/>
        <v>3</v>
      </c>
    </row>
    <row r="4004" spans="1:3" x14ac:dyDescent="0.25">
      <c r="A4004" s="159">
        <v>630505</v>
      </c>
      <c r="B4004" s="159">
        <v>1</v>
      </c>
      <c r="C4004" s="158" t="str">
        <f t="shared" si="63"/>
        <v>1</v>
      </c>
    </row>
    <row r="4005" spans="1:3" x14ac:dyDescent="0.25">
      <c r="A4005" s="159">
        <v>630510</v>
      </c>
      <c r="B4005" s="159">
        <v>3</v>
      </c>
      <c r="C4005" s="158" t="str">
        <f t="shared" si="63"/>
        <v>3</v>
      </c>
    </row>
    <row r="4006" spans="1:3" x14ac:dyDescent="0.25">
      <c r="A4006" s="159">
        <v>630511</v>
      </c>
      <c r="B4006" s="159">
        <v>1</v>
      </c>
      <c r="C4006" s="158" t="str">
        <f t="shared" si="63"/>
        <v>1</v>
      </c>
    </row>
    <row r="4007" spans="1:3" x14ac:dyDescent="0.25">
      <c r="A4007" s="159">
        <v>630514</v>
      </c>
      <c r="B4007" s="159">
        <v>3</v>
      </c>
      <c r="C4007" s="158" t="str">
        <f t="shared" si="63"/>
        <v>3</v>
      </c>
    </row>
    <row r="4008" spans="1:3" x14ac:dyDescent="0.25">
      <c r="A4008" s="159">
        <v>630515</v>
      </c>
      <c r="B4008" s="159">
        <v>1</v>
      </c>
      <c r="C4008" s="158" t="str">
        <f t="shared" si="63"/>
        <v>1</v>
      </c>
    </row>
    <row r="4009" spans="1:3" x14ac:dyDescent="0.25">
      <c r="A4009" s="159">
        <v>630520</v>
      </c>
      <c r="B4009" s="159">
        <v>1</v>
      </c>
      <c r="C4009" s="158" t="str">
        <f t="shared" si="63"/>
        <v>1</v>
      </c>
    </row>
    <row r="4010" spans="1:3" x14ac:dyDescent="0.25">
      <c r="A4010" s="159">
        <v>630523</v>
      </c>
      <c r="B4010" s="159">
        <v>6</v>
      </c>
      <c r="C4010" s="158">
        <f t="shared" si="63"/>
        <v>6</v>
      </c>
    </row>
    <row r="4011" spans="1:3" x14ac:dyDescent="0.25">
      <c r="A4011" s="159">
        <v>630524</v>
      </c>
      <c r="B4011" s="159">
        <v>1</v>
      </c>
      <c r="C4011" s="158" t="str">
        <f t="shared" si="63"/>
        <v>1</v>
      </c>
    </row>
    <row r="4012" spans="1:3" x14ac:dyDescent="0.25">
      <c r="A4012" s="159">
        <v>630530</v>
      </c>
      <c r="B4012" s="159">
        <v>1</v>
      </c>
      <c r="C4012" s="158" t="str">
        <f t="shared" si="63"/>
        <v>1</v>
      </c>
    </row>
    <row r="4013" spans="1:3" x14ac:dyDescent="0.25">
      <c r="A4013" s="159">
        <v>630531</v>
      </c>
      <c r="B4013" s="159">
        <v>1</v>
      </c>
      <c r="C4013" s="158" t="str">
        <f t="shared" si="63"/>
        <v>1</v>
      </c>
    </row>
    <row r="4014" spans="1:3" x14ac:dyDescent="0.25">
      <c r="A4014" s="159">
        <v>630532</v>
      </c>
      <c r="B4014" s="159">
        <v>1</v>
      </c>
      <c r="C4014" s="158" t="str">
        <f t="shared" si="63"/>
        <v>1</v>
      </c>
    </row>
    <row r="4015" spans="1:3" x14ac:dyDescent="0.25">
      <c r="A4015" s="159">
        <v>630534</v>
      </c>
      <c r="B4015" s="159">
        <v>6</v>
      </c>
      <c r="C4015" s="158">
        <f t="shared" si="63"/>
        <v>6</v>
      </c>
    </row>
    <row r="4016" spans="1:3" x14ac:dyDescent="0.25">
      <c r="A4016" s="159">
        <v>630535</v>
      </c>
      <c r="B4016" s="159">
        <v>1</v>
      </c>
      <c r="C4016" s="158" t="str">
        <f t="shared" si="63"/>
        <v>1</v>
      </c>
    </row>
    <row r="4017" spans="1:3" x14ac:dyDescent="0.25">
      <c r="A4017" s="159">
        <v>630538</v>
      </c>
      <c r="B4017" s="159">
        <v>1</v>
      </c>
      <c r="C4017" s="158" t="str">
        <f t="shared" si="63"/>
        <v>1</v>
      </c>
    </row>
    <row r="4018" spans="1:3" x14ac:dyDescent="0.25">
      <c r="A4018" s="159">
        <v>630539</v>
      </c>
      <c r="B4018" s="159">
        <v>1</v>
      </c>
      <c r="C4018" s="158" t="str">
        <f t="shared" si="63"/>
        <v>1</v>
      </c>
    </row>
    <row r="4019" spans="1:3" x14ac:dyDescent="0.25">
      <c r="A4019" s="159">
        <v>630544</v>
      </c>
      <c r="B4019" s="159">
        <v>1</v>
      </c>
      <c r="C4019" s="158" t="str">
        <f t="shared" si="63"/>
        <v>1</v>
      </c>
    </row>
    <row r="4020" spans="1:3" x14ac:dyDescent="0.25">
      <c r="A4020" s="159">
        <v>630545</v>
      </c>
      <c r="B4020" s="159">
        <v>1</v>
      </c>
      <c r="C4020" s="158" t="str">
        <f t="shared" si="63"/>
        <v>1</v>
      </c>
    </row>
    <row r="4021" spans="1:3" x14ac:dyDescent="0.25">
      <c r="A4021" s="159">
        <v>630546</v>
      </c>
      <c r="B4021" s="159">
        <v>1</v>
      </c>
      <c r="C4021" s="158" t="str">
        <f t="shared" si="63"/>
        <v>1</v>
      </c>
    </row>
    <row r="4022" spans="1:3" x14ac:dyDescent="0.25">
      <c r="A4022" s="159">
        <v>630549</v>
      </c>
      <c r="B4022" s="159">
        <v>1</v>
      </c>
      <c r="C4022" s="158" t="str">
        <f t="shared" ref="C4022:C4085" si="64">IF(OR(B4022=0,B4022=1,B4022=2,B4022=3,B4022=4,B4022=5),TEXT(B4022,"0"),B4022)</f>
        <v>1</v>
      </c>
    </row>
    <row r="4023" spans="1:3" x14ac:dyDescent="0.25">
      <c r="A4023" s="159">
        <v>630550</v>
      </c>
      <c r="B4023" s="159">
        <v>1</v>
      </c>
      <c r="C4023" s="158" t="str">
        <f t="shared" si="64"/>
        <v>1</v>
      </c>
    </row>
    <row r="4024" spans="1:3" x14ac:dyDescent="0.25">
      <c r="A4024" s="159">
        <v>630555</v>
      </c>
      <c r="B4024" s="159">
        <v>1</v>
      </c>
      <c r="C4024" s="158" t="str">
        <f t="shared" si="64"/>
        <v>1</v>
      </c>
    </row>
    <row r="4025" spans="1:3" x14ac:dyDescent="0.25">
      <c r="A4025" s="159">
        <v>630556</v>
      </c>
      <c r="B4025" s="159">
        <v>1</v>
      </c>
      <c r="C4025" s="158" t="str">
        <f t="shared" si="64"/>
        <v>1</v>
      </c>
    </row>
    <row r="4026" spans="1:3" x14ac:dyDescent="0.25">
      <c r="A4026" s="159">
        <v>630559</v>
      </c>
      <c r="B4026" s="159">
        <v>1</v>
      </c>
      <c r="C4026" s="158" t="str">
        <f t="shared" si="64"/>
        <v>1</v>
      </c>
    </row>
    <row r="4027" spans="1:3" x14ac:dyDescent="0.25">
      <c r="A4027" s="159">
        <v>630560</v>
      </c>
      <c r="B4027" s="159">
        <v>1</v>
      </c>
      <c r="C4027" s="158" t="str">
        <f t="shared" si="64"/>
        <v>1</v>
      </c>
    </row>
    <row r="4028" spans="1:3" x14ac:dyDescent="0.25">
      <c r="A4028" s="159">
        <v>630561</v>
      </c>
      <c r="B4028" s="159">
        <v>1</v>
      </c>
      <c r="C4028" s="158" t="str">
        <f t="shared" si="64"/>
        <v>1</v>
      </c>
    </row>
    <row r="4029" spans="1:3" x14ac:dyDescent="0.25">
      <c r="A4029" s="159">
        <v>630562</v>
      </c>
      <c r="B4029" s="159">
        <v>1</v>
      </c>
      <c r="C4029" s="158" t="str">
        <f t="shared" si="64"/>
        <v>1</v>
      </c>
    </row>
    <row r="4030" spans="1:3" x14ac:dyDescent="0.25">
      <c r="A4030" s="159">
        <v>701024</v>
      </c>
      <c r="B4030" s="159">
        <v>1</v>
      </c>
      <c r="C4030" s="158" t="str">
        <f t="shared" si="64"/>
        <v>1</v>
      </c>
    </row>
    <row r="4031" spans="1:3" x14ac:dyDescent="0.25">
      <c r="A4031" s="159">
        <v>701840</v>
      </c>
      <c r="B4031" s="159">
        <v>1</v>
      </c>
      <c r="C4031" s="158" t="str">
        <f t="shared" si="64"/>
        <v>1</v>
      </c>
    </row>
    <row r="4032" spans="1:3" x14ac:dyDescent="0.25">
      <c r="A4032" s="159">
        <v>701841</v>
      </c>
      <c r="B4032" s="159">
        <v>4</v>
      </c>
      <c r="C4032" s="158" t="str">
        <f t="shared" si="64"/>
        <v>4</v>
      </c>
    </row>
    <row r="4033" spans="1:3" x14ac:dyDescent="0.25">
      <c r="A4033" s="159">
        <v>701847</v>
      </c>
      <c r="B4033" s="159">
        <v>1</v>
      </c>
      <c r="C4033" s="158" t="str">
        <f t="shared" si="64"/>
        <v>1</v>
      </c>
    </row>
    <row r="4034" spans="1:3" x14ac:dyDescent="0.25">
      <c r="A4034" s="159">
        <v>701860</v>
      </c>
      <c r="B4034" s="159">
        <v>1</v>
      </c>
      <c r="C4034" s="158" t="str">
        <f t="shared" si="64"/>
        <v>1</v>
      </c>
    </row>
    <row r="4035" spans="1:3" x14ac:dyDescent="0.25">
      <c r="A4035" s="159">
        <v>701880</v>
      </c>
      <c r="B4035" s="159">
        <v>4</v>
      </c>
      <c r="C4035" s="158" t="str">
        <f t="shared" si="64"/>
        <v>4</v>
      </c>
    </row>
    <row r="4036" spans="1:3" x14ac:dyDescent="0.25">
      <c r="A4036" s="159">
        <v>701881</v>
      </c>
      <c r="B4036" s="159">
        <v>1</v>
      </c>
      <c r="C4036" s="158" t="str">
        <f t="shared" si="64"/>
        <v>1</v>
      </c>
    </row>
    <row r="4037" spans="1:3" x14ac:dyDescent="0.25">
      <c r="A4037" s="159">
        <v>701882</v>
      </c>
      <c r="B4037" s="159">
        <v>5</v>
      </c>
      <c r="C4037" s="158" t="str">
        <f t="shared" si="64"/>
        <v>5</v>
      </c>
    </row>
    <row r="4038" spans="1:3" x14ac:dyDescent="0.25">
      <c r="A4038" s="159">
        <v>701883</v>
      </c>
      <c r="B4038" s="159">
        <v>3</v>
      </c>
      <c r="C4038" s="158" t="str">
        <f t="shared" si="64"/>
        <v>3</v>
      </c>
    </row>
    <row r="4039" spans="1:3" x14ac:dyDescent="0.25">
      <c r="A4039" s="159">
        <v>701884</v>
      </c>
      <c r="B4039" s="159">
        <v>3</v>
      </c>
      <c r="C4039" s="158" t="str">
        <f t="shared" si="64"/>
        <v>3</v>
      </c>
    </row>
    <row r="4040" spans="1:3" x14ac:dyDescent="0.25">
      <c r="A4040" s="159">
        <v>701885</v>
      </c>
      <c r="B4040" s="159">
        <v>1</v>
      </c>
      <c r="C4040" s="158" t="str">
        <f t="shared" si="64"/>
        <v>1</v>
      </c>
    </row>
    <row r="4041" spans="1:3" x14ac:dyDescent="0.25">
      <c r="A4041" s="159">
        <v>701886</v>
      </c>
      <c r="B4041" s="159">
        <v>4</v>
      </c>
      <c r="C4041" s="158" t="str">
        <f t="shared" si="64"/>
        <v>4</v>
      </c>
    </row>
    <row r="4042" spans="1:3" x14ac:dyDescent="0.25">
      <c r="A4042" s="159">
        <v>701887</v>
      </c>
      <c r="B4042" s="159">
        <v>1</v>
      </c>
      <c r="C4042" s="158" t="str">
        <f t="shared" si="64"/>
        <v>1</v>
      </c>
    </row>
    <row r="4043" spans="1:3" x14ac:dyDescent="0.25">
      <c r="A4043" s="159">
        <v>701890</v>
      </c>
      <c r="B4043" s="159">
        <v>5</v>
      </c>
      <c r="C4043" s="158" t="str">
        <f t="shared" si="64"/>
        <v>5</v>
      </c>
    </row>
    <row r="4044" spans="1:3" x14ac:dyDescent="0.25">
      <c r="A4044" s="159">
        <v>701891</v>
      </c>
      <c r="B4044" s="159">
        <v>5</v>
      </c>
      <c r="C4044" s="158" t="str">
        <f t="shared" si="64"/>
        <v>5</v>
      </c>
    </row>
    <row r="4045" spans="1:3" x14ac:dyDescent="0.25">
      <c r="A4045" s="159">
        <v>701893</v>
      </c>
      <c r="B4045" s="159">
        <v>2</v>
      </c>
      <c r="C4045" s="158" t="str">
        <f t="shared" si="64"/>
        <v>2</v>
      </c>
    </row>
    <row r="4046" spans="1:3" x14ac:dyDescent="0.25">
      <c r="A4046" s="159">
        <v>701894</v>
      </c>
      <c r="B4046" s="159">
        <v>1</v>
      </c>
      <c r="C4046" s="158" t="str">
        <f t="shared" si="64"/>
        <v>1</v>
      </c>
    </row>
    <row r="4047" spans="1:3" x14ac:dyDescent="0.25">
      <c r="A4047" s="159">
        <v>701897</v>
      </c>
      <c r="B4047" s="159">
        <v>1</v>
      </c>
      <c r="C4047" s="158" t="str">
        <f t="shared" si="64"/>
        <v>1</v>
      </c>
    </row>
    <row r="4048" spans="1:3" x14ac:dyDescent="0.25">
      <c r="A4048" s="159">
        <v>701910</v>
      </c>
      <c r="B4048" s="159">
        <v>1</v>
      </c>
      <c r="C4048" s="158" t="str">
        <f t="shared" si="64"/>
        <v>1</v>
      </c>
    </row>
    <row r="4049" spans="1:3" x14ac:dyDescent="0.25">
      <c r="A4049" s="159">
        <v>701913</v>
      </c>
      <c r="B4049" s="159">
        <v>1</v>
      </c>
      <c r="C4049" s="158" t="str">
        <f t="shared" si="64"/>
        <v>1</v>
      </c>
    </row>
    <row r="4050" spans="1:3" x14ac:dyDescent="0.25">
      <c r="A4050" s="159">
        <v>701914</v>
      </c>
      <c r="B4050" s="159">
        <v>1</v>
      </c>
      <c r="C4050" s="158" t="str">
        <f t="shared" si="64"/>
        <v>1</v>
      </c>
    </row>
    <row r="4051" spans="1:3" x14ac:dyDescent="0.25">
      <c r="A4051" s="159">
        <v>701915</v>
      </c>
      <c r="B4051" s="159">
        <v>1</v>
      </c>
      <c r="C4051" s="158" t="str">
        <f t="shared" si="64"/>
        <v>1</v>
      </c>
    </row>
    <row r="4052" spans="1:3" x14ac:dyDescent="0.25">
      <c r="A4052" s="159">
        <v>701917</v>
      </c>
      <c r="B4052" s="159">
        <v>1</v>
      </c>
      <c r="C4052" s="158" t="str">
        <f t="shared" si="64"/>
        <v>1</v>
      </c>
    </row>
    <row r="4053" spans="1:3" x14ac:dyDescent="0.25">
      <c r="A4053" s="159">
        <v>701919</v>
      </c>
      <c r="B4053" s="159">
        <v>1</v>
      </c>
      <c r="C4053" s="158" t="str">
        <f t="shared" si="64"/>
        <v>1</v>
      </c>
    </row>
    <row r="4054" spans="1:3" x14ac:dyDescent="0.25">
      <c r="A4054" s="159">
        <v>701921</v>
      </c>
      <c r="B4054" s="159">
        <v>1</v>
      </c>
      <c r="C4054" s="158" t="str">
        <f t="shared" si="64"/>
        <v>1</v>
      </c>
    </row>
    <row r="4055" spans="1:3" x14ac:dyDescent="0.25">
      <c r="A4055" s="159">
        <v>701923</v>
      </c>
      <c r="B4055" s="159">
        <v>1</v>
      </c>
      <c r="C4055" s="158" t="str">
        <f t="shared" si="64"/>
        <v>1</v>
      </c>
    </row>
    <row r="4056" spans="1:3" x14ac:dyDescent="0.25">
      <c r="A4056" s="159">
        <v>701925</v>
      </c>
      <c r="B4056" s="159">
        <v>1</v>
      </c>
      <c r="C4056" s="158" t="str">
        <f t="shared" si="64"/>
        <v>1</v>
      </c>
    </row>
    <row r="4057" spans="1:3" x14ac:dyDescent="0.25">
      <c r="A4057" s="159">
        <v>701926</v>
      </c>
      <c r="B4057" s="159">
        <v>1</v>
      </c>
      <c r="C4057" s="158" t="str">
        <f t="shared" si="64"/>
        <v>1</v>
      </c>
    </row>
    <row r="4058" spans="1:3" x14ac:dyDescent="0.25">
      <c r="A4058" s="159">
        <v>701941</v>
      </c>
      <c r="B4058" s="159">
        <v>1</v>
      </c>
      <c r="C4058" s="158" t="str">
        <f t="shared" si="64"/>
        <v>1</v>
      </c>
    </row>
    <row r="4059" spans="1:3" x14ac:dyDescent="0.25">
      <c r="A4059" s="159">
        <v>702053</v>
      </c>
      <c r="B4059" s="159">
        <v>4</v>
      </c>
      <c r="C4059" s="158" t="str">
        <f t="shared" si="64"/>
        <v>4</v>
      </c>
    </row>
    <row r="4060" spans="1:3" x14ac:dyDescent="0.25">
      <c r="A4060" s="159">
        <v>702300</v>
      </c>
      <c r="B4060" s="159">
        <v>1</v>
      </c>
      <c r="C4060" s="158" t="str">
        <f t="shared" si="64"/>
        <v>1</v>
      </c>
    </row>
    <row r="4061" spans="1:3" x14ac:dyDescent="0.25">
      <c r="A4061" s="159">
        <v>702370</v>
      </c>
      <c r="B4061" s="159">
        <v>1</v>
      </c>
      <c r="C4061" s="158" t="str">
        <f t="shared" si="64"/>
        <v>1</v>
      </c>
    </row>
    <row r="4062" spans="1:3" x14ac:dyDescent="0.25">
      <c r="A4062" s="159">
        <v>702410</v>
      </c>
      <c r="B4062" s="159">
        <v>1</v>
      </c>
      <c r="C4062" s="158" t="str">
        <f t="shared" si="64"/>
        <v>1</v>
      </c>
    </row>
    <row r="4063" spans="1:3" x14ac:dyDescent="0.25">
      <c r="A4063" s="159">
        <v>702420</v>
      </c>
      <c r="B4063" s="159">
        <v>1</v>
      </c>
      <c r="C4063" s="158" t="str">
        <f t="shared" si="64"/>
        <v>1</v>
      </c>
    </row>
    <row r="4064" spans="1:3" x14ac:dyDescent="0.25">
      <c r="A4064" s="159">
        <v>702506</v>
      </c>
      <c r="B4064" s="159">
        <v>1</v>
      </c>
      <c r="C4064" s="158" t="str">
        <f t="shared" si="64"/>
        <v>1</v>
      </c>
    </row>
    <row r="4065" spans="1:3" x14ac:dyDescent="0.25">
      <c r="A4065" s="159">
        <v>702510</v>
      </c>
      <c r="B4065" s="159">
        <v>1</v>
      </c>
      <c r="C4065" s="158" t="str">
        <f t="shared" si="64"/>
        <v>1</v>
      </c>
    </row>
    <row r="4066" spans="1:3" x14ac:dyDescent="0.25">
      <c r="A4066" s="159">
        <v>702512</v>
      </c>
      <c r="B4066" s="159">
        <v>1</v>
      </c>
      <c r="C4066" s="158" t="str">
        <f t="shared" si="64"/>
        <v>1</v>
      </c>
    </row>
    <row r="4067" spans="1:3" x14ac:dyDescent="0.25">
      <c r="A4067" s="159">
        <v>702550</v>
      </c>
      <c r="B4067" s="159">
        <v>1</v>
      </c>
      <c r="C4067" s="158" t="str">
        <f t="shared" si="64"/>
        <v>1</v>
      </c>
    </row>
    <row r="4068" spans="1:3" x14ac:dyDescent="0.25">
      <c r="A4068" s="159">
        <v>702553</v>
      </c>
      <c r="B4068" s="159">
        <v>1</v>
      </c>
      <c r="C4068" s="158" t="str">
        <f t="shared" si="64"/>
        <v>1</v>
      </c>
    </row>
    <row r="4069" spans="1:3" x14ac:dyDescent="0.25">
      <c r="A4069" s="159">
        <v>702670</v>
      </c>
      <c r="B4069" s="159">
        <v>1</v>
      </c>
      <c r="C4069" s="158" t="str">
        <f t="shared" si="64"/>
        <v>1</v>
      </c>
    </row>
    <row r="4070" spans="1:3" x14ac:dyDescent="0.25">
      <c r="A4070" s="159">
        <v>702680</v>
      </c>
      <c r="B4070" s="159">
        <v>1</v>
      </c>
      <c r="C4070" s="158" t="str">
        <f t="shared" si="64"/>
        <v>1</v>
      </c>
    </row>
    <row r="4071" spans="1:3" x14ac:dyDescent="0.25">
      <c r="A4071" s="159">
        <v>702690</v>
      </c>
      <c r="B4071" s="159">
        <v>1</v>
      </c>
      <c r="C4071" s="158" t="str">
        <f t="shared" si="64"/>
        <v>1</v>
      </c>
    </row>
    <row r="4072" spans="1:3" x14ac:dyDescent="0.25">
      <c r="A4072" s="159">
        <v>702700</v>
      </c>
      <c r="B4072" s="159">
        <v>1</v>
      </c>
      <c r="C4072" s="158" t="str">
        <f t="shared" si="64"/>
        <v>1</v>
      </c>
    </row>
    <row r="4073" spans="1:3" x14ac:dyDescent="0.25">
      <c r="A4073" s="159">
        <v>702701</v>
      </c>
      <c r="B4073" s="159">
        <v>1</v>
      </c>
      <c r="C4073" s="158" t="str">
        <f t="shared" si="64"/>
        <v>1</v>
      </c>
    </row>
    <row r="4074" spans="1:3" x14ac:dyDescent="0.25">
      <c r="A4074" s="159">
        <v>702702</v>
      </c>
      <c r="B4074" s="159">
        <v>1</v>
      </c>
      <c r="C4074" s="158" t="str">
        <f t="shared" si="64"/>
        <v>1</v>
      </c>
    </row>
    <row r="4075" spans="1:3" x14ac:dyDescent="0.25">
      <c r="A4075" s="159">
        <v>702712</v>
      </c>
      <c r="B4075" s="159">
        <v>1</v>
      </c>
      <c r="C4075" s="158" t="str">
        <f t="shared" si="64"/>
        <v>1</v>
      </c>
    </row>
    <row r="4076" spans="1:3" x14ac:dyDescent="0.25">
      <c r="A4076" s="159">
        <v>702760</v>
      </c>
      <c r="B4076" s="159">
        <v>1</v>
      </c>
      <c r="C4076" s="158" t="str">
        <f t="shared" si="64"/>
        <v>1</v>
      </c>
    </row>
    <row r="4077" spans="1:3" x14ac:dyDescent="0.25">
      <c r="A4077" s="159">
        <v>702830</v>
      </c>
      <c r="B4077" s="159">
        <v>1</v>
      </c>
      <c r="C4077" s="158" t="str">
        <f t="shared" si="64"/>
        <v>1</v>
      </c>
    </row>
    <row r="4078" spans="1:3" x14ac:dyDescent="0.25">
      <c r="A4078" s="159">
        <v>702910</v>
      </c>
      <c r="B4078" s="159">
        <v>1</v>
      </c>
      <c r="C4078" s="158" t="str">
        <f t="shared" si="64"/>
        <v>1</v>
      </c>
    </row>
    <row r="4079" spans="1:3" x14ac:dyDescent="0.25">
      <c r="A4079" s="159">
        <v>702960</v>
      </c>
      <c r="B4079" s="159">
        <v>1</v>
      </c>
      <c r="C4079" s="158" t="str">
        <f t="shared" si="64"/>
        <v>1</v>
      </c>
    </row>
    <row r="4080" spans="1:3" x14ac:dyDescent="0.25">
      <c r="A4080" s="159">
        <v>703000</v>
      </c>
      <c r="B4080" s="159">
        <v>1</v>
      </c>
      <c r="C4080" s="158" t="str">
        <f t="shared" si="64"/>
        <v>1</v>
      </c>
    </row>
    <row r="4081" spans="1:3" x14ac:dyDescent="0.25">
      <c r="A4081" s="159">
        <v>703001</v>
      </c>
      <c r="B4081" s="159">
        <v>1</v>
      </c>
      <c r="C4081" s="158" t="str">
        <f t="shared" si="64"/>
        <v>1</v>
      </c>
    </row>
    <row r="4082" spans="1:3" x14ac:dyDescent="0.25">
      <c r="A4082" s="159">
        <v>703040</v>
      </c>
      <c r="B4082" s="159">
        <v>5</v>
      </c>
      <c r="C4082" s="158" t="str">
        <f t="shared" si="64"/>
        <v>5</v>
      </c>
    </row>
    <row r="4083" spans="1:3" x14ac:dyDescent="0.25">
      <c r="A4083" s="159">
        <v>703110</v>
      </c>
      <c r="B4083" s="159">
        <v>1</v>
      </c>
      <c r="C4083" s="158" t="str">
        <f t="shared" si="64"/>
        <v>1</v>
      </c>
    </row>
    <row r="4084" spans="1:3" x14ac:dyDescent="0.25">
      <c r="A4084" s="159">
        <v>703131</v>
      </c>
      <c r="B4084" s="159">
        <v>1</v>
      </c>
      <c r="C4084" s="158" t="str">
        <f t="shared" si="64"/>
        <v>1</v>
      </c>
    </row>
    <row r="4085" spans="1:3" x14ac:dyDescent="0.25">
      <c r="A4085" s="159">
        <v>703180</v>
      </c>
      <c r="B4085" s="159">
        <v>1</v>
      </c>
      <c r="C4085" s="158" t="str">
        <f t="shared" si="64"/>
        <v>1</v>
      </c>
    </row>
    <row r="4086" spans="1:3" x14ac:dyDescent="0.25">
      <c r="A4086" s="159">
        <v>703231</v>
      </c>
      <c r="B4086" s="159" t="s">
        <v>437</v>
      </c>
      <c r="C4086" s="158" t="str">
        <f t="shared" ref="C4086:C4149" si="65">IF(OR(B4086=0,B4086=1,B4086=2,B4086=3,B4086=4,B4086=5),TEXT(B4086,"0"),B4086)</f>
        <v>1S</v>
      </c>
    </row>
    <row r="4087" spans="1:3" x14ac:dyDescent="0.25">
      <c r="A4087" s="159">
        <v>703240</v>
      </c>
      <c r="B4087" s="159">
        <v>1</v>
      </c>
      <c r="C4087" s="158" t="str">
        <f t="shared" si="65"/>
        <v>1</v>
      </c>
    </row>
    <row r="4088" spans="1:3" x14ac:dyDescent="0.25">
      <c r="A4088" s="159">
        <v>703260</v>
      </c>
      <c r="B4088" s="159">
        <v>1</v>
      </c>
      <c r="C4088" s="158" t="str">
        <f t="shared" si="65"/>
        <v>1</v>
      </c>
    </row>
    <row r="4089" spans="1:3" x14ac:dyDescent="0.25">
      <c r="A4089" s="159">
        <v>703261</v>
      </c>
      <c r="B4089" s="159">
        <v>1</v>
      </c>
      <c r="C4089" s="158" t="str">
        <f t="shared" si="65"/>
        <v>1</v>
      </c>
    </row>
    <row r="4090" spans="1:3" x14ac:dyDescent="0.25">
      <c r="A4090" s="159">
        <v>703291</v>
      </c>
      <c r="B4090" s="159">
        <v>1</v>
      </c>
      <c r="C4090" s="158" t="str">
        <f t="shared" si="65"/>
        <v>1</v>
      </c>
    </row>
    <row r="4091" spans="1:3" x14ac:dyDescent="0.25">
      <c r="A4091" s="159">
        <v>703300</v>
      </c>
      <c r="B4091" s="159">
        <v>1</v>
      </c>
      <c r="C4091" s="158" t="str">
        <f t="shared" si="65"/>
        <v>1</v>
      </c>
    </row>
    <row r="4092" spans="1:3" x14ac:dyDescent="0.25">
      <c r="A4092" s="159">
        <v>703320</v>
      </c>
      <c r="B4092" s="159">
        <v>1</v>
      </c>
      <c r="C4092" s="158" t="str">
        <f t="shared" si="65"/>
        <v>1</v>
      </c>
    </row>
    <row r="4093" spans="1:3" x14ac:dyDescent="0.25">
      <c r="A4093" s="159">
        <v>703330</v>
      </c>
      <c r="B4093" s="159" t="s">
        <v>440</v>
      </c>
      <c r="C4093" s="158" t="str">
        <f t="shared" si="65"/>
        <v>5S</v>
      </c>
    </row>
    <row r="4094" spans="1:3" x14ac:dyDescent="0.25">
      <c r="A4094" s="159">
        <v>703331</v>
      </c>
      <c r="B4094" s="159" t="s">
        <v>437</v>
      </c>
      <c r="C4094" s="158" t="str">
        <f t="shared" si="65"/>
        <v>1S</v>
      </c>
    </row>
    <row r="4095" spans="1:3" x14ac:dyDescent="0.25">
      <c r="A4095" s="159">
        <v>703332</v>
      </c>
      <c r="B4095" s="159">
        <v>1</v>
      </c>
      <c r="C4095" s="158" t="str">
        <f t="shared" si="65"/>
        <v>1</v>
      </c>
    </row>
    <row r="4096" spans="1:3" x14ac:dyDescent="0.25">
      <c r="A4096" s="159">
        <v>703333</v>
      </c>
      <c r="B4096" s="159" t="s">
        <v>437</v>
      </c>
      <c r="C4096" s="158" t="str">
        <f t="shared" si="65"/>
        <v>1S</v>
      </c>
    </row>
    <row r="4097" spans="1:3" x14ac:dyDescent="0.25">
      <c r="A4097" s="159">
        <v>703334</v>
      </c>
      <c r="B4097" s="159" t="s">
        <v>437</v>
      </c>
      <c r="C4097" s="158" t="str">
        <f t="shared" si="65"/>
        <v>1S</v>
      </c>
    </row>
    <row r="4098" spans="1:3" x14ac:dyDescent="0.25">
      <c r="A4098" s="159">
        <v>703335</v>
      </c>
      <c r="B4098" s="159" t="s">
        <v>437</v>
      </c>
      <c r="C4098" s="158" t="str">
        <f t="shared" si="65"/>
        <v>1S</v>
      </c>
    </row>
    <row r="4099" spans="1:3" x14ac:dyDescent="0.25">
      <c r="A4099" s="159">
        <v>703336</v>
      </c>
      <c r="B4099" s="159" t="s">
        <v>437</v>
      </c>
      <c r="C4099" s="158" t="str">
        <f t="shared" si="65"/>
        <v>1S</v>
      </c>
    </row>
    <row r="4100" spans="1:3" x14ac:dyDescent="0.25">
      <c r="A4100" s="159">
        <v>703450</v>
      </c>
      <c r="B4100" s="159">
        <v>1</v>
      </c>
      <c r="C4100" s="158" t="str">
        <f t="shared" si="65"/>
        <v>1</v>
      </c>
    </row>
    <row r="4101" spans="1:3" x14ac:dyDescent="0.25">
      <c r="A4101" s="159">
        <v>703451</v>
      </c>
      <c r="B4101" s="159">
        <v>1</v>
      </c>
      <c r="C4101" s="158" t="str">
        <f t="shared" si="65"/>
        <v>1</v>
      </c>
    </row>
    <row r="4102" spans="1:3" x14ac:dyDescent="0.25">
      <c r="A4102" s="159">
        <v>703453</v>
      </c>
      <c r="B4102" s="159">
        <v>1</v>
      </c>
      <c r="C4102" s="158" t="str">
        <f t="shared" si="65"/>
        <v>1</v>
      </c>
    </row>
    <row r="4103" spans="1:3" x14ac:dyDescent="0.25">
      <c r="A4103" s="159">
        <v>703455</v>
      </c>
      <c r="B4103" s="159" t="s">
        <v>441</v>
      </c>
      <c r="C4103" s="158" t="str">
        <f t="shared" si="65"/>
        <v>4S</v>
      </c>
    </row>
    <row r="4104" spans="1:3" x14ac:dyDescent="0.25">
      <c r="A4104" s="159">
        <v>703470</v>
      </c>
      <c r="B4104" s="159">
        <v>1</v>
      </c>
      <c r="C4104" s="158" t="str">
        <f t="shared" si="65"/>
        <v>1</v>
      </c>
    </row>
    <row r="4105" spans="1:3" x14ac:dyDescent="0.25">
      <c r="A4105" s="159">
        <v>703491</v>
      </c>
      <c r="B4105" s="159">
        <v>3</v>
      </c>
      <c r="C4105" s="158" t="str">
        <f t="shared" si="65"/>
        <v>3</v>
      </c>
    </row>
    <row r="4106" spans="1:3" x14ac:dyDescent="0.25">
      <c r="A4106" s="159">
        <v>703492</v>
      </c>
      <c r="B4106" s="159">
        <v>1</v>
      </c>
      <c r="C4106" s="158" t="str">
        <f t="shared" si="65"/>
        <v>1</v>
      </c>
    </row>
    <row r="4107" spans="1:3" x14ac:dyDescent="0.25">
      <c r="A4107" s="159">
        <v>703500</v>
      </c>
      <c r="B4107" s="159">
        <v>1</v>
      </c>
      <c r="C4107" s="158" t="str">
        <f t="shared" si="65"/>
        <v>1</v>
      </c>
    </row>
    <row r="4108" spans="1:3" x14ac:dyDescent="0.25">
      <c r="A4108" s="159">
        <v>703531</v>
      </c>
      <c r="B4108" s="159">
        <v>1</v>
      </c>
      <c r="C4108" s="158" t="str">
        <f t="shared" si="65"/>
        <v>1</v>
      </c>
    </row>
    <row r="4109" spans="1:3" x14ac:dyDescent="0.25">
      <c r="A4109" s="159">
        <v>703548</v>
      </c>
      <c r="B4109" s="159">
        <v>1</v>
      </c>
      <c r="C4109" s="158" t="str">
        <f t="shared" si="65"/>
        <v>1</v>
      </c>
    </row>
    <row r="4110" spans="1:3" x14ac:dyDescent="0.25">
      <c r="A4110" s="159">
        <v>703560</v>
      </c>
      <c r="B4110" s="159">
        <v>5</v>
      </c>
      <c r="C4110" s="158" t="str">
        <f t="shared" si="65"/>
        <v>5</v>
      </c>
    </row>
    <row r="4111" spans="1:3" x14ac:dyDescent="0.25">
      <c r="A4111" s="159">
        <v>703580</v>
      </c>
      <c r="B4111" s="159">
        <v>1</v>
      </c>
      <c r="C4111" s="158" t="str">
        <f t="shared" si="65"/>
        <v>1</v>
      </c>
    </row>
    <row r="4112" spans="1:3" x14ac:dyDescent="0.25">
      <c r="A4112" s="159">
        <v>703670</v>
      </c>
      <c r="B4112" s="159">
        <v>1</v>
      </c>
      <c r="C4112" s="158" t="str">
        <f t="shared" si="65"/>
        <v>1</v>
      </c>
    </row>
    <row r="4113" spans="1:3" x14ac:dyDescent="0.25">
      <c r="A4113" s="159">
        <v>703761</v>
      </c>
      <c r="B4113" s="159">
        <v>1</v>
      </c>
      <c r="C4113" s="158" t="str">
        <f t="shared" si="65"/>
        <v>1</v>
      </c>
    </row>
    <row r="4114" spans="1:3" x14ac:dyDescent="0.25">
      <c r="A4114" s="159">
        <v>703762</v>
      </c>
      <c r="B4114" s="159">
        <v>1</v>
      </c>
      <c r="C4114" s="158" t="str">
        <f t="shared" si="65"/>
        <v>1</v>
      </c>
    </row>
    <row r="4115" spans="1:3" x14ac:dyDescent="0.25">
      <c r="A4115" s="159">
        <v>703900</v>
      </c>
      <c r="B4115" s="159">
        <v>2</v>
      </c>
      <c r="C4115" s="158" t="str">
        <f t="shared" si="65"/>
        <v>2</v>
      </c>
    </row>
    <row r="4116" spans="1:3" x14ac:dyDescent="0.25">
      <c r="A4116" s="159">
        <v>703901</v>
      </c>
      <c r="B4116" s="159">
        <v>1</v>
      </c>
      <c r="C4116" s="158" t="str">
        <f t="shared" si="65"/>
        <v>1</v>
      </c>
    </row>
    <row r="4117" spans="1:3" x14ac:dyDescent="0.25">
      <c r="A4117" s="159">
        <v>703902</v>
      </c>
      <c r="B4117" s="159">
        <v>1</v>
      </c>
      <c r="C4117" s="158" t="str">
        <f t="shared" si="65"/>
        <v>1</v>
      </c>
    </row>
    <row r="4118" spans="1:3" x14ac:dyDescent="0.25">
      <c r="A4118" s="159">
        <v>704010</v>
      </c>
      <c r="B4118" s="159">
        <v>4</v>
      </c>
      <c r="C4118" s="158" t="str">
        <f t="shared" si="65"/>
        <v>4</v>
      </c>
    </row>
    <row r="4119" spans="1:3" x14ac:dyDescent="0.25">
      <c r="A4119" s="159">
        <v>704070</v>
      </c>
      <c r="B4119" s="159">
        <v>1</v>
      </c>
      <c r="C4119" s="158" t="str">
        <f t="shared" si="65"/>
        <v>1</v>
      </c>
    </row>
    <row r="4120" spans="1:3" x14ac:dyDescent="0.25">
      <c r="A4120" s="159">
        <v>704080</v>
      </c>
      <c r="B4120" s="159">
        <v>1</v>
      </c>
      <c r="C4120" s="158" t="str">
        <f t="shared" si="65"/>
        <v>1</v>
      </c>
    </row>
    <row r="4121" spans="1:3" x14ac:dyDescent="0.25">
      <c r="A4121" s="159">
        <v>704092</v>
      </c>
      <c r="B4121" s="159">
        <v>1</v>
      </c>
      <c r="C4121" s="158" t="str">
        <f t="shared" si="65"/>
        <v>1</v>
      </c>
    </row>
    <row r="4122" spans="1:3" x14ac:dyDescent="0.25">
      <c r="A4122" s="159">
        <v>704093</v>
      </c>
      <c r="B4122" s="159">
        <v>1</v>
      </c>
      <c r="C4122" s="158" t="str">
        <f t="shared" si="65"/>
        <v>1</v>
      </c>
    </row>
    <row r="4123" spans="1:3" x14ac:dyDescent="0.25">
      <c r="A4123" s="159">
        <v>704100</v>
      </c>
      <c r="B4123" s="159">
        <v>1</v>
      </c>
      <c r="C4123" s="158" t="str">
        <f t="shared" si="65"/>
        <v>1</v>
      </c>
    </row>
    <row r="4124" spans="1:3" x14ac:dyDescent="0.25">
      <c r="A4124" s="159">
        <v>704130</v>
      </c>
      <c r="B4124" s="159">
        <v>3</v>
      </c>
      <c r="C4124" s="158" t="str">
        <f t="shared" si="65"/>
        <v>3</v>
      </c>
    </row>
    <row r="4125" spans="1:3" x14ac:dyDescent="0.25">
      <c r="A4125" s="159">
        <v>704150</v>
      </c>
      <c r="B4125" s="159">
        <v>1</v>
      </c>
      <c r="C4125" s="158" t="str">
        <f t="shared" si="65"/>
        <v>1</v>
      </c>
    </row>
    <row r="4126" spans="1:3" x14ac:dyDescent="0.25">
      <c r="A4126" s="159">
        <v>704171</v>
      </c>
      <c r="B4126" s="159">
        <v>1</v>
      </c>
      <c r="C4126" s="158" t="str">
        <f t="shared" si="65"/>
        <v>1</v>
      </c>
    </row>
    <row r="4127" spans="1:3" x14ac:dyDescent="0.25">
      <c r="A4127" s="159">
        <v>704172</v>
      </c>
      <c r="B4127" s="159">
        <v>1</v>
      </c>
      <c r="C4127" s="158" t="str">
        <f t="shared" si="65"/>
        <v>1</v>
      </c>
    </row>
    <row r="4128" spans="1:3" x14ac:dyDescent="0.25">
      <c r="A4128" s="159">
        <v>704204</v>
      </c>
      <c r="B4128" s="159">
        <v>1</v>
      </c>
      <c r="C4128" s="158" t="str">
        <f t="shared" si="65"/>
        <v>1</v>
      </c>
    </row>
    <row r="4129" spans="1:3" x14ac:dyDescent="0.25">
      <c r="A4129" s="159">
        <v>704212</v>
      </c>
      <c r="B4129" s="159">
        <v>2</v>
      </c>
      <c r="C4129" s="158" t="str">
        <f t="shared" si="65"/>
        <v>2</v>
      </c>
    </row>
    <row r="4130" spans="1:3" x14ac:dyDescent="0.25">
      <c r="A4130" s="159">
        <v>704220</v>
      </c>
      <c r="B4130" s="159">
        <v>1</v>
      </c>
      <c r="C4130" s="158" t="str">
        <f t="shared" si="65"/>
        <v>1</v>
      </c>
    </row>
    <row r="4131" spans="1:3" x14ac:dyDescent="0.25">
      <c r="A4131" s="159">
        <v>704320</v>
      </c>
      <c r="B4131" s="159">
        <v>1</v>
      </c>
      <c r="C4131" s="158" t="str">
        <f t="shared" si="65"/>
        <v>1</v>
      </c>
    </row>
    <row r="4132" spans="1:3" x14ac:dyDescent="0.25">
      <c r="A4132" s="159">
        <v>704321</v>
      </c>
      <c r="B4132" s="159">
        <v>1</v>
      </c>
      <c r="C4132" s="158" t="str">
        <f t="shared" si="65"/>
        <v>1</v>
      </c>
    </row>
    <row r="4133" spans="1:3" x14ac:dyDescent="0.25">
      <c r="A4133" s="159">
        <v>704341</v>
      </c>
      <c r="B4133" s="159">
        <v>1</v>
      </c>
      <c r="C4133" s="158" t="str">
        <f t="shared" si="65"/>
        <v>1</v>
      </c>
    </row>
    <row r="4134" spans="1:3" x14ac:dyDescent="0.25">
      <c r="A4134" s="159">
        <v>704342</v>
      </c>
      <c r="B4134" s="159">
        <v>1</v>
      </c>
      <c r="C4134" s="158" t="str">
        <f t="shared" si="65"/>
        <v>1</v>
      </c>
    </row>
    <row r="4135" spans="1:3" x14ac:dyDescent="0.25">
      <c r="A4135" s="159">
        <v>704440</v>
      </c>
      <c r="B4135" s="159">
        <v>1</v>
      </c>
      <c r="C4135" s="158" t="str">
        <f t="shared" si="65"/>
        <v>1</v>
      </c>
    </row>
    <row r="4136" spans="1:3" x14ac:dyDescent="0.25">
      <c r="A4136" s="159">
        <v>704480</v>
      </c>
      <c r="B4136" s="159">
        <v>1</v>
      </c>
      <c r="C4136" s="158" t="str">
        <f t="shared" si="65"/>
        <v>1</v>
      </c>
    </row>
    <row r="4137" spans="1:3" x14ac:dyDescent="0.25">
      <c r="A4137" s="159">
        <v>704552</v>
      </c>
      <c r="B4137" s="159">
        <v>1</v>
      </c>
      <c r="C4137" s="158" t="str">
        <f t="shared" si="65"/>
        <v>1</v>
      </c>
    </row>
    <row r="4138" spans="1:3" x14ac:dyDescent="0.25">
      <c r="A4138" s="159">
        <v>704663</v>
      </c>
      <c r="B4138" s="159">
        <v>4</v>
      </c>
      <c r="C4138" s="158" t="str">
        <f t="shared" si="65"/>
        <v>4</v>
      </c>
    </row>
    <row r="4139" spans="1:3" x14ac:dyDescent="0.25">
      <c r="A4139" s="159">
        <v>704680</v>
      </c>
      <c r="B4139" s="159">
        <v>1</v>
      </c>
      <c r="C4139" s="158" t="str">
        <f t="shared" si="65"/>
        <v>1</v>
      </c>
    </row>
    <row r="4140" spans="1:3" x14ac:dyDescent="0.25">
      <c r="A4140" s="159">
        <v>704740</v>
      </c>
      <c r="B4140" s="159">
        <v>3</v>
      </c>
      <c r="C4140" s="158" t="str">
        <f t="shared" si="65"/>
        <v>3</v>
      </c>
    </row>
    <row r="4141" spans="1:3" x14ac:dyDescent="0.25">
      <c r="A4141" s="159">
        <v>704741</v>
      </c>
      <c r="B4141" s="159">
        <v>3</v>
      </c>
      <c r="C4141" s="158" t="str">
        <f t="shared" si="65"/>
        <v>3</v>
      </c>
    </row>
    <row r="4142" spans="1:3" x14ac:dyDescent="0.25">
      <c r="A4142" s="159">
        <v>704742</v>
      </c>
      <c r="B4142" s="159">
        <v>3</v>
      </c>
      <c r="C4142" s="158" t="str">
        <f t="shared" si="65"/>
        <v>3</v>
      </c>
    </row>
    <row r="4143" spans="1:3" x14ac:dyDescent="0.25">
      <c r="A4143" s="159">
        <v>704800</v>
      </c>
      <c r="B4143" s="159">
        <v>1</v>
      </c>
      <c r="C4143" s="158" t="str">
        <f t="shared" si="65"/>
        <v>1</v>
      </c>
    </row>
    <row r="4144" spans="1:3" x14ac:dyDescent="0.25">
      <c r="A4144" s="159">
        <v>704810</v>
      </c>
      <c r="B4144" s="159">
        <v>3</v>
      </c>
      <c r="C4144" s="158" t="str">
        <f t="shared" si="65"/>
        <v>3</v>
      </c>
    </row>
    <row r="4145" spans="1:3" x14ac:dyDescent="0.25">
      <c r="A4145" s="159">
        <v>704830</v>
      </c>
      <c r="B4145" s="159">
        <v>2</v>
      </c>
      <c r="C4145" s="158" t="str">
        <f t="shared" si="65"/>
        <v>2</v>
      </c>
    </row>
    <row r="4146" spans="1:3" x14ac:dyDescent="0.25">
      <c r="A4146" s="159">
        <v>704831</v>
      </c>
      <c r="B4146" s="159">
        <v>6</v>
      </c>
      <c r="C4146" s="158">
        <f t="shared" si="65"/>
        <v>6</v>
      </c>
    </row>
    <row r="4147" spans="1:3" x14ac:dyDescent="0.25">
      <c r="A4147" s="159">
        <v>704850</v>
      </c>
      <c r="B4147" s="159">
        <v>1</v>
      </c>
      <c r="C4147" s="158" t="str">
        <f t="shared" si="65"/>
        <v>1</v>
      </c>
    </row>
    <row r="4148" spans="1:3" x14ac:dyDescent="0.25">
      <c r="A4148" s="159">
        <v>704851</v>
      </c>
      <c r="B4148" s="159">
        <v>2</v>
      </c>
      <c r="C4148" s="158" t="str">
        <f t="shared" si="65"/>
        <v>2</v>
      </c>
    </row>
    <row r="4149" spans="1:3" x14ac:dyDescent="0.25">
      <c r="A4149" s="159">
        <v>704910</v>
      </c>
      <c r="B4149" s="159">
        <v>3</v>
      </c>
      <c r="C4149" s="158" t="str">
        <f t="shared" si="65"/>
        <v>3</v>
      </c>
    </row>
    <row r="4150" spans="1:3" x14ac:dyDescent="0.25">
      <c r="A4150" s="159">
        <v>704961</v>
      </c>
      <c r="B4150" s="159">
        <v>1</v>
      </c>
      <c r="C4150" s="158" t="str">
        <f t="shared" ref="C4150:C4213" si="66">IF(OR(B4150=0,B4150=1,B4150=2,B4150=3,B4150=4,B4150=5),TEXT(B4150,"0"),B4150)</f>
        <v>1</v>
      </c>
    </row>
    <row r="4151" spans="1:3" x14ac:dyDescent="0.25">
      <c r="A4151" s="159">
        <v>704990</v>
      </c>
      <c r="B4151" s="159">
        <v>1</v>
      </c>
      <c r="C4151" s="158" t="str">
        <f t="shared" si="66"/>
        <v>1</v>
      </c>
    </row>
    <row r="4152" spans="1:3" x14ac:dyDescent="0.25">
      <c r="A4152" s="159">
        <v>705000</v>
      </c>
      <c r="B4152" s="159">
        <v>1</v>
      </c>
      <c r="C4152" s="158" t="str">
        <f t="shared" si="66"/>
        <v>1</v>
      </c>
    </row>
    <row r="4153" spans="1:3" x14ac:dyDescent="0.25">
      <c r="A4153" s="159">
        <v>705004</v>
      </c>
      <c r="B4153" s="159">
        <v>1</v>
      </c>
      <c r="C4153" s="158" t="str">
        <f t="shared" si="66"/>
        <v>1</v>
      </c>
    </row>
    <row r="4154" spans="1:3" x14ac:dyDescent="0.25">
      <c r="A4154" s="159">
        <v>705021</v>
      </c>
      <c r="B4154" s="159">
        <v>1</v>
      </c>
      <c r="C4154" s="158" t="str">
        <f t="shared" si="66"/>
        <v>1</v>
      </c>
    </row>
    <row r="4155" spans="1:3" x14ac:dyDescent="0.25">
      <c r="A4155" s="159">
        <v>705023</v>
      </c>
      <c r="B4155" s="159">
        <v>1</v>
      </c>
      <c r="C4155" s="158" t="str">
        <f t="shared" si="66"/>
        <v>1</v>
      </c>
    </row>
    <row r="4156" spans="1:3" x14ac:dyDescent="0.25">
      <c r="A4156" s="159">
        <v>705025</v>
      </c>
      <c r="B4156" s="159">
        <v>1</v>
      </c>
      <c r="C4156" s="158" t="str">
        <f t="shared" si="66"/>
        <v>1</v>
      </c>
    </row>
    <row r="4157" spans="1:3" x14ac:dyDescent="0.25">
      <c r="A4157" s="159">
        <v>705040</v>
      </c>
      <c r="B4157" s="159">
        <v>4</v>
      </c>
      <c r="C4157" s="158" t="str">
        <f t="shared" si="66"/>
        <v>4</v>
      </c>
    </row>
    <row r="4158" spans="1:3" x14ac:dyDescent="0.25">
      <c r="A4158" s="159">
        <v>705041</v>
      </c>
      <c r="B4158" s="159">
        <v>1</v>
      </c>
      <c r="C4158" s="158" t="str">
        <f t="shared" si="66"/>
        <v>1</v>
      </c>
    </row>
    <row r="4159" spans="1:3" x14ac:dyDescent="0.25">
      <c r="A4159" s="159">
        <v>705050</v>
      </c>
      <c r="B4159" s="159">
        <v>1</v>
      </c>
      <c r="C4159" s="158" t="str">
        <f t="shared" si="66"/>
        <v>1</v>
      </c>
    </row>
    <row r="4160" spans="1:3" x14ac:dyDescent="0.25">
      <c r="A4160" s="159">
        <v>705101</v>
      </c>
      <c r="B4160" s="159">
        <v>1</v>
      </c>
      <c r="C4160" s="158" t="str">
        <f t="shared" si="66"/>
        <v>1</v>
      </c>
    </row>
    <row r="4161" spans="1:3" x14ac:dyDescent="0.25">
      <c r="A4161" s="159">
        <v>705102</v>
      </c>
      <c r="B4161" s="159">
        <v>1</v>
      </c>
      <c r="C4161" s="158" t="str">
        <f t="shared" si="66"/>
        <v>1</v>
      </c>
    </row>
    <row r="4162" spans="1:3" x14ac:dyDescent="0.25">
      <c r="A4162" s="159">
        <v>705110</v>
      </c>
      <c r="B4162" s="159">
        <v>1</v>
      </c>
      <c r="C4162" s="158" t="str">
        <f t="shared" si="66"/>
        <v>1</v>
      </c>
    </row>
    <row r="4163" spans="1:3" x14ac:dyDescent="0.25">
      <c r="A4163" s="159">
        <v>705111</v>
      </c>
      <c r="B4163" s="159">
        <v>1</v>
      </c>
      <c r="C4163" s="158" t="str">
        <f t="shared" si="66"/>
        <v>1</v>
      </c>
    </row>
    <row r="4164" spans="1:3" x14ac:dyDescent="0.25">
      <c r="A4164" s="159">
        <v>706300</v>
      </c>
      <c r="B4164" s="159" t="s">
        <v>437</v>
      </c>
      <c r="C4164" s="158" t="str">
        <f t="shared" si="66"/>
        <v>1S</v>
      </c>
    </row>
    <row r="4165" spans="1:3" x14ac:dyDescent="0.25">
      <c r="A4165" s="159">
        <v>710234</v>
      </c>
      <c r="B4165" s="159">
        <v>2</v>
      </c>
      <c r="C4165" s="158" t="str">
        <f t="shared" si="66"/>
        <v>2</v>
      </c>
    </row>
    <row r="4166" spans="1:3" x14ac:dyDescent="0.25">
      <c r="A4166" s="159">
        <v>710235</v>
      </c>
      <c r="B4166" s="159">
        <v>1</v>
      </c>
      <c r="C4166" s="158" t="str">
        <f t="shared" si="66"/>
        <v>1</v>
      </c>
    </row>
    <row r="4167" spans="1:3" x14ac:dyDescent="0.25">
      <c r="A4167" s="159">
        <v>710236</v>
      </c>
      <c r="B4167" s="159">
        <v>2</v>
      </c>
      <c r="C4167" s="158" t="str">
        <f t="shared" si="66"/>
        <v>2</v>
      </c>
    </row>
    <row r="4168" spans="1:3" x14ac:dyDescent="0.25">
      <c r="A4168" s="159">
        <v>710237</v>
      </c>
      <c r="B4168" s="159">
        <v>1</v>
      </c>
      <c r="C4168" s="158" t="str">
        <f t="shared" si="66"/>
        <v>1</v>
      </c>
    </row>
    <row r="4169" spans="1:3" x14ac:dyDescent="0.25">
      <c r="A4169" s="159">
        <v>710238</v>
      </c>
      <c r="B4169" s="159">
        <v>1</v>
      </c>
      <c r="C4169" s="158" t="str">
        <f t="shared" si="66"/>
        <v>1</v>
      </c>
    </row>
    <row r="4170" spans="1:3" x14ac:dyDescent="0.25">
      <c r="A4170" s="159">
        <v>710239</v>
      </c>
      <c r="B4170" s="159">
        <v>1</v>
      </c>
      <c r="C4170" s="158" t="str">
        <f t="shared" si="66"/>
        <v>1</v>
      </c>
    </row>
    <row r="4171" spans="1:3" x14ac:dyDescent="0.25">
      <c r="A4171" s="159">
        <v>710246</v>
      </c>
      <c r="B4171" s="159">
        <v>1</v>
      </c>
      <c r="C4171" s="158" t="str">
        <f t="shared" si="66"/>
        <v>1</v>
      </c>
    </row>
    <row r="4172" spans="1:3" x14ac:dyDescent="0.25">
      <c r="A4172" s="159">
        <v>710247</v>
      </c>
      <c r="B4172" s="159">
        <v>1</v>
      </c>
      <c r="C4172" s="158" t="str">
        <f t="shared" si="66"/>
        <v>1</v>
      </c>
    </row>
    <row r="4173" spans="1:3" x14ac:dyDescent="0.25">
      <c r="A4173" s="159">
        <v>710262</v>
      </c>
      <c r="B4173" s="159" t="s">
        <v>437</v>
      </c>
      <c r="C4173" s="158" t="str">
        <f t="shared" si="66"/>
        <v>1S</v>
      </c>
    </row>
    <row r="4174" spans="1:3" x14ac:dyDescent="0.25">
      <c r="A4174" s="159">
        <v>710263</v>
      </c>
      <c r="B4174" s="159">
        <v>1</v>
      </c>
      <c r="C4174" s="158" t="str">
        <f t="shared" si="66"/>
        <v>1</v>
      </c>
    </row>
    <row r="4175" spans="1:3" x14ac:dyDescent="0.25">
      <c r="A4175" s="159">
        <v>710265</v>
      </c>
      <c r="B4175" s="159">
        <v>5</v>
      </c>
      <c r="C4175" s="158" t="str">
        <f t="shared" si="66"/>
        <v>5</v>
      </c>
    </row>
    <row r="4176" spans="1:3" x14ac:dyDescent="0.25">
      <c r="A4176" s="159">
        <v>710272</v>
      </c>
      <c r="B4176" s="159">
        <v>1</v>
      </c>
      <c r="C4176" s="158" t="str">
        <f t="shared" si="66"/>
        <v>1</v>
      </c>
    </row>
    <row r="4177" spans="1:3" x14ac:dyDescent="0.25">
      <c r="A4177" s="159">
        <v>710273</v>
      </c>
      <c r="B4177" s="159">
        <v>1</v>
      </c>
      <c r="C4177" s="158" t="str">
        <f t="shared" si="66"/>
        <v>1</v>
      </c>
    </row>
    <row r="4178" spans="1:3" x14ac:dyDescent="0.25">
      <c r="A4178" s="159">
        <v>710274</v>
      </c>
      <c r="B4178" s="159">
        <v>1</v>
      </c>
      <c r="C4178" s="158" t="str">
        <f t="shared" si="66"/>
        <v>1</v>
      </c>
    </row>
    <row r="4179" spans="1:3" x14ac:dyDescent="0.25">
      <c r="A4179" s="159">
        <v>710275</v>
      </c>
      <c r="B4179" s="159">
        <v>1</v>
      </c>
      <c r="C4179" s="158" t="str">
        <f t="shared" si="66"/>
        <v>1</v>
      </c>
    </row>
    <row r="4180" spans="1:3" x14ac:dyDescent="0.25">
      <c r="A4180" s="159">
        <v>710293</v>
      </c>
      <c r="B4180" s="159">
        <v>1</v>
      </c>
      <c r="C4180" s="158" t="str">
        <f t="shared" si="66"/>
        <v>1</v>
      </c>
    </row>
    <row r="4181" spans="1:3" x14ac:dyDescent="0.25">
      <c r="A4181" s="159">
        <v>710297</v>
      </c>
      <c r="B4181" s="159">
        <v>1</v>
      </c>
      <c r="C4181" s="158" t="str">
        <f t="shared" si="66"/>
        <v>1</v>
      </c>
    </row>
    <row r="4182" spans="1:3" x14ac:dyDescent="0.25">
      <c r="A4182" s="159">
        <v>710298</v>
      </c>
      <c r="B4182" s="159">
        <v>1</v>
      </c>
      <c r="C4182" s="158" t="str">
        <f t="shared" si="66"/>
        <v>1</v>
      </c>
    </row>
    <row r="4183" spans="1:3" x14ac:dyDescent="0.25">
      <c r="A4183" s="159">
        <v>710312</v>
      </c>
      <c r="B4183" s="159">
        <v>2</v>
      </c>
      <c r="C4183" s="158" t="str">
        <f t="shared" si="66"/>
        <v>2</v>
      </c>
    </row>
    <row r="4184" spans="1:3" x14ac:dyDescent="0.25">
      <c r="A4184" s="159">
        <v>710313</v>
      </c>
      <c r="B4184" s="159">
        <v>2</v>
      </c>
      <c r="C4184" s="158" t="str">
        <f t="shared" si="66"/>
        <v>2</v>
      </c>
    </row>
    <row r="4185" spans="1:3" x14ac:dyDescent="0.25">
      <c r="A4185" s="159">
        <v>710314</v>
      </c>
      <c r="B4185" s="159">
        <v>2</v>
      </c>
      <c r="C4185" s="158" t="str">
        <f t="shared" si="66"/>
        <v>2</v>
      </c>
    </row>
    <row r="4186" spans="1:3" x14ac:dyDescent="0.25">
      <c r="A4186" s="159">
        <v>710315</v>
      </c>
      <c r="B4186" s="159">
        <v>2</v>
      </c>
      <c r="C4186" s="158" t="str">
        <f t="shared" si="66"/>
        <v>2</v>
      </c>
    </row>
    <row r="4187" spans="1:3" x14ac:dyDescent="0.25">
      <c r="A4187" s="159">
        <v>710316</v>
      </c>
      <c r="B4187" s="159">
        <v>2</v>
      </c>
      <c r="C4187" s="158" t="str">
        <f t="shared" si="66"/>
        <v>2</v>
      </c>
    </row>
    <row r="4188" spans="1:3" x14ac:dyDescent="0.25">
      <c r="A4188" s="159">
        <v>710317</v>
      </c>
      <c r="B4188" s="159">
        <v>2</v>
      </c>
      <c r="C4188" s="158" t="str">
        <f t="shared" si="66"/>
        <v>2</v>
      </c>
    </row>
    <row r="4189" spans="1:3" x14ac:dyDescent="0.25">
      <c r="A4189" s="159">
        <v>710318</v>
      </c>
      <c r="B4189" s="159">
        <v>2</v>
      </c>
      <c r="C4189" s="158" t="str">
        <f t="shared" si="66"/>
        <v>2</v>
      </c>
    </row>
    <row r="4190" spans="1:3" x14ac:dyDescent="0.25">
      <c r="A4190" s="159">
        <v>710319</v>
      </c>
      <c r="B4190" s="159">
        <v>1</v>
      </c>
      <c r="C4190" s="158" t="str">
        <f t="shared" si="66"/>
        <v>1</v>
      </c>
    </row>
    <row r="4191" spans="1:3" x14ac:dyDescent="0.25">
      <c r="A4191" s="159">
        <v>710323</v>
      </c>
      <c r="B4191" s="159">
        <v>1</v>
      </c>
      <c r="C4191" s="158" t="str">
        <f t="shared" si="66"/>
        <v>1</v>
      </c>
    </row>
    <row r="4192" spans="1:3" x14ac:dyDescent="0.25">
      <c r="A4192" s="159">
        <v>710331</v>
      </c>
      <c r="B4192" s="159">
        <v>1</v>
      </c>
      <c r="C4192" s="158" t="str">
        <f t="shared" si="66"/>
        <v>1</v>
      </c>
    </row>
    <row r="4193" spans="1:3" x14ac:dyDescent="0.25">
      <c r="A4193" s="159">
        <v>710332</v>
      </c>
      <c r="B4193" s="159">
        <v>1</v>
      </c>
      <c r="C4193" s="158" t="str">
        <f t="shared" si="66"/>
        <v>1</v>
      </c>
    </row>
    <row r="4194" spans="1:3" x14ac:dyDescent="0.25">
      <c r="A4194" s="159">
        <v>710333</v>
      </c>
      <c r="B4194" s="159">
        <v>1</v>
      </c>
      <c r="C4194" s="158" t="str">
        <f t="shared" si="66"/>
        <v>1</v>
      </c>
    </row>
    <row r="4195" spans="1:3" x14ac:dyDescent="0.25">
      <c r="A4195" s="159">
        <v>710334</v>
      </c>
      <c r="B4195" s="159">
        <v>1</v>
      </c>
      <c r="C4195" s="158" t="str">
        <f t="shared" si="66"/>
        <v>1</v>
      </c>
    </row>
    <row r="4196" spans="1:3" x14ac:dyDescent="0.25">
      <c r="A4196" s="159">
        <v>710342</v>
      </c>
      <c r="B4196" s="159">
        <v>4</v>
      </c>
      <c r="C4196" s="158" t="str">
        <f t="shared" si="66"/>
        <v>4</v>
      </c>
    </row>
    <row r="4197" spans="1:3" x14ac:dyDescent="0.25">
      <c r="A4197" s="159">
        <v>710343</v>
      </c>
      <c r="B4197" s="159">
        <v>5</v>
      </c>
      <c r="C4197" s="158" t="str">
        <f t="shared" si="66"/>
        <v>5</v>
      </c>
    </row>
    <row r="4198" spans="1:3" x14ac:dyDescent="0.25">
      <c r="A4198" s="159">
        <v>710344</v>
      </c>
      <c r="B4198" s="159">
        <v>5</v>
      </c>
      <c r="C4198" s="158" t="str">
        <f t="shared" si="66"/>
        <v>5</v>
      </c>
    </row>
    <row r="4199" spans="1:3" x14ac:dyDescent="0.25">
      <c r="A4199" s="159">
        <v>710345</v>
      </c>
      <c r="B4199" s="159">
        <v>5</v>
      </c>
      <c r="C4199" s="158" t="str">
        <f t="shared" si="66"/>
        <v>5</v>
      </c>
    </row>
    <row r="4200" spans="1:3" x14ac:dyDescent="0.25">
      <c r="A4200" s="159">
        <v>710346</v>
      </c>
      <c r="B4200" s="159">
        <v>5</v>
      </c>
      <c r="C4200" s="158" t="str">
        <f t="shared" si="66"/>
        <v>5</v>
      </c>
    </row>
    <row r="4201" spans="1:3" x14ac:dyDescent="0.25">
      <c r="A4201" s="159">
        <v>710347</v>
      </c>
      <c r="B4201" s="159">
        <v>5</v>
      </c>
      <c r="C4201" s="158" t="str">
        <f t="shared" si="66"/>
        <v>5</v>
      </c>
    </row>
    <row r="4202" spans="1:3" x14ac:dyDescent="0.25">
      <c r="A4202" s="159">
        <v>710348</v>
      </c>
      <c r="B4202" s="159">
        <v>5</v>
      </c>
      <c r="C4202" s="158" t="str">
        <f t="shared" si="66"/>
        <v>5</v>
      </c>
    </row>
    <row r="4203" spans="1:3" x14ac:dyDescent="0.25">
      <c r="A4203" s="159">
        <v>710352</v>
      </c>
      <c r="B4203" s="159">
        <v>2</v>
      </c>
      <c r="C4203" s="158" t="str">
        <f t="shared" si="66"/>
        <v>2</v>
      </c>
    </row>
    <row r="4204" spans="1:3" x14ac:dyDescent="0.25">
      <c r="A4204" s="159">
        <v>710354</v>
      </c>
      <c r="B4204" s="159">
        <v>1</v>
      </c>
      <c r="C4204" s="158" t="str">
        <f t="shared" si="66"/>
        <v>1</v>
      </c>
    </row>
    <row r="4205" spans="1:3" x14ac:dyDescent="0.25">
      <c r="A4205" s="159">
        <v>710355</v>
      </c>
      <c r="B4205" s="159">
        <v>1</v>
      </c>
      <c r="C4205" s="158" t="str">
        <f t="shared" si="66"/>
        <v>1</v>
      </c>
    </row>
    <row r="4206" spans="1:3" x14ac:dyDescent="0.25">
      <c r="A4206" s="159">
        <v>710379</v>
      </c>
      <c r="B4206" s="159">
        <v>1</v>
      </c>
      <c r="C4206" s="158" t="str">
        <f t="shared" si="66"/>
        <v>1</v>
      </c>
    </row>
    <row r="4207" spans="1:3" x14ac:dyDescent="0.25">
      <c r="A4207" s="159">
        <v>710405</v>
      </c>
      <c r="B4207" s="159">
        <v>2</v>
      </c>
      <c r="C4207" s="158" t="str">
        <f t="shared" si="66"/>
        <v>2</v>
      </c>
    </row>
    <row r="4208" spans="1:3" x14ac:dyDescent="0.25">
      <c r="A4208" s="159">
        <v>711589</v>
      </c>
      <c r="B4208" s="159">
        <v>1</v>
      </c>
      <c r="C4208" s="158" t="str">
        <f t="shared" si="66"/>
        <v>1</v>
      </c>
    </row>
    <row r="4209" spans="1:3" x14ac:dyDescent="0.25">
      <c r="A4209" s="159">
        <v>711590</v>
      </c>
      <c r="B4209" s="159">
        <v>1</v>
      </c>
      <c r="C4209" s="158" t="str">
        <f t="shared" si="66"/>
        <v>1</v>
      </c>
    </row>
    <row r="4210" spans="1:3" x14ac:dyDescent="0.25">
      <c r="A4210" s="159">
        <v>711649</v>
      </c>
      <c r="B4210" s="159">
        <v>1</v>
      </c>
      <c r="C4210" s="158" t="str">
        <f t="shared" si="66"/>
        <v>1</v>
      </c>
    </row>
    <row r="4211" spans="1:3" x14ac:dyDescent="0.25">
      <c r="A4211" s="159">
        <v>711801</v>
      </c>
      <c r="B4211" s="159">
        <v>1</v>
      </c>
      <c r="C4211" s="158" t="str">
        <f t="shared" si="66"/>
        <v>1</v>
      </c>
    </row>
    <row r="4212" spans="1:3" x14ac:dyDescent="0.25">
      <c r="A4212" s="159">
        <v>711830</v>
      </c>
      <c r="B4212" s="159">
        <v>1</v>
      </c>
      <c r="C4212" s="158" t="str">
        <f t="shared" si="66"/>
        <v>1</v>
      </c>
    </row>
    <row r="4213" spans="1:3" x14ac:dyDescent="0.25">
      <c r="A4213" s="159">
        <v>711831</v>
      </c>
      <c r="B4213" s="159">
        <v>1</v>
      </c>
      <c r="C4213" s="158" t="str">
        <f t="shared" si="66"/>
        <v>1</v>
      </c>
    </row>
    <row r="4214" spans="1:3" x14ac:dyDescent="0.25">
      <c r="A4214" s="159">
        <v>712074</v>
      </c>
      <c r="B4214" s="159">
        <v>1</v>
      </c>
      <c r="C4214" s="158" t="str">
        <f t="shared" ref="C4214:C4277" si="67">IF(OR(B4214=0,B4214=1,B4214=2,B4214=3,B4214=4,B4214=5),TEXT(B4214,"0"),B4214)</f>
        <v>1</v>
      </c>
    </row>
    <row r="4215" spans="1:3" x14ac:dyDescent="0.25">
      <c r="A4215" s="159">
        <v>712095</v>
      </c>
      <c r="B4215" s="159">
        <v>1</v>
      </c>
      <c r="C4215" s="158" t="str">
        <f t="shared" si="67"/>
        <v>1</v>
      </c>
    </row>
    <row r="4216" spans="1:3" x14ac:dyDescent="0.25">
      <c r="A4216" s="159">
        <v>712201</v>
      </c>
      <c r="B4216" s="159">
        <v>1</v>
      </c>
      <c r="C4216" s="158" t="str">
        <f t="shared" si="67"/>
        <v>1</v>
      </c>
    </row>
    <row r="4217" spans="1:3" x14ac:dyDescent="0.25">
      <c r="A4217" s="159">
        <v>712237</v>
      </c>
      <c r="B4217" s="159">
        <v>1</v>
      </c>
      <c r="C4217" s="158" t="str">
        <f t="shared" si="67"/>
        <v>1</v>
      </c>
    </row>
    <row r="4218" spans="1:3" x14ac:dyDescent="0.25">
      <c r="A4218" s="159">
        <v>712238</v>
      </c>
      <c r="B4218" s="159">
        <v>4</v>
      </c>
      <c r="C4218" s="158" t="str">
        <f t="shared" si="67"/>
        <v>4</v>
      </c>
    </row>
    <row r="4219" spans="1:3" x14ac:dyDescent="0.25">
      <c r="A4219" s="159">
        <v>712239</v>
      </c>
      <c r="B4219" s="159">
        <v>3</v>
      </c>
      <c r="C4219" s="158" t="str">
        <f t="shared" si="67"/>
        <v>3</v>
      </c>
    </row>
    <row r="4220" spans="1:3" x14ac:dyDescent="0.25">
      <c r="A4220" s="159">
        <v>712240</v>
      </c>
      <c r="B4220" s="159">
        <v>3</v>
      </c>
      <c r="C4220" s="158" t="str">
        <f t="shared" si="67"/>
        <v>3</v>
      </c>
    </row>
    <row r="4221" spans="1:3" x14ac:dyDescent="0.25">
      <c r="A4221" s="159">
        <v>712241</v>
      </c>
      <c r="B4221" s="159" t="s">
        <v>437</v>
      </c>
      <c r="C4221" s="158" t="str">
        <f t="shared" si="67"/>
        <v>1S</v>
      </c>
    </row>
    <row r="4222" spans="1:3" x14ac:dyDescent="0.25">
      <c r="A4222" s="159">
        <v>712242</v>
      </c>
      <c r="B4222" s="159">
        <v>1</v>
      </c>
      <c r="C4222" s="158" t="str">
        <f t="shared" si="67"/>
        <v>1</v>
      </c>
    </row>
    <row r="4223" spans="1:3" x14ac:dyDescent="0.25">
      <c r="A4223" s="159">
        <v>712243</v>
      </c>
      <c r="B4223" s="159">
        <v>3</v>
      </c>
      <c r="C4223" s="158" t="str">
        <f t="shared" si="67"/>
        <v>3</v>
      </c>
    </row>
    <row r="4224" spans="1:3" x14ac:dyDescent="0.25">
      <c r="A4224" s="159">
        <v>712244</v>
      </c>
      <c r="B4224" s="159">
        <v>3</v>
      </c>
      <c r="C4224" s="158" t="str">
        <f t="shared" si="67"/>
        <v>3</v>
      </c>
    </row>
    <row r="4225" spans="1:3" x14ac:dyDescent="0.25">
      <c r="A4225" s="159">
        <v>712245</v>
      </c>
      <c r="B4225" s="159">
        <v>1</v>
      </c>
      <c r="C4225" s="158" t="str">
        <f t="shared" si="67"/>
        <v>1</v>
      </c>
    </row>
    <row r="4226" spans="1:3" x14ac:dyDescent="0.25">
      <c r="A4226" s="159">
        <v>712246</v>
      </c>
      <c r="B4226" s="159">
        <v>3</v>
      </c>
      <c r="C4226" s="158" t="str">
        <f t="shared" si="67"/>
        <v>3</v>
      </c>
    </row>
    <row r="4227" spans="1:3" x14ac:dyDescent="0.25">
      <c r="A4227" s="159">
        <v>712247</v>
      </c>
      <c r="B4227" s="159">
        <v>5</v>
      </c>
      <c r="C4227" s="158" t="str">
        <f t="shared" si="67"/>
        <v>5</v>
      </c>
    </row>
    <row r="4228" spans="1:3" x14ac:dyDescent="0.25">
      <c r="A4228" s="159">
        <v>712248</v>
      </c>
      <c r="B4228" s="159">
        <v>5</v>
      </c>
      <c r="C4228" s="158" t="str">
        <f t="shared" si="67"/>
        <v>5</v>
      </c>
    </row>
    <row r="4229" spans="1:3" x14ac:dyDescent="0.25">
      <c r="A4229" s="159">
        <v>712408</v>
      </c>
      <c r="B4229" s="159">
        <v>1</v>
      </c>
      <c r="C4229" s="158" t="str">
        <f t="shared" si="67"/>
        <v>1</v>
      </c>
    </row>
    <row r="4230" spans="1:3" x14ac:dyDescent="0.25">
      <c r="A4230" s="159">
        <v>712508</v>
      </c>
      <c r="B4230" s="159">
        <v>1</v>
      </c>
      <c r="C4230" s="158" t="str">
        <f t="shared" si="67"/>
        <v>1</v>
      </c>
    </row>
    <row r="4231" spans="1:3" x14ac:dyDescent="0.25">
      <c r="A4231" s="159">
        <v>712511</v>
      </c>
      <c r="B4231" s="159">
        <v>4</v>
      </c>
      <c r="C4231" s="158" t="str">
        <f t="shared" si="67"/>
        <v>4</v>
      </c>
    </row>
    <row r="4232" spans="1:3" x14ac:dyDescent="0.25">
      <c r="A4232" s="159">
        <v>712551</v>
      </c>
      <c r="B4232" s="159">
        <v>1</v>
      </c>
      <c r="C4232" s="158" t="str">
        <f t="shared" si="67"/>
        <v>1</v>
      </c>
    </row>
    <row r="4233" spans="1:3" x14ac:dyDescent="0.25">
      <c r="A4233" s="159">
        <v>712559</v>
      </c>
      <c r="B4233" s="159">
        <v>1</v>
      </c>
      <c r="C4233" s="158" t="str">
        <f t="shared" si="67"/>
        <v>1</v>
      </c>
    </row>
    <row r="4234" spans="1:3" x14ac:dyDescent="0.25">
      <c r="A4234" s="159">
        <v>712573</v>
      </c>
      <c r="B4234" s="159">
        <v>1</v>
      </c>
      <c r="C4234" s="158" t="str">
        <f t="shared" si="67"/>
        <v>1</v>
      </c>
    </row>
    <row r="4235" spans="1:3" x14ac:dyDescent="0.25">
      <c r="A4235" s="159">
        <v>712602</v>
      </c>
      <c r="B4235" s="159">
        <v>1</v>
      </c>
      <c r="C4235" s="158" t="str">
        <f t="shared" si="67"/>
        <v>1</v>
      </c>
    </row>
    <row r="4236" spans="1:3" x14ac:dyDescent="0.25">
      <c r="A4236" s="159">
        <v>712681</v>
      </c>
      <c r="B4236" s="159">
        <v>1</v>
      </c>
      <c r="C4236" s="158" t="str">
        <f t="shared" si="67"/>
        <v>1</v>
      </c>
    </row>
    <row r="4237" spans="1:3" x14ac:dyDescent="0.25">
      <c r="A4237" s="159">
        <v>712682</v>
      </c>
      <c r="B4237" s="159">
        <v>2</v>
      </c>
      <c r="C4237" s="158" t="str">
        <f t="shared" si="67"/>
        <v>2</v>
      </c>
    </row>
    <row r="4238" spans="1:3" x14ac:dyDescent="0.25">
      <c r="A4238" s="159">
        <v>712712</v>
      </c>
      <c r="B4238" s="159">
        <v>4</v>
      </c>
      <c r="C4238" s="158" t="str">
        <f t="shared" si="67"/>
        <v>4</v>
      </c>
    </row>
    <row r="4239" spans="1:3" x14ac:dyDescent="0.25">
      <c r="A4239" s="159">
        <v>712713</v>
      </c>
      <c r="B4239" s="159">
        <v>5</v>
      </c>
      <c r="C4239" s="158" t="str">
        <f t="shared" si="67"/>
        <v>5</v>
      </c>
    </row>
    <row r="4240" spans="1:3" x14ac:dyDescent="0.25">
      <c r="A4240" s="159">
        <v>712718</v>
      </c>
      <c r="B4240" s="159">
        <v>1</v>
      </c>
      <c r="C4240" s="158" t="str">
        <f t="shared" si="67"/>
        <v>1</v>
      </c>
    </row>
    <row r="4241" spans="1:3" x14ac:dyDescent="0.25">
      <c r="A4241" s="159">
        <v>712719</v>
      </c>
      <c r="B4241" s="159">
        <v>1</v>
      </c>
      <c r="C4241" s="158" t="str">
        <f t="shared" si="67"/>
        <v>1</v>
      </c>
    </row>
    <row r="4242" spans="1:3" x14ac:dyDescent="0.25">
      <c r="A4242" s="159">
        <v>791070</v>
      </c>
      <c r="B4242" s="159" t="s">
        <v>437</v>
      </c>
      <c r="C4242" s="158" t="str">
        <f t="shared" si="67"/>
        <v>1S</v>
      </c>
    </row>
    <row r="4243" spans="1:3" x14ac:dyDescent="0.25">
      <c r="A4243" s="159">
        <v>791080</v>
      </c>
      <c r="B4243" s="159">
        <v>1</v>
      </c>
      <c r="C4243" s="158" t="str">
        <f t="shared" si="67"/>
        <v>1</v>
      </c>
    </row>
    <row r="4244" spans="1:3" x14ac:dyDescent="0.25">
      <c r="A4244" s="159">
        <v>791100</v>
      </c>
      <c r="B4244" s="159">
        <v>1</v>
      </c>
      <c r="C4244" s="158" t="str">
        <f t="shared" si="67"/>
        <v>1</v>
      </c>
    </row>
    <row r="4245" spans="1:3" x14ac:dyDescent="0.25">
      <c r="A4245" s="159">
        <v>791110</v>
      </c>
      <c r="B4245" s="159">
        <v>1</v>
      </c>
      <c r="C4245" s="158" t="str">
        <f t="shared" si="67"/>
        <v>1</v>
      </c>
    </row>
    <row r="4246" spans="1:3" x14ac:dyDescent="0.25">
      <c r="A4246" s="159">
        <v>791200</v>
      </c>
      <c r="B4246" s="159">
        <v>1</v>
      </c>
      <c r="C4246" s="158" t="str">
        <f t="shared" si="67"/>
        <v>1</v>
      </c>
    </row>
    <row r="4247" spans="1:3" x14ac:dyDescent="0.25">
      <c r="A4247" s="159">
        <v>791220</v>
      </c>
      <c r="B4247" s="159">
        <v>1</v>
      </c>
      <c r="C4247" s="158" t="str">
        <f t="shared" si="67"/>
        <v>1</v>
      </c>
    </row>
    <row r="4248" spans="1:3" x14ac:dyDescent="0.25">
      <c r="A4248" s="159">
        <v>791260</v>
      </c>
      <c r="B4248" s="159">
        <v>1</v>
      </c>
      <c r="C4248" s="158" t="str">
        <f t="shared" si="67"/>
        <v>1</v>
      </c>
    </row>
    <row r="4249" spans="1:3" x14ac:dyDescent="0.25">
      <c r="A4249" s="159">
        <v>791280</v>
      </c>
      <c r="B4249" s="159">
        <v>1</v>
      </c>
      <c r="C4249" s="158" t="str">
        <f t="shared" si="67"/>
        <v>1</v>
      </c>
    </row>
    <row r="4250" spans="1:3" x14ac:dyDescent="0.25">
      <c r="A4250" s="159">
        <v>791300</v>
      </c>
      <c r="B4250" s="159">
        <v>2</v>
      </c>
      <c r="C4250" s="158" t="str">
        <f t="shared" si="67"/>
        <v>2</v>
      </c>
    </row>
    <row r="4251" spans="1:3" x14ac:dyDescent="0.25">
      <c r="A4251" s="159">
        <v>791310</v>
      </c>
      <c r="B4251" s="159">
        <v>2</v>
      </c>
      <c r="C4251" s="158" t="str">
        <f t="shared" si="67"/>
        <v>2</v>
      </c>
    </row>
    <row r="4252" spans="1:3" x14ac:dyDescent="0.25">
      <c r="A4252" s="159">
        <v>791350</v>
      </c>
      <c r="B4252" s="159">
        <v>1</v>
      </c>
      <c r="C4252" s="158" t="str">
        <f t="shared" si="67"/>
        <v>1</v>
      </c>
    </row>
    <row r="4253" spans="1:3" x14ac:dyDescent="0.25">
      <c r="A4253" s="159">
        <v>791360</v>
      </c>
      <c r="B4253" s="159">
        <v>1</v>
      </c>
      <c r="C4253" s="158" t="str">
        <f t="shared" si="67"/>
        <v>1</v>
      </c>
    </row>
    <row r="4254" spans="1:3" x14ac:dyDescent="0.25">
      <c r="A4254" s="159">
        <v>791390</v>
      </c>
      <c r="B4254" s="159">
        <v>1</v>
      </c>
      <c r="C4254" s="158" t="str">
        <f t="shared" si="67"/>
        <v>1</v>
      </c>
    </row>
    <row r="4255" spans="1:3" x14ac:dyDescent="0.25">
      <c r="A4255" s="159">
        <v>791410</v>
      </c>
      <c r="B4255" s="159">
        <v>1</v>
      </c>
      <c r="C4255" s="158" t="str">
        <f t="shared" si="67"/>
        <v>1</v>
      </c>
    </row>
    <row r="4256" spans="1:3" x14ac:dyDescent="0.25">
      <c r="A4256" s="159">
        <v>791430</v>
      </c>
      <c r="B4256" s="159">
        <v>1</v>
      </c>
      <c r="C4256" s="158" t="str">
        <f t="shared" si="67"/>
        <v>1</v>
      </c>
    </row>
    <row r="4257" spans="1:3" x14ac:dyDescent="0.25">
      <c r="A4257" s="159">
        <v>791450</v>
      </c>
      <c r="B4257" s="159">
        <v>1</v>
      </c>
      <c r="C4257" s="158" t="str">
        <f t="shared" si="67"/>
        <v>1</v>
      </c>
    </row>
    <row r="4258" spans="1:3" x14ac:dyDescent="0.25">
      <c r="A4258" s="159">
        <v>791510</v>
      </c>
      <c r="B4258" s="159">
        <v>1</v>
      </c>
      <c r="C4258" s="158" t="str">
        <f t="shared" si="67"/>
        <v>1</v>
      </c>
    </row>
    <row r="4259" spans="1:3" x14ac:dyDescent="0.25">
      <c r="A4259" s="159">
        <v>791520</v>
      </c>
      <c r="B4259" s="159">
        <v>1</v>
      </c>
      <c r="C4259" s="158" t="str">
        <f t="shared" si="67"/>
        <v>1</v>
      </c>
    </row>
    <row r="4260" spans="1:3" x14ac:dyDescent="0.25">
      <c r="A4260" s="159">
        <v>791550</v>
      </c>
      <c r="B4260" s="159">
        <v>1</v>
      </c>
      <c r="C4260" s="158" t="str">
        <f t="shared" si="67"/>
        <v>1</v>
      </c>
    </row>
    <row r="4261" spans="1:3" x14ac:dyDescent="0.25">
      <c r="A4261" s="159">
        <v>791590</v>
      </c>
      <c r="B4261" s="159">
        <v>1</v>
      </c>
      <c r="C4261" s="158" t="str">
        <f t="shared" si="67"/>
        <v>1</v>
      </c>
    </row>
    <row r="4262" spans="1:3" x14ac:dyDescent="0.25">
      <c r="A4262" s="159">
        <v>791910</v>
      </c>
      <c r="B4262" s="159">
        <v>1</v>
      </c>
      <c r="C4262" s="158" t="str">
        <f t="shared" si="67"/>
        <v>1</v>
      </c>
    </row>
    <row r="4263" spans="1:3" x14ac:dyDescent="0.25">
      <c r="A4263" s="159">
        <v>791920</v>
      </c>
      <c r="B4263" s="159">
        <v>1</v>
      </c>
      <c r="C4263" s="158" t="str">
        <f t="shared" si="67"/>
        <v>1</v>
      </c>
    </row>
    <row r="4264" spans="1:3" x14ac:dyDescent="0.25">
      <c r="A4264" s="159">
        <v>792010</v>
      </c>
      <c r="B4264" s="159">
        <v>1</v>
      </c>
      <c r="C4264" s="158" t="str">
        <f t="shared" si="67"/>
        <v>1</v>
      </c>
    </row>
    <row r="4265" spans="1:3" x14ac:dyDescent="0.25">
      <c r="A4265" s="159">
        <v>792060</v>
      </c>
      <c r="B4265" s="159">
        <v>1</v>
      </c>
      <c r="C4265" s="158" t="str">
        <f t="shared" si="67"/>
        <v>1</v>
      </c>
    </row>
    <row r="4266" spans="1:3" x14ac:dyDescent="0.25">
      <c r="A4266" s="159">
        <v>792090</v>
      </c>
      <c r="B4266" s="159">
        <v>1</v>
      </c>
      <c r="C4266" s="158" t="str">
        <f t="shared" si="67"/>
        <v>1</v>
      </c>
    </row>
    <row r="4267" spans="1:3" x14ac:dyDescent="0.25">
      <c r="A4267" s="159">
        <v>792100</v>
      </c>
      <c r="B4267" s="159">
        <v>1</v>
      </c>
      <c r="C4267" s="158" t="str">
        <f t="shared" si="67"/>
        <v>1</v>
      </c>
    </row>
    <row r="4268" spans="1:3" x14ac:dyDescent="0.25">
      <c r="A4268" s="159">
        <v>792110</v>
      </c>
      <c r="B4268" s="159">
        <v>1</v>
      </c>
      <c r="C4268" s="158" t="str">
        <f t="shared" si="67"/>
        <v>1</v>
      </c>
    </row>
    <row r="4269" spans="1:3" x14ac:dyDescent="0.25">
      <c r="A4269" s="159">
        <v>792120</v>
      </c>
      <c r="B4269" s="159">
        <v>1</v>
      </c>
      <c r="C4269" s="158" t="str">
        <f t="shared" si="67"/>
        <v>1</v>
      </c>
    </row>
    <row r="4270" spans="1:3" x14ac:dyDescent="0.25">
      <c r="A4270" s="159">
        <v>792170</v>
      </c>
      <c r="B4270" s="159">
        <v>1</v>
      </c>
      <c r="C4270" s="158" t="str">
        <f t="shared" si="67"/>
        <v>1</v>
      </c>
    </row>
    <row r="4271" spans="1:3" x14ac:dyDescent="0.25">
      <c r="A4271" s="159">
        <v>792180</v>
      </c>
      <c r="B4271" s="159">
        <v>1</v>
      </c>
      <c r="C4271" s="158" t="str">
        <f t="shared" si="67"/>
        <v>1</v>
      </c>
    </row>
    <row r="4272" spans="1:3" x14ac:dyDescent="0.25">
      <c r="A4272" s="159">
        <v>792190</v>
      </c>
      <c r="B4272" s="159">
        <v>1</v>
      </c>
      <c r="C4272" s="158" t="str">
        <f t="shared" si="67"/>
        <v>1</v>
      </c>
    </row>
    <row r="4273" spans="1:3" x14ac:dyDescent="0.25">
      <c r="A4273" s="159">
        <v>792200</v>
      </c>
      <c r="B4273" s="159">
        <v>1</v>
      </c>
      <c r="C4273" s="158" t="str">
        <f t="shared" si="67"/>
        <v>1</v>
      </c>
    </row>
    <row r="4274" spans="1:3" x14ac:dyDescent="0.25">
      <c r="A4274" s="159">
        <v>792220</v>
      </c>
      <c r="B4274" s="159">
        <v>1</v>
      </c>
      <c r="C4274" s="158" t="str">
        <f t="shared" si="67"/>
        <v>1</v>
      </c>
    </row>
    <row r="4275" spans="1:3" x14ac:dyDescent="0.25">
      <c r="A4275" s="159">
        <v>792230</v>
      </c>
      <c r="B4275" s="159">
        <v>1</v>
      </c>
      <c r="C4275" s="158" t="str">
        <f t="shared" si="67"/>
        <v>1</v>
      </c>
    </row>
    <row r="4276" spans="1:3" x14ac:dyDescent="0.25">
      <c r="A4276" s="159">
        <v>792250</v>
      </c>
      <c r="B4276" s="159">
        <v>1</v>
      </c>
      <c r="C4276" s="158" t="str">
        <f t="shared" si="67"/>
        <v>1</v>
      </c>
    </row>
    <row r="4277" spans="1:3" x14ac:dyDescent="0.25">
      <c r="A4277" s="159">
        <v>792260</v>
      </c>
      <c r="B4277" s="159">
        <v>1</v>
      </c>
      <c r="C4277" s="158" t="str">
        <f t="shared" si="67"/>
        <v>1</v>
      </c>
    </row>
    <row r="4278" spans="1:3" x14ac:dyDescent="0.25">
      <c r="A4278" s="159">
        <v>792270</v>
      </c>
      <c r="B4278" s="159">
        <v>1</v>
      </c>
      <c r="C4278" s="158" t="str">
        <f t="shared" ref="C4278:C4321" si="68">IF(OR(B4278=0,B4278=1,B4278=2,B4278=3,B4278=4,B4278=5),TEXT(B4278,"0"),B4278)</f>
        <v>1</v>
      </c>
    </row>
    <row r="4279" spans="1:3" x14ac:dyDescent="0.25">
      <c r="A4279" s="159">
        <v>792310</v>
      </c>
      <c r="B4279" s="159">
        <v>1</v>
      </c>
      <c r="C4279" s="158" t="str">
        <f t="shared" si="68"/>
        <v>1</v>
      </c>
    </row>
    <row r="4280" spans="1:3" x14ac:dyDescent="0.25">
      <c r="A4280" s="159">
        <v>792320</v>
      </c>
      <c r="B4280" s="159">
        <v>1</v>
      </c>
      <c r="C4280" s="158" t="str">
        <f t="shared" si="68"/>
        <v>1</v>
      </c>
    </row>
    <row r="4281" spans="1:3" x14ac:dyDescent="0.25">
      <c r="A4281" s="159">
        <v>792490</v>
      </c>
      <c r="B4281" s="159">
        <v>1</v>
      </c>
      <c r="C4281" s="158" t="str">
        <f t="shared" si="68"/>
        <v>1</v>
      </c>
    </row>
    <row r="4282" spans="1:3" x14ac:dyDescent="0.25">
      <c r="A4282" s="159">
        <v>792500</v>
      </c>
      <c r="B4282" s="159">
        <v>1</v>
      </c>
      <c r="C4282" s="158" t="str">
        <f t="shared" si="68"/>
        <v>1</v>
      </c>
    </row>
    <row r="4283" spans="1:3" x14ac:dyDescent="0.25">
      <c r="A4283" s="159">
        <v>792780</v>
      </c>
      <c r="B4283" s="159">
        <v>1</v>
      </c>
      <c r="C4283" s="158" t="str">
        <f t="shared" si="68"/>
        <v>1</v>
      </c>
    </row>
    <row r="4284" spans="1:3" x14ac:dyDescent="0.25">
      <c r="A4284" s="159">
        <v>792850</v>
      </c>
      <c r="B4284" s="159">
        <v>1</v>
      </c>
      <c r="C4284" s="158" t="str">
        <f t="shared" si="68"/>
        <v>1</v>
      </c>
    </row>
    <row r="4285" spans="1:3" x14ac:dyDescent="0.25">
      <c r="A4285" s="159">
        <v>792860</v>
      </c>
      <c r="B4285" s="159">
        <v>1</v>
      </c>
      <c r="C4285" s="158" t="str">
        <f t="shared" si="68"/>
        <v>1</v>
      </c>
    </row>
    <row r="4286" spans="1:3" x14ac:dyDescent="0.25">
      <c r="A4286" s="159">
        <v>793010</v>
      </c>
      <c r="B4286" s="159">
        <v>1</v>
      </c>
      <c r="C4286" s="158" t="str">
        <f t="shared" si="68"/>
        <v>1</v>
      </c>
    </row>
    <row r="4287" spans="1:3" x14ac:dyDescent="0.25">
      <c r="A4287" s="159">
        <v>793250</v>
      </c>
      <c r="B4287" s="159">
        <v>1</v>
      </c>
      <c r="C4287" s="158" t="str">
        <f t="shared" si="68"/>
        <v>1</v>
      </c>
    </row>
    <row r="4288" spans="1:3" x14ac:dyDescent="0.25">
      <c r="A4288" s="159">
        <v>793270</v>
      </c>
      <c r="B4288" s="159">
        <v>1</v>
      </c>
      <c r="C4288" s="158" t="str">
        <f t="shared" si="68"/>
        <v>1</v>
      </c>
    </row>
    <row r="4289" spans="1:3" x14ac:dyDescent="0.25">
      <c r="A4289" s="159">
        <v>793500</v>
      </c>
      <c r="B4289" s="159">
        <v>2</v>
      </c>
      <c r="C4289" s="158" t="str">
        <f t="shared" si="68"/>
        <v>2</v>
      </c>
    </row>
    <row r="4290" spans="1:3" x14ac:dyDescent="0.25">
      <c r="A4290" s="159">
        <v>793700</v>
      </c>
      <c r="B4290" s="159">
        <v>1</v>
      </c>
      <c r="C4290" s="158" t="str">
        <f t="shared" si="68"/>
        <v>1</v>
      </c>
    </row>
    <row r="4291" spans="1:3" x14ac:dyDescent="0.25">
      <c r="A4291" s="159">
        <v>793710</v>
      </c>
      <c r="B4291" s="159">
        <v>1</v>
      </c>
      <c r="C4291" s="158" t="str">
        <f t="shared" si="68"/>
        <v>1</v>
      </c>
    </row>
    <row r="4292" spans="1:3" x14ac:dyDescent="0.25">
      <c r="A4292" s="159">
        <v>793740</v>
      </c>
      <c r="B4292" s="159">
        <v>1</v>
      </c>
      <c r="C4292" s="158" t="str">
        <f t="shared" si="68"/>
        <v>1</v>
      </c>
    </row>
    <row r="4293" spans="1:3" x14ac:dyDescent="0.25">
      <c r="A4293" s="159">
        <v>793750</v>
      </c>
      <c r="B4293" s="159">
        <v>1</v>
      </c>
      <c r="C4293" s="158" t="str">
        <f t="shared" si="68"/>
        <v>1</v>
      </c>
    </row>
    <row r="4294" spans="1:3" x14ac:dyDescent="0.25">
      <c r="A4294" s="159">
        <v>793900</v>
      </c>
      <c r="B4294" s="159">
        <v>1</v>
      </c>
      <c r="C4294" s="158" t="str">
        <f t="shared" si="68"/>
        <v>1</v>
      </c>
    </row>
    <row r="4295" spans="1:3" x14ac:dyDescent="0.25">
      <c r="A4295" s="159">
        <v>793910</v>
      </c>
      <c r="B4295" s="159">
        <v>1</v>
      </c>
      <c r="C4295" s="158" t="str">
        <f t="shared" si="68"/>
        <v>1</v>
      </c>
    </row>
    <row r="4296" spans="1:3" x14ac:dyDescent="0.25">
      <c r="A4296" s="159">
        <v>793940</v>
      </c>
      <c r="B4296" s="159">
        <v>1</v>
      </c>
      <c r="C4296" s="158" t="str">
        <f t="shared" si="68"/>
        <v>1</v>
      </c>
    </row>
    <row r="4297" spans="1:3" x14ac:dyDescent="0.25">
      <c r="A4297" s="159">
        <v>793950</v>
      </c>
      <c r="B4297" s="159">
        <v>1</v>
      </c>
      <c r="C4297" s="158" t="str">
        <f t="shared" si="68"/>
        <v>1</v>
      </c>
    </row>
    <row r="4298" spans="1:3" x14ac:dyDescent="0.25">
      <c r="A4298" s="159">
        <v>794030</v>
      </c>
      <c r="B4298" s="159">
        <v>1</v>
      </c>
      <c r="C4298" s="158" t="str">
        <f t="shared" si="68"/>
        <v>1</v>
      </c>
    </row>
    <row r="4299" spans="1:3" x14ac:dyDescent="0.25">
      <c r="A4299" s="159">
        <v>794060</v>
      </c>
      <c r="B4299" s="159">
        <v>1</v>
      </c>
      <c r="C4299" s="158" t="str">
        <f t="shared" si="68"/>
        <v>1</v>
      </c>
    </row>
    <row r="4300" spans="1:3" x14ac:dyDescent="0.25">
      <c r="A4300" s="159">
        <v>794080</v>
      </c>
      <c r="B4300" s="159">
        <v>1</v>
      </c>
      <c r="C4300" s="158" t="str">
        <f t="shared" si="68"/>
        <v>1</v>
      </c>
    </row>
    <row r="4301" spans="1:3" x14ac:dyDescent="0.25">
      <c r="A4301" s="159">
        <v>794230</v>
      </c>
      <c r="B4301" s="159">
        <v>1</v>
      </c>
      <c r="C4301" s="158" t="str">
        <f t="shared" si="68"/>
        <v>1</v>
      </c>
    </row>
    <row r="4302" spans="1:3" x14ac:dyDescent="0.25">
      <c r="A4302" s="159">
        <v>794240</v>
      </c>
      <c r="B4302" s="159">
        <v>1</v>
      </c>
      <c r="C4302" s="158" t="str">
        <f t="shared" si="68"/>
        <v>1</v>
      </c>
    </row>
    <row r="4303" spans="1:3" x14ac:dyDescent="0.25">
      <c r="A4303" s="159">
        <v>794310</v>
      </c>
      <c r="B4303" s="159">
        <v>1</v>
      </c>
      <c r="C4303" s="158" t="str">
        <f t="shared" si="68"/>
        <v>1</v>
      </c>
    </row>
    <row r="4304" spans="1:3" x14ac:dyDescent="0.25">
      <c r="A4304" s="159">
        <v>794330</v>
      </c>
      <c r="B4304" s="159">
        <v>1</v>
      </c>
      <c r="C4304" s="158" t="str">
        <f t="shared" si="68"/>
        <v>1</v>
      </c>
    </row>
    <row r="4305" spans="1:3" x14ac:dyDescent="0.25">
      <c r="A4305" s="159">
        <v>794400</v>
      </c>
      <c r="B4305" s="159">
        <v>1</v>
      </c>
      <c r="C4305" s="158" t="str">
        <f t="shared" si="68"/>
        <v>1</v>
      </c>
    </row>
    <row r="4306" spans="1:3" x14ac:dyDescent="0.25">
      <c r="A4306" s="159">
        <v>794410</v>
      </c>
      <c r="B4306" s="159">
        <v>1</v>
      </c>
      <c r="C4306" s="158" t="str">
        <f t="shared" si="68"/>
        <v>1</v>
      </c>
    </row>
    <row r="4307" spans="1:3" x14ac:dyDescent="0.25">
      <c r="A4307" s="159">
        <v>794420</v>
      </c>
      <c r="B4307" s="159">
        <v>1</v>
      </c>
      <c r="C4307" s="158" t="str">
        <f t="shared" si="68"/>
        <v>1</v>
      </c>
    </row>
    <row r="4308" spans="1:3" x14ac:dyDescent="0.25">
      <c r="A4308" s="159">
        <v>794430</v>
      </c>
      <c r="B4308" s="159">
        <v>1</v>
      </c>
      <c r="C4308" s="158" t="str">
        <f t="shared" si="68"/>
        <v>1</v>
      </c>
    </row>
    <row r="4309" spans="1:3" x14ac:dyDescent="0.25">
      <c r="A4309" s="159">
        <v>794460</v>
      </c>
      <c r="B4309" s="159">
        <v>5</v>
      </c>
      <c r="C4309" s="158" t="str">
        <f t="shared" si="68"/>
        <v>5</v>
      </c>
    </row>
    <row r="4310" spans="1:3" x14ac:dyDescent="0.25">
      <c r="A4310" s="159">
        <v>794480</v>
      </c>
      <c r="B4310" s="159">
        <v>5</v>
      </c>
      <c r="C4310" s="158" t="str">
        <f t="shared" si="68"/>
        <v>5</v>
      </c>
    </row>
    <row r="4311" spans="1:3" x14ac:dyDescent="0.25">
      <c r="A4311" s="159">
        <v>794510</v>
      </c>
      <c r="B4311" s="159">
        <v>1</v>
      </c>
      <c r="C4311" s="158" t="str">
        <f t="shared" si="68"/>
        <v>1</v>
      </c>
    </row>
    <row r="4312" spans="1:3" x14ac:dyDescent="0.25">
      <c r="A4312" s="159">
        <v>794560</v>
      </c>
      <c r="B4312" s="159">
        <v>1</v>
      </c>
      <c r="C4312" s="158" t="str">
        <f t="shared" si="68"/>
        <v>1</v>
      </c>
    </row>
    <row r="4313" spans="1:3" x14ac:dyDescent="0.25">
      <c r="A4313" s="159">
        <v>794570</v>
      </c>
      <c r="B4313" s="159">
        <v>5</v>
      </c>
      <c r="C4313" s="158" t="str">
        <f t="shared" si="68"/>
        <v>5</v>
      </c>
    </row>
    <row r="4314" spans="1:3" x14ac:dyDescent="0.25">
      <c r="A4314" s="159">
        <v>794660</v>
      </c>
      <c r="B4314" s="159">
        <v>1</v>
      </c>
      <c r="C4314" s="158" t="str">
        <f t="shared" si="68"/>
        <v>1</v>
      </c>
    </row>
    <row r="4315" spans="1:3" x14ac:dyDescent="0.25">
      <c r="A4315" s="159">
        <v>794690</v>
      </c>
      <c r="B4315" s="159">
        <v>1</v>
      </c>
      <c r="C4315" s="158" t="str">
        <f t="shared" si="68"/>
        <v>1</v>
      </c>
    </row>
    <row r="4316" spans="1:3" x14ac:dyDescent="0.25">
      <c r="A4316" s="159">
        <v>794700</v>
      </c>
      <c r="B4316" s="159">
        <v>1</v>
      </c>
      <c r="C4316" s="158" t="str">
        <f t="shared" si="68"/>
        <v>1</v>
      </c>
    </row>
    <row r="4317" spans="1:3" x14ac:dyDescent="0.25">
      <c r="A4317" s="159">
        <v>794940</v>
      </c>
      <c r="B4317" s="159">
        <v>1</v>
      </c>
      <c r="C4317" s="158" t="str">
        <f t="shared" si="68"/>
        <v>1</v>
      </c>
    </row>
    <row r="4318" spans="1:3" x14ac:dyDescent="0.25">
      <c r="A4318" s="159">
        <v>794950</v>
      </c>
      <c r="B4318" s="159">
        <v>1</v>
      </c>
      <c r="C4318" s="158" t="str">
        <f t="shared" si="68"/>
        <v>1</v>
      </c>
    </row>
    <row r="4319" spans="1:3" x14ac:dyDescent="0.25">
      <c r="A4319" s="159">
        <v>794970</v>
      </c>
      <c r="B4319" s="159">
        <v>1</v>
      </c>
      <c r="C4319" s="158" t="str">
        <f t="shared" si="68"/>
        <v>1</v>
      </c>
    </row>
    <row r="4320" spans="1:3" x14ac:dyDescent="0.25">
      <c r="A4320" s="159">
        <v>795940</v>
      </c>
      <c r="B4320" s="159">
        <v>1</v>
      </c>
      <c r="C4320" s="158" t="str">
        <f t="shared" si="68"/>
        <v>1</v>
      </c>
    </row>
    <row r="4321" spans="1:3" x14ac:dyDescent="0.25">
      <c r="A4321" s="159">
        <v>795970</v>
      </c>
      <c r="B4321" s="159">
        <v>1</v>
      </c>
      <c r="C4321" s="158" t="str">
        <f t="shared" si="68"/>
        <v>1</v>
      </c>
    </row>
  </sheetData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3">
    <tabColor rgb="FFFF8080"/>
  </sheetPr>
  <dimension ref="A1:B92"/>
  <sheetViews>
    <sheetView showGridLines="0" zoomScale="85" zoomScaleNormal="85" workbookViewId="0"/>
  </sheetViews>
  <sheetFormatPr baseColWidth="10" defaultColWidth="11.42578125" defaultRowHeight="15" x14ac:dyDescent="0.25"/>
  <cols>
    <col min="1" max="1" width="29.28515625" bestFit="1" customWidth="1"/>
    <col min="2" max="2" width="102.28515625" bestFit="1" customWidth="1"/>
  </cols>
  <sheetData>
    <row r="1" spans="1:2" x14ac:dyDescent="0.25">
      <c r="A1" s="8" t="s">
        <v>24</v>
      </c>
      <c r="B1" s="8" t="s">
        <v>13</v>
      </c>
    </row>
    <row r="2" spans="1:2" x14ac:dyDescent="0.25">
      <c r="A2" s="45" t="s">
        <v>119</v>
      </c>
      <c r="B2" s="45" t="s">
        <v>234</v>
      </c>
    </row>
    <row r="3" spans="1:2" x14ac:dyDescent="0.25">
      <c r="A3" s="45" t="s">
        <v>13</v>
      </c>
      <c r="B3" s="45" t="s">
        <v>235</v>
      </c>
    </row>
    <row r="4" spans="1:2" x14ac:dyDescent="0.25">
      <c r="A4" s="45" t="s">
        <v>3</v>
      </c>
      <c r="B4" s="45" t="s">
        <v>25</v>
      </c>
    </row>
    <row r="5" spans="1:2" x14ac:dyDescent="0.25">
      <c r="A5" s="45" t="s">
        <v>120</v>
      </c>
      <c r="B5" s="45" t="s">
        <v>120</v>
      </c>
    </row>
    <row r="6" spans="1:2" x14ac:dyDescent="0.25">
      <c r="A6" s="45" t="s">
        <v>121</v>
      </c>
      <c r="B6" s="45" t="s">
        <v>121</v>
      </c>
    </row>
    <row r="7" spans="1:2" x14ac:dyDescent="0.25">
      <c r="A7" s="45" t="s">
        <v>5</v>
      </c>
      <c r="B7" s="45" t="s">
        <v>236</v>
      </c>
    </row>
    <row r="8" spans="1:2" x14ac:dyDescent="0.25">
      <c r="A8" s="45" t="s">
        <v>122</v>
      </c>
      <c r="B8" s="45" t="s">
        <v>237</v>
      </c>
    </row>
    <row r="9" spans="1:2" x14ac:dyDescent="0.25">
      <c r="A9" s="45" t="s">
        <v>5</v>
      </c>
      <c r="B9" s="45" t="s">
        <v>236</v>
      </c>
    </row>
    <row r="10" spans="1:2" x14ac:dyDescent="0.25">
      <c r="A10" s="45" t="s">
        <v>4</v>
      </c>
      <c r="B10" s="45" t="s">
        <v>238</v>
      </c>
    </row>
    <row r="11" spans="1:2" x14ac:dyDescent="0.25">
      <c r="A11" s="45" t="s">
        <v>123</v>
      </c>
      <c r="B11" s="45" t="s">
        <v>239</v>
      </c>
    </row>
    <row r="12" spans="1:2" x14ac:dyDescent="0.25">
      <c r="A12" s="45" t="s">
        <v>124</v>
      </c>
      <c r="B12" s="45" t="s">
        <v>240</v>
      </c>
    </row>
    <row r="13" spans="1:2" x14ac:dyDescent="0.25">
      <c r="A13" s="45" t="s">
        <v>6</v>
      </c>
      <c r="B13" s="45" t="s">
        <v>241</v>
      </c>
    </row>
    <row r="14" spans="1:2" x14ac:dyDescent="0.25">
      <c r="A14" s="45" t="s">
        <v>125</v>
      </c>
      <c r="B14" s="45" t="s">
        <v>242</v>
      </c>
    </row>
    <row r="15" spans="1:2" x14ac:dyDescent="0.25">
      <c r="A15" s="45" t="s">
        <v>126</v>
      </c>
      <c r="B15" s="45" t="s">
        <v>126</v>
      </c>
    </row>
    <row r="16" spans="1:2" x14ac:dyDescent="0.25">
      <c r="A16" s="45" t="s">
        <v>127</v>
      </c>
      <c r="B16" s="45" t="s">
        <v>243</v>
      </c>
    </row>
    <row r="17" spans="1:2" x14ac:dyDescent="0.25">
      <c r="A17" s="45" t="s">
        <v>128</v>
      </c>
      <c r="B17" s="45" t="s">
        <v>244</v>
      </c>
    </row>
    <row r="18" spans="1:2" x14ac:dyDescent="0.25">
      <c r="A18" s="45" t="s">
        <v>129</v>
      </c>
      <c r="B18" s="45" t="s">
        <v>245</v>
      </c>
    </row>
    <row r="19" spans="1:2" x14ac:dyDescent="0.25">
      <c r="A19" s="45" t="s">
        <v>128</v>
      </c>
      <c r="B19" s="45" t="s">
        <v>244</v>
      </c>
    </row>
    <row r="20" spans="1:2" x14ac:dyDescent="0.25">
      <c r="A20" s="45" t="s">
        <v>130</v>
      </c>
      <c r="B20" s="45" t="s">
        <v>246</v>
      </c>
    </row>
    <row r="21" spans="1:2" x14ac:dyDescent="0.25">
      <c r="A21" s="45" t="s">
        <v>128</v>
      </c>
      <c r="B21" s="45" t="s">
        <v>244</v>
      </c>
    </row>
    <row r="22" spans="1:2" x14ac:dyDescent="0.25">
      <c r="A22" s="45" t="s">
        <v>131</v>
      </c>
      <c r="B22" s="45" t="s">
        <v>247</v>
      </c>
    </row>
    <row r="23" spans="1:2" x14ac:dyDescent="0.25">
      <c r="A23" s="45" t="s">
        <v>128</v>
      </c>
      <c r="B23" s="45" t="s">
        <v>244</v>
      </c>
    </row>
    <row r="24" spans="1:2" x14ac:dyDescent="0.25">
      <c r="A24" s="45" t="s">
        <v>132</v>
      </c>
      <c r="B24" s="45" t="s">
        <v>248</v>
      </c>
    </row>
    <row r="25" spans="1:2" x14ac:dyDescent="0.25">
      <c r="A25" s="45" t="s">
        <v>128</v>
      </c>
      <c r="B25" s="45" t="s">
        <v>244</v>
      </c>
    </row>
    <row r="26" spans="1:2" x14ac:dyDescent="0.25">
      <c r="A26" s="45" t="s">
        <v>133</v>
      </c>
      <c r="B26" s="45" t="s">
        <v>249</v>
      </c>
    </row>
    <row r="27" spans="1:2" x14ac:dyDescent="0.25">
      <c r="A27" s="45" t="s">
        <v>128</v>
      </c>
      <c r="B27" s="45" t="s">
        <v>244</v>
      </c>
    </row>
    <row r="28" spans="1:2" x14ac:dyDescent="0.25">
      <c r="A28" s="45" t="s">
        <v>250</v>
      </c>
      <c r="B28" s="45" t="s">
        <v>248</v>
      </c>
    </row>
    <row r="29" spans="1:2" x14ac:dyDescent="0.25">
      <c r="A29" s="45" t="s">
        <v>128</v>
      </c>
      <c r="B29" s="45" t="s">
        <v>244</v>
      </c>
    </row>
    <row r="30" spans="1:2" x14ac:dyDescent="0.25">
      <c r="A30" s="45" t="s">
        <v>134</v>
      </c>
      <c r="B30" s="45" t="s">
        <v>251</v>
      </c>
    </row>
    <row r="31" spans="1:2" x14ac:dyDescent="0.25">
      <c r="A31" s="45" t="s">
        <v>135</v>
      </c>
      <c r="B31" s="45" t="s">
        <v>252</v>
      </c>
    </row>
    <row r="32" spans="1:2" x14ac:dyDescent="0.25">
      <c r="A32" s="45" t="s">
        <v>136</v>
      </c>
      <c r="B32" s="45" t="s">
        <v>253</v>
      </c>
    </row>
    <row r="33" spans="1:2" x14ac:dyDescent="0.25">
      <c r="A33" s="45" t="s">
        <v>137</v>
      </c>
      <c r="B33" s="45" t="s">
        <v>254</v>
      </c>
    </row>
    <row r="34" spans="1:2" x14ac:dyDescent="0.25">
      <c r="A34" s="45" t="s">
        <v>137</v>
      </c>
      <c r="B34" s="45" t="s">
        <v>254</v>
      </c>
    </row>
    <row r="35" spans="1:2" x14ac:dyDescent="0.25">
      <c r="A35" s="45" t="s">
        <v>138</v>
      </c>
      <c r="B35" s="45" t="s">
        <v>138</v>
      </c>
    </row>
    <row r="36" spans="1:2" x14ac:dyDescent="0.25">
      <c r="A36" s="45" t="s">
        <v>139</v>
      </c>
      <c r="B36" s="45" t="s">
        <v>255</v>
      </c>
    </row>
    <row r="37" spans="1:2" x14ac:dyDescent="0.25">
      <c r="A37" s="45" t="s">
        <v>140</v>
      </c>
      <c r="B37" s="45" t="s">
        <v>256</v>
      </c>
    </row>
    <row r="38" spans="1:2" x14ac:dyDescent="0.25">
      <c r="A38" s="45" t="s">
        <v>141</v>
      </c>
      <c r="B38" s="45" t="s">
        <v>257</v>
      </c>
    </row>
    <row r="39" spans="1:2" x14ac:dyDescent="0.25">
      <c r="A39" s="45" t="s">
        <v>142</v>
      </c>
      <c r="B39" s="45" t="s">
        <v>258</v>
      </c>
    </row>
    <row r="40" spans="1:2" x14ac:dyDescent="0.25">
      <c r="A40" s="45" t="s">
        <v>143</v>
      </c>
      <c r="B40" s="45" t="s">
        <v>259</v>
      </c>
    </row>
    <row r="41" spans="1:2" x14ac:dyDescent="0.25">
      <c r="A41" s="45" t="s">
        <v>144</v>
      </c>
      <c r="B41" s="45" t="s">
        <v>260</v>
      </c>
    </row>
    <row r="42" spans="1:2" x14ac:dyDescent="0.25">
      <c r="A42" s="45" t="s">
        <v>145</v>
      </c>
      <c r="B42" s="45" t="s">
        <v>261</v>
      </c>
    </row>
    <row r="43" spans="1:2" x14ac:dyDescent="0.25">
      <c r="A43" s="45" t="s">
        <v>146</v>
      </c>
      <c r="B43" s="45" t="s">
        <v>146</v>
      </c>
    </row>
    <row r="44" spans="1:2" x14ac:dyDescent="0.25">
      <c r="A44" s="45" t="s">
        <v>147</v>
      </c>
      <c r="B44" s="45" t="s">
        <v>147</v>
      </c>
    </row>
    <row r="45" spans="1:2" x14ac:dyDescent="0.25">
      <c r="A45" s="45" t="s">
        <v>148</v>
      </c>
      <c r="B45" s="45" t="s">
        <v>262</v>
      </c>
    </row>
    <row r="46" spans="1:2" x14ac:dyDescent="0.25">
      <c r="A46" s="45" t="s">
        <v>149</v>
      </c>
      <c r="B46" s="45" t="s">
        <v>263</v>
      </c>
    </row>
    <row r="47" spans="1:2" x14ac:dyDescent="0.25">
      <c r="A47" s="45" t="s">
        <v>72</v>
      </c>
      <c r="B47" s="45" t="s">
        <v>264</v>
      </c>
    </row>
    <row r="48" spans="1:2" x14ac:dyDescent="0.25">
      <c r="A48" s="45" t="s">
        <v>150</v>
      </c>
      <c r="B48" s="45" t="s">
        <v>265</v>
      </c>
    </row>
    <row r="49" spans="1:2" x14ac:dyDescent="0.25">
      <c r="A49" s="45" t="s">
        <v>151</v>
      </c>
      <c r="B49" s="45" t="s">
        <v>266</v>
      </c>
    </row>
    <row r="50" spans="1:2" x14ac:dyDescent="0.25">
      <c r="A50" s="45" t="s">
        <v>152</v>
      </c>
      <c r="B50" s="45" t="s">
        <v>152</v>
      </c>
    </row>
    <row r="51" spans="1:2" x14ac:dyDescent="0.25">
      <c r="A51" s="45" t="s">
        <v>153</v>
      </c>
      <c r="B51" s="45" t="s">
        <v>267</v>
      </c>
    </row>
    <row r="52" spans="1:2" x14ac:dyDescent="0.25">
      <c r="A52" s="45" t="s">
        <v>154</v>
      </c>
      <c r="B52" s="45" t="s">
        <v>268</v>
      </c>
    </row>
    <row r="53" spans="1:2" x14ac:dyDescent="0.25">
      <c r="A53" s="45" t="s">
        <v>5</v>
      </c>
      <c r="B53" s="45" t="s">
        <v>236</v>
      </c>
    </row>
    <row r="54" spans="1:2" x14ac:dyDescent="0.25">
      <c r="A54" s="45" t="s">
        <v>137</v>
      </c>
      <c r="B54" s="45" t="s">
        <v>254</v>
      </c>
    </row>
    <row r="55" spans="1:2" x14ac:dyDescent="0.25">
      <c r="A55" s="45" t="s">
        <v>155</v>
      </c>
      <c r="B55" s="45" t="s">
        <v>155</v>
      </c>
    </row>
    <row r="56" spans="1:2" x14ac:dyDescent="0.25">
      <c r="A56" s="45" t="s">
        <v>156</v>
      </c>
      <c r="B56" s="45" t="s">
        <v>269</v>
      </c>
    </row>
    <row r="57" spans="1:2" x14ac:dyDescent="0.25">
      <c r="A57" s="45" t="s">
        <v>270</v>
      </c>
      <c r="B57" s="45" t="s">
        <v>271</v>
      </c>
    </row>
    <row r="58" spans="1:2" x14ac:dyDescent="0.25">
      <c r="A58" s="45" t="s">
        <v>157</v>
      </c>
      <c r="B58" s="45" t="s">
        <v>272</v>
      </c>
    </row>
    <row r="59" spans="1:2" x14ac:dyDescent="0.25">
      <c r="A59" s="45" t="s">
        <v>5</v>
      </c>
      <c r="B59" s="45" t="s">
        <v>273</v>
      </c>
    </row>
    <row r="60" spans="1:2" x14ac:dyDescent="0.25">
      <c r="A60" s="45" t="s">
        <v>158</v>
      </c>
      <c r="B60" s="45" t="s">
        <v>274</v>
      </c>
    </row>
    <row r="61" spans="1:2" x14ac:dyDescent="0.25">
      <c r="A61" s="45" t="s">
        <v>5</v>
      </c>
      <c r="B61" s="45" t="s">
        <v>273</v>
      </c>
    </row>
    <row r="62" spans="1:2" x14ac:dyDescent="0.25">
      <c r="A62" s="45" t="s">
        <v>7</v>
      </c>
      <c r="B62" s="45" t="s">
        <v>275</v>
      </c>
    </row>
    <row r="63" spans="1:2" x14ac:dyDescent="0.25">
      <c r="A63" s="45" t="s">
        <v>5</v>
      </c>
      <c r="B63" s="45" t="s">
        <v>273</v>
      </c>
    </row>
    <row r="64" spans="1:2" x14ac:dyDescent="0.25">
      <c r="A64" s="45" t="s">
        <v>0</v>
      </c>
      <c r="B64" s="45" t="s">
        <v>276</v>
      </c>
    </row>
    <row r="65" spans="1:2" x14ac:dyDescent="0.25">
      <c r="A65" s="45" t="s">
        <v>159</v>
      </c>
      <c r="B65" s="45" t="s">
        <v>277</v>
      </c>
    </row>
    <row r="66" spans="1:2" x14ac:dyDescent="0.25">
      <c r="A66" s="45" t="s">
        <v>160</v>
      </c>
      <c r="B66" s="45" t="s">
        <v>278</v>
      </c>
    </row>
    <row r="67" spans="1:2" x14ac:dyDescent="0.25">
      <c r="A67" s="45" t="s">
        <v>161</v>
      </c>
      <c r="B67" s="45" t="s">
        <v>279</v>
      </c>
    </row>
    <row r="68" spans="1:2" x14ac:dyDescent="0.25">
      <c r="A68" s="45" t="s">
        <v>162</v>
      </c>
      <c r="B68" s="45" t="s">
        <v>280</v>
      </c>
    </row>
    <row r="69" spans="1:2" x14ac:dyDescent="0.25">
      <c r="A69" s="45" t="s">
        <v>163</v>
      </c>
      <c r="B69" s="45" t="s">
        <v>281</v>
      </c>
    </row>
    <row r="70" spans="1:2" x14ac:dyDescent="0.25">
      <c r="A70" s="45" t="s">
        <v>191</v>
      </c>
      <c r="B70" s="45" t="s">
        <v>282</v>
      </c>
    </row>
    <row r="71" spans="1:2" x14ac:dyDescent="0.25">
      <c r="A71" s="45" t="s">
        <v>192</v>
      </c>
      <c r="B71" s="45" t="s">
        <v>283</v>
      </c>
    </row>
    <row r="72" spans="1:2" x14ac:dyDescent="0.25">
      <c r="A72" s="45" t="s">
        <v>166</v>
      </c>
      <c r="B72" s="45" t="s">
        <v>284</v>
      </c>
    </row>
    <row r="73" spans="1:2" x14ac:dyDescent="0.25">
      <c r="A73" s="45" t="s">
        <v>167</v>
      </c>
      <c r="B73" s="45" t="s">
        <v>285</v>
      </c>
    </row>
    <row r="74" spans="1:2" x14ac:dyDescent="0.25">
      <c r="A74" s="45" t="s">
        <v>168</v>
      </c>
      <c r="B74" s="45" t="s">
        <v>286</v>
      </c>
    </row>
    <row r="75" spans="1:2" x14ac:dyDescent="0.25">
      <c r="A75" s="45" t="s">
        <v>169</v>
      </c>
      <c r="B75" s="45" t="s">
        <v>281</v>
      </c>
    </row>
    <row r="76" spans="1:2" x14ac:dyDescent="0.25">
      <c r="A76" s="45" t="s">
        <v>170</v>
      </c>
      <c r="B76" s="45" t="s">
        <v>281</v>
      </c>
    </row>
    <row r="77" spans="1:2" x14ac:dyDescent="0.25">
      <c r="A77" s="45" t="s">
        <v>171</v>
      </c>
      <c r="B77" s="45" t="s">
        <v>281</v>
      </c>
    </row>
    <row r="78" spans="1:2" x14ac:dyDescent="0.25">
      <c r="A78" s="45" t="s">
        <v>172</v>
      </c>
      <c r="B78" s="45" t="s">
        <v>287</v>
      </c>
    </row>
    <row r="79" spans="1:2" x14ac:dyDescent="0.25">
      <c r="A79" s="45" t="s">
        <v>173</v>
      </c>
      <c r="B79" s="45" t="s">
        <v>281</v>
      </c>
    </row>
    <row r="80" spans="1:2" x14ac:dyDescent="0.25">
      <c r="A80" s="45" t="s">
        <v>174</v>
      </c>
      <c r="B80" s="45" t="s">
        <v>281</v>
      </c>
    </row>
    <row r="81" spans="1:2" x14ac:dyDescent="0.25">
      <c r="A81" s="45" t="s">
        <v>175</v>
      </c>
      <c r="B81" s="45" t="s">
        <v>281</v>
      </c>
    </row>
    <row r="82" spans="1:2" x14ac:dyDescent="0.25">
      <c r="A82" s="45" t="s">
        <v>184</v>
      </c>
      <c r="B82" s="45" t="s">
        <v>288</v>
      </c>
    </row>
    <row r="83" spans="1:2" x14ac:dyDescent="0.25">
      <c r="A83" s="45" t="s">
        <v>176</v>
      </c>
      <c r="B83" s="45" t="s">
        <v>281</v>
      </c>
    </row>
    <row r="84" spans="1:2" x14ac:dyDescent="0.25">
      <c r="A84" s="45" t="s">
        <v>177</v>
      </c>
      <c r="B84" s="45" t="s">
        <v>281</v>
      </c>
    </row>
    <row r="85" spans="1:2" x14ac:dyDescent="0.25">
      <c r="A85" s="45" t="s">
        <v>178</v>
      </c>
      <c r="B85" s="45" t="s">
        <v>281</v>
      </c>
    </row>
    <row r="86" spans="1:2" x14ac:dyDescent="0.25">
      <c r="A86" s="45" t="s">
        <v>179</v>
      </c>
      <c r="B86" s="45" t="s">
        <v>281</v>
      </c>
    </row>
    <row r="87" spans="1:2" x14ac:dyDescent="0.25">
      <c r="A87" s="45" t="s">
        <v>180</v>
      </c>
      <c r="B87" s="45" t="s">
        <v>281</v>
      </c>
    </row>
    <row r="88" spans="1:2" x14ac:dyDescent="0.25">
      <c r="A88" s="45" t="s">
        <v>181</v>
      </c>
      <c r="B88" s="45" t="s">
        <v>281</v>
      </c>
    </row>
    <row r="89" spans="1:2" x14ac:dyDescent="0.25">
      <c r="A89" s="45" t="s">
        <v>182</v>
      </c>
      <c r="B89" s="45" t="s">
        <v>281</v>
      </c>
    </row>
    <row r="90" spans="1:2" x14ac:dyDescent="0.25">
      <c r="A90" s="45" t="s">
        <v>183</v>
      </c>
      <c r="B90" s="45" t="s">
        <v>289</v>
      </c>
    </row>
    <row r="91" spans="1:2" x14ac:dyDescent="0.25">
      <c r="A91" s="45" t="s">
        <v>188</v>
      </c>
      <c r="B91" s="45" t="s">
        <v>290</v>
      </c>
    </row>
    <row r="92" spans="1:2" x14ac:dyDescent="0.25">
      <c r="A92" s="45" t="s">
        <v>291</v>
      </c>
      <c r="B92" s="45" t="s">
        <v>292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FF8080"/>
  </sheetPr>
  <dimension ref="A1:AG76"/>
  <sheetViews>
    <sheetView workbookViewId="0"/>
  </sheetViews>
  <sheetFormatPr baseColWidth="10" defaultColWidth="9.140625" defaultRowHeight="15" x14ac:dyDescent="0.25"/>
  <cols>
    <col min="1" max="1" width="11" customWidth="1"/>
    <col min="2" max="2" width="11.28515625" bestFit="1" customWidth="1"/>
    <col min="3" max="3" width="11.5703125" bestFit="1" customWidth="1"/>
    <col min="4" max="4" width="13.7109375" customWidth="1"/>
    <col min="5" max="5" width="13.42578125" bestFit="1" customWidth="1"/>
    <col min="6" max="6" width="11" customWidth="1"/>
    <col min="7" max="7" width="15.42578125" bestFit="1" customWidth="1"/>
    <col min="8" max="8" width="14.5703125" bestFit="1" customWidth="1"/>
    <col min="9" max="9" width="15.7109375" bestFit="1" customWidth="1"/>
    <col min="10" max="10" width="12.5703125" bestFit="1" customWidth="1"/>
    <col min="11" max="11" width="19.28515625" bestFit="1" customWidth="1"/>
    <col min="12" max="12" width="12.28515625" bestFit="1" customWidth="1"/>
    <col min="13" max="14" width="12" customWidth="1"/>
    <col min="15" max="15" width="17" customWidth="1"/>
    <col min="16" max="16" width="20.7109375" bestFit="1" customWidth="1"/>
    <col min="17" max="17" width="12" customWidth="1"/>
    <col min="18" max="18" width="8.5703125" customWidth="1"/>
    <col min="19" max="19" width="9.28515625" customWidth="1"/>
    <col min="20" max="20" width="13.5703125" customWidth="1"/>
    <col min="21" max="21" width="11" customWidth="1"/>
    <col min="22" max="23" width="12" customWidth="1"/>
    <col min="24" max="24" width="12.7109375" customWidth="1"/>
    <col min="25" max="51" width="12" customWidth="1"/>
  </cols>
  <sheetData>
    <row r="1" spans="1:33" x14ac:dyDescent="0.25">
      <c r="A1" t="s">
        <v>73</v>
      </c>
      <c r="B1" t="s">
        <v>2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  <c r="Q1" t="s">
        <v>88</v>
      </c>
      <c r="R1" t="s">
        <v>89</v>
      </c>
      <c r="S1" t="s">
        <v>90</v>
      </c>
      <c r="T1" t="s">
        <v>91</v>
      </c>
      <c r="U1" t="s">
        <v>92</v>
      </c>
      <c r="V1" t="s">
        <v>93</v>
      </c>
      <c r="W1" t="s">
        <v>94</v>
      </c>
      <c r="X1" t="s">
        <v>95</v>
      </c>
      <c r="Y1" t="s">
        <v>96</v>
      </c>
      <c r="Z1" t="s">
        <v>97</v>
      </c>
      <c r="AA1" t="s">
        <v>98</v>
      </c>
      <c r="AB1" t="s">
        <v>99</v>
      </c>
      <c r="AC1" t="s">
        <v>100</v>
      </c>
      <c r="AD1" t="s">
        <v>101</v>
      </c>
      <c r="AE1" t="s">
        <v>102</v>
      </c>
      <c r="AF1" t="s">
        <v>103</v>
      </c>
      <c r="AG1" t="s">
        <v>104</v>
      </c>
    </row>
    <row r="2" spans="1:33" x14ac:dyDescent="0.25">
      <c r="A2" s="11"/>
      <c r="C2" s="11"/>
      <c r="D2" s="11"/>
      <c r="E2" s="11"/>
      <c r="F2" s="11"/>
      <c r="G2" s="11"/>
      <c r="H2" s="11"/>
      <c r="I2" s="11"/>
      <c r="L2" s="11"/>
      <c r="M2" s="11"/>
      <c r="N2" s="11"/>
      <c r="O2" s="11"/>
      <c r="P2" s="11"/>
      <c r="Q2" s="11"/>
      <c r="R2" s="11"/>
      <c r="S2" s="11"/>
      <c r="U2" s="11"/>
      <c r="V2" s="11"/>
      <c r="W2" s="11"/>
      <c r="X2" s="11"/>
      <c r="AA2" s="11"/>
      <c r="AE2" s="11"/>
      <c r="AF2" s="11"/>
    </row>
    <row r="3" spans="1:33" x14ac:dyDescent="0.25">
      <c r="D3" s="11"/>
      <c r="E3" s="11"/>
      <c r="G3" s="11"/>
      <c r="H3" s="11"/>
      <c r="L3" s="11"/>
      <c r="M3" s="11"/>
      <c r="N3" s="11"/>
      <c r="O3" s="11"/>
      <c r="Q3" s="11"/>
      <c r="R3" s="11"/>
      <c r="S3" s="11"/>
      <c r="U3" s="11"/>
    </row>
    <row r="4" spans="1:33" x14ac:dyDescent="0.25">
      <c r="D4" s="11"/>
      <c r="E4" s="11"/>
      <c r="G4" s="11"/>
      <c r="H4" s="11"/>
      <c r="L4" s="11"/>
      <c r="M4" s="11"/>
      <c r="N4" s="11"/>
      <c r="O4" s="11"/>
      <c r="Q4" s="11"/>
      <c r="R4" s="11"/>
      <c r="S4" s="11"/>
      <c r="U4" s="11"/>
    </row>
    <row r="5" spans="1:33" x14ac:dyDescent="0.25">
      <c r="D5" s="11"/>
      <c r="E5" s="11"/>
      <c r="G5" s="11"/>
      <c r="H5" s="11"/>
      <c r="L5" s="11"/>
      <c r="M5" s="11"/>
      <c r="N5" s="11"/>
      <c r="O5" s="11"/>
      <c r="Q5" s="11"/>
      <c r="R5" s="11"/>
      <c r="S5" s="11"/>
      <c r="U5" s="11"/>
    </row>
    <row r="6" spans="1:33" x14ac:dyDescent="0.25">
      <c r="D6" s="11"/>
      <c r="E6" s="11"/>
      <c r="G6" s="11"/>
      <c r="H6" s="11"/>
      <c r="L6" s="11"/>
      <c r="M6" s="11"/>
      <c r="N6" s="11"/>
      <c r="O6" s="11"/>
      <c r="Q6" s="11"/>
      <c r="R6" s="11"/>
      <c r="S6" s="11"/>
      <c r="U6" s="11"/>
    </row>
    <row r="7" spans="1:33" x14ac:dyDescent="0.25">
      <c r="D7" s="11"/>
      <c r="E7" s="11"/>
      <c r="G7" s="11"/>
      <c r="H7" s="11"/>
      <c r="L7" s="11"/>
      <c r="M7" s="11"/>
      <c r="N7" s="11"/>
      <c r="O7" s="11"/>
      <c r="Q7" s="11"/>
      <c r="R7" s="11"/>
      <c r="S7" s="11"/>
      <c r="U7" s="11"/>
    </row>
    <row r="8" spans="1:33" x14ac:dyDescent="0.25">
      <c r="D8" s="11"/>
      <c r="E8" s="11"/>
      <c r="G8" s="11"/>
      <c r="H8" s="11"/>
      <c r="L8" s="11"/>
      <c r="M8" s="11"/>
      <c r="N8" s="11"/>
      <c r="O8" s="11"/>
      <c r="Q8" s="11"/>
      <c r="R8" s="11"/>
      <c r="S8" s="11"/>
      <c r="U8" s="11"/>
    </row>
    <row r="9" spans="1:33" x14ac:dyDescent="0.25">
      <c r="D9" s="11"/>
      <c r="E9" s="11"/>
      <c r="G9" s="11"/>
      <c r="H9" s="11"/>
      <c r="L9" s="11"/>
      <c r="M9" s="11"/>
      <c r="N9" s="11"/>
      <c r="O9" s="11"/>
      <c r="Q9" s="11"/>
      <c r="R9" s="11"/>
      <c r="S9" s="11"/>
      <c r="U9" s="11"/>
    </row>
    <row r="10" spans="1:33" x14ac:dyDescent="0.25">
      <c r="D10" s="11"/>
      <c r="E10" s="11"/>
      <c r="G10" s="11"/>
      <c r="H10" s="11"/>
      <c r="L10" s="11"/>
      <c r="M10" s="11"/>
      <c r="N10" s="11"/>
      <c r="O10" s="11"/>
      <c r="Q10" s="11"/>
      <c r="R10" s="11"/>
      <c r="S10" s="11"/>
      <c r="U10" s="11"/>
    </row>
    <row r="11" spans="1:33" x14ac:dyDescent="0.25">
      <c r="D11" s="11"/>
      <c r="E11" s="11"/>
      <c r="G11" s="11"/>
      <c r="H11" s="11"/>
      <c r="L11" s="11"/>
      <c r="M11" s="11"/>
      <c r="N11" s="11"/>
      <c r="O11" s="11"/>
      <c r="Q11" s="11"/>
      <c r="R11" s="11"/>
      <c r="S11" s="11"/>
      <c r="U11" s="11"/>
    </row>
    <row r="12" spans="1:33" x14ac:dyDescent="0.25">
      <c r="D12" s="11"/>
      <c r="E12" s="11"/>
      <c r="G12" s="11"/>
      <c r="H12" s="11"/>
      <c r="L12" s="11"/>
      <c r="M12" s="11"/>
      <c r="N12" s="11"/>
      <c r="O12" s="11"/>
      <c r="Q12" s="11"/>
      <c r="R12" s="11"/>
      <c r="S12" s="11"/>
      <c r="U12" s="11"/>
    </row>
    <row r="13" spans="1:33" x14ac:dyDescent="0.25">
      <c r="D13" s="11"/>
      <c r="E13" s="11"/>
      <c r="G13" s="11"/>
      <c r="H13" s="11"/>
      <c r="L13" s="11"/>
      <c r="M13" s="11"/>
      <c r="N13" s="11"/>
      <c r="O13" s="11"/>
      <c r="Q13" s="11"/>
      <c r="R13" s="11"/>
      <c r="S13" s="11"/>
      <c r="U13" s="11"/>
    </row>
    <row r="14" spans="1:33" x14ac:dyDescent="0.25">
      <c r="D14" s="11"/>
      <c r="E14" s="11"/>
      <c r="G14" s="11"/>
      <c r="H14" s="11"/>
      <c r="L14" s="11"/>
      <c r="M14" s="11"/>
      <c r="N14" s="11"/>
      <c r="O14" s="11"/>
      <c r="Q14" s="11"/>
      <c r="R14" s="11"/>
      <c r="S14" s="11"/>
      <c r="U14" s="11"/>
    </row>
    <row r="15" spans="1:33" x14ac:dyDescent="0.25">
      <c r="D15" s="11"/>
      <c r="E15" s="11"/>
      <c r="G15" s="11"/>
      <c r="H15" s="11"/>
      <c r="L15" s="11"/>
      <c r="M15" s="11"/>
      <c r="N15" s="11"/>
      <c r="O15" s="11"/>
      <c r="Q15" s="11"/>
      <c r="R15" s="11"/>
      <c r="S15" s="11"/>
      <c r="U15" s="11"/>
    </row>
    <row r="16" spans="1:33" x14ac:dyDescent="0.25">
      <c r="D16" s="11"/>
      <c r="E16" s="11"/>
      <c r="G16" s="11"/>
      <c r="H16" s="11"/>
      <c r="L16" s="11"/>
      <c r="M16" s="11"/>
      <c r="N16" s="11"/>
      <c r="O16" s="11"/>
      <c r="Q16" s="11"/>
      <c r="R16" s="11"/>
      <c r="S16" s="11"/>
      <c r="U16" s="11"/>
    </row>
    <row r="17" spans="4:21" x14ac:dyDescent="0.25">
      <c r="D17" s="11"/>
      <c r="E17" s="11"/>
      <c r="G17" s="11"/>
      <c r="H17" s="11"/>
      <c r="L17" s="11"/>
      <c r="M17" s="11"/>
      <c r="N17" s="11"/>
      <c r="O17" s="11"/>
      <c r="Q17" s="11"/>
      <c r="R17" s="11"/>
      <c r="S17" s="11"/>
      <c r="U17" s="11"/>
    </row>
    <row r="18" spans="4:21" x14ac:dyDescent="0.25">
      <c r="D18" s="11"/>
      <c r="E18" s="11"/>
      <c r="G18" s="11"/>
      <c r="H18" s="11"/>
      <c r="L18" s="11"/>
      <c r="M18" s="11"/>
      <c r="N18" s="11"/>
      <c r="O18" s="11"/>
      <c r="Q18" s="11"/>
      <c r="R18" s="11"/>
      <c r="S18" s="11"/>
      <c r="U18" s="11"/>
    </row>
    <row r="19" spans="4:21" x14ac:dyDescent="0.25">
      <c r="D19" s="11"/>
      <c r="E19" s="11"/>
      <c r="G19" s="11"/>
      <c r="H19" s="11"/>
      <c r="L19" s="11"/>
      <c r="M19" s="11"/>
      <c r="N19" s="11"/>
      <c r="O19" s="11"/>
      <c r="Q19" s="11"/>
      <c r="R19" s="11"/>
      <c r="S19" s="11"/>
      <c r="U19" s="11"/>
    </row>
    <row r="20" spans="4:21" x14ac:dyDescent="0.25">
      <c r="D20" s="11"/>
      <c r="E20" s="11"/>
      <c r="G20" s="11"/>
      <c r="H20" s="11"/>
      <c r="L20" s="11"/>
      <c r="M20" s="11"/>
      <c r="N20" s="11"/>
      <c r="O20" s="11"/>
      <c r="Q20" s="11"/>
      <c r="R20" s="11"/>
      <c r="S20" s="11"/>
      <c r="U20" s="11"/>
    </row>
    <row r="21" spans="4:21" x14ac:dyDescent="0.25">
      <c r="D21" s="11"/>
      <c r="E21" s="11"/>
      <c r="G21" s="11"/>
      <c r="H21" s="11"/>
      <c r="L21" s="11"/>
      <c r="M21" s="11"/>
      <c r="N21" s="11"/>
      <c r="O21" s="11"/>
      <c r="Q21" s="11"/>
      <c r="R21" s="11"/>
      <c r="S21" s="11"/>
      <c r="U21" s="11"/>
    </row>
    <row r="22" spans="4:21" x14ac:dyDescent="0.25">
      <c r="D22" s="11"/>
      <c r="E22" s="11"/>
      <c r="G22" s="11"/>
      <c r="H22" s="11"/>
      <c r="L22" s="11"/>
      <c r="M22" s="11"/>
      <c r="N22" s="11"/>
      <c r="O22" s="11"/>
      <c r="Q22" s="11"/>
      <c r="R22" s="11"/>
      <c r="S22" s="11"/>
      <c r="U22" s="11"/>
    </row>
    <row r="23" spans="4:21" x14ac:dyDescent="0.25">
      <c r="D23" s="11"/>
      <c r="E23" s="11"/>
      <c r="G23" s="11"/>
      <c r="H23" s="11"/>
      <c r="L23" s="11"/>
      <c r="M23" s="11"/>
      <c r="N23" s="11"/>
      <c r="O23" s="11"/>
      <c r="Q23" s="11"/>
      <c r="R23" s="11"/>
      <c r="S23" s="11"/>
      <c r="U23" s="11"/>
    </row>
    <row r="24" spans="4:21" x14ac:dyDescent="0.25">
      <c r="D24" s="11"/>
      <c r="E24" s="11"/>
      <c r="G24" s="11"/>
      <c r="H24" s="11"/>
      <c r="L24" s="11"/>
      <c r="M24" s="11"/>
      <c r="N24" s="11"/>
      <c r="O24" s="11"/>
      <c r="Q24" s="11"/>
      <c r="R24" s="11"/>
      <c r="S24" s="11"/>
      <c r="U24" s="11"/>
    </row>
    <row r="25" spans="4:21" x14ac:dyDescent="0.25">
      <c r="D25" s="11"/>
      <c r="E25" s="11"/>
      <c r="G25" s="11"/>
      <c r="H25" s="11"/>
      <c r="L25" s="11"/>
      <c r="M25" s="11"/>
      <c r="N25" s="11"/>
      <c r="O25" s="11"/>
      <c r="Q25" s="11"/>
      <c r="R25" s="11"/>
      <c r="S25" s="11"/>
      <c r="U25" s="11"/>
    </row>
    <row r="26" spans="4:21" x14ac:dyDescent="0.25">
      <c r="D26" s="11"/>
      <c r="E26" s="11"/>
      <c r="G26" s="11"/>
      <c r="H26" s="11"/>
      <c r="L26" s="11"/>
      <c r="M26" s="11"/>
      <c r="N26" s="11"/>
      <c r="O26" s="11"/>
      <c r="Q26" s="11"/>
      <c r="R26" s="11"/>
      <c r="S26" s="11"/>
      <c r="U26" s="11"/>
    </row>
    <row r="27" spans="4:21" x14ac:dyDescent="0.25">
      <c r="D27" s="11"/>
      <c r="E27" s="11"/>
      <c r="G27" s="11"/>
      <c r="H27" s="11"/>
      <c r="L27" s="11"/>
      <c r="M27" s="11"/>
      <c r="N27" s="11"/>
      <c r="O27" s="11"/>
      <c r="Q27" s="11"/>
      <c r="R27" s="11"/>
      <c r="S27" s="11"/>
      <c r="U27" s="11"/>
    </row>
    <row r="28" spans="4:21" x14ac:dyDescent="0.25">
      <c r="D28" s="11"/>
      <c r="E28" s="11"/>
      <c r="G28" s="11"/>
      <c r="H28" s="11"/>
      <c r="L28" s="11"/>
      <c r="M28" s="11"/>
      <c r="N28" s="11"/>
      <c r="O28" s="11"/>
      <c r="Q28" s="11"/>
      <c r="R28" s="11"/>
      <c r="S28" s="11"/>
      <c r="U28" s="11"/>
    </row>
    <row r="29" spans="4:21" x14ac:dyDescent="0.25">
      <c r="D29" s="11"/>
      <c r="E29" s="11"/>
      <c r="G29" s="11"/>
      <c r="H29" s="11"/>
      <c r="L29" s="11"/>
      <c r="M29" s="11"/>
      <c r="N29" s="11"/>
      <c r="O29" s="11"/>
      <c r="Q29" s="11"/>
      <c r="R29" s="11"/>
      <c r="S29" s="11"/>
      <c r="U29" s="11"/>
    </row>
    <row r="30" spans="4:21" x14ac:dyDescent="0.25">
      <c r="D30" s="11"/>
      <c r="E30" s="11"/>
      <c r="G30" s="11"/>
      <c r="H30" s="11"/>
      <c r="L30" s="11"/>
      <c r="M30" s="11"/>
      <c r="N30" s="11"/>
      <c r="O30" s="11"/>
      <c r="Q30" s="11"/>
      <c r="R30" s="11"/>
      <c r="S30" s="11"/>
      <c r="U30" s="11"/>
    </row>
    <row r="31" spans="4:21" x14ac:dyDescent="0.25">
      <c r="D31" s="11"/>
      <c r="E31" s="11"/>
      <c r="G31" s="11"/>
      <c r="H31" s="11"/>
      <c r="L31" s="11"/>
      <c r="M31" s="11"/>
      <c r="N31" s="11"/>
      <c r="O31" s="11"/>
      <c r="Q31" s="11"/>
      <c r="R31" s="11"/>
      <c r="S31" s="11"/>
      <c r="U31" s="11"/>
    </row>
    <row r="32" spans="4:21" x14ac:dyDescent="0.25">
      <c r="D32" s="11"/>
      <c r="E32" s="11"/>
      <c r="G32" s="11"/>
      <c r="H32" s="11"/>
      <c r="L32" s="11"/>
      <c r="M32" s="11"/>
      <c r="N32" s="11"/>
      <c r="O32" s="11"/>
      <c r="Q32" s="11"/>
      <c r="R32" s="11"/>
      <c r="S32" s="11"/>
      <c r="U32" s="11"/>
    </row>
    <row r="33" spans="4:21" x14ac:dyDescent="0.25">
      <c r="D33" s="11"/>
      <c r="E33" s="11"/>
      <c r="G33" s="11"/>
      <c r="H33" s="11"/>
      <c r="L33" s="11"/>
      <c r="M33" s="11"/>
      <c r="N33" s="11"/>
      <c r="O33" s="11"/>
      <c r="Q33" s="11"/>
      <c r="R33" s="11"/>
      <c r="S33" s="11"/>
      <c r="U33" s="11"/>
    </row>
    <row r="34" spans="4:21" x14ac:dyDescent="0.25">
      <c r="D34" s="11"/>
      <c r="E34" s="11"/>
      <c r="G34" s="11"/>
      <c r="H34" s="11"/>
      <c r="L34" s="11"/>
      <c r="M34" s="11"/>
      <c r="N34" s="11"/>
      <c r="O34" s="11"/>
      <c r="Q34" s="11"/>
      <c r="R34" s="11"/>
      <c r="S34" s="11"/>
      <c r="U34" s="11"/>
    </row>
    <row r="35" spans="4:21" x14ac:dyDescent="0.25">
      <c r="D35" s="11"/>
      <c r="E35" s="11"/>
      <c r="G35" s="11"/>
      <c r="H35" s="11"/>
      <c r="L35" s="11"/>
      <c r="M35" s="11"/>
      <c r="N35" s="11"/>
      <c r="O35" s="11"/>
      <c r="Q35" s="11"/>
      <c r="R35" s="11"/>
      <c r="S35" s="11"/>
      <c r="U35" s="11"/>
    </row>
    <row r="36" spans="4:21" x14ac:dyDescent="0.25">
      <c r="D36" s="11"/>
      <c r="E36" s="11"/>
      <c r="G36" s="11"/>
      <c r="H36" s="11"/>
      <c r="L36" s="11"/>
      <c r="M36" s="11"/>
      <c r="N36" s="11"/>
      <c r="O36" s="11"/>
      <c r="Q36" s="11"/>
      <c r="R36" s="11"/>
      <c r="S36" s="11"/>
      <c r="U36" s="11"/>
    </row>
    <row r="37" spans="4:21" x14ac:dyDescent="0.25">
      <c r="D37" s="11"/>
      <c r="E37" s="11"/>
      <c r="G37" s="11"/>
      <c r="H37" s="11"/>
      <c r="L37" s="11"/>
      <c r="M37" s="11"/>
      <c r="N37" s="11"/>
      <c r="O37" s="11"/>
      <c r="Q37" s="11"/>
      <c r="R37" s="11"/>
      <c r="S37" s="11"/>
      <c r="U37" s="11"/>
    </row>
    <row r="38" spans="4:21" x14ac:dyDescent="0.25">
      <c r="D38" s="11"/>
      <c r="E38" s="11"/>
      <c r="G38" s="11"/>
      <c r="H38" s="11"/>
      <c r="L38" s="11"/>
      <c r="M38" s="11"/>
      <c r="N38" s="11"/>
      <c r="O38" s="11"/>
      <c r="Q38" s="11"/>
      <c r="R38" s="11"/>
      <c r="S38" s="11"/>
      <c r="U38" s="11"/>
    </row>
    <row r="39" spans="4:21" x14ac:dyDescent="0.25">
      <c r="D39" s="11"/>
      <c r="E39" s="11"/>
      <c r="G39" s="11"/>
      <c r="H39" s="11"/>
      <c r="L39" s="11"/>
      <c r="M39" s="11"/>
      <c r="N39" s="11"/>
      <c r="O39" s="11"/>
      <c r="Q39" s="11"/>
      <c r="R39" s="11"/>
      <c r="S39" s="11"/>
      <c r="U39" s="11"/>
    </row>
    <row r="40" spans="4:21" x14ac:dyDescent="0.25">
      <c r="D40" s="11"/>
      <c r="E40" s="11"/>
      <c r="G40" s="11"/>
      <c r="H40" s="11"/>
      <c r="L40" s="11"/>
      <c r="M40" s="11"/>
      <c r="N40" s="11"/>
      <c r="O40" s="11"/>
      <c r="Q40" s="11"/>
      <c r="R40" s="11"/>
      <c r="S40" s="11"/>
      <c r="U40" s="11"/>
    </row>
    <row r="41" spans="4:21" x14ac:dyDescent="0.25">
      <c r="D41" s="11"/>
      <c r="E41" s="11"/>
      <c r="G41" s="11"/>
      <c r="H41" s="11"/>
      <c r="L41" s="11"/>
      <c r="M41" s="11"/>
      <c r="N41" s="11"/>
      <c r="O41" s="11"/>
      <c r="Q41" s="11"/>
      <c r="R41" s="11"/>
      <c r="S41" s="11"/>
      <c r="U41" s="11"/>
    </row>
    <row r="42" spans="4:21" x14ac:dyDescent="0.25">
      <c r="D42" s="11"/>
      <c r="E42" s="11"/>
      <c r="G42" s="11"/>
      <c r="H42" s="11"/>
      <c r="L42" s="11"/>
      <c r="M42" s="11"/>
      <c r="N42" s="11"/>
      <c r="O42" s="11"/>
      <c r="Q42" s="11"/>
      <c r="R42" s="11"/>
      <c r="S42" s="11"/>
      <c r="U42" s="11"/>
    </row>
    <row r="43" spans="4:21" x14ac:dyDescent="0.25">
      <c r="D43" s="11"/>
      <c r="E43" s="11"/>
      <c r="G43" s="11"/>
      <c r="H43" s="11"/>
      <c r="L43" s="11"/>
      <c r="M43" s="11"/>
      <c r="N43" s="11"/>
      <c r="O43" s="11"/>
      <c r="Q43" s="11"/>
      <c r="R43" s="11"/>
      <c r="S43" s="11"/>
      <c r="U43" s="11"/>
    </row>
    <row r="44" spans="4:21" x14ac:dyDescent="0.25">
      <c r="D44" s="11"/>
      <c r="E44" s="11"/>
      <c r="G44" s="11"/>
      <c r="H44" s="11"/>
      <c r="L44" s="11"/>
      <c r="M44" s="11"/>
      <c r="N44" s="11"/>
      <c r="O44" s="11"/>
      <c r="Q44" s="11"/>
      <c r="R44" s="11"/>
      <c r="S44" s="11"/>
      <c r="U44" s="11"/>
    </row>
    <row r="45" spans="4:21" x14ac:dyDescent="0.25">
      <c r="D45" s="11"/>
      <c r="E45" s="11"/>
      <c r="G45" s="11"/>
      <c r="H45" s="11"/>
      <c r="L45" s="11"/>
      <c r="M45" s="11"/>
      <c r="N45" s="11"/>
      <c r="O45" s="11"/>
      <c r="Q45" s="11"/>
      <c r="R45" s="11"/>
      <c r="S45" s="11"/>
      <c r="U45" s="11"/>
    </row>
    <row r="46" spans="4:21" x14ac:dyDescent="0.25">
      <c r="D46" s="11"/>
      <c r="E46" s="11"/>
      <c r="G46" s="11"/>
      <c r="H46" s="11"/>
      <c r="L46" s="11"/>
      <c r="M46" s="11"/>
      <c r="N46" s="11"/>
      <c r="O46" s="11"/>
      <c r="Q46" s="11"/>
      <c r="R46" s="11"/>
      <c r="S46" s="11"/>
      <c r="U46" s="11"/>
    </row>
    <row r="47" spans="4:21" x14ac:dyDescent="0.25">
      <c r="D47" s="11"/>
      <c r="E47" s="11"/>
      <c r="G47" s="11"/>
      <c r="H47" s="11"/>
      <c r="L47" s="11"/>
      <c r="M47" s="11"/>
      <c r="N47" s="11"/>
      <c r="O47" s="11"/>
      <c r="Q47" s="11"/>
      <c r="R47" s="11"/>
      <c r="S47" s="11"/>
      <c r="U47" s="11"/>
    </row>
    <row r="48" spans="4:21" x14ac:dyDescent="0.25">
      <c r="D48" s="11"/>
      <c r="E48" s="11"/>
      <c r="G48" s="11"/>
      <c r="H48" s="11"/>
      <c r="L48" s="11"/>
      <c r="M48" s="11"/>
      <c r="N48" s="11"/>
      <c r="O48" s="11"/>
      <c r="Q48" s="11"/>
      <c r="R48" s="11"/>
      <c r="S48" s="11"/>
      <c r="U48" s="11"/>
    </row>
    <row r="49" spans="4:21" x14ac:dyDescent="0.25">
      <c r="D49" s="11"/>
      <c r="E49" s="11"/>
      <c r="G49" s="11"/>
      <c r="H49" s="11"/>
      <c r="L49" s="11"/>
      <c r="M49" s="11"/>
      <c r="N49" s="11"/>
      <c r="O49" s="11"/>
      <c r="Q49" s="11"/>
      <c r="R49" s="11"/>
      <c r="S49" s="11"/>
      <c r="U49" s="11"/>
    </row>
    <row r="50" spans="4:21" x14ac:dyDescent="0.25">
      <c r="D50" s="11"/>
      <c r="E50" s="11"/>
      <c r="G50" s="11"/>
      <c r="H50" s="11"/>
      <c r="L50" s="11"/>
      <c r="M50" s="11"/>
      <c r="N50" s="11"/>
      <c r="O50" s="11"/>
      <c r="Q50" s="11"/>
      <c r="R50" s="11"/>
      <c r="S50" s="11"/>
      <c r="U50" s="11"/>
    </row>
    <row r="51" spans="4:21" x14ac:dyDescent="0.25">
      <c r="D51" s="11"/>
      <c r="E51" s="11"/>
      <c r="G51" s="11"/>
      <c r="H51" s="11"/>
      <c r="L51" s="11"/>
      <c r="M51" s="11"/>
      <c r="N51" s="11"/>
      <c r="O51" s="11"/>
      <c r="Q51" s="11"/>
      <c r="R51" s="11"/>
      <c r="S51" s="11"/>
      <c r="U51" s="11"/>
    </row>
    <row r="52" spans="4:21" x14ac:dyDescent="0.25">
      <c r="D52" s="11"/>
      <c r="E52" s="11"/>
      <c r="G52" s="11"/>
      <c r="H52" s="11"/>
      <c r="L52" s="11"/>
      <c r="M52" s="11"/>
      <c r="N52" s="11"/>
      <c r="O52" s="11"/>
      <c r="Q52" s="11"/>
      <c r="R52" s="11"/>
      <c r="S52" s="11"/>
      <c r="U52" s="11"/>
    </row>
    <row r="53" spans="4:21" x14ac:dyDescent="0.25">
      <c r="D53" s="11"/>
      <c r="E53" s="11"/>
      <c r="G53" s="11"/>
      <c r="H53" s="11"/>
      <c r="L53" s="11"/>
      <c r="M53" s="11"/>
      <c r="N53" s="11"/>
      <c r="O53" s="11"/>
      <c r="Q53" s="11"/>
      <c r="R53" s="11"/>
      <c r="S53" s="11"/>
      <c r="U53" s="11"/>
    </row>
    <row r="54" spans="4:21" x14ac:dyDescent="0.25">
      <c r="D54" s="11"/>
      <c r="E54" s="11"/>
      <c r="G54" s="11"/>
      <c r="H54" s="11"/>
      <c r="L54" s="11"/>
      <c r="M54" s="11"/>
      <c r="N54" s="11"/>
      <c r="O54" s="11"/>
      <c r="Q54" s="11"/>
      <c r="R54" s="11"/>
      <c r="S54" s="11"/>
      <c r="U54" s="11"/>
    </row>
    <row r="55" spans="4:21" x14ac:dyDescent="0.25">
      <c r="D55" s="11"/>
      <c r="E55" s="11"/>
      <c r="G55" s="11"/>
      <c r="H55" s="11"/>
      <c r="L55" s="11"/>
      <c r="M55" s="11"/>
      <c r="N55" s="11"/>
      <c r="O55" s="11"/>
      <c r="Q55" s="11"/>
      <c r="R55" s="11"/>
      <c r="S55" s="11"/>
      <c r="U55" s="11"/>
    </row>
    <row r="56" spans="4:21" x14ac:dyDescent="0.25">
      <c r="D56" s="11"/>
      <c r="E56" s="11"/>
      <c r="G56" s="11"/>
      <c r="H56" s="11"/>
      <c r="L56" s="11"/>
      <c r="M56" s="11"/>
      <c r="N56" s="11"/>
      <c r="O56" s="11"/>
      <c r="Q56" s="11"/>
      <c r="R56" s="11"/>
      <c r="S56" s="11"/>
      <c r="U56" s="11"/>
    </row>
    <row r="57" spans="4:21" x14ac:dyDescent="0.25">
      <c r="D57" s="11"/>
      <c r="E57" s="11"/>
      <c r="G57" s="11"/>
      <c r="H57" s="11"/>
      <c r="L57" s="11"/>
      <c r="M57" s="11"/>
      <c r="N57" s="11"/>
      <c r="O57" s="11"/>
      <c r="Q57" s="11"/>
      <c r="R57" s="11"/>
      <c r="S57" s="11"/>
      <c r="U57" s="11"/>
    </row>
    <row r="58" spans="4:21" x14ac:dyDescent="0.25">
      <c r="D58" s="11"/>
      <c r="E58" s="11"/>
      <c r="G58" s="11"/>
      <c r="H58" s="11"/>
      <c r="L58" s="11"/>
      <c r="M58" s="11"/>
      <c r="N58" s="11"/>
      <c r="O58" s="11"/>
      <c r="Q58" s="11"/>
      <c r="R58" s="11"/>
      <c r="S58" s="11"/>
      <c r="U58" s="11"/>
    </row>
    <row r="59" spans="4:21" x14ac:dyDescent="0.25">
      <c r="D59" s="11"/>
      <c r="E59" s="11"/>
      <c r="G59" s="11"/>
      <c r="H59" s="11"/>
      <c r="L59" s="11"/>
      <c r="M59" s="11"/>
      <c r="N59" s="11"/>
      <c r="O59" s="11"/>
      <c r="Q59" s="11"/>
      <c r="R59" s="11"/>
      <c r="S59" s="11"/>
      <c r="U59" s="11"/>
    </row>
    <row r="60" spans="4:21" x14ac:dyDescent="0.25">
      <c r="D60" s="11"/>
      <c r="E60" s="11"/>
      <c r="G60" s="11"/>
      <c r="H60" s="11"/>
      <c r="L60" s="11"/>
      <c r="M60" s="11"/>
      <c r="N60" s="11"/>
      <c r="O60" s="11"/>
      <c r="Q60" s="11"/>
      <c r="R60" s="11"/>
      <c r="S60" s="11"/>
      <c r="U60" s="11"/>
    </row>
    <row r="61" spans="4:21" x14ac:dyDescent="0.25">
      <c r="D61" s="11"/>
      <c r="E61" s="11"/>
      <c r="G61" s="11"/>
      <c r="H61" s="11"/>
      <c r="L61" s="11"/>
      <c r="M61" s="11"/>
      <c r="N61" s="11"/>
      <c r="O61" s="11"/>
      <c r="Q61" s="11"/>
      <c r="R61" s="11"/>
      <c r="S61" s="11"/>
      <c r="U61" s="11"/>
    </row>
    <row r="62" spans="4:21" x14ac:dyDescent="0.25">
      <c r="D62" s="11"/>
      <c r="E62" s="11"/>
      <c r="G62" s="11"/>
      <c r="H62" s="11"/>
      <c r="L62" s="11"/>
      <c r="M62" s="11"/>
      <c r="N62" s="11"/>
      <c r="O62" s="11"/>
      <c r="Q62" s="11"/>
      <c r="R62" s="11"/>
      <c r="S62" s="11"/>
      <c r="U62" s="11"/>
    </row>
    <row r="63" spans="4:21" x14ac:dyDescent="0.25">
      <c r="D63" s="11"/>
      <c r="E63" s="11"/>
      <c r="G63" s="11"/>
      <c r="H63" s="11"/>
      <c r="L63" s="11"/>
      <c r="M63" s="11"/>
      <c r="N63" s="11"/>
      <c r="O63" s="11"/>
      <c r="Q63" s="11"/>
      <c r="R63" s="11"/>
      <c r="S63" s="11"/>
      <c r="U63" s="11"/>
    </row>
    <row r="64" spans="4:21" x14ac:dyDescent="0.25">
      <c r="D64" s="11"/>
      <c r="E64" s="11"/>
      <c r="G64" s="11"/>
      <c r="H64" s="11"/>
      <c r="L64" s="11"/>
      <c r="M64" s="11"/>
      <c r="N64" s="11"/>
      <c r="O64" s="11"/>
      <c r="Q64" s="11"/>
      <c r="R64" s="11"/>
      <c r="S64" s="11"/>
      <c r="U64" s="11"/>
    </row>
    <row r="65" spans="4:21" x14ac:dyDescent="0.25">
      <c r="D65" s="11"/>
      <c r="E65" s="11"/>
      <c r="G65" s="11"/>
      <c r="H65" s="11"/>
      <c r="L65" s="11"/>
      <c r="M65" s="11"/>
      <c r="N65" s="11"/>
      <c r="O65" s="11"/>
      <c r="Q65" s="11"/>
      <c r="R65" s="11"/>
      <c r="S65" s="11"/>
      <c r="U65" s="11"/>
    </row>
    <row r="66" spans="4:21" x14ac:dyDescent="0.25">
      <c r="D66" s="11"/>
      <c r="E66" s="11"/>
      <c r="G66" s="11"/>
      <c r="H66" s="11"/>
      <c r="L66" s="11"/>
      <c r="M66" s="11"/>
      <c r="N66" s="11"/>
      <c r="O66" s="11"/>
      <c r="Q66" s="11"/>
      <c r="R66" s="11"/>
      <c r="S66" s="11"/>
      <c r="U66" s="11"/>
    </row>
    <row r="67" spans="4:21" x14ac:dyDescent="0.25">
      <c r="D67" s="11"/>
      <c r="E67" s="11"/>
      <c r="G67" s="11"/>
      <c r="H67" s="11"/>
      <c r="L67" s="11"/>
      <c r="M67" s="11"/>
      <c r="N67" s="11"/>
      <c r="O67" s="11"/>
      <c r="Q67" s="11"/>
      <c r="R67" s="11"/>
      <c r="S67" s="11"/>
      <c r="U67" s="11"/>
    </row>
    <row r="68" spans="4:21" x14ac:dyDescent="0.25">
      <c r="D68" s="11"/>
      <c r="E68" s="11"/>
      <c r="G68" s="11"/>
      <c r="H68" s="11"/>
      <c r="L68" s="11"/>
      <c r="M68" s="11"/>
      <c r="N68" s="11"/>
      <c r="O68" s="11"/>
      <c r="Q68" s="11"/>
      <c r="R68" s="11"/>
      <c r="S68" s="11"/>
      <c r="U68" s="11"/>
    </row>
    <row r="69" spans="4:21" x14ac:dyDescent="0.25">
      <c r="D69" s="11"/>
      <c r="E69" s="11"/>
      <c r="G69" s="11"/>
      <c r="H69" s="11"/>
      <c r="L69" s="11"/>
      <c r="M69" s="11"/>
      <c r="N69" s="11"/>
      <c r="O69" s="11"/>
      <c r="Q69" s="11"/>
      <c r="R69" s="11"/>
      <c r="S69" s="11"/>
      <c r="U69" s="11"/>
    </row>
    <row r="70" spans="4:21" x14ac:dyDescent="0.25">
      <c r="D70" s="11"/>
      <c r="E70" s="11"/>
      <c r="G70" s="11"/>
      <c r="H70" s="11"/>
      <c r="L70" s="11"/>
      <c r="M70" s="11"/>
      <c r="N70" s="11"/>
      <c r="O70" s="11"/>
      <c r="Q70" s="11"/>
      <c r="R70" s="11"/>
      <c r="S70" s="11"/>
      <c r="U70" s="11"/>
    </row>
    <row r="71" spans="4:21" x14ac:dyDescent="0.25">
      <c r="D71" s="11"/>
      <c r="E71" s="11"/>
      <c r="G71" s="11"/>
      <c r="H71" s="11"/>
      <c r="L71" s="11"/>
      <c r="M71" s="11"/>
      <c r="N71" s="11"/>
      <c r="O71" s="11"/>
      <c r="Q71" s="11"/>
      <c r="R71" s="11"/>
      <c r="S71" s="11"/>
      <c r="U71" s="11"/>
    </row>
    <row r="72" spans="4:21" x14ac:dyDescent="0.25">
      <c r="D72" s="11"/>
      <c r="E72" s="11"/>
      <c r="G72" s="11"/>
      <c r="H72" s="11"/>
      <c r="L72" s="11"/>
      <c r="M72" s="11"/>
      <c r="N72" s="11"/>
      <c r="O72" s="11"/>
      <c r="Q72" s="11"/>
      <c r="R72" s="11"/>
      <c r="S72" s="11"/>
      <c r="U72" s="11"/>
    </row>
    <row r="73" spans="4:21" x14ac:dyDescent="0.25">
      <c r="D73" s="11"/>
      <c r="E73" s="11"/>
      <c r="G73" s="11"/>
      <c r="H73" s="11"/>
      <c r="L73" s="11"/>
      <c r="M73" s="11"/>
      <c r="N73" s="11"/>
      <c r="O73" s="11"/>
      <c r="Q73" s="11"/>
      <c r="R73" s="11"/>
      <c r="S73" s="11"/>
      <c r="U73" s="11"/>
    </row>
    <row r="74" spans="4:21" x14ac:dyDescent="0.25">
      <c r="D74" s="11"/>
      <c r="E74" s="11"/>
      <c r="G74" s="11"/>
      <c r="H74" s="11"/>
      <c r="L74" s="11"/>
      <c r="M74" s="11"/>
      <c r="N74" s="11"/>
      <c r="O74" s="11"/>
      <c r="Q74" s="11"/>
      <c r="R74" s="11"/>
      <c r="S74" s="11"/>
      <c r="U74" s="11"/>
    </row>
    <row r="75" spans="4:21" x14ac:dyDescent="0.25">
      <c r="D75" s="11"/>
      <c r="E75" s="11"/>
      <c r="G75" s="11"/>
      <c r="H75" s="11"/>
      <c r="L75" s="11"/>
      <c r="M75" s="11"/>
      <c r="N75" s="11"/>
      <c r="O75" s="11"/>
      <c r="Q75" s="11"/>
      <c r="R75" s="11"/>
      <c r="S75" s="11"/>
      <c r="U75" s="11"/>
    </row>
    <row r="76" spans="4:21" x14ac:dyDescent="0.25">
      <c r="D76" s="11"/>
      <c r="E76" s="11"/>
      <c r="G76" s="11"/>
      <c r="H76" s="11"/>
      <c r="L76" s="11"/>
      <c r="M76" s="11"/>
      <c r="N76" s="11"/>
      <c r="O76" s="11"/>
      <c r="Q76" s="11"/>
      <c r="R76" s="11"/>
      <c r="S76" s="11"/>
      <c r="U76" s="11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16">
    <tabColor rgb="FFFF8080"/>
  </sheetPr>
  <dimension ref="A1:R32"/>
  <sheetViews>
    <sheetView showGridLines="0" zoomScale="85" zoomScaleNormal="85" workbookViewId="0">
      <selection activeCell="A2" sqref="A2:A3"/>
    </sheetView>
  </sheetViews>
  <sheetFormatPr baseColWidth="10" defaultColWidth="11.42578125" defaultRowHeight="15" x14ac:dyDescent="0.25"/>
  <cols>
    <col min="1" max="2" width="11.28515625" bestFit="1" customWidth="1"/>
    <col min="3" max="3" width="8.7109375" bestFit="1" customWidth="1"/>
    <col min="4" max="4" width="8.42578125" bestFit="1" customWidth="1"/>
    <col min="5" max="5" width="8.5703125" bestFit="1" customWidth="1"/>
    <col min="6" max="6" width="8" bestFit="1" customWidth="1"/>
    <col min="7" max="7" width="10.42578125" bestFit="1" customWidth="1"/>
    <col min="9" max="9" width="7.28515625" bestFit="1" customWidth="1"/>
    <col min="11" max="11" width="21.7109375" bestFit="1" customWidth="1"/>
    <col min="12" max="12" width="11.42578125" customWidth="1"/>
    <col min="13" max="13" width="14.7109375" bestFit="1" customWidth="1"/>
    <col min="14" max="14" width="9" bestFit="1" customWidth="1"/>
    <col min="17" max="17" width="10.28515625" bestFit="1" customWidth="1"/>
  </cols>
  <sheetData>
    <row r="1" spans="1:18" x14ac:dyDescent="0.25">
      <c r="A1" t="s">
        <v>119</v>
      </c>
      <c r="C1" t="s">
        <v>110</v>
      </c>
      <c r="D1" t="s">
        <v>293</v>
      </c>
      <c r="E1" t="s">
        <v>109</v>
      </c>
      <c r="F1" t="s">
        <v>294</v>
      </c>
      <c r="G1" t="s">
        <v>295</v>
      </c>
      <c r="I1" t="s">
        <v>43</v>
      </c>
      <c r="J1" t="s">
        <v>42</v>
      </c>
      <c r="K1" t="s">
        <v>13</v>
      </c>
      <c r="M1" t="s">
        <v>23</v>
      </c>
      <c r="N1" t="s">
        <v>68</v>
      </c>
      <c r="Q1" s="12"/>
      <c r="R1" s="12"/>
    </row>
    <row r="2" spans="1:18" x14ac:dyDescent="0.25">
      <c r="A2" s="82">
        <v>100282554</v>
      </c>
      <c r="C2" s="45">
        <v>1502</v>
      </c>
      <c r="D2" s="46">
        <v>1175</v>
      </c>
      <c r="E2" s="46">
        <v>3001</v>
      </c>
      <c r="F2" s="45">
        <v>1101</v>
      </c>
      <c r="G2" s="45" t="s">
        <v>296</v>
      </c>
      <c r="K2" t="s">
        <v>41</v>
      </c>
      <c r="M2" t="s">
        <v>8</v>
      </c>
      <c r="N2" t="s">
        <v>62</v>
      </c>
    </row>
    <row r="3" spans="1:18" x14ac:dyDescent="0.25">
      <c r="A3" s="82">
        <v>100282561</v>
      </c>
      <c r="C3" s="45">
        <v>1503</v>
      </c>
      <c r="D3" s="45">
        <v>1176</v>
      </c>
      <c r="E3" s="45">
        <v>3002</v>
      </c>
      <c r="F3" s="45">
        <v>1102</v>
      </c>
      <c r="G3" s="45" t="s">
        <v>297</v>
      </c>
      <c r="I3" t="s">
        <v>33</v>
      </c>
      <c r="J3" t="s">
        <v>40</v>
      </c>
      <c r="K3" t="s">
        <v>39</v>
      </c>
      <c r="M3" t="s">
        <v>31</v>
      </c>
      <c r="N3" t="s">
        <v>63</v>
      </c>
    </row>
    <row r="4" spans="1:18" x14ac:dyDescent="0.25">
      <c r="C4" s="45">
        <v>1603</v>
      </c>
      <c r="D4" s="45">
        <v>2000</v>
      </c>
      <c r="E4" s="45">
        <v>3003</v>
      </c>
      <c r="F4" s="45">
        <v>1103</v>
      </c>
      <c r="G4" s="45" t="s">
        <v>298</v>
      </c>
      <c r="I4" t="s">
        <v>38</v>
      </c>
      <c r="J4" t="s">
        <v>37</v>
      </c>
      <c r="K4" t="s">
        <v>36</v>
      </c>
      <c r="M4" t="s">
        <v>64</v>
      </c>
      <c r="N4" t="s">
        <v>65</v>
      </c>
    </row>
    <row r="5" spans="1:18" x14ac:dyDescent="0.25">
      <c r="C5" s="45">
        <v>3101</v>
      </c>
      <c r="D5" s="45">
        <v>2001</v>
      </c>
      <c r="E5" s="45"/>
      <c r="F5" s="45">
        <v>1104</v>
      </c>
      <c r="G5" s="45" t="s">
        <v>299</v>
      </c>
      <c r="I5" t="s">
        <v>32</v>
      </c>
      <c r="J5" t="s">
        <v>35</v>
      </c>
      <c r="K5" t="s">
        <v>34</v>
      </c>
      <c r="M5" t="s">
        <v>66</v>
      </c>
      <c r="N5" t="s">
        <v>62</v>
      </c>
    </row>
    <row r="6" spans="1:18" x14ac:dyDescent="0.25">
      <c r="C6" s="45">
        <v>3102</v>
      </c>
      <c r="D6" s="45">
        <v>2002</v>
      </c>
      <c r="E6" s="45"/>
      <c r="F6" s="45">
        <v>1105</v>
      </c>
      <c r="G6" s="45" t="s">
        <v>300</v>
      </c>
      <c r="M6" t="s">
        <v>67</v>
      </c>
      <c r="N6" t="s">
        <v>62</v>
      </c>
    </row>
    <row r="7" spans="1:18" x14ac:dyDescent="0.25">
      <c r="C7" s="45">
        <v>3103</v>
      </c>
      <c r="D7" s="45">
        <v>2040</v>
      </c>
      <c r="E7" s="45"/>
      <c r="F7" s="45">
        <v>1106</v>
      </c>
      <c r="G7" s="45" t="s">
        <v>301</v>
      </c>
    </row>
    <row r="8" spans="1:18" x14ac:dyDescent="0.25">
      <c r="C8" s="45">
        <v>3104</v>
      </c>
      <c r="D8" s="45">
        <v>3050</v>
      </c>
      <c r="E8" s="45"/>
      <c r="F8" s="45">
        <v>1107</v>
      </c>
      <c r="G8" s="45" t="s">
        <v>302</v>
      </c>
    </row>
    <row r="9" spans="1:18" x14ac:dyDescent="0.25">
      <c r="C9" s="45">
        <v>3105</v>
      </c>
      <c r="D9" s="45"/>
      <c r="E9" s="45"/>
      <c r="F9" s="45">
        <v>1108</v>
      </c>
      <c r="G9" s="45" t="s">
        <v>303</v>
      </c>
    </row>
    <row r="10" spans="1:18" x14ac:dyDescent="0.25">
      <c r="C10" s="45">
        <v>3106</v>
      </c>
      <c r="D10" s="45"/>
      <c r="E10" s="45"/>
      <c r="F10" s="45">
        <v>1109</v>
      </c>
      <c r="G10" s="45" t="s">
        <v>304</v>
      </c>
    </row>
    <row r="11" spans="1:18" x14ac:dyDescent="0.25">
      <c r="C11" s="45">
        <v>3107</v>
      </c>
      <c r="D11" s="45"/>
      <c r="E11" s="45"/>
      <c r="F11" s="45">
        <v>1110</v>
      </c>
      <c r="G11" s="45" t="s">
        <v>305</v>
      </c>
    </row>
    <row r="12" spans="1:18" x14ac:dyDescent="0.25">
      <c r="C12" s="45">
        <v>3108</v>
      </c>
      <c r="D12" s="45"/>
      <c r="E12" s="45"/>
      <c r="F12" s="45">
        <v>1111</v>
      </c>
      <c r="G12" s="45" t="s">
        <v>306</v>
      </c>
    </row>
    <row r="13" spans="1:18" x14ac:dyDescent="0.25">
      <c r="C13" s="45">
        <v>3109</v>
      </c>
      <c r="D13" s="45"/>
      <c r="E13" s="45"/>
      <c r="F13" s="45">
        <v>1112</v>
      </c>
      <c r="G13" s="45" t="s">
        <v>307</v>
      </c>
    </row>
    <row r="14" spans="1:18" x14ac:dyDescent="0.25">
      <c r="C14" s="45">
        <v>3110</v>
      </c>
      <c r="D14" s="45"/>
      <c r="E14" s="45"/>
      <c r="F14" s="45">
        <v>1113</v>
      </c>
      <c r="G14" s="45" t="s">
        <v>308</v>
      </c>
    </row>
    <row r="15" spans="1:18" x14ac:dyDescent="0.25">
      <c r="C15" s="45">
        <v>3111</v>
      </c>
      <c r="D15" s="45"/>
      <c r="E15" s="45"/>
      <c r="F15" s="45">
        <v>1114</v>
      </c>
      <c r="G15" s="45" t="s">
        <v>309</v>
      </c>
    </row>
    <row r="16" spans="1:18" x14ac:dyDescent="0.25">
      <c r="C16" s="45">
        <v>3112</v>
      </c>
      <c r="D16" s="45"/>
      <c r="E16" s="45"/>
      <c r="F16" s="45">
        <v>1115</v>
      </c>
      <c r="G16" s="45" t="s">
        <v>310</v>
      </c>
    </row>
    <row r="17" spans="3:7" x14ac:dyDescent="0.25">
      <c r="C17" s="45">
        <v>3113</v>
      </c>
      <c r="D17" s="45"/>
      <c r="E17" s="45"/>
      <c r="F17" s="45">
        <v>1116</v>
      </c>
      <c r="G17" s="45" t="s">
        <v>311</v>
      </c>
    </row>
    <row r="18" spans="3:7" x14ac:dyDescent="0.25">
      <c r="C18" s="45">
        <v>3114</v>
      </c>
      <c r="D18" s="45"/>
      <c r="E18" s="45"/>
      <c r="F18" s="45">
        <v>1117</v>
      </c>
      <c r="G18" s="45" t="s">
        <v>312</v>
      </c>
    </row>
    <row r="19" spans="3:7" x14ac:dyDescent="0.25">
      <c r="C19" s="45">
        <v>3115</v>
      </c>
      <c r="D19" s="45"/>
      <c r="E19" s="45"/>
      <c r="F19" s="45">
        <v>1118</v>
      </c>
      <c r="G19" s="45"/>
    </row>
    <row r="20" spans="3:7" x14ac:dyDescent="0.25">
      <c r="C20" s="45">
        <v>3117</v>
      </c>
      <c r="D20" s="45"/>
      <c r="E20" s="45"/>
      <c r="F20" s="45">
        <v>1120</v>
      </c>
      <c r="G20" s="45"/>
    </row>
    <row r="21" spans="3:7" x14ac:dyDescent="0.25">
      <c r="C21" s="45">
        <v>3118</v>
      </c>
      <c r="D21" s="45"/>
      <c r="E21" s="45"/>
      <c r="F21" s="45">
        <v>1121</v>
      </c>
      <c r="G21" s="45"/>
    </row>
    <row r="22" spans="3:7" x14ac:dyDescent="0.25">
      <c r="C22" s="45">
        <v>3120</v>
      </c>
      <c r="D22" s="45"/>
      <c r="E22" s="45"/>
      <c r="F22" s="45">
        <v>1122</v>
      </c>
      <c r="G22" s="45"/>
    </row>
    <row r="23" spans="3:7" x14ac:dyDescent="0.25">
      <c r="C23" s="45">
        <v>3201</v>
      </c>
      <c r="D23" s="45"/>
      <c r="E23" s="45"/>
      <c r="F23" s="45">
        <v>1123</v>
      </c>
      <c r="G23" s="45"/>
    </row>
    <row r="24" spans="3:7" x14ac:dyDescent="0.25">
      <c r="C24" s="45">
        <v>3302</v>
      </c>
      <c r="D24" s="45"/>
      <c r="E24" s="45"/>
      <c r="F24" s="45">
        <v>1124</v>
      </c>
      <c r="G24" s="45"/>
    </row>
    <row r="25" spans="3:7" x14ac:dyDescent="0.25">
      <c r="C25" s="45">
        <v>3303</v>
      </c>
      <c r="D25" s="45"/>
      <c r="E25" s="45"/>
      <c r="F25" s="45">
        <v>1125</v>
      </c>
      <c r="G25" s="45"/>
    </row>
    <row r="26" spans="3:7" x14ac:dyDescent="0.25">
      <c r="C26" s="45"/>
      <c r="D26" s="45"/>
      <c r="E26" s="45"/>
      <c r="F26" s="45">
        <v>1126</v>
      </c>
      <c r="G26" s="45"/>
    </row>
    <row r="27" spans="3:7" x14ac:dyDescent="0.25">
      <c r="C27" s="45"/>
      <c r="D27" s="45"/>
      <c r="E27" s="45"/>
      <c r="F27" s="45">
        <v>1127</v>
      </c>
      <c r="G27" s="45"/>
    </row>
    <row r="28" spans="3:7" x14ac:dyDescent="0.25">
      <c r="C28" s="45"/>
      <c r="D28" s="45"/>
      <c r="E28" s="45"/>
      <c r="F28" s="45">
        <v>1130</v>
      </c>
      <c r="G28" s="45"/>
    </row>
    <row r="29" spans="3:7" x14ac:dyDescent="0.25">
      <c r="C29" s="45"/>
      <c r="D29" s="45"/>
      <c r="E29" s="45"/>
      <c r="F29" s="45">
        <v>1131</v>
      </c>
      <c r="G29" s="45"/>
    </row>
    <row r="30" spans="3:7" x14ac:dyDescent="0.25">
      <c r="C30" s="45"/>
      <c r="D30" s="45"/>
      <c r="E30" s="45"/>
      <c r="F30" s="45">
        <v>1132</v>
      </c>
      <c r="G30" s="45"/>
    </row>
    <row r="31" spans="3:7" x14ac:dyDescent="0.25">
      <c r="C31" s="45"/>
      <c r="D31" s="45"/>
      <c r="E31" s="45"/>
      <c r="F31" s="45">
        <v>1133</v>
      </c>
      <c r="G31" s="45"/>
    </row>
    <row r="32" spans="3:7" x14ac:dyDescent="0.25">
      <c r="C32" s="45"/>
      <c r="D32" s="45"/>
      <c r="E32" s="45"/>
      <c r="F32" s="45">
        <v>1134</v>
      </c>
      <c r="G32" s="45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7">
    <tabColor rgb="FFFF8080"/>
  </sheetPr>
  <dimension ref="A1:O12"/>
  <sheetViews>
    <sheetView showGridLines="0" zoomScale="85" zoomScaleNormal="85" workbookViewId="0">
      <selection activeCell="B11" sqref="B11"/>
    </sheetView>
  </sheetViews>
  <sheetFormatPr baseColWidth="10" defaultColWidth="11.42578125" defaultRowHeight="15" x14ac:dyDescent="0.25"/>
  <cols>
    <col min="1" max="1" width="17.28515625" customWidth="1"/>
    <col min="2" max="2" width="13.28515625" customWidth="1"/>
    <col min="3" max="3" width="11.7109375" customWidth="1"/>
    <col min="4" max="4" width="5.28515625" customWidth="1"/>
    <col min="5" max="5" width="15.5703125" customWidth="1"/>
    <col min="6" max="6" width="8" customWidth="1"/>
    <col min="7" max="7" width="34.5703125" bestFit="1" customWidth="1"/>
    <col min="8" max="8" width="4" customWidth="1"/>
    <col min="9" max="9" width="8.28515625" customWidth="1"/>
    <col min="10" max="10" width="10.28515625" customWidth="1"/>
    <col min="11" max="11" width="13.5703125" bestFit="1" customWidth="1"/>
    <col min="12" max="12" width="3" customWidth="1"/>
    <col min="13" max="13" width="8.28515625" customWidth="1"/>
    <col min="14" max="14" width="12.7109375" customWidth="1"/>
    <col min="15" max="15" width="22.42578125" bestFit="1" customWidth="1"/>
  </cols>
  <sheetData>
    <row r="1" spans="1:15" ht="23.25" x14ac:dyDescent="0.35">
      <c r="A1" s="9" t="s">
        <v>12</v>
      </c>
    </row>
    <row r="4" spans="1:15" x14ac:dyDescent="0.25">
      <c r="A4" s="17" t="s">
        <v>14</v>
      </c>
      <c r="B4" s="18" t="s">
        <v>19</v>
      </c>
      <c r="C4" s="19" t="s">
        <v>15</v>
      </c>
      <c r="E4" s="8" t="s">
        <v>69</v>
      </c>
      <c r="F4" s="10" t="s">
        <v>15</v>
      </c>
      <c r="G4" s="8" t="s">
        <v>13</v>
      </c>
      <c r="I4" t="s">
        <v>51</v>
      </c>
      <c r="J4" t="s">
        <v>52</v>
      </c>
      <c r="K4" t="s">
        <v>13</v>
      </c>
      <c r="M4" t="s">
        <v>51</v>
      </c>
      <c r="N4" t="s">
        <v>57</v>
      </c>
      <c r="O4" t="s">
        <v>13</v>
      </c>
    </row>
    <row r="5" spans="1:15" x14ac:dyDescent="0.25">
      <c r="A5" t="s">
        <v>30</v>
      </c>
      <c r="B5" s="7"/>
      <c r="C5" t="str">
        <f>IFERROR(VLOOKUP(MaterialPrice,tMaterialPrice[],2,FALSE),"")</f>
        <v/>
      </c>
      <c r="E5" s="3" t="s">
        <v>17</v>
      </c>
      <c r="G5" t="s">
        <v>10</v>
      </c>
      <c r="I5" t="s">
        <v>53</v>
      </c>
      <c r="J5" t="e">
        <f>COLUMN(#REF!)</f>
        <v>#REF!</v>
      </c>
      <c r="K5" t="s">
        <v>47</v>
      </c>
      <c r="M5" t="s">
        <v>53</v>
      </c>
      <c r="N5">
        <v>2</v>
      </c>
      <c r="O5" t="s">
        <v>58</v>
      </c>
    </row>
    <row r="6" spans="1:15" x14ac:dyDescent="0.25">
      <c r="A6" t="s">
        <v>29</v>
      </c>
      <c r="B6" s="7" t="s">
        <v>53</v>
      </c>
      <c r="C6">
        <f>IFERROR(VLOOKUP(ProductHierarchy,tProductHierarchyLevel[],2,FALSE),"")</f>
        <v>2</v>
      </c>
      <c r="E6" s="3" t="s">
        <v>16</v>
      </c>
      <c r="G6" t="s">
        <v>20</v>
      </c>
      <c r="I6" t="s">
        <v>54</v>
      </c>
      <c r="J6" t="e">
        <f>COLUMN(#REF!)</f>
        <v>#REF!</v>
      </c>
      <c r="K6" t="s">
        <v>48</v>
      </c>
      <c r="M6" t="s">
        <v>54</v>
      </c>
      <c r="N6">
        <v>5</v>
      </c>
      <c r="O6" t="s">
        <v>59</v>
      </c>
    </row>
    <row r="7" spans="1:15" x14ac:dyDescent="0.25">
      <c r="A7" t="s">
        <v>28</v>
      </c>
      <c r="B7" s="7" t="s">
        <v>55</v>
      </c>
      <c r="C7" t="str">
        <f>IFERROR(VLOOKUP(CustomerHierarchy,tCustomerLevel[],2,FALSE),"")</f>
        <v/>
      </c>
      <c r="E7" s="3" t="s">
        <v>18</v>
      </c>
      <c r="G7" t="s">
        <v>11</v>
      </c>
      <c r="I7" t="s">
        <v>55</v>
      </c>
      <c r="J7" t="e">
        <f>COLUMN(#REF!)</f>
        <v>#REF!</v>
      </c>
      <c r="K7" t="s">
        <v>49</v>
      </c>
      <c r="M7" t="s">
        <v>55</v>
      </c>
      <c r="N7">
        <v>8</v>
      </c>
      <c r="O7" t="s">
        <v>60</v>
      </c>
    </row>
    <row r="8" spans="1:15" x14ac:dyDescent="0.25">
      <c r="A8" t="s">
        <v>27</v>
      </c>
      <c r="B8" s="7" t="s">
        <v>107</v>
      </c>
      <c r="C8" t="str">
        <f t="shared" ref="C8:C10" si="0">B8</f>
        <v>Gross</v>
      </c>
      <c r="I8" t="s">
        <v>56</v>
      </c>
      <c r="J8" t="e">
        <f>COLUMN(#REF!)</f>
        <v>#REF!</v>
      </c>
      <c r="K8" t="s">
        <v>50</v>
      </c>
      <c r="M8" t="s">
        <v>56</v>
      </c>
      <c r="N8">
        <v>12</v>
      </c>
      <c r="O8" t="s">
        <v>61</v>
      </c>
    </row>
    <row r="9" spans="1:15" x14ac:dyDescent="0.25">
      <c r="A9" t="s">
        <v>26</v>
      </c>
      <c r="B9" s="7">
        <v>1</v>
      </c>
      <c r="C9">
        <f t="shared" si="0"/>
        <v>1</v>
      </c>
    </row>
    <row r="10" spans="1:15" x14ac:dyDescent="0.25">
      <c r="A10" t="s">
        <v>9</v>
      </c>
      <c r="B10" s="7" t="s">
        <v>108</v>
      </c>
      <c r="C10" t="str">
        <f t="shared" si="0"/>
        <v>Default</v>
      </c>
    </row>
    <row r="11" spans="1:15" x14ac:dyDescent="0.25">
      <c r="A11" t="s">
        <v>364</v>
      </c>
      <c r="B11" s="73">
        <v>41603</v>
      </c>
    </row>
    <row r="12" spans="1:15" x14ac:dyDescent="0.25">
      <c r="A12" t="s">
        <v>372</v>
      </c>
      <c r="B12" s="7"/>
      <c r="C12">
        <f>B12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4">
    <tabColor rgb="FFFF8080"/>
  </sheetPr>
  <dimension ref="A1:B14"/>
  <sheetViews>
    <sheetView showGridLines="0" zoomScale="85" zoomScaleNormal="85" workbookViewId="0">
      <selection activeCell="B14" sqref="B14"/>
    </sheetView>
  </sheetViews>
  <sheetFormatPr baseColWidth="10" defaultColWidth="11.42578125" defaultRowHeight="15" x14ac:dyDescent="0.25"/>
  <cols>
    <col min="1" max="1" width="14.5703125" customWidth="1"/>
    <col min="2" max="2" width="55.28515625" bestFit="1" customWidth="1"/>
  </cols>
  <sheetData>
    <row r="1" spans="1:2" ht="23.25" x14ac:dyDescent="0.35">
      <c r="A1" s="9" t="s">
        <v>46</v>
      </c>
    </row>
    <row r="4" spans="1:2" x14ac:dyDescent="0.25">
      <c r="A4" t="s">
        <v>2</v>
      </c>
      <c r="B4" s="26">
        <v>7</v>
      </c>
    </row>
    <row r="5" spans="1:2" x14ac:dyDescent="0.25">
      <c r="A5" t="s">
        <v>1</v>
      </c>
      <c r="B5" s="26" t="s">
        <v>415</v>
      </c>
    </row>
    <row r="6" spans="1:2" x14ac:dyDescent="0.25">
      <c r="A6" t="s">
        <v>21</v>
      </c>
      <c r="B6" s="26" t="s">
        <v>420</v>
      </c>
    </row>
    <row r="7" spans="1:2" x14ac:dyDescent="0.25">
      <c r="A7" t="s">
        <v>22</v>
      </c>
      <c r="B7" s="26"/>
    </row>
    <row r="8" spans="1:2" x14ac:dyDescent="0.25">
      <c r="A8" t="s">
        <v>70</v>
      </c>
      <c r="B8" s="26" t="s">
        <v>415</v>
      </c>
    </row>
    <row r="9" spans="1:2" x14ac:dyDescent="0.25">
      <c r="A9" t="s">
        <v>369</v>
      </c>
      <c r="B9" s="26" t="s">
        <v>315</v>
      </c>
    </row>
    <row r="10" spans="1:2" x14ac:dyDescent="0.25">
      <c r="A10" t="s">
        <v>370</v>
      </c>
      <c r="B10" s="26" t="s">
        <v>320</v>
      </c>
    </row>
    <row r="11" spans="1:2" x14ac:dyDescent="0.25">
      <c r="A11" t="s">
        <v>371</v>
      </c>
      <c r="B11" s="26" t="s">
        <v>324</v>
      </c>
    </row>
    <row r="12" spans="1:2" x14ac:dyDescent="0.25">
      <c r="A12" t="s">
        <v>373</v>
      </c>
      <c r="B12" s="7" t="s">
        <v>325</v>
      </c>
    </row>
    <row r="13" spans="1:2" x14ac:dyDescent="0.25">
      <c r="A13" t="s">
        <v>449</v>
      </c>
      <c r="B13" s="26" t="s">
        <v>451</v>
      </c>
    </row>
    <row r="14" spans="1:2" x14ac:dyDescent="0.25">
      <c r="A14" t="s">
        <v>450</v>
      </c>
      <c r="B14" s="26" t="s">
        <v>452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12">
    <tabColor rgb="FFFF8080"/>
    <pageSetUpPr fitToPage="1"/>
  </sheetPr>
  <dimension ref="B2:C68"/>
  <sheetViews>
    <sheetView showGridLines="0" zoomScale="85" zoomScaleNormal="100" workbookViewId="0"/>
  </sheetViews>
  <sheetFormatPr baseColWidth="10" defaultColWidth="11.42578125" defaultRowHeight="12.75" x14ac:dyDescent="0.2"/>
  <cols>
    <col min="1" max="1" width="1.7109375" style="38" customWidth="1"/>
    <col min="2" max="2" width="13.28515625" style="38" customWidth="1"/>
    <col min="3" max="3" width="12.42578125" style="38" customWidth="1"/>
    <col min="4" max="10" width="11.42578125" style="38"/>
    <col min="11" max="11" width="5.28515625" style="38" customWidth="1"/>
    <col min="12" max="16384" width="11.42578125" style="38"/>
  </cols>
  <sheetData>
    <row r="2" spans="2:3" ht="20.25" x14ac:dyDescent="0.3">
      <c r="B2" s="37" t="str">
        <f>ReportCaption</f>
        <v>Produksjonplan</v>
      </c>
    </row>
    <row r="4" spans="2:3" x14ac:dyDescent="0.2">
      <c r="B4" s="38" t="s">
        <v>193</v>
      </c>
      <c r="C4" s="38" t="s">
        <v>194</v>
      </c>
    </row>
    <row r="6" spans="2:3" x14ac:dyDescent="0.2">
      <c r="B6" s="38" t="s">
        <v>195</v>
      </c>
      <c r="C6" s="38" t="s">
        <v>196</v>
      </c>
    </row>
    <row r="7" spans="2:3" x14ac:dyDescent="0.2">
      <c r="C7" s="39"/>
    </row>
    <row r="8" spans="2:3" x14ac:dyDescent="0.2">
      <c r="C8" s="39"/>
    </row>
    <row r="9" spans="2:3" x14ac:dyDescent="0.2">
      <c r="C9" s="39"/>
    </row>
    <row r="10" spans="2:3" x14ac:dyDescent="0.2">
      <c r="C10" s="39"/>
    </row>
    <row r="11" spans="2:3" x14ac:dyDescent="0.2">
      <c r="C11" s="39"/>
    </row>
    <row r="12" spans="2:3" x14ac:dyDescent="0.2">
      <c r="C12" s="39"/>
    </row>
    <row r="13" spans="2:3" x14ac:dyDescent="0.2">
      <c r="C13" s="39"/>
    </row>
    <row r="14" spans="2:3" x14ac:dyDescent="0.2">
      <c r="C14" s="39"/>
    </row>
    <row r="15" spans="2:3" x14ac:dyDescent="0.2">
      <c r="C15" s="39"/>
    </row>
    <row r="18" spans="2:3" x14ac:dyDescent="0.2">
      <c r="C18" s="39"/>
    </row>
    <row r="19" spans="2:3" x14ac:dyDescent="0.2">
      <c r="C19" s="38" t="s">
        <v>197</v>
      </c>
    </row>
    <row r="29" spans="2:3" x14ac:dyDescent="0.2">
      <c r="B29" s="38" t="s">
        <v>198</v>
      </c>
      <c r="C29" s="38" t="s">
        <v>199</v>
      </c>
    </row>
    <row r="30" spans="2:3" x14ac:dyDescent="0.2">
      <c r="C30" s="40" t="s">
        <v>200</v>
      </c>
    </row>
    <row r="31" spans="2:3" x14ac:dyDescent="0.2">
      <c r="C31" s="40" t="s">
        <v>201</v>
      </c>
    </row>
    <row r="32" spans="2:3" x14ac:dyDescent="0.2">
      <c r="C32" s="38" t="s">
        <v>202</v>
      </c>
    </row>
    <row r="33" spans="2:3" x14ac:dyDescent="0.2">
      <c r="C33" s="38" t="s">
        <v>203</v>
      </c>
    </row>
    <row r="35" spans="2:3" x14ac:dyDescent="0.2">
      <c r="C35" s="38" t="s">
        <v>204</v>
      </c>
    </row>
    <row r="36" spans="2:3" x14ac:dyDescent="0.2">
      <c r="C36" s="38" t="s">
        <v>205</v>
      </c>
    </row>
    <row r="38" spans="2:3" x14ac:dyDescent="0.2">
      <c r="C38" s="38" t="s">
        <v>206</v>
      </c>
    </row>
    <row r="39" spans="2:3" x14ac:dyDescent="0.2">
      <c r="C39" s="38" t="s">
        <v>207</v>
      </c>
    </row>
    <row r="41" spans="2:3" x14ac:dyDescent="0.2">
      <c r="B41" s="38" t="s">
        <v>208</v>
      </c>
      <c r="C41" s="38" t="s">
        <v>209</v>
      </c>
    </row>
    <row r="42" spans="2:3" x14ac:dyDescent="0.2">
      <c r="C42" s="38" t="s">
        <v>210</v>
      </c>
    </row>
    <row r="43" spans="2:3" x14ac:dyDescent="0.2">
      <c r="C43" s="38" t="s">
        <v>211</v>
      </c>
    </row>
    <row r="45" spans="2:3" x14ac:dyDescent="0.2">
      <c r="C45" s="38" t="s">
        <v>212</v>
      </c>
    </row>
    <row r="46" spans="2:3" x14ac:dyDescent="0.2">
      <c r="B46" s="41" t="s">
        <v>213</v>
      </c>
      <c r="C46" s="39" t="s">
        <v>214</v>
      </c>
    </row>
    <row r="47" spans="2:3" x14ac:dyDescent="0.2">
      <c r="B47" s="42"/>
      <c r="C47" s="39" t="s">
        <v>215</v>
      </c>
    </row>
    <row r="48" spans="2:3" x14ac:dyDescent="0.2">
      <c r="B48" s="41" t="s">
        <v>213</v>
      </c>
      <c r="C48" s="39" t="s">
        <v>216</v>
      </c>
    </row>
    <row r="49" spans="2:3" x14ac:dyDescent="0.2">
      <c r="B49" s="41"/>
      <c r="C49" s="39" t="s">
        <v>217</v>
      </c>
    </row>
    <row r="51" spans="2:3" x14ac:dyDescent="0.2">
      <c r="B51" s="38" t="s">
        <v>218</v>
      </c>
      <c r="C51" s="38" t="s">
        <v>219</v>
      </c>
    </row>
    <row r="52" spans="2:3" x14ac:dyDescent="0.2">
      <c r="C52" s="38" t="s">
        <v>220</v>
      </c>
    </row>
    <row r="53" spans="2:3" x14ac:dyDescent="0.2">
      <c r="C53" s="38" t="s">
        <v>221</v>
      </c>
    </row>
    <row r="54" spans="2:3" x14ac:dyDescent="0.2">
      <c r="B54" s="38" t="s">
        <v>222</v>
      </c>
      <c r="C54" s="38" t="s">
        <v>223</v>
      </c>
    </row>
    <row r="56" spans="2:3" x14ac:dyDescent="0.2">
      <c r="C56" s="38" t="s">
        <v>224</v>
      </c>
    </row>
    <row r="58" spans="2:3" x14ac:dyDescent="0.2">
      <c r="B58" s="38" t="s">
        <v>225</v>
      </c>
      <c r="C58" s="38" t="s">
        <v>226</v>
      </c>
    </row>
    <row r="59" spans="2:3" x14ac:dyDescent="0.2">
      <c r="C59" s="38" t="s">
        <v>227</v>
      </c>
    </row>
    <row r="61" spans="2:3" x14ac:dyDescent="0.2">
      <c r="B61" s="38" t="s">
        <v>228</v>
      </c>
      <c r="C61" s="38" t="s">
        <v>229</v>
      </c>
    </row>
    <row r="62" spans="2:3" x14ac:dyDescent="0.2">
      <c r="C62" s="38" t="s">
        <v>230</v>
      </c>
    </row>
    <row r="63" spans="2:3" x14ac:dyDescent="0.2">
      <c r="C63" s="38" t="s">
        <v>231</v>
      </c>
    </row>
    <row r="65" spans="2:3" x14ac:dyDescent="0.2">
      <c r="C65" s="38" t="s">
        <v>232</v>
      </c>
    </row>
    <row r="66" spans="2:3" x14ac:dyDescent="0.2">
      <c r="C66" s="38" t="s">
        <v>233</v>
      </c>
    </row>
    <row r="68" spans="2:3" x14ac:dyDescent="0.2">
      <c r="B68" s="43"/>
      <c r="C68" s="44"/>
    </row>
  </sheetData>
  <pageMargins left="0.7" right="0.7" top="0.78740157499999996" bottom="0.78740157499999996" header="0.3" footer="0.3"/>
  <pageSetup paperSize="9" fitToHeight="0" orientation="landscape" verticalDpi="0" r:id="rId1"/>
  <headerFooter alignWithMargins="0">
    <oddFooter xml:space="preserve">&amp;LPrinting date: &amp;D&amp;CPage &amp;P / &amp;N&amp;R&amp;F - &amp;A 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baseColWidth="10" defaultColWidth="11" defaultRowHeight="15.75" x14ac:dyDescent="0.25"/>
  <cols>
    <col min="1" max="1" width="4.42578125" style="3" customWidth="1"/>
    <col min="2" max="3" width="11" style="5"/>
    <col min="4" max="16384" width="11" style="3"/>
  </cols>
  <sheetData>
    <row r="2" spans="2:11" ht="18" x14ac:dyDescent="0.25">
      <c r="K2" s="4"/>
    </row>
    <row r="5" spans="2:11" x14ac:dyDescent="0.25">
      <c r="E5" s="5" t="s">
        <v>413</v>
      </c>
    </row>
    <row r="9" spans="2:11" ht="21" x14ac:dyDescent="0.35">
      <c r="B9" s="6" t="s">
        <v>414</v>
      </c>
      <c r="J9" s="13"/>
      <c r="K9" s="13" t="s">
        <v>412</v>
      </c>
    </row>
    <row r="10" spans="2:11" x14ac:dyDescent="0.25">
      <c r="B10" s="5" t="s">
        <v>111</v>
      </c>
    </row>
    <row r="11" spans="2:11" x14ac:dyDescent="0.25">
      <c r="B11" s="5" t="s">
        <v>112</v>
      </c>
    </row>
    <row r="12" spans="2:11" x14ac:dyDescent="0.25">
      <c r="B12" s="5" t="s">
        <v>113</v>
      </c>
    </row>
    <row r="13" spans="2:11" x14ac:dyDescent="0.25">
      <c r="B13" s="5" t="s">
        <v>114</v>
      </c>
    </row>
    <row r="14" spans="2:11" x14ac:dyDescent="0.25">
      <c r="B14" s="5" t="s">
        <v>115</v>
      </c>
    </row>
    <row r="15" spans="2:11" x14ac:dyDescent="0.25">
      <c r="B15" s="5" t="s">
        <v>116</v>
      </c>
    </row>
    <row r="16" spans="2:11" x14ac:dyDescent="0.25">
      <c r="B16" s="5" t="s">
        <v>117</v>
      </c>
    </row>
    <row r="19" spans="2:2" x14ac:dyDescent="0.25">
      <c r="B19" s="20"/>
    </row>
    <row r="20" spans="2:2" x14ac:dyDescent="0.25">
      <c r="B20" s="5" t="s">
        <v>118</v>
      </c>
    </row>
    <row r="22" spans="2:2" x14ac:dyDescent="0.25">
      <c r="B22" s="27"/>
    </row>
    <row r="24" spans="2:2" x14ac:dyDescent="0.25">
      <c r="B24" s="20"/>
    </row>
    <row r="25" spans="2:2" x14ac:dyDescent="0.25">
      <c r="B25" s="28"/>
    </row>
  </sheetData>
  <sheetProtection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9">
    <tabColor rgb="FFC00000"/>
    <pageSetUpPr fitToPage="1"/>
  </sheetPr>
  <dimension ref="A1:FU203"/>
  <sheetViews>
    <sheetView showGridLines="0" showRowColHeaders="0" zoomScale="85" zoomScaleNormal="85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A7" sqref="A7"/>
    </sheetView>
  </sheetViews>
  <sheetFormatPr baseColWidth="10" defaultColWidth="3.28515625" defaultRowHeight="12.75" x14ac:dyDescent="0.2"/>
  <cols>
    <col min="1" max="1" width="28.7109375" style="45" customWidth="1"/>
    <col min="2" max="49" width="12.7109375" style="45" customWidth="1"/>
    <col min="50" max="50" width="12.7109375" style="45" customWidth="1" collapsed="1"/>
    <col min="51" max="96" width="12.7109375" style="45" customWidth="1"/>
    <col min="97" max="121" width="12.7109375" style="45" hidden="1" customWidth="1"/>
    <col min="122" max="124" width="3.28515625" style="45" hidden="1" customWidth="1"/>
    <col min="125" max="16384" width="3.28515625" style="45"/>
  </cols>
  <sheetData>
    <row r="1" spans="1:177" ht="30" customHeight="1" x14ac:dyDescent="0.3">
      <c r="A1" s="48" t="str">
        <f>ReportCaption</f>
        <v>Produksjonplan</v>
      </c>
      <c r="K1" s="139" t="s">
        <v>428</v>
      </c>
      <c r="L1" s="137" t="s">
        <v>427</v>
      </c>
      <c r="M1" s="138" t="s">
        <v>429</v>
      </c>
    </row>
    <row r="2" spans="1:177" x14ac:dyDescent="0.2">
      <c r="A2" s="45" t="str">
        <f>"Creation Time: "&amp;PlanTime1</f>
        <v>Creation Time: 11.06.2010 10:58:03</v>
      </c>
      <c r="M2" s="49" t="s">
        <v>313</v>
      </c>
      <c r="N2" s="50">
        <f ca="1">ROUND(WC_Cap!$U$11,3)</f>
        <v>0</v>
      </c>
      <c r="O2" s="51"/>
      <c r="S2" s="45" t="s">
        <v>314</v>
      </c>
    </row>
    <row r="3" spans="1:177" x14ac:dyDescent="0.2">
      <c r="A3" s="45">
        <f>Updated</f>
        <v>0</v>
      </c>
    </row>
    <row r="5" spans="1:177" x14ac:dyDescent="0.2">
      <c r="A5" s="52"/>
      <c r="B5" s="53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5" t="str">
        <f>TEXT(N6,"dd.mm.åååå")</f>
        <v>25.11.2013</v>
      </c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3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5" t="str">
        <f>TEXT(AL6,"dd.mm.åååå")</f>
        <v>26.11.2013</v>
      </c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3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5" t="str">
        <f>TEXT(BJ6,"dd.mm.åååå")</f>
        <v>27.11.2013</v>
      </c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3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5" t="str">
        <f>TEXT(CH6,"dd.mm.åååå")</f>
        <v>28.11.2013</v>
      </c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7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5" t="str">
        <f>TEXT(DI6,"dd.mm.åååå")</f>
        <v>29.11.2013</v>
      </c>
      <c r="DJ5" s="56"/>
      <c r="DK5" s="56"/>
      <c r="DL5" s="56"/>
      <c r="DM5" s="56"/>
      <c r="DN5" s="56"/>
      <c r="DO5" s="56"/>
      <c r="DP5" s="56"/>
      <c r="DQ5" s="56"/>
      <c r="DR5" s="56"/>
      <c r="DS5" s="56"/>
      <c r="DT5" s="56"/>
    </row>
    <row r="6" spans="1:177" s="61" customFormat="1" x14ac:dyDescent="0.2">
      <c r="A6" s="58" t="s">
        <v>172</v>
      </c>
      <c r="B6" s="59">
        <f>CapDate+1/24</f>
        <v>41603.041666666664</v>
      </c>
      <c r="C6" s="60">
        <f>StartTime+1/24</f>
        <v>41603.083333333328</v>
      </c>
      <c r="D6" s="60">
        <f>C6+1/24</f>
        <v>41603.124999999993</v>
      </c>
      <c r="E6" s="60">
        <f t="shared" ref="E6:BP6" si="0">D6+1/24</f>
        <v>41603.166666666657</v>
      </c>
      <c r="F6" s="60">
        <f t="shared" si="0"/>
        <v>41603.208333333321</v>
      </c>
      <c r="G6" s="60">
        <f t="shared" si="0"/>
        <v>41603.249999999985</v>
      </c>
      <c r="H6" s="60">
        <f t="shared" si="0"/>
        <v>41603.29166666665</v>
      </c>
      <c r="I6" s="60">
        <f t="shared" si="0"/>
        <v>41603.333333333314</v>
      </c>
      <c r="J6" s="60">
        <f t="shared" si="0"/>
        <v>41603.374999999978</v>
      </c>
      <c r="K6" s="60">
        <f t="shared" si="0"/>
        <v>41603.416666666642</v>
      </c>
      <c r="L6" s="60">
        <f t="shared" si="0"/>
        <v>41603.458333333307</v>
      </c>
      <c r="M6" s="60">
        <f t="shared" si="0"/>
        <v>41603.499999999971</v>
      </c>
      <c r="N6" s="60">
        <f t="shared" si="0"/>
        <v>41603.541666666635</v>
      </c>
      <c r="O6" s="60">
        <f t="shared" si="0"/>
        <v>41603.583333333299</v>
      </c>
      <c r="P6" s="60">
        <f t="shared" si="0"/>
        <v>41603.624999999964</v>
      </c>
      <c r="Q6" s="60">
        <f t="shared" si="0"/>
        <v>41603.666666666628</v>
      </c>
      <c r="R6" s="60">
        <f t="shared" si="0"/>
        <v>41603.708333333292</v>
      </c>
      <c r="S6" s="60">
        <f t="shared" si="0"/>
        <v>41603.749999999956</v>
      </c>
      <c r="T6" s="60">
        <f t="shared" si="0"/>
        <v>41603.791666666621</v>
      </c>
      <c r="U6" s="60">
        <f t="shared" si="0"/>
        <v>41603.833333333285</v>
      </c>
      <c r="V6" s="60">
        <f t="shared" si="0"/>
        <v>41603.874999999949</v>
      </c>
      <c r="W6" s="60">
        <f t="shared" si="0"/>
        <v>41603.916666666613</v>
      </c>
      <c r="X6" s="60">
        <f t="shared" si="0"/>
        <v>41603.958333333278</v>
      </c>
      <c r="Y6" s="60">
        <f t="shared" si="0"/>
        <v>41603.999999999942</v>
      </c>
      <c r="Z6" s="60">
        <f t="shared" si="0"/>
        <v>41604.041666666606</v>
      </c>
      <c r="AA6" s="60">
        <f t="shared" si="0"/>
        <v>41604.08333333327</v>
      </c>
      <c r="AB6" s="60">
        <f t="shared" si="0"/>
        <v>41604.124999999935</v>
      </c>
      <c r="AC6" s="60">
        <f t="shared" si="0"/>
        <v>41604.166666666599</v>
      </c>
      <c r="AD6" s="60">
        <f t="shared" si="0"/>
        <v>41604.208333333263</v>
      </c>
      <c r="AE6" s="60">
        <f t="shared" si="0"/>
        <v>41604.249999999927</v>
      </c>
      <c r="AF6" s="60">
        <f t="shared" si="0"/>
        <v>41604.291666666591</v>
      </c>
      <c r="AG6" s="60">
        <f t="shared" si="0"/>
        <v>41604.333333333256</v>
      </c>
      <c r="AH6" s="60">
        <f t="shared" si="0"/>
        <v>41604.37499999992</v>
      </c>
      <c r="AI6" s="60">
        <f t="shared" si="0"/>
        <v>41604.416666666584</v>
      </c>
      <c r="AJ6" s="60">
        <f t="shared" si="0"/>
        <v>41604.458333333248</v>
      </c>
      <c r="AK6" s="60">
        <f t="shared" si="0"/>
        <v>41604.499999999913</v>
      </c>
      <c r="AL6" s="60">
        <f t="shared" si="0"/>
        <v>41604.541666666577</v>
      </c>
      <c r="AM6" s="60">
        <f t="shared" si="0"/>
        <v>41604.583333333241</v>
      </c>
      <c r="AN6" s="60">
        <f t="shared" si="0"/>
        <v>41604.624999999905</v>
      </c>
      <c r="AO6" s="60">
        <f t="shared" si="0"/>
        <v>41604.66666666657</v>
      </c>
      <c r="AP6" s="60">
        <f t="shared" si="0"/>
        <v>41604.708333333234</v>
      </c>
      <c r="AQ6" s="60">
        <f t="shared" si="0"/>
        <v>41604.749999999898</v>
      </c>
      <c r="AR6" s="60">
        <f t="shared" si="0"/>
        <v>41604.791666666562</v>
      </c>
      <c r="AS6" s="60">
        <f t="shared" si="0"/>
        <v>41604.833333333227</v>
      </c>
      <c r="AT6" s="60">
        <f t="shared" si="0"/>
        <v>41604.874999999891</v>
      </c>
      <c r="AU6" s="60">
        <f t="shared" si="0"/>
        <v>41604.916666666555</v>
      </c>
      <c r="AV6" s="60">
        <f t="shared" si="0"/>
        <v>41604.958333333219</v>
      </c>
      <c r="AW6" s="60">
        <f t="shared" si="0"/>
        <v>41604.999999999884</v>
      </c>
      <c r="AX6" s="60">
        <f t="shared" si="0"/>
        <v>41605.041666666548</v>
      </c>
      <c r="AY6" s="60">
        <f t="shared" si="0"/>
        <v>41605.083333333212</v>
      </c>
      <c r="AZ6" s="60">
        <f t="shared" si="0"/>
        <v>41605.124999999876</v>
      </c>
      <c r="BA6" s="60">
        <f t="shared" si="0"/>
        <v>41605.166666666541</v>
      </c>
      <c r="BB6" s="60">
        <f t="shared" si="0"/>
        <v>41605.208333333205</v>
      </c>
      <c r="BC6" s="60">
        <f t="shared" si="0"/>
        <v>41605.249999999869</v>
      </c>
      <c r="BD6" s="60">
        <f t="shared" si="0"/>
        <v>41605.291666666533</v>
      </c>
      <c r="BE6" s="60">
        <f t="shared" si="0"/>
        <v>41605.333333333198</v>
      </c>
      <c r="BF6" s="60">
        <f t="shared" si="0"/>
        <v>41605.374999999862</v>
      </c>
      <c r="BG6" s="60">
        <f t="shared" si="0"/>
        <v>41605.416666666526</v>
      </c>
      <c r="BH6" s="60">
        <f t="shared" si="0"/>
        <v>41605.45833333319</v>
      </c>
      <c r="BI6" s="60">
        <f t="shared" si="0"/>
        <v>41605.499999999854</v>
      </c>
      <c r="BJ6" s="60">
        <f t="shared" si="0"/>
        <v>41605.541666666519</v>
      </c>
      <c r="BK6" s="60">
        <f t="shared" si="0"/>
        <v>41605.583333333183</v>
      </c>
      <c r="BL6" s="60">
        <f t="shared" si="0"/>
        <v>41605.624999999847</v>
      </c>
      <c r="BM6" s="60">
        <f t="shared" si="0"/>
        <v>41605.666666666511</v>
      </c>
      <c r="BN6" s="60">
        <f t="shared" si="0"/>
        <v>41605.708333333176</v>
      </c>
      <c r="BO6" s="60">
        <f t="shared" si="0"/>
        <v>41605.74999999984</v>
      </c>
      <c r="BP6" s="60">
        <f t="shared" si="0"/>
        <v>41605.791666666504</v>
      </c>
      <c r="BQ6" s="60">
        <f t="shared" ref="BQ6:DT6" si="1">BP6+1/24</f>
        <v>41605.833333333168</v>
      </c>
      <c r="BR6" s="60">
        <f t="shared" si="1"/>
        <v>41605.874999999833</v>
      </c>
      <c r="BS6" s="60">
        <f t="shared" si="1"/>
        <v>41605.916666666497</v>
      </c>
      <c r="BT6" s="60">
        <f t="shared" si="1"/>
        <v>41605.958333333161</v>
      </c>
      <c r="BU6" s="60">
        <f t="shared" si="1"/>
        <v>41605.999999999825</v>
      </c>
      <c r="BV6" s="60">
        <f t="shared" si="1"/>
        <v>41606.04166666649</v>
      </c>
      <c r="BW6" s="60">
        <f t="shared" si="1"/>
        <v>41606.083333333154</v>
      </c>
      <c r="BX6" s="60">
        <f t="shared" si="1"/>
        <v>41606.124999999818</v>
      </c>
      <c r="BY6" s="60">
        <f t="shared" si="1"/>
        <v>41606.166666666482</v>
      </c>
      <c r="BZ6" s="60">
        <f t="shared" si="1"/>
        <v>41606.208333333147</v>
      </c>
      <c r="CA6" s="60">
        <f t="shared" si="1"/>
        <v>41606.249999999811</v>
      </c>
      <c r="CB6" s="60">
        <f t="shared" si="1"/>
        <v>41606.291666666475</v>
      </c>
      <c r="CC6" s="60">
        <f t="shared" si="1"/>
        <v>41606.333333333139</v>
      </c>
      <c r="CD6" s="60">
        <f t="shared" si="1"/>
        <v>41606.374999999804</v>
      </c>
      <c r="CE6" s="60">
        <f t="shared" si="1"/>
        <v>41606.416666666468</v>
      </c>
      <c r="CF6" s="60">
        <f t="shared" si="1"/>
        <v>41606.458333333132</v>
      </c>
      <c r="CG6" s="60">
        <f t="shared" si="1"/>
        <v>41606.499999999796</v>
      </c>
      <c r="CH6" s="60">
        <f t="shared" si="1"/>
        <v>41606.541666666461</v>
      </c>
      <c r="CI6" s="60">
        <f t="shared" si="1"/>
        <v>41606.583333333125</v>
      </c>
      <c r="CJ6" s="60">
        <f t="shared" si="1"/>
        <v>41606.624999999789</v>
      </c>
      <c r="CK6" s="60">
        <f t="shared" si="1"/>
        <v>41606.666666666453</v>
      </c>
      <c r="CL6" s="60">
        <f t="shared" si="1"/>
        <v>41606.708333333117</v>
      </c>
      <c r="CM6" s="60">
        <f t="shared" si="1"/>
        <v>41606.749999999782</v>
      </c>
      <c r="CN6" s="60">
        <f t="shared" si="1"/>
        <v>41606.791666666446</v>
      </c>
      <c r="CO6" s="60">
        <f t="shared" si="1"/>
        <v>41606.83333333311</v>
      </c>
      <c r="CP6" s="60">
        <f t="shared" si="1"/>
        <v>41606.874999999774</v>
      </c>
      <c r="CQ6" s="60">
        <f t="shared" si="1"/>
        <v>41606.916666666439</v>
      </c>
      <c r="CR6" s="60">
        <f t="shared" si="1"/>
        <v>41606.958333333103</v>
      </c>
      <c r="CS6" s="60">
        <f t="shared" si="1"/>
        <v>41606.999999999767</v>
      </c>
      <c r="CT6" s="60">
        <f t="shared" si="1"/>
        <v>41607.041666666431</v>
      </c>
      <c r="CU6" s="60">
        <f t="shared" si="1"/>
        <v>41607.083333333096</v>
      </c>
      <c r="CV6" s="60">
        <f t="shared" si="1"/>
        <v>41607.12499999976</v>
      </c>
      <c r="CW6" s="60">
        <f t="shared" si="1"/>
        <v>41607.166666666424</v>
      </c>
      <c r="CX6" s="60">
        <f t="shared" si="1"/>
        <v>41607.208333333088</v>
      </c>
      <c r="CY6" s="60">
        <f t="shared" si="1"/>
        <v>41607.249999999753</v>
      </c>
      <c r="CZ6" s="60">
        <f t="shared" si="1"/>
        <v>41607.291666666417</v>
      </c>
      <c r="DA6" s="60">
        <f t="shared" si="1"/>
        <v>41607.333333333081</v>
      </c>
      <c r="DB6" s="60">
        <f t="shared" si="1"/>
        <v>41607.374999999745</v>
      </c>
      <c r="DC6" s="60">
        <f t="shared" si="1"/>
        <v>41607.41666666641</v>
      </c>
      <c r="DD6" s="60">
        <f t="shared" si="1"/>
        <v>41607.458333333074</v>
      </c>
      <c r="DE6" s="60">
        <f t="shared" si="1"/>
        <v>41607.499999999738</v>
      </c>
      <c r="DF6" s="60">
        <f t="shared" si="1"/>
        <v>41607.541666666402</v>
      </c>
      <c r="DG6" s="60">
        <f t="shared" si="1"/>
        <v>41607.583333333067</v>
      </c>
      <c r="DH6" s="60">
        <f t="shared" si="1"/>
        <v>41607.624999999731</v>
      </c>
      <c r="DI6" s="60">
        <f t="shared" si="1"/>
        <v>41607.666666666395</v>
      </c>
      <c r="DJ6" s="60">
        <f t="shared" si="1"/>
        <v>41607.708333333059</v>
      </c>
      <c r="DK6" s="60">
        <f t="shared" si="1"/>
        <v>41607.749999999724</v>
      </c>
      <c r="DL6" s="60">
        <f t="shared" si="1"/>
        <v>41607.791666666388</v>
      </c>
      <c r="DM6" s="60">
        <f t="shared" si="1"/>
        <v>41607.833333333052</v>
      </c>
      <c r="DN6" s="60">
        <f t="shared" si="1"/>
        <v>41607.874999999716</v>
      </c>
      <c r="DO6" s="60">
        <f t="shared" si="1"/>
        <v>41607.91666666638</v>
      </c>
      <c r="DP6" s="60">
        <f t="shared" si="1"/>
        <v>41607.958333333045</v>
      </c>
      <c r="DQ6" s="60">
        <f t="shared" si="1"/>
        <v>41607.999999999709</v>
      </c>
      <c r="DR6" s="60">
        <f t="shared" si="1"/>
        <v>41608.041666666373</v>
      </c>
      <c r="DS6" s="60">
        <f t="shared" si="1"/>
        <v>41608.083333333037</v>
      </c>
      <c r="DT6" s="60">
        <f t="shared" si="1"/>
        <v>41608.124999999702</v>
      </c>
      <c r="DU6" s="45"/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45"/>
      <c r="EZ6" s="45"/>
      <c r="FA6" s="45"/>
      <c r="FB6" s="45"/>
      <c r="FC6" s="45"/>
      <c r="FD6" s="45"/>
      <c r="FE6" s="45"/>
      <c r="FF6" s="45"/>
      <c r="FG6" s="45"/>
      <c r="FH6" s="45"/>
      <c r="FI6" s="45"/>
      <c r="FJ6" s="45"/>
      <c r="FK6" s="45"/>
      <c r="FL6" s="45"/>
      <c r="FM6" s="45"/>
      <c r="FN6" s="45"/>
      <c r="FO6" s="45"/>
      <c r="FP6" s="45"/>
      <c r="FQ6" s="45"/>
      <c r="FR6" s="45"/>
      <c r="FS6" s="45"/>
      <c r="FT6" s="45"/>
      <c r="FU6" s="45"/>
    </row>
    <row r="7" spans="1:177" ht="43.15" customHeight="1" x14ac:dyDescent="0.2"/>
    <row r="8" spans="1:177" ht="43.15" customHeight="1" x14ac:dyDescent="0.2"/>
    <row r="9" spans="1:177" ht="43.15" customHeight="1" x14ac:dyDescent="0.2"/>
    <row r="10" spans="1:177" ht="43.15" customHeight="1" x14ac:dyDescent="0.2"/>
    <row r="11" spans="1:177" ht="43.15" customHeight="1" x14ac:dyDescent="0.2"/>
    <row r="12" spans="1:177" ht="43.15" customHeight="1" x14ac:dyDescent="0.2"/>
    <row r="13" spans="1:177" ht="43.15" customHeight="1" x14ac:dyDescent="0.2"/>
    <row r="14" spans="1:177" ht="43.15" customHeight="1" x14ac:dyDescent="0.2"/>
    <row r="15" spans="1:177" ht="43.15" customHeight="1" x14ac:dyDescent="0.2"/>
    <row r="16" spans="1:177" ht="43.15" customHeight="1" x14ac:dyDescent="0.2"/>
    <row r="17" ht="43.15" customHeight="1" x14ac:dyDescent="0.2"/>
    <row r="18" ht="43.15" customHeight="1" x14ac:dyDescent="0.2"/>
    <row r="19" ht="43.15" customHeight="1" x14ac:dyDescent="0.2"/>
    <row r="20" ht="43.15" customHeight="1" x14ac:dyDescent="0.2"/>
    <row r="21" ht="43.15" customHeight="1" x14ac:dyDescent="0.2"/>
    <row r="22" ht="43.15" customHeight="1" x14ac:dyDescent="0.2"/>
    <row r="23" ht="43.15" customHeight="1" x14ac:dyDescent="0.2"/>
    <row r="24" ht="43.15" customHeight="1" x14ac:dyDescent="0.2"/>
    <row r="25" ht="43.15" customHeight="1" x14ac:dyDescent="0.2"/>
    <row r="26" ht="43.15" customHeight="1" x14ac:dyDescent="0.2"/>
    <row r="27" ht="43.1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spans="1:1" ht="12.75" customHeight="1" x14ac:dyDescent="0.2"/>
    <row r="98" spans="1:1" ht="12.75" customHeight="1" x14ac:dyDescent="0.2"/>
    <row r="99" spans="1:1" ht="12.75" customHeight="1" x14ac:dyDescent="0.2"/>
    <row r="100" spans="1:1" ht="12.75" customHeight="1" x14ac:dyDescent="0.2"/>
    <row r="101" spans="1:1" x14ac:dyDescent="0.2">
      <c r="A101" s="62"/>
    </row>
    <row r="102" spans="1:1" x14ac:dyDescent="0.2">
      <c r="A102" s="62"/>
    </row>
    <row r="103" spans="1:1" x14ac:dyDescent="0.2">
      <c r="A103" s="62"/>
    </row>
    <row r="104" spans="1:1" x14ac:dyDescent="0.2">
      <c r="A104" s="62"/>
    </row>
    <row r="105" spans="1:1" x14ac:dyDescent="0.2">
      <c r="A105" s="62"/>
    </row>
    <row r="106" spans="1:1" x14ac:dyDescent="0.2">
      <c r="A106" s="62"/>
    </row>
    <row r="107" spans="1:1" x14ac:dyDescent="0.2">
      <c r="A107" s="62"/>
    </row>
    <row r="108" spans="1:1" x14ac:dyDescent="0.2">
      <c r="A108" s="62"/>
    </row>
    <row r="109" spans="1:1" x14ac:dyDescent="0.2">
      <c r="A109" s="62"/>
    </row>
    <row r="110" spans="1:1" x14ac:dyDescent="0.2">
      <c r="A110" s="62"/>
    </row>
    <row r="111" spans="1:1" x14ac:dyDescent="0.2">
      <c r="A111" s="62"/>
    </row>
    <row r="112" spans="1:1" x14ac:dyDescent="0.2">
      <c r="A112" s="62"/>
    </row>
    <row r="113" spans="1:1" x14ac:dyDescent="0.2">
      <c r="A113" s="62"/>
    </row>
    <row r="114" spans="1:1" x14ac:dyDescent="0.2">
      <c r="A114" s="62"/>
    </row>
    <row r="115" spans="1:1" x14ac:dyDescent="0.2">
      <c r="A115" s="62"/>
    </row>
    <row r="116" spans="1:1" x14ac:dyDescent="0.2">
      <c r="A116" s="62"/>
    </row>
    <row r="117" spans="1:1" x14ac:dyDescent="0.2">
      <c r="A117" s="62"/>
    </row>
    <row r="118" spans="1:1" x14ac:dyDescent="0.2">
      <c r="A118" s="62"/>
    </row>
    <row r="119" spans="1:1" x14ac:dyDescent="0.2">
      <c r="A119" s="62"/>
    </row>
    <row r="120" spans="1:1" x14ac:dyDescent="0.2">
      <c r="A120" s="62"/>
    </row>
    <row r="121" spans="1:1" x14ac:dyDescent="0.2">
      <c r="A121" s="62"/>
    </row>
    <row r="122" spans="1:1" x14ac:dyDescent="0.2">
      <c r="A122" s="62"/>
    </row>
    <row r="123" spans="1:1" x14ac:dyDescent="0.2">
      <c r="A123" s="62"/>
    </row>
    <row r="124" spans="1:1" x14ac:dyDescent="0.2">
      <c r="A124" s="62"/>
    </row>
    <row r="125" spans="1:1" x14ac:dyDescent="0.2">
      <c r="A125" s="62"/>
    </row>
    <row r="126" spans="1:1" x14ac:dyDescent="0.2">
      <c r="A126" s="62"/>
    </row>
    <row r="127" spans="1:1" x14ac:dyDescent="0.2">
      <c r="A127" s="62"/>
    </row>
    <row r="128" spans="1:1" x14ac:dyDescent="0.2">
      <c r="A128" s="62"/>
    </row>
    <row r="129" spans="1:1" x14ac:dyDescent="0.2">
      <c r="A129" s="62"/>
    </row>
    <row r="130" spans="1:1" x14ac:dyDescent="0.2">
      <c r="A130" s="62"/>
    </row>
    <row r="131" spans="1:1" x14ac:dyDescent="0.2">
      <c r="A131" s="62"/>
    </row>
    <row r="132" spans="1:1" x14ac:dyDescent="0.2">
      <c r="A132" s="62"/>
    </row>
    <row r="133" spans="1:1" x14ac:dyDescent="0.2">
      <c r="A133" s="62"/>
    </row>
    <row r="134" spans="1:1" x14ac:dyDescent="0.2">
      <c r="A134" s="62"/>
    </row>
    <row r="135" spans="1:1" x14ac:dyDescent="0.2">
      <c r="A135" s="62"/>
    </row>
    <row r="136" spans="1:1" x14ac:dyDescent="0.2">
      <c r="A136" s="62"/>
    </row>
    <row r="137" spans="1:1" x14ac:dyDescent="0.2">
      <c r="A137" s="62"/>
    </row>
    <row r="138" spans="1:1" x14ac:dyDescent="0.2">
      <c r="A138" s="62"/>
    </row>
    <row r="139" spans="1:1" x14ac:dyDescent="0.2">
      <c r="A139" s="62"/>
    </row>
    <row r="140" spans="1:1" x14ac:dyDescent="0.2">
      <c r="A140" s="62"/>
    </row>
    <row r="141" spans="1:1" x14ac:dyDescent="0.2">
      <c r="A141" s="62"/>
    </row>
    <row r="142" spans="1:1" x14ac:dyDescent="0.2">
      <c r="A142" s="62"/>
    </row>
    <row r="143" spans="1:1" x14ac:dyDescent="0.2">
      <c r="A143" s="62"/>
    </row>
    <row r="144" spans="1:1" x14ac:dyDescent="0.2">
      <c r="A144" s="62"/>
    </row>
    <row r="145" spans="1:1" x14ac:dyDescent="0.2">
      <c r="A145" s="62"/>
    </row>
    <row r="146" spans="1:1" x14ac:dyDescent="0.2">
      <c r="A146" s="62"/>
    </row>
    <row r="147" spans="1:1" x14ac:dyDescent="0.2">
      <c r="A147" s="62"/>
    </row>
    <row r="148" spans="1:1" x14ac:dyDescent="0.2">
      <c r="A148" s="62"/>
    </row>
    <row r="149" spans="1:1" x14ac:dyDescent="0.2">
      <c r="A149" s="62"/>
    </row>
    <row r="150" spans="1:1" x14ac:dyDescent="0.2">
      <c r="A150" s="62"/>
    </row>
    <row r="151" spans="1:1" x14ac:dyDescent="0.2">
      <c r="A151" s="62"/>
    </row>
    <row r="152" spans="1:1" x14ac:dyDescent="0.2">
      <c r="A152" s="62"/>
    </row>
    <row r="153" spans="1:1" x14ac:dyDescent="0.2">
      <c r="A153" s="62"/>
    </row>
    <row r="154" spans="1:1" x14ac:dyDescent="0.2">
      <c r="A154" s="62"/>
    </row>
    <row r="155" spans="1:1" x14ac:dyDescent="0.2">
      <c r="A155" s="62"/>
    </row>
    <row r="156" spans="1:1" x14ac:dyDescent="0.2">
      <c r="A156" s="62"/>
    </row>
    <row r="157" spans="1:1" x14ac:dyDescent="0.2">
      <c r="A157" s="62"/>
    </row>
    <row r="158" spans="1:1" x14ac:dyDescent="0.2">
      <c r="A158" s="62"/>
    </row>
    <row r="159" spans="1:1" x14ac:dyDescent="0.2">
      <c r="A159" s="62"/>
    </row>
    <row r="160" spans="1:1" x14ac:dyDescent="0.2">
      <c r="A160" s="62"/>
    </row>
    <row r="161" spans="1:1" x14ac:dyDescent="0.2">
      <c r="A161" s="62"/>
    </row>
    <row r="162" spans="1:1" x14ac:dyDescent="0.2">
      <c r="A162" s="62"/>
    </row>
    <row r="163" spans="1:1" x14ac:dyDescent="0.2">
      <c r="A163" s="62"/>
    </row>
    <row r="164" spans="1:1" x14ac:dyDescent="0.2">
      <c r="A164" s="62"/>
    </row>
    <row r="165" spans="1:1" x14ac:dyDescent="0.2">
      <c r="A165" s="62"/>
    </row>
    <row r="166" spans="1:1" x14ac:dyDescent="0.2">
      <c r="A166" s="62"/>
    </row>
    <row r="167" spans="1:1" x14ac:dyDescent="0.2">
      <c r="A167" s="62"/>
    </row>
    <row r="168" spans="1:1" x14ac:dyDescent="0.2">
      <c r="A168" s="62"/>
    </row>
    <row r="169" spans="1:1" x14ac:dyDescent="0.2">
      <c r="A169" s="62"/>
    </row>
    <row r="170" spans="1:1" x14ac:dyDescent="0.2">
      <c r="A170" s="62"/>
    </row>
    <row r="171" spans="1:1" x14ac:dyDescent="0.2">
      <c r="A171" s="62"/>
    </row>
    <row r="172" spans="1:1" x14ac:dyDescent="0.2">
      <c r="A172" s="62"/>
    </row>
    <row r="173" spans="1:1" x14ac:dyDescent="0.2">
      <c r="A173" s="62"/>
    </row>
    <row r="174" spans="1:1" x14ac:dyDescent="0.2">
      <c r="A174" s="62"/>
    </row>
    <row r="175" spans="1:1" x14ac:dyDescent="0.2">
      <c r="A175" s="62"/>
    </row>
    <row r="176" spans="1:1" x14ac:dyDescent="0.2">
      <c r="A176" s="62"/>
    </row>
    <row r="177" spans="1:1" x14ac:dyDescent="0.2">
      <c r="A177" s="62"/>
    </row>
    <row r="178" spans="1:1" x14ac:dyDescent="0.2">
      <c r="A178" s="62"/>
    </row>
    <row r="179" spans="1:1" x14ac:dyDescent="0.2">
      <c r="A179" s="62"/>
    </row>
    <row r="180" spans="1:1" x14ac:dyDescent="0.2">
      <c r="A180" s="62"/>
    </row>
    <row r="181" spans="1:1" x14ac:dyDescent="0.2">
      <c r="A181" s="62"/>
    </row>
    <row r="182" spans="1:1" x14ac:dyDescent="0.2">
      <c r="A182" s="62"/>
    </row>
    <row r="183" spans="1:1" x14ac:dyDescent="0.2">
      <c r="A183" s="62"/>
    </row>
    <row r="184" spans="1:1" x14ac:dyDescent="0.2">
      <c r="A184" s="62"/>
    </row>
    <row r="185" spans="1:1" x14ac:dyDescent="0.2">
      <c r="A185" s="62"/>
    </row>
    <row r="186" spans="1:1" x14ac:dyDescent="0.2">
      <c r="A186" s="62"/>
    </row>
    <row r="187" spans="1:1" x14ac:dyDescent="0.2">
      <c r="A187" s="62"/>
    </row>
    <row r="188" spans="1:1" x14ac:dyDescent="0.2">
      <c r="A188" s="62"/>
    </row>
    <row r="189" spans="1:1" x14ac:dyDescent="0.2">
      <c r="A189" s="62"/>
    </row>
    <row r="190" spans="1:1" x14ac:dyDescent="0.2">
      <c r="A190" s="62"/>
    </row>
    <row r="191" spans="1:1" x14ac:dyDescent="0.2">
      <c r="A191" s="62"/>
    </row>
    <row r="192" spans="1:1" x14ac:dyDescent="0.2">
      <c r="A192" s="62"/>
    </row>
    <row r="193" spans="1:1" x14ac:dyDescent="0.2">
      <c r="A193" s="62"/>
    </row>
    <row r="194" spans="1:1" x14ac:dyDescent="0.2">
      <c r="A194" s="62"/>
    </row>
    <row r="195" spans="1:1" x14ac:dyDescent="0.2">
      <c r="A195" s="62"/>
    </row>
    <row r="196" spans="1:1" x14ac:dyDescent="0.2">
      <c r="A196" s="62"/>
    </row>
    <row r="197" spans="1:1" x14ac:dyDescent="0.2">
      <c r="A197" s="62"/>
    </row>
    <row r="198" spans="1:1" x14ac:dyDescent="0.2">
      <c r="A198" s="62"/>
    </row>
    <row r="199" spans="1:1" x14ac:dyDescent="0.2">
      <c r="A199" s="62"/>
    </row>
    <row r="200" spans="1:1" x14ac:dyDescent="0.2">
      <c r="A200" s="62"/>
    </row>
    <row r="201" spans="1:1" x14ac:dyDescent="0.2">
      <c r="A201" s="62"/>
    </row>
    <row r="202" spans="1:1" x14ac:dyDescent="0.2">
      <c r="A202" s="62"/>
    </row>
    <row r="203" spans="1:1" x14ac:dyDescent="0.2">
      <c r="A203" s="62"/>
    </row>
  </sheetData>
  <sheetProtection pivotTables="0"/>
  <conditionalFormatting sqref="N2">
    <cfRule type="cellIs" dxfId="31" priority="1" stopIfTrue="1" operator="greaterThan">
      <formula>-0.0005</formula>
    </cfRule>
    <cfRule type="cellIs" dxfId="30" priority="2" stopIfTrue="1" operator="lessThan">
      <formula>-0.0005</formula>
    </cfRule>
  </conditionalFormatting>
  <pageMargins left="0.36" right="0.42" top="0.38" bottom="0.45" header="0.26" footer="0.2"/>
  <pageSetup paperSize="8" scale="16" orientation="landscape" verticalDpi="1200" r:id="rId1"/>
  <headerFooter alignWithMargins="0">
    <oddFooter xml:space="preserve">&amp;LPrinting date: &amp;D&amp;CPage &amp;P / &amp;N&amp;R&amp;F - &amp;A 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5">
    <tabColor rgb="FFC00000"/>
  </sheetPr>
  <dimension ref="A1:L205"/>
  <sheetViews>
    <sheetView showGridLines="0" zoomScale="85" workbookViewId="0">
      <pane ySplit="11" topLeftCell="A12" activePane="bottomLeft" state="frozen"/>
      <selection activeCell="A2" sqref="A2"/>
      <selection pane="bottomLeft" activeCell="A12" sqref="A12"/>
    </sheetView>
  </sheetViews>
  <sheetFormatPr baseColWidth="10" defaultColWidth="11.42578125" defaultRowHeight="12.75" x14ac:dyDescent="0.2"/>
  <cols>
    <col min="1" max="1" width="24" style="45" customWidth="1"/>
    <col min="2" max="2" width="8.28515625" style="45" customWidth="1"/>
    <col min="3" max="3" width="45.7109375" style="45" customWidth="1"/>
    <col min="4" max="4" width="10.28515625" style="45" customWidth="1"/>
    <col min="5" max="5" width="13.7109375" style="45" customWidth="1"/>
    <col min="6" max="6" width="12.7109375" style="63" customWidth="1"/>
    <col min="7" max="9" width="10.7109375" style="45" customWidth="1"/>
    <col min="10" max="10" width="9.5703125" style="45" customWidth="1"/>
    <col min="11" max="11" width="11.7109375" style="45" customWidth="1"/>
    <col min="12" max="18" width="10.42578125" style="45" customWidth="1"/>
    <col min="19" max="20" width="10.5703125" style="45" customWidth="1"/>
    <col min="21" max="21" width="10.28515625" style="45" customWidth="1"/>
    <col min="22" max="25" width="12.7109375" style="45" bestFit="1" customWidth="1"/>
    <col min="26" max="26" width="16" style="45" bestFit="1" customWidth="1"/>
    <col min="27" max="50" width="10.28515625" style="45" customWidth="1"/>
    <col min="51" max="51" width="16" style="45" bestFit="1" customWidth="1"/>
    <col min="52" max="62" width="10.28515625" style="45" customWidth="1"/>
    <col min="63" max="63" width="16" style="45" bestFit="1" customWidth="1"/>
    <col min="64" max="64" width="10.28515625" style="45" customWidth="1"/>
    <col min="65" max="65" width="16" style="45" bestFit="1" customWidth="1"/>
    <col min="66" max="66" width="10.28515625" style="45" customWidth="1"/>
    <col min="67" max="67" width="16" style="45" bestFit="1" customWidth="1"/>
    <col min="68" max="68" width="10.28515625" style="45" customWidth="1"/>
    <col min="69" max="69" width="16" style="45" bestFit="1" customWidth="1"/>
    <col min="70" max="16384" width="11.42578125" style="45"/>
  </cols>
  <sheetData>
    <row r="1" spans="1:12" ht="30" customHeight="1" x14ac:dyDescent="0.3">
      <c r="A1" s="48"/>
    </row>
    <row r="2" spans="1:12" x14ac:dyDescent="0.2">
      <c r="A2" s="45">
        <f>Updated</f>
        <v>0</v>
      </c>
    </row>
    <row r="8" spans="1:12" ht="15" x14ac:dyDescent="0.25">
      <c r="A8" s="110" t="s">
        <v>156</v>
      </c>
      <c r="B8" s="111" t="s">
        <v>106</v>
      </c>
      <c r="J8" s="172" t="s">
        <v>423</v>
      </c>
      <c r="K8" s="172"/>
      <c r="L8" s="172"/>
    </row>
    <row r="10" spans="1:12" ht="15" x14ac:dyDescent="0.25">
      <c r="A10" s="66" t="s">
        <v>316</v>
      </c>
      <c r="B10" s="66"/>
      <c r="C10" s="66"/>
      <c r="D10" s="66"/>
      <c r="E10" s="66"/>
      <c r="F10" s="66"/>
      <c r="G10" s="66"/>
      <c r="H10" s="66"/>
      <c r="I10" s="66"/>
      <c r="J10" s="66"/>
      <c r="K10" s="66" t="s">
        <v>167</v>
      </c>
    </row>
    <row r="11" spans="1:12" ht="15" x14ac:dyDescent="0.25">
      <c r="A11" s="1" t="s">
        <v>172</v>
      </c>
      <c r="B11" s="115" t="s">
        <v>166</v>
      </c>
      <c r="C11" s="115" t="s">
        <v>0</v>
      </c>
      <c r="D11" s="115" t="s">
        <v>119</v>
      </c>
      <c r="E11" s="115" t="s">
        <v>191</v>
      </c>
      <c r="F11" s="115" t="s">
        <v>192</v>
      </c>
      <c r="G11" s="123" t="s">
        <v>162</v>
      </c>
      <c r="H11" s="115" t="s">
        <v>168</v>
      </c>
      <c r="I11" s="115" t="s">
        <v>188</v>
      </c>
      <c r="J11" s="115" t="s">
        <v>184</v>
      </c>
      <c r="K11" s="118">
        <v>41233</v>
      </c>
    </row>
    <row r="12" spans="1:12" ht="15" x14ac:dyDescent="0.25">
      <c r="A12" s="14" t="s">
        <v>422</v>
      </c>
      <c r="B12" s="116">
        <v>1</v>
      </c>
      <c r="C12" s="112" t="s">
        <v>421</v>
      </c>
      <c r="D12" s="116">
        <v>1216279</v>
      </c>
      <c r="E12" s="113">
        <v>42086</v>
      </c>
      <c r="F12" s="117">
        <v>0.62567129629629636</v>
      </c>
      <c r="G12" s="114">
        <v>0</v>
      </c>
      <c r="H12" s="117">
        <v>0.929224537037037</v>
      </c>
      <c r="I12" s="124" t="s">
        <v>41</v>
      </c>
      <c r="J12" s="112"/>
      <c r="K12" s="119">
        <v>23</v>
      </c>
    </row>
    <row r="13" spans="1:12" ht="15" x14ac:dyDescent="0.25">
      <c r="A13" s="120"/>
      <c r="B13" s="121"/>
      <c r="C13" s="121"/>
      <c r="D13" s="121"/>
      <c r="E13" s="121"/>
      <c r="F13" s="121"/>
      <c r="G13" s="121"/>
      <c r="H13" s="121"/>
      <c r="I13" s="121"/>
      <c r="J13" s="121"/>
      <c r="K13" s="122"/>
    </row>
    <row r="14" spans="1:12" ht="15" x14ac:dyDescent="0.25">
      <c r="A14"/>
      <c r="B14"/>
      <c r="C14"/>
      <c r="D14"/>
      <c r="E14"/>
      <c r="F14"/>
      <c r="G14"/>
      <c r="H14"/>
      <c r="I14"/>
      <c r="J14"/>
      <c r="K14"/>
    </row>
    <row r="15" spans="1:12" ht="15" x14ac:dyDescent="0.25">
      <c r="A15"/>
      <c r="B15"/>
      <c r="C15"/>
      <c r="D15"/>
      <c r="E15"/>
      <c r="F15"/>
      <c r="G15"/>
      <c r="H15"/>
      <c r="I15"/>
      <c r="J15"/>
      <c r="K15"/>
    </row>
    <row r="16" spans="1:12" x14ac:dyDescent="0.2">
      <c r="F16" s="45"/>
    </row>
    <row r="17" spans="6:6" x14ac:dyDescent="0.2">
      <c r="F17" s="45"/>
    </row>
    <row r="18" spans="6:6" x14ac:dyDescent="0.2">
      <c r="F18" s="45"/>
    </row>
    <row r="19" spans="6:6" x14ac:dyDescent="0.2">
      <c r="F19" s="45"/>
    </row>
    <row r="20" spans="6:6" x14ac:dyDescent="0.2">
      <c r="F20" s="45"/>
    </row>
    <row r="21" spans="6:6" x14ac:dyDescent="0.2">
      <c r="F21" s="45"/>
    </row>
    <row r="22" spans="6:6" x14ac:dyDescent="0.2">
      <c r="F22" s="45"/>
    </row>
    <row r="23" spans="6:6" x14ac:dyDescent="0.2">
      <c r="F23" s="45"/>
    </row>
    <row r="24" spans="6:6" x14ac:dyDescent="0.2">
      <c r="F24" s="45"/>
    </row>
    <row r="25" spans="6:6" x14ac:dyDescent="0.2">
      <c r="F25" s="45"/>
    </row>
    <row r="26" spans="6:6" x14ac:dyDescent="0.2">
      <c r="F26" s="45"/>
    </row>
    <row r="27" spans="6:6" x14ac:dyDescent="0.2">
      <c r="F27" s="45"/>
    </row>
    <row r="28" spans="6:6" x14ac:dyDescent="0.2">
      <c r="F28" s="45"/>
    </row>
    <row r="29" spans="6:6" x14ac:dyDescent="0.2">
      <c r="F29" s="45"/>
    </row>
    <row r="30" spans="6:6" x14ac:dyDescent="0.2">
      <c r="F30" s="45"/>
    </row>
    <row r="31" spans="6:6" x14ac:dyDescent="0.2">
      <c r="F31" s="45"/>
    </row>
    <row r="32" spans="6:6" x14ac:dyDescent="0.2">
      <c r="F32" s="45"/>
    </row>
    <row r="33" spans="6:6" x14ac:dyDescent="0.2">
      <c r="F33" s="45"/>
    </row>
    <row r="34" spans="6:6" x14ac:dyDescent="0.2">
      <c r="F34" s="45"/>
    </row>
    <row r="35" spans="6:6" x14ac:dyDescent="0.2">
      <c r="F35" s="45"/>
    </row>
    <row r="36" spans="6:6" x14ac:dyDescent="0.2">
      <c r="F36" s="45"/>
    </row>
    <row r="37" spans="6:6" x14ac:dyDescent="0.2">
      <c r="F37" s="45"/>
    </row>
    <row r="38" spans="6:6" x14ac:dyDescent="0.2">
      <c r="F38" s="45"/>
    </row>
    <row r="39" spans="6:6" x14ac:dyDescent="0.2">
      <c r="F39" s="45"/>
    </row>
    <row r="40" spans="6:6" x14ac:dyDescent="0.2">
      <c r="F40" s="45"/>
    </row>
    <row r="41" spans="6:6" x14ac:dyDescent="0.2">
      <c r="F41" s="45"/>
    </row>
    <row r="42" spans="6:6" x14ac:dyDescent="0.2">
      <c r="F42" s="45"/>
    </row>
    <row r="43" spans="6:6" x14ac:dyDescent="0.2">
      <c r="F43" s="45"/>
    </row>
    <row r="44" spans="6:6" x14ac:dyDescent="0.2">
      <c r="F44" s="45"/>
    </row>
    <row r="45" spans="6:6" x14ac:dyDescent="0.2">
      <c r="F45" s="45"/>
    </row>
    <row r="46" spans="6:6" x14ac:dyDescent="0.2">
      <c r="F46" s="45"/>
    </row>
    <row r="47" spans="6:6" x14ac:dyDescent="0.2">
      <c r="F47" s="45"/>
    </row>
    <row r="48" spans="6:6" x14ac:dyDescent="0.2">
      <c r="F48" s="45"/>
    </row>
    <row r="49" spans="6:6" x14ac:dyDescent="0.2">
      <c r="F49" s="45"/>
    </row>
    <row r="50" spans="6:6" x14ac:dyDescent="0.2">
      <c r="F50" s="45"/>
    </row>
    <row r="51" spans="6:6" x14ac:dyDescent="0.2">
      <c r="F51" s="45"/>
    </row>
    <row r="52" spans="6:6" x14ac:dyDescent="0.2">
      <c r="F52" s="45"/>
    </row>
    <row r="53" spans="6:6" x14ac:dyDescent="0.2">
      <c r="F53" s="45"/>
    </row>
    <row r="54" spans="6:6" x14ac:dyDescent="0.2">
      <c r="F54" s="45"/>
    </row>
    <row r="55" spans="6:6" x14ac:dyDescent="0.2">
      <c r="F55" s="45"/>
    </row>
    <row r="56" spans="6:6" x14ac:dyDescent="0.2">
      <c r="F56" s="45"/>
    </row>
    <row r="57" spans="6:6" x14ac:dyDescent="0.2">
      <c r="F57" s="45"/>
    </row>
    <row r="58" spans="6:6" x14ac:dyDescent="0.2">
      <c r="F58" s="45"/>
    </row>
    <row r="59" spans="6:6" x14ac:dyDescent="0.2">
      <c r="F59" s="45"/>
    </row>
    <row r="60" spans="6:6" x14ac:dyDescent="0.2">
      <c r="F60" s="45"/>
    </row>
    <row r="61" spans="6:6" x14ac:dyDescent="0.2">
      <c r="F61" s="45"/>
    </row>
    <row r="62" spans="6:6" x14ac:dyDescent="0.2">
      <c r="F62" s="45"/>
    </row>
    <row r="63" spans="6:6" x14ac:dyDescent="0.2">
      <c r="F63" s="45"/>
    </row>
    <row r="64" spans="6:6" x14ac:dyDescent="0.2">
      <c r="F64" s="45"/>
    </row>
    <row r="65" spans="6:6" x14ac:dyDescent="0.2">
      <c r="F65" s="45"/>
    </row>
    <row r="66" spans="6:6" x14ac:dyDescent="0.2">
      <c r="F66" s="45"/>
    </row>
    <row r="67" spans="6:6" x14ac:dyDescent="0.2">
      <c r="F67" s="45"/>
    </row>
    <row r="68" spans="6:6" x14ac:dyDescent="0.2">
      <c r="F68" s="45"/>
    </row>
    <row r="69" spans="6:6" x14ac:dyDescent="0.2">
      <c r="F69" s="45"/>
    </row>
    <row r="70" spans="6:6" x14ac:dyDescent="0.2">
      <c r="F70" s="45"/>
    </row>
    <row r="71" spans="6:6" x14ac:dyDescent="0.2">
      <c r="F71" s="45"/>
    </row>
    <row r="72" spans="6:6" x14ac:dyDescent="0.2">
      <c r="F72" s="45"/>
    </row>
    <row r="73" spans="6:6" x14ac:dyDescent="0.2">
      <c r="F73" s="45"/>
    </row>
    <row r="74" spans="6:6" x14ac:dyDescent="0.2">
      <c r="F74" s="45"/>
    </row>
    <row r="75" spans="6:6" x14ac:dyDescent="0.2">
      <c r="F75" s="45"/>
    </row>
    <row r="76" spans="6:6" x14ac:dyDescent="0.2">
      <c r="F76" s="45"/>
    </row>
    <row r="77" spans="6:6" x14ac:dyDescent="0.2">
      <c r="F77" s="45"/>
    </row>
    <row r="78" spans="6:6" x14ac:dyDescent="0.2">
      <c r="F78" s="45"/>
    </row>
    <row r="79" spans="6:6" x14ac:dyDescent="0.2">
      <c r="F79" s="45"/>
    </row>
    <row r="80" spans="6:6" x14ac:dyDescent="0.2">
      <c r="F80" s="45"/>
    </row>
    <row r="81" spans="6:6" x14ac:dyDescent="0.2">
      <c r="F81" s="45"/>
    </row>
    <row r="82" spans="6:6" x14ac:dyDescent="0.2">
      <c r="F82" s="45"/>
    </row>
    <row r="83" spans="6:6" x14ac:dyDescent="0.2">
      <c r="F83" s="45"/>
    </row>
    <row r="84" spans="6:6" x14ac:dyDescent="0.2">
      <c r="F84" s="45"/>
    </row>
    <row r="85" spans="6:6" x14ac:dyDescent="0.2">
      <c r="F85" s="45"/>
    </row>
    <row r="86" spans="6:6" x14ac:dyDescent="0.2">
      <c r="F86" s="45"/>
    </row>
    <row r="87" spans="6:6" x14ac:dyDescent="0.2">
      <c r="F87" s="45"/>
    </row>
    <row r="88" spans="6:6" x14ac:dyDescent="0.2">
      <c r="F88" s="45"/>
    </row>
    <row r="89" spans="6:6" x14ac:dyDescent="0.2">
      <c r="F89" s="45"/>
    </row>
    <row r="90" spans="6:6" x14ac:dyDescent="0.2">
      <c r="F90" s="45"/>
    </row>
    <row r="91" spans="6:6" x14ac:dyDescent="0.2">
      <c r="F91" s="45"/>
    </row>
    <row r="92" spans="6:6" x14ac:dyDescent="0.2">
      <c r="F92" s="45"/>
    </row>
    <row r="93" spans="6:6" x14ac:dyDescent="0.2">
      <c r="F93" s="45"/>
    </row>
    <row r="94" spans="6:6" x14ac:dyDescent="0.2">
      <c r="F94" s="45"/>
    </row>
    <row r="95" spans="6:6" x14ac:dyDescent="0.2">
      <c r="F95" s="45"/>
    </row>
    <row r="96" spans="6:6" x14ac:dyDescent="0.2">
      <c r="F96" s="45"/>
    </row>
    <row r="97" spans="6:6" x14ac:dyDescent="0.2">
      <c r="F97" s="45"/>
    </row>
    <row r="98" spans="6:6" x14ac:dyDescent="0.2">
      <c r="F98" s="45"/>
    </row>
    <row r="99" spans="6:6" x14ac:dyDescent="0.2">
      <c r="F99" s="45"/>
    </row>
    <row r="100" spans="6:6" x14ac:dyDescent="0.2">
      <c r="F100" s="45"/>
    </row>
    <row r="101" spans="6:6" x14ac:dyDescent="0.2">
      <c r="F101" s="45"/>
    </row>
    <row r="102" spans="6:6" x14ac:dyDescent="0.2">
      <c r="F102" s="45"/>
    </row>
    <row r="103" spans="6:6" x14ac:dyDescent="0.2">
      <c r="F103" s="45"/>
    </row>
    <row r="104" spans="6:6" x14ac:dyDescent="0.2">
      <c r="F104" s="45"/>
    </row>
    <row r="105" spans="6:6" x14ac:dyDescent="0.2">
      <c r="F105" s="45"/>
    </row>
    <row r="106" spans="6:6" x14ac:dyDescent="0.2">
      <c r="F106" s="45"/>
    </row>
    <row r="107" spans="6:6" x14ac:dyDescent="0.2">
      <c r="F107" s="45"/>
    </row>
    <row r="108" spans="6:6" x14ac:dyDescent="0.2">
      <c r="F108" s="45"/>
    </row>
    <row r="109" spans="6:6" x14ac:dyDescent="0.2">
      <c r="F109" s="45"/>
    </row>
    <row r="110" spans="6:6" x14ac:dyDescent="0.2">
      <c r="F110" s="45"/>
    </row>
    <row r="111" spans="6:6" x14ac:dyDescent="0.2">
      <c r="F111" s="45"/>
    </row>
    <row r="112" spans="6:6" x14ac:dyDescent="0.2">
      <c r="F112" s="45"/>
    </row>
    <row r="113" spans="6:6" x14ac:dyDescent="0.2">
      <c r="F113" s="45"/>
    </row>
    <row r="114" spans="6:6" x14ac:dyDescent="0.2">
      <c r="F114" s="45"/>
    </row>
    <row r="115" spans="6:6" x14ac:dyDescent="0.2">
      <c r="F115" s="45"/>
    </row>
    <row r="116" spans="6:6" x14ac:dyDescent="0.2">
      <c r="F116" s="45"/>
    </row>
    <row r="117" spans="6:6" x14ac:dyDescent="0.2">
      <c r="F117" s="45"/>
    </row>
    <row r="118" spans="6:6" x14ac:dyDescent="0.2">
      <c r="F118" s="45"/>
    </row>
    <row r="119" spans="6:6" x14ac:dyDescent="0.2">
      <c r="F119" s="45"/>
    </row>
    <row r="120" spans="6:6" x14ac:dyDescent="0.2">
      <c r="F120" s="45"/>
    </row>
    <row r="121" spans="6:6" x14ac:dyDescent="0.2">
      <c r="F121" s="45"/>
    </row>
    <row r="122" spans="6:6" x14ac:dyDescent="0.2">
      <c r="F122" s="45"/>
    </row>
    <row r="123" spans="6:6" x14ac:dyDescent="0.2">
      <c r="F123" s="45"/>
    </row>
    <row r="124" spans="6:6" x14ac:dyDescent="0.2">
      <c r="F124" s="45"/>
    </row>
    <row r="125" spans="6:6" x14ac:dyDescent="0.2">
      <c r="F125" s="45"/>
    </row>
    <row r="126" spans="6:6" x14ac:dyDescent="0.2">
      <c r="F126" s="45"/>
    </row>
    <row r="127" spans="6:6" x14ac:dyDescent="0.2">
      <c r="F127" s="45"/>
    </row>
    <row r="128" spans="6:6" x14ac:dyDescent="0.2">
      <c r="F128" s="45"/>
    </row>
    <row r="129" spans="6:6" x14ac:dyDescent="0.2">
      <c r="F129" s="45"/>
    </row>
    <row r="130" spans="6:6" x14ac:dyDescent="0.2">
      <c r="F130" s="45"/>
    </row>
    <row r="131" spans="6:6" x14ac:dyDescent="0.2">
      <c r="F131" s="45"/>
    </row>
    <row r="132" spans="6:6" x14ac:dyDescent="0.2">
      <c r="F132" s="45"/>
    </row>
    <row r="133" spans="6:6" x14ac:dyDescent="0.2">
      <c r="F133" s="45"/>
    </row>
    <row r="134" spans="6:6" x14ac:dyDescent="0.2">
      <c r="F134" s="45"/>
    </row>
    <row r="135" spans="6:6" x14ac:dyDescent="0.2">
      <c r="F135" s="45"/>
    </row>
    <row r="136" spans="6:6" x14ac:dyDescent="0.2">
      <c r="F136" s="45"/>
    </row>
    <row r="137" spans="6:6" x14ac:dyDescent="0.2">
      <c r="F137" s="45"/>
    </row>
    <row r="138" spans="6:6" x14ac:dyDescent="0.2">
      <c r="F138" s="45"/>
    </row>
    <row r="139" spans="6:6" x14ac:dyDescent="0.2">
      <c r="F139" s="45"/>
    </row>
    <row r="140" spans="6:6" x14ac:dyDescent="0.2">
      <c r="F140" s="45"/>
    </row>
    <row r="141" spans="6:6" x14ac:dyDescent="0.2">
      <c r="F141" s="45"/>
    </row>
    <row r="142" spans="6:6" x14ac:dyDescent="0.2">
      <c r="F142" s="45"/>
    </row>
    <row r="143" spans="6:6" x14ac:dyDescent="0.2">
      <c r="F143" s="45"/>
    </row>
    <row r="144" spans="6:6" x14ac:dyDescent="0.2">
      <c r="F144" s="45"/>
    </row>
    <row r="145" spans="6:6" x14ac:dyDescent="0.2">
      <c r="F145" s="45"/>
    </row>
    <row r="146" spans="6:6" x14ac:dyDescent="0.2">
      <c r="F146" s="45"/>
    </row>
    <row r="147" spans="6:6" x14ac:dyDescent="0.2">
      <c r="F147" s="45"/>
    </row>
    <row r="148" spans="6:6" x14ac:dyDescent="0.2">
      <c r="F148" s="45"/>
    </row>
    <row r="149" spans="6:6" x14ac:dyDescent="0.2">
      <c r="F149" s="45"/>
    </row>
    <row r="150" spans="6:6" x14ac:dyDescent="0.2">
      <c r="F150" s="45"/>
    </row>
    <row r="151" spans="6:6" x14ac:dyDescent="0.2">
      <c r="F151" s="45"/>
    </row>
    <row r="152" spans="6:6" x14ac:dyDescent="0.2">
      <c r="F152" s="45"/>
    </row>
    <row r="153" spans="6:6" x14ac:dyDescent="0.2">
      <c r="F153" s="45"/>
    </row>
    <row r="154" spans="6:6" x14ac:dyDescent="0.2">
      <c r="F154" s="45"/>
    </row>
    <row r="155" spans="6:6" x14ac:dyDescent="0.2">
      <c r="F155" s="45"/>
    </row>
    <row r="156" spans="6:6" x14ac:dyDescent="0.2">
      <c r="F156" s="45"/>
    </row>
    <row r="157" spans="6:6" x14ac:dyDescent="0.2">
      <c r="F157" s="45"/>
    </row>
    <row r="158" spans="6:6" x14ac:dyDescent="0.2">
      <c r="F158" s="45"/>
    </row>
    <row r="159" spans="6:6" x14ac:dyDescent="0.2">
      <c r="F159" s="45"/>
    </row>
    <row r="160" spans="6:6" x14ac:dyDescent="0.2">
      <c r="F160" s="45"/>
    </row>
    <row r="161" spans="6:6" x14ac:dyDescent="0.2">
      <c r="F161" s="45"/>
    </row>
    <row r="162" spans="6:6" x14ac:dyDescent="0.2">
      <c r="F162" s="45"/>
    </row>
    <row r="163" spans="6:6" x14ac:dyDescent="0.2">
      <c r="F163" s="45"/>
    </row>
    <row r="164" spans="6:6" x14ac:dyDescent="0.2">
      <c r="F164" s="45"/>
    </row>
    <row r="165" spans="6:6" x14ac:dyDescent="0.2">
      <c r="F165" s="45"/>
    </row>
    <row r="166" spans="6:6" x14ac:dyDescent="0.2">
      <c r="F166" s="45"/>
    </row>
    <row r="167" spans="6:6" x14ac:dyDescent="0.2">
      <c r="F167" s="45"/>
    </row>
    <row r="168" spans="6:6" x14ac:dyDescent="0.2">
      <c r="F168" s="45"/>
    </row>
    <row r="169" spans="6:6" x14ac:dyDescent="0.2">
      <c r="F169" s="45"/>
    </row>
    <row r="170" spans="6:6" x14ac:dyDescent="0.2">
      <c r="F170" s="45"/>
    </row>
    <row r="171" spans="6:6" x14ac:dyDescent="0.2">
      <c r="F171" s="45"/>
    </row>
    <row r="172" spans="6:6" x14ac:dyDescent="0.2">
      <c r="F172" s="45"/>
    </row>
    <row r="173" spans="6:6" x14ac:dyDescent="0.2">
      <c r="F173" s="45"/>
    </row>
    <row r="174" spans="6:6" x14ac:dyDescent="0.2">
      <c r="F174" s="45"/>
    </row>
    <row r="175" spans="6:6" x14ac:dyDescent="0.2">
      <c r="F175" s="45"/>
    </row>
    <row r="176" spans="6:6" x14ac:dyDescent="0.2">
      <c r="F176" s="45"/>
    </row>
    <row r="177" spans="6:6" x14ac:dyDescent="0.2">
      <c r="F177" s="45"/>
    </row>
    <row r="178" spans="6:6" x14ac:dyDescent="0.2">
      <c r="F178" s="45"/>
    </row>
    <row r="179" spans="6:6" x14ac:dyDescent="0.2">
      <c r="F179" s="45"/>
    </row>
    <row r="180" spans="6:6" x14ac:dyDescent="0.2">
      <c r="F180" s="45"/>
    </row>
    <row r="181" spans="6:6" x14ac:dyDescent="0.2">
      <c r="F181" s="45"/>
    </row>
    <row r="182" spans="6:6" x14ac:dyDescent="0.2">
      <c r="F182" s="45"/>
    </row>
    <row r="183" spans="6:6" x14ac:dyDescent="0.2">
      <c r="F183" s="45"/>
    </row>
    <row r="184" spans="6:6" x14ac:dyDescent="0.2">
      <c r="F184" s="45"/>
    </row>
    <row r="185" spans="6:6" x14ac:dyDescent="0.2">
      <c r="F185" s="45"/>
    </row>
    <row r="186" spans="6:6" x14ac:dyDescent="0.2">
      <c r="F186" s="45"/>
    </row>
    <row r="187" spans="6:6" x14ac:dyDescent="0.2">
      <c r="F187" s="45"/>
    </row>
    <row r="188" spans="6:6" x14ac:dyDescent="0.2">
      <c r="F188" s="45"/>
    </row>
    <row r="189" spans="6:6" x14ac:dyDescent="0.2">
      <c r="F189" s="45"/>
    </row>
    <row r="190" spans="6:6" x14ac:dyDescent="0.2">
      <c r="F190" s="45"/>
    </row>
    <row r="191" spans="6:6" x14ac:dyDescent="0.2">
      <c r="F191" s="45"/>
    </row>
    <row r="192" spans="6:6" x14ac:dyDescent="0.2">
      <c r="F192" s="45"/>
    </row>
    <row r="193" spans="6:6" x14ac:dyDescent="0.2">
      <c r="F193" s="45"/>
    </row>
    <row r="194" spans="6:6" x14ac:dyDescent="0.2">
      <c r="F194" s="45"/>
    </row>
    <row r="195" spans="6:6" x14ac:dyDescent="0.2">
      <c r="F195" s="45"/>
    </row>
    <row r="196" spans="6:6" x14ac:dyDescent="0.2">
      <c r="F196" s="45"/>
    </row>
    <row r="197" spans="6:6" x14ac:dyDescent="0.2">
      <c r="F197" s="45"/>
    </row>
    <row r="198" spans="6:6" x14ac:dyDescent="0.2">
      <c r="F198" s="45"/>
    </row>
    <row r="199" spans="6:6" x14ac:dyDescent="0.2">
      <c r="F199" s="45"/>
    </row>
    <row r="200" spans="6:6" x14ac:dyDescent="0.2">
      <c r="F200" s="45"/>
    </row>
    <row r="201" spans="6:6" x14ac:dyDescent="0.2">
      <c r="F201" s="45"/>
    </row>
    <row r="202" spans="6:6" x14ac:dyDescent="0.2">
      <c r="F202" s="45"/>
    </row>
    <row r="203" spans="6:6" x14ac:dyDescent="0.2">
      <c r="F203" s="45"/>
    </row>
    <row r="204" spans="6:6" x14ac:dyDescent="0.2">
      <c r="F204" s="45"/>
    </row>
    <row r="205" spans="6:6" x14ac:dyDescent="0.2">
      <c r="F205" s="45"/>
    </row>
  </sheetData>
  <mergeCells count="1">
    <mergeCell ref="J8:L8"/>
  </mergeCells>
  <pageMargins left="0.78740157499999996" right="0.78740157499999996" top="0.984251969" bottom="0.984251969" header="0.5" footer="0.5"/>
  <pageSetup orientation="portrait" r:id="rId2"/>
  <headerFooter alignWithMargins="0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8">
    <tabColor rgb="FFC00000"/>
  </sheetPr>
  <dimension ref="A1:L205"/>
  <sheetViews>
    <sheetView showGridLines="0" zoomScale="85" workbookViewId="0">
      <pane ySplit="11" topLeftCell="A12" activePane="bottomLeft" state="frozen"/>
      <selection activeCell="A2" sqref="A2"/>
      <selection pane="bottomLeft" activeCell="A12" sqref="A12"/>
    </sheetView>
  </sheetViews>
  <sheetFormatPr baseColWidth="10" defaultColWidth="11.42578125" defaultRowHeight="12.75" x14ac:dyDescent="0.2"/>
  <cols>
    <col min="1" max="1" width="24" style="45" customWidth="1"/>
    <col min="2" max="2" width="18" style="45" bestFit="1" customWidth="1"/>
    <col min="3" max="3" width="9" style="45" bestFit="1" customWidth="1"/>
    <col min="4" max="4" width="17" style="45" bestFit="1" customWidth="1"/>
    <col min="5" max="5" width="9.85546875" style="160" bestFit="1" customWidth="1"/>
    <col min="6" max="6" width="24.28515625" style="63" bestFit="1" customWidth="1"/>
    <col min="7" max="7" width="13.140625" style="45" bestFit="1" customWidth="1"/>
    <col min="8" max="8" width="15.140625" style="45" bestFit="1" customWidth="1"/>
    <col min="9" max="9" width="12.85546875" style="45" bestFit="1" customWidth="1"/>
    <col min="10" max="10" width="14" style="45" bestFit="1" customWidth="1"/>
    <col min="11" max="12" width="9.5703125" style="45" bestFit="1" customWidth="1"/>
    <col min="13" max="18" width="10.42578125" style="45" customWidth="1"/>
    <col min="19" max="20" width="10.5703125" style="45" customWidth="1"/>
    <col min="21" max="21" width="10.28515625" style="45" customWidth="1"/>
    <col min="22" max="25" width="12.7109375" style="45" bestFit="1" customWidth="1"/>
    <col min="26" max="26" width="16" style="45" bestFit="1" customWidth="1"/>
    <col min="27" max="50" width="10.28515625" style="45" customWidth="1"/>
    <col min="51" max="51" width="16" style="45" bestFit="1" customWidth="1"/>
    <col min="52" max="62" width="10.28515625" style="45" customWidth="1"/>
    <col min="63" max="63" width="16" style="45" bestFit="1" customWidth="1"/>
    <col min="64" max="64" width="10.28515625" style="45" customWidth="1"/>
    <col min="65" max="65" width="16" style="45" bestFit="1" customWidth="1"/>
    <col min="66" max="66" width="10.28515625" style="45" customWidth="1"/>
    <col min="67" max="67" width="16" style="45" bestFit="1" customWidth="1"/>
    <col min="68" max="68" width="10.28515625" style="45" customWidth="1"/>
    <col min="69" max="69" width="16" style="45" bestFit="1" customWidth="1"/>
    <col min="70" max="16384" width="11.42578125" style="45"/>
  </cols>
  <sheetData>
    <row r="1" spans="1:12" ht="30" customHeight="1" x14ac:dyDescent="0.3">
      <c r="A1" s="48"/>
    </row>
    <row r="2" spans="1:12" x14ac:dyDescent="0.2">
      <c r="A2" s="45">
        <f>Updated</f>
        <v>0</v>
      </c>
    </row>
    <row r="8" spans="1:12" ht="15" x14ac:dyDescent="0.25">
      <c r="A8" s="148" t="s">
        <v>156</v>
      </c>
      <c r="B8" s="149" t="s">
        <v>466</v>
      </c>
      <c r="J8" s="172"/>
      <c r="K8" s="172"/>
      <c r="L8" s="172"/>
    </row>
    <row r="10" spans="1:12" ht="15" x14ac:dyDescent="0.25">
      <c r="A10" s="1" t="s">
        <v>571</v>
      </c>
      <c r="B10" s="151" t="s">
        <v>172</v>
      </c>
      <c r="C10" s="151" t="s">
        <v>166</v>
      </c>
      <c r="D10" s="151" t="s">
        <v>0</v>
      </c>
      <c r="E10" s="151" t="s">
        <v>119</v>
      </c>
      <c r="F10" s="151" t="s">
        <v>532</v>
      </c>
      <c r="G10" s="151" t="s">
        <v>467</v>
      </c>
      <c r="H10" s="151" t="s">
        <v>465</v>
      </c>
      <c r="I10" s="157" t="s">
        <v>162</v>
      </c>
      <c r="J10" s="151" t="s">
        <v>188</v>
      </c>
      <c r="K10" s="151" t="s">
        <v>184</v>
      </c>
      <c r="L10" s="68" t="s">
        <v>453</v>
      </c>
    </row>
    <row r="11" spans="1:12" ht="15" x14ac:dyDescent="0.25">
      <c r="A11" s="14" t="s">
        <v>534</v>
      </c>
      <c r="B11" s="152" t="s">
        <v>535</v>
      </c>
      <c r="C11" s="150">
        <v>1</v>
      </c>
      <c r="D11" s="152" t="s">
        <v>421</v>
      </c>
      <c r="E11" s="150">
        <v>1216279</v>
      </c>
      <c r="F11" s="152" t="s">
        <v>533</v>
      </c>
      <c r="G11" s="150" t="s">
        <v>368</v>
      </c>
      <c r="H11" s="152" t="s">
        <v>368</v>
      </c>
      <c r="I11" s="173">
        <v>0</v>
      </c>
      <c r="J11" s="174" t="s">
        <v>41</v>
      </c>
      <c r="K11" s="150"/>
      <c r="L11" s="153">
        <v>23</v>
      </c>
    </row>
    <row r="12" spans="1:12" ht="15.75" thickBot="1" x14ac:dyDescent="0.3">
      <c r="A12" s="154"/>
      <c r="B12" s="155"/>
      <c r="C12" s="155"/>
      <c r="D12" s="155"/>
      <c r="E12" s="155"/>
      <c r="F12" s="155"/>
      <c r="G12" s="155"/>
      <c r="H12" s="155"/>
      <c r="I12" s="155"/>
      <c r="J12" s="155"/>
      <c r="K12" s="155"/>
      <c r="L12" s="156"/>
    </row>
    <row r="13" spans="1:12" ht="15.75" thickTop="1" x14ac:dyDescent="0.25">
      <c r="A13"/>
      <c r="B13"/>
      <c r="C13"/>
      <c r="D13"/>
      <c r="E13"/>
      <c r="F13"/>
      <c r="G13"/>
      <c r="H13"/>
      <c r="I13"/>
      <c r="J13"/>
      <c r="K13"/>
      <c r="L13"/>
    </row>
    <row r="14" spans="1:12" ht="15" x14ac:dyDescent="0.25">
      <c r="A14"/>
      <c r="B14"/>
      <c r="C14"/>
      <c r="D14"/>
      <c r="E14"/>
      <c r="F14"/>
      <c r="G14"/>
      <c r="H14"/>
      <c r="I14"/>
      <c r="J14"/>
      <c r="K14"/>
    </row>
    <row r="15" spans="1:12" ht="15" x14ac:dyDescent="0.25">
      <c r="A15"/>
      <c r="B15"/>
      <c r="C15"/>
      <c r="D15"/>
      <c r="E15" s="11"/>
      <c r="F15"/>
      <c r="G15"/>
      <c r="H15"/>
      <c r="I15"/>
      <c r="J15"/>
      <c r="K15"/>
    </row>
    <row r="16" spans="1:12" x14ac:dyDescent="0.2">
      <c r="F16" s="45"/>
    </row>
    <row r="17" spans="6:6" x14ac:dyDescent="0.2">
      <c r="F17" s="45"/>
    </row>
    <row r="18" spans="6:6" x14ac:dyDescent="0.2">
      <c r="F18" s="45"/>
    </row>
    <row r="19" spans="6:6" x14ac:dyDescent="0.2">
      <c r="F19" s="45"/>
    </row>
    <row r="20" spans="6:6" x14ac:dyDescent="0.2">
      <c r="F20" s="45"/>
    </row>
    <row r="21" spans="6:6" x14ac:dyDescent="0.2">
      <c r="F21" s="45"/>
    </row>
    <row r="22" spans="6:6" x14ac:dyDescent="0.2">
      <c r="F22" s="45"/>
    </row>
    <row r="23" spans="6:6" x14ac:dyDescent="0.2">
      <c r="F23" s="45"/>
    </row>
    <row r="24" spans="6:6" x14ac:dyDescent="0.2">
      <c r="F24" s="45"/>
    </row>
    <row r="25" spans="6:6" x14ac:dyDescent="0.2">
      <c r="F25" s="45"/>
    </row>
    <row r="26" spans="6:6" x14ac:dyDescent="0.2">
      <c r="F26" s="45"/>
    </row>
    <row r="27" spans="6:6" x14ac:dyDescent="0.2">
      <c r="F27" s="45"/>
    </row>
    <row r="28" spans="6:6" x14ac:dyDescent="0.2">
      <c r="F28" s="45"/>
    </row>
    <row r="29" spans="6:6" x14ac:dyDescent="0.2">
      <c r="F29" s="45"/>
    </row>
    <row r="30" spans="6:6" x14ac:dyDescent="0.2">
      <c r="F30" s="45"/>
    </row>
    <row r="31" spans="6:6" x14ac:dyDescent="0.2">
      <c r="F31" s="45"/>
    </row>
    <row r="32" spans="6:6" x14ac:dyDescent="0.2">
      <c r="F32" s="45"/>
    </row>
    <row r="33" spans="6:6" x14ac:dyDescent="0.2">
      <c r="F33" s="45"/>
    </row>
    <row r="34" spans="6:6" x14ac:dyDescent="0.2">
      <c r="F34" s="45"/>
    </row>
    <row r="35" spans="6:6" x14ac:dyDescent="0.2">
      <c r="F35" s="45"/>
    </row>
    <row r="36" spans="6:6" x14ac:dyDescent="0.2">
      <c r="F36" s="45"/>
    </row>
    <row r="37" spans="6:6" x14ac:dyDescent="0.2">
      <c r="F37" s="45"/>
    </row>
    <row r="38" spans="6:6" x14ac:dyDescent="0.2">
      <c r="F38" s="45"/>
    </row>
    <row r="39" spans="6:6" x14ac:dyDescent="0.2">
      <c r="F39" s="45"/>
    </row>
    <row r="40" spans="6:6" x14ac:dyDescent="0.2">
      <c r="F40" s="45"/>
    </row>
    <row r="41" spans="6:6" x14ac:dyDescent="0.2">
      <c r="F41" s="45"/>
    </row>
    <row r="42" spans="6:6" x14ac:dyDescent="0.2">
      <c r="F42" s="45"/>
    </row>
    <row r="43" spans="6:6" x14ac:dyDescent="0.2">
      <c r="F43" s="45"/>
    </row>
    <row r="44" spans="6:6" x14ac:dyDescent="0.2">
      <c r="F44" s="45"/>
    </row>
    <row r="45" spans="6:6" x14ac:dyDescent="0.2">
      <c r="F45" s="45"/>
    </row>
    <row r="46" spans="6:6" x14ac:dyDescent="0.2">
      <c r="F46" s="45"/>
    </row>
    <row r="47" spans="6:6" x14ac:dyDescent="0.2">
      <c r="F47" s="45"/>
    </row>
    <row r="48" spans="6:6" x14ac:dyDescent="0.2">
      <c r="F48" s="45"/>
    </row>
    <row r="49" spans="6:6" x14ac:dyDescent="0.2">
      <c r="F49" s="45"/>
    </row>
    <row r="50" spans="6:6" x14ac:dyDescent="0.2">
      <c r="F50" s="45"/>
    </row>
    <row r="51" spans="6:6" x14ac:dyDescent="0.2">
      <c r="F51" s="45"/>
    </row>
    <row r="52" spans="6:6" x14ac:dyDescent="0.2">
      <c r="F52" s="45"/>
    </row>
    <row r="53" spans="6:6" x14ac:dyDescent="0.2">
      <c r="F53" s="45"/>
    </row>
    <row r="54" spans="6:6" x14ac:dyDescent="0.2">
      <c r="F54" s="45"/>
    </row>
    <row r="55" spans="6:6" x14ac:dyDescent="0.2">
      <c r="F55" s="45"/>
    </row>
    <row r="56" spans="6:6" x14ac:dyDescent="0.2">
      <c r="F56" s="45"/>
    </row>
    <row r="57" spans="6:6" x14ac:dyDescent="0.2">
      <c r="F57" s="45"/>
    </row>
    <row r="58" spans="6:6" x14ac:dyDescent="0.2">
      <c r="F58" s="45"/>
    </row>
    <row r="59" spans="6:6" x14ac:dyDescent="0.2">
      <c r="F59" s="45"/>
    </row>
    <row r="60" spans="6:6" x14ac:dyDescent="0.2">
      <c r="F60" s="45"/>
    </row>
    <row r="61" spans="6:6" x14ac:dyDescent="0.2">
      <c r="F61" s="45"/>
    </row>
    <row r="62" spans="6:6" x14ac:dyDescent="0.2">
      <c r="F62" s="45"/>
    </row>
    <row r="63" spans="6:6" x14ac:dyDescent="0.2">
      <c r="F63" s="45"/>
    </row>
    <row r="64" spans="6:6" x14ac:dyDescent="0.2">
      <c r="F64" s="45"/>
    </row>
    <row r="65" spans="6:6" x14ac:dyDescent="0.2">
      <c r="F65" s="45"/>
    </row>
    <row r="66" spans="6:6" x14ac:dyDescent="0.2">
      <c r="F66" s="45"/>
    </row>
    <row r="67" spans="6:6" x14ac:dyDescent="0.2">
      <c r="F67" s="45"/>
    </row>
    <row r="68" spans="6:6" x14ac:dyDescent="0.2">
      <c r="F68" s="45"/>
    </row>
    <row r="69" spans="6:6" x14ac:dyDescent="0.2">
      <c r="F69" s="45"/>
    </row>
    <row r="70" spans="6:6" x14ac:dyDescent="0.2">
      <c r="F70" s="45"/>
    </row>
    <row r="71" spans="6:6" x14ac:dyDescent="0.2">
      <c r="F71" s="45"/>
    </row>
    <row r="72" spans="6:6" x14ac:dyDescent="0.2">
      <c r="F72" s="45"/>
    </row>
    <row r="73" spans="6:6" x14ac:dyDescent="0.2">
      <c r="F73" s="45"/>
    </row>
    <row r="74" spans="6:6" x14ac:dyDescent="0.2">
      <c r="F74" s="45"/>
    </row>
    <row r="75" spans="6:6" x14ac:dyDescent="0.2">
      <c r="F75" s="45"/>
    </row>
    <row r="76" spans="6:6" x14ac:dyDescent="0.2">
      <c r="F76" s="45"/>
    </row>
    <row r="77" spans="6:6" x14ac:dyDescent="0.2">
      <c r="F77" s="45"/>
    </row>
    <row r="78" spans="6:6" x14ac:dyDescent="0.2">
      <c r="F78" s="45"/>
    </row>
    <row r="79" spans="6:6" x14ac:dyDescent="0.2">
      <c r="F79" s="45"/>
    </row>
    <row r="80" spans="6:6" x14ac:dyDescent="0.2">
      <c r="F80" s="45"/>
    </row>
    <row r="81" spans="6:6" x14ac:dyDescent="0.2">
      <c r="F81" s="45"/>
    </row>
    <row r="82" spans="6:6" x14ac:dyDescent="0.2">
      <c r="F82" s="45"/>
    </row>
    <row r="83" spans="6:6" x14ac:dyDescent="0.2">
      <c r="F83" s="45"/>
    </row>
    <row r="84" spans="6:6" x14ac:dyDescent="0.2">
      <c r="F84" s="45"/>
    </row>
    <row r="85" spans="6:6" x14ac:dyDescent="0.2">
      <c r="F85" s="45"/>
    </row>
    <row r="86" spans="6:6" x14ac:dyDescent="0.2">
      <c r="F86" s="45"/>
    </row>
    <row r="87" spans="6:6" x14ac:dyDescent="0.2">
      <c r="F87" s="45"/>
    </row>
    <row r="88" spans="6:6" x14ac:dyDescent="0.2">
      <c r="F88" s="45"/>
    </row>
    <row r="89" spans="6:6" x14ac:dyDescent="0.2">
      <c r="F89" s="45"/>
    </row>
    <row r="90" spans="6:6" x14ac:dyDescent="0.2">
      <c r="F90" s="45"/>
    </row>
    <row r="91" spans="6:6" x14ac:dyDescent="0.2">
      <c r="F91" s="45"/>
    </row>
    <row r="92" spans="6:6" x14ac:dyDescent="0.2">
      <c r="F92" s="45"/>
    </row>
    <row r="93" spans="6:6" x14ac:dyDescent="0.2">
      <c r="F93" s="45"/>
    </row>
    <row r="94" spans="6:6" x14ac:dyDescent="0.2">
      <c r="F94" s="45"/>
    </row>
    <row r="95" spans="6:6" x14ac:dyDescent="0.2">
      <c r="F95" s="45"/>
    </row>
    <row r="96" spans="6:6" x14ac:dyDescent="0.2">
      <c r="F96" s="45"/>
    </row>
    <row r="97" spans="6:6" x14ac:dyDescent="0.2">
      <c r="F97" s="45"/>
    </row>
    <row r="98" spans="6:6" x14ac:dyDescent="0.2">
      <c r="F98" s="45"/>
    </row>
    <row r="99" spans="6:6" x14ac:dyDescent="0.2">
      <c r="F99" s="45"/>
    </row>
    <row r="100" spans="6:6" x14ac:dyDescent="0.2">
      <c r="F100" s="45"/>
    </row>
    <row r="101" spans="6:6" x14ac:dyDescent="0.2">
      <c r="F101" s="45"/>
    </row>
    <row r="102" spans="6:6" x14ac:dyDescent="0.2">
      <c r="F102" s="45"/>
    </row>
    <row r="103" spans="6:6" x14ac:dyDescent="0.2">
      <c r="F103" s="45"/>
    </row>
    <row r="104" spans="6:6" x14ac:dyDescent="0.2">
      <c r="F104" s="45"/>
    </row>
    <row r="105" spans="6:6" x14ac:dyDescent="0.2">
      <c r="F105" s="45"/>
    </row>
    <row r="106" spans="6:6" x14ac:dyDescent="0.2">
      <c r="F106" s="45"/>
    </row>
    <row r="107" spans="6:6" x14ac:dyDescent="0.2">
      <c r="F107" s="45"/>
    </row>
    <row r="108" spans="6:6" x14ac:dyDescent="0.2">
      <c r="F108" s="45"/>
    </row>
    <row r="109" spans="6:6" x14ac:dyDescent="0.2">
      <c r="F109" s="45"/>
    </row>
    <row r="110" spans="6:6" x14ac:dyDescent="0.2">
      <c r="F110" s="45"/>
    </row>
    <row r="111" spans="6:6" x14ac:dyDescent="0.2">
      <c r="F111" s="45"/>
    </row>
    <row r="112" spans="6:6" x14ac:dyDescent="0.2">
      <c r="F112" s="45"/>
    </row>
    <row r="113" spans="6:6" x14ac:dyDescent="0.2">
      <c r="F113" s="45"/>
    </row>
    <row r="114" spans="6:6" x14ac:dyDescent="0.2">
      <c r="F114" s="45"/>
    </row>
    <row r="115" spans="6:6" x14ac:dyDescent="0.2">
      <c r="F115" s="45"/>
    </row>
    <row r="116" spans="6:6" x14ac:dyDescent="0.2">
      <c r="F116" s="45"/>
    </row>
    <row r="117" spans="6:6" x14ac:dyDescent="0.2">
      <c r="F117" s="45"/>
    </row>
    <row r="118" spans="6:6" x14ac:dyDescent="0.2">
      <c r="F118" s="45"/>
    </row>
    <row r="119" spans="6:6" x14ac:dyDescent="0.2">
      <c r="F119" s="45"/>
    </row>
    <row r="120" spans="6:6" x14ac:dyDescent="0.2">
      <c r="F120" s="45"/>
    </row>
    <row r="121" spans="6:6" x14ac:dyDescent="0.2">
      <c r="F121" s="45"/>
    </row>
    <row r="122" spans="6:6" x14ac:dyDescent="0.2">
      <c r="F122" s="45"/>
    </row>
    <row r="123" spans="6:6" x14ac:dyDescent="0.2">
      <c r="F123" s="45"/>
    </row>
    <row r="124" spans="6:6" x14ac:dyDescent="0.2">
      <c r="F124" s="45"/>
    </row>
    <row r="125" spans="6:6" x14ac:dyDescent="0.2">
      <c r="F125" s="45"/>
    </row>
    <row r="126" spans="6:6" x14ac:dyDescent="0.2">
      <c r="F126" s="45"/>
    </row>
    <row r="127" spans="6:6" x14ac:dyDescent="0.2">
      <c r="F127" s="45"/>
    </row>
    <row r="128" spans="6:6" x14ac:dyDescent="0.2">
      <c r="F128" s="45"/>
    </row>
    <row r="129" spans="6:6" x14ac:dyDescent="0.2">
      <c r="F129" s="45"/>
    </row>
    <row r="130" spans="6:6" x14ac:dyDescent="0.2">
      <c r="F130" s="45"/>
    </row>
    <row r="131" spans="6:6" x14ac:dyDescent="0.2">
      <c r="F131" s="45"/>
    </row>
    <row r="132" spans="6:6" x14ac:dyDescent="0.2">
      <c r="F132" s="45"/>
    </row>
    <row r="133" spans="6:6" x14ac:dyDescent="0.2">
      <c r="F133" s="45"/>
    </row>
    <row r="134" spans="6:6" x14ac:dyDescent="0.2">
      <c r="F134" s="45"/>
    </row>
    <row r="135" spans="6:6" x14ac:dyDescent="0.2">
      <c r="F135" s="45"/>
    </row>
    <row r="136" spans="6:6" x14ac:dyDescent="0.2">
      <c r="F136" s="45"/>
    </row>
    <row r="137" spans="6:6" x14ac:dyDescent="0.2">
      <c r="F137" s="45"/>
    </row>
    <row r="138" spans="6:6" x14ac:dyDescent="0.2">
      <c r="F138" s="45"/>
    </row>
    <row r="139" spans="6:6" x14ac:dyDescent="0.2">
      <c r="F139" s="45"/>
    </row>
    <row r="140" spans="6:6" x14ac:dyDescent="0.2">
      <c r="F140" s="45"/>
    </row>
    <row r="141" spans="6:6" x14ac:dyDescent="0.2">
      <c r="F141" s="45"/>
    </row>
    <row r="142" spans="6:6" x14ac:dyDescent="0.2">
      <c r="F142" s="45"/>
    </row>
    <row r="143" spans="6:6" x14ac:dyDescent="0.2">
      <c r="F143" s="45"/>
    </row>
    <row r="144" spans="6:6" x14ac:dyDescent="0.2">
      <c r="F144" s="45"/>
    </row>
    <row r="145" spans="6:6" x14ac:dyDescent="0.2">
      <c r="F145" s="45"/>
    </row>
    <row r="146" spans="6:6" x14ac:dyDescent="0.2">
      <c r="F146" s="45"/>
    </row>
    <row r="147" spans="6:6" x14ac:dyDescent="0.2">
      <c r="F147" s="45"/>
    </row>
    <row r="148" spans="6:6" x14ac:dyDescent="0.2">
      <c r="F148" s="45"/>
    </row>
    <row r="149" spans="6:6" x14ac:dyDescent="0.2">
      <c r="F149" s="45"/>
    </row>
    <row r="150" spans="6:6" x14ac:dyDescent="0.2">
      <c r="F150" s="45"/>
    </row>
    <row r="151" spans="6:6" x14ac:dyDescent="0.2">
      <c r="F151" s="45"/>
    </row>
    <row r="152" spans="6:6" x14ac:dyDescent="0.2">
      <c r="F152" s="45"/>
    </row>
    <row r="153" spans="6:6" x14ac:dyDescent="0.2">
      <c r="F153" s="45"/>
    </row>
    <row r="154" spans="6:6" x14ac:dyDescent="0.2">
      <c r="F154" s="45"/>
    </row>
    <row r="155" spans="6:6" x14ac:dyDescent="0.2">
      <c r="F155" s="45"/>
    </row>
    <row r="156" spans="6:6" x14ac:dyDescent="0.2">
      <c r="F156" s="45"/>
    </row>
    <row r="157" spans="6:6" x14ac:dyDescent="0.2">
      <c r="F157" s="45"/>
    </row>
    <row r="158" spans="6:6" x14ac:dyDescent="0.2">
      <c r="F158" s="45"/>
    </row>
    <row r="159" spans="6:6" x14ac:dyDescent="0.2">
      <c r="F159" s="45"/>
    </row>
    <row r="160" spans="6:6" x14ac:dyDescent="0.2">
      <c r="F160" s="45"/>
    </row>
    <row r="161" spans="6:6" x14ac:dyDescent="0.2">
      <c r="F161" s="45"/>
    </row>
    <row r="162" spans="6:6" x14ac:dyDescent="0.2">
      <c r="F162" s="45"/>
    </row>
    <row r="163" spans="6:6" x14ac:dyDescent="0.2">
      <c r="F163" s="45"/>
    </row>
    <row r="164" spans="6:6" x14ac:dyDescent="0.2">
      <c r="F164" s="45"/>
    </row>
    <row r="165" spans="6:6" x14ac:dyDescent="0.2">
      <c r="F165" s="45"/>
    </row>
    <row r="166" spans="6:6" x14ac:dyDescent="0.2">
      <c r="F166" s="45"/>
    </row>
    <row r="167" spans="6:6" x14ac:dyDescent="0.2">
      <c r="F167" s="45"/>
    </row>
    <row r="168" spans="6:6" x14ac:dyDescent="0.2">
      <c r="F168" s="45"/>
    </row>
    <row r="169" spans="6:6" x14ac:dyDescent="0.2">
      <c r="F169" s="45"/>
    </row>
    <row r="170" spans="6:6" x14ac:dyDescent="0.2">
      <c r="F170" s="45"/>
    </row>
    <row r="171" spans="6:6" x14ac:dyDescent="0.2">
      <c r="F171" s="45"/>
    </row>
    <row r="172" spans="6:6" x14ac:dyDescent="0.2">
      <c r="F172" s="45"/>
    </row>
    <row r="173" spans="6:6" x14ac:dyDescent="0.2">
      <c r="F173" s="45"/>
    </row>
    <row r="174" spans="6:6" x14ac:dyDescent="0.2">
      <c r="F174" s="45"/>
    </row>
    <row r="175" spans="6:6" x14ac:dyDescent="0.2">
      <c r="F175" s="45"/>
    </row>
    <row r="176" spans="6:6" x14ac:dyDescent="0.2">
      <c r="F176" s="45"/>
    </row>
    <row r="177" spans="6:6" x14ac:dyDescent="0.2">
      <c r="F177" s="45"/>
    </row>
    <row r="178" spans="6:6" x14ac:dyDescent="0.2">
      <c r="F178" s="45"/>
    </row>
    <row r="179" spans="6:6" x14ac:dyDescent="0.2">
      <c r="F179" s="45"/>
    </row>
    <row r="180" spans="6:6" x14ac:dyDescent="0.2">
      <c r="F180" s="45"/>
    </row>
    <row r="181" spans="6:6" x14ac:dyDescent="0.2">
      <c r="F181" s="45"/>
    </row>
    <row r="182" spans="6:6" x14ac:dyDescent="0.2">
      <c r="F182" s="45"/>
    </row>
    <row r="183" spans="6:6" x14ac:dyDescent="0.2">
      <c r="F183" s="45"/>
    </row>
    <row r="184" spans="6:6" x14ac:dyDescent="0.2">
      <c r="F184" s="45"/>
    </row>
    <row r="185" spans="6:6" x14ac:dyDescent="0.2">
      <c r="F185" s="45"/>
    </row>
    <row r="186" spans="6:6" x14ac:dyDescent="0.2">
      <c r="F186" s="45"/>
    </row>
    <row r="187" spans="6:6" x14ac:dyDescent="0.2">
      <c r="F187" s="45"/>
    </row>
    <row r="188" spans="6:6" x14ac:dyDescent="0.2">
      <c r="F188" s="45"/>
    </row>
    <row r="189" spans="6:6" x14ac:dyDescent="0.2">
      <c r="F189" s="45"/>
    </row>
    <row r="190" spans="6:6" x14ac:dyDescent="0.2">
      <c r="F190" s="45"/>
    </row>
    <row r="191" spans="6:6" x14ac:dyDescent="0.2">
      <c r="F191" s="45"/>
    </row>
    <row r="192" spans="6:6" x14ac:dyDescent="0.2">
      <c r="F192" s="45"/>
    </row>
    <row r="193" spans="6:6" x14ac:dyDescent="0.2">
      <c r="F193" s="45"/>
    </row>
    <row r="194" spans="6:6" x14ac:dyDescent="0.2">
      <c r="F194" s="45"/>
    </row>
    <row r="195" spans="6:6" x14ac:dyDescent="0.2">
      <c r="F195" s="45"/>
    </row>
    <row r="196" spans="6:6" x14ac:dyDescent="0.2">
      <c r="F196" s="45"/>
    </row>
    <row r="197" spans="6:6" x14ac:dyDescent="0.2">
      <c r="F197" s="45"/>
    </row>
    <row r="198" spans="6:6" x14ac:dyDescent="0.2">
      <c r="F198" s="45"/>
    </row>
    <row r="199" spans="6:6" x14ac:dyDescent="0.2">
      <c r="F199" s="45"/>
    </row>
    <row r="200" spans="6:6" x14ac:dyDescent="0.2">
      <c r="F200" s="45"/>
    </row>
    <row r="201" spans="6:6" x14ac:dyDescent="0.2">
      <c r="F201" s="45"/>
    </row>
    <row r="202" spans="6:6" x14ac:dyDescent="0.2">
      <c r="F202" s="45"/>
    </row>
    <row r="203" spans="6:6" x14ac:dyDescent="0.2">
      <c r="F203" s="45"/>
    </row>
    <row r="204" spans="6:6" x14ac:dyDescent="0.2">
      <c r="F204" s="45"/>
    </row>
    <row r="205" spans="6:6" x14ac:dyDescent="0.2">
      <c r="F205" s="45"/>
    </row>
  </sheetData>
  <mergeCells count="1">
    <mergeCell ref="J8:L8"/>
  </mergeCells>
  <pageMargins left="0.78740157499999996" right="0.78740157499999996" top="0.984251969" bottom="0.984251969" header="0.5" footer="0.5"/>
  <pageSetup orientation="portrait" r:id="rId2"/>
  <headerFooter alignWithMargins="0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9">
    <tabColor rgb="FFC00000"/>
    <pageSetUpPr fitToPage="1"/>
  </sheetPr>
  <dimension ref="A1:K112"/>
  <sheetViews>
    <sheetView showGridLines="0" zoomScale="85" workbookViewId="0">
      <pane ySplit="11" topLeftCell="A12" activePane="bottomLeft" state="frozen"/>
      <selection activeCell="A2" sqref="A2"/>
      <selection pane="bottomLeft" activeCell="A12" sqref="A12"/>
    </sheetView>
  </sheetViews>
  <sheetFormatPr baseColWidth="10" defaultColWidth="11.42578125" defaultRowHeight="12.75" x14ac:dyDescent="0.2"/>
  <cols>
    <col min="1" max="1" width="15.7109375" style="45" customWidth="1"/>
    <col min="2" max="2" width="13.28515625" style="45" customWidth="1"/>
    <col min="3" max="3" width="33" style="45" customWidth="1"/>
    <col min="4" max="4" width="56.28515625" style="45" customWidth="1"/>
    <col min="5" max="5" width="9.7109375" style="45" customWidth="1"/>
    <col min="6" max="6" width="13.28515625" style="45" customWidth="1"/>
    <col min="7" max="7" width="10.5703125" style="64" customWidth="1"/>
    <col min="8" max="8" width="14.5703125" style="45" customWidth="1"/>
    <col min="9" max="9" width="10.7109375" style="45" customWidth="1"/>
    <col min="10" max="10" width="10" style="45" customWidth="1"/>
    <col min="11" max="11" width="11.42578125" style="45" customWidth="1"/>
    <col min="12" max="12" width="10.5703125" style="45" customWidth="1"/>
    <col min="13" max="16" width="10.28515625" style="45" customWidth="1"/>
    <col min="17" max="25" width="12.7109375" style="45" bestFit="1" customWidth="1"/>
    <col min="26" max="26" width="16" style="45" bestFit="1" customWidth="1"/>
    <col min="27" max="50" width="10.28515625" style="45" customWidth="1"/>
    <col min="51" max="51" width="16" style="45" bestFit="1" customWidth="1"/>
    <col min="52" max="62" width="10.28515625" style="45" customWidth="1"/>
    <col min="63" max="63" width="16" style="45" bestFit="1" customWidth="1"/>
    <col min="64" max="64" width="10.28515625" style="45" customWidth="1"/>
    <col min="65" max="65" width="16" style="45" bestFit="1" customWidth="1"/>
    <col min="66" max="66" width="10.28515625" style="45" customWidth="1"/>
    <col min="67" max="67" width="16" style="45" bestFit="1" customWidth="1"/>
    <col min="68" max="68" width="10.28515625" style="45" customWidth="1"/>
    <col min="69" max="69" width="16" style="45" bestFit="1" customWidth="1"/>
    <col min="70" max="16384" width="11.42578125" style="45"/>
  </cols>
  <sheetData>
    <row r="1" spans="1:11" ht="30" customHeight="1" x14ac:dyDescent="0.3">
      <c r="A1" s="48"/>
    </row>
    <row r="2" spans="1:11" x14ac:dyDescent="0.2">
      <c r="A2" s="45" t="s">
        <v>321</v>
      </c>
    </row>
    <row r="4" spans="1:11" ht="15" x14ac:dyDescent="0.25">
      <c r="A4" s="110" t="s">
        <v>183</v>
      </c>
      <c r="B4" s="111" t="s">
        <v>106</v>
      </c>
    </row>
    <row r="5" spans="1:11" ht="15" x14ac:dyDescent="0.25">
      <c r="A5" s="110" t="s">
        <v>167</v>
      </c>
      <c r="B5" s="111" t="s">
        <v>106</v>
      </c>
    </row>
    <row r="6" spans="1:11" ht="15" x14ac:dyDescent="0.25">
      <c r="A6" s="110" t="s">
        <v>184</v>
      </c>
      <c r="B6" s="111" t="s">
        <v>106</v>
      </c>
    </row>
    <row r="7" spans="1:11" ht="15" x14ac:dyDescent="0.25">
      <c r="A7" s="110" t="s">
        <v>168</v>
      </c>
      <c r="B7" s="111" t="s">
        <v>106</v>
      </c>
    </row>
    <row r="8" spans="1:11" ht="15" x14ac:dyDescent="0.25">
      <c r="A8" s="110" t="s">
        <v>166</v>
      </c>
      <c r="B8" s="111" t="s">
        <v>106</v>
      </c>
    </row>
    <row r="9" spans="1:11" ht="15" x14ac:dyDescent="0.25">
      <c r="A9" s="110" t="s">
        <v>156</v>
      </c>
      <c r="B9" s="111" t="s">
        <v>106</v>
      </c>
    </row>
    <row r="11" spans="1:11" ht="15" x14ac:dyDescent="0.25">
      <c r="A11" s="1" t="s">
        <v>191</v>
      </c>
      <c r="B11" s="115" t="s">
        <v>192</v>
      </c>
      <c r="C11" s="115" t="s">
        <v>172</v>
      </c>
      <c r="D11" s="115" t="s">
        <v>0</v>
      </c>
      <c r="E11" s="115" t="s">
        <v>119</v>
      </c>
      <c r="F11" s="136" t="s">
        <v>188</v>
      </c>
      <c r="G11" s="125" t="s">
        <v>322</v>
      </c>
      <c r="H11" s="126" t="s">
        <v>426</v>
      </c>
      <c r="I11" s="126" t="s">
        <v>425</v>
      </c>
      <c r="J11" s="127" t="s">
        <v>323</v>
      </c>
      <c r="K11"/>
    </row>
    <row r="12" spans="1:11" ht="15" x14ac:dyDescent="0.25">
      <c r="A12" s="22">
        <v>42086</v>
      </c>
      <c r="B12" s="117">
        <v>0.62567129629629636</v>
      </c>
      <c r="C12" s="112" t="s">
        <v>422</v>
      </c>
      <c r="D12" s="116" t="s">
        <v>421</v>
      </c>
      <c r="E12" s="112">
        <v>1216279</v>
      </c>
      <c r="F12" s="124" t="s">
        <v>41</v>
      </c>
      <c r="G12" s="131">
        <v>0</v>
      </c>
      <c r="H12" s="132">
        <v>0</v>
      </c>
      <c r="I12" s="132">
        <v>0</v>
      </c>
      <c r="J12" s="128"/>
      <c r="K12"/>
    </row>
    <row r="13" spans="1:11" ht="15.75" thickBot="1" x14ac:dyDescent="0.3">
      <c r="A13" s="23" t="s">
        <v>408</v>
      </c>
      <c r="B13" s="24"/>
      <c r="C13" s="24"/>
      <c r="D13" s="24"/>
      <c r="E13" s="24"/>
      <c r="F13" s="24"/>
      <c r="G13" s="133">
        <v>0</v>
      </c>
      <c r="H13" s="25">
        <v>0</v>
      </c>
      <c r="I13" s="25">
        <v>0</v>
      </c>
      <c r="J13" s="67"/>
      <c r="K13"/>
    </row>
    <row r="14" spans="1:11" ht="15.75" thickTop="1" x14ac:dyDescent="0.25">
      <c r="A14" s="129"/>
      <c r="B14" s="121"/>
      <c r="C14" s="121"/>
      <c r="D14" s="121"/>
      <c r="E14" s="121"/>
      <c r="F14" s="121"/>
      <c r="G14" s="134"/>
      <c r="H14" s="135"/>
      <c r="I14" s="135"/>
      <c r="J14" s="130"/>
      <c r="K14"/>
    </row>
    <row r="15" spans="1:11" ht="15" x14ac:dyDescent="0.25">
      <c r="A15"/>
      <c r="B15"/>
      <c r="C15"/>
      <c r="D15"/>
      <c r="E15"/>
      <c r="F15"/>
      <c r="G15"/>
      <c r="H15"/>
      <c r="I15"/>
      <c r="J15"/>
      <c r="K15"/>
    </row>
    <row r="16" spans="1:11" ht="15.75" thickBot="1" x14ac:dyDescent="0.3">
      <c r="A16"/>
      <c r="B16"/>
      <c r="C16"/>
      <c r="D16"/>
      <c r="E16"/>
      <c r="F16"/>
      <c r="G16"/>
      <c r="H16"/>
      <c r="I16"/>
      <c r="J16"/>
      <c r="K16"/>
    </row>
    <row r="17" spans="1:11" ht="15.75" thickTop="1" x14ac:dyDescent="0.25">
      <c r="A17"/>
      <c r="B17"/>
      <c r="C17"/>
      <c r="D17"/>
      <c r="E17"/>
      <c r="F17"/>
      <c r="G17"/>
      <c r="H17"/>
      <c r="I17"/>
      <c r="J17"/>
      <c r="K17"/>
    </row>
    <row r="18" spans="1:11" x14ac:dyDescent="0.2">
      <c r="G18" s="45"/>
    </row>
    <row r="19" spans="1:11" x14ac:dyDescent="0.2">
      <c r="G19" s="45"/>
    </row>
    <row r="20" spans="1:11" x14ac:dyDescent="0.2">
      <c r="G20" s="45"/>
    </row>
    <row r="21" spans="1:11" x14ac:dyDescent="0.2">
      <c r="G21" s="45"/>
    </row>
    <row r="22" spans="1:11" x14ac:dyDescent="0.2">
      <c r="G22" s="45"/>
    </row>
    <row r="23" spans="1:11" x14ac:dyDescent="0.2">
      <c r="G23" s="45"/>
    </row>
    <row r="24" spans="1:11" x14ac:dyDescent="0.2">
      <c r="G24" s="45"/>
    </row>
    <row r="25" spans="1:11" x14ac:dyDescent="0.2">
      <c r="G25" s="45"/>
    </row>
    <row r="26" spans="1:11" x14ac:dyDescent="0.2">
      <c r="G26" s="45"/>
    </row>
    <row r="27" spans="1:11" x14ac:dyDescent="0.2">
      <c r="G27" s="45"/>
    </row>
    <row r="28" spans="1:11" x14ac:dyDescent="0.2">
      <c r="G28" s="45"/>
    </row>
    <row r="29" spans="1:11" x14ac:dyDescent="0.2">
      <c r="G29" s="45"/>
    </row>
    <row r="30" spans="1:11" x14ac:dyDescent="0.2">
      <c r="G30" s="45"/>
    </row>
    <row r="31" spans="1:11" x14ac:dyDescent="0.2">
      <c r="G31" s="45"/>
    </row>
    <row r="32" spans="1:11" x14ac:dyDescent="0.2">
      <c r="G32" s="45"/>
    </row>
    <row r="33" spans="7:7" x14ac:dyDescent="0.2">
      <c r="G33" s="45"/>
    </row>
    <row r="34" spans="7:7" x14ac:dyDescent="0.2">
      <c r="G34" s="45"/>
    </row>
    <row r="35" spans="7:7" x14ac:dyDescent="0.2">
      <c r="G35" s="45"/>
    </row>
    <row r="36" spans="7:7" x14ac:dyDescent="0.2">
      <c r="G36" s="45"/>
    </row>
    <row r="37" spans="7:7" x14ac:dyDescent="0.2">
      <c r="G37" s="45"/>
    </row>
    <row r="38" spans="7:7" x14ac:dyDescent="0.2">
      <c r="G38" s="45"/>
    </row>
    <row r="39" spans="7:7" x14ac:dyDescent="0.2">
      <c r="G39" s="45"/>
    </row>
    <row r="40" spans="7:7" x14ac:dyDescent="0.2">
      <c r="G40" s="45"/>
    </row>
    <row r="41" spans="7:7" x14ac:dyDescent="0.2">
      <c r="G41" s="45"/>
    </row>
    <row r="42" spans="7:7" x14ac:dyDescent="0.2">
      <c r="G42" s="45"/>
    </row>
    <row r="43" spans="7:7" x14ac:dyDescent="0.2">
      <c r="G43" s="45"/>
    </row>
    <row r="44" spans="7:7" x14ac:dyDescent="0.2">
      <c r="G44" s="45"/>
    </row>
    <row r="45" spans="7:7" x14ac:dyDescent="0.2">
      <c r="G45" s="45"/>
    </row>
    <row r="46" spans="7:7" x14ac:dyDescent="0.2">
      <c r="G46" s="45"/>
    </row>
    <row r="47" spans="7:7" x14ac:dyDescent="0.2">
      <c r="G47" s="45"/>
    </row>
    <row r="48" spans="7:7" x14ac:dyDescent="0.2">
      <c r="G48" s="45"/>
    </row>
    <row r="49" spans="7:7" x14ac:dyDescent="0.2">
      <c r="G49" s="45"/>
    </row>
    <row r="50" spans="7:7" x14ac:dyDescent="0.2">
      <c r="G50" s="45"/>
    </row>
    <row r="51" spans="7:7" x14ac:dyDescent="0.2">
      <c r="G51" s="45"/>
    </row>
    <row r="52" spans="7:7" x14ac:dyDescent="0.2">
      <c r="G52" s="45"/>
    </row>
    <row r="53" spans="7:7" x14ac:dyDescent="0.2">
      <c r="G53" s="45"/>
    </row>
    <row r="54" spans="7:7" x14ac:dyDescent="0.2">
      <c r="G54" s="45"/>
    </row>
    <row r="55" spans="7:7" x14ac:dyDescent="0.2">
      <c r="G55" s="45"/>
    </row>
    <row r="56" spans="7:7" x14ac:dyDescent="0.2">
      <c r="G56" s="45"/>
    </row>
    <row r="57" spans="7:7" x14ac:dyDescent="0.2">
      <c r="G57" s="45"/>
    </row>
    <row r="58" spans="7:7" x14ac:dyDescent="0.2">
      <c r="G58" s="45"/>
    </row>
    <row r="59" spans="7:7" x14ac:dyDescent="0.2">
      <c r="G59" s="45"/>
    </row>
    <row r="60" spans="7:7" x14ac:dyDescent="0.2">
      <c r="G60" s="45"/>
    </row>
    <row r="61" spans="7:7" x14ac:dyDescent="0.2">
      <c r="G61" s="45"/>
    </row>
    <row r="62" spans="7:7" x14ac:dyDescent="0.2">
      <c r="G62" s="45"/>
    </row>
    <row r="63" spans="7:7" x14ac:dyDescent="0.2">
      <c r="G63" s="45"/>
    </row>
    <row r="64" spans="7:7" x14ac:dyDescent="0.2">
      <c r="G64" s="45"/>
    </row>
    <row r="65" spans="7:7" x14ac:dyDescent="0.2">
      <c r="G65" s="45"/>
    </row>
    <row r="66" spans="7:7" x14ac:dyDescent="0.2">
      <c r="G66" s="45"/>
    </row>
    <row r="67" spans="7:7" x14ac:dyDescent="0.2">
      <c r="G67" s="45"/>
    </row>
    <row r="68" spans="7:7" x14ac:dyDescent="0.2">
      <c r="G68" s="45"/>
    </row>
    <row r="69" spans="7:7" x14ac:dyDescent="0.2">
      <c r="G69" s="45"/>
    </row>
    <row r="70" spans="7:7" x14ac:dyDescent="0.2">
      <c r="G70" s="45"/>
    </row>
    <row r="71" spans="7:7" x14ac:dyDescent="0.2">
      <c r="G71" s="45"/>
    </row>
    <row r="72" spans="7:7" x14ac:dyDescent="0.2">
      <c r="G72" s="45"/>
    </row>
    <row r="73" spans="7:7" x14ac:dyDescent="0.2">
      <c r="G73" s="45"/>
    </row>
    <row r="74" spans="7:7" x14ac:dyDescent="0.2">
      <c r="G74" s="45"/>
    </row>
    <row r="75" spans="7:7" x14ac:dyDescent="0.2">
      <c r="G75" s="45"/>
    </row>
    <row r="76" spans="7:7" x14ac:dyDescent="0.2">
      <c r="G76" s="45"/>
    </row>
    <row r="77" spans="7:7" x14ac:dyDescent="0.2">
      <c r="G77" s="45"/>
    </row>
    <row r="78" spans="7:7" x14ac:dyDescent="0.2">
      <c r="G78" s="45"/>
    </row>
    <row r="79" spans="7:7" x14ac:dyDescent="0.2">
      <c r="G79" s="45"/>
    </row>
    <row r="80" spans="7:7" x14ac:dyDescent="0.2">
      <c r="G80" s="45"/>
    </row>
    <row r="81" spans="7:7" x14ac:dyDescent="0.2">
      <c r="G81" s="45"/>
    </row>
    <row r="82" spans="7:7" x14ac:dyDescent="0.2">
      <c r="G82" s="45"/>
    </row>
    <row r="83" spans="7:7" x14ac:dyDescent="0.2">
      <c r="G83" s="45"/>
    </row>
    <row r="84" spans="7:7" x14ac:dyDescent="0.2">
      <c r="G84" s="45"/>
    </row>
    <row r="85" spans="7:7" x14ac:dyDescent="0.2">
      <c r="G85" s="45"/>
    </row>
    <row r="86" spans="7:7" x14ac:dyDescent="0.2">
      <c r="G86" s="45"/>
    </row>
    <row r="87" spans="7:7" x14ac:dyDescent="0.2">
      <c r="G87" s="45"/>
    </row>
    <row r="88" spans="7:7" x14ac:dyDescent="0.2">
      <c r="G88" s="45"/>
    </row>
    <row r="89" spans="7:7" x14ac:dyDescent="0.2">
      <c r="G89" s="45"/>
    </row>
    <row r="90" spans="7:7" x14ac:dyDescent="0.2">
      <c r="G90" s="45"/>
    </row>
    <row r="91" spans="7:7" x14ac:dyDescent="0.2">
      <c r="G91" s="45"/>
    </row>
    <row r="92" spans="7:7" x14ac:dyDescent="0.2">
      <c r="G92" s="45"/>
    </row>
    <row r="93" spans="7:7" x14ac:dyDescent="0.2">
      <c r="G93" s="45"/>
    </row>
    <row r="94" spans="7:7" x14ac:dyDescent="0.2">
      <c r="G94" s="45"/>
    </row>
    <row r="95" spans="7:7" x14ac:dyDescent="0.2">
      <c r="G95" s="45"/>
    </row>
    <row r="96" spans="7:7" x14ac:dyDescent="0.2">
      <c r="G96" s="45"/>
    </row>
    <row r="97" spans="7:7" x14ac:dyDescent="0.2">
      <c r="G97" s="45"/>
    </row>
    <row r="98" spans="7:7" x14ac:dyDescent="0.2">
      <c r="G98" s="45"/>
    </row>
    <row r="99" spans="7:7" x14ac:dyDescent="0.2">
      <c r="G99" s="45"/>
    </row>
    <row r="100" spans="7:7" x14ac:dyDescent="0.2">
      <c r="G100" s="45"/>
    </row>
    <row r="101" spans="7:7" x14ac:dyDescent="0.2">
      <c r="G101" s="45"/>
    </row>
    <row r="102" spans="7:7" x14ac:dyDescent="0.2">
      <c r="G102" s="45"/>
    </row>
    <row r="103" spans="7:7" x14ac:dyDescent="0.2">
      <c r="G103" s="45"/>
    </row>
    <row r="104" spans="7:7" x14ac:dyDescent="0.2">
      <c r="G104" s="45"/>
    </row>
    <row r="105" spans="7:7" x14ac:dyDescent="0.2">
      <c r="G105" s="45"/>
    </row>
    <row r="106" spans="7:7" x14ac:dyDescent="0.2">
      <c r="G106" s="45"/>
    </row>
    <row r="107" spans="7:7" x14ac:dyDescent="0.2">
      <c r="G107" s="45"/>
    </row>
    <row r="108" spans="7:7" x14ac:dyDescent="0.2">
      <c r="G108" s="45"/>
    </row>
    <row r="109" spans="7:7" x14ac:dyDescent="0.2">
      <c r="G109" s="45"/>
    </row>
    <row r="110" spans="7:7" x14ac:dyDescent="0.2">
      <c r="G110" s="45"/>
    </row>
    <row r="111" spans="7:7" x14ac:dyDescent="0.2">
      <c r="G111" s="45"/>
    </row>
    <row r="112" spans="7:7" x14ac:dyDescent="0.2">
      <c r="G112" s="45"/>
    </row>
  </sheetData>
  <pageMargins left="0.78740157499999996" right="0.78740157499999996" top="0.984251969" bottom="0.984251969" header="0.5" footer="0.5"/>
  <pageSetup paperSize="9" scale="67" fitToHeight="0" orientation="landscape" horizontalDpi="1200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20">
    <tabColor rgb="FFC00000"/>
    <pageSetUpPr fitToPage="1"/>
  </sheetPr>
  <dimension ref="A1:I129"/>
  <sheetViews>
    <sheetView showGridLines="0" zoomScale="85" zoomScaleNormal="85" workbookViewId="0">
      <pane ySplit="10" topLeftCell="A11" activePane="bottomLeft" state="frozen"/>
      <selection activeCell="A2" sqref="A2"/>
      <selection pane="bottomLeft" activeCell="A11" sqref="A11"/>
    </sheetView>
  </sheetViews>
  <sheetFormatPr baseColWidth="10" defaultColWidth="11.42578125" defaultRowHeight="12.75" x14ac:dyDescent="0.2"/>
  <cols>
    <col min="1" max="1" width="29.42578125" style="45" customWidth="1"/>
    <col min="2" max="2" width="13.7109375" style="45" bestFit="1" customWidth="1"/>
    <col min="3" max="3" width="41.42578125" style="45" customWidth="1"/>
    <col min="4" max="4" width="10.7109375" style="45" customWidth="1"/>
    <col min="5" max="5" width="10.28515625" style="45" customWidth="1"/>
    <col min="6" max="6" width="10.28515625" style="63" customWidth="1"/>
    <col min="7" max="21" width="10.28515625" style="45" customWidth="1"/>
    <col min="22" max="25" width="12.7109375" style="45" bestFit="1" customWidth="1"/>
    <col min="26" max="26" width="16" style="45" bestFit="1" customWidth="1"/>
    <col min="27" max="50" width="10.28515625" style="45" customWidth="1"/>
    <col min="51" max="51" width="16" style="45" bestFit="1" customWidth="1"/>
    <col min="52" max="62" width="10.28515625" style="45" customWidth="1"/>
    <col min="63" max="63" width="16" style="45" bestFit="1" customWidth="1"/>
    <col min="64" max="64" width="10.28515625" style="45" customWidth="1"/>
    <col min="65" max="65" width="16" style="45" bestFit="1" customWidth="1"/>
    <col min="66" max="66" width="10.28515625" style="45" customWidth="1"/>
    <col min="67" max="67" width="16" style="45" bestFit="1" customWidth="1"/>
    <col min="68" max="68" width="10.28515625" style="45" customWidth="1"/>
    <col min="69" max="69" width="16" style="45" bestFit="1" customWidth="1"/>
    <col min="70" max="16384" width="11.42578125" style="45"/>
  </cols>
  <sheetData>
    <row r="1" spans="1:9" ht="30" customHeight="1" x14ac:dyDescent="0.3">
      <c r="A1" s="48"/>
    </row>
    <row r="2" spans="1:9" x14ac:dyDescent="0.2">
      <c r="A2" s="45">
        <f>Updated</f>
        <v>0</v>
      </c>
    </row>
    <row r="6" spans="1:9" ht="15" x14ac:dyDescent="0.25">
      <c r="A6" s="110" t="s">
        <v>333</v>
      </c>
      <c r="B6" s="111" t="s">
        <v>432</v>
      </c>
    </row>
    <row r="7" spans="1:9" ht="15" x14ac:dyDescent="0.25">
      <c r="A7" s="110" t="s">
        <v>166</v>
      </c>
      <c r="B7" s="111" t="s">
        <v>106</v>
      </c>
    </row>
    <row r="8" spans="1:9" ht="15" x14ac:dyDescent="0.25">
      <c r="A8" s="110" t="s">
        <v>156</v>
      </c>
      <c r="B8" s="111" t="s">
        <v>106</v>
      </c>
    </row>
    <row r="10" spans="1:9" ht="15" x14ac:dyDescent="0.25">
      <c r="A10" s="1" t="s">
        <v>172</v>
      </c>
      <c r="B10" s="115" t="s">
        <v>119</v>
      </c>
      <c r="C10" s="115" t="s">
        <v>0</v>
      </c>
      <c r="D10" s="68" t="s">
        <v>430</v>
      </c>
      <c r="E10"/>
      <c r="F10"/>
      <c r="G10"/>
      <c r="H10"/>
      <c r="I10"/>
    </row>
    <row r="11" spans="1:9" ht="15" x14ac:dyDescent="0.25">
      <c r="A11" s="14" t="s">
        <v>317</v>
      </c>
      <c r="B11" s="116">
        <v>1216279</v>
      </c>
      <c r="C11" s="112" t="s">
        <v>318</v>
      </c>
      <c r="D11" s="142">
        <v>0</v>
      </c>
      <c r="E11"/>
      <c r="F11"/>
      <c r="G11"/>
      <c r="H11"/>
      <c r="I11"/>
    </row>
    <row r="12" spans="1:9" ht="15" x14ac:dyDescent="0.25">
      <c r="A12" s="109"/>
      <c r="B12" s="141"/>
      <c r="C12" s="140" t="s">
        <v>319</v>
      </c>
      <c r="D12" s="143">
        <v>0</v>
      </c>
      <c r="E12"/>
      <c r="F12"/>
      <c r="G12"/>
      <c r="H12"/>
      <c r="I12"/>
    </row>
    <row r="13" spans="1:9" ht="15.75" thickBot="1" x14ac:dyDescent="0.3">
      <c r="A13" s="2" t="s">
        <v>105</v>
      </c>
      <c r="B13" s="15"/>
      <c r="C13" s="15"/>
      <c r="D13" s="69">
        <v>0</v>
      </c>
      <c r="E13"/>
      <c r="F13"/>
      <c r="G13"/>
      <c r="H13"/>
      <c r="I13"/>
    </row>
    <row r="14" spans="1:9" ht="15.75" thickTop="1" x14ac:dyDescent="0.25">
      <c r="A14"/>
      <c r="B14"/>
      <c r="C14"/>
      <c r="D14"/>
      <c r="F14" s="45"/>
    </row>
    <row r="15" spans="1:9" ht="15.75" thickTop="1" x14ac:dyDescent="0.25">
      <c r="A15"/>
      <c r="B15"/>
      <c r="C15"/>
      <c r="D15"/>
      <c r="F15" s="45"/>
    </row>
    <row r="16" spans="1:9" ht="15" x14ac:dyDescent="0.25">
      <c r="A16"/>
      <c r="B16"/>
      <c r="C16"/>
      <c r="D16"/>
      <c r="F16" s="45"/>
    </row>
    <row r="17" spans="1:6" ht="15" x14ac:dyDescent="0.25">
      <c r="A17"/>
      <c r="B17"/>
      <c r="C17"/>
      <c r="D17"/>
      <c r="F17" s="45"/>
    </row>
    <row r="18" spans="1:6" ht="15" x14ac:dyDescent="0.25">
      <c r="A18"/>
      <c r="B18"/>
      <c r="C18"/>
      <c r="D18"/>
      <c r="F18" s="45"/>
    </row>
    <row r="19" spans="1:6" ht="15" x14ac:dyDescent="0.25">
      <c r="A19"/>
      <c r="B19"/>
      <c r="C19"/>
      <c r="D19"/>
      <c r="F19" s="45"/>
    </row>
    <row r="20" spans="1:6" ht="15" x14ac:dyDescent="0.25">
      <c r="A20"/>
      <c r="B20"/>
      <c r="C20"/>
      <c r="D20"/>
      <c r="F20" s="45"/>
    </row>
    <row r="21" spans="1:6" ht="15" x14ac:dyDescent="0.25">
      <c r="A21"/>
      <c r="B21"/>
      <c r="C21"/>
      <c r="D21"/>
      <c r="F21" s="45"/>
    </row>
    <row r="22" spans="1:6" ht="15" x14ac:dyDescent="0.25">
      <c r="A22"/>
      <c r="B22"/>
      <c r="C22"/>
      <c r="D22"/>
      <c r="F22" s="45"/>
    </row>
    <row r="23" spans="1:6" ht="15" x14ac:dyDescent="0.25">
      <c r="A23"/>
      <c r="B23"/>
      <c r="C23"/>
      <c r="D23"/>
      <c r="F23" s="45"/>
    </row>
    <row r="24" spans="1:6" ht="15" x14ac:dyDescent="0.25">
      <c r="A24"/>
      <c r="B24"/>
      <c r="C24"/>
      <c r="D24"/>
      <c r="F24" s="45"/>
    </row>
    <row r="25" spans="1:6" ht="15" x14ac:dyDescent="0.25">
      <c r="A25"/>
      <c r="B25"/>
      <c r="C25"/>
      <c r="D25"/>
      <c r="F25" s="45"/>
    </row>
    <row r="26" spans="1:6" ht="15" x14ac:dyDescent="0.25">
      <c r="A26"/>
      <c r="B26"/>
      <c r="C26"/>
      <c r="D26"/>
      <c r="F26" s="45"/>
    </row>
    <row r="27" spans="1:6" ht="15" x14ac:dyDescent="0.25">
      <c r="A27"/>
      <c r="B27"/>
      <c r="C27"/>
      <c r="D27"/>
      <c r="F27" s="45"/>
    </row>
    <row r="28" spans="1:6" ht="15" x14ac:dyDescent="0.25">
      <c r="A28"/>
      <c r="B28"/>
      <c r="C28"/>
      <c r="D28"/>
      <c r="F28" s="45"/>
    </row>
    <row r="29" spans="1:6" ht="15" x14ac:dyDescent="0.25">
      <c r="A29"/>
      <c r="B29"/>
      <c r="C29"/>
      <c r="D29"/>
      <c r="F29" s="45"/>
    </row>
    <row r="30" spans="1:6" ht="15" x14ac:dyDescent="0.25">
      <c r="A30"/>
      <c r="B30"/>
      <c r="C30"/>
      <c r="D30"/>
      <c r="F30" s="45"/>
    </row>
    <row r="31" spans="1:6" ht="15.75" thickBot="1" x14ac:dyDescent="0.3">
      <c r="A31"/>
      <c r="B31"/>
      <c r="C31"/>
      <c r="D31"/>
      <c r="F31" s="45"/>
    </row>
    <row r="32" spans="1:6" ht="13.5" thickTop="1" x14ac:dyDescent="0.2">
      <c r="F32" s="45"/>
    </row>
    <row r="33" spans="6:6" x14ac:dyDescent="0.2">
      <c r="F33" s="45"/>
    </row>
    <row r="34" spans="6:6" x14ac:dyDescent="0.2">
      <c r="F34" s="45"/>
    </row>
    <row r="35" spans="6:6" x14ac:dyDescent="0.2">
      <c r="F35" s="45"/>
    </row>
    <row r="36" spans="6:6" x14ac:dyDescent="0.2">
      <c r="F36" s="45"/>
    </row>
    <row r="37" spans="6:6" x14ac:dyDescent="0.2">
      <c r="F37" s="45"/>
    </row>
    <row r="38" spans="6:6" x14ac:dyDescent="0.2">
      <c r="F38" s="45"/>
    </row>
    <row r="39" spans="6:6" x14ac:dyDescent="0.2">
      <c r="F39" s="45"/>
    </row>
    <row r="40" spans="6:6" x14ac:dyDescent="0.2">
      <c r="F40" s="45"/>
    </row>
    <row r="41" spans="6:6" x14ac:dyDescent="0.2">
      <c r="F41" s="45"/>
    </row>
    <row r="42" spans="6:6" x14ac:dyDescent="0.2">
      <c r="F42" s="45"/>
    </row>
    <row r="43" spans="6:6" x14ac:dyDescent="0.2">
      <c r="F43" s="45"/>
    </row>
    <row r="44" spans="6:6" x14ac:dyDescent="0.2">
      <c r="F44" s="45"/>
    </row>
    <row r="45" spans="6:6" x14ac:dyDescent="0.2">
      <c r="F45" s="45"/>
    </row>
    <row r="46" spans="6:6" x14ac:dyDescent="0.2">
      <c r="F46" s="45"/>
    </row>
    <row r="47" spans="6:6" x14ac:dyDescent="0.2">
      <c r="F47" s="45"/>
    </row>
    <row r="48" spans="6:6" x14ac:dyDescent="0.2">
      <c r="F48" s="45"/>
    </row>
    <row r="49" spans="6:6" x14ac:dyDescent="0.2">
      <c r="F49" s="45"/>
    </row>
    <row r="50" spans="6:6" x14ac:dyDescent="0.2">
      <c r="F50" s="45"/>
    </row>
    <row r="51" spans="6:6" x14ac:dyDescent="0.2">
      <c r="F51" s="45"/>
    </row>
    <row r="52" spans="6:6" x14ac:dyDescent="0.2">
      <c r="F52" s="45"/>
    </row>
    <row r="53" spans="6:6" x14ac:dyDescent="0.2">
      <c r="F53" s="45"/>
    </row>
    <row r="54" spans="6:6" x14ac:dyDescent="0.2">
      <c r="F54" s="45"/>
    </row>
    <row r="55" spans="6:6" x14ac:dyDescent="0.2">
      <c r="F55" s="45"/>
    </row>
    <row r="56" spans="6:6" x14ac:dyDescent="0.2">
      <c r="F56" s="45"/>
    </row>
    <row r="57" spans="6:6" x14ac:dyDescent="0.2">
      <c r="F57" s="45"/>
    </row>
    <row r="58" spans="6:6" x14ac:dyDescent="0.2">
      <c r="F58" s="45"/>
    </row>
    <row r="59" spans="6:6" x14ac:dyDescent="0.2">
      <c r="F59" s="45"/>
    </row>
    <row r="60" spans="6:6" x14ac:dyDescent="0.2">
      <c r="F60" s="45"/>
    </row>
    <row r="61" spans="6:6" x14ac:dyDescent="0.2">
      <c r="F61" s="45"/>
    </row>
    <row r="62" spans="6:6" x14ac:dyDescent="0.2">
      <c r="F62" s="45"/>
    </row>
    <row r="63" spans="6:6" x14ac:dyDescent="0.2">
      <c r="F63" s="45"/>
    </row>
    <row r="64" spans="6:6" x14ac:dyDescent="0.2">
      <c r="F64" s="45"/>
    </row>
    <row r="65" spans="6:6" x14ac:dyDescent="0.2">
      <c r="F65" s="45"/>
    </row>
    <row r="66" spans="6:6" x14ac:dyDescent="0.2">
      <c r="F66" s="45"/>
    </row>
    <row r="67" spans="6:6" x14ac:dyDescent="0.2">
      <c r="F67" s="45"/>
    </row>
    <row r="68" spans="6:6" x14ac:dyDescent="0.2">
      <c r="F68" s="45"/>
    </row>
    <row r="69" spans="6:6" x14ac:dyDescent="0.2">
      <c r="F69" s="45"/>
    </row>
    <row r="70" spans="6:6" x14ac:dyDescent="0.2">
      <c r="F70" s="45"/>
    </row>
    <row r="71" spans="6:6" x14ac:dyDescent="0.2">
      <c r="F71" s="45"/>
    </row>
    <row r="72" spans="6:6" x14ac:dyDescent="0.2">
      <c r="F72" s="45"/>
    </row>
    <row r="73" spans="6:6" x14ac:dyDescent="0.2">
      <c r="F73" s="45"/>
    </row>
    <row r="74" spans="6:6" x14ac:dyDescent="0.2">
      <c r="F74" s="45"/>
    </row>
    <row r="75" spans="6:6" x14ac:dyDescent="0.2">
      <c r="F75" s="45"/>
    </row>
    <row r="76" spans="6:6" x14ac:dyDescent="0.2">
      <c r="F76" s="45"/>
    </row>
    <row r="77" spans="6:6" x14ac:dyDescent="0.2">
      <c r="F77" s="45"/>
    </row>
    <row r="78" spans="6:6" x14ac:dyDescent="0.2">
      <c r="F78" s="45"/>
    </row>
    <row r="79" spans="6:6" x14ac:dyDescent="0.2">
      <c r="F79" s="45"/>
    </row>
    <row r="80" spans="6:6" x14ac:dyDescent="0.2">
      <c r="F80" s="45"/>
    </row>
    <row r="81" spans="6:6" x14ac:dyDescent="0.2">
      <c r="F81" s="45"/>
    </row>
    <row r="82" spans="6:6" x14ac:dyDescent="0.2">
      <c r="F82" s="45"/>
    </row>
    <row r="83" spans="6:6" x14ac:dyDescent="0.2">
      <c r="F83" s="45"/>
    </row>
    <row r="84" spans="6:6" x14ac:dyDescent="0.2">
      <c r="F84" s="45"/>
    </row>
    <row r="85" spans="6:6" x14ac:dyDescent="0.2">
      <c r="F85" s="45"/>
    </row>
    <row r="86" spans="6:6" x14ac:dyDescent="0.2">
      <c r="F86" s="45"/>
    </row>
    <row r="87" spans="6:6" x14ac:dyDescent="0.2">
      <c r="F87" s="45"/>
    </row>
    <row r="88" spans="6:6" x14ac:dyDescent="0.2">
      <c r="F88" s="45"/>
    </row>
    <row r="89" spans="6:6" x14ac:dyDescent="0.2">
      <c r="F89" s="45"/>
    </row>
    <row r="90" spans="6:6" x14ac:dyDescent="0.2">
      <c r="F90" s="45"/>
    </row>
    <row r="91" spans="6:6" x14ac:dyDescent="0.2">
      <c r="F91" s="45"/>
    </row>
    <row r="92" spans="6:6" x14ac:dyDescent="0.2">
      <c r="F92" s="45"/>
    </row>
    <row r="93" spans="6:6" x14ac:dyDescent="0.2">
      <c r="F93" s="45"/>
    </row>
    <row r="94" spans="6:6" x14ac:dyDescent="0.2">
      <c r="F94" s="45"/>
    </row>
    <row r="95" spans="6:6" x14ac:dyDescent="0.2">
      <c r="F95" s="45"/>
    </row>
    <row r="96" spans="6:6" x14ac:dyDescent="0.2">
      <c r="F96" s="45"/>
    </row>
    <row r="97" spans="6:6" x14ac:dyDescent="0.2">
      <c r="F97" s="45"/>
    </row>
    <row r="98" spans="6:6" x14ac:dyDescent="0.2">
      <c r="F98" s="45"/>
    </row>
    <row r="99" spans="6:6" x14ac:dyDescent="0.2">
      <c r="F99" s="45"/>
    </row>
    <row r="100" spans="6:6" x14ac:dyDescent="0.2">
      <c r="F100" s="45"/>
    </row>
    <row r="101" spans="6:6" x14ac:dyDescent="0.2">
      <c r="F101" s="45"/>
    </row>
    <row r="102" spans="6:6" x14ac:dyDescent="0.2">
      <c r="F102" s="45"/>
    </row>
    <row r="103" spans="6:6" x14ac:dyDescent="0.2">
      <c r="F103" s="45"/>
    </row>
    <row r="104" spans="6:6" x14ac:dyDescent="0.2">
      <c r="F104" s="45"/>
    </row>
    <row r="105" spans="6:6" x14ac:dyDescent="0.2">
      <c r="F105" s="45"/>
    </row>
    <row r="106" spans="6:6" x14ac:dyDescent="0.2">
      <c r="F106" s="45"/>
    </row>
    <row r="107" spans="6:6" x14ac:dyDescent="0.2">
      <c r="F107" s="45"/>
    </row>
    <row r="108" spans="6:6" x14ac:dyDescent="0.2">
      <c r="F108" s="45"/>
    </row>
    <row r="109" spans="6:6" x14ac:dyDescent="0.2">
      <c r="F109" s="45"/>
    </row>
    <row r="110" spans="6:6" x14ac:dyDescent="0.2">
      <c r="F110" s="45"/>
    </row>
    <row r="111" spans="6:6" x14ac:dyDescent="0.2">
      <c r="F111" s="45"/>
    </row>
    <row r="112" spans="6:6" x14ac:dyDescent="0.2">
      <c r="F112" s="45"/>
    </row>
    <row r="113" spans="6:6" x14ac:dyDescent="0.2">
      <c r="F113" s="45"/>
    </row>
    <row r="114" spans="6:6" x14ac:dyDescent="0.2">
      <c r="F114" s="45"/>
    </row>
    <row r="115" spans="6:6" x14ac:dyDescent="0.2">
      <c r="F115" s="45"/>
    </row>
    <row r="116" spans="6:6" x14ac:dyDescent="0.2">
      <c r="F116" s="45"/>
    </row>
    <row r="117" spans="6:6" x14ac:dyDescent="0.2">
      <c r="F117" s="45"/>
    </row>
    <row r="118" spans="6:6" x14ac:dyDescent="0.2">
      <c r="F118" s="45"/>
    </row>
    <row r="119" spans="6:6" x14ac:dyDescent="0.2">
      <c r="F119" s="45"/>
    </row>
    <row r="120" spans="6:6" x14ac:dyDescent="0.2">
      <c r="F120" s="45"/>
    </row>
    <row r="121" spans="6:6" x14ac:dyDescent="0.2">
      <c r="F121" s="45"/>
    </row>
    <row r="122" spans="6:6" x14ac:dyDescent="0.2">
      <c r="F122" s="45"/>
    </row>
    <row r="123" spans="6:6" x14ac:dyDescent="0.2">
      <c r="F123" s="45"/>
    </row>
    <row r="124" spans="6:6" x14ac:dyDescent="0.2">
      <c r="F124" s="45"/>
    </row>
    <row r="125" spans="6:6" x14ac:dyDescent="0.2">
      <c r="F125" s="45"/>
    </row>
    <row r="126" spans="6:6" x14ac:dyDescent="0.2">
      <c r="F126" s="45"/>
    </row>
    <row r="127" spans="6:6" x14ac:dyDescent="0.2">
      <c r="F127" s="45"/>
    </row>
    <row r="128" spans="6:6" x14ac:dyDescent="0.2">
      <c r="F128" s="45"/>
    </row>
    <row r="129" spans="6:6" x14ac:dyDescent="0.2">
      <c r="F129" s="45"/>
    </row>
  </sheetData>
  <pageMargins left="0.78740157499999996" right="0.78740157499999996" top="0.984251969" bottom="0.984251969" header="0.5" footer="0.5"/>
  <pageSetup paperSize="9" scale="67" orientation="landscape" horizontalDpi="1200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21">
    <tabColor rgb="FFC00000"/>
  </sheetPr>
  <dimension ref="A1:R189"/>
  <sheetViews>
    <sheetView showGridLines="0" zoomScale="85" workbookViewId="0">
      <pane ySplit="11" topLeftCell="A12" activePane="bottomLeft" state="frozen"/>
      <selection activeCell="A2" sqref="A2"/>
      <selection pane="bottomLeft" activeCell="A12" sqref="A12"/>
    </sheetView>
  </sheetViews>
  <sheetFormatPr baseColWidth="10" defaultColWidth="11.42578125" defaultRowHeight="12.75" x14ac:dyDescent="0.2"/>
  <cols>
    <col min="1" max="1" width="23.7109375" style="45" customWidth="1"/>
    <col min="2" max="2" width="8.28515625" style="45" customWidth="1"/>
    <col min="3" max="3" width="45.7109375" style="45" customWidth="1"/>
    <col min="4" max="4" width="10.28515625" style="45" customWidth="1"/>
    <col min="5" max="5" width="13.7109375" style="45" customWidth="1"/>
    <col min="6" max="6" width="12.7109375" style="63" customWidth="1"/>
    <col min="7" max="8" width="10.7109375" style="45" customWidth="1"/>
    <col min="9" max="9" width="13.28515625" style="45" bestFit="1" customWidth="1"/>
    <col min="10" max="10" width="9.5703125" style="45" customWidth="1"/>
    <col min="11" max="12" width="11.7109375" style="45" customWidth="1"/>
    <col min="13" max="18" width="10.42578125" style="45" customWidth="1"/>
    <col min="19" max="19" width="10.5703125" style="45" customWidth="1"/>
    <col min="20" max="20" width="10.28515625" style="45" customWidth="1"/>
    <col min="21" max="25" width="12.7109375" style="45" bestFit="1" customWidth="1"/>
    <col min="26" max="26" width="16" style="45" bestFit="1" customWidth="1"/>
    <col min="27" max="50" width="10.28515625" style="45" customWidth="1"/>
    <col min="51" max="51" width="16" style="45" bestFit="1" customWidth="1"/>
    <col min="52" max="62" width="10.28515625" style="45" customWidth="1"/>
    <col min="63" max="63" width="16" style="45" bestFit="1" customWidth="1"/>
    <col min="64" max="64" width="10.28515625" style="45" customWidth="1"/>
    <col min="65" max="65" width="16" style="45" bestFit="1" customWidth="1"/>
    <col min="66" max="66" width="10.28515625" style="45" customWidth="1"/>
    <col min="67" max="67" width="16" style="45" bestFit="1" customWidth="1"/>
    <col min="68" max="68" width="10.28515625" style="45" customWidth="1"/>
    <col min="69" max="69" width="16" style="45" bestFit="1" customWidth="1"/>
    <col min="70" max="16384" width="11.42578125" style="45"/>
  </cols>
  <sheetData>
    <row r="1" spans="1:18" ht="30" customHeight="1" x14ac:dyDescent="0.3">
      <c r="A1" s="48"/>
    </row>
    <row r="2" spans="1:18" x14ac:dyDescent="0.2">
      <c r="A2" s="45" t="str">
        <f>"Creation Time: "&amp;TEXT(PlanTime,"dd.mm.åååå tt:mm:ss")</f>
        <v>Creation Time: 00.01.1900 00:00:00</v>
      </c>
    </row>
    <row r="3" spans="1:18" x14ac:dyDescent="0.2">
      <c r="J3" s="49" t="s">
        <v>326</v>
      </c>
      <c r="K3" s="65">
        <f>COUNTA(K12:K590)</f>
        <v>3</v>
      </c>
    </row>
    <row r="8" spans="1:18" ht="15" x14ac:dyDescent="0.25">
      <c r="A8" s="110" t="s">
        <v>156</v>
      </c>
      <c r="B8" s="111" t="s">
        <v>106</v>
      </c>
    </row>
    <row r="10" spans="1:18" ht="15" x14ac:dyDescent="0.25">
      <c r="A10" s="66" t="s">
        <v>316</v>
      </c>
      <c r="B10" s="66"/>
      <c r="C10" s="66"/>
      <c r="D10" s="66"/>
      <c r="E10" s="66"/>
      <c r="F10" s="66"/>
      <c r="G10" s="66"/>
      <c r="H10" s="66"/>
      <c r="I10" s="66"/>
      <c r="J10" s="66"/>
      <c r="K10" s="66" t="s">
        <v>167</v>
      </c>
      <c r="L10"/>
      <c r="M10"/>
      <c r="N10"/>
      <c r="O10"/>
      <c r="P10"/>
      <c r="Q10"/>
      <c r="R10"/>
    </row>
    <row r="11" spans="1:18" ht="15" x14ac:dyDescent="0.25">
      <c r="A11" s="1" t="s">
        <v>172</v>
      </c>
      <c r="B11" s="115" t="s">
        <v>166</v>
      </c>
      <c r="C11" s="115" t="s">
        <v>0</v>
      </c>
      <c r="D11" s="115" t="s">
        <v>119</v>
      </c>
      <c r="E11" s="115" t="s">
        <v>191</v>
      </c>
      <c r="F11" s="115" t="s">
        <v>192</v>
      </c>
      <c r="G11" s="123" t="s">
        <v>162</v>
      </c>
      <c r="H11" s="115" t="s">
        <v>168</v>
      </c>
      <c r="I11" s="115" t="s">
        <v>337</v>
      </c>
      <c r="J11" s="115" t="s">
        <v>184</v>
      </c>
      <c r="K11" s="118">
        <v>41233</v>
      </c>
      <c r="L11"/>
      <c r="M11"/>
      <c r="N11"/>
      <c r="O11"/>
      <c r="P11"/>
      <c r="Q11"/>
      <c r="R11"/>
    </row>
    <row r="12" spans="1:18" ht="15" x14ac:dyDescent="0.25">
      <c r="A12" s="14" t="s">
        <v>317</v>
      </c>
      <c r="B12" s="116">
        <v>1</v>
      </c>
      <c r="C12" s="112" t="s">
        <v>318</v>
      </c>
      <c r="D12" s="116">
        <v>1216279</v>
      </c>
      <c r="E12" s="113">
        <v>41603</v>
      </c>
      <c r="F12" s="117">
        <v>0.29166666666666669</v>
      </c>
      <c r="G12" s="114">
        <v>3.1666666666666599</v>
      </c>
      <c r="H12" s="117">
        <v>0.73478009259259258</v>
      </c>
      <c r="I12" s="112" t="s">
        <v>41</v>
      </c>
      <c r="J12" s="112" t="s">
        <v>424</v>
      </c>
      <c r="K12" s="119">
        <v>1300</v>
      </c>
      <c r="L12"/>
      <c r="M12"/>
      <c r="N12"/>
      <c r="O12"/>
      <c r="P12"/>
      <c r="Q12"/>
      <c r="R12"/>
    </row>
    <row r="13" spans="1:18" ht="15" x14ac:dyDescent="0.25">
      <c r="A13" s="109"/>
      <c r="B13" s="116">
        <v>2</v>
      </c>
      <c r="C13" s="112" t="s">
        <v>319</v>
      </c>
      <c r="D13" s="116">
        <v>1216279</v>
      </c>
      <c r="E13" s="113">
        <v>41603</v>
      </c>
      <c r="F13" s="117">
        <v>0.29166666666666669</v>
      </c>
      <c r="G13" s="114">
        <v>4.6666666666666599</v>
      </c>
      <c r="H13" s="117">
        <v>0.929224537037037</v>
      </c>
      <c r="I13" s="112" t="s">
        <v>41</v>
      </c>
      <c r="J13" s="112"/>
      <c r="K13" s="119">
        <v>55</v>
      </c>
      <c r="L13"/>
      <c r="M13"/>
      <c r="N13"/>
      <c r="O13"/>
      <c r="P13"/>
      <c r="Q13"/>
      <c r="R13"/>
    </row>
    <row r="14" spans="1:18" ht="15" x14ac:dyDescent="0.25">
      <c r="A14" s="109"/>
      <c r="B14" s="141"/>
      <c r="C14" s="141"/>
      <c r="D14" s="116" t="s">
        <v>431</v>
      </c>
      <c r="E14" s="113">
        <v>41603</v>
      </c>
      <c r="F14" s="117">
        <v>0.29166666666666669</v>
      </c>
      <c r="G14" s="114">
        <v>4.6666666666666599</v>
      </c>
      <c r="H14" s="117">
        <v>0.929224537037037</v>
      </c>
      <c r="I14" s="112">
        <v>0</v>
      </c>
      <c r="J14" s="112"/>
      <c r="K14" s="119">
        <v>55</v>
      </c>
      <c r="L14"/>
      <c r="M14"/>
      <c r="N14"/>
      <c r="O14"/>
      <c r="P14"/>
      <c r="Q14"/>
      <c r="R14"/>
    </row>
    <row r="15" spans="1:18" ht="15" x14ac:dyDescent="0.25">
      <c r="A15" s="120"/>
      <c r="B15" s="121"/>
      <c r="C15" s="121"/>
      <c r="D15" s="121"/>
      <c r="E15" s="121"/>
      <c r="F15" s="121"/>
      <c r="G15" s="121"/>
      <c r="H15" s="121"/>
      <c r="I15" s="121"/>
      <c r="J15" s="121"/>
      <c r="K15" s="122"/>
      <c r="L15"/>
      <c r="M15"/>
      <c r="N15"/>
      <c r="O15"/>
      <c r="P15"/>
      <c r="Q15"/>
      <c r="R15"/>
    </row>
    <row r="16" spans="1:18" ht="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</row>
    <row r="17" spans="1:18" ht="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ht="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ht="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ht="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ht="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ht="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ht="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ht="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ht="1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">
      <c r="F114" s="45"/>
    </row>
    <row r="115" spans="1:18" x14ac:dyDescent="0.2">
      <c r="F115" s="45"/>
    </row>
    <row r="116" spans="1:18" x14ac:dyDescent="0.2">
      <c r="F116" s="45"/>
    </row>
    <row r="117" spans="1:18" x14ac:dyDescent="0.2">
      <c r="F117" s="45"/>
    </row>
    <row r="118" spans="1:18" x14ac:dyDescent="0.2">
      <c r="F118" s="45"/>
    </row>
    <row r="119" spans="1:18" x14ac:dyDescent="0.2">
      <c r="F119" s="45"/>
    </row>
    <row r="120" spans="1:18" x14ac:dyDescent="0.2">
      <c r="F120" s="45"/>
    </row>
    <row r="121" spans="1:18" x14ac:dyDescent="0.2">
      <c r="F121" s="45"/>
    </row>
    <row r="122" spans="1:18" x14ac:dyDescent="0.2">
      <c r="F122" s="45"/>
    </row>
    <row r="123" spans="1:18" x14ac:dyDescent="0.2">
      <c r="F123" s="45"/>
    </row>
    <row r="124" spans="1:18" x14ac:dyDescent="0.2">
      <c r="F124" s="45"/>
    </row>
    <row r="125" spans="1:18" x14ac:dyDescent="0.2">
      <c r="F125" s="45"/>
    </row>
    <row r="126" spans="1:18" x14ac:dyDescent="0.2">
      <c r="F126" s="45"/>
    </row>
    <row r="127" spans="1:18" x14ac:dyDescent="0.2">
      <c r="F127" s="45"/>
    </row>
    <row r="128" spans="1:18" x14ac:dyDescent="0.2">
      <c r="F128" s="45"/>
    </row>
    <row r="129" spans="6:6" x14ac:dyDescent="0.2">
      <c r="F129" s="45"/>
    </row>
    <row r="130" spans="6:6" x14ac:dyDescent="0.2">
      <c r="F130" s="45"/>
    </row>
    <row r="131" spans="6:6" x14ac:dyDescent="0.2">
      <c r="F131" s="45"/>
    </row>
    <row r="132" spans="6:6" x14ac:dyDescent="0.2">
      <c r="F132" s="45"/>
    </row>
    <row r="133" spans="6:6" x14ac:dyDescent="0.2">
      <c r="F133" s="45"/>
    </row>
    <row r="134" spans="6:6" x14ac:dyDescent="0.2">
      <c r="F134" s="45"/>
    </row>
    <row r="135" spans="6:6" x14ac:dyDescent="0.2">
      <c r="F135" s="45"/>
    </row>
    <row r="136" spans="6:6" x14ac:dyDescent="0.2">
      <c r="F136" s="45"/>
    </row>
    <row r="137" spans="6:6" x14ac:dyDescent="0.2">
      <c r="F137" s="45"/>
    </row>
    <row r="138" spans="6:6" x14ac:dyDescent="0.2">
      <c r="F138" s="45"/>
    </row>
    <row r="139" spans="6:6" x14ac:dyDescent="0.2">
      <c r="F139" s="45"/>
    </row>
    <row r="140" spans="6:6" x14ac:dyDescent="0.2">
      <c r="F140" s="45"/>
    </row>
    <row r="141" spans="6:6" x14ac:dyDescent="0.2">
      <c r="F141" s="45"/>
    </row>
    <row r="142" spans="6:6" x14ac:dyDescent="0.2">
      <c r="F142" s="45"/>
    </row>
    <row r="143" spans="6:6" x14ac:dyDescent="0.2">
      <c r="F143" s="45"/>
    </row>
    <row r="144" spans="6:6" x14ac:dyDescent="0.2">
      <c r="F144" s="45"/>
    </row>
    <row r="145" spans="6:6" x14ac:dyDescent="0.2">
      <c r="F145" s="45"/>
    </row>
    <row r="146" spans="6:6" x14ac:dyDescent="0.2">
      <c r="F146" s="45"/>
    </row>
    <row r="147" spans="6:6" x14ac:dyDescent="0.2">
      <c r="F147" s="45"/>
    </row>
    <row r="148" spans="6:6" x14ac:dyDescent="0.2">
      <c r="F148" s="45"/>
    </row>
    <row r="149" spans="6:6" x14ac:dyDescent="0.2">
      <c r="F149" s="45"/>
    </row>
    <row r="150" spans="6:6" x14ac:dyDescent="0.2">
      <c r="F150" s="45"/>
    </row>
    <row r="151" spans="6:6" x14ac:dyDescent="0.2">
      <c r="F151" s="45"/>
    </row>
    <row r="152" spans="6:6" x14ac:dyDescent="0.2">
      <c r="F152" s="45"/>
    </row>
    <row r="153" spans="6:6" x14ac:dyDescent="0.2">
      <c r="F153" s="45"/>
    </row>
    <row r="154" spans="6:6" x14ac:dyDescent="0.2">
      <c r="F154" s="45"/>
    </row>
    <row r="155" spans="6:6" x14ac:dyDescent="0.2">
      <c r="F155" s="45"/>
    </row>
    <row r="156" spans="6:6" x14ac:dyDescent="0.2">
      <c r="F156" s="45"/>
    </row>
    <row r="157" spans="6:6" x14ac:dyDescent="0.2">
      <c r="F157" s="45"/>
    </row>
    <row r="158" spans="6:6" x14ac:dyDescent="0.2">
      <c r="F158" s="45"/>
    </row>
    <row r="159" spans="6:6" x14ac:dyDescent="0.2">
      <c r="F159" s="45"/>
    </row>
    <row r="160" spans="6:6" x14ac:dyDescent="0.2">
      <c r="F160" s="45"/>
    </row>
    <row r="161" spans="6:6" x14ac:dyDescent="0.2">
      <c r="F161" s="45"/>
    </row>
    <row r="162" spans="6:6" x14ac:dyDescent="0.2">
      <c r="F162" s="45"/>
    </row>
    <row r="163" spans="6:6" x14ac:dyDescent="0.2">
      <c r="F163" s="45"/>
    </row>
    <row r="164" spans="6:6" x14ac:dyDescent="0.2">
      <c r="F164" s="45"/>
    </row>
    <row r="165" spans="6:6" x14ac:dyDescent="0.2">
      <c r="F165" s="45"/>
    </row>
    <row r="166" spans="6:6" x14ac:dyDescent="0.2">
      <c r="F166" s="45"/>
    </row>
    <row r="167" spans="6:6" x14ac:dyDescent="0.2">
      <c r="F167" s="45"/>
    </row>
    <row r="168" spans="6:6" x14ac:dyDescent="0.2">
      <c r="F168" s="45"/>
    </row>
    <row r="169" spans="6:6" x14ac:dyDescent="0.2">
      <c r="F169" s="45"/>
    </row>
    <row r="170" spans="6:6" x14ac:dyDescent="0.2">
      <c r="F170" s="45"/>
    </row>
    <row r="171" spans="6:6" x14ac:dyDescent="0.2">
      <c r="F171" s="45"/>
    </row>
    <row r="172" spans="6:6" x14ac:dyDescent="0.2">
      <c r="F172" s="45"/>
    </row>
    <row r="173" spans="6:6" x14ac:dyDescent="0.2">
      <c r="F173" s="45"/>
    </row>
    <row r="174" spans="6:6" x14ac:dyDescent="0.2">
      <c r="F174" s="45"/>
    </row>
    <row r="175" spans="6:6" x14ac:dyDescent="0.2">
      <c r="F175" s="45"/>
    </row>
    <row r="176" spans="6:6" x14ac:dyDescent="0.2">
      <c r="F176" s="45"/>
    </row>
    <row r="177" spans="6:6" x14ac:dyDescent="0.2">
      <c r="F177" s="45"/>
    </row>
    <row r="178" spans="6:6" x14ac:dyDescent="0.2">
      <c r="F178" s="45"/>
    </row>
    <row r="179" spans="6:6" x14ac:dyDescent="0.2">
      <c r="F179" s="45"/>
    </row>
    <row r="180" spans="6:6" x14ac:dyDescent="0.2">
      <c r="F180" s="45"/>
    </row>
    <row r="181" spans="6:6" x14ac:dyDescent="0.2">
      <c r="F181" s="45"/>
    </row>
    <row r="182" spans="6:6" x14ac:dyDescent="0.2">
      <c r="F182" s="45"/>
    </row>
    <row r="183" spans="6:6" x14ac:dyDescent="0.2">
      <c r="F183" s="45"/>
    </row>
    <row r="184" spans="6:6" x14ac:dyDescent="0.2">
      <c r="F184" s="45"/>
    </row>
    <row r="185" spans="6:6" x14ac:dyDescent="0.2">
      <c r="F185" s="45"/>
    </row>
    <row r="186" spans="6:6" x14ac:dyDescent="0.2">
      <c r="F186" s="45"/>
    </row>
    <row r="187" spans="6:6" x14ac:dyDescent="0.2">
      <c r="F187" s="45"/>
    </row>
    <row r="188" spans="6:6" x14ac:dyDescent="0.2">
      <c r="F188" s="45"/>
    </row>
    <row r="189" spans="6:6" x14ac:dyDescent="0.2">
      <c r="F189" s="45"/>
    </row>
  </sheetData>
  <pageMargins left="0.78740157499999996" right="0.78740157499999996" top="0.984251969" bottom="0.984251969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23</vt:i4>
      </vt:variant>
      <vt:variant>
        <vt:lpstr>Navngitte områder</vt:lpstr>
      </vt:variant>
      <vt:variant>
        <vt:i4>56</vt:i4>
      </vt:variant>
    </vt:vector>
  </HeadingPairs>
  <TitlesOfParts>
    <vt:vector size="79" baseType="lpstr">
      <vt:lpstr>Database</vt:lpstr>
      <vt:lpstr>PlanData</vt:lpstr>
      <vt:lpstr>MixingPlan</vt:lpstr>
      <vt:lpstr>AllergenData</vt:lpstr>
      <vt:lpstr>Capacity</vt:lpstr>
      <vt:lpstr>WC_Cap</vt:lpstr>
      <vt:lpstr>Cap_Start</vt:lpstr>
      <vt:lpstr>WCGroup</vt:lpstr>
      <vt:lpstr>AllergenType</vt:lpstr>
      <vt:lpstr>Allergen</vt:lpstr>
      <vt:lpstr>Descriptions</vt:lpstr>
      <vt:lpstr>PvtTableDef</vt:lpstr>
      <vt:lpstr>LocalLists</vt:lpstr>
      <vt:lpstr>ReportOptions</vt:lpstr>
      <vt:lpstr>Version</vt:lpstr>
      <vt:lpstr>Information</vt:lpstr>
      <vt:lpstr>Rapport info</vt:lpstr>
      <vt:lpstr>ProdPlan</vt:lpstr>
      <vt:lpstr>Sequence</vt:lpstr>
      <vt:lpstr>Sequence_Allergen</vt:lpstr>
      <vt:lpstr>Mixing Status</vt:lpstr>
      <vt:lpstr>Deviations</vt:lpstr>
      <vt:lpstr>Låst plan</vt:lpstr>
      <vt:lpstr>_Day1</vt:lpstr>
      <vt:lpstr>_Day2</vt:lpstr>
      <vt:lpstr>_Day3</vt:lpstr>
      <vt:lpstr>CapDate</vt:lpstr>
      <vt:lpstr>CapDateNumber</vt:lpstr>
      <vt:lpstr>CapDates</vt:lpstr>
      <vt:lpstr>CapStart</vt:lpstr>
      <vt:lpstr>AllergenData!CapStartDay</vt:lpstr>
      <vt:lpstr>Capacity!CapStartDay</vt:lpstr>
      <vt:lpstr>Sequence_Allergen!CapStartDay</vt:lpstr>
      <vt:lpstr>CapStartDay</vt:lpstr>
      <vt:lpstr>Currency</vt:lpstr>
      <vt:lpstr>CustomerHierarchy</vt:lpstr>
      <vt:lpstr>Days</vt:lpstr>
      <vt:lpstr>EndTime</vt:lpstr>
      <vt:lpstr>FirstSheet</vt:lpstr>
      <vt:lpstr>FirstTable</vt:lpstr>
      <vt:lpstr>FromDate</vt:lpstr>
      <vt:lpstr>MaterialPrice</vt:lpstr>
      <vt:lpstr>Night</vt:lpstr>
      <vt:lpstr>AllergenData!NowValue</vt:lpstr>
      <vt:lpstr>NowValue</vt:lpstr>
      <vt:lpstr>MixingPlan!Pegged</vt:lpstr>
      <vt:lpstr>AllergenData!PlanData</vt:lpstr>
      <vt:lpstr>Capacity!PlanData</vt:lpstr>
      <vt:lpstr>Sequence_Allergen!PlanData</vt:lpstr>
      <vt:lpstr>PlanData</vt:lpstr>
      <vt:lpstr>PlanStart</vt:lpstr>
      <vt:lpstr>PlanTime</vt:lpstr>
      <vt:lpstr>PlanTime1</vt:lpstr>
      <vt:lpstr>ProductHierarchy</vt:lpstr>
      <vt:lpstr>QuantityUnit</vt:lpstr>
      <vt:lpstr>RecNum</vt:lpstr>
      <vt:lpstr>ReportCaption</vt:lpstr>
      <vt:lpstr>ReportCaption1</vt:lpstr>
      <vt:lpstr>ReportCaption2</vt:lpstr>
      <vt:lpstr>ReportCaption3</vt:lpstr>
      <vt:lpstr>ReportCaption4</vt:lpstr>
      <vt:lpstr>ReportID</vt:lpstr>
      <vt:lpstr>SalesValue</vt:lpstr>
      <vt:lpstr>SapExlReportName</vt:lpstr>
      <vt:lpstr>SecondSheet</vt:lpstr>
      <vt:lpstr>SecondTable</vt:lpstr>
      <vt:lpstr>StartTime</vt:lpstr>
      <vt:lpstr>StartWC</vt:lpstr>
      <vt:lpstr>Time_Used</vt:lpstr>
      <vt:lpstr>AllergenData!TimeNow</vt:lpstr>
      <vt:lpstr>TimeNow</vt:lpstr>
      <vt:lpstr>AllergenData!ToDay</vt:lpstr>
      <vt:lpstr>ToDay</vt:lpstr>
      <vt:lpstr>Updated</vt:lpstr>
      <vt:lpstr>AllergenData!WC_Cap</vt:lpstr>
      <vt:lpstr>Capacity!WC_Cap</vt:lpstr>
      <vt:lpstr>Sequence_Allergen!WC_Cap</vt:lpstr>
      <vt:lpstr>WC_Cap</vt:lpstr>
      <vt:lpstr>WC_Plan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2013-11-25T10:04:37Z</cp:lastPrinted>
  <dcterms:created xsi:type="dcterms:W3CDTF">2012-10-09T11:25:20Z</dcterms:created>
  <dcterms:modified xsi:type="dcterms:W3CDTF">2020-12-15T22:44:05Z</dcterms:modified>
</cp:coreProperties>
</file>