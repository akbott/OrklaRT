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23042015\OrklaRTReports\"/>
    </mc:Choice>
  </mc:AlternateContent>
  <workbookProtection workbookAlgorithmName="SHA-512" workbookHashValue="An3EhtDlBmYSKe2V1Xr4FMWKSOLZ5BD/f09jvvGH+F1xLJEsfRrR83zRCrmuNMFD8vrYVPjwhRe6SXjGSjxZIw==" workbookSaltValue="VAV39GMcZZHLGVJicG0uJA==" workbookSpinCount="100000" lockStructure="1"/>
  <bookViews>
    <workbookView xWindow="0" yWindow="200" windowWidth="17390" windowHeight="7500" firstSheet="6" activeTab="6"/>
  </bookViews>
  <sheets>
    <sheet name="Database" sheetId="9" state="hidden" r:id="rId1"/>
    <sheet name="ReportOptions" sheetId="10" state="hidden" r:id="rId2"/>
    <sheet name="ExchangeRates" sheetId="11" state="hidden" r:id="rId3"/>
    <sheet name="Descriptions" sheetId="8" state="hidden" r:id="rId4"/>
    <sheet name="PvtTableDef" sheetId="19" state="hidden" r:id="rId5"/>
    <sheet name="Version" sheetId="20" state="hidden" r:id="rId6"/>
    <sheet name="Rapport info" sheetId="21" r:id="rId7"/>
    <sheet name="Forbrukshistorikk" sheetId="13" r:id="rId8"/>
    <sheet name="Per Maned" sheetId="14" r:id="rId9"/>
    <sheet name="Priser" sheetId="15" r:id="rId10"/>
    <sheet name="Pris sammenligning" sheetId="16" r:id="rId11"/>
    <sheet name="Historisk Pris" sheetId="17" r:id="rId12"/>
    <sheet name="TSI Basis" sheetId="18" r:id="rId13"/>
  </sheets>
  <definedNames>
    <definedName name="Currency">ReportOptions!$B$10</definedName>
    <definedName name="CurrTable">ExchangeRates!$A$1:$D$14</definedName>
    <definedName name="CustomerHierarchy">ReportOptions!$B$7</definedName>
    <definedName name="FirstSheet" localSheetId="5">Version!$B$6</definedName>
    <definedName name="FirstTable" localSheetId="5">Version!$B$7</definedName>
    <definedName name="ListPrices">ReportOptions!$A$14:$A$16</definedName>
    <definedName name="MaterialPrice">ReportOptions!$B$5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Caption1">Version!$B$9</definedName>
    <definedName name="ReportID" localSheetId="5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52511"/>
  <pivotCaches>
    <pivotCache cacheId="67" r:id="rId14"/>
  </pivotCaches>
</workbook>
</file>

<file path=xl/calcChain.xml><?xml version="1.0" encoding="utf-8"?>
<calcChain xmlns="http://schemas.openxmlformats.org/spreadsheetml/2006/main">
  <c r="AB2" i="9" l="1"/>
  <c r="AB3" i="9"/>
  <c r="AF2" i="9" l="1"/>
  <c r="AF3" i="9"/>
  <c r="A3" i="14" l="1"/>
  <c r="AG2" i="9"/>
  <c r="AG3" i="9"/>
  <c r="AH2" i="9"/>
  <c r="AH3" i="9"/>
  <c r="AE2" i="9"/>
  <c r="AE3" i="9"/>
  <c r="AC2" i="9"/>
  <c r="AC3" i="9"/>
  <c r="AD2" i="9"/>
  <c r="AD3" i="9"/>
  <c r="Y3" i="9" l="1"/>
  <c r="Y2" i="9"/>
  <c r="C10" i="10"/>
  <c r="Z3" i="9" l="1"/>
  <c r="Z2" i="9"/>
  <c r="AA2" i="9" s="1"/>
  <c r="A3" i="13"/>
  <c r="C5" i="10" l="1"/>
  <c r="C9" i="10" l="1"/>
  <c r="AA3" i="9" l="1"/>
</calcChain>
</file>

<file path=xl/connections.xml><?xml version="1.0" encoding="utf-8"?>
<connections xmlns="http://schemas.openxmlformats.org/spreadsheetml/2006/main">
  <connection id="1" name="product3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<sst xmlns="http://schemas.openxmlformats.org/spreadsheetml/2006/main" count="286" uniqueCount="161">
  <si>
    <t>Profit Ctr</t>
  </si>
  <si>
    <t>MTyp</t>
  </si>
  <si>
    <t>- Reads monthly summarized usage volumes and values for all materials selected.</t>
  </si>
  <si>
    <t>- View data on Plant, Material Type or Material Group and Period (month).</t>
  </si>
  <si>
    <t>- Your selections should be from the first day in the month in the 'From date' - to the last day in</t>
  </si>
  <si>
    <t xml:space="preserve">  the month in the 'To Date'.</t>
  </si>
  <si>
    <t>- Maximum selection period is 2 years.</t>
  </si>
  <si>
    <t>- Compare actual usage prices against current moving average or budget prices.</t>
  </si>
  <si>
    <t>ReportName</t>
  </si>
  <si>
    <t>ReportID</t>
  </si>
  <si>
    <t>Material</t>
  </si>
  <si>
    <t>NOK</t>
  </si>
  <si>
    <t>Help1</t>
  </si>
  <si>
    <t>Material_price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</si>
  <si>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</si>
  <si>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</si>
  <si>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</si>
  <si>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</si>
  <si>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</si>
  <si>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</si>
  <si>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</si>
  <si>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</si>
  <si>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</si>
  <si>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</si>
  <si>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</si>
  <si>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</si>
  <si>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</si>
  <si>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</si>
  <si>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</si>
  <si>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</si>
  <si>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</si>
  <si>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</si>
  <si>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</si>
  <si>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</si>
  <si>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</si>
  <si>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</si>
  <si>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</si>
  <si>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</si>
  <si>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</si>
  <si>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</si>
  <si>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</si>
  <si>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</si>
  <si>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</si>
  <si>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FieldName</t>
  </si>
  <si>
    <t>QuantityUnit</t>
  </si>
  <si>
    <t>SalesValue</t>
  </si>
  <si>
    <t>CustomerHierarchy</t>
  </si>
  <si>
    <t>ProductHierarchy</t>
  </si>
  <si>
    <t>MaterialPrice</t>
  </si>
  <si>
    <t>Default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</si>
  <si>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</si>
  <si>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</si>
  <si>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</si>
  <si>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</si>
  <si>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</si>
  <si>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</si>
  <si>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</si>
  <si>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</si>
  <si>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</si>
  <si>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</si>
  <si>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</si>
  <si>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</si>
  <si>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</si>
  <si>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</si>
  <si>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</si>
  <si>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</si>
  <si>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</si>
  <si>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</si>
  <si>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AutoSortOrder</t>
  </si>
  <si>
    <t>AutoSortField</t>
  </si>
  <si>
    <t>SubTotals</t>
  </si>
  <si>
    <t>Function</t>
  </si>
  <si>
    <t>Calculation</t>
  </si>
  <si>
    <t>Position</t>
  </si>
  <si>
    <t>FieldList</t>
  </si>
  <si>
    <t>MissingItems</t>
  </si>
  <si>
    <t>SaveData</t>
  </si>
  <si>
    <t>ShowDrillIndicators</t>
  </si>
  <si>
    <t>PivotItems</t>
  </si>
  <si>
    <t>Visible</t>
  </si>
  <si>
    <t>BaseField</t>
  </si>
  <si>
    <t>BaseItem</t>
  </si>
  <si>
    <t>This sheet contains report information used by the addin</t>
  </si>
  <si>
    <t>ReportCaption</t>
  </si>
  <si>
    <t>Select 12 months of history and runt the command Utilities - Create Table form Pivot Table</t>
  </si>
  <si>
    <t>Please notice that the Stock Coverage calculation requires 12 months of historic usage data</t>
  </si>
  <si>
    <t>Tomato Soup Index Template</t>
  </si>
  <si>
    <t>ReportCaption1</t>
  </si>
  <si>
    <t>Selected comparison price, weighted on usage quanitities in selected period.</t>
  </si>
  <si>
    <t>Average usage price compared to selected price.</t>
  </si>
  <si>
    <t>Average stock price on used quantity in actual period.</t>
  </si>
  <si>
    <t>PivotUsageHistory</t>
  </si>
  <si>
    <t>Grand Total</t>
  </si>
  <si>
    <t>(All)</t>
  </si>
  <si>
    <t xml:space="preserve">    Trykk F10 for å lansere valgskjermen</t>
  </si>
  <si>
    <t>Rapporten Inneholder</t>
  </si>
  <si>
    <t>Rapporter Statistikker</t>
  </si>
  <si>
    <t>Materialtekst</t>
  </si>
  <si>
    <t>Mtyptekst</t>
  </si>
  <si>
    <t>Fabrikktekst</t>
  </si>
  <si>
    <t>Språk</t>
  </si>
  <si>
    <t>Mtyp</t>
  </si>
  <si>
    <t>Stabburet AS</t>
  </si>
  <si>
    <t>Ikke tilordnet</t>
  </si>
  <si>
    <t>Norsk</t>
  </si>
  <si>
    <t>Stabb Leverpostei 60x100g</t>
  </si>
  <si>
    <t>POSTEI-LINJENE</t>
  </si>
  <si>
    <t>Ferdigvare, Stab. Pricat</t>
  </si>
  <si>
    <t>Råbekken</t>
  </si>
  <si>
    <t>S</t>
  </si>
  <si>
    <t>Ikke tilordnet/P2662</t>
  </si>
  <si>
    <t>Ferdigvare tørr</t>
  </si>
  <si>
    <t>NO</t>
  </si>
  <si>
    <t>ZFER</t>
  </si>
  <si>
    <t>FR00</t>
  </si>
  <si>
    <t>Stabbur Makrell Porsjon 70x22g</t>
  </si>
  <si>
    <t>HV,aktiv bearbeiding</t>
  </si>
  <si>
    <t>Ikke tilordnet/P2000</t>
  </si>
  <si>
    <t>1022 Stabb Leverpostei 60x100g</t>
  </si>
  <si>
    <t>1624 Stabbur Makrell Porsjon 70x22g</t>
  </si>
  <si>
    <t>Material forbrukshistorikk</t>
  </si>
  <si>
    <t>Firmakode</t>
  </si>
  <si>
    <t>Controllingområde</t>
  </si>
  <si>
    <t>Språktekst</t>
  </si>
  <si>
    <t>Varegruppe</t>
  </si>
  <si>
    <t>Prisstyringsindikator</t>
  </si>
  <si>
    <t>Lager</t>
  </si>
  <si>
    <t>Vurderingsklasse</t>
  </si>
  <si>
    <t>Maned</t>
  </si>
  <si>
    <t>Budsj. Pris 1</t>
  </si>
  <si>
    <t>Gl. gjsn. Pris</t>
  </si>
  <si>
    <t>Nettovekt</t>
  </si>
  <si>
    <t>Standardpris</t>
  </si>
  <si>
    <t>Total forbruksverdi</t>
  </si>
  <si>
    <t>Totalbeholdning</t>
  </si>
  <si>
    <t>Totalt forbruk</t>
  </si>
  <si>
    <t>Totalt Verdi</t>
  </si>
  <si>
    <t>PrisHjelp</t>
  </si>
  <si>
    <t>Pris.forskj.</t>
  </si>
  <si>
    <t>Forbruks.Kva</t>
  </si>
  <si>
    <t>Forbruks.Verdi</t>
  </si>
  <si>
    <t>Periode</t>
  </si>
  <si>
    <t>Material Gruppe</t>
  </si>
  <si>
    <t>Material Navn</t>
  </si>
  <si>
    <t>BU_Hjelp</t>
  </si>
  <si>
    <t>Fabrikk</t>
  </si>
  <si>
    <t>2015-3</t>
  </si>
  <si>
    <t xml:space="preserve">Forbruks.Pris </t>
  </si>
  <si>
    <t xml:space="preserve">Pris.forskj. % </t>
  </si>
  <si>
    <t xml:space="preserve">Samm. Pris </t>
  </si>
  <si>
    <t xml:space="preserve">Forbruks.Kva </t>
  </si>
  <si>
    <t xml:space="preserve">Forbruks.Verdi </t>
  </si>
  <si>
    <t xml:space="preserve">Pris.forskj. </t>
  </si>
  <si>
    <t>Akt.Behold.</t>
  </si>
  <si>
    <t xml:space="preserve">Gl.gjsn.pris </t>
  </si>
  <si>
    <t xml:space="preserve">Budsj.Pris </t>
  </si>
  <si>
    <t xml:space="preserve">Lager.dekn. </t>
  </si>
  <si>
    <t xml:space="preserve">Akt.Behold. </t>
  </si>
  <si>
    <t>Forbrukshistorikk</t>
  </si>
  <si>
    <t>2015-10</t>
  </si>
  <si>
    <t>Antall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</si>
</sst>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\ %;[Red]\-0.0\ 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rgb="FFABABAB"/>
      </top>
      <bottom/>
      <diagonal/>
    </border>
  </borders>
  <cellStyleXfs count="7">
    <xf numFmtId="0" fontId="0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</cellStyleXfs>
  <cellXfs count="70">
    <xf numFmtId="0" fontId="0" fillId="0" borderId="0" xfId="0"/>
    <xf numFmtId="0" fontId="1" fillId="0" borderId="0" xfId="0" applyFont="1" applyBorder="1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0" fontId="1" fillId="0" borderId="0" xfId="0" applyFont="1" applyAlignment="1"/>
    <xf numFmtId="14" fontId="0" fillId="0" borderId="0" xfId="0" applyNumberFormat="1"/>
    <xf numFmtId="0" fontId="1" fillId="0" borderId="0" xfId="0" applyFont="1" applyFill="1"/>
    <xf numFmtId="0" fontId="0" fillId="0" borderId="0" xfId="0" applyAlignment="1">
      <alignment horizontal="left" indent="1"/>
    </xf>
    <xf numFmtId="40" fontId="1" fillId="2" borderId="3" xfId="0" applyNumberFormat="1" applyFont="1" applyFill="1" applyBorder="1" applyAlignment="1">
      <alignment horizontal="right"/>
    </xf>
    <xf numFmtId="40" fontId="1" fillId="2" borderId="4" xfId="0" applyNumberFormat="1" applyFont="1" applyFill="1" applyBorder="1" applyAlignment="1">
      <alignment horizontal="right"/>
    </xf>
    <xf numFmtId="164" fontId="1" fillId="2" borderId="3" xfId="0" applyNumberFormat="1" applyFont="1" applyFill="1" applyBorder="1" applyAlignment="1">
      <alignment horizontal="right"/>
    </xf>
    <xf numFmtId="164" fontId="1" fillId="2" borderId="4" xfId="0" applyNumberFormat="1" applyFont="1" applyFill="1" applyBorder="1" applyAlignment="1">
      <alignment horizontal="right"/>
    </xf>
    <xf numFmtId="0" fontId="1" fillId="2" borderId="5" xfId="0" applyFont="1" applyFill="1" applyBorder="1"/>
    <xf numFmtId="0" fontId="1" fillId="2" borderId="3" xfId="0" applyFont="1" applyFill="1" applyBorder="1"/>
    <xf numFmtId="0" fontId="0" fillId="3" borderId="0" xfId="0" applyFill="1" applyAlignment="1">
      <alignment horizontal="left"/>
    </xf>
    <xf numFmtId="0" fontId="9" fillId="0" borderId="0" xfId="0" applyFont="1"/>
    <xf numFmtId="0" fontId="1" fillId="5" borderId="0" xfId="0" applyFont="1" applyFill="1"/>
    <xf numFmtId="0" fontId="4" fillId="0" borderId="0" xfId="0" quotePrefix="1" applyFont="1" applyFill="1"/>
    <xf numFmtId="0" fontId="10" fillId="0" borderId="0" xfId="0" applyFont="1" applyFill="1"/>
    <xf numFmtId="0" fontId="4" fillId="0" borderId="0" xfId="0" applyFont="1" applyFill="1" applyAlignment="1">
      <alignment horizontal="left"/>
    </xf>
    <xf numFmtId="0" fontId="0" fillId="0" borderId="9" xfId="0" pivotButton="1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/>
    <xf numFmtId="0" fontId="1" fillId="0" borderId="6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0" fillId="4" borderId="12" xfId="0" applyFill="1" applyBorder="1"/>
    <xf numFmtId="0" fontId="0" fillId="4" borderId="7" xfId="0" applyFill="1" applyBorder="1"/>
    <xf numFmtId="0" fontId="0" fillId="0" borderId="0" xfId="0" applyBorder="1"/>
    <xf numFmtId="40" fontId="0" fillId="0" borderId="6" xfId="0" applyNumberFormat="1" applyBorder="1" applyAlignment="1">
      <alignment horizontal="right"/>
    </xf>
    <xf numFmtId="40" fontId="0" fillId="0" borderId="14" xfId="0" applyNumberFormat="1" applyBorder="1" applyAlignment="1">
      <alignment horizontal="right"/>
    </xf>
    <xf numFmtId="40" fontId="0" fillId="0" borderId="8" xfId="0" applyNumberFormat="1" applyBorder="1" applyAlignment="1">
      <alignment horizontal="right"/>
    </xf>
    <xf numFmtId="40" fontId="0" fillId="0" borderId="15" xfId="0" applyNumberFormat="1" applyBorder="1" applyAlignment="1">
      <alignment horizontal="right"/>
    </xf>
    <xf numFmtId="164" fontId="0" fillId="0" borderId="6" xfId="0" applyNumberFormat="1" applyBorder="1" applyAlignment="1">
      <alignment horizontal="right"/>
    </xf>
    <xf numFmtId="164" fontId="0" fillId="0" borderId="14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1" fillId="0" borderId="10" xfId="0" applyFont="1" applyBorder="1"/>
    <xf numFmtId="0" fontId="1" fillId="0" borderId="10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38" fontId="0" fillId="0" borderId="6" xfId="0" applyNumberFormat="1" applyBorder="1" applyAlignment="1">
      <alignment horizontal="right"/>
    </xf>
    <xf numFmtId="38" fontId="0" fillId="0" borderId="10" xfId="0" applyNumberFormat="1" applyBorder="1" applyAlignment="1">
      <alignment horizontal="right"/>
    </xf>
    <xf numFmtId="40" fontId="0" fillId="0" borderId="10" xfId="0" applyNumberFormat="1" applyBorder="1" applyAlignment="1">
      <alignment horizontal="right"/>
    </xf>
    <xf numFmtId="164" fontId="0" fillId="0" borderId="10" xfId="0" applyNumberFormat="1" applyBorder="1" applyAlignment="1">
      <alignment horizontal="right"/>
    </xf>
    <xf numFmtId="38" fontId="0" fillId="0" borderId="16" xfId="0" applyNumberFormat="1" applyBorder="1" applyAlignment="1">
      <alignment horizontal="right"/>
    </xf>
    <xf numFmtId="38" fontId="0" fillId="0" borderId="14" xfId="0" applyNumberFormat="1" applyBorder="1" applyAlignment="1">
      <alignment horizontal="right"/>
    </xf>
    <xf numFmtId="38" fontId="0" fillId="0" borderId="0" xfId="0" applyNumberFormat="1" applyAlignment="1">
      <alignment horizontal="right"/>
    </xf>
    <xf numFmtId="40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38" fontId="0" fillId="0" borderId="17" xfId="0" applyNumberFormat="1" applyBorder="1" applyAlignment="1">
      <alignment horizontal="right"/>
    </xf>
    <xf numFmtId="0" fontId="0" fillId="0" borderId="18" xfId="0" applyBorder="1"/>
    <xf numFmtId="38" fontId="0" fillId="4" borderId="6" xfId="0" applyNumberFormat="1" applyFill="1" applyBorder="1" applyAlignment="1">
      <alignment horizontal="right"/>
    </xf>
    <xf numFmtId="38" fontId="0" fillId="4" borderId="10" xfId="0" applyNumberFormat="1" applyFill="1" applyBorder="1" applyAlignment="1">
      <alignment horizontal="right"/>
    </xf>
    <xf numFmtId="40" fontId="0" fillId="4" borderId="10" xfId="0" applyNumberFormat="1" applyFill="1" applyBorder="1" applyAlignment="1">
      <alignment horizontal="right"/>
    </xf>
    <xf numFmtId="38" fontId="0" fillId="4" borderId="19" xfId="0" applyNumberFormat="1" applyFill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4" borderId="13" xfId="0" applyNumberFormat="1" applyFill="1" applyBorder="1" applyAlignment="1">
      <alignment horizontal="right"/>
    </xf>
    <xf numFmtId="38" fontId="0" fillId="0" borderId="15" xfId="0" applyNumberFormat="1" applyBorder="1" applyAlignment="1">
      <alignment horizontal="right"/>
    </xf>
  </cellXfs>
  <cellStyles count="7">
    <cellStyle name="Min stil" xfId="1"/>
    <cellStyle name="Normal" xfId="0" builtinId="0"/>
    <cellStyle name="Normal 2" xfId="2"/>
    <cellStyle name="Normal 2 2" xfId="3"/>
    <cellStyle name="Normal 2_MultiSelect" xfId="4"/>
    <cellStyle name="Normal 3" xfId="5"/>
    <cellStyle name="Normal 4" xfId="6"/>
  </cellStyles>
  <dxfs count="2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CCCC"/>
      <color rgb="FFFFFF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2" Name="XtraSerializer_Map" RootElement="XtraSerializer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2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92768" y="17253"/>
          <a:ext cx="2590321" cy="111024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3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87195" y="2063750"/>
          <a:ext cx="5940091" cy="2534874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9</xdr:col>
      <xdr:colOff>313765</xdr:colOff>
      <xdr:row>4</xdr:row>
      <xdr:rowOff>25866</xdr:rowOff>
    </xdr:to>
    <xdr:sp macro="" textlink="SapExlReportName">
      <xdr:nvSpPr>
        <xdr:cNvPr id="4" name="Avrundet rektangel 5"/>
        <xdr:cNvSpPr/>
      </xdr:nvSpPr>
      <xdr:spPr>
        <a:xfrm>
          <a:off x="2656700" y="297743"/>
          <a:ext cx="4126594" cy="53494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25C4937-FD1C-4FEF-A12E-6EBA631E2B90}" type="TxLink">
            <a:rPr lang="en-US" sz="2800" b="1" i="0" u="none" strike="noStrike">
              <a:solidFill>
                <a:srgbClr val="000000"/>
              </a:solidFill>
              <a:latin typeface="+mn-lt"/>
            </a:rPr>
            <a:pPr algn="l"/>
            <a:t>Material forbrukshistorikk</a:t>
          </a:fld>
          <a:endParaRPr lang="nb-NO" sz="2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5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7660" y="2604138"/>
          <a:ext cx="1925487" cy="14700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6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23567" y="1121776"/>
          <a:ext cx="3591778" cy="3527089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7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61527" y="1506866"/>
          <a:ext cx="3522165" cy="31419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174475</xdr:colOff>
      <xdr:row>69</xdr:row>
      <xdr:rowOff>90655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693650"/>
          <a:ext cx="2022325" cy="1074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150" y="134467"/>
          <a:ext cx="2024940" cy="1073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38482</xdr:colOff>
      <xdr:row>0</xdr:row>
      <xdr:rowOff>50744</xdr:rowOff>
    </xdr:from>
    <xdr:ext cx="2450483" cy="277097"/>
    <xdr:sp macro="" textlink="ReportCaption">
      <xdr:nvSpPr>
        <xdr:cNvPr id="2" name="Avrundet rektangel 1"/>
        <xdr:cNvSpPr/>
      </xdr:nvSpPr>
      <xdr:spPr>
        <a:xfrm>
          <a:off x="38482" y="50744"/>
          <a:ext cx="24504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C26DEE1D-26CA-498E-943F-C3C4F5FDD701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Material forbrukshistorikk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38482</xdr:colOff>
      <xdr:row>0</xdr:row>
      <xdr:rowOff>50744</xdr:rowOff>
    </xdr:from>
    <xdr:ext cx="2450483" cy="277097"/>
    <xdr:sp macro="" textlink="ReportCaption">
      <xdr:nvSpPr>
        <xdr:cNvPr id="2" name="Avrundet rektangel 1"/>
        <xdr:cNvSpPr/>
      </xdr:nvSpPr>
      <xdr:spPr>
        <a:xfrm>
          <a:off x="38482" y="50744"/>
          <a:ext cx="24504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CD25581A-DDA4-4C41-ABD1-717773C30AD7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Material forbrukshistorikk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38482</xdr:colOff>
      <xdr:row>0</xdr:row>
      <xdr:rowOff>50745</xdr:rowOff>
    </xdr:from>
    <xdr:ext cx="2450483" cy="277097"/>
    <xdr:sp macro="" textlink="ReportCaption">
      <xdr:nvSpPr>
        <xdr:cNvPr id="2" name="Avrundet rektangel 1"/>
        <xdr:cNvSpPr/>
      </xdr:nvSpPr>
      <xdr:spPr>
        <a:xfrm>
          <a:off x="38482" y="50745"/>
          <a:ext cx="24504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7246111-4E72-4624-8BC2-A8EC6E7F4DDF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Material forbrukshistorikk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27276</xdr:colOff>
      <xdr:row>0</xdr:row>
      <xdr:rowOff>61950</xdr:rowOff>
    </xdr:from>
    <xdr:ext cx="2450483" cy="277097"/>
    <xdr:sp macro="" textlink="ReportCaption">
      <xdr:nvSpPr>
        <xdr:cNvPr id="2" name="Avrundet rektangel 1"/>
        <xdr:cNvSpPr/>
      </xdr:nvSpPr>
      <xdr:spPr>
        <a:xfrm>
          <a:off x="27276" y="61950"/>
          <a:ext cx="24504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F9236872-C2CB-4086-BDF6-4DB7EF042421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Material forbrukshistorikk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67235</xdr:rowOff>
    </xdr:from>
    <xdr:ext cx="2450483" cy="277097"/>
    <xdr:sp macro="" textlink="ReportCaption">
      <xdr:nvSpPr>
        <xdr:cNvPr id="3" name="Avrundet rektangel 1"/>
        <xdr:cNvSpPr/>
      </xdr:nvSpPr>
      <xdr:spPr>
        <a:xfrm>
          <a:off x="22412" y="67235"/>
          <a:ext cx="24504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08226DB9-6516-4499-B6A4-1C19F69496C2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Material forbrukshistorikk</a:t>
          </a:fld>
          <a:endParaRPr lang="nb-NO" sz="3600" b="1">
            <a:solidFill>
              <a:srgbClr val="C0000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27276</xdr:colOff>
      <xdr:row>0</xdr:row>
      <xdr:rowOff>50744</xdr:rowOff>
    </xdr:from>
    <xdr:ext cx="2719155" cy="277200"/>
    <xdr:sp macro="" textlink="ReportCaption1">
      <xdr:nvSpPr>
        <xdr:cNvPr id="2" name="Avrundet rektangel 1"/>
        <xdr:cNvSpPr/>
      </xdr:nvSpPr>
      <xdr:spPr>
        <a:xfrm>
          <a:off x="27276" y="50744"/>
          <a:ext cx="2719155" cy="27720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F636CD09-D0B8-438D-898A-88CF86222AE5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Tomato Soup Index Template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03.725963310186" createdVersion="4" refreshedVersion="5" minRefreshableVersion="3" recordCount="2">
  <cacheSource type="worksheet">
    <worksheetSource name="SapExlData"/>
  </cacheSource>
  <cacheFields count="40">
    <cacheField name="Firmakode" numFmtId="49">
      <sharedItems count="1">
        <s v="Stabburet AS"/>
      </sharedItems>
    </cacheField>
    <cacheField name="Controllingområde" numFmtId="0">
      <sharedItems/>
    </cacheField>
    <cacheField name="Språktekst" numFmtId="14">
      <sharedItems/>
    </cacheField>
    <cacheField name="Materialtekst" numFmtId="0">
      <sharedItems/>
    </cacheField>
    <cacheField name="Varegruppe" numFmtId="0">
      <sharedItems/>
    </cacheField>
    <cacheField name="Mtyptekst" numFmtId="0">
      <sharedItems/>
    </cacheField>
    <cacheField name="Fabrikktekst" numFmtId="0">
      <sharedItems/>
    </cacheField>
    <cacheField name="Prisstyringsindikator" numFmtId="0">
      <sharedItems/>
    </cacheField>
    <cacheField name="Profit Ctr" numFmtId="0">
      <sharedItems count="3">
        <s v="Ikke tilordnet/P2662"/>
        <s v="Ikke tilordnet/P2000"/>
        <s v="NOA104" u="1"/>
      </sharedItems>
    </cacheField>
    <cacheField name="Lager" numFmtId="0">
      <sharedItems/>
    </cacheField>
    <cacheField name="Vurderingsklasse" numFmtId="0">
      <sharedItems containsSemiMixedTypes="0" containsString="0" containsNumber="1" containsInteger="1" minValue="7920" maxValue="7920"/>
    </cacheField>
    <cacheField name="Maned" numFmtId="0">
      <sharedItems containsSemiMixedTypes="0" containsString="0" containsNumber="1" minValue="3.2014999999999998" maxValue="10.201499999999999"/>
    </cacheField>
    <cacheField name="Språk" numFmtId="0">
      <sharedItems/>
    </cacheField>
    <cacheField name="Material" numFmtId="0">
      <sharedItems containsSemiMixedTypes="0" containsString="0" containsNumber="1" containsInteger="1" minValue="1022" maxValue="500001" count="3">
        <n v="1022"/>
        <n v="1624"/>
        <n v="500001" u="1"/>
      </sharedItems>
    </cacheField>
    <cacheField name="Mtyp" numFmtId="0">
      <sharedItems count="2">
        <s v="ZFER"/>
        <s v="ROH" u="1"/>
      </sharedItems>
    </cacheField>
    <cacheField name="Fabrikk" numFmtId="0">
      <sharedItems count="1">
        <s v="FR00"/>
      </sharedItems>
    </cacheField>
    <cacheField name="Budsj. Pris 1" numFmtId="0">
      <sharedItems containsSemiMixedTypes="0" containsString="0" containsNumber="1" containsInteger="1" minValue="45370" maxValue="123820"/>
    </cacheField>
    <cacheField name="Gl. gjsn. Pris" numFmtId="0">
      <sharedItems containsSemiMixedTypes="0" containsString="0" containsNumber="1" minValue="65274.879999999997" maxValue="127683.29"/>
    </cacheField>
    <cacheField name="Nettovekt" numFmtId="0">
      <sharedItems containsSemiMixedTypes="0" containsString="0" containsNumber="1" minValue="1.54" maxValue="6"/>
    </cacheField>
    <cacheField name="Standardpris" numFmtId="0">
      <sharedItems containsSemiMixedTypes="0" containsString="0" containsNumber="1" minValue="65025.5" maxValue="128465.4"/>
    </cacheField>
    <cacheField name="Total forbruksverdi" numFmtId="0">
      <sharedItems containsSemiMixedTypes="0" containsString="0" containsNumber="1" minValue="1950.78" maxValue="21967.58"/>
    </cacheField>
    <cacheField name="Totalbeholdning" numFmtId="0">
      <sharedItems containsSemiMixedTypes="0" containsString="0" containsNumber="1" containsInteger="1" minValue="11464" maxValue="17038"/>
    </cacheField>
    <cacheField name="Totalt forbruk" numFmtId="0">
      <sharedItems containsSemiMixedTypes="0" containsString="0" containsNumber="1" containsInteger="1" minValue="30" maxValue="171"/>
    </cacheField>
    <cacheField name="Totalt Verdi" numFmtId="0">
      <sharedItems containsSemiMixedTypes="0" containsString="0" containsNumber="1" minValue="745452.35" maxValue="2188793.4500000002"/>
    </cacheField>
    <cacheField name="Help1" numFmtId="0">
      <sharedItems containsSemiMixedTypes="0" containsString="0" containsNumber="1" minValue="1958.2464" maxValue="21833.84259"/>
    </cacheField>
    <cacheField name="PrisHjelp" numFmtId="0">
      <sharedItems containsSemiMixedTypes="0" containsString="0" containsNumber="1" minValue="1958.2464" maxValue="21833.84259"/>
    </cacheField>
    <cacheField name="Pris.forskj." numFmtId="0">
      <sharedItems containsSemiMixedTypes="0" containsString="0" containsNumber="1" minValue="-7.4664000000000215" maxValue="133.73741000000155"/>
    </cacheField>
    <cacheField name="Forbruks.Kva" numFmtId="0">
      <sharedItems containsSemiMixedTypes="0" containsString="0" containsNumber="1" containsInteger="1" minValue="30" maxValue="171"/>
    </cacheField>
    <cacheField name="Forbruks.Verdi" numFmtId="0">
      <sharedItems containsSemiMixedTypes="0" containsString="0" containsNumber="1" minValue="1950.78" maxValue="21967.58"/>
    </cacheField>
    <cacheField name="BU_Hjelp" numFmtId="0">
      <sharedItems containsSemiMixedTypes="0" containsString="0" containsNumber="1" minValue="1361.1" maxValue="21173.219999999998"/>
    </cacheField>
    <cacheField name="Akt.Behold." numFmtId="0">
      <sharedItems containsSemiMixedTypes="0" containsString="0" containsNumber="1" containsInteger="1" minValue="11464" maxValue="17038"/>
    </cacheField>
    <cacheField name="Periode" numFmtId="0">
      <sharedItems containsMixedTypes="1" containsNumber="1" minValue="3.2014999999999998" maxValue="3.2014999999999998" count="3">
        <s v="2015-3"/>
        <s v="2015-10"/>
        <n v="3.2014999999999998" u="1"/>
      </sharedItems>
    </cacheField>
    <cacheField name="Material Gruppe" numFmtId="0">
      <sharedItems count="2">
        <s v="POSTEI-LINJENE"/>
        <s v="HV,aktiv bearbeiding"/>
      </sharedItems>
    </cacheField>
    <cacheField name="Material Navn" numFmtId="0">
      <sharedItems count="2">
        <s v="1022 Stabb Leverpostei 60x100g"/>
        <s v="1624 Stabbur Makrell Porsjon 70x22g"/>
      </sharedItems>
    </cacheField>
    <cacheField name="Forbruks.Pris" numFmtId="0" formula="(IF(Forbruks.Kva&gt;0,Forbruks.Verdi/Forbruks.Kva,0))" databaseField="0"/>
    <cacheField name="Pris.forskj. %" numFmtId="0" formula="(IF(PrisHjelp&gt;0,Pris.forskj./PrisHjelp,0))" databaseField="0"/>
    <cacheField name="Samm. Pris" numFmtId="0" formula="(IF(Forbruks.Kva&gt;0,PrisHjelp/Forbruks.Kva,0))" databaseField="0"/>
    <cacheField name=" Gl.gjsn.pris" numFmtId="0" formula="(IF(Forbruks.Kva&gt;0,Help1/Forbruks.Kva,0))" databaseField="0"/>
    <cacheField name="Budsj.Pris" numFmtId="0" formula="(IF(Forbruks.Kva&gt;0,BU_Hjelp/Forbruks.Kva,0))" databaseField="0"/>
    <cacheField name="Lager.dekn." numFmtId="0" formula="(IF(Forbruks.Kva&gt;0,Akt.Behold./Forbruks.Kva,0)*25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s v="Ikke tilordnet"/>
    <s v="Norsk"/>
    <s v="Stabb Leverpostei 60x100g"/>
    <s v="POSTEI-LINJENE"/>
    <s v="Ferdigvare, Stab. Pricat"/>
    <s v="Råbekken"/>
    <s v="S"/>
    <x v="0"/>
    <s v="Ferdigvare tørr"/>
    <n v="7920"/>
    <n v="3.2014999999999998"/>
    <s v="NO"/>
    <x v="0"/>
    <x v="0"/>
    <x v="0"/>
    <n v="123820"/>
    <n v="127683.29"/>
    <n v="6"/>
    <n v="128465.4"/>
    <n v="21967.58"/>
    <n v="17038"/>
    <n v="171"/>
    <n v="2188793.4500000002"/>
    <n v="21833.84259"/>
    <n v="21833.84259"/>
    <n v="133.73741000000155"/>
    <n v="171"/>
    <n v="21967.58"/>
    <n v="21173.219999999998"/>
    <n v="17038"/>
    <x v="0"/>
    <x v="0"/>
    <x v="0"/>
  </r>
  <r>
    <x v="0"/>
    <s v="Ikke tilordnet"/>
    <s v="Norsk"/>
    <s v="Stabbur Makrell Porsjon 70x22g"/>
    <s v="HV,aktiv bearbeiding"/>
    <s v="Ferdigvare, Stab. Pricat"/>
    <s v="Råbekken"/>
    <s v="S"/>
    <x v="1"/>
    <s v="Ferdigvare tørr"/>
    <n v="7920"/>
    <n v="10.201499999999999"/>
    <s v="NO"/>
    <x v="1"/>
    <x v="0"/>
    <x v="0"/>
    <n v="45370"/>
    <n v="65274.879999999997"/>
    <n v="1.54"/>
    <n v="65025.5"/>
    <n v="1950.78"/>
    <n v="11464"/>
    <n v="30"/>
    <n v="745452.35"/>
    <n v="1958.2464"/>
    <n v="1958.2464"/>
    <n v="-7.4664000000000215"/>
    <n v="30"/>
    <n v="1950.78"/>
    <n v="1361.1"/>
    <n v="11464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UsageHistory" cacheId="67" autoFormatId="4109" applyNumberFormats="1" applyBorderFormats="1" applyFontFormats="1" applyPatternFormats="1" applyAlignmentFormats="1" applyWidthHeightFormats="1" dataCaption="Verdier" showError="1" updatedVersion="5" minRefreshableVersion="3" useAutoFormatting="1" itemPrintTitles="1" createdVersion="4" indent="0" compact="0" compactData="0" gridDropZones="1" multipleFieldFilters="0">
  <location ref="A11:D17" firstHeaderRow="1" firstDataRow="2" firstDataCol="2" rowPageCount="3" colPageCount="1"/>
  <pivotFields count="4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ubtotalTop="0" showAll="0">
      <items count="4">
        <item m="1" x="2"/>
        <item x="0"/>
        <item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/>
    <pivotField axis="axisPage" compact="0" outline="0" subtotalTop="0" showAll="0">
      <items count="3">
        <item m="1" x="1"/>
        <item x="0"/>
        <item t="default"/>
      </items>
    </pivotField>
    <pivotField axis="axisCol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x="0"/>
        <item x="1"/>
      </items>
    </pivotField>
    <pivotField axis="axisRow" compact="0" outline="0" showAll="0" insertBlankRow="1" defaultSubtotal="0">
      <items count="2">
        <item x="1"/>
        <item x="0"/>
      </items>
    </pivotField>
    <pivotField axis="axisRow" compact="0" outline="0" showAll="0" defaultSubtotal="0">
      <items count="2">
        <item x="0"/>
        <item x="1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32"/>
    <field x="33"/>
  </rowFields>
  <rowItems count="5">
    <i>
      <x/>
      <x v="1"/>
    </i>
    <i t="blank">
      <x/>
    </i>
    <i>
      <x v="1"/>
      <x/>
    </i>
    <i t="blank">
      <x v="1"/>
    </i>
    <i t="grand">
      <x/>
    </i>
  </rowItems>
  <colFields count="1">
    <field x="15"/>
  </colFields>
  <colItems count="2">
    <i>
      <x/>
    </i>
    <i t="grand">
      <x/>
    </i>
  </colItems>
  <pageFields count="3">
    <pageField fld="31" hier="-1"/>
    <pageField fld="8" hier="-1"/>
    <pageField fld="14" hier="-1"/>
  </pageFields>
  <dataFields count="1">
    <dataField name="Sum of Forbruks.Kva" fld="27" baseField="32" baseItem="0" numFmtId="38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PerMonth" cacheId="67" autoFormatId="4109" applyNumberFormats="1" applyBorderFormats="1" applyFontFormats="1" applyPatternFormats="1" applyAlignmentFormats="1" applyWidthHeightFormats="1" dataCaption="Verdier" showError="1" updatedVersion="5" minRefreshableVersion="3" useAutoFormatting="1" itemPrintTitles="1" createdVersion="4" indent="0" compact="0" compactData="0" gridDropZones="1" multipleFieldFilters="0">
  <location ref="A11:D15" firstHeaderRow="1" firstDataRow="2" firstDataCol="1" rowPageCount="4" colPageCount="1"/>
  <pivotFields count="4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ubtotalTop="0" showAll="0">
      <items count="4">
        <item m="1" x="2"/>
        <item x="0"/>
        <item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/>
    <pivotField axis="axisPage" compact="0" outline="0" subtotalTop="0" showAll="0">
      <items count="3">
        <item m="1" x="1"/>
        <item x="0"/>
        <item t="default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3">
        <item m="1" x="2"/>
        <item x="0"/>
        <item x="1"/>
      </items>
    </pivotField>
    <pivotField axis="axisRow" compact="0" outline="0" showAll="0" defaultSubtotal="0">
      <items count="2">
        <item x="1"/>
        <item x="0"/>
      </items>
    </pivotField>
    <pivotField axis="axisPage" compact="0" outline="0" showAll="0" defaultSubtotal="0">
      <items count="2">
        <item x="0"/>
        <item x="1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32"/>
  </rowFields>
  <rowItems count="3">
    <i>
      <x/>
    </i>
    <i>
      <x v="1"/>
    </i>
    <i t="grand">
      <x/>
    </i>
  </rowItems>
  <colFields count="1">
    <field x="31"/>
  </colFields>
  <colItems count="3">
    <i>
      <x v="1"/>
    </i>
    <i>
      <x v="2"/>
    </i>
    <i t="grand">
      <x/>
    </i>
  </colItems>
  <pageFields count="4">
    <pageField fld="15" hier="-1"/>
    <pageField fld="8" hier="-1"/>
    <pageField fld="33" hier="-1"/>
    <pageField fld="14" hier="-1"/>
  </pageFields>
  <dataFields count="1">
    <dataField name="Sum of Forbruks.Kva" fld="27" baseField="32" baseItem="0" numFmtId="38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Prices" cacheId="67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1:D15" firstHeaderRow="1" firstDataRow="2" firstDataCol="1" rowPageCount="4" colPageCount="1"/>
  <pivotFields count="40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Typ" axis="axisPage" compact="0" outline="0" subtotalTop="0" showAll="0" includeNewItemsInFilter="1">
      <items count="3">
        <item m="1" x="1"/>
        <item x="0"/>
        <item t="default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sortType="ascending" defaultSubtotal="0">
      <items count="3">
        <item m="1" x="2"/>
        <item x="1"/>
        <item x="0"/>
      </items>
    </pivotField>
    <pivotField axis="axisPage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33"/>
  </rowFields>
  <rowItems count="3">
    <i>
      <x/>
    </i>
    <i>
      <x v="1"/>
    </i>
    <i t="grand">
      <x/>
    </i>
  </rowItems>
  <colFields count="1">
    <field x="31"/>
  </colFields>
  <colItems count="3">
    <i>
      <x v="1"/>
    </i>
    <i>
      <x v="2"/>
    </i>
    <i t="grand">
      <x/>
    </i>
  </colItems>
  <pageFields count="4">
    <pageField fld="14" hier="-1"/>
    <pageField fld="15" hier="-1"/>
    <pageField fld="8" hier="-1"/>
    <pageField fld="32" hier="-1"/>
  </pageFields>
  <dataFields count="1">
    <dataField name="Forbruks.Pris " fld="34" baseField="33" baseItem="0" numFmtId="40"/>
  </dataField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PriceComparison" cacheId="67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1:D15" firstHeaderRow="1" firstDataRow="2" firstDataCol="1" rowPageCount="4" colPageCount="1"/>
  <pivotFields count="40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Typ" axis="axisPage" compact="0" outline="0" subtotalTop="0" showAll="0" includeNewItemsInFilter="1">
      <items count="3">
        <item m="1" x="1"/>
        <item x="0"/>
        <item t="default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sortType="ascending" defaultSubtotal="0">
      <items count="3">
        <item m="1" x="2"/>
        <item x="1"/>
        <item x="0"/>
      </items>
    </pivotField>
    <pivotField axis="axisPage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33"/>
  </rowFields>
  <rowItems count="3">
    <i>
      <x/>
    </i>
    <i>
      <x v="1"/>
    </i>
    <i t="grand">
      <x/>
    </i>
  </rowItems>
  <colFields count="1">
    <field x="31"/>
  </colFields>
  <colItems count="3">
    <i>
      <x v="1"/>
    </i>
    <i>
      <x v="2"/>
    </i>
    <i t="grand">
      <x/>
    </i>
  </colItems>
  <pageFields count="4">
    <pageField fld="14" hier="-1"/>
    <pageField fld="15" hier="-1"/>
    <pageField fld="8" hier="-1"/>
    <pageField fld="32" hier="-1"/>
  </pageFields>
  <dataFields count="1">
    <dataField name="Pris.forskj. % " fld="35" baseField="33" baseItem="0" numFmtId="164"/>
  </dataField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HistoricPrice" cacheId="67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2:G15" firstHeaderRow="0" firstDataRow="1" firstDataCol="1" rowPageCount="5" colPageCount="1"/>
  <pivotFields count="40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Typ" axis="axisPage" compact="0" outline="0" subtotalTop="0" showAll="0" includeNewItemsInFilter="1">
      <items count="3">
        <item m="1" x="1"/>
        <item x="0"/>
        <item t="default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0"/>
        <item x="1"/>
      </items>
    </pivotField>
    <pivotField axis="axisPage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33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5">
    <pageField fld="31" hier="-1"/>
    <pageField fld="15" hier="-1"/>
    <pageField fld="32" hier="-1"/>
    <pageField fld="14" hier="-1"/>
    <pageField fld="8" hier="-1"/>
  </pageFields>
  <dataFields count="6">
    <dataField name="Forbruks.Kva " fld="27" baseField="33" baseItem="0" numFmtId="38"/>
    <dataField name="Forbruks.Verdi " fld="28" baseField="33" baseItem="0" numFmtId="38"/>
    <dataField name="Forbruks.Pris " fld="34" baseField="33" baseItem="0" numFmtId="40"/>
    <dataField name="Samm. Pris " fld="36" baseField="33" baseItem="0" numFmtId="40"/>
    <dataField name="Pris.forskj. % " fld="35" baseField="33" baseItem="0" numFmtId="164"/>
    <dataField name="Pris.forskj. " fld="26" baseField="33" baseItem="0" numFmtId="38"/>
  </dataFields>
  <pivotTableStyleInfo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SIBasis" cacheId="67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1:K15" firstHeaderRow="0" firstDataRow="1" firstDataCol="4" rowPageCount="4" colPageCount="1"/>
  <pivotFields count="40"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Material" axis="axisRow" compact="0" outline="0" subtotalTop="0" showAll="0" includeNewItemsInFilter="1" sortType="descending" defaultSubtotal="0">
      <items count="3">
        <item m="1" x="2"/>
        <item x="1"/>
        <item x="0"/>
      </items>
    </pivotField>
    <pivotField name="MTyp" axis="axisRow" compact="0" outline="0" subtotalTop="0" showAll="0" insertBlankRow="1" includeNewItemsInFilter="1" defaultSubtotal="0">
      <items count="2">
        <item m="1" x="1"/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0"/>
        <item x="1"/>
      </items>
    </pivotField>
    <pivotField axis="axisRow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4">
    <field x="14"/>
    <field x="13"/>
    <field x="33"/>
    <field x="32"/>
  </rowFields>
  <rowItems count="4">
    <i>
      <x v="1"/>
      <x v="1"/>
      <x v="1"/>
      <x/>
    </i>
    <i r="1">
      <x v="2"/>
      <x/>
      <x v="1"/>
    </i>
    <i t="blank"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4">
    <pageField fld="0" hier="-1"/>
    <pageField fld="15" hier="-1"/>
    <pageField fld="31" hier="-1"/>
    <pageField fld="8" hier="-1"/>
  </pageFields>
  <dataFields count="7">
    <dataField name="Forbruks.Kva " fld="27" baseField="32" baseItem="0" numFmtId="38"/>
    <dataField name="Forbruks.Verdi " fld="28" baseField="32" baseItem="0" numFmtId="38"/>
    <dataField name="Forbruks.Pris " fld="34" baseField="32" baseItem="0" numFmtId="40"/>
    <dataField name="Gl.gjsn.pris " fld="37" baseField="32" baseItem="1" numFmtId="40"/>
    <dataField name="Budsj.Pris " fld="38" baseField="32" baseItem="1" numFmtId="40"/>
    <dataField name="Akt.Behold. " fld="30" baseField="14" baseItem="1" numFmtId="38"/>
    <dataField name="Lager.dekn. " fld="39" baseField="32" baseItem="1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H3" totalsRowShown="0" headerRowDxfId="27">
  <autoFilter ref="A1:AH3"/>
  <tableColumns count="34">
    <tableColumn id="1" name="Firmakode" dataDxfId="26"/>
    <tableColumn id="2" name="Controllingområde"/>
    <tableColumn id="3" name="Språktekst" dataDxfId="25"/>
    <tableColumn id="4" name="Materialtekst"/>
    <tableColumn id="5" name="Varegruppe"/>
    <tableColumn id="6" name="Mtyptekst"/>
    <tableColumn id="7" name="Fabrikktekst"/>
    <tableColumn id="8" name="Prisstyringsindikator"/>
    <tableColumn id="9" name="Profit Ctr"/>
    <tableColumn id="10" name="Lager"/>
    <tableColumn id="11" name="Vurderingsklasse"/>
    <tableColumn id="12" name="Maned"/>
    <tableColumn id="13" name="Språk"/>
    <tableColumn id="14" name="Material"/>
    <tableColumn id="15" name="Mtyp"/>
    <tableColumn id="16" name="Fabrikk"/>
    <tableColumn id="17" name="Budsj. Pris 1"/>
    <tableColumn id="18" name="Gl. gjsn. Pris"/>
    <tableColumn id="19" name="Nettovekt"/>
    <tableColumn id="20" name="Standardpris"/>
    <tableColumn id="21" name="Total forbruksverdi"/>
    <tableColumn id="22" name="Totalbeholdning"/>
    <tableColumn id="23" name="Totalt forbruk"/>
    <tableColumn id="24" name="Totalt Verdi"/>
    <tableColumn id="34" name="Help1" dataDxfId="24">
      <calculatedColumnFormula>SapExlData[[#This Row],[Gl. gjsn. Pris]]/1000*SapExlData[[#This Row],[Forbruks.Kva]]</calculatedColumnFormula>
    </tableColumn>
    <tableColumn id="35" name="PrisHjelp" dataDxfId="23">
      <calculatedColumnFormula>SapExlData[[#This Row],[Help1]]</calculatedColumnFormula>
    </tableColumn>
    <tableColumn id="36" name="Pris.forskj." dataDxfId="22">
      <calculatedColumnFormula>SapExlData[[#This Row],[Forbruks.Verdi]]-SapExlData[[#This Row],[PrisHjelp]]</calculatedColumnFormula>
    </tableColumn>
    <tableColumn id="37" name="Forbruks.Kva" dataDxfId="21">
      <calculatedColumnFormula>IF(QuantityUnit="Antall",SapExlData[[#This Row],[Totalt forbruk]],SapExlData[[#This Row],[Totalt forbruk]] * SapExlData[[#This Row],[Nettovekt]])</calculatedColumnFormula>
    </tableColumn>
    <tableColumn id="38" name="Forbruks.Verdi" dataDxfId="20">
      <calculatedColumnFormula>SapExlData[Total forbruksverdi]</calculatedColumnFormula>
    </tableColumn>
    <tableColumn id="40" name="BU_Hjelp" dataDxfId="19">
      <calculatedColumnFormula>IF(SapExlData[[#This Row],[Budsj. Pris 1]]=0,SapExlData[[#This Row],[Gl. gjsn. Pris]],SapExlData[[#This Row],[Budsj. Pris 1]])/1000*SapExlData[[#This Row],[Forbruks.Kva]]</calculatedColumnFormula>
    </tableColumn>
    <tableColumn id="41" name="Akt.Behold." dataDxfId="18">
      <calculatedColumnFormula>IF(SapExlData[[#This Row],[Fabrikk]]&amp;SapExlData[[#This Row],[Material]]&lt;&gt;OFFSET(SapExlData[[#This Row],[Fabrikk]],-1,0)&amp;OFFSET(SapExlData[[#This Row],[Material]],-1,0),SapExlData[[#This Row],[Totalbeholdning]],0)</calculatedColumnFormula>
    </tableColumn>
    <tableColumn id="42" name="Periode" dataDxfId="17">
      <calculatedColumnFormula>RIGHT(SapExlData[[#This Row],[Maned]],4)&amp;"-"&amp;IF(ISNUMBER(VALUE(MID(SapExlData[[#This Row],[Maned]],2,1))),LEFT(SapExlData[[#This Row],[Maned]],2),LEFT(SapExlData[[#This Row],[Maned]],1))</calculatedColumnFormula>
    </tableColumn>
    <tableColumn id="43" name="Material Gruppe" dataDxfId="16">
      <calculatedColumnFormula>SapExlData[Varegruppe]</calculatedColumnFormula>
    </tableColumn>
    <tableColumn id="44" name="Material Navn" dataDxfId="15">
      <calculatedColumnFormula>SapExlData[Material]&amp;" "&amp;SapExlData[[#This Row],[Materialtekst]]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changeRates" displayName="ExchangeRates" ref="A1:D14" totalsRowShown="0" headerRowDxfId="14">
  <autoFilter ref="A1:D14"/>
  <tableColumns count="4">
    <tableColumn id="1" name="From"/>
    <tableColumn id="2" name="To"/>
    <tableColumn id="3" name="Valid from" dataDxfId="13"/>
    <tableColumn id="4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Descriptions" displayName="Descriptions" ref="A1:B71" totalsRowShown="0" headerRowDxfId="12">
  <autoFilter ref="A1:B71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PvtTableDef" displayName="PvtTableDef" ref="A1:AG2" tableType="xml" insertRow="1" totalsRowShown="0" connectionId="1">
  <autoFilter ref="A1:AG2"/>
  <tableColumns count="33">
    <tableColumn id="1" uniqueName="UserID" name="UserID">
      <xmlColumnPr mapId="2" xpath="/XtraSerializer/@UserID" xmlDataType="integer"/>
    </tableColumn>
    <tableColumn id="2" uniqueName="ReportID" name="ReportID">
      <xmlColumnPr mapId="2" xpath="/XtraSerializer/@ReportID" xmlDataType="integer"/>
    </tableColumn>
    <tableColumn id="3" uniqueName="VariantID" name="VariantID">
      <xmlColumnPr mapId="2" xpath="/XtraSerializer/@VariantID" xmlDataType="integer"/>
    </tableColumn>
    <tableColumn id="4" uniqueName="SheetName" name="SheetName" dataDxfId="11">
      <xmlColumnPr mapId="2" xpath="/XtraSerializer/property/@SheetName" xmlDataType="string"/>
    </tableColumn>
    <tableColumn id="5" uniqueName="TableName" name="TableName" dataDxfId="10">
      <xmlColumnPr mapId="2" xpath="/XtraSerializer/property/@TableName" xmlDataType="string"/>
    </tableColumn>
    <tableColumn id="6" uniqueName="Seq" name="Seq">
      <xmlColumnPr mapId="2" xpath="/XtraSerializer/property/property/@Seq" xmlDataType="integer"/>
    </tableColumn>
    <tableColumn id="7" uniqueName="PivotElement" name="PivotElement" dataDxfId="9">
      <xmlColumnPr mapId="2" xpath="/XtraSerializer/property/property/@PivotElement" xmlDataType="string"/>
    </tableColumn>
    <tableColumn id="8" uniqueName="SourceName" name="SourceName" dataDxfId="8">
      <xmlColumnPr mapId="2" xpath="/XtraSerializer/property/property/@SourceName" xmlDataType="string"/>
    </tableColumn>
    <tableColumn id="9" uniqueName="ColumnGrand" name="ColumnGrand">
      <xmlColumnPr mapId="2" xpath="/XtraSerializer/property/property/@ColumnGrand" xmlDataType="integer"/>
    </tableColumn>
    <tableColumn id="10" uniqueName="RowGrand" name="RowGrand">
      <xmlColumnPr mapId="2" xpath="/XtraSerializer/property/property/@RowGrand" xmlDataType="integer"/>
    </tableColumn>
    <tableColumn id="11" uniqueName="DisplayErrorString" name="DisplayErrorString">
      <xmlColumnPr mapId="2" xpath="/XtraSerializer/property/property/@DisplayErrorString" xmlDataType="integer"/>
    </tableColumn>
    <tableColumn id="12" uniqueName="TableStart" name="TableStart" dataDxfId="7">
      <xmlColumnPr mapId="2" xpath="/XtraSerializer/property/property/@TableStart" xmlDataType="string"/>
    </tableColumn>
    <tableColumn id="13" uniqueName="FieldList" name="FieldList" dataDxfId="6">
      <xmlColumnPr mapId="2" xpath="/XtraSerializer/property/property/@FieldList" xmlDataType="integer"/>
    </tableColumn>
    <tableColumn id="14" uniqueName="MissingItems" name="MissingItems" dataDxfId="5">
      <xmlColumnPr mapId="2" xpath="/XtraSerializer/property/property/@MissingItems" xmlDataType="string"/>
    </tableColumn>
    <tableColumn id="15" uniqueName="SaveData" name="SaveData" dataDxfId="4">
      <xmlColumnPr mapId="2" xpath="/XtraSerializer/property/property/@SaveData" xmlDataType="string"/>
    </tableColumn>
    <tableColumn id="16" uniqueName="ShowDrillIndicators" name="ShowDrillIndicators">
      <xmlColumnPr mapId="2" xpath="/XtraSerializer/property/property/@ShowDrillIndicators" xmlDataType="string"/>
    </tableColumn>
    <tableColumn id="17" uniqueName="Caption" name="Caption" dataDxfId="3">
      <xmlColumnPr mapId="2" xpath="/XtraSerializer/property/property/@Caption" xmlDataType="string"/>
    </tableColumn>
    <tableColumn id="18" uniqueName="Name" name="Name" dataDxfId="2">
      <xmlColumnPr mapId="2" xpath="/XtraSerializer/property/property/@Name" xmlDataType="string"/>
    </tableColumn>
    <tableColumn id="19" uniqueName="NumberFormat" name="NumberFormat" dataDxfId="1">
      <xmlColumnPr mapId="2" xpath="/XtraSerializer/property/property/@NumberFormat" xmlDataType="string"/>
    </tableColumn>
    <tableColumn id="20" uniqueName="Orientation" name="Orientation">
      <xmlColumnPr mapId="2" xpath="/XtraSerializer/property/property/@Orientation" xmlDataType="integer"/>
    </tableColumn>
    <tableColumn id="21" uniqueName="Formula" name="Formula" dataDxfId="0">
      <xmlColumnPr mapId="2" xpath="/XtraSerializer/property/property/@Formula" xmlDataType="string"/>
    </tableColumn>
    <tableColumn id="22" uniqueName="CurrentPage" name="CurrentPage">
      <xmlColumnPr mapId="2" xpath="/XtraSerializer/property/property/@CurrentPage" xmlDataType="string"/>
    </tableColumn>
    <tableColumn id="23" uniqueName="CpSourceName" name="CpSourceName">
      <xmlColumnPr mapId="2" xpath="/XtraSerializer/property/property/@CpSourceName" xmlDataType="string"/>
    </tableColumn>
    <tableColumn id="24" uniqueName="PivotItems" name="PivotItems">
      <xmlColumnPr mapId="2" xpath="/XtraSerializer/property/property/@PivotItems" xmlDataType="string"/>
    </tableColumn>
    <tableColumn id="25" uniqueName="Visible" name="Visible">
      <xmlColumnPr mapId="2" xpath="/XtraSerializer/property/property/@Visible" xmlDataType="integer"/>
    </tableColumn>
    <tableColumn id="26" uniqueName="AutoSortOrder" name="AutoSortOrder">
      <xmlColumnPr mapId="2" xpath="/XtraSerializer/property/property/@AutoSortOrder" xmlDataType="integer"/>
    </tableColumn>
    <tableColumn id="27" uniqueName="AutoSortField" name="AutoSortField">
      <xmlColumnPr mapId="2" xpath="/XtraSerializer/property/property/@AutoSortField" xmlDataType="string"/>
    </tableColumn>
    <tableColumn id="28" uniqueName="SubTotals" name="SubTotals">
      <xmlColumnPr mapId="2" xpath="/XtraSerializer/property/property/@SubTotals" xmlDataType="integer"/>
    </tableColumn>
    <tableColumn id="29" uniqueName="Function" name="Function">
      <xmlColumnPr mapId="2" xpath="/XtraSerializer/property/property/@Function" xmlDataType="integer"/>
    </tableColumn>
    <tableColumn id="30" uniqueName="Calculation" name="Calculation">
      <xmlColumnPr mapId="2" xpath="/XtraSerializer/property/property/@Calculation" xmlDataType="integer"/>
    </tableColumn>
    <tableColumn id="31" uniqueName="BaseField" name="BaseField">
      <xmlColumnPr mapId="2" xpath="/XtraSerializer/property/property/@BaseField" xmlDataType="string"/>
    </tableColumn>
    <tableColumn id="32" uniqueName="BaseItem" name="BaseItem">
      <xmlColumnPr mapId="2" xpath="/XtraSerializer/property/property/@BaseItem" xmlDataType="string"/>
    </tableColumn>
    <tableColumn id="33" uniqueName="Position" name="Position">
      <xmlColumnPr mapId="2" xpath="/XtraSerializer/property/property/@Position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H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11.6328125" bestFit="1" customWidth="1"/>
    <col min="2" max="2" width="12.81640625" bestFit="1" customWidth="1"/>
    <col min="3" max="3" width="11.6328125" bestFit="1" customWidth="1"/>
    <col min="4" max="4" width="27.90625" bestFit="1" customWidth="1"/>
    <col min="5" max="5" width="18.26953125" bestFit="1" customWidth="1"/>
    <col min="6" max="6" width="20.1796875" bestFit="1" customWidth="1"/>
    <col min="7" max="7" width="14.1796875" bestFit="1" customWidth="1"/>
    <col min="8" max="8" width="6.26953125" bestFit="1" customWidth="1"/>
    <col min="9" max="9" width="18.26953125" bestFit="1" customWidth="1"/>
    <col min="10" max="10" width="13.36328125" bestFit="1" customWidth="1"/>
    <col min="11" max="11" width="7.90625" bestFit="1" customWidth="1"/>
    <col min="12" max="12" width="9.36328125" bestFit="1" customWidth="1"/>
    <col min="13" max="13" width="8.36328125" bestFit="1" customWidth="1"/>
    <col min="14" max="14" width="11" bestFit="1" customWidth="1"/>
    <col min="15" max="15" width="8.1796875" bestFit="1" customWidth="1"/>
    <col min="16" max="16" width="7" bestFit="1" customWidth="1"/>
    <col min="17" max="17" width="13" bestFit="1" customWidth="1"/>
    <col min="18" max="18" width="15" bestFit="1" customWidth="1"/>
    <col min="19" max="19" width="13.453125" bestFit="1" customWidth="1"/>
    <col min="20" max="20" width="15.90625" bestFit="1" customWidth="1"/>
    <col min="21" max="21" width="18.36328125" bestFit="1" customWidth="1"/>
    <col min="22" max="22" width="12.90625" bestFit="1" customWidth="1"/>
    <col min="23" max="23" width="15.36328125" bestFit="1" customWidth="1"/>
    <col min="24" max="24" width="13.1796875" bestFit="1" customWidth="1"/>
    <col min="25" max="25" width="8.6328125" bestFit="1" customWidth="1"/>
    <col min="26" max="26" width="11.81640625" bestFit="1" customWidth="1"/>
    <col min="27" max="27" width="11" bestFit="1" customWidth="1"/>
    <col min="28" max="28" width="15" bestFit="1" customWidth="1"/>
    <col min="29" max="29" width="16.26953125" bestFit="1" customWidth="1"/>
    <col min="30" max="30" width="11" bestFit="1" customWidth="1"/>
    <col min="31" max="31" width="11.81640625" bestFit="1" customWidth="1"/>
    <col min="32" max="32" width="10.26953125" bestFit="1" customWidth="1"/>
    <col min="33" max="33" width="18.26953125" bestFit="1" customWidth="1"/>
    <col min="34" max="34" width="32.7265625" bestFit="1" customWidth="1"/>
  </cols>
  <sheetData>
    <row r="1" spans="1:34" s="11" customFormat="1" x14ac:dyDescent="0.35">
      <c r="A1" s="14" t="s">
        <v>121</v>
      </c>
      <c r="B1" s="11" t="s">
        <v>122</v>
      </c>
      <c r="C1" s="11" t="s">
        <v>123</v>
      </c>
      <c r="D1" s="11" t="s">
        <v>97</v>
      </c>
      <c r="E1" s="11" t="s">
        <v>124</v>
      </c>
      <c r="F1" s="11" t="s">
        <v>98</v>
      </c>
      <c r="G1" s="11" t="s">
        <v>99</v>
      </c>
      <c r="H1" s="11" t="s">
        <v>125</v>
      </c>
      <c r="I1" s="11" t="s">
        <v>0</v>
      </c>
      <c r="J1" s="11" t="s">
        <v>126</v>
      </c>
      <c r="K1" s="11" t="s">
        <v>127</v>
      </c>
      <c r="L1" s="11" t="s">
        <v>128</v>
      </c>
      <c r="M1" s="11" t="s">
        <v>100</v>
      </c>
      <c r="N1" s="11" t="s">
        <v>10</v>
      </c>
      <c r="O1" s="11" t="s">
        <v>101</v>
      </c>
      <c r="P1" s="11" t="s">
        <v>145</v>
      </c>
      <c r="Q1" s="11" t="s">
        <v>129</v>
      </c>
      <c r="R1" s="11" t="s">
        <v>130</v>
      </c>
      <c r="S1" s="11" t="s">
        <v>131</v>
      </c>
      <c r="T1" s="11" t="s">
        <v>132</v>
      </c>
      <c r="U1" s="11" t="s">
        <v>133</v>
      </c>
      <c r="V1" s="11" t="s">
        <v>134</v>
      </c>
      <c r="W1" s="11" t="s">
        <v>135</v>
      </c>
      <c r="X1" s="11" t="s">
        <v>136</v>
      </c>
      <c r="Y1" s="28" t="s">
        <v>12</v>
      </c>
      <c r="Z1" s="28" t="s">
        <v>137</v>
      </c>
      <c r="AA1" s="28" t="s">
        <v>138</v>
      </c>
      <c r="AB1" s="28" t="s">
        <v>139</v>
      </c>
      <c r="AC1" s="28" t="s">
        <v>140</v>
      </c>
      <c r="AD1" s="28" t="s">
        <v>144</v>
      </c>
      <c r="AE1" s="28" t="s">
        <v>153</v>
      </c>
      <c r="AF1" s="28" t="s">
        <v>141</v>
      </c>
      <c r="AG1" s="28" t="s">
        <v>142</v>
      </c>
      <c r="AH1" s="28" t="s">
        <v>143</v>
      </c>
    </row>
    <row r="2" spans="1:34" x14ac:dyDescent="0.35">
      <c r="A2" s="15" t="s">
        <v>102</v>
      </c>
      <c r="B2" t="s">
        <v>103</v>
      </c>
      <c r="C2" s="17" t="s">
        <v>104</v>
      </c>
      <c r="D2" t="s">
        <v>105</v>
      </c>
      <c r="E2" t="s">
        <v>106</v>
      </c>
      <c r="F2" t="s">
        <v>107</v>
      </c>
      <c r="G2" t="s">
        <v>108</v>
      </c>
      <c r="H2" t="s">
        <v>109</v>
      </c>
      <c r="I2" t="s">
        <v>110</v>
      </c>
      <c r="J2" t="s">
        <v>111</v>
      </c>
      <c r="K2">
        <v>7920</v>
      </c>
      <c r="L2">
        <v>3.2014999999999998</v>
      </c>
      <c r="M2" t="s">
        <v>112</v>
      </c>
      <c r="N2">
        <v>1022</v>
      </c>
      <c r="O2" t="s">
        <v>113</v>
      </c>
      <c r="P2" t="s">
        <v>114</v>
      </c>
      <c r="Q2">
        <v>123820</v>
      </c>
      <c r="R2">
        <v>127683.29</v>
      </c>
      <c r="S2">
        <v>6</v>
      </c>
      <c r="T2">
        <v>128465.4</v>
      </c>
      <c r="U2">
        <v>21967.58</v>
      </c>
      <c r="V2">
        <v>17038</v>
      </c>
      <c r="W2">
        <v>171</v>
      </c>
      <c r="X2">
        <v>2188793.4500000002</v>
      </c>
      <c r="Y2">
        <f>SapExlData[[#This Row],[Gl. gjsn. Pris]]/1000*SapExlData[[#This Row],[Forbruks.Kva]]</f>
        <v>21833.84259</v>
      </c>
      <c r="Z2">
        <f>SapExlData[[#This Row],[Help1]]</f>
        <v>21833.84259</v>
      </c>
      <c r="AA2">
        <f>SapExlData[[#This Row],[Forbruks.Verdi]]-SapExlData[[#This Row],[PrisHjelp]]</f>
        <v>133.73741000000155</v>
      </c>
      <c r="AB2">
        <f>IF(QuantityUnit="Antall",SapExlData[[#This Row],[Totalt forbruk]],SapExlData[[#This Row],[Totalt forbruk]] * SapExlData[[#This Row],[Nettovekt]])</f>
        <v>171</v>
      </c>
      <c r="AC2">
        <f>SapExlData[Total forbruksverdi]</f>
        <v>21967.58</v>
      </c>
      <c r="AD2">
        <f>IF(SapExlData[[#This Row],[Budsj. Pris 1]]=0,SapExlData[[#This Row],[Gl. gjsn. Pris]],SapExlData[[#This Row],[Budsj. Pris 1]])/1000*SapExlData[[#This Row],[Forbruks.Kva]]</f>
        <v>21173.219999999998</v>
      </c>
      <c r="AE2">
        <f ca="1">IF(SapExlData[[#This Row],[Fabrikk]]&amp;SapExlData[[#This Row],[Material]]&lt;&gt;OFFSET(SapExlData[[#This Row],[Fabrikk]],-1,0)&amp;OFFSET(SapExlData[[#This Row],[Material]],-1,0),SapExlData[[#This Row],[Totalbeholdning]],0)</f>
        <v>17038</v>
      </c>
      <c r="AF2" t="str">
        <f>RIGHT(SapExlData[[#This Row],[Maned]],4)&amp;"-"&amp;IF(ISNUMBER(VALUE(MID(SapExlData[[#This Row],[Maned]],2,1))),LEFT(SapExlData[[#This Row],[Maned]],2),LEFT(SapExlData[[#This Row],[Maned]],1))</f>
        <v>2015-3</v>
      </c>
      <c r="AG2" t="str">
        <f>SapExlData[Varegruppe]</f>
        <v>POSTEI-LINJENE</v>
      </c>
      <c r="AH2" t="str">
        <f>SapExlData[Material]&amp;" "&amp;SapExlData[[#This Row],[Materialtekst]]</f>
        <v>1022 Stabb Leverpostei 60x100g</v>
      </c>
    </row>
    <row r="3" spans="1:34" x14ac:dyDescent="0.35">
      <c r="A3" s="15" t="s">
        <v>102</v>
      </c>
      <c r="B3" t="s">
        <v>103</v>
      </c>
      <c r="C3" s="17" t="s">
        <v>104</v>
      </c>
      <c r="D3" t="s">
        <v>115</v>
      </c>
      <c r="E3" t="s">
        <v>116</v>
      </c>
      <c r="F3" t="s">
        <v>107</v>
      </c>
      <c r="G3" t="s">
        <v>108</v>
      </c>
      <c r="H3" t="s">
        <v>109</v>
      </c>
      <c r="I3" t="s">
        <v>117</v>
      </c>
      <c r="J3" t="s">
        <v>111</v>
      </c>
      <c r="K3">
        <v>7920</v>
      </c>
      <c r="L3">
        <v>10.201499999999999</v>
      </c>
      <c r="M3" t="s">
        <v>112</v>
      </c>
      <c r="N3">
        <v>1624</v>
      </c>
      <c r="O3" t="s">
        <v>113</v>
      </c>
      <c r="P3" t="s">
        <v>114</v>
      </c>
      <c r="Q3">
        <v>45370</v>
      </c>
      <c r="R3">
        <v>65274.879999999997</v>
      </c>
      <c r="S3">
        <v>1.54</v>
      </c>
      <c r="T3">
        <v>65025.5</v>
      </c>
      <c r="U3">
        <v>1950.78</v>
      </c>
      <c r="V3">
        <v>11464</v>
      </c>
      <c r="W3">
        <v>30</v>
      </c>
      <c r="X3">
        <v>745452.35</v>
      </c>
      <c r="Y3">
        <f>SapExlData[[#This Row],[Gl. gjsn. Pris]]/1000*SapExlData[[#This Row],[Forbruks.Kva]]</f>
        <v>1958.2464</v>
      </c>
      <c r="Z3">
        <f>SapExlData[[#This Row],[Help1]]</f>
        <v>1958.2464</v>
      </c>
      <c r="AA3">
        <f>SapExlData[[#This Row],[Forbruks.Verdi]]-SapExlData[[#This Row],[PrisHjelp]]</f>
        <v>-7.4664000000000215</v>
      </c>
      <c r="AB3">
        <f>IF(QuantityUnit="Antall",SapExlData[[#This Row],[Totalt forbruk]],SapExlData[[#This Row],[Totalt forbruk]] * SapExlData[[#This Row],[Nettovekt]])</f>
        <v>30</v>
      </c>
      <c r="AC3">
        <f>SapExlData[Total forbruksverdi]</f>
        <v>1950.78</v>
      </c>
      <c r="AD3">
        <f>IF(SapExlData[[#This Row],[Budsj. Pris 1]]=0,SapExlData[[#This Row],[Gl. gjsn. Pris]],SapExlData[[#This Row],[Budsj. Pris 1]])/1000*SapExlData[[#This Row],[Forbruks.Kva]]</f>
        <v>1361.1</v>
      </c>
      <c r="AE3">
        <f ca="1">IF(SapExlData[[#This Row],[Fabrikk]]&amp;SapExlData[[#This Row],[Material]]&lt;&gt;OFFSET(SapExlData[[#This Row],[Fabrikk]],-1,0)&amp;OFFSET(SapExlData[[#This Row],[Material]],-1,0),SapExlData[[#This Row],[Totalbeholdning]],0)</f>
        <v>11464</v>
      </c>
      <c r="AF3" t="str">
        <f>RIGHT(SapExlData[[#This Row],[Maned]],4)&amp;"-"&amp;IF(ISNUMBER(VALUE(MID(SapExlData[[#This Row],[Maned]],2,1))),LEFT(SapExlData[[#This Row],[Maned]],2),LEFT(SapExlData[[#This Row],[Maned]],1))</f>
        <v>2015-10</v>
      </c>
      <c r="AG3" t="str">
        <f>SapExlData[Varegruppe]</f>
        <v>HV,aktiv bearbeiding</v>
      </c>
      <c r="AH3" t="str">
        <f>SapExlData[Material]&amp;" "&amp;SapExlData[[#This Row],[Materialtekst]]</f>
        <v>1624 Stabbur Makrell Porsjon 70x22g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C16"/>
  <sheetViews>
    <sheetView showGridLines="0" zoomScale="85" zoomScaleNormal="85" workbookViewId="0"/>
  </sheetViews>
  <sheetFormatPr defaultColWidth="11.453125" defaultRowHeight="14.5" x14ac:dyDescent="0.35"/>
  <cols>
    <col min="1" max="1" width="16.7265625" customWidth="1"/>
    <col min="2" max="2" width="13.1796875" customWidth="1"/>
    <col min="3" max="3" width="11.81640625" customWidth="1"/>
  </cols>
  <sheetData>
    <row r="1" spans="1:3" ht="23.5" x14ac:dyDescent="0.55000000000000004">
      <c r="A1" s="12" t="s">
        <v>17</v>
      </c>
    </row>
    <row r="4" spans="1:3" x14ac:dyDescent="0.35">
      <c r="A4" s="11" t="s">
        <v>19</v>
      </c>
      <c r="B4" s="16" t="s">
        <v>24</v>
      </c>
      <c r="C4" s="13" t="s">
        <v>20</v>
      </c>
    </row>
    <row r="5" spans="1:3" x14ac:dyDescent="0.35">
      <c r="A5" t="s">
        <v>48</v>
      </c>
      <c r="B5" s="10" t="s">
        <v>22</v>
      </c>
      <c r="C5">
        <f>VLOOKUP(MaterialPrice,$A$14:$B$16,2,FALSE)</f>
        <v>25</v>
      </c>
    </row>
    <row r="6" spans="1:3" x14ac:dyDescent="0.35">
      <c r="A6" t="s">
        <v>47</v>
      </c>
      <c r="B6" s="10"/>
    </row>
    <row r="7" spans="1:3" x14ac:dyDescent="0.35">
      <c r="A7" t="s">
        <v>46</v>
      </c>
      <c r="B7" s="10"/>
    </row>
    <row r="8" spans="1:3" x14ac:dyDescent="0.35">
      <c r="A8" t="s">
        <v>45</v>
      </c>
      <c r="B8" s="10"/>
    </row>
    <row r="9" spans="1:3" x14ac:dyDescent="0.35">
      <c r="A9" t="s">
        <v>44</v>
      </c>
      <c r="B9" s="10" t="s">
        <v>160</v>
      </c>
      <c r="C9" t="str">
        <f>QuantityUnit</f>
        <v>Antall</v>
      </c>
    </row>
    <row r="10" spans="1:3" x14ac:dyDescent="0.35">
      <c r="A10" t="s">
        <v>14</v>
      </c>
      <c r="B10" s="10" t="s">
        <v>49</v>
      </c>
      <c r="C10" t="str">
        <f>Currency</f>
        <v>Default</v>
      </c>
    </row>
    <row r="13" spans="1:3" x14ac:dyDescent="0.35">
      <c r="A13" s="11" t="s">
        <v>13</v>
      </c>
      <c r="B13" s="13" t="s">
        <v>20</v>
      </c>
      <c r="C13" s="11" t="s">
        <v>18</v>
      </c>
    </row>
    <row r="14" spans="1:3" x14ac:dyDescent="0.35">
      <c r="A14" s="6" t="s">
        <v>22</v>
      </c>
      <c r="B14">
        <v>25</v>
      </c>
      <c r="C14" t="s">
        <v>15</v>
      </c>
    </row>
    <row r="15" spans="1:3" x14ac:dyDescent="0.35">
      <c r="A15" s="6" t="s">
        <v>21</v>
      </c>
      <c r="B15">
        <v>22</v>
      </c>
      <c r="C15" t="s">
        <v>25</v>
      </c>
    </row>
    <row r="16" spans="1:3" x14ac:dyDescent="0.35">
      <c r="A16" s="6" t="s">
        <v>23</v>
      </c>
      <c r="B16">
        <v>27</v>
      </c>
      <c r="C1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FF8080"/>
  </sheetPr>
  <dimension ref="A1:D14"/>
  <sheetViews>
    <sheetView showGridLines="0" zoomScale="85" zoomScaleNormal="85" workbookViewId="0"/>
  </sheetViews>
  <sheetFormatPr defaultColWidth="11.453125" defaultRowHeight="14.5" x14ac:dyDescent="0.35"/>
  <cols>
    <col min="1" max="1" width="7.453125" customWidth="1"/>
    <col min="2" max="2" width="5.26953125" customWidth="1"/>
    <col min="3" max="3" width="11.81640625" customWidth="1"/>
    <col min="4" max="4" width="8" customWidth="1"/>
  </cols>
  <sheetData>
    <row r="1" spans="1:4" x14ac:dyDescent="0.35">
      <c r="A1" s="11" t="s">
        <v>40</v>
      </c>
      <c r="B1" s="11" t="s">
        <v>41</v>
      </c>
      <c r="C1" s="11" t="s">
        <v>42</v>
      </c>
      <c r="D1" s="11" t="s">
        <v>20</v>
      </c>
    </row>
    <row r="2" spans="1:4" x14ac:dyDescent="0.35">
      <c r="A2" t="s">
        <v>28</v>
      </c>
      <c r="B2" t="s">
        <v>11</v>
      </c>
      <c r="C2" s="17">
        <v>40909</v>
      </c>
      <c r="D2">
        <v>5.68</v>
      </c>
    </row>
    <row r="3" spans="1:4" x14ac:dyDescent="0.35">
      <c r="A3" t="s">
        <v>29</v>
      </c>
      <c r="B3" t="s">
        <v>11</v>
      </c>
      <c r="C3" s="17">
        <v>40909</v>
      </c>
      <c r="D3">
        <v>5.69</v>
      </c>
    </row>
    <row r="4" spans="1:4" x14ac:dyDescent="0.35">
      <c r="A4" t="s">
        <v>30</v>
      </c>
      <c r="B4" t="s">
        <v>11</v>
      </c>
      <c r="C4" s="17">
        <v>40909</v>
      </c>
      <c r="D4">
        <v>6.61</v>
      </c>
    </row>
    <row r="5" spans="1:4" x14ac:dyDescent="0.35">
      <c r="A5" t="s">
        <v>31</v>
      </c>
      <c r="B5" t="s">
        <v>11</v>
      </c>
      <c r="C5" s="17">
        <v>40909</v>
      </c>
      <c r="D5">
        <v>0.32900000000000001</v>
      </c>
    </row>
    <row r="6" spans="1:4" x14ac:dyDescent="0.35">
      <c r="A6" t="s">
        <v>32</v>
      </c>
      <c r="B6" t="s">
        <v>11</v>
      </c>
      <c r="C6" s="17">
        <v>40909</v>
      </c>
      <c r="D6">
        <v>1.0660000000000001</v>
      </c>
    </row>
    <row r="7" spans="1:4" x14ac:dyDescent="0.35">
      <c r="A7" t="s">
        <v>33</v>
      </c>
      <c r="B7" t="s">
        <v>11</v>
      </c>
      <c r="C7" s="17">
        <v>40909</v>
      </c>
      <c r="D7">
        <v>7.94</v>
      </c>
    </row>
    <row r="8" spans="1:4" x14ac:dyDescent="0.35">
      <c r="A8" t="s">
        <v>34</v>
      </c>
      <c r="B8" t="s">
        <v>11</v>
      </c>
      <c r="C8" s="17">
        <v>40909</v>
      </c>
      <c r="D8">
        <v>8.84</v>
      </c>
    </row>
    <row r="9" spans="1:4" x14ac:dyDescent="0.35">
      <c r="A9" t="s">
        <v>35</v>
      </c>
      <c r="B9" t="s">
        <v>11</v>
      </c>
      <c r="C9" s="17">
        <v>40909</v>
      </c>
      <c r="D9">
        <v>2.91</v>
      </c>
    </row>
    <row r="10" spans="1:4" x14ac:dyDescent="0.35">
      <c r="A10" t="s">
        <v>36</v>
      </c>
      <c r="B10" t="s">
        <v>11</v>
      </c>
      <c r="C10" s="17">
        <v>40909</v>
      </c>
      <c r="D10">
        <v>6.9</v>
      </c>
    </row>
    <row r="11" spans="1:4" x14ac:dyDescent="0.35">
      <c r="A11" t="s">
        <v>37</v>
      </c>
      <c r="B11" t="s">
        <v>11</v>
      </c>
      <c r="C11" s="17">
        <v>40909</v>
      </c>
      <c r="D11">
        <v>1.9550000000000001</v>
      </c>
    </row>
    <row r="12" spans="1:4" x14ac:dyDescent="0.35">
      <c r="A12" t="s">
        <v>38</v>
      </c>
      <c r="B12" t="s">
        <v>11</v>
      </c>
      <c r="C12" s="17">
        <v>40909</v>
      </c>
      <c r="D12">
        <v>0.85699999999999998</v>
      </c>
    </row>
    <row r="13" spans="1:4" x14ac:dyDescent="0.35">
      <c r="A13" t="s">
        <v>39</v>
      </c>
      <c r="B13" t="s">
        <v>11</v>
      </c>
      <c r="C13" s="17">
        <v>40909</v>
      </c>
      <c r="D13">
        <v>5.53</v>
      </c>
    </row>
    <row r="14" spans="1:4" x14ac:dyDescent="0.35">
      <c r="A14" t="s">
        <v>39</v>
      </c>
      <c r="B14" t="s">
        <v>11</v>
      </c>
      <c r="C14" s="17">
        <v>40544</v>
      </c>
      <c r="D14">
        <v>6.31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2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28.1796875" customWidth="1"/>
    <col min="2" max="2" width="49.81640625" bestFit="1" customWidth="1"/>
  </cols>
  <sheetData>
    <row r="1" spans="1:2" x14ac:dyDescent="0.35">
      <c r="A1" s="11" t="s">
        <v>43</v>
      </c>
      <c r="B1" s="11" t="s">
        <v>18</v>
      </c>
    </row>
    <row r="2" spans="1:2" x14ac:dyDescent="0.35">
      <c r="A2" s="11"/>
      <c r="B2" s="1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1796875" bestFit="1" customWidth="1"/>
    <col min="3" max="3" width="11.54296875" bestFit="1" customWidth="1"/>
    <col min="4" max="4" width="13.7265625" customWidth="1"/>
    <col min="5" max="5" width="13.453125" bestFit="1" customWidth="1"/>
    <col min="6" max="6" width="11" customWidth="1"/>
    <col min="7" max="7" width="15.453125" bestFit="1" customWidth="1"/>
    <col min="8" max="8" width="14.54296875" bestFit="1" customWidth="1"/>
    <col min="9" max="9" width="15.7265625" bestFit="1" customWidth="1"/>
    <col min="10" max="10" width="12.5429687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54296875" customWidth="1"/>
    <col min="19" max="19" width="17" bestFit="1" customWidth="1"/>
    <col min="20" max="20" width="13.54296875" customWidth="1"/>
    <col min="21" max="21" width="10.54296875" customWidth="1"/>
    <col min="22" max="23" width="12" customWidth="1"/>
    <col min="24" max="24" width="12.81640625" customWidth="1"/>
    <col min="25" max="33" width="12" customWidth="1"/>
  </cols>
  <sheetData>
    <row r="1" spans="1:33" x14ac:dyDescent="0.35">
      <c r="A1" t="s">
        <v>50</v>
      </c>
      <c r="B1" t="s">
        <v>9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74</v>
      </c>
      <c r="N1" t="s">
        <v>75</v>
      </c>
      <c r="O1" t="s">
        <v>76</v>
      </c>
      <c r="P1" t="s">
        <v>77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78</v>
      </c>
      <c r="Y1" t="s">
        <v>79</v>
      </c>
      <c r="Z1" t="s">
        <v>68</v>
      </c>
      <c r="AA1" t="s">
        <v>69</v>
      </c>
      <c r="AB1" t="s">
        <v>70</v>
      </c>
      <c r="AC1" t="s">
        <v>71</v>
      </c>
      <c r="AD1" t="s">
        <v>72</v>
      </c>
      <c r="AE1" t="s">
        <v>80</v>
      </c>
      <c r="AF1" t="s">
        <v>81</v>
      </c>
      <c r="AG1" t="s">
        <v>73</v>
      </c>
    </row>
    <row r="2" spans="1:33" x14ac:dyDescent="0.35">
      <c r="D2" s="15"/>
      <c r="E2" s="15"/>
      <c r="G2" s="15"/>
      <c r="H2" s="15"/>
      <c r="L2" s="15"/>
      <c r="M2" s="15"/>
      <c r="N2" s="15"/>
      <c r="O2" s="15"/>
      <c r="P2" s="15"/>
      <c r="Q2" s="15"/>
      <c r="R2" s="15"/>
      <c r="S2" s="15"/>
      <c r="U2" s="15"/>
      <c r="V2" s="15"/>
      <c r="W2" s="15"/>
      <c r="X2" s="15"/>
      <c r="AA2" s="15"/>
      <c r="AE2" s="15"/>
      <c r="AF2" s="15"/>
    </row>
    <row r="3" spans="1:33" x14ac:dyDescent="0.35">
      <c r="D3" s="15"/>
      <c r="E3" s="15"/>
      <c r="G3" s="15"/>
      <c r="H3" s="15"/>
      <c r="L3" s="15"/>
      <c r="M3" s="15"/>
      <c r="N3" s="15"/>
      <c r="O3" s="15"/>
      <c r="Q3" s="15"/>
      <c r="R3" s="15"/>
      <c r="S3" s="15"/>
      <c r="U3" s="15"/>
    </row>
    <row r="4" spans="1:33" x14ac:dyDescent="0.35">
      <c r="D4" s="15"/>
      <c r="E4" s="15"/>
      <c r="G4" s="15"/>
      <c r="H4" s="15"/>
      <c r="L4" s="15"/>
      <c r="M4" s="15"/>
      <c r="N4" s="15"/>
      <c r="O4" s="15"/>
      <c r="Q4" s="15"/>
      <c r="R4" s="15"/>
      <c r="S4" s="15"/>
      <c r="U4" s="15"/>
    </row>
    <row r="5" spans="1:33" x14ac:dyDescent="0.35">
      <c r="D5" s="15"/>
      <c r="E5" s="15"/>
      <c r="G5" s="15"/>
      <c r="H5" s="15"/>
      <c r="L5" s="15"/>
      <c r="M5" s="15"/>
      <c r="N5" s="15"/>
      <c r="O5" s="15"/>
      <c r="Q5" s="15"/>
      <c r="R5" s="15"/>
      <c r="S5" s="15"/>
      <c r="U5" s="15"/>
    </row>
    <row r="6" spans="1:33" x14ac:dyDescent="0.35">
      <c r="D6" s="15"/>
      <c r="E6" s="15"/>
      <c r="G6" s="15"/>
      <c r="H6" s="15"/>
      <c r="L6" s="15"/>
      <c r="M6" s="15"/>
      <c r="N6" s="15"/>
      <c r="O6" s="15"/>
      <c r="Q6" s="15"/>
      <c r="R6" s="15"/>
      <c r="S6" s="15"/>
      <c r="U6" s="15"/>
    </row>
    <row r="7" spans="1:33" x14ac:dyDescent="0.35">
      <c r="D7" s="15"/>
      <c r="E7" s="15"/>
      <c r="G7" s="15"/>
      <c r="H7" s="15"/>
      <c r="L7" s="15"/>
      <c r="M7" s="15"/>
      <c r="N7" s="15"/>
      <c r="O7" s="15"/>
      <c r="Q7" s="15"/>
      <c r="R7" s="15"/>
      <c r="S7" s="15"/>
      <c r="U7" s="15"/>
    </row>
    <row r="8" spans="1:33" x14ac:dyDescent="0.35">
      <c r="D8" s="15"/>
      <c r="E8" s="15"/>
      <c r="G8" s="15"/>
      <c r="H8" s="15"/>
      <c r="L8" s="15"/>
      <c r="M8" s="15"/>
      <c r="N8" s="15"/>
      <c r="O8" s="15"/>
      <c r="Q8" s="15"/>
      <c r="R8" s="15"/>
      <c r="S8" s="15"/>
      <c r="U8" s="15"/>
    </row>
    <row r="9" spans="1:33" x14ac:dyDescent="0.35">
      <c r="D9" s="15"/>
      <c r="E9" s="15"/>
      <c r="G9" s="15"/>
      <c r="H9" s="15"/>
      <c r="L9" s="15"/>
      <c r="M9" s="15"/>
      <c r="N9" s="15"/>
      <c r="O9" s="15"/>
      <c r="Q9" s="15"/>
      <c r="R9" s="15"/>
      <c r="S9" s="15"/>
      <c r="U9" s="15"/>
    </row>
    <row r="10" spans="1:33" x14ac:dyDescent="0.35">
      <c r="D10" s="15"/>
      <c r="E10" s="15"/>
      <c r="G10" s="15"/>
      <c r="H10" s="15"/>
      <c r="L10" s="15"/>
      <c r="M10" s="15"/>
      <c r="N10" s="15"/>
      <c r="O10" s="15"/>
      <c r="Q10" s="15"/>
      <c r="R10" s="15"/>
      <c r="S10" s="15"/>
      <c r="U10" s="15"/>
    </row>
    <row r="11" spans="1:33" x14ac:dyDescent="0.35">
      <c r="D11" s="15"/>
      <c r="E11" s="15"/>
      <c r="G11" s="15"/>
      <c r="H11" s="15"/>
      <c r="L11" s="15"/>
      <c r="M11" s="15"/>
      <c r="N11" s="15"/>
      <c r="O11" s="15"/>
      <c r="Q11" s="15"/>
      <c r="R11" s="15"/>
      <c r="S11" s="15"/>
      <c r="U11" s="15"/>
    </row>
    <row r="12" spans="1:33" x14ac:dyDescent="0.35">
      <c r="D12" s="15"/>
      <c r="E12" s="15"/>
      <c r="G12" s="15"/>
      <c r="H12" s="15"/>
      <c r="L12" s="15"/>
      <c r="M12" s="15"/>
      <c r="N12" s="15"/>
      <c r="O12" s="15"/>
      <c r="Q12" s="15"/>
      <c r="R12" s="15"/>
      <c r="S12" s="15"/>
      <c r="U12" s="15"/>
    </row>
    <row r="13" spans="1:33" x14ac:dyDescent="0.35">
      <c r="D13" s="15"/>
      <c r="E13" s="15"/>
      <c r="G13" s="15"/>
      <c r="H13" s="15"/>
      <c r="L13" s="15"/>
      <c r="M13" s="15"/>
      <c r="N13" s="15"/>
      <c r="O13" s="15"/>
      <c r="Q13" s="15"/>
      <c r="R13" s="15"/>
      <c r="S13" s="15"/>
      <c r="U13" s="15"/>
    </row>
    <row r="14" spans="1:33" x14ac:dyDescent="0.35">
      <c r="D14" s="15"/>
      <c r="E14" s="15"/>
      <c r="G14" s="15"/>
      <c r="H14" s="15"/>
      <c r="L14" s="15"/>
      <c r="M14" s="15"/>
      <c r="N14" s="15"/>
      <c r="O14" s="15"/>
      <c r="Q14" s="15"/>
      <c r="R14" s="15"/>
      <c r="S14" s="15"/>
      <c r="U14" s="15"/>
    </row>
    <row r="15" spans="1:33" x14ac:dyDescent="0.35">
      <c r="D15" s="15"/>
      <c r="E15" s="15"/>
      <c r="G15" s="15"/>
      <c r="H15" s="15"/>
      <c r="L15" s="15"/>
      <c r="M15" s="15"/>
      <c r="N15" s="15"/>
      <c r="O15" s="15"/>
      <c r="Q15" s="15"/>
      <c r="R15" s="15"/>
      <c r="S15" s="15"/>
      <c r="U15" s="15"/>
    </row>
    <row r="16" spans="1:33" x14ac:dyDescent="0.35">
      <c r="D16" s="15"/>
      <c r="E16" s="15"/>
      <c r="G16" s="15"/>
      <c r="H16" s="15"/>
      <c r="L16" s="15"/>
      <c r="M16" s="15"/>
      <c r="N16" s="15"/>
      <c r="O16" s="15"/>
      <c r="Q16" s="15"/>
      <c r="R16" s="15"/>
      <c r="S16" s="15"/>
      <c r="U16" s="15"/>
    </row>
    <row r="17" spans="4:21" x14ac:dyDescent="0.35">
      <c r="D17" s="15"/>
      <c r="E17" s="15"/>
      <c r="G17" s="15"/>
      <c r="H17" s="15"/>
      <c r="L17" s="15"/>
      <c r="M17" s="15"/>
      <c r="N17" s="15"/>
      <c r="O17" s="15"/>
      <c r="Q17" s="15"/>
      <c r="R17" s="15"/>
      <c r="S17" s="15"/>
      <c r="U17" s="15"/>
    </row>
    <row r="18" spans="4:21" x14ac:dyDescent="0.35">
      <c r="D18" s="15"/>
      <c r="E18" s="15"/>
      <c r="G18" s="15"/>
      <c r="H18" s="15"/>
      <c r="L18" s="15"/>
      <c r="M18" s="15"/>
      <c r="N18" s="15"/>
      <c r="O18" s="15"/>
      <c r="Q18" s="15"/>
      <c r="R18" s="15"/>
      <c r="S18" s="15"/>
      <c r="U18" s="15"/>
    </row>
    <row r="19" spans="4:21" x14ac:dyDescent="0.35">
      <c r="D19" s="15"/>
      <c r="E19" s="15"/>
      <c r="G19" s="15"/>
      <c r="H19" s="15"/>
      <c r="L19" s="15"/>
      <c r="M19" s="15"/>
      <c r="N19" s="15"/>
      <c r="O19" s="15"/>
      <c r="Q19" s="15"/>
      <c r="R19" s="15"/>
      <c r="S19" s="15"/>
      <c r="U19" s="15"/>
    </row>
    <row r="20" spans="4:21" x14ac:dyDescent="0.35">
      <c r="D20" s="15"/>
      <c r="E20" s="15"/>
      <c r="G20" s="15"/>
      <c r="H20" s="15"/>
      <c r="L20" s="15"/>
      <c r="M20" s="15"/>
      <c r="N20" s="15"/>
      <c r="O20" s="15"/>
      <c r="Q20" s="15"/>
      <c r="R20" s="15"/>
      <c r="S20" s="15"/>
      <c r="U20" s="15"/>
    </row>
    <row r="21" spans="4:21" x14ac:dyDescent="0.35">
      <c r="D21" s="15"/>
      <c r="E21" s="15"/>
      <c r="G21" s="15"/>
      <c r="H21" s="15"/>
      <c r="L21" s="15"/>
      <c r="M21" s="15"/>
      <c r="N21" s="15"/>
      <c r="O21" s="15"/>
      <c r="Q21" s="15"/>
      <c r="R21" s="15"/>
      <c r="S21" s="15"/>
      <c r="U21" s="15"/>
    </row>
    <row r="22" spans="4:21" x14ac:dyDescent="0.35">
      <c r="D22" s="15"/>
      <c r="E22" s="15"/>
      <c r="G22" s="15"/>
      <c r="H22" s="15"/>
      <c r="L22" s="15"/>
      <c r="M22" s="15"/>
      <c r="N22" s="15"/>
      <c r="O22" s="15"/>
      <c r="Q22" s="15"/>
      <c r="R22" s="15"/>
      <c r="S22" s="15"/>
      <c r="U22" s="15"/>
    </row>
    <row r="23" spans="4:21" x14ac:dyDescent="0.35">
      <c r="D23" s="15"/>
      <c r="E23" s="15"/>
      <c r="G23" s="15"/>
      <c r="H23" s="15"/>
      <c r="L23" s="15"/>
      <c r="M23" s="15"/>
      <c r="N23" s="15"/>
      <c r="O23" s="15"/>
      <c r="Q23" s="15"/>
      <c r="R23" s="15"/>
      <c r="S23" s="15"/>
      <c r="U23" s="15"/>
    </row>
    <row r="24" spans="4:21" x14ac:dyDescent="0.35">
      <c r="D24" s="15"/>
      <c r="E24" s="15"/>
      <c r="G24" s="15"/>
      <c r="H24" s="15"/>
      <c r="L24" s="15"/>
      <c r="M24" s="15"/>
      <c r="N24" s="15"/>
      <c r="O24" s="15"/>
      <c r="Q24" s="15"/>
      <c r="R24" s="15"/>
      <c r="S24" s="15"/>
      <c r="U24" s="15"/>
    </row>
    <row r="25" spans="4:21" x14ac:dyDescent="0.35">
      <c r="D25" s="15"/>
      <c r="E25" s="15"/>
      <c r="G25" s="15"/>
      <c r="H25" s="15"/>
      <c r="L25" s="15"/>
      <c r="M25" s="15"/>
      <c r="N25" s="15"/>
      <c r="O25" s="15"/>
      <c r="Q25" s="15"/>
      <c r="R25" s="15"/>
      <c r="S25" s="15"/>
      <c r="U25" s="15"/>
    </row>
    <row r="26" spans="4:21" x14ac:dyDescent="0.35">
      <c r="D26" s="15"/>
      <c r="E26" s="15"/>
      <c r="G26" s="15"/>
      <c r="H26" s="15"/>
      <c r="L26" s="15"/>
      <c r="M26" s="15"/>
      <c r="N26" s="15"/>
      <c r="O26" s="15"/>
      <c r="Q26" s="15"/>
      <c r="R26" s="15"/>
      <c r="S26" s="15"/>
      <c r="U26" s="15"/>
    </row>
    <row r="27" spans="4:21" x14ac:dyDescent="0.35">
      <c r="D27" s="15"/>
      <c r="E27" s="15"/>
      <c r="G27" s="15"/>
      <c r="H27" s="15"/>
      <c r="L27" s="15"/>
      <c r="M27" s="15"/>
      <c r="N27" s="15"/>
      <c r="O27" s="15"/>
      <c r="Q27" s="15"/>
      <c r="R27" s="15"/>
      <c r="S27" s="15"/>
      <c r="U27" s="15"/>
    </row>
    <row r="28" spans="4:21" x14ac:dyDescent="0.35">
      <c r="D28" s="15"/>
      <c r="E28" s="15"/>
      <c r="G28" s="15"/>
      <c r="H28" s="15"/>
      <c r="L28" s="15"/>
      <c r="M28" s="15"/>
      <c r="N28" s="15"/>
      <c r="O28" s="15"/>
      <c r="Q28" s="15"/>
      <c r="R28" s="15"/>
      <c r="S28" s="15"/>
      <c r="U28" s="15"/>
    </row>
    <row r="29" spans="4:21" x14ac:dyDescent="0.35">
      <c r="D29" s="15"/>
      <c r="E29" s="15"/>
      <c r="G29" s="15"/>
      <c r="H29" s="15"/>
      <c r="L29" s="15"/>
      <c r="M29" s="15"/>
      <c r="N29" s="15"/>
      <c r="O29" s="15"/>
      <c r="Q29" s="15"/>
      <c r="R29" s="15"/>
      <c r="S29" s="15"/>
      <c r="U29" s="15"/>
    </row>
    <row r="30" spans="4:21" x14ac:dyDescent="0.35">
      <c r="D30" s="15"/>
      <c r="E30" s="15"/>
      <c r="G30" s="15"/>
      <c r="H30" s="15"/>
      <c r="L30" s="15"/>
      <c r="M30" s="15"/>
      <c r="N30" s="15"/>
      <c r="O30" s="15"/>
      <c r="Q30" s="15"/>
      <c r="R30" s="15"/>
      <c r="S30" s="15"/>
      <c r="U30" s="15"/>
    </row>
    <row r="31" spans="4:21" x14ac:dyDescent="0.35">
      <c r="D31" s="15"/>
      <c r="E31" s="15"/>
      <c r="G31" s="15"/>
      <c r="H31" s="15"/>
      <c r="L31" s="15"/>
      <c r="M31" s="15"/>
      <c r="N31" s="15"/>
      <c r="O31" s="15"/>
      <c r="Q31" s="15"/>
      <c r="R31" s="15"/>
      <c r="S31" s="15"/>
      <c r="U31" s="15"/>
    </row>
    <row r="32" spans="4:21" x14ac:dyDescent="0.35">
      <c r="D32" s="15"/>
      <c r="E32" s="15"/>
      <c r="G32" s="15"/>
      <c r="H32" s="15"/>
      <c r="L32" s="15"/>
      <c r="M32" s="15"/>
      <c r="N32" s="15"/>
      <c r="O32" s="15"/>
      <c r="Q32" s="15"/>
      <c r="R32" s="15"/>
      <c r="S32" s="15"/>
      <c r="U32" s="15"/>
    </row>
    <row r="33" spans="4:21" x14ac:dyDescent="0.35">
      <c r="D33" s="15"/>
      <c r="E33" s="15"/>
      <c r="G33" s="15"/>
      <c r="H33" s="15"/>
      <c r="L33" s="15"/>
      <c r="M33" s="15"/>
      <c r="N33" s="15"/>
      <c r="O33" s="15"/>
      <c r="Q33" s="15"/>
      <c r="R33" s="15"/>
      <c r="S33" s="15"/>
      <c r="U33" s="15"/>
    </row>
    <row r="34" spans="4:21" x14ac:dyDescent="0.35">
      <c r="D34" s="15"/>
      <c r="E34" s="15"/>
      <c r="G34" s="15"/>
      <c r="H34" s="15"/>
      <c r="L34" s="15"/>
      <c r="M34" s="15"/>
      <c r="N34" s="15"/>
      <c r="O34" s="15"/>
      <c r="Q34" s="15"/>
      <c r="R34" s="15"/>
      <c r="S34" s="15"/>
      <c r="U34" s="15"/>
    </row>
    <row r="35" spans="4:21" x14ac:dyDescent="0.35">
      <c r="D35" s="15"/>
      <c r="E35" s="15"/>
      <c r="G35" s="15"/>
      <c r="H35" s="15"/>
      <c r="L35" s="15"/>
      <c r="M35" s="15"/>
      <c r="N35" s="15"/>
      <c r="O35" s="15"/>
      <c r="Q35" s="15"/>
      <c r="R35" s="15"/>
      <c r="S35" s="15"/>
      <c r="U35" s="15"/>
    </row>
    <row r="36" spans="4:21" x14ac:dyDescent="0.35">
      <c r="D36" s="15"/>
      <c r="E36" s="15"/>
      <c r="G36" s="15"/>
      <c r="H36" s="15"/>
      <c r="L36" s="15"/>
      <c r="M36" s="15"/>
      <c r="N36" s="15"/>
      <c r="O36" s="15"/>
      <c r="Q36" s="15"/>
      <c r="R36" s="15"/>
      <c r="S36" s="15"/>
      <c r="U36" s="15"/>
    </row>
    <row r="37" spans="4:21" x14ac:dyDescent="0.35">
      <c r="D37" s="15"/>
      <c r="E37" s="15"/>
      <c r="G37" s="15"/>
      <c r="H37" s="15"/>
      <c r="L37" s="15"/>
      <c r="M37" s="15"/>
      <c r="N37" s="15"/>
      <c r="O37" s="15"/>
      <c r="Q37" s="15"/>
      <c r="R37" s="15"/>
      <c r="S37" s="15"/>
      <c r="U37" s="15"/>
    </row>
    <row r="38" spans="4:21" x14ac:dyDescent="0.35">
      <c r="D38" s="15"/>
      <c r="E38" s="15"/>
      <c r="G38" s="15"/>
      <c r="H38" s="15"/>
      <c r="L38" s="15"/>
      <c r="M38" s="15"/>
      <c r="N38" s="15"/>
      <c r="O38" s="15"/>
      <c r="Q38" s="15"/>
      <c r="R38" s="15"/>
      <c r="S38" s="15"/>
      <c r="U38" s="15"/>
    </row>
    <row r="39" spans="4:21" x14ac:dyDescent="0.35">
      <c r="D39" s="15"/>
      <c r="E39" s="15"/>
      <c r="G39" s="15"/>
      <c r="H39" s="15"/>
      <c r="L39" s="15"/>
      <c r="M39" s="15"/>
      <c r="N39" s="15"/>
      <c r="O39" s="15"/>
      <c r="Q39" s="15"/>
      <c r="R39" s="15"/>
      <c r="S39" s="15"/>
      <c r="U39" s="15"/>
    </row>
    <row r="40" spans="4:21" x14ac:dyDescent="0.35">
      <c r="D40" s="15"/>
      <c r="E40" s="15"/>
      <c r="G40" s="15"/>
      <c r="H40" s="15"/>
      <c r="L40" s="15"/>
      <c r="M40" s="15"/>
      <c r="N40" s="15"/>
      <c r="O40" s="15"/>
      <c r="Q40" s="15"/>
      <c r="R40" s="15"/>
      <c r="S40" s="15"/>
      <c r="U40" s="15"/>
    </row>
    <row r="41" spans="4:21" x14ac:dyDescent="0.35">
      <c r="D41" s="15"/>
      <c r="E41" s="15"/>
      <c r="G41" s="15"/>
      <c r="H41" s="15"/>
      <c r="L41" s="15"/>
      <c r="M41" s="15"/>
      <c r="N41" s="15"/>
      <c r="O41" s="15"/>
      <c r="Q41" s="15"/>
      <c r="R41" s="15"/>
      <c r="S41" s="15"/>
      <c r="U41" s="15"/>
    </row>
    <row r="42" spans="4:21" x14ac:dyDescent="0.35">
      <c r="D42" s="15"/>
      <c r="E42" s="15"/>
      <c r="G42" s="15"/>
      <c r="H42" s="15"/>
      <c r="L42" s="15"/>
      <c r="M42" s="15"/>
      <c r="N42" s="15"/>
      <c r="O42" s="15"/>
      <c r="Q42" s="15"/>
      <c r="R42" s="15"/>
      <c r="S42" s="15"/>
      <c r="U42" s="15"/>
    </row>
    <row r="43" spans="4:21" x14ac:dyDescent="0.35">
      <c r="D43" s="15"/>
      <c r="E43" s="15"/>
      <c r="G43" s="15"/>
      <c r="H43" s="15"/>
      <c r="L43" s="15"/>
      <c r="M43" s="15"/>
      <c r="N43" s="15"/>
      <c r="O43" s="15"/>
      <c r="Q43" s="15"/>
      <c r="R43" s="15"/>
      <c r="S43" s="15"/>
      <c r="U43" s="15"/>
    </row>
    <row r="44" spans="4:21" x14ac:dyDescent="0.35">
      <c r="D44" s="15"/>
      <c r="E44" s="15"/>
      <c r="G44" s="15"/>
      <c r="H44" s="15"/>
      <c r="L44" s="15"/>
      <c r="M44" s="15"/>
      <c r="N44" s="15"/>
      <c r="O44" s="15"/>
      <c r="Q44" s="15"/>
      <c r="R44" s="15"/>
      <c r="S44" s="15"/>
      <c r="U44" s="15"/>
    </row>
    <row r="45" spans="4:21" x14ac:dyDescent="0.35">
      <c r="D45" s="15"/>
      <c r="E45" s="15"/>
      <c r="G45" s="15"/>
      <c r="H45" s="15"/>
      <c r="L45" s="15"/>
      <c r="M45" s="15"/>
      <c r="N45" s="15"/>
      <c r="O45" s="15"/>
      <c r="Q45" s="15"/>
      <c r="R45" s="15"/>
      <c r="S45" s="15"/>
      <c r="U45" s="15"/>
    </row>
    <row r="46" spans="4:21" x14ac:dyDescent="0.35">
      <c r="D46" s="15"/>
      <c r="E46" s="15"/>
      <c r="G46" s="15"/>
      <c r="H46" s="15"/>
      <c r="L46" s="15"/>
      <c r="M46" s="15"/>
      <c r="N46" s="15"/>
      <c r="O46" s="15"/>
      <c r="Q46" s="15"/>
      <c r="R46" s="15"/>
      <c r="S46" s="15"/>
      <c r="U46" s="15"/>
    </row>
    <row r="47" spans="4:21" x14ac:dyDescent="0.35">
      <c r="D47" s="15"/>
      <c r="E47" s="15"/>
      <c r="G47" s="15"/>
      <c r="H47" s="15"/>
      <c r="L47" s="15"/>
      <c r="M47" s="15"/>
      <c r="N47" s="15"/>
      <c r="O47" s="15"/>
      <c r="Q47" s="15"/>
      <c r="R47" s="15"/>
      <c r="S47" s="15"/>
      <c r="U47" s="15"/>
    </row>
    <row r="48" spans="4:21" x14ac:dyDescent="0.35">
      <c r="D48" s="15"/>
      <c r="E48" s="15"/>
      <c r="G48" s="15"/>
      <c r="H48" s="15"/>
      <c r="L48" s="15"/>
      <c r="M48" s="15"/>
      <c r="N48" s="15"/>
      <c r="O48" s="15"/>
      <c r="Q48" s="15"/>
      <c r="R48" s="15"/>
      <c r="S48" s="15"/>
      <c r="U48" s="15"/>
    </row>
    <row r="49" spans="4:21" x14ac:dyDescent="0.35">
      <c r="D49" s="15"/>
      <c r="E49" s="15"/>
      <c r="G49" s="15"/>
      <c r="H49" s="15"/>
      <c r="L49" s="15"/>
      <c r="M49" s="15"/>
      <c r="N49" s="15"/>
      <c r="O49" s="15"/>
      <c r="Q49" s="15"/>
      <c r="R49" s="15"/>
      <c r="S49" s="15"/>
      <c r="U49" s="15"/>
    </row>
    <row r="50" spans="4:21" x14ac:dyDescent="0.35">
      <c r="D50" s="15"/>
      <c r="E50" s="15"/>
      <c r="G50" s="15"/>
      <c r="H50" s="15"/>
      <c r="L50" s="15"/>
      <c r="M50" s="15"/>
      <c r="N50" s="15"/>
      <c r="O50" s="15"/>
      <c r="Q50" s="15"/>
      <c r="R50" s="15"/>
      <c r="S50" s="15"/>
      <c r="U50" s="15"/>
    </row>
    <row r="51" spans="4:21" x14ac:dyDescent="0.35">
      <c r="D51" s="15"/>
      <c r="E51" s="15"/>
      <c r="G51" s="15"/>
      <c r="H51" s="15"/>
      <c r="L51" s="15"/>
      <c r="M51" s="15"/>
      <c r="N51" s="15"/>
      <c r="O51" s="15"/>
      <c r="Q51" s="15"/>
      <c r="R51" s="15"/>
      <c r="S51" s="15"/>
      <c r="U51" s="15"/>
    </row>
    <row r="52" spans="4:21" x14ac:dyDescent="0.35">
      <c r="D52" s="15"/>
      <c r="E52" s="15"/>
      <c r="G52" s="15"/>
      <c r="H52" s="15"/>
      <c r="L52" s="15"/>
      <c r="M52" s="15"/>
      <c r="N52" s="15"/>
      <c r="O52" s="15"/>
      <c r="Q52" s="15"/>
      <c r="R52" s="15"/>
      <c r="S52" s="15"/>
      <c r="U52" s="15"/>
    </row>
    <row r="53" spans="4:21" x14ac:dyDescent="0.35">
      <c r="D53" s="15"/>
      <c r="E53" s="15"/>
      <c r="G53" s="15"/>
      <c r="H53" s="15"/>
      <c r="L53" s="15"/>
      <c r="M53" s="15"/>
      <c r="N53" s="15"/>
      <c r="O53" s="15"/>
      <c r="Q53" s="15"/>
      <c r="R53" s="15"/>
      <c r="S53" s="15"/>
      <c r="U53" s="15"/>
    </row>
    <row r="54" spans="4:21" x14ac:dyDescent="0.35">
      <c r="D54" s="15"/>
      <c r="E54" s="15"/>
      <c r="G54" s="15"/>
      <c r="H54" s="15"/>
      <c r="L54" s="15"/>
      <c r="M54" s="15"/>
      <c r="N54" s="15"/>
      <c r="O54" s="15"/>
      <c r="Q54" s="15"/>
      <c r="R54" s="15"/>
      <c r="S54" s="15"/>
      <c r="U54" s="15"/>
    </row>
    <row r="55" spans="4:21" x14ac:dyDescent="0.35">
      <c r="D55" s="15"/>
      <c r="E55" s="15"/>
      <c r="G55" s="15"/>
      <c r="H55" s="15"/>
      <c r="L55" s="15"/>
      <c r="M55" s="15"/>
      <c r="N55" s="15"/>
      <c r="O55" s="15"/>
      <c r="Q55" s="15"/>
      <c r="R55" s="15"/>
      <c r="S55" s="15"/>
      <c r="U55" s="15"/>
    </row>
    <row r="56" spans="4:21" x14ac:dyDescent="0.35">
      <c r="D56" s="15"/>
      <c r="E56" s="15"/>
      <c r="G56" s="15"/>
      <c r="H56" s="15"/>
      <c r="L56" s="15"/>
      <c r="M56" s="15"/>
      <c r="N56" s="15"/>
      <c r="O56" s="15"/>
      <c r="Q56" s="15"/>
      <c r="R56" s="15"/>
      <c r="S56" s="15"/>
      <c r="U56" s="15"/>
    </row>
    <row r="57" spans="4:21" x14ac:dyDescent="0.35">
      <c r="D57" s="15"/>
      <c r="E57" s="15"/>
      <c r="G57" s="15"/>
      <c r="H57" s="15"/>
      <c r="L57" s="15"/>
      <c r="M57" s="15"/>
      <c r="N57" s="15"/>
      <c r="O57" s="15"/>
      <c r="Q57" s="15"/>
      <c r="R57" s="15"/>
      <c r="S57" s="15"/>
      <c r="U57" s="15"/>
    </row>
    <row r="58" spans="4:21" x14ac:dyDescent="0.35">
      <c r="D58" s="15"/>
      <c r="E58" s="15"/>
      <c r="G58" s="15"/>
      <c r="H58" s="15"/>
      <c r="L58" s="15"/>
      <c r="M58" s="15"/>
      <c r="N58" s="15"/>
      <c r="O58" s="15"/>
      <c r="Q58" s="15"/>
      <c r="R58" s="15"/>
      <c r="S58" s="15"/>
      <c r="U58" s="15"/>
    </row>
    <row r="59" spans="4:21" x14ac:dyDescent="0.35">
      <c r="D59" s="15"/>
      <c r="E59" s="15"/>
      <c r="G59" s="15"/>
      <c r="H59" s="15"/>
      <c r="L59" s="15"/>
      <c r="M59" s="15"/>
      <c r="N59" s="15"/>
      <c r="O59" s="15"/>
      <c r="Q59" s="15"/>
      <c r="R59" s="15"/>
      <c r="S59" s="15"/>
      <c r="U59" s="15"/>
    </row>
    <row r="60" spans="4:21" x14ac:dyDescent="0.35">
      <c r="D60" s="15"/>
      <c r="E60" s="15"/>
      <c r="G60" s="15"/>
      <c r="H60" s="15"/>
      <c r="L60" s="15"/>
      <c r="M60" s="15"/>
      <c r="N60" s="15"/>
      <c r="O60" s="15"/>
      <c r="Q60" s="15"/>
      <c r="R60" s="15"/>
      <c r="S60" s="15"/>
      <c r="U60" s="15"/>
    </row>
    <row r="61" spans="4:21" x14ac:dyDescent="0.35">
      <c r="D61" s="15"/>
      <c r="E61" s="15"/>
      <c r="G61" s="15"/>
      <c r="H61" s="15"/>
      <c r="L61" s="15"/>
      <c r="M61" s="15"/>
      <c r="N61" s="15"/>
      <c r="O61" s="15"/>
      <c r="Q61" s="15"/>
      <c r="R61" s="15"/>
      <c r="S61" s="15"/>
      <c r="U61" s="15"/>
    </row>
    <row r="62" spans="4:21" x14ac:dyDescent="0.35">
      <c r="D62" s="15"/>
      <c r="E62" s="15"/>
      <c r="G62" s="15"/>
      <c r="H62" s="15"/>
      <c r="L62" s="15"/>
      <c r="M62" s="15"/>
      <c r="N62" s="15"/>
      <c r="O62" s="15"/>
      <c r="Q62" s="15"/>
      <c r="R62" s="15"/>
      <c r="S62" s="15"/>
      <c r="U62" s="15"/>
    </row>
    <row r="63" spans="4:21" x14ac:dyDescent="0.35">
      <c r="D63" s="15"/>
      <c r="E63" s="15"/>
      <c r="G63" s="15"/>
      <c r="H63" s="15"/>
      <c r="L63" s="15"/>
      <c r="M63" s="15"/>
      <c r="N63" s="15"/>
      <c r="O63" s="15"/>
      <c r="Q63" s="15"/>
      <c r="R63" s="15"/>
      <c r="S63" s="15"/>
      <c r="U63" s="15"/>
    </row>
    <row r="64" spans="4:21" x14ac:dyDescent="0.35">
      <c r="D64" s="15"/>
      <c r="E64" s="15"/>
      <c r="G64" s="15"/>
      <c r="H64" s="15"/>
      <c r="L64" s="15"/>
      <c r="M64" s="15"/>
      <c r="N64" s="15"/>
      <c r="O64" s="15"/>
      <c r="Q64" s="15"/>
      <c r="R64" s="15"/>
      <c r="S64" s="15"/>
      <c r="U64" s="15"/>
    </row>
    <row r="65" spans="4:21" x14ac:dyDescent="0.35">
      <c r="D65" s="15"/>
      <c r="E65" s="15"/>
      <c r="G65" s="15"/>
      <c r="H65" s="15"/>
      <c r="L65" s="15"/>
      <c r="M65" s="15"/>
      <c r="N65" s="15"/>
      <c r="O65" s="15"/>
      <c r="Q65" s="15"/>
      <c r="R65" s="15"/>
      <c r="S65" s="15"/>
      <c r="U65" s="15"/>
    </row>
    <row r="66" spans="4:21" x14ac:dyDescent="0.35">
      <c r="D66" s="15"/>
      <c r="E66" s="15"/>
      <c r="G66" s="15"/>
      <c r="H66" s="15"/>
      <c r="L66" s="15"/>
      <c r="M66" s="15"/>
      <c r="N66" s="15"/>
      <c r="O66" s="15"/>
      <c r="Q66" s="15"/>
      <c r="R66" s="15"/>
      <c r="S66" s="15"/>
      <c r="U66" s="15"/>
    </row>
    <row r="67" spans="4:21" x14ac:dyDescent="0.35">
      <c r="D67" s="15"/>
      <c r="E67" s="15"/>
      <c r="G67" s="15"/>
      <c r="H67" s="15"/>
      <c r="L67" s="15"/>
      <c r="M67" s="15"/>
      <c r="N67" s="15"/>
      <c r="O67" s="15"/>
      <c r="Q67" s="15"/>
      <c r="R67" s="15"/>
      <c r="S67" s="15"/>
      <c r="U67" s="15"/>
    </row>
    <row r="68" spans="4:21" x14ac:dyDescent="0.35">
      <c r="D68" s="15"/>
      <c r="E68" s="15"/>
      <c r="G68" s="15"/>
      <c r="H68" s="15"/>
      <c r="L68" s="15"/>
      <c r="M68" s="15"/>
      <c r="N68" s="15"/>
      <c r="O68" s="15"/>
      <c r="Q68" s="15"/>
      <c r="R68" s="15"/>
      <c r="S68" s="15"/>
      <c r="U68" s="15"/>
    </row>
    <row r="69" spans="4:21" x14ac:dyDescent="0.35">
      <c r="D69" s="15"/>
      <c r="E69" s="15"/>
      <c r="G69" s="15"/>
      <c r="H69" s="15"/>
      <c r="L69" s="15"/>
      <c r="M69" s="15"/>
      <c r="N69" s="15"/>
      <c r="O69" s="15"/>
      <c r="Q69" s="15"/>
      <c r="R69" s="15"/>
      <c r="S69" s="15"/>
      <c r="U69" s="15"/>
    </row>
    <row r="70" spans="4:21" x14ac:dyDescent="0.35">
      <c r="D70" s="15"/>
      <c r="E70" s="15"/>
      <c r="G70" s="15"/>
      <c r="H70" s="15"/>
      <c r="L70" s="15"/>
      <c r="M70" s="15"/>
      <c r="N70" s="15"/>
      <c r="O70" s="15"/>
      <c r="Q70" s="15"/>
      <c r="R70" s="15"/>
      <c r="S70" s="15"/>
      <c r="U70" s="15"/>
    </row>
    <row r="71" spans="4:21" x14ac:dyDescent="0.35">
      <c r="D71" s="15"/>
      <c r="E71" s="15"/>
      <c r="G71" s="15"/>
      <c r="H71" s="15"/>
      <c r="L71" s="15"/>
      <c r="M71" s="15"/>
      <c r="N71" s="15"/>
      <c r="O71" s="15"/>
      <c r="Q71" s="15"/>
      <c r="R71" s="15"/>
      <c r="S71" s="15"/>
      <c r="U71" s="15"/>
    </row>
    <row r="72" spans="4:21" x14ac:dyDescent="0.35">
      <c r="D72" s="15"/>
      <c r="E72" s="15"/>
      <c r="G72" s="15"/>
      <c r="H72" s="15"/>
      <c r="L72" s="15"/>
      <c r="M72" s="15"/>
      <c r="N72" s="15"/>
      <c r="O72" s="15"/>
      <c r="Q72" s="15"/>
      <c r="R72" s="15"/>
      <c r="S72" s="15"/>
      <c r="U72" s="15"/>
    </row>
    <row r="73" spans="4:21" x14ac:dyDescent="0.35">
      <c r="D73" s="15"/>
      <c r="E73" s="15"/>
      <c r="G73" s="15"/>
      <c r="H73" s="15"/>
      <c r="L73" s="15"/>
      <c r="M73" s="15"/>
      <c r="N73" s="15"/>
      <c r="O73" s="15"/>
      <c r="Q73" s="15"/>
      <c r="R73" s="15"/>
      <c r="S73" s="15"/>
      <c r="U73" s="15"/>
    </row>
    <row r="74" spans="4:21" x14ac:dyDescent="0.35">
      <c r="D74" s="15"/>
      <c r="E74" s="15"/>
      <c r="G74" s="15"/>
      <c r="H74" s="15"/>
      <c r="L74" s="15"/>
      <c r="M74" s="15"/>
      <c r="N74" s="15"/>
      <c r="O74" s="15"/>
      <c r="Q74" s="15"/>
      <c r="R74" s="15"/>
      <c r="S74" s="15"/>
      <c r="U74" s="15"/>
    </row>
    <row r="75" spans="4:21" x14ac:dyDescent="0.35">
      <c r="D75" s="15"/>
      <c r="E75" s="15"/>
      <c r="G75" s="15"/>
      <c r="H75" s="15"/>
      <c r="L75" s="15"/>
      <c r="M75" s="15"/>
      <c r="N75" s="15"/>
      <c r="O75" s="15"/>
      <c r="Q75" s="15"/>
      <c r="R75" s="15"/>
      <c r="S75" s="15"/>
      <c r="U75" s="15"/>
    </row>
    <row r="76" spans="4:21" x14ac:dyDescent="0.35">
      <c r="D76" s="15"/>
      <c r="E76" s="15"/>
      <c r="G76" s="15"/>
      <c r="H76" s="15"/>
      <c r="L76" s="15"/>
      <c r="M76" s="15"/>
      <c r="N76" s="15"/>
      <c r="O76" s="15"/>
      <c r="Q76" s="15"/>
      <c r="R76" s="15"/>
      <c r="S76" s="15"/>
      <c r="U76" s="1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8080"/>
  </sheetPr>
  <dimension ref="A1:B9"/>
  <sheetViews>
    <sheetView showGridLines="0" zoomScale="85" zoomScaleNormal="85" workbookViewId="0"/>
  </sheetViews>
  <sheetFormatPr defaultColWidth="11.453125" defaultRowHeight="14.5" x14ac:dyDescent="0.35"/>
  <cols>
    <col min="1" max="1" width="14.7265625" customWidth="1"/>
    <col min="2" max="2" width="48.81640625" bestFit="1" customWidth="1"/>
  </cols>
  <sheetData>
    <row r="1" spans="1:2" ht="23.5" x14ac:dyDescent="0.55000000000000004">
      <c r="A1" s="12" t="s">
        <v>82</v>
      </c>
    </row>
    <row r="4" spans="1:2" x14ac:dyDescent="0.35">
      <c r="A4" t="s">
        <v>9</v>
      </c>
      <c r="B4" s="26">
        <v>1</v>
      </c>
    </row>
    <row r="5" spans="1:2" x14ac:dyDescent="0.35">
      <c r="A5" t="s">
        <v>8</v>
      </c>
      <c r="B5" s="26" t="s">
        <v>120</v>
      </c>
    </row>
    <row r="6" spans="1:2" x14ac:dyDescent="0.35">
      <c r="A6" t="s">
        <v>26</v>
      </c>
      <c r="B6" s="26" t="s">
        <v>158</v>
      </c>
    </row>
    <row r="7" spans="1:2" x14ac:dyDescent="0.35">
      <c r="A7" t="s">
        <v>27</v>
      </c>
      <c r="B7" s="26" t="s">
        <v>91</v>
      </c>
    </row>
    <row r="8" spans="1:2" x14ac:dyDescent="0.35">
      <c r="A8" t="s">
        <v>83</v>
      </c>
      <c r="B8" s="26" t="s">
        <v>120</v>
      </c>
    </row>
    <row r="9" spans="1:2" x14ac:dyDescent="0.35">
      <c r="A9" t="s">
        <v>87</v>
      </c>
      <c r="B9" s="26" t="s">
        <v>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5" x14ac:dyDescent="0.35"/>
  <cols>
    <col min="1" max="1" width="4.453125" style="6" customWidth="1"/>
    <col min="2" max="3" width="11" style="8"/>
    <col min="4" max="16384" width="11" style="6"/>
  </cols>
  <sheetData>
    <row r="2" spans="2:11" ht="17.5" x14ac:dyDescent="0.35">
      <c r="K2" s="7"/>
    </row>
    <row r="5" spans="2:11" x14ac:dyDescent="0.35">
      <c r="E5" s="8" t="s">
        <v>94</v>
      </c>
    </row>
    <row r="9" spans="2:11" ht="21" x14ac:dyDescent="0.5">
      <c r="B9" s="9" t="s">
        <v>95</v>
      </c>
      <c r="J9" s="18"/>
      <c r="K9" s="18" t="s">
        <v>96</v>
      </c>
    </row>
    <row r="10" spans="2:11" x14ac:dyDescent="0.35">
      <c r="B10" s="8" t="s">
        <v>2</v>
      </c>
    </row>
    <row r="11" spans="2:11" x14ac:dyDescent="0.35">
      <c r="B11" s="8" t="s">
        <v>3</v>
      </c>
    </row>
    <row r="13" spans="2:11" x14ac:dyDescent="0.35">
      <c r="B13" s="8" t="s">
        <v>4</v>
      </c>
    </row>
    <row r="14" spans="2:11" x14ac:dyDescent="0.35">
      <c r="B14" s="8" t="s">
        <v>5</v>
      </c>
    </row>
    <row r="15" spans="2:11" x14ac:dyDescent="0.35">
      <c r="B15" s="8" t="s">
        <v>6</v>
      </c>
    </row>
    <row r="17" spans="2:2" x14ac:dyDescent="0.35">
      <c r="B17" s="8" t="s">
        <v>7</v>
      </c>
    </row>
    <row r="19" spans="2:2" x14ac:dyDescent="0.35">
      <c r="B19" s="29"/>
    </row>
    <row r="22" spans="2:2" x14ac:dyDescent="0.35">
      <c r="B22" s="30"/>
    </row>
    <row r="24" spans="2:2" x14ac:dyDescent="0.35">
      <c r="B24" s="29"/>
    </row>
    <row r="25" spans="2:2" x14ac:dyDescent="0.35">
      <c r="B25" s="31"/>
    </row>
  </sheetData>
  <sheetProtection algorithmName="SHA-512" hashValue="m+0JN8e0w95Ftz7PJAzdtcSMxYGWeLjeqlRsIaR7XsCAqO8lkEMUcC/dNiG69cgpPW1osbJDVRy9jQJ2uxX8Iw==" saltValue="MsHd13W/ewKrko4iNvcPB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rgb="FFC00000"/>
  </sheetPr>
  <dimension ref="A3:D501"/>
  <sheetViews>
    <sheetView showGridLines="0" zoomScale="85" zoomScaleNormal="85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B14" sqref="B14"/>
    </sheetView>
  </sheetViews>
  <sheetFormatPr defaultColWidth="11.453125" defaultRowHeight="14.5" x14ac:dyDescent="0.35"/>
  <cols>
    <col min="1" max="1" width="18.26953125" customWidth="1"/>
    <col min="2" max="2" width="32.7265625" customWidth="1"/>
    <col min="3" max="3" width="9.81640625" customWidth="1"/>
    <col min="4" max="4" width="10.81640625" customWidth="1"/>
    <col min="5" max="5" width="26.81640625" customWidth="1"/>
    <col min="6" max="6" width="26.81640625" bestFit="1" customWidth="1"/>
  </cols>
  <sheetData>
    <row r="3" spans="1:4" x14ac:dyDescent="0.35">
      <c r="A3" s="19">
        <f>Updated</f>
        <v>0</v>
      </c>
    </row>
    <row r="7" spans="1:4" x14ac:dyDescent="0.35">
      <c r="A7" s="32" t="s">
        <v>141</v>
      </c>
      <c r="B7" s="33" t="s">
        <v>93</v>
      </c>
    </row>
    <row r="8" spans="1:4" x14ac:dyDescent="0.35">
      <c r="A8" s="32" t="s">
        <v>0</v>
      </c>
      <c r="B8" s="33" t="s">
        <v>93</v>
      </c>
    </row>
    <row r="9" spans="1:4" x14ac:dyDescent="0.35">
      <c r="A9" s="32" t="s">
        <v>101</v>
      </c>
      <c r="B9" s="33" t="s">
        <v>93</v>
      </c>
    </row>
    <row r="11" spans="1:4" x14ac:dyDescent="0.35">
      <c r="A11" s="1" t="s">
        <v>139</v>
      </c>
      <c r="B11" s="1"/>
      <c r="C11" s="1" t="s">
        <v>145</v>
      </c>
      <c r="D11" s="1"/>
    </row>
    <row r="12" spans="1:4" x14ac:dyDescent="0.35">
      <c r="A12" s="2" t="s">
        <v>142</v>
      </c>
      <c r="B12" s="35" t="s">
        <v>143</v>
      </c>
      <c r="C12" s="36" t="s">
        <v>114</v>
      </c>
      <c r="D12" s="37" t="s">
        <v>92</v>
      </c>
    </row>
    <row r="13" spans="1:4" x14ac:dyDescent="0.35">
      <c r="A13" s="24" t="s">
        <v>116</v>
      </c>
      <c r="B13" s="34" t="s">
        <v>119</v>
      </c>
      <c r="C13" s="52">
        <v>30</v>
      </c>
      <c r="D13" s="67">
        <v>30</v>
      </c>
    </row>
    <row r="14" spans="1:4" ht="15" thickBot="1" x14ac:dyDescent="0.4">
      <c r="A14" s="38"/>
      <c r="B14" s="39"/>
      <c r="C14" s="63"/>
      <c r="D14" s="68"/>
    </row>
    <row r="15" spans="1:4" x14ac:dyDescent="0.35">
      <c r="A15" s="24" t="s">
        <v>106</v>
      </c>
      <c r="B15" s="34" t="s">
        <v>118</v>
      </c>
      <c r="C15" s="52">
        <v>171</v>
      </c>
      <c r="D15" s="67">
        <v>171</v>
      </c>
    </row>
    <row r="16" spans="1:4" x14ac:dyDescent="0.35">
      <c r="A16" s="38"/>
      <c r="B16" s="39"/>
      <c r="C16" s="63"/>
      <c r="D16" s="68"/>
    </row>
    <row r="17" spans="1:4" ht="15" thickBot="1" x14ac:dyDescent="0.4">
      <c r="A17" s="3" t="s">
        <v>92</v>
      </c>
      <c r="B17" s="25"/>
      <c r="C17" s="4">
        <v>201</v>
      </c>
      <c r="D17" s="5">
        <v>201</v>
      </c>
    </row>
    <row r="18" spans="1:4" ht="15" thickTop="1" x14ac:dyDescent="0.35"/>
    <row r="19" spans="1:4" ht="15" thickBot="1" x14ac:dyDescent="0.4"/>
    <row r="20" spans="1:4" ht="15" thickTop="1" x14ac:dyDescent="0.35"/>
    <row r="500" ht="15" thickBot="1" x14ac:dyDescent="0.4"/>
    <row r="501" ht="15" thickTop="1" x14ac:dyDescent="0.35"/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>
    <tabColor rgb="FFC00000"/>
  </sheetPr>
  <dimension ref="A3:D500"/>
  <sheetViews>
    <sheetView showGridLines="0" zoomScale="85" zoomScaleNormal="85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13" sqref="B13"/>
    </sheetView>
  </sheetViews>
  <sheetFormatPr defaultColWidth="11.453125" defaultRowHeight="14.5" x14ac:dyDescent="0.35"/>
  <cols>
    <col min="1" max="1" width="18.26953125" customWidth="1"/>
    <col min="2" max="3" width="10.26953125" customWidth="1"/>
    <col min="4" max="4" width="10.81640625" customWidth="1"/>
    <col min="5" max="5" width="11.26953125" customWidth="1"/>
    <col min="6" max="22" width="9.26953125" customWidth="1"/>
    <col min="23" max="23" width="10.1796875" customWidth="1"/>
  </cols>
  <sheetData>
    <row r="3" spans="1:4" x14ac:dyDescent="0.35">
      <c r="A3" s="19">
        <f>Updated</f>
        <v>0</v>
      </c>
    </row>
    <row r="6" spans="1:4" x14ac:dyDescent="0.35">
      <c r="A6" s="32" t="s">
        <v>145</v>
      </c>
      <c r="B6" s="33" t="s">
        <v>93</v>
      </c>
    </row>
    <row r="7" spans="1:4" x14ac:dyDescent="0.35">
      <c r="A7" s="32" t="s">
        <v>0</v>
      </c>
      <c r="B7" s="33" t="s">
        <v>93</v>
      </c>
    </row>
    <row r="8" spans="1:4" x14ac:dyDescent="0.35">
      <c r="A8" s="32" t="s">
        <v>143</v>
      </c>
      <c r="B8" s="33" t="s">
        <v>93</v>
      </c>
    </row>
    <row r="9" spans="1:4" x14ac:dyDescent="0.35">
      <c r="A9" s="32" t="s">
        <v>101</v>
      </c>
      <c r="B9" s="33" t="s">
        <v>93</v>
      </c>
    </row>
    <row r="11" spans="1:4" x14ac:dyDescent="0.35">
      <c r="A11" s="1" t="s">
        <v>139</v>
      </c>
      <c r="B11" s="1" t="s">
        <v>141</v>
      </c>
      <c r="C11" s="1"/>
      <c r="D11" s="1"/>
    </row>
    <row r="12" spans="1:4" x14ac:dyDescent="0.35">
      <c r="A12" s="2" t="s">
        <v>142</v>
      </c>
      <c r="B12" s="36" t="s">
        <v>146</v>
      </c>
      <c r="C12" s="50" t="s">
        <v>159</v>
      </c>
      <c r="D12" s="37" t="s">
        <v>92</v>
      </c>
    </row>
    <row r="13" spans="1:4" x14ac:dyDescent="0.35">
      <c r="A13" s="34" t="s">
        <v>116</v>
      </c>
      <c r="B13" s="52"/>
      <c r="C13" s="53">
        <v>30</v>
      </c>
      <c r="D13" s="67">
        <v>30</v>
      </c>
    </row>
    <row r="14" spans="1:4" x14ac:dyDescent="0.35">
      <c r="A14" s="40" t="s">
        <v>106</v>
      </c>
      <c r="B14" s="57">
        <v>171</v>
      </c>
      <c r="C14" s="58"/>
      <c r="D14" s="69">
        <v>171</v>
      </c>
    </row>
    <row r="15" spans="1:4" ht="15" thickBot="1" x14ac:dyDescent="0.4">
      <c r="A15" s="3" t="s">
        <v>92</v>
      </c>
      <c r="B15" s="4">
        <v>171</v>
      </c>
      <c r="C15" s="4">
        <v>30</v>
      </c>
      <c r="D15" s="5">
        <v>201</v>
      </c>
    </row>
    <row r="16" spans="1:4" ht="15" thickTop="1" x14ac:dyDescent="0.35"/>
    <row r="17" ht="15" thickTop="1" x14ac:dyDescent="0.35"/>
    <row r="499" ht="15" thickBot="1" x14ac:dyDescent="0.4"/>
    <row r="500" ht="15" thickTop="1" x14ac:dyDescent="0.35"/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>
    <tabColor rgb="FFC00000"/>
  </sheetPr>
  <dimension ref="A3:D432"/>
  <sheetViews>
    <sheetView showGridLines="0" zoomScale="85" zoomScaleNormal="85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13" sqref="B13"/>
    </sheetView>
  </sheetViews>
  <sheetFormatPr defaultColWidth="11.453125" defaultRowHeight="14.5" x14ac:dyDescent="0.35"/>
  <cols>
    <col min="1" max="1" width="32.7265625" customWidth="1"/>
    <col min="2" max="3" width="10.26953125" customWidth="1"/>
    <col min="4" max="4" width="10.81640625" customWidth="1"/>
    <col min="5" max="22" width="9.26953125" customWidth="1"/>
    <col min="23" max="23" width="10.1796875" customWidth="1"/>
  </cols>
  <sheetData>
    <row r="3" spans="1:4" x14ac:dyDescent="0.35">
      <c r="A3" t="s">
        <v>90</v>
      </c>
    </row>
    <row r="6" spans="1:4" x14ac:dyDescent="0.35">
      <c r="A6" s="32" t="s">
        <v>1</v>
      </c>
      <c r="B6" s="33" t="s">
        <v>93</v>
      </c>
    </row>
    <row r="7" spans="1:4" x14ac:dyDescent="0.35">
      <c r="A7" s="32" t="s">
        <v>145</v>
      </c>
      <c r="B7" s="33" t="s">
        <v>93</v>
      </c>
    </row>
    <row r="8" spans="1:4" x14ac:dyDescent="0.35">
      <c r="A8" s="32" t="s">
        <v>0</v>
      </c>
      <c r="B8" s="33" t="s">
        <v>93</v>
      </c>
    </row>
    <row r="9" spans="1:4" x14ac:dyDescent="0.35">
      <c r="A9" s="32" t="s">
        <v>142</v>
      </c>
      <c r="B9" s="33" t="s">
        <v>93</v>
      </c>
    </row>
    <row r="11" spans="1:4" x14ac:dyDescent="0.35">
      <c r="A11" s="1" t="s">
        <v>147</v>
      </c>
      <c r="B11" s="1" t="s">
        <v>141</v>
      </c>
      <c r="C11" s="1"/>
      <c r="D11" s="1"/>
    </row>
    <row r="12" spans="1:4" x14ac:dyDescent="0.35">
      <c r="A12" s="2" t="s">
        <v>143</v>
      </c>
      <c r="B12" s="36" t="s">
        <v>159</v>
      </c>
      <c r="C12" s="50" t="s">
        <v>146</v>
      </c>
      <c r="D12" s="37" t="s">
        <v>92</v>
      </c>
    </row>
    <row r="13" spans="1:4" x14ac:dyDescent="0.35">
      <c r="A13" s="34" t="s">
        <v>118</v>
      </c>
      <c r="B13" s="41">
        <v>0</v>
      </c>
      <c r="C13" s="54">
        <v>128.46538011695907</v>
      </c>
      <c r="D13" s="43">
        <v>128.46538011695907</v>
      </c>
    </row>
    <row r="14" spans="1:4" x14ac:dyDescent="0.35">
      <c r="A14" s="40" t="s">
        <v>119</v>
      </c>
      <c r="B14" s="42">
        <v>65.025999999999996</v>
      </c>
      <c r="C14" s="59">
        <v>0</v>
      </c>
      <c r="D14" s="44">
        <v>65.025999999999996</v>
      </c>
    </row>
    <row r="15" spans="1:4" ht="15" thickBot="1" x14ac:dyDescent="0.4">
      <c r="A15" s="3" t="s">
        <v>92</v>
      </c>
      <c r="B15" s="20">
        <v>65.025999999999996</v>
      </c>
      <c r="C15" s="20">
        <v>128.46538011695907</v>
      </c>
      <c r="D15" s="21">
        <v>118.99681592039801</v>
      </c>
    </row>
    <row r="16" spans="1:4" ht="15" thickTop="1" x14ac:dyDescent="0.35"/>
    <row r="431" ht="15" thickBot="1" x14ac:dyDescent="0.4"/>
    <row r="432" ht="15" thickTop="1" x14ac:dyDescent="0.35"/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>
    <tabColor rgb="FFC00000"/>
  </sheetPr>
  <dimension ref="A3:D432"/>
  <sheetViews>
    <sheetView showGridLines="0" zoomScale="85" zoomScaleNormal="85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13" sqref="B13"/>
    </sheetView>
  </sheetViews>
  <sheetFormatPr defaultColWidth="11.453125" defaultRowHeight="14.5" x14ac:dyDescent="0.35"/>
  <cols>
    <col min="1" max="1" width="32.7265625" customWidth="1"/>
    <col min="2" max="3" width="10.26953125" customWidth="1"/>
    <col min="4" max="4" width="10.81640625" customWidth="1"/>
    <col min="5" max="22" width="9.26953125" customWidth="1"/>
    <col min="23" max="23" width="10.1796875" customWidth="1"/>
  </cols>
  <sheetData>
    <row r="3" spans="1:4" x14ac:dyDescent="0.35">
      <c r="A3" t="s">
        <v>89</v>
      </c>
    </row>
    <row r="6" spans="1:4" x14ac:dyDescent="0.35">
      <c r="A6" s="32" t="s">
        <v>1</v>
      </c>
      <c r="B6" s="33" t="s">
        <v>93</v>
      </c>
    </row>
    <row r="7" spans="1:4" x14ac:dyDescent="0.35">
      <c r="A7" s="32" t="s">
        <v>145</v>
      </c>
      <c r="B7" s="33" t="s">
        <v>93</v>
      </c>
    </row>
    <row r="8" spans="1:4" x14ac:dyDescent="0.35">
      <c r="A8" s="32" t="s">
        <v>0</v>
      </c>
      <c r="B8" s="33" t="s">
        <v>93</v>
      </c>
    </row>
    <row r="9" spans="1:4" x14ac:dyDescent="0.35">
      <c r="A9" s="32" t="s">
        <v>142</v>
      </c>
      <c r="B9" s="33" t="s">
        <v>93</v>
      </c>
    </row>
    <row r="11" spans="1:4" x14ac:dyDescent="0.35">
      <c r="A11" s="1" t="s">
        <v>148</v>
      </c>
      <c r="B11" s="1" t="s">
        <v>141</v>
      </c>
      <c r="C11" s="1"/>
      <c r="D11" s="1"/>
    </row>
    <row r="12" spans="1:4" x14ac:dyDescent="0.35">
      <c r="A12" s="2" t="s">
        <v>143</v>
      </c>
      <c r="B12" s="36" t="s">
        <v>159</v>
      </c>
      <c r="C12" s="50" t="s">
        <v>146</v>
      </c>
      <c r="D12" s="37" t="s">
        <v>92</v>
      </c>
    </row>
    <row r="13" spans="1:4" ht="15" thickBot="1" x14ac:dyDescent="0.4">
      <c r="A13" s="34" t="s">
        <v>118</v>
      </c>
      <c r="B13" s="45">
        <v>0</v>
      </c>
      <c r="C13" s="55">
        <v>6.1252346877893995E-3</v>
      </c>
      <c r="D13" s="47">
        <v>6.1252346877893995E-3</v>
      </c>
    </row>
    <row r="14" spans="1:4" x14ac:dyDescent="0.35">
      <c r="A14" s="40" t="s">
        <v>119</v>
      </c>
      <c r="B14" s="46">
        <v>-3.8127990430622117E-3</v>
      </c>
      <c r="C14" s="60">
        <v>0</v>
      </c>
      <c r="D14" s="48">
        <v>-3.8127990430622117E-3</v>
      </c>
    </row>
    <row r="15" spans="1:4" ht="15" thickBot="1" x14ac:dyDescent="0.4">
      <c r="A15" s="3" t="s">
        <v>92</v>
      </c>
      <c r="B15" s="22">
        <v>-3.8127990430622117E-3</v>
      </c>
      <c r="C15" s="22">
        <v>6.1252346877893995E-3</v>
      </c>
      <c r="D15" s="23">
        <v>5.3072687334464082E-3</v>
      </c>
    </row>
    <row r="16" spans="1:4" ht="15" thickTop="1" x14ac:dyDescent="0.35"/>
    <row r="431" ht="15" thickBot="1" x14ac:dyDescent="0.4"/>
    <row r="432" ht="15" thickTop="1" x14ac:dyDescent="0.35"/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>
    <tabColor rgb="FFC00000"/>
  </sheetPr>
  <dimension ref="A3:G432"/>
  <sheetViews>
    <sheetView showGridLines="0" zoomScale="85" zoomScaleNormal="85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B13" sqref="B13"/>
    </sheetView>
  </sheetViews>
  <sheetFormatPr defaultColWidth="11.453125" defaultRowHeight="14.5" x14ac:dyDescent="0.35"/>
  <cols>
    <col min="1" max="1" width="32.7265625" customWidth="1"/>
    <col min="2" max="2" width="12.36328125" customWidth="1"/>
    <col min="3" max="3" width="14.08984375" customWidth="1"/>
    <col min="4" max="4" width="12.6328125" customWidth="1"/>
    <col min="5" max="5" width="10.6328125" customWidth="1"/>
    <col min="6" max="6" width="12.36328125" customWidth="1"/>
    <col min="7" max="7" width="10.453125" customWidth="1"/>
    <col min="8" max="22" width="9.26953125" customWidth="1"/>
    <col min="23" max="23" width="10.1796875" customWidth="1"/>
  </cols>
  <sheetData>
    <row r="3" spans="1:7" x14ac:dyDescent="0.35">
      <c r="A3" t="s">
        <v>88</v>
      </c>
    </row>
    <row r="6" spans="1:7" x14ac:dyDescent="0.35">
      <c r="A6" s="32" t="s">
        <v>141</v>
      </c>
      <c r="B6" s="33" t="s">
        <v>93</v>
      </c>
    </row>
    <row r="7" spans="1:7" x14ac:dyDescent="0.35">
      <c r="A7" s="32" t="s">
        <v>145</v>
      </c>
      <c r="B7" s="33" t="s">
        <v>93</v>
      </c>
    </row>
    <row r="8" spans="1:7" x14ac:dyDescent="0.35">
      <c r="A8" s="32" t="s">
        <v>142</v>
      </c>
      <c r="B8" s="33" t="s">
        <v>93</v>
      </c>
    </row>
    <row r="9" spans="1:7" x14ac:dyDescent="0.35">
      <c r="A9" s="32" t="s">
        <v>1</v>
      </c>
      <c r="B9" s="33" t="s">
        <v>93</v>
      </c>
    </row>
    <row r="10" spans="1:7" x14ac:dyDescent="0.35">
      <c r="A10" s="32" t="s">
        <v>0</v>
      </c>
      <c r="B10" s="33" t="s">
        <v>93</v>
      </c>
    </row>
    <row r="12" spans="1:7" x14ac:dyDescent="0.35">
      <c r="A12" s="2" t="s">
        <v>143</v>
      </c>
      <c r="B12" s="36" t="s">
        <v>150</v>
      </c>
      <c r="C12" s="50" t="s">
        <v>151</v>
      </c>
      <c r="D12" s="50" t="s">
        <v>147</v>
      </c>
      <c r="E12" s="50" t="s">
        <v>149</v>
      </c>
      <c r="F12" s="50" t="s">
        <v>148</v>
      </c>
      <c r="G12" s="51" t="s">
        <v>152</v>
      </c>
    </row>
    <row r="13" spans="1:7" ht="15" thickBot="1" x14ac:dyDescent="0.4">
      <c r="A13" s="34" t="s">
        <v>119</v>
      </c>
      <c r="B13" s="52">
        <v>30</v>
      </c>
      <c r="C13" s="53">
        <v>1950.78</v>
      </c>
      <c r="D13" s="54">
        <v>65.025999999999996</v>
      </c>
      <c r="E13" s="54">
        <v>65.274879999999996</v>
      </c>
      <c r="F13" s="55">
        <v>-3.8127990430622117E-3</v>
      </c>
      <c r="G13" s="56">
        <v>-7.4664000000000215</v>
      </c>
    </row>
    <row r="14" spans="1:7" x14ac:dyDescent="0.35">
      <c r="A14" s="40" t="s">
        <v>118</v>
      </c>
      <c r="B14" s="57">
        <v>171</v>
      </c>
      <c r="C14" s="58">
        <v>21967.58</v>
      </c>
      <c r="D14" s="59">
        <v>128.46538011695907</v>
      </c>
      <c r="E14" s="59">
        <v>127.68329</v>
      </c>
      <c r="F14" s="60">
        <v>6.1252346877893995E-3</v>
      </c>
      <c r="G14" s="61">
        <v>133.73741000000155</v>
      </c>
    </row>
    <row r="15" spans="1:7" ht="15" thickBot="1" x14ac:dyDescent="0.4">
      <c r="A15" s="3" t="s">
        <v>92</v>
      </c>
      <c r="B15" s="4">
        <v>201</v>
      </c>
      <c r="C15" s="4">
        <v>23918.36</v>
      </c>
      <c r="D15" s="20">
        <v>118.99681592039801</v>
      </c>
      <c r="E15" s="20">
        <v>118.3686019402985</v>
      </c>
      <c r="F15" s="22">
        <v>5.3072687334464082E-3</v>
      </c>
      <c r="G15" s="5">
        <v>126.27101000000152</v>
      </c>
    </row>
    <row r="16" spans="1:7" ht="15" thickTop="1" x14ac:dyDescent="0.35"/>
    <row r="431" ht="15" thickBot="1" x14ac:dyDescent="0.4"/>
    <row r="432" ht="15" thickTop="1" x14ac:dyDescent="0.35"/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rgb="FFC00000"/>
  </sheetPr>
  <dimension ref="A3:K432"/>
  <sheetViews>
    <sheetView showGridLines="0" zoomScale="85" zoomScaleNormal="8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B12" sqref="B12"/>
    </sheetView>
  </sheetViews>
  <sheetFormatPr defaultColWidth="11.453125" defaultRowHeight="14.5" x14ac:dyDescent="0.35"/>
  <cols>
    <col min="1" max="1" width="28.54296875" customWidth="1"/>
    <col min="2" max="2" width="11" customWidth="1"/>
    <col min="3" max="3" width="32.7265625" customWidth="1"/>
    <col min="4" max="4" width="18.26953125" customWidth="1"/>
    <col min="5" max="5" width="12.36328125" customWidth="1"/>
    <col min="6" max="6" width="14.08984375" customWidth="1"/>
    <col min="7" max="7" width="12.6328125" customWidth="1"/>
    <col min="8" max="8" width="10.90625" customWidth="1"/>
    <col min="9" max="9" width="9.81640625" customWidth="1"/>
    <col min="10" max="10" width="11.453125" customWidth="1"/>
    <col min="11" max="11" width="11.1796875" customWidth="1"/>
    <col min="12" max="12" width="10.90625" customWidth="1"/>
    <col min="13" max="13" width="9.81640625" customWidth="1"/>
    <col min="14" max="14" width="11.1796875" customWidth="1"/>
    <col min="15" max="22" width="9.26953125" customWidth="1"/>
    <col min="23" max="23" width="10.1796875" customWidth="1"/>
  </cols>
  <sheetData>
    <row r="3" spans="1:11" x14ac:dyDescent="0.35">
      <c r="A3" t="s">
        <v>84</v>
      </c>
    </row>
    <row r="4" spans="1:11" x14ac:dyDescent="0.35">
      <c r="A4" s="27" t="s">
        <v>85</v>
      </c>
    </row>
    <row r="6" spans="1:11" x14ac:dyDescent="0.35">
      <c r="A6" s="32" t="s">
        <v>121</v>
      </c>
      <c r="B6" s="33" t="s">
        <v>93</v>
      </c>
    </row>
    <row r="7" spans="1:11" x14ac:dyDescent="0.35">
      <c r="A7" s="32" t="s">
        <v>145</v>
      </c>
      <c r="B7" s="33" t="s">
        <v>93</v>
      </c>
    </row>
    <row r="8" spans="1:11" x14ac:dyDescent="0.35">
      <c r="A8" s="32" t="s">
        <v>141</v>
      </c>
      <c r="B8" s="33" t="s">
        <v>93</v>
      </c>
    </row>
    <row r="9" spans="1:11" x14ac:dyDescent="0.35">
      <c r="A9" s="32" t="s">
        <v>0</v>
      </c>
      <c r="B9" s="33" t="s">
        <v>93</v>
      </c>
    </row>
    <row r="11" spans="1:11" x14ac:dyDescent="0.35">
      <c r="A11" s="2" t="s">
        <v>1</v>
      </c>
      <c r="B11" s="35" t="s">
        <v>10</v>
      </c>
      <c r="C11" s="35" t="s">
        <v>143</v>
      </c>
      <c r="D11" s="35" t="s">
        <v>142</v>
      </c>
      <c r="E11" s="36" t="s">
        <v>150</v>
      </c>
      <c r="F11" s="50" t="s">
        <v>151</v>
      </c>
      <c r="G11" s="50" t="s">
        <v>147</v>
      </c>
      <c r="H11" s="50" t="s">
        <v>154</v>
      </c>
      <c r="I11" s="50" t="s">
        <v>155</v>
      </c>
      <c r="J11" s="50" t="s">
        <v>157</v>
      </c>
      <c r="K11" s="51" t="s">
        <v>156</v>
      </c>
    </row>
    <row r="12" spans="1:11" x14ac:dyDescent="0.35">
      <c r="A12" s="24" t="s">
        <v>113</v>
      </c>
      <c r="B12" s="49">
        <v>1624</v>
      </c>
      <c r="C12" s="34" t="s">
        <v>119</v>
      </c>
      <c r="D12" s="34" t="s">
        <v>116</v>
      </c>
      <c r="E12" s="52">
        <v>30</v>
      </c>
      <c r="F12" s="53">
        <v>1950.78</v>
      </c>
      <c r="G12" s="54">
        <v>65.025999999999996</v>
      </c>
      <c r="H12" s="54">
        <v>65.274879999999996</v>
      </c>
      <c r="I12" s="54">
        <v>45.37</v>
      </c>
      <c r="J12" s="53">
        <v>11464</v>
      </c>
      <c r="K12" s="56">
        <v>95533.333333333328</v>
      </c>
    </row>
    <row r="13" spans="1:11" x14ac:dyDescent="0.35">
      <c r="A13" s="62"/>
      <c r="B13" s="49">
        <v>1022</v>
      </c>
      <c r="C13" s="34" t="s">
        <v>118</v>
      </c>
      <c r="D13" s="34" t="s">
        <v>106</v>
      </c>
      <c r="E13" s="52">
        <v>171</v>
      </c>
      <c r="F13" s="53">
        <v>21967.58</v>
      </c>
      <c r="G13" s="54">
        <v>128.46538011695907</v>
      </c>
      <c r="H13" s="54">
        <v>127.68329</v>
      </c>
      <c r="I13" s="54">
        <v>123.81999999999998</v>
      </c>
      <c r="J13" s="53">
        <v>17038</v>
      </c>
      <c r="K13" s="56">
        <v>24909.356725146201</v>
      </c>
    </row>
    <row r="14" spans="1:11" x14ac:dyDescent="0.35">
      <c r="A14" s="38"/>
      <c r="B14" s="39"/>
      <c r="C14" s="39"/>
      <c r="D14" s="39"/>
      <c r="E14" s="63"/>
      <c r="F14" s="64"/>
      <c r="G14" s="65"/>
      <c r="H14" s="65"/>
      <c r="I14" s="65"/>
      <c r="J14" s="64"/>
      <c r="K14" s="66"/>
    </row>
    <row r="15" spans="1:11" ht="15" thickBot="1" x14ac:dyDescent="0.4">
      <c r="A15" s="3" t="s">
        <v>92</v>
      </c>
      <c r="B15" s="25"/>
      <c r="C15" s="25"/>
      <c r="D15" s="25"/>
      <c r="E15" s="4">
        <v>201</v>
      </c>
      <c r="F15" s="4">
        <v>23918.36</v>
      </c>
      <c r="G15" s="20">
        <v>118.99681592039801</v>
      </c>
      <c r="H15" s="20">
        <v>118.3686019402985</v>
      </c>
      <c r="I15" s="20">
        <v>112.11104477611939</v>
      </c>
      <c r="J15" s="4">
        <v>28502</v>
      </c>
      <c r="K15" s="5">
        <v>35450.248756218905</v>
      </c>
    </row>
    <row r="16" spans="1:11" ht="15" thickTop="1" x14ac:dyDescent="0.35"/>
    <row r="431" ht="15" thickBot="1" x14ac:dyDescent="0.4"/>
    <row r="432" ht="15" thickTop="1" x14ac:dyDescent="0.35"/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</vt:i4>
      </vt:variant>
    </vt:vector>
  </HeadingPairs>
  <TitlesOfParts>
    <vt:vector size="30" baseType="lpstr">
      <vt:lpstr>Database</vt:lpstr>
      <vt:lpstr>ReportOptions</vt:lpstr>
      <vt:lpstr>ExchangeRates</vt:lpstr>
      <vt:lpstr>Descriptions</vt:lpstr>
      <vt:lpstr>PvtTableDef</vt:lpstr>
      <vt:lpstr>Version</vt:lpstr>
      <vt:lpstr>Rapport info</vt:lpstr>
      <vt:lpstr>Forbrukshistorikk</vt:lpstr>
      <vt:lpstr>Per Maned</vt:lpstr>
      <vt:lpstr>Priser</vt:lpstr>
      <vt:lpstr>Pris sammenligning</vt:lpstr>
      <vt:lpstr>Historisk Pris</vt:lpstr>
      <vt:lpstr>TSI Basis</vt:lpstr>
      <vt:lpstr>Currency</vt:lpstr>
      <vt:lpstr>CurrTable</vt:lpstr>
      <vt:lpstr>CustomerHierarchy</vt:lpstr>
      <vt:lpstr>Version!FirstSheet</vt:lpstr>
      <vt:lpstr>Version!FirstTable</vt:lpstr>
      <vt:lpstr>ListPrices</vt:lpstr>
      <vt:lpstr>MaterialPrice</vt:lpstr>
      <vt:lpstr>ProductHierarchy</vt:lpstr>
      <vt:lpstr>QuantityUnit</vt:lpstr>
      <vt:lpstr>RecNum</vt:lpstr>
      <vt:lpstr>ReportCaption</vt:lpstr>
      <vt:lpstr>ReportCaption1</vt:lpstr>
      <vt:lpstr>Version!ReportID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2015-04-28T12:36:29Z</dcterms:modified>
</cp:coreProperties>
</file>