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4.2\OrklaRTReports\"/>
    </mc:Choice>
  </mc:AlternateContent>
  <xr:revisionPtr revIDLastSave="0" documentId="13_ncr:1_{E7F107A1-9D08-4553-8776-0BB51F38F3C4}" xr6:coauthVersionLast="45" xr6:coauthVersionMax="45" xr10:uidLastSave="{00000000-0000-0000-0000-000000000000}"/>
  <workbookProtection workbookAlgorithmName="SHA-512" workbookHashValue="TcnfR0YNP0n/kJUw8AhzD6qGq70d5x5gX6wkhHY4aISsFsGoiqg5ejhc7BSYtcfpZrZ3NmXzMiZ7IyNT8/jvew==" workbookSaltValue="v9R+vrfm0ci/MXBYdQVOBA==" workbookSpinCount="100000" lockStructure="1"/>
  <bookViews>
    <workbookView xWindow="-120" yWindow="-120" windowWidth="29040" windowHeight="15840" tabRatio="934" firstSheet="9" activeTab="9" xr2:uid="{00000000-000D-0000-FFFF-FFFF00000000}"/>
  </bookViews>
  <sheets>
    <sheet name="Database" sheetId="9" state="hidden" r:id="rId1"/>
    <sheet name="ExchangeRates" sheetId="11" state="hidden" r:id="rId2"/>
    <sheet name="Comments" sheetId="25" state="hidden" r:id="rId3"/>
    <sheet name="Descriptions" sheetId="8" state="hidden" r:id="rId4"/>
    <sheet name="Groups" sheetId="41" state="hidden" r:id="rId5"/>
    <sheet name="PvtTableDef" sheetId="33" state="hidden" r:id="rId6"/>
    <sheet name="LocalLists" sheetId="24" state="hidden" r:id="rId7"/>
    <sheet name="ReportOptions" sheetId="10" state="hidden" r:id="rId8"/>
    <sheet name="Version" sheetId="5" state="hidden" r:id="rId9"/>
    <sheet name="Rapport info" sheetId="1" r:id="rId10"/>
    <sheet name="Verdi" sheetId="13" r:id="rId11"/>
    <sheet name="IkkeLevert" sheetId="37" r:id="rId12"/>
    <sheet name="MankoKunder" sheetId="38" r:id="rId13"/>
    <sheet name="MankoUke" sheetId="39" state="hidden" r:id="rId14"/>
    <sheet name="Kunde" sheetId="29" r:id="rId15"/>
    <sheet name="Old Kunde" sheetId="30" state="hidden" r:id="rId16"/>
    <sheet name="Material" sheetId="31" r:id="rId17"/>
    <sheet name="Eksp. Sted" sheetId="32" r:id="rId18"/>
  </sheets>
  <definedNames>
    <definedName name="Currency">ReportOptions!$B$5</definedName>
    <definedName name="CustHier" localSheetId="12">MankoKunder!$H$2</definedName>
    <definedName name="CustHier" localSheetId="13">MankoUke!$D$2</definedName>
    <definedName name="FirstSheet">Version!$B$6</definedName>
    <definedName name="FirstTable">Version!$B$7</definedName>
    <definedName name="Manko_Kart">IF(Database!BK1048561&lt;&gt;Database!BK1048560,SUMIF(Database!BK1048561:BK45,Database!BK1048561,Database!BE1048561:BE45)-SUMIF(Database!BK1048561:BK45,Database!BK1048561,Database!BG1048561:BG45),IF(Database!BK1048561=Database!BK1048560,0,Database!BE1048561-Database!BG1048561))</definedName>
    <definedName name="MankoComments">IkkeLevert!$E$2:$K$5</definedName>
    <definedName name="MG4_Descr" localSheetId="4">Groups!$A$1:$B$59</definedName>
    <definedName name="NOAMankoComments" localSheetId="11">IkkeLevert!$E$2:$J$5</definedName>
    <definedName name="OrderValues">Groups!$L$28:$Q$32</definedName>
    <definedName name="_xlnm.Print_Titles" localSheetId="11">IkkeLevert!$14:$14</definedName>
    <definedName name="_xlnm.Print_Titles" localSheetId="12">MankoKunder!$10:$10</definedName>
    <definedName name="_xlnm.Print_Titles" localSheetId="13">MankoUke!$13:$13</definedName>
    <definedName name="RecNum">'Rapport info'!$K$10</definedName>
    <definedName name="ReportCaption">Version!$B$8</definedName>
    <definedName name="ReportCaption1">Version!$B$9</definedName>
    <definedName name="ReportCaption10">Version!$B$18</definedName>
    <definedName name="ReportCaption2">Version!$B$10</definedName>
    <definedName name="ReportCaption3">Version!$B$11</definedName>
    <definedName name="ReportCaption4">Version!$B$12</definedName>
    <definedName name="ReportCaption5">Version!$B$13</definedName>
    <definedName name="ReportCaption6">Version!$B$14</definedName>
    <definedName name="ReportCaption7">Version!$B$15</definedName>
    <definedName name="ReportCaption8">Version!$B$16</definedName>
    <definedName name="ReportCaption9">Version!$B$17</definedName>
    <definedName name="ReportID">Version!$B$4</definedName>
    <definedName name="RunATP" localSheetId="4">Groups!$D$18:$D$19</definedName>
    <definedName name="SapExlReportName">Version!$B$5</definedName>
    <definedName name="Status" localSheetId="4">Groups!$D$1:$F$5</definedName>
    <definedName name="Time_Used">'Rapport info'!$K$12</definedName>
    <definedName name="Updated">'Rapport info'!$K$11</definedName>
  </definedNames>
  <calcPr calcId="191029"/>
  <pivotCaches>
    <pivotCache cacheId="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2" i="9" l="1"/>
  <c r="BS2" i="9" l="1"/>
  <c r="A3" i="37" l="1"/>
  <c r="CI2" i="9"/>
  <c r="BR2" i="9" l="1"/>
  <c r="BU2" i="9" l="1"/>
  <c r="BX2" i="9" l="1"/>
  <c r="BV2" i="9" l="1"/>
  <c r="BW2" i="9"/>
  <c r="CC2" i="9"/>
  <c r="CE2" i="9" l="1"/>
  <c r="CA2" i="9"/>
  <c r="BM2" i="9" l="1"/>
  <c r="M25" i="41" l="1"/>
  <c r="BZ2" i="9"/>
  <c r="E1" i="39"/>
  <c r="O30" i="41"/>
  <c r="BP2" i="9" l="1"/>
  <c r="BO2" i="9"/>
  <c r="BN2" i="9"/>
  <c r="M32" i="41"/>
  <c r="M30" i="41"/>
  <c r="Q32" i="41"/>
  <c r="M31" i="41"/>
  <c r="O32" i="41"/>
  <c r="Q29" i="41"/>
  <c r="O29" i="41"/>
  <c r="Q31" i="41"/>
  <c r="Q30" i="41"/>
  <c r="P30" i="41"/>
  <c r="N31" i="41"/>
  <c r="N32" i="41"/>
  <c r="P31" i="41"/>
  <c r="P29" i="41"/>
  <c r="O31" i="41"/>
  <c r="N29" i="41"/>
  <c r="M29" i="41"/>
  <c r="N30" i="41"/>
  <c r="P32" i="41"/>
  <c r="CG2" i="9" l="1"/>
  <c r="CH2" i="9" l="1"/>
  <c r="CB2" i="9" l="1"/>
  <c r="CD2" i="9"/>
  <c r="C5" i="10" l="1"/>
  <c r="CF2" i="9" l="1"/>
  <c r="A2" i="37" l="1"/>
  <c r="BY2" i="9" l="1"/>
  <c r="L28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NOAMankoComments" type="6" refreshedVersion="3" deleted="1" background="1" saveData="1">
    <textPr prompt="0" codePage="65000" sourceFile="J:\SapExl\SavedReports\NOAMankoComments.txt" decimal="," thousands=" " comma="1">
      <textFields count="3">
        <textField/>
        <textField/>
        <textField/>
      </textFields>
    </textPr>
  </connection>
  <connection id="2" xr16:uid="{00000000-0015-0000-FFFF-FFFF01000000}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<sst xmlns="http://schemas.openxmlformats.org/spreadsheetml/2006/main" count="788" uniqueCount="478">
  <si>
    <t>Material Name</t>
  </si>
  <si>
    <t>MTyp</t>
  </si>
  <si>
    <t>ReportName</t>
  </si>
  <si>
    <t>ReportID</t>
  </si>
  <si>
    <t>Plnt</t>
  </si>
  <si>
    <t>Material</t>
  </si>
  <si>
    <t>Material Description</t>
  </si>
  <si>
    <t>ValCl</t>
  </si>
  <si>
    <t>NOK</t>
  </si>
  <si>
    <t>Currency</t>
  </si>
  <si>
    <t>This sheet is used to handle user selections in the ribbon group Options</t>
  </si>
  <si>
    <t>Description</t>
  </si>
  <si>
    <t>Ribbon options</t>
  </si>
  <si>
    <t>Value</t>
  </si>
  <si>
    <t>Standard</t>
  </si>
  <si>
    <t>Item tag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</si>
  <si>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</si>
  <si>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</si>
  <si>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</si>
  <si>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</si>
  <si>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</si>
  <si>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</si>
  <si>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</si>
  <si>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</si>
  <si>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</si>
  <si>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</si>
  <si>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</si>
  <si>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</si>
  <si>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</si>
  <si>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</si>
  <si>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</si>
  <si>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</si>
  <si>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</si>
  <si>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Profit Center</t>
  </si>
  <si>
    <t>Product hierarchy</t>
  </si>
  <si>
    <t>FieldName</t>
  </si>
  <si>
    <t>Purchase order no.</t>
  </si>
  <si>
    <t>Delivery</t>
  </si>
  <si>
    <t>Sales Doc.</t>
  </si>
  <si>
    <t>Rj</t>
  </si>
  <si>
    <t>Name 1</t>
  </si>
  <si>
    <t>Req.dlv.dt</t>
  </si>
  <si>
    <t>CmRf</t>
  </si>
  <si>
    <t>SOrg.</t>
  </si>
  <si>
    <t>DChl</t>
  </si>
  <si>
    <t>Dv</t>
  </si>
  <si>
    <t>MG 4</t>
  </si>
  <si>
    <t>Sold-to pt</t>
  </si>
  <si>
    <t>ItCa</t>
  </si>
  <si>
    <t>ShPt</t>
  </si>
  <si>
    <t>Language</t>
  </si>
  <si>
    <t>DS</t>
  </si>
  <si>
    <t>OS</t>
  </si>
  <si>
    <t>OPS</t>
  </si>
  <si>
    <t>MS</t>
  </si>
  <si>
    <t>St</t>
  </si>
  <si>
    <t>C</t>
  </si>
  <si>
    <t>A</t>
  </si>
  <si>
    <t>Order_Qty</t>
  </si>
  <si>
    <t>Conf_Qty</t>
  </si>
  <si>
    <t>Deliv_Qty</t>
  </si>
  <si>
    <t>Order_Value</t>
  </si>
  <si>
    <t>Deliv_Value</t>
  </si>
  <si>
    <t>Conf_Value</t>
  </si>
  <si>
    <t>Index</t>
  </si>
  <si>
    <t>Undeliv_Qty</t>
  </si>
  <si>
    <t>Deliv_Tag</t>
  </si>
  <si>
    <t>Mat_Status_Tag</t>
  </si>
  <si>
    <t>Mat_Type</t>
  </si>
  <si>
    <t>Brand</t>
  </si>
  <si>
    <t>Doc_Status</t>
  </si>
  <si>
    <t>Deliv_Status</t>
  </si>
  <si>
    <t>Cust Chain</t>
  </si>
  <si>
    <t>Customer Name</t>
  </si>
  <si>
    <t>Comments</t>
  </si>
  <si>
    <t>Avail_Date</t>
  </si>
  <si>
    <t>Beholdning</t>
  </si>
  <si>
    <t>Week_Num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</si>
  <si>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</si>
  <si>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</si>
  <si>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</si>
  <si>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</si>
  <si>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</si>
  <si>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</si>
  <si>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</si>
  <si>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</si>
  <si>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</si>
  <si>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</si>
  <si>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</si>
  <si>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</si>
  <si>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AvailibleDate</t>
  </si>
  <si>
    <t>Comment</t>
  </si>
  <si>
    <t>ReportCaption</t>
  </si>
  <si>
    <t xml:space="preserve">Order_Value </t>
  </si>
  <si>
    <t xml:space="preserve">Conf_Value </t>
  </si>
  <si>
    <t xml:space="preserve">Deliv_Value </t>
  </si>
  <si>
    <t xml:space="preserve">Order_Qty </t>
  </si>
  <si>
    <t xml:space="preserve">Conf_Qty </t>
  </si>
  <si>
    <t xml:space="preserve">Deliv_Qty </t>
  </si>
  <si>
    <t xml:space="preserve">Conf_SL </t>
  </si>
  <si>
    <t xml:space="preserve">Deliv_SL </t>
  </si>
  <si>
    <t>Vossafår</t>
  </si>
  <si>
    <t>Garnello</t>
  </si>
  <si>
    <t>CurrencyRate</t>
  </si>
  <si>
    <t>OrderValue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</si>
  <si>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</si>
  <si>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</si>
  <si>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</si>
  <si>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</si>
  <si>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</si>
  <si>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</si>
  <si>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</si>
  <si>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</si>
  <si>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</si>
  <si>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</si>
  <si>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</si>
  <si>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</si>
  <si>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</si>
  <si>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</si>
  <si>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</si>
  <si>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</si>
  <si>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</si>
  <si>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</si>
  <si>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</si>
  <si>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</si>
  <si>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</si>
  <si>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</si>
  <si>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</si>
  <si>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</si>
  <si>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</si>
  <si>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</si>
  <si>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</si>
  <si>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</si>
  <si>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</si>
  <si>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</si>
  <si>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</si>
  <si>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</si>
  <si>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</si>
  <si>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</si>
  <si>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Denja</t>
  </si>
  <si>
    <t>None</t>
  </si>
  <si>
    <t>Yes</t>
  </si>
  <si>
    <t>No</t>
  </si>
  <si>
    <t>ReportCaption1</t>
  </si>
  <si>
    <t>ReportCaption2</t>
  </si>
  <si>
    <t>ReportCaption3</t>
  </si>
  <si>
    <t>ReportCaption4</t>
  </si>
  <si>
    <t>ReportCaption5</t>
  </si>
  <si>
    <t>ReportCaption6</t>
  </si>
  <si>
    <t>ReportCaption7</t>
  </si>
  <si>
    <t>ReportCaption8</t>
  </si>
  <si>
    <t>ReportCaption9</t>
  </si>
  <si>
    <t>ReportCaption10</t>
  </si>
  <si>
    <t xml:space="preserve"> </t>
  </si>
  <si>
    <t>MG4</t>
  </si>
  <si>
    <t>Beskr</t>
  </si>
  <si>
    <t>Felt</t>
  </si>
  <si>
    <t>Tekst</t>
  </si>
  <si>
    <t>Kommentar NBJ</t>
  </si>
  <si>
    <t>King Oscar</t>
  </si>
  <si>
    <t>VBUK-LFSTK</t>
  </si>
  <si>
    <t>Delivery status</t>
  </si>
  <si>
    <t>Bruk denne til det Kåre og Ingunn spør etter</t>
  </si>
  <si>
    <t>Big Fish</t>
  </si>
  <si>
    <t>VBUK-LFGSK</t>
  </si>
  <si>
    <t>Overall delivery status for all items</t>
  </si>
  <si>
    <t>Også fakturert?</t>
  </si>
  <si>
    <t>Bumble Bee</t>
  </si>
  <si>
    <t>VBUK-ABSTK</t>
  </si>
  <si>
    <t>Overall rejection status of all document items</t>
  </si>
  <si>
    <t>Usikker hva som ligger i denne</t>
  </si>
  <si>
    <t>Brunswick</t>
  </si>
  <si>
    <t>VBUK-GBSTK</t>
  </si>
  <si>
    <t>Overall processing status of document</t>
  </si>
  <si>
    <t>King Gustaw</t>
  </si>
  <si>
    <t>Overall picking / putaway status</t>
  </si>
  <si>
    <t>Ora</t>
  </si>
  <si>
    <t>Cross-Plant Material status</t>
  </si>
  <si>
    <t>Cantarella</t>
  </si>
  <si>
    <t>Cross-distribution-chain material status</t>
  </si>
  <si>
    <t>Port Clyde</t>
  </si>
  <si>
    <t>Distribution-chain-.specific material status</t>
  </si>
  <si>
    <t>Biedronka</t>
  </si>
  <si>
    <t>Pick&amp;Pay</t>
  </si>
  <si>
    <t>Red Rose</t>
  </si>
  <si>
    <t>Paramount</t>
  </si>
  <si>
    <t>AX Food</t>
  </si>
  <si>
    <t>Commander</t>
  </si>
  <si>
    <t>Fairhaven</t>
  </si>
  <si>
    <t>Woolworth</t>
  </si>
  <si>
    <t>Run ATP</t>
  </si>
  <si>
    <t>Willys</t>
  </si>
  <si>
    <t>Clover Leaf</t>
  </si>
  <si>
    <t>Holmes</t>
  </si>
  <si>
    <t>Beach Cliff</t>
  </si>
  <si>
    <t>Other</t>
  </si>
  <si>
    <t>Mr Lee</t>
  </si>
  <si>
    <t>Sopps</t>
  </si>
  <si>
    <t>Ming</t>
  </si>
  <si>
    <t>Black Boy</t>
  </si>
  <si>
    <t>Trondheims</t>
  </si>
  <si>
    <t>Heistad</t>
  </si>
  <si>
    <t>Ordreverdi</t>
  </si>
  <si>
    <t>Bekreftet</t>
  </si>
  <si>
    <t>Levert</t>
  </si>
  <si>
    <t>Natuvit</t>
  </si>
  <si>
    <t>Vestlandslefsa</t>
  </si>
  <si>
    <t>TORO</t>
  </si>
  <si>
    <t>Mrs Chengs</t>
  </si>
  <si>
    <t>Totalt (inkl. div. kunder)</t>
  </si>
  <si>
    <t>Ekstøms</t>
  </si>
  <si>
    <t>Gaute</t>
  </si>
  <si>
    <t>Maretti</t>
  </si>
  <si>
    <t>Vitana</t>
  </si>
  <si>
    <t>Delecta</t>
  </si>
  <si>
    <t>Bask</t>
  </si>
  <si>
    <t>JC Horn</t>
  </si>
  <si>
    <t>Muffi</t>
  </si>
  <si>
    <t>Podrovka</t>
  </si>
  <si>
    <t>Vegeta</t>
  </si>
  <si>
    <t>Emarko</t>
  </si>
  <si>
    <t>Grillfagmannen</t>
  </si>
  <si>
    <t>Bähncke</t>
  </si>
  <si>
    <t>Tetley</t>
  </si>
  <si>
    <t>Eurospice</t>
  </si>
  <si>
    <t>* Not used</t>
  </si>
  <si>
    <t>Landlord</t>
  </si>
  <si>
    <t>Geisha</t>
  </si>
  <si>
    <t>Cronions</t>
  </si>
  <si>
    <t>K-salat</t>
  </si>
  <si>
    <t>Casa de Italia</t>
  </si>
  <si>
    <t>Mysti</t>
  </si>
  <si>
    <t>Velbekomme</t>
  </si>
  <si>
    <t>Profit Ctr</t>
  </si>
  <si>
    <t>PPlt</t>
  </si>
  <si>
    <t>SGrp</t>
  </si>
  <si>
    <t>SOff.</t>
  </si>
  <si>
    <t>Item</t>
  </si>
  <si>
    <t>ZIVMSTA</t>
  </si>
  <si>
    <t>Sales unit</t>
  </si>
  <si>
    <t>SU</t>
  </si>
  <si>
    <t>Subtotal 1</t>
  </si>
  <si>
    <t>Not assigned</t>
  </si>
  <si>
    <t>/18</t>
  </si>
  <si>
    <t>K011600334</t>
  </si>
  <si>
    <t>Direct Delivery</t>
  </si>
  <si>
    <t>ZCRO</t>
  </si>
  <si>
    <t>ZCEO08.10.2012</t>
  </si>
  <si>
    <t>G2N</t>
  </si>
  <si>
    <t>Norwegian</t>
  </si>
  <si>
    <t>Stabbur-Makrell Filet 1/3p 520x170g</t>
  </si>
  <si>
    <t>MO540</t>
  </si>
  <si>
    <t>MP230</t>
  </si>
  <si>
    <t>Finished products</t>
  </si>
  <si>
    <t>Råbekken</t>
  </si>
  <si>
    <t>Not assigned/FR10</t>
  </si>
  <si>
    <t>REMA 1000 SOFIENBERG</t>
  </si>
  <si>
    <t>Norwegian Krone</t>
  </si>
  <si>
    <t>ZFER</t>
  </si>
  <si>
    <t>FR00</t>
  </si>
  <si>
    <t>STABBURET</t>
  </si>
  <si>
    <t>STABBURET - MAKRELL</t>
  </si>
  <si>
    <t>REMA 1000</t>
  </si>
  <si>
    <t>DAGLIGVARE</t>
  </si>
  <si>
    <t>001626 Stabbur-Makrell Filet 1/3p 520x170g</t>
  </si>
  <si>
    <t xml:space="preserve"> REMA 1000 SOFIENBERG</t>
  </si>
  <si>
    <t>Field</t>
  </si>
  <si>
    <t>Conf_SL</t>
  </si>
  <si>
    <t>Confirmed Service Level - calculation based on sales units</t>
  </si>
  <si>
    <t>Deliv_SL</t>
  </si>
  <si>
    <t>Delivered Service Level - calculation based on sales units</t>
  </si>
  <si>
    <t>Customer Purchase order number</t>
  </si>
  <si>
    <t>Delivery Document number</t>
  </si>
  <si>
    <t>Sales Document number</t>
  </si>
  <si>
    <t>BOM Item Number</t>
  </si>
  <si>
    <t>Material Number</t>
  </si>
  <si>
    <t>Short text for sales order item</t>
  </si>
  <si>
    <t>Reason for rejection of quotations and sales orders</t>
  </si>
  <si>
    <t>Order Quantity</t>
  </si>
  <si>
    <t>Cumulative Order Quantity in Sales Units</t>
  </si>
  <si>
    <t>Sales unit description</t>
  </si>
  <si>
    <t>Cumul.confirmed qty</t>
  </si>
  <si>
    <t>Cumulative confirmed quantity in base unit</t>
  </si>
  <si>
    <t>Delivery quantity</t>
  </si>
  <si>
    <t>Original Quantity of Delivery Item</t>
  </si>
  <si>
    <t>Requested delivery date</t>
  </si>
  <si>
    <t>Planning plant</t>
  </si>
  <si>
    <t>Complete reference indicator</t>
  </si>
  <si>
    <t>Sales Organization</t>
  </si>
  <si>
    <t>Distribution Channel</t>
  </si>
  <si>
    <t>Division</t>
  </si>
  <si>
    <t>Sales Group</t>
  </si>
  <si>
    <t>Sales Office</t>
  </si>
  <si>
    <t>Material group 4</t>
  </si>
  <si>
    <t>Subtotal 1 from pricing procedure for condition</t>
  </si>
  <si>
    <t>Curr.</t>
  </si>
  <si>
    <t>SD Document Currency</t>
  </si>
  <si>
    <t>Sold-to party</t>
  </si>
  <si>
    <t>Sales document item category</t>
  </si>
  <si>
    <t>Plant (Own or External)</t>
  </si>
  <si>
    <t>Shipping Point/Receiving Point</t>
  </si>
  <si>
    <t>Language Key</t>
  </si>
  <si>
    <t>Material Description (Short Text)</t>
  </si>
  <si>
    <t>Material Type</t>
  </si>
  <si>
    <t>Valuation Class in Previous Period</t>
  </si>
  <si>
    <t>Delivery Status</t>
  </si>
  <si>
    <t>Cross-Plant Material Status</t>
  </si>
  <si>
    <t>Distribution-chain-specific material status</t>
  </si>
  <si>
    <t>Number of sales units ordered</t>
  </si>
  <si>
    <t>Number of sales units confirmed</t>
  </si>
  <si>
    <t>Number of sales units delivered</t>
  </si>
  <si>
    <t>Ordered value in list prices (gross or net)</t>
  </si>
  <si>
    <t>Value of confirmed items</t>
  </si>
  <si>
    <t>Value of delivered items so far</t>
  </si>
  <si>
    <t>System field</t>
  </si>
  <si>
    <t>Number of Sales Units Out Of Stock</t>
  </si>
  <si>
    <t>Tag for Out Of Stock - Yes or No</t>
  </si>
  <si>
    <t>Tag for Material Status (New, Deleted etc.) - "Yes" eller "No"</t>
  </si>
  <si>
    <t>Material Type, Own Produced, Trading Goods or Intercompany</t>
  </si>
  <si>
    <t>Material Group 4 (Brands) from SAP</t>
  </si>
  <si>
    <t>Delivery Status - "Created" if Delivery is started or completed - otherwise "None"</t>
  </si>
  <si>
    <t>PG_3</t>
  </si>
  <si>
    <t>Product hierarchy no. 3</t>
  </si>
  <si>
    <t>Material number and description</t>
  </si>
  <si>
    <t>Chain no</t>
  </si>
  <si>
    <t>Customer Chain number</t>
  </si>
  <si>
    <t>Customer Chain Number and Name</t>
  </si>
  <si>
    <t>Customer number and name - Sold to Party</t>
  </si>
  <si>
    <t>Reason for Out Of Stock</t>
  </si>
  <si>
    <t>Material availibility date assumption</t>
  </si>
  <si>
    <t>Cur_Stck</t>
  </si>
  <si>
    <t>Current Valuated Stock quantity for materials not delivered</t>
  </si>
  <si>
    <t>Week Number</t>
  </si>
  <si>
    <t>Ordered value in list prices</t>
  </si>
  <si>
    <t>Confirmed Service Level - calculated on sales units</t>
  </si>
  <si>
    <t>Delivered Service Level - calculated on sales units</t>
  </si>
  <si>
    <t>OoS Value</t>
  </si>
  <si>
    <t>Value of sales units Out Of Stock</t>
  </si>
  <si>
    <t xml:space="preserve">OoS_Share </t>
  </si>
  <si>
    <t>Value share of total Out Of Stock</t>
  </si>
  <si>
    <t>Created if Delivery is startet, and None if no Delivey Document is created.</t>
  </si>
  <si>
    <t>ProdStart</t>
  </si>
  <si>
    <t>Scheduled production start (based on todays Production Plan - if it exists)</t>
  </si>
  <si>
    <t>Description(BrandName)</t>
  </si>
  <si>
    <t>- Maksimal periode 1 uke.</t>
  </si>
  <si>
    <t>Rapporter Statistikker</t>
  </si>
  <si>
    <t>Verdi</t>
  </si>
  <si>
    <t>Mankoliste OFN</t>
  </si>
  <si>
    <t>Alle salgs Doc for én kunde kjeden</t>
  </si>
  <si>
    <t>Leveringsstatus per produkthierarki</t>
  </si>
  <si>
    <t>Mankoliste - Produkter Med ordre - men Uten beholdning</t>
  </si>
  <si>
    <t>Salgsordrer verdi for Merker</t>
  </si>
  <si>
    <t xml:space="preserve">Rapporten Inneholder </t>
  </si>
  <si>
    <t>Sluttlevering</t>
  </si>
  <si>
    <t>Controllingområde</t>
  </si>
  <si>
    <t>Levering</t>
  </si>
  <si>
    <t>LS</t>
  </si>
  <si>
    <t>LS1</t>
  </si>
  <si>
    <t>LS2</t>
  </si>
  <si>
    <t>TS</t>
  </si>
  <si>
    <t>Salgs dok.</t>
  </si>
  <si>
    <t>Salgsdok.type</t>
  </si>
  <si>
    <t>Best.nummer kunde</t>
  </si>
  <si>
    <t>Pos kat.</t>
  </si>
  <si>
    <t>Språk</t>
  </si>
  <si>
    <t>Material Besk.</t>
  </si>
  <si>
    <t>Markeds grp.</t>
  </si>
  <si>
    <t>Vare grp OFN(11)</t>
  </si>
  <si>
    <t>Markedsområde</t>
  </si>
  <si>
    <t>Merke paraply</t>
  </si>
  <si>
    <t>Merke operativt</t>
  </si>
  <si>
    <t>FLG</t>
  </si>
  <si>
    <t>Marketkat</t>
  </si>
  <si>
    <t>MTyp Besk.</t>
  </si>
  <si>
    <t>Fabrikk Navn</t>
  </si>
  <si>
    <t>Avslagsstatus</t>
  </si>
  <si>
    <t>Produkthierarki</t>
  </si>
  <si>
    <t>Leverende lager</t>
  </si>
  <si>
    <t>SKon.</t>
  </si>
  <si>
    <t>Eksp sted.</t>
  </si>
  <si>
    <t>Oppdragsgiver</t>
  </si>
  <si>
    <t>Kundegruppe</t>
  </si>
  <si>
    <t>Bransje oppdragsgiv.</t>
  </si>
  <si>
    <t>Plukkstatus</t>
  </si>
  <si>
    <t>Oppd.dato</t>
  </si>
  <si>
    <t>Leverende fabrikk</t>
  </si>
  <si>
    <t>Posisjon</t>
  </si>
  <si>
    <t>Vurd.klasse</t>
  </si>
  <si>
    <t>ZIBEZEI</t>
  </si>
  <si>
    <t>Bilagsvaluta</t>
  </si>
  <si>
    <t>Salgs enhet</t>
  </si>
  <si>
    <t>Språk Navn</t>
  </si>
  <si>
    <t>Merke kode</t>
  </si>
  <si>
    <t>Merke grp kode</t>
  </si>
  <si>
    <t>Prod_Hier kode</t>
  </si>
  <si>
    <t>Oppdragsgiver kode</t>
  </si>
  <si>
    <t>Kundegruppe kode</t>
  </si>
  <si>
    <t>Valuta</t>
  </si>
  <si>
    <t>Delsum1</t>
  </si>
  <si>
    <t>Nettoverdi</t>
  </si>
  <si>
    <t>Total beholding</t>
  </si>
  <si>
    <t>Ordre_Verdi</t>
  </si>
  <si>
    <t>Lever_Verdi</t>
  </si>
  <si>
    <t>Bekr_Verdi</t>
  </si>
  <si>
    <t>Ikke.Lever_Kva</t>
  </si>
  <si>
    <t>Lever_Tag</t>
  </si>
  <si>
    <t>Mat_Stat_Tag</t>
  </si>
  <si>
    <t>Merke</t>
  </si>
  <si>
    <t>Produkthierarki Navn</t>
  </si>
  <si>
    <t>Material Navn</t>
  </si>
  <si>
    <t>Tilgj_Dato</t>
  </si>
  <si>
    <t>Uke_Num</t>
  </si>
  <si>
    <t>Kunde Navn</t>
  </si>
  <si>
    <t>Dok_Stat</t>
  </si>
  <si>
    <t>Ordre_Kva</t>
  </si>
  <si>
    <t>Bekr_Kva</t>
  </si>
  <si>
    <t>Lever_Kva</t>
  </si>
  <si>
    <t>D.Kanal</t>
  </si>
  <si>
    <t>Kjeden</t>
  </si>
  <si>
    <t>Totalt SG:</t>
  </si>
  <si>
    <t xml:space="preserve">Ordre_Verdi </t>
  </si>
  <si>
    <t xml:space="preserve">Bekr_Verdi </t>
  </si>
  <si>
    <t xml:space="preserve">Lever_Verdi </t>
  </si>
  <si>
    <t xml:space="preserve">Ordre_kva </t>
  </si>
  <si>
    <t xml:space="preserve">Bekr_kva </t>
  </si>
  <si>
    <t xml:space="preserve">Lever_Kva </t>
  </si>
  <si>
    <t xml:space="preserve">Bekr_Kva </t>
  </si>
  <si>
    <t xml:space="preserve">Ordre_Kva </t>
  </si>
  <si>
    <t xml:space="preserve">Bekr_SL </t>
  </si>
  <si>
    <t xml:space="preserve">Lever_SL </t>
  </si>
  <si>
    <t xml:space="preserve">OoS Verdi </t>
  </si>
  <si>
    <t>01.01.2013</t>
  </si>
  <si>
    <t>Ønsk.levDa</t>
  </si>
  <si>
    <t>Kommentarer</t>
  </si>
  <si>
    <t>Fabrikk</t>
  </si>
  <si>
    <t>Salgs Ordre Status - RFI</t>
  </si>
  <si>
    <t>Salgs Ordre Status - per profit center</t>
  </si>
  <si>
    <t>Salgs Ordre Status</t>
  </si>
  <si>
    <t>Hoved kjede</t>
  </si>
  <si>
    <t>Fabrik</t>
  </si>
  <si>
    <t>Prod.fabrikk</t>
  </si>
  <si>
    <t>Ordre Linje kategori</t>
  </si>
  <si>
    <t>Oversikt ordre inngang</t>
  </si>
  <si>
    <t>01.01.2013 Total</t>
  </si>
  <si>
    <t>- Netto salgsverdi på ordre og leveranse.  Servicegrad beregnet på enheter (STK / Dpak )</t>
  </si>
  <si>
    <t>- Forhåndslagde rapporter basert på totaler for salgsorganisasjon, Mankosituasjon,</t>
  </si>
  <si>
    <t xml:space="preserve">  Salgsdokumenter, Kunde og Material</t>
  </si>
  <si>
    <t>- For å se historiske servicegradnivåer bør du alltid bruke SAP BW Rapporter.</t>
  </si>
  <si>
    <t>- Mulighet for å angi kommentar til mankosituasjoner.</t>
  </si>
  <si>
    <t>- Alle ordrer og leveranser pr salgsorganisasjon</t>
  </si>
  <si>
    <t>- Status ordresituasjon (sanntid) - hva er bestilt - hva er bekreftet - og hva vi leverer</t>
  </si>
  <si>
    <t>NorgesGruppen</t>
  </si>
  <si>
    <t>COOP</t>
  </si>
  <si>
    <t>Salgsordrestatus per utekspederingssted</t>
  </si>
  <si>
    <t>BKSG %</t>
  </si>
  <si>
    <t>LSG %</t>
  </si>
  <si>
    <t>Salgsdokumenter per kunde</t>
  </si>
  <si>
    <t>Salg per material</t>
  </si>
  <si>
    <t>Restet</t>
  </si>
  <si>
    <t>Brukerinstruks</t>
  </si>
  <si>
    <t>- Når du åpner rapport salgsordrestatus velges automatisk i dag + 2 dager.  Endre utvalgsdato og /eller tas F8 for å kjøre rapport</t>
  </si>
  <si>
    <t>- Det er laget 6 ferdige layouter i foldere som velges nederst</t>
  </si>
  <si>
    <t>- Dersom du ønsker rapporten tilpasset dine behov kan du filtrere utvalgsmeny øverst til venstre og eventuelt drille ned i detaljer som vanlig pivot-funskjonalitet i Excel.</t>
  </si>
  <si>
    <t>- Du kan også legge til felt i rapporten fra feltoversikt som du får fram via meny, men her bør man være noe kjent i feltenes innhold</t>
  </si>
  <si>
    <t>- I verdioversikten vises bestilt, bekreftet og levert i verdi og kvantum, i tillegg til bekreftet og levert servicegrad (%).  Før Elverum og Arna er over vil det være noe treghet i oppdatering Leverte verdier.</t>
  </si>
  <si>
    <t>- IkkeLevert oversikten viser hva som ikke er full levert som en Mankoliste i kvantum (STK) og verdi pr fabrikk</t>
  </si>
  <si>
    <t xml:space="preserve">- Denne kan være aktuell å distribuere.  Bruk Kopi Ark funksjon for å lage en kopi av rapport </t>
  </si>
  <si>
    <t>- MankoKunder er tenkt benyttet dersom det er behov for å gi informasjon til ytre salg eller grossister.  Tilgjengelig dato vil vises når alle rapporter er i produksjon.</t>
  </si>
  <si>
    <t>- Salg pr kunde layouten er vist under med detaljer rundt leveringsnr og bestillingsnr</t>
  </si>
  <si>
    <r>
      <t xml:space="preserve">- Du kan gå direkte inn i SAP fra rapporten ved å høyreklikke på ønsket linje og velge mm03, md04, mmbe, co09, va03, va03n.  </t>
    </r>
    <r>
      <rPr>
        <b/>
        <sz val="12"/>
        <color theme="1"/>
        <rFont val="Calibri"/>
        <family val="2"/>
        <scheme val="minor"/>
      </rPr>
      <t>Husk da å bruke pil tilbake for å komme tilbake</t>
    </r>
  </si>
  <si>
    <t>- Rapport pr kunde og material er vist under.  Her kan evetuelt filterers på de som er fullevert eller restet</t>
  </si>
  <si>
    <t>- Tilsvarende er det laget en layout pr utleveringssted på eventuelt å drille ned på material herfra</t>
  </si>
  <si>
    <t xml:space="preserve">    Trykk F10 for å vise seleksjoner for rapport</t>
  </si>
  <si>
    <t>Best.nummer</t>
  </si>
  <si>
    <t xml:space="preserve">Ikke.Lever_Kva </t>
  </si>
  <si>
    <t>Mstat</t>
  </si>
  <si>
    <t>18</t>
  </si>
  <si>
    <t>Avslagårsak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</si>
</sst>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\ %;[Red]\-#,##0.0\ %"/>
    <numFmt numFmtId="165" formatCode="dd/mm/yy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0"/>
      <color indexed="8"/>
      <name val="Arial"/>
      <family val="2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 style="thick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</cellStyleXfs>
  <cellXfs count="100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14" fontId="1" fillId="5" borderId="0" xfId="0" applyNumberFormat="1" applyFont="1" applyFill="1"/>
    <xf numFmtId="0" fontId="0" fillId="3" borderId="0" xfId="0" applyFill="1" applyAlignment="1">
      <alignment horizontal="left"/>
    </xf>
    <xf numFmtId="3" fontId="10" fillId="0" borderId="0" xfId="1" applyNumberFormat="1" applyFont="1"/>
    <xf numFmtId="0" fontId="7" fillId="0" borderId="0" xfId="1"/>
    <xf numFmtId="38" fontId="11" fillId="0" borderId="0" xfId="1" applyNumberFormat="1" applyFont="1"/>
    <xf numFmtId="14" fontId="7" fillId="0" borderId="0" xfId="1" applyNumberFormat="1"/>
    <xf numFmtId="0" fontId="7" fillId="0" borderId="0" xfId="1" applyAlignment="1">
      <alignment horizontal="right"/>
    </xf>
    <xf numFmtId="0" fontId="7" fillId="0" borderId="0" xfId="1" applyFont="1"/>
    <xf numFmtId="14" fontId="7" fillId="0" borderId="0" xfId="1" applyNumberFormat="1" applyAlignment="1">
      <alignment horizontal="right"/>
    </xf>
    <xf numFmtId="38" fontId="7" fillId="0" borderId="0" xfId="1" applyNumberFormat="1"/>
    <xf numFmtId="0" fontId="12" fillId="0" borderId="0" xfId="1" applyFont="1"/>
    <xf numFmtId="0" fontId="1" fillId="0" borderId="0" xfId="0" applyFont="1" applyBorder="1" applyAlignment="1">
      <alignment horizontal="right"/>
    </xf>
    <xf numFmtId="0" fontId="11" fillId="0" borderId="0" xfId="1" applyFont="1" applyAlignment="1">
      <alignment horizontal="right"/>
    </xf>
    <xf numFmtId="0" fontId="11" fillId="0" borderId="0" xfId="1" applyFont="1"/>
    <xf numFmtId="0" fontId="7" fillId="0" borderId="0" xfId="1" applyFont="1" applyFill="1"/>
    <xf numFmtId="0" fontId="8" fillId="0" borderId="0" xfId="1" applyFont="1"/>
    <xf numFmtId="0" fontId="13" fillId="0" borderId="0" xfId="1" applyFont="1"/>
    <xf numFmtId="0" fontId="8" fillId="6" borderId="0" xfId="1" applyFont="1" applyFill="1"/>
    <xf numFmtId="0" fontId="7" fillId="0" borderId="0" xfId="1" quotePrefix="1" applyFont="1"/>
    <xf numFmtId="14" fontId="11" fillId="0" borderId="6" xfId="1" applyNumberFormat="1" applyFont="1" applyBorder="1"/>
    <xf numFmtId="0" fontId="11" fillId="0" borderId="6" xfId="1" applyFont="1" applyBorder="1" applyAlignment="1">
      <alignment horizontal="right"/>
    </xf>
    <xf numFmtId="164" fontId="7" fillId="0" borderId="0" xfId="1" applyNumberFormat="1"/>
    <xf numFmtId="0" fontId="8" fillId="0" borderId="0" xfId="2"/>
    <xf numFmtId="0" fontId="0" fillId="0" borderId="0" xfId="0" applyAlignment="1">
      <alignment vertical="center" wrapText="1"/>
    </xf>
    <xf numFmtId="0" fontId="11" fillId="0" borderId="0" xfId="1" applyFont="1" applyFill="1"/>
    <xf numFmtId="0" fontId="7" fillId="0" borderId="0" xfId="1" applyFill="1"/>
    <xf numFmtId="0" fontId="7" fillId="0" borderId="0" xfId="0" applyFont="1" applyFill="1"/>
    <xf numFmtId="0" fontId="4" fillId="0" borderId="0" xfId="0" applyFont="1"/>
    <xf numFmtId="0" fontId="3" fillId="0" borderId="0" xfId="0" applyFont="1"/>
    <xf numFmtId="0" fontId="4" fillId="0" borderId="0" xfId="0" quotePrefix="1" applyFont="1"/>
    <xf numFmtId="49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1" fontId="1" fillId="5" borderId="0" xfId="0" applyNumberFormat="1" applyFont="1" applyFill="1"/>
    <xf numFmtId="14" fontId="1" fillId="0" borderId="0" xfId="0" applyNumberFormat="1" applyFont="1"/>
    <xf numFmtId="38" fontId="1" fillId="2" borderId="3" xfId="0" applyNumberFormat="1" applyFont="1" applyFill="1" applyBorder="1" applyAlignment="1">
      <alignment horizontal="right"/>
    </xf>
    <xf numFmtId="14" fontId="1" fillId="2" borderId="5" xfId="0" applyNumberFormat="1" applyFont="1" applyFill="1" applyBorder="1"/>
    <xf numFmtId="14" fontId="1" fillId="2" borderId="2" xfId="0" applyNumberFormat="1" applyFont="1" applyFill="1" applyBorder="1"/>
    <xf numFmtId="164" fontId="1" fillId="2" borderId="3" xfId="0" applyNumberFormat="1" applyFont="1" applyFill="1" applyBorder="1" applyAlignment="1">
      <alignment horizontal="right"/>
    </xf>
    <xf numFmtId="164" fontId="1" fillId="2" borderId="4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14" fontId="0" fillId="0" borderId="0" xfId="0" quotePrefix="1" applyNumberFormat="1"/>
    <xf numFmtId="14" fontId="14" fillId="2" borderId="2" xfId="0" applyNumberFormat="1" applyFont="1" applyFill="1" applyBorder="1"/>
    <xf numFmtId="0" fontId="14" fillId="2" borderId="7" xfId="0" applyFont="1" applyFill="1" applyBorder="1"/>
    <xf numFmtId="38" fontId="14" fillId="2" borderId="3" xfId="0" applyNumberFormat="1" applyFont="1" applyFill="1" applyBorder="1" applyAlignment="1">
      <alignment horizontal="right"/>
    </xf>
    <xf numFmtId="164" fontId="14" fillId="2" borderId="3" xfId="0" applyNumberFormat="1" applyFont="1" applyFill="1" applyBorder="1" applyAlignment="1">
      <alignment horizontal="right"/>
    </xf>
    <xf numFmtId="164" fontId="14" fillId="2" borderId="4" xfId="0" applyNumberFormat="1" applyFont="1" applyFill="1" applyBorder="1" applyAlignment="1">
      <alignment horizontal="right"/>
    </xf>
    <xf numFmtId="3" fontId="0" fillId="0" borderId="0" xfId="0" applyNumberFormat="1"/>
    <xf numFmtId="0" fontId="15" fillId="0" borderId="0" xfId="0" applyFont="1"/>
    <xf numFmtId="0" fontId="9" fillId="0" borderId="0" xfId="0" quotePrefix="1" applyFont="1" applyFill="1"/>
    <xf numFmtId="0" fontId="16" fillId="0" borderId="0" xfId="0" quotePrefix="1" applyFont="1"/>
    <xf numFmtId="0" fontId="4" fillId="0" borderId="0" xfId="0" quotePrefix="1" applyFont="1" applyFill="1"/>
    <xf numFmtId="0" fontId="0" fillId="0" borderId="12" xfId="0" pivotButton="1" applyBorder="1"/>
    <xf numFmtId="0" fontId="0" fillId="0" borderId="12" xfId="0" applyBorder="1"/>
    <xf numFmtId="0" fontId="0" fillId="0" borderId="13" xfId="0" applyBorder="1"/>
    <xf numFmtId="0" fontId="1" fillId="0" borderId="14" xfId="0" applyFont="1" applyBorder="1"/>
    <xf numFmtId="0" fontId="1" fillId="0" borderId="13" xfId="0" applyFont="1" applyBorder="1"/>
    <xf numFmtId="0" fontId="0" fillId="4" borderId="15" xfId="0" applyFill="1" applyBorder="1"/>
    <xf numFmtId="0" fontId="0" fillId="4" borderId="11" xfId="0" applyFill="1" applyBorder="1"/>
    <xf numFmtId="0" fontId="1" fillId="0" borderId="8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0" fillId="4" borderId="10" xfId="0" applyNumberFormat="1" applyFill="1" applyBorder="1" applyAlignment="1">
      <alignment horizontal="right"/>
    </xf>
    <xf numFmtId="0" fontId="0" fillId="4" borderId="17" xfId="0" applyNumberFormat="1" applyFill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0" fillId="4" borderId="18" xfId="0" applyNumberFormat="1" applyFill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13" xfId="0" applyNumberForma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4" fontId="0" fillId="4" borderId="19" xfId="0" applyNumberFormat="1" applyFill="1" applyBorder="1"/>
    <xf numFmtId="0" fontId="0" fillId="4" borderId="9" xfId="0" applyFill="1" applyBorder="1"/>
    <xf numFmtId="38" fontId="0" fillId="4" borderId="8" xfId="0" applyNumberFormat="1" applyFill="1" applyBorder="1" applyAlignment="1">
      <alignment horizontal="right"/>
    </xf>
    <xf numFmtId="38" fontId="0" fillId="4" borderId="13" xfId="0" applyNumberFormat="1" applyFill="1" applyBorder="1" applyAlignment="1">
      <alignment horizontal="right"/>
    </xf>
    <xf numFmtId="164" fontId="0" fillId="4" borderId="13" xfId="0" applyNumberFormat="1" applyFill="1" applyBorder="1" applyAlignment="1">
      <alignment horizontal="right"/>
    </xf>
    <xf numFmtId="164" fontId="0" fillId="4" borderId="20" xfId="0" applyNumberFormat="1" applyFill="1" applyBorder="1" applyAlignment="1">
      <alignment horizontal="right"/>
    </xf>
    <xf numFmtId="38" fontId="0" fillId="4" borderId="20" xfId="0" applyNumberFormat="1" applyFill="1" applyBorder="1" applyAlignment="1">
      <alignment horizontal="right"/>
    </xf>
    <xf numFmtId="38" fontId="14" fillId="2" borderId="21" xfId="0" applyNumberFormat="1" applyFont="1" applyFill="1" applyBorder="1" applyAlignment="1">
      <alignment horizontal="right"/>
    </xf>
    <xf numFmtId="0" fontId="0" fillId="0" borderId="0" xfId="0" applyNumberFormat="1"/>
    <xf numFmtId="164" fontId="0" fillId="0" borderId="22" xfId="0" applyNumberFormat="1" applyBorder="1" applyAlignment="1">
      <alignment horizontal="right"/>
    </xf>
    <xf numFmtId="0" fontId="0" fillId="4" borderId="19" xfId="0" applyFill="1" applyBorder="1"/>
  </cellXfs>
  <cellStyles count="7">
    <cellStyle name="Min stil" xfId="2" xr:uid="{00000000-0005-0000-0000-000000000000}"/>
    <cellStyle name="Normal" xfId="0" builtinId="0"/>
    <cellStyle name="Normal 2" xfId="1" xr:uid="{00000000-0005-0000-0000-000002000000}"/>
    <cellStyle name="Normal 2 2" xfId="3" xr:uid="{00000000-0005-0000-0000-000003000000}"/>
    <cellStyle name="Normal 2_MultiSelect" xfId="4" xr:uid="{00000000-0005-0000-0000-000004000000}"/>
    <cellStyle name="Normal 3" xfId="5" xr:uid="{00000000-0005-0000-0000-000005000000}"/>
    <cellStyle name="Normal 4" xfId="6" xr:uid="{00000000-0005-0000-0000-000006000000}"/>
  </cellStyles>
  <dxfs count="53">
    <dxf>
      <numFmt numFmtId="6" formatCode="#,##0;[Red]\-#,##0"/>
    </dxf>
    <dxf>
      <numFmt numFmtId="6" formatCode="#,##0;[Red]\-#,##0"/>
    </dxf>
    <dxf>
      <numFmt numFmtId="6" formatCode="#,##0;[Red]\-#,##0"/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FF99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3.png"/><Relationship Id="rId16" Type="http://schemas.openxmlformats.org/officeDocument/2006/relationships/image" Target="../media/image16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23320</xdr:colOff>
      <xdr:row>1</xdr:row>
      <xdr:rowOff>148332</xdr:rowOff>
    </xdr:from>
    <xdr:to>
      <xdr:col>8</xdr:col>
      <xdr:colOff>661675</xdr:colOff>
      <xdr:row>4</xdr:row>
      <xdr:rowOff>70690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499820" y="350038"/>
          <a:ext cx="3551884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Salgs Ordre Status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2</xdr:colOff>
      <xdr:row>0</xdr:row>
      <xdr:rowOff>134471</xdr:rowOff>
    </xdr:from>
    <xdr:to>
      <xdr:col>3</xdr:col>
      <xdr:colOff>488242</xdr:colOff>
      <xdr:row>6</xdr:row>
      <xdr:rowOff>1009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5" y="134471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11206</xdr:colOff>
      <xdr:row>54</xdr:row>
      <xdr:rowOff>67235</xdr:rowOff>
    </xdr:from>
    <xdr:to>
      <xdr:col>11</xdr:col>
      <xdr:colOff>671233</xdr:colOff>
      <xdr:row>80</xdr:row>
      <xdr:rowOff>81031</xdr:rowOff>
    </xdr:to>
    <xdr:pic>
      <xdr:nvPicPr>
        <xdr:cNvPr id="12" name="Bilde 1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6481" y="10963835"/>
          <a:ext cx="7994277" cy="52144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13</xdr:col>
      <xdr:colOff>629706</xdr:colOff>
      <xdr:row>22</xdr:row>
      <xdr:rowOff>200000</xdr:rowOff>
    </xdr:to>
    <xdr:pic>
      <xdr:nvPicPr>
        <xdr:cNvPr id="13" name="Bilde 1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695825" y="4495800"/>
          <a:ext cx="5030256" cy="20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268940</xdr:colOff>
      <xdr:row>24</xdr:row>
      <xdr:rowOff>22411</xdr:rowOff>
    </xdr:from>
    <xdr:to>
      <xdr:col>18</xdr:col>
      <xdr:colOff>288865</xdr:colOff>
      <xdr:row>28</xdr:row>
      <xdr:rowOff>84552</xdr:rowOff>
    </xdr:to>
    <xdr:pic>
      <xdr:nvPicPr>
        <xdr:cNvPr id="15" name="Bilde 1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31890" y="4918261"/>
          <a:ext cx="4420475" cy="862241"/>
        </a:xfrm>
        <a:prstGeom prst="rect">
          <a:avLst/>
        </a:prstGeom>
      </xdr:spPr>
    </xdr:pic>
    <xdr:clientData/>
  </xdr:twoCellAnchor>
  <xdr:twoCellAnchor editAs="oneCell">
    <xdr:from>
      <xdr:col>1</xdr:col>
      <xdr:colOff>22411</xdr:colOff>
      <xdr:row>30</xdr:row>
      <xdr:rowOff>56028</xdr:rowOff>
    </xdr:from>
    <xdr:to>
      <xdr:col>9</xdr:col>
      <xdr:colOff>377732</xdr:colOff>
      <xdr:row>51</xdr:row>
      <xdr:rowOff>29666</xdr:rowOff>
    </xdr:to>
    <xdr:pic>
      <xdr:nvPicPr>
        <xdr:cNvPr id="16" name="Bilde 14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7686" y="6152028"/>
          <a:ext cx="6222721" cy="4174163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53</xdr:row>
      <xdr:rowOff>0</xdr:rowOff>
    </xdr:from>
    <xdr:to>
      <xdr:col>14</xdr:col>
      <xdr:colOff>110938</xdr:colOff>
      <xdr:row>56</xdr:row>
      <xdr:rowOff>84973</xdr:rowOff>
    </xdr:to>
    <xdr:pic>
      <xdr:nvPicPr>
        <xdr:cNvPr id="17" name="Bilde 15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62675" y="10696575"/>
          <a:ext cx="3778063" cy="685048"/>
        </a:xfrm>
        <a:prstGeom prst="rect">
          <a:avLst/>
        </a:prstGeom>
      </xdr:spPr>
    </xdr:pic>
    <xdr:clientData/>
  </xdr:twoCellAnchor>
  <xdr:twoCellAnchor editAs="oneCell">
    <xdr:from>
      <xdr:col>0</xdr:col>
      <xdr:colOff>257735</xdr:colOff>
      <xdr:row>82</xdr:row>
      <xdr:rowOff>89648</xdr:rowOff>
    </xdr:from>
    <xdr:to>
      <xdr:col>8</xdr:col>
      <xdr:colOff>681213</xdr:colOff>
      <xdr:row>111</xdr:row>
      <xdr:rowOff>183777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7735" y="16586948"/>
          <a:ext cx="5852728" cy="5894854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114</xdr:row>
      <xdr:rowOff>22413</xdr:rowOff>
    </xdr:from>
    <xdr:to>
      <xdr:col>10</xdr:col>
      <xdr:colOff>715601</xdr:colOff>
      <xdr:row>129</xdr:row>
      <xdr:rowOff>139624</xdr:rowOff>
    </xdr:to>
    <xdr:pic>
      <xdr:nvPicPr>
        <xdr:cNvPr id="19" name="Bild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90500" y="22920513"/>
          <a:ext cx="7421201" cy="3117586"/>
        </a:xfrm>
        <a:prstGeom prst="rect">
          <a:avLst/>
        </a:prstGeom>
      </xdr:spPr>
    </xdr:pic>
    <xdr:clientData/>
  </xdr:twoCellAnchor>
  <xdr:twoCellAnchor editAs="oneCell">
    <xdr:from>
      <xdr:col>11</xdr:col>
      <xdr:colOff>126626</xdr:colOff>
      <xdr:row>114</xdr:row>
      <xdr:rowOff>7732</xdr:rowOff>
    </xdr:from>
    <xdr:to>
      <xdr:col>13</xdr:col>
      <xdr:colOff>593585</xdr:colOff>
      <xdr:row>132</xdr:row>
      <xdr:rowOff>161286</xdr:rowOff>
    </xdr:to>
    <xdr:pic>
      <xdr:nvPicPr>
        <xdr:cNvPr id="20" name="Bild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756151" y="22905832"/>
          <a:ext cx="1933809" cy="375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132</xdr:row>
      <xdr:rowOff>56029</xdr:rowOff>
    </xdr:from>
    <xdr:to>
      <xdr:col>12</xdr:col>
      <xdr:colOff>187550</xdr:colOff>
      <xdr:row>164</xdr:row>
      <xdr:rowOff>77467</xdr:rowOff>
    </xdr:to>
    <xdr:pic>
      <xdr:nvPicPr>
        <xdr:cNvPr id="21" name="Bild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56883" y="26554579"/>
          <a:ext cx="8393617" cy="6422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8</xdr:col>
      <xdr:colOff>505957</xdr:colOff>
      <xdr:row>189</xdr:row>
      <xdr:rowOff>470</xdr:rowOff>
    </xdr:to>
    <xdr:pic>
      <xdr:nvPicPr>
        <xdr:cNvPr id="22" name="Bild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275" y="33299400"/>
          <a:ext cx="5639932" cy="46010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39539</xdr:rowOff>
    </xdr:from>
    <xdr:ext cx="215818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276" y="39539"/>
          <a:ext cx="215818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Oversikt ordre inngang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570793" cy="277097"/>
    <xdr:sp macro="" textlink="ReportCaption1">
      <xdr:nvSpPr>
        <xdr:cNvPr id="5" name="Avrundet rektangel 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2412" y="33618"/>
          <a:ext cx="157079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57424DAC-89AD-409A-A4CB-F1D0BCD52702}" type="TxLink">
            <a:rPr lang="en-US" sz="1600" b="1" i="0" u="none" strike="noStrike">
              <a:solidFill>
                <a:srgbClr val="C00000"/>
              </a:solidFill>
              <a:effectLst/>
              <a:latin typeface="Calibri"/>
              <a:ea typeface="+mn-ea"/>
              <a:cs typeface="+mn-cs"/>
            </a:rPr>
            <a:pPr/>
            <a:t>Mankoliste OFN</a:t>
          </a:fld>
          <a:endParaRPr lang="nb-NO" sz="2400" b="1">
            <a:solidFill>
              <a:srgbClr val="C00000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432546</xdr:colOff>
          <xdr:row>0</xdr:row>
          <xdr:rowOff>268939</xdr:rowOff>
        </xdr:from>
        <xdr:to>
          <xdr:col>6</xdr:col>
          <xdr:colOff>574936</xdr:colOff>
          <xdr:row>5</xdr:row>
          <xdr:rowOff>76946</xdr:rowOff>
        </xdr:to>
        <xdr:pic>
          <xdr:nvPicPr>
            <xdr:cNvPr id="4" name="OrderValue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oups!$L$28:$Q$32" spid="_x0000_s289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184711" y="268939"/>
              <a:ext cx="5521213" cy="8927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33618</xdr:colOff>
      <xdr:row>0</xdr:row>
      <xdr:rowOff>33611</xdr:rowOff>
    </xdr:from>
    <xdr:ext cx="5229637" cy="277097"/>
    <xdr:sp macro="" textlink="ReportCaption2">
      <xdr:nvSpPr>
        <xdr:cNvPr id="5" name="Avrundet rektangel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33618" y="33611"/>
          <a:ext cx="522963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345B5C18-3E22-412F-879D-BB3BB93058B5}" type="TxLink">
            <a:rPr lang="en-US" sz="1600" b="1" i="0" u="none" strike="noStrike">
              <a:solidFill>
                <a:srgbClr val="C00000"/>
              </a:solidFill>
              <a:effectLst/>
              <a:latin typeface="Calibri"/>
              <a:ea typeface="+mn-ea"/>
              <a:cs typeface="+mn-cs"/>
            </a:rPr>
            <a:pPr/>
            <a:t>Mankoliste - Produkter Med ordre - men Uten beholdning</a:t>
          </a:fld>
          <a:endParaRPr lang="nb-NO" sz="3600" b="1">
            <a:solidFill>
              <a:srgbClr val="C00000"/>
            </a:solidFill>
            <a:effectLst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707372" cy="277097"/>
    <xdr:sp macro="" textlink="ReportCaption3">
      <xdr:nvSpPr>
        <xdr:cNvPr id="5" name="Avrundet rektangel 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22412" y="33618"/>
          <a:ext cx="270737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fld id="{A3758131-C8F0-4E5B-BB54-9A13E077DB86}" type="TxLink">
            <a:rPr lang="en-US" sz="1600" b="1" i="0" u="none" strike="noStrike">
              <a:solidFill>
                <a:srgbClr val="C00000"/>
              </a:solidFill>
              <a:effectLst/>
              <a:latin typeface="Calibri"/>
              <a:ea typeface="+mn-ea"/>
              <a:cs typeface="+mn-cs"/>
            </a:rPr>
            <a:pPr/>
            <a:t>Salgsordrer verdi for Merker</a:t>
          </a:fld>
          <a:endParaRPr lang="nb-NO" sz="4800" b="1">
            <a:solidFill>
              <a:srgbClr val="C00000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39539</xdr:rowOff>
    </xdr:from>
    <xdr:ext cx="2605277" cy="277097"/>
    <xdr:sp macro="" textlink="ReportCaption4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7276" y="39539"/>
          <a:ext cx="260527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628F9031-1D33-4245-B036-8BC30EDC45EE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Salgsdokumenter per kunde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39539</xdr:rowOff>
    </xdr:from>
    <xdr:ext cx="3100785" cy="277097"/>
    <xdr:sp macro="" textlink="ReportCaption5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7276" y="39539"/>
          <a:ext cx="3100785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B515A155-F944-4A0A-BF3E-AF6AF7887DB4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Alle salgs Doc for én kunde kjeden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39539</xdr:rowOff>
    </xdr:from>
    <xdr:ext cx="1643172" cy="277097"/>
    <xdr:sp macro="" textlink="ReportCaption6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7276" y="39539"/>
          <a:ext cx="164317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814B0233-A1BF-4146-BBDC-9761EDECBBDB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Salg per material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39539</xdr:rowOff>
    </xdr:from>
    <xdr:ext cx="3649269" cy="277097"/>
    <xdr:sp macro="" textlink="ReportCaption7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7276" y="39539"/>
          <a:ext cx="364926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D13E05C-6012-4342-BBF9-60A983281BA0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Salgsordrestatus per utekspederingssted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3109.414449537035" createdVersion="4" refreshedVersion="6" minRefreshableVersion="3" recordCount="1" xr:uid="{00000000-000A-0000-FFFF-FFFF00000000}">
  <cacheSource type="worksheet">
    <worksheetSource name="SapExlData"/>
  </cacheSource>
  <cacheFields count="90">
    <cacheField name="MS" numFmtId="0">
      <sharedItems/>
    </cacheField>
    <cacheField name="St" numFmtId="0">
      <sharedItems/>
    </cacheField>
    <cacheField name="TS" numFmtId="0">
      <sharedItems/>
    </cacheField>
    <cacheField name="Sluttlevering" numFmtId="0">
      <sharedItems containsNonDate="0" containsString="0" containsBlank="1"/>
    </cacheField>
    <cacheField name="Controllingområde" numFmtId="0">
      <sharedItems/>
    </cacheField>
    <cacheField name="Levering" numFmtId="0">
      <sharedItems count="1">
        <s v="K011600334"/>
      </sharedItems>
    </cacheField>
    <cacheField name="D.Kanal" numFmtId="0">
      <sharedItems count="1">
        <s v="Direct Delivery"/>
      </sharedItems>
    </cacheField>
    <cacheField name="Dv" numFmtId="0">
      <sharedItems/>
    </cacheField>
    <cacheField name="LS" numFmtId="0">
      <sharedItems containsNonDate="0" containsString="0" containsBlank="1"/>
    </cacheField>
    <cacheField name="LS1" numFmtId="0">
      <sharedItems containsNonDate="0" containsString="0" containsBlank="1"/>
    </cacheField>
    <cacheField name="LS2" numFmtId="0">
      <sharedItems containsNonDate="0" containsString="0" containsBlank="1"/>
    </cacheField>
    <cacheField name="Salgs dok." numFmtId="0">
      <sharedItems count="1">
        <s v="Not assigned"/>
      </sharedItems>
    </cacheField>
    <cacheField name="Salgsdok.type" numFmtId="0">
      <sharedItems count="1">
        <s v="ZCRO"/>
      </sharedItems>
    </cacheField>
    <cacheField name="Best.nummer kunde" numFmtId="49">
      <sharedItems count="1">
        <s v="ZCEO08.10.2012"/>
      </sharedItems>
    </cacheField>
    <cacheField name="Brand" numFmtId="0">
      <sharedItems/>
    </cacheField>
    <cacheField name="Pos kat." numFmtId="0">
      <sharedItems count="1">
        <s v="G2N"/>
      </sharedItems>
    </cacheField>
    <cacheField name="Språk Navn" numFmtId="0">
      <sharedItems/>
    </cacheField>
    <cacheField name="Material Besk." numFmtId="0">
      <sharedItems/>
    </cacheField>
    <cacheField name="Markeds grp." numFmtId="0">
      <sharedItems containsNonDate="0" containsString="0" containsBlank="1"/>
    </cacheField>
    <cacheField name="Vare grp OFN(11)" numFmtId="0">
      <sharedItems containsNonDate="0" containsString="0" containsBlank="1" count="1">
        <m/>
      </sharedItems>
    </cacheField>
    <cacheField name="Markedsområde" numFmtId="0">
      <sharedItems containsNonDate="0" containsString="0" containsBlank="1"/>
    </cacheField>
    <cacheField name="Merke operativt" numFmtId="0">
      <sharedItems/>
    </cacheField>
    <cacheField name="Merke paraply" numFmtId="0">
      <sharedItems/>
    </cacheField>
    <cacheField name="Marketkat" numFmtId="0">
      <sharedItems containsNonDate="0" containsString="0" containsBlank="1" count="1">
        <m/>
      </sharedItems>
    </cacheField>
    <cacheField name="FLG" numFmtId="0">
      <sharedItems containsNonDate="0" containsString="0" containsBlank="1"/>
    </cacheField>
    <cacheField name="MTyp Besk." numFmtId="0">
      <sharedItems/>
    </cacheField>
    <cacheField name="Avslagårsak" numFmtId="0">
      <sharedItems count="1">
        <s v="Not assigned"/>
      </sharedItems>
    </cacheField>
    <cacheField name="Fabrikk Navn" numFmtId="0">
      <sharedItems/>
    </cacheField>
    <cacheField name="Produkthierarki" numFmtId="0">
      <sharedItems/>
    </cacheField>
    <cacheField name="Avslagsstatus" numFmtId="0">
      <sharedItems/>
    </cacheField>
    <cacheField name="Leverende lager" numFmtId="0">
      <sharedItems/>
    </cacheField>
    <cacheField name="SOrg." numFmtId="0">
      <sharedItems containsSemiMixedTypes="0" containsString="0" containsNumber="1" containsInteger="1" minValue="1000" maxValue="1000"/>
    </cacheField>
    <cacheField name="SGrp" numFmtId="0">
      <sharedItems/>
    </cacheField>
    <cacheField name="SKon." numFmtId="0">
      <sharedItems/>
    </cacheField>
    <cacheField name="Eksp sted." numFmtId="0">
      <sharedItems count="1">
        <s v="Not assigned"/>
      </sharedItems>
    </cacheField>
    <cacheField name="Oppdragsgiver" numFmtId="0">
      <sharedItems/>
    </cacheField>
    <cacheField name="Kundegruppe" numFmtId="0">
      <sharedItems/>
    </cacheField>
    <cacheField name="Bransje oppdragsgiv." numFmtId="0">
      <sharedItems/>
    </cacheField>
    <cacheField name="Plukkstatus" numFmtId="0">
      <sharedItems containsNonDate="0" containsString="0" containsBlank="1"/>
    </cacheField>
    <cacheField name="Oppd.dato" numFmtId="14">
      <sharedItems/>
    </cacheField>
    <cacheField name="Leverende fabrikk" numFmtId="0">
      <sharedItems/>
    </cacheField>
    <cacheField name="Posisjon" numFmtId="0">
      <sharedItems containsSemiMixedTypes="0" containsString="0" containsNumber="1" containsInteger="1" minValue="30" maxValue="30"/>
    </cacheField>
    <cacheField name="Vurd.klasse" numFmtId="0">
      <sharedItems containsSemiMixedTypes="0" containsString="0" containsNumber="1" containsInteger="1" minValue="7920" maxValue="7920"/>
    </cacheField>
    <cacheField name="ZIBEZEI" numFmtId="0">
      <sharedItems/>
    </cacheField>
    <cacheField name="Prod.fabrikk" numFmtId="0">
      <sharedItems count="1">
        <s v="Not assigned"/>
      </sharedItems>
    </cacheField>
    <cacheField name="ZIVMSTA" numFmtId="0">
      <sharedItems/>
    </cacheField>
    <cacheField name="Bilagsvaluta" numFmtId="0">
      <sharedItems/>
    </cacheField>
    <cacheField name="Salgs enhet" numFmtId="0">
      <sharedItems/>
    </cacheField>
    <cacheField name="Språk" numFmtId="0">
      <sharedItems/>
    </cacheField>
    <cacheField name="Material" numFmtId="0">
      <sharedItems containsSemiMixedTypes="0" containsString="0" containsNumber="1" containsInteger="1" minValue="1626" maxValue="1626"/>
    </cacheField>
    <cacheField name="Merke kode" numFmtId="0">
      <sharedItems/>
    </cacheField>
    <cacheField name="Merke grp kode" numFmtId="0">
      <sharedItems/>
    </cacheField>
    <cacheField name="MTyp" numFmtId="0">
      <sharedItems/>
    </cacheField>
    <cacheField name="Fabrik" numFmtId="0">
      <sharedItems/>
    </cacheField>
    <cacheField name="Prod_Hier kode" numFmtId="0">
      <sharedItems containsNonDate="0" containsString="0" containsBlank="1"/>
    </cacheField>
    <cacheField name="Oppdragsgiver kode" numFmtId="0">
      <sharedItems containsNonDate="0" containsString="0" containsBlank="1"/>
    </cacheField>
    <cacheField name="Kundegruppe kode" numFmtId="0">
      <sharedItems containsNonDate="0" containsString="0" containsBlank="1"/>
    </cacheField>
    <cacheField name="Valuta" numFmtId="0">
      <sharedItems/>
    </cacheField>
    <cacheField name="Ordre_Kva" numFmtId="1">
      <sharedItems containsSemiMixedTypes="0" containsString="0" containsNumber="1" containsInteger="1" minValue="0" maxValue="0"/>
    </cacheField>
    <cacheField name="Bekr_Kva" numFmtId="1">
      <sharedItems containsSemiMixedTypes="0" containsString="0" containsNumber="1" containsInteger="1" minValue="0" maxValue="0"/>
    </cacheField>
    <cacheField name="Delsum1" numFmtId="1">
      <sharedItems containsSemiMixedTypes="0" containsString="0" containsNumber="1" containsInteger="1" minValue="0" maxValue="0"/>
    </cacheField>
    <cacheField name="Lever_Kva" numFmtId="1">
      <sharedItems containsSemiMixedTypes="0" containsString="0" containsNumber="1" containsInteger="1" minValue="-20" maxValue="-20"/>
    </cacheField>
    <cacheField name="Nettoverdi" numFmtId="1">
      <sharedItems containsSemiMixedTypes="0" containsString="0" containsNumber="1" containsInteger="1" minValue="780" maxValue="780"/>
    </cacheField>
    <cacheField name="Total beholding" numFmtId="1">
      <sharedItems containsSemiMixedTypes="0" containsString="0" containsNumber="1" containsInteger="1" minValue="0" maxValue="0"/>
    </cacheField>
    <cacheField name="Ønsk.levDa" numFmtId="14">
      <sharedItems containsSemiMixedTypes="0" containsNonDate="0" containsDate="1" containsString="0" minDate="2013-01-01T00:00:00" maxDate="2013-01-02T00:00:00" count="1">
        <d v="2013-01-01T00:00:00"/>
      </sharedItems>
    </cacheField>
    <cacheField name="Ordre_Verdi" numFmtId="3">
      <sharedItems containsSemiMixedTypes="0" containsString="0" containsNumber="1" containsInteger="1" minValue="0" maxValue="0"/>
    </cacheField>
    <cacheField name="Lever_Verdi" numFmtId="1">
      <sharedItems containsSemiMixedTypes="0" containsString="0" containsNumber="1" containsInteger="1" minValue="0" maxValue="0"/>
    </cacheField>
    <cacheField name="Bekr_Verdi" numFmtId="1">
      <sharedItems containsSemiMixedTypes="0" containsString="0" containsNumber="1" containsInteger="1" minValue="0" maxValue="0"/>
    </cacheField>
    <cacheField name="CurrencyRate" numFmtId="0">
      <sharedItems containsNonDate="0" containsString="0" containsBlank="1"/>
    </cacheField>
    <cacheField name="Index" numFmtId="0">
      <sharedItems/>
    </cacheField>
    <cacheField name="Ikke.Lever_Kva" numFmtId="0">
      <sharedItems containsSemiMixedTypes="0" containsString="0" containsNumber="1" containsInteger="1" minValue="20" maxValue="20"/>
    </cacheField>
    <cacheField name="Lever_Tag" numFmtId="0">
      <sharedItems count="1">
        <s v="Restet"/>
      </sharedItems>
    </cacheField>
    <cacheField name="Mat_Stat_Tag" numFmtId="0">
      <sharedItems count="1">
        <s v="Ja"/>
      </sharedItems>
    </cacheField>
    <cacheField name="Fabrikk" numFmtId="0">
      <sharedItems count="1">
        <s v="FR00 Råbekken"/>
      </sharedItems>
    </cacheField>
    <cacheField name="Mat_Type" numFmtId="0">
      <sharedItems count="1">
        <s v="ZFER Finished products"/>
      </sharedItems>
    </cacheField>
    <cacheField name="Merke" numFmtId="0">
      <sharedItems count="1">
        <s v="STABBURET - MAKRELL"/>
      </sharedItems>
    </cacheField>
    <cacheField name="Dok_Stat" numFmtId="0">
      <sharedItems count="1">
        <s v="None"/>
      </sharedItems>
    </cacheField>
    <cacheField name="Produkthierarki Navn" numFmtId="0">
      <sharedItems/>
    </cacheField>
    <cacheField name="Material Navn" numFmtId="0">
      <sharedItems count="1">
        <s v="001626 Stabbur-Makrell Filet 1/3p 520x170g"/>
      </sharedItems>
    </cacheField>
    <cacheField name="Kjeden" numFmtId="0">
      <sharedItems containsSemiMixedTypes="0" containsString="0" containsNumber="1" containsInteger="1" minValue="0" maxValue="0"/>
    </cacheField>
    <cacheField name="Hoved kjede" numFmtId="0">
      <sharedItems count="1">
        <s v="REMA 1000"/>
      </sharedItems>
    </cacheField>
    <cacheField name="Kunde Navn" numFmtId="0">
      <sharedItems count="1">
        <s v=" REMA 1000 SOFIENBERG"/>
      </sharedItems>
    </cacheField>
    <cacheField name="Kommentarer" numFmtId="0">
      <sharedItems count="1">
        <s v=""/>
      </sharedItems>
    </cacheField>
    <cacheField name="Tilgj_Dato" numFmtId="14">
      <sharedItems count="1">
        <s v=""/>
      </sharedItems>
    </cacheField>
    <cacheField name="Beholdning" numFmtId="0">
      <sharedItems count="1">
        <s v="Nei"/>
      </sharedItems>
    </cacheField>
    <cacheField name="Uke_Num" numFmtId="0">
      <sharedItems containsSemiMixedTypes="0" containsString="0" containsNumber="1" containsInteger="1" minValue="1" maxValue="1"/>
    </cacheField>
    <cacheField name="Mstat" numFmtId="0">
      <sharedItems count="1">
        <s v="18"/>
      </sharedItems>
    </cacheField>
    <cacheField name="OoS Verdi" numFmtId="0" formula="(Ordre_Verdi-Lever_Verdi)" databaseField="0"/>
    <cacheField name="Bekr_SL" numFmtId="0" formula="IF(Ordre_Kva=0,0,Bekr_Kva/Ordre_Kva)" databaseField="0"/>
    <cacheField name="Lever_SL" numFmtId="0" formula="IF(Ordre_Kva=0,0,Lever_Kva/Ordre_Kva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s v="/18"/>
    <s v="/18"/>
    <s v="C"/>
    <m/>
    <s v="Not assigned"/>
    <x v="0"/>
    <x v="0"/>
    <s v="Standard"/>
    <m/>
    <m/>
    <m/>
    <x v="0"/>
    <x v="0"/>
    <x v="0"/>
    <s v="STABBURET - MAKRELL"/>
    <x v="0"/>
    <s v="Norwegian"/>
    <s v="Stabbur-Makrell Filet 1/3p 520x170g"/>
    <m/>
    <x v="0"/>
    <m/>
    <s v="STABBURET - MAKRELL"/>
    <s v="STABBURET"/>
    <x v="0"/>
    <m/>
    <s v="Finished products"/>
    <x v="0"/>
    <s v="Råbekken"/>
    <s v="Not assigned"/>
    <s v="A"/>
    <s v="Not assigned/FR10"/>
    <n v="1000"/>
    <s v="Not assigned"/>
    <s v="Not assigned"/>
    <x v="0"/>
    <s v="REMA 1000 SOFIENBERG"/>
    <s v="REMA 1000"/>
    <s v="DAGLIGVARE"/>
    <m/>
    <s v="01.01.2013"/>
    <s v="Not assigned"/>
    <n v="30"/>
    <n v="7920"/>
    <s v="Not assigned"/>
    <x v="0"/>
    <s v="Not assigned"/>
    <s v="Norwegian Krone"/>
    <s v="Not assigned"/>
    <s v="NO"/>
    <n v="1626"/>
    <s v="MO540"/>
    <s v="MP230"/>
    <s v="ZFER"/>
    <s v="FR00"/>
    <m/>
    <m/>
    <m/>
    <s v="NOK"/>
    <n v="0"/>
    <n v="0"/>
    <n v="0"/>
    <n v="-20"/>
    <n v="780"/>
    <n v="0"/>
    <x v="0"/>
    <n v="0"/>
    <n v="0"/>
    <n v="0"/>
    <m/>
    <s v="Not assigned301626"/>
    <n v="20"/>
    <x v="0"/>
    <x v="0"/>
    <x v="0"/>
    <x v="0"/>
    <x v="0"/>
    <x v="0"/>
    <s v=" Not assigned"/>
    <x v="0"/>
    <n v="0"/>
    <x v="0"/>
    <x v="0"/>
    <x v="0"/>
    <x v="0"/>
    <x v="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OrderValue" cacheId="0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5:J19" firstHeaderRow="0" firstDataRow="1" firstDataCol="2" rowPageCount="9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name="Ordre Linje kategori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4" outline="0" subtotalTop="0" showAll="0" insertBlankRow="1" includeNewItemsInFilter="1" sortType="ascending">
      <items count="2">
        <item x="0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name="Mat_Type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2">
    <field x="64"/>
    <field x="80"/>
  </rowFields>
  <rowItems count="4">
    <i>
      <x/>
      <x/>
    </i>
    <i t="default">
      <x/>
    </i>
    <i t="blank"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9">
    <pageField fld="15" hier="-1"/>
    <pageField fld="74" hier="-1"/>
    <pageField fld="11" hier="-1"/>
    <pageField fld="78" hier="-1"/>
    <pageField fld="6" hier="-1"/>
    <pageField fld="73" hier="-1"/>
    <pageField fld="19" hier="-1"/>
    <pageField fld="23" hier="-1"/>
    <pageField fld="12" hier="-1"/>
  </pageFields>
  <dataFields count="8">
    <dataField name="Ordre_Verdi " fld="65" baseField="79" baseItem="0" numFmtId="38"/>
    <dataField name="Bekr_Verdi " fld="67" baseField="79" baseItem="0" numFmtId="38"/>
    <dataField name="Lever_Verdi " fld="66" baseField="79" baseItem="0" numFmtId="38"/>
    <dataField name="Ordre_Kva " fld="58" baseField="79" baseItem="0" numFmtId="38"/>
    <dataField name="Bekr_Kva " fld="59" baseField="79" baseItem="0" numFmtId="38"/>
    <dataField name="Lever_Kva " fld="61" baseField="79" baseItem="0" numFmtId="38"/>
    <dataField name="Bekr_SL " fld="88" baseField="79" baseItem="0" numFmtId="164"/>
    <dataField name="Lever_SL " fld="89" baseField="79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ell10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4:H17" firstHeaderRow="0" firstDataRow="1" firstDataCol="4" rowPageCount="9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Mat_Type"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nonAutoSortDefault="1" defaultSubtotal="0">
      <items count="1">
        <item x="0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4">
    <field x="64"/>
    <field x="6"/>
    <field x="82"/>
    <field x="78"/>
  </rowFields>
  <rowItems count="3">
    <i>
      <x/>
      <x/>
      <x/>
      <x/>
    </i>
    <i t="blank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9">
    <pageField fld="80" hier="-1"/>
    <pageField fld="76" hier="-1"/>
    <pageField fld="71" item="0" hier="-1"/>
    <pageField fld="19" hier="-1"/>
    <pageField fld="84" hier="-1"/>
    <pageField fld="74" hier="-1"/>
    <pageField fld="73" hier="-1"/>
    <pageField fld="83" hier="-1"/>
    <pageField fld="86" hier="-1"/>
  </pageFields>
  <dataFields count="4">
    <dataField name="Ordre_Kva " fld="58" baseField="86" baseItem="0" numFmtId="38"/>
    <dataField name="Bekr_Kva " fld="59" baseField="86" baseItem="0" numFmtId="38"/>
    <dataField name="Lever_Kva " fld="61" baseField="82" baseItem="0" numFmtId="38"/>
    <dataField name="OoS Verdi " fld="87" baseField="82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ell1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rowGrandTotals="0" itemPrintTitles="1" createdVersion="1" indent="0" compact="0" compactData="0" gridDropZones="1">
  <location ref="A14:H16" firstHeaderRow="0" firstDataRow="1" firstDataCol="5" rowPageCount="9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name="Best.nummer"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howAll="0" includeNewItemsInFilter="1">
      <items count="2"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numFmtId="14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Utgått"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Beholdning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5">
    <field x="80"/>
    <field x="81"/>
    <field x="11"/>
    <field x="13"/>
    <field x="78"/>
  </rowFields>
  <rowItems count="2">
    <i>
      <x/>
      <x/>
      <x/>
      <x/>
      <x/>
    </i>
    <i t="blank">
      <x/>
    </i>
  </rowItems>
  <colFields count="1">
    <field x="-2"/>
  </colFields>
  <colItems count="3">
    <i>
      <x/>
    </i>
    <i i="1">
      <x v="1"/>
    </i>
    <i i="2">
      <x v="2"/>
    </i>
  </colItems>
  <pageFields count="9">
    <pageField fld="84" hier="-1"/>
    <pageField fld="71" item="0" hier="-1"/>
    <pageField fld="6" hier="-1"/>
    <pageField fld="73" hier="-1"/>
    <pageField fld="64" hier="-1"/>
    <pageField fld="19" hier="-1"/>
    <pageField fld="23" hier="-1"/>
    <pageField fld="86" hier="-1"/>
    <pageField fld="26" hier="-1"/>
  </pageFields>
  <dataFields count="3">
    <dataField name="Ikke.Lever_Kva " fld="70" baseField="78" baseItem="0"/>
    <dataField name="Ordre_Kva " fld="58" baseField="78" baseItem="0"/>
    <dataField name="Lever_Kva " fld="61" baseField="78" baseItem="0"/>
  </dataFields>
  <formats count="3">
    <format dxfId="2">
      <pivotArea outline="0" fieldPosition="0">
        <references count="6">
          <reference field="4294967294" count="1" selected="0">
            <x v="0"/>
          </reference>
          <reference field="11" count="0" selected="0"/>
          <reference field="13" count="0" selected="0"/>
          <reference field="78" count="0" selected="0"/>
          <reference field="80" count="0" selected="0"/>
          <reference field="81" count="0" selected="0"/>
        </references>
      </pivotArea>
    </format>
    <format dxfId="1">
      <pivotArea outline="0" fieldPosition="0">
        <references count="6">
          <reference field="4294967294" count="1" selected="0">
            <x v="1"/>
          </reference>
          <reference field="11" count="0" selected="0"/>
          <reference field="13" count="0" selected="0"/>
          <reference field="78" count="0" selected="0"/>
          <reference field="80" count="0" selected="0"/>
          <reference field="81" count="0" selected="0"/>
        </references>
      </pivotArea>
    </format>
    <format dxfId="0">
      <pivotArea outline="0" fieldPosition="0">
        <references count="6">
          <reference field="4294967294" count="1" selected="0">
            <x v="2"/>
          </reference>
          <reference field="11" count="0" selected="0"/>
          <reference field="13" count="0" selected="0"/>
          <reference field="78" count="0" selected="0"/>
          <reference field="80" count="0" selected="0"/>
          <reference field="81" count="0" selected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ell2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6:B18" firstHeaderRow="1" firstDataRow="1" firstDataCol="1" rowPageCount="11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numFmtId="14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78"/>
  </rowFields>
  <rowItems count="2">
    <i>
      <x/>
    </i>
    <i t="grand">
      <x/>
    </i>
  </rowItems>
  <colItems count="1">
    <i/>
  </colItems>
  <pageFields count="11">
    <pageField fld="64" hier="-1"/>
    <pageField fld="6" hier="-1"/>
    <pageField fld="80" hier="-1"/>
    <pageField fld="81" hier="-1"/>
    <pageField fld="11" hier="-1"/>
    <pageField fld="13" hier="-1"/>
    <pageField fld="5" hier="-1"/>
    <pageField fld="19" hier="-1"/>
    <pageField fld="23" hier="-1"/>
    <pageField fld="75" hier="-1"/>
    <pageField fld="73" hier="-1"/>
  </pageFields>
  <dataFields count="1">
    <dataField name="Lever_SL " fld="89" baseField="77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ell4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0:J13" firstHeaderRow="0" firstDataRow="1" firstDataCol="5" rowPageCount="6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5">
    <field x="64"/>
    <field x="81"/>
    <field x="11"/>
    <field x="5"/>
    <field x="13"/>
  </rowFields>
  <rowItems count="3">
    <i>
      <x/>
      <x/>
      <x/>
      <x/>
      <x/>
    </i>
    <i t="blank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6">
    <pageField fld="78" hier="-1"/>
    <pageField fld="6" hier="-1"/>
    <pageField fld="80" hier="-1"/>
    <pageField fld="19" hier="-1"/>
    <pageField fld="73" hier="-1"/>
    <pageField fld="71" hier="-1"/>
  </pageFields>
  <dataFields count="5">
    <dataField name="Ordre_kva " fld="58" baseField="13" baseItem="0" numFmtId="38"/>
    <dataField name="Bekr_kva " fld="59" baseField="13" baseItem="0" numFmtId="38"/>
    <dataField name="Lever_Kva " fld="61" baseField="13" baseItem="0" numFmtId="38"/>
    <dataField name="Bekr_SL " fld="88" baseField="13" baseItem="0" numFmtId="164"/>
    <dataField name="Lever_SL " fld="89" baseField="13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ell5" cacheId="0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3:L16" firstHeaderRow="0" firstDataRow="1" firstDataCol="4" rowPageCount="8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4">
    <field x="64"/>
    <field x="76"/>
    <field x="81"/>
    <field x="11"/>
  </rowFields>
  <rowItems count="3">
    <i>
      <x/>
      <x/>
      <x/>
      <x/>
    </i>
    <i t="blank"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8">
    <pageField fld="13" hier="-1"/>
    <pageField fld="78" hier="-1"/>
    <pageField fld="6" hier="-1"/>
    <pageField fld="80" hier="-1"/>
    <pageField fld="5" hier="-1"/>
    <pageField fld="19" hier="-1"/>
    <pageField fld="23" hier="-1"/>
    <pageField fld="44" hier="-1"/>
  </pageFields>
  <dataFields count="8">
    <dataField name="Ordre_Verdi " fld="65" baseField="11" baseItem="0" numFmtId="38"/>
    <dataField name="Bekr_Verdi " fld="67" baseField="11" baseItem="0" numFmtId="38"/>
    <dataField name="Lever_Verdi " fld="66" baseField="11" baseItem="0" numFmtId="38"/>
    <dataField name="Ordre_kva " fld="58" baseField="11" baseItem="0" numFmtId="38"/>
    <dataField name="Bekr_kva " fld="59" baseField="11" baseItem="0" numFmtId="38"/>
    <dataField name="Lever_Kva " fld="61" baseField="11" baseItem="0" numFmtId="38"/>
    <dataField name="Bekr_SL " fld="88" baseField="11" baseItem="0" numFmtId="164"/>
    <dataField name="Lever_SL " fld="89" baseField="11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ell6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4:L17" firstHeaderRow="0" firstDataRow="1" firstDataCol="4" rowPageCount="9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numFmtId="14" outline="0" subtotalTop="0" showAll="0" includeNewItemsInFilter="1" defaultSubtotal="0">
      <items count="1">
        <item x="0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4">
    <field x="81"/>
    <field x="71"/>
    <field x="78"/>
    <field x="86"/>
  </rowFields>
  <rowItems count="3">
    <i>
      <x/>
      <x/>
      <x/>
      <x/>
    </i>
    <i t="blank"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9">
    <pageField fld="11" hier="-1"/>
    <pageField fld="80" hier="-1"/>
    <pageField fld="64" hier="-1"/>
    <pageField fld="13" hier="-1"/>
    <pageField fld="6" hier="-1"/>
    <pageField fld="5" hier="-1"/>
    <pageField fld="19" hier="-1"/>
    <pageField fld="73" hier="-1"/>
    <pageField fld="72" hier="-1"/>
  </pageFields>
  <dataFields count="8">
    <dataField name="Ordre_Verdi " fld="65" baseField="71" baseItem="0" numFmtId="38"/>
    <dataField name="Bekr_Verdi " fld="67" baseField="71" baseItem="0" numFmtId="38"/>
    <dataField name="Lever_Verdi " fld="66" baseField="71" baseItem="0" numFmtId="38"/>
    <dataField name="Ordre_Kva " fld="58" baseField="71" baseItem="0" numFmtId="38"/>
    <dataField name="Bekr_kva " fld="59" baseField="71" baseItem="0" numFmtId="38"/>
    <dataField name="Lever_Kva " fld="61" baseField="71" baseItem="0" numFmtId="38"/>
    <dataField name="Bekr_SL " fld="88" baseField="71" baseItem="0" numFmtId="164"/>
    <dataField name="Lever_SL " fld="89" baseField="71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ell7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4:J17" firstHeaderRow="0" firstDataRow="1" firstDataCol="2" rowPageCount="8" colPageCount="1"/>
  <pivotFields count="9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2">
    <field x="64"/>
    <field x="34"/>
  </rowFields>
  <rowItems count="3">
    <i>
      <x/>
      <x/>
    </i>
    <i t="blank"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8">
    <pageField fld="11" hier="-1"/>
    <pageField fld="80" hier="-1"/>
    <pageField fld="71" hier="-1"/>
    <pageField fld="78" hier="-1"/>
    <pageField fld="6" hier="-1"/>
    <pageField fld="5" hier="-1"/>
    <pageField fld="19" hier="-1"/>
    <pageField fld="73" hier="-1"/>
  </pageFields>
  <dataFields count="8">
    <dataField name="Ordre_Verdi " fld="65" baseField="33" baseItem="0" numFmtId="38"/>
    <dataField name="Bekr_Verdi " fld="67" baseField="33" baseItem="0" numFmtId="38"/>
    <dataField name="Lever_Verdi " fld="66" baseField="33" baseItem="0" numFmtId="38"/>
    <dataField name="Ordre_Kva " fld="58" baseField="33" baseItem="0" numFmtId="38"/>
    <dataField name="Bekr_Kva " fld="59" baseField="33" baseItem="0" numFmtId="38"/>
    <dataField name="Lever_Kva " fld="61" baseField="33" baseItem="0" numFmtId="38"/>
    <dataField name="Bekr_SL " fld="88" baseField="33" baseItem="0" numFmtId="164"/>
    <dataField name="Lever_SL " fld="89" baseField="33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AMankoComments" growShrinkType="overwriteClear" preserveFormatting="0" adjustColumnWidth="0" connectionId="1" xr16:uid="{00000000-0016-0000-0B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pExlData" displayName="SapExlData" ref="A1:CI2" totalsRowShown="0" headerRowDxfId="52">
  <autoFilter ref="A1:CI2" xr:uid="{00000000-0009-0000-0100-000001000000}"/>
  <tableColumns count="87">
    <tableColumn id="2" xr3:uid="{00000000-0010-0000-0000-000002000000}" name="MS"/>
    <tableColumn id="3" xr3:uid="{00000000-0010-0000-0000-000003000000}" name="St"/>
    <tableColumn id="4" xr3:uid="{00000000-0010-0000-0000-000004000000}" name="TS"/>
    <tableColumn id="5" xr3:uid="{00000000-0010-0000-0000-000005000000}" name="Sluttlevering"/>
    <tableColumn id="6" xr3:uid="{00000000-0010-0000-0000-000006000000}" name="Controllingområde"/>
    <tableColumn id="7" xr3:uid="{00000000-0010-0000-0000-000007000000}" name="Levering"/>
    <tableColumn id="8" xr3:uid="{00000000-0010-0000-0000-000008000000}" name="D.Kanal"/>
    <tableColumn id="9" xr3:uid="{00000000-0010-0000-0000-000009000000}" name="Dv"/>
    <tableColumn id="10" xr3:uid="{00000000-0010-0000-0000-00000A000000}" name="LS"/>
    <tableColumn id="11" xr3:uid="{00000000-0010-0000-0000-00000B000000}" name="LS1"/>
    <tableColumn id="12" xr3:uid="{00000000-0010-0000-0000-00000C000000}" name="LS2"/>
    <tableColumn id="13" xr3:uid="{00000000-0010-0000-0000-00000D000000}" name="Salgs dok."/>
    <tableColumn id="14" xr3:uid="{00000000-0010-0000-0000-00000E000000}" name="Salgsdok.type"/>
    <tableColumn id="15" xr3:uid="{00000000-0010-0000-0000-00000F000000}" name="Best.nummer kunde" dataDxfId="51"/>
    <tableColumn id="27" xr3:uid="{00000000-0010-0000-0000-00001B000000}" name="Brand" dataDxfId="50"/>
    <tableColumn id="16" xr3:uid="{00000000-0010-0000-0000-000010000000}" name="Pos kat."/>
    <tableColumn id="17" xr3:uid="{00000000-0010-0000-0000-000011000000}" name="Språk Navn"/>
    <tableColumn id="18" xr3:uid="{00000000-0010-0000-0000-000012000000}" name="Material Besk."/>
    <tableColumn id="1" xr3:uid="{00000000-0010-0000-0000-000001000000}" name="Markeds grp."/>
    <tableColumn id="61" xr3:uid="{00000000-0010-0000-0000-00003D000000}" name="Vare grp OFN(11)"/>
    <tableColumn id="62" xr3:uid="{00000000-0010-0000-0000-00003E000000}" name="Markedsområde"/>
    <tableColumn id="19" xr3:uid="{00000000-0010-0000-0000-000013000000}" name="Merke operativt"/>
    <tableColumn id="20" xr3:uid="{00000000-0010-0000-0000-000014000000}" name="Merke paraply"/>
    <tableColumn id="77" xr3:uid="{00000000-0010-0000-0000-00004D000000}" name="Marketkat"/>
    <tableColumn id="68" xr3:uid="{00000000-0010-0000-0000-000044000000}" name="FLG"/>
    <tableColumn id="22" xr3:uid="{00000000-0010-0000-0000-000016000000}" name="MTyp Besk."/>
    <tableColumn id="23" xr3:uid="{00000000-0010-0000-0000-000017000000}" name="Avslagårsak"/>
    <tableColumn id="25" xr3:uid="{00000000-0010-0000-0000-000019000000}" name="Fabrikk Navn"/>
    <tableColumn id="26" xr3:uid="{00000000-0010-0000-0000-00001A000000}" name="Produkthierarki"/>
    <tableColumn id="29" xr3:uid="{00000000-0010-0000-0000-00001D000000}" name="Avslagsstatus"/>
    <tableColumn id="30" xr3:uid="{00000000-0010-0000-0000-00001E000000}" name="Leverende lager"/>
    <tableColumn id="31" xr3:uid="{00000000-0010-0000-0000-00001F000000}" name="SOrg."/>
    <tableColumn id="45" xr3:uid="{00000000-0010-0000-0000-00002D000000}" name="SGrp"/>
    <tableColumn id="46" xr3:uid="{00000000-0010-0000-0000-00002E000000}" name="SKon."/>
    <tableColumn id="47" xr3:uid="{00000000-0010-0000-0000-00002F000000}" name="Eksp sted."/>
    <tableColumn id="48" xr3:uid="{00000000-0010-0000-0000-000030000000}" name="Oppdragsgiver"/>
    <tableColumn id="49" xr3:uid="{00000000-0010-0000-0000-000031000000}" name="Kundegruppe"/>
    <tableColumn id="50" xr3:uid="{00000000-0010-0000-0000-000032000000}" name="Bransje oppdragsgiv."/>
    <tableColumn id="51" xr3:uid="{00000000-0010-0000-0000-000033000000}" name="Plukkstatus"/>
    <tableColumn id="52" xr3:uid="{00000000-0010-0000-0000-000034000000}" name="Oppd.dato" dataDxfId="49"/>
    <tableColumn id="53" xr3:uid="{00000000-0010-0000-0000-000035000000}" name="Leverende fabrikk"/>
    <tableColumn id="54" xr3:uid="{00000000-0010-0000-0000-000036000000}" name="Posisjon"/>
    <tableColumn id="55" xr3:uid="{00000000-0010-0000-0000-000037000000}" name="Vurd.klasse"/>
    <tableColumn id="56" xr3:uid="{00000000-0010-0000-0000-000038000000}" name="ZIBEZEI"/>
    <tableColumn id="57" xr3:uid="{00000000-0010-0000-0000-000039000000}" name="Prod.fabrikk"/>
    <tableColumn id="58" xr3:uid="{00000000-0010-0000-0000-00003A000000}" name="ZIVMSTA"/>
    <tableColumn id="59" xr3:uid="{00000000-0010-0000-0000-00003B000000}" name="Bilagsvaluta"/>
    <tableColumn id="60" xr3:uid="{00000000-0010-0000-0000-00003C000000}" name="Salgs enhet"/>
    <tableColumn id="63" xr3:uid="{00000000-0010-0000-0000-00003F000000}" name="Språk"/>
    <tableColumn id="64" xr3:uid="{00000000-0010-0000-0000-000040000000}" name="Material"/>
    <tableColumn id="32" xr3:uid="{00000000-0010-0000-0000-000020000000}" name="Merke kode"/>
    <tableColumn id="34" xr3:uid="{00000000-0010-0000-0000-000022000000}" name="Merke grp kode"/>
    <tableColumn id="84" xr3:uid="{00000000-0010-0000-0000-000054000000}" name="MTyp"/>
    <tableColumn id="83" xr3:uid="{00000000-0010-0000-0000-000053000000}" name="Fabrik"/>
    <tableColumn id="33" xr3:uid="{00000000-0010-0000-0000-000021000000}" name="Prod_Hier kode"/>
    <tableColumn id="85" xr3:uid="{00000000-0010-0000-0000-000055000000}" name="Oppdragsgiver kode"/>
    <tableColumn id="82" xr3:uid="{00000000-0010-0000-0000-000052000000}" name="Kundegruppe kode"/>
    <tableColumn id="81" xr3:uid="{00000000-0010-0000-0000-000051000000}" name="Valuta"/>
    <tableColumn id="94" xr3:uid="{00000000-0010-0000-0000-00005E000000}" name="Ordre_Kva" dataDxfId="48"/>
    <tableColumn id="93" xr3:uid="{00000000-0010-0000-0000-00005D000000}" name="Bekr_Kva" dataDxfId="47"/>
    <tableColumn id="92" xr3:uid="{00000000-0010-0000-0000-00005C000000}" name="Delsum1" dataDxfId="46"/>
    <tableColumn id="91" xr3:uid="{00000000-0010-0000-0000-00005B000000}" name="Lever_Kva" dataDxfId="45"/>
    <tableColumn id="90" xr3:uid="{00000000-0010-0000-0000-00005A000000}" name="Nettoverdi" dataDxfId="44"/>
    <tableColumn id="89" xr3:uid="{00000000-0010-0000-0000-000059000000}" name="Total beholding" dataDxfId="43"/>
    <tableColumn id="24" xr3:uid="{00000000-0010-0000-0000-000018000000}" name="Ønsk.levDa" dataDxfId="42">
      <calculatedColumnFormula>DATEVALUE(SapExlData[Oppd.dato])</calculatedColumnFormula>
    </tableColumn>
    <tableColumn id="35" xr3:uid="{00000000-0010-0000-0000-000023000000}" name="Ordre_Verdi" dataDxfId="41">
      <calculatedColumnFormula>IF(SapExlData[[#This Row],[Ordre_Kva]]&gt;0,SapExlData[[#This Row],[Nettoverdi]],0)</calculatedColumnFormula>
    </tableColumn>
    <tableColumn id="36" xr3:uid="{00000000-0010-0000-0000-000024000000}" name="Lever_Verdi" dataDxfId="40">
      <calculatedColumnFormula>IF(SapExlData[[#This Row],[Ordre_Kva]]&lt;&gt;0,SapExlData[[#This Row],[Nettoverdi]]/SapExlData[[#This Row],[Ordre_Kva]]*SapExlData[[#This Row],[Lever_Kva]],0)</calculatedColumnFormula>
    </tableColumn>
    <tableColumn id="37" xr3:uid="{00000000-0010-0000-0000-000025000000}" name="Bekr_Verdi" dataDxfId="39">
      <calculatedColumnFormula>IF(SapExlData[[#This Row],[Ordre_Kva]]&lt;&gt;0,SapExlData[[#This Row],[Nettoverdi]]/SapExlData[[#This Row],[Ordre_Kva]]*SapExlData[[#This Row],[Bekr_Kva]],0)</calculatedColumnFormula>
    </tableColumn>
    <tableColumn id="75" xr3:uid="{00000000-0010-0000-0000-00004B000000}" name="CurrencyRate" dataDxfId="38">
      <calculatedColumnFormula>IF(Currency="Default",1,IF(OR(SapExlData[[#This Row],[Valuta]]="NOK",SapExlData[[#This Row],[Valuta]]=""),1,VLOOKUP(SapExlData[[#This Row],[Valuta]],ExchangeRates[],COLUMN(ExchangeRates[[#Headers],[Value]]),FALSE))/VLOOKUP(Currency,ExchangeRates[],COLUMN(ExchangeRates[[#Headers],[Value]]),FALSE))</calculatedColumnFormula>
    </tableColumn>
    <tableColumn id="38" xr3:uid="{00000000-0010-0000-0000-000026000000}" name="Index" dataDxfId="37">
      <calculatedColumnFormula>SapExlData[Salgs dok.]&amp;SapExlData[[#This Row],[Posisjon]]&amp;SapExlData[[#This Row],[Material]]</calculatedColumnFormula>
    </tableColumn>
    <tableColumn id="39" xr3:uid="{00000000-0010-0000-0000-000027000000}" name="Ikke.Lever_Kva" dataDxfId="36">
      <calculatedColumnFormula>IF(OFFSET(SapExlData[Ordre_Kva],-1,0)=OFFSET(SapExlData[Lever_Tag],-1,0),0,SapExlData[Ordre_Kva]-SapExlData[Lever_Kva])</calculatedColumnFormula>
    </tableColumn>
    <tableColumn id="40" xr3:uid="{00000000-0010-0000-0000-000028000000}" name="Lever_Tag" dataDxfId="35">
      <calculatedColumnFormula>IF(AND(SapExlData[Levering]="",SapExlData[[#This Row],[Ordre_Kva]]&gt;0),"Restet",IF(OFFSET(SapExlData[Ordre_Kva],-1,0)&lt;&gt;OFFSET(SapExlData[Lever_Kva],-1,0),"Restet","Fullevert"))</calculatedColumnFormula>
    </tableColumn>
    <tableColumn id="41" xr3:uid="{00000000-0010-0000-0000-000029000000}" name="Mat_Stat_Tag" dataDxfId="34">
      <calculatedColumnFormula>IF(OR(SapExlData[[#This Row],[MS]]&lt;&gt;"",AND(SapExlData[[#This Row],[St]]&lt;&gt;"",NOT(SapExlData[[#This Row],[St]]=91)),SapExlData[[#This Row],[St]]&lt;&gt;""),"Ja","Nei")</calculatedColumnFormula>
    </tableColumn>
    <tableColumn id="21" xr3:uid="{00000000-0010-0000-0000-000015000000}" name="Fabrikk" dataDxfId="33">
      <calculatedColumnFormula>SapExlData[Fabrik]&amp;" "&amp;SapExlData[Fabrikk Navn]</calculatedColumnFormula>
    </tableColumn>
    <tableColumn id="43" xr3:uid="{00000000-0010-0000-0000-00002B000000}" name="Mat_Type" dataDxfId="32">
      <calculatedColumnFormula>SapExlData[MTyp]&amp;" "&amp;SapExlData[MTyp Besk.]</calculatedColumnFormula>
    </tableColumn>
    <tableColumn id="42" xr3:uid="{00000000-0010-0000-0000-00002A000000}" name="Merke" dataDxfId="31">
      <calculatedColumnFormula>SapExlData[Merke operativt]</calculatedColumnFormula>
    </tableColumn>
    <tableColumn id="65" xr3:uid="{00000000-0010-0000-0000-000041000000}" name="Dok_Stat" dataDxfId="30">
      <calculatedColumnFormula>IF(OR(SapExlData[[#This Row],[Plukkstatus]]="B",SapExlData[[#This Row],[Plukkstatus]]="C"),IF(OR(SapExlData[[#This Row],[Levering]]&lt;&gt;"",SapExlData[[#This Row],[MS]]&lt;&gt;""),"Created","None"),"None")</calculatedColumnFormula>
    </tableColumn>
    <tableColumn id="67" xr3:uid="{00000000-0010-0000-0000-000043000000}" name="Produkthierarki Navn" dataDxfId="29">
      <calculatedColumnFormula>SapExlData[Prod_Hier kode]&amp;" "&amp;SapExlData[Produkthierarki]</calculatedColumnFormula>
    </tableColumn>
    <tableColumn id="69" xr3:uid="{00000000-0010-0000-0000-000045000000}" name="Material Navn" dataDxfId="28">
      <calculatedColumnFormula>TEXT(SapExlData[Material],"000000")&amp;" "&amp;SapExlData[Material Besk.]</calculatedColumnFormula>
    </tableColumn>
    <tableColumn id="70" xr3:uid="{00000000-0010-0000-0000-000046000000}" name="Kjeden" dataDxfId="27">
      <calculatedColumnFormula>SapExlData[Kundegruppe kode]</calculatedColumnFormula>
    </tableColumn>
    <tableColumn id="71" xr3:uid="{00000000-0010-0000-0000-000047000000}" name="Hoved kjede" dataDxfId="26">
      <calculatedColumnFormula>SapExlData[Kundegruppe]</calculatedColumnFormula>
    </tableColumn>
    <tableColumn id="72" xr3:uid="{00000000-0010-0000-0000-000048000000}" name="Kunde Navn" dataDxfId="25">
      <calculatedColumnFormula>SapExlData[[#This Row],[Oppdragsgiver kode]]&amp;" "&amp;SapExlData[[#This Row],[Oppdragsgiver]]</calculatedColumnFormula>
    </tableColumn>
    <tableColumn id="73" xr3:uid="{00000000-0010-0000-0000-000049000000}" name="Kommentarer" dataDxfId="24">
      <calculatedColumnFormula>IFERROR(VLOOKUP(TEXT(SapExlData[Material],"000000"),Comments[],COLUMN(Comments[[#Headers],[Comment]]),FALSE),"")</calculatedColumnFormula>
    </tableColumn>
    <tableColumn id="74" xr3:uid="{00000000-0010-0000-0000-00004A000000}" name="Tilgj_Dato" dataDxfId="23">
      <calculatedColumnFormula>IFERROR(VLOOKUP(SapExlData[[#This Row],[Sluttlevering]],Comments[],COLUMN(Comments[[#Headers],[AvailibleDate]]),FALSE),"")</calculatedColumnFormula>
    </tableColumn>
    <tableColumn id="76" xr3:uid="{00000000-0010-0000-0000-00004C000000}" name="Beholdning" dataDxfId="22">
      <calculatedColumnFormula>IF(SapExlData[[#This Row],[Total beholding]]&gt;0,"Ja","Nei")</calculatedColumnFormula>
    </tableColumn>
    <tableColumn id="44" xr3:uid="{00000000-0010-0000-0000-00002C000000}" name="Uke_Num" dataDxfId="21">
      <calculatedColumnFormula>IF(WEEKDAY(DATE(YEAR(SapExlData[[#This Row],[Oppd.dato]]),1,1),2)&gt;4,WEEKNUM(SapExlData[[#This Row],[Oppd.dato]],2)-1,WEEKNUM(SapExlData[[#This Row],[Oppd.dato]],2))</calculatedColumnFormula>
    </tableColumn>
    <tableColumn id="28" xr3:uid="{00000000-0010-0000-0000-00001C000000}" name="Mstat" dataDxfId="20">
      <calculatedColumnFormula>RIGHT(SapExlData[St],2)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xchangeRates" displayName="ExchangeRates" ref="A1:D14" totalsRowShown="0" headerRowDxfId="19">
  <autoFilter ref="A1:D14" xr:uid="{00000000-0009-0000-0100-000002000000}"/>
  <tableColumns count="4">
    <tableColumn id="1" xr3:uid="{00000000-0010-0000-0100-000001000000}" name="From"/>
    <tableColumn id="2" xr3:uid="{00000000-0010-0000-0100-000002000000}" name="To"/>
    <tableColumn id="3" xr3:uid="{00000000-0010-0000-0100-000003000000}" name="Valid from" dataDxfId="18"/>
    <tableColumn id="4" xr3:uid="{00000000-0010-0000-0100-00000400000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mments" displayName="Comments" ref="A1:C106" totalsRowShown="0">
  <autoFilter ref="A1:C106" xr:uid="{00000000-0009-0000-0100-000004000000}"/>
  <tableColumns count="3">
    <tableColumn id="1" xr3:uid="{00000000-0010-0000-0200-000001000000}" name="Material"/>
    <tableColumn id="2" xr3:uid="{00000000-0010-0000-0200-000002000000}" name="Comment"/>
    <tableColumn id="3" xr3:uid="{00000000-0010-0000-0200-000003000000}" name="AvailibleDate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Descriptions" displayName="Descriptions" ref="A1:B87" totalsRowShown="0" headerRowDxfId="16" dataDxfId="15" dataCellStyle="Normal 2">
  <autoFilter ref="A1:B87" xr:uid="{00000000-0009-0000-0100-000003000000}"/>
  <tableColumns count="2">
    <tableColumn id="1" xr3:uid="{00000000-0010-0000-0300-000001000000}" name="FieldName" dataDxfId="14" dataCellStyle="Normal 2"/>
    <tableColumn id="2" xr3:uid="{00000000-0010-0000-0300-000002000000}" name="Description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vtTableDef" displayName="PvtTableDef" ref="A1:AG2" tableType="xml" insertRow="1" totalsRowShown="0" connectionId="2">
  <autoFilter ref="A1:AG2" xr:uid="{00000000-0009-0000-0100-000005000000}"/>
  <tableColumns count="33">
    <tableColumn id="1" xr3:uid="{00000000-0010-0000-0400-000001000000}" uniqueName="UserID" name="UserID" dataDxfId="12">
      <xmlColumnPr mapId="1" xpath="/XtraSerializer/@UserID" xmlDataType="integer"/>
    </tableColumn>
    <tableColumn id="2" xr3:uid="{00000000-0010-0000-0400-000002000000}" uniqueName="ReportID" name="ReportID">
      <xmlColumnPr mapId="1" xpath="/XtraSerializer/@ReportID" xmlDataType="integer"/>
    </tableColumn>
    <tableColumn id="3" xr3:uid="{00000000-0010-0000-0400-000003000000}" uniqueName="VariantID" name="VariantID" dataDxfId="11">
      <xmlColumnPr mapId="1" xpath="/XtraSerializer/@VariantID" xmlDataType="integer"/>
    </tableColumn>
    <tableColumn id="4" xr3:uid="{00000000-0010-0000-0400-000004000000}" uniqueName="SheetName" name="SheetName" dataDxfId="10">
      <xmlColumnPr mapId="1" xpath="/XtraSerializer/property/@SheetName" xmlDataType="string"/>
    </tableColumn>
    <tableColumn id="5" xr3:uid="{00000000-0010-0000-0400-000005000000}" uniqueName="TableName" name="TableName" dataDxfId="9">
      <xmlColumnPr mapId="1" xpath="/XtraSerializer/property/@TableName" xmlDataType="string"/>
    </tableColumn>
    <tableColumn id="6" xr3:uid="{00000000-0010-0000-0400-000006000000}" uniqueName="Seq" name="Seq" dataDxfId="8">
      <xmlColumnPr mapId="1" xpath="/XtraSerializer/property/property/@Seq" xmlDataType="integer"/>
    </tableColumn>
    <tableColumn id="7" xr3:uid="{00000000-0010-0000-0400-000007000000}" uniqueName="PivotElement" name="PivotElement">
      <xmlColumnPr mapId="1" xpath="/XtraSerializer/property/property/@PivotElement" xmlDataType="string"/>
    </tableColumn>
    <tableColumn id="8" xr3:uid="{00000000-0010-0000-0400-000008000000}" uniqueName="SourceName" name="SourceName">
      <xmlColumnPr mapId="1" xpath="/XtraSerializer/property/property/@SourceName" xmlDataType="string"/>
    </tableColumn>
    <tableColumn id="9" xr3:uid="{00000000-0010-0000-0400-000009000000}" uniqueName="ColumnGrand" name="ColumnGrand" dataDxfId="7">
      <xmlColumnPr mapId="1" xpath="/XtraSerializer/property/property/@ColumnGrand" xmlDataType="integer"/>
    </tableColumn>
    <tableColumn id="10" xr3:uid="{00000000-0010-0000-0400-00000A000000}" uniqueName="RowGrand" name="RowGrand">
      <xmlColumnPr mapId="1" xpath="/XtraSerializer/property/property/@RowGrand" xmlDataType="integer"/>
    </tableColumn>
    <tableColumn id="11" xr3:uid="{00000000-0010-0000-0400-00000B000000}" uniqueName="DisplayErrorString" name="DisplayErrorString">
      <xmlColumnPr mapId="1" xpath="/XtraSerializer/property/property/@DisplayErrorString" xmlDataType="integer"/>
    </tableColumn>
    <tableColumn id="12" xr3:uid="{00000000-0010-0000-0400-00000C000000}" uniqueName="TableStart" name="TableStart">
      <xmlColumnPr mapId="1" xpath="/XtraSerializer/property/property/@TableStart" xmlDataType="string"/>
    </tableColumn>
    <tableColumn id="13" xr3:uid="{00000000-0010-0000-0400-00000D000000}" uniqueName="FieldList" name="FieldList" dataDxfId="6">
      <xmlColumnPr mapId="1" xpath="/XtraSerializer/property/property/@FieldList" xmlDataType="integer"/>
    </tableColumn>
    <tableColumn id="14" xr3:uid="{00000000-0010-0000-0400-00000E000000}" uniqueName="MissingItems" name="MissingItems" dataDxfId="5">
      <xmlColumnPr mapId="1" xpath="/XtraSerializer/property/property/@MissingItems" xmlDataType="string"/>
    </tableColumn>
    <tableColumn id="15" xr3:uid="{00000000-0010-0000-0400-00000F000000}" uniqueName="SaveData" name="SaveData">
      <xmlColumnPr mapId="1" xpath="/XtraSerializer/property/property/@SaveData" xmlDataType="string"/>
    </tableColumn>
    <tableColumn id="16" xr3:uid="{00000000-0010-0000-0400-000010000000}" uniqueName="ShowDrillIndicators" name="ShowDrillIndicators">
      <xmlColumnPr mapId="1" xpath="/XtraSerializer/property/property/@ShowDrillIndicators" xmlDataType="string"/>
    </tableColumn>
    <tableColumn id="17" xr3:uid="{00000000-0010-0000-0400-000011000000}" uniqueName="Caption" name="Caption">
      <xmlColumnPr mapId="1" xpath="/XtraSerializer/property/property/@Caption" xmlDataType="string"/>
    </tableColumn>
    <tableColumn id="18" xr3:uid="{00000000-0010-0000-0400-000012000000}" uniqueName="Name" name="Name">
      <xmlColumnPr mapId="1" xpath="/XtraSerializer/property/property/@Name" xmlDataType="string"/>
    </tableColumn>
    <tableColumn id="19" xr3:uid="{00000000-0010-0000-0400-000013000000}" uniqueName="NumberFormat" name="NumberFormat">
      <xmlColumnPr mapId="1" xpath="/XtraSerializer/property/property/@NumberFormat" xmlDataType="string"/>
    </tableColumn>
    <tableColumn id="20" xr3:uid="{00000000-0010-0000-0400-000014000000}" uniqueName="Orientation" name="Orientation">
      <xmlColumnPr mapId="1" xpath="/XtraSerializer/property/property/@Orientation" xmlDataType="integer"/>
    </tableColumn>
    <tableColumn id="21" xr3:uid="{00000000-0010-0000-0400-000015000000}" uniqueName="Formula" name="Formula">
      <xmlColumnPr mapId="1" xpath="/XtraSerializer/property/property/@Formula" xmlDataType="string"/>
    </tableColumn>
    <tableColumn id="22" xr3:uid="{00000000-0010-0000-0400-000016000000}" uniqueName="CurrentPage" name="CurrentPage">
      <xmlColumnPr mapId="1" xpath="/XtraSerializer/property/property/@CurrentPage" xmlDataType="string"/>
    </tableColumn>
    <tableColumn id="23" xr3:uid="{00000000-0010-0000-0400-000017000000}" uniqueName="CpSourceName" name="CpSourceName">
      <xmlColumnPr mapId="1" xpath="/XtraSerializer/property/property/@CpSourceName" xmlDataType="string"/>
    </tableColumn>
    <tableColumn id="24" xr3:uid="{00000000-0010-0000-0400-000018000000}" uniqueName="PivotItems" name="PivotItems">
      <xmlColumnPr mapId="1" xpath="/XtraSerializer/property/property/@PivotItems" xmlDataType="string"/>
    </tableColumn>
    <tableColumn id="25" xr3:uid="{00000000-0010-0000-0400-000019000000}" uniqueName="Visible" name="Visible">
      <xmlColumnPr mapId="1" xpath="/XtraSerializer/property/property/@Visible" xmlDataType="integer"/>
    </tableColumn>
    <tableColumn id="26" xr3:uid="{00000000-0010-0000-0400-00001A000000}" uniqueName="AutoSortOrder" name="AutoSortOrder">
      <xmlColumnPr mapId="1" xpath="/XtraSerializer/property/property/@AutoSortOrder" xmlDataType="integer"/>
    </tableColumn>
    <tableColumn id="27" xr3:uid="{00000000-0010-0000-0400-00001B000000}" uniqueName="AutoSortField" name="AutoSortField">
      <xmlColumnPr mapId="1" xpath="/XtraSerializer/property/property/@AutoSortField" xmlDataType="string"/>
    </tableColumn>
    <tableColumn id="28" xr3:uid="{00000000-0010-0000-0400-00001C000000}" uniqueName="SubTotals" name="SubTotals">
      <xmlColumnPr mapId="1" xpath="/XtraSerializer/property/property/@SubTotals" xmlDataType="integer"/>
    </tableColumn>
    <tableColumn id="29" xr3:uid="{00000000-0010-0000-0400-00001D000000}" uniqueName="Function" name="Function">
      <xmlColumnPr mapId="1" xpath="/XtraSerializer/property/property/@Function" xmlDataType="integer"/>
    </tableColumn>
    <tableColumn id="30" xr3:uid="{00000000-0010-0000-0400-00001E000000}" uniqueName="Calculation" name="Calculation">
      <xmlColumnPr mapId="1" xpath="/XtraSerializer/property/property/@Calculation" xmlDataType="integer"/>
    </tableColumn>
    <tableColumn id="31" xr3:uid="{00000000-0010-0000-0400-00001F000000}" uniqueName="BaseField" name="BaseField">
      <xmlColumnPr mapId="1" xpath="/XtraSerializer/property/property/@BaseField" xmlDataType="string"/>
    </tableColumn>
    <tableColumn id="32" xr3:uid="{00000000-0010-0000-0400-000020000000}" uniqueName="BaseItem" name="BaseItem">
      <xmlColumnPr mapId="1" xpath="/XtraSerializer/property/property/@BaseItem" xmlDataType="string"/>
    </tableColumn>
    <tableColumn id="33" xr3:uid="{00000000-0010-0000-0400-000021000000}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OrderStatusCodes" displayName="tOrderStatusCodes" ref="A1:C5" totalsRowShown="0">
  <autoFilter ref="A1:C5" xr:uid="{00000000-0009-0000-0100-000008000000}"/>
  <tableColumns count="3">
    <tableColumn id="1" xr3:uid="{00000000-0010-0000-0500-000001000000}" name="DS1"/>
    <tableColumn id="2" xr3:uid="{00000000-0010-0000-0500-000002000000}" name="Text"/>
    <tableColumn id="3" xr3:uid="{00000000-0010-0000-05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1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queryTable" Target="../queryTables/query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15.bin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16.bin"/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17.bin"/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18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6">
    <tabColor rgb="FFFF8080"/>
  </sheetPr>
  <dimension ref="A1:CI2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2578125" defaultRowHeight="15" x14ac:dyDescent="0.25"/>
  <cols>
    <col min="1" max="1" width="6.5703125" bestFit="1" customWidth="1"/>
    <col min="2" max="2" width="5.5703125" bestFit="1" customWidth="1"/>
    <col min="3" max="3" width="6.28515625" bestFit="1" customWidth="1"/>
    <col min="4" max="4" width="14.7109375" bestFit="1" customWidth="1"/>
    <col min="5" max="5" width="20.28515625" bestFit="1" customWidth="1"/>
    <col min="6" max="6" width="12.28515625" bestFit="1" customWidth="1"/>
    <col min="7" max="7" width="14.5703125" customWidth="1"/>
    <col min="8" max="8" width="9.42578125" bestFit="1" customWidth="1"/>
    <col min="9" max="9" width="6.28515625" bestFit="1" customWidth="1"/>
    <col min="10" max="11" width="7.28515625" bestFit="1" customWidth="1"/>
    <col min="12" max="12" width="13.42578125" bestFit="1" customWidth="1"/>
    <col min="13" max="13" width="15.42578125" bestFit="1" customWidth="1"/>
    <col min="14" max="14" width="21.5703125" style="10" bestFit="1" customWidth="1"/>
    <col min="15" max="15" width="21.5703125" style="10" customWidth="1"/>
    <col min="16" max="16" width="10.42578125" bestFit="1" customWidth="1"/>
    <col min="17" max="17" width="18" bestFit="1" customWidth="1"/>
    <col min="18" max="18" width="34.5703125" bestFit="1" customWidth="1"/>
    <col min="19" max="19" width="17.42578125" bestFit="1" customWidth="1"/>
    <col min="20" max="20" width="21.7109375" bestFit="1" customWidth="1"/>
    <col min="21" max="21" width="17.42578125" customWidth="1"/>
    <col min="22" max="22" width="21" bestFit="1" customWidth="1"/>
    <col min="23" max="23" width="20.42578125" bestFit="1" customWidth="1"/>
    <col min="24" max="24" width="20.42578125" customWidth="1"/>
    <col min="25" max="25" width="22.7109375" customWidth="1"/>
    <col min="26" max="26" width="19" bestFit="1" customWidth="1"/>
    <col min="27" max="27" width="13.42578125" bestFit="1" customWidth="1"/>
    <col min="28" max="28" width="18.5703125" bestFit="1" customWidth="1"/>
    <col min="29" max="29" width="19" bestFit="1" customWidth="1"/>
    <col min="30" max="30" width="15.28515625" bestFit="1" customWidth="1"/>
    <col min="31" max="31" width="18.5703125" customWidth="1"/>
    <col min="32" max="32" width="8.42578125" bestFit="1" customWidth="1"/>
    <col min="33" max="34" width="13.42578125" bestFit="1" customWidth="1"/>
    <col min="35" max="35" width="13.42578125" customWidth="1"/>
    <col min="36" max="36" width="30.7109375" customWidth="1"/>
    <col min="37" max="37" width="18" bestFit="1" customWidth="1"/>
    <col min="38" max="38" width="28.5703125" bestFit="1" customWidth="1"/>
    <col min="39" max="39" width="15.5703125" bestFit="1" customWidth="1"/>
    <col min="40" max="40" width="12.42578125" style="11" bestFit="1" customWidth="1"/>
    <col min="41" max="41" width="17.28515625" bestFit="1" customWidth="1"/>
    <col min="42" max="42" width="7.7109375" bestFit="1" customWidth="1"/>
    <col min="43" max="43" width="13.5703125" bestFit="1" customWidth="1"/>
    <col min="44" max="44" width="13.42578125" bestFit="1" customWidth="1"/>
    <col min="45" max="45" width="14.5703125" bestFit="1" customWidth="1"/>
    <col min="46" max="46" width="13.42578125" bestFit="1" customWidth="1"/>
    <col min="47" max="47" width="20.7109375" bestFit="1" customWidth="1"/>
    <col min="48" max="48" width="13.42578125" customWidth="1"/>
    <col min="49" max="49" width="11.7109375" bestFit="1" customWidth="1"/>
    <col min="50" max="50" width="19.28515625" bestFit="1" customWidth="1"/>
    <col min="51" max="52" width="19.28515625" customWidth="1"/>
    <col min="53" max="53" width="8.5703125" bestFit="1" customWidth="1"/>
    <col min="54" max="54" width="10" bestFit="1" customWidth="1"/>
    <col min="55" max="55" width="19" customWidth="1"/>
    <col min="56" max="56" width="14.7109375" bestFit="1" customWidth="1"/>
    <col min="57" max="57" width="19" customWidth="1"/>
    <col min="58" max="58" width="9.28515625" bestFit="1" customWidth="1"/>
    <col min="59" max="59" width="16.42578125" style="51" bestFit="1" customWidth="1"/>
    <col min="60" max="60" width="17.7109375" style="51" bestFit="1" customWidth="1"/>
    <col min="61" max="63" width="12.28515625" style="51" bestFit="1" customWidth="1"/>
    <col min="64" max="64" width="13.28515625" style="51" bestFit="1" customWidth="1"/>
    <col min="65" max="65" width="13.28515625" style="11" customWidth="1"/>
    <col min="66" max="66" width="14.5703125" style="51" bestFit="1" customWidth="1"/>
    <col min="67" max="67" width="14" style="51" bestFit="1" customWidth="1"/>
    <col min="68" max="68" width="13.5703125" style="51" bestFit="1" customWidth="1"/>
    <col min="69" max="69" width="15.28515625" bestFit="1" customWidth="1"/>
    <col min="70" max="70" width="19.5703125" bestFit="1" customWidth="1"/>
    <col min="71" max="71" width="14.42578125" bestFit="1" customWidth="1"/>
    <col min="72" max="72" width="12.28515625" bestFit="1" customWidth="1"/>
    <col min="73" max="73" width="17.5703125" bestFit="1" customWidth="1"/>
    <col min="74" max="74" width="16.7109375" customWidth="1"/>
    <col min="75" max="75" width="22.7109375" bestFit="1" customWidth="1"/>
    <col min="76" max="76" width="27.7109375" bestFit="1" customWidth="1"/>
    <col min="77" max="77" width="13.28515625" bestFit="1" customWidth="1"/>
    <col min="78" max="78" width="37.7109375" customWidth="1"/>
    <col min="79" max="79" width="41.28515625" bestFit="1" customWidth="1"/>
    <col min="80" max="80" width="9.5703125" bestFit="1" customWidth="1"/>
    <col min="81" max="81" width="15.7109375" bestFit="1" customWidth="1"/>
    <col min="82" max="82" width="23.28515625" bestFit="1" customWidth="1"/>
    <col min="83" max="83" width="47.28515625" customWidth="1"/>
    <col min="84" max="84" width="13.28515625" bestFit="1" customWidth="1"/>
    <col min="85" max="85" width="13.42578125" bestFit="1" customWidth="1"/>
    <col min="86" max="86" width="13.7109375" bestFit="1" customWidth="1"/>
    <col min="87" max="87" width="13.7109375" customWidth="1"/>
  </cols>
  <sheetData>
    <row r="1" spans="1:87" s="7" customFormat="1" x14ac:dyDescent="0.25">
      <c r="A1" s="7" t="s">
        <v>54</v>
      </c>
      <c r="B1" s="7" t="s">
        <v>55</v>
      </c>
      <c r="C1" s="7" t="s">
        <v>359</v>
      </c>
      <c r="D1" s="7" t="s">
        <v>353</v>
      </c>
      <c r="E1" s="7" t="s">
        <v>354</v>
      </c>
      <c r="F1" s="7" t="s">
        <v>355</v>
      </c>
      <c r="G1" s="7" t="s">
        <v>417</v>
      </c>
      <c r="H1" s="7" t="s">
        <v>45</v>
      </c>
      <c r="I1" s="7" t="s">
        <v>356</v>
      </c>
      <c r="J1" s="7" t="s">
        <v>357</v>
      </c>
      <c r="K1" s="7" t="s">
        <v>358</v>
      </c>
      <c r="L1" s="7" t="s">
        <v>360</v>
      </c>
      <c r="M1" s="7" t="s">
        <v>361</v>
      </c>
      <c r="N1" s="49" t="s">
        <v>362</v>
      </c>
      <c r="O1" s="49" t="s">
        <v>69</v>
      </c>
      <c r="P1" s="7" t="s">
        <v>363</v>
      </c>
      <c r="Q1" s="7" t="s">
        <v>391</v>
      </c>
      <c r="R1" s="7" t="s">
        <v>365</v>
      </c>
      <c r="S1" s="7" t="s">
        <v>366</v>
      </c>
      <c r="T1" s="7" t="s">
        <v>367</v>
      </c>
      <c r="U1" s="7" t="s">
        <v>368</v>
      </c>
      <c r="V1" s="7" t="s">
        <v>370</v>
      </c>
      <c r="W1" s="7" t="s">
        <v>369</v>
      </c>
      <c r="X1" s="7" t="s">
        <v>372</v>
      </c>
      <c r="Y1" s="7" t="s">
        <v>371</v>
      </c>
      <c r="Z1" s="7" t="s">
        <v>373</v>
      </c>
      <c r="AA1" s="7" t="s">
        <v>477</v>
      </c>
      <c r="AB1" s="7" t="s">
        <v>374</v>
      </c>
      <c r="AC1" s="7" t="s">
        <v>376</v>
      </c>
      <c r="AD1" s="7" t="s">
        <v>375</v>
      </c>
      <c r="AE1" s="7" t="s">
        <v>377</v>
      </c>
      <c r="AF1" s="7" t="s">
        <v>43</v>
      </c>
      <c r="AG1" s="7" t="s">
        <v>235</v>
      </c>
      <c r="AH1" s="7" t="s">
        <v>378</v>
      </c>
      <c r="AI1" s="7" t="s">
        <v>379</v>
      </c>
      <c r="AJ1" s="7" t="s">
        <v>380</v>
      </c>
      <c r="AK1" s="7" t="s">
        <v>381</v>
      </c>
      <c r="AL1" s="7" t="s">
        <v>382</v>
      </c>
      <c r="AM1" s="7" t="s">
        <v>383</v>
      </c>
      <c r="AN1" s="53" t="s">
        <v>384</v>
      </c>
      <c r="AO1" s="7" t="s">
        <v>385</v>
      </c>
      <c r="AP1" s="7" t="s">
        <v>386</v>
      </c>
      <c r="AQ1" s="7" t="s">
        <v>387</v>
      </c>
      <c r="AR1" s="7" t="s">
        <v>388</v>
      </c>
      <c r="AS1" s="7" t="s">
        <v>440</v>
      </c>
      <c r="AT1" s="7" t="s">
        <v>238</v>
      </c>
      <c r="AU1" s="7" t="s">
        <v>389</v>
      </c>
      <c r="AV1" s="7" t="s">
        <v>390</v>
      </c>
      <c r="AW1" s="7" t="s">
        <v>364</v>
      </c>
      <c r="AX1" s="7" t="s">
        <v>5</v>
      </c>
      <c r="AY1" s="7" t="s">
        <v>392</v>
      </c>
      <c r="AZ1" s="7" t="s">
        <v>393</v>
      </c>
      <c r="BA1" s="7" t="s">
        <v>1</v>
      </c>
      <c r="BB1" s="7" t="s">
        <v>439</v>
      </c>
      <c r="BC1" s="7" t="s">
        <v>394</v>
      </c>
      <c r="BD1" s="7" t="s">
        <v>395</v>
      </c>
      <c r="BE1" s="7" t="s">
        <v>396</v>
      </c>
      <c r="BF1" s="7" t="s">
        <v>397</v>
      </c>
      <c r="BG1" s="50" t="s">
        <v>414</v>
      </c>
      <c r="BH1" s="50" t="s">
        <v>415</v>
      </c>
      <c r="BI1" s="50" t="s">
        <v>398</v>
      </c>
      <c r="BJ1" s="50" t="s">
        <v>416</v>
      </c>
      <c r="BK1" s="50" t="s">
        <v>399</v>
      </c>
      <c r="BL1" s="50" t="s">
        <v>400</v>
      </c>
      <c r="BM1" s="19" t="s">
        <v>432</v>
      </c>
      <c r="BN1" s="52" t="s">
        <v>401</v>
      </c>
      <c r="BO1" s="52" t="s">
        <v>402</v>
      </c>
      <c r="BP1" s="52" t="s">
        <v>403</v>
      </c>
      <c r="BQ1" s="15" t="s">
        <v>103</v>
      </c>
      <c r="BR1" s="15" t="s">
        <v>64</v>
      </c>
      <c r="BS1" s="15" t="s">
        <v>404</v>
      </c>
      <c r="BT1" s="15" t="s">
        <v>405</v>
      </c>
      <c r="BU1" s="15" t="s">
        <v>406</v>
      </c>
      <c r="BV1" s="15" t="s">
        <v>434</v>
      </c>
      <c r="BW1" s="15" t="s">
        <v>68</v>
      </c>
      <c r="BX1" s="15" t="s">
        <v>407</v>
      </c>
      <c r="BY1" s="15" t="s">
        <v>413</v>
      </c>
      <c r="BZ1" s="15" t="s">
        <v>408</v>
      </c>
      <c r="CA1" s="15" t="s">
        <v>409</v>
      </c>
      <c r="CB1" s="15" t="s">
        <v>418</v>
      </c>
      <c r="CC1" s="15" t="s">
        <v>438</v>
      </c>
      <c r="CD1" s="15" t="s">
        <v>412</v>
      </c>
      <c r="CE1" s="15" t="s">
        <v>433</v>
      </c>
      <c r="CF1" s="19" t="s">
        <v>410</v>
      </c>
      <c r="CG1" s="15" t="s">
        <v>76</v>
      </c>
      <c r="CH1" s="15" t="s">
        <v>411</v>
      </c>
      <c r="CI1" s="15" t="s">
        <v>475</v>
      </c>
    </row>
    <row r="2" spans="1:87" x14ac:dyDescent="0.25">
      <c r="A2" t="s">
        <v>243</v>
      </c>
      <c r="B2" t="s">
        <v>243</v>
      </c>
      <c r="C2" t="s">
        <v>56</v>
      </c>
      <c r="E2" t="s">
        <v>242</v>
      </c>
      <c r="F2" t="s">
        <v>244</v>
      </c>
      <c r="G2" t="s">
        <v>245</v>
      </c>
      <c r="H2" t="s">
        <v>14</v>
      </c>
      <c r="L2" t="s">
        <v>242</v>
      </c>
      <c r="M2" t="s">
        <v>246</v>
      </c>
      <c r="N2" s="10" t="s">
        <v>247</v>
      </c>
      <c r="O2" t="s">
        <v>261</v>
      </c>
      <c r="P2" t="s">
        <v>248</v>
      </c>
      <c r="Q2" t="s">
        <v>249</v>
      </c>
      <c r="R2" t="s">
        <v>250</v>
      </c>
      <c r="V2" t="s">
        <v>261</v>
      </c>
      <c r="W2" t="s">
        <v>260</v>
      </c>
      <c r="Z2" t="s">
        <v>253</v>
      </c>
      <c r="AA2" t="s">
        <v>242</v>
      </c>
      <c r="AB2" t="s">
        <v>254</v>
      </c>
      <c r="AC2" t="s">
        <v>242</v>
      </c>
      <c r="AD2" t="s">
        <v>57</v>
      </c>
      <c r="AE2" t="s">
        <v>255</v>
      </c>
      <c r="AF2">
        <v>1000</v>
      </c>
      <c r="AG2" t="s">
        <v>242</v>
      </c>
      <c r="AH2" t="s">
        <v>242</v>
      </c>
      <c r="AI2" t="s">
        <v>242</v>
      </c>
      <c r="AJ2" s="42" t="s">
        <v>256</v>
      </c>
      <c r="AK2" s="42" t="s">
        <v>262</v>
      </c>
      <c r="AL2" s="42" t="s">
        <v>263</v>
      </c>
      <c r="AN2" s="60" t="s">
        <v>431</v>
      </c>
      <c r="AO2" t="s">
        <v>242</v>
      </c>
      <c r="AP2">
        <v>30</v>
      </c>
      <c r="AQ2">
        <v>7920</v>
      </c>
      <c r="AR2" t="s">
        <v>242</v>
      </c>
      <c r="AS2" t="s">
        <v>242</v>
      </c>
      <c r="AT2" t="s">
        <v>242</v>
      </c>
      <c r="AU2" t="s">
        <v>257</v>
      </c>
      <c r="AV2" t="s">
        <v>242</v>
      </c>
      <c r="AW2" t="s">
        <v>88</v>
      </c>
      <c r="AX2">
        <v>1626</v>
      </c>
      <c r="AY2" t="s">
        <v>251</v>
      </c>
      <c r="AZ2" t="s">
        <v>252</v>
      </c>
      <c r="BA2" t="s">
        <v>258</v>
      </c>
      <c r="BB2" t="s">
        <v>259</v>
      </c>
      <c r="BF2" t="s">
        <v>8</v>
      </c>
      <c r="BG2" s="51">
        <v>0</v>
      </c>
      <c r="BH2" s="51">
        <v>0</v>
      </c>
      <c r="BI2" s="51">
        <v>0</v>
      </c>
      <c r="BJ2" s="51">
        <v>-20</v>
      </c>
      <c r="BK2" s="51">
        <v>780</v>
      </c>
      <c r="BL2" s="51">
        <v>0</v>
      </c>
      <c r="BM2" s="11">
        <f>DATEVALUE(SapExlData[Oppd.dato])</f>
        <v>41275</v>
      </c>
      <c r="BN2" s="66">
        <f>IF(SapExlData[[#This Row],[Ordre_Kva]]&gt;0,SapExlData[[#This Row],[Nettoverdi]],0)</f>
        <v>0</v>
      </c>
      <c r="BO2" s="51">
        <f>IF(SapExlData[[#This Row],[Ordre_Kva]]&lt;&gt;0,SapExlData[[#This Row],[Nettoverdi]]/SapExlData[[#This Row],[Ordre_Kva]]*SapExlData[[#This Row],[Lever_Kva]],0)</f>
        <v>0</v>
      </c>
      <c r="BP2" s="51">
        <f>IF(SapExlData[[#This Row],[Ordre_Kva]]&lt;&gt;0,SapExlData[[#This Row],[Nettoverdi]]/SapExlData[[#This Row],[Ordre_Kva]]*SapExlData[[#This Row],[Bekr_Kva]],0)</f>
        <v>0</v>
      </c>
      <c r="BR2" t="str">
        <f>SapExlData[Salgs dok.]&amp;SapExlData[[#This Row],[Posisjon]]&amp;SapExlData[[#This Row],[Material]]</f>
        <v>Not assigned301626</v>
      </c>
      <c r="BS2">
        <f ca="1">IF(OFFSET(SapExlData[Ordre_Kva],-1,0)=OFFSET(SapExlData[Lever_Tag],-1,0),0,SapExlData[Ordre_Kva]-SapExlData[Lever_Kva])</f>
        <v>20</v>
      </c>
      <c r="BT2" t="str">
        <f ca="1">IF(AND(SapExlData[Levering]="",SapExlData[[#This Row],[Ordre_Kva]]&gt;0),"Restet",IF(OFFSET(SapExlData[Ordre_Kva],-1,0)&lt;&gt;OFFSET(SapExlData[Lever_Kva],-1,0),"Restet","Fullevert"))</f>
        <v>Restet</v>
      </c>
      <c r="BU2" t="str">
        <f>IF(OR(SapExlData[[#This Row],[MS]]&lt;&gt;"",AND(SapExlData[[#This Row],[St]]&lt;&gt;"",NOT(SapExlData[[#This Row],[St]]=91)),SapExlData[[#This Row],[St]]&lt;&gt;""),"Ja","Nei")</f>
        <v>Ja</v>
      </c>
      <c r="BV2" t="str">
        <f>SapExlData[Fabrik]&amp;" "&amp;SapExlData[Fabrikk Navn]</f>
        <v>FR00 Råbekken</v>
      </c>
      <c r="BW2" t="str">
        <f>SapExlData[MTyp]&amp;" "&amp;SapExlData[MTyp Besk.]</f>
        <v>ZFER Finished products</v>
      </c>
      <c r="BX2" t="str">
        <f>SapExlData[Merke operativt]</f>
        <v>STABBURET - MAKRELL</v>
      </c>
      <c r="BY2" t="str">
        <f>IF(OR(SapExlData[[#This Row],[Plukkstatus]]="B",SapExlData[[#This Row],[Plukkstatus]]="C"),IF(OR(SapExlData[[#This Row],[Levering]]&lt;&gt;"",SapExlData[[#This Row],[MS]]&lt;&gt;""),"Created","None"),"None")</f>
        <v>None</v>
      </c>
      <c r="BZ2" t="str">
        <f>SapExlData[Prod_Hier kode]&amp;" "&amp;SapExlData[Produkthierarki]</f>
        <v xml:space="preserve"> Not assigned</v>
      </c>
      <c r="CA2" t="str">
        <f>TEXT(SapExlData[Material],"000000")&amp;" "&amp;SapExlData[Material Besk.]</f>
        <v>001626 Stabbur-Makrell Filet 1/3p 520x170g</v>
      </c>
      <c r="CB2">
        <f>SapExlData[Kundegruppe kode]</f>
        <v>0</v>
      </c>
      <c r="CC2" t="str">
        <f>SapExlData[Kundegruppe]</f>
        <v>REMA 1000</v>
      </c>
      <c r="CD2" t="str">
        <f>SapExlData[[#This Row],[Oppdragsgiver kode]]&amp;" "&amp;SapExlData[[#This Row],[Oppdragsgiver]]</f>
        <v xml:space="preserve"> REMA 1000 SOFIENBERG</v>
      </c>
      <c r="CE2" t="str">
        <f>IFERROR(VLOOKUP(TEXT(SapExlData[Material],"000000"),Comments[],COLUMN(Comments[[#Headers],[Comment]]),FALSE),"")</f>
        <v/>
      </c>
      <c r="CF2" s="11" t="str">
        <f>IFERROR(VLOOKUP(SapExlData[[#This Row],[Sluttlevering]],Comments[],COLUMN(Comments[[#Headers],[AvailibleDate]]),FALSE),"")</f>
        <v/>
      </c>
      <c r="CG2" t="str">
        <f>IF(SapExlData[[#This Row],[Total beholding]]&gt;0,"Ja","Nei")</f>
        <v>Nei</v>
      </c>
      <c r="CH2">
        <f>IF(WEEKDAY(DATE(YEAR(SapExlData[[#This Row],[Oppd.dato]]),1,1),2)&gt;4,WEEKNUM(SapExlData[[#This Row],[Oppd.dato]],2)-1,WEEKNUM(SapExlData[[#This Row],[Oppd.dato]],2))</f>
        <v>1</v>
      </c>
      <c r="CI2" s="97" t="str">
        <f>RIGHT(SapExlData[St],2)</f>
        <v>18</v>
      </c>
    </row>
  </sheetData>
  <sheetProtection pivotTables="0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8">
    <tabColor rgb="FFFF8080"/>
  </sheetPr>
  <dimension ref="A1:D14"/>
  <sheetViews>
    <sheetView showGridLines="0" zoomScale="85" zoomScaleNormal="85" workbookViewId="0"/>
  </sheetViews>
  <sheetFormatPr defaultColWidth="11.42578125" defaultRowHeight="15" x14ac:dyDescent="0.25"/>
  <cols>
    <col min="1" max="1" width="8.28515625" bestFit="1" customWidth="1"/>
    <col min="2" max="2" width="5.7109375" bestFit="1" customWidth="1"/>
    <col min="3" max="3" width="12.42578125" bestFit="1" customWidth="1"/>
    <col min="4" max="4" width="8.42578125" bestFit="1" customWidth="1"/>
  </cols>
  <sheetData>
    <row r="1" spans="1:4" x14ac:dyDescent="0.25">
      <c r="A1" s="7" t="s">
        <v>30</v>
      </c>
      <c r="B1" s="7" t="s">
        <v>31</v>
      </c>
      <c r="C1" s="7" t="s">
        <v>32</v>
      </c>
      <c r="D1" s="7" t="s">
        <v>13</v>
      </c>
    </row>
    <row r="2" spans="1:4" x14ac:dyDescent="0.25">
      <c r="A2" t="s">
        <v>18</v>
      </c>
      <c r="B2" t="s">
        <v>8</v>
      </c>
      <c r="C2" s="11">
        <v>40909</v>
      </c>
      <c r="D2">
        <v>5.68</v>
      </c>
    </row>
    <row r="3" spans="1:4" x14ac:dyDescent="0.25">
      <c r="A3" t="s">
        <v>19</v>
      </c>
      <c r="B3" t="s">
        <v>8</v>
      </c>
      <c r="C3" s="11">
        <v>40909</v>
      </c>
      <c r="D3">
        <v>5.69</v>
      </c>
    </row>
    <row r="4" spans="1:4" x14ac:dyDescent="0.25">
      <c r="A4" t="s">
        <v>20</v>
      </c>
      <c r="B4" t="s">
        <v>8</v>
      </c>
      <c r="C4" s="11">
        <v>40909</v>
      </c>
      <c r="D4">
        <v>6.61</v>
      </c>
    </row>
    <row r="5" spans="1:4" x14ac:dyDescent="0.25">
      <c r="A5" t="s">
        <v>21</v>
      </c>
      <c r="B5" t="s">
        <v>8</v>
      </c>
      <c r="C5" s="11">
        <v>40909</v>
      </c>
      <c r="D5">
        <v>0.32900000000000001</v>
      </c>
    </row>
    <row r="6" spans="1:4" x14ac:dyDescent="0.25">
      <c r="A6" t="s">
        <v>22</v>
      </c>
      <c r="B6" t="s">
        <v>8</v>
      </c>
      <c r="C6" s="11">
        <v>40909</v>
      </c>
      <c r="D6">
        <v>1.0660000000000001</v>
      </c>
    </row>
    <row r="7" spans="1:4" x14ac:dyDescent="0.25">
      <c r="A7" t="s">
        <v>23</v>
      </c>
      <c r="B7" t="s">
        <v>8</v>
      </c>
      <c r="C7" s="11">
        <v>40909</v>
      </c>
      <c r="D7">
        <v>7.94</v>
      </c>
    </row>
    <row r="8" spans="1:4" x14ac:dyDescent="0.25">
      <c r="A8" t="s">
        <v>24</v>
      </c>
      <c r="B8" t="s">
        <v>8</v>
      </c>
      <c r="C8" s="11">
        <v>40909</v>
      </c>
      <c r="D8">
        <v>8.84</v>
      </c>
    </row>
    <row r="9" spans="1:4" x14ac:dyDescent="0.25">
      <c r="A9" t="s">
        <v>25</v>
      </c>
      <c r="B9" t="s">
        <v>8</v>
      </c>
      <c r="C9" s="11">
        <v>40909</v>
      </c>
      <c r="D9">
        <v>2.91</v>
      </c>
    </row>
    <row r="10" spans="1:4" x14ac:dyDescent="0.25">
      <c r="A10" t="s">
        <v>26</v>
      </c>
      <c r="B10" t="s">
        <v>8</v>
      </c>
      <c r="C10" s="11">
        <v>40909</v>
      </c>
      <c r="D10">
        <v>6.9</v>
      </c>
    </row>
    <row r="11" spans="1:4" x14ac:dyDescent="0.25">
      <c r="A11" t="s">
        <v>27</v>
      </c>
      <c r="B11" t="s">
        <v>8</v>
      </c>
      <c r="C11" s="11">
        <v>40909</v>
      </c>
      <c r="D11">
        <v>1.9550000000000001</v>
      </c>
    </row>
    <row r="12" spans="1:4" x14ac:dyDescent="0.25">
      <c r="A12" t="s">
        <v>28</v>
      </c>
      <c r="B12" t="s">
        <v>8</v>
      </c>
      <c r="C12" s="11">
        <v>40909</v>
      </c>
      <c r="D12">
        <v>0.85699999999999998</v>
      </c>
    </row>
    <row r="13" spans="1:4" x14ac:dyDescent="0.25">
      <c r="A13" t="s">
        <v>8</v>
      </c>
      <c r="B13" t="s">
        <v>8</v>
      </c>
      <c r="C13" s="11">
        <v>40909</v>
      </c>
      <c r="D13">
        <v>1</v>
      </c>
    </row>
    <row r="14" spans="1:4" x14ac:dyDescent="0.25">
      <c r="A14" t="s">
        <v>29</v>
      </c>
      <c r="B14" t="s">
        <v>8</v>
      </c>
      <c r="C14" s="11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customProperties>
    <customPr name="EpmWorksheetKeyString_GUID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151">
    <tabColor rgb="FFFF8080"/>
  </sheetPr>
  <dimension ref="A1:C106"/>
  <sheetViews>
    <sheetView showGridLines="0" zoomScale="85" zoomScaleNormal="85" workbookViewId="0"/>
  </sheetViews>
  <sheetFormatPr defaultColWidth="11.42578125" defaultRowHeight="15" x14ac:dyDescent="0.25"/>
  <cols>
    <col min="1" max="1" width="10.42578125" bestFit="1" customWidth="1"/>
    <col min="2" max="2" width="38.42578125" bestFit="1" customWidth="1"/>
    <col min="3" max="3" width="12.42578125" bestFit="1" customWidth="1"/>
  </cols>
  <sheetData>
    <row r="1" spans="1:3" x14ac:dyDescent="0.25">
      <c r="A1" t="s">
        <v>5</v>
      </c>
      <c r="B1" t="s">
        <v>91</v>
      </c>
      <c r="C1" s="11" t="s">
        <v>90</v>
      </c>
    </row>
    <row r="2" spans="1:3" x14ac:dyDescent="0.25">
      <c r="C2" s="11"/>
    </row>
    <row r="3" spans="1:3" x14ac:dyDescent="0.25">
      <c r="C3" s="11"/>
    </row>
    <row r="4" spans="1:3" x14ac:dyDescent="0.25">
      <c r="C4" s="11"/>
    </row>
    <row r="5" spans="1:3" x14ac:dyDescent="0.25">
      <c r="C5" s="11"/>
    </row>
    <row r="6" spans="1:3" x14ac:dyDescent="0.25">
      <c r="C6" s="11"/>
    </row>
    <row r="7" spans="1:3" x14ac:dyDescent="0.25">
      <c r="C7" s="11"/>
    </row>
    <row r="8" spans="1:3" x14ac:dyDescent="0.25">
      <c r="C8" s="11"/>
    </row>
    <row r="9" spans="1:3" x14ac:dyDescent="0.25">
      <c r="C9" s="11"/>
    </row>
    <row r="10" spans="1:3" x14ac:dyDescent="0.25">
      <c r="C10" s="11"/>
    </row>
    <row r="11" spans="1:3" x14ac:dyDescent="0.25">
      <c r="C11" s="11"/>
    </row>
    <row r="12" spans="1:3" x14ac:dyDescent="0.25">
      <c r="C12" s="11"/>
    </row>
    <row r="13" spans="1:3" x14ac:dyDescent="0.25">
      <c r="C13" s="11"/>
    </row>
    <row r="14" spans="1:3" x14ac:dyDescent="0.25">
      <c r="C14" s="11"/>
    </row>
    <row r="15" spans="1:3" x14ac:dyDescent="0.25">
      <c r="C15" s="11"/>
    </row>
    <row r="16" spans="1:3" x14ac:dyDescent="0.25">
      <c r="C16" s="11"/>
    </row>
    <row r="17" spans="3:3" x14ac:dyDescent="0.25">
      <c r="C17" s="11"/>
    </row>
    <row r="18" spans="3:3" x14ac:dyDescent="0.25">
      <c r="C18" s="11"/>
    </row>
    <row r="19" spans="3:3" x14ac:dyDescent="0.25">
      <c r="C19" s="11"/>
    </row>
    <row r="20" spans="3:3" x14ac:dyDescent="0.25">
      <c r="C20" s="11"/>
    </row>
    <row r="21" spans="3:3" x14ac:dyDescent="0.25">
      <c r="C21" s="11"/>
    </row>
    <row r="22" spans="3:3" x14ac:dyDescent="0.25">
      <c r="C22" s="11"/>
    </row>
    <row r="23" spans="3:3" x14ac:dyDescent="0.25">
      <c r="C23" s="11"/>
    </row>
    <row r="24" spans="3:3" x14ac:dyDescent="0.25">
      <c r="C24" s="11"/>
    </row>
    <row r="25" spans="3:3" x14ac:dyDescent="0.25">
      <c r="C25" s="11"/>
    </row>
    <row r="26" spans="3:3" x14ac:dyDescent="0.25">
      <c r="C26" s="11"/>
    </row>
    <row r="27" spans="3:3" x14ac:dyDescent="0.25">
      <c r="C27" s="11"/>
    </row>
    <row r="28" spans="3:3" x14ac:dyDescent="0.25">
      <c r="C28" s="11"/>
    </row>
    <row r="29" spans="3:3" x14ac:dyDescent="0.25">
      <c r="C29" s="11"/>
    </row>
    <row r="30" spans="3:3" x14ac:dyDescent="0.25">
      <c r="C30" s="11"/>
    </row>
    <row r="31" spans="3:3" x14ac:dyDescent="0.25">
      <c r="C31" s="11"/>
    </row>
    <row r="32" spans="3:3" x14ac:dyDescent="0.25">
      <c r="C32" s="11"/>
    </row>
    <row r="33" spans="3:3" x14ac:dyDescent="0.25">
      <c r="C33" s="11"/>
    </row>
    <row r="34" spans="3:3" x14ac:dyDescent="0.25">
      <c r="C34" s="11"/>
    </row>
    <row r="35" spans="3:3" x14ac:dyDescent="0.25">
      <c r="C35" s="11"/>
    </row>
    <row r="36" spans="3:3" x14ac:dyDescent="0.25">
      <c r="C36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  <row r="40" spans="3:3" x14ac:dyDescent="0.25">
      <c r="C40" s="11"/>
    </row>
    <row r="41" spans="3:3" x14ac:dyDescent="0.25">
      <c r="C41" s="11"/>
    </row>
    <row r="42" spans="3:3" x14ac:dyDescent="0.25">
      <c r="C42" s="11"/>
    </row>
    <row r="43" spans="3:3" x14ac:dyDescent="0.25">
      <c r="C43" s="11"/>
    </row>
    <row r="44" spans="3:3" x14ac:dyDescent="0.25">
      <c r="C44" s="11"/>
    </row>
    <row r="45" spans="3:3" x14ac:dyDescent="0.25">
      <c r="C45" s="11"/>
    </row>
    <row r="46" spans="3:3" x14ac:dyDescent="0.25">
      <c r="C46" s="11"/>
    </row>
    <row r="47" spans="3:3" x14ac:dyDescent="0.25">
      <c r="C47" s="11"/>
    </row>
    <row r="48" spans="3:3" x14ac:dyDescent="0.25">
      <c r="C48" s="11"/>
    </row>
    <row r="49" spans="3:3" x14ac:dyDescent="0.25">
      <c r="C49" s="11"/>
    </row>
    <row r="50" spans="3:3" x14ac:dyDescent="0.25">
      <c r="C50" s="11"/>
    </row>
    <row r="51" spans="3:3" x14ac:dyDescent="0.25">
      <c r="C51" s="11"/>
    </row>
    <row r="52" spans="3:3" x14ac:dyDescent="0.25">
      <c r="C52" s="11"/>
    </row>
    <row r="53" spans="3:3" x14ac:dyDescent="0.25">
      <c r="C53" s="11"/>
    </row>
    <row r="54" spans="3:3" x14ac:dyDescent="0.25">
      <c r="C54" s="11"/>
    </row>
    <row r="55" spans="3:3" x14ac:dyDescent="0.25">
      <c r="C55" s="11"/>
    </row>
    <row r="56" spans="3:3" x14ac:dyDescent="0.25">
      <c r="C56" s="11"/>
    </row>
    <row r="57" spans="3:3" x14ac:dyDescent="0.25">
      <c r="C57" s="11"/>
    </row>
    <row r="58" spans="3:3" x14ac:dyDescent="0.25">
      <c r="C58" s="11"/>
    </row>
    <row r="59" spans="3:3" x14ac:dyDescent="0.25">
      <c r="C59" s="11"/>
    </row>
    <row r="60" spans="3:3" x14ac:dyDescent="0.25">
      <c r="C60" s="11"/>
    </row>
    <row r="61" spans="3:3" x14ac:dyDescent="0.25">
      <c r="C61" s="11"/>
    </row>
    <row r="62" spans="3:3" x14ac:dyDescent="0.25">
      <c r="C62" s="11"/>
    </row>
    <row r="63" spans="3:3" x14ac:dyDescent="0.25">
      <c r="C63" s="11"/>
    </row>
    <row r="64" spans="3:3" x14ac:dyDescent="0.25">
      <c r="C64" s="11"/>
    </row>
    <row r="65" spans="3:3" x14ac:dyDescent="0.25">
      <c r="C65" s="11"/>
    </row>
    <row r="66" spans="3:3" x14ac:dyDescent="0.25">
      <c r="C66" s="11"/>
    </row>
    <row r="67" spans="3:3" x14ac:dyDescent="0.25">
      <c r="C67" s="11"/>
    </row>
    <row r="68" spans="3:3" x14ac:dyDescent="0.25">
      <c r="C68" s="11"/>
    </row>
    <row r="69" spans="3:3" x14ac:dyDescent="0.25">
      <c r="C69" s="11"/>
    </row>
    <row r="70" spans="3:3" x14ac:dyDescent="0.25">
      <c r="C70" s="11"/>
    </row>
    <row r="71" spans="3:3" x14ac:dyDescent="0.25">
      <c r="C71" s="11"/>
    </row>
    <row r="72" spans="3:3" x14ac:dyDescent="0.25">
      <c r="C72" s="11"/>
    </row>
    <row r="73" spans="3:3" x14ac:dyDescent="0.25">
      <c r="C73" s="11"/>
    </row>
    <row r="74" spans="3:3" x14ac:dyDescent="0.25">
      <c r="C74" s="11"/>
    </row>
    <row r="75" spans="3:3" x14ac:dyDescent="0.25">
      <c r="C75" s="11"/>
    </row>
    <row r="76" spans="3:3" x14ac:dyDescent="0.25">
      <c r="C76" s="11"/>
    </row>
    <row r="77" spans="3:3" x14ac:dyDescent="0.25">
      <c r="C77" s="11"/>
    </row>
    <row r="78" spans="3:3" x14ac:dyDescent="0.25">
      <c r="C78" s="11"/>
    </row>
    <row r="79" spans="3:3" x14ac:dyDescent="0.25">
      <c r="C79" s="11"/>
    </row>
    <row r="80" spans="3:3" x14ac:dyDescent="0.25">
      <c r="C80" s="11"/>
    </row>
    <row r="81" spans="3:3" x14ac:dyDescent="0.25">
      <c r="C81" s="11"/>
    </row>
    <row r="82" spans="3:3" x14ac:dyDescent="0.25">
      <c r="C82" s="11"/>
    </row>
    <row r="83" spans="3:3" x14ac:dyDescent="0.25">
      <c r="C83" s="11"/>
    </row>
    <row r="84" spans="3:3" x14ac:dyDescent="0.25">
      <c r="C84" s="11"/>
    </row>
    <row r="85" spans="3:3" x14ac:dyDescent="0.25">
      <c r="C85" s="11"/>
    </row>
    <row r="86" spans="3:3" x14ac:dyDescent="0.25">
      <c r="C86" s="11"/>
    </row>
    <row r="87" spans="3:3" x14ac:dyDescent="0.25">
      <c r="C87" s="11"/>
    </row>
    <row r="88" spans="3:3" x14ac:dyDescent="0.25">
      <c r="C88" s="11"/>
    </row>
    <row r="89" spans="3:3" x14ac:dyDescent="0.25">
      <c r="C89" s="11"/>
    </row>
    <row r="90" spans="3:3" x14ac:dyDescent="0.25">
      <c r="C90" s="11"/>
    </row>
    <row r="91" spans="3:3" x14ac:dyDescent="0.25">
      <c r="C91" s="11"/>
    </row>
    <row r="92" spans="3:3" x14ac:dyDescent="0.25">
      <c r="C92" s="11"/>
    </row>
    <row r="93" spans="3:3" x14ac:dyDescent="0.25">
      <c r="C93" s="11"/>
    </row>
    <row r="94" spans="3:3" x14ac:dyDescent="0.25">
      <c r="C94" s="11"/>
    </row>
    <row r="95" spans="3:3" x14ac:dyDescent="0.25">
      <c r="C95" s="11"/>
    </row>
    <row r="96" spans="3:3" x14ac:dyDescent="0.25">
      <c r="C96" s="11"/>
    </row>
    <row r="97" spans="3:3" x14ac:dyDescent="0.25">
      <c r="C97" s="11"/>
    </row>
    <row r="98" spans="3:3" x14ac:dyDescent="0.25">
      <c r="C98" s="11"/>
    </row>
    <row r="99" spans="3:3" x14ac:dyDescent="0.25">
      <c r="C99" s="11"/>
    </row>
    <row r="100" spans="3:3" x14ac:dyDescent="0.25">
      <c r="C100" s="11"/>
    </row>
    <row r="101" spans="3:3" x14ac:dyDescent="0.25">
      <c r="C101" s="11"/>
    </row>
    <row r="102" spans="3:3" x14ac:dyDescent="0.25">
      <c r="C102" s="11"/>
    </row>
    <row r="103" spans="3:3" x14ac:dyDescent="0.25">
      <c r="C103" s="11"/>
    </row>
    <row r="104" spans="3:3" x14ac:dyDescent="0.25">
      <c r="C104" s="11"/>
    </row>
    <row r="105" spans="3:3" x14ac:dyDescent="0.25">
      <c r="C105" s="11"/>
    </row>
    <row r="106" spans="3:3" x14ac:dyDescent="0.25">
      <c r="C106" s="11"/>
    </row>
  </sheetData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31">
    <tabColor rgb="FFFF8080"/>
  </sheetPr>
  <dimension ref="A1:B87"/>
  <sheetViews>
    <sheetView showGridLines="0" zoomScale="85" zoomScaleNormal="85" workbookViewId="0"/>
  </sheetViews>
  <sheetFormatPr defaultColWidth="11.42578125" defaultRowHeight="15" x14ac:dyDescent="0.25"/>
  <cols>
    <col min="1" max="1" width="29.28515625" bestFit="1" customWidth="1"/>
    <col min="2" max="2" width="81.7109375" bestFit="1" customWidth="1"/>
  </cols>
  <sheetData>
    <row r="1" spans="1:2" x14ac:dyDescent="0.25">
      <c r="A1" s="7" t="s">
        <v>35</v>
      </c>
      <c r="B1" s="7" t="s">
        <v>11</v>
      </c>
    </row>
    <row r="2" spans="1:2" x14ac:dyDescent="0.25">
      <c r="A2" s="43" t="s">
        <v>266</v>
      </c>
      <c r="B2" s="43" t="s">
        <v>11</v>
      </c>
    </row>
    <row r="3" spans="1:2" x14ac:dyDescent="0.25">
      <c r="A3" s="33" t="s">
        <v>267</v>
      </c>
      <c r="B3" s="44" t="s">
        <v>268</v>
      </c>
    </row>
    <row r="4" spans="1:2" x14ac:dyDescent="0.25">
      <c r="A4" s="33" t="s">
        <v>269</v>
      </c>
      <c r="B4" s="44" t="s">
        <v>270</v>
      </c>
    </row>
    <row r="5" spans="1:2" x14ac:dyDescent="0.25">
      <c r="A5" s="44" t="s">
        <v>36</v>
      </c>
      <c r="B5" s="33" t="s">
        <v>271</v>
      </c>
    </row>
    <row r="6" spans="1:2" x14ac:dyDescent="0.25">
      <c r="A6" s="44" t="s">
        <v>37</v>
      </c>
      <c r="B6" s="33" t="s">
        <v>272</v>
      </c>
    </row>
    <row r="7" spans="1:2" x14ac:dyDescent="0.25">
      <c r="A7" s="44" t="s">
        <v>38</v>
      </c>
      <c r="B7" s="33" t="s">
        <v>273</v>
      </c>
    </row>
    <row r="8" spans="1:2" x14ac:dyDescent="0.25">
      <c r="A8" s="44" t="s">
        <v>237</v>
      </c>
      <c r="B8" s="33" t="s">
        <v>274</v>
      </c>
    </row>
    <row r="9" spans="1:2" x14ac:dyDescent="0.25">
      <c r="A9" s="33" t="s">
        <v>5</v>
      </c>
      <c r="B9" s="33" t="s">
        <v>275</v>
      </c>
    </row>
    <row r="10" spans="1:2" x14ac:dyDescent="0.25">
      <c r="A10" s="44" t="s">
        <v>343</v>
      </c>
      <c r="B10" s="33" t="s">
        <v>276</v>
      </c>
    </row>
    <row r="11" spans="1:2" x14ac:dyDescent="0.25">
      <c r="A11" s="44" t="s">
        <v>39</v>
      </c>
      <c r="B11" s="33" t="s">
        <v>277</v>
      </c>
    </row>
    <row r="12" spans="1:2" x14ac:dyDescent="0.25">
      <c r="A12" s="33" t="s">
        <v>278</v>
      </c>
      <c r="B12" s="33" t="s">
        <v>279</v>
      </c>
    </row>
    <row r="13" spans="1:2" x14ac:dyDescent="0.25">
      <c r="A13" s="44" t="s">
        <v>240</v>
      </c>
      <c r="B13" s="33" t="s">
        <v>280</v>
      </c>
    </row>
    <row r="14" spans="1:2" x14ac:dyDescent="0.25">
      <c r="A14" s="44" t="s">
        <v>281</v>
      </c>
      <c r="B14" s="33" t="s">
        <v>282</v>
      </c>
    </row>
    <row r="15" spans="1:2" x14ac:dyDescent="0.25">
      <c r="A15" s="44" t="s">
        <v>240</v>
      </c>
      <c r="B15" s="33" t="s">
        <v>280</v>
      </c>
    </row>
    <row r="16" spans="1:2" x14ac:dyDescent="0.25">
      <c r="A16" s="44" t="s">
        <v>283</v>
      </c>
      <c r="B16" s="33" t="s">
        <v>284</v>
      </c>
    </row>
    <row r="17" spans="1:2" x14ac:dyDescent="0.25">
      <c r="A17" s="44" t="s">
        <v>240</v>
      </c>
      <c r="B17" s="33" t="s">
        <v>239</v>
      </c>
    </row>
    <row r="18" spans="1:2" x14ac:dyDescent="0.25">
      <c r="A18" s="44" t="s">
        <v>40</v>
      </c>
      <c r="B18" s="33" t="s">
        <v>40</v>
      </c>
    </row>
    <row r="19" spans="1:2" x14ac:dyDescent="0.25">
      <c r="A19" s="44" t="s">
        <v>41</v>
      </c>
      <c r="B19" s="33" t="s">
        <v>285</v>
      </c>
    </row>
    <row r="20" spans="1:2" x14ac:dyDescent="0.25">
      <c r="A20" s="44" t="s">
        <v>233</v>
      </c>
      <c r="B20" s="33" t="s">
        <v>33</v>
      </c>
    </row>
    <row r="21" spans="1:2" x14ac:dyDescent="0.25">
      <c r="A21" s="44" t="s">
        <v>234</v>
      </c>
      <c r="B21" s="33" t="s">
        <v>286</v>
      </c>
    </row>
    <row r="22" spans="1:2" x14ac:dyDescent="0.25">
      <c r="A22" s="44" t="s">
        <v>42</v>
      </c>
      <c r="B22" s="33" t="s">
        <v>287</v>
      </c>
    </row>
    <row r="23" spans="1:2" x14ac:dyDescent="0.25">
      <c r="A23" s="44" t="s">
        <v>43</v>
      </c>
      <c r="B23" s="33" t="s">
        <v>288</v>
      </c>
    </row>
    <row r="24" spans="1:2" x14ac:dyDescent="0.25">
      <c r="A24" s="33" t="s">
        <v>44</v>
      </c>
      <c r="B24" s="33" t="s">
        <v>289</v>
      </c>
    </row>
    <row r="25" spans="1:2" x14ac:dyDescent="0.25">
      <c r="A25" s="44" t="s">
        <v>45</v>
      </c>
      <c r="B25" s="33" t="s">
        <v>290</v>
      </c>
    </row>
    <row r="26" spans="1:2" x14ac:dyDescent="0.25">
      <c r="A26" s="33" t="s">
        <v>235</v>
      </c>
      <c r="B26" s="33" t="s">
        <v>291</v>
      </c>
    </row>
    <row r="27" spans="1:2" x14ac:dyDescent="0.25">
      <c r="A27" s="44" t="s">
        <v>236</v>
      </c>
      <c r="B27" s="33" t="s">
        <v>292</v>
      </c>
    </row>
    <row r="28" spans="1:2" x14ac:dyDescent="0.25">
      <c r="A28" s="33" t="s">
        <v>46</v>
      </c>
      <c r="B28" s="33" t="s">
        <v>293</v>
      </c>
    </row>
    <row r="29" spans="1:2" x14ac:dyDescent="0.25">
      <c r="A29" s="44" t="s">
        <v>241</v>
      </c>
      <c r="B29" s="33" t="s">
        <v>294</v>
      </c>
    </row>
    <row r="30" spans="1:2" x14ac:dyDescent="0.25">
      <c r="A30" s="33" t="s">
        <v>295</v>
      </c>
      <c r="B30" s="33" t="s">
        <v>296</v>
      </c>
    </row>
    <row r="31" spans="1:2" x14ac:dyDescent="0.25">
      <c r="A31" s="44" t="s">
        <v>47</v>
      </c>
      <c r="B31" s="33" t="s">
        <v>297</v>
      </c>
    </row>
    <row r="32" spans="1:2" x14ac:dyDescent="0.25">
      <c r="A32" s="33" t="s">
        <v>233</v>
      </c>
      <c r="B32" s="33" t="s">
        <v>33</v>
      </c>
    </row>
    <row r="33" spans="1:2" x14ac:dyDescent="0.25">
      <c r="A33" s="44" t="s">
        <v>48</v>
      </c>
      <c r="B33" s="33" t="s">
        <v>298</v>
      </c>
    </row>
    <row r="34" spans="1:2" x14ac:dyDescent="0.25">
      <c r="A34" s="33" t="s">
        <v>34</v>
      </c>
      <c r="B34" s="33" t="s">
        <v>34</v>
      </c>
    </row>
    <row r="35" spans="1:2" x14ac:dyDescent="0.25">
      <c r="A35" s="44" t="s">
        <v>4</v>
      </c>
      <c r="B35" s="44" t="s">
        <v>299</v>
      </c>
    </row>
    <row r="36" spans="1:2" x14ac:dyDescent="0.25">
      <c r="A36" s="33" t="s">
        <v>49</v>
      </c>
      <c r="B36" s="33" t="s">
        <v>300</v>
      </c>
    </row>
    <row r="37" spans="1:2" x14ac:dyDescent="0.25">
      <c r="A37" s="44" t="s">
        <v>50</v>
      </c>
      <c r="B37" s="44" t="s">
        <v>301</v>
      </c>
    </row>
    <row r="38" spans="1:2" x14ac:dyDescent="0.25">
      <c r="A38" s="33" t="s">
        <v>6</v>
      </c>
      <c r="B38" s="33" t="s">
        <v>302</v>
      </c>
    </row>
    <row r="39" spans="1:2" x14ac:dyDescent="0.25">
      <c r="A39" s="44" t="s">
        <v>1</v>
      </c>
      <c r="B39" s="44" t="s">
        <v>303</v>
      </c>
    </row>
    <row r="40" spans="1:2" x14ac:dyDescent="0.25">
      <c r="A40" s="44" t="s">
        <v>7</v>
      </c>
      <c r="B40" s="33" t="s">
        <v>304</v>
      </c>
    </row>
    <row r="41" spans="1:2" x14ac:dyDescent="0.25">
      <c r="A41" s="44" t="s">
        <v>51</v>
      </c>
      <c r="B41" s="33" t="s">
        <v>305</v>
      </c>
    </row>
    <row r="42" spans="1:2" x14ac:dyDescent="0.25">
      <c r="A42" s="44" t="s">
        <v>51</v>
      </c>
      <c r="B42" s="33" t="s">
        <v>305</v>
      </c>
    </row>
    <row r="43" spans="1:2" x14ac:dyDescent="0.25">
      <c r="A43" s="44" t="s">
        <v>39</v>
      </c>
      <c r="B43" s="33" t="s">
        <v>277</v>
      </c>
    </row>
    <row r="44" spans="1:2" x14ac:dyDescent="0.25">
      <c r="A44" s="44" t="s">
        <v>52</v>
      </c>
      <c r="B44" s="33" t="s">
        <v>173</v>
      </c>
    </row>
    <row r="45" spans="1:2" x14ac:dyDescent="0.25">
      <c r="A45" s="33" t="s">
        <v>53</v>
      </c>
      <c r="B45" s="33" t="s">
        <v>175</v>
      </c>
    </row>
    <row r="46" spans="1:2" x14ac:dyDescent="0.25">
      <c r="A46" s="44" t="s">
        <v>54</v>
      </c>
      <c r="B46" s="33" t="s">
        <v>306</v>
      </c>
    </row>
    <row r="47" spans="1:2" x14ac:dyDescent="0.25">
      <c r="A47" s="44" t="s">
        <v>55</v>
      </c>
      <c r="B47" s="33" t="s">
        <v>307</v>
      </c>
    </row>
    <row r="48" spans="1:2" x14ac:dyDescent="0.25">
      <c r="A48" s="44" t="s">
        <v>55</v>
      </c>
      <c r="B48" s="44" t="s">
        <v>307</v>
      </c>
    </row>
    <row r="49" spans="1:2" x14ac:dyDescent="0.25">
      <c r="A49" s="44"/>
      <c r="B49" s="33"/>
    </row>
    <row r="50" spans="1:2" x14ac:dyDescent="0.25">
      <c r="A50" s="44" t="s">
        <v>58</v>
      </c>
      <c r="B50" s="33" t="s">
        <v>308</v>
      </c>
    </row>
    <row r="51" spans="1:2" x14ac:dyDescent="0.25">
      <c r="A51" s="44" t="s">
        <v>59</v>
      </c>
      <c r="B51" s="44" t="s">
        <v>309</v>
      </c>
    </row>
    <row r="52" spans="1:2" x14ac:dyDescent="0.25">
      <c r="A52" s="44" t="s">
        <v>60</v>
      </c>
      <c r="B52" s="44" t="s">
        <v>310</v>
      </c>
    </row>
    <row r="53" spans="1:2" x14ac:dyDescent="0.25">
      <c r="A53" s="44" t="s">
        <v>61</v>
      </c>
      <c r="B53" s="33" t="s">
        <v>311</v>
      </c>
    </row>
    <row r="54" spans="1:2" x14ac:dyDescent="0.25">
      <c r="A54" s="33" t="s">
        <v>63</v>
      </c>
      <c r="B54" s="33" t="s">
        <v>312</v>
      </c>
    </row>
    <row r="55" spans="1:2" x14ac:dyDescent="0.25">
      <c r="A55" s="44" t="s">
        <v>62</v>
      </c>
      <c r="B55" s="33" t="s">
        <v>313</v>
      </c>
    </row>
    <row r="56" spans="1:2" x14ac:dyDescent="0.25">
      <c r="A56" s="33" t="s">
        <v>64</v>
      </c>
      <c r="B56" s="33" t="s">
        <v>314</v>
      </c>
    </row>
    <row r="57" spans="1:2" x14ac:dyDescent="0.25">
      <c r="A57" s="33" t="s">
        <v>65</v>
      </c>
      <c r="B57" s="33" t="s">
        <v>315</v>
      </c>
    </row>
    <row r="58" spans="1:2" x14ac:dyDescent="0.25">
      <c r="A58" s="33" t="s">
        <v>66</v>
      </c>
      <c r="B58" s="33" t="s">
        <v>316</v>
      </c>
    </row>
    <row r="59" spans="1:2" x14ac:dyDescent="0.25">
      <c r="A59" s="44" t="s">
        <v>67</v>
      </c>
      <c r="B59" s="33" t="s">
        <v>317</v>
      </c>
    </row>
    <row r="60" spans="1:2" x14ac:dyDescent="0.25">
      <c r="A60" s="33" t="s">
        <v>68</v>
      </c>
      <c r="B60" s="33" t="s">
        <v>318</v>
      </c>
    </row>
    <row r="61" spans="1:2" x14ac:dyDescent="0.25">
      <c r="A61" s="44" t="s">
        <v>69</v>
      </c>
      <c r="B61" s="33" t="s">
        <v>319</v>
      </c>
    </row>
    <row r="62" spans="1:2" x14ac:dyDescent="0.25">
      <c r="A62" s="44" t="s">
        <v>71</v>
      </c>
      <c r="B62" s="33" t="s">
        <v>320</v>
      </c>
    </row>
    <row r="63" spans="1:2" x14ac:dyDescent="0.25">
      <c r="A63" s="44" t="s">
        <v>321</v>
      </c>
      <c r="B63" s="33" t="s">
        <v>322</v>
      </c>
    </row>
    <row r="64" spans="1:2" x14ac:dyDescent="0.25">
      <c r="A64" s="44" t="s">
        <v>0</v>
      </c>
      <c r="B64" s="44" t="s">
        <v>323</v>
      </c>
    </row>
    <row r="65" spans="1:2" x14ac:dyDescent="0.25">
      <c r="A65" s="44" t="s">
        <v>324</v>
      </c>
      <c r="B65" s="44" t="s">
        <v>325</v>
      </c>
    </row>
    <row r="66" spans="1:2" x14ac:dyDescent="0.25">
      <c r="A66" s="44" t="s">
        <v>72</v>
      </c>
      <c r="B66" s="44" t="s">
        <v>326</v>
      </c>
    </row>
    <row r="67" spans="1:2" x14ac:dyDescent="0.25">
      <c r="A67" s="44" t="s">
        <v>73</v>
      </c>
      <c r="B67" s="44" t="s">
        <v>327</v>
      </c>
    </row>
    <row r="68" spans="1:2" x14ac:dyDescent="0.25">
      <c r="A68" s="44" t="s">
        <v>74</v>
      </c>
      <c r="B68" s="44" t="s">
        <v>328</v>
      </c>
    </row>
    <row r="69" spans="1:2" x14ac:dyDescent="0.25">
      <c r="A69" s="44" t="s">
        <v>75</v>
      </c>
      <c r="B69" s="44" t="s">
        <v>329</v>
      </c>
    </row>
    <row r="70" spans="1:2" x14ac:dyDescent="0.25">
      <c r="A70" s="33" t="s">
        <v>330</v>
      </c>
      <c r="B70" s="33" t="s">
        <v>331</v>
      </c>
    </row>
    <row r="71" spans="1:2" x14ac:dyDescent="0.25">
      <c r="A71" s="44" t="s">
        <v>330</v>
      </c>
      <c r="B71" s="33" t="s">
        <v>331</v>
      </c>
    </row>
    <row r="72" spans="1:2" x14ac:dyDescent="0.25">
      <c r="A72" s="44" t="s">
        <v>77</v>
      </c>
      <c r="B72" s="44" t="s">
        <v>332</v>
      </c>
    </row>
    <row r="73" spans="1:2" x14ac:dyDescent="0.25">
      <c r="A73" s="44"/>
      <c r="B73" s="44"/>
    </row>
    <row r="74" spans="1:2" x14ac:dyDescent="0.25">
      <c r="A74" s="44" t="s">
        <v>93</v>
      </c>
      <c r="B74" s="44" t="s">
        <v>333</v>
      </c>
    </row>
    <row r="75" spans="1:2" x14ac:dyDescent="0.25">
      <c r="A75" s="44" t="s">
        <v>94</v>
      </c>
      <c r="B75" s="44" t="s">
        <v>312</v>
      </c>
    </row>
    <row r="76" spans="1:2" x14ac:dyDescent="0.25">
      <c r="A76" s="44" t="s">
        <v>95</v>
      </c>
      <c r="B76" s="44" t="s">
        <v>313</v>
      </c>
    </row>
    <row r="77" spans="1:2" x14ac:dyDescent="0.25">
      <c r="A77" s="44" t="s">
        <v>96</v>
      </c>
      <c r="B77" s="44" t="s">
        <v>308</v>
      </c>
    </row>
    <row r="78" spans="1:2" x14ac:dyDescent="0.25">
      <c r="A78" s="44" t="s">
        <v>97</v>
      </c>
      <c r="B78" s="44" t="s">
        <v>309</v>
      </c>
    </row>
    <row r="79" spans="1:2" x14ac:dyDescent="0.25">
      <c r="A79" s="44" t="s">
        <v>98</v>
      </c>
      <c r="B79" s="44" t="s">
        <v>310</v>
      </c>
    </row>
    <row r="80" spans="1:2" x14ac:dyDescent="0.25">
      <c r="A80" s="44" t="s">
        <v>99</v>
      </c>
      <c r="B80" s="44" t="s">
        <v>334</v>
      </c>
    </row>
    <row r="81" spans="1:2" x14ac:dyDescent="0.25">
      <c r="A81" s="44" t="s">
        <v>100</v>
      </c>
      <c r="B81" s="44" t="s">
        <v>335</v>
      </c>
    </row>
    <row r="82" spans="1:2" x14ac:dyDescent="0.25">
      <c r="A82" s="44"/>
      <c r="B82" s="44"/>
    </row>
    <row r="83" spans="1:2" x14ac:dyDescent="0.25">
      <c r="A83" s="33" t="s">
        <v>336</v>
      </c>
      <c r="B83" s="44" t="s">
        <v>337</v>
      </c>
    </row>
    <row r="84" spans="1:2" x14ac:dyDescent="0.25">
      <c r="A84" s="3" t="s">
        <v>338</v>
      </c>
      <c r="B84" s="3" t="s">
        <v>339</v>
      </c>
    </row>
    <row r="85" spans="1:2" x14ac:dyDescent="0.25">
      <c r="A85" s="3" t="s">
        <v>70</v>
      </c>
      <c r="B85" s="3" t="s">
        <v>340</v>
      </c>
    </row>
    <row r="86" spans="1:2" x14ac:dyDescent="0.25">
      <c r="A86" s="45" t="s">
        <v>341</v>
      </c>
      <c r="B86" s="45" t="s">
        <v>342</v>
      </c>
    </row>
    <row r="87" spans="1:2" x14ac:dyDescent="0.25">
      <c r="A87" s="3"/>
      <c r="B87" s="3"/>
    </row>
  </sheetData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9">
    <tabColor indexed="29"/>
  </sheetPr>
  <dimension ref="A1:Q59"/>
  <sheetViews>
    <sheetView showGridLines="0" zoomScale="85" workbookViewId="0">
      <selection activeCell="L32" sqref="L32:Q32"/>
    </sheetView>
  </sheetViews>
  <sheetFormatPr defaultColWidth="11.42578125" defaultRowHeight="12.75" x14ac:dyDescent="0.2"/>
  <cols>
    <col min="1" max="1" width="5.28515625" style="22" bestFit="1" customWidth="1"/>
    <col min="2" max="5" width="11.42578125" style="22" customWidth="1"/>
    <col min="6" max="6" width="25.28515625" style="22" customWidth="1"/>
    <col min="7" max="9" width="11.42578125" style="22" customWidth="1"/>
    <col min="10" max="10" width="13.42578125" style="22" bestFit="1" customWidth="1"/>
    <col min="11" max="11" width="40" style="22" bestFit="1" customWidth="1"/>
    <col min="12" max="12" width="32.7109375" style="22" customWidth="1"/>
    <col min="13" max="13" width="11.28515625" style="22" customWidth="1"/>
    <col min="14" max="14" width="9.7109375" style="22" customWidth="1"/>
    <col min="15" max="17" width="8.5703125" style="22" customWidth="1"/>
    <col min="18" max="16384" width="11.42578125" style="22"/>
  </cols>
  <sheetData>
    <row r="1" spans="1:12" x14ac:dyDescent="0.2">
      <c r="A1" s="31" t="s">
        <v>154</v>
      </c>
      <c r="B1" s="32" t="s">
        <v>11</v>
      </c>
      <c r="D1" s="32" t="s">
        <v>87</v>
      </c>
      <c r="E1" s="32" t="s">
        <v>86</v>
      </c>
      <c r="F1" s="32" t="s">
        <v>11</v>
      </c>
      <c r="I1" s="32" t="s">
        <v>155</v>
      </c>
      <c r="J1" s="32" t="s">
        <v>156</v>
      </c>
      <c r="K1" s="32" t="s">
        <v>157</v>
      </c>
      <c r="L1" s="32" t="s">
        <v>158</v>
      </c>
    </row>
    <row r="2" spans="1:12" x14ac:dyDescent="0.2">
      <c r="A2" s="22">
        <v>1</v>
      </c>
      <c r="B2" s="22" t="s">
        <v>159</v>
      </c>
      <c r="D2" s="33"/>
      <c r="E2" s="33"/>
      <c r="F2" s="22" t="s">
        <v>85</v>
      </c>
      <c r="I2" s="22" t="s">
        <v>51</v>
      </c>
      <c r="J2" s="22" t="s">
        <v>160</v>
      </c>
      <c r="K2" s="22" t="s">
        <v>161</v>
      </c>
      <c r="L2" s="22" t="s">
        <v>162</v>
      </c>
    </row>
    <row r="3" spans="1:12" x14ac:dyDescent="0.2">
      <c r="A3" s="22">
        <v>2</v>
      </c>
      <c r="B3" s="22" t="s">
        <v>163</v>
      </c>
      <c r="D3" s="22" t="s">
        <v>57</v>
      </c>
      <c r="E3" s="22" t="s">
        <v>84</v>
      </c>
      <c r="F3" s="22" t="s">
        <v>83</v>
      </c>
      <c r="I3" s="22" t="s">
        <v>51</v>
      </c>
      <c r="J3" s="22" t="s">
        <v>164</v>
      </c>
      <c r="K3" s="22" t="s">
        <v>165</v>
      </c>
      <c r="L3" s="22" t="s">
        <v>166</v>
      </c>
    </row>
    <row r="4" spans="1:12" x14ac:dyDescent="0.2">
      <c r="A4" s="22">
        <v>3</v>
      </c>
      <c r="B4" s="22" t="s">
        <v>167</v>
      </c>
      <c r="D4" s="22" t="s">
        <v>82</v>
      </c>
      <c r="E4" s="22" t="s">
        <v>81</v>
      </c>
      <c r="F4" s="22" t="s">
        <v>80</v>
      </c>
      <c r="I4" s="22" t="s">
        <v>39</v>
      </c>
      <c r="J4" s="22" t="s">
        <v>168</v>
      </c>
      <c r="K4" s="22" t="s">
        <v>169</v>
      </c>
      <c r="L4" s="22" t="s">
        <v>170</v>
      </c>
    </row>
    <row r="5" spans="1:12" x14ac:dyDescent="0.2">
      <c r="A5" s="22">
        <v>4</v>
      </c>
      <c r="B5" s="22" t="s">
        <v>171</v>
      </c>
      <c r="D5" s="22" t="s">
        <v>56</v>
      </c>
      <c r="E5" s="22" t="s">
        <v>79</v>
      </c>
      <c r="F5" s="22" t="s">
        <v>78</v>
      </c>
      <c r="I5" s="22" t="s">
        <v>52</v>
      </c>
      <c r="J5" s="22" t="s">
        <v>172</v>
      </c>
      <c r="K5" s="22" t="s">
        <v>173</v>
      </c>
      <c r="L5" s="22" t="s">
        <v>170</v>
      </c>
    </row>
    <row r="6" spans="1:12" x14ac:dyDescent="0.2">
      <c r="A6" s="22">
        <v>5</v>
      </c>
      <c r="B6" s="22" t="s">
        <v>174</v>
      </c>
      <c r="I6" s="22" t="s">
        <v>53</v>
      </c>
      <c r="K6" s="22" t="s">
        <v>175</v>
      </c>
    </row>
    <row r="7" spans="1:12" x14ac:dyDescent="0.2">
      <c r="A7" s="22">
        <v>6</v>
      </c>
      <c r="B7" s="22" t="s">
        <v>176</v>
      </c>
      <c r="I7" s="22" t="s">
        <v>54</v>
      </c>
      <c r="K7" s="22" t="s">
        <v>177</v>
      </c>
    </row>
    <row r="8" spans="1:12" x14ac:dyDescent="0.2">
      <c r="A8" s="22">
        <v>7</v>
      </c>
      <c r="B8" s="22" t="s">
        <v>178</v>
      </c>
      <c r="I8" s="22" t="s">
        <v>55</v>
      </c>
      <c r="K8" s="22" t="s">
        <v>179</v>
      </c>
    </row>
    <row r="9" spans="1:12" x14ac:dyDescent="0.2">
      <c r="A9" s="22">
        <v>8</v>
      </c>
      <c r="B9" s="22" t="s">
        <v>180</v>
      </c>
      <c r="E9" s="34"/>
      <c r="I9" s="22" t="s">
        <v>55</v>
      </c>
      <c r="K9" s="22" t="s">
        <v>181</v>
      </c>
    </row>
    <row r="10" spans="1:12" x14ac:dyDescent="0.2">
      <c r="A10" s="22">
        <v>9</v>
      </c>
      <c r="B10" s="22" t="s">
        <v>182</v>
      </c>
    </row>
    <row r="11" spans="1:12" x14ac:dyDescent="0.2">
      <c r="A11" s="22">
        <v>10</v>
      </c>
      <c r="B11" s="22" t="s">
        <v>183</v>
      </c>
    </row>
    <row r="12" spans="1:12" x14ac:dyDescent="0.2">
      <c r="A12" s="22">
        <v>11</v>
      </c>
      <c r="B12" s="22" t="s">
        <v>184</v>
      </c>
    </row>
    <row r="13" spans="1:12" x14ac:dyDescent="0.2">
      <c r="A13" s="22">
        <v>12</v>
      </c>
      <c r="B13" s="22" t="s">
        <v>185</v>
      </c>
    </row>
    <row r="14" spans="1:12" x14ac:dyDescent="0.2">
      <c r="A14" s="22">
        <v>13</v>
      </c>
      <c r="B14" s="22" t="s">
        <v>186</v>
      </c>
    </row>
    <row r="15" spans="1:12" x14ac:dyDescent="0.2">
      <c r="A15" s="22">
        <v>14</v>
      </c>
      <c r="B15" s="22" t="s">
        <v>187</v>
      </c>
    </row>
    <row r="16" spans="1:12" x14ac:dyDescent="0.2">
      <c r="A16" s="22">
        <v>15</v>
      </c>
      <c r="B16" s="22" t="s">
        <v>188</v>
      </c>
    </row>
    <row r="17" spans="1:17" x14ac:dyDescent="0.2">
      <c r="A17" s="22">
        <v>16</v>
      </c>
      <c r="B17" s="22" t="s">
        <v>189</v>
      </c>
      <c r="D17" s="35" t="s">
        <v>190</v>
      </c>
    </row>
    <row r="18" spans="1:17" x14ac:dyDescent="0.2">
      <c r="A18" s="22">
        <v>17</v>
      </c>
      <c r="B18" s="22" t="s">
        <v>191</v>
      </c>
      <c r="D18" s="36" t="s">
        <v>142</v>
      </c>
    </row>
    <row r="19" spans="1:17" x14ac:dyDescent="0.2">
      <c r="A19" s="22">
        <v>18</v>
      </c>
      <c r="B19" s="22" t="s">
        <v>192</v>
      </c>
      <c r="D19" s="36" t="s">
        <v>141</v>
      </c>
    </row>
    <row r="20" spans="1:17" x14ac:dyDescent="0.2">
      <c r="A20" s="22">
        <v>19</v>
      </c>
      <c r="B20" s="22" t="s">
        <v>193</v>
      </c>
    </row>
    <row r="21" spans="1:17" x14ac:dyDescent="0.2">
      <c r="A21" s="22">
        <v>20</v>
      </c>
      <c r="B21" s="22" t="s">
        <v>194</v>
      </c>
    </row>
    <row r="22" spans="1:17" x14ac:dyDescent="0.2">
      <c r="A22" s="22">
        <v>99</v>
      </c>
      <c r="B22" s="22" t="s">
        <v>195</v>
      </c>
    </row>
    <row r="23" spans="1:17" x14ac:dyDescent="0.2">
      <c r="A23" s="22">
        <v>101</v>
      </c>
      <c r="B23" s="22" t="s">
        <v>196</v>
      </c>
      <c r="M23" s="37"/>
    </row>
    <row r="24" spans="1:17" x14ac:dyDescent="0.2">
      <c r="A24" s="22">
        <v>103</v>
      </c>
      <c r="B24" s="22" t="s">
        <v>197</v>
      </c>
      <c r="M24" s="37"/>
    </row>
    <row r="25" spans="1:17" x14ac:dyDescent="0.2">
      <c r="A25" s="22">
        <v>104</v>
      </c>
      <c r="B25" s="22" t="s">
        <v>198</v>
      </c>
      <c r="M25" s="24">
        <f>MIN(SapExlData[Ønsk.levDa])</f>
        <v>41275</v>
      </c>
    </row>
    <row r="26" spans="1:17" x14ac:dyDescent="0.2">
      <c r="A26" s="22">
        <v>105</v>
      </c>
      <c r="B26" s="22" t="s">
        <v>199</v>
      </c>
    </row>
    <row r="27" spans="1:17" x14ac:dyDescent="0.2">
      <c r="A27" s="22">
        <v>106</v>
      </c>
      <c r="B27" s="22" t="s">
        <v>200</v>
      </c>
    </row>
    <row r="28" spans="1:17" x14ac:dyDescent="0.2">
      <c r="A28" s="22">
        <v>107</v>
      </c>
      <c r="B28" s="22" t="s">
        <v>201</v>
      </c>
      <c r="L28" s="38" t="str">
        <f>"Ordreverdier 1.000 NOK "&amp;TEXT($M$25,"dd.mm.åååå")</f>
        <v>Ordreverdier 1.000 NOK 01.01.2013</v>
      </c>
      <c r="M28" s="39" t="s">
        <v>202</v>
      </c>
      <c r="N28" s="39" t="s">
        <v>203</v>
      </c>
      <c r="O28" s="39" t="s">
        <v>204</v>
      </c>
      <c r="P28" s="39" t="s">
        <v>454</v>
      </c>
      <c r="Q28" s="39" t="s">
        <v>455</v>
      </c>
    </row>
    <row r="29" spans="1:17" x14ac:dyDescent="0.2">
      <c r="A29" s="22">
        <v>108</v>
      </c>
      <c r="B29" s="22" t="s">
        <v>205</v>
      </c>
      <c r="L29" s="28" t="s">
        <v>451</v>
      </c>
      <c r="M29" s="28" t="e">
        <f>GETPIVOTDATA("Ordre_Verdi ",Verdi!$A$16,"Ønsk.levDa",$M$25,"Hoved kjede",$L29)/1000</f>
        <v>#REF!</v>
      </c>
      <c r="N29" s="28" t="e">
        <f>GETPIVOTDATA("Bekr_Verdi ",Verdi!$A$16,"Ønsk.levDa",$M$25,"Hoved kjede",$L29)/1000</f>
        <v>#REF!</v>
      </c>
      <c r="O29" s="28" t="e">
        <f>GETPIVOTDATA("Lever_Verdi ",Verdi!$A$16,"Ønsk.levDa",$M$25,"Hoved kjede",$L29)/1000</f>
        <v>#REF!</v>
      </c>
      <c r="P29" s="40" t="e">
        <f>GETPIVOTDATA("Bekr_SL ",Verdi!$A$16,"Ønsk.levDa",$M$25,"Hoved kjede",$L29)</f>
        <v>#REF!</v>
      </c>
      <c r="Q29" s="40" t="e">
        <f>GETPIVOTDATA("Lever_SL ",Verdi!$A$16,"Ønsk.levDa",$M$25,"Hoved kjede",$L29)</f>
        <v>#REF!</v>
      </c>
    </row>
    <row r="30" spans="1:17" x14ac:dyDescent="0.2">
      <c r="A30" s="22">
        <v>109</v>
      </c>
      <c r="B30" s="22" t="s">
        <v>206</v>
      </c>
      <c r="L30" s="28" t="s">
        <v>452</v>
      </c>
      <c r="M30" s="28" t="e">
        <f>GETPIVOTDATA("Ordre_Verdi ",Verdi!$A$16,"Ønsk.levDa",$M$25,"Hoved kjede",$L30)/1000</f>
        <v>#REF!</v>
      </c>
      <c r="N30" s="28" t="e">
        <f>GETPIVOTDATA("Bekr_Verdi ",Verdi!$A$16,"Ønsk.levDa",$M$25,"Hoved kjede",$L30)/1000</f>
        <v>#REF!</v>
      </c>
      <c r="O30" s="28" t="e">
        <f>GETPIVOTDATA("Lever_Verdi ",Verdi!$A$16,"Ønsk.levDa",$M$25,"Hoved kjede",$L30)/1000</f>
        <v>#REF!</v>
      </c>
      <c r="P30" s="40" t="e">
        <f>GETPIVOTDATA("Bekr_SL ",Verdi!$A$16,"Ønsk.levDa",$M$25,"Hoved kjede",$L30)</f>
        <v>#REF!</v>
      </c>
      <c r="Q30" s="40" t="e">
        <f>GETPIVOTDATA("Lever_SL ",Verdi!$A$16,"Ønsk.levDa",$M$25,"Hoved kjede",$L30)</f>
        <v>#REF!</v>
      </c>
    </row>
    <row r="31" spans="1:17" x14ac:dyDescent="0.2">
      <c r="A31" s="22">
        <v>110</v>
      </c>
      <c r="B31" s="22" t="s">
        <v>207</v>
      </c>
      <c r="L31" s="28" t="s">
        <v>262</v>
      </c>
      <c r="M31" s="28">
        <f>GETPIVOTDATA("Ordre_Verdi ",Verdi!$A$16,"Ønsk.levDa",$M$25,"Hoved kjede",$L31)/1000</f>
        <v>0</v>
      </c>
      <c r="N31" s="28">
        <f>GETPIVOTDATA("Bekr_Verdi ",Verdi!$A$16,"Ønsk.levDa",$M$25,"Hoved kjede",$L31)/1000</f>
        <v>0</v>
      </c>
      <c r="O31" s="28">
        <f>GETPIVOTDATA("Lever_Verdi ",Verdi!$A$16,"Ønsk.levDa",$M$25,"Hoved kjede",$L31)/1000</f>
        <v>0</v>
      </c>
      <c r="P31" s="40">
        <f>GETPIVOTDATA("Bekr_SL ",Verdi!$A$16,"Ønsk.levDa",$M$25,"Hoved kjede",$L31)</f>
        <v>0</v>
      </c>
      <c r="Q31" s="40">
        <f>GETPIVOTDATA("Lever_SL ",Verdi!$A$16,"Ønsk.levDa",$M$25,"Hoved kjede",$L31)</f>
        <v>0</v>
      </c>
    </row>
    <row r="32" spans="1:17" x14ac:dyDescent="0.2">
      <c r="A32" s="22">
        <v>111</v>
      </c>
      <c r="B32" s="22" t="s">
        <v>139</v>
      </c>
      <c r="L32" s="23" t="s">
        <v>209</v>
      </c>
      <c r="M32" s="28">
        <f>GETPIVOTDATA("Ordre_Verdi ",Verdi!$A$16,"Ønsk.levDa",$M$25)/1000</f>
        <v>0</v>
      </c>
      <c r="N32" s="28">
        <f>GETPIVOTDATA("Bekr_Verdi ",Verdi!$A$16,"Ønsk.levDa",$M$25)/1000</f>
        <v>0</v>
      </c>
      <c r="O32" s="28">
        <f>GETPIVOTDATA("Lever_Verdi ",Verdi!$A$16,"Ønsk.levDa",$M$25)/1000</f>
        <v>0</v>
      </c>
      <c r="P32" s="40">
        <f>GETPIVOTDATA("Bekr_SL ",Verdi!$A$16,"Ønsk.levDa",$M$25)</f>
        <v>0</v>
      </c>
      <c r="Q32" s="40">
        <f>GETPIVOTDATA("Lever_SL ",Verdi!$A$16,"Ønsk.levDa",$M$25)</f>
        <v>0</v>
      </c>
    </row>
    <row r="33" spans="1:2" x14ac:dyDescent="0.2">
      <c r="A33" s="22">
        <v>112</v>
      </c>
      <c r="B33" s="22" t="s">
        <v>208</v>
      </c>
    </row>
    <row r="34" spans="1:2" x14ac:dyDescent="0.2">
      <c r="A34" s="22">
        <v>113</v>
      </c>
      <c r="B34" s="22" t="s">
        <v>210</v>
      </c>
    </row>
    <row r="35" spans="1:2" x14ac:dyDescent="0.2">
      <c r="A35" s="22">
        <v>114</v>
      </c>
      <c r="B35" s="22" t="s">
        <v>211</v>
      </c>
    </row>
    <row r="36" spans="1:2" x14ac:dyDescent="0.2">
      <c r="A36" s="22">
        <v>115</v>
      </c>
      <c r="B36" s="22" t="s">
        <v>212</v>
      </c>
    </row>
    <row r="37" spans="1:2" x14ac:dyDescent="0.2">
      <c r="A37" s="22">
        <v>116</v>
      </c>
      <c r="B37" s="22" t="s">
        <v>213</v>
      </c>
    </row>
    <row r="38" spans="1:2" x14ac:dyDescent="0.2">
      <c r="A38" s="22">
        <v>117</v>
      </c>
      <c r="B38" s="22" t="s">
        <v>214</v>
      </c>
    </row>
    <row r="39" spans="1:2" x14ac:dyDescent="0.2">
      <c r="A39" s="22">
        <v>118</v>
      </c>
      <c r="B39" s="22" t="s">
        <v>215</v>
      </c>
    </row>
    <row r="40" spans="1:2" x14ac:dyDescent="0.2">
      <c r="A40" s="22">
        <v>119</v>
      </c>
      <c r="B40" s="22" t="s">
        <v>216</v>
      </c>
    </row>
    <row r="41" spans="1:2" x14ac:dyDescent="0.2">
      <c r="A41" s="22">
        <v>120</v>
      </c>
      <c r="B41" s="22" t="s">
        <v>217</v>
      </c>
    </row>
    <row r="42" spans="1:2" x14ac:dyDescent="0.2">
      <c r="A42" s="22">
        <v>121</v>
      </c>
      <c r="B42" s="22" t="s">
        <v>218</v>
      </c>
    </row>
    <row r="43" spans="1:2" x14ac:dyDescent="0.2">
      <c r="A43" s="22">
        <v>122</v>
      </c>
      <c r="B43" s="22" t="s">
        <v>219</v>
      </c>
    </row>
    <row r="44" spans="1:2" x14ac:dyDescent="0.2">
      <c r="A44" s="22">
        <v>123</v>
      </c>
      <c r="B44" s="22" t="s">
        <v>102</v>
      </c>
    </row>
    <row r="45" spans="1:2" x14ac:dyDescent="0.2">
      <c r="A45" s="22">
        <v>124</v>
      </c>
      <c r="B45" s="22" t="s">
        <v>220</v>
      </c>
    </row>
    <row r="46" spans="1:2" x14ac:dyDescent="0.2">
      <c r="A46" s="22">
        <v>125</v>
      </c>
      <c r="B46" s="22" t="s">
        <v>221</v>
      </c>
    </row>
    <row r="47" spans="1:2" x14ac:dyDescent="0.2">
      <c r="A47" s="22">
        <v>126</v>
      </c>
      <c r="B47" s="22" t="s">
        <v>222</v>
      </c>
    </row>
    <row r="48" spans="1:2" x14ac:dyDescent="0.2">
      <c r="A48" s="22">
        <v>127</v>
      </c>
      <c r="B48" s="22" t="s">
        <v>223</v>
      </c>
    </row>
    <row r="49" spans="1:2" x14ac:dyDescent="0.2">
      <c r="A49" s="22">
        <v>128</v>
      </c>
      <c r="B49" s="22" t="s">
        <v>101</v>
      </c>
    </row>
    <row r="50" spans="1:2" x14ac:dyDescent="0.2">
      <c r="A50" s="22">
        <v>129</v>
      </c>
      <c r="B50" s="22" t="s">
        <v>159</v>
      </c>
    </row>
    <row r="51" spans="1:2" x14ac:dyDescent="0.2">
      <c r="A51" s="22">
        <v>130</v>
      </c>
      <c r="B51" s="22" t="s">
        <v>224</v>
      </c>
    </row>
    <row r="52" spans="1:2" x14ac:dyDescent="0.2">
      <c r="A52" s="22">
        <v>131</v>
      </c>
      <c r="B52" s="22" t="s">
        <v>225</v>
      </c>
    </row>
    <row r="53" spans="1:2" x14ac:dyDescent="0.2">
      <c r="A53" s="22">
        <v>132</v>
      </c>
      <c r="B53" s="22" t="s">
        <v>226</v>
      </c>
    </row>
    <row r="54" spans="1:2" x14ac:dyDescent="0.2">
      <c r="A54" s="22">
        <v>133</v>
      </c>
      <c r="B54" s="22" t="s">
        <v>227</v>
      </c>
    </row>
    <row r="55" spans="1:2" x14ac:dyDescent="0.2">
      <c r="A55" s="22">
        <v>134</v>
      </c>
      <c r="B55" s="22" t="s">
        <v>228</v>
      </c>
    </row>
    <row r="56" spans="1:2" x14ac:dyDescent="0.2">
      <c r="A56" s="22">
        <v>135</v>
      </c>
      <c r="B56" s="22" t="s">
        <v>229</v>
      </c>
    </row>
    <row r="57" spans="1:2" x14ac:dyDescent="0.2">
      <c r="A57" s="22">
        <v>200</v>
      </c>
      <c r="B57" s="22" t="s">
        <v>230</v>
      </c>
    </row>
    <row r="58" spans="1:2" x14ac:dyDescent="0.2">
      <c r="A58" s="22">
        <v>201</v>
      </c>
      <c r="B58" s="22" t="s">
        <v>231</v>
      </c>
    </row>
    <row r="59" spans="1:2" x14ac:dyDescent="0.2">
      <c r="A59" s="22">
        <v>203</v>
      </c>
      <c r="B59" s="22" t="s">
        <v>232</v>
      </c>
    </row>
  </sheetData>
  <pageMargins left="0.75" right="0.75" top="1" bottom="1" header="0.5" footer="0.5"/>
  <pageSetup paperSize="9" orientation="portrait" verticalDpi="1200" r:id="rId1"/>
  <headerFooter alignWithMargins="0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FF8080"/>
  </sheetPr>
  <dimension ref="A1:AG76"/>
  <sheetViews>
    <sheetView workbookViewId="0"/>
  </sheetViews>
  <sheetFormatPr defaultRowHeight="15" x14ac:dyDescent="0.25"/>
  <cols>
    <col min="1" max="1" width="11" customWidth="1"/>
    <col min="2" max="2" width="11.28515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71093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7109375" customWidth="1"/>
    <col min="25" max="51" width="12" customWidth="1"/>
  </cols>
  <sheetData>
    <row r="1" spans="1:33" x14ac:dyDescent="0.25">
      <c r="A1" t="s">
        <v>105</v>
      </c>
      <c r="B1" t="s">
        <v>3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126</v>
      </c>
      <c r="X1" t="s">
        <v>127</v>
      </c>
      <c r="Y1" t="s">
        <v>128</v>
      </c>
      <c r="Z1" t="s">
        <v>129</v>
      </c>
      <c r="AA1" t="s">
        <v>130</v>
      </c>
      <c r="AB1" t="s">
        <v>131</v>
      </c>
      <c r="AC1" t="s">
        <v>132</v>
      </c>
      <c r="AD1" t="s">
        <v>133</v>
      </c>
      <c r="AE1" t="s">
        <v>134</v>
      </c>
      <c r="AF1" t="s">
        <v>135</v>
      </c>
      <c r="AG1" t="s">
        <v>136</v>
      </c>
    </row>
    <row r="2" spans="1:33" x14ac:dyDescent="0.25">
      <c r="A2" s="10"/>
      <c r="C2" s="10"/>
      <c r="D2" s="10"/>
      <c r="E2" s="10"/>
      <c r="F2" s="10"/>
      <c r="G2" s="10"/>
      <c r="H2" s="10"/>
      <c r="I2" s="10"/>
      <c r="L2" s="10"/>
      <c r="M2" s="10"/>
      <c r="N2" s="10"/>
      <c r="O2" s="10"/>
      <c r="P2" s="10"/>
      <c r="Q2" s="10"/>
      <c r="R2" s="10"/>
      <c r="S2" s="10"/>
      <c r="U2" s="10"/>
      <c r="V2" s="10"/>
      <c r="W2" s="10"/>
      <c r="X2" s="10"/>
      <c r="AA2" s="10"/>
      <c r="AE2" s="10"/>
      <c r="AF2" s="10"/>
    </row>
    <row r="3" spans="1:33" x14ac:dyDescent="0.25">
      <c r="D3" s="10"/>
      <c r="E3" s="10"/>
      <c r="G3" s="10"/>
      <c r="H3" s="10"/>
      <c r="L3" s="10"/>
      <c r="M3" s="10"/>
      <c r="N3" s="10"/>
      <c r="O3" s="10"/>
      <c r="Q3" s="10"/>
      <c r="R3" s="10"/>
      <c r="S3" s="10"/>
      <c r="U3" s="10"/>
    </row>
    <row r="4" spans="1:33" x14ac:dyDescent="0.25">
      <c r="D4" s="10"/>
      <c r="E4" s="10"/>
      <c r="G4" s="10"/>
      <c r="H4" s="10"/>
      <c r="L4" s="10"/>
      <c r="M4" s="10"/>
      <c r="N4" s="10"/>
      <c r="O4" s="10"/>
      <c r="Q4" s="10"/>
      <c r="R4" s="10"/>
      <c r="S4" s="10"/>
      <c r="U4" s="10"/>
    </row>
    <row r="5" spans="1:33" x14ac:dyDescent="0.25">
      <c r="D5" s="10"/>
      <c r="E5" s="10"/>
      <c r="G5" s="10"/>
      <c r="H5" s="10"/>
      <c r="L5" s="10"/>
      <c r="M5" s="10"/>
      <c r="N5" s="10"/>
      <c r="O5" s="10"/>
      <c r="Q5" s="10"/>
      <c r="R5" s="10"/>
      <c r="S5" s="10"/>
      <c r="U5" s="10"/>
    </row>
    <row r="6" spans="1:33" x14ac:dyDescent="0.25">
      <c r="D6" s="10"/>
      <c r="E6" s="10"/>
      <c r="G6" s="10"/>
      <c r="H6" s="10"/>
      <c r="L6" s="10"/>
      <c r="M6" s="10"/>
      <c r="N6" s="10"/>
      <c r="O6" s="10"/>
      <c r="Q6" s="10"/>
      <c r="R6" s="10"/>
      <c r="S6" s="10"/>
      <c r="U6" s="10"/>
    </row>
    <row r="7" spans="1:33" x14ac:dyDescent="0.25">
      <c r="D7" s="10"/>
      <c r="E7" s="10"/>
      <c r="G7" s="10"/>
      <c r="H7" s="10"/>
      <c r="L7" s="10"/>
      <c r="M7" s="10"/>
      <c r="N7" s="10"/>
      <c r="O7" s="10"/>
      <c r="Q7" s="10"/>
      <c r="R7" s="10"/>
      <c r="S7" s="10"/>
      <c r="U7" s="10"/>
    </row>
    <row r="8" spans="1:33" x14ac:dyDescent="0.25">
      <c r="D8" s="10"/>
      <c r="E8" s="10"/>
      <c r="G8" s="10"/>
      <c r="H8" s="10"/>
      <c r="L8" s="10"/>
      <c r="M8" s="10"/>
      <c r="N8" s="10"/>
      <c r="O8" s="10"/>
      <c r="Q8" s="10"/>
      <c r="R8" s="10"/>
      <c r="S8" s="10"/>
      <c r="U8" s="10"/>
    </row>
    <row r="9" spans="1:33" x14ac:dyDescent="0.25">
      <c r="D9" s="10"/>
      <c r="E9" s="10"/>
      <c r="G9" s="10"/>
      <c r="H9" s="10"/>
      <c r="L9" s="10"/>
      <c r="M9" s="10"/>
      <c r="N9" s="10"/>
      <c r="O9" s="10"/>
      <c r="Q9" s="10"/>
      <c r="R9" s="10"/>
      <c r="S9" s="10"/>
      <c r="U9" s="10"/>
    </row>
    <row r="10" spans="1:33" x14ac:dyDescent="0.25">
      <c r="D10" s="10"/>
      <c r="E10" s="10"/>
      <c r="G10" s="10"/>
      <c r="H10" s="10"/>
      <c r="L10" s="10"/>
      <c r="M10" s="10"/>
      <c r="N10" s="10"/>
      <c r="O10" s="10"/>
      <c r="Q10" s="10"/>
      <c r="R10" s="10"/>
      <c r="S10" s="10"/>
      <c r="U10" s="10"/>
    </row>
    <row r="11" spans="1:33" x14ac:dyDescent="0.25">
      <c r="D11" s="10"/>
      <c r="E11" s="10"/>
      <c r="G11" s="10"/>
      <c r="H11" s="10"/>
      <c r="L11" s="10"/>
      <c r="M11" s="10"/>
      <c r="N11" s="10"/>
      <c r="O11" s="10"/>
      <c r="Q11" s="10"/>
      <c r="R11" s="10"/>
      <c r="S11" s="10"/>
      <c r="U11" s="10"/>
    </row>
    <row r="12" spans="1:33" x14ac:dyDescent="0.25">
      <c r="D12" s="10"/>
      <c r="E12" s="10"/>
      <c r="G12" s="10"/>
      <c r="H12" s="10"/>
      <c r="L12" s="10"/>
      <c r="M12" s="10"/>
      <c r="N12" s="10"/>
      <c r="O12" s="10"/>
      <c r="Q12" s="10"/>
      <c r="R12" s="10"/>
      <c r="S12" s="10"/>
      <c r="U12" s="10"/>
    </row>
    <row r="13" spans="1:33" x14ac:dyDescent="0.25">
      <c r="D13" s="10"/>
      <c r="E13" s="10"/>
      <c r="G13" s="10"/>
      <c r="H13" s="10"/>
      <c r="L13" s="10"/>
      <c r="M13" s="10"/>
      <c r="N13" s="10"/>
      <c r="O13" s="10"/>
      <c r="Q13" s="10"/>
      <c r="R13" s="10"/>
      <c r="S13" s="10"/>
      <c r="U13" s="10"/>
    </row>
    <row r="14" spans="1:33" x14ac:dyDescent="0.25">
      <c r="D14" s="10"/>
      <c r="E14" s="10"/>
      <c r="G14" s="10"/>
      <c r="H14" s="10"/>
      <c r="L14" s="10"/>
      <c r="M14" s="10"/>
      <c r="N14" s="10"/>
      <c r="O14" s="10"/>
      <c r="Q14" s="10"/>
      <c r="R14" s="10"/>
      <c r="S14" s="10"/>
      <c r="U14" s="10"/>
    </row>
    <row r="15" spans="1:33" x14ac:dyDescent="0.25">
      <c r="D15" s="10"/>
      <c r="E15" s="10"/>
      <c r="G15" s="10"/>
      <c r="H15" s="10"/>
      <c r="L15" s="10"/>
      <c r="M15" s="10"/>
      <c r="N15" s="10"/>
      <c r="O15" s="10"/>
      <c r="Q15" s="10"/>
      <c r="R15" s="10"/>
      <c r="S15" s="10"/>
      <c r="U15" s="10"/>
    </row>
    <row r="16" spans="1:33" x14ac:dyDescent="0.25">
      <c r="D16" s="10"/>
      <c r="E16" s="10"/>
      <c r="G16" s="10"/>
      <c r="H16" s="10"/>
      <c r="L16" s="10"/>
      <c r="M16" s="10"/>
      <c r="N16" s="10"/>
      <c r="O16" s="10"/>
      <c r="Q16" s="10"/>
      <c r="R16" s="10"/>
      <c r="S16" s="10"/>
      <c r="U16" s="10"/>
    </row>
    <row r="17" spans="4:21" x14ac:dyDescent="0.25">
      <c r="D17" s="10"/>
      <c r="E17" s="10"/>
      <c r="G17" s="10"/>
      <c r="H17" s="10"/>
      <c r="L17" s="10"/>
      <c r="M17" s="10"/>
      <c r="N17" s="10"/>
      <c r="O17" s="10"/>
      <c r="Q17" s="10"/>
      <c r="R17" s="10"/>
      <c r="S17" s="10"/>
      <c r="U17" s="10"/>
    </row>
    <row r="18" spans="4:21" x14ac:dyDescent="0.25">
      <c r="D18" s="10"/>
      <c r="E18" s="10"/>
      <c r="G18" s="10"/>
      <c r="H18" s="10"/>
      <c r="L18" s="10"/>
      <c r="M18" s="10"/>
      <c r="N18" s="10"/>
      <c r="O18" s="10"/>
      <c r="Q18" s="10"/>
      <c r="R18" s="10"/>
      <c r="S18" s="10"/>
      <c r="U18" s="10"/>
    </row>
    <row r="19" spans="4:21" x14ac:dyDescent="0.25">
      <c r="D19" s="10"/>
      <c r="E19" s="10"/>
      <c r="G19" s="10"/>
      <c r="H19" s="10"/>
      <c r="L19" s="10"/>
      <c r="M19" s="10"/>
      <c r="N19" s="10"/>
      <c r="O19" s="10"/>
      <c r="Q19" s="10"/>
      <c r="R19" s="10"/>
      <c r="S19" s="10"/>
      <c r="U19" s="10"/>
    </row>
    <row r="20" spans="4:21" x14ac:dyDescent="0.25">
      <c r="D20" s="10"/>
      <c r="E20" s="10"/>
      <c r="G20" s="10"/>
      <c r="H20" s="10"/>
      <c r="L20" s="10"/>
      <c r="M20" s="10"/>
      <c r="N20" s="10"/>
      <c r="O20" s="10"/>
      <c r="Q20" s="10"/>
      <c r="R20" s="10"/>
      <c r="S20" s="10"/>
      <c r="U20" s="10"/>
    </row>
    <row r="21" spans="4:21" x14ac:dyDescent="0.25">
      <c r="D21" s="10"/>
      <c r="E21" s="10"/>
      <c r="G21" s="10"/>
      <c r="H21" s="10"/>
      <c r="L21" s="10"/>
      <c r="M21" s="10"/>
      <c r="N21" s="10"/>
      <c r="O21" s="10"/>
      <c r="Q21" s="10"/>
      <c r="R21" s="10"/>
      <c r="S21" s="10"/>
      <c r="U21" s="10"/>
    </row>
    <row r="22" spans="4:21" x14ac:dyDescent="0.25">
      <c r="D22" s="10"/>
      <c r="E22" s="10"/>
      <c r="G22" s="10"/>
      <c r="H22" s="10"/>
      <c r="L22" s="10"/>
      <c r="M22" s="10"/>
      <c r="N22" s="10"/>
      <c r="O22" s="10"/>
      <c r="Q22" s="10"/>
      <c r="R22" s="10"/>
      <c r="S22" s="10"/>
      <c r="U22" s="10"/>
    </row>
    <row r="23" spans="4:21" x14ac:dyDescent="0.25">
      <c r="D23" s="10"/>
      <c r="E23" s="10"/>
      <c r="G23" s="10"/>
      <c r="H23" s="10"/>
      <c r="L23" s="10"/>
      <c r="M23" s="10"/>
      <c r="N23" s="10"/>
      <c r="O23" s="10"/>
      <c r="Q23" s="10"/>
      <c r="R23" s="10"/>
      <c r="S23" s="10"/>
      <c r="U23" s="10"/>
    </row>
    <row r="24" spans="4:21" x14ac:dyDescent="0.25">
      <c r="D24" s="10"/>
      <c r="E24" s="10"/>
      <c r="G24" s="10"/>
      <c r="H24" s="10"/>
      <c r="L24" s="10"/>
      <c r="M24" s="10"/>
      <c r="N24" s="10"/>
      <c r="O24" s="10"/>
      <c r="Q24" s="10"/>
      <c r="R24" s="10"/>
      <c r="S24" s="10"/>
      <c r="U24" s="10"/>
    </row>
    <row r="25" spans="4:21" x14ac:dyDescent="0.25">
      <c r="D25" s="10"/>
      <c r="E25" s="10"/>
      <c r="G25" s="10"/>
      <c r="H25" s="10"/>
      <c r="L25" s="10"/>
      <c r="M25" s="10"/>
      <c r="N25" s="10"/>
      <c r="O25" s="10"/>
      <c r="Q25" s="10"/>
      <c r="R25" s="10"/>
      <c r="S25" s="10"/>
      <c r="U25" s="10"/>
    </row>
    <row r="26" spans="4:21" x14ac:dyDescent="0.25">
      <c r="D26" s="10"/>
      <c r="E26" s="10"/>
      <c r="G26" s="10"/>
      <c r="H26" s="10"/>
      <c r="L26" s="10"/>
      <c r="M26" s="10"/>
      <c r="N26" s="10"/>
      <c r="O26" s="10"/>
      <c r="Q26" s="10"/>
      <c r="R26" s="10"/>
      <c r="S26" s="10"/>
      <c r="U26" s="10"/>
    </row>
    <row r="27" spans="4:21" x14ac:dyDescent="0.25">
      <c r="D27" s="10"/>
      <c r="E27" s="10"/>
      <c r="G27" s="10"/>
      <c r="H27" s="10"/>
      <c r="L27" s="10"/>
      <c r="M27" s="10"/>
      <c r="N27" s="10"/>
      <c r="O27" s="10"/>
      <c r="Q27" s="10"/>
      <c r="R27" s="10"/>
      <c r="S27" s="10"/>
      <c r="U27" s="10"/>
    </row>
    <row r="28" spans="4:21" x14ac:dyDescent="0.25">
      <c r="D28" s="10"/>
      <c r="E28" s="10"/>
      <c r="G28" s="10"/>
      <c r="H28" s="10"/>
      <c r="L28" s="10"/>
      <c r="M28" s="10"/>
      <c r="N28" s="10"/>
      <c r="O28" s="10"/>
      <c r="Q28" s="10"/>
      <c r="R28" s="10"/>
      <c r="S28" s="10"/>
      <c r="U28" s="10"/>
    </row>
    <row r="29" spans="4:21" x14ac:dyDescent="0.25">
      <c r="D29" s="10"/>
      <c r="E29" s="10"/>
      <c r="G29" s="10"/>
      <c r="H29" s="10"/>
      <c r="L29" s="10"/>
      <c r="M29" s="10"/>
      <c r="N29" s="10"/>
      <c r="O29" s="10"/>
      <c r="Q29" s="10"/>
      <c r="R29" s="10"/>
      <c r="S29" s="10"/>
      <c r="U29" s="10"/>
    </row>
    <row r="30" spans="4:21" x14ac:dyDescent="0.25">
      <c r="D30" s="10"/>
      <c r="E30" s="10"/>
      <c r="G30" s="10"/>
      <c r="H30" s="10"/>
      <c r="L30" s="10"/>
      <c r="M30" s="10"/>
      <c r="N30" s="10"/>
      <c r="O30" s="10"/>
      <c r="Q30" s="10"/>
      <c r="R30" s="10"/>
      <c r="S30" s="10"/>
      <c r="U30" s="10"/>
    </row>
    <row r="31" spans="4:21" x14ac:dyDescent="0.25">
      <c r="D31" s="10"/>
      <c r="E31" s="10"/>
      <c r="G31" s="10"/>
      <c r="H31" s="10"/>
      <c r="L31" s="10"/>
      <c r="M31" s="10"/>
      <c r="N31" s="10"/>
      <c r="O31" s="10"/>
      <c r="Q31" s="10"/>
      <c r="R31" s="10"/>
      <c r="S31" s="10"/>
      <c r="U31" s="10"/>
    </row>
    <row r="32" spans="4:21" x14ac:dyDescent="0.25">
      <c r="D32" s="10"/>
      <c r="E32" s="10"/>
      <c r="G32" s="10"/>
      <c r="H32" s="10"/>
      <c r="L32" s="10"/>
      <c r="M32" s="10"/>
      <c r="N32" s="10"/>
      <c r="O32" s="10"/>
      <c r="Q32" s="10"/>
      <c r="R32" s="10"/>
      <c r="S32" s="10"/>
      <c r="U32" s="10"/>
    </row>
    <row r="33" spans="4:21" x14ac:dyDescent="0.25">
      <c r="D33" s="10"/>
      <c r="E33" s="10"/>
      <c r="G33" s="10"/>
      <c r="H33" s="10"/>
      <c r="L33" s="10"/>
      <c r="M33" s="10"/>
      <c r="N33" s="10"/>
      <c r="O33" s="10"/>
      <c r="Q33" s="10"/>
      <c r="R33" s="10"/>
      <c r="S33" s="10"/>
      <c r="U33" s="10"/>
    </row>
    <row r="34" spans="4:21" x14ac:dyDescent="0.25">
      <c r="D34" s="10"/>
      <c r="E34" s="10"/>
      <c r="G34" s="10"/>
      <c r="H34" s="10"/>
      <c r="L34" s="10"/>
      <c r="M34" s="10"/>
      <c r="N34" s="10"/>
      <c r="O34" s="10"/>
      <c r="Q34" s="10"/>
      <c r="R34" s="10"/>
      <c r="S34" s="10"/>
      <c r="U34" s="10"/>
    </row>
    <row r="35" spans="4:21" x14ac:dyDescent="0.25">
      <c r="D35" s="10"/>
      <c r="E35" s="10"/>
      <c r="G35" s="10"/>
      <c r="H35" s="10"/>
      <c r="L35" s="10"/>
      <c r="M35" s="10"/>
      <c r="N35" s="10"/>
      <c r="O35" s="10"/>
      <c r="Q35" s="10"/>
      <c r="R35" s="10"/>
      <c r="S35" s="10"/>
      <c r="U35" s="10"/>
    </row>
    <row r="36" spans="4:21" x14ac:dyDescent="0.25">
      <c r="D36" s="10"/>
      <c r="E36" s="10"/>
      <c r="G36" s="10"/>
      <c r="H36" s="10"/>
      <c r="L36" s="10"/>
      <c r="M36" s="10"/>
      <c r="N36" s="10"/>
      <c r="O36" s="10"/>
      <c r="Q36" s="10"/>
      <c r="R36" s="10"/>
      <c r="S36" s="10"/>
      <c r="U36" s="10"/>
    </row>
    <row r="37" spans="4:21" x14ac:dyDescent="0.25">
      <c r="D37" s="10"/>
      <c r="E37" s="10"/>
      <c r="G37" s="10"/>
      <c r="H37" s="10"/>
      <c r="L37" s="10"/>
      <c r="M37" s="10"/>
      <c r="N37" s="10"/>
      <c r="O37" s="10"/>
      <c r="Q37" s="10"/>
      <c r="R37" s="10"/>
      <c r="S37" s="10"/>
      <c r="U37" s="10"/>
    </row>
    <row r="38" spans="4:21" x14ac:dyDescent="0.25">
      <c r="D38" s="10"/>
      <c r="E38" s="10"/>
      <c r="G38" s="10"/>
      <c r="H38" s="10"/>
      <c r="L38" s="10"/>
      <c r="M38" s="10"/>
      <c r="N38" s="10"/>
      <c r="O38" s="10"/>
      <c r="Q38" s="10"/>
      <c r="R38" s="10"/>
      <c r="S38" s="10"/>
      <c r="U38" s="10"/>
    </row>
    <row r="39" spans="4:21" x14ac:dyDescent="0.25">
      <c r="D39" s="10"/>
      <c r="E39" s="10"/>
      <c r="G39" s="10"/>
      <c r="H39" s="10"/>
      <c r="L39" s="10"/>
      <c r="M39" s="10"/>
      <c r="N39" s="10"/>
      <c r="O39" s="10"/>
      <c r="Q39" s="10"/>
      <c r="R39" s="10"/>
      <c r="S39" s="10"/>
      <c r="U39" s="10"/>
    </row>
    <row r="40" spans="4:21" x14ac:dyDescent="0.25">
      <c r="D40" s="10"/>
      <c r="E40" s="10"/>
      <c r="G40" s="10"/>
      <c r="H40" s="10"/>
      <c r="L40" s="10"/>
      <c r="M40" s="10"/>
      <c r="N40" s="10"/>
      <c r="O40" s="10"/>
      <c r="Q40" s="10"/>
      <c r="R40" s="10"/>
      <c r="S40" s="10"/>
      <c r="U40" s="10"/>
    </row>
    <row r="41" spans="4:21" x14ac:dyDescent="0.25">
      <c r="D41" s="10"/>
      <c r="E41" s="10"/>
      <c r="G41" s="10"/>
      <c r="H41" s="10"/>
      <c r="L41" s="10"/>
      <c r="M41" s="10"/>
      <c r="N41" s="10"/>
      <c r="O41" s="10"/>
      <c r="Q41" s="10"/>
      <c r="R41" s="10"/>
      <c r="S41" s="10"/>
      <c r="U41" s="10"/>
    </row>
    <row r="42" spans="4:21" x14ac:dyDescent="0.25">
      <c r="D42" s="10"/>
      <c r="E42" s="10"/>
      <c r="G42" s="10"/>
      <c r="H42" s="10"/>
      <c r="L42" s="10"/>
      <c r="M42" s="10"/>
      <c r="N42" s="10"/>
      <c r="O42" s="10"/>
      <c r="Q42" s="10"/>
      <c r="R42" s="10"/>
      <c r="S42" s="10"/>
      <c r="U42" s="10"/>
    </row>
    <row r="43" spans="4:21" x14ac:dyDescent="0.25">
      <c r="D43" s="10"/>
      <c r="E43" s="10"/>
      <c r="G43" s="10"/>
      <c r="H43" s="10"/>
      <c r="L43" s="10"/>
      <c r="M43" s="10"/>
      <c r="N43" s="10"/>
      <c r="O43" s="10"/>
      <c r="Q43" s="10"/>
      <c r="R43" s="10"/>
      <c r="S43" s="10"/>
      <c r="U43" s="10"/>
    </row>
    <row r="44" spans="4:21" x14ac:dyDescent="0.25">
      <c r="D44" s="10"/>
      <c r="E44" s="10"/>
      <c r="G44" s="10"/>
      <c r="H44" s="10"/>
      <c r="L44" s="10"/>
      <c r="M44" s="10"/>
      <c r="N44" s="10"/>
      <c r="O44" s="10"/>
      <c r="Q44" s="10"/>
      <c r="R44" s="10"/>
      <c r="S44" s="10"/>
      <c r="U44" s="10"/>
    </row>
    <row r="45" spans="4:21" x14ac:dyDescent="0.25">
      <c r="D45" s="10"/>
      <c r="E45" s="10"/>
      <c r="G45" s="10"/>
      <c r="H45" s="10"/>
      <c r="L45" s="10"/>
      <c r="M45" s="10"/>
      <c r="N45" s="10"/>
      <c r="O45" s="10"/>
      <c r="Q45" s="10"/>
      <c r="R45" s="10"/>
      <c r="S45" s="10"/>
      <c r="U45" s="10"/>
    </row>
    <row r="46" spans="4:21" x14ac:dyDescent="0.25">
      <c r="D46" s="10"/>
      <c r="E46" s="10"/>
      <c r="G46" s="10"/>
      <c r="H46" s="10"/>
      <c r="L46" s="10"/>
      <c r="M46" s="10"/>
      <c r="N46" s="10"/>
      <c r="O46" s="10"/>
      <c r="Q46" s="10"/>
      <c r="R46" s="10"/>
      <c r="S46" s="10"/>
      <c r="U46" s="10"/>
    </row>
    <row r="47" spans="4:21" x14ac:dyDescent="0.25">
      <c r="D47" s="10"/>
      <c r="E47" s="10"/>
      <c r="G47" s="10"/>
      <c r="H47" s="10"/>
      <c r="L47" s="10"/>
      <c r="M47" s="10"/>
      <c r="N47" s="10"/>
      <c r="O47" s="10"/>
      <c r="Q47" s="10"/>
      <c r="R47" s="10"/>
      <c r="S47" s="10"/>
      <c r="U47" s="10"/>
    </row>
    <row r="48" spans="4:21" x14ac:dyDescent="0.25">
      <c r="D48" s="10"/>
      <c r="E48" s="10"/>
      <c r="G48" s="10"/>
      <c r="H48" s="10"/>
      <c r="L48" s="10"/>
      <c r="M48" s="10"/>
      <c r="N48" s="10"/>
      <c r="O48" s="10"/>
      <c r="Q48" s="10"/>
      <c r="R48" s="10"/>
      <c r="S48" s="10"/>
      <c r="U48" s="10"/>
    </row>
    <row r="49" spans="4:21" x14ac:dyDescent="0.25">
      <c r="D49" s="10"/>
      <c r="E49" s="10"/>
      <c r="G49" s="10"/>
      <c r="H49" s="10"/>
      <c r="L49" s="10"/>
      <c r="M49" s="10"/>
      <c r="N49" s="10"/>
      <c r="O49" s="10"/>
      <c r="Q49" s="10"/>
      <c r="R49" s="10"/>
      <c r="S49" s="10"/>
      <c r="U49" s="10"/>
    </row>
    <row r="50" spans="4:21" x14ac:dyDescent="0.25">
      <c r="D50" s="10"/>
      <c r="E50" s="10"/>
      <c r="G50" s="10"/>
      <c r="H50" s="10"/>
      <c r="L50" s="10"/>
      <c r="M50" s="10"/>
      <c r="N50" s="10"/>
      <c r="O50" s="10"/>
      <c r="Q50" s="10"/>
      <c r="R50" s="10"/>
      <c r="S50" s="10"/>
      <c r="U50" s="10"/>
    </row>
    <row r="51" spans="4:21" x14ac:dyDescent="0.25">
      <c r="D51" s="10"/>
      <c r="E51" s="10"/>
      <c r="G51" s="10"/>
      <c r="H51" s="10"/>
      <c r="L51" s="10"/>
      <c r="M51" s="10"/>
      <c r="N51" s="10"/>
      <c r="O51" s="10"/>
      <c r="Q51" s="10"/>
      <c r="R51" s="10"/>
      <c r="S51" s="10"/>
      <c r="U51" s="10"/>
    </row>
    <row r="52" spans="4:21" x14ac:dyDescent="0.25">
      <c r="D52" s="10"/>
      <c r="E52" s="10"/>
      <c r="G52" s="10"/>
      <c r="H52" s="10"/>
      <c r="L52" s="10"/>
      <c r="M52" s="10"/>
      <c r="N52" s="10"/>
      <c r="O52" s="10"/>
      <c r="Q52" s="10"/>
      <c r="R52" s="10"/>
      <c r="S52" s="10"/>
      <c r="U52" s="10"/>
    </row>
    <row r="53" spans="4:21" x14ac:dyDescent="0.25">
      <c r="D53" s="10"/>
      <c r="E53" s="10"/>
      <c r="G53" s="10"/>
      <c r="H53" s="10"/>
      <c r="L53" s="10"/>
      <c r="M53" s="10"/>
      <c r="N53" s="10"/>
      <c r="O53" s="10"/>
      <c r="Q53" s="10"/>
      <c r="R53" s="10"/>
      <c r="S53" s="10"/>
      <c r="U53" s="10"/>
    </row>
    <row r="54" spans="4:21" x14ac:dyDescent="0.25">
      <c r="D54" s="10"/>
      <c r="E54" s="10"/>
      <c r="G54" s="10"/>
      <c r="H54" s="10"/>
      <c r="L54" s="10"/>
      <c r="M54" s="10"/>
      <c r="N54" s="10"/>
      <c r="O54" s="10"/>
      <c r="Q54" s="10"/>
      <c r="R54" s="10"/>
      <c r="S54" s="10"/>
      <c r="U54" s="10"/>
    </row>
    <row r="55" spans="4:21" x14ac:dyDescent="0.25">
      <c r="D55" s="10"/>
      <c r="E55" s="10"/>
      <c r="G55" s="10"/>
      <c r="H55" s="10"/>
      <c r="L55" s="10"/>
      <c r="M55" s="10"/>
      <c r="N55" s="10"/>
      <c r="O55" s="10"/>
      <c r="Q55" s="10"/>
      <c r="R55" s="10"/>
      <c r="S55" s="10"/>
      <c r="U55" s="10"/>
    </row>
    <row r="56" spans="4:21" x14ac:dyDescent="0.25">
      <c r="D56" s="10"/>
      <c r="E56" s="10"/>
      <c r="G56" s="10"/>
      <c r="H56" s="10"/>
      <c r="L56" s="10"/>
      <c r="M56" s="10"/>
      <c r="N56" s="10"/>
      <c r="O56" s="10"/>
      <c r="Q56" s="10"/>
      <c r="R56" s="10"/>
      <c r="S56" s="10"/>
      <c r="U56" s="10"/>
    </row>
    <row r="57" spans="4:21" x14ac:dyDescent="0.25">
      <c r="D57" s="10"/>
      <c r="E57" s="10"/>
      <c r="G57" s="10"/>
      <c r="H57" s="10"/>
      <c r="L57" s="10"/>
      <c r="M57" s="10"/>
      <c r="N57" s="10"/>
      <c r="O57" s="10"/>
      <c r="Q57" s="10"/>
      <c r="R57" s="10"/>
      <c r="S57" s="10"/>
      <c r="U57" s="10"/>
    </row>
    <row r="58" spans="4:21" x14ac:dyDescent="0.25">
      <c r="D58" s="10"/>
      <c r="E58" s="10"/>
      <c r="G58" s="10"/>
      <c r="H58" s="10"/>
      <c r="L58" s="10"/>
      <c r="M58" s="10"/>
      <c r="N58" s="10"/>
      <c r="O58" s="10"/>
      <c r="Q58" s="10"/>
      <c r="R58" s="10"/>
      <c r="S58" s="10"/>
      <c r="U58" s="10"/>
    </row>
    <row r="59" spans="4:21" x14ac:dyDescent="0.25">
      <c r="D59" s="10"/>
      <c r="E59" s="10"/>
      <c r="G59" s="10"/>
      <c r="H59" s="10"/>
      <c r="L59" s="10"/>
      <c r="M59" s="10"/>
      <c r="N59" s="10"/>
      <c r="O59" s="10"/>
      <c r="Q59" s="10"/>
      <c r="R59" s="10"/>
      <c r="S59" s="10"/>
      <c r="U59" s="10"/>
    </row>
    <row r="60" spans="4:21" x14ac:dyDescent="0.25">
      <c r="D60" s="10"/>
      <c r="E60" s="10"/>
      <c r="G60" s="10"/>
      <c r="H60" s="10"/>
      <c r="L60" s="10"/>
      <c r="M60" s="10"/>
      <c r="N60" s="10"/>
      <c r="O60" s="10"/>
      <c r="Q60" s="10"/>
      <c r="R60" s="10"/>
      <c r="S60" s="10"/>
      <c r="U60" s="10"/>
    </row>
    <row r="61" spans="4:21" x14ac:dyDescent="0.25">
      <c r="D61" s="10"/>
      <c r="E61" s="10"/>
      <c r="G61" s="10"/>
      <c r="H61" s="10"/>
      <c r="L61" s="10"/>
      <c r="M61" s="10"/>
      <c r="N61" s="10"/>
      <c r="O61" s="10"/>
      <c r="Q61" s="10"/>
      <c r="R61" s="10"/>
      <c r="S61" s="10"/>
      <c r="U61" s="10"/>
    </row>
    <row r="62" spans="4:21" x14ac:dyDescent="0.25">
      <c r="D62" s="10"/>
      <c r="E62" s="10"/>
      <c r="G62" s="10"/>
      <c r="H62" s="10"/>
      <c r="L62" s="10"/>
      <c r="M62" s="10"/>
      <c r="N62" s="10"/>
      <c r="O62" s="10"/>
      <c r="Q62" s="10"/>
      <c r="R62" s="10"/>
      <c r="S62" s="10"/>
      <c r="U62" s="10"/>
    </row>
    <row r="63" spans="4:21" x14ac:dyDescent="0.25">
      <c r="D63" s="10"/>
      <c r="E63" s="10"/>
      <c r="G63" s="10"/>
      <c r="H63" s="10"/>
      <c r="L63" s="10"/>
      <c r="M63" s="10"/>
      <c r="N63" s="10"/>
      <c r="O63" s="10"/>
      <c r="Q63" s="10"/>
      <c r="R63" s="10"/>
      <c r="S63" s="10"/>
      <c r="U63" s="10"/>
    </row>
    <row r="64" spans="4:21" x14ac:dyDescent="0.25">
      <c r="D64" s="10"/>
      <c r="E64" s="10"/>
      <c r="G64" s="10"/>
      <c r="H64" s="10"/>
      <c r="L64" s="10"/>
      <c r="M64" s="10"/>
      <c r="N64" s="10"/>
      <c r="O64" s="10"/>
      <c r="Q64" s="10"/>
      <c r="R64" s="10"/>
      <c r="S64" s="10"/>
      <c r="U64" s="10"/>
    </row>
    <row r="65" spans="4:21" x14ac:dyDescent="0.25">
      <c r="D65" s="10"/>
      <c r="E65" s="10"/>
      <c r="G65" s="10"/>
      <c r="H65" s="10"/>
      <c r="L65" s="10"/>
      <c r="M65" s="10"/>
      <c r="N65" s="10"/>
      <c r="O65" s="10"/>
      <c r="Q65" s="10"/>
      <c r="R65" s="10"/>
      <c r="S65" s="10"/>
      <c r="U65" s="10"/>
    </row>
    <row r="66" spans="4:21" x14ac:dyDescent="0.25">
      <c r="D66" s="10"/>
      <c r="E66" s="10"/>
      <c r="G66" s="10"/>
      <c r="H66" s="10"/>
      <c r="L66" s="10"/>
      <c r="M66" s="10"/>
      <c r="N66" s="10"/>
      <c r="O66" s="10"/>
      <c r="Q66" s="10"/>
      <c r="R66" s="10"/>
      <c r="S66" s="10"/>
      <c r="U66" s="10"/>
    </row>
    <row r="67" spans="4:21" x14ac:dyDescent="0.25">
      <c r="D67" s="10"/>
      <c r="E67" s="10"/>
      <c r="G67" s="10"/>
      <c r="H67" s="10"/>
      <c r="L67" s="10"/>
      <c r="M67" s="10"/>
      <c r="N67" s="10"/>
      <c r="O67" s="10"/>
      <c r="Q67" s="10"/>
      <c r="R67" s="10"/>
      <c r="S67" s="10"/>
      <c r="U67" s="10"/>
    </row>
    <row r="68" spans="4:21" x14ac:dyDescent="0.25">
      <c r="D68" s="10"/>
      <c r="E68" s="10"/>
      <c r="G68" s="10"/>
      <c r="H68" s="10"/>
      <c r="L68" s="10"/>
      <c r="M68" s="10"/>
      <c r="N68" s="10"/>
      <c r="O68" s="10"/>
      <c r="Q68" s="10"/>
      <c r="R68" s="10"/>
      <c r="S68" s="10"/>
      <c r="U68" s="10"/>
    </row>
    <row r="69" spans="4:21" x14ac:dyDescent="0.25">
      <c r="D69" s="10"/>
      <c r="E69" s="10"/>
      <c r="G69" s="10"/>
      <c r="H69" s="10"/>
      <c r="L69" s="10"/>
      <c r="M69" s="10"/>
      <c r="N69" s="10"/>
      <c r="O69" s="10"/>
      <c r="Q69" s="10"/>
      <c r="R69" s="10"/>
      <c r="S69" s="10"/>
      <c r="U69" s="10"/>
    </row>
    <row r="70" spans="4:21" x14ac:dyDescent="0.25">
      <c r="D70" s="10"/>
      <c r="E70" s="10"/>
      <c r="G70" s="10"/>
      <c r="H70" s="10"/>
      <c r="L70" s="10"/>
      <c r="M70" s="10"/>
      <c r="N70" s="10"/>
      <c r="O70" s="10"/>
      <c r="Q70" s="10"/>
      <c r="R70" s="10"/>
      <c r="S70" s="10"/>
      <c r="U70" s="10"/>
    </row>
    <row r="71" spans="4:21" x14ac:dyDescent="0.25">
      <c r="D71" s="10"/>
      <c r="E71" s="10"/>
      <c r="G71" s="10"/>
      <c r="H71" s="10"/>
      <c r="L71" s="10"/>
      <c r="M71" s="10"/>
      <c r="N71" s="10"/>
      <c r="O71" s="10"/>
      <c r="Q71" s="10"/>
      <c r="R71" s="10"/>
      <c r="S71" s="10"/>
      <c r="U71" s="10"/>
    </row>
    <row r="72" spans="4:21" x14ac:dyDescent="0.25">
      <c r="D72" s="10"/>
      <c r="E72" s="10"/>
      <c r="G72" s="10"/>
      <c r="H72" s="10"/>
      <c r="L72" s="10"/>
      <c r="M72" s="10"/>
      <c r="N72" s="10"/>
      <c r="O72" s="10"/>
      <c r="Q72" s="10"/>
      <c r="R72" s="10"/>
      <c r="S72" s="10"/>
      <c r="U72" s="10"/>
    </row>
    <row r="73" spans="4:21" x14ac:dyDescent="0.25">
      <c r="D73" s="10"/>
      <c r="E73" s="10"/>
      <c r="G73" s="10"/>
      <c r="H73" s="10"/>
      <c r="L73" s="10"/>
      <c r="M73" s="10"/>
      <c r="N73" s="10"/>
      <c r="O73" s="10"/>
      <c r="Q73" s="10"/>
      <c r="R73" s="10"/>
      <c r="S73" s="10"/>
      <c r="U73" s="10"/>
    </row>
    <row r="74" spans="4:21" x14ac:dyDescent="0.25">
      <c r="D74" s="10"/>
      <c r="E74" s="10"/>
      <c r="G74" s="10"/>
      <c r="H74" s="10"/>
      <c r="L74" s="10"/>
      <c r="M74" s="10"/>
      <c r="N74" s="10"/>
      <c r="O74" s="10"/>
      <c r="Q74" s="10"/>
      <c r="R74" s="10"/>
      <c r="S74" s="10"/>
      <c r="U74" s="10"/>
    </row>
    <row r="75" spans="4:21" x14ac:dyDescent="0.25">
      <c r="D75" s="10"/>
      <c r="E75" s="10"/>
      <c r="G75" s="10"/>
      <c r="H75" s="10"/>
      <c r="L75" s="10"/>
      <c r="M75" s="10"/>
      <c r="N75" s="10"/>
      <c r="O75" s="10"/>
      <c r="Q75" s="10"/>
      <c r="R75" s="10"/>
      <c r="S75" s="10"/>
      <c r="U75" s="10"/>
    </row>
    <row r="76" spans="4:21" x14ac:dyDescent="0.25">
      <c r="D76" s="10"/>
      <c r="E76" s="10"/>
      <c r="G76" s="10"/>
      <c r="H76" s="10"/>
      <c r="L76" s="10"/>
      <c r="M76" s="10"/>
      <c r="N76" s="10"/>
      <c r="O76" s="10"/>
      <c r="Q76" s="10"/>
      <c r="R76" s="10"/>
      <c r="S76" s="10"/>
      <c r="U76" s="10"/>
    </row>
  </sheetData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16">
    <tabColor rgb="FFFF8080"/>
  </sheetPr>
  <dimension ref="A1:C5"/>
  <sheetViews>
    <sheetView showGridLines="0" zoomScale="85" zoomScaleNormal="85" workbookViewId="0"/>
  </sheetViews>
  <sheetFormatPr defaultColWidth="11.42578125" defaultRowHeight="15" x14ac:dyDescent="0.25"/>
  <cols>
    <col min="1" max="2" width="11.28515625" bestFit="1" customWidth="1"/>
    <col min="3" max="3" width="18.7109375" bestFit="1" customWidth="1"/>
    <col min="5" max="5" width="14.42578125" bestFit="1" customWidth="1"/>
    <col min="6" max="6" width="9.28515625" bestFit="1" customWidth="1"/>
  </cols>
  <sheetData>
    <row r="1" spans="1:3" x14ac:dyDescent="0.25">
      <c r="A1" t="s">
        <v>87</v>
      </c>
      <c r="B1" t="s">
        <v>86</v>
      </c>
      <c r="C1" t="s">
        <v>11</v>
      </c>
    </row>
    <row r="2" spans="1:3" x14ac:dyDescent="0.25">
      <c r="C2" t="s">
        <v>85</v>
      </c>
    </row>
    <row r="3" spans="1:3" x14ac:dyDescent="0.25">
      <c r="A3" t="s">
        <v>57</v>
      </c>
      <c r="B3" t="s">
        <v>84</v>
      </c>
      <c r="C3" t="s">
        <v>83</v>
      </c>
    </row>
    <row r="4" spans="1:3" x14ac:dyDescent="0.25">
      <c r="A4" t="s">
        <v>82</v>
      </c>
      <c r="B4" t="s">
        <v>81</v>
      </c>
      <c r="C4" t="s">
        <v>80</v>
      </c>
    </row>
    <row r="5" spans="1:3" x14ac:dyDescent="0.25">
      <c r="A5" t="s">
        <v>56</v>
      </c>
      <c r="B5" t="s">
        <v>79</v>
      </c>
      <c r="C5" t="s">
        <v>78</v>
      </c>
    </row>
  </sheetData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7">
    <tabColor rgb="FFFF8080"/>
  </sheetPr>
  <dimension ref="A1:G7"/>
  <sheetViews>
    <sheetView showGridLines="0" zoomScale="85" zoomScaleNormal="85" workbookViewId="0"/>
  </sheetViews>
  <sheetFormatPr defaultColWidth="11.42578125" defaultRowHeight="15" x14ac:dyDescent="0.25"/>
  <cols>
    <col min="1" max="1" width="17.28515625" customWidth="1"/>
    <col min="2" max="2" width="13.28515625" customWidth="1"/>
    <col min="3" max="3" width="11.71093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28515625" customWidth="1"/>
    <col min="10" max="10" width="10.28515625" customWidth="1"/>
    <col min="11" max="11" width="13.5703125" bestFit="1" customWidth="1"/>
    <col min="12" max="12" width="3" customWidth="1"/>
    <col min="13" max="13" width="8.28515625" customWidth="1"/>
    <col min="14" max="14" width="12.7109375" customWidth="1"/>
    <col min="15" max="15" width="22.42578125" bestFit="1" customWidth="1"/>
  </cols>
  <sheetData>
    <row r="1" spans="1:7" ht="23.25" x14ac:dyDescent="0.35">
      <c r="A1" s="8" t="s">
        <v>10</v>
      </c>
    </row>
    <row r="4" spans="1:7" x14ac:dyDescent="0.25">
      <c r="A4" s="16" t="s">
        <v>12</v>
      </c>
      <c r="B4" s="17" t="s">
        <v>15</v>
      </c>
      <c r="C4" s="18" t="s">
        <v>13</v>
      </c>
      <c r="E4" s="7"/>
      <c r="F4" s="9"/>
      <c r="G4" s="7"/>
    </row>
    <row r="5" spans="1:7" x14ac:dyDescent="0.25">
      <c r="A5" t="s">
        <v>9</v>
      </c>
      <c r="B5" s="6" t="s">
        <v>8</v>
      </c>
      <c r="C5" t="str">
        <f>Currency</f>
        <v>NOK</v>
      </c>
      <c r="E5" s="3"/>
    </row>
    <row r="6" spans="1:7" x14ac:dyDescent="0.25">
      <c r="E6" s="3"/>
    </row>
    <row r="7" spans="1:7" x14ac:dyDescent="0.25">
      <c r="E7" s="3"/>
    </row>
  </sheetData>
  <pageMargins left="0.7" right="0.7" top="0.75" bottom="0.75" header="0.3" footer="0.3"/>
  <customProperties>
    <customPr name="EpmWorksheetKeyString_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4">
    <tabColor rgb="FFFF8080"/>
  </sheetPr>
  <dimension ref="A1:B18"/>
  <sheetViews>
    <sheetView showGridLines="0" zoomScale="85" zoomScaleNormal="85" workbookViewId="0">
      <selection activeCell="B15" sqref="B15"/>
    </sheetView>
  </sheetViews>
  <sheetFormatPr defaultColWidth="11.42578125" defaultRowHeight="15" x14ac:dyDescent="0.25"/>
  <cols>
    <col min="1" max="1" width="16" customWidth="1"/>
    <col min="2" max="2" width="55.42578125" bestFit="1" customWidth="1"/>
  </cols>
  <sheetData>
    <row r="1" spans="1:2" ht="23.25" x14ac:dyDescent="0.35">
      <c r="A1" s="8" t="s">
        <v>89</v>
      </c>
    </row>
    <row r="4" spans="1:2" x14ac:dyDescent="0.25">
      <c r="A4" t="s">
        <v>3</v>
      </c>
      <c r="B4" s="20">
        <v>24</v>
      </c>
    </row>
    <row r="5" spans="1:2" x14ac:dyDescent="0.25">
      <c r="A5" t="s">
        <v>2</v>
      </c>
      <c r="B5" s="20" t="s">
        <v>437</v>
      </c>
    </row>
    <row r="6" spans="1:2" x14ac:dyDescent="0.25">
      <c r="A6" t="s">
        <v>16</v>
      </c>
      <c r="B6" s="20" t="s">
        <v>346</v>
      </c>
    </row>
    <row r="7" spans="1:2" x14ac:dyDescent="0.25">
      <c r="A7" t="s">
        <v>17</v>
      </c>
      <c r="B7" s="20" t="s">
        <v>104</v>
      </c>
    </row>
    <row r="8" spans="1:2" x14ac:dyDescent="0.25">
      <c r="A8" t="s">
        <v>92</v>
      </c>
      <c r="B8" s="6" t="s">
        <v>442</v>
      </c>
    </row>
    <row r="9" spans="1:2" x14ac:dyDescent="0.25">
      <c r="A9" t="s">
        <v>143</v>
      </c>
      <c r="B9" s="6" t="s">
        <v>347</v>
      </c>
    </row>
    <row r="10" spans="1:2" x14ac:dyDescent="0.25">
      <c r="A10" t="s">
        <v>144</v>
      </c>
      <c r="B10" s="6" t="s">
        <v>350</v>
      </c>
    </row>
    <row r="11" spans="1:2" x14ac:dyDescent="0.25">
      <c r="A11" t="s">
        <v>145</v>
      </c>
      <c r="B11" s="6" t="s">
        <v>351</v>
      </c>
    </row>
    <row r="12" spans="1:2" x14ac:dyDescent="0.25">
      <c r="A12" t="s">
        <v>146</v>
      </c>
      <c r="B12" s="6" t="s">
        <v>456</v>
      </c>
    </row>
    <row r="13" spans="1:2" x14ac:dyDescent="0.25">
      <c r="A13" t="s">
        <v>147</v>
      </c>
      <c r="B13" s="6" t="s">
        <v>348</v>
      </c>
    </row>
    <row r="14" spans="1:2" x14ac:dyDescent="0.25">
      <c r="A14" t="s">
        <v>148</v>
      </c>
      <c r="B14" s="6" t="s">
        <v>457</v>
      </c>
    </row>
    <row r="15" spans="1:2" x14ac:dyDescent="0.25">
      <c r="A15" t="s">
        <v>149</v>
      </c>
      <c r="B15" s="6" t="s">
        <v>453</v>
      </c>
    </row>
    <row r="16" spans="1:2" x14ac:dyDescent="0.25">
      <c r="A16" t="s">
        <v>150</v>
      </c>
      <c r="B16" s="6" t="s">
        <v>436</v>
      </c>
    </row>
    <row r="17" spans="1:2" x14ac:dyDescent="0.25">
      <c r="A17" t="s">
        <v>151</v>
      </c>
      <c r="B17" s="6" t="s">
        <v>435</v>
      </c>
    </row>
    <row r="18" spans="1:2" x14ac:dyDescent="0.25">
      <c r="A18" t="s">
        <v>152</v>
      </c>
      <c r="B18" s="6" t="s">
        <v>349</v>
      </c>
    </row>
  </sheetData>
  <pageMargins left="0.7" right="0.7" top="0.75" bottom="0.75" header="0.3" footer="0.3"/>
  <customProperties>
    <customPr name="EpmWorksheetKeyString_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1"/>
  <dimension ref="B2:K166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75" x14ac:dyDescent="0.25"/>
  <cols>
    <col min="1" max="1" width="4.42578125" style="3" customWidth="1"/>
    <col min="2" max="3" width="11" style="5"/>
    <col min="4" max="16384" width="11" style="3"/>
  </cols>
  <sheetData>
    <row r="2" spans="2:11" ht="18" x14ac:dyDescent="0.25">
      <c r="K2" s="4"/>
    </row>
    <row r="5" spans="2:11" x14ac:dyDescent="0.25">
      <c r="D5" s="5"/>
      <c r="E5" s="46" t="s">
        <v>472</v>
      </c>
    </row>
    <row r="9" spans="2:11" ht="21" x14ac:dyDescent="0.35">
      <c r="B9" s="47" t="s">
        <v>352</v>
      </c>
      <c r="J9" s="12"/>
      <c r="K9" s="7" t="s">
        <v>345</v>
      </c>
    </row>
    <row r="10" spans="2:11" x14ac:dyDescent="0.25">
      <c r="B10" s="48" t="s">
        <v>449</v>
      </c>
    </row>
    <row r="11" spans="2:11" x14ac:dyDescent="0.25">
      <c r="B11" s="48" t="s">
        <v>450</v>
      </c>
    </row>
    <row r="12" spans="2:11" x14ac:dyDescent="0.25">
      <c r="B12" s="46" t="s">
        <v>444</v>
      </c>
    </row>
    <row r="13" spans="2:11" x14ac:dyDescent="0.25">
      <c r="B13" s="46" t="s">
        <v>445</v>
      </c>
    </row>
    <row r="14" spans="2:11" x14ac:dyDescent="0.25">
      <c r="B14" s="46" t="s">
        <v>446</v>
      </c>
    </row>
    <row r="15" spans="2:11" x14ac:dyDescent="0.25">
      <c r="B15" s="48" t="s">
        <v>448</v>
      </c>
    </row>
    <row r="16" spans="2:11" x14ac:dyDescent="0.25">
      <c r="B16" s="46"/>
    </row>
    <row r="17" spans="2:2" x14ac:dyDescent="0.25">
      <c r="B17" s="67" t="s">
        <v>344</v>
      </c>
    </row>
    <row r="18" spans="2:2" x14ac:dyDescent="0.25">
      <c r="B18" s="46"/>
    </row>
    <row r="19" spans="2:2" x14ac:dyDescent="0.25">
      <c r="B19" s="68" t="s">
        <v>447</v>
      </c>
    </row>
    <row r="20" spans="2:2" x14ac:dyDescent="0.25">
      <c r="B20" s="48"/>
    </row>
    <row r="21" spans="2:2" x14ac:dyDescent="0.25">
      <c r="B21" s="69" t="s">
        <v>459</v>
      </c>
    </row>
    <row r="22" spans="2:2" x14ac:dyDescent="0.25">
      <c r="B22" s="48" t="s">
        <v>460</v>
      </c>
    </row>
    <row r="23" spans="2:2" x14ac:dyDescent="0.25">
      <c r="B23" s="48" t="s">
        <v>461</v>
      </c>
    </row>
    <row r="24" spans="2:2" x14ac:dyDescent="0.25">
      <c r="B24" s="48" t="s">
        <v>462</v>
      </c>
    </row>
    <row r="25" spans="2:2" x14ac:dyDescent="0.25">
      <c r="B25" s="48" t="s">
        <v>463</v>
      </c>
    </row>
    <row r="30" spans="2:2" x14ac:dyDescent="0.25">
      <c r="B30" s="48" t="s">
        <v>464</v>
      </c>
    </row>
    <row r="53" spans="2:2" x14ac:dyDescent="0.25">
      <c r="B53" s="48" t="s">
        <v>465</v>
      </c>
    </row>
    <row r="54" spans="2:2" x14ac:dyDescent="0.25">
      <c r="B54" s="48" t="s">
        <v>466</v>
      </c>
    </row>
    <row r="82" spans="2:2" x14ac:dyDescent="0.25">
      <c r="B82" s="70" t="s">
        <v>467</v>
      </c>
    </row>
    <row r="113" spans="2:2" x14ac:dyDescent="0.25">
      <c r="B113" s="70" t="s">
        <v>468</v>
      </c>
    </row>
    <row r="114" spans="2:2" x14ac:dyDescent="0.25">
      <c r="B114" s="48" t="s">
        <v>469</v>
      </c>
    </row>
    <row r="132" spans="2:2" x14ac:dyDescent="0.25">
      <c r="B132" s="70" t="s">
        <v>470</v>
      </c>
    </row>
    <row r="166" spans="2:2" x14ac:dyDescent="0.25">
      <c r="B166" s="70" t="s">
        <v>471</v>
      </c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customProperties>
    <customPr name="EpmWorksheetKeyString_GUID" r:id="rId2"/>
  </customProperties>
  <drawing r:id="rId3"/>
  <picture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">
    <tabColor rgb="FFC00000"/>
  </sheetPr>
  <dimension ref="A1:J500"/>
  <sheetViews>
    <sheetView showGridLines="0" showZeros="0" zoomScale="85" zoomScaleNormal="85" workbookViewId="0">
      <pane ySplit="15" topLeftCell="A16" activePane="bottomLeft" state="frozen"/>
      <selection pane="bottomLeft" activeCell="A16" sqref="A16"/>
    </sheetView>
  </sheetViews>
  <sheetFormatPr defaultColWidth="11.42578125" defaultRowHeight="15" x14ac:dyDescent="0.25"/>
  <cols>
    <col min="1" max="1" width="18.28515625" customWidth="1"/>
    <col min="2" max="2" width="14.7109375" customWidth="1"/>
    <col min="3" max="3" width="12.42578125" customWidth="1"/>
    <col min="4" max="4" width="11.28515625" customWidth="1"/>
    <col min="5" max="5" width="12" customWidth="1"/>
    <col min="6" max="6" width="11" customWidth="1"/>
    <col min="7" max="7" width="9.7109375" customWidth="1"/>
    <col min="8" max="8" width="10.5703125" customWidth="1"/>
    <col min="9" max="9" width="8.42578125" customWidth="1"/>
    <col min="10" max="11" width="9.28515625" customWidth="1"/>
    <col min="12" max="12" width="8.7109375" customWidth="1"/>
  </cols>
  <sheetData>
    <row r="1" spans="1:10" ht="31.5" customHeight="1" x14ac:dyDescent="0.25"/>
    <row r="5" spans="1:10" x14ac:dyDescent="0.25">
      <c r="A5" s="71" t="s">
        <v>441</v>
      </c>
      <c r="B5" s="72" t="s">
        <v>138</v>
      </c>
    </row>
    <row r="6" spans="1:10" x14ac:dyDescent="0.25">
      <c r="A6" s="71" t="s">
        <v>68</v>
      </c>
      <c r="B6" s="72" t="s">
        <v>138</v>
      </c>
    </row>
    <row r="7" spans="1:10" x14ac:dyDescent="0.25">
      <c r="A7" s="71" t="s">
        <v>360</v>
      </c>
      <c r="B7" s="72" t="s">
        <v>138</v>
      </c>
    </row>
    <row r="8" spans="1:10" x14ac:dyDescent="0.25">
      <c r="A8" s="71" t="s">
        <v>409</v>
      </c>
      <c r="B8" s="72" t="s">
        <v>138</v>
      </c>
    </row>
    <row r="9" spans="1:10" x14ac:dyDescent="0.25">
      <c r="A9" s="71" t="s">
        <v>417</v>
      </c>
      <c r="B9" s="72" t="s">
        <v>138</v>
      </c>
    </row>
    <row r="10" spans="1:10" x14ac:dyDescent="0.25">
      <c r="A10" s="71" t="s">
        <v>434</v>
      </c>
      <c r="B10" s="72" t="s">
        <v>138</v>
      </c>
    </row>
    <row r="11" spans="1:10" x14ac:dyDescent="0.25">
      <c r="A11" s="71" t="s">
        <v>367</v>
      </c>
      <c r="B11" s="72" t="s">
        <v>138</v>
      </c>
    </row>
    <row r="12" spans="1:10" x14ac:dyDescent="0.25">
      <c r="A12" s="71" t="s">
        <v>372</v>
      </c>
      <c r="B12" s="72" t="s">
        <v>138</v>
      </c>
    </row>
    <row r="13" spans="1:10" x14ac:dyDescent="0.25">
      <c r="A13" s="71" t="s">
        <v>361</v>
      </c>
      <c r="B13" s="72" t="s">
        <v>138</v>
      </c>
    </row>
    <row r="15" spans="1:10" x14ac:dyDescent="0.25">
      <c r="A15" s="1" t="s">
        <v>432</v>
      </c>
      <c r="B15" s="74" t="s">
        <v>438</v>
      </c>
      <c r="C15" s="78" t="s">
        <v>420</v>
      </c>
      <c r="D15" s="82" t="s">
        <v>421</v>
      </c>
      <c r="E15" s="82" t="s">
        <v>422</v>
      </c>
      <c r="F15" s="82" t="s">
        <v>427</v>
      </c>
      <c r="G15" s="82" t="s">
        <v>426</v>
      </c>
      <c r="H15" s="82" t="s">
        <v>425</v>
      </c>
      <c r="I15" s="82" t="s">
        <v>428</v>
      </c>
      <c r="J15" s="79" t="s">
        <v>429</v>
      </c>
    </row>
    <row r="16" spans="1:10" x14ac:dyDescent="0.25">
      <c r="A16" s="55">
        <v>41275</v>
      </c>
      <c r="B16" s="73" t="s">
        <v>262</v>
      </c>
      <c r="C16" s="84">
        <v>0</v>
      </c>
      <c r="D16" s="85">
        <v>0</v>
      </c>
      <c r="E16" s="85">
        <v>0</v>
      </c>
      <c r="F16" s="85">
        <v>0</v>
      </c>
      <c r="G16" s="85">
        <v>0</v>
      </c>
      <c r="H16" s="85">
        <v>-20</v>
      </c>
      <c r="I16" s="87">
        <v>0</v>
      </c>
      <c r="J16" s="88">
        <v>0</v>
      </c>
    </row>
    <row r="17" spans="1:10" ht="15.75" thickBot="1" x14ac:dyDescent="0.3">
      <c r="A17" s="61" t="s">
        <v>443</v>
      </c>
      <c r="B17" s="62"/>
      <c r="C17" s="96">
        <v>0</v>
      </c>
      <c r="D17" s="63">
        <v>0</v>
      </c>
      <c r="E17" s="63">
        <v>0</v>
      </c>
      <c r="F17" s="63">
        <v>0</v>
      </c>
      <c r="G17" s="63">
        <v>0</v>
      </c>
      <c r="H17" s="63">
        <v>-20</v>
      </c>
      <c r="I17" s="64">
        <v>0</v>
      </c>
      <c r="J17" s="65">
        <v>0</v>
      </c>
    </row>
    <row r="18" spans="1:10" ht="15.75" thickTop="1" x14ac:dyDescent="0.25">
      <c r="A18" s="89"/>
      <c r="B18" s="90"/>
      <c r="C18" s="91"/>
      <c r="D18" s="92"/>
      <c r="E18" s="92"/>
      <c r="F18" s="92"/>
      <c r="G18" s="92"/>
      <c r="H18" s="92"/>
      <c r="I18" s="93"/>
      <c r="J18" s="94"/>
    </row>
    <row r="19" spans="1:10" ht="15.75" thickBot="1" x14ac:dyDescent="0.3">
      <c r="A19" s="56" t="s">
        <v>137</v>
      </c>
      <c r="B19" s="14"/>
      <c r="C19" s="54">
        <v>0</v>
      </c>
      <c r="D19" s="54">
        <v>0</v>
      </c>
      <c r="E19" s="54">
        <v>0</v>
      </c>
      <c r="F19" s="54">
        <v>0</v>
      </c>
      <c r="G19" s="54">
        <v>0</v>
      </c>
      <c r="H19" s="54">
        <v>-20</v>
      </c>
      <c r="I19" s="57">
        <v>0</v>
      </c>
      <c r="J19" s="58">
        <v>0</v>
      </c>
    </row>
    <row r="20" spans="1:10" ht="15.75" thickTop="1" x14ac:dyDescent="0.25"/>
    <row r="22" spans="1:10" ht="15.75" thickBot="1" x14ac:dyDescent="0.3"/>
    <row r="23" spans="1:10" ht="15.75" thickTop="1" x14ac:dyDescent="0.25"/>
    <row r="24" spans="1:10" ht="15.75" thickTop="1" x14ac:dyDescent="0.25"/>
    <row r="31" spans="1:10" ht="15.75" thickBot="1" x14ac:dyDescent="0.3"/>
    <row r="32" spans="1:10" ht="15.75" thickTop="1" x14ac:dyDescent="0.25"/>
    <row r="38" ht="15.75" thickBot="1" x14ac:dyDescent="0.3"/>
    <row r="39" ht="15.75" thickTop="1" x14ac:dyDescent="0.25"/>
    <row r="40" ht="15.75" thickBot="1" x14ac:dyDescent="0.3"/>
    <row r="41" ht="15.75" thickTop="1" x14ac:dyDescent="0.25"/>
    <row r="42" ht="15.75" thickBot="1" x14ac:dyDescent="0.3"/>
    <row r="43" ht="15.75" thickTop="1" x14ac:dyDescent="0.25"/>
    <row r="44" ht="15.75" thickBot="1" x14ac:dyDescent="0.3"/>
    <row r="45" ht="15.75" thickTop="1" x14ac:dyDescent="0.25"/>
    <row r="57" ht="15.75" thickBot="1" x14ac:dyDescent="0.3"/>
    <row r="58" ht="15.75" thickTop="1" x14ac:dyDescent="0.25"/>
    <row r="59" ht="15.75" thickBot="1" x14ac:dyDescent="0.3"/>
    <row r="60" ht="15.75" thickTop="1" x14ac:dyDescent="0.25"/>
    <row r="499" ht="15.75" thickBot="1" x14ac:dyDescent="0.3"/>
    <row r="500" ht="15.75" thickTop="1" x14ac:dyDescent="0.25"/>
  </sheetData>
  <pageMargins left="0.7" right="0.7" top="0.75" bottom="0.75" header="0.3" footer="0.3"/>
  <customProperties>
    <customPr name="EpmWorksheetKeyString_GUID" r:id="rId2"/>
  </customPropertie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3">
    <tabColor rgb="FFC00000"/>
    <pageSetUpPr fitToPage="1"/>
  </sheetPr>
  <dimension ref="A1:K791"/>
  <sheetViews>
    <sheetView showGridLines="0" zoomScale="85" workbookViewId="0">
      <pane xSplit="2" ySplit="14" topLeftCell="C15" activePane="bottomRight" state="frozen"/>
      <selection activeCell="C17" sqref="C17"/>
      <selection pane="topRight" activeCell="C17" sqref="C17"/>
      <selection pane="bottomLeft" activeCell="C17" sqref="C17"/>
      <selection pane="bottomRight" activeCell="C15" sqref="C15"/>
    </sheetView>
  </sheetViews>
  <sheetFormatPr defaultColWidth="11.42578125" defaultRowHeight="12.75" x14ac:dyDescent="0.2"/>
  <cols>
    <col min="1" max="1" width="14.28515625" style="22" customWidth="1"/>
    <col min="2" max="2" width="25.85546875" style="22" customWidth="1"/>
    <col min="3" max="3" width="18.28515625" style="22" customWidth="1"/>
    <col min="4" max="4" width="39.42578125" style="22" customWidth="1"/>
    <col min="5" max="5" width="11" style="28" customWidth="1"/>
    <col min="6" max="6" width="9.7109375" style="24" customWidth="1"/>
    <col min="7" max="7" width="10.5703125" style="22" customWidth="1"/>
    <col min="8" max="11" width="10.28515625" style="22" customWidth="1"/>
    <col min="12" max="14" width="10.7109375" style="22" customWidth="1"/>
    <col min="15" max="15" width="21" style="22" customWidth="1"/>
    <col min="16" max="16" width="20.5703125" style="22" customWidth="1"/>
    <col min="17" max="17" width="17.42578125" style="22" customWidth="1"/>
    <col min="18" max="19" width="11.42578125" style="22" customWidth="1"/>
    <col min="20" max="21" width="24.7109375" style="22" bestFit="1" customWidth="1"/>
    <col min="22" max="22" width="23.42578125" style="22" bestFit="1" customWidth="1"/>
    <col min="23" max="23" width="21" style="22" bestFit="1" customWidth="1"/>
    <col min="24" max="24" width="20.5703125" style="22" bestFit="1" customWidth="1"/>
    <col min="25" max="25" width="17.42578125" style="22" bestFit="1" customWidth="1"/>
    <col min="26" max="26" width="18.7109375" style="22" bestFit="1" customWidth="1"/>
    <col min="27" max="16384" width="11.42578125" style="22"/>
  </cols>
  <sheetData>
    <row r="1" spans="1:11" ht="30" customHeight="1" x14ac:dyDescent="0.3">
      <c r="A1" s="21"/>
      <c r="E1" s="23"/>
    </row>
    <row r="2" spans="1:11" x14ac:dyDescent="0.2">
      <c r="A2" s="22">
        <f>Updated</f>
        <v>0</v>
      </c>
      <c r="D2" s="25"/>
      <c r="E2" s="41" t="s">
        <v>153</v>
      </c>
      <c r="F2" s="41"/>
      <c r="G2" s="41"/>
      <c r="H2" s="41"/>
      <c r="I2" s="41"/>
      <c r="J2" s="41"/>
      <c r="K2" s="41"/>
    </row>
    <row r="3" spans="1:11" x14ac:dyDescent="0.2">
      <c r="A3" s="22" t="str">
        <f>COUNTA(D15:D10394)-1&amp; " produkter er helt eller delvis ulevert."</f>
        <v>0 produkter er helt eller delvis ulevert.</v>
      </c>
      <c r="D3" s="25"/>
      <c r="E3" s="41"/>
      <c r="F3" s="41"/>
      <c r="G3" s="41"/>
      <c r="H3" s="41"/>
      <c r="I3" s="41"/>
      <c r="J3" s="41"/>
      <c r="K3" s="41"/>
    </row>
    <row r="4" spans="1:11" ht="15" x14ac:dyDescent="0.25">
      <c r="A4" s="71" t="s">
        <v>438</v>
      </c>
      <c r="B4" s="72" t="s">
        <v>138</v>
      </c>
      <c r="E4" s="41"/>
      <c r="F4" s="41"/>
      <c r="G4" s="41"/>
      <c r="H4" s="41"/>
      <c r="I4" s="41"/>
      <c r="J4" s="41"/>
      <c r="K4" s="41"/>
    </row>
    <row r="5" spans="1:11" ht="15" x14ac:dyDescent="0.25">
      <c r="A5" s="71" t="s">
        <v>413</v>
      </c>
      <c r="B5" s="72" t="s">
        <v>138</v>
      </c>
      <c r="D5" s="27"/>
      <c r="E5" s="41" t="s">
        <v>153</v>
      </c>
      <c r="F5" s="41"/>
      <c r="G5" s="41"/>
      <c r="H5" s="41"/>
      <c r="I5" s="41"/>
      <c r="J5" s="41"/>
      <c r="K5" s="41"/>
    </row>
    <row r="6" spans="1:11" ht="15" x14ac:dyDescent="0.25">
      <c r="A6" s="71" t="s">
        <v>405</v>
      </c>
      <c r="B6" s="72" t="s">
        <v>458</v>
      </c>
      <c r="E6" s="22"/>
      <c r="F6" s="22"/>
    </row>
    <row r="7" spans="1:11" ht="15" x14ac:dyDescent="0.25">
      <c r="A7" s="71" t="s">
        <v>367</v>
      </c>
      <c r="B7" s="72" t="s">
        <v>138</v>
      </c>
      <c r="E7" s="22"/>
      <c r="F7" s="22"/>
    </row>
    <row r="8" spans="1:11" ht="15" x14ac:dyDescent="0.25">
      <c r="A8" s="71" t="s">
        <v>76</v>
      </c>
      <c r="B8" s="72" t="s">
        <v>138</v>
      </c>
      <c r="E8" s="22"/>
      <c r="F8" s="22"/>
    </row>
    <row r="9" spans="1:11" ht="15" x14ac:dyDescent="0.25">
      <c r="A9" s="71" t="s">
        <v>68</v>
      </c>
      <c r="B9" s="72" t="s">
        <v>138</v>
      </c>
      <c r="E9" s="22"/>
      <c r="F9" s="22"/>
    </row>
    <row r="10" spans="1:11" ht="15" x14ac:dyDescent="0.25">
      <c r="A10" s="71" t="s">
        <v>434</v>
      </c>
      <c r="B10" s="72" t="s">
        <v>138</v>
      </c>
      <c r="E10" s="22"/>
      <c r="F10" s="22"/>
    </row>
    <row r="11" spans="1:11" ht="15" x14ac:dyDescent="0.25">
      <c r="A11" s="71" t="s">
        <v>410</v>
      </c>
      <c r="B11" s="72" t="s">
        <v>138</v>
      </c>
      <c r="E11" s="22"/>
      <c r="F11" s="22"/>
    </row>
    <row r="12" spans="1:11" ht="15" x14ac:dyDescent="0.25">
      <c r="A12" s="71" t="s">
        <v>475</v>
      </c>
      <c r="B12" s="72" t="s">
        <v>138</v>
      </c>
      <c r="E12" s="22"/>
      <c r="F12" s="22"/>
    </row>
    <row r="13" spans="1:11" x14ac:dyDescent="0.2">
      <c r="E13" s="22"/>
      <c r="F13" s="22"/>
    </row>
    <row r="14" spans="1:11" ht="15" x14ac:dyDescent="0.25">
      <c r="A14" s="1" t="s">
        <v>432</v>
      </c>
      <c r="B14" s="74" t="s">
        <v>417</v>
      </c>
      <c r="C14" s="74" t="s">
        <v>433</v>
      </c>
      <c r="D14" s="74" t="s">
        <v>409</v>
      </c>
      <c r="E14" s="78" t="s">
        <v>427</v>
      </c>
      <c r="F14" s="82" t="s">
        <v>426</v>
      </c>
      <c r="G14" s="82" t="s">
        <v>425</v>
      </c>
      <c r="H14" s="79" t="s">
        <v>430</v>
      </c>
      <c r="I14"/>
      <c r="J14"/>
      <c r="K14"/>
    </row>
    <row r="15" spans="1:11" ht="15" x14ac:dyDescent="0.25">
      <c r="A15" s="55">
        <v>41275</v>
      </c>
      <c r="B15" s="75" t="s">
        <v>245</v>
      </c>
      <c r="C15" s="73"/>
      <c r="D15" s="73" t="s">
        <v>264</v>
      </c>
      <c r="E15" s="84">
        <v>0</v>
      </c>
      <c r="F15" s="85">
        <v>0</v>
      </c>
      <c r="G15" s="85">
        <v>-20</v>
      </c>
      <c r="H15" s="86">
        <v>0</v>
      </c>
      <c r="I15"/>
      <c r="J15"/>
      <c r="K15"/>
    </row>
    <row r="16" spans="1:11" ht="15" x14ac:dyDescent="0.25">
      <c r="A16" s="89"/>
      <c r="B16" s="90"/>
      <c r="C16" s="90"/>
      <c r="D16" s="90"/>
      <c r="E16" s="91"/>
      <c r="F16" s="92"/>
      <c r="G16" s="92"/>
      <c r="H16" s="95"/>
      <c r="I16"/>
      <c r="J16"/>
      <c r="K16"/>
    </row>
    <row r="17" spans="1:11" ht="15.75" thickBot="1" x14ac:dyDescent="0.3">
      <c r="A17" s="56" t="s">
        <v>137</v>
      </c>
      <c r="B17" s="14"/>
      <c r="C17" s="14"/>
      <c r="D17" s="14"/>
      <c r="E17" s="54">
        <v>0</v>
      </c>
      <c r="F17" s="54">
        <v>0</v>
      </c>
      <c r="G17" s="54">
        <v>-20</v>
      </c>
      <c r="H17" s="59">
        <v>0</v>
      </c>
      <c r="I17"/>
      <c r="J17"/>
      <c r="K17"/>
    </row>
    <row r="18" spans="1:11" ht="15.75" thickTop="1" x14ac:dyDescent="0.25">
      <c r="A18"/>
      <c r="B18"/>
      <c r="C18"/>
      <c r="D18"/>
      <c r="E18"/>
      <c r="F18"/>
      <c r="G18"/>
      <c r="H18"/>
      <c r="I18"/>
      <c r="J18"/>
      <c r="K18"/>
    </row>
    <row r="19" spans="1:11" ht="15" x14ac:dyDescent="0.25">
      <c r="A19"/>
      <c r="B19"/>
      <c r="C19"/>
      <c r="D19"/>
      <c r="E19"/>
      <c r="F19"/>
      <c r="G19"/>
      <c r="H19"/>
      <c r="I19"/>
      <c r="J19"/>
      <c r="K19"/>
    </row>
    <row r="20" spans="1:11" ht="15" x14ac:dyDescent="0.25">
      <c r="A20"/>
      <c r="B20"/>
      <c r="C20"/>
      <c r="D20"/>
      <c r="E20"/>
      <c r="F20"/>
      <c r="G20"/>
      <c r="H20"/>
      <c r="I20"/>
      <c r="J20"/>
      <c r="K20"/>
    </row>
    <row r="21" spans="1:11" ht="15" x14ac:dyDescent="0.25">
      <c r="A21"/>
      <c r="B21"/>
      <c r="C21"/>
      <c r="D21"/>
      <c r="E21"/>
      <c r="F21"/>
      <c r="G21"/>
      <c r="H21"/>
      <c r="I21"/>
      <c r="J21"/>
      <c r="K21"/>
    </row>
    <row r="22" spans="1:11" ht="15" x14ac:dyDescent="0.25">
      <c r="A22"/>
      <c r="B22"/>
      <c r="C22"/>
      <c r="D22"/>
      <c r="E22"/>
      <c r="F22"/>
      <c r="G22"/>
      <c r="H22"/>
      <c r="I22"/>
      <c r="J22"/>
      <c r="K22"/>
    </row>
    <row r="23" spans="1:11" ht="15" x14ac:dyDescent="0.25">
      <c r="A23"/>
      <c r="B23"/>
      <c r="C23"/>
      <c r="D23"/>
      <c r="E23"/>
      <c r="F23"/>
      <c r="G23"/>
      <c r="H23"/>
      <c r="I23"/>
      <c r="J23"/>
      <c r="K23"/>
    </row>
    <row r="24" spans="1:11" ht="15" x14ac:dyDescent="0.25">
      <c r="A24"/>
      <c r="B24"/>
      <c r="C24"/>
      <c r="D24"/>
      <c r="E24"/>
      <c r="F24"/>
      <c r="G24"/>
      <c r="H24"/>
      <c r="I24"/>
      <c r="J24"/>
      <c r="K24"/>
    </row>
    <row r="25" spans="1:11" ht="15" x14ac:dyDescent="0.25">
      <c r="A25"/>
      <c r="B25"/>
      <c r="C25"/>
      <c r="D25"/>
      <c r="E25"/>
      <c r="F25"/>
      <c r="G25"/>
      <c r="H25"/>
      <c r="I25"/>
      <c r="J25"/>
      <c r="K25"/>
    </row>
    <row r="26" spans="1:11" ht="15" x14ac:dyDescent="0.25">
      <c r="A26"/>
      <c r="B26"/>
      <c r="C26"/>
      <c r="D26"/>
      <c r="E26"/>
      <c r="F26"/>
      <c r="G26"/>
      <c r="H26"/>
      <c r="I26"/>
      <c r="J26"/>
      <c r="K26"/>
    </row>
    <row r="27" spans="1:11" ht="15" x14ac:dyDescent="0.25">
      <c r="A27"/>
      <c r="B27"/>
      <c r="C27"/>
      <c r="D27"/>
      <c r="E27"/>
      <c r="F27"/>
      <c r="G27"/>
      <c r="H27"/>
      <c r="I27"/>
      <c r="J27"/>
      <c r="K27"/>
    </row>
    <row r="28" spans="1:11" ht="15" x14ac:dyDescent="0.25">
      <c r="A28"/>
      <c r="B28"/>
      <c r="C28"/>
      <c r="D28"/>
      <c r="E28"/>
      <c r="F28"/>
      <c r="G28"/>
      <c r="H28"/>
      <c r="I28"/>
      <c r="J28"/>
      <c r="K28"/>
    </row>
    <row r="29" spans="1:11" ht="15" x14ac:dyDescent="0.25">
      <c r="A29"/>
      <c r="B29"/>
      <c r="C29"/>
      <c r="D29"/>
      <c r="E29"/>
      <c r="F29"/>
      <c r="G29"/>
      <c r="H29"/>
      <c r="I29"/>
      <c r="J29"/>
      <c r="K29"/>
    </row>
    <row r="30" spans="1:11" ht="15" x14ac:dyDescent="0.25">
      <c r="A30"/>
      <c r="B30"/>
      <c r="C30"/>
      <c r="D30"/>
      <c r="E30"/>
      <c r="F30"/>
      <c r="G30"/>
      <c r="H30"/>
      <c r="I30"/>
      <c r="J30"/>
      <c r="K30"/>
    </row>
    <row r="31" spans="1:11" ht="15" x14ac:dyDescent="0.25">
      <c r="A31"/>
      <c r="B31"/>
      <c r="C31"/>
      <c r="D31"/>
      <c r="E31"/>
      <c r="F31"/>
      <c r="G31"/>
      <c r="H31"/>
      <c r="I31"/>
      <c r="J31"/>
      <c r="K31"/>
    </row>
    <row r="32" spans="1:11" ht="15" x14ac:dyDescent="0.25">
      <c r="A32"/>
      <c r="B32"/>
      <c r="C32"/>
      <c r="D32"/>
      <c r="E32"/>
      <c r="F32"/>
      <c r="G32"/>
      <c r="H32"/>
      <c r="I32"/>
      <c r="J32"/>
      <c r="K32"/>
    </row>
    <row r="33" spans="1:11" ht="15" x14ac:dyDescent="0.25">
      <c r="A33"/>
      <c r="B33"/>
      <c r="C33"/>
      <c r="D33"/>
      <c r="E33"/>
      <c r="F33"/>
      <c r="G33"/>
      <c r="H33"/>
      <c r="I33"/>
      <c r="J33"/>
      <c r="K33"/>
    </row>
    <row r="34" spans="1:11" ht="15" x14ac:dyDescent="0.25">
      <c r="A34"/>
      <c r="B34"/>
      <c r="C34"/>
      <c r="D34"/>
      <c r="E34"/>
      <c r="F34"/>
      <c r="G34"/>
      <c r="H34"/>
      <c r="I34"/>
      <c r="J34"/>
      <c r="K34"/>
    </row>
    <row r="35" spans="1:11" ht="15" x14ac:dyDescent="0.25">
      <c r="A35"/>
      <c r="B35"/>
      <c r="C35"/>
      <c r="D35"/>
      <c r="E35"/>
      <c r="F35"/>
      <c r="G35"/>
      <c r="H35"/>
      <c r="I35"/>
      <c r="J35"/>
      <c r="K35"/>
    </row>
    <row r="36" spans="1:11" ht="15" x14ac:dyDescent="0.25">
      <c r="A36"/>
      <c r="B36"/>
      <c r="C36"/>
      <c r="D36"/>
      <c r="E36"/>
      <c r="F36"/>
      <c r="G36"/>
      <c r="H36"/>
      <c r="I36"/>
      <c r="J36"/>
      <c r="K36"/>
    </row>
    <row r="37" spans="1:11" ht="15" x14ac:dyDescent="0.25">
      <c r="A37"/>
      <c r="B37"/>
      <c r="C37"/>
      <c r="D37"/>
      <c r="E37"/>
      <c r="F37"/>
      <c r="G37"/>
      <c r="H37"/>
      <c r="I37"/>
      <c r="J37"/>
      <c r="K37"/>
    </row>
    <row r="38" spans="1:11" ht="15" x14ac:dyDescent="0.25">
      <c r="A38"/>
      <c r="B38"/>
      <c r="C38"/>
      <c r="D38"/>
      <c r="E38"/>
      <c r="F38"/>
      <c r="G38"/>
      <c r="H38"/>
      <c r="I38"/>
      <c r="J38"/>
      <c r="K38"/>
    </row>
    <row r="39" spans="1:11" ht="15" x14ac:dyDescent="0.25">
      <c r="A39"/>
      <c r="B39"/>
      <c r="C39"/>
      <c r="D39"/>
      <c r="E39"/>
      <c r="F39"/>
      <c r="G39"/>
      <c r="H39"/>
      <c r="I39"/>
      <c r="J39"/>
      <c r="K39"/>
    </row>
    <row r="40" spans="1:11" ht="15" x14ac:dyDescent="0.25">
      <c r="A40"/>
      <c r="B40"/>
      <c r="C40"/>
      <c r="D40"/>
      <c r="E40"/>
      <c r="F40"/>
      <c r="G40"/>
      <c r="H40"/>
      <c r="I40"/>
      <c r="J40"/>
      <c r="K40"/>
    </row>
    <row r="41" spans="1:11" ht="15" x14ac:dyDescent="0.25">
      <c r="A41"/>
      <c r="B41"/>
      <c r="C41"/>
      <c r="D41"/>
      <c r="E41"/>
      <c r="F41"/>
      <c r="G41"/>
      <c r="H41"/>
      <c r="I41"/>
      <c r="J41"/>
      <c r="K41"/>
    </row>
    <row r="42" spans="1:11" ht="15" x14ac:dyDescent="0.25">
      <c r="A42"/>
      <c r="B42"/>
      <c r="C42"/>
      <c r="D42"/>
      <c r="E42"/>
      <c r="F42"/>
      <c r="G42"/>
      <c r="H42"/>
      <c r="I42"/>
      <c r="J42"/>
      <c r="K42"/>
    </row>
    <row r="43" spans="1:11" ht="15" x14ac:dyDescent="0.25">
      <c r="A43"/>
      <c r="B43"/>
      <c r="C43"/>
      <c r="D43"/>
      <c r="E43"/>
      <c r="F43"/>
      <c r="G43"/>
      <c r="H43"/>
      <c r="I43"/>
      <c r="J43"/>
      <c r="K43"/>
    </row>
    <row r="44" spans="1:11" ht="15" x14ac:dyDescent="0.25">
      <c r="A44"/>
      <c r="B44"/>
      <c r="C44"/>
      <c r="D44"/>
      <c r="E44"/>
      <c r="F44"/>
      <c r="G44"/>
      <c r="H44"/>
      <c r="I44"/>
      <c r="J44"/>
      <c r="K44"/>
    </row>
    <row r="45" spans="1:11" ht="15.75" thickBot="1" x14ac:dyDescent="0.3">
      <c r="A45"/>
      <c r="B45"/>
      <c r="C45"/>
      <c r="D45"/>
      <c r="E45"/>
      <c r="F45"/>
      <c r="G45"/>
      <c r="H45"/>
      <c r="I45"/>
      <c r="J45"/>
      <c r="K45"/>
    </row>
    <row r="46" spans="1:11" ht="15.75" thickTop="1" x14ac:dyDescent="0.25">
      <c r="A46"/>
      <c r="B46"/>
      <c r="C46"/>
      <c r="D46"/>
      <c r="E46"/>
      <c r="F46"/>
      <c r="G46"/>
      <c r="H46"/>
      <c r="I46"/>
      <c r="J46"/>
      <c r="K46"/>
    </row>
    <row r="47" spans="1:11" ht="15" x14ac:dyDescent="0.25">
      <c r="A47"/>
      <c r="B47"/>
      <c r="C47"/>
      <c r="D47"/>
      <c r="E47"/>
      <c r="F47"/>
      <c r="G47"/>
      <c r="H47"/>
      <c r="I47"/>
      <c r="J47"/>
      <c r="K47"/>
    </row>
    <row r="48" spans="1:11" ht="15" x14ac:dyDescent="0.25">
      <c r="A48"/>
      <c r="B48"/>
      <c r="C48"/>
      <c r="D48"/>
      <c r="E48"/>
      <c r="F48"/>
      <c r="G48"/>
      <c r="H48"/>
      <c r="I48"/>
      <c r="J48"/>
      <c r="K48"/>
    </row>
    <row r="49" spans="1:11" ht="15" x14ac:dyDescent="0.25">
      <c r="A49"/>
      <c r="B49"/>
      <c r="C49"/>
      <c r="D49"/>
      <c r="E49"/>
      <c r="F49"/>
      <c r="G49"/>
      <c r="H49"/>
      <c r="I49"/>
      <c r="J49"/>
      <c r="K49"/>
    </row>
    <row r="50" spans="1:11" ht="15" x14ac:dyDescent="0.25">
      <c r="A50"/>
      <c r="B50"/>
      <c r="C50"/>
      <c r="D50"/>
      <c r="E50"/>
      <c r="F50"/>
      <c r="G50"/>
      <c r="H50"/>
      <c r="I50"/>
      <c r="J50"/>
      <c r="K50"/>
    </row>
    <row r="51" spans="1:11" ht="15" x14ac:dyDescent="0.25">
      <c r="A51"/>
      <c r="B51"/>
      <c r="C51"/>
      <c r="D51"/>
      <c r="E51"/>
      <c r="F51"/>
      <c r="G51"/>
      <c r="H51"/>
      <c r="I51"/>
      <c r="J51"/>
      <c r="K51"/>
    </row>
    <row r="52" spans="1:11" ht="15" x14ac:dyDescent="0.25">
      <c r="A52"/>
      <c r="B52"/>
      <c r="C52"/>
      <c r="D52"/>
      <c r="E52"/>
      <c r="F52"/>
      <c r="G52"/>
      <c r="H52"/>
      <c r="I52"/>
      <c r="J52"/>
      <c r="K52"/>
    </row>
    <row r="53" spans="1:11" ht="15" x14ac:dyDescent="0.25">
      <c r="A53"/>
      <c r="B53"/>
      <c r="C53"/>
      <c r="D53"/>
      <c r="E53"/>
      <c r="F53"/>
      <c r="G53"/>
      <c r="H53"/>
      <c r="I53"/>
      <c r="J53"/>
      <c r="K53"/>
    </row>
    <row r="54" spans="1:11" ht="15" x14ac:dyDescent="0.25">
      <c r="A54"/>
      <c r="B54"/>
      <c r="C54"/>
      <c r="D54"/>
      <c r="E54"/>
      <c r="F54"/>
      <c r="G54"/>
      <c r="H54"/>
      <c r="I54"/>
      <c r="J54"/>
      <c r="K54"/>
    </row>
    <row r="55" spans="1:11" ht="15.75" thickBot="1" x14ac:dyDescent="0.3">
      <c r="A55"/>
      <c r="B55"/>
      <c r="C55"/>
      <c r="D55"/>
      <c r="E55"/>
      <c r="F55"/>
      <c r="G55"/>
      <c r="H55"/>
      <c r="I55"/>
      <c r="J55"/>
      <c r="K55"/>
    </row>
    <row r="56" spans="1:11" ht="15.75" thickTop="1" x14ac:dyDescent="0.25">
      <c r="A56"/>
      <c r="B56"/>
      <c r="C56"/>
      <c r="D56"/>
      <c r="E56"/>
      <c r="F56"/>
      <c r="G56"/>
      <c r="H56"/>
      <c r="I56"/>
      <c r="J56"/>
      <c r="K56"/>
    </row>
    <row r="57" spans="1:11" ht="15.75" thickBot="1" x14ac:dyDescent="0.3">
      <c r="A57"/>
      <c r="B57"/>
      <c r="C57"/>
      <c r="D57"/>
      <c r="E57"/>
      <c r="F57"/>
      <c r="G57"/>
      <c r="H57"/>
      <c r="I57"/>
      <c r="J57"/>
      <c r="K57"/>
    </row>
    <row r="58" spans="1:11" ht="13.5" thickTop="1" x14ac:dyDescent="0.2">
      <c r="E58" s="22"/>
      <c r="F58" s="22"/>
    </row>
    <row r="59" spans="1:11" x14ac:dyDescent="0.2">
      <c r="E59" s="22"/>
      <c r="F59" s="22"/>
    </row>
    <row r="60" spans="1:11" x14ac:dyDescent="0.2">
      <c r="E60" s="22"/>
      <c r="F60" s="22"/>
    </row>
    <row r="61" spans="1:11" x14ac:dyDescent="0.2">
      <c r="E61" s="22"/>
      <c r="F61" s="22"/>
    </row>
    <row r="62" spans="1:11" x14ac:dyDescent="0.2">
      <c r="E62" s="22"/>
      <c r="F62" s="22"/>
    </row>
    <row r="63" spans="1:11" x14ac:dyDescent="0.2">
      <c r="E63" s="22"/>
      <c r="F63" s="22"/>
    </row>
    <row r="64" spans="1:11" x14ac:dyDescent="0.2">
      <c r="E64" s="22"/>
      <c r="F64" s="22"/>
    </row>
    <row r="65" spans="5:6" x14ac:dyDescent="0.2">
      <c r="E65" s="22"/>
      <c r="F65" s="22"/>
    </row>
    <row r="66" spans="5:6" x14ac:dyDescent="0.2">
      <c r="E66" s="22"/>
      <c r="F66" s="22"/>
    </row>
    <row r="67" spans="5:6" x14ac:dyDescent="0.2">
      <c r="E67" s="22"/>
      <c r="F67" s="22"/>
    </row>
    <row r="68" spans="5:6" x14ac:dyDescent="0.2">
      <c r="E68" s="22"/>
      <c r="F68" s="22"/>
    </row>
    <row r="69" spans="5:6" x14ac:dyDescent="0.2">
      <c r="E69" s="22"/>
      <c r="F69" s="22"/>
    </row>
    <row r="70" spans="5:6" x14ac:dyDescent="0.2">
      <c r="E70" s="22"/>
      <c r="F70" s="22"/>
    </row>
    <row r="71" spans="5:6" x14ac:dyDescent="0.2">
      <c r="E71" s="22"/>
      <c r="F71" s="22"/>
    </row>
    <row r="72" spans="5:6" x14ac:dyDescent="0.2">
      <c r="E72" s="22"/>
      <c r="F72" s="22"/>
    </row>
    <row r="73" spans="5:6" x14ac:dyDescent="0.2">
      <c r="E73" s="22"/>
      <c r="F73" s="22"/>
    </row>
    <row r="74" spans="5:6" x14ac:dyDescent="0.2">
      <c r="E74" s="22"/>
      <c r="F74" s="22"/>
    </row>
    <row r="75" spans="5:6" x14ac:dyDescent="0.2">
      <c r="E75" s="22"/>
      <c r="F75" s="22"/>
    </row>
    <row r="76" spans="5:6" x14ac:dyDescent="0.2">
      <c r="E76" s="22"/>
      <c r="F76" s="22"/>
    </row>
    <row r="77" spans="5:6" x14ac:dyDescent="0.2">
      <c r="E77" s="22"/>
      <c r="F77" s="22"/>
    </row>
    <row r="78" spans="5:6" x14ac:dyDescent="0.2">
      <c r="E78" s="22"/>
      <c r="F78" s="22"/>
    </row>
    <row r="79" spans="5:6" x14ac:dyDescent="0.2">
      <c r="E79" s="22"/>
      <c r="F79" s="22"/>
    </row>
    <row r="80" spans="5:6" x14ac:dyDescent="0.2">
      <c r="E80" s="22"/>
      <c r="F80" s="22"/>
    </row>
    <row r="81" spans="5:6" x14ac:dyDescent="0.2">
      <c r="E81" s="22"/>
      <c r="F81" s="22"/>
    </row>
    <row r="82" spans="5:6" x14ac:dyDescent="0.2">
      <c r="E82" s="22"/>
      <c r="F82" s="22"/>
    </row>
    <row r="83" spans="5:6" x14ac:dyDescent="0.2">
      <c r="E83" s="22"/>
      <c r="F83" s="22"/>
    </row>
    <row r="84" spans="5:6" x14ac:dyDescent="0.2">
      <c r="E84" s="22"/>
      <c r="F84" s="22"/>
    </row>
    <row r="85" spans="5:6" x14ac:dyDescent="0.2">
      <c r="E85" s="22"/>
      <c r="F85" s="22"/>
    </row>
    <row r="86" spans="5:6" x14ac:dyDescent="0.2">
      <c r="E86" s="22"/>
      <c r="F86" s="22"/>
    </row>
    <row r="87" spans="5:6" x14ac:dyDescent="0.2">
      <c r="E87" s="22"/>
      <c r="F87" s="22"/>
    </row>
    <row r="88" spans="5:6" x14ac:dyDescent="0.2">
      <c r="E88" s="22"/>
      <c r="F88" s="22"/>
    </row>
    <row r="89" spans="5:6" x14ac:dyDescent="0.2">
      <c r="E89" s="22"/>
      <c r="F89" s="22"/>
    </row>
    <row r="90" spans="5:6" x14ac:dyDescent="0.2">
      <c r="E90" s="22"/>
      <c r="F90" s="22"/>
    </row>
    <row r="91" spans="5:6" x14ac:dyDescent="0.2">
      <c r="E91" s="22"/>
      <c r="F91" s="22"/>
    </row>
    <row r="92" spans="5:6" x14ac:dyDescent="0.2">
      <c r="E92" s="22"/>
      <c r="F92" s="22"/>
    </row>
    <row r="93" spans="5:6" x14ac:dyDescent="0.2">
      <c r="E93" s="22"/>
      <c r="F93" s="22"/>
    </row>
    <row r="94" spans="5:6" x14ac:dyDescent="0.2">
      <c r="E94" s="22"/>
      <c r="F94" s="22"/>
    </row>
    <row r="95" spans="5:6" x14ac:dyDescent="0.2">
      <c r="E95" s="22"/>
      <c r="F95" s="22"/>
    </row>
    <row r="96" spans="5:6" x14ac:dyDescent="0.2">
      <c r="E96" s="22"/>
      <c r="F96" s="22"/>
    </row>
    <row r="97" spans="5:6" x14ac:dyDescent="0.2">
      <c r="E97" s="22"/>
      <c r="F97" s="22"/>
    </row>
    <row r="98" spans="5:6" x14ac:dyDescent="0.2">
      <c r="E98" s="22"/>
      <c r="F98" s="22"/>
    </row>
    <row r="99" spans="5:6" x14ac:dyDescent="0.2">
      <c r="E99" s="22"/>
      <c r="F99" s="22"/>
    </row>
    <row r="100" spans="5:6" x14ac:dyDescent="0.2">
      <c r="E100" s="22"/>
      <c r="F100" s="22"/>
    </row>
    <row r="101" spans="5:6" x14ac:dyDescent="0.2">
      <c r="E101" s="22"/>
      <c r="F101" s="22"/>
    </row>
    <row r="102" spans="5:6" x14ac:dyDescent="0.2">
      <c r="E102" s="22"/>
      <c r="F102" s="22"/>
    </row>
    <row r="103" spans="5:6" x14ac:dyDescent="0.2">
      <c r="E103" s="22"/>
      <c r="F103" s="22"/>
    </row>
    <row r="104" spans="5:6" x14ac:dyDescent="0.2">
      <c r="E104" s="22"/>
      <c r="F104" s="22"/>
    </row>
    <row r="105" spans="5:6" x14ac:dyDescent="0.2">
      <c r="E105" s="22"/>
      <c r="F105" s="22"/>
    </row>
    <row r="106" spans="5:6" x14ac:dyDescent="0.2">
      <c r="E106" s="22"/>
      <c r="F106" s="22"/>
    </row>
    <row r="107" spans="5:6" x14ac:dyDescent="0.2">
      <c r="E107" s="22"/>
      <c r="F107" s="22"/>
    </row>
    <row r="108" spans="5:6" x14ac:dyDescent="0.2">
      <c r="E108" s="22"/>
      <c r="F108" s="22"/>
    </row>
    <row r="109" spans="5:6" x14ac:dyDescent="0.2">
      <c r="E109" s="22"/>
      <c r="F109" s="22"/>
    </row>
    <row r="110" spans="5:6" x14ac:dyDescent="0.2">
      <c r="E110" s="22"/>
      <c r="F110" s="22"/>
    </row>
    <row r="111" spans="5:6" x14ac:dyDescent="0.2">
      <c r="E111" s="22"/>
      <c r="F111" s="22"/>
    </row>
    <row r="112" spans="5:6" x14ac:dyDescent="0.2">
      <c r="E112" s="22"/>
      <c r="F112" s="22"/>
    </row>
    <row r="113" spans="5:6" x14ac:dyDescent="0.2">
      <c r="E113" s="22"/>
      <c r="F113" s="22"/>
    </row>
    <row r="114" spans="5:6" x14ac:dyDescent="0.2">
      <c r="E114" s="22"/>
      <c r="F114" s="22"/>
    </row>
    <row r="115" spans="5:6" x14ac:dyDescent="0.2">
      <c r="E115" s="22"/>
      <c r="F115" s="22"/>
    </row>
    <row r="116" spans="5:6" x14ac:dyDescent="0.2">
      <c r="E116" s="22"/>
      <c r="F116" s="22"/>
    </row>
    <row r="117" spans="5:6" x14ac:dyDescent="0.2">
      <c r="E117" s="22"/>
      <c r="F117" s="22"/>
    </row>
    <row r="118" spans="5:6" x14ac:dyDescent="0.2">
      <c r="E118" s="22"/>
      <c r="F118" s="22"/>
    </row>
    <row r="119" spans="5:6" x14ac:dyDescent="0.2">
      <c r="E119" s="22"/>
      <c r="F119" s="22"/>
    </row>
    <row r="120" spans="5:6" x14ac:dyDescent="0.2">
      <c r="E120" s="22"/>
      <c r="F120" s="22"/>
    </row>
    <row r="121" spans="5:6" x14ac:dyDescent="0.2">
      <c r="E121" s="22"/>
      <c r="F121" s="22"/>
    </row>
    <row r="122" spans="5:6" x14ac:dyDescent="0.2">
      <c r="E122" s="22"/>
      <c r="F122" s="22"/>
    </row>
    <row r="123" spans="5:6" x14ac:dyDescent="0.2">
      <c r="E123" s="22"/>
      <c r="F123" s="22"/>
    </row>
    <row r="124" spans="5:6" x14ac:dyDescent="0.2">
      <c r="E124" s="22"/>
      <c r="F124" s="22"/>
    </row>
    <row r="125" spans="5:6" x14ac:dyDescent="0.2">
      <c r="E125" s="22"/>
      <c r="F125" s="22"/>
    </row>
    <row r="126" spans="5:6" x14ac:dyDescent="0.2">
      <c r="E126" s="22"/>
      <c r="F126" s="22"/>
    </row>
    <row r="127" spans="5:6" x14ac:dyDescent="0.2">
      <c r="E127" s="22"/>
      <c r="F127" s="22"/>
    </row>
    <row r="128" spans="5:6" x14ac:dyDescent="0.2">
      <c r="E128" s="22"/>
      <c r="F128" s="22"/>
    </row>
    <row r="129" spans="5:6" x14ac:dyDescent="0.2">
      <c r="E129" s="22"/>
      <c r="F129" s="22"/>
    </row>
    <row r="130" spans="5:6" x14ac:dyDescent="0.2">
      <c r="E130" s="22"/>
      <c r="F130" s="22"/>
    </row>
    <row r="131" spans="5:6" x14ac:dyDescent="0.2">
      <c r="E131" s="22"/>
      <c r="F131" s="22"/>
    </row>
    <row r="132" spans="5:6" x14ac:dyDescent="0.2">
      <c r="E132" s="22"/>
      <c r="F132" s="22"/>
    </row>
    <row r="133" spans="5:6" x14ac:dyDescent="0.2">
      <c r="E133" s="22"/>
      <c r="F133" s="22"/>
    </row>
    <row r="134" spans="5:6" x14ac:dyDescent="0.2">
      <c r="E134" s="22"/>
      <c r="F134" s="22"/>
    </row>
    <row r="135" spans="5:6" x14ac:dyDescent="0.2">
      <c r="E135" s="22"/>
      <c r="F135" s="22"/>
    </row>
    <row r="136" spans="5:6" x14ac:dyDescent="0.2">
      <c r="E136" s="22"/>
      <c r="F136" s="22"/>
    </row>
    <row r="137" spans="5:6" x14ac:dyDescent="0.2">
      <c r="E137" s="22"/>
      <c r="F137" s="22"/>
    </row>
    <row r="138" spans="5:6" x14ac:dyDescent="0.2">
      <c r="E138" s="22"/>
      <c r="F138" s="22"/>
    </row>
    <row r="139" spans="5:6" x14ac:dyDescent="0.2">
      <c r="E139" s="22"/>
      <c r="F139" s="22"/>
    </row>
    <row r="140" spans="5:6" x14ac:dyDescent="0.2">
      <c r="E140" s="22"/>
      <c r="F140" s="22"/>
    </row>
    <row r="141" spans="5:6" x14ac:dyDescent="0.2">
      <c r="E141" s="22"/>
      <c r="F141" s="22"/>
    </row>
    <row r="142" spans="5:6" x14ac:dyDescent="0.2">
      <c r="E142" s="22"/>
      <c r="F142" s="22"/>
    </row>
    <row r="143" spans="5:6" x14ac:dyDescent="0.2">
      <c r="E143" s="22"/>
      <c r="F143" s="22"/>
    </row>
    <row r="144" spans="5:6" x14ac:dyDescent="0.2">
      <c r="E144" s="22"/>
      <c r="F144" s="22"/>
    </row>
    <row r="145" spans="5:6" x14ac:dyDescent="0.2">
      <c r="E145" s="22"/>
      <c r="F145" s="22"/>
    </row>
    <row r="146" spans="5:6" x14ac:dyDescent="0.2">
      <c r="E146" s="22"/>
      <c r="F146" s="22"/>
    </row>
    <row r="147" spans="5:6" x14ac:dyDescent="0.2">
      <c r="E147" s="22"/>
      <c r="F147" s="22"/>
    </row>
    <row r="148" spans="5:6" x14ac:dyDescent="0.2">
      <c r="E148" s="22"/>
      <c r="F148" s="22"/>
    </row>
    <row r="149" spans="5:6" x14ac:dyDescent="0.2">
      <c r="E149" s="22"/>
      <c r="F149" s="22"/>
    </row>
    <row r="150" spans="5:6" x14ac:dyDescent="0.2">
      <c r="E150" s="22"/>
      <c r="F150" s="22"/>
    </row>
    <row r="151" spans="5:6" x14ac:dyDescent="0.2">
      <c r="E151" s="22"/>
      <c r="F151" s="22"/>
    </row>
    <row r="152" spans="5:6" x14ac:dyDescent="0.2">
      <c r="E152" s="22"/>
      <c r="F152" s="22"/>
    </row>
    <row r="153" spans="5:6" x14ac:dyDescent="0.2">
      <c r="E153" s="22"/>
      <c r="F153" s="22"/>
    </row>
    <row r="154" spans="5:6" x14ac:dyDescent="0.2">
      <c r="E154" s="22"/>
      <c r="F154" s="22"/>
    </row>
    <row r="155" spans="5:6" x14ac:dyDescent="0.2">
      <c r="E155" s="22"/>
      <c r="F155" s="22"/>
    </row>
    <row r="156" spans="5:6" x14ac:dyDescent="0.2">
      <c r="E156" s="22"/>
      <c r="F156" s="22"/>
    </row>
    <row r="157" spans="5:6" x14ac:dyDescent="0.2">
      <c r="E157" s="22"/>
      <c r="F157" s="22"/>
    </row>
    <row r="158" spans="5:6" x14ac:dyDescent="0.2">
      <c r="E158" s="22"/>
      <c r="F158" s="22"/>
    </row>
    <row r="159" spans="5:6" x14ac:dyDescent="0.2">
      <c r="E159" s="22"/>
      <c r="F159" s="22"/>
    </row>
    <row r="160" spans="5:6" x14ac:dyDescent="0.2">
      <c r="E160" s="22"/>
      <c r="F160" s="22"/>
    </row>
    <row r="161" spans="5:6" x14ac:dyDescent="0.2">
      <c r="E161" s="22"/>
      <c r="F161" s="22"/>
    </row>
    <row r="162" spans="5:6" x14ac:dyDescent="0.2">
      <c r="E162" s="22"/>
      <c r="F162" s="22"/>
    </row>
    <row r="163" spans="5:6" x14ac:dyDescent="0.2">
      <c r="E163" s="22"/>
      <c r="F163" s="22"/>
    </row>
    <row r="164" spans="5:6" x14ac:dyDescent="0.2">
      <c r="E164" s="22"/>
      <c r="F164" s="22"/>
    </row>
    <row r="165" spans="5:6" x14ac:dyDescent="0.2">
      <c r="E165" s="22"/>
      <c r="F165" s="22"/>
    </row>
    <row r="166" spans="5:6" x14ac:dyDescent="0.2">
      <c r="E166" s="22"/>
      <c r="F166" s="22"/>
    </row>
    <row r="167" spans="5:6" x14ac:dyDescent="0.2">
      <c r="E167" s="22"/>
      <c r="F167" s="22"/>
    </row>
    <row r="168" spans="5:6" x14ac:dyDescent="0.2">
      <c r="E168" s="22"/>
      <c r="F168" s="22"/>
    </row>
    <row r="169" spans="5:6" x14ac:dyDescent="0.2">
      <c r="E169" s="22"/>
      <c r="F169" s="22"/>
    </row>
    <row r="170" spans="5:6" x14ac:dyDescent="0.2">
      <c r="E170" s="22"/>
      <c r="F170" s="22"/>
    </row>
    <row r="171" spans="5:6" x14ac:dyDescent="0.2">
      <c r="E171" s="22"/>
      <c r="F171" s="22"/>
    </row>
    <row r="172" spans="5:6" x14ac:dyDescent="0.2">
      <c r="E172" s="22"/>
      <c r="F172" s="22"/>
    </row>
    <row r="173" spans="5:6" x14ac:dyDescent="0.2">
      <c r="E173" s="22"/>
      <c r="F173" s="22"/>
    </row>
    <row r="174" spans="5:6" x14ac:dyDescent="0.2">
      <c r="E174" s="22"/>
      <c r="F174" s="22"/>
    </row>
    <row r="175" spans="5:6" x14ac:dyDescent="0.2">
      <c r="E175" s="22"/>
      <c r="F175" s="22"/>
    </row>
    <row r="176" spans="5:6" x14ac:dyDescent="0.2">
      <c r="E176" s="22"/>
      <c r="F176" s="22"/>
    </row>
    <row r="177" spans="5:6" x14ac:dyDescent="0.2">
      <c r="E177" s="22"/>
      <c r="F177" s="22"/>
    </row>
    <row r="178" spans="5:6" x14ac:dyDescent="0.2">
      <c r="E178" s="22"/>
      <c r="F178" s="22"/>
    </row>
    <row r="179" spans="5:6" x14ac:dyDescent="0.2">
      <c r="E179" s="22"/>
      <c r="F179" s="22"/>
    </row>
    <row r="180" spans="5:6" x14ac:dyDescent="0.2">
      <c r="E180" s="22"/>
      <c r="F180" s="22"/>
    </row>
    <row r="181" spans="5:6" x14ac:dyDescent="0.2">
      <c r="E181" s="22"/>
      <c r="F181" s="22"/>
    </row>
    <row r="182" spans="5:6" x14ac:dyDescent="0.2">
      <c r="E182" s="22"/>
      <c r="F182" s="22"/>
    </row>
    <row r="183" spans="5:6" x14ac:dyDescent="0.2">
      <c r="E183" s="22"/>
      <c r="F183" s="22"/>
    </row>
    <row r="184" spans="5:6" x14ac:dyDescent="0.2">
      <c r="E184" s="22"/>
      <c r="F184" s="22"/>
    </row>
    <row r="185" spans="5:6" x14ac:dyDescent="0.2">
      <c r="E185" s="22"/>
      <c r="F185" s="22"/>
    </row>
    <row r="186" spans="5:6" x14ac:dyDescent="0.2">
      <c r="E186" s="22"/>
      <c r="F186" s="22"/>
    </row>
    <row r="187" spans="5:6" x14ac:dyDescent="0.2">
      <c r="E187" s="22"/>
      <c r="F187" s="22"/>
    </row>
    <row r="188" spans="5:6" x14ac:dyDescent="0.2">
      <c r="E188" s="22"/>
      <c r="F188" s="22"/>
    </row>
    <row r="189" spans="5:6" x14ac:dyDescent="0.2">
      <c r="E189" s="22"/>
      <c r="F189" s="22"/>
    </row>
    <row r="190" spans="5:6" x14ac:dyDescent="0.2">
      <c r="E190" s="22"/>
      <c r="F190" s="22"/>
    </row>
    <row r="191" spans="5:6" x14ac:dyDescent="0.2">
      <c r="E191" s="22"/>
      <c r="F191" s="22"/>
    </row>
    <row r="192" spans="5:6" x14ac:dyDescent="0.2">
      <c r="E192" s="22"/>
      <c r="F192" s="22"/>
    </row>
    <row r="193" spans="5:6" x14ac:dyDescent="0.2">
      <c r="E193" s="22"/>
      <c r="F193" s="22"/>
    </row>
    <row r="194" spans="5:6" x14ac:dyDescent="0.2">
      <c r="E194" s="22"/>
      <c r="F194" s="22"/>
    </row>
    <row r="195" spans="5:6" x14ac:dyDescent="0.2">
      <c r="E195" s="22"/>
      <c r="F195" s="22"/>
    </row>
    <row r="196" spans="5:6" x14ac:dyDescent="0.2">
      <c r="E196" s="22"/>
      <c r="F196" s="22"/>
    </row>
    <row r="197" spans="5:6" x14ac:dyDescent="0.2">
      <c r="E197" s="22"/>
      <c r="F197" s="22"/>
    </row>
    <row r="198" spans="5:6" x14ac:dyDescent="0.2">
      <c r="E198" s="22"/>
      <c r="F198" s="22"/>
    </row>
    <row r="199" spans="5:6" x14ac:dyDescent="0.2">
      <c r="E199" s="22"/>
      <c r="F199" s="22"/>
    </row>
    <row r="200" spans="5:6" x14ac:dyDescent="0.2">
      <c r="E200" s="22"/>
      <c r="F200" s="22"/>
    </row>
    <row r="201" spans="5:6" x14ac:dyDescent="0.2">
      <c r="E201" s="22"/>
      <c r="F201" s="22"/>
    </row>
    <row r="202" spans="5:6" x14ac:dyDescent="0.2">
      <c r="E202" s="22"/>
      <c r="F202" s="22"/>
    </row>
    <row r="203" spans="5:6" x14ac:dyDescent="0.2">
      <c r="E203" s="22"/>
      <c r="F203" s="22"/>
    </row>
    <row r="204" spans="5:6" x14ac:dyDescent="0.2">
      <c r="E204" s="22"/>
      <c r="F204" s="22"/>
    </row>
    <row r="205" spans="5:6" x14ac:dyDescent="0.2">
      <c r="E205" s="22"/>
      <c r="F205" s="22"/>
    </row>
    <row r="206" spans="5:6" x14ac:dyDescent="0.2">
      <c r="E206" s="22"/>
      <c r="F206" s="22"/>
    </row>
    <row r="207" spans="5:6" x14ac:dyDescent="0.2">
      <c r="E207" s="22"/>
      <c r="F207" s="22"/>
    </row>
    <row r="208" spans="5:6" x14ac:dyDescent="0.2">
      <c r="E208" s="22"/>
      <c r="F208" s="22"/>
    </row>
    <row r="209" spans="5:6" x14ac:dyDescent="0.2">
      <c r="E209" s="22"/>
      <c r="F209" s="22"/>
    </row>
    <row r="210" spans="5:6" x14ac:dyDescent="0.2">
      <c r="E210" s="22"/>
      <c r="F210" s="22"/>
    </row>
    <row r="211" spans="5:6" x14ac:dyDescent="0.2">
      <c r="E211" s="22"/>
      <c r="F211" s="22"/>
    </row>
    <row r="212" spans="5:6" x14ac:dyDescent="0.2">
      <c r="E212" s="22"/>
      <c r="F212" s="22"/>
    </row>
    <row r="213" spans="5:6" x14ac:dyDescent="0.2">
      <c r="E213" s="22"/>
      <c r="F213" s="22"/>
    </row>
    <row r="214" spans="5:6" x14ac:dyDescent="0.2">
      <c r="E214" s="22"/>
      <c r="F214" s="22"/>
    </row>
    <row r="215" spans="5:6" x14ac:dyDescent="0.2">
      <c r="E215" s="22"/>
      <c r="F215" s="22"/>
    </row>
    <row r="216" spans="5:6" x14ac:dyDescent="0.2">
      <c r="E216" s="22"/>
      <c r="F216" s="22"/>
    </row>
    <row r="217" spans="5:6" x14ac:dyDescent="0.2">
      <c r="E217" s="22"/>
      <c r="F217" s="22"/>
    </row>
    <row r="218" spans="5:6" x14ac:dyDescent="0.2">
      <c r="E218" s="22"/>
      <c r="F218" s="22"/>
    </row>
    <row r="219" spans="5:6" x14ac:dyDescent="0.2">
      <c r="E219" s="22"/>
      <c r="F219" s="22"/>
    </row>
    <row r="220" spans="5:6" x14ac:dyDescent="0.2">
      <c r="E220" s="22"/>
      <c r="F220" s="22"/>
    </row>
    <row r="221" spans="5:6" x14ac:dyDescent="0.2">
      <c r="E221" s="22"/>
      <c r="F221" s="22"/>
    </row>
    <row r="222" spans="5:6" x14ac:dyDescent="0.2">
      <c r="E222" s="22"/>
      <c r="F222" s="22"/>
    </row>
    <row r="223" spans="5:6" x14ac:dyDescent="0.2">
      <c r="E223" s="22"/>
      <c r="F223" s="22"/>
    </row>
    <row r="224" spans="5:6" x14ac:dyDescent="0.2">
      <c r="E224" s="22"/>
      <c r="F224" s="22"/>
    </row>
    <row r="225" spans="5:6" x14ac:dyDescent="0.2">
      <c r="E225" s="22"/>
      <c r="F225" s="22"/>
    </row>
    <row r="226" spans="5:6" x14ac:dyDescent="0.2">
      <c r="E226" s="22"/>
      <c r="F226" s="22"/>
    </row>
    <row r="227" spans="5:6" x14ac:dyDescent="0.2">
      <c r="E227" s="22"/>
      <c r="F227" s="22"/>
    </row>
    <row r="228" spans="5:6" x14ac:dyDescent="0.2">
      <c r="E228" s="22"/>
      <c r="F228" s="22"/>
    </row>
    <row r="229" spans="5:6" x14ac:dyDescent="0.2">
      <c r="E229" s="22"/>
      <c r="F229" s="22"/>
    </row>
    <row r="230" spans="5:6" x14ac:dyDescent="0.2">
      <c r="E230" s="22"/>
      <c r="F230" s="22"/>
    </row>
    <row r="231" spans="5:6" x14ac:dyDescent="0.2">
      <c r="E231" s="22"/>
      <c r="F231" s="22"/>
    </row>
    <row r="232" spans="5:6" x14ac:dyDescent="0.2">
      <c r="E232" s="22"/>
      <c r="F232" s="22"/>
    </row>
    <row r="233" spans="5:6" x14ac:dyDescent="0.2">
      <c r="E233" s="22"/>
      <c r="F233" s="22"/>
    </row>
    <row r="234" spans="5:6" x14ac:dyDescent="0.2">
      <c r="E234" s="22"/>
      <c r="F234" s="22"/>
    </row>
    <row r="235" spans="5:6" x14ac:dyDescent="0.2">
      <c r="E235" s="22"/>
      <c r="F235" s="22"/>
    </row>
    <row r="236" spans="5:6" x14ac:dyDescent="0.2">
      <c r="E236" s="22"/>
      <c r="F236" s="22"/>
    </row>
    <row r="237" spans="5:6" x14ac:dyDescent="0.2">
      <c r="E237" s="22"/>
      <c r="F237" s="22"/>
    </row>
    <row r="238" spans="5:6" x14ac:dyDescent="0.2">
      <c r="E238" s="22"/>
      <c r="F238" s="22"/>
    </row>
    <row r="239" spans="5:6" x14ac:dyDescent="0.2">
      <c r="E239" s="22"/>
      <c r="F239" s="22"/>
    </row>
    <row r="240" spans="5:6" x14ac:dyDescent="0.2">
      <c r="E240" s="22"/>
      <c r="F240" s="22"/>
    </row>
    <row r="241" spans="5:6" x14ac:dyDescent="0.2">
      <c r="E241" s="22"/>
      <c r="F241" s="22"/>
    </row>
    <row r="242" spans="5:6" x14ac:dyDescent="0.2">
      <c r="E242" s="22"/>
      <c r="F242" s="22"/>
    </row>
    <row r="243" spans="5:6" x14ac:dyDescent="0.2">
      <c r="E243" s="22"/>
      <c r="F243" s="22"/>
    </row>
    <row r="244" spans="5:6" x14ac:dyDescent="0.2">
      <c r="E244" s="22"/>
      <c r="F244" s="22"/>
    </row>
    <row r="245" spans="5:6" x14ac:dyDescent="0.2">
      <c r="E245" s="22"/>
      <c r="F245" s="22"/>
    </row>
    <row r="246" spans="5:6" x14ac:dyDescent="0.2">
      <c r="E246" s="22"/>
      <c r="F246" s="22"/>
    </row>
    <row r="247" spans="5:6" x14ac:dyDescent="0.2">
      <c r="E247" s="22"/>
      <c r="F247" s="22"/>
    </row>
    <row r="248" spans="5:6" x14ac:dyDescent="0.2">
      <c r="E248" s="22"/>
      <c r="F248" s="22"/>
    </row>
    <row r="249" spans="5:6" x14ac:dyDescent="0.2">
      <c r="E249" s="22"/>
      <c r="F249" s="22"/>
    </row>
    <row r="250" spans="5:6" x14ac:dyDescent="0.2">
      <c r="E250" s="22"/>
      <c r="F250" s="22"/>
    </row>
    <row r="251" spans="5:6" x14ac:dyDescent="0.2">
      <c r="E251" s="22"/>
      <c r="F251" s="22"/>
    </row>
    <row r="252" spans="5:6" x14ac:dyDescent="0.2">
      <c r="E252" s="22"/>
      <c r="F252" s="22"/>
    </row>
    <row r="253" spans="5:6" x14ac:dyDescent="0.2">
      <c r="E253" s="22"/>
      <c r="F253" s="22"/>
    </row>
    <row r="254" spans="5:6" x14ac:dyDescent="0.2">
      <c r="E254" s="22"/>
      <c r="F254" s="22"/>
    </row>
    <row r="255" spans="5:6" x14ac:dyDescent="0.2">
      <c r="E255" s="22"/>
      <c r="F255" s="22"/>
    </row>
    <row r="256" spans="5:6" x14ac:dyDescent="0.2">
      <c r="E256" s="22"/>
      <c r="F256" s="22"/>
    </row>
    <row r="257" spans="5:6" x14ac:dyDescent="0.2">
      <c r="E257" s="22"/>
      <c r="F257" s="22"/>
    </row>
    <row r="258" spans="5:6" x14ac:dyDescent="0.2">
      <c r="E258" s="22"/>
      <c r="F258" s="22"/>
    </row>
    <row r="259" spans="5:6" x14ac:dyDescent="0.2">
      <c r="E259" s="22"/>
      <c r="F259" s="22"/>
    </row>
    <row r="260" spans="5:6" x14ac:dyDescent="0.2">
      <c r="E260" s="22"/>
      <c r="F260" s="22"/>
    </row>
    <row r="261" spans="5:6" x14ac:dyDescent="0.2">
      <c r="E261" s="22"/>
      <c r="F261" s="22"/>
    </row>
    <row r="262" spans="5:6" x14ac:dyDescent="0.2">
      <c r="E262" s="22"/>
      <c r="F262" s="22"/>
    </row>
    <row r="263" spans="5:6" x14ac:dyDescent="0.2">
      <c r="E263" s="22"/>
      <c r="F263" s="22"/>
    </row>
    <row r="264" spans="5:6" x14ac:dyDescent="0.2">
      <c r="E264" s="22"/>
      <c r="F264" s="22"/>
    </row>
    <row r="265" spans="5:6" x14ac:dyDescent="0.2">
      <c r="E265" s="22"/>
      <c r="F265" s="22"/>
    </row>
    <row r="266" spans="5:6" x14ac:dyDescent="0.2">
      <c r="E266" s="22"/>
      <c r="F266" s="22"/>
    </row>
    <row r="267" spans="5:6" x14ac:dyDescent="0.2">
      <c r="E267" s="22"/>
      <c r="F267" s="22"/>
    </row>
    <row r="268" spans="5:6" x14ac:dyDescent="0.2">
      <c r="E268" s="22"/>
      <c r="F268" s="22"/>
    </row>
    <row r="269" spans="5:6" x14ac:dyDescent="0.2">
      <c r="E269" s="22"/>
      <c r="F269" s="22"/>
    </row>
    <row r="270" spans="5:6" x14ac:dyDescent="0.2">
      <c r="E270" s="22"/>
      <c r="F270" s="22"/>
    </row>
    <row r="271" spans="5:6" x14ac:dyDescent="0.2">
      <c r="E271" s="22"/>
      <c r="F271" s="22"/>
    </row>
    <row r="272" spans="5:6" x14ac:dyDescent="0.2">
      <c r="E272" s="22"/>
      <c r="F272" s="22"/>
    </row>
    <row r="273" spans="5:6" x14ac:dyDescent="0.2">
      <c r="E273" s="22"/>
      <c r="F273" s="22"/>
    </row>
    <row r="274" spans="5:6" x14ac:dyDescent="0.2">
      <c r="E274" s="22"/>
      <c r="F274" s="22"/>
    </row>
    <row r="275" spans="5:6" x14ac:dyDescent="0.2">
      <c r="E275" s="22"/>
      <c r="F275" s="22"/>
    </row>
    <row r="276" spans="5:6" x14ac:dyDescent="0.2">
      <c r="E276" s="22"/>
      <c r="F276" s="22"/>
    </row>
    <row r="277" spans="5:6" x14ac:dyDescent="0.2">
      <c r="E277" s="22"/>
      <c r="F277" s="22"/>
    </row>
    <row r="278" spans="5:6" x14ac:dyDescent="0.2">
      <c r="E278" s="22"/>
      <c r="F278" s="22"/>
    </row>
    <row r="279" spans="5:6" x14ac:dyDescent="0.2">
      <c r="E279" s="22"/>
      <c r="F279" s="22"/>
    </row>
    <row r="280" spans="5:6" x14ac:dyDescent="0.2">
      <c r="E280" s="22"/>
      <c r="F280" s="22"/>
    </row>
    <row r="281" spans="5:6" x14ac:dyDescent="0.2">
      <c r="E281" s="22"/>
      <c r="F281" s="22"/>
    </row>
    <row r="282" spans="5:6" x14ac:dyDescent="0.2">
      <c r="E282" s="22"/>
      <c r="F282" s="22"/>
    </row>
    <row r="283" spans="5:6" x14ac:dyDescent="0.2">
      <c r="E283" s="22"/>
      <c r="F283" s="22"/>
    </row>
    <row r="284" spans="5:6" x14ac:dyDescent="0.2">
      <c r="E284" s="22"/>
      <c r="F284" s="22"/>
    </row>
    <row r="285" spans="5:6" x14ac:dyDescent="0.2">
      <c r="E285" s="22"/>
      <c r="F285" s="22"/>
    </row>
    <row r="286" spans="5:6" x14ac:dyDescent="0.2">
      <c r="E286" s="22"/>
      <c r="F286" s="22"/>
    </row>
    <row r="287" spans="5:6" x14ac:dyDescent="0.2">
      <c r="E287" s="22"/>
      <c r="F287" s="22"/>
    </row>
    <row r="288" spans="5:6" x14ac:dyDescent="0.2">
      <c r="E288" s="22"/>
      <c r="F288" s="22"/>
    </row>
    <row r="289" spans="5:6" x14ac:dyDescent="0.2">
      <c r="E289" s="22"/>
      <c r="F289" s="22"/>
    </row>
    <row r="290" spans="5:6" x14ac:dyDescent="0.2">
      <c r="E290" s="22"/>
      <c r="F290" s="22"/>
    </row>
    <row r="291" spans="5:6" x14ac:dyDescent="0.2">
      <c r="E291" s="22"/>
      <c r="F291" s="22"/>
    </row>
    <row r="292" spans="5:6" x14ac:dyDescent="0.2">
      <c r="E292" s="22"/>
      <c r="F292" s="22"/>
    </row>
    <row r="293" spans="5:6" x14ac:dyDescent="0.2">
      <c r="E293" s="22"/>
      <c r="F293" s="22"/>
    </row>
    <row r="294" spans="5:6" x14ac:dyDescent="0.2">
      <c r="E294" s="22"/>
      <c r="F294" s="22"/>
    </row>
    <row r="295" spans="5:6" x14ac:dyDescent="0.2">
      <c r="E295" s="22"/>
      <c r="F295" s="22"/>
    </row>
    <row r="296" spans="5:6" x14ac:dyDescent="0.2">
      <c r="E296" s="22"/>
      <c r="F296" s="22"/>
    </row>
    <row r="297" spans="5:6" x14ac:dyDescent="0.2">
      <c r="E297" s="22"/>
      <c r="F297" s="22"/>
    </row>
    <row r="298" spans="5:6" x14ac:dyDescent="0.2">
      <c r="E298" s="22"/>
      <c r="F298" s="22"/>
    </row>
    <row r="299" spans="5:6" x14ac:dyDescent="0.2">
      <c r="E299" s="22"/>
      <c r="F299" s="22"/>
    </row>
    <row r="300" spans="5:6" x14ac:dyDescent="0.2">
      <c r="E300" s="22"/>
      <c r="F300" s="22"/>
    </row>
    <row r="301" spans="5:6" x14ac:dyDescent="0.2">
      <c r="E301" s="22"/>
      <c r="F301" s="22"/>
    </row>
    <row r="302" spans="5:6" x14ac:dyDescent="0.2">
      <c r="E302" s="22"/>
      <c r="F302" s="22"/>
    </row>
    <row r="303" spans="5:6" x14ac:dyDescent="0.2">
      <c r="E303" s="22"/>
      <c r="F303" s="22"/>
    </row>
    <row r="304" spans="5:6" x14ac:dyDescent="0.2">
      <c r="E304" s="22"/>
      <c r="F304" s="22"/>
    </row>
    <row r="305" spans="5:6" x14ac:dyDescent="0.2">
      <c r="E305" s="22"/>
      <c r="F305" s="22"/>
    </row>
    <row r="306" spans="5:6" x14ac:dyDescent="0.2">
      <c r="E306" s="22"/>
      <c r="F306" s="22"/>
    </row>
    <row r="307" spans="5:6" x14ac:dyDescent="0.2">
      <c r="E307" s="22"/>
      <c r="F307" s="22"/>
    </row>
    <row r="308" spans="5:6" x14ac:dyDescent="0.2">
      <c r="E308" s="22"/>
      <c r="F308" s="22"/>
    </row>
    <row r="309" spans="5:6" x14ac:dyDescent="0.2">
      <c r="E309" s="22"/>
      <c r="F309" s="22"/>
    </row>
    <row r="310" spans="5:6" x14ac:dyDescent="0.2">
      <c r="E310" s="22"/>
      <c r="F310" s="22"/>
    </row>
    <row r="311" spans="5:6" x14ac:dyDescent="0.2">
      <c r="E311" s="22"/>
      <c r="F311" s="22"/>
    </row>
    <row r="312" spans="5:6" x14ac:dyDescent="0.2">
      <c r="E312" s="22"/>
      <c r="F312" s="22"/>
    </row>
    <row r="313" spans="5:6" x14ac:dyDescent="0.2">
      <c r="E313" s="22"/>
      <c r="F313" s="22"/>
    </row>
    <row r="314" spans="5:6" x14ac:dyDescent="0.2">
      <c r="E314" s="22"/>
      <c r="F314" s="22"/>
    </row>
    <row r="315" spans="5:6" x14ac:dyDescent="0.2">
      <c r="E315" s="22"/>
      <c r="F315" s="22"/>
    </row>
    <row r="316" spans="5:6" x14ac:dyDescent="0.2">
      <c r="E316" s="22"/>
      <c r="F316" s="22"/>
    </row>
    <row r="317" spans="5:6" x14ac:dyDescent="0.2">
      <c r="E317" s="22"/>
      <c r="F317" s="22"/>
    </row>
    <row r="318" spans="5:6" x14ac:dyDescent="0.2">
      <c r="E318" s="22"/>
      <c r="F318" s="22"/>
    </row>
    <row r="319" spans="5:6" x14ac:dyDescent="0.2">
      <c r="E319" s="22"/>
      <c r="F319" s="22"/>
    </row>
    <row r="320" spans="5:6" x14ac:dyDescent="0.2">
      <c r="E320" s="22"/>
      <c r="F320" s="22"/>
    </row>
    <row r="321" spans="5:6" x14ac:dyDescent="0.2">
      <c r="E321" s="22"/>
      <c r="F321" s="22"/>
    </row>
    <row r="322" spans="5:6" x14ac:dyDescent="0.2">
      <c r="E322" s="22"/>
      <c r="F322" s="22"/>
    </row>
    <row r="323" spans="5:6" x14ac:dyDescent="0.2">
      <c r="E323" s="22"/>
      <c r="F323" s="22"/>
    </row>
    <row r="324" spans="5:6" x14ac:dyDescent="0.2">
      <c r="E324" s="22"/>
      <c r="F324" s="22"/>
    </row>
    <row r="325" spans="5:6" x14ac:dyDescent="0.2">
      <c r="E325" s="22"/>
      <c r="F325" s="22"/>
    </row>
    <row r="326" spans="5:6" x14ac:dyDescent="0.2">
      <c r="E326" s="22"/>
      <c r="F326" s="22"/>
    </row>
    <row r="327" spans="5:6" x14ac:dyDescent="0.2">
      <c r="E327" s="22"/>
      <c r="F327" s="22"/>
    </row>
    <row r="328" spans="5:6" x14ac:dyDescent="0.2">
      <c r="E328" s="22"/>
      <c r="F328" s="22"/>
    </row>
    <row r="329" spans="5:6" x14ac:dyDescent="0.2">
      <c r="E329" s="22"/>
      <c r="F329" s="22"/>
    </row>
    <row r="330" spans="5:6" x14ac:dyDescent="0.2">
      <c r="E330" s="22"/>
      <c r="F330" s="22"/>
    </row>
    <row r="331" spans="5:6" x14ac:dyDescent="0.2">
      <c r="E331" s="22"/>
      <c r="F331" s="22"/>
    </row>
    <row r="332" spans="5:6" x14ac:dyDescent="0.2">
      <c r="E332" s="22"/>
      <c r="F332" s="22"/>
    </row>
    <row r="333" spans="5:6" x14ac:dyDescent="0.2">
      <c r="E333" s="22"/>
      <c r="F333" s="22"/>
    </row>
    <row r="334" spans="5:6" x14ac:dyDescent="0.2">
      <c r="E334" s="22"/>
      <c r="F334" s="22"/>
    </row>
    <row r="335" spans="5:6" x14ac:dyDescent="0.2">
      <c r="E335" s="22"/>
      <c r="F335" s="22"/>
    </row>
    <row r="336" spans="5:6" x14ac:dyDescent="0.2">
      <c r="E336" s="22"/>
      <c r="F336" s="22"/>
    </row>
    <row r="337" spans="5:6" x14ac:dyDescent="0.2">
      <c r="E337" s="22"/>
      <c r="F337" s="22"/>
    </row>
    <row r="338" spans="5:6" x14ac:dyDescent="0.2">
      <c r="E338" s="22"/>
      <c r="F338" s="22"/>
    </row>
    <row r="339" spans="5:6" x14ac:dyDescent="0.2">
      <c r="E339" s="22"/>
      <c r="F339" s="22"/>
    </row>
    <row r="340" spans="5:6" x14ac:dyDescent="0.2">
      <c r="E340" s="22"/>
      <c r="F340" s="22"/>
    </row>
    <row r="341" spans="5:6" x14ac:dyDescent="0.2">
      <c r="E341" s="22"/>
      <c r="F341" s="22"/>
    </row>
    <row r="342" spans="5:6" x14ac:dyDescent="0.2">
      <c r="E342" s="22"/>
      <c r="F342" s="22"/>
    </row>
    <row r="343" spans="5:6" x14ac:dyDescent="0.2">
      <c r="E343" s="22"/>
      <c r="F343" s="22"/>
    </row>
    <row r="344" spans="5:6" x14ac:dyDescent="0.2">
      <c r="E344" s="22"/>
      <c r="F344" s="22"/>
    </row>
    <row r="345" spans="5:6" x14ac:dyDescent="0.2">
      <c r="E345" s="22"/>
      <c r="F345" s="22"/>
    </row>
    <row r="346" spans="5:6" x14ac:dyDescent="0.2">
      <c r="E346" s="22"/>
      <c r="F346" s="22"/>
    </row>
    <row r="347" spans="5:6" x14ac:dyDescent="0.2">
      <c r="E347" s="22"/>
      <c r="F347" s="22"/>
    </row>
    <row r="348" spans="5:6" x14ac:dyDescent="0.2">
      <c r="E348" s="22"/>
      <c r="F348" s="22"/>
    </row>
    <row r="349" spans="5:6" x14ac:dyDescent="0.2">
      <c r="E349" s="22"/>
      <c r="F349" s="22"/>
    </row>
    <row r="350" spans="5:6" x14ac:dyDescent="0.2">
      <c r="E350" s="22"/>
      <c r="F350" s="22"/>
    </row>
    <row r="351" spans="5:6" x14ac:dyDescent="0.2">
      <c r="E351" s="22"/>
      <c r="F351" s="22"/>
    </row>
    <row r="352" spans="5:6" x14ac:dyDescent="0.2">
      <c r="E352" s="22"/>
      <c r="F352" s="22"/>
    </row>
    <row r="353" spans="5:6" x14ac:dyDescent="0.2">
      <c r="E353" s="22"/>
      <c r="F353" s="22"/>
    </row>
    <row r="354" spans="5:6" x14ac:dyDescent="0.2">
      <c r="E354" s="22"/>
      <c r="F354" s="22"/>
    </row>
    <row r="355" spans="5:6" x14ac:dyDescent="0.2">
      <c r="E355" s="22"/>
      <c r="F355" s="22"/>
    </row>
    <row r="356" spans="5:6" x14ac:dyDescent="0.2">
      <c r="E356" s="22"/>
      <c r="F356" s="22"/>
    </row>
    <row r="357" spans="5:6" x14ac:dyDescent="0.2">
      <c r="E357" s="22"/>
      <c r="F357" s="22"/>
    </row>
    <row r="358" spans="5:6" x14ac:dyDescent="0.2">
      <c r="E358" s="22"/>
      <c r="F358" s="22"/>
    </row>
    <row r="359" spans="5:6" x14ac:dyDescent="0.2">
      <c r="E359" s="22"/>
      <c r="F359" s="22"/>
    </row>
    <row r="360" spans="5:6" x14ac:dyDescent="0.2">
      <c r="E360" s="22"/>
      <c r="F360" s="22"/>
    </row>
    <row r="361" spans="5:6" x14ac:dyDescent="0.2">
      <c r="E361" s="22"/>
      <c r="F361" s="22"/>
    </row>
    <row r="362" spans="5:6" x14ac:dyDescent="0.2">
      <c r="E362" s="22"/>
      <c r="F362" s="22"/>
    </row>
    <row r="363" spans="5:6" x14ac:dyDescent="0.2">
      <c r="E363" s="22"/>
      <c r="F363" s="22"/>
    </row>
    <row r="364" spans="5:6" x14ac:dyDescent="0.2">
      <c r="E364" s="22"/>
      <c r="F364" s="22"/>
    </row>
    <row r="365" spans="5:6" x14ac:dyDescent="0.2">
      <c r="E365" s="22"/>
      <c r="F365" s="22"/>
    </row>
    <row r="366" spans="5:6" x14ac:dyDescent="0.2">
      <c r="E366" s="22"/>
      <c r="F366" s="22"/>
    </row>
    <row r="367" spans="5:6" x14ac:dyDescent="0.2">
      <c r="E367" s="22"/>
      <c r="F367" s="22"/>
    </row>
    <row r="368" spans="5:6" x14ac:dyDescent="0.2">
      <c r="E368" s="22"/>
      <c r="F368" s="22"/>
    </row>
    <row r="369" spans="5:6" x14ac:dyDescent="0.2">
      <c r="E369" s="22"/>
      <c r="F369" s="22"/>
    </row>
    <row r="370" spans="5:6" x14ac:dyDescent="0.2">
      <c r="E370" s="22"/>
      <c r="F370" s="22"/>
    </row>
    <row r="371" spans="5:6" x14ac:dyDescent="0.2">
      <c r="E371" s="22"/>
      <c r="F371" s="22"/>
    </row>
    <row r="372" spans="5:6" x14ac:dyDescent="0.2">
      <c r="E372" s="22"/>
      <c r="F372" s="22"/>
    </row>
    <row r="373" spans="5:6" x14ac:dyDescent="0.2">
      <c r="E373" s="22"/>
      <c r="F373" s="22"/>
    </row>
    <row r="374" spans="5:6" x14ac:dyDescent="0.2">
      <c r="E374" s="22"/>
      <c r="F374" s="22"/>
    </row>
    <row r="375" spans="5:6" x14ac:dyDescent="0.2">
      <c r="E375" s="22"/>
      <c r="F375" s="22"/>
    </row>
    <row r="376" spans="5:6" x14ac:dyDescent="0.2">
      <c r="E376" s="22"/>
      <c r="F376" s="22"/>
    </row>
    <row r="377" spans="5:6" x14ac:dyDescent="0.2">
      <c r="E377" s="22"/>
      <c r="F377" s="22"/>
    </row>
    <row r="378" spans="5:6" x14ac:dyDescent="0.2">
      <c r="E378" s="22"/>
      <c r="F378" s="22"/>
    </row>
    <row r="379" spans="5:6" x14ac:dyDescent="0.2">
      <c r="E379" s="22"/>
      <c r="F379" s="22"/>
    </row>
    <row r="380" spans="5:6" x14ac:dyDescent="0.2">
      <c r="E380" s="22"/>
      <c r="F380" s="22"/>
    </row>
    <row r="381" spans="5:6" x14ac:dyDescent="0.2">
      <c r="E381" s="22"/>
      <c r="F381" s="22"/>
    </row>
    <row r="382" spans="5:6" x14ac:dyDescent="0.2">
      <c r="E382" s="22"/>
      <c r="F382" s="22"/>
    </row>
    <row r="383" spans="5:6" x14ac:dyDescent="0.2">
      <c r="E383" s="22"/>
      <c r="F383" s="22"/>
    </row>
    <row r="384" spans="5:6" x14ac:dyDescent="0.2">
      <c r="E384" s="22"/>
      <c r="F384" s="22"/>
    </row>
    <row r="385" spans="5:6" x14ac:dyDescent="0.2">
      <c r="E385" s="22"/>
      <c r="F385" s="22"/>
    </row>
    <row r="386" spans="5:6" x14ac:dyDescent="0.2">
      <c r="E386" s="22"/>
      <c r="F386" s="22"/>
    </row>
    <row r="387" spans="5:6" x14ac:dyDescent="0.2">
      <c r="E387" s="22"/>
      <c r="F387" s="22"/>
    </row>
    <row r="388" spans="5:6" x14ac:dyDescent="0.2">
      <c r="E388" s="22"/>
      <c r="F388" s="22"/>
    </row>
    <row r="389" spans="5:6" x14ac:dyDescent="0.2">
      <c r="E389" s="22"/>
      <c r="F389" s="22"/>
    </row>
    <row r="390" spans="5:6" x14ac:dyDescent="0.2">
      <c r="E390" s="22"/>
      <c r="F390" s="22"/>
    </row>
    <row r="391" spans="5:6" x14ac:dyDescent="0.2">
      <c r="E391" s="22"/>
      <c r="F391" s="22"/>
    </row>
    <row r="392" spans="5:6" x14ac:dyDescent="0.2">
      <c r="E392" s="22"/>
      <c r="F392" s="22"/>
    </row>
    <row r="393" spans="5:6" x14ac:dyDescent="0.2">
      <c r="E393" s="22"/>
      <c r="F393" s="22"/>
    </row>
    <row r="394" spans="5:6" x14ac:dyDescent="0.2">
      <c r="E394" s="22"/>
      <c r="F394" s="22"/>
    </row>
    <row r="395" spans="5:6" x14ac:dyDescent="0.2">
      <c r="E395" s="22"/>
      <c r="F395" s="22"/>
    </row>
    <row r="396" spans="5:6" x14ac:dyDescent="0.2">
      <c r="E396" s="22"/>
      <c r="F396" s="22"/>
    </row>
    <row r="397" spans="5:6" x14ac:dyDescent="0.2">
      <c r="E397" s="22"/>
      <c r="F397" s="22"/>
    </row>
    <row r="398" spans="5:6" x14ac:dyDescent="0.2">
      <c r="E398" s="22"/>
      <c r="F398" s="22"/>
    </row>
    <row r="399" spans="5:6" x14ac:dyDescent="0.2">
      <c r="E399" s="22"/>
      <c r="F399" s="22"/>
    </row>
    <row r="400" spans="5:6" x14ac:dyDescent="0.2">
      <c r="E400" s="22"/>
      <c r="F400" s="22"/>
    </row>
    <row r="401" spans="5:6" x14ac:dyDescent="0.2">
      <c r="E401" s="22"/>
      <c r="F401" s="22"/>
    </row>
    <row r="402" spans="5:6" x14ac:dyDescent="0.2">
      <c r="E402" s="22"/>
      <c r="F402" s="22"/>
    </row>
    <row r="403" spans="5:6" x14ac:dyDescent="0.2">
      <c r="E403" s="22"/>
      <c r="F403" s="22"/>
    </row>
    <row r="404" spans="5:6" x14ac:dyDescent="0.2">
      <c r="E404" s="22"/>
      <c r="F404" s="22"/>
    </row>
    <row r="405" spans="5:6" x14ac:dyDescent="0.2">
      <c r="E405" s="22"/>
      <c r="F405" s="22"/>
    </row>
    <row r="406" spans="5:6" x14ac:dyDescent="0.2">
      <c r="E406" s="22"/>
      <c r="F406" s="22"/>
    </row>
    <row r="407" spans="5:6" x14ac:dyDescent="0.2">
      <c r="E407" s="22"/>
      <c r="F407" s="22"/>
    </row>
    <row r="408" spans="5:6" x14ac:dyDescent="0.2">
      <c r="E408" s="22"/>
      <c r="F408" s="22"/>
    </row>
    <row r="409" spans="5:6" x14ac:dyDescent="0.2">
      <c r="E409" s="22"/>
      <c r="F409" s="22"/>
    </row>
    <row r="410" spans="5:6" x14ac:dyDescent="0.2">
      <c r="E410" s="22"/>
      <c r="F410" s="22"/>
    </row>
    <row r="411" spans="5:6" x14ac:dyDescent="0.2">
      <c r="E411" s="22"/>
      <c r="F411" s="22"/>
    </row>
    <row r="412" spans="5:6" x14ac:dyDescent="0.2">
      <c r="E412" s="22"/>
      <c r="F412" s="22"/>
    </row>
    <row r="413" spans="5:6" x14ac:dyDescent="0.2">
      <c r="E413" s="22"/>
      <c r="F413" s="22"/>
    </row>
    <row r="414" spans="5:6" x14ac:dyDescent="0.2">
      <c r="E414" s="22"/>
      <c r="F414" s="22"/>
    </row>
    <row r="415" spans="5:6" x14ac:dyDescent="0.2">
      <c r="E415" s="22"/>
      <c r="F415" s="22"/>
    </row>
    <row r="416" spans="5:6" x14ac:dyDescent="0.2">
      <c r="E416" s="22"/>
      <c r="F416" s="22"/>
    </row>
    <row r="417" spans="5:6" x14ac:dyDescent="0.2">
      <c r="E417" s="22"/>
      <c r="F417" s="22"/>
    </row>
    <row r="418" spans="5:6" x14ac:dyDescent="0.2">
      <c r="E418" s="22"/>
      <c r="F418" s="22"/>
    </row>
    <row r="419" spans="5:6" x14ac:dyDescent="0.2">
      <c r="E419" s="22"/>
      <c r="F419" s="22"/>
    </row>
    <row r="420" spans="5:6" x14ac:dyDescent="0.2">
      <c r="E420" s="22"/>
      <c r="F420" s="22"/>
    </row>
    <row r="421" spans="5:6" x14ac:dyDescent="0.2">
      <c r="E421" s="22"/>
      <c r="F421" s="22"/>
    </row>
    <row r="422" spans="5:6" x14ac:dyDescent="0.2">
      <c r="E422" s="22"/>
      <c r="F422" s="22"/>
    </row>
    <row r="423" spans="5:6" x14ac:dyDescent="0.2">
      <c r="E423" s="22"/>
      <c r="F423" s="22"/>
    </row>
    <row r="424" spans="5:6" x14ac:dyDescent="0.2">
      <c r="E424" s="22"/>
      <c r="F424" s="22"/>
    </row>
    <row r="425" spans="5:6" x14ac:dyDescent="0.2">
      <c r="E425" s="22"/>
      <c r="F425" s="22"/>
    </row>
    <row r="426" spans="5:6" x14ac:dyDescent="0.2">
      <c r="E426" s="22"/>
      <c r="F426" s="22"/>
    </row>
    <row r="427" spans="5:6" x14ac:dyDescent="0.2">
      <c r="E427" s="22"/>
      <c r="F427" s="22"/>
    </row>
    <row r="428" spans="5:6" x14ac:dyDescent="0.2">
      <c r="E428" s="22"/>
      <c r="F428" s="22"/>
    </row>
    <row r="429" spans="5:6" x14ac:dyDescent="0.2">
      <c r="E429" s="22"/>
      <c r="F429" s="22"/>
    </row>
    <row r="430" spans="5:6" x14ac:dyDescent="0.2">
      <c r="E430" s="22"/>
      <c r="F430" s="22"/>
    </row>
    <row r="431" spans="5:6" x14ac:dyDescent="0.2">
      <c r="E431" s="22"/>
      <c r="F431" s="22"/>
    </row>
    <row r="432" spans="5:6" x14ac:dyDescent="0.2">
      <c r="E432" s="22"/>
      <c r="F432" s="22"/>
    </row>
    <row r="433" spans="5:6" x14ac:dyDescent="0.2">
      <c r="E433" s="22"/>
      <c r="F433" s="22"/>
    </row>
    <row r="434" spans="5:6" x14ac:dyDescent="0.2">
      <c r="E434" s="22"/>
      <c r="F434" s="22"/>
    </row>
    <row r="435" spans="5:6" x14ac:dyDescent="0.2">
      <c r="E435" s="22"/>
      <c r="F435" s="22"/>
    </row>
    <row r="436" spans="5:6" x14ac:dyDescent="0.2">
      <c r="E436" s="22"/>
      <c r="F436" s="22"/>
    </row>
    <row r="437" spans="5:6" x14ac:dyDescent="0.2">
      <c r="E437" s="22"/>
      <c r="F437" s="22"/>
    </row>
    <row r="438" spans="5:6" x14ac:dyDescent="0.2">
      <c r="E438" s="22"/>
      <c r="F438" s="22"/>
    </row>
    <row r="439" spans="5:6" x14ac:dyDescent="0.2">
      <c r="E439" s="22"/>
      <c r="F439" s="22"/>
    </row>
    <row r="440" spans="5:6" x14ac:dyDescent="0.2">
      <c r="E440" s="22"/>
      <c r="F440" s="22"/>
    </row>
    <row r="441" spans="5:6" x14ac:dyDescent="0.2">
      <c r="E441" s="22"/>
      <c r="F441" s="22"/>
    </row>
    <row r="442" spans="5:6" x14ac:dyDescent="0.2">
      <c r="E442" s="22"/>
      <c r="F442" s="22"/>
    </row>
    <row r="443" spans="5:6" x14ac:dyDescent="0.2">
      <c r="E443" s="22"/>
      <c r="F443" s="22"/>
    </row>
    <row r="444" spans="5:6" x14ac:dyDescent="0.2">
      <c r="E444" s="22"/>
      <c r="F444" s="22"/>
    </row>
    <row r="445" spans="5:6" x14ac:dyDescent="0.2">
      <c r="E445" s="22"/>
      <c r="F445" s="22"/>
    </row>
    <row r="446" spans="5:6" x14ac:dyDescent="0.2">
      <c r="E446" s="22"/>
      <c r="F446" s="22"/>
    </row>
    <row r="447" spans="5:6" x14ac:dyDescent="0.2">
      <c r="E447" s="22"/>
      <c r="F447" s="22"/>
    </row>
    <row r="448" spans="5:6" x14ac:dyDescent="0.2">
      <c r="E448" s="22"/>
      <c r="F448" s="22"/>
    </row>
    <row r="449" spans="5:6" x14ac:dyDescent="0.2">
      <c r="E449" s="22"/>
      <c r="F449" s="22"/>
    </row>
    <row r="450" spans="5:6" x14ac:dyDescent="0.2">
      <c r="E450" s="22"/>
      <c r="F450" s="22"/>
    </row>
    <row r="451" spans="5:6" x14ac:dyDescent="0.2">
      <c r="E451" s="22"/>
      <c r="F451" s="22"/>
    </row>
    <row r="452" spans="5:6" x14ac:dyDescent="0.2">
      <c r="E452" s="22"/>
      <c r="F452" s="22"/>
    </row>
    <row r="453" spans="5:6" x14ac:dyDescent="0.2">
      <c r="E453" s="22"/>
      <c r="F453" s="22"/>
    </row>
    <row r="454" spans="5:6" x14ac:dyDescent="0.2">
      <c r="E454" s="22"/>
      <c r="F454" s="22"/>
    </row>
    <row r="455" spans="5:6" x14ac:dyDescent="0.2">
      <c r="E455" s="22"/>
      <c r="F455" s="22"/>
    </row>
    <row r="456" spans="5:6" x14ac:dyDescent="0.2">
      <c r="E456" s="22"/>
      <c r="F456" s="22"/>
    </row>
    <row r="457" spans="5:6" x14ac:dyDescent="0.2">
      <c r="E457" s="22"/>
      <c r="F457" s="22"/>
    </row>
    <row r="458" spans="5:6" x14ac:dyDescent="0.2">
      <c r="E458" s="22"/>
      <c r="F458" s="22"/>
    </row>
    <row r="459" spans="5:6" x14ac:dyDescent="0.2">
      <c r="E459" s="22"/>
      <c r="F459" s="22"/>
    </row>
    <row r="460" spans="5:6" x14ac:dyDescent="0.2">
      <c r="E460" s="22"/>
      <c r="F460" s="22"/>
    </row>
    <row r="461" spans="5:6" x14ac:dyDescent="0.2">
      <c r="E461" s="22"/>
      <c r="F461" s="22"/>
    </row>
    <row r="462" spans="5:6" x14ac:dyDescent="0.2">
      <c r="E462" s="22"/>
      <c r="F462" s="22"/>
    </row>
    <row r="463" spans="5:6" x14ac:dyDescent="0.2">
      <c r="E463" s="22"/>
      <c r="F463" s="22"/>
    </row>
    <row r="464" spans="5:6" x14ac:dyDescent="0.2">
      <c r="E464" s="22"/>
      <c r="F464" s="22"/>
    </row>
    <row r="465" spans="5:6" x14ac:dyDescent="0.2">
      <c r="E465" s="22"/>
      <c r="F465" s="22"/>
    </row>
    <row r="466" spans="5:6" x14ac:dyDescent="0.2">
      <c r="E466" s="22"/>
      <c r="F466" s="22"/>
    </row>
    <row r="467" spans="5:6" x14ac:dyDescent="0.2">
      <c r="E467" s="22"/>
      <c r="F467" s="22"/>
    </row>
    <row r="468" spans="5:6" x14ac:dyDescent="0.2">
      <c r="E468" s="22"/>
      <c r="F468" s="22"/>
    </row>
    <row r="469" spans="5:6" x14ac:dyDescent="0.2">
      <c r="E469" s="22"/>
      <c r="F469" s="22"/>
    </row>
    <row r="470" spans="5:6" x14ac:dyDescent="0.2">
      <c r="E470" s="22"/>
      <c r="F470" s="22"/>
    </row>
    <row r="471" spans="5:6" x14ac:dyDescent="0.2">
      <c r="E471" s="22"/>
      <c r="F471" s="22"/>
    </row>
    <row r="472" spans="5:6" x14ac:dyDescent="0.2">
      <c r="E472" s="22"/>
      <c r="F472" s="22"/>
    </row>
    <row r="473" spans="5:6" x14ac:dyDescent="0.2">
      <c r="E473" s="22"/>
      <c r="F473" s="22"/>
    </row>
    <row r="474" spans="5:6" x14ac:dyDescent="0.2">
      <c r="E474" s="22"/>
      <c r="F474" s="22"/>
    </row>
    <row r="475" spans="5:6" x14ac:dyDescent="0.2">
      <c r="E475" s="22"/>
      <c r="F475" s="22"/>
    </row>
    <row r="476" spans="5:6" x14ac:dyDescent="0.2">
      <c r="E476" s="22"/>
      <c r="F476" s="22"/>
    </row>
    <row r="477" spans="5:6" x14ac:dyDescent="0.2">
      <c r="E477" s="22"/>
      <c r="F477" s="22"/>
    </row>
    <row r="478" spans="5:6" x14ac:dyDescent="0.2">
      <c r="E478" s="22"/>
      <c r="F478" s="22"/>
    </row>
    <row r="479" spans="5:6" x14ac:dyDescent="0.2">
      <c r="E479" s="22"/>
      <c r="F479" s="22"/>
    </row>
    <row r="480" spans="5:6" x14ac:dyDescent="0.2">
      <c r="E480" s="22"/>
      <c r="F480" s="22"/>
    </row>
    <row r="481" spans="5:6" x14ac:dyDescent="0.2">
      <c r="E481" s="22"/>
      <c r="F481" s="22"/>
    </row>
    <row r="482" spans="5:6" x14ac:dyDescent="0.2">
      <c r="E482" s="22"/>
      <c r="F482" s="22"/>
    </row>
    <row r="483" spans="5:6" x14ac:dyDescent="0.2">
      <c r="E483" s="22"/>
      <c r="F483" s="22"/>
    </row>
    <row r="484" spans="5:6" x14ac:dyDescent="0.2">
      <c r="E484" s="22"/>
      <c r="F484" s="22"/>
    </row>
    <row r="485" spans="5:6" x14ac:dyDescent="0.2">
      <c r="E485" s="22"/>
      <c r="F485" s="22"/>
    </row>
    <row r="486" spans="5:6" x14ac:dyDescent="0.2">
      <c r="E486" s="22"/>
      <c r="F486" s="22"/>
    </row>
    <row r="487" spans="5:6" x14ac:dyDescent="0.2">
      <c r="E487" s="22"/>
      <c r="F487" s="22"/>
    </row>
    <row r="488" spans="5:6" x14ac:dyDescent="0.2">
      <c r="E488" s="22"/>
      <c r="F488" s="22"/>
    </row>
    <row r="489" spans="5:6" x14ac:dyDescent="0.2">
      <c r="E489" s="22"/>
      <c r="F489" s="22"/>
    </row>
    <row r="490" spans="5:6" x14ac:dyDescent="0.2">
      <c r="E490" s="22"/>
      <c r="F490" s="22"/>
    </row>
    <row r="491" spans="5:6" x14ac:dyDescent="0.2">
      <c r="E491" s="22"/>
      <c r="F491" s="22"/>
    </row>
    <row r="492" spans="5:6" x14ac:dyDescent="0.2">
      <c r="E492" s="22"/>
      <c r="F492" s="22"/>
    </row>
    <row r="493" spans="5:6" x14ac:dyDescent="0.2">
      <c r="E493" s="22"/>
      <c r="F493" s="22"/>
    </row>
    <row r="494" spans="5:6" x14ac:dyDescent="0.2">
      <c r="E494" s="22"/>
      <c r="F494" s="22"/>
    </row>
    <row r="495" spans="5:6" x14ac:dyDescent="0.2">
      <c r="E495" s="22"/>
      <c r="F495" s="22"/>
    </row>
    <row r="496" spans="5:6" x14ac:dyDescent="0.2">
      <c r="E496" s="22"/>
      <c r="F496" s="22"/>
    </row>
    <row r="497" spans="5:6" x14ac:dyDescent="0.2">
      <c r="E497" s="22"/>
      <c r="F497" s="22"/>
    </row>
    <row r="498" spans="5:6" x14ac:dyDescent="0.2">
      <c r="E498" s="22"/>
      <c r="F498" s="22"/>
    </row>
    <row r="499" spans="5:6" x14ac:dyDescent="0.2">
      <c r="E499" s="22"/>
      <c r="F499" s="22"/>
    </row>
    <row r="500" spans="5:6" x14ac:dyDescent="0.2">
      <c r="E500" s="22"/>
      <c r="F500" s="22"/>
    </row>
    <row r="501" spans="5:6" x14ac:dyDescent="0.2">
      <c r="E501" s="22"/>
      <c r="F501" s="22"/>
    </row>
    <row r="502" spans="5:6" x14ac:dyDescent="0.2">
      <c r="E502" s="22"/>
      <c r="F502" s="22"/>
    </row>
    <row r="503" spans="5:6" x14ac:dyDescent="0.2">
      <c r="E503" s="22"/>
      <c r="F503" s="22"/>
    </row>
    <row r="504" spans="5:6" x14ac:dyDescent="0.2">
      <c r="E504" s="22"/>
      <c r="F504" s="22"/>
    </row>
    <row r="505" spans="5:6" x14ac:dyDescent="0.2">
      <c r="E505" s="22"/>
      <c r="F505" s="22"/>
    </row>
    <row r="506" spans="5:6" x14ac:dyDescent="0.2">
      <c r="E506" s="22"/>
      <c r="F506" s="22"/>
    </row>
    <row r="507" spans="5:6" x14ac:dyDescent="0.2">
      <c r="E507" s="22"/>
      <c r="F507" s="22"/>
    </row>
    <row r="508" spans="5:6" x14ac:dyDescent="0.2">
      <c r="E508" s="22"/>
      <c r="F508" s="22"/>
    </row>
    <row r="509" spans="5:6" x14ac:dyDescent="0.2">
      <c r="E509" s="22"/>
      <c r="F509" s="22"/>
    </row>
    <row r="510" spans="5:6" x14ac:dyDescent="0.2">
      <c r="E510" s="22"/>
      <c r="F510" s="22"/>
    </row>
    <row r="511" spans="5:6" x14ac:dyDescent="0.2">
      <c r="E511" s="22"/>
      <c r="F511" s="22"/>
    </row>
    <row r="512" spans="5:6" x14ac:dyDescent="0.2">
      <c r="E512" s="22"/>
      <c r="F512" s="22"/>
    </row>
    <row r="513" spans="5:6" x14ac:dyDescent="0.2">
      <c r="E513" s="22"/>
      <c r="F513" s="22"/>
    </row>
    <row r="514" spans="5:6" x14ac:dyDescent="0.2">
      <c r="E514" s="22"/>
      <c r="F514" s="22"/>
    </row>
    <row r="515" spans="5:6" x14ac:dyDescent="0.2">
      <c r="E515" s="22"/>
      <c r="F515" s="22"/>
    </row>
    <row r="516" spans="5:6" x14ac:dyDescent="0.2">
      <c r="E516" s="22"/>
      <c r="F516" s="22"/>
    </row>
    <row r="517" spans="5:6" x14ac:dyDescent="0.2">
      <c r="E517" s="22"/>
      <c r="F517" s="22"/>
    </row>
    <row r="518" spans="5:6" x14ac:dyDescent="0.2">
      <c r="E518" s="22"/>
      <c r="F518" s="22"/>
    </row>
    <row r="519" spans="5:6" x14ac:dyDescent="0.2">
      <c r="E519" s="22"/>
      <c r="F519" s="22"/>
    </row>
    <row r="520" spans="5:6" x14ac:dyDescent="0.2">
      <c r="E520" s="22"/>
      <c r="F520" s="22"/>
    </row>
    <row r="521" spans="5:6" x14ac:dyDescent="0.2">
      <c r="E521" s="22"/>
      <c r="F521" s="22"/>
    </row>
    <row r="522" spans="5:6" x14ac:dyDescent="0.2">
      <c r="E522" s="22"/>
      <c r="F522" s="22"/>
    </row>
    <row r="523" spans="5:6" x14ac:dyDescent="0.2">
      <c r="E523" s="22"/>
      <c r="F523" s="22"/>
    </row>
    <row r="524" spans="5:6" x14ac:dyDescent="0.2">
      <c r="E524" s="22"/>
      <c r="F524" s="22"/>
    </row>
    <row r="525" spans="5:6" x14ac:dyDescent="0.2">
      <c r="E525" s="22"/>
      <c r="F525" s="22"/>
    </row>
    <row r="526" spans="5:6" x14ac:dyDescent="0.2">
      <c r="E526" s="22"/>
      <c r="F526" s="22"/>
    </row>
    <row r="527" spans="5:6" x14ac:dyDescent="0.2">
      <c r="E527" s="22"/>
      <c r="F527" s="22"/>
    </row>
    <row r="528" spans="5:6" x14ac:dyDescent="0.2">
      <c r="E528" s="22"/>
      <c r="F528" s="22"/>
    </row>
    <row r="529" spans="5:6" x14ac:dyDescent="0.2">
      <c r="E529" s="22"/>
      <c r="F529" s="22"/>
    </row>
    <row r="530" spans="5:6" x14ac:dyDescent="0.2">
      <c r="E530" s="22"/>
      <c r="F530" s="22"/>
    </row>
    <row r="531" spans="5:6" x14ac:dyDescent="0.2">
      <c r="E531" s="22"/>
      <c r="F531" s="22"/>
    </row>
    <row r="532" spans="5:6" x14ac:dyDescent="0.2">
      <c r="E532" s="22"/>
      <c r="F532" s="22"/>
    </row>
    <row r="533" spans="5:6" x14ac:dyDescent="0.2">
      <c r="E533" s="22"/>
      <c r="F533" s="22"/>
    </row>
    <row r="534" spans="5:6" x14ac:dyDescent="0.2">
      <c r="E534" s="22"/>
      <c r="F534" s="22"/>
    </row>
    <row r="535" spans="5:6" x14ac:dyDescent="0.2">
      <c r="E535" s="22"/>
      <c r="F535" s="22"/>
    </row>
    <row r="536" spans="5:6" x14ac:dyDescent="0.2">
      <c r="E536" s="22"/>
      <c r="F536" s="22"/>
    </row>
    <row r="537" spans="5:6" x14ac:dyDescent="0.2">
      <c r="E537" s="22"/>
      <c r="F537" s="22"/>
    </row>
    <row r="538" spans="5:6" x14ac:dyDescent="0.2">
      <c r="E538" s="22"/>
      <c r="F538" s="22"/>
    </row>
    <row r="539" spans="5:6" x14ac:dyDescent="0.2">
      <c r="E539" s="22"/>
      <c r="F539" s="22"/>
    </row>
    <row r="540" spans="5:6" x14ac:dyDescent="0.2">
      <c r="E540" s="22"/>
      <c r="F540" s="22"/>
    </row>
    <row r="541" spans="5:6" x14ac:dyDescent="0.2">
      <c r="E541" s="22"/>
      <c r="F541" s="22"/>
    </row>
    <row r="542" spans="5:6" x14ac:dyDescent="0.2">
      <c r="E542" s="22"/>
      <c r="F542" s="22"/>
    </row>
    <row r="543" spans="5:6" x14ac:dyDescent="0.2">
      <c r="E543" s="22"/>
      <c r="F543" s="22"/>
    </row>
    <row r="544" spans="5:6" x14ac:dyDescent="0.2">
      <c r="E544" s="22"/>
      <c r="F544" s="22"/>
    </row>
    <row r="545" spans="5:6" x14ac:dyDescent="0.2">
      <c r="E545" s="22"/>
      <c r="F545" s="22"/>
    </row>
    <row r="546" spans="5:6" x14ac:dyDescent="0.2">
      <c r="E546" s="22"/>
      <c r="F546" s="22"/>
    </row>
    <row r="547" spans="5:6" x14ac:dyDescent="0.2">
      <c r="E547" s="22"/>
      <c r="F547" s="22"/>
    </row>
    <row r="548" spans="5:6" x14ac:dyDescent="0.2">
      <c r="E548" s="22"/>
      <c r="F548" s="22"/>
    </row>
    <row r="549" spans="5:6" x14ac:dyDescent="0.2">
      <c r="E549" s="22"/>
      <c r="F549" s="22"/>
    </row>
    <row r="550" spans="5:6" x14ac:dyDescent="0.2">
      <c r="E550" s="22"/>
      <c r="F550" s="22"/>
    </row>
    <row r="551" spans="5:6" x14ac:dyDescent="0.2">
      <c r="E551" s="22"/>
      <c r="F551" s="22"/>
    </row>
    <row r="552" spans="5:6" x14ac:dyDescent="0.2">
      <c r="E552" s="22"/>
      <c r="F552" s="22"/>
    </row>
    <row r="553" spans="5:6" x14ac:dyDescent="0.2">
      <c r="E553" s="22"/>
      <c r="F553" s="22"/>
    </row>
    <row r="554" spans="5:6" x14ac:dyDescent="0.2">
      <c r="E554" s="22"/>
      <c r="F554" s="22"/>
    </row>
    <row r="555" spans="5:6" x14ac:dyDescent="0.2">
      <c r="E555" s="22"/>
      <c r="F555" s="22"/>
    </row>
    <row r="556" spans="5:6" x14ac:dyDescent="0.2">
      <c r="E556" s="22"/>
      <c r="F556" s="22"/>
    </row>
    <row r="557" spans="5:6" x14ac:dyDescent="0.2">
      <c r="E557" s="22"/>
      <c r="F557" s="22"/>
    </row>
    <row r="558" spans="5:6" x14ac:dyDescent="0.2">
      <c r="E558" s="22"/>
      <c r="F558" s="22"/>
    </row>
    <row r="559" spans="5:6" x14ac:dyDescent="0.2">
      <c r="E559" s="22"/>
      <c r="F559" s="22"/>
    </row>
    <row r="560" spans="5:6" x14ac:dyDescent="0.2">
      <c r="E560" s="22"/>
      <c r="F560" s="22"/>
    </row>
    <row r="561" spans="5:6" x14ac:dyDescent="0.2">
      <c r="E561" s="22"/>
      <c r="F561" s="22"/>
    </row>
    <row r="562" spans="5:6" x14ac:dyDescent="0.2">
      <c r="E562" s="22"/>
      <c r="F562" s="22"/>
    </row>
    <row r="563" spans="5:6" x14ac:dyDescent="0.2">
      <c r="E563" s="22"/>
      <c r="F563" s="22"/>
    </row>
    <row r="564" spans="5:6" x14ac:dyDescent="0.2">
      <c r="E564" s="22"/>
      <c r="F564" s="22"/>
    </row>
    <row r="565" spans="5:6" x14ac:dyDescent="0.2">
      <c r="E565" s="22"/>
      <c r="F565" s="22"/>
    </row>
    <row r="566" spans="5:6" x14ac:dyDescent="0.2">
      <c r="E566" s="22"/>
      <c r="F566" s="22"/>
    </row>
    <row r="567" spans="5:6" x14ac:dyDescent="0.2">
      <c r="E567" s="22"/>
      <c r="F567" s="22"/>
    </row>
    <row r="568" spans="5:6" x14ac:dyDescent="0.2">
      <c r="E568" s="22"/>
      <c r="F568" s="22"/>
    </row>
    <row r="569" spans="5:6" x14ac:dyDescent="0.2">
      <c r="E569" s="22"/>
      <c r="F569" s="22"/>
    </row>
    <row r="570" spans="5:6" x14ac:dyDescent="0.2">
      <c r="E570" s="22"/>
      <c r="F570" s="22"/>
    </row>
    <row r="571" spans="5:6" x14ac:dyDescent="0.2">
      <c r="E571" s="22"/>
      <c r="F571" s="22"/>
    </row>
    <row r="572" spans="5:6" x14ac:dyDescent="0.2">
      <c r="E572" s="22"/>
      <c r="F572" s="22"/>
    </row>
    <row r="573" spans="5:6" x14ac:dyDescent="0.2">
      <c r="E573" s="22"/>
      <c r="F573" s="22"/>
    </row>
    <row r="574" spans="5:6" x14ac:dyDescent="0.2">
      <c r="E574" s="22"/>
      <c r="F574" s="22"/>
    </row>
    <row r="575" spans="5:6" x14ac:dyDescent="0.2">
      <c r="E575" s="22"/>
      <c r="F575" s="22"/>
    </row>
    <row r="576" spans="5:6" x14ac:dyDescent="0.2">
      <c r="E576" s="22"/>
      <c r="F576" s="22"/>
    </row>
    <row r="577" spans="5:6" x14ac:dyDescent="0.2">
      <c r="E577" s="22"/>
      <c r="F577" s="22"/>
    </row>
    <row r="578" spans="5:6" x14ac:dyDescent="0.2">
      <c r="E578" s="22"/>
      <c r="F578" s="22"/>
    </row>
    <row r="579" spans="5:6" x14ac:dyDescent="0.2">
      <c r="E579" s="22"/>
      <c r="F579" s="22"/>
    </row>
    <row r="580" spans="5:6" x14ac:dyDescent="0.2">
      <c r="E580" s="22"/>
      <c r="F580" s="22"/>
    </row>
    <row r="581" spans="5:6" x14ac:dyDescent="0.2">
      <c r="E581" s="22"/>
      <c r="F581" s="22"/>
    </row>
    <row r="582" spans="5:6" x14ac:dyDescent="0.2">
      <c r="E582" s="22"/>
      <c r="F582" s="22"/>
    </row>
    <row r="583" spans="5:6" x14ac:dyDescent="0.2">
      <c r="E583" s="22"/>
      <c r="F583" s="22"/>
    </row>
    <row r="584" spans="5:6" x14ac:dyDescent="0.2">
      <c r="E584" s="22"/>
      <c r="F584" s="22"/>
    </row>
    <row r="585" spans="5:6" x14ac:dyDescent="0.2">
      <c r="E585" s="22"/>
      <c r="F585" s="22"/>
    </row>
    <row r="586" spans="5:6" x14ac:dyDescent="0.2">
      <c r="E586" s="22"/>
      <c r="F586" s="22"/>
    </row>
    <row r="587" spans="5:6" x14ac:dyDescent="0.2">
      <c r="E587" s="22"/>
      <c r="F587" s="22"/>
    </row>
    <row r="588" spans="5:6" x14ac:dyDescent="0.2">
      <c r="E588" s="22"/>
      <c r="F588" s="22"/>
    </row>
    <row r="589" spans="5:6" x14ac:dyDescent="0.2">
      <c r="E589" s="22"/>
      <c r="F589" s="22"/>
    </row>
    <row r="590" spans="5:6" x14ac:dyDescent="0.2">
      <c r="E590" s="22"/>
      <c r="F590" s="22"/>
    </row>
    <row r="591" spans="5:6" x14ac:dyDescent="0.2">
      <c r="E591" s="22"/>
      <c r="F591" s="22"/>
    </row>
    <row r="592" spans="5:6" x14ac:dyDescent="0.2">
      <c r="E592" s="22"/>
      <c r="F592" s="22"/>
    </row>
    <row r="593" spans="5:6" x14ac:dyDescent="0.2">
      <c r="E593" s="22"/>
      <c r="F593" s="22"/>
    </row>
    <row r="594" spans="5:6" x14ac:dyDescent="0.2">
      <c r="E594" s="22"/>
      <c r="F594" s="22"/>
    </row>
    <row r="595" spans="5:6" x14ac:dyDescent="0.2">
      <c r="E595" s="22"/>
      <c r="F595" s="22"/>
    </row>
    <row r="596" spans="5:6" x14ac:dyDescent="0.2">
      <c r="E596" s="22"/>
      <c r="F596" s="22"/>
    </row>
    <row r="597" spans="5:6" x14ac:dyDescent="0.2">
      <c r="E597" s="22"/>
      <c r="F597" s="22"/>
    </row>
    <row r="598" spans="5:6" x14ac:dyDescent="0.2">
      <c r="E598" s="22"/>
      <c r="F598" s="22"/>
    </row>
    <row r="599" spans="5:6" x14ac:dyDescent="0.2">
      <c r="E599" s="22"/>
      <c r="F599" s="22"/>
    </row>
    <row r="600" spans="5:6" x14ac:dyDescent="0.2">
      <c r="E600" s="22"/>
      <c r="F600" s="22"/>
    </row>
    <row r="601" spans="5:6" x14ac:dyDescent="0.2">
      <c r="E601" s="22"/>
      <c r="F601" s="22"/>
    </row>
    <row r="602" spans="5:6" x14ac:dyDescent="0.2">
      <c r="E602" s="22"/>
      <c r="F602" s="22"/>
    </row>
    <row r="603" spans="5:6" x14ac:dyDescent="0.2">
      <c r="E603" s="22"/>
      <c r="F603" s="22"/>
    </row>
    <row r="604" spans="5:6" x14ac:dyDescent="0.2">
      <c r="E604" s="22"/>
      <c r="F604" s="22"/>
    </row>
    <row r="605" spans="5:6" x14ac:dyDescent="0.2">
      <c r="E605" s="22"/>
      <c r="F605" s="22"/>
    </row>
    <row r="606" spans="5:6" x14ac:dyDescent="0.2">
      <c r="E606" s="22"/>
      <c r="F606" s="22"/>
    </row>
    <row r="607" spans="5:6" x14ac:dyDescent="0.2">
      <c r="E607" s="22"/>
      <c r="F607" s="22"/>
    </row>
    <row r="608" spans="5:6" x14ac:dyDescent="0.2">
      <c r="E608" s="22"/>
      <c r="F608" s="22"/>
    </row>
    <row r="609" spans="5:6" x14ac:dyDescent="0.2">
      <c r="E609" s="22"/>
      <c r="F609" s="22"/>
    </row>
    <row r="610" spans="5:6" x14ac:dyDescent="0.2">
      <c r="E610" s="22"/>
      <c r="F610" s="22"/>
    </row>
    <row r="611" spans="5:6" x14ac:dyDescent="0.2">
      <c r="E611" s="22"/>
      <c r="F611" s="22"/>
    </row>
    <row r="612" spans="5:6" x14ac:dyDescent="0.2">
      <c r="E612" s="22"/>
      <c r="F612" s="22"/>
    </row>
    <row r="613" spans="5:6" x14ac:dyDescent="0.2">
      <c r="E613" s="22"/>
      <c r="F613" s="22"/>
    </row>
    <row r="614" spans="5:6" x14ac:dyDescent="0.2">
      <c r="E614" s="22"/>
      <c r="F614" s="22"/>
    </row>
    <row r="615" spans="5:6" x14ac:dyDescent="0.2">
      <c r="E615" s="22"/>
      <c r="F615" s="22"/>
    </row>
    <row r="616" spans="5:6" x14ac:dyDescent="0.2">
      <c r="E616" s="22"/>
      <c r="F616" s="22"/>
    </row>
    <row r="617" spans="5:6" x14ac:dyDescent="0.2">
      <c r="E617" s="22"/>
      <c r="F617" s="22"/>
    </row>
    <row r="618" spans="5:6" x14ac:dyDescent="0.2">
      <c r="E618" s="22"/>
      <c r="F618" s="22"/>
    </row>
    <row r="619" spans="5:6" x14ac:dyDescent="0.2">
      <c r="E619" s="22"/>
      <c r="F619" s="22"/>
    </row>
    <row r="620" spans="5:6" x14ac:dyDescent="0.2">
      <c r="E620" s="22"/>
      <c r="F620" s="22"/>
    </row>
    <row r="621" spans="5:6" x14ac:dyDescent="0.2">
      <c r="E621" s="22"/>
      <c r="F621" s="22"/>
    </row>
    <row r="622" spans="5:6" x14ac:dyDescent="0.2">
      <c r="E622" s="22"/>
      <c r="F622" s="22"/>
    </row>
    <row r="623" spans="5:6" x14ac:dyDescent="0.2">
      <c r="E623" s="22"/>
      <c r="F623" s="22"/>
    </row>
    <row r="624" spans="5:6" x14ac:dyDescent="0.2">
      <c r="E624" s="22"/>
      <c r="F624" s="22"/>
    </row>
    <row r="625" spans="5:6" x14ac:dyDescent="0.2">
      <c r="E625" s="22"/>
      <c r="F625" s="22"/>
    </row>
    <row r="626" spans="5:6" x14ac:dyDescent="0.2">
      <c r="E626" s="22"/>
      <c r="F626" s="22"/>
    </row>
    <row r="627" spans="5:6" x14ac:dyDescent="0.2">
      <c r="E627" s="22"/>
      <c r="F627" s="22"/>
    </row>
    <row r="628" spans="5:6" x14ac:dyDescent="0.2">
      <c r="E628" s="22"/>
      <c r="F628" s="22"/>
    </row>
    <row r="629" spans="5:6" x14ac:dyDescent="0.2">
      <c r="E629" s="22"/>
      <c r="F629" s="22"/>
    </row>
    <row r="630" spans="5:6" x14ac:dyDescent="0.2">
      <c r="E630" s="22"/>
      <c r="F630" s="22"/>
    </row>
    <row r="631" spans="5:6" x14ac:dyDescent="0.2">
      <c r="E631" s="22"/>
      <c r="F631" s="22"/>
    </row>
    <row r="632" spans="5:6" x14ac:dyDescent="0.2">
      <c r="E632" s="22"/>
      <c r="F632" s="22"/>
    </row>
    <row r="633" spans="5:6" x14ac:dyDescent="0.2">
      <c r="E633" s="22"/>
      <c r="F633" s="22"/>
    </row>
    <row r="634" spans="5:6" x14ac:dyDescent="0.2">
      <c r="E634" s="22"/>
      <c r="F634" s="22"/>
    </row>
    <row r="635" spans="5:6" x14ac:dyDescent="0.2">
      <c r="E635" s="22"/>
      <c r="F635" s="22"/>
    </row>
    <row r="636" spans="5:6" x14ac:dyDescent="0.2">
      <c r="E636" s="22"/>
      <c r="F636" s="22"/>
    </row>
    <row r="637" spans="5:6" x14ac:dyDescent="0.2">
      <c r="E637" s="22"/>
      <c r="F637" s="22"/>
    </row>
    <row r="638" spans="5:6" x14ac:dyDescent="0.2">
      <c r="E638" s="22"/>
      <c r="F638" s="22"/>
    </row>
    <row r="639" spans="5:6" x14ac:dyDescent="0.2">
      <c r="E639" s="22"/>
      <c r="F639" s="22"/>
    </row>
    <row r="640" spans="5:6" x14ac:dyDescent="0.2">
      <c r="E640" s="22"/>
      <c r="F640" s="22"/>
    </row>
    <row r="641" spans="5:6" x14ac:dyDescent="0.2">
      <c r="E641" s="22"/>
      <c r="F641" s="22"/>
    </row>
    <row r="642" spans="5:6" x14ac:dyDescent="0.2">
      <c r="E642" s="22"/>
      <c r="F642" s="22"/>
    </row>
    <row r="643" spans="5:6" x14ac:dyDescent="0.2">
      <c r="E643" s="22"/>
      <c r="F643" s="22"/>
    </row>
    <row r="644" spans="5:6" x14ac:dyDescent="0.2">
      <c r="E644" s="22"/>
      <c r="F644" s="22"/>
    </row>
    <row r="645" spans="5:6" x14ac:dyDescent="0.2">
      <c r="E645" s="22"/>
      <c r="F645" s="22"/>
    </row>
    <row r="646" spans="5:6" x14ac:dyDescent="0.2">
      <c r="E646" s="22"/>
      <c r="F646" s="22"/>
    </row>
    <row r="647" spans="5:6" x14ac:dyDescent="0.2">
      <c r="E647" s="22"/>
      <c r="F647" s="22"/>
    </row>
    <row r="648" spans="5:6" x14ac:dyDescent="0.2">
      <c r="E648" s="22"/>
      <c r="F648" s="22"/>
    </row>
    <row r="649" spans="5:6" x14ac:dyDescent="0.2">
      <c r="E649" s="22"/>
      <c r="F649" s="22"/>
    </row>
    <row r="650" spans="5:6" x14ac:dyDescent="0.2">
      <c r="E650" s="22"/>
      <c r="F650" s="22"/>
    </row>
    <row r="651" spans="5:6" x14ac:dyDescent="0.2">
      <c r="E651" s="22"/>
      <c r="F651" s="22"/>
    </row>
    <row r="652" spans="5:6" x14ac:dyDescent="0.2">
      <c r="E652" s="22"/>
      <c r="F652" s="22"/>
    </row>
    <row r="653" spans="5:6" x14ac:dyDescent="0.2">
      <c r="E653" s="22"/>
      <c r="F653" s="22"/>
    </row>
    <row r="654" spans="5:6" x14ac:dyDescent="0.2">
      <c r="E654" s="22"/>
      <c r="F654" s="22"/>
    </row>
    <row r="655" spans="5:6" x14ac:dyDescent="0.2">
      <c r="E655" s="22"/>
      <c r="F655" s="22"/>
    </row>
    <row r="656" spans="5:6" x14ac:dyDescent="0.2">
      <c r="E656" s="22"/>
      <c r="F656" s="22"/>
    </row>
    <row r="657" spans="5:6" x14ac:dyDescent="0.2">
      <c r="E657" s="22"/>
      <c r="F657" s="22"/>
    </row>
    <row r="658" spans="5:6" x14ac:dyDescent="0.2">
      <c r="E658" s="22"/>
      <c r="F658" s="22"/>
    </row>
    <row r="659" spans="5:6" x14ac:dyDescent="0.2">
      <c r="E659" s="22"/>
      <c r="F659" s="22"/>
    </row>
    <row r="660" spans="5:6" x14ac:dyDescent="0.2">
      <c r="E660" s="22"/>
      <c r="F660" s="22"/>
    </row>
    <row r="661" spans="5:6" x14ac:dyDescent="0.2">
      <c r="E661" s="22"/>
      <c r="F661" s="22"/>
    </row>
    <row r="662" spans="5:6" x14ac:dyDescent="0.2">
      <c r="E662" s="22"/>
      <c r="F662" s="22"/>
    </row>
    <row r="663" spans="5:6" x14ac:dyDescent="0.2">
      <c r="E663" s="22"/>
      <c r="F663" s="22"/>
    </row>
    <row r="664" spans="5:6" x14ac:dyDescent="0.2">
      <c r="E664" s="22"/>
      <c r="F664" s="22"/>
    </row>
    <row r="665" spans="5:6" x14ac:dyDescent="0.2">
      <c r="E665" s="22"/>
      <c r="F665" s="22"/>
    </row>
    <row r="666" spans="5:6" x14ac:dyDescent="0.2">
      <c r="E666" s="22"/>
      <c r="F666" s="22"/>
    </row>
    <row r="667" spans="5:6" x14ac:dyDescent="0.2">
      <c r="E667" s="22"/>
      <c r="F667" s="22"/>
    </row>
    <row r="668" spans="5:6" x14ac:dyDescent="0.2">
      <c r="E668" s="22"/>
      <c r="F668" s="22"/>
    </row>
    <row r="669" spans="5:6" x14ac:dyDescent="0.2">
      <c r="E669" s="22"/>
      <c r="F669" s="22"/>
    </row>
    <row r="670" spans="5:6" x14ac:dyDescent="0.2">
      <c r="E670" s="22"/>
      <c r="F670" s="22"/>
    </row>
    <row r="671" spans="5:6" x14ac:dyDescent="0.2">
      <c r="E671" s="22"/>
      <c r="F671" s="22"/>
    </row>
    <row r="672" spans="5:6" x14ac:dyDescent="0.2">
      <c r="E672" s="22"/>
      <c r="F672" s="22"/>
    </row>
    <row r="673" spans="5:6" x14ac:dyDescent="0.2">
      <c r="E673" s="22"/>
      <c r="F673" s="22"/>
    </row>
    <row r="674" spans="5:6" x14ac:dyDescent="0.2">
      <c r="E674" s="22"/>
      <c r="F674" s="22"/>
    </row>
    <row r="675" spans="5:6" x14ac:dyDescent="0.2">
      <c r="E675" s="22"/>
      <c r="F675" s="22"/>
    </row>
    <row r="676" spans="5:6" x14ac:dyDescent="0.2">
      <c r="E676" s="22"/>
      <c r="F676" s="22"/>
    </row>
    <row r="677" spans="5:6" x14ac:dyDescent="0.2">
      <c r="E677" s="22"/>
      <c r="F677" s="22"/>
    </row>
    <row r="678" spans="5:6" x14ac:dyDescent="0.2">
      <c r="E678" s="22"/>
      <c r="F678" s="22"/>
    </row>
    <row r="679" spans="5:6" x14ac:dyDescent="0.2">
      <c r="E679" s="22"/>
      <c r="F679" s="22"/>
    </row>
    <row r="680" spans="5:6" x14ac:dyDescent="0.2">
      <c r="E680" s="22"/>
      <c r="F680" s="22"/>
    </row>
    <row r="681" spans="5:6" x14ac:dyDescent="0.2">
      <c r="E681" s="22"/>
      <c r="F681" s="22"/>
    </row>
    <row r="682" spans="5:6" x14ac:dyDescent="0.2">
      <c r="E682" s="22"/>
      <c r="F682" s="22"/>
    </row>
    <row r="683" spans="5:6" x14ac:dyDescent="0.2">
      <c r="E683" s="22"/>
      <c r="F683" s="22"/>
    </row>
    <row r="684" spans="5:6" x14ac:dyDescent="0.2">
      <c r="E684" s="22"/>
      <c r="F684" s="22"/>
    </row>
    <row r="685" spans="5:6" x14ac:dyDescent="0.2">
      <c r="E685" s="22"/>
      <c r="F685" s="22"/>
    </row>
    <row r="686" spans="5:6" x14ac:dyDescent="0.2">
      <c r="E686" s="22"/>
      <c r="F686" s="22"/>
    </row>
    <row r="687" spans="5:6" x14ac:dyDescent="0.2">
      <c r="E687" s="22"/>
      <c r="F687" s="22"/>
    </row>
    <row r="688" spans="5:6" x14ac:dyDescent="0.2">
      <c r="E688" s="22"/>
      <c r="F688" s="22"/>
    </row>
    <row r="689" spans="5:6" x14ac:dyDescent="0.2">
      <c r="E689" s="22"/>
      <c r="F689" s="22"/>
    </row>
    <row r="690" spans="5:6" x14ac:dyDescent="0.2">
      <c r="E690" s="22"/>
      <c r="F690" s="22"/>
    </row>
    <row r="691" spans="5:6" x14ac:dyDescent="0.2">
      <c r="E691" s="22"/>
      <c r="F691" s="22"/>
    </row>
    <row r="692" spans="5:6" x14ac:dyDescent="0.2">
      <c r="E692" s="22"/>
      <c r="F692" s="22"/>
    </row>
    <row r="693" spans="5:6" x14ac:dyDescent="0.2">
      <c r="E693" s="22"/>
      <c r="F693" s="22"/>
    </row>
    <row r="694" spans="5:6" x14ac:dyDescent="0.2">
      <c r="E694" s="22"/>
      <c r="F694" s="22"/>
    </row>
    <row r="695" spans="5:6" x14ac:dyDescent="0.2">
      <c r="E695" s="22"/>
      <c r="F695" s="22"/>
    </row>
    <row r="696" spans="5:6" x14ac:dyDescent="0.2">
      <c r="E696" s="22"/>
      <c r="F696" s="22"/>
    </row>
    <row r="697" spans="5:6" x14ac:dyDescent="0.2">
      <c r="E697" s="22"/>
      <c r="F697" s="22"/>
    </row>
    <row r="698" spans="5:6" x14ac:dyDescent="0.2">
      <c r="E698" s="22"/>
      <c r="F698" s="22"/>
    </row>
    <row r="699" spans="5:6" x14ac:dyDescent="0.2">
      <c r="E699" s="22"/>
      <c r="F699" s="22"/>
    </row>
    <row r="700" spans="5:6" x14ac:dyDescent="0.2">
      <c r="E700" s="22"/>
      <c r="F700" s="22"/>
    </row>
    <row r="701" spans="5:6" x14ac:dyDescent="0.2">
      <c r="E701" s="22"/>
      <c r="F701" s="22"/>
    </row>
    <row r="702" spans="5:6" x14ac:dyDescent="0.2">
      <c r="E702" s="22"/>
      <c r="F702" s="22"/>
    </row>
    <row r="703" spans="5:6" x14ac:dyDescent="0.2">
      <c r="E703" s="22"/>
      <c r="F703" s="22"/>
    </row>
    <row r="704" spans="5:6" x14ac:dyDescent="0.2">
      <c r="E704" s="22"/>
      <c r="F704" s="22"/>
    </row>
    <row r="705" spans="5:6" x14ac:dyDescent="0.2">
      <c r="E705" s="22"/>
      <c r="F705" s="22"/>
    </row>
    <row r="706" spans="5:6" x14ac:dyDescent="0.2">
      <c r="E706" s="22"/>
      <c r="F706" s="22"/>
    </row>
    <row r="707" spans="5:6" x14ac:dyDescent="0.2">
      <c r="E707" s="22"/>
      <c r="F707" s="22"/>
    </row>
    <row r="708" spans="5:6" x14ac:dyDescent="0.2">
      <c r="E708" s="22"/>
      <c r="F708" s="22"/>
    </row>
    <row r="709" spans="5:6" x14ac:dyDescent="0.2">
      <c r="E709" s="22"/>
      <c r="F709" s="22"/>
    </row>
    <row r="710" spans="5:6" x14ac:dyDescent="0.2">
      <c r="E710" s="22"/>
      <c r="F710" s="22"/>
    </row>
    <row r="711" spans="5:6" x14ac:dyDescent="0.2">
      <c r="E711" s="22"/>
      <c r="F711" s="22"/>
    </row>
    <row r="712" spans="5:6" x14ac:dyDescent="0.2">
      <c r="E712" s="22"/>
      <c r="F712" s="22"/>
    </row>
    <row r="713" spans="5:6" x14ac:dyDescent="0.2">
      <c r="E713" s="22"/>
      <c r="F713" s="22"/>
    </row>
    <row r="714" spans="5:6" x14ac:dyDescent="0.2">
      <c r="E714" s="22"/>
      <c r="F714" s="22"/>
    </row>
    <row r="715" spans="5:6" x14ac:dyDescent="0.2">
      <c r="E715" s="22"/>
      <c r="F715" s="22"/>
    </row>
    <row r="716" spans="5:6" x14ac:dyDescent="0.2">
      <c r="E716" s="22"/>
      <c r="F716" s="22"/>
    </row>
    <row r="717" spans="5:6" x14ac:dyDescent="0.2">
      <c r="E717" s="22"/>
      <c r="F717" s="22"/>
    </row>
    <row r="718" spans="5:6" x14ac:dyDescent="0.2">
      <c r="E718" s="22"/>
      <c r="F718" s="22"/>
    </row>
    <row r="719" spans="5:6" x14ac:dyDescent="0.2">
      <c r="E719" s="22"/>
      <c r="F719" s="22"/>
    </row>
    <row r="720" spans="5:6" x14ac:dyDescent="0.2">
      <c r="E720" s="22"/>
      <c r="F720" s="22"/>
    </row>
    <row r="721" spans="5:6" x14ac:dyDescent="0.2">
      <c r="E721" s="22"/>
      <c r="F721" s="22"/>
    </row>
    <row r="722" spans="5:6" x14ac:dyDescent="0.2">
      <c r="E722" s="22"/>
      <c r="F722" s="22"/>
    </row>
    <row r="723" spans="5:6" x14ac:dyDescent="0.2">
      <c r="E723" s="22"/>
      <c r="F723" s="22"/>
    </row>
    <row r="724" spans="5:6" x14ac:dyDescent="0.2">
      <c r="E724" s="22"/>
      <c r="F724" s="22"/>
    </row>
    <row r="725" spans="5:6" x14ac:dyDescent="0.2">
      <c r="E725" s="22"/>
      <c r="F725" s="22"/>
    </row>
    <row r="726" spans="5:6" x14ac:dyDescent="0.2">
      <c r="E726" s="22"/>
      <c r="F726" s="22"/>
    </row>
    <row r="727" spans="5:6" x14ac:dyDescent="0.2">
      <c r="E727" s="22"/>
      <c r="F727" s="22"/>
    </row>
    <row r="728" spans="5:6" x14ac:dyDescent="0.2">
      <c r="E728" s="22"/>
      <c r="F728" s="22"/>
    </row>
    <row r="729" spans="5:6" x14ac:dyDescent="0.2">
      <c r="E729" s="22"/>
      <c r="F729" s="22"/>
    </row>
    <row r="730" spans="5:6" x14ac:dyDescent="0.2">
      <c r="E730" s="22"/>
      <c r="F730" s="22"/>
    </row>
    <row r="731" spans="5:6" x14ac:dyDescent="0.2">
      <c r="E731" s="22"/>
      <c r="F731" s="22"/>
    </row>
    <row r="732" spans="5:6" x14ac:dyDescent="0.2">
      <c r="E732" s="22"/>
      <c r="F732" s="22"/>
    </row>
    <row r="733" spans="5:6" x14ac:dyDescent="0.2">
      <c r="E733" s="22"/>
      <c r="F733" s="22"/>
    </row>
    <row r="734" spans="5:6" x14ac:dyDescent="0.2">
      <c r="E734" s="22"/>
      <c r="F734" s="22"/>
    </row>
    <row r="735" spans="5:6" x14ac:dyDescent="0.2">
      <c r="E735" s="22"/>
      <c r="F735" s="22"/>
    </row>
    <row r="736" spans="5:6" x14ac:dyDescent="0.2">
      <c r="E736" s="22"/>
      <c r="F736" s="22"/>
    </row>
    <row r="737" spans="5:6" x14ac:dyDescent="0.2">
      <c r="E737" s="22"/>
      <c r="F737" s="22"/>
    </row>
    <row r="738" spans="5:6" x14ac:dyDescent="0.2">
      <c r="E738" s="22"/>
      <c r="F738" s="22"/>
    </row>
    <row r="739" spans="5:6" x14ac:dyDescent="0.2">
      <c r="E739" s="22"/>
      <c r="F739" s="22"/>
    </row>
    <row r="740" spans="5:6" x14ac:dyDescent="0.2">
      <c r="E740" s="22"/>
      <c r="F740" s="22"/>
    </row>
    <row r="741" spans="5:6" x14ac:dyDescent="0.2">
      <c r="E741" s="22"/>
      <c r="F741" s="22"/>
    </row>
    <row r="742" spans="5:6" x14ac:dyDescent="0.2">
      <c r="E742" s="22"/>
      <c r="F742" s="22"/>
    </row>
    <row r="743" spans="5:6" x14ac:dyDescent="0.2">
      <c r="E743" s="22"/>
      <c r="F743" s="22"/>
    </row>
    <row r="744" spans="5:6" x14ac:dyDescent="0.2">
      <c r="E744" s="22"/>
      <c r="F744" s="22"/>
    </row>
    <row r="745" spans="5:6" x14ac:dyDescent="0.2">
      <c r="E745" s="22"/>
      <c r="F745" s="22"/>
    </row>
    <row r="746" spans="5:6" x14ac:dyDescent="0.2">
      <c r="E746" s="22"/>
      <c r="F746" s="22"/>
    </row>
    <row r="747" spans="5:6" x14ac:dyDescent="0.2">
      <c r="E747" s="22"/>
      <c r="F747" s="22"/>
    </row>
    <row r="748" spans="5:6" x14ac:dyDescent="0.2">
      <c r="E748" s="22"/>
      <c r="F748" s="22"/>
    </row>
    <row r="749" spans="5:6" x14ac:dyDescent="0.2">
      <c r="E749" s="22"/>
      <c r="F749" s="22"/>
    </row>
    <row r="750" spans="5:6" x14ac:dyDescent="0.2">
      <c r="E750" s="22"/>
      <c r="F750" s="22"/>
    </row>
    <row r="751" spans="5:6" x14ac:dyDescent="0.2">
      <c r="E751" s="22"/>
      <c r="F751" s="22"/>
    </row>
    <row r="752" spans="5:6" x14ac:dyDescent="0.2">
      <c r="E752" s="22"/>
      <c r="F752" s="22"/>
    </row>
    <row r="753" spans="5:6" x14ac:dyDescent="0.2">
      <c r="E753" s="22"/>
      <c r="F753" s="22"/>
    </row>
    <row r="754" spans="5:6" x14ac:dyDescent="0.2">
      <c r="E754" s="22"/>
      <c r="F754" s="22"/>
    </row>
    <row r="755" spans="5:6" x14ac:dyDescent="0.2">
      <c r="E755" s="22"/>
      <c r="F755" s="22"/>
    </row>
    <row r="756" spans="5:6" x14ac:dyDescent="0.2">
      <c r="E756" s="22"/>
      <c r="F756" s="22"/>
    </row>
    <row r="757" spans="5:6" x14ac:dyDescent="0.2">
      <c r="E757" s="22"/>
      <c r="F757" s="22"/>
    </row>
    <row r="758" spans="5:6" x14ac:dyDescent="0.2">
      <c r="E758" s="22"/>
      <c r="F758" s="22"/>
    </row>
    <row r="759" spans="5:6" x14ac:dyDescent="0.2">
      <c r="E759" s="22"/>
      <c r="F759" s="22"/>
    </row>
    <row r="760" spans="5:6" x14ac:dyDescent="0.2">
      <c r="E760" s="22"/>
      <c r="F760" s="22"/>
    </row>
    <row r="761" spans="5:6" x14ac:dyDescent="0.2">
      <c r="E761" s="22"/>
      <c r="F761" s="22"/>
    </row>
    <row r="762" spans="5:6" x14ac:dyDescent="0.2">
      <c r="E762" s="22"/>
      <c r="F762" s="22"/>
    </row>
    <row r="763" spans="5:6" x14ac:dyDescent="0.2">
      <c r="E763" s="22"/>
      <c r="F763" s="22"/>
    </row>
    <row r="764" spans="5:6" x14ac:dyDescent="0.2">
      <c r="E764" s="22"/>
      <c r="F764" s="22"/>
    </row>
    <row r="765" spans="5:6" x14ac:dyDescent="0.2">
      <c r="E765" s="22"/>
      <c r="F765" s="22"/>
    </row>
    <row r="766" spans="5:6" x14ac:dyDescent="0.2">
      <c r="E766" s="22"/>
      <c r="F766" s="22"/>
    </row>
    <row r="767" spans="5:6" x14ac:dyDescent="0.2">
      <c r="E767" s="22"/>
      <c r="F767" s="22"/>
    </row>
    <row r="768" spans="5:6" x14ac:dyDescent="0.2">
      <c r="E768" s="22"/>
      <c r="F768" s="22"/>
    </row>
    <row r="769" spans="5:6" x14ac:dyDescent="0.2">
      <c r="E769" s="22"/>
      <c r="F769" s="22"/>
    </row>
    <row r="770" spans="5:6" x14ac:dyDescent="0.2">
      <c r="E770" s="22"/>
      <c r="F770" s="22"/>
    </row>
    <row r="771" spans="5:6" x14ac:dyDescent="0.2">
      <c r="E771" s="22"/>
      <c r="F771" s="22"/>
    </row>
    <row r="772" spans="5:6" x14ac:dyDescent="0.2">
      <c r="E772" s="22"/>
      <c r="F772" s="22"/>
    </row>
    <row r="773" spans="5:6" x14ac:dyDescent="0.2">
      <c r="E773" s="22"/>
      <c r="F773" s="22"/>
    </row>
    <row r="774" spans="5:6" x14ac:dyDescent="0.2">
      <c r="E774" s="22"/>
      <c r="F774" s="22"/>
    </row>
    <row r="775" spans="5:6" x14ac:dyDescent="0.2">
      <c r="E775" s="22"/>
      <c r="F775" s="22"/>
    </row>
    <row r="776" spans="5:6" x14ac:dyDescent="0.2">
      <c r="E776" s="22"/>
      <c r="F776" s="22"/>
    </row>
    <row r="777" spans="5:6" x14ac:dyDescent="0.2">
      <c r="E777" s="22"/>
      <c r="F777" s="22"/>
    </row>
    <row r="778" spans="5:6" x14ac:dyDescent="0.2">
      <c r="E778" s="22"/>
      <c r="F778" s="22"/>
    </row>
    <row r="779" spans="5:6" x14ac:dyDescent="0.2">
      <c r="E779" s="22"/>
      <c r="F779" s="22"/>
    </row>
    <row r="780" spans="5:6" x14ac:dyDescent="0.2">
      <c r="E780" s="22"/>
      <c r="F780" s="22"/>
    </row>
    <row r="781" spans="5:6" x14ac:dyDescent="0.2">
      <c r="E781" s="22"/>
      <c r="F781" s="22"/>
    </row>
    <row r="782" spans="5:6" x14ac:dyDescent="0.2">
      <c r="E782" s="22"/>
      <c r="F782" s="22"/>
    </row>
    <row r="783" spans="5:6" x14ac:dyDescent="0.2">
      <c r="E783" s="22"/>
      <c r="F783" s="22"/>
    </row>
    <row r="784" spans="5:6" x14ac:dyDescent="0.2">
      <c r="E784" s="22"/>
      <c r="F784" s="22"/>
    </row>
    <row r="785" spans="5:6" x14ac:dyDescent="0.2">
      <c r="E785" s="22"/>
      <c r="F785" s="22"/>
    </row>
    <row r="786" spans="5:6" x14ac:dyDescent="0.2">
      <c r="E786" s="22"/>
      <c r="F786" s="22"/>
    </row>
    <row r="787" spans="5:6" x14ac:dyDescent="0.2">
      <c r="E787" s="22"/>
      <c r="F787" s="22"/>
    </row>
    <row r="788" spans="5:6" x14ac:dyDescent="0.2">
      <c r="E788" s="22"/>
      <c r="F788" s="22"/>
    </row>
    <row r="789" spans="5:6" x14ac:dyDescent="0.2">
      <c r="E789" s="22"/>
      <c r="F789" s="22"/>
    </row>
    <row r="790" spans="5:6" x14ac:dyDescent="0.2">
      <c r="E790" s="22"/>
      <c r="F790" s="22"/>
    </row>
    <row r="791" spans="5:6" x14ac:dyDescent="0.2">
      <c r="E791" s="22"/>
      <c r="F791" s="22"/>
    </row>
  </sheetData>
  <conditionalFormatting sqref="E164:E270 E90:E161">
    <cfRule type="cellIs" dxfId="4" priority="3" stopIfTrue="1" operator="equal">
      <formula>"OK nå"</formula>
    </cfRule>
  </conditionalFormatting>
  <conditionalFormatting sqref="E18:E44 E47:E54">
    <cfRule type="cellIs" dxfId="3" priority="4" stopIfTrue="1" operator="equal">
      <formula>"OK nå"</formula>
    </cfRule>
  </conditionalFormatting>
  <pageMargins left="0.36" right="0.24" top="1" bottom="1" header="0.5" footer="0.5"/>
  <pageSetup paperSize="9" scale="73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customProperties>
    <customPr name="EpmWorksheetKeyString_GUID" r:id="rId3"/>
  </customProperties>
  <drawing r:id="rId4"/>
  <legacy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23">
    <tabColor rgb="FFC00000"/>
    <pageSetUpPr fitToPage="1"/>
  </sheetPr>
  <dimension ref="A2:L787"/>
  <sheetViews>
    <sheetView showGridLines="0" showZeros="0" zoomScale="85" workbookViewId="0">
      <pane xSplit="2" ySplit="14" topLeftCell="C15" activePane="bottomRight" state="frozen"/>
      <selection activeCell="C17" sqref="C17"/>
      <selection pane="topRight" activeCell="C17" sqref="C17"/>
      <selection pane="bottomLeft" activeCell="C17" sqref="C17"/>
      <selection pane="bottomRight" activeCell="C15" sqref="C15"/>
    </sheetView>
  </sheetViews>
  <sheetFormatPr defaultColWidth="11.42578125" defaultRowHeight="12.75" x14ac:dyDescent="0.2"/>
  <cols>
    <col min="1" max="1" width="11.7109375" style="22" customWidth="1"/>
    <col min="2" max="2" width="23.5703125" style="22" bestFit="1" customWidth="1"/>
    <col min="3" max="3" width="12.42578125" style="22" bestFit="1" customWidth="1"/>
    <col min="4" max="4" width="15.42578125" style="22" bestFit="1" customWidth="1"/>
    <col min="5" max="5" width="39.42578125" style="28" customWidth="1"/>
    <col min="6" max="6" width="14.85546875" style="28" customWidth="1"/>
    <col min="7" max="7" width="11" style="22" customWidth="1"/>
    <col min="8" max="8" width="10.5703125" style="22" customWidth="1"/>
    <col min="9" max="12" width="9.5703125" style="22" customWidth="1"/>
    <col min="13" max="13" width="12.7109375" style="22" bestFit="1" customWidth="1"/>
    <col min="14" max="16384" width="11.42578125" style="22"/>
  </cols>
  <sheetData>
    <row r="2" spans="1:12" ht="12" customHeight="1" x14ac:dyDescent="0.4">
      <c r="B2" s="29"/>
      <c r="D2" s="25"/>
    </row>
    <row r="3" spans="1:12" x14ac:dyDescent="0.2">
      <c r="D3" s="25"/>
    </row>
    <row r="4" spans="1:12" ht="15" x14ac:dyDescent="0.25">
      <c r="A4" s="71" t="s">
        <v>76</v>
      </c>
      <c r="B4" s="72" t="s">
        <v>138</v>
      </c>
      <c r="E4" s="22"/>
      <c r="F4" s="22"/>
    </row>
    <row r="5" spans="1:12" ht="15" x14ac:dyDescent="0.25">
      <c r="A5" s="71" t="s">
        <v>405</v>
      </c>
      <c r="B5" s="72" t="s">
        <v>458</v>
      </c>
      <c r="E5" s="22"/>
      <c r="F5" s="22"/>
    </row>
    <row r="6" spans="1:12" ht="15" x14ac:dyDescent="0.25">
      <c r="A6" s="71" t="s">
        <v>417</v>
      </c>
      <c r="B6" s="72" t="s">
        <v>138</v>
      </c>
      <c r="E6" s="22"/>
      <c r="F6" s="22"/>
    </row>
    <row r="7" spans="1:12" ht="15" x14ac:dyDescent="0.25">
      <c r="A7" s="71" t="s">
        <v>434</v>
      </c>
      <c r="B7" s="72" t="s">
        <v>138</v>
      </c>
      <c r="E7" s="22"/>
      <c r="F7" s="22"/>
    </row>
    <row r="8" spans="1:12" ht="15" x14ac:dyDescent="0.25">
      <c r="A8" s="71" t="s">
        <v>432</v>
      </c>
      <c r="B8" s="72" t="s">
        <v>138</v>
      </c>
      <c r="E8" s="22"/>
      <c r="F8" s="22"/>
    </row>
    <row r="9" spans="1:12" ht="15" x14ac:dyDescent="0.25">
      <c r="A9" s="71" t="s">
        <v>367</v>
      </c>
      <c r="B9" s="72" t="s">
        <v>138</v>
      </c>
      <c r="E9" s="22"/>
      <c r="F9" s="22"/>
    </row>
    <row r="10" spans="1:12" ht="15" x14ac:dyDescent="0.25">
      <c r="A10" s="71" t="s">
        <v>372</v>
      </c>
      <c r="B10" s="72" t="s">
        <v>138</v>
      </c>
      <c r="E10" s="22"/>
      <c r="F10" s="22"/>
    </row>
    <row r="11" spans="1:12" ht="15" x14ac:dyDescent="0.25">
      <c r="A11" s="71" t="s">
        <v>475</v>
      </c>
      <c r="B11" s="72" t="s">
        <v>138</v>
      </c>
      <c r="E11" s="22"/>
      <c r="F11" s="22"/>
    </row>
    <row r="12" spans="1:12" ht="15" x14ac:dyDescent="0.25">
      <c r="A12" s="71" t="s">
        <v>477</v>
      </c>
      <c r="B12" s="72" t="s">
        <v>138</v>
      </c>
      <c r="E12" s="22"/>
      <c r="F12" s="22"/>
    </row>
    <row r="13" spans="1:12" x14ac:dyDescent="0.2">
      <c r="E13" s="22"/>
      <c r="F13" s="22"/>
    </row>
    <row r="14" spans="1:12" ht="15" x14ac:dyDescent="0.25">
      <c r="A14" s="1" t="s">
        <v>438</v>
      </c>
      <c r="B14" s="74" t="s">
        <v>412</v>
      </c>
      <c r="C14" s="74" t="s">
        <v>360</v>
      </c>
      <c r="D14" s="74" t="s">
        <v>473</v>
      </c>
      <c r="E14" s="74" t="s">
        <v>409</v>
      </c>
      <c r="F14" s="78" t="s">
        <v>474</v>
      </c>
      <c r="G14" s="82" t="s">
        <v>427</v>
      </c>
      <c r="H14" s="79" t="s">
        <v>425</v>
      </c>
      <c r="I14"/>
      <c r="J14"/>
      <c r="K14"/>
      <c r="L14"/>
    </row>
    <row r="15" spans="1:12" ht="15" x14ac:dyDescent="0.25">
      <c r="A15" s="13" t="s">
        <v>262</v>
      </c>
      <c r="B15" s="75" t="s">
        <v>265</v>
      </c>
      <c r="C15" s="73" t="s">
        <v>242</v>
      </c>
      <c r="D15" s="75" t="s">
        <v>247</v>
      </c>
      <c r="E15" s="73" t="s">
        <v>264</v>
      </c>
      <c r="F15" s="84">
        <v>20</v>
      </c>
      <c r="G15" s="85">
        <v>0</v>
      </c>
      <c r="H15" s="86">
        <v>-20</v>
      </c>
      <c r="I15"/>
      <c r="J15"/>
      <c r="K15"/>
      <c r="L15"/>
    </row>
    <row r="16" spans="1:12" ht="15" x14ac:dyDescent="0.25">
      <c r="A16" s="76"/>
      <c r="B16" s="77"/>
      <c r="C16" s="77"/>
      <c r="D16" s="77"/>
      <c r="E16" s="77"/>
      <c r="F16" s="80"/>
      <c r="G16" s="83"/>
      <c r="H16" s="81"/>
      <c r="I16"/>
      <c r="J16"/>
      <c r="K16"/>
      <c r="L16"/>
    </row>
    <row r="17" spans="1:10" ht="15" x14ac:dyDescent="0.25">
      <c r="A17"/>
      <c r="B17"/>
      <c r="C17"/>
      <c r="D17"/>
      <c r="E17"/>
      <c r="F17"/>
      <c r="G17"/>
      <c r="H17"/>
      <c r="I17"/>
      <c r="J17"/>
    </row>
    <row r="18" spans="1:10" ht="15" x14ac:dyDescent="0.25">
      <c r="A18"/>
      <c r="B18"/>
      <c r="C18"/>
      <c r="D18"/>
      <c r="E18"/>
      <c r="F18"/>
      <c r="G18"/>
      <c r="H18"/>
      <c r="I18"/>
      <c r="J18"/>
    </row>
    <row r="19" spans="1:10" ht="15" x14ac:dyDescent="0.25">
      <c r="A19"/>
      <c r="B19"/>
      <c r="C19"/>
      <c r="D19"/>
      <c r="E19"/>
      <c r="F19"/>
      <c r="G19"/>
      <c r="H19"/>
      <c r="I19"/>
      <c r="J19"/>
    </row>
    <row r="20" spans="1:10" ht="15" x14ac:dyDescent="0.25">
      <c r="A20"/>
      <c r="B20"/>
      <c r="C20"/>
      <c r="D20"/>
      <c r="E20"/>
      <c r="F20"/>
      <c r="G20"/>
      <c r="H20"/>
      <c r="I20"/>
      <c r="J20"/>
    </row>
    <row r="21" spans="1:10" ht="15" x14ac:dyDescent="0.25">
      <c r="A21"/>
      <c r="B21"/>
      <c r="C21"/>
      <c r="D21"/>
      <c r="E21"/>
      <c r="F21"/>
      <c r="G21"/>
      <c r="H21"/>
      <c r="I21"/>
      <c r="J21"/>
    </row>
    <row r="22" spans="1:10" ht="15" x14ac:dyDescent="0.25">
      <c r="A22"/>
      <c r="B22"/>
      <c r="C22"/>
      <c r="D22"/>
      <c r="E22"/>
      <c r="F22"/>
      <c r="G22"/>
      <c r="H22"/>
      <c r="I22"/>
      <c r="J22"/>
    </row>
    <row r="23" spans="1:10" ht="15" x14ac:dyDescent="0.25">
      <c r="A23"/>
      <c r="B23"/>
      <c r="C23"/>
      <c r="D23"/>
      <c r="E23"/>
      <c r="F23"/>
      <c r="G23"/>
      <c r="H23"/>
      <c r="I23"/>
      <c r="J23"/>
    </row>
    <row r="24" spans="1:10" ht="15" x14ac:dyDescent="0.25">
      <c r="A24"/>
      <c r="B24"/>
      <c r="C24"/>
      <c r="D24"/>
      <c r="E24"/>
      <c r="F24"/>
      <c r="G24"/>
      <c r="H24"/>
      <c r="I24"/>
      <c r="J24"/>
    </row>
    <row r="25" spans="1:10" ht="15" x14ac:dyDescent="0.25">
      <c r="A25"/>
      <c r="B25"/>
      <c r="C25"/>
      <c r="D25"/>
      <c r="E25"/>
      <c r="F25"/>
      <c r="G25"/>
      <c r="H25"/>
      <c r="I25"/>
      <c r="J25"/>
    </row>
    <row r="26" spans="1:10" ht="15" x14ac:dyDescent="0.25">
      <c r="A26"/>
      <c r="B26"/>
      <c r="C26"/>
      <c r="D26"/>
      <c r="E26"/>
      <c r="F26"/>
      <c r="G26"/>
      <c r="H26"/>
      <c r="I26"/>
      <c r="J26"/>
    </row>
    <row r="27" spans="1:10" ht="15" x14ac:dyDescent="0.25">
      <c r="A27"/>
      <c r="B27"/>
      <c r="C27"/>
      <c r="D27"/>
      <c r="E27"/>
      <c r="F27"/>
      <c r="G27"/>
      <c r="H27"/>
      <c r="I27"/>
      <c r="J27"/>
    </row>
    <row r="28" spans="1:10" ht="15" x14ac:dyDescent="0.25">
      <c r="A28"/>
      <c r="B28"/>
      <c r="C28"/>
      <c r="D28"/>
      <c r="E28"/>
      <c r="F28"/>
      <c r="G28"/>
      <c r="H28"/>
      <c r="I28"/>
      <c r="J28"/>
    </row>
    <row r="29" spans="1:10" ht="15" x14ac:dyDescent="0.25">
      <c r="A29"/>
      <c r="B29"/>
      <c r="C29"/>
      <c r="D29"/>
      <c r="E29"/>
      <c r="F29"/>
      <c r="G29"/>
      <c r="H29"/>
      <c r="I29"/>
      <c r="J29"/>
    </row>
    <row r="30" spans="1:10" ht="15" x14ac:dyDescent="0.25">
      <c r="A30"/>
      <c r="B30"/>
      <c r="C30"/>
      <c r="D30"/>
      <c r="E30"/>
      <c r="F30"/>
      <c r="G30"/>
      <c r="H30"/>
      <c r="I30"/>
      <c r="J30"/>
    </row>
    <row r="31" spans="1:10" ht="15" x14ac:dyDescent="0.25">
      <c r="A31"/>
      <c r="B31"/>
      <c r="C31"/>
      <c r="D31"/>
      <c r="E31"/>
      <c r="F31"/>
      <c r="G31"/>
      <c r="H31"/>
      <c r="I31"/>
      <c r="J31"/>
    </row>
    <row r="32" spans="1:10" ht="15" x14ac:dyDescent="0.25">
      <c r="A32"/>
      <c r="B32"/>
      <c r="C32"/>
      <c r="D32"/>
      <c r="E32"/>
      <c r="F32"/>
      <c r="G32"/>
      <c r="H32"/>
      <c r="I32"/>
      <c r="J32"/>
    </row>
    <row r="33" spans="1:10" ht="15" x14ac:dyDescent="0.25">
      <c r="A33"/>
      <c r="B33"/>
      <c r="C33"/>
      <c r="D33"/>
      <c r="E33"/>
      <c r="F33"/>
      <c r="G33"/>
      <c r="H33"/>
      <c r="I33"/>
      <c r="J33"/>
    </row>
    <row r="34" spans="1:10" ht="15" x14ac:dyDescent="0.25">
      <c r="A34"/>
      <c r="B34"/>
      <c r="C34"/>
      <c r="D34"/>
      <c r="E34"/>
      <c r="F34"/>
      <c r="G34"/>
      <c r="H34"/>
      <c r="I34"/>
      <c r="J34"/>
    </row>
    <row r="35" spans="1:10" ht="15" x14ac:dyDescent="0.25">
      <c r="A35"/>
      <c r="B35"/>
      <c r="C35"/>
      <c r="D35"/>
      <c r="E35"/>
      <c r="F35"/>
      <c r="G35"/>
      <c r="H35"/>
      <c r="I35"/>
      <c r="J35"/>
    </row>
    <row r="36" spans="1:10" ht="15" x14ac:dyDescent="0.25">
      <c r="A36"/>
      <c r="B36"/>
      <c r="C36"/>
      <c r="D36"/>
      <c r="E36"/>
      <c r="F36"/>
      <c r="G36"/>
      <c r="H36"/>
      <c r="I36"/>
      <c r="J36"/>
    </row>
    <row r="37" spans="1:10" ht="15" x14ac:dyDescent="0.25">
      <c r="A37"/>
      <c r="B37"/>
      <c r="C37"/>
      <c r="D37"/>
      <c r="E37"/>
      <c r="F37"/>
      <c r="G37"/>
      <c r="H37"/>
      <c r="I37"/>
      <c r="J37"/>
    </row>
    <row r="38" spans="1:10" ht="15" x14ac:dyDescent="0.25">
      <c r="A38"/>
      <c r="B38"/>
      <c r="C38"/>
      <c r="D38"/>
      <c r="E38"/>
      <c r="F38"/>
      <c r="G38"/>
      <c r="H38"/>
      <c r="I38"/>
      <c r="J38"/>
    </row>
    <row r="39" spans="1:10" ht="15" x14ac:dyDescent="0.25">
      <c r="A39"/>
      <c r="B39"/>
      <c r="C39"/>
      <c r="D39"/>
      <c r="E39"/>
      <c r="F39"/>
      <c r="G39"/>
      <c r="H39"/>
      <c r="I39"/>
      <c r="J39"/>
    </row>
    <row r="40" spans="1:10" ht="15" x14ac:dyDescent="0.25">
      <c r="A40"/>
      <c r="B40"/>
      <c r="C40"/>
      <c r="D40"/>
      <c r="E40"/>
      <c r="F40"/>
      <c r="G40"/>
      <c r="H40"/>
      <c r="I40"/>
      <c r="J40"/>
    </row>
    <row r="41" spans="1:10" ht="15" x14ac:dyDescent="0.25">
      <c r="A41"/>
      <c r="B41"/>
      <c r="C41"/>
      <c r="D41"/>
      <c r="E41"/>
      <c r="F41"/>
      <c r="G41"/>
      <c r="H41"/>
      <c r="I41"/>
      <c r="J41"/>
    </row>
    <row r="42" spans="1:10" ht="15" x14ac:dyDescent="0.25">
      <c r="A42"/>
      <c r="B42"/>
      <c r="C42"/>
      <c r="D42"/>
      <c r="E42"/>
      <c r="F42"/>
      <c r="G42"/>
      <c r="H42"/>
      <c r="I42"/>
      <c r="J42"/>
    </row>
    <row r="43" spans="1:10" ht="15" x14ac:dyDescent="0.25">
      <c r="A43"/>
      <c r="B43"/>
      <c r="C43"/>
      <c r="D43"/>
      <c r="E43"/>
      <c r="F43"/>
      <c r="G43"/>
      <c r="H43"/>
      <c r="I43"/>
      <c r="J43"/>
    </row>
    <row r="44" spans="1:10" ht="15" x14ac:dyDescent="0.25">
      <c r="A44"/>
      <c r="B44"/>
      <c r="C44"/>
      <c r="D44"/>
      <c r="E44"/>
      <c r="F44"/>
      <c r="G44"/>
      <c r="H44"/>
      <c r="I44"/>
      <c r="J44"/>
    </row>
    <row r="45" spans="1:10" ht="15" x14ac:dyDescent="0.25">
      <c r="A45"/>
      <c r="B45"/>
      <c r="C45"/>
      <c r="D45"/>
      <c r="E45"/>
      <c r="F45"/>
      <c r="G45"/>
      <c r="H45"/>
      <c r="I45"/>
      <c r="J45"/>
    </row>
    <row r="46" spans="1:10" ht="15" x14ac:dyDescent="0.25">
      <c r="A46"/>
      <c r="B46"/>
      <c r="C46"/>
      <c r="D46"/>
      <c r="E46"/>
      <c r="F46"/>
      <c r="G46"/>
      <c r="H46"/>
      <c r="I46"/>
      <c r="J46"/>
    </row>
    <row r="47" spans="1:10" ht="15" x14ac:dyDescent="0.25">
      <c r="A47"/>
      <c r="B47"/>
      <c r="C47"/>
      <c r="D47"/>
      <c r="E47"/>
      <c r="F47"/>
      <c r="G47"/>
      <c r="H47"/>
      <c r="I47"/>
      <c r="J47"/>
    </row>
    <row r="48" spans="1:10" ht="15" x14ac:dyDescent="0.25">
      <c r="A48"/>
      <c r="B48"/>
      <c r="C48"/>
      <c r="D48"/>
      <c r="E48"/>
      <c r="F48"/>
      <c r="G48"/>
      <c r="H48"/>
      <c r="I48"/>
      <c r="J48"/>
    </row>
    <row r="49" spans="1:10" ht="15" x14ac:dyDescent="0.25">
      <c r="A49"/>
      <c r="B49"/>
      <c r="C49"/>
      <c r="D49"/>
      <c r="E49"/>
      <c r="F49"/>
      <c r="G49"/>
      <c r="H49"/>
      <c r="I49"/>
      <c r="J49"/>
    </row>
    <row r="50" spans="1:10" ht="15" x14ac:dyDescent="0.25">
      <c r="A50"/>
      <c r="B50"/>
      <c r="C50"/>
      <c r="D50"/>
      <c r="E50"/>
      <c r="F50"/>
      <c r="G50"/>
      <c r="H50"/>
      <c r="I50"/>
      <c r="J50"/>
    </row>
    <row r="51" spans="1:10" ht="15" x14ac:dyDescent="0.25">
      <c r="A51"/>
      <c r="B51"/>
      <c r="C51"/>
      <c r="D51"/>
      <c r="E51"/>
      <c r="F51"/>
      <c r="G51"/>
      <c r="H51"/>
      <c r="I51"/>
      <c r="J51"/>
    </row>
    <row r="52" spans="1:10" ht="15" x14ac:dyDescent="0.25">
      <c r="A52"/>
      <c r="B52"/>
      <c r="C52"/>
      <c r="D52"/>
      <c r="E52"/>
      <c r="F52"/>
      <c r="G52"/>
      <c r="H52"/>
      <c r="I52"/>
      <c r="J52"/>
    </row>
    <row r="53" spans="1:10" ht="15" x14ac:dyDescent="0.25">
      <c r="A53"/>
      <c r="B53"/>
      <c r="C53"/>
      <c r="D53"/>
      <c r="E53"/>
      <c r="F53"/>
      <c r="G53"/>
      <c r="H53"/>
      <c r="I53"/>
      <c r="J53"/>
    </row>
    <row r="54" spans="1:10" ht="15" x14ac:dyDescent="0.25">
      <c r="A54"/>
      <c r="B54"/>
      <c r="C54"/>
      <c r="D54"/>
      <c r="E54"/>
      <c r="F54"/>
      <c r="G54"/>
      <c r="H54"/>
      <c r="I54"/>
      <c r="J54"/>
    </row>
    <row r="55" spans="1:10" ht="15" x14ac:dyDescent="0.25">
      <c r="A55"/>
      <c r="B55"/>
      <c r="C55"/>
      <c r="D55"/>
      <c r="E55"/>
      <c r="F55"/>
      <c r="G55"/>
      <c r="H55"/>
      <c r="I55"/>
      <c r="J55"/>
    </row>
    <row r="56" spans="1:10" ht="15" x14ac:dyDescent="0.25">
      <c r="A56"/>
      <c r="B56"/>
      <c r="C56"/>
      <c r="D56"/>
      <c r="E56"/>
      <c r="F56"/>
      <c r="G56"/>
      <c r="H56"/>
      <c r="I56"/>
      <c r="J56"/>
    </row>
    <row r="57" spans="1:10" ht="15" x14ac:dyDescent="0.25">
      <c r="A57"/>
      <c r="B57"/>
      <c r="C57"/>
      <c r="D57"/>
      <c r="E57"/>
      <c r="F57"/>
      <c r="G57"/>
      <c r="H57"/>
      <c r="I57"/>
      <c r="J57"/>
    </row>
    <row r="58" spans="1:10" ht="15" x14ac:dyDescent="0.25">
      <c r="A58"/>
      <c r="B58"/>
      <c r="C58"/>
      <c r="D58"/>
      <c r="E58"/>
      <c r="F58"/>
      <c r="G58"/>
      <c r="H58"/>
      <c r="I58"/>
      <c r="J58"/>
    </row>
    <row r="59" spans="1:10" ht="15" x14ac:dyDescent="0.25">
      <c r="A59"/>
      <c r="B59"/>
      <c r="C59"/>
      <c r="D59"/>
      <c r="E59"/>
      <c r="F59"/>
      <c r="G59"/>
      <c r="H59"/>
      <c r="I59"/>
      <c r="J59"/>
    </row>
    <row r="60" spans="1:10" ht="15" x14ac:dyDescent="0.25">
      <c r="A60"/>
      <c r="B60"/>
      <c r="C60"/>
      <c r="D60"/>
      <c r="E60"/>
      <c r="F60"/>
      <c r="G60"/>
      <c r="H60"/>
      <c r="I60"/>
      <c r="J60"/>
    </row>
    <row r="61" spans="1:10" ht="15" x14ac:dyDescent="0.25">
      <c r="A61"/>
      <c r="B61"/>
      <c r="C61"/>
      <c r="D61"/>
      <c r="E61"/>
      <c r="F61"/>
      <c r="G61"/>
      <c r="H61"/>
      <c r="I61"/>
      <c r="J61"/>
    </row>
    <row r="62" spans="1:10" ht="15" x14ac:dyDescent="0.25">
      <c r="A62"/>
      <c r="B62"/>
      <c r="C62"/>
      <c r="D62"/>
      <c r="E62"/>
      <c r="F62"/>
      <c r="G62"/>
      <c r="H62"/>
      <c r="I62"/>
      <c r="J62"/>
    </row>
    <row r="63" spans="1:10" ht="15" x14ac:dyDescent="0.25">
      <c r="A63"/>
      <c r="B63"/>
      <c r="C63"/>
      <c r="D63"/>
      <c r="E63"/>
      <c r="F63"/>
      <c r="G63"/>
      <c r="H63"/>
      <c r="I63"/>
      <c r="J63"/>
    </row>
    <row r="64" spans="1:10" ht="15" x14ac:dyDescent="0.25">
      <c r="A64"/>
      <c r="B64"/>
      <c r="C64"/>
      <c r="D64"/>
      <c r="E64"/>
      <c r="F64"/>
      <c r="G64"/>
      <c r="H64"/>
      <c r="I64"/>
      <c r="J64"/>
    </row>
    <row r="65" spans="1:10" ht="15" x14ac:dyDescent="0.25">
      <c r="A65"/>
      <c r="B65"/>
      <c r="C65"/>
      <c r="D65"/>
      <c r="E65"/>
      <c r="F65"/>
      <c r="G65"/>
      <c r="H65"/>
      <c r="I65"/>
      <c r="J65"/>
    </row>
    <row r="66" spans="1:10" ht="15" x14ac:dyDescent="0.25">
      <c r="A66"/>
      <c r="B66"/>
      <c r="C66"/>
      <c r="D66"/>
      <c r="E66"/>
      <c r="F66"/>
      <c r="G66"/>
      <c r="H66"/>
      <c r="I66"/>
      <c r="J66"/>
    </row>
    <row r="67" spans="1:10" ht="15" x14ac:dyDescent="0.25">
      <c r="A67"/>
      <c r="B67"/>
      <c r="C67"/>
      <c r="D67"/>
      <c r="E67"/>
      <c r="F67"/>
      <c r="G67"/>
      <c r="H67"/>
      <c r="I67"/>
      <c r="J67"/>
    </row>
    <row r="68" spans="1:10" ht="15" x14ac:dyDescent="0.25">
      <c r="A68"/>
      <c r="B68"/>
      <c r="C68"/>
      <c r="D68"/>
      <c r="E68"/>
      <c r="F68"/>
      <c r="G68"/>
      <c r="H68"/>
      <c r="I68"/>
      <c r="J68"/>
    </row>
    <row r="69" spans="1:10" ht="15" x14ac:dyDescent="0.25">
      <c r="A69"/>
      <c r="B69"/>
      <c r="C69"/>
      <c r="D69"/>
      <c r="E69"/>
      <c r="F69"/>
      <c r="G69"/>
      <c r="H69"/>
      <c r="I69"/>
      <c r="J69"/>
    </row>
    <row r="70" spans="1:10" ht="15" x14ac:dyDescent="0.25">
      <c r="A70"/>
      <c r="B70"/>
      <c r="C70"/>
      <c r="D70"/>
      <c r="E70"/>
      <c r="F70"/>
      <c r="G70"/>
      <c r="H70"/>
      <c r="I70"/>
      <c r="J70"/>
    </row>
    <row r="71" spans="1:10" ht="15" x14ac:dyDescent="0.25">
      <c r="A71"/>
      <c r="B71"/>
      <c r="C71"/>
      <c r="D71"/>
      <c r="E71"/>
      <c r="F71"/>
      <c r="G71"/>
      <c r="H71"/>
      <c r="I71"/>
      <c r="J71"/>
    </row>
    <row r="72" spans="1:10" ht="15" x14ac:dyDescent="0.25">
      <c r="A72"/>
      <c r="B72"/>
      <c r="C72"/>
      <c r="D72"/>
      <c r="E72"/>
      <c r="F72"/>
      <c r="G72"/>
      <c r="H72"/>
      <c r="I72"/>
      <c r="J72"/>
    </row>
    <row r="73" spans="1:10" ht="15" x14ac:dyDescent="0.25">
      <c r="A73"/>
      <c r="B73"/>
      <c r="C73"/>
      <c r="D73"/>
      <c r="E73"/>
      <c r="F73"/>
      <c r="G73"/>
      <c r="H73"/>
      <c r="I73"/>
      <c r="J73"/>
    </row>
    <row r="74" spans="1:10" ht="15" x14ac:dyDescent="0.25">
      <c r="A74"/>
      <c r="B74"/>
      <c r="C74"/>
      <c r="D74"/>
      <c r="E74"/>
      <c r="F74"/>
      <c r="G74"/>
      <c r="H74"/>
      <c r="I74"/>
      <c r="J74"/>
    </row>
    <row r="75" spans="1:10" ht="15" x14ac:dyDescent="0.25">
      <c r="A75"/>
      <c r="B75"/>
      <c r="C75"/>
      <c r="D75"/>
      <c r="E75"/>
      <c r="F75"/>
      <c r="G75"/>
      <c r="H75"/>
      <c r="I75"/>
      <c r="J75"/>
    </row>
    <row r="76" spans="1:10" ht="15" x14ac:dyDescent="0.25">
      <c r="A76"/>
      <c r="B76"/>
      <c r="C76"/>
      <c r="D76"/>
      <c r="E76"/>
      <c r="F76"/>
      <c r="G76"/>
      <c r="H76"/>
      <c r="I76"/>
      <c r="J76"/>
    </row>
    <row r="77" spans="1:10" ht="15" x14ac:dyDescent="0.25">
      <c r="A77"/>
      <c r="B77"/>
      <c r="C77"/>
      <c r="D77"/>
      <c r="E77"/>
      <c r="F77"/>
      <c r="G77"/>
      <c r="H77"/>
      <c r="I77"/>
      <c r="J77"/>
    </row>
    <row r="78" spans="1:10" ht="15" x14ac:dyDescent="0.25">
      <c r="A78"/>
      <c r="B78"/>
      <c r="C78"/>
      <c r="D78"/>
      <c r="E78"/>
      <c r="F78"/>
      <c r="G78"/>
      <c r="H78"/>
      <c r="I78"/>
      <c r="J78"/>
    </row>
    <row r="79" spans="1:10" ht="15" x14ac:dyDescent="0.25">
      <c r="A79"/>
      <c r="B79"/>
      <c r="C79"/>
      <c r="D79"/>
      <c r="E79"/>
      <c r="F79"/>
      <c r="G79"/>
      <c r="H79"/>
      <c r="I79"/>
      <c r="J79"/>
    </row>
    <row r="80" spans="1:10" ht="15" x14ac:dyDescent="0.25">
      <c r="A80"/>
      <c r="B80"/>
      <c r="C80"/>
      <c r="D80"/>
      <c r="E80"/>
      <c r="F80"/>
      <c r="G80"/>
      <c r="H80"/>
      <c r="I80"/>
      <c r="J80"/>
    </row>
    <row r="81" spans="1:10" ht="15" x14ac:dyDescent="0.25">
      <c r="A81"/>
      <c r="B81"/>
      <c r="C81"/>
      <c r="D81"/>
      <c r="E81"/>
      <c r="F81"/>
      <c r="G81"/>
      <c r="H81"/>
      <c r="I81"/>
      <c r="J81"/>
    </row>
    <row r="82" spans="1:10" ht="15" x14ac:dyDescent="0.25">
      <c r="A82"/>
      <c r="B82"/>
      <c r="C82"/>
      <c r="D82"/>
      <c r="E82"/>
      <c r="F82"/>
      <c r="G82"/>
      <c r="H82"/>
      <c r="I82"/>
      <c r="J82"/>
    </row>
    <row r="83" spans="1:10" ht="15" x14ac:dyDescent="0.25">
      <c r="A83"/>
      <c r="B83"/>
      <c r="C83"/>
      <c r="D83"/>
      <c r="E83"/>
      <c r="F83"/>
      <c r="G83"/>
      <c r="H83"/>
      <c r="I83"/>
      <c r="J83"/>
    </row>
    <row r="84" spans="1:10" ht="15" x14ac:dyDescent="0.25">
      <c r="A84"/>
      <c r="B84"/>
      <c r="C84"/>
      <c r="D84"/>
      <c r="E84"/>
      <c r="F84"/>
      <c r="G84"/>
      <c r="H84"/>
      <c r="I84"/>
      <c r="J84"/>
    </row>
    <row r="85" spans="1:10" ht="15" x14ac:dyDescent="0.25">
      <c r="A85"/>
      <c r="B85"/>
      <c r="C85"/>
      <c r="D85"/>
      <c r="E85"/>
      <c r="F85"/>
      <c r="G85"/>
      <c r="H85"/>
      <c r="I85"/>
      <c r="J85"/>
    </row>
    <row r="86" spans="1:10" ht="15" x14ac:dyDescent="0.25">
      <c r="A86"/>
      <c r="B86"/>
      <c r="C86"/>
      <c r="D86"/>
      <c r="E86"/>
      <c r="F86"/>
      <c r="G86"/>
      <c r="H86"/>
      <c r="I86"/>
      <c r="J86"/>
    </row>
    <row r="87" spans="1:10" ht="15" x14ac:dyDescent="0.25">
      <c r="A87"/>
      <c r="B87"/>
      <c r="C87"/>
      <c r="D87"/>
      <c r="E87"/>
      <c r="F87"/>
      <c r="G87"/>
      <c r="H87"/>
      <c r="I87"/>
      <c r="J87"/>
    </row>
    <row r="88" spans="1:10" ht="15" x14ac:dyDescent="0.25">
      <c r="A88"/>
      <c r="B88"/>
      <c r="C88"/>
      <c r="D88"/>
      <c r="E88"/>
      <c r="F88"/>
      <c r="G88"/>
      <c r="H88"/>
      <c r="I88"/>
      <c r="J88"/>
    </row>
    <row r="89" spans="1:10" ht="15" x14ac:dyDescent="0.25">
      <c r="A89"/>
      <c r="B89"/>
      <c r="C89"/>
      <c r="D89"/>
      <c r="E89"/>
      <c r="F89"/>
      <c r="G89"/>
      <c r="H89"/>
      <c r="I89"/>
      <c r="J89"/>
    </row>
    <row r="90" spans="1:10" ht="15" x14ac:dyDescent="0.25">
      <c r="A90"/>
      <c r="B90"/>
      <c r="C90"/>
      <c r="D90"/>
      <c r="E90"/>
      <c r="F90"/>
      <c r="G90"/>
      <c r="H90"/>
      <c r="I90"/>
      <c r="J90"/>
    </row>
    <row r="91" spans="1:10" ht="15" x14ac:dyDescent="0.25">
      <c r="A91"/>
      <c r="B91"/>
      <c r="C91"/>
      <c r="D91"/>
      <c r="E91"/>
      <c r="F91"/>
      <c r="G91"/>
      <c r="H91"/>
      <c r="I91"/>
      <c r="J91"/>
    </row>
    <row r="92" spans="1:10" ht="15" x14ac:dyDescent="0.25">
      <c r="A92"/>
      <c r="B92"/>
      <c r="C92"/>
      <c r="D92"/>
      <c r="E92"/>
      <c r="F92"/>
      <c r="G92"/>
      <c r="H92"/>
      <c r="I92"/>
      <c r="J92"/>
    </row>
    <row r="93" spans="1:10" ht="15" x14ac:dyDescent="0.25">
      <c r="A93"/>
      <c r="B93"/>
      <c r="C93"/>
      <c r="D93"/>
      <c r="E93"/>
      <c r="F93"/>
      <c r="G93"/>
      <c r="H93"/>
      <c r="I93"/>
      <c r="J93"/>
    </row>
    <row r="94" spans="1:10" ht="15" x14ac:dyDescent="0.25">
      <c r="A94"/>
      <c r="B94"/>
      <c r="C94"/>
      <c r="D94"/>
      <c r="E94"/>
      <c r="F94"/>
      <c r="G94"/>
      <c r="H94"/>
      <c r="I94"/>
      <c r="J94"/>
    </row>
    <row r="95" spans="1:10" ht="15" x14ac:dyDescent="0.25">
      <c r="A95"/>
      <c r="B95"/>
      <c r="C95"/>
      <c r="D95"/>
      <c r="E95"/>
      <c r="F95"/>
      <c r="G95"/>
      <c r="H95"/>
      <c r="I95"/>
      <c r="J95"/>
    </row>
    <row r="96" spans="1:10" ht="15" x14ac:dyDescent="0.25">
      <c r="A96"/>
      <c r="B96"/>
      <c r="C96"/>
      <c r="D96"/>
      <c r="E96"/>
      <c r="F96"/>
      <c r="G96"/>
      <c r="H96"/>
      <c r="I96"/>
      <c r="J96"/>
    </row>
    <row r="97" spans="1:10" ht="15" x14ac:dyDescent="0.25">
      <c r="A97"/>
      <c r="B97"/>
      <c r="C97"/>
      <c r="D97"/>
      <c r="E97"/>
      <c r="F97"/>
      <c r="G97"/>
      <c r="H97"/>
      <c r="I97"/>
      <c r="J97"/>
    </row>
    <row r="98" spans="1:10" ht="15" x14ac:dyDescent="0.25">
      <c r="A98"/>
      <c r="B98"/>
      <c r="C98"/>
      <c r="D98"/>
      <c r="E98"/>
      <c r="F98"/>
      <c r="G98"/>
      <c r="H98"/>
      <c r="I98"/>
      <c r="J98"/>
    </row>
    <row r="99" spans="1:10" ht="15" x14ac:dyDescent="0.25">
      <c r="A99"/>
      <c r="B99"/>
      <c r="C99"/>
      <c r="D99"/>
      <c r="E99"/>
      <c r="F99"/>
      <c r="G99"/>
      <c r="H99"/>
      <c r="I99"/>
      <c r="J99"/>
    </row>
    <row r="100" spans="1:10" ht="15" x14ac:dyDescent="0.25">
      <c r="A100"/>
      <c r="B100"/>
      <c r="C100"/>
      <c r="D100"/>
      <c r="E100"/>
      <c r="F100"/>
      <c r="G100"/>
      <c r="H100"/>
      <c r="I100"/>
      <c r="J100"/>
    </row>
    <row r="101" spans="1:10" ht="15" x14ac:dyDescent="0.25">
      <c r="A101"/>
      <c r="B101"/>
      <c r="C101"/>
      <c r="D101"/>
      <c r="E101"/>
      <c r="F101"/>
      <c r="G101"/>
      <c r="H101"/>
      <c r="I101"/>
      <c r="J101"/>
    </row>
    <row r="102" spans="1:10" ht="15" x14ac:dyDescent="0.25">
      <c r="A102"/>
      <c r="B102"/>
      <c r="C102"/>
      <c r="D102"/>
      <c r="E102"/>
      <c r="F102"/>
      <c r="G102"/>
      <c r="H102"/>
      <c r="I102"/>
      <c r="J102"/>
    </row>
    <row r="103" spans="1:10" ht="15" x14ac:dyDescent="0.25">
      <c r="A103"/>
      <c r="B103"/>
      <c r="C103"/>
      <c r="D103"/>
      <c r="E103"/>
      <c r="F103"/>
      <c r="G103"/>
      <c r="H103"/>
      <c r="I103"/>
      <c r="J103"/>
    </row>
    <row r="104" spans="1:10" ht="15" x14ac:dyDescent="0.25">
      <c r="A104"/>
      <c r="B104"/>
      <c r="C104"/>
      <c r="D104"/>
      <c r="E104"/>
      <c r="F104"/>
      <c r="G104"/>
      <c r="H104"/>
      <c r="I104"/>
      <c r="J104"/>
    </row>
    <row r="105" spans="1:10" ht="15" x14ac:dyDescent="0.25">
      <c r="A105"/>
      <c r="B105"/>
      <c r="C105"/>
      <c r="D105"/>
      <c r="E105"/>
      <c r="F105"/>
      <c r="G105"/>
      <c r="H105"/>
      <c r="I105"/>
      <c r="J105"/>
    </row>
    <row r="106" spans="1:10" ht="15" x14ac:dyDescent="0.25">
      <c r="A106"/>
      <c r="B106"/>
      <c r="C106"/>
      <c r="D106"/>
      <c r="E106"/>
      <c r="F106"/>
      <c r="G106"/>
      <c r="H106"/>
      <c r="I106"/>
      <c r="J106"/>
    </row>
    <row r="107" spans="1:10" ht="15" x14ac:dyDescent="0.25">
      <c r="A107"/>
      <c r="B107"/>
      <c r="C107"/>
      <c r="D107"/>
      <c r="E107"/>
      <c r="F107"/>
      <c r="G107"/>
      <c r="H107"/>
      <c r="I107"/>
      <c r="J107"/>
    </row>
    <row r="108" spans="1:10" ht="15" x14ac:dyDescent="0.25">
      <c r="A108"/>
      <c r="B108"/>
      <c r="C108"/>
      <c r="D108"/>
      <c r="E108"/>
      <c r="F108"/>
      <c r="G108"/>
      <c r="H108"/>
      <c r="I108"/>
      <c r="J108"/>
    </row>
    <row r="109" spans="1:10" ht="15" x14ac:dyDescent="0.25">
      <c r="A109"/>
      <c r="B109"/>
      <c r="C109"/>
      <c r="D109"/>
      <c r="E109"/>
      <c r="F109"/>
      <c r="G109"/>
      <c r="H109"/>
      <c r="I109"/>
      <c r="J109"/>
    </row>
    <row r="110" spans="1:10" ht="15" x14ac:dyDescent="0.25">
      <c r="A110"/>
      <c r="B110"/>
      <c r="C110"/>
      <c r="D110"/>
      <c r="E110"/>
      <c r="F110"/>
      <c r="G110"/>
      <c r="H110"/>
      <c r="I110"/>
      <c r="J110"/>
    </row>
    <row r="111" spans="1:10" ht="15" x14ac:dyDescent="0.25">
      <c r="A111"/>
      <c r="B111"/>
      <c r="C111"/>
      <c r="D111"/>
      <c r="E111"/>
      <c r="F111"/>
      <c r="G111"/>
      <c r="H111"/>
      <c r="I111"/>
      <c r="J111"/>
    </row>
    <row r="112" spans="1:10" ht="15" x14ac:dyDescent="0.25">
      <c r="A112"/>
      <c r="B112"/>
      <c r="C112"/>
      <c r="D112"/>
      <c r="E112"/>
      <c r="F112"/>
      <c r="G112"/>
      <c r="H112"/>
      <c r="I112"/>
      <c r="J112"/>
    </row>
    <row r="113" spans="1:10" ht="15" x14ac:dyDescent="0.25">
      <c r="A113"/>
      <c r="B113"/>
      <c r="C113"/>
      <c r="D113"/>
      <c r="E113"/>
      <c r="F113"/>
      <c r="G113"/>
      <c r="H113"/>
      <c r="I113"/>
      <c r="J113"/>
    </row>
    <row r="114" spans="1:10" ht="15" x14ac:dyDescent="0.25">
      <c r="A114"/>
      <c r="B114"/>
      <c r="C114"/>
      <c r="D114"/>
      <c r="E114"/>
      <c r="F114"/>
      <c r="G114"/>
      <c r="H114"/>
      <c r="I114"/>
      <c r="J114"/>
    </row>
    <row r="115" spans="1:10" ht="15" x14ac:dyDescent="0.25">
      <c r="A115"/>
      <c r="B115"/>
      <c r="C115"/>
      <c r="D115"/>
      <c r="E115"/>
      <c r="F115"/>
      <c r="G115"/>
      <c r="H115"/>
      <c r="I115"/>
      <c r="J115"/>
    </row>
    <row r="116" spans="1:10" ht="15" x14ac:dyDescent="0.25">
      <c r="A116"/>
      <c r="B116"/>
      <c r="C116"/>
      <c r="D116"/>
      <c r="E116"/>
      <c r="F116"/>
      <c r="G116"/>
      <c r="H116"/>
      <c r="I116"/>
      <c r="J116"/>
    </row>
    <row r="117" spans="1:10" ht="15" x14ac:dyDescent="0.25">
      <c r="A117"/>
      <c r="B117"/>
      <c r="C117"/>
      <c r="D117"/>
      <c r="E117"/>
      <c r="F117"/>
      <c r="G117"/>
      <c r="H117"/>
      <c r="I117"/>
      <c r="J117"/>
    </row>
    <row r="118" spans="1:10" ht="15" x14ac:dyDescent="0.25">
      <c r="A118"/>
      <c r="B118"/>
      <c r="C118"/>
      <c r="D118"/>
      <c r="E118"/>
      <c r="F118"/>
      <c r="G118"/>
      <c r="H118"/>
      <c r="I118"/>
      <c r="J118"/>
    </row>
    <row r="119" spans="1:10" ht="15" x14ac:dyDescent="0.25">
      <c r="A119"/>
      <c r="B119"/>
      <c r="C119"/>
      <c r="D119"/>
      <c r="E119"/>
      <c r="F119"/>
      <c r="G119"/>
      <c r="H119"/>
      <c r="I119"/>
      <c r="J119"/>
    </row>
    <row r="120" spans="1:10" ht="15" x14ac:dyDescent="0.25">
      <c r="A120"/>
      <c r="B120"/>
      <c r="C120"/>
      <c r="D120"/>
      <c r="E120"/>
      <c r="F120"/>
      <c r="G120"/>
      <c r="H120"/>
      <c r="I120"/>
      <c r="J120"/>
    </row>
    <row r="121" spans="1:10" ht="15" x14ac:dyDescent="0.25">
      <c r="A121"/>
      <c r="B121"/>
      <c r="C121"/>
      <c r="D121"/>
      <c r="E121"/>
      <c r="F121"/>
      <c r="G121"/>
      <c r="H121"/>
      <c r="I121"/>
      <c r="J121"/>
    </row>
    <row r="122" spans="1:10" ht="15" x14ac:dyDescent="0.25">
      <c r="A122"/>
      <c r="B122"/>
      <c r="C122"/>
      <c r="D122"/>
      <c r="E122"/>
      <c r="F122"/>
      <c r="G122"/>
      <c r="H122"/>
      <c r="I122"/>
      <c r="J122"/>
    </row>
    <row r="123" spans="1:10" ht="15" x14ac:dyDescent="0.25">
      <c r="A123"/>
      <c r="B123"/>
      <c r="C123"/>
      <c r="D123"/>
      <c r="E123"/>
      <c r="F123"/>
      <c r="G123"/>
      <c r="H123"/>
      <c r="I123"/>
      <c r="J123"/>
    </row>
    <row r="124" spans="1:10" ht="15" x14ac:dyDescent="0.25">
      <c r="A124"/>
      <c r="B124"/>
      <c r="C124"/>
      <c r="D124"/>
      <c r="E124"/>
      <c r="F124"/>
      <c r="G124"/>
      <c r="H124"/>
      <c r="I124"/>
      <c r="J124"/>
    </row>
    <row r="125" spans="1:10" ht="15" x14ac:dyDescent="0.25">
      <c r="A125"/>
      <c r="B125"/>
      <c r="C125"/>
      <c r="D125"/>
      <c r="E125"/>
      <c r="F125"/>
      <c r="G125"/>
      <c r="H125"/>
      <c r="I125"/>
      <c r="J125"/>
    </row>
    <row r="126" spans="1:10" ht="15" x14ac:dyDescent="0.25">
      <c r="A126"/>
      <c r="B126"/>
      <c r="C126"/>
      <c r="D126"/>
      <c r="E126"/>
      <c r="F126"/>
      <c r="G126"/>
      <c r="H126"/>
      <c r="I126"/>
      <c r="J126"/>
    </row>
    <row r="127" spans="1:10" ht="15" x14ac:dyDescent="0.25">
      <c r="A127"/>
      <c r="B127"/>
      <c r="C127"/>
      <c r="D127"/>
      <c r="E127"/>
      <c r="F127"/>
      <c r="G127"/>
      <c r="H127"/>
      <c r="I127"/>
      <c r="J127"/>
    </row>
    <row r="128" spans="1:10" ht="15" x14ac:dyDescent="0.25">
      <c r="A128"/>
      <c r="B128"/>
      <c r="C128"/>
      <c r="D128"/>
      <c r="E128"/>
      <c r="F128"/>
      <c r="G128"/>
      <c r="H128"/>
      <c r="I128"/>
      <c r="J128"/>
    </row>
    <row r="129" spans="1:10" ht="15" x14ac:dyDescent="0.25">
      <c r="A129"/>
      <c r="B129"/>
      <c r="C129"/>
      <c r="D129"/>
      <c r="E129"/>
      <c r="F129"/>
      <c r="G129"/>
      <c r="H129"/>
      <c r="I129"/>
      <c r="J129"/>
    </row>
    <row r="130" spans="1:10" ht="15" x14ac:dyDescent="0.25">
      <c r="A130"/>
      <c r="B130"/>
      <c r="C130"/>
      <c r="D130"/>
      <c r="E130"/>
      <c r="F130"/>
      <c r="G130"/>
      <c r="H130"/>
      <c r="I130"/>
      <c r="J130"/>
    </row>
    <row r="131" spans="1:10" ht="15" x14ac:dyDescent="0.25">
      <c r="A131"/>
      <c r="B131"/>
      <c r="C131"/>
      <c r="D131"/>
      <c r="E131"/>
      <c r="F131"/>
      <c r="G131"/>
      <c r="H131"/>
      <c r="I131"/>
      <c r="J131"/>
    </row>
    <row r="132" spans="1:10" ht="15" x14ac:dyDescent="0.25">
      <c r="A132"/>
      <c r="B132"/>
      <c r="C132"/>
      <c r="D132"/>
      <c r="E132"/>
      <c r="F132"/>
      <c r="G132"/>
      <c r="H132"/>
      <c r="I132"/>
      <c r="J132"/>
    </row>
    <row r="133" spans="1:10" ht="15" x14ac:dyDescent="0.25">
      <c r="A133"/>
      <c r="B133"/>
      <c r="C133"/>
      <c r="D133"/>
      <c r="E133"/>
      <c r="F133"/>
      <c r="G133"/>
      <c r="H133"/>
      <c r="I133"/>
      <c r="J133"/>
    </row>
    <row r="134" spans="1:10" ht="15" x14ac:dyDescent="0.25">
      <c r="A134"/>
      <c r="B134"/>
      <c r="C134"/>
      <c r="D134"/>
      <c r="E134"/>
      <c r="F134"/>
      <c r="G134"/>
      <c r="H134"/>
      <c r="I134"/>
      <c r="J134"/>
    </row>
    <row r="135" spans="1:10" ht="15" x14ac:dyDescent="0.25">
      <c r="A135"/>
      <c r="B135"/>
      <c r="C135"/>
      <c r="D135"/>
      <c r="E135"/>
      <c r="F135"/>
      <c r="G135"/>
      <c r="H135"/>
      <c r="I135"/>
      <c r="J135"/>
    </row>
    <row r="136" spans="1:10" ht="15" x14ac:dyDescent="0.25">
      <c r="A136"/>
      <c r="B136"/>
      <c r="C136"/>
      <c r="D136"/>
      <c r="E136"/>
      <c r="F136"/>
      <c r="G136"/>
      <c r="H136"/>
      <c r="I136"/>
      <c r="J136"/>
    </row>
    <row r="137" spans="1:10" ht="15" x14ac:dyDescent="0.25">
      <c r="A137"/>
      <c r="B137"/>
      <c r="C137"/>
      <c r="D137"/>
      <c r="E137"/>
      <c r="F137"/>
      <c r="G137"/>
      <c r="H137"/>
      <c r="I137"/>
      <c r="J137"/>
    </row>
    <row r="138" spans="1:10" ht="15" x14ac:dyDescent="0.25">
      <c r="A138"/>
      <c r="B138"/>
      <c r="C138"/>
      <c r="D138"/>
      <c r="E138"/>
      <c r="F138"/>
      <c r="G138"/>
      <c r="H138"/>
      <c r="I138"/>
      <c r="J138"/>
    </row>
    <row r="139" spans="1:10" ht="15" x14ac:dyDescent="0.25">
      <c r="A139"/>
      <c r="B139"/>
      <c r="C139"/>
      <c r="D139"/>
      <c r="E139"/>
      <c r="F139"/>
      <c r="G139"/>
      <c r="H139"/>
      <c r="I139"/>
      <c r="J139"/>
    </row>
    <row r="140" spans="1:10" ht="15" x14ac:dyDescent="0.25">
      <c r="A140"/>
      <c r="B140"/>
      <c r="C140"/>
      <c r="D140"/>
      <c r="E140"/>
      <c r="F140"/>
      <c r="G140"/>
      <c r="H140"/>
      <c r="I140"/>
      <c r="J140"/>
    </row>
    <row r="141" spans="1:10" ht="15" x14ac:dyDescent="0.25">
      <c r="A141"/>
      <c r="B141"/>
      <c r="C141"/>
      <c r="D141"/>
      <c r="E141"/>
      <c r="F141"/>
      <c r="G141"/>
      <c r="H141"/>
      <c r="I141"/>
      <c r="J141"/>
    </row>
    <row r="142" spans="1:10" ht="15" x14ac:dyDescent="0.25">
      <c r="A142"/>
      <c r="B142"/>
      <c r="C142"/>
      <c r="D142"/>
      <c r="E142"/>
      <c r="F142"/>
      <c r="G142"/>
      <c r="H142"/>
      <c r="I142"/>
      <c r="J142"/>
    </row>
    <row r="143" spans="1:10" ht="15" x14ac:dyDescent="0.25">
      <c r="A143"/>
      <c r="B143"/>
      <c r="C143"/>
      <c r="D143"/>
      <c r="E143"/>
      <c r="F143"/>
      <c r="G143"/>
      <c r="H143"/>
      <c r="I143"/>
      <c r="J143"/>
    </row>
    <row r="144" spans="1:10" ht="15" x14ac:dyDescent="0.25">
      <c r="A144"/>
      <c r="B144"/>
      <c r="C144"/>
      <c r="D144"/>
      <c r="E144"/>
      <c r="F144"/>
      <c r="G144"/>
      <c r="H144"/>
      <c r="I144"/>
      <c r="J144"/>
    </row>
    <row r="145" spans="1:10" ht="15" x14ac:dyDescent="0.25">
      <c r="A145"/>
      <c r="B145"/>
      <c r="C145"/>
      <c r="D145"/>
      <c r="E145"/>
      <c r="F145"/>
      <c r="G145"/>
      <c r="H145"/>
      <c r="I145"/>
      <c r="J145"/>
    </row>
    <row r="146" spans="1:10" ht="15" x14ac:dyDescent="0.25">
      <c r="A146"/>
      <c r="B146"/>
      <c r="C146"/>
      <c r="D146"/>
      <c r="E146"/>
      <c r="F146"/>
      <c r="G146"/>
      <c r="H146"/>
      <c r="I146"/>
      <c r="J146"/>
    </row>
    <row r="147" spans="1:10" ht="15" x14ac:dyDescent="0.25">
      <c r="A147"/>
      <c r="B147"/>
      <c r="C147"/>
      <c r="D147"/>
      <c r="E147"/>
      <c r="F147"/>
      <c r="G147"/>
      <c r="H147"/>
      <c r="I147"/>
      <c r="J147"/>
    </row>
    <row r="148" spans="1:10" ht="15" x14ac:dyDescent="0.25">
      <c r="A148"/>
      <c r="B148"/>
      <c r="C148"/>
      <c r="D148"/>
      <c r="E148"/>
      <c r="F148"/>
      <c r="G148"/>
      <c r="H148"/>
      <c r="I148"/>
      <c r="J148"/>
    </row>
    <row r="149" spans="1:10" ht="15" x14ac:dyDescent="0.25">
      <c r="A149"/>
      <c r="B149"/>
      <c r="C149"/>
      <c r="D149"/>
      <c r="E149"/>
      <c r="F149"/>
      <c r="G149"/>
      <c r="H149"/>
      <c r="I149"/>
      <c r="J149"/>
    </row>
    <row r="150" spans="1:10" ht="15" x14ac:dyDescent="0.25">
      <c r="A150"/>
      <c r="B150"/>
      <c r="C150"/>
      <c r="D150"/>
      <c r="E150"/>
      <c r="F150"/>
      <c r="G150"/>
      <c r="H150"/>
      <c r="I150"/>
      <c r="J150"/>
    </row>
    <row r="151" spans="1:10" ht="15" x14ac:dyDescent="0.25">
      <c r="A151"/>
      <c r="B151"/>
      <c r="C151"/>
      <c r="D151"/>
      <c r="E151"/>
      <c r="F151"/>
      <c r="G151"/>
      <c r="H151"/>
      <c r="I151"/>
      <c r="J151"/>
    </row>
    <row r="152" spans="1:10" ht="15" x14ac:dyDescent="0.25">
      <c r="A152"/>
      <c r="B152"/>
      <c r="C152"/>
      <c r="D152"/>
      <c r="E152"/>
      <c r="F152"/>
      <c r="G152"/>
      <c r="H152"/>
      <c r="I152"/>
      <c r="J152"/>
    </row>
    <row r="153" spans="1:10" ht="15" x14ac:dyDescent="0.25">
      <c r="A153"/>
      <c r="B153"/>
      <c r="C153"/>
      <c r="D153"/>
      <c r="E153"/>
      <c r="F153"/>
      <c r="G153"/>
      <c r="H153"/>
      <c r="I153"/>
      <c r="J153"/>
    </row>
    <row r="154" spans="1:10" ht="15" x14ac:dyDescent="0.25">
      <c r="A154"/>
      <c r="B154"/>
      <c r="C154"/>
      <c r="D154"/>
      <c r="E154"/>
      <c r="F154"/>
      <c r="G154"/>
      <c r="H154"/>
      <c r="I154"/>
      <c r="J154"/>
    </row>
    <row r="155" spans="1:10" ht="15" x14ac:dyDescent="0.25">
      <c r="A155"/>
      <c r="B155"/>
      <c r="C155"/>
      <c r="D155"/>
      <c r="E155"/>
      <c r="F155"/>
      <c r="G155"/>
      <c r="H155"/>
      <c r="I155"/>
      <c r="J155"/>
    </row>
    <row r="156" spans="1:10" ht="15" x14ac:dyDescent="0.25">
      <c r="A156"/>
      <c r="B156"/>
      <c r="C156"/>
      <c r="D156"/>
      <c r="E156"/>
      <c r="F156"/>
      <c r="G156"/>
      <c r="H156"/>
      <c r="I156"/>
      <c r="J156"/>
    </row>
    <row r="157" spans="1:10" ht="15" x14ac:dyDescent="0.25">
      <c r="A157"/>
      <c r="B157"/>
      <c r="C157"/>
      <c r="D157"/>
      <c r="E157"/>
      <c r="F157"/>
      <c r="G157"/>
      <c r="H157"/>
      <c r="I157"/>
      <c r="J157"/>
    </row>
    <row r="158" spans="1:10" ht="15" x14ac:dyDescent="0.25">
      <c r="A158"/>
      <c r="B158"/>
      <c r="C158"/>
      <c r="D158"/>
      <c r="E158"/>
      <c r="F158"/>
      <c r="G158"/>
      <c r="H158"/>
      <c r="I158"/>
      <c r="J158"/>
    </row>
    <row r="159" spans="1:10" ht="15" x14ac:dyDescent="0.25">
      <c r="A159"/>
      <c r="B159"/>
      <c r="C159"/>
      <c r="D159"/>
      <c r="E159"/>
      <c r="F159"/>
      <c r="G159"/>
      <c r="H159"/>
      <c r="I159"/>
      <c r="J159"/>
    </row>
    <row r="160" spans="1:10" ht="15" x14ac:dyDescent="0.25">
      <c r="A160"/>
      <c r="B160"/>
      <c r="C160"/>
      <c r="D160"/>
      <c r="E160"/>
      <c r="F160"/>
      <c r="G160"/>
      <c r="H160"/>
      <c r="I160"/>
      <c r="J160"/>
    </row>
    <row r="161" spans="1:10" ht="15" x14ac:dyDescent="0.25">
      <c r="A161"/>
      <c r="B161"/>
      <c r="C161"/>
      <c r="D161"/>
      <c r="E161"/>
      <c r="F161"/>
      <c r="G161"/>
      <c r="H161"/>
      <c r="I161"/>
      <c r="J161"/>
    </row>
    <row r="162" spans="1:10" ht="15" x14ac:dyDescent="0.25">
      <c r="A162"/>
      <c r="B162"/>
      <c r="C162"/>
      <c r="D162"/>
      <c r="E162"/>
      <c r="F162"/>
      <c r="G162"/>
      <c r="H162"/>
      <c r="I162"/>
      <c r="J162"/>
    </row>
    <row r="163" spans="1:10" ht="15" x14ac:dyDescent="0.25">
      <c r="A163"/>
      <c r="B163"/>
      <c r="C163"/>
      <c r="D163"/>
      <c r="E163"/>
      <c r="F163"/>
      <c r="G163"/>
      <c r="H163"/>
      <c r="I163"/>
      <c r="J163"/>
    </row>
    <row r="164" spans="1:10" ht="15" x14ac:dyDescent="0.25">
      <c r="A164"/>
      <c r="B164"/>
      <c r="C164"/>
      <c r="D164"/>
      <c r="E164"/>
      <c r="F164"/>
      <c r="G164"/>
      <c r="H164"/>
      <c r="I164"/>
      <c r="J164"/>
    </row>
    <row r="165" spans="1:10" ht="15" x14ac:dyDescent="0.25">
      <c r="A165"/>
      <c r="B165"/>
      <c r="C165"/>
      <c r="D165"/>
      <c r="E165"/>
      <c r="F165"/>
      <c r="G165"/>
      <c r="H165"/>
      <c r="I165"/>
      <c r="J165"/>
    </row>
    <row r="166" spans="1:10" ht="15" x14ac:dyDescent="0.25">
      <c r="A166"/>
      <c r="B166"/>
      <c r="C166"/>
      <c r="D166"/>
      <c r="E166"/>
      <c r="F166"/>
      <c r="G166"/>
      <c r="H166"/>
      <c r="I166"/>
      <c r="J166"/>
    </row>
    <row r="167" spans="1:10" ht="15" x14ac:dyDescent="0.25">
      <c r="A167"/>
      <c r="B167"/>
      <c r="C167"/>
      <c r="D167"/>
      <c r="E167"/>
      <c r="F167"/>
      <c r="G167"/>
      <c r="H167"/>
      <c r="I167"/>
      <c r="J167"/>
    </row>
    <row r="168" spans="1:10" ht="15" x14ac:dyDescent="0.25">
      <c r="A168"/>
      <c r="B168"/>
      <c r="C168"/>
      <c r="D168"/>
      <c r="E168"/>
      <c r="F168"/>
      <c r="G168"/>
      <c r="H168"/>
      <c r="I168"/>
      <c r="J168"/>
    </row>
    <row r="169" spans="1:10" ht="15" x14ac:dyDescent="0.25">
      <c r="A169"/>
      <c r="B169"/>
      <c r="C169"/>
      <c r="D169"/>
      <c r="E169"/>
      <c r="F169"/>
      <c r="G169"/>
      <c r="H169"/>
      <c r="I169"/>
      <c r="J169"/>
    </row>
    <row r="170" spans="1:10" ht="15" x14ac:dyDescent="0.25">
      <c r="A170"/>
      <c r="B170"/>
      <c r="C170"/>
      <c r="D170"/>
      <c r="E170"/>
      <c r="F170"/>
      <c r="G170"/>
      <c r="H170"/>
      <c r="I170"/>
      <c r="J170"/>
    </row>
    <row r="171" spans="1:10" ht="15" x14ac:dyDescent="0.25">
      <c r="A171"/>
      <c r="B171"/>
      <c r="C171"/>
      <c r="D171"/>
      <c r="E171"/>
      <c r="F171"/>
      <c r="G171"/>
      <c r="H171"/>
      <c r="I171"/>
      <c r="J171"/>
    </row>
    <row r="172" spans="1:10" ht="15" x14ac:dyDescent="0.25">
      <c r="A172"/>
      <c r="B172"/>
      <c r="C172"/>
      <c r="D172"/>
      <c r="E172"/>
      <c r="F172"/>
      <c r="G172"/>
      <c r="H172"/>
      <c r="I172"/>
      <c r="J172"/>
    </row>
    <row r="173" spans="1:10" ht="15" x14ac:dyDescent="0.25">
      <c r="A173"/>
      <c r="B173"/>
      <c r="C173"/>
      <c r="D173"/>
      <c r="E173"/>
      <c r="F173"/>
      <c r="G173"/>
      <c r="H173"/>
      <c r="I173"/>
      <c r="J173"/>
    </row>
    <row r="174" spans="1:10" ht="15" x14ac:dyDescent="0.25">
      <c r="A174"/>
      <c r="B174"/>
      <c r="C174"/>
      <c r="D174"/>
      <c r="E174"/>
      <c r="F174"/>
      <c r="G174"/>
      <c r="H174"/>
      <c r="I174"/>
      <c r="J174"/>
    </row>
    <row r="175" spans="1:10" ht="15" x14ac:dyDescent="0.25">
      <c r="A175"/>
      <c r="B175"/>
      <c r="C175"/>
      <c r="D175"/>
      <c r="E175"/>
      <c r="F175"/>
      <c r="G175"/>
      <c r="H175"/>
      <c r="I175"/>
      <c r="J175"/>
    </row>
    <row r="176" spans="1:10" ht="15" x14ac:dyDescent="0.25">
      <c r="A176"/>
      <c r="B176"/>
      <c r="C176"/>
      <c r="D176"/>
      <c r="E176"/>
      <c r="F176"/>
      <c r="G176"/>
      <c r="H176"/>
      <c r="I176"/>
      <c r="J176"/>
    </row>
    <row r="177" spans="1:10" ht="15" x14ac:dyDescent="0.25">
      <c r="A177"/>
      <c r="B177"/>
      <c r="C177"/>
      <c r="D177"/>
      <c r="E177"/>
      <c r="F177"/>
      <c r="G177"/>
      <c r="H177"/>
      <c r="I177"/>
      <c r="J177"/>
    </row>
    <row r="178" spans="1:10" ht="15" x14ac:dyDescent="0.25">
      <c r="A178"/>
      <c r="B178"/>
      <c r="C178"/>
      <c r="D178"/>
      <c r="E178"/>
      <c r="F178"/>
      <c r="G178"/>
      <c r="H178"/>
      <c r="I178"/>
      <c r="J178"/>
    </row>
    <row r="179" spans="1:10" ht="15" x14ac:dyDescent="0.25">
      <c r="A179"/>
      <c r="B179"/>
      <c r="C179"/>
      <c r="D179"/>
      <c r="E179"/>
      <c r="F179"/>
      <c r="G179"/>
      <c r="H179"/>
      <c r="I179"/>
      <c r="J179"/>
    </row>
    <row r="180" spans="1:10" ht="15" x14ac:dyDescent="0.25">
      <c r="A180"/>
      <c r="B180"/>
      <c r="C180"/>
      <c r="D180"/>
      <c r="E180"/>
      <c r="F180"/>
      <c r="G180"/>
      <c r="H180"/>
      <c r="I180"/>
      <c r="J180"/>
    </row>
    <row r="181" spans="1:10" ht="15" x14ac:dyDescent="0.25">
      <c r="A181"/>
      <c r="B181"/>
      <c r="C181"/>
      <c r="D181"/>
      <c r="E181"/>
      <c r="F181"/>
      <c r="G181"/>
      <c r="H181"/>
      <c r="I181"/>
      <c r="J181"/>
    </row>
    <row r="182" spans="1:10" ht="15" x14ac:dyDescent="0.25">
      <c r="A182"/>
      <c r="B182"/>
      <c r="C182"/>
      <c r="D182"/>
      <c r="E182"/>
      <c r="F182"/>
      <c r="G182"/>
      <c r="H182"/>
      <c r="I182"/>
      <c r="J182"/>
    </row>
    <row r="183" spans="1:10" ht="15" x14ac:dyDescent="0.25">
      <c r="A183"/>
      <c r="B183"/>
      <c r="C183"/>
      <c r="D183"/>
      <c r="E183"/>
      <c r="F183"/>
      <c r="G183"/>
      <c r="H183"/>
      <c r="I183"/>
      <c r="J183"/>
    </row>
    <row r="184" spans="1:10" ht="15" x14ac:dyDescent="0.25">
      <c r="A184"/>
      <c r="B184"/>
      <c r="C184"/>
      <c r="D184"/>
      <c r="E184"/>
      <c r="F184"/>
      <c r="G184"/>
      <c r="H184"/>
      <c r="I184"/>
      <c r="J184"/>
    </row>
    <row r="185" spans="1:10" ht="15" x14ac:dyDescent="0.25">
      <c r="A185"/>
      <c r="B185"/>
      <c r="C185"/>
      <c r="D185"/>
      <c r="E185"/>
      <c r="F185"/>
      <c r="G185"/>
      <c r="H185"/>
      <c r="I185"/>
      <c r="J185"/>
    </row>
    <row r="186" spans="1:10" ht="15" x14ac:dyDescent="0.25">
      <c r="A186"/>
      <c r="B186"/>
      <c r="C186"/>
      <c r="D186"/>
      <c r="E186"/>
      <c r="F186"/>
      <c r="G186"/>
      <c r="H186"/>
      <c r="I186"/>
      <c r="J186"/>
    </row>
    <row r="187" spans="1:10" ht="15" x14ac:dyDescent="0.25">
      <c r="A187"/>
      <c r="B187"/>
      <c r="C187"/>
      <c r="D187"/>
      <c r="E187"/>
      <c r="F187"/>
      <c r="G187"/>
      <c r="H187"/>
      <c r="I187"/>
      <c r="J187"/>
    </row>
    <row r="188" spans="1:10" ht="15" x14ac:dyDescent="0.25">
      <c r="A188"/>
      <c r="B188"/>
      <c r="C188"/>
      <c r="D188"/>
      <c r="E188"/>
      <c r="F188"/>
      <c r="G188"/>
      <c r="H188"/>
      <c r="I188"/>
      <c r="J188"/>
    </row>
    <row r="189" spans="1:10" ht="15" x14ac:dyDescent="0.25">
      <c r="A189"/>
      <c r="B189"/>
      <c r="C189"/>
      <c r="D189"/>
      <c r="E189"/>
      <c r="F189"/>
      <c r="G189"/>
      <c r="H189"/>
      <c r="I189"/>
      <c r="J189"/>
    </row>
    <row r="190" spans="1:10" ht="15" x14ac:dyDescent="0.25">
      <c r="A190"/>
      <c r="B190"/>
      <c r="C190"/>
      <c r="D190"/>
      <c r="E190"/>
      <c r="F190"/>
      <c r="G190"/>
      <c r="H190"/>
      <c r="I190"/>
      <c r="J190"/>
    </row>
    <row r="191" spans="1:10" ht="15" x14ac:dyDescent="0.25">
      <c r="A191"/>
      <c r="B191"/>
      <c r="C191"/>
      <c r="D191"/>
      <c r="E191"/>
      <c r="F191"/>
      <c r="G191"/>
      <c r="H191"/>
      <c r="I191"/>
      <c r="J191"/>
    </row>
    <row r="192" spans="1:10" ht="15" x14ac:dyDescent="0.25">
      <c r="A192"/>
      <c r="B192"/>
      <c r="C192"/>
      <c r="D192"/>
      <c r="E192"/>
      <c r="F192"/>
      <c r="G192"/>
      <c r="H192"/>
      <c r="I192"/>
      <c r="J192"/>
    </row>
    <row r="193" spans="1:10" ht="15" x14ac:dyDescent="0.25">
      <c r="A193"/>
      <c r="B193"/>
      <c r="C193"/>
      <c r="D193"/>
      <c r="E193"/>
      <c r="F193"/>
      <c r="G193"/>
      <c r="H193"/>
      <c r="I193"/>
      <c r="J193"/>
    </row>
    <row r="194" spans="1:10" ht="15" x14ac:dyDescent="0.25">
      <c r="A194"/>
      <c r="B194"/>
      <c r="C194"/>
      <c r="D194"/>
      <c r="E194"/>
      <c r="F194"/>
      <c r="G194"/>
      <c r="H194"/>
      <c r="I194"/>
      <c r="J194"/>
    </row>
    <row r="195" spans="1:10" ht="15" x14ac:dyDescent="0.25">
      <c r="A195"/>
      <c r="B195"/>
      <c r="C195"/>
      <c r="D195"/>
      <c r="E195"/>
      <c r="F195"/>
      <c r="G195"/>
      <c r="H195"/>
      <c r="I195"/>
      <c r="J195"/>
    </row>
    <row r="196" spans="1:10" ht="15" x14ac:dyDescent="0.25">
      <c r="A196"/>
      <c r="B196"/>
      <c r="C196"/>
      <c r="D196"/>
      <c r="E196"/>
      <c r="F196"/>
      <c r="G196"/>
      <c r="H196"/>
      <c r="I196"/>
      <c r="J196"/>
    </row>
    <row r="197" spans="1:10" ht="15" x14ac:dyDescent="0.25">
      <c r="A197"/>
      <c r="B197"/>
      <c r="C197"/>
      <c r="D197"/>
      <c r="E197"/>
      <c r="F197"/>
      <c r="G197"/>
      <c r="H197"/>
      <c r="I197"/>
      <c r="J197"/>
    </row>
    <row r="198" spans="1:10" ht="15" x14ac:dyDescent="0.25">
      <c r="A198"/>
      <c r="B198"/>
      <c r="C198"/>
      <c r="D198"/>
      <c r="E198"/>
      <c r="F198"/>
      <c r="G198"/>
      <c r="H198"/>
      <c r="I198"/>
      <c r="J198"/>
    </row>
    <row r="199" spans="1:10" ht="15" x14ac:dyDescent="0.25">
      <c r="A199"/>
      <c r="B199"/>
      <c r="C199"/>
      <c r="D199"/>
      <c r="E199"/>
      <c r="F199"/>
      <c r="G199"/>
      <c r="H199"/>
      <c r="I199"/>
      <c r="J199"/>
    </row>
    <row r="200" spans="1:10" ht="15" x14ac:dyDescent="0.25">
      <c r="A200"/>
      <c r="B200"/>
      <c r="C200"/>
      <c r="D200"/>
      <c r="E200"/>
      <c r="F200"/>
      <c r="G200"/>
      <c r="H200"/>
      <c r="I200"/>
      <c r="J200"/>
    </row>
    <row r="201" spans="1:10" ht="15" x14ac:dyDescent="0.25">
      <c r="A201"/>
      <c r="B201"/>
      <c r="C201"/>
      <c r="D201"/>
      <c r="E201"/>
      <c r="F201"/>
      <c r="G201"/>
      <c r="H201"/>
      <c r="I201"/>
      <c r="J201"/>
    </row>
    <row r="202" spans="1:10" ht="15" x14ac:dyDescent="0.25">
      <c r="A202"/>
      <c r="B202"/>
      <c r="C202"/>
      <c r="D202"/>
      <c r="E202"/>
      <c r="F202"/>
      <c r="G202"/>
      <c r="H202"/>
      <c r="I202"/>
      <c r="J202"/>
    </row>
    <row r="203" spans="1:10" ht="15" x14ac:dyDescent="0.25">
      <c r="A203"/>
      <c r="B203"/>
      <c r="C203"/>
      <c r="D203"/>
      <c r="E203"/>
      <c r="F203"/>
      <c r="G203"/>
      <c r="H203"/>
      <c r="I203"/>
      <c r="J203"/>
    </row>
    <row r="204" spans="1:10" ht="15" x14ac:dyDescent="0.25">
      <c r="A204"/>
      <c r="B204"/>
      <c r="C204"/>
      <c r="D204"/>
      <c r="E204"/>
      <c r="F204"/>
      <c r="G204"/>
      <c r="H204"/>
      <c r="I204"/>
      <c r="J204"/>
    </row>
    <row r="205" spans="1:10" ht="15" x14ac:dyDescent="0.25">
      <c r="A205"/>
      <c r="B205"/>
      <c r="C205"/>
      <c r="D205"/>
      <c r="E205"/>
      <c r="F205"/>
      <c r="G205"/>
      <c r="H205"/>
      <c r="I205"/>
      <c r="J205"/>
    </row>
    <row r="206" spans="1:10" ht="15" x14ac:dyDescent="0.25">
      <c r="A206"/>
      <c r="B206"/>
      <c r="C206"/>
      <c r="D206"/>
      <c r="E206"/>
      <c r="F206"/>
      <c r="G206"/>
      <c r="H206"/>
      <c r="I206"/>
      <c r="J206"/>
    </row>
    <row r="207" spans="1:10" ht="15" x14ac:dyDescent="0.25">
      <c r="A207"/>
      <c r="B207"/>
      <c r="C207"/>
      <c r="D207"/>
      <c r="E207"/>
      <c r="F207"/>
      <c r="G207"/>
      <c r="H207"/>
      <c r="I207"/>
      <c r="J207"/>
    </row>
    <row r="208" spans="1:10" ht="15" x14ac:dyDescent="0.25">
      <c r="A208"/>
      <c r="B208"/>
      <c r="C208"/>
      <c r="D208"/>
      <c r="E208"/>
      <c r="F208"/>
      <c r="G208"/>
      <c r="H208"/>
      <c r="I208"/>
      <c r="J208"/>
    </row>
    <row r="209" spans="1:10" ht="15" x14ac:dyDescent="0.25">
      <c r="A209"/>
      <c r="B209"/>
      <c r="C209"/>
      <c r="D209"/>
      <c r="E209"/>
      <c r="F209"/>
      <c r="G209"/>
      <c r="H209"/>
      <c r="I209"/>
      <c r="J209"/>
    </row>
    <row r="210" spans="1:10" ht="15" x14ac:dyDescent="0.25">
      <c r="A210"/>
      <c r="B210"/>
      <c r="C210"/>
      <c r="D210"/>
      <c r="E210"/>
      <c r="F210"/>
      <c r="G210"/>
      <c r="H210"/>
      <c r="I210"/>
      <c r="J210"/>
    </row>
    <row r="211" spans="1:10" ht="15" x14ac:dyDescent="0.25">
      <c r="A211"/>
      <c r="B211"/>
      <c r="C211"/>
      <c r="D211"/>
      <c r="E211"/>
      <c r="F211"/>
      <c r="G211"/>
      <c r="H211"/>
      <c r="I211"/>
      <c r="J211"/>
    </row>
    <row r="212" spans="1:10" ht="15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">
      <c r="E213" s="22"/>
      <c r="F213" s="22"/>
    </row>
    <row r="214" spans="1:10" x14ac:dyDescent="0.2">
      <c r="E214" s="22"/>
      <c r="F214" s="22"/>
    </row>
    <row r="215" spans="1:10" x14ac:dyDescent="0.2">
      <c r="E215" s="22"/>
      <c r="F215" s="22"/>
    </row>
    <row r="216" spans="1:10" x14ac:dyDescent="0.2">
      <c r="E216" s="22"/>
      <c r="F216" s="22"/>
    </row>
    <row r="217" spans="1:10" x14ac:dyDescent="0.2">
      <c r="E217" s="22"/>
      <c r="F217" s="22"/>
    </row>
    <row r="218" spans="1:10" x14ac:dyDescent="0.2">
      <c r="E218" s="22"/>
      <c r="F218" s="22"/>
    </row>
    <row r="219" spans="1:10" x14ac:dyDescent="0.2">
      <c r="E219" s="22"/>
      <c r="F219" s="22"/>
    </row>
    <row r="220" spans="1:10" x14ac:dyDescent="0.2">
      <c r="E220" s="22"/>
      <c r="F220" s="22"/>
    </row>
    <row r="221" spans="1:10" x14ac:dyDescent="0.2">
      <c r="E221" s="22"/>
      <c r="F221" s="22"/>
    </row>
    <row r="222" spans="1:10" x14ac:dyDescent="0.2">
      <c r="E222" s="22"/>
      <c r="F222" s="22"/>
    </row>
    <row r="223" spans="1:10" x14ac:dyDescent="0.2">
      <c r="E223" s="22"/>
      <c r="F223" s="22"/>
    </row>
    <row r="224" spans="1:10" x14ac:dyDescent="0.2">
      <c r="E224" s="22"/>
      <c r="F224" s="22"/>
    </row>
    <row r="225" spans="5:6" x14ac:dyDescent="0.2">
      <c r="E225" s="22"/>
      <c r="F225" s="22"/>
    </row>
    <row r="226" spans="5:6" x14ac:dyDescent="0.2">
      <c r="E226" s="22"/>
      <c r="F226" s="22"/>
    </row>
    <row r="227" spans="5:6" x14ac:dyDescent="0.2">
      <c r="E227" s="22"/>
      <c r="F227" s="22"/>
    </row>
    <row r="228" spans="5:6" x14ac:dyDescent="0.2">
      <c r="E228" s="22"/>
      <c r="F228" s="22"/>
    </row>
    <row r="229" spans="5:6" x14ac:dyDescent="0.2">
      <c r="E229" s="22"/>
      <c r="F229" s="22"/>
    </row>
    <row r="230" spans="5:6" x14ac:dyDescent="0.2">
      <c r="E230" s="22"/>
      <c r="F230" s="22"/>
    </row>
    <row r="231" spans="5:6" x14ac:dyDescent="0.2">
      <c r="E231" s="22"/>
      <c r="F231" s="22"/>
    </row>
    <row r="232" spans="5:6" x14ac:dyDescent="0.2">
      <c r="E232" s="22"/>
      <c r="F232" s="22"/>
    </row>
    <row r="233" spans="5:6" x14ac:dyDescent="0.2">
      <c r="E233" s="22"/>
      <c r="F233" s="22"/>
    </row>
    <row r="234" spans="5:6" x14ac:dyDescent="0.2">
      <c r="E234" s="22"/>
      <c r="F234" s="22"/>
    </row>
    <row r="235" spans="5:6" x14ac:dyDescent="0.2">
      <c r="E235" s="22"/>
      <c r="F235" s="22"/>
    </row>
    <row r="236" spans="5:6" x14ac:dyDescent="0.2">
      <c r="E236" s="22"/>
      <c r="F236" s="22"/>
    </row>
    <row r="237" spans="5:6" x14ac:dyDescent="0.2">
      <c r="E237" s="22"/>
      <c r="F237" s="22"/>
    </row>
    <row r="238" spans="5:6" x14ac:dyDescent="0.2">
      <c r="E238" s="22"/>
      <c r="F238" s="22"/>
    </row>
    <row r="239" spans="5:6" x14ac:dyDescent="0.2">
      <c r="E239" s="22"/>
      <c r="F239" s="22"/>
    </row>
    <row r="240" spans="5:6" x14ac:dyDescent="0.2">
      <c r="E240" s="22"/>
      <c r="F240" s="22"/>
    </row>
    <row r="241" spans="5:6" x14ac:dyDescent="0.2">
      <c r="E241" s="22"/>
      <c r="F241" s="22"/>
    </row>
    <row r="242" spans="5:6" x14ac:dyDescent="0.2">
      <c r="E242" s="22"/>
      <c r="F242" s="22"/>
    </row>
    <row r="243" spans="5:6" x14ac:dyDescent="0.2">
      <c r="E243" s="22"/>
      <c r="F243" s="22"/>
    </row>
    <row r="244" spans="5:6" x14ac:dyDescent="0.2">
      <c r="E244" s="22"/>
      <c r="F244" s="22"/>
    </row>
    <row r="245" spans="5:6" x14ac:dyDescent="0.2">
      <c r="E245" s="22"/>
      <c r="F245" s="22"/>
    </row>
    <row r="246" spans="5:6" x14ac:dyDescent="0.2">
      <c r="E246" s="22"/>
      <c r="F246" s="22"/>
    </row>
    <row r="247" spans="5:6" x14ac:dyDescent="0.2">
      <c r="E247" s="22"/>
      <c r="F247" s="22"/>
    </row>
    <row r="248" spans="5:6" x14ac:dyDescent="0.2">
      <c r="E248" s="22"/>
      <c r="F248" s="22"/>
    </row>
    <row r="249" spans="5:6" x14ac:dyDescent="0.2">
      <c r="E249" s="22"/>
      <c r="F249" s="22"/>
    </row>
    <row r="250" spans="5:6" x14ac:dyDescent="0.2">
      <c r="E250" s="22"/>
      <c r="F250" s="22"/>
    </row>
    <row r="251" spans="5:6" x14ac:dyDescent="0.2">
      <c r="E251" s="22"/>
      <c r="F251" s="22"/>
    </row>
    <row r="252" spans="5:6" x14ac:dyDescent="0.2">
      <c r="E252" s="22"/>
      <c r="F252" s="22"/>
    </row>
    <row r="253" spans="5:6" x14ac:dyDescent="0.2">
      <c r="E253" s="22"/>
      <c r="F253" s="22"/>
    </row>
    <row r="254" spans="5:6" x14ac:dyDescent="0.2">
      <c r="E254" s="22"/>
      <c r="F254" s="22"/>
    </row>
    <row r="255" spans="5:6" x14ac:dyDescent="0.2">
      <c r="E255" s="22"/>
      <c r="F255" s="22"/>
    </row>
    <row r="256" spans="5:6" x14ac:dyDescent="0.2">
      <c r="E256" s="22"/>
      <c r="F256" s="22"/>
    </row>
    <row r="257" spans="5:6" x14ac:dyDescent="0.2">
      <c r="E257" s="22"/>
      <c r="F257" s="22"/>
    </row>
    <row r="258" spans="5:6" x14ac:dyDescent="0.2">
      <c r="E258" s="22"/>
      <c r="F258" s="22"/>
    </row>
    <row r="259" spans="5:6" x14ac:dyDescent="0.2">
      <c r="E259" s="22"/>
      <c r="F259" s="22"/>
    </row>
    <row r="260" spans="5:6" x14ac:dyDescent="0.2">
      <c r="E260" s="22"/>
      <c r="F260" s="22"/>
    </row>
    <row r="261" spans="5:6" x14ac:dyDescent="0.2">
      <c r="E261" s="22"/>
      <c r="F261" s="22"/>
    </row>
    <row r="262" spans="5:6" x14ac:dyDescent="0.2">
      <c r="E262" s="22"/>
      <c r="F262" s="22"/>
    </row>
    <row r="263" spans="5:6" x14ac:dyDescent="0.2">
      <c r="E263" s="22"/>
      <c r="F263" s="22"/>
    </row>
    <row r="264" spans="5:6" x14ac:dyDescent="0.2">
      <c r="E264" s="22"/>
      <c r="F264" s="22"/>
    </row>
    <row r="265" spans="5:6" x14ac:dyDescent="0.2">
      <c r="E265" s="22"/>
      <c r="F265" s="22"/>
    </row>
    <row r="266" spans="5:6" x14ac:dyDescent="0.2">
      <c r="E266" s="22"/>
      <c r="F266" s="22"/>
    </row>
    <row r="267" spans="5:6" x14ac:dyDescent="0.2">
      <c r="E267" s="22"/>
      <c r="F267" s="22"/>
    </row>
    <row r="268" spans="5:6" x14ac:dyDescent="0.2">
      <c r="E268" s="22"/>
      <c r="F268" s="22"/>
    </row>
    <row r="269" spans="5:6" x14ac:dyDescent="0.2">
      <c r="E269" s="22"/>
      <c r="F269" s="22"/>
    </row>
    <row r="270" spans="5:6" x14ac:dyDescent="0.2">
      <c r="E270" s="22"/>
      <c r="F270" s="22"/>
    </row>
    <row r="271" spans="5:6" x14ac:dyDescent="0.2">
      <c r="E271" s="22"/>
      <c r="F271" s="22"/>
    </row>
    <row r="272" spans="5:6" x14ac:dyDescent="0.2">
      <c r="E272" s="22"/>
      <c r="F272" s="22"/>
    </row>
    <row r="273" spans="5:6" x14ac:dyDescent="0.2">
      <c r="E273" s="22"/>
      <c r="F273" s="22"/>
    </row>
    <row r="274" spans="5:6" x14ac:dyDescent="0.2">
      <c r="E274" s="22"/>
      <c r="F274" s="22"/>
    </row>
    <row r="275" spans="5:6" x14ac:dyDescent="0.2">
      <c r="E275" s="22"/>
      <c r="F275" s="22"/>
    </row>
    <row r="276" spans="5:6" x14ac:dyDescent="0.2">
      <c r="E276" s="22"/>
      <c r="F276" s="22"/>
    </row>
    <row r="277" spans="5:6" x14ac:dyDescent="0.2">
      <c r="E277" s="22"/>
      <c r="F277" s="22"/>
    </row>
    <row r="278" spans="5:6" x14ac:dyDescent="0.2">
      <c r="E278" s="22"/>
      <c r="F278" s="22"/>
    </row>
    <row r="279" spans="5:6" x14ac:dyDescent="0.2">
      <c r="E279" s="22"/>
      <c r="F279" s="22"/>
    </row>
    <row r="280" spans="5:6" x14ac:dyDescent="0.2">
      <c r="E280" s="22"/>
      <c r="F280" s="22"/>
    </row>
    <row r="281" spans="5:6" x14ac:dyDescent="0.2">
      <c r="E281" s="22"/>
      <c r="F281" s="22"/>
    </row>
    <row r="282" spans="5:6" x14ac:dyDescent="0.2">
      <c r="E282" s="22"/>
      <c r="F282" s="22"/>
    </row>
    <row r="283" spans="5:6" x14ac:dyDescent="0.2">
      <c r="E283" s="22"/>
      <c r="F283" s="22"/>
    </row>
    <row r="284" spans="5:6" x14ac:dyDescent="0.2">
      <c r="E284" s="22"/>
      <c r="F284" s="22"/>
    </row>
    <row r="285" spans="5:6" x14ac:dyDescent="0.2">
      <c r="E285" s="22"/>
      <c r="F285" s="22"/>
    </row>
    <row r="286" spans="5:6" x14ac:dyDescent="0.2">
      <c r="E286" s="22"/>
      <c r="F286" s="22"/>
    </row>
    <row r="287" spans="5:6" x14ac:dyDescent="0.2">
      <c r="E287" s="22"/>
      <c r="F287" s="22"/>
    </row>
    <row r="288" spans="5:6" x14ac:dyDescent="0.2">
      <c r="E288" s="22"/>
      <c r="F288" s="22"/>
    </row>
    <row r="289" spans="5:6" x14ac:dyDescent="0.2">
      <c r="E289" s="22"/>
      <c r="F289" s="22"/>
    </row>
    <row r="290" spans="5:6" x14ac:dyDescent="0.2">
      <c r="E290" s="22"/>
      <c r="F290" s="22"/>
    </row>
    <row r="291" spans="5:6" x14ac:dyDescent="0.2">
      <c r="E291" s="22"/>
      <c r="F291" s="22"/>
    </row>
    <row r="292" spans="5:6" x14ac:dyDescent="0.2">
      <c r="E292" s="22"/>
      <c r="F292" s="22"/>
    </row>
    <row r="293" spans="5:6" x14ac:dyDescent="0.2">
      <c r="E293" s="22"/>
      <c r="F293" s="22"/>
    </row>
    <row r="294" spans="5:6" x14ac:dyDescent="0.2">
      <c r="E294" s="22"/>
      <c r="F294" s="22"/>
    </row>
    <row r="295" spans="5:6" x14ac:dyDescent="0.2">
      <c r="E295" s="22"/>
      <c r="F295" s="22"/>
    </row>
    <row r="296" spans="5:6" x14ac:dyDescent="0.2">
      <c r="E296" s="22"/>
      <c r="F296" s="22"/>
    </row>
    <row r="297" spans="5:6" x14ac:dyDescent="0.2">
      <c r="E297" s="22"/>
      <c r="F297" s="22"/>
    </row>
    <row r="298" spans="5:6" x14ac:dyDescent="0.2">
      <c r="E298" s="22"/>
      <c r="F298" s="22"/>
    </row>
    <row r="299" spans="5:6" x14ac:dyDescent="0.2">
      <c r="E299" s="22"/>
      <c r="F299" s="22"/>
    </row>
    <row r="300" spans="5:6" x14ac:dyDescent="0.2">
      <c r="E300" s="22"/>
      <c r="F300" s="22"/>
    </row>
    <row r="301" spans="5:6" x14ac:dyDescent="0.2">
      <c r="E301" s="22"/>
      <c r="F301" s="22"/>
    </row>
    <row r="302" spans="5:6" x14ac:dyDescent="0.2">
      <c r="E302" s="22"/>
      <c r="F302" s="22"/>
    </row>
    <row r="303" spans="5:6" x14ac:dyDescent="0.2">
      <c r="E303" s="22"/>
      <c r="F303" s="22"/>
    </row>
    <row r="304" spans="5:6" x14ac:dyDescent="0.2">
      <c r="E304" s="22"/>
      <c r="F304" s="22"/>
    </row>
    <row r="305" spans="5:6" x14ac:dyDescent="0.2">
      <c r="E305" s="22"/>
      <c r="F305" s="22"/>
    </row>
    <row r="306" spans="5:6" x14ac:dyDescent="0.2">
      <c r="E306" s="22"/>
      <c r="F306" s="22"/>
    </row>
    <row r="307" spans="5:6" x14ac:dyDescent="0.2">
      <c r="E307" s="22"/>
      <c r="F307" s="22"/>
    </row>
    <row r="308" spans="5:6" x14ac:dyDescent="0.2">
      <c r="E308" s="22"/>
      <c r="F308" s="22"/>
    </row>
    <row r="309" spans="5:6" x14ac:dyDescent="0.2">
      <c r="E309" s="22"/>
      <c r="F309" s="22"/>
    </row>
    <row r="310" spans="5:6" x14ac:dyDescent="0.2">
      <c r="E310" s="22"/>
      <c r="F310" s="22"/>
    </row>
    <row r="311" spans="5:6" x14ac:dyDescent="0.2">
      <c r="E311" s="22"/>
      <c r="F311" s="22"/>
    </row>
    <row r="312" spans="5:6" x14ac:dyDescent="0.2">
      <c r="E312" s="22"/>
      <c r="F312" s="22"/>
    </row>
    <row r="313" spans="5:6" x14ac:dyDescent="0.2">
      <c r="E313" s="22"/>
      <c r="F313" s="22"/>
    </row>
    <row r="314" spans="5:6" x14ac:dyDescent="0.2">
      <c r="E314" s="22"/>
      <c r="F314" s="22"/>
    </row>
    <row r="315" spans="5:6" x14ac:dyDescent="0.2">
      <c r="E315" s="22"/>
      <c r="F315" s="22"/>
    </row>
    <row r="316" spans="5:6" x14ac:dyDescent="0.2">
      <c r="E316" s="22"/>
      <c r="F316" s="22"/>
    </row>
    <row r="317" spans="5:6" x14ac:dyDescent="0.2">
      <c r="E317" s="22"/>
      <c r="F317" s="22"/>
    </row>
    <row r="318" spans="5:6" x14ac:dyDescent="0.2">
      <c r="E318" s="22"/>
      <c r="F318" s="22"/>
    </row>
    <row r="319" spans="5:6" x14ac:dyDescent="0.2">
      <c r="E319" s="22"/>
      <c r="F319" s="22"/>
    </row>
    <row r="320" spans="5:6" x14ac:dyDescent="0.2">
      <c r="E320" s="22"/>
      <c r="F320" s="22"/>
    </row>
    <row r="321" spans="5:6" x14ac:dyDescent="0.2">
      <c r="E321" s="22"/>
      <c r="F321" s="22"/>
    </row>
    <row r="322" spans="5:6" x14ac:dyDescent="0.2">
      <c r="E322" s="22"/>
      <c r="F322" s="22"/>
    </row>
    <row r="323" spans="5:6" x14ac:dyDescent="0.2">
      <c r="E323" s="22"/>
      <c r="F323" s="22"/>
    </row>
    <row r="324" spans="5:6" x14ac:dyDescent="0.2">
      <c r="E324" s="22"/>
      <c r="F324" s="22"/>
    </row>
    <row r="325" spans="5:6" x14ac:dyDescent="0.2">
      <c r="E325" s="22"/>
      <c r="F325" s="22"/>
    </row>
    <row r="326" spans="5:6" x14ac:dyDescent="0.2">
      <c r="E326" s="22"/>
      <c r="F326" s="22"/>
    </row>
    <row r="327" spans="5:6" x14ac:dyDescent="0.2">
      <c r="E327" s="22"/>
      <c r="F327" s="22"/>
    </row>
    <row r="328" spans="5:6" x14ac:dyDescent="0.2">
      <c r="E328" s="22"/>
      <c r="F328" s="22"/>
    </row>
    <row r="329" spans="5:6" x14ac:dyDescent="0.2">
      <c r="E329" s="22"/>
      <c r="F329" s="22"/>
    </row>
    <row r="330" spans="5:6" x14ac:dyDescent="0.2">
      <c r="E330" s="22"/>
      <c r="F330" s="22"/>
    </row>
    <row r="331" spans="5:6" x14ac:dyDescent="0.2">
      <c r="E331" s="22"/>
      <c r="F331" s="22"/>
    </row>
    <row r="332" spans="5:6" x14ac:dyDescent="0.2">
      <c r="E332" s="22"/>
      <c r="F332" s="22"/>
    </row>
    <row r="333" spans="5:6" x14ac:dyDescent="0.2">
      <c r="E333" s="22"/>
      <c r="F333" s="22"/>
    </row>
    <row r="334" spans="5:6" x14ac:dyDescent="0.2">
      <c r="E334" s="22"/>
      <c r="F334" s="22"/>
    </row>
    <row r="335" spans="5:6" x14ac:dyDescent="0.2">
      <c r="E335" s="22"/>
      <c r="F335" s="22"/>
    </row>
    <row r="336" spans="5:6" x14ac:dyDescent="0.2">
      <c r="E336" s="22"/>
      <c r="F336" s="22"/>
    </row>
    <row r="337" spans="5:6" x14ac:dyDescent="0.2">
      <c r="E337" s="22"/>
      <c r="F337" s="22"/>
    </row>
    <row r="338" spans="5:6" x14ac:dyDescent="0.2">
      <c r="E338" s="22"/>
      <c r="F338" s="22"/>
    </row>
    <row r="339" spans="5:6" x14ac:dyDescent="0.2">
      <c r="E339" s="22"/>
      <c r="F339" s="22"/>
    </row>
    <row r="340" spans="5:6" x14ac:dyDescent="0.2">
      <c r="E340" s="22"/>
      <c r="F340" s="22"/>
    </row>
    <row r="341" spans="5:6" x14ac:dyDescent="0.2">
      <c r="E341" s="22"/>
      <c r="F341" s="22"/>
    </row>
    <row r="342" spans="5:6" x14ac:dyDescent="0.2">
      <c r="E342" s="22"/>
      <c r="F342" s="22"/>
    </row>
    <row r="343" spans="5:6" x14ac:dyDescent="0.2">
      <c r="E343" s="22"/>
      <c r="F343" s="22"/>
    </row>
    <row r="344" spans="5:6" x14ac:dyDescent="0.2">
      <c r="E344" s="22"/>
      <c r="F344" s="22"/>
    </row>
    <row r="345" spans="5:6" x14ac:dyDescent="0.2">
      <c r="E345" s="22"/>
      <c r="F345" s="22"/>
    </row>
    <row r="346" spans="5:6" x14ac:dyDescent="0.2">
      <c r="E346" s="22"/>
      <c r="F346" s="22"/>
    </row>
    <row r="347" spans="5:6" x14ac:dyDescent="0.2">
      <c r="E347" s="22"/>
      <c r="F347" s="22"/>
    </row>
    <row r="348" spans="5:6" x14ac:dyDescent="0.2">
      <c r="E348" s="22"/>
      <c r="F348" s="22"/>
    </row>
    <row r="349" spans="5:6" x14ac:dyDescent="0.2">
      <c r="E349" s="22"/>
      <c r="F349" s="22"/>
    </row>
    <row r="350" spans="5:6" x14ac:dyDescent="0.2">
      <c r="E350" s="22"/>
      <c r="F350" s="22"/>
    </row>
    <row r="351" spans="5:6" x14ac:dyDescent="0.2">
      <c r="E351" s="22"/>
      <c r="F351" s="22"/>
    </row>
    <row r="352" spans="5:6" x14ac:dyDescent="0.2">
      <c r="E352" s="22"/>
      <c r="F352" s="22"/>
    </row>
    <row r="353" spans="5:6" x14ac:dyDescent="0.2">
      <c r="E353" s="22"/>
      <c r="F353" s="22"/>
    </row>
    <row r="354" spans="5:6" x14ac:dyDescent="0.2">
      <c r="E354" s="22"/>
      <c r="F354" s="22"/>
    </row>
    <row r="355" spans="5:6" x14ac:dyDescent="0.2">
      <c r="E355" s="22"/>
      <c r="F355" s="22"/>
    </row>
    <row r="356" spans="5:6" x14ac:dyDescent="0.2">
      <c r="E356" s="22"/>
      <c r="F356" s="22"/>
    </row>
    <row r="357" spans="5:6" x14ac:dyDescent="0.2">
      <c r="E357" s="22"/>
      <c r="F357" s="22"/>
    </row>
    <row r="358" spans="5:6" x14ac:dyDescent="0.2">
      <c r="E358" s="22"/>
      <c r="F358" s="22"/>
    </row>
    <row r="359" spans="5:6" x14ac:dyDescent="0.2">
      <c r="E359" s="22"/>
      <c r="F359" s="22"/>
    </row>
    <row r="360" spans="5:6" x14ac:dyDescent="0.2">
      <c r="E360" s="22"/>
      <c r="F360" s="22"/>
    </row>
    <row r="361" spans="5:6" x14ac:dyDescent="0.2">
      <c r="E361" s="22"/>
      <c r="F361" s="22"/>
    </row>
    <row r="362" spans="5:6" x14ac:dyDescent="0.2">
      <c r="E362" s="22"/>
      <c r="F362" s="22"/>
    </row>
    <row r="363" spans="5:6" x14ac:dyDescent="0.2">
      <c r="E363" s="22"/>
      <c r="F363" s="22"/>
    </row>
    <row r="364" spans="5:6" x14ac:dyDescent="0.2">
      <c r="E364" s="22"/>
      <c r="F364" s="22"/>
    </row>
    <row r="365" spans="5:6" x14ac:dyDescent="0.2">
      <c r="E365" s="22"/>
      <c r="F365" s="22"/>
    </row>
    <row r="366" spans="5:6" x14ac:dyDescent="0.2">
      <c r="E366" s="22"/>
      <c r="F366" s="22"/>
    </row>
    <row r="367" spans="5:6" x14ac:dyDescent="0.2">
      <c r="E367" s="22"/>
      <c r="F367" s="22"/>
    </row>
    <row r="368" spans="5:6" x14ac:dyDescent="0.2">
      <c r="E368" s="22"/>
      <c r="F368" s="22"/>
    </row>
    <row r="369" spans="5:6" x14ac:dyDescent="0.2">
      <c r="E369" s="22"/>
      <c r="F369" s="22"/>
    </row>
    <row r="370" spans="5:6" x14ac:dyDescent="0.2">
      <c r="E370" s="22"/>
      <c r="F370" s="22"/>
    </row>
    <row r="371" spans="5:6" x14ac:dyDescent="0.2">
      <c r="E371" s="22"/>
      <c r="F371" s="22"/>
    </row>
    <row r="372" spans="5:6" x14ac:dyDescent="0.2">
      <c r="E372" s="22"/>
      <c r="F372" s="22"/>
    </row>
    <row r="373" spans="5:6" x14ac:dyDescent="0.2">
      <c r="E373" s="22"/>
      <c r="F373" s="22"/>
    </row>
    <row r="374" spans="5:6" x14ac:dyDescent="0.2">
      <c r="E374" s="22"/>
      <c r="F374" s="22"/>
    </row>
    <row r="375" spans="5:6" x14ac:dyDescent="0.2">
      <c r="E375" s="22"/>
      <c r="F375" s="22"/>
    </row>
    <row r="376" spans="5:6" x14ac:dyDescent="0.2">
      <c r="E376" s="22"/>
      <c r="F376" s="22"/>
    </row>
    <row r="377" spans="5:6" x14ac:dyDescent="0.2">
      <c r="E377" s="22"/>
      <c r="F377" s="22"/>
    </row>
    <row r="378" spans="5:6" x14ac:dyDescent="0.2">
      <c r="E378" s="22"/>
      <c r="F378" s="22"/>
    </row>
    <row r="379" spans="5:6" x14ac:dyDescent="0.2">
      <c r="E379" s="22"/>
      <c r="F379" s="22"/>
    </row>
    <row r="380" spans="5:6" x14ac:dyDescent="0.2">
      <c r="E380" s="22"/>
      <c r="F380" s="22"/>
    </row>
    <row r="381" spans="5:6" x14ac:dyDescent="0.2">
      <c r="E381" s="22"/>
      <c r="F381" s="22"/>
    </row>
    <row r="382" spans="5:6" x14ac:dyDescent="0.2">
      <c r="E382" s="22"/>
      <c r="F382" s="22"/>
    </row>
    <row r="383" spans="5:6" x14ac:dyDescent="0.2">
      <c r="E383" s="22"/>
      <c r="F383" s="22"/>
    </row>
    <row r="384" spans="5:6" x14ac:dyDescent="0.2">
      <c r="E384" s="22"/>
      <c r="F384" s="22"/>
    </row>
    <row r="385" spans="5:6" x14ac:dyDescent="0.2">
      <c r="E385" s="22"/>
      <c r="F385" s="22"/>
    </row>
    <row r="386" spans="5:6" x14ac:dyDescent="0.2">
      <c r="E386" s="22"/>
      <c r="F386" s="22"/>
    </row>
    <row r="387" spans="5:6" x14ac:dyDescent="0.2">
      <c r="E387" s="22"/>
      <c r="F387" s="22"/>
    </row>
    <row r="388" spans="5:6" x14ac:dyDescent="0.2">
      <c r="E388" s="22"/>
      <c r="F388" s="22"/>
    </row>
    <row r="389" spans="5:6" x14ac:dyDescent="0.2">
      <c r="E389" s="22"/>
      <c r="F389" s="22"/>
    </row>
    <row r="390" spans="5:6" x14ac:dyDescent="0.2">
      <c r="E390" s="22"/>
      <c r="F390" s="22"/>
    </row>
    <row r="391" spans="5:6" x14ac:dyDescent="0.2">
      <c r="E391" s="22"/>
      <c r="F391" s="22"/>
    </row>
    <row r="392" spans="5:6" x14ac:dyDescent="0.2">
      <c r="E392" s="22"/>
      <c r="F392" s="22"/>
    </row>
    <row r="393" spans="5:6" x14ac:dyDescent="0.2">
      <c r="E393" s="22"/>
      <c r="F393" s="22"/>
    </row>
    <row r="394" spans="5:6" x14ac:dyDescent="0.2">
      <c r="E394" s="22"/>
      <c r="F394" s="22"/>
    </row>
    <row r="395" spans="5:6" x14ac:dyDescent="0.2">
      <c r="E395" s="22"/>
      <c r="F395" s="22"/>
    </row>
    <row r="396" spans="5:6" x14ac:dyDescent="0.2">
      <c r="E396" s="22"/>
      <c r="F396" s="22"/>
    </row>
    <row r="397" spans="5:6" x14ac:dyDescent="0.2">
      <c r="E397" s="22"/>
      <c r="F397" s="22"/>
    </row>
    <row r="398" spans="5:6" x14ac:dyDescent="0.2">
      <c r="E398" s="22"/>
      <c r="F398" s="22"/>
    </row>
    <row r="399" spans="5:6" x14ac:dyDescent="0.2">
      <c r="E399" s="22"/>
      <c r="F399" s="22"/>
    </row>
    <row r="400" spans="5:6" x14ac:dyDescent="0.2">
      <c r="E400" s="22"/>
      <c r="F400" s="22"/>
    </row>
    <row r="401" spans="5:6" x14ac:dyDescent="0.2">
      <c r="E401" s="22"/>
      <c r="F401" s="22"/>
    </row>
    <row r="402" spans="5:6" x14ac:dyDescent="0.2">
      <c r="E402" s="22"/>
      <c r="F402" s="22"/>
    </row>
    <row r="403" spans="5:6" x14ac:dyDescent="0.2">
      <c r="E403" s="22"/>
      <c r="F403" s="22"/>
    </row>
    <row r="404" spans="5:6" x14ac:dyDescent="0.2">
      <c r="E404" s="22"/>
      <c r="F404" s="22"/>
    </row>
    <row r="405" spans="5:6" x14ac:dyDescent="0.2">
      <c r="E405" s="22"/>
      <c r="F405" s="22"/>
    </row>
    <row r="406" spans="5:6" x14ac:dyDescent="0.2">
      <c r="E406" s="22"/>
      <c r="F406" s="22"/>
    </row>
    <row r="407" spans="5:6" x14ac:dyDescent="0.2">
      <c r="E407" s="22"/>
      <c r="F407" s="22"/>
    </row>
    <row r="408" spans="5:6" x14ac:dyDescent="0.2">
      <c r="E408" s="22"/>
      <c r="F408" s="22"/>
    </row>
    <row r="409" spans="5:6" x14ac:dyDescent="0.2">
      <c r="E409" s="22"/>
      <c r="F409" s="22"/>
    </row>
    <row r="410" spans="5:6" x14ac:dyDescent="0.2">
      <c r="E410" s="22"/>
      <c r="F410" s="22"/>
    </row>
    <row r="411" spans="5:6" x14ac:dyDescent="0.2">
      <c r="E411" s="22"/>
      <c r="F411" s="22"/>
    </row>
    <row r="412" spans="5:6" x14ac:dyDescent="0.2">
      <c r="E412" s="22"/>
      <c r="F412" s="22"/>
    </row>
    <row r="413" spans="5:6" x14ac:dyDescent="0.2">
      <c r="E413" s="22"/>
      <c r="F413" s="22"/>
    </row>
    <row r="414" spans="5:6" x14ac:dyDescent="0.2">
      <c r="E414" s="22"/>
      <c r="F414" s="22"/>
    </row>
    <row r="415" spans="5:6" x14ac:dyDescent="0.2">
      <c r="E415" s="22"/>
      <c r="F415" s="22"/>
    </row>
    <row r="416" spans="5:6" x14ac:dyDescent="0.2">
      <c r="E416" s="22"/>
      <c r="F416" s="22"/>
    </row>
    <row r="417" spans="5:6" x14ac:dyDescent="0.2">
      <c r="E417" s="22"/>
      <c r="F417" s="22"/>
    </row>
    <row r="418" spans="5:6" x14ac:dyDescent="0.2">
      <c r="E418" s="22"/>
      <c r="F418" s="22"/>
    </row>
    <row r="419" spans="5:6" x14ac:dyDescent="0.2">
      <c r="E419" s="22"/>
      <c r="F419" s="22"/>
    </row>
    <row r="420" spans="5:6" x14ac:dyDescent="0.2">
      <c r="E420" s="22"/>
      <c r="F420" s="22"/>
    </row>
    <row r="421" spans="5:6" x14ac:dyDescent="0.2">
      <c r="E421" s="22"/>
      <c r="F421" s="22"/>
    </row>
    <row r="422" spans="5:6" x14ac:dyDescent="0.2">
      <c r="E422" s="22"/>
      <c r="F422" s="22"/>
    </row>
    <row r="423" spans="5:6" x14ac:dyDescent="0.2">
      <c r="E423" s="22"/>
      <c r="F423" s="22"/>
    </row>
    <row r="424" spans="5:6" x14ac:dyDescent="0.2">
      <c r="E424" s="22"/>
      <c r="F424" s="22"/>
    </row>
    <row r="425" spans="5:6" x14ac:dyDescent="0.2">
      <c r="E425" s="22"/>
      <c r="F425" s="22"/>
    </row>
    <row r="426" spans="5:6" x14ac:dyDescent="0.2">
      <c r="E426" s="22"/>
      <c r="F426" s="22"/>
    </row>
    <row r="427" spans="5:6" x14ac:dyDescent="0.2">
      <c r="E427" s="22"/>
      <c r="F427" s="22"/>
    </row>
    <row r="428" spans="5:6" x14ac:dyDescent="0.2">
      <c r="E428" s="22"/>
      <c r="F428" s="22"/>
    </row>
    <row r="429" spans="5:6" x14ac:dyDescent="0.2">
      <c r="E429" s="22"/>
      <c r="F429" s="22"/>
    </row>
    <row r="430" spans="5:6" x14ac:dyDescent="0.2">
      <c r="E430" s="22"/>
      <c r="F430" s="22"/>
    </row>
    <row r="431" spans="5:6" x14ac:dyDescent="0.2">
      <c r="E431" s="22"/>
      <c r="F431" s="22"/>
    </row>
    <row r="432" spans="5:6" x14ac:dyDescent="0.2">
      <c r="E432" s="22"/>
      <c r="F432" s="22"/>
    </row>
    <row r="433" spans="5:6" x14ac:dyDescent="0.2">
      <c r="E433" s="22"/>
      <c r="F433" s="22"/>
    </row>
    <row r="434" spans="5:6" x14ac:dyDescent="0.2">
      <c r="E434" s="22"/>
      <c r="F434" s="22"/>
    </row>
    <row r="435" spans="5:6" x14ac:dyDescent="0.2">
      <c r="E435" s="22"/>
      <c r="F435" s="22"/>
    </row>
    <row r="436" spans="5:6" x14ac:dyDescent="0.2">
      <c r="E436" s="22"/>
      <c r="F436" s="22"/>
    </row>
    <row r="437" spans="5:6" x14ac:dyDescent="0.2">
      <c r="E437" s="22"/>
      <c r="F437" s="22"/>
    </row>
    <row r="438" spans="5:6" x14ac:dyDescent="0.2">
      <c r="E438" s="22"/>
      <c r="F438" s="22"/>
    </row>
    <row r="439" spans="5:6" x14ac:dyDescent="0.2">
      <c r="E439" s="22"/>
      <c r="F439" s="22"/>
    </row>
    <row r="440" spans="5:6" x14ac:dyDescent="0.2">
      <c r="E440" s="22"/>
      <c r="F440" s="22"/>
    </row>
    <row r="441" spans="5:6" x14ac:dyDescent="0.2">
      <c r="E441" s="22"/>
      <c r="F441" s="22"/>
    </row>
    <row r="442" spans="5:6" x14ac:dyDescent="0.2">
      <c r="E442" s="22"/>
      <c r="F442" s="22"/>
    </row>
    <row r="443" spans="5:6" x14ac:dyDescent="0.2">
      <c r="E443" s="22"/>
      <c r="F443" s="22"/>
    </row>
    <row r="444" spans="5:6" x14ac:dyDescent="0.2">
      <c r="E444" s="22"/>
      <c r="F444" s="22"/>
    </row>
    <row r="445" spans="5:6" x14ac:dyDescent="0.2">
      <c r="E445" s="22"/>
      <c r="F445" s="22"/>
    </row>
    <row r="446" spans="5:6" x14ac:dyDescent="0.2">
      <c r="E446" s="22"/>
      <c r="F446" s="22"/>
    </row>
    <row r="447" spans="5:6" x14ac:dyDescent="0.2">
      <c r="E447" s="22"/>
      <c r="F447" s="22"/>
    </row>
    <row r="448" spans="5:6" x14ac:dyDescent="0.2">
      <c r="E448" s="22"/>
      <c r="F448" s="22"/>
    </row>
    <row r="449" spans="5:6" x14ac:dyDescent="0.2">
      <c r="E449" s="22"/>
      <c r="F449" s="22"/>
    </row>
    <row r="450" spans="5:6" x14ac:dyDescent="0.2">
      <c r="E450" s="22"/>
      <c r="F450" s="22"/>
    </row>
    <row r="451" spans="5:6" x14ac:dyDescent="0.2">
      <c r="E451" s="22"/>
      <c r="F451" s="22"/>
    </row>
    <row r="452" spans="5:6" x14ac:dyDescent="0.2">
      <c r="E452" s="22"/>
      <c r="F452" s="22"/>
    </row>
    <row r="453" spans="5:6" x14ac:dyDescent="0.2">
      <c r="E453" s="22"/>
      <c r="F453" s="22"/>
    </row>
    <row r="454" spans="5:6" x14ac:dyDescent="0.2">
      <c r="E454" s="22"/>
      <c r="F454" s="22"/>
    </row>
    <row r="455" spans="5:6" x14ac:dyDescent="0.2">
      <c r="E455" s="22"/>
      <c r="F455" s="22"/>
    </row>
    <row r="456" spans="5:6" x14ac:dyDescent="0.2">
      <c r="E456" s="22"/>
      <c r="F456" s="22"/>
    </row>
    <row r="457" spans="5:6" x14ac:dyDescent="0.2">
      <c r="E457" s="22"/>
      <c r="F457" s="22"/>
    </row>
    <row r="458" spans="5:6" x14ac:dyDescent="0.2">
      <c r="E458" s="22"/>
      <c r="F458" s="22"/>
    </row>
    <row r="459" spans="5:6" x14ac:dyDescent="0.2">
      <c r="E459" s="22"/>
      <c r="F459" s="22"/>
    </row>
    <row r="460" spans="5:6" x14ac:dyDescent="0.2">
      <c r="E460" s="22"/>
      <c r="F460" s="22"/>
    </row>
    <row r="461" spans="5:6" x14ac:dyDescent="0.2">
      <c r="E461" s="22"/>
      <c r="F461" s="22"/>
    </row>
    <row r="462" spans="5:6" x14ac:dyDescent="0.2">
      <c r="E462" s="22"/>
      <c r="F462" s="22"/>
    </row>
    <row r="463" spans="5:6" x14ac:dyDescent="0.2">
      <c r="E463" s="22"/>
      <c r="F463" s="22"/>
    </row>
    <row r="464" spans="5:6" x14ac:dyDescent="0.2">
      <c r="E464" s="22"/>
      <c r="F464" s="22"/>
    </row>
    <row r="465" spans="5:6" x14ac:dyDescent="0.2">
      <c r="E465" s="22"/>
      <c r="F465" s="22"/>
    </row>
    <row r="466" spans="5:6" x14ac:dyDescent="0.2">
      <c r="E466" s="22"/>
      <c r="F466" s="22"/>
    </row>
    <row r="467" spans="5:6" x14ac:dyDescent="0.2">
      <c r="E467" s="22"/>
      <c r="F467" s="22"/>
    </row>
    <row r="468" spans="5:6" x14ac:dyDescent="0.2">
      <c r="E468" s="22"/>
      <c r="F468" s="22"/>
    </row>
    <row r="469" spans="5:6" x14ac:dyDescent="0.2">
      <c r="E469" s="22"/>
      <c r="F469" s="22"/>
    </row>
    <row r="470" spans="5:6" x14ac:dyDescent="0.2">
      <c r="E470" s="22"/>
      <c r="F470" s="22"/>
    </row>
    <row r="471" spans="5:6" x14ac:dyDescent="0.2">
      <c r="E471" s="22"/>
      <c r="F471" s="22"/>
    </row>
    <row r="472" spans="5:6" x14ac:dyDescent="0.2">
      <c r="E472" s="22"/>
      <c r="F472" s="22"/>
    </row>
    <row r="473" spans="5:6" x14ac:dyDescent="0.2">
      <c r="E473" s="22"/>
      <c r="F473" s="22"/>
    </row>
    <row r="474" spans="5:6" x14ac:dyDescent="0.2">
      <c r="E474" s="22"/>
      <c r="F474" s="22"/>
    </row>
    <row r="475" spans="5:6" x14ac:dyDescent="0.2">
      <c r="E475" s="22"/>
      <c r="F475" s="22"/>
    </row>
    <row r="476" spans="5:6" x14ac:dyDescent="0.2">
      <c r="E476" s="22"/>
      <c r="F476" s="22"/>
    </row>
    <row r="477" spans="5:6" x14ac:dyDescent="0.2">
      <c r="E477" s="22"/>
      <c r="F477" s="22"/>
    </row>
    <row r="478" spans="5:6" x14ac:dyDescent="0.2">
      <c r="E478" s="22"/>
      <c r="F478" s="22"/>
    </row>
    <row r="479" spans="5:6" x14ac:dyDescent="0.2">
      <c r="E479" s="22"/>
      <c r="F479" s="22"/>
    </row>
    <row r="480" spans="5:6" x14ac:dyDescent="0.2">
      <c r="E480" s="22"/>
      <c r="F480" s="22"/>
    </row>
    <row r="481" spans="5:6" x14ac:dyDescent="0.2">
      <c r="E481" s="22"/>
      <c r="F481" s="22"/>
    </row>
    <row r="482" spans="5:6" x14ac:dyDescent="0.2">
      <c r="E482" s="22"/>
      <c r="F482" s="22"/>
    </row>
    <row r="483" spans="5:6" x14ac:dyDescent="0.2">
      <c r="E483" s="22"/>
      <c r="F483" s="22"/>
    </row>
    <row r="484" spans="5:6" x14ac:dyDescent="0.2">
      <c r="E484" s="22"/>
      <c r="F484" s="22"/>
    </row>
    <row r="485" spans="5:6" x14ac:dyDescent="0.2">
      <c r="E485" s="22"/>
      <c r="F485" s="22"/>
    </row>
    <row r="486" spans="5:6" x14ac:dyDescent="0.2">
      <c r="E486" s="22"/>
      <c r="F486" s="22"/>
    </row>
    <row r="487" spans="5:6" x14ac:dyDescent="0.2">
      <c r="E487" s="22"/>
      <c r="F487" s="22"/>
    </row>
    <row r="488" spans="5:6" x14ac:dyDescent="0.2">
      <c r="E488" s="22"/>
      <c r="F488" s="22"/>
    </row>
    <row r="489" spans="5:6" x14ac:dyDescent="0.2">
      <c r="E489" s="22"/>
      <c r="F489" s="22"/>
    </row>
    <row r="490" spans="5:6" x14ac:dyDescent="0.2">
      <c r="E490" s="22"/>
      <c r="F490" s="22"/>
    </row>
    <row r="491" spans="5:6" x14ac:dyDescent="0.2">
      <c r="E491" s="22"/>
      <c r="F491" s="22"/>
    </row>
    <row r="492" spans="5:6" x14ac:dyDescent="0.2">
      <c r="E492" s="22"/>
      <c r="F492" s="22"/>
    </row>
    <row r="493" spans="5:6" x14ac:dyDescent="0.2">
      <c r="E493" s="22"/>
      <c r="F493" s="22"/>
    </row>
    <row r="494" spans="5:6" x14ac:dyDescent="0.2">
      <c r="E494" s="22"/>
      <c r="F494" s="22"/>
    </row>
    <row r="495" spans="5:6" x14ac:dyDescent="0.2">
      <c r="E495" s="22"/>
      <c r="F495" s="22"/>
    </row>
    <row r="496" spans="5:6" x14ac:dyDescent="0.2">
      <c r="E496" s="22"/>
      <c r="F496" s="22"/>
    </row>
    <row r="497" spans="5:6" x14ac:dyDescent="0.2">
      <c r="E497" s="22"/>
      <c r="F497" s="22"/>
    </row>
    <row r="498" spans="5:6" x14ac:dyDescent="0.2">
      <c r="E498" s="22"/>
      <c r="F498" s="22"/>
    </row>
    <row r="499" spans="5:6" x14ac:dyDescent="0.2">
      <c r="E499" s="22"/>
      <c r="F499" s="22"/>
    </row>
    <row r="500" spans="5:6" x14ac:dyDescent="0.2">
      <c r="E500" s="22"/>
      <c r="F500" s="22"/>
    </row>
    <row r="501" spans="5:6" x14ac:dyDescent="0.2">
      <c r="E501" s="22"/>
      <c r="F501" s="22"/>
    </row>
    <row r="502" spans="5:6" x14ac:dyDescent="0.2">
      <c r="E502" s="22"/>
      <c r="F502" s="22"/>
    </row>
    <row r="503" spans="5:6" x14ac:dyDescent="0.2">
      <c r="E503" s="22"/>
      <c r="F503" s="22"/>
    </row>
    <row r="504" spans="5:6" x14ac:dyDescent="0.2">
      <c r="E504" s="22"/>
      <c r="F504" s="22"/>
    </row>
    <row r="505" spans="5:6" x14ac:dyDescent="0.2">
      <c r="E505" s="22"/>
      <c r="F505" s="22"/>
    </row>
    <row r="506" spans="5:6" x14ac:dyDescent="0.2">
      <c r="E506" s="22"/>
      <c r="F506" s="22"/>
    </row>
    <row r="507" spans="5:6" x14ac:dyDescent="0.2">
      <c r="E507" s="22"/>
      <c r="F507" s="22"/>
    </row>
    <row r="508" spans="5:6" x14ac:dyDescent="0.2">
      <c r="E508" s="22"/>
      <c r="F508" s="22"/>
    </row>
    <row r="509" spans="5:6" x14ac:dyDescent="0.2">
      <c r="E509" s="22"/>
      <c r="F509" s="22"/>
    </row>
    <row r="510" spans="5:6" x14ac:dyDescent="0.2">
      <c r="E510" s="22"/>
      <c r="F510" s="22"/>
    </row>
    <row r="511" spans="5:6" x14ac:dyDescent="0.2">
      <c r="E511" s="22"/>
      <c r="F511" s="22"/>
    </row>
    <row r="512" spans="5:6" x14ac:dyDescent="0.2">
      <c r="E512" s="22"/>
      <c r="F512" s="22"/>
    </row>
    <row r="513" spans="5:6" x14ac:dyDescent="0.2">
      <c r="E513" s="22"/>
      <c r="F513" s="22"/>
    </row>
    <row r="514" spans="5:6" x14ac:dyDescent="0.2">
      <c r="E514" s="22"/>
      <c r="F514" s="22"/>
    </row>
    <row r="515" spans="5:6" x14ac:dyDescent="0.2">
      <c r="E515" s="22"/>
      <c r="F515" s="22"/>
    </row>
    <row r="516" spans="5:6" x14ac:dyDescent="0.2">
      <c r="E516" s="22"/>
      <c r="F516" s="22"/>
    </row>
    <row r="517" spans="5:6" x14ac:dyDescent="0.2">
      <c r="E517" s="22"/>
      <c r="F517" s="22"/>
    </row>
    <row r="518" spans="5:6" x14ac:dyDescent="0.2">
      <c r="E518" s="22"/>
      <c r="F518" s="22"/>
    </row>
    <row r="519" spans="5:6" x14ac:dyDescent="0.2">
      <c r="E519" s="22"/>
      <c r="F519" s="22"/>
    </row>
    <row r="520" spans="5:6" x14ac:dyDescent="0.2">
      <c r="E520" s="22"/>
      <c r="F520" s="22"/>
    </row>
    <row r="521" spans="5:6" x14ac:dyDescent="0.2">
      <c r="E521" s="22"/>
      <c r="F521" s="22"/>
    </row>
    <row r="522" spans="5:6" x14ac:dyDescent="0.2">
      <c r="E522" s="22"/>
      <c r="F522" s="22"/>
    </row>
    <row r="523" spans="5:6" x14ac:dyDescent="0.2">
      <c r="E523" s="22"/>
      <c r="F523" s="22"/>
    </row>
    <row r="524" spans="5:6" x14ac:dyDescent="0.2">
      <c r="E524" s="22"/>
      <c r="F524" s="22"/>
    </row>
    <row r="525" spans="5:6" x14ac:dyDescent="0.2">
      <c r="E525" s="22"/>
      <c r="F525" s="22"/>
    </row>
    <row r="526" spans="5:6" x14ac:dyDescent="0.2">
      <c r="E526" s="22"/>
      <c r="F526" s="22"/>
    </row>
    <row r="527" spans="5:6" x14ac:dyDescent="0.2">
      <c r="E527" s="22"/>
      <c r="F527" s="22"/>
    </row>
    <row r="528" spans="5:6" x14ac:dyDescent="0.2">
      <c r="E528" s="22"/>
      <c r="F528" s="22"/>
    </row>
    <row r="529" spans="5:6" x14ac:dyDescent="0.2">
      <c r="E529" s="22"/>
      <c r="F529" s="22"/>
    </row>
    <row r="530" spans="5:6" x14ac:dyDescent="0.2">
      <c r="E530" s="22"/>
      <c r="F530" s="22"/>
    </row>
    <row r="531" spans="5:6" x14ac:dyDescent="0.2">
      <c r="E531" s="22"/>
      <c r="F531" s="22"/>
    </row>
    <row r="532" spans="5:6" x14ac:dyDescent="0.2">
      <c r="E532" s="22"/>
      <c r="F532" s="22"/>
    </row>
    <row r="533" spans="5:6" x14ac:dyDescent="0.2">
      <c r="E533" s="22"/>
      <c r="F533" s="22"/>
    </row>
    <row r="534" spans="5:6" x14ac:dyDescent="0.2">
      <c r="E534" s="22"/>
      <c r="F534" s="22"/>
    </row>
    <row r="535" spans="5:6" x14ac:dyDescent="0.2">
      <c r="E535" s="22"/>
      <c r="F535" s="22"/>
    </row>
    <row r="536" spans="5:6" x14ac:dyDescent="0.2">
      <c r="E536" s="22"/>
      <c r="F536" s="22"/>
    </row>
    <row r="537" spans="5:6" x14ac:dyDescent="0.2">
      <c r="E537" s="22"/>
      <c r="F537" s="22"/>
    </row>
    <row r="538" spans="5:6" x14ac:dyDescent="0.2">
      <c r="E538" s="22"/>
      <c r="F538" s="22"/>
    </row>
    <row r="539" spans="5:6" x14ac:dyDescent="0.2">
      <c r="E539" s="22"/>
      <c r="F539" s="22"/>
    </row>
    <row r="540" spans="5:6" x14ac:dyDescent="0.2">
      <c r="E540" s="22"/>
      <c r="F540" s="22"/>
    </row>
    <row r="541" spans="5:6" x14ac:dyDescent="0.2">
      <c r="E541" s="22"/>
      <c r="F541" s="22"/>
    </row>
    <row r="542" spans="5:6" x14ac:dyDescent="0.2">
      <c r="E542" s="22"/>
      <c r="F542" s="22"/>
    </row>
    <row r="543" spans="5:6" x14ac:dyDescent="0.2">
      <c r="E543" s="22"/>
      <c r="F543" s="22"/>
    </row>
    <row r="544" spans="5:6" x14ac:dyDescent="0.2">
      <c r="E544" s="22"/>
      <c r="F544" s="22"/>
    </row>
    <row r="545" spans="5:6" x14ac:dyDescent="0.2">
      <c r="E545" s="22"/>
      <c r="F545" s="22"/>
    </row>
    <row r="546" spans="5:6" x14ac:dyDescent="0.2">
      <c r="E546" s="22"/>
      <c r="F546" s="22"/>
    </row>
    <row r="547" spans="5:6" x14ac:dyDescent="0.2">
      <c r="E547" s="22"/>
      <c r="F547" s="22"/>
    </row>
    <row r="548" spans="5:6" x14ac:dyDescent="0.2">
      <c r="E548" s="22"/>
      <c r="F548" s="22"/>
    </row>
    <row r="549" spans="5:6" x14ac:dyDescent="0.2">
      <c r="E549" s="22"/>
      <c r="F549" s="22"/>
    </row>
    <row r="550" spans="5:6" x14ac:dyDescent="0.2">
      <c r="E550" s="22"/>
      <c r="F550" s="22"/>
    </row>
    <row r="551" spans="5:6" x14ac:dyDescent="0.2">
      <c r="E551" s="22"/>
      <c r="F551" s="22"/>
    </row>
    <row r="552" spans="5:6" x14ac:dyDescent="0.2">
      <c r="E552" s="22"/>
      <c r="F552" s="22"/>
    </row>
    <row r="553" spans="5:6" x14ac:dyDescent="0.2">
      <c r="E553" s="22"/>
      <c r="F553" s="22"/>
    </row>
    <row r="554" spans="5:6" x14ac:dyDescent="0.2">
      <c r="E554" s="22"/>
      <c r="F554" s="22"/>
    </row>
    <row r="555" spans="5:6" x14ac:dyDescent="0.2">
      <c r="E555" s="22"/>
      <c r="F555" s="22"/>
    </row>
    <row r="556" spans="5:6" x14ac:dyDescent="0.2">
      <c r="E556" s="22"/>
      <c r="F556" s="22"/>
    </row>
    <row r="557" spans="5:6" x14ac:dyDescent="0.2">
      <c r="E557" s="22"/>
      <c r="F557" s="22"/>
    </row>
    <row r="558" spans="5:6" x14ac:dyDescent="0.2">
      <c r="E558" s="22"/>
      <c r="F558" s="22"/>
    </row>
    <row r="559" spans="5:6" x14ac:dyDescent="0.2">
      <c r="E559" s="22"/>
      <c r="F559" s="22"/>
    </row>
    <row r="560" spans="5:6" x14ac:dyDescent="0.2">
      <c r="E560" s="22"/>
      <c r="F560" s="22"/>
    </row>
    <row r="561" spans="5:6" x14ac:dyDescent="0.2">
      <c r="E561" s="22"/>
      <c r="F561" s="22"/>
    </row>
    <row r="562" spans="5:6" x14ac:dyDescent="0.2">
      <c r="E562" s="22"/>
      <c r="F562" s="22"/>
    </row>
    <row r="563" spans="5:6" x14ac:dyDescent="0.2">
      <c r="E563" s="22"/>
      <c r="F563" s="22"/>
    </row>
    <row r="564" spans="5:6" x14ac:dyDescent="0.2">
      <c r="E564" s="22"/>
      <c r="F564" s="22"/>
    </row>
    <row r="565" spans="5:6" x14ac:dyDescent="0.2">
      <c r="E565" s="22"/>
      <c r="F565" s="22"/>
    </row>
    <row r="566" spans="5:6" x14ac:dyDescent="0.2">
      <c r="E566" s="22"/>
      <c r="F566" s="22"/>
    </row>
    <row r="567" spans="5:6" x14ac:dyDescent="0.2">
      <c r="E567" s="22"/>
      <c r="F567" s="22"/>
    </row>
    <row r="568" spans="5:6" x14ac:dyDescent="0.2">
      <c r="E568" s="22"/>
      <c r="F568" s="22"/>
    </row>
    <row r="569" spans="5:6" x14ac:dyDescent="0.2">
      <c r="E569" s="22"/>
      <c r="F569" s="22"/>
    </row>
    <row r="570" spans="5:6" x14ac:dyDescent="0.2">
      <c r="E570" s="22"/>
      <c r="F570" s="22"/>
    </row>
    <row r="571" spans="5:6" x14ac:dyDescent="0.2">
      <c r="E571" s="22"/>
      <c r="F571" s="22"/>
    </row>
    <row r="572" spans="5:6" x14ac:dyDescent="0.2">
      <c r="E572" s="22"/>
      <c r="F572" s="22"/>
    </row>
    <row r="573" spans="5:6" x14ac:dyDescent="0.2">
      <c r="E573" s="22"/>
      <c r="F573" s="22"/>
    </row>
    <row r="574" spans="5:6" x14ac:dyDescent="0.2">
      <c r="E574" s="22"/>
      <c r="F574" s="22"/>
    </row>
    <row r="575" spans="5:6" x14ac:dyDescent="0.2">
      <c r="E575" s="22"/>
      <c r="F575" s="22"/>
    </row>
    <row r="576" spans="5:6" x14ac:dyDescent="0.2">
      <c r="E576" s="22"/>
      <c r="F576" s="22"/>
    </row>
    <row r="577" spans="5:6" x14ac:dyDescent="0.2">
      <c r="E577" s="22"/>
      <c r="F577" s="22"/>
    </row>
    <row r="578" spans="5:6" x14ac:dyDescent="0.2">
      <c r="E578" s="22"/>
      <c r="F578" s="22"/>
    </row>
    <row r="579" spans="5:6" x14ac:dyDescent="0.2">
      <c r="E579" s="22"/>
      <c r="F579" s="22"/>
    </row>
    <row r="580" spans="5:6" x14ac:dyDescent="0.2">
      <c r="E580" s="22"/>
      <c r="F580" s="22"/>
    </row>
    <row r="581" spans="5:6" x14ac:dyDescent="0.2">
      <c r="E581" s="22"/>
      <c r="F581" s="22"/>
    </row>
    <row r="582" spans="5:6" x14ac:dyDescent="0.2">
      <c r="E582" s="22"/>
      <c r="F582" s="22"/>
    </row>
    <row r="583" spans="5:6" x14ac:dyDescent="0.2">
      <c r="E583" s="22"/>
      <c r="F583" s="22"/>
    </row>
    <row r="584" spans="5:6" x14ac:dyDescent="0.2">
      <c r="E584" s="22"/>
      <c r="F584" s="22"/>
    </row>
    <row r="585" spans="5:6" x14ac:dyDescent="0.2">
      <c r="E585" s="22"/>
      <c r="F585" s="22"/>
    </row>
    <row r="586" spans="5:6" x14ac:dyDescent="0.2">
      <c r="E586" s="22"/>
      <c r="F586" s="22"/>
    </row>
    <row r="587" spans="5:6" x14ac:dyDescent="0.2">
      <c r="E587" s="22"/>
      <c r="F587" s="22"/>
    </row>
    <row r="588" spans="5:6" x14ac:dyDescent="0.2">
      <c r="E588" s="22"/>
      <c r="F588" s="22"/>
    </row>
    <row r="589" spans="5:6" x14ac:dyDescent="0.2">
      <c r="E589" s="22"/>
      <c r="F589" s="22"/>
    </row>
    <row r="590" spans="5:6" x14ac:dyDescent="0.2">
      <c r="E590" s="22"/>
      <c r="F590" s="22"/>
    </row>
    <row r="591" spans="5:6" x14ac:dyDescent="0.2">
      <c r="E591" s="22"/>
      <c r="F591" s="22"/>
    </row>
    <row r="592" spans="5:6" x14ac:dyDescent="0.2">
      <c r="E592" s="22"/>
      <c r="F592" s="22"/>
    </row>
    <row r="593" spans="5:6" x14ac:dyDescent="0.2">
      <c r="E593" s="22"/>
      <c r="F593" s="22"/>
    </row>
    <row r="594" spans="5:6" x14ac:dyDescent="0.2">
      <c r="E594" s="22"/>
      <c r="F594" s="22"/>
    </row>
    <row r="595" spans="5:6" x14ac:dyDescent="0.2">
      <c r="E595" s="22"/>
      <c r="F595" s="22"/>
    </row>
    <row r="596" spans="5:6" x14ac:dyDescent="0.2">
      <c r="E596" s="22"/>
      <c r="F596" s="22"/>
    </row>
    <row r="597" spans="5:6" x14ac:dyDescent="0.2">
      <c r="E597" s="22"/>
      <c r="F597" s="22"/>
    </row>
    <row r="598" spans="5:6" x14ac:dyDescent="0.2">
      <c r="E598" s="22"/>
      <c r="F598" s="22"/>
    </row>
    <row r="599" spans="5:6" x14ac:dyDescent="0.2">
      <c r="E599" s="22"/>
      <c r="F599" s="22"/>
    </row>
    <row r="600" spans="5:6" x14ac:dyDescent="0.2">
      <c r="E600" s="22"/>
      <c r="F600" s="22"/>
    </row>
    <row r="601" spans="5:6" x14ac:dyDescent="0.2">
      <c r="E601" s="22"/>
      <c r="F601" s="22"/>
    </row>
    <row r="602" spans="5:6" x14ac:dyDescent="0.2">
      <c r="E602" s="22"/>
      <c r="F602" s="22"/>
    </row>
    <row r="603" spans="5:6" x14ac:dyDescent="0.2">
      <c r="E603" s="22"/>
      <c r="F603" s="22"/>
    </row>
    <row r="604" spans="5:6" x14ac:dyDescent="0.2">
      <c r="E604" s="22"/>
      <c r="F604" s="22"/>
    </row>
    <row r="605" spans="5:6" x14ac:dyDescent="0.2">
      <c r="E605" s="22"/>
      <c r="F605" s="22"/>
    </row>
    <row r="606" spans="5:6" x14ac:dyDescent="0.2">
      <c r="E606" s="22"/>
      <c r="F606" s="22"/>
    </row>
    <row r="607" spans="5:6" x14ac:dyDescent="0.2">
      <c r="E607" s="22"/>
      <c r="F607" s="22"/>
    </row>
    <row r="608" spans="5:6" x14ac:dyDescent="0.2">
      <c r="E608" s="22"/>
      <c r="F608" s="22"/>
    </row>
    <row r="609" spans="5:6" x14ac:dyDescent="0.2">
      <c r="E609" s="22"/>
      <c r="F609" s="22"/>
    </row>
    <row r="610" spans="5:6" x14ac:dyDescent="0.2">
      <c r="E610" s="22"/>
      <c r="F610" s="22"/>
    </row>
    <row r="611" spans="5:6" x14ac:dyDescent="0.2">
      <c r="E611" s="22"/>
      <c r="F611" s="22"/>
    </row>
    <row r="612" spans="5:6" x14ac:dyDescent="0.2">
      <c r="E612" s="22"/>
      <c r="F612" s="22"/>
    </row>
    <row r="613" spans="5:6" x14ac:dyDescent="0.2">
      <c r="E613" s="22"/>
      <c r="F613" s="22"/>
    </row>
    <row r="614" spans="5:6" x14ac:dyDescent="0.2">
      <c r="E614" s="22"/>
      <c r="F614" s="22"/>
    </row>
    <row r="615" spans="5:6" x14ac:dyDescent="0.2">
      <c r="E615" s="22"/>
      <c r="F615" s="22"/>
    </row>
    <row r="616" spans="5:6" x14ac:dyDescent="0.2">
      <c r="E616" s="22"/>
      <c r="F616" s="22"/>
    </row>
    <row r="617" spans="5:6" x14ac:dyDescent="0.2">
      <c r="E617" s="22"/>
      <c r="F617" s="22"/>
    </row>
    <row r="618" spans="5:6" x14ac:dyDescent="0.2">
      <c r="E618" s="22"/>
      <c r="F618" s="22"/>
    </row>
    <row r="619" spans="5:6" x14ac:dyDescent="0.2">
      <c r="E619" s="22"/>
      <c r="F619" s="22"/>
    </row>
    <row r="620" spans="5:6" x14ac:dyDescent="0.2">
      <c r="E620" s="22"/>
      <c r="F620" s="22"/>
    </row>
    <row r="621" spans="5:6" x14ac:dyDescent="0.2">
      <c r="E621" s="22"/>
      <c r="F621" s="22"/>
    </row>
    <row r="622" spans="5:6" x14ac:dyDescent="0.2">
      <c r="E622" s="22"/>
      <c r="F622" s="22"/>
    </row>
    <row r="623" spans="5:6" x14ac:dyDescent="0.2">
      <c r="E623" s="22"/>
      <c r="F623" s="22"/>
    </row>
    <row r="624" spans="5:6" x14ac:dyDescent="0.2">
      <c r="E624" s="22"/>
      <c r="F624" s="22"/>
    </row>
    <row r="625" spans="5:6" x14ac:dyDescent="0.2">
      <c r="E625" s="22"/>
      <c r="F625" s="22"/>
    </row>
    <row r="626" spans="5:6" x14ac:dyDescent="0.2">
      <c r="E626" s="22"/>
      <c r="F626" s="22"/>
    </row>
    <row r="627" spans="5:6" x14ac:dyDescent="0.2">
      <c r="E627" s="22"/>
      <c r="F627" s="22"/>
    </row>
    <row r="628" spans="5:6" x14ac:dyDescent="0.2">
      <c r="E628" s="22"/>
      <c r="F628" s="22"/>
    </row>
    <row r="629" spans="5:6" x14ac:dyDescent="0.2">
      <c r="E629" s="22"/>
      <c r="F629" s="22"/>
    </row>
    <row r="630" spans="5:6" x14ac:dyDescent="0.2">
      <c r="E630" s="22"/>
      <c r="F630" s="22"/>
    </row>
    <row r="631" spans="5:6" x14ac:dyDescent="0.2">
      <c r="E631" s="22"/>
      <c r="F631" s="22"/>
    </row>
    <row r="632" spans="5:6" x14ac:dyDescent="0.2">
      <c r="E632" s="22"/>
      <c r="F632" s="22"/>
    </row>
    <row r="633" spans="5:6" x14ac:dyDescent="0.2">
      <c r="E633" s="22"/>
      <c r="F633" s="22"/>
    </row>
    <row r="634" spans="5:6" x14ac:dyDescent="0.2">
      <c r="E634" s="22"/>
      <c r="F634" s="22"/>
    </row>
    <row r="635" spans="5:6" x14ac:dyDescent="0.2">
      <c r="E635" s="22"/>
      <c r="F635" s="22"/>
    </row>
    <row r="636" spans="5:6" x14ac:dyDescent="0.2">
      <c r="E636" s="22"/>
      <c r="F636" s="22"/>
    </row>
    <row r="637" spans="5:6" x14ac:dyDescent="0.2">
      <c r="E637" s="22"/>
      <c r="F637" s="22"/>
    </row>
    <row r="638" spans="5:6" x14ac:dyDescent="0.2">
      <c r="E638" s="22"/>
      <c r="F638" s="22"/>
    </row>
    <row r="639" spans="5:6" x14ac:dyDescent="0.2">
      <c r="E639" s="22"/>
      <c r="F639" s="22"/>
    </row>
    <row r="640" spans="5:6" x14ac:dyDescent="0.2">
      <c r="E640" s="22"/>
      <c r="F640" s="22"/>
    </row>
    <row r="641" spans="5:6" x14ac:dyDescent="0.2">
      <c r="E641" s="22"/>
      <c r="F641" s="22"/>
    </row>
    <row r="642" spans="5:6" x14ac:dyDescent="0.2">
      <c r="E642" s="22"/>
      <c r="F642" s="22"/>
    </row>
    <row r="643" spans="5:6" x14ac:dyDescent="0.2">
      <c r="E643" s="22"/>
      <c r="F643" s="22"/>
    </row>
    <row r="644" spans="5:6" x14ac:dyDescent="0.2">
      <c r="E644" s="22"/>
      <c r="F644" s="22"/>
    </row>
    <row r="645" spans="5:6" x14ac:dyDescent="0.2">
      <c r="E645" s="22"/>
      <c r="F645" s="22"/>
    </row>
    <row r="646" spans="5:6" x14ac:dyDescent="0.2">
      <c r="E646" s="22"/>
      <c r="F646" s="22"/>
    </row>
    <row r="647" spans="5:6" x14ac:dyDescent="0.2">
      <c r="E647" s="22"/>
      <c r="F647" s="22"/>
    </row>
    <row r="648" spans="5:6" x14ac:dyDescent="0.2">
      <c r="E648" s="22"/>
      <c r="F648" s="22"/>
    </row>
    <row r="649" spans="5:6" x14ac:dyDescent="0.2">
      <c r="E649" s="22"/>
      <c r="F649" s="22"/>
    </row>
    <row r="650" spans="5:6" x14ac:dyDescent="0.2">
      <c r="E650" s="22"/>
      <c r="F650" s="22"/>
    </row>
    <row r="651" spans="5:6" x14ac:dyDescent="0.2">
      <c r="E651" s="22"/>
      <c r="F651" s="22"/>
    </row>
    <row r="652" spans="5:6" x14ac:dyDescent="0.2">
      <c r="E652" s="22"/>
      <c r="F652" s="22"/>
    </row>
    <row r="653" spans="5:6" x14ac:dyDescent="0.2">
      <c r="E653" s="22"/>
      <c r="F653" s="22"/>
    </row>
    <row r="654" spans="5:6" x14ac:dyDescent="0.2">
      <c r="E654" s="22"/>
      <c r="F654" s="22"/>
    </row>
    <row r="655" spans="5:6" x14ac:dyDescent="0.2">
      <c r="E655" s="22"/>
      <c r="F655" s="22"/>
    </row>
    <row r="656" spans="5:6" x14ac:dyDescent="0.2">
      <c r="E656" s="22"/>
      <c r="F656" s="22"/>
    </row>
    <row r="657" spans="5:6" x14ac:dyDescent="0.2">
      <c r="E657" s="22"/>
      <c r="F657" s="22"/>
    </row>
    <row r="658" spans="5:6" x14ac:dyDescent="0.2">
      <c r="E658" s="22"/>
      <c r="F658" s="22"/>
    </row>
    <row r="659" spans="5:6" x14ac:dyDescent="0.2">
      <c r="E659" s="22"/>
      <c r="F659" s="22"/>
    </row>
    <row r="660" spans="5:6" x14ac:dyDescent="0.2">
      <c r="E660" s="22"/>
      <c r="F660" s="22"/>
    </row>
    <row r="661" spans="5:6" x14ac:dyDescent="0.2">
      <c r="E661" s="22"/>
      <c r="F661" s="22"/>
    </row>
    <row r="662" spans="5:6" x14ac:dyDescent="0.2">
      <c r="E662" s="22"/>
      <c r="F662" s="22"/>
    </row>
    <row r="663" spans="5:6" x14ac:dyDescent="0.2">
      <c r="E663" s="22"/>
      <c r="F663" s="22"/>
    </row>
    <row r="664" spans="5:6" x14ac:dyDescent="0.2">
      <c r="E664" s="22"/>
      <c r="F664" s="22"/>
    </row>
    <row r="665" spans="5:6" x14ac:dyDescent="0.2">
      <c r="E665" s="22"/>
      <c r="F665" s="22"/>
    </row>
    <row r="666" spans="5:6" x14ac:dyDescent="0.2">
      <c r="E666" s="22"/>
      <c r="F666" s="22"/>
    </row>
    <row r="667" spans="5:6" x14ac:dyDescent="0.2">
      <c r="E667" s="22"/>
      <c r="F667" s="22"/>
    </row>
    <row r="668" spans="5:6" x14ac:dyDescent="0.2">
      <c r="E668" s="22"/>
      <c r="F668" s="22"/>
    </row>
    <row r="669" spans="5:6" x14ac:dyDescent="0.2">
      <c r="E669" s="22"/>
      <c r="F669" s="22"/>
    </row>
    <row r="670" spans="5:6" x14ac:dyDescent="0.2">
      <c r="E670" s="22"/>
      <c r="F670" s="22"/>
    </row>
    <row r="671" spans="5:6" x14ac:dyDescent="0.2">
      <c r="E671" s="22"/>
      <c r="F671" s="22"/>
    </row>
    <row r="672" spans="5:6" x14ac:dyDescent="0.2">
      <c r="E672" s="22"/>
      <c r="F672" s="22"/>
    </row>
    <row r="673" spans="5:6" x14ac:dyDescent="0.2">
      <c r="E673" s="22"/>
      <c r="F673" s="22"/>
    </row>
    <row r="674" spans="5:6" x14ac:dyDescent="0.2">
      <c r="E674" s="22"/>
      <c r="F674" s="22"/>
    </row>
    <row r="675" spans="5:6" x14ac:dyDescent="0.2">
      <c r="E675" s="22"/>
      <c r="F675" s="22"/>
    </row>
    <row r="676" spans="5:6" x14ac:dyDescent="0.2">
      <c r="E676" s="22"/>
      <c r="F676" s="22"/>
    </row>
    <row r="677" spans="5:6" x14ac:dyDescent="0.2">
      <c r="E677" s="22"/>
      <c r="F677" s="22"/>
    </row>
    <row r="678" spans="5:6" x14ac:dyDescent="0.2">
      <c r="E678" s="22"/>
      <c r="F678" s="22"/>
    </row>
    <row r="679" spans="5:6" x14ac:dyDescent="0.2">
      <c r="E679" s="22"/>
      <c r="F679" s="22"/>
    </row>
    <row r="680" spans="5:6" x14ac:dyDescent="0.2">
      <c r="E680" s="22"/>
      <c r="F680" s="22"/>
    </row>
    <row r="681" spans="5:6" x14ac:dyDescent="0.2">
      <c r="E681" s="22"/>
      <c r="F681" s="22"/>
    </row>
    <row r="682" spans="5:6" x14ac:dyDescent="0.2">
      <c r="E682" s="22"/>
      <c r="F682" s="22"/>
    </row>
    <row r="683" spans="5:6" x14ac:dyDescent="0.2">
      <c r="E683" s="22"/>
      <c r="F683" s="22"/>
    </row>
    <row r="684" spans="5:6" x14ac:dyDescent="0.2">
      <c r="E684" s="22"/>
      <c r="F684" s="22"/>
    </row>
    <row r="685" spans="5:6" x14ac:dyDescent="0.2">
      <c r="E685" s="22"/>
      <c r="F685" s="22"/>
    </row>
    <row r="686" spans="5:6" x14ac:dyDescent="0.2">
      <c r="E686" s="22"/>
      <c r="F686" s="22"/>
    </row>
    <row r="687" spans="5:6" x14ac:dyDescent="0.2">
      <c r="E687" s="22"/>
      <c r="F687" s="22"/>
    </row>
    <row r="688" spans="5:6" x14ac:dyDescent="0.2">
      <c r="E688" s="22"/>
      <c r="F688" s="22"/>
    </row>
    <row r="689" spans="5:6" x14ac:dyDescent="0.2">
      <c r="E689" s="22"/>
      <c r="F689" s="22"/>
    </row>
    <row r="690" spans="5:6" x14ac:dyDescent="0.2">
      <c r="E690" s="22"/>
      <c r="F690" s="22"/>
    </row>
    <row r="691" spans="5:6" x14ac:dyDescent="0.2">
      <c r="E691" s="22"/>
      <c r="F691" s="22"/>
    </row>
    <row r="692" spans="5:6" x14ac:dyDescent="0.2">
      <c r="E692" s="22"/>
      <c r="F692" s="22"/>
    </row>
    <row r="693" spans="5:6" x14ac:dyDescent="0.2">
      <c r="E693" s="22"/>
      <c r="F693" s="22"/>
    </row>
    <row r="694" spans="5:6" x14ac:dyDescent="0.2">
      <c r="E694" s="22"/>
      <c r="F694" s="22"/>
    </row>
    <row r="695" spans="5:6" x14ac:dyDescent="0.2">
      <c r="E695" s="22"/>
      <c r="F695" s="22"/>
    </row>
    <row r="696" spans="5:6" x14ac:dyDescent="0.2">
      <c r="E696" s="22"/>
      <c r="F696" s="22"/>
    </row>
    <row r="697" spans="5:6" x14ac:dyDescent="0.2">
      <c r="E697" s="22"/>
      <c r="F697" s="22"/>
    </row>
    <row r="698" spans="5:6" x14ac:dyDescent="0.2">
      <c r="E698" s="22"/>
      <c r="F698" s="22"/>
    </row>
    <row r="699" spans="5:6" x14ac:dyDescent="0.2">
      <c r="E699" s="22"/>
      <c r="F699" s="22"/>
    </row>
    <row r="700" spans="5:6" x14ac:dyDescent="0.2">
      <c r="E700" s="22"/>
      <c r="F700" s="22"/>
    </row>
    <row r="701" spans="5:6" x14ac:dyDescent="0.2">
      <c r="E701" s="22"/>
      <c r="F701" s="22"/>
    </row>
    <row r="702" spans="5:6" x14ac:dyDescent="0.2">
      <c r="E702" s="22"/>
      <c r="F702" s="22"/>
    </row>
    <row r="703" spans="5:6" x14ac:dyDescent="0.2">
      <c r="E703" s="22"/>
      <c r="F703" s="22"/>
    </row>
    <row r="704" spans="5:6" x14ac:dyDescent="0.2">
      <c r="E704" s="22"/>
      <c r="F704" s="22"/>
    </row>
    <row r="705" spans="5:6" x14ac:dyDescent="0.2">
      <c r="E705" s="22"/>
      <c r="F705" s="22"/>
    </row>
    <row r="706" spans="5:6" x14ac:dyDescent="0.2">
      <c r="E706" s="22"/>
      <c r="F706" s="22"/>
    </row>
    <row r="707" spans="5:6" x14ac:dyDescent="0.2">
      <c r="E707" s="22"/>
      <c r="F707" s="22"/>
    </row>
    <row r="708" spans="5:6" x14ac:dyDescent="0.2">
      <c r="E708" s="22"/>
      <c r="F708" s="22"/>
    </row>
    <row r="709" spans="5:6" x14ac:dyDescent="0.2">
      <c r="E709" s="22"/>
      <c r="F709" s="22"/>
    </row>
    <row r="710" spans="5:6" x14ac:dyDescent="0.2">
      <c r="E710" s="22"/>
      <c r="F710" s="22"/>
    </row>
    <row r="711" spans="5:6" x14ac:dyDescent="0.2">
      <c r="E711" s="22"/>
      <c r="F711" s="22"/>
    </row>
    <row r="712" spans="5:6" x14ac:dyDescent="0.2">
      <c r="E712" s="22"/>
      <c r="F712" s="22"/>
    </row>
    <row r="713" spans="5:6" x14ac:dyDescent="0.2">
      <c r="E713" s="22"/>
      <c r="F713" s="22"/>
    </row>
    <row r="714" spans="5:6" x14ac:dyDescent="0.2">
      <c r="E714" s="22"/>
      <c r="F714" s="22"/>
    </row>
    <row r="715" spans="5:6" x14ac:dyDescent="0.2">
      <c r="E715" s="22"/>
      <c r="F715" s="22"/>
    </row>
    <row r="716" spans="5:6" x14ac:dyDescent="0.2">
      <c r="E716" s="22"/>
      <c r="F716" s="22"/>
    </row>
    <row r="717" spans="5:6" x14ac:dyDescent="0.2">
      <c r="E717" s="22"/>
      <c r="F717" s="22"/>
    </row>
    <row r="718" spans="5:6" x14ac:dyDescent="0.2">
      <c r="E718" s="22"/>
      <c r="F718" s="22"/>
    </row>
    <row r="719" spans="5:6" x14ac:dyDescent="0.2">
      <c r="E719" s="22"/>
      <c r="F719" s="22"/>
    </row>
    <row r="720" spans="5:6" x14ac:dyDescent="0.2">
      <c r="E720" s="22"/>
      <c r="F720" s="22"/>
    </row>
    <row r="721" spans="5:6" x14ac:dyDescent="0.2">
      <c r="E721" s="22"/>
      <c r="F721" s="22"/>
    </row>
    <row r="722" spans="5:6" x14ac:dyDescent="0.2">
      <c r="E722" s="22"/>
      <c r="F722" s="22"/>
    </row>
    <row r="723" spans="5:6" x14ac:dyDescent="0.2">
      <c r="E723" s="22"/>
      <c r="F723" s="22"/>
    </row>
    <row r="724" spans="5:6" x14ac:dyDescent="0.2">
      <c r="E724" s="22"/>
      <c r="F724" s="22"/>
    </row>
    <row r="725" spans="5:6" x14ac:dyDescent="0.2">
      <c r="E725" s="22"/>
      <c r="F725" s="22"/>
    </row>
    <row r="726" spans="5:6" x14ac:dyDescent="0.2">
      <c r="E726" s="22"/>
      <c r="F726" s="22"/>
    </row>
    <row r="727" spans="5:6" x14ac:dyDescent="0.2">
      <c r="E727" s="22"/>
      <c r="F727" s="22"/>
    </row>
    <row r="728" spans="5:6" x14ac:dyDescent="0.2">
      <c r="E728" s="22"/>
      <c r="F728" s="22"/>
    </row>
    <row r="729" spans="5:6" x14ac:dyDescent="0.2">
      <c r="E729" s="22"/>
      <c r="F729" s="22"/>
    </row>
    <row r="730" spans="5:6" x14ac:dyDescent="0.2">
      <c r="E730" s="22"/>
      <c r="F730" s="22"/>
    </row>
    <row r="731" spans="5:6" x14ac:dyDescent="0.2">
      <c r="E731" s="22"/>
      <c r="F731" s="22"/>
    </row>
    <row r="732" spans="5:6" x14ac:dyDescent="0.2">
      <c r="E732" s="22"/>
      <c r="F732" s="22"/>
    </row>
    <row r="733" spans="5:6" x14ac:dyDescent="0.2">
      <c r="E733" s="22"/>
      <c r="F733" s="22"/>
    </row>
    <row r="734" spans="5:6" x14ac:dyDescent="0.2">
      <c r="E734" s="22"/>
      <c r="F734" s="22"/>
    </row>
    <row r="735" spans="5:6" x14ac:dyDescent="0.2">
      <c r="E735" s="22"/>
      <c r="F735" s="22"/>
    </row>
    <row r="736" spans="5:6" x14ac:dyDescent="0.2">
      <c r="E736" s="22"/>
      <c r="F736" s="22"/>
    </row>
    <row r="737" spans="5:6" x14ac:dyDescent="0.2">
      <c r="E737" s="22"/>
      <c r="F737" s="22"/>
    </row>
    <row r="738" spans="5:6" x14ac:dyDescent="0.2">
      <c r="E738" s="22"/>
      <c r="F738" s="22"/>
    </row>
    <row r="739" spans="5:6" x14ac:dyDescent="0.2">
      <c r="E739" s="22"/>
      <c r="F739" s="22"/>
    </row>
    <row r="740" spans="5:6" x14ac:dyDescent="0.2">
      <c r="E740" s="22"/>
      <c r="F740" s="22"/>
    </row>
    <row r="741" spans="5:6" x14ac:dyDescent="0.2">
      <c r="E741" s="22"/>
      <c r="F741" s="22"/>
    </row>
    <row r="742" spans="5:6" x14ac:dyDescent="0.2">
      <c r="E742" s="22"/>
      <c r="F742" s="22"/>
    </row>
    <row r="743" spans="5:6" x14ac:dyDescent="0.2">
      <c r="E743" s="22"/>
      <c r="F743" s="22"/>
    </row>
    <row r="744" spans="5:6" x14ac:dyDescent="0.2">
      <c r="E744" s="22"/>
      <c r="F744" s="22"/>
    </row>
    <row r="745" spans="5:6" x14ac:dyDescent="0.2">
      <c r="E745" s="22"/>
      <c r="F745" s="22"/>
    </row>
    <row r="746" spans="5:6" x14ac:dyDescent="0.2">
      <c r="E746" s="22"/>
      <c r="F746" s="22"/>
    </row>
    <row r="747" spans="5:6" x14ac:dyDescent="0.2">
      <c r="E747" s="22"/>
      <c r="F747" s="22"/>
    </row>
    <row r="748" spans="5:6" x14ac:dyDescent="0.2">
      <c r="E748" s="22"/>
      <c r="F748" s="22"/>
    </row>
    <row r="749" spans="5:6" x14ac:dyDescent="0.2">
      <c r="E749" s="22"/>
      <c r="F749" s="22"/>
    </row>
    <row r="750" spans="5:6" x14ac:dyDescent="0.2">
      <c r="E750" s="22"/>
      <c r="F750" s="22"/>
    </row>
    <row r="751" spans="5:6" x14ac:dyDescent="0.2">
      <c r="E751" s="22"/>
      <c r="F751" s="22"/>
    </row>
    <row r="752" spans="5:6" x14ac:dyDescent="0.2">
      <c r="E752" s="22"/>
      <c r="F752" s="22"/>
    </row>
    <row r="753" spans="5:6" x14ac:dyDescent="0.2">
      <c r="E753" s="22"/>
      <c r="F753" s="22"/>
    </row>
    <row r="754" spans="5:6" x14ac:dyDescent="0.2">
      <c r="E754" s="22"/>
      <c r="F754" s="22"/>
    </row>
    <row r="755" spans="5:6" x14ac:dyDescent="0.2">
      <c r="E755" s="22"/>
      <c r="F755" s="22"/>
    </row>
    <row r="756" spans="5:6" x14ac:dyDescent="0.2">
      <c r="E756" s="22"/>
      <c r="F756" s="22"/>
    </row>
    <row r="757" spans="5:6" x14ac:dyDescent="0.2">
      <c r="E757" s="22"/>
      <c r="F757" s="22"/>
    </row>
    <row r="758" spans="5:6" x14ac:dyDescent="0.2">
      <c r="E758" s="22"/>
      <c r="F758" s="22"/>
    </row>
    <row r="759" spans="5:6" x14ac:dyDescent="0.2">
      <c r="E759" s="22"/>
      <c r="F759" s="22"/>
    </row>
    <row r="760" spans="5:6" x14ac:dyDescent="0.2">
      <c r="E760" s="22"/>
      <c r="F760" s="22"/>
    </row>
    <row r="761" spans="5:6" x14ac:dyDescent="0.2">
      <c r="E761" s="22"/>
      <c r="F761" s="22"/>
    </row>
    <row r="762" spans="5:6" x14ac:dyDescent="0.2">
      <c r="E762" s="22"/>
      <c r="F762" s="22"/>
    </row>
    <row r="763" spans="5:6" x14ac:dyDescent="0.2">
      <c r="E763" s="22"/>
      <c r="F763" s="22"/>
    </row>
    <row r="764" spans="5:6" x14ac:dyDescent="0.2">
      <c r="E764" s="22"/>
      <c r="F764" s="22"/>
    </row>
    <row r="765" spans="5:6" x14ac:dyDescent="0.2">
      <c r="E765" s="22"/>
      <c r="F765" s="22"/>
    </row>
    <row r="766" spans="5:6" x14ac:dyDescent="0.2">
      <c r="E766" s="22"/>
      <c r="F766" s="22"/>
    </row>
    <row r="767" spans="5:6" x14ac:dyDescent="0.2">
      <c r="E767" s="22"/>
      <c r="F767" s="22"/>
    </row>
    <row r="768" spans="5:6" x14ac:dyDescent="0.2">
      <c r="E768" s="22"/>
      <c r="F768" s="22"/>
    </row>
    <row r="769" spans="5:6" x14ac:dyDescent="0.2">
      <c r="E769" s="22"/>
      <c r="F769" s="22"/>
    </row>
    <row r="770" spans="5:6" x14ac:dyDescent="0.2">
      <c r="E770" s="22"/>
      <c r="F770" s="22"/>
    </row>
    <row r="771" spans="5:6" x14ac:dyDescent="0.2">
      <c r="E771" s="22"/>
      <c r="F771" s="22"/>
    </row>
    <row r="772" spans="5:6" x14ac:dyDescent="0.2">
      <c r="E772" s="22"/>
      <c r="F772" s="22"/>
    </row>
    <row r="773" spans="5:6" x14ac:dyDescent="0.2">
      <c r="E773" s="22"/>
      <c r="F773" s="22"/>
    </row>
    <row r="774" spans="5:6" x14ac:dyDescent="0.2">
      <c r="E774" s="22"/>
      <c r="F774" s="22"/>
    </row>
    <row r="775" spans="5:6" x14ac:dyDescent="0.2">
      <c r="E775" s="22"/>
      <c r="F775" s="22"/>
    </row>
    <row r="776" spans="5:6" x14ac:dyDescent="0.2">
      <c r="E776" s="22"/>
      <c r="F776" s="22"/>
    </row>
    <row r="777" spans="5:6" x14ac:dyDescent="0.2">
      <c r="E777" s="22"/>
      <c r="F777" s="22"/>
    </row>
    <row r="778" spans="5:6" x14ac:dyDescent="0.2">
      <c r="E778" s="22"/>
      <c r="F778" s="22"/>
    </row>
    <row r="779" spans="5:6" x14ac:dyDescent="0.2">
      <c r="E779" s="22"/>
      <c r="F779" s="22"/>
    </row>
    <row r="780" spans="5:6" x14ac:dyDescent="0.2">
      <c r="E780" s="22"/>
      <c r="F780" s="22"/>
    </row>
    <row r="781" spans="5:6" x14ac:dyDescent="0.2">
      <c r="E781" s="22"/>
      <c r="F781" s="22"/>
    </row>
    <row r="782" spans="5:6" x14ac:dyDescent="0.2">
      <c r="E782" s="22"/>
      <c r="F782" s="22"/>
    </row>
    <row r="783" spans="5:6" x14ac:dyDescent="0.2">
      <c r="E783" s="22"/>
      <c r="F783" s="22"/>
    </row>
    <row r="784" spans="5:6" x14ac:dyDescent="0.2">
      <c r="E784" s="22"/>
      <c r="F784" s="22"/>
    </row>
    <row r="785" spans="5:6" x14ac:dyDescent="0.2">
      <c r="E785" s="22"/>
      <c r="F785" s="22"/>
    </row>
    <row r="786" spans="5:6" x14ac:dyDescent="0.2">
      <c r="E786" s="22"/>
      <c r="F786" s="22"/>
    </row>
    <row r="787" spans="5:6" x14ac:dyDescent="0.2">
      <c r="E787" s="22"/>
      <c r="F787" s="22"/>
    </row>
  </sheetData>
  <pageMargins left="0.75" right="0.75" top="1" bottom="1" header="0.5" footer="0.5"/>
  <pageSetup paperSize="9" scale="92" fitToHeight="0" orientation="portrait" verticalDpi="4294967293" r:id="rId2"/>
  <headerFooter alignWithMargins="0">
    <oddFooter xml:space="preserve">&amp;LPrinting date: &amp;D&amp;CPage &amp;P / &amp;N&amp;R&amp;F - &amp;A </oddFooter>
  </headerFooter>
  <customProperties>
    <customPr name="EpmWorksheetKeyString_GUID" r:id="rId3"/>
  </customProperties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29">
    <tabColor rgb="FFFF8080"/>
    <pageSetUpPr fitToPage="1"/>
  </sheetPr>
  <dimension ref="A1:G648"/>
  <sheetViews>
    <sheetView showGridLines="0" zoomScale="85" workbookViewId="0">
      <pane xSplit="2" ySplit="16" topLeftCell="C17" activePane="bottomRight" state="frozen"/>
      <selection activeCell="C17" sqref="C17"/>
      <selection pane="topRight" activeCell="C17" sqref="C17"/>
      <selection pane="bottomLeft" activeCell="C17" sqref="C17"/>
      <selection pane="bottomRight" activeCell="C17" sqref="C17"/>
    </sheetView>
  </sheetViews>
  <sheetFormatPr defaultColWidth="11.42578125" defaultRowHeight="12.75" x14ac:dyDescent="0.2"/>
  <cols>
    <col min="1" max="1" width="39.42578125" style="22" customWidth="1"/>
    <col min="2" max="2" width="9.28515625" style="22" customWidth="1"/>
    <col min="3" max="8" width="9.5703125" style="22" customWidth="1"/>
    <col min="9" max="9" width="12.7109375" style="22" bestFit="1" customWidth="1"/>
    <col min="10" max="252" width="11.42578125" style="22" customWidth="1"/>
    <col min="253" max="16384" width="11.42578125" style="22"/>
  </cols>
  <sheetData>
    <row r="1" spans="1:7" ht="30" customHeight="1" x14ac:dyDescent="0.3">
      <c r="A1" s="21"/>
      <c r="D1" s="26" t="s">
        <v>419</v>
      </c>
      <c r="E1" s="22">
        <f>GETPIVOTDATA("Lever_SL",$A$12)</f>
        <v>0</v>
      </c>
    </row>
    <row r="3" spans="1:7" ht="15" x14ac:dyDescent="0.25">
      <c r="A3"/>
      <c r="B3"/>
    </row>
    <row r="4" spans="1:7" ht="15" x14ac:dyDescent="0.25">
      <c r="A4" s="71" t="s">
        <v>432</v>
      </c>
      <c r="B4" s="72" t="s">
        <v>138</v>
      </c>
    </row>
    <row r="5" spans="1:7" ht="15" x14ac:dyDescent="0.25">
      <c r="A5" s="71" t="s">
        <v>417</v>
      </c>
      <c r="B5" s="72" t="s">
        <v>138</v>
      </c>
    </row>
    <row r="6" spans="1:7" ht="15" x14ac:dyDescent="0.25">
      <c r="A6" s="71" t="s">
        <v>438</v>
      </c>
      <c r="B6" s="72" t="s">
        <v>138</v>
      </c>
    </row>
    <row r="7" spans="1:7" ht="15" x14ac:dyDescent="0.25">
      <c r="A7" s="71" t="s">
        <v>412</v>
      </c>
      <c r="B7" s="72" t="s">
        <v>138</v>
      </c>
    </row>
    <row r="8" spans="1:7" ht="15" x14ac:dyDescent="0.25">
      <c r="A8" s="71" t="s">
        <v>360</v>
      </c>
      <c r="B8" s="72" t="s">
        <v>138</v>
      </c>
    </row>
    <row r="9" spans="1:7" ht="15" x14ac:dyDescent="0.25">
      <c r="A9" s="71" t="s">
        <v>362</v>
      </c>
      <c r="B9" s="72" t="s">
        <v>138</v>
      </c>
    </row>
    <row r="10" spans="1:7" ht="15" x14ac:dyDescent="0.25">
      <c r="A10" s="71" t="s">
        <v>355</v>
      </c>
      <c r="B10" s="72" t="s">
        <v>138</v>
      </c>
    </row>
    <row r="11" spans="1:7" ht="15" x14ac:dyDescent="0.25">
      <c r="A11" s="71" t="s">
        <v>367</v>
      </c>
      <c r="B11" s="72" t="s">
        <v>138</v>
      </c>
    </row>
    <row r="12" spans="1:7" ht="15" x14ac:dyDescent="0.25">
      <c r="A12" s="71" t="s">
        <v>372</v>
      </c>
      <c r="B12" s="72" t="s">
        <v>138</v>
      </c>
    </row>
    <row r="13" spans="1:7" ht="15" x14ac:dyDescent="0.25">
      <c r="A13" s="71" t="s">
        <v>407</v>
      </c>
      <c r="B13" s="72" t="s">
        <v>138</v>
      </c>
    </row>
    <row r="14" spans="1:7" ht="15" x14ac:dyDescent="0.25">
      <c r="A14" s="71" t="s">
        <v>434</v>
      </c>
      <c r="B14" s="72" t="s">
        <v>138</v>
      </c>
    </row>
    <row r="16" spans="1:7" ht="15" x14ac:dyDescent="0.25">
      <c r="A16" s="1" t="s">
        <v>409</v>
      </c>
      <c r="B16" s="30" t="s">
        <v>429</v>
      </c>
      <c r="C16"/>
      <c r="D16"/>
      <c r="E16"/>
      <c r="F16"/>
      <c r="G16"/>
    </row>
    <row r="17" spans="1:7" ht="15" x14ac:dyDescent="0.25">
      <c r="A17" s="73" t="s">
        <v>264</v>
      </c>
      <c r="B17" s="98">
        <v>0</v>
      </c>
      <c r="C17"/>
      <c r="D17"/>
      <c r="E17"/>
      <c r="F17"/>
      <c r="G17"/>
    </row>
    <row r="18" spans="1:7" ht="15.75" thickBot="1" x14ac:dyDescent="0.3">
      <c r="A18" s="2" t="s">
        <v>137</v>
      </c>
      <c r="B18" s="58">
        <v>0</v>
      </c>
      <c r="C18"/>
      <c r="D18"/>
      <c r="E18"/>
      <c r="F18"/>
      <c r="G18"/>
    </row>
    <row r="19" spans="1:7" ht="15.75" thickTop="1" x14ac:dyDescent="0.25">
      <c r="A19"/>
      <c r="B19"/>
    </row>
    <row r="20" spans="1:7" ht="15" x14ac:dyDescent="0.25">
      <c r="A20"/>
      <c r="B20"/>
    </row>
    <row r="21" spans="1:7" ht="15" x14ac:dyDescent="0.25">
      <c r="A21"/>
      <c r="B21"/>
    </row>
    <row r="22" spans="1:7" ht="15" x14ac:dyDescent="0.25">
      <c r="A22"/>
      <c r="B22"/>
    </row>
    <row r="23" spans="1:7" ht="15" x14ac:dyDescent="0.25">
      <c r="A23"/>
      <c r="B23"/>
    </row>
    <row r="24" spans="1:7" ht="15" x14ac:dyDescent="0.25">
      <c r="A24"/>
      <c r="B24"/>
    </row>
    <row r="25" spans="1:7" ht="15" x14ac:dyDescent="0.25">
      <c r="A25"/>
      <c r="B25"/>
    </row>
    <row r="26" spans="1:7" ht="15" x14ac:dyDescent="0.25">
      <c r="A26"/>
      <c r="B26"/>
    </row>
    <row r="27" spans="1:7" ht="15" x14ac:dyDescent="0.25">
      <c r="A27"/>
      <c r="B27"/>
    </row>
    <row r="28" spans="1:7" ht="15" x14ac:dyDescent="0.25">
      <c r="A28"/>
      <c r="B28"/>
    </row>
    <row r="29" spans="1:7" ht="15" x14ac:dyDescent="0.25">
      <c r="A29"/>
      <c r="B29"/>
    </row>
    <row r="30" spans="1:7" ht="15" x14ac:dyDescent="0.25">
      <c r="A30"/>
      <c r="B30"/>
    </row>
    <row r="31" spans="1:7" ht="15" x14ac:dyDescent="0.25">
      <c r="A31"/>
      <c r="B31"/>
    </row>
    <row r="32" spans="1:7" ht="15" x14ac:dyDescent="0.25">
      <c r="A32"/>
      <c r="B32"/>
    </row>
    <row r="33" spans="1:2" ht="15" x14ac:dyDescent="0.25">
      <c r="A33"/>
      <c r="B33"/>
    </row>
    <row r="34" spans="1:2" ht="15" x14ac:dyDescent="0.25">
      <c r="A34"/>
      <c r="B34"/>
    </row>
    <row r="35" spans="1:2" ht="15" x14ac:dyDescent="0.25">
      <c r="A35"/>
      <c r="B35"/>
    </row>
    <row r="36" spans="1:2" ht="15" x14ac:dyDescent="0.25">
      <c r="A36"/>
      <c r="B36"/>
    </row>
    <row r="37" spans="1:2" ht="15" x14ac:dyDescent="0.25">
      <c r="A37"/>
      <c r="B37"/>
    </row>
    <row r="38" spans="1:2" ht="15" x14ac:dyDescent="0.25">
      <c r="A38"/>
      <c r="B38"/>
    </row>
    <row r="39" spans="1:2" ht="15" x14ac:dyDescent="0.25">
      <c r="A39"/>
      <c r="B39"/>
    </row>
    <row r="40" spans="1:2" ht="15" x14ac:dyDescent="0.25">
      <c r="A40"/>
      <c r="B40"/>
    </row>
    <row r="41" spans="1:2" ht="15" x14ac:dyDescent="0.25">
      <c r="A41"/>
      <c r="B41"/>
    </row>
    <row r="42" spans="1:2" ht="15" x14ac:dyDescent="0.25">
      <c r="A42"/>
      <c r="B42"/>
    </row>
    <row r="43" spans="1:2" ht="15" x14ac:dyDescent="0.25">
      <c r="A43"/>
      <c r="B43"/>
    </row>
    <row r="44" spans="1:2" ht="15" x14ac:dyDescent="0.25">
      <c r="A44"/>
      <c r="B44"/>
    </row>
    <row r="45" spans="1:2" ht="15" x14ac:dyDescent="0.25">
      <c r="A45"/>
      <c r="B45"/>
    </row>
    <row r="46" spans="1:2" ht="15" x14ac:dyDescent="0.25">
      <c r="A46"/>
      <c r="B46"/>
    </row>
    <row r="47" spans="1:2" ht="15" x14ac:dyDescent="0.25">
      <c r="A47"/>
      <c r="B47"/>
    </row>
    <row r="48" spans="1:2" ht="15" x14ac:dyDescent="0.25">
      <c r="A48"/>
      <c r="B48"/>
    </row>
    <row r="49" spans="1:2" ht="15" x14ac:dyDescent="0.25">
      <c r="A49"/>
      <c r="B49"/>
    </row>
    <row r="50" spans="1:2" ht="15" x14ac:dyDescent="0.25">
      <c r="A50"/>
      <c r="B50"/>
    </row>
    <row r="51" spans="1:2" ht="15" x14ac:dyDescent="0.25">
      <c r="A51"/>
      <c r="B51"/>
    </row>
    <row r="52" spans="1:2" ht="15" x14ac:dyDescent="0.25">
      <c r="A52"/>
      <c r="B52"/>
    </row>
    <row r="53" spans="1:2" ht="15" x14ac:dyDescent="0.25">
      <c r="A53"/>
      <c r="B53"/>
    </row>
    <row r="54" spans="1:2" ht="15" x14ac:dyDescent="0.25">
      <c r="A54"/>
      <c r="B54"/>
    </row>
    <row r="55" spans="1:2" ht="15" x14ac:dyDescent="0.25">
      <c r="A55"/>
      <c r="B55"/>
    </row>
    <row r="56" spans="1:2" ht="15" x14ac:dyDescent="0.25">
      <c r="A56"/>
      <c r="B56"/>
    </row>
    <row r="57" spans="1:2" ht="15" x14ac:dyDescent="0.25">
      <c r="A57"/>
      <c r="B57"/>
    </row>
    <row r="58" spans="1:2" ht="15" x14ac:dyDescent="0.25">
      <c r="A58"/>
      <c r="B58"/>
    </row>
    <row r="59" spans="1:2" ht="15" x14ac:dyDescent="0.25">
      <c r="A59"/>
      <c r="B59"/>
    </row>
    <row r="60" spans="1:2" ht="15" x14ac:dyDescent="0.25">
      <c r="A60"/>
      <c r="B60"/>
    </row>
    <row r="61" spans="1:2" ht="15" x14ac:dyDescent="0.25">
      <c r="A61"/>
      <c r="B61"/>
    </row>
    <row r="62" spans="1:2" ht="15" x14ac:dyDescent="0.25">
      <c r="A62"/>
      <c r="B62"/>
    </row>
    <row r="63" spans="1:2" ht="15" x14ac:dyDescent="0.25">
      <c r="A63"/>
      <c r="B63"/>
    </row>
    <row r="64" spans="1:2" ht="15" x14ac:dyDescent="0.25">
      <c r="A64"/>
      <c r="B64"/>
    </row>
    <row r="65" spans="1:2" ht="15" x14ac:dyDescent="0.25">
      <c r="A65"/>
      <c r="B65"/>
    </row>
    <row r="66" spans="1:2" ht="15" x14ac:dyDescent="0.25">
      <c r="A66"/>
      <c r="B66"/>
    </row>
    <row r="67" spans="1:2" ht="15" x14ac:dyDescent="0.25">
      <c r="A67"/>
      <c r="B67"/>
    </row>
    <row r="68" spans="1:2" ht="15" x14ac:dyDescent="0.25">
      <c r="A68"/>
      <c r="B68"/>
    </row>
    <row r="69" spans="1:2" ht="15" x14ac:dyDescent="0.25">
      <c r="A69"/>
      <c r="B69"/>
    </row>
    <row r="70" spans="1:2" ht="15" x14ac:dyDescent="0.25">
      <c r="A70"/>
      <c r="B70"/>
    </row>
    <row r="71" spans="1:2" ht="15" x14ac:dyDescent="0.25">
      <c r="A71"/>
      <c r="B71"/>
    </row>
    <row r="72" spans="1:2" ht="15" x14ac:dyDescent="0.25">
      <c r="A72"/>
      <c r="B72"/>
    </row>
    <row r="73" spans="1:2" ht="15" x14ac:dyDescent="0.25">
      <c r="A73"/>
      <c r="B73"/>
    </row>
    <row r="74" spans="1:2" ht="15" x14ac:dyDescent="0.25">
      <c r="A74"/>
      <c r="B74"/>
    </row>
    <row r="75" spans="1:2" ht="15" x14ac:dyDescent="0.25">
      <c r="A75"/>
      <c r="B75"/>
    </row>
    <row r="76" spans="1:2" ht="15" x14ac:dyDescent="0.25">
      <c r="A76"/>
      <c r="B76"/>
    </row>
    <row r="77" spans="1:2" ht="15" x14ac:dyDescent="0.25">
      <c r="A77"/>
      <c r="B77"/>
    </row>
    <row r="78" spans="1:2" ht="15" x14ac:dyDescent="0.25">
      <c r="A78"/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  <row r="88" spans="1:2" ht="15" x14ac:dyDescent="0.25">
      <c r="A88"/>
      <c r="B88"/>
    </row>
    <row r="89" spans="1:2" ht="15" x14ac:dyDescent="0.25">
      <c r="A89"/>
      <c r="B89"/>
    </row>
    <row r="90" spans="1:2" ht="15" x14ac:dyDescent="0.25">
      <c r="A90"/>
      <c r="B90"/>
    </row>
    <row r="91" spans="1:2" ht="15" x14ac:dyDescent="0.25">
      <c r="A91"/>
      <c r="B91"/>
    </row>
    <row r="92" spans="1:2" ht="15" x14ac:dyDescent="0.25">
      <c r="A92"/>
      <c r="B92"/>
    </row>
    <row r="93" spans="1:2" ht="15" x14ac:dyDescent="0.25">
      <c r="A93"/>
      <c r="B93"/>
    </row>
    <row r="94" spans="1:2" ht="15" x14ac:dyDescent="0.25">
      <c r="A94"/>
      <c r="B94"/>
    </row>
    <row r="95" spans="1:2" ht="15" x14ac:dyDescent="0.25">
      <c r="A95"/>
      <c r="B95"/>
    </row>
    <row r="96" spans="1:2" ht="15" x14ac:dyDescent="0.25">
      <c r="A96"/>
      <c r="B96"/>
    </row>
    <row r="97" spans="1:2" ht="15" x14ac:dyDescent="0.25">
      <c r="A97"/>
      <c r="B97"/>
    </row>
    <row r="98" spans="1:2" ht="15" x14ac:dyDescent="0.25">
      <c r="A98"/>
      <c r="B98"/>
    </row>
    <row r="99" spans="1:2" ht="15" x14ac:dyDescent="0.25">
      <c r="A99"/>
      <c r="B99"/>
    </row>
    <row r="100" spans="1:2" ht="15" x14ac:dyDescent="0.25">
      <c r="A100"/>
      <c r="B100"/>
    </row>
    <row r="101" spans="1:2" ht="15" x14ac:dyDescent="0.25">
      <c r="A101"/>
      <c r="B101"/>
    </row>
    <row r="102" spans="1:2" ht="15" x14ac:dyDescent="0.25">
      <c r="A102"/>
      <c r="B102"/>
    </row>
    <row r="103" spans="1:2" ht="15" x14ac:dyDescent="0.25">
      <c r="A103"/>
      <c r="B103"/>
    </row>
    <row r="104" spans="1:2" ht="15" x14ac:dyDescent="0.25">
      <c r="A104"/>
      <c r="B104"/>
    </row>
    <row r="105" spans="1:2" ht="15" x14ac:dyDescent="0.25">
      <c r="A105"/>
      <c r="B105"/>
    </row>
    <row r="106" spans="1:2" ht="15" x14ac:dyDescent="0.25">
      <c r="A106"/>
      <c r="B106"/>
    </row>
    <row r="107" spans="1:2" ht="15" x14ac:dyDescent="0.25">
      <c r="A107"/>
      <c r="B107"/>
    </row>
    <row r="108" spans="1:2" ht="15" x14ac:dyDescent="0.25">
      <c r="A108"/>
      <c r="B108"/>
    </row>
    <row r="109" spans="1:2" ht="15" x14ac:dyDescent="0.25">
      <c r="A109"/>
      <c r="B109"/>
    </row>
    <row r="110" spans="1:2" ht="15" x14ac:dyDescent="0.25">
      <c r="A110"/>
      <c r="B110"/>
    </row>
    <row r="111" spans="1:2" ht="15" x14ac:dyDescent="0.25">
      <c r="A111"/>
      <c r="B111"/>
    </row>
    <row r="112" spans="1:2" ht="15" x14ac:dyDescent="0.25">
      <c r="A112"/>
      <c r="B112"/>
    </row>
    <row r="113" spans="1:2" ht="15" x14ac:dyDescent="0.25">
      <c r="A113"/>
      <c r="B113"/>
    </row>
    <row r="114" spans="1:2" ht="15" x14ac:dyDescent="0.25">
      <c r="A114"/>
      <c r="B114"/>
    </row>
    <row r="115" spans="1:2" ht="15" x14ac:dyDescent="0.25">
      <c r="A115"/>
      <c r="B115"/>
    </row>
    <row r="116" spans="1:2" ht="15" x14ac:dyDescent="0.25">
      <c r="A116"/>
      <c r="B116"/>
    </row>
    <row r="117" spans="1:2" ht="15" x14ac:dyDescent="0.25">
      <c r="A117"/>
      <c r="B117"/>
    </row>
    <row r="118" spans="1:2" ht="15" x14ac:dyDescent="0.25">
      <c r="A118"/>
      <c r="B118"/>
    </row>
    <row r="119" spans="1:2" ht="15" x14ac:dyDescent="0.25">
      <c r="A119"/>
      <c r="B119"/>
    </row>
    <row r="120" spans="1:2" ht="15" x14ac:dyDescent="0.25">
      <c r="A120"/>
      <c r="B120"/>
    </row>
    <row r="121" spans="1:2" ht="15" x14ac:dyDescent="0.25">
      <c r="A121"/>
      <c r="B121"/>
    </row>
    <row r="122" spans="1:2" ht="15" x14ac:dyDescent="0.25">
      <c r="A122"/>
      <c r="B122"/>
    </row>
    <row r="123" spans="1:2" ht="15" x14ac:dyDescent="0.25">
      <c r="A123"/>
      <c r="B123"/>
    </row>
    <row r="124" spans="1:2" ht="15" x14ac:dyDescent="0.25">
      <c r="A124"/>
      <c r="B124"/>
    </row>
    <row r="125" spans="1:2" ht="15" x14ac:dyDescent="0.25">
      <c r="A125"/>
      <c r="B125"/>
    </row>
    <row r="126" spans="1:2" ht="15" x14ac:dyDescent="0.25">
      <c r="A126"/>
      <c r="B126"/>
    </row>
    <row r="127" spans="1:2" ht="15" x14ac:dyDescent="0.25">
      <c r="A127"/>
      <c r="B127"/>
    </row>
    <row r="128" spans="1:2" ht="15" x14ac:dyDescent="0.25">
      <c r="A128"/>
      <c r="B128"/>
    </row>
    <row r="129" spans="1:2" ht="15" x14ac:dyDescent="0.25">
      <c r="A129"/>
      <c r="B129"/>
    </row>
    <row r="130" spans="1:2" ht="15" x14ac:dyDescent="0.25">
      <c r="A130"/>
      <c r="B130"/>
    </row>
    <row r="131" spans="1:2" ht="15" x14ac:dyDescent="0.25">
      <c r="A131"/>
      <c r="B131"/>
    </row>
    <row r="132" spans="1:2" ht="15" x14ac:dyDescent="0.25">
      <c r="A132"/>
      <c r="B132"/>
    </row>
    <row r="133" spans="1:2" ht="15" x14ac:dyDescent="0.25">
      <c r="A133"/>
      <c r="B133"/>
    </row>
    <row r="134" spans="1:2" ht="15" x14ac:dyDescent="0.25">
      <c r="A134"/>
      <c r="B134"/>
    </row>
    <row r="135" spans="1:2" ht="15" x14ac:dyDescent="0.25">
      <c r="A135"/>
      <c r="B135"/>
    </row>
    <row r="136" spans="1:2" ht="15" x14ac:dyDescent="0.25">
      <c r="A136"/>
      <c r="B136"/>
    </row>
    <row r="137" spans="1:2" ht="15" x14ac:dyDescent="0.25">
      <c r="A137"/>
      <c r="B137"/>
    </row>
    <row r="138" spans="1:2" ht="15" x14ac:dyDescent="0.25">
      <c r="A138"/>
      <c r="B138"/>
    </row>
    <row r="139" spans="1:2" ht="15" x14ac:dyDescent="0.25">
      <c r="A139"/>
      <c r="B139"/>
    </row>
    <row r="140" spans="1:2" ht="15" x14ac:dyDescent="0.25">
      <c r="A140"/>
      <c r="B140"/>
    </row>
    <row r="141" spans="1:2" ht="15" x14ac:dyDescent="0.25">
      <c r="A141"/>
      <c r="B141"/>
    </row>
    <row r="142" spans="1:2" ht="15" x14ac:dyDescent="0.25">
      <c r="A142"/>
      <c r="B142"/>
    </row>
    <row r="143" spans="1:2" ht="15" x14ac:dyDescent="0.25">
      <c r="A143"/>
      <c r="B143"/>
    </row>
    <row r="144" spans="1:2" ht="15" x14ac:dyDescent="0.25">
      <c r="A144"/>
      <c r="B144"/>
    </row>
    <row r="145" spans="1:2" ht="15" x14ac:dyDescent="0.25">
      <c r="A145"/>
      <c r="B145"/>
    </row>
    <row r="146" spans="1:2" ht="15" x14ac:dyDescent="0.25">
      <c r="A146"/>
      <c r="B146"/>
    </row>
    <row r="147" spans="1:2" ht="15" x14ac:dyDescent="0.25">
      <c r="A147"/>
      <c r="B147"/>
    </row>
    <row r="148" spans="1:2" ht="15" x14ac:dyDescent="0.25">
      <c r="A148"/>
      <c r="B148"/>
    </row>
    <row r="149" spans="1:2" ht="15" x14ac:dyDescent="0.25">
      <c r="A149"/>
      <c r="B149"/>
    </row>
    <row r="150" spans="1:2" ht="15" x14ac:dyDescent="0.25">
      <c r="A150"/>
      <c r="B150"/>
    </row>
    <row r="151" spans="1:2" ht="15" x14ac:dyDescent="0.25">
      <c r="A151"/>
      <c r="B151"/>
    </row>
    <row r="152" spans="1:2" ht="15" x14ac:dyDescent="0.25">
      <c r="A152"/>
      <c r="B152"/>
    </row>
    <row r="153" spans="1:2" ht="15" x14ac:dyDescent="0.25">
      <c r="A153"/>
      <c r="B153"/>
    </row>
    <row r="154" spans="1:2" ht="15" x14ac:dyDescent="0.25">
      <c r="A154"/>
      <c r="B154"/>
    </row>
    <row r="155" spans="1:2" ht="15" x14ac:dyDescent="0.25">
      <c r="A155"/>
      <c r="B155"/>
    </row>
    <row r="156" spans="1:2" ht="15" x14ac:dyDescent="0.25">
      <c r="A156"/>
      <c r="B156"/>
    </row>
    <row r="157" spans="1:2" ht="15" x14ac:dyDescent="0.25">
      <c r="A157"/>
      <c r="B157"/>
    </row>
    <row r="158" spans="1:2" ht="15" x14ac:dyDescent="0.25">
      <c r="A158"/>
      <c r="B158"/>
    </row>
    <row r="159" spans="1:2" ht="15" x14ac:dyDescent="0.25">
      <c r="A159"/>
      <c r="B159"/>
    </row>
    <row r="160" spans="1:2" ht="15" x14ac:dyDescent="0.25">
      <c r="A160"/>
      <c r="B160"/>
    </row>
    <row r="161" spans="1:2" ht="15" x14ac:dyDescent="0.25">
      <c r="A161"/>
      <c r="B161"/>
    </row>
    <row r="162" spans="1:2" ht="15" x14ac:dyDescent="0.25">
      <c r="A162"/>
      <c r="B162"/>
    </row>
    <row r="163" spans="1:2" ht="15" x14ac:dyDescent="0.25">
      <c r="A163"/>
      <c r="B163"/>
    </row>
    <row r="164" spans="1:2" ht="15" x14ac:dyDescent="0.25">
      <c r="A164"/>
      <c r="B164"/>
    </row>
    <row r="165" spans="1:2" ht="15" x14ac:dyDescent="0.25">
      <c r="A165"/>
      <c r="B165"/>
    </row>
    <row r="166" spans="1:2" ht="15" x14ac:dyDescent="0.25">
      <c r="A166"/>
      <c r="B166"/>
    </row>
    <row r="167" spans="1:2" ht="15" x14ac:dyDescent="0.25">
      <c r="A167"/>
      <c r="B167"/>
    </row>
    <row r="168" spans="1:2" ht="15" x14ac:dyDescent="0.25">
      <c r="A168"/>
      <c r="B168"/>
    </row>
    <row r="169" spans="1:2" ht="15" x14ac:dyDescent="0.25">
      <c r="A169"/>
      <c r="B169"/>
    </row>
    <row r="170" spans="1:2" ht="15" x14ac:dyDescent="0.25">
      <c r="A170"/>
      <c r="B170"/>
    </row>
    <row r="171" spans="1:2" ht="15" x14ac:dyDescent="0.25">
      <c r="A171"/>
      <c r="B171"/>
    </row>
    <row r="172" spans="1:2" ht="15" x14ac:dyDescent="0.25">
      <c r="A172"/>
      <c r="B172"/>
    </row>
    <row r="173" spans="1:2" ht="15" x14ac:dyDescent="0.25">
      <c r="A173"/>
      <c r="B173"/>
    </row>
    <row r="174" spans="1:2" ht="15" x14ac:dyDescent="0.25">
      <c r="A174"/>
      <c r="B174"/>
    </row>
    <row r="175" spans="1:2" ht="15" x14ac:dyDescent="0.25">
      <c r="A175"/>
      <c r="B175"/>
    </row>
    <row r="176" spans="1:2" ht="15" x14ac:dyDescent="0.25">
      <c r="A176"/>
      <c r="B176"/>
    </row>
    <row r="177" spans="1:2" ht="15" x14ac:dyDescent="0.25">
      <c r="A177"/>
      <c r="B177"/>
    </row>
    <row r="178" spans="1:2" ht="15" x14ac:dyDescent="0.25">
      <c r="A178"/>
      <c r="B178"/>
    </row>
    <row r="179" spans="1:2" ht="15" x14ac:dyDescent="0.25">
      <c r="A179"/>
      <c r="B179"/>
    </row>
    <row r="180" spans="1:2" ht="15" x14ac:dyDescent="0.25">
      <c r="A180"/>
      <c r="B180"/>
    </row>
    <row r="181" spans="1:2" ht="15" x14ac:dyDescent="0.25">
      <c r="A181"/>
      <c r="B181"/>
    </row>
    <row r="182" spans="1:2" ht="15" x14ac:dyDescent="0.25">
      <c r="A182"/>
      <c r="B182"/>
    </row>
    <row r="183" spans="1:2" ht="15" x14ac:dyDescent="0.25">
      <c r="A183"/>
      <c r="B183"/>
    </row>
    <row r="184" spans="1:2" ht="15" x14ac:dyDescent="0.25">
      <c r="A184"/>
      <c r="B184"/>
    </row>
    <row r="185" spans="1:2" ht="15" x14ac:dyDescent="0.25">
      <c r="A185"/>
      <c r="B185"/>
    </row>
    <row r="186" spans="1:2" ht="15" x14ac:dyDescent="0.25">
      <c r="A186"/>
      <c r="B186"/>
    </row>
    <row r="187" spans="1:2" ht="15" x14ac:dyDescent="0.25">
      <c r="A187"/>
      <c r="B187"/>
    </row>
    <row r="188" spans="1:2" ht="15" x14ac:dyDescent="0.25">
      <c r="A188"/>
      <c r="B188"/>
    </row>
    <row r="189" spans="1:2" ht="15" x14ac:dyDescent="0.25">
      <c r="A189"/>
      <c r="B189"/>
    </row>
    <row r="190" spans="1:2" ht="15" x14ac:dyDescent="0.25">
      <c r="A190"/>
      <c r="B190"/>
    </row>
    <row r="191" spans="1:2" ht="15" x14ac:dyDescent="0.25">
      <c r="A191"/>
      <c r="B191"/>
    </row>
    <row r="192" spans="1:2" ht="15" x14ac:dyDescent="0.25">
      <c r="A192"/>
      <c r="B192"/>
    </row>
    <row r="193" spans="1:2" ht="15" x14ac:dyDescent="0.25">
      <c r="A193"/>
      <c r="B193"/>
    </row>
    <row r="194" spans="1:2" ht="15" x14ac:dyDescent="0.25">
      <c r="A194"/>
      <c r="B194"/>
    </row>
    <row r="195" spans="1:2" ht="15" x14ac:dyDescent="0.25">
      <c r="A195"/>
      <c r="B195"/>
    </row>
    <row r="196" spans="1:2" ht="15" x14ac:dyDescent="0.25">
      <c r="A196"/>
      <c r="B196"/>
    </row>
    <row r="197" spans="1:2" ht="15" x14ac:dyDescent="0.25">
      <c r="A197"/>
      <c r="B197"/>
    </row>
    <row r="198" spans="1:2" ht="15" x14ac:dyDescent="0.25">
      <c r="A198"/>
      <c r="B198"/>
    </row>
    <row r="199" spans="1:2" ht="15" x14ac:dyDescent="0.25">
      <c r="A199"/>
      <c r="B199"/>
    </row>
    <row r="200" spans="1:2" ht="15" x14ac:dyDescent="0.25">
      <c r="A200"/>
      <c r="B200"/>
    </row>
    <row r="201" spans="1:2" ht="15" x14ac:dyDescent="0.25">
      <c r="A201"/>
      <c r="B201"/>
    </row>
    <row r="202" spans="1:2" ht="15" x14ac:dyDescent="0.25">
      <c r="A202"/>
      <c r="B202"/>
    </row>
    <row r="203" spans="1:2" ht="15" x14ac:dyDescent="0.25">
      <c r="A203"/>
      <c r="B203"/>
    </row>
    <row r="204" spans="1:2" ht="15" x14ac:dyDescent="0.25">
      <c r="A204"/>
      <c r="B204"/>
    </row>
    <row r="205" spans="1:2" ht="15" x14ac:dyDescent="0.25">
      <c r="A205"/>
      <c r="B205"/>
    </row>
    <row r="206" spans="1:2" ht="15" x14ac:dyDescent="0.25">
      <c r="A206"/>
      <c r="B206"/>
    </row>
    <row r="207" spans="1:2" ht="15" x14ac:dyDescent="0.25">
      <c r="A207"/>
      <c r="B207"/>
    </row>
    <row r="208" spans="1:2" ht="15" x14ac:dyDescent="0.25">
      <c r="A208"/>
      <c r="B208"/>
    </row>
    <row r="209" spans="1:2" ht="15" x14ac:dyDescent="0.25">
      <c r="A209"/>
      <c r="B209"/>
    </row>
    <row r="210" spans="1:2" ht="15" x14ac:dyDescent="0.25">
      <c r="A210"/>
      <c r="B210"/>
    </row>
    <row r="211" spans="1:2" ht="15" x14ac:dyDescent="0.25">
      <c r="A211"/>
      <c r="B211"/>
    </row>
    <row r="212" spans="1:2" ht="15" x14ac:dyDescent="0.25">
      <c r="A212"/>
      <c r="B212"/>
    </row>
    <row r="213" spans="1:2" ht="15" x14ac:dyDescent="0.25">
      <c r="A213"/>
      <c r="B213"/>
    </row>
    <row r="214" spans="1:2" ht="15" x14ac:dyDescent="0.25">
      <c r="A214"/>
      <c r="B214"/>
    </row>
    <row r="215" spans="1:2" ht="15" x14ac:dyDescent="0.25">
      <c r="A215"/>
      <c r="B215"/>
    </row>
    <row r="216" spans="1:2" ht="15" x14ac:dyDescent="0.25">
      <c r="A216"/>
      <c r="B216"/>
    </row>
    <row r="217" spans="1:2" ht="15" x14ac:dyDescent="0.25">
      <c r="A217"/>
      <c r="B217"/>
    </row>
    <row r="218" spans="1:2" ht="15" x14ac:dyDescent="0.25">
      <c r="A218"/>
      <c r="B218"/>
    </row>
    <row r="219" spans="1:2" ht="15" x14ac:dyDescent="0.25">
      <c r="A219"/>
      <c r="B219"/>
    </row>
    <row r="220" spans="1:2" ht="15" x14ac:dyDescent="0.25">
      <c r="A220"/>
      <c r="B220"/>
    </row>
    <row r="221" spans="1:2" ht="15" x14ac:dyDescent="0.25">
      <c r="A221"/>
      <c r="B221"/>
    </row>
    <row r="222" spans="1:2" ht="15" x14ac:dyDescent="0.25">
      <c r="A222"/>
      <c r="B222"/>
    </row>
    <row r="223" spans="1:2" ht="15" x14ac:dyDescent="0.25">
      <c r="A223"/>
      <c r="B223"/>
    </row>
    <row r="224" spans="1:2" ht="15" x14ac:dyDescent="0.25">
      <c r="A224"/>
      <c r="B224"/>
    </row>
    <row r="225" spans="1:2" ht="15" x14ac:dyDescent="0.25">
      <c r="A225"/>
      <c r="B225"/>
    </row>
    <row r="226" spans="1:2" ht="15" x14ac:dyDescent="0.25">
      <c r="A226"/>
      <c r="B226"/>
    </row>
    <row r="227" spans="1:2" ht="15" x14ac:dyDescent="0.25">
      <c r="A227"/>
      <c r="B227"/>
    </row>
    <row r="228" spans="1:2" ht="15" x14ac:dyDescent="0.25">
      <c r="A228"/>
      <c r="B228"/>
    </row>
    <row r="229" spans="1:2" ht="15" x14ac:dyDescent="0.25">
      <c r="A229"/>
      <c r="B229"/>
    </row>
    <row r="230" spans="1:2" ht="15" x14ac:dyDescent="0.25">
      <c r="A230"/>
      <c r="B230"/>
    </row>
    <row r="231" spans="1:2" ht="15" x14ac:dyDescent="0.25">
      <c r="A231"/>
      <c r="B231"/>
    </row>
    <row r="232" spans="1:2" ht="15" x14ac:dyDescent="0.25">
      <c r="A232"/>
      <c r="B232"/>
    </row>
    <row r="233" spans="1:2" ht="15" x14ac:dyDescent="0.25">
      <c r="A233"/>
      <c r="B233"/>
    </row>
    <row r="234" spans="1:2" ht="15" x14ac:dyDescent="0.25">
      <c r="A234"/>
      <c r="B234"/>
    </row>
    <row r="235" spans="1:2" ht="15" x14ac:dyDescent="0.25">
      <c r="A235"/>
      <c r="B235"/>
    </row>
    <row r="236" spans="1:2" ht="15" x14ac:dyDescent="0.25">
      <c r="A236"/>
      <c r="B236"/>
    </row>
    <row r="237" spans="1:2" ht="15" x14ac:dyDescent="0.25">
      <c r="A237"/>
      <c r="B237"/>
    </row>
    <row r="238" spans="1:2" ht="15" x14ac:dyDescent="0.25">
      <c r="A238"/>
      <c r="B238"/>
    </row>
    <row r="239" spans="1:2" ht="15" x14ac:dyDescent="0.25">
      <c r="A239"/>
      <c r="B239"/>
    </row>
    <row r="240" spans="1:2" ht="15" x14ac:dyDescent="0.25">
      <c r="A240"/>
      <c r="B240"/>
    </row>
    <row r="241" spans="1:2" ht="15" x14ac:dyDescent="0.25">
      <c r="A241"/>
      <c r="B241"/>
    </row>
    <row r="242" spans="1:2" ht="15" x14ac:dyDescent="0.25">
      <c r="A242"/>
      <c r="B242"/>
    </row>
    <row r="243" spans="1:2" ht="15" x14ac:dyDescent="0.25">
      <c r="A243"/>
      <c r="B243"/>
    </row>
    <row r="244" spans="1:2" ht="15" x14ac:dyDescent="0.25">
      <c r="A244"/>
      <c r="B244"/>
    </row>
    <row r="245" spans="1:2" ht="15" x14ac:dyDescent="0.25">
      <c r="A245"/>
      <c r="B245"/>
    </row>
    <row r="246" spans="1:2" ht="15" x14ac:dyDescent="0.25">
      <c r="A246"/>
      <c r="B246"/>
    </row>
    <row r="247" spans="1:2" ht="15" x14ac:dyDescent="0.25">
      <c r="A247"/>
      <c r="B247"/>
    </row>
    <row r="248" spans="1:2" ht="15" x14ac:dyDescent="0.25">
      <c r="A248"/>
      <c r="B248"/>
    </row>
    <row r="249" spans="1:2" ht="15" x14ac:dyDescent="0.25">
      <c r="A249"/>
      <c r="B249"/>
    </row>
    <row r="250" spans="1:2" ht="15" x14ac:dyDescent="0.25">
      <c r="A250"/>
      <c r="B250"/>
    </row>
    <row r="251" spans="1:2" ht="15" x14ac:dyDescent="0.25">
      <c r="A251"/>
      <c r="B251"/>
    </row>
    <row r="252" spans="1:2" ht="15" x14ac:dyDescent="0.25">
      <c r="A252"/>
      <c r="B252"/>
    </row>
    <row r="253" spans="1:2" ht="15" x14ac:dyDescent="0.25">
      <c r="A253"/>
      <c r="B253"/>
    </row>
    <row r="254" spans="1:2" ht="15" x14ac:dyDescent="0.25">
      <c r="A254"/>
      <c r="B254"/>
    </row>
    <row r="255" spans="1:2" ht="15" x14ac:dyDescent="0.25">
      <c r="A255"/>
      <c r="B255"/>
    </row>
    <row r="256" spans="1:2" ht="15" x14ac:dyDescent="0.25">
      <c r="A256"/>
      <c r="B256"/>
    </row>
    <row r="257" spans="1:2" ht="15" x14ac:dyDescent="0.25">
      <c r="A257"/>
      <c r="B257"/>
    </row>
    <row r="258" spans="1:2" ht="15" x14ac:dyDescent="0.25">
      <c r="A258"/>
      <c r="B258"/>
    </row>
    <row r="259" spans="1:2" ht="15" x14ac:dyDescent="0.25">
      <c r="A259"/>
      <c r="B259"/>
    </row>
    <row r="260" spans="1:2" ht="15" x14ac:dyDescent="0.25">
      <c r="A260"/>
      <c r="B260"/>
    </row>
    <row r="261" spans="1:2" ht="15" x14ac:dyDescent="0.25">
      <c r="A261"/>
      <c r="B261"/>
    </row>
    <row r="262" spans="1:2" ht="15" x14ac:dyDescent="0.25">
      <c r="A262"/>
      <c r="B262"/>
    </row>
    <row r="263" spans="1:2" ht="15" x14ac:dyDescent="0.25">
      <c r="A263"/>
      <c r="B263"/>
    </row>
    <row r="264" spans="1:2" ht="15" x14ac:dyDescent="0.25">
      <c r="A264"/>
      <c r="B264"/>
    </row>
    <row r="265" spans="1:2" ht="15" x14ac:dyDescent="0.25">
      <c r="A265"/>
      <c r="B265"/>
    </row>
    <row r="266" spans="1:2" ht="15" x14ac:dyDescent="0.25">
      <c r="A266"/>
      <c r="B266"/>
    </row>
    <row r="267" spans="1:2" ht="15" x14ac:dyDescent="0.25">
      <c r="A267"/>
      <c r="B267"/>
    </row>
    <row r="268" spans="1:2" ht="15" x14ac:dyDescent="0.25">
      <c r="A268"/>
      <c r="B268"/>
    </row>
    <row r="269" spans="1:2" ht="15" x14ac:dyDescent="0.25">
      <c r="A269"/>
      <c r="B269"/>
    </row>
    <row r="270" spans="1:2" ht="15" x14ac:dyDescent="0.25">
      <c r="A270"/>
      <c r="B270"/>
    </row>
    <row r="271" spans="1:2" ht="15" x14ac:dyDescent="0.25">
      <c r="A271"/>
      <c r="B271"/>
    </row>
    <row r="272" spans="1:2" ht="15" x14ac:dyDescent="0.25">
      <c r="A272"/>
      <c r="B272"/>
    </row>
    <row r="273" spans="1:2" ht="15" x14ac:dyDescent="0.25">
      <c r="A273"/>
      <c r="B273"/>
    </row>
    <row r="274" spans="1:2" ht="15" x14ac:dyDescent="0.25">
      <c r="A274"/>
      <c r="B274"/>
    </row>
    <row r="275" spans="1:2" ht="15" x14ac:dyDescent="0.25">
      <c r="A275"/>
      <c r="B275"/>
    </row>
    <row r="276" spans="1:2" ht="15" x14ac:dyDescent="0.25">
      <c r="A276"/>
      <c r="B276"/>
    </row>
    <row r="277" spans="1:2" ht="15" x14ac:dyDescent="0.25">
      <c r="A277"/>
      <c r="B277"/>
    </row>
    <row r="278" spans="1:2" ht="15" x14ac:dyDescent="0.25">
      <c r="A278"/>
      <c r="B278"/>
    </row>
    <row r="279" spans="1:2" ht="15" x14ac:dyDescent="0.25">
      <c r="A279"/>
      <c r="B279"/>
    </row>
    <row r="280" spans="1:2" ht="15" x14ac:dyDescent="0.25">
      <c r="A280"/>
      <c r="B280"/>
    </row>
    <row r="281" spans="1:2" ht="15" x14ac:dyDescent="0.25">
      <c r="A281"/>
      <c r="B281"/>
    </row>
    <row r="282" spans="1:2" ht="15" x14ac:dyDescent="0.25">
      <c r="A282"/>
      <c r="B282"/>
    </row>
    <row r="283" spans="1:2" ht="15" x14ac:dyDescent="0.25">
      <c r="A283"/>
      <c r="B283"/>
    </row>
    <row r="284" spans="1:2" ht="15" x14ac:dyDescent="0.25">
      <c r="A284"/>
      <c r="B284"/>
    </row>
    <row r="285" spans="1:2" ht="15" x14ac:dyDescent="0.25">
      <c r="A285"/>
      <c r="B285"/>
    </row>
    <row r="286" spans="1:2" ht="15" x14ac:dyDescent="0.25">
      <c r="A286"/>
      <c r="B286"/>
    </row>
    <row r="287" spans="1:2" ht="15" x14ac:dyDescent="0.25">
      <c r="A287"/>
      <c r="B287"/>
    </row>
    <row r="288" spans="1:2" ht="15" x14ac:dyDescent="0.25">
      <c r="A288"/>
      <c r="B288"/>
    </row>
    <row r="289" spans="1:2" ht="15" x14ac:dyDescent="0.25">
      <c r="A289"/>
      <c r="B289"/>
    </row>
    <row r="290" spans="1:2" ht="15" x14ac:dyDescent="0.25">
      <c r="A290"/>
      <c r="B290"/>
    </row>
    <row r="291" spans="1:2" ht="15" x14ac:dyDescent="0.25">
      <c r="A291"/>
      <c r="B291"/>
    </row>
    <row r="292" spans="1:2" ht="15" x14ac:dyDescent="0.25">
      <c r="A292"/>
      <c r="B292"/>
    </row>
    <row r="293" spans="1:2" ht="15" x14ac:dyDescent="0.25">
      <c r="A293"/>
      <c r="B293"/>
    </row>
    <row r="294" spans="1:2" ht="15" x14ac:dyDescent="0.25">
      <c r="A294"/>
      <c r="B294"/>
    </row>
    <row r="295" spans="1:2" ht="15" x14ac:dyDescent="0.25">
      <c r="A295"/>
      <c r="B295"/>
    </row>
    <row r="296" spans="1:2" ht="15" x14ac:dyDescent="0.25">
      <c r="A296"/>
      <c r="B296"/>
    </row>
    <row r="297" spans="1:2" ht="15" x14ac:dyDescent="0.25">
      <c r="A297"/>
      <c r="B297"/>
    </row>
    <row r="298" spans="1:2" ht="15" x14ac:dyDescent="0.25">
      <c r="A298"/>
      <c r="B298"/>
    </row>
    <row r="299" spans="1:2" ht="15" x14ac:dyDescent="0.25">
      <c r="A299"/>
      <c r="B299"/>
    </row>
    <row r="300" spans="1:2" ht="15" x14ac:dyDescent="0.25">
      <c r="A300"/>
      <c r="B300"/>
    </row>
    <row r="301" spans="1:2" ht="15" x14ac:dyDescent="0.25">
      <c r="A301"/>
      <c r="B301"/>
    </row>
    <row r="302" spans="1:2" ht="15" x14ac:dyDescent="0.25">
      <c r="A302"/>
      <c r="B302"/>
    </row>
    <row r="303" spans="1:2" ht="15" x14ac:dyDescent="0.25">
      <c r="A303"/>
      <c r="B303"/>
    </row>
    <row r="304" spans="1:2" ht="15" x14ac:dyDescent="0.25">
      <c r="A304"/>
      <c r="B304"/>
    </row>
    <row r="305" spans="1:2" ht="15" x14ac:dyDescent="0.25">
      <c r="A305"/>
      <c r="B305"/>
    </row>
    <row r="306" spans="1:2" ht="15" x14ac:dyDescent="0.25">
      <c r="A306"/>
      <c r="B306"/>
    </row>
    <row r="307" spans="1:2" ht="15" x14ac:dyDescent="0.25">
      <c r="A307"/>
      <c r="B307"/>
    </row>
    <row r="308" spans="1:2" ht="15" x14ac:dyDescent="0.25">
      <c r="A308"/>
      <c r="B308"/>
    </row>
    <row r="309" spans="1:2" ht="15" x14ac:dyDescent="0.25">
      <c r="A309"/>
      <c r="B309"/>
    </row>
    <row r="310" spans="1:2" ht="15" x14ac:dyDescent="0.25">
      <c r="A310"/>
      <c r="B310"/>
    </row>
    <row r="311" spans="1:2" ht="15" x14ac:dyDescent="0.25">
      <c r="A311"/>
      <c r="B311"/>
    </row>
    <row r="312" spans="1:2" ht="15" x14ac:dyDescent="0.25">
      <c r="A312"/>
      <c r="B312"/>
    </row>
    <row r="313" spans="1:2" ht="15" x14ac:dyDescent="0.25">
      <c r="A313"/>
      <c r="B313"/>
    </row>
    <row r="314" spans="1:2" ht="15" x14ac:dyDescent="0.25">
      <c r="A314"/>
      <c r="B314"/>
    </row>
    <row r="315" spans="1:2" ht="15" x14ac:dyDescent="0.25">
      <c r="A315"/>
      <c r="B315"/>
    </row>
    <row r="316" spans="1:2" ht="15" x14ac:dyDescent="0.25">
      <c r="A316"/>
      <c r="B316"/>
    </row>
    <row r="317" spans="1:2" ht="15" x14ac:dyDescent="0.25">
      <c r="A317"/>
      <c r="B317"/>
    </row>
    <row r="318" spans="1:2" ht="15" x14ac:dyDescent="0.25">
      <c r="A318"/>
      <c r="B318"/>
    </row>
    <row r="319" spans="1:2" ht="15" x14ac:dyDescent="0.25">
      <c r="A319"/>
      <c r="B319"/>
    </row>
    <row r="320" spans="1:2" ht="15" x14ac:dyDescent="0.25">
      <c r="A320"/>
      <c r="B320"/>
    </row>
    <row r="321" spans="1:2" ht="15" x14ac:dyDescent="0.25">
      <c r="A321"/>
      <c r="B321"/>
    </row>
    <row r="322" spans="1:2" ht="15" x14ac:dyDescent="0.25">
      <c r="A322"/>
      <c r="B322"/>
    </row>
    <row r="323" spans="1:2" ht="15" x14ac:dyDescent="0.25">
      <c r="A323"/>
      <c r="B323"/>
    </row>
    <row r="324" spans="1:2" ht="15" x14ac:dyDescent="0.25">
      <c r="A324"/>
      <c r="B324"/>
    </row>
    <row r="325" spans="1:2" ht="15" x14ac:dyDescent="0.25">
      <c r="A325"/>
      <c r="B325"/>
    </row>
    <row r="326" spans="1:2" ht="15" x14ac:dyDescent="0.25">
      <c r="A326"/>
      <c r="B326"/>
    </row>
    <row r="327" spans="1:2" ht="15" x14ac:dyDescent="0.25">
      <c r="A327"/>
      <c r="B327"/>
    </row>
    <row r="328" spans="1:2" ht="15" x14ac:dyDescent="0.25">
      <c r="A328"/>
      <c r="B328"/>
    </row>
    <row r="329" spans="1:2" ht="15" x14ac:dyDescent="0.25">
      <c r="A329"/>
      <c r="B329"/>
    </row>
    <row r="330" spans="1:2" ht="15" x14ac:dyDescent="0.25">
      <c r="A330"/>
      <c r="B330"/>
    </row>
    <row r="331" spans="1:2" ht="15" x14ac:dyDescent="0.25">
      <c r="A331"/>
      <c r="B331"/>
    </row>
    <row r="332" spans="1:2" ht="15" x14ac:dyDescent="0.25">
      <c r="A332"/>
      <c r="B332"/>
    </row>
    <row r="333" spans="1:2" ht="15" x14ac:dyDescent="0.25">
      <c r="A333"/>
      <c r="B333"/>
    </row>
    <row r="334" spans="1:2" ht="15" x14ac:dyDescent="0.25">
      <c r="A334"/>
      <c r="B334"/>
    </row>
    <row r="335" spans="1:2" ht="15" x14ac:dyDescent="0.25">
      <c r="A335"/>
      <c r="B335"/>
    </row>
    <row r="336" spans="1:2" ht="15" x14ac:dyDescent="0.25">
      <c r="A336"/>
      <c r="B336"/>
    </row>
    <row r="337" spans="1:2" ht="15" x14ac:dyDescent="0.25">
      <c r="A337"/>
      <c r="B337"/>
    </row>
    <row r="338" spans="1:2" ht="15" x14ac:dyDescent="0.25">
      <c r="A338"/>
      <c r="B338"/>
    </row>
    <row r="339" spans="1:2" ht="15" x14ac:dyDescent="0.25">
      <c r="A339"/>
      <c r="B339"/>
    </row>
    <row r="340" spans="1:2" ht="15" x14ac:dyDescent="0.25">
      <c r="A340"/>
      <c r="B340"/>
    </row>
    <row r="341" spans="1:2" ht="15" x14ac:dyDescent="0.25">
      <c r="A341"/>
      <c r="B341"/>
    </row>
    <row r="342" spans="1:2" ht="15" x14ac:dyDescent="0.25">
      <c r="A342"/>
      <c r="B342"/>
    </row>
    <row r="343" spans="1:2" ht="15" x14ac:dyDescent="0.25">
      <c r="A343"/>
      <c r="B343"/>
    </row>
    <row r="344" spans="1:2" ht="15" x14ac:dyDescent="0.25">
      <c r="A344"/>
      <c r="B344"/>
    </row>
    <row r="345" spans="1:2" ht="15" x14ac:dyDescent="0.25">
      <c r="A345"/>
      <c r="B345"/>
    </row>
    <row r="346" spans="1:2" ht="15" x14ac:dyDescent="0.25">
      <c r="A346"/>
      <c r="B346"/>
    </row>
    <row r="347" spans="1:2" ht="15" x14ac:dyDescent="0.25">
      <c r="A347"/>
      <c r="B347"/>
    </row>
    <row r="348" spans="1:2" ht="15" x14ac:dyDescent="0.25">
      <c r="A348"/>
      <c r="B348"/>
    </row>
    <row r="349" spans="1:2" ht="15" x14ac:dyDescent="0.25">
      <c r="A349"/>
      <c r="B349"/>
    </row>
    <row r="350" spans="1:2" ht="15" x14ac:dyDescent="0.25">
      <c r="A350"/>
      <c r="B350"/>
    </row>
    <row r="351" spans="1:2" ht="15" x14ac:dyDescent="0.25">
      <c r="A351"/>
      <c r="B351"/>
    </row>
    <row r="352" spans="1:2" ht="15" x14ac:dyDescent="0.25">
      <c r="A352"/>
      <c r="B352"/>
    </row>
    <row r="353" spans="1:2" ht="15" x14ac:dyDescent="0.25">
      <c r="A353"/>
      <c r="B353"/>
    </row>
    <row r="354" spans="1:2" ht="15" x14ac:dyDescent="0.25">
      <c r="A354"/>
      <c r="B354"/>
    </row>
    <row r="355" spans="1:2" ht="15" x14ac:dyDescent="0.25">
      <c r="A355"/>
      <c r="B355"/>
    </row>
    <row r="356" spans="1:2" ht="15" x14ac:dyDescent="0.25">
      <c r="A356"/>
      <c r="B356"/>
    </row>
    <row r="357" spans="1:2" ht="15" x14ac:dyDescent="0.25">
      <c r="A357"/>
      <c r="B357"/>
    </row>
    <row r="358" spans="1:2" ht="15" x14ac:dyDescent="0.25">
      <c r="A358"/>
      <c r="B358"/>
    </row>
    <row r="359" spans="1:2" ht="15" x14ac:dyDescent="0.25">
      <c r="A359"/>
      <c r="B359"/>
    </row>
    <row r="360" spans="1:2" ht="15" x14ac:dyDescent="0.25">
      <c r="A360"/>
      <c r="B360"/>
    </row>
    <row r="361" spans="1:2" ht="15" x14ac:dyDescent="0.25">
      <c r="A361"/>
      <c r="B361"/>
    </row>
    <row r="362" spans="1:2" ht="15" x14ac:dyDescent="0.25">
      <c r="A362"/>
      <c r="B362"/>
    </row>
    <row r="363" spans="1:2" ht="15" x14ac:dyDescent="0.25">
      <c r="A363"/>
      <c r="B363"/>
    </row>
    <row r="364" spans="1:2" ht="15" x14ac:dyDescent="0.25">
      <c r="A364"/>
      <c r="B364"/>
    </row>
    <row r="365" spans="1:2" ht="15" x14ac:dyDescent="0.25">
      <c r="A365"/>
      <c r="B365"/>
    </row>
    <row r="366" spans="1:2" ht="15" x14ac:dyDescent="0.25">
      <c r="A366"/>
      <c r="B366"/>
    </row>
    <row r="367" spans="1:2" ht="15" x14ac:dyDescent="0.25">
      <c r="A367"/>
      <c r="B367"/>
    </row>
    <row r="368" spans="1:2" ht="15" x14ac:dyDescent="0.25">
      <c r="A368"/>
      <c r="B368"/>
    </row>
    <row r="369" spans="1:2" ht="15" x14ac:dyDescent="0.25">
      <c r="A369"/>
      <c r="B369"/>
    </row>
    <row r="370" spans="1:2" ht="15" x14ac:dyDescent="0.25">
      <c r="A370"/>
      <c r="B370"/>
    </row>
    <row r="371" spans="1:2" ht="15" x14ac:dyDescent="0.25">
      <c r="A371"/>
      <c r="B371"/>
    </row>
    <row r="372" spans="1:2" ht="15" x14ac:dyDescent="0.25">
      <c r="A372"/>
      <c r="B372"/>
    </row>
    <row r="373" spans="1:2" ht="15" x14ac:dyDescent="0.25">
      <c r="A373"/>
      <c r="B373"/>
    </row>
    <row r="374" spans="1:2" ht="15" x14ac:dyDescent="0.25">
      <c r="A374"/>
      <c r="B374"/>
    </row>
    <row r="375" spans="1:2" ht="15" x14ac:dyDescent="0.25">
      <c r="A375"/>
      <c r="B375"/>
    </row>
    <row r="376" spans="1:2" ht="15" x14ac:dyDescent="0.25">
      <c r="A376"/>
      <c r="B376"/>
    </row>
    <row r="377" spans="1:2" ht="15" x14ac:dyDescent="0.25">
      <c r="A377"/>
      <c r="B377"/>
    </row>
    <row r="378" spans="1:2" ht="15" x14ac:dyDescent="0.25">
      <c r="A378"/>
      <c r="B378"/>
    </row>
    <row r="379" spans="1:2" ht="15" x14ac:dyDescent="0.25">
      <c r="A379"/>
      <c r="B379"/>
    </row>
    <row r="380" spans="1:2" ht="15" x14ac:dyDescent="0.25">
      <c r="A380"/>
      <c r="B380"/>
    </row>
    <row r="381" spans="1:2" ht="15" x14ac:dyDescent="0.25">
      <c r="A381"/>
      <c r="B381"/>
    </row>
    <row r="382" spans="1:2" ht="15" x14ac:dyDescent="0.25">
      <c r="A382"/>
      <c r="B382"/>
    </row>
    <row r="383" spans="1:2" ht="15" x14ac:dyDescent="0.25">
      <c r="A383"/>
      <c r="B383"/>
    </row>
    <row r="384" spans="1:2" ht="15" x14ac:dyDescent="0.25">
      <c r="A384"/>
      <c r="B384"/>
    </row>
    <row r="385" spans="1:2" ht="15" x14ac:dyDescent="0.25">
      <c r="A385"/>
      <c r="B385"/>
    </row>
    <row r="386" spans="1:2" ht="15" x14ac:dyDescent="0.25">
      <c r="A386"/>
      <c r="B386"/>
    </row>
    <row r="387" spans="1:2" ht="15" x14ac:dyDescent="0.25">
      <c r="A387"/>
      <c r="B387"/>
    </row>
    <row r="388" spans="1:2" ht="15" x14ac:dyDescent="0.25">
      <c r="A388"/>
      <c r="B388"/>
    </row>
    <row r="389" spans="1:2" ht="15" x14ac:dyDescent="0.25">
      <c r="A389"/>
      <c r="B389"/>
    </row>
    <row r="390" spans="1:2" ht="15" x14ac:dyDescent="0.25">
      <c r="A390"/>
      <c r="B390"/>
    </row>
    <row r="391" spans="1:2" ht="15" x14ac:dyDescent="0.25">
      <c r="A391"/>
      <c r="B391"/>
    </row>
    <row r="392" spans="1:2" ht="15" x14ac:dyDescent="0.25">
      <c r="A392"/>
      <c r="B392"/>
    </row>
    <row r="393" spans="1:2" ht="15" x14ac:dyDescent="0.25">
      <c r="A393"/>
      <c r="B393"/>
    </row>
    <row r="394" spans="1:2" ht="15" x14ac:dyDescent="0.25">
      <c r="A394"/>
      <c r="B394"/>
    </row>
    <row r="395" spans="1:2" ht="15" x14ac:dyDescent="0.25">
      <c r="A395"/>
      <c r="B395"/>
    </row>
    <row r="396" spans="1:2" ht="15" x14ac:dyDescent="0.25">
      <c r="A396"/>
      <c r="B396"/>
    </row>
    <row r="397" spans="1:2" ht="15" x14ac:dyDescent="0.25">
      <c r="A397"/>
      <c r="B397"/>
    </row>
    <row r="398" spans="1:2" ht="15" x14ac:dyDescent="0.25">
      <c r="A398"/>
      <c r="B398"/>
    </row>
    <row r="399" spans="1:2" ht="15" x14ac:dyDescent="0.25">
      <c r="A399"/>
      <c r="B399"/>
    </row>
    <row r="400" spans="1:2" ht="15" x14ac:dyDescent="0.25">
      <c r="A400"/>
      <c r="B400"/>
    </row>
    <row r="401" spans="1:2" ht="15" x14ac:dyDescent="0.25">
      <c r="A401"/>
      <c r="B401"/>
    </row>
    <row r="402" spans="1:2" ht="15" x14ac:dyDescent="0.25">
      <c r="A402"/>
      <c r="B402"/>
    </row>
    <row r="403" spans="1:2" ht="15" x14ac:dyDescent="0.25">
      <c r="A403"/>
      <c r="B403"/>
    </row>
    <row r="404" spans="1:2" ht="15" x14ac:dyDescent="0.25">
      <c r="A404"/>
      <c r="B404"/>
    </row>
    <row r="405" spans="1:2" ht="15" x14ac:dyDescent="0.25">
      <c r="A405"/>
      <c r="B405"/>
    </row>
    <row r="406" spans="1:2" ht="15" x14ac:dyDescent="0.25">
      <c r="A406"/>
      <c r="B406"/>
    </row>
    <row r="407" spans="1:2" ht="15" x14ac:dyDescent="0.25">
      <c r="A407"/>
      <c r="B407"/>
    </row>
    <row r="408" spans="1:2" ht="15" x14ac:dyDescent="0.25">
      <c r="A408"/>
      <c r="B408"/>
    </row>
    <row r="409" spans="1:2" ht="15" x14ac:dyDescent="0.25">
      <c r="A409"/>
      <c r="B409"/>
    </row>
    <row r="410" spans="1:2" ht="15" x14ac:dyDescent="0.25">
      <c r="A410"/>
      <c r="B410"/>
    </row>
    <row r="411" spans="1:2" ht="15" x14ac:dyDescent="0.25">
      <c r="A411"/>
      <c r="B411"/>
    </row>
    <row r="412" spans="1:2" ht="15" x14ac:dyDescent="0.25">
      <c r="A412"/>
      <c r="B412"/>
    </row>
    <row r="413" spans="1:2" ht="15" x14ac:dyDescent="0.25">
      <c r="A413"/>
      <c r="B413"/>
    </row>
    <row r="414" spans="1:2" ht="15" x14ac:dyDescent="0.25">
      <c r="A414"/>
      <c r="B414"/>
    </row>
    <row r="415" spans="1:2" ht="15" x14ac:dyDescent="0.25">
      <c r="A415"/>
      <c r="B415"/>
    </row>
    <row r="416" spans="1:2" ht="15" x14ac:dyDescent="0.25">
      <c r="A416"/>
      <c r="B416"/>
    </row>
    <row r="417" spans="1:2" ht="15" x14ac:dyDescent="0.25">
      <c r="A417"/>
      <c r="B417"/>
    </row>
    <row r="418" spans="1:2" ht="15" x14ac:dyDescent="0.25">
      <c r="A418"/>
      <c r="B418"/>
    </row>
    <row r="419" spans="1:2" ht="15" x14ac:dyDescent="0.25">
      <c r="A419"/>
      <c r="B419"/>
    </row>
    <row r="420" spans="1:2" ht="15" x14ac:dyDescent="0.25">
      <c r="A420"/>
      <c r="B420"/>
    </row>
    <row r="421" spans="1:2" ht="15" x14ac:dyDescent="0.25">
      <c r="A421"/>
      <c r="B421"/>
    </row>
    <row r="422" spans="1:2" ht="15" x14ac:dyDescent="0.25">
      <c r="A422"/>
      <c r="B422"/>
    </row>
    <row r="423" spans="1:2" ht="15" x14ac:dyDescent="0.25">
      <c r="A423"/>
      <c r="B423"/>
    </row>
    <row r="424" spans="1:2" ht="15" x14ac:dyDescent="0.25">
      <c r="A424"/>
      <c r="B424"/>
    </row>
    <row r="425" spans="1:2" ht="15" x14ac:dyDescent="0.25">
      <c r="A425"/>
      <c r="B425"/>
    </row>
    <row r="426" spans="1:2" ht="15" x14ac:dyDescent="0.25">
      <c r="A426"/>
      <c r="B426"/>
    </row>
    <row r="427" spans="1:2" ht="15" x14ac:dyDescent="0.25">
      <c r="A427"/>
      <c r="B427"/>
    </row>
    <row r="428" spans="1:2" ht="15" x14ac:dyDescent="0.25">
      <c r="A428"/>
      <c r="B428"/>
    </row>
    <row r="429" spans="1:2" ht="15" x14ac:dyDescent="0.25">
      <c r="A429"/>
      <c r="B429"/>
    </row>
    <row r="430" spans="1:2" ht="15" x14ac:dyDescent="0.25">
      <c r="A430"/>
      <c r="B430"/>
    </row>
    <row r="431" spans="1:2" ht="15" x14ac:dyDescent="0.25">
      <c r="A431"/>
      <c r="B431"/>
    </row>
    <row r="432" spans="1:2" ht="15" x14ac:dyDescent="0.25">
      <c r="A432"/>
      <c r="B432"/>
    </row>
    <row r="433" spans="1:2" ht="15" x14ac:dyDescent="0.25">
      <c r="A433"/>
      <c r="B433"/>
    </row>
    <row r="434" spans="1:2" ht="15" x14ac:dyDescent="0.25">
      <c r="A434"/>
      <c r="B434"/>
    </row>
    <row r="435" spans="1:2" ht="15" x14ac:dyDescent="0.25">
      <c r="A435"/>
      <c r="B435"/>
    </row>
    <row r="436" spans="1:2" ht="15" x14ac:dyDescent="0.25">
      <c r="A436"/>
      <c r="B436"/>
    </row>
    <row r="437" spans="1:2" ht="15" x14ac:dyDescent="0.25">
      <c r="A437"/>
      <c r="B437"/>
    </row>
    <row r="438" spans="1:2" ht="15" x14ac:dyDescent="0.25">
      <c r="A438"/>
      <c r="B438"/>
    </row>
    <row r="439" spans="1:2" ht="15" x14ac:dyDescent="0.25">
      <c r="A439"/>
      <c r="B439"/>
    </row>
    <row r="440" spans="1:2" ht="15" x14ac:dyDescent="0.25">
      <c r="A440"/>
      <c r="B440"/>
    </row>
    <row r="441" spans="1:2" ht="15" x14ac:dyDescent="0.25">
      <c r="A441"/>
      <c r="B441"/>
    </row>
    <row r="442" spans="1:2" ht="15" x14ac:dyDescent="0.25">
      <c r="A442"/>
      <c r="B442"/>
    </row>
    <row r="443" spans="1:2" ht="15" x14ac:dyDescent="0.25">
      <c r="A443"/>
      <c r="B443"/>
    </row>
    <row r="444" spans="1:2" ht="15" x14ac:dyDescent="0.25">
      <c r="A444"/>
      <c r="B444"/>
    </row>
    <row r="445" spans="1:2" ht="15" x14ac:dyDescent="0.25">
      <c r="A445"/>
      <c r="B445"/>
    </row>
    <row r="446" spans="1:2" ht="15" x14ac:dyDescent="0.25">
      <c r="A446"/>
      <c r="B446"/>
    </row>
    <row r="447" spans="1:2" ht="15" x14ac:dyDescent="0.25">
      <c r="A447"/>
      <c r="B447"/>
    </row>
    <row r="448" spans="1:2" ht="15" x14ac:dyDescent="0.25">
      <c r="A448"/>
      <c r="B448"/>
    </row>
    <row r="449" spans="1:2" ht="15" x14ac:dyDescent="0.25">
      <c r="A449"/>
      <c r="B449"/>
    </row>
    <row r="450" spans="1:2" ht="15" x14ac:dyDescent="0.25">
      <c r="A450"/>
      <c r="B450"/>
    </row>
    <row r="451" spans="1:2" ht="15" x14ac:dyDescent="0.25">
      <c r="A451"/>
      <c r="B451"/>
    </row>
    <row r="452" spans="1:2" ht="15" x14ac:dyDescent="0.25">
      <c r="A452"/>
      <c r="B452"/>
    </row>
    <row r="453" spans="1:2" ht="15" x14ac:dyDescent="0.25">
      <c r="A453"/>
      <c r="B453"/>
    </row>
    <row r="454" spans="1:2" ht="15" x14ac:dyDescent="0.25">
      <c r="A454"/>
      <c r="B454"/>
    </row>
    <row r="455" spans="1:2" ht="15" x14ac:dyDescent="0.25">
      <c r="A455"/>
      <c r="B455"/>
    </row>
    <row r="456" spans="1:2" ht="15" x14ac:dyDescent="0.25">
      <c r="A456"/>
      <c r="B456"/>
    </row>
    <row r="457" spans="1:2" ht="15" x14ac:dyDescent="0.25">
      <c r="A457"/>
      <c r="B457"/>
    </row>
    <row r="458" spans="1:2" ht="15" x14ac:dyDescent="0.25">
      <c r="A458"/>
      <c r="B458"/>
    </row>
    <row r="459" spans="1:2" ht="15" x14ac:dyDescent="0.25">
      <c r="A459"/>
      <c r="B459"/>
    </row>
    <row r="460" spans="1:2" ht="15" x14ac:dyDescent="0.25">
      <c r="A460"/>
      <c r="B460"/>
    </row>
    <row r="461" spans="1:2" ht="15" x14ac:dyDescent="0.25">
      <c r="A461"/>
      <c r="B461"/>
    </row>
    <row r="462" spans="1:2" ht="15" x14ac:dyDescent="0.25">
      <c r="A462"/>
      <c r="B462"/>
    </row>
    <row r="463" spans="1:2" ht="15" x14ac:dyDescent="0.25">
      <c r="A463"/>
      <c r="B463"/>
    </row>
    <row r="464" spans="1:2" ht="15" x14ac:dyDescent="0.25">
      <c r="A464"/>
      <c r="B464"/>
    </row>
    <row r="465" spans="1:2" ht="15" x14ac:dyDescent="0.25">
      <c r="A465"/>
      <c r="B465"/>
    </row>
    <row r="466" spans="1:2" ht="15" x14ac:dyDescent="0.25">
      <c r="A466"/>
      <c r="B466"/>
    </row>
    <row r="467" spans="1:2" ht="15" x14ac:dyDescent="0.25">
      <c r="A467"/>
      <c r="B467"/>
    </row>
    <row r="468" spans="1:2" ht="15" x14ac:dyDescent="0.25">
      <c r="A468"/>
      <c r="B468"/>
    </row>
    <row r="469" spans="1:2" ht="15" x14ac:dyDescent="0.25">
      <c r="A469"/>
      <c r="B469"/>
    </row>
    <row r="470" spans="1:2" ht="15" x14ac:dyDescent="0.25">
      <c r="A470"/>
      <c r="B470"/>
    </row>
    <row r="471" spans="1:2" ht="15" x14ac:dyDescent="0.25">
      <c r="A471"/>
      <c r="B471"/>
    </row>
    <row r="472" spans="1:2" ht="15" x14ac:dyDescent="0.25">
      <c r="A472"/>
      <c r="B472"/>
    </row>
    <row r="473" spans="1:2" ht="15" x14ac:dyDescent="0.25">
      <c r="A473"/>
      <c r="B473"/>
    </row>
    <row r="474" spans="1:2" ht="15" x14ac:dyDescent="0.25">
      <c r="A474"/>
      <c r="B474"/>
    </row>
    <row r="475" spans="1:2" ht="15" x14ac:dyDescent="0.25">
      <c r="A475"/>
      <c r="B475"/>
    </row>
    <row r="476" spans="1:2" ht="15" x14ac:dyDescent="0.25">
      <c r="A476"/>
      <c r="B476"/>
    </row>
    <row r="477" spans="1:2" ht="15" x14ac:dyDescent="0.25">
      <c r="A477"/>
      <c r="B477"/>
    </row>
    <row r="478" spans="1:2" ht="15" x14ac:dyDescent="0.25">
      <c r="A478"/>
      <c r="B478"/>
    </row>
    <row r="479" spans="1:2" ht="15" x14ac:dyDescent="0.25">
      <c r="A479"/>
      <c r="B479"/>
    </row>
    <row r="480" spans="1:2" ht="15" x14ac:dyDescent="0.25">
      <c r="A480"/>
      <c r="B480"/>
    </row>
    <row r="481" spans="1:2" ht="15" x14ac:dyDescent="0.25">
      <c r="A481"/>
      <c r="B481"/>
    </row>
    <row r="482" spans="1:2" ht="15" x14ac:dyDescent="0.25">
      <c r="A482"/>
      <c r="B482"/>
    </row>
    <row r="483" spans="1:2" ht="15" x14ac:dyDescent="0.25">
      <c r="A483"/>
      <c r="B483"/>
    </row>
    <row r="484" spans="1:2" ht="15" x14ac:dyDescent="0.25">
      <c r="A484"/>
      <c r="B484"/>
    </row>
    <row r="485" spans="1:2" ht="15" x14ac:dyDescent="0.25">
      <c r="A485"/>
      <c r="B485"/>
    </row>
    <row r="486" spans="1:2" ht="15" x14ac:dyDescent="0.25">
      <c r="A486"/>
      <c r="B486"/>
    </row>
    <row r="487" spans="1:2" ht="15" x14ac:dyDescent="0.25">
      <c r="A487"/>
      <c r="B487"/>
    </row>
    <row r="488" spans="1:2" ht="15" x14ac:dyDescent="0.25">
      <c r="A488"/>
      <c r="B488"/>
    </row>
    <row r="489" spans="1:2" ht="15" x14ac:dyDescent="0.25">
      <c r="A489"/>
      <c r="B489"/>
    </row>
    <row r="490" spans="1:2" ht="15" x14ac:dyDescent="0.25">
      <c r="A490"/>
      <c r="B490"/>
    </row>
    <row r="491" spans="1:2" ht="15" x14ac:dyDescent="0.25">
      <c r="A491"/>
      <c r="B491"/>
    </row>
    <row r="492" spans="1:2" ht="15" x14ac:dyDescent="0.25">
      <c r="A492"/>
      <c r="B492"/>
    </row>
    <row r="493" spans="1:2" ht="15" x14ac:dyDescent="0.25">
      <c r="A493"/>
      <c r="B493"/>
    </row>
    <row r="494" spans="1:2" ht="15" x14ac:dyDescent="0.25">
      <c r="A494"/>
      <c r="B494"/>
    </row>
    <row r="495" spans="1:2" ht="15" x14ac:dyDescent="0.25">
      <c r="A495"/>
      <c r="B495"/>
    </row>
    <row r="496" spans="1:2" ht="15" x14ac:dyDescent="0.25">
      <c r="A496"/>
      <c r="B496"/>
    </row>
    <row r="497" spans="1:2" ht="15" x14ac:dyDescent="0.25">
      <c r="A497"/>
      <c r="B497"/>
    </row>
    <row r="498" spans="1:2" ht="15" x14ac:dyDescent="0.25">
      <c r="A498"/>
      <c r="B498"/>
    </row>
    <row r="499" spans="1:2" ht="15" x14ac:dyDescent="0.25">
      <c r="A499"/>
      <c r="B499"/>
    </row>
    <row r="500" spans="1:2" ht="15" x14ac:dyDescent="0.25">
      <c r="A500"/>
      <c r="B500"/>
    </row>
    <row r="501" spans="1:2" ht="15" x14ac:dyDescent="0.25">
      <c r="A501"/>
      <c r="B501"/>
    </row>
    <row r="502" spans="1:2" ht="15" x14ac:dyDescent="0.25">
      <c r="A502"/>
      <c r="B502"/>
    </row>
    <row r="503" spans="1:2" ht="15" x14ac:dyDescent="0.25">
      <c r="A503"/>
      <c r="B503"/>
    </row>
    <row r="504" spans="1:2" ht="15" x14ac:dyDescent="0.25">
      <c r="A504"/>
      <c r="B504"/>
    </row>
    <row r="505" spans="1:2" ht="15" x14ac:dyDescent="0.25">
      <c r="A505"/>
      <c r="B505"/>
    </row>
    <row r="506" spans="1:2" ht="15" x14ac:dyDescent="0.25">
      <c r="A506"/>
      <c r="B506"/>
    </row>
    <row r="507" spans="1:2" ht="15" x14ac:dyDescent="0.25">
      <c r="A507"/>
      <c r="B507"/>
    </row>
    <row r="508" spans="1:2" ht="15" x14ac:dyDescent="0.25">
      <c r="A508"/>
      <c r="B508"/>
    </row>
    <row r="509" spans="1:2" ht="15" x14ac:dyDescent="0.25">
      <c r="A509"/>
      <c r="B509"/>
    </row>
    <row r="510" spans="1:2" ht="15" x14ac:dyDescent="0.25">
      <c r="A510"/>
      <c r="B510"/>
    </row>
    <row r="511" spans="1:2" ht="15" x14ac:dyDescent="0.25">
      <c r="A511"/>
      <c r="B511"/>
    </row>
    <row r="512" spans="1:2" ht="15" x14ac:dyDescent="0.25">
      <c r="A512"/>
      <c r="B512"/>
    </row>
    <row r="513" spans="1:2" ht="15" x14ac:dyDescent="0.25">
      <c r="A513"/>
      <c r="B513"/>
    </row>
    <row r="514" spans="1:2" ht="15" x14ac:dyDescent="0.25">
      <c r="A514"/>
      <c r="B514"/>
    </row>
    <row r="515" spans="1:2" ht="15" x14ac:dyDescent="0.25">
      <c r="A515"/>
      <c r="B515"/>
    </row>
    <row r="516" spans="1:2" ht="15" x14ac:dyDescent="0.25">
      <c r="A516"/>
      <c r="B516"/>
    </row>
    <row r="517" spans="1:2" ht="15" x14ac:dyDescent="0.25">
      <c r="A517"/>
      <c r="B517"/>
    </row>
    <row r="518" spans="1:2" ht="15" x14ac:dyDescent="0.25">
      <c r="A518"/>
      <c r="B518"/>
    </row>
    <row r="519" spans="1:2" ht="15" x14ac:dyDescent="0.25">
      <c r="A519"/>
      <c r="B519"/>
    </row>
    <row r="520" spans="1:2" ht="15" x14ac:dyDescent="0.25">
      <c r="A520"/>
      <c r="B520"/>
    </row>
    <row r="521" spans="1:2" ht="15" x14ac:dyDescent="0.25">
      <c r="A521"/>
      <c r="B521"/>
    </row>
    <row r="522" spans="1:2" ht="15" x14ac:dyDescent="0.25">
      <c r="A522"/>
      <c r="B522"/>
    </row>
    <row r="523" spans="1:2" ht="15" x14ac:dyDescent="0.25">
      <c r="A523"/>
      <c r="B523"/>
    </row>
    <row r="524" spans="1:2" ht="15" x14ac:dyDescent="0.25">
      <c r="A524"/>
      <c r="B524"/>
    </row>
    <row r="525" spans="1:2" ht="15" x14ac:dyDescent="0.25">
      <c r="A525"/>
      <c r="B525"/>
    </row>
    <row r="526" spans="1:2" ht="15" x14ac:dyDescent="0.25">
      <c r="A526"/>
      <c r="B526"/>
    </row>
    <row r="527" spans="1:2" ht="15" x14ac:dyDescent="0.25">
      <c r="A527"/>
      <c r="B527"/>
    </row>
    <row r="528" spans="1:2" ht="15" x14ac:dyDescent="0.25">
      <c r="A528"/>
      <c r="B528"/>
    </row>
    <row r="529" spans="1:2" ht="15" x14ac:dyDescent="0.25">
      <c r="A529"/>
      <c r="B529"/>
    </row>
    <row r="530" spans="1:2" ht="15" x14ac:dyDescent="0.25">
      <c r="A530"/>
      <c r="B530"/>
    </row>
    <row r="531" spans="1:2" ht="15" x14ac:dyDescent="0.25">
      <c r="A531"/>
      <c r="B531"/>
    </row>
    <row r="532" spans="1:2" ht="15" x14ac:dyDescent="0.25">
      <c r="A532"/>
      <c r="B532"/>
    </row>
    <row r="533" spans="1:2" ht="15" x14ac:dyDescent="0.25">
      <c r="A533"/>
      <c r="B533"/>
    </row>
    <row r="534" spans="1:2" ht="15" x14ac:dyDescent="0.25">
      <c r="A534"/>
      <c r="B534"/>
    </row>
    <row r="535" spans="1:2" ht="15" x14ac:dyDescent="0.25">
      <c r="A535"/>
      <c r="B535"/>
    </row>
    <row r="536" spans="1:2" ht="15" x14ac:dyDescent="0.25">
      <c r="A536"/>
      <c r="B536"/>
    </row>
    <row r="537" spans="1:2" ht="15" x14ac:dyDescent="0.25">
      <c r="A537"/>
      <c r="B537"/>
    </row>
    <row r="538" spans="1:2" ht="15" x14ac:dyDescent="0.25">
      <c r="A538"/>
      <c r="B538"/>
    </row>
    <row r="539" spans="1:2" ht="15" x14ac:dyDescent="0.25">
      <c r="A539"/>
      <c r="B539"/>
    </row>
    <row r="540" spans="1:2" ht="15" x14ac:dyDescent="0.25">
      <c r="A540"/>
      <c r="B540"/>
    </row>
    <row r="541" spans="1:2" ht="15" x14ac:dyDescent="0.25">
      <c r="A541"/>
      <c r="B541"/>
    </row>
    <row r="542" spans="1:2" ht="15" x14ac:dyDescent="0.25">
      <c r="A542"/>
      <c r="B542"/>
    </row>
    <row r="543" spans="1:2" ht="15" x14ac:dyDescent="0.25">
      <c r="A543"/>
      <c r="B543"/>
    </row>
    <row r="544" spans="1:2" ht="15" x14ac:dyDescent="0.25">
      <c r="A544"/>
      <c r="B544"/>
    </row>
    <row r="545" spans="1:2" ht="15" x14ac:dyDescent="0.25">
      <c r="A545"/>
      <c r="B545"/>
    </row>
    <row r="546" spans="1:2" ht="15" x14ac:dyDescent="0.25">
      <c r="A546"/>
      <c r="B546"/>
    </row>
    <row r="547" spans="1:2" ht="15" x14ac:dyDescent="0.25">
      <c r="A547"/>
      <c r="B547"/>
    </row>
    <row r="548" spans="1:2" ht="15" x14ac:dyDescent="0.25">
      <c r="A548"/>
      <c r="B548"/>
    </row>
    <row r="549" spans="1:2" ht="15" x14ac:dyDescent="0.25">
      <c r="A549"/>
      <c r="B549"/>
    </row>
    <row r="550" spans="1:2" ht="15" x14ac:dyDescent="0.25">
      <c r="A550"/>
      <c r="B550"/>
    </row>
    <row r="551" spans="1:2" ht="15" x14ac:dyDescent="0.25">
      <c r="A551"/>
      <c r="B551"/>
    </row>
    <row r="552" spans="1:2" ht="15" x14ac:dyDescent="0.25">
      <c r="A552"/>
      <c r="B552"/>
    </row>
    <row r="553" spans="1:2" ht="15" x14ac:dyDescent="0.25">
      <c r="A553"/>
      <c r="B553"/>
    </row>
    <row r="554" spans="1:2" ht="15" x14ac:dyDescent="0.25">
      <c r="A554"/>
      <c r="B554"/>
    </row>
    <row r="555" spans="1:2" ht="15" x14ac:dyDescent="0.25">
      <c r="A555"/>
      <c r="B555"/>
    </row>
    <row r="556" spans="1:2" ht="15" x14ac:dyDescent="0.25">
      <c r="A556"/>
      <c r="B556"/>
    </row>
    <row r="557" spans="1:2" ht="15" x14ac:dyDescent="0.25">
      <c r="A557"/>
      <c r="B557"/>
    </row>
    <row r="558" spans="1:2" ht="15" x14ac:dyDescent="0.25">
      <c r="A558"/>
      <c r="B558"/>
    </row>
    <row r="559" spans="1:2" ht="15" x14ac:dyDescent="0.25">
      <c r="A559"/>
      <c r="B559"/>
    </row>
    <row r="560" spans="1:2" ht="15" x14ac:dyDescent="0.25">
      <c r="A560"/>
      <c r="B560"/>
    </row>
    <row r="561" spans="1:2" ht="15" x14ac:dyDescent="0.25">
      <c r="A561"/>
      <c r="B561"/>
    </row>
    <row r="562" spans="1:2" ht="15" x14ac:dyDescent="0.25">
      <c r="A562"/>
      <c r="B562"/>
    </row>
    <row r="563" spans="1:2" ht="15" x14ac:dyDescent="0.25">
      <c r="A563"/>
      <c r="B563"/>
    </row>
    <row r="564" spans="1:2" ht="15" x14ac:dyDescent="0.25">
      <c r="A564"/>
      <c r="B564"/>
    </row>
    <row r="565" spans="1:2" ht="15" x14ac:dyDescent="0.25">
      <c r="A565"/>
      <c r="B565"/>
    </row>
    <row r="566" spans="1:2" ht="15" x14ac:dyDescent="0.25">
      <c r="A566"/>
      <c r="B566"/>
    </row>
    <row r="567" spans="1:2" ht="15" x14ac:dyDescent="0.25">
      <c r="A567"/>
      <c r="B567"/>
    </row>
    <row r="568" spans="1:2" ht="15" x14ac:dyDescent="0.25">
      <c r="A568"/>
      <c r="B568"/>
    </row>
    <row r="569" spans="1:2" ht="15" x14ac:dyDescent="0.25">
      <c r="A569"/>
      <c r="B569"/>
    </row>
    <row r="570" spans="1:2" ht="15" x14ac:dyDescent="0.25">
      <c r="A570"/>
      <c r="B570"/>
    </row>
    <row r="571" spans="1:2" ht="15" x14ac:dyDescent="0.25">
      <c r="A571"/>
      <c r="B571"/>
    </row>
    <row r="572" spans="1:2" ht="15" x14ac:dyDescent="0.25">
      <c r="A572"/>
      <c r="B572"/>
    </row>
    <row r="573" spans="1:2" ht="15" x14ac:dyDescent="0.25">
      <c r="A573"/>
      <c r="B573"/>
    </row>
    <row r="574" spans="1:2" ht="15" x14ac:dyDescent="0.25">
      <c r="A574"/>
      <c r="B574"/>
    </row>
    <row r="575" spans="1:2" ht="15" x14ac:dyDescent="0.25">
      <c r="A575"/>
      <c r="B575"/>
    </row>
    <row r="576" spans="1:2" ht="15" x14ac:dyDescent="0.25">
      <c r="A576"/>
      <c r="B576"/>
    </row>
    <row r="577" spans="1:2" ht="15" x14ac:dyDescent="0.25">
      <c r="A577"/>
      <c r="B577"/>
    </row>
    <row r="578" spans="1:2" ht="15" x14ac:dyDescent="0.25">
      <c r="A578"/>
      <c r="B578"/>
    </row>
    <row r="579" spans="1:2" ht="15" x14ac:dyDescent="0.25">
      <c r="A579"/>
      <c r="B579"/>
    </row>
    <row r="580" spans="1:2" ht="15" x14ac:dyDescent="0.25">
      <c r="A580"/>
      <c r="B580"/>
    </row>
    <row r="581" spans="1:2" ht="15" x14ac:dyDescent="0.25">
      <c r="A581"/>
      <c r="B581"/>
    </row>
    <row r="582" spans="1:2" ht="15" x14ac:dyDescent="0.25">
      <c r="A582"/>
      <c r="B582"/>
    </row>
    <row r="583" spans="1:2" ht="15" x14ac:dyDescent="0.25">
      <c r="A583"/>
      <c r="B583"/>
    </row>
    <row r="584" spans="1:2" ht="15" x14ac:dyDescent="0.25">
      <c r="A584"/>
      <c r="B584"/>
    </row>
    <row r="585" spans="1:2" ht="15" x14ac:dyDescent="0.25">
      <c r="A585"/>
      <c r="B585"/>
    </row>
    <row r="586" spans="1:2" ht="15" x14ac:dyDescent="0.25">
      <c r="A586"/>
      <c r="B586"/>
    </row>
    <row r="587" spans="1:2" ht="15" x14ac:dyDescent="0.25">
      <c r="A587"/>
      <c r="B587"/>
    </row>
    <row r="588" spans="1:2" ht="15" x14ac:dyDescent="0.25">
      <c r="A588"/>
      <c r="B588"/>
    </row>
    <row r="589" spans="1:2" ht="15" x14ac:dyDescent="0.25">
      <c r="A589"/>
      <c r="B589"/>
    </row>
    <row r="590" spans="1:2" ht="15" x14ac:dyDescent="0.25">
      <c r="A590"/>
      <c r="B590"/>
    </row>
    <row r="591" spans="1:2" ht="15" x14ac:dyDescent="0.25">
      <c r="A591"/>
      <c r="B591"/>
    </row>
    <row r="592" spans="1:2" ht="15" x14ac:dyDescent="0.25">
      <c r="A592"/>
      <c r="B592"/>
    </row>
    <row r="593" spans="1:2" ht="15" x14ac:dyDescent="0.25">
      <c r="A593"/>
      <c r="B593"/>
    </row>
    <row r="594" spans="1:2" ht="15" x14ac:dyDescent="0.25">
      <c r="A594"/>
      <c r="B594"/>
    </row>
    <row r="595" spans="1:2" ht="15" x14ac:dyDescent="0.25">
      <c r="A595"/>
      <c r="B595"/>
    </row>
    <row r="596" spans="1:2" ht="15" x14ac:dyDescent="0.25">
      <c r="A596"/>
      <c r="B596"/>
    </row>
    <row r="597" spans="1:2" ht="15" x14ac:dyDescent="0.25">
      <c r="A597"/>
      <c r="B597"/>
    </row>
    <row r="598" spans="1:2" ht="15" x14ac:dyDescent="0.25">
      <c r="A598"/>
      <c r="B598"/>
    </row>
    <row r="599" spans="1:2" ht="15" x14ac:dyDescent="0.25">
      <c r="A599"/>
      <c r="B599"/>
    </row>
    <row r="600" spans="1:2" ht="15" x14ac:dyDescent="0.25">
      <c r="A600"/>
      <c r="B600"/>
    </row>
    <row r="601" spans="1:2" ht="15" x14ac:dyDescent="0.25">
      <c r="A601"/>
      <c r="B601"/>
    </row>
    <row r="602" spans="1:2" ht="15" x14ac:dyDescent="0.25">
      <c r="A602"/>
      <c r="B602"/>
    </row>
    <row r="603" spans="1:2" ht="15" x14ac:dyDescent="0.25">
      <c r="A603"/>
      <c r="B603"/>
    </row>
    <row r="604" spans="1:2" ht="15" x14ac:dyDescent="0.25">
      <c r="A604"/>
      <c r="B604"/>
    </row>
    <row r="605" spans="1:2" ht="15" x14ac:dyDescent="0.25">
      <c r="A605"/>
      <c r="B605"/>
    </row>
    <row r="606" spans="1:2" ht="15" x14ac:dyDescent="0.25">
      <c r="A606"/>
      <c r="B606"/>
    </row>
    <row r="607" spans="1:2" ht="15" x14ac:dyDescent="0.25">
      <c r="A607"/>
      <c r="B607"/>
    </row>
    <row r="608" spans="1:2" ht="15" x14ac:dyDescent="0.25">
      <c r="A608"/>
      <c r="B608"/>
    </row>
    <row r="609" spans="1:2" ht="15" x14ac:dyDescent="0.25">
      <c r="A609"/>
      <c r="B609"/>
    </row>
    <row r="610" spans="1:2" ht="15" x14ac:dyDescent="0.25">
      <c r="A610"/>
      <c r="B610"/>
    </row>
    <row r="611" spans="1:2" ht="15" x14ac:dyDescent="0.25">
      <c r="A611"/>
      <c r="B611"/>
    </row>
    <row r="612" spans="1:2" ht="15" x14ac:dyDescent="0.25">
      <c r="A612"/>
      <c r="B612"/>
    </row>
    <row r="613" spans="1:2" ht="15" x14ac:dyDescent="0.25">
      <c r="A613"/>
      <c r="B613"/>
    </row>
    <row r="614" spans="1:2" ht="15" x14ac:dyDescent="0.25">
      <c r="A614"/>
      <c r="B614"/>
    </row>
    <row r="615" spans="1:2" ht="15" x14ac:dyDescent="0.25">
      <c r="A615"/>
      <c r="B615"/>
    </row>
    <row r="616" spans="1:2" ht="15" x14ac:dyDescent="0.25">
      <c r="A616"/>
      <c r="B616"/>
    </row>
    <row r="617" spans="1:2" ht="15" x14ac:dyDescent="0.25">
      <c r="A617"/>
      <c r="B617"/>
    </row>
    <row r="618" spans="1:2" ht="15" x14ac:dyDescent="0.25">
      <c r="A618"/>
      <c r="B618"/>
    </row>
    <row r="619" spans="1:2" ht="15" x14ac:dyDescent="0.25">
      <c r="A619"/>
      <c r="B619"/>
    </row>
    <row r="620" spans="1:2" ht="15" x14ac:dyDescent="0.25">
      <c r="A620"/>
      <c r="B620"/>
    </row>
    <row r="621" spans="1:2" ht="15" x14ac:dyDescent="0.25">
      <c r="A621"/>
      <c r="B621"/>
    </row>
    <row r="622" spans="1:2" ht="15" x14ac:dyDescent="0.25">
      <c r="A622"/>
      <c r="B622"/>
    </row>
    <row r="623" spans="1:2" ht="15" x14ac:dyDescent="0.25">
      <c r="A623"/>
      <c r="B623"/>
    </row>
    <row r="624" spans="1:2" ht="15" x14ac:dyDescent="0.25">
      <c r="A624"/>
      <c r="B624"/>
    </row>
    <row r="625" spans="1:2" ht="15" x14ac:dyDescent="0.25">
      <c r="A625"/>
      <c r="B625"/>
    </row>
    <row r="626" spans="1:2" ht="15" x14ac:dyDescent="0.25">
      <c r="A626"/>
      <c r="B626"/>
    </row>
    <row r="627" spans="1:2" ht="15" x14ac:dyDescent="0.25">
      <c r="A627"/>
      <c r="B627"/>
    </row>
    <row r="628" spans="1:2" ht="15" x14ac:dyDescent="0.25">
      <c r="A628"/>
      <c r="B628"/>
    </row>
    <row r="629" spans="1:2" ht="15" x14ac:dyDescent="0.25">
      <c r="A629"/>
      <c r="B629"/>
    </row>
    <row r="630" spans="1:2" ht="15" x14ac:dyDescent="0.25">
      <c r="A630"/>
      <c r="B630"/>
    </row>
    <row r="631" spans="1:2" ht="15" x14ac:dyDescent="0.25">
      <c r="A631"/>
      <c r="B631"/>
    </row>
    <row r="632" spans="1:2" ht="15" x14ac:dyDescent="0.25">
      <c r="A632"/>
      <c r="B632"/>
    </row>
    <row r="633" spans="1:2" ht="15" x14ac:dyDescent="0.25">
      <c r="A633"/>
      <c r="B633"/>
    </row>
    <row r="634" spans="1:2" ht="15" x14ac:dyDescent="0.25">
      <c r="A634"/>
      <c r="B634"/>
    </row>
    <row r="635" spans="1:2" ht="15" x14ac:dyDescent="0.25">
      <c r="A635"/>
      <c r="B635"/>
    </row>
    <row r="636" spans="1:2" ht="15" x14ac:dyDescent="0.25">
      <c r="A636"/>
      <c r="B636"/>
    </row>
    <row r="637" spans="1:2" ht="15" x14ac:dyDescent="0.25">
      <c r="A637"/>
      <c r="B637"/>
    </row>
    <row r="638" spans="1:2" ht="15" x14ac:dyDescent="0.25">
      <c r="A638"/>
      <c r="B638"/>
    </row>
    <row r="639" spans="1:2" ht="15" x14ac:dyDescent="0.25">
      <c r="A639"/>
      <c r="B639"/>
    </row>
    <row r="640" spans="1:2" ht="15" x14ac:dyDescent="0.25">
      <c r="A640"/>
      <c r="B640"/>
    </row>
    <row r="641" spans="1:2" ht="15" x14ac:dyDescent="0.25">
      <c r="A641"/>
      <c r="B641"/>
    </row>
    <row r="642" spans="1:2" ht="15" x14ac:dyDescent="0.25">
      <c r="A642"/>
      <c r="B642"/>
    </row>
    <row r="643" spans="1:2" ht="15" x14ac:dyDescent="0.25">
      <c r="A643"/>
      <c r="B643"/>
    </row>
    <row r="644" spans="1:2" ht="15" x14ac:dyDescent="0.25">
      <c r="A644"/>
      <c r="B644"/>
    </row>
    <row r="645" spans="1:2" ht="15" x14ac:dyDescent="0.25">
      <c r="A645"/>
      <c r="B645"/>
    </row>
    <row r="646" spans="1:2" ht="15" x14ac:dyDescent="0.25">
      <c r="A646"/>
      <c r="B646"/>
    </row>
    <row r="647" spans="1:2" ht="15.75" thickBot="1" x14ac:dyDescent="0.3">
      <c r="A647"/>
      <c r="B647"/>
    </row>
    <row r="648" spans="1:2" ht="13.5" thickTop="1" x14ac:dyDescent="0.2"/>
  </sheetData>
  <pageMargins left="0.75" right="0.75" top="1" bottom="1" header="0.5" footer="0.5"/>
  <pageSetup paperSize="9" scale="92" fitToHeight="0" orientation="portrait" verticalDpi="0" r:id="rId2"/>
  <headerFooter alignWithMargins="0">
    <oddFooter xml:space="preserve">&amp;LPrinting date: &amp;D&amp;CPage &amp;P / &amp;N&amp;R&amp;F - &amp;A </oddFooter>
  </headerFooter>
  <customProperties>
    <customPr name="EpmWorksheetKeyString_GUID" r:id="rId3"/>
  </customProperties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1">
    <tabColor rgb="FFC00000"/>
  </sheetPr>
  <dimension ref="A3:J31"/>
  <sheetViews>
    <sheetView showGridLines="0" showZeros="0" zoomScale="85" zoomScaleNormal="85" workbookViewId="0">
      <pane ySplit="10" topLeftCell="A11" activePane="bottomLeft" state="frozen"/>
      <selection pane="bottomLeft" activeCell="A11" sqref="A11"/>
    </sheetView>
  </sheetViews>
  <sheetFormatPr defaultColWidth="11.42578125" defaultRowHeight="15" x14ac:dyDescent="0.25"/>
  <cols>
    <col min="1" max="1" width="14.28515625" customWidth="1"/>
    <col min="2" max="2" width="35.7109375" customWidth="1"/>
    <col min="3" max="3" width="12" bestFit="1" customWidth="1"/>
    <col min="4" max="4" width="13.42578125" customWidth="1"/>
    <col min="5" max="5" width="21.7109375" customWidth="1"/>
    <col min="6" max="6" width="10.7109375" customWidth="1"/>
    <col min="7" max="7" width="9.7109375" customWidth="1"/>
    <col min="8" max="8" width="10.5703125" customWidth="1"/>
    <col min="9" max="9" width="8.42578125" customWidth="1"/>
    <col min="10" max="12" width="9.28515625" customWidth="1"/>
  </cols>
  <sheetData>
    <row r="3" spans="1:10" x14ac:dyDescent="0.25">
      <c r="A3" s="71" t="s">
        <v>409</v>
      </c>
      <c r="B3" s="72" t="s">
        <v>138</v>
      </c>
    </row>
    <row r="4" spans="1:10" x14ac:dyDescent="0.25">
      <c r="A4" s="71" t="s">
        <v>417</v>
      </c>
      <c r="B4" s="72" t="s">
        <v>138</v>
      </c>
    </row>
    <row r="5" spans="1:10" x14ac:dyDescent="0.25">
      <c r="A5" s="71" t="s">
        <v>438</v>
      </c>
      <c r="B5" s="72" t="s">
        <v>138</v>
      </c>
    </row>
    <row r="6" spans="1:10" x14ac:dyDescent="0.25">
      <c r="A6" s="71" t="s">
        <v>367</v>
      </c>
      <c r="B6" s="72" t="s">
        <v>138</v>
      </c>
    </row>
    <row r="7" spans="1:10" x14ac:dyDescent="0.25">
      <c r="A7" s="71" t="s">
        <v>434</v>
      </c>
      <c r="B7" s="72" t="s">
        <v>138</v>
      </c>
    </row>
    <row r="8" spans="1:10" x14ac:dyDescent="0.25">
      <c r="A8" s="71" t="s">
        <v>405</v>
      </c>
      <c r="B8" s="72" t="s">
        <v>138</v>
      </c>
    </row>
    <row r="10" spans="1:10" x14ac:dyDescent="0.25">
      <c r="A10" s="1" t="s">
        <v>432</v>
      </c>
      <c r="B10" s="74" t="s">
        <v>412</v>
      </c>
      <c r="C10" s="74" t="s">
        <v>360</v>
      </c>
      <c r="D10" s="74" t="s">
        <v>355</v>
      </c>
      <c r="E10" s="74" t="s">
        <v>362</v>
      </c>
      <c r="F10" s="78" t="s">
        <v>423</v>
      </c>
      <c r="G10" s="82" t="s">
        <v>424</v>
      </c>
      <c r="H10" s="82" t="s">
        <v>425</v>
      </c>
      <c r="I10" s="82" t="s">
        <v>428</v>
      </c>
      <c r="J10" s="79" t="s">
        <v>429</v>
      </c>
    </row>
    <row r="11" spans="1:10" x14ac:dyDescent="0.25">
      <c r="A11" s="55">
        <v>41275</v>
      </c>
      <c r="B11" s="75" t="s">
        <v>265</v>
      </c>
      <c r="C11" s="73" t="s">
        <v>242</v>
      </c>
      <c r="D11" s="75" t="s">
        <v>244</v>
      </c>
      <c r="E11" s="73" t="s">
        <v>247</v>
      </c>
      <c r="F11" s="84">
        <v>0</v>
      </c>
      <c r="G11" s="85">
        <v>0</v>
      </c>
      <c r="H11" s="85">
        <v>-20</v>
      </c>
      <c r="I11" s="87">
        <v>0</v>
      </c>
      <c r="J11" s="88">
        <v>0</v>
      </c>
    </row>
    <row r="12" spans="1:10" x14ac:dyDescent="0.25">
      <c r="A12" s="89"/>
      <c r="B12" s="90"/>
      <c r="C12" s="90"/>
      <c r="D12" s="90"/>
      <c r="E12" s="90"/>
      <c r="F12" s="91"/>
      <c r="G12" s="92"/>
      <c r="H12" s="92"/>
      <c r="I12" s="93"/>
      <c r="J12" s="94"/>
    </row>
    <row r="13" spans="1:10" ht="15.75" thickBot="1" x14ac:dyDescent="0.3">
      <c r="A13" s="56" t="s">
        <v>137</v>
      </c>
      <c r="B13" s="14"/>
      <c r="C13" s="14"/>
      <c r="D13" s="14"/>
      <c r="E13" s="14"/>
      <c r="F13" s="54">
        <v>0</v>
      </c>
      <c r="G13" s="54">
        <v>0</v>
      </c>
      <c r="H13" s="54">
        <v>-20</v>
      </c>
      <c r="I13" s="57">
        <v>0</v>
      </c>
      <c r="J13" s="58">
        <v>0</v>
      </c>
    </row>
    <row r="14" spans="1:10" ht="15.75" thickTop="1" x14ac:dyDescent="0.25"/>
    <row r="15" spans="1:10" ht="15.75" thickBot="1" x14ac:dyDescent="0.3"/>
    <row r="16" spans="1:10" ht="15.75" thickTop="1" x14ac:dyDescent="0.25"/>
    <row r="18" ht="15.75" thickBot="1" x14ac:dyDescent="0.3"/>
    <row r="19" ht="15.75" thickTop="1" x14ac:dyDescent="0.25"/>
    <row r="23" ht="15.75" thickBot="1" x14ac:dyDescent="0.3"/>
    <row r="24" ht="15.75" thickTop="1" x14ac:dyDescent="0.25"/>
    <row r="25" ht="15.75" thickBot="1" x14ac:dyDescent="0.3"/>
    <row r="26" ht="15.75" thickTop="1" x14ac:dyDescent="0.25"/>
    <row r="28" ht="15.75" thickBot="1" x14ac:dyDescent="0.3"/>
    <row r="29" ht="15.75" thickTop="1" x14ac:dyDescent="0.25"/>
    <row r="30" ht="15.75" thickBot="1" x14ac:dyDescent="0.3"/>
    <row r="31" ht="15.75" thickTop="1" x14ac:dyDescent="0.25"/>
  </sheetData>
  <pageMargins left="0.7" right="0.7" top="0.75" bottom="0.75" header="0.3" footer="0.3"/>
  <customProperties>
    <customPr name="EpmWorksheetKeyString_GUID" r:id="rId2"/>
  </customPropertie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2">
    <tabColor rgb="FFFF8080"/>
  </sheetPr>
  <dimension ref="A1:L99"/>
  <sheetViews>
    <sheetView showGridLines="0" showZeros="0" zoomScale="85" zoomScaleNormal="85" workbookViewId="0">
      <pane ySplit="13" topLeftCell="A14" activePane="bottomLeft" state="frozen"/>
      <selection pane="bottomLeft" activeCell="A13" sqref="A13"/>
    </sheetView>
  </sheetViews>
  <sheetFormatPr defaultColWidth="11.42578125" defaultRowHeight="15" x14ac:dyDescent="0.25"/>
  <cols>
    <col min="1" max="1" width="19.7109375" customWidth="1"/>
    <col min="2" max="2" width="11.5703125" bestFit="1" customWidth="1"/>
    <col min="3" max="3" width="35" customWidth="1"/>
    <col min="4" max="5" width="12.42578125" customWidth="1"/>
    <col min="6" max="6" width="11.28515625" customWidth="1"/>
    <col min="7" max="7" width="12" customWidth="1"/>
    <col min="8" max="8" width="10.7109375" customWidth="1"/>
    <col min="9" max="9" width="9.7109375" customWidth="1"/>
    <col min="10" max="10" width="10.5703125" customWidth="1"/>
    <col min="11" max="11" width="8.42578125" customWidth="1"/>
    <col min="12" max="13" width="9.28515625" customWidth="1"/>
  </cols>
  <sheetData>
    <row r="1" spans="1:12" ht="30" customHeight="1" x14ac:dyDescent="0.25"/>
    <row r="4" spans="1:12" x14ac:dyDescent="0.25">
      <c r="A4" s="71" t="s">
        <v>362</v>
      </c>
      <c r="B4" s="72" t="s">
        <v>138</v>
      </c>
    </row>
    <row r="5" spans="1:12" x14ac:dyDescent="0.25">
      <c r="A5" s="71" t="s">
        <v>409</v>
      </c>
      <c r="B5" s="72" t="s">
        <v>138</v>
      </c>
    </row>
    <row r="6" spans="1:12" x14ac:dyDescent="0.25">
      <c r="A6" s="71" t="s">
        <v>417</v>
      </c>
      <c r="B6" s="72" t="s">
        <v>138</v>
      </c>
    </row>
    <row r="7" spans="1:12" x14ac:dyDescent="0.25">
      <c r="A7" s="71" t="s">
        <v>438</v>
      </c>
      <c r="B7" s="72" t="s">
        <v>138</v>
      </c>
    </row>
    <row r="8" spans="1:12" x14ac:dyDescent="0.25">
      <c r="A8" s="71" t="s">
        <v>355</v>
      </c>
      <c r="B8" s="72" t="s">
        <v>138</v>
      </c>
    </row>
    <row r="9" spans="1:12" x14ac:dyDescent="0.25">
      <c r="A9" s="71" t="s">
        <v>367</v>
      </c>
      <c r="B9" s="72" t="s">
        <v>138</v>
      </c>
    </row>
    <row r="10" spans="1:12" x14ac:dyDescent="0.25">
      <c r="A10" s="71" t="s">
        <v>372</v>
      </c>
      <c r="B10" s="72" t="s">
        <v>138</v>
      </c>
    </row>
    <row r="11" spans="1:12" x14ac:dyDescent="0.25">
      <c r="A11" s="71" t="s">
        <v>440</v>
      </c>
      <c r="B11" s="72" t="s">
        <v>138</v>
      </c>
    </row>
    <row r="13" spans="1:12" x14ac:dyDescent="0.25">
      <c r="A13" s="1" t="s">
        <v>432</v>
      </c>
      <c r="B13" s="74" t="s">
        <v>413</v>
      </c>
      <c r="C13" s="74" t="s">
        <v>412</v>
      </c>
      <c r="D13" s="74" t="s">
        <v>360</v>
      </c>
      <c r="E13" s="78" t="s">
        <v>420</v>
      </c>
      <c r="F13" s="82" t="s">
        <v>421</v>
      </c>
      <c r="G13" s="82" t="s">
        <v>422</v>
      </c>
      <c r="H13" s="82" t="s">
        <v>423</v>
      </c>
      <c r="I13" s="82" t="s">
        <v>424</v>
      </c>
      <c r="J13" s="82" t="s">
        <v>425</v>
      </c>
      <c r="K13" s="82" t="s">
        <v>428</v>
      </c>
      <c r="L13" s="79" t="s">
        <v>429</v>
      </c>
    </row>
    <row r="14" spans="1:12" x14ac:dyDescent="0.25">
      <c r="A14" s="55">
        <v>41275</v>
      </c>
      <c r="B14" s="75" t="s">
        <v>140</v>
      </c>
      <c r="C14" s="73" t="s">
        <v>265</v>
      </c>
      <c r="D14" s="73" t="s">
        <v>242</v>
      </c>
      <c r="E14" s="84">
        <v>0</v>
      </c>
      <c r="F14" s="85">
        <v>0</v>
      </c>
      <c r="G14" s="85">
        <v>0</v>
      </c>
      <c r="H14" s="85">
        <v>0</v>
      </c>
      <c r="I14" s="85">
        <v>0</v>
      </c>
      <c r="J14" s="85">
        <v>-20</v>
      </c>
      <c r="K14" s="87">
        <v>0</v>
      </c>
      <c r="L14" s="88">
        <v>0</v>
      </c>
    </row>
    <row r="15" spans="1:12" x14ac:dyDescent="0.25">
      <c r="A15" s="89"/>
      <c r="B15" s="90"/>
      <c r="C15" s="90"/>
      <c r="D15" s="90"/>
      <c r="E15" s="91"/>
      <c r="F15" s="92"/>
      <c r="G15" s="92"/>
      <c r="H15" s="92"/>
      <c r="I15" s="92"/>
      <c r="J15" s="92"/>
      <c r="K15" s="93"/>
      <c r="L15" s="94"/>
    </row>
    <row r="16" spans="1:12" ht="15.75" thickBot="1" x14ac:dyDescent="0.3">
      <c r="A16" s="56" t="s">
        <v>137</v>
      </c>
      <c r="B16" s="14"/>
      <c r="C16" s="14"/>
      <c r="D16" s="14"/>
      <c r="E16" s="54">
        <v>0</v>
      </c>
      <c r="F16" s="54">
        <v>0</v>
      </c>
      <c r="G16" s="54">
        <v>0</v>
      </c>
      <c r="H16" s="54">
        <v>0</v>
      </c>
      <c r="I16" s="54">
        <v>0</v>
      </c>
      <c r="J16" s="54">
        <v>-20</v>
      </c>
      <c r="K16" s="57">
        <v>0</v>
      </c>
      <c r="L16" s="58">
        <v>0</v>
      </c>
    </row>
    <row r="17" ht="15.75" thickTop="1" x14ac:dyDescent="0.25"/>
    <row r="18" ht="15.75" thickBot="1" x14ac:dyDescent="0.3"/>
    <row r="19" ht="15.75" thickTop="1" x14ac:dyDescent="0.25"/>
    <row r="20" ht="15.75" thickBot="1" x14ac:dyDescent="0.3"/>
    <row r="21" ht="15.75" thickTop="1" x14ac:dyDescent="0.25"/>
    <row r="22" ht="15.75" thickBot="1" x14ac:dyDescent="0.3"/>
    <row r="23" ht="15.75" thickTop="1" x14ac:dyDescent="0.25"/>
    <row r="24" ht="15.75" thickBot="1" x14ac:dyDescent="0.3"/>
    <row r="25" ht="15.75" thickTop="1" x14ac:dyDescent="0.25"/>
    <row r="30" ht="15.75" thickBot="1" x14ac:dyDescent="0.3"/>
    <row r="31" ht="15.75" thickTop="1" x14ac:dyDescent="0.25"/>
    <row r="32" ht="15.75" thickBot="1" x14ac:dyDescent="0.3"/>
    <row r="33" ht="15.75" thickTop="1" x14ac:dyDescent="0.25"/>
    <row r="82" ht="15.75" thickBot="1" x14ac:dyDescent="0.3"/>
    <row r="83" ht="15.75" thickTop="1" x14ac:dyDescent="0.25"/>
    <row r="96" ht="15.75" thickBot="1" x14ac:dyDescent="0.3"/>
    <row r="97" ht="15.75" thickTop="1" x14ac:dyDescent="0.25"/>
    <row r="98" ht="15.75" thickBot="1" x14ac:dyDescent="0.3"/>
    <row r="99" ht="15.75" thickTop="1" x14ac:dyDescent="0.25"/>
  </sheetData>
  <pageMargins left="0.7" right="0.7" top="0.75" bottom="0.75" header="0.3" footer="0.3"/>
  <customProperties>
    <customPr name="EpmWorksheetKeyString_GUID" r:id="rId2"/>
  </customPropertie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>
    <tabColor rgb="FFC00000"/>
  </sheetPr>
  <dimension ref="A4:L24"/>
  <sheetViews>
    <sheetView showGridLines="0" showZeros="0" zoomScale="85" zoomScaleNormal="85" workbookViewId="0">
      <pane ySplit="14" topLeftCell="A15" activePane="bottomLeft" state="frozen"/>
      <selection pane="bottomLeft" activeCell="A15" sqref="A15"/>
    </sheetView>
  </sheetViews>
  <sheetFormatPr defaultColWidth="11.42578125" defaultRowHeight="15" x14ac:dyDescent="0.25"/>
  <cols>
    <col min="1" max="1" width="23.28515625" customWidth="1"/>
    <col min="2" max="2" width="12.42578125" customWidth="1"/>
    <col min="3" max="3" width="39.42578125" customWidth="1"/>
    <col min="4" max="4" width="8.7109375" customWidth="1"/>
    <col min="5" max="5" width="12.42578125" customWidth="1"/>
    <col min="6" max="6" width="11.28515625" customWidth="1"/>
    <col min="7" max="7" width="12" customWidth="1"/>
    <col min="8" max="8" width="11" customWidth="1"/>
    <col min="9" max="9" width="9.7109375" customWidth="1"/>
    <col min="10" max="10" width="10.5703125" customWidth="1"/>
    <col min="11" max="11" width="8.42578125" customWidth="1"/>
    <col min="12" max="12" width="9.28515625" customWidth="1"/>
  </cols>
  <sheetData>
    <row r="4" spans="1:12" x14ac:dyDescent="0.25">
      <c r="A4" s="71" t="s">
        <v>360</v>
      </c>
      <c r="B4" s="72" t="s">
        <v>138</v>
      </c>
    </row>
    <row r="5" spans="1:12" x14ac:dyDescent="0.25">
      <c r="A5" s="71" t="s">
        <v>438</v>
      </c>
      <c r="B5" s="72" t="s">
        <v>138</v>
      </c>
    </row>
    <row r="6" spans="1:12" x14ac:dyDescent="0.25">
      <c r="A6" s="71" t="s">
        <v>432</v>
      </c>
      <c r="B6" s="72" t="s">
        <v>138</v>
      </c>
    </row>
    <row r="7" spans="1:12" x14ac:dyDescent="0.25">
      <c r="A7" s="71" t="s">
        <v>362</v>
      </c>
      <c r="B7" s="72" t="s">
        <v>138</v>
      </c>
    </row>
    <row r="8" spans="1:12" x14ac:dyDescent="0.25">
      <c r="A8" s="71" t="s">
        <v>417</v>
      </c>
      <c r="B8" s="72" t="s">
        <v>138</v>
      </c>
    </row>
    <row r="9" spans="1:12" x14ac:dyDescent="0.25">
      <c r="A9" s="71" t="s">
        <v>355</v>
      </c>
      <c r="B9" s="72" t="s">
        <v>138</v>
      </c>
    </row>
    <row r="10" spans="1:12" x14ac:dyDescent="0.25">
      <c r="A10" s="71" t="s">
        <v>367</v>
      </c>
      <c r="B10" s="72" t="s">
        <v>138</v>
      </c>
    </row>
    <row r="11" spans="1:12" x14ac:dyDescent="0.25">
      <c r="A11" s="71" t="s">
        <v>434</v>
      </c>
      <c r="B11" s="72" t="s">
        <v>138</v>
      </c>
    </row>
    <row r="12" spans="1:12" x14ac:dyDescent="0.25">
      <c r="A12" s="71" t="s">
        <v>406</v>
      </c>
      <c r="B12" s="72" t="s">
        <v>138</v>
      </c>
    </row>
    <row r="14" spans="1:12" x14ac:dyDescent="0.25">
      <c r="A14" s="1" t="s">
        <v>412</v>
      </c>
      <c r="B14" s="74" t="s">
        <v>405</v>
      </c>
      <c r="C14" s="74" t="s">
        <v>409</v>
      </c>
      <c r="D14" s="74" t="s">
        <v>475</v>
      </c>
      <c r="E14" s="78" t="s">
        <v>420</v>
      </c>
      <c r="F14" s="82" t="s">
        <v>421</v>
      </c>
      <c r="G14" s="82" t="s">
        <v>422</v>
      </c>
      <c r="H14" s="82" t="s">
        <v>427</v>
      </c>
      <c r="I14" s="82" t="s">
        <v>424</v>
      </c>
      <c r="J14" s="82" t="s">
        <v>425</v>
      </c>
      <c r="K14" s="82" t="s">
        <v>428</v>
      </c>
      <c r="L14" s="79" t="s">
        <v>429</v>
      </c>
    </row>
    <row r="15" spans="1:12" x14ac:dyDescent="0.25">
      <c r="A15" s="13" t="s">
        <v>265</v>
      </c>
      <c r="B15" s="75" t="s">
        <v>458</v>
      </c>
      <c r="C15" s="73" t="s">
        <v>264</v>
      </c>
      <c r="D15" s="73" t="s">
        <v>476</v>
      </c>
      <c r="E15" s="84">
        <v>0</v>
      </c>
      <c r="F15" s="85">
        <v>0</v>
      </c>
      <c r="G15" s="85">
        <v>0</v>
      </c>
      <c r="H15" s="85">
        <v>0</v>
      </c>
      <c r="I15" s="85">
        <v>0</v>
      </c>
      <c r="J15" s="85">
        <v>-20</v>
      </c>
      <c r="K15" s="87">
        <v>0</v>
      </c>
      <c r="L15" s="88">
        <v>0</v>
      </c>
    </row>
    <row r="16" spans="1:12" x14ac:dyDescent="0.25">
      <c r="A16" s="99"/>
      <c r="B16" s="90"/>
      <c r="C16" s="90"/>
      <c r="D16" s="90"/>
      <c r="E16" s="91"/>
      <c r="F16" s="92"/>
      <c r="G16" s="92"/>
      <c r="H16" s="92"/>
      <c r="I16" s="92"/>
      <c r="J16" s="92"/>
      <c r="K16" s="93"/>
      <c r="L16" s="94"/>
    </row>
    <row r="17" spans="1:12" ht="15.75" thickBot="1" x14ac:dyDescent="0.3">
      <c r="A17" s="2" t="s">
        <v>137</v>
      </c>
      <c r="B17" s="14"/>
      <c r="C17" s="14"/>
      <c r="D17" s="14"/>
      <c r="E17" s="54">
        <v>0</v>
      </c>
      <c r="F17" s="54">
        <v>0</v>
      </c>
      <c r="G17" s="54">
        <v>0</v>
      </c>
      <c r="H17" s="54">
        <v>0</v>
      </c>
      <c r="I17" s="54">
        <v>0</v>
      </c>
      <c r="J17" s="54">
        <v>-20</v>
      </c>
      <c r="K17" s="57">
        <v>0</v>
      </c>
      <c r="L17" s="58">
        <v>0</v>
      </c>
    </row>
    <row r="18" spans="1:12" ht="15.75" thickTop="1" x14ac:dyDescent="0.25"/>
    <row r="19" spans="1:12" ht="15.75" thickTop="1" x14ac:dyDescent="0.25"/>
    <row r="21" spans="1:12" ht="15.75" thickBot="1" x14ac:dyDescent="0.3"/>
    <row r="22" spans="1:12" ht="15.75" thickTop="1" x14ac:dyDescent="0.25"/>
    <row r="23" spans="1:12" ht="15.75" thickBot="1" x14ac:dyDescent="0.3"/>
    <row r="24" spans="1:12" ht="15.75" thickTop="1" x14ac:dyDescent="0.25"/>
  </sheetData>
  <pageMargins left="0.7" right="0.7" top="0.75" bottom="0.75" header="0.3" footer="0.3"/>
  <customProperties>
    <customPr name="EpmWorksheetKeyString_GUID" r:id="rId2"/>
  </customPropertie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81">
    <tabColor rgb="FFC00000"/>
  </sheetPr>
  <dimension ref="A5:J41"/>
  <sheetViews>
    <sheetView showGridLines="0" showZeros="0" zoomScale="85" zoomScaleNormal="85" workbookViewId="0">
      <pane ySplit="14" topLeftCell="A15" activePane="bottomLeft" state="frozen"/>
      <selection pane="bottomLeft" activeCell="A15" sqref="A15"/>
    </sheetView>
  </sheetViews>
  <sheetFormatPr defaultColWidth="11.42578125" defaultRowHeight="15" x14ac:dyDescent="0.25"/>
  <cols>
    <col min="1" max="1" width="14.28515625" customWidth="1"/>
    <col min="2" max="3" width="12.42578125" customWidth="1"/>
    <col min="4" max="4" width="11.28515625" customWidth="1"/>
    <col min="5" max="5" width="12" customWidth="1"/>
    <col min="6" max="6" width="11" customWidth="1"/>
    <col min="7" max="7" width="9.7109375" customWidth="1"/>
    <col min="8" max="8" width="10.5703125" customWidth="1"/>
    <col min="9" max="9" width="8.42578125" customWidth="1"/>
    <col min="10" max="11" width="9.28515625" customWidth="1"/>
  </cols>
  <sheetData>
    <row r="5" spans="1:10" x14ac:dyDescent="0.25">
      <c r="A5" s="71" t="s">
        <v>360</v>
      </c>
      <c r="B5" s="72" t="s">
        <v>138</v>
      </c>
    </row>
    <row r="6" spans="1:10" x14ac:dyDescent="0.25">
      <c r="A6" s="71" t="s">
        <v>438</v>
      </c>
      <c r="B6" s="72" t="s">
        <v>138</v>
      </c>
    </row>
    <row r="7" spans="1:10" x14ac:dyDescent="0.25">
      <c r="A7" s="71" t="s">
        <v>405</v>
      </c>
      <c r="B7" s="72" t="s">
        <v>138</v>
      </c>
    </row>
    <row r="8" spans="1:10" x14ac:dyDescent="0.25">
      <c r="A8" s="71" t="s">
        <v>409</v>
      </c>
      <c r="B8" s="72" t="s">
        <v>138</v>
      </c>
    </row>
    <row r="9" spans="1:10" x14ac:dyDescent="0.25">
      <c r="A9" s="71" t="s">
        <v>417</v>
      </c>
      <c r="B9" s="72" t="s">
        <v>138</v>
      </c>
    </row>
    <row r="10" spans="1:10" x14ac:dyDescent="0.25">
      <c r="A10" s="71" t="s">
        <v>355</v>
      </c>
      <c r="B10" s="72" t="s">
        <v>138</v>
      </c>
    </row>
    <row r="11" spans="1:10" x14ac:dyDescent="0.25">
      <c r="A11" s="71" t="s">
        <v>367</v>
      </c>
      <c r="B11" s="72" t="s">
        <v>138</v>
      </c>
    </row>
    <row r="12" spans="1:10" x14ac:dyDescent="0.25">
      <c r="A12" s="71" t="s">
        <v>434</v>
      </c>
      <c r="B12" s="72" t="s">
        <v>138</v>
      </c>
    </row>
    <row r="14" spans="1:10" x14ac:dyDescent="0.25">
      <c r="A14" s="1" t="s">
        <v>432</v>
      </c>
      <c r="B14" s="74" t="s">
        <v>379</v>
      </c>
      <c r="C14" s="78" t="s">
        <v>420</v>
      </c>
      <c r="D14" s="82" t="s">
        <v>421</v>
      </c>
      <c r="E14" s="82" t="s">
        <v>422</v>
      </c>
      <c r="F14" s="82" t="s">
        <v>427</v>
      </c>
      <c r="G14" s="82" t="s">
        <v>426</v>
      </c>
      <c r="H14" s="82" t="s">
        <v>425</v>
      </c>
      <c r="I14" s="82" t="s">
        <v>428</v>
      </c>
      <c r="J14" s="79" t="s">
        <v>429</v>
      </c>
    </row>
    <row r="15" spans="1:10" x14ac:dyDescent="0.25">
      <c r="A15" s="55">
        <v>41275</v>
      </c>
      <c r="B15" s="73" t="s">
        <v>242</v>
      </c>
      <c r="C15" s="84">
        <v>0</v>
      </c>
      <c r="D15" s="85">
        <v>0</v>
      </c>
      <c r="E15" s="85">
        <v>0</v>
      </c>
      <c r="F15" s="85">
        <v>0</v>
      </c>
      <c r="G15" s="85">
        <v>0</v>
      </c>
      <c r="H15" s="85">
        <v>-20</v>
      </c>
      <c r="I15" s="87">
        <v>0</v>
      </c>
      <c r="J15" s="88">
        <v>0</v>
      </c>
    </row>
    <row r="16" spans="1:10" x14ac:dyDescent="0.25">
      <c r="A16" s="89"/>
      <c r="B16" s="90"/>
      <c r="C16" s="91"/>
      <c r="D16" s="92"/>
      <c r="E16" s="92"/>
      <c r="F16" s="92"/>
      <c r="G16" s="92"/>
      <c r="H16" s="92"/>
      <c r="I16" s="93"/>
      <c r="J16" s="94"/>
    </row>
    <row r="17" spans="1:10" ht="15.75" thickBot="1" x14ac:dyDescent="0.3">
      <c r="A17" s="56" t="s">
        <v>137</v>
      </c>
      <c r="B17" s="14"/>
      <c r="C17" s="54">
        <v>0</v>
      </c>
      <c r="D17" s="54">
        <v>0</v>
      </c>
      <c r="E17" s="54">
        <v>0</v>
      </c>
      <c r="F17" s="54">
        <v>0</v>
      </c>
      <c r="G17" s="54">
        <v>0</v>
      </c>
      <c r="H17" s="54">
        <v>-20</v>
      </c>
      <c r="I17" s="57">
        <v>0</v>
      </c>
      <c r="J17" s="58">
        <v>0</v>
      </c>
    </row>
    <row r="18" spans="1:10" ht="15.75" thickTop="1" x14ac:dyDescent="0.25"/>
    <row r="19" spans="1:10" ht="15.75" thickTop="1" x14ac:dyDescent="0.25"/>
    <row r="20" spans="1:10" ht="15.75" thickTop="1" x14ac:dyDescent="0.25"/>
    <row r="21" spans="1:10" ht="15.75" thickBot="1" x14ac:dyDescent="0.3"/>
    <row r="22" spans="1:10" ht="15.75" thickTop="1" x14ac:dyDescent="0.25"/>
    <row r="29" spans="1:10" ht="15.75" thickBot="1" x14ac:dyDescent="0.3"/>
    <row r="30" spans="1:10" ht="15.75" thickTop="1" x14ac:dyDescent="0.25"/>
    <row r="38" ht="15.75" thickBot="1" x14ac:dyDescent="0.3"/>
    <row r="39" ht="15.75" thickTop="1" x14ac:dyDescent="0.25"/>
    <row r="40" ht="15.75" thickBot="1" x14ac:dyDescent="0.3"/>
    <row r="41" ht="15.75" thickTop="1" x14ac:dyDescent="0.25"/>
  </sheetData>
  <pageMargins left="0.7" right="0.7" top="0.75" bottom="0.75" header="0.3" footer="0.3"/>
  <customProperties>
    <customPr name="EpmWorksheetKeyString_GUID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30</vt:i4>
      </vt:variant>
    </vt:vector>
  </HeadingPairs>
  <TitlesOfParts>
    <vt:vector size="48" baseType="lpstr">
      <vt:lpstr>Database</vt:lpstr>
      <vt:lpstr>ExchangeRates</vt:lpstr>
      <vt:lpstr>Comments</vt:lpstr>
      <vt:lpstr>Descriptions</vt:lpstr>
      <vt:lpstr>Groups</vt:lpstr>
      <vt:lpstr>PvtTableDef</vt:lpstr>
      <vt:lpstr>LocalLists</vt:lpstr>
      <vt:lpstr>ReportOptions</vt:lpstr>
      <vt:lpstr>Version</vt:lpstr>
      <vt:lpstr>Rapport info</vt:lpstr>
      <vt:lpstr>Verdi</vt:lpstr>
      <vt:lpstr>IkkeLevert</vt:lpstr>
      <vt:lpstr>MankoKunder</vt:lpstr>
      <vt:lpstr>MankoUke</vt:lpstr>
      <vt:lpstr>Kunde</vt:lpstr>
      <vt:lpstr>Old Kunde</vt:lpstr>
      <vt:lpstr>Material</vt:lpstr>
      <vt:lpstr>Eksp. Sted</vt:lpstr>
      <vt:lpstr>Currency</vt:lpstr>
      <vt:lpstr>MankoKunder!CustHier</vt:lpstr>
      <vt:lpstr>MankoUke!CustHier</vt:lpstr>
      <vt:lpstr>FirstSheet</vt:lpstr>
      <vt:lpstr>FirstTable</vt:lpstr>
      <vt:lpstr>MankoComments</vt:lpstr>
      <vt:lpstr>Groups!MG4_Descr</vt:lpstr>
      <vt:lpstr>IkkeLevert!NOAMankoComments</vt:lpstr>
      <vt:lpstr>OrderValues</vt:lpstr>
      <vt:lpstr>IkkeLevert!Print_Titles</vt:lpstr>
      <vt:lpstr>MankoKunder!Print_Titles</vt:lpstr>
      <vt:lpstr>MankoUke!Print_Titles</vt:lpstr>
      <vt:lpstr>RecNum</vt:lpstr>
      <vt:lpstr>ReportCaption</vt:lpstr>
      <vt:lpstr>ReportCaption1</vt:lpstr>
      <vt:lpstr>ReportCaption10</vt:lpstr>
      <vt:lpstr>ReportCaption2</vt:lpstr>
      <vt:lpstr>ReportCaption3</vt:lpstr>
      <vt:lpstr>ReportCaption4</vt:lpstr>
      <vt:lpstr>ReportCaption5</vt:lpstr>
      <vt:lpstr>ReportCaption6</vt:lpstr>
      <vt:lpstr>ReportCaption7</vt:lpstr>
      <vt:lpstr>ReportCaption8</vt:lpstr>
      <vt:lpstr>ReportCaption9</vt:lpstr>
      <vt:lpstr>ReportID</vt:lpstr>
      <vt:lpstr>Groups!RunATP</vt:lpstr>
      <vt:lpstr>SapExlReportName</vt:lpstr>
      <vt:lpstr>Groups!Status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2021-04-20T09:57:43Z</dcterms:modified>
</cp:coreProperties>
</file>