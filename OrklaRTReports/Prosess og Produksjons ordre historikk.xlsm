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6\OrklaRTReports\"/>
    </mc:Choice>
  </mc:AlternateContent>
  <workbookProtection workbookPassword="CB87" lockStructure="1"/>
  <bookViews>
    <workbookView xWindow="0" yWindow="444" windowWidth="17388" windowHeight="7260" tabRatio="934" firstSheet="6" activeTab="6"/>
  </bookViews>
  <sheets>
    <sheet name="Database" sheetId="9" state="hidden" r:id="rId1"/>
    <sheet name="Descriptions" sheetId="8" state="hidden" r:id="rId2"/>
    <sheet name="PvtTableDef" sheetId="33" state="hidden" r:id="rId3"/>
    <sheet name="LocalLists" sheetId="24" state="hidden" r:id="rId4"/>
    <sheet name="ReportOptions" sheetId="10" state="hidden" r:id="rId5"/>
    <sheet name="Version" sheetId="5" state="hidden" r:id="rId6"/>
    <sheet name="Rapport info" sheetId="1" r:id="rId7"/>
    <sheet name="Totalt Kva" sheetId="34" r:id="rId8"/>
    <sheet name="Lot Størrelse" sheetId="35" r:id="rId9"/>
    <sheet name="Tot Kva Mtyp" sheetId="36" r:id="rId10"/>
    <sheet name="Timer" sheetId="37" r:id="rId11"/>
    <sheet name="Forbrukt dager" sheetId="38" r:id="rId12"/>
  </sheets>
  <definedNames>
    <definedName name="Currency">ReportOptions!$B$10</definedName>
    <definedName name="CustomerHierarchy">ReportOptions!$B$7</definedName>
    <definedName name="FirstSheet">Version!$B$6</definedName>
    <definedName name="FirstTable">Version!$B$7</definedName>
    <definedName name="MaterialPrice">ReportOptions!$B$5</definedName>
    <definedName name="_xlnm.Print_Titles" localSheetId="11">'Forbrukt dager'!$16:$16</definedName>
    <definedName name="_xlnm.Print_Titles" localSheetId="8">'Lot Størrelse'!$17:$20</definedName>
    <definedName name="_xlnm.Print_Titles" localSheetId="10">Timer!$16:$16</definedName>
    <definedName name="_xlnm.Print_Titles" localSheetId="9">'Tot Kva Mtyp'!$16:$18</definedName>
    <definedName name="_xlnm.Print_Titles" localSheetId="7">'Totalt Kva'!$17:$20</definedName>
    <definedName name="ProductHierarchy">ReportOptions!$B$6</definedName>
    <definedName name="QuantityUnit">ReportOptions!$B$9</definedName>
    <definedName name="RecNum">'Rapport info'!$K$10</definedName>
    <definedName name="ReportCaption">Version!$B$8</definedName>
    <definedName name="ReportID">Version!$B$4</definedName>
    <definedName name="SalesValue">ReportOptions!$B$8</definedName>
    <definedName name="SapExlReportName">Version!$B$5</definedName>
    <definedName name="Time_Used">'Rapport info'!$K$12</definedName>
    <definedName name="Updated">'Rapport info'!$K$11</definedName>
  </definedNames>
  <calcPr calcId="171027"/>
  <pivotCaches>
    <pivotCache cacheId="1" r:id="rId13"/>
  </pivotCaches>
</workbook>
</file>

<file path=xl/calcChain.xml><?xml version="1.0" encoding="utf-8"?>
<calcChain xmlns="http://schemas.openxmlformats.org/spreadsheetml/2006/main">
  <c r="BI2" i="9" l="1"/>
  <c r="BI3" i="9"/>
  <c r="BI4" i="9"/>
  <c r="V4" i="9" l="1"/>
  <c r="AW4" i="9" s="1"/>
  <c r="V3" i="9"/>
  <c r="AW3" i="9" s="1"/>
  <c r="V2" i="9"/>
  <c r="AW2" i="9" s="1"/>
  <c r="AP4" i="9" l="1"/>
  <c r="AQ4" i="9"/>
  <c r="BK4" i="9" s="1"/>
  <c r="AR4" i="9"/>
  <c r="AS4" i="9" s="1"/>
  <c r="AT4" i="9"/>
  <c r="AU4" i="9"/>
  <c r="AV4" i="9"/>
  <c r="AX4" i="9"/>
  <c r="AY4" i="9" s="1"/>
  <c r="AZ4" i="9" s="1"/>
  <c r="BB4" i="9"/>
  <c r="BC4" i="9"/>
  <c r="BD4" i="9"/>
  <c r="BG4" i="9"/>
  <c r="BJ4" i="9"/>
  <c r="BH4" i="9" l="1"/>
  <c r="BF4" i="9" s="1"/>
  <c r="BA4" i="9"/>
  <c r="BE4" i="9"/>
  <c r="AT3" i="9"/>
  <c r="AR2" i="9" l="1"/>
  <c r="AR3" i="9"/>
  <c r="AS3" i="9" s="1"/>
  <c r="AT2" i="9" l="1"/>
  <c r="AS2" i="9"/>
  <c r="BB2" i="9" l="1"/>
  <c r="BB3" i="9"/>
  <c r="AQ2" i="9" l="1"/>
  <c r="BK2" i="9" s="1"/>
  <c r="AQ3" i="9"/>
  <c r="BK3" i="9" s="1"/>
  <c r="AP2" i="9" l="1"/>
  <c r="AP3" i="9"/>
  <c r="BC2" i="9" l="1"/>
  <c r="BC3" i="9"/>
  <c r="BJ2" i="9" l="1"/>
  <c r="BJ3" i="9"/>
  <c r="BG2" i="9"/>
  <c r="BG3" i="9"/>
  <c r="BD2" i="9"/>
  <c r="BH2" i="9" s="1"/>
  <c r="BF2" i="9" s="1"/>
  <c r="BD3" i="9"/>
  <c r="BH3" i="9" s="1"/>
  <c r="BF3" i="9" s="1"/>
  <c r="AX2" i="9"/>
  <c r="BA2" i="9" s="1"/>
  <c r="AX3" i="9"/>
  <c r="AY3" i="9" s="1"/>
  <c r="AZ3" i="9" s="1"/>
  <c r="AV2" i="9"/>
  <c r="AV3" i="9"/>
  <c r="AU2" i="9"/>
  <c r="AU3" i="9"/>
  <c r="AY2" i="9" l="1"/>
  <c r="AZ2" i="9" s="1"/>
  <c r="BA3" i="9"/>
  <c r="BE3" i="9"/>
  <c r="BE2" i="9"/>
  <c r="J8" i="10" l="1"/>
  <c r="J7" i="10"/>
  <c r="J6" i="10"/>
  <c r="C7" i="10" s="1"/>
  <c r="J5" i="10"/>
  <c r="C6" i="10"/>
  <c r="C5" i="10"/>
  <c r="C8" i="10"/>
  <c r="C9" i="10"/>
  <c r="C10" i="10" l="1"/>
</calcChain>
</file>

<file path=xl/connections.xml><?xml version="1.0" encoding="utf-8"?>
<connections xmlns="http://schemas.openxmlformats.org/spreadsheetml/2006/main">
  <connection id="1" name="product" type="4" refreshedVersion="0" deleted="1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<sst xmlns="http://schemas.openxmlformats.org/spreadsheetml/2006/main" count="487" uniqueCount="309">
  <si>
    <t>Material Name</t>
  </si>
  <si>
    <t>MTyp</t>
  </si>
  <si>
    <t>ReportName</t>
  </si>
  <si>
    <t>ReportID</t>
  </si>
  <si>
    <t>Plnt</t>
  </si>
  <si>
    <t>Material</t>
  </si>
  <si>
    <t>Material Description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</si>
  <si>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</si>
  <si>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</si>
  <si>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</si>
  <si>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</si>
  <si>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</si>
  <si>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</si>
  <si>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</si>
  <si>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</si>
  <si>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</si>
  <si>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</si>
  <si>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</si>
  <si>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</si>
  <si>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</si>
  <si>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</si>
  <si>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</si>
  <si>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Profit Center</t>
  </si>
  <si>
    <t>Product hierarchy</t>
  </si>
  <si>
    <t>FieldName</t>
  </si>
  <si>
    <t>QuantityUnit</t>
  </si>
  <si>
    <t>SalesValue</t>
  </si>
  <si>
    <t>CustomerHierarchy</t>
  </si>
  <si>
    <t>ProductHierarchy</t>
  </si>
  <si>
    <t>MaterialPrice</t>
  </si>
  <si>
    <t>Dv</t>
  </si>
  <si>
    <t>NOA108</t>
  </si>
  <si>
    <t>C</t>
  </si>
  <si>
    <t>A</t>
  </si>
  <si>
    <t>Prod_Hier</t>
  </si>
  <si>
    <t>Product Hierachy Name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</si>
  <si>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</si>
  <si>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</si>
  <si>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</si>
  <si>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</si>
  <si>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</si>
  <si>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</si>
  <si>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</si>
  <si>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</si>
  <si>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</si>
  <si>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</si>
  <si>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</si>
  <si>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</si>
  <si>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</si>
  <si>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</si>
  <si>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</si>
  <si>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</si>
  <si>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</si>
  <si>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</si>
  <si>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</si>
  <si>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</si>
  <si>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</si>
  <si>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</si>
  <si>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</si>
  <si>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</si>
  <si>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</si>
  <si>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</si>
  <si>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</si>
  <si>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</si>
  <si>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</si>
  <si>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</si>
  <si>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</si>
  <si>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</si>
  <si>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</si>
  <si>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</si>
  <si>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</si>
  <si>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</si>
  <si>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</si>
  <si>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</si>
  <si>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</si>
  <si>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</si>
  <si>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</si>
  <si>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</si>
  <si>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</si>
  <si>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</si>
  <si>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</si>
  <si>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</si>
  <si>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</si>
  <si>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</si>
  <si>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</si>
  <si>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</si>
  <si>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</si>
  <si>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</si>
  <si>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</si>
  <si>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</si>
  <si>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</si>
  <si>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</si>
  <si>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</si>
  <si>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</si>
  <si>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</si>
  <si>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</si>
  <si>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</si>
  <si>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</si>
  <si>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</si>
  <si>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</si>
  <si>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</si>
  <si>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</si>
  <si>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</si>
  <si>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</si>
  <si>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Grand Total</t>
  </si>
  <si>
    <t>(All)</t>
  </si>
  <si>
    <t>Gross</t>
  </si>
  <si>
    <t>Default</t>
  </si>
  <si>
    <t>Date</t>
  </si>
  <si>
    <t>Work ctr</t>
  </si>
  <si>
    <t>Operation Qty</t>
  </si>
  <si>
    <t>UoM</t>
  </si>
  <si>
    <t>Confirmed yield</t>
  </si>
  <si>
    <t>Confirmed scrap</t>
  </si>
  <si>
    <t>Short description</t>
  </si>
  <si>
    <t>Net Weight</t>
  </si>
  <si>
    <t>WUn</t>
  </si>
  <si>
    <t>EAN/UPC</t>
  </si>
  <si>
    <t>Order</t>
  </si>
  <si>
    <t>TgtExTm</t>
  </si>
  <si>
    <t>Un.</t>
  </si>
  <si>
    <t>ActExTm</t>
  </si>
  <si>
    <t>Scheduled setup time</t>
  </si>
  <si>
    <t>Setup unit</t>
  </si>
  <si>
    <t>Scheduled processing time</t>
  </si>
  <si>
    <t>Sched. teardown time</t>
  </si>
  <si>
    <t>Teardown Un</t>
  </si>
  <si>
    <t>Set up scheduled cap. rqmts</t>
  </si>
  <si>
    <t>Unit of capacity requirements</t>
  </si>
  <si>
    <t>Target requirements - processi</t>
  </si>
  <si>
    <t>Scheduled requirements- teardo</t>
  </si>
  <si>
    <t>PrCtr</t>
  </si>
  <si>
    <t>Equal batch size qty</t>
  </si>
  <si>
    <t>EBS max. batch size</t>
  </si>
  <si>
    <t>Order Qty</t>
  </si>
  <si>
    <t>Conf Qty</t>
  </si>
  <si>
    <t>Work Center</t>
  </si>
  <si>
    <t>Year</t>
  </si>
  <si>
    <t>Y_Month</t>
  </si>
  <si>
    <t>Y_Week</t>
  </si>
  <si>
    <t>Month</t>
  </si>
  <si>
    <t>Week</t>
  </si>
  <si>
    <t>Equal batch size qty10</t>
  </si>
  <si>
    <t>Prod Scheduler</t>
  </si>
  <si>
    <t>Lots</t>
  </si>
  <si>
    <t>Mach Hours</t>
  </si>
  <si>
    <t>Labour Hours</t>
  </si>
  <si>
    <t>Pivottabell1</t>
  </si>
  <si>
    <t>Period to analyze - current date</t>
  </si>
  <si>
    <t>Plant</t>
  </si>
  <si>
    <t>Material Number</t>
  </si>
  <si>
    <t>Work center</t>
  </si>
  <si>
    <t>Operation Quantity</t>
  </si>
  <si>
    <t>Unit of measure</t>
  </si>
  <si>
    <t>Total Yield Confirmed</t>
  </si>
  <si>
    <t>Total scrap quantity confirmed</t>
  </si>
  <si>
    <t>Short description of the work center.</t>
  </si>
  <si>
    <t>Material Type</t>
  </si>
  <si>
    <t>Material Description (Short Text)</t>
  </si>
  <si>
    <t>Weight unit</t>
  </si>
  <si>
    <t>Division</t>
  </si>
  <si>
    <t>International Article Number (EAN/UPC)</t>
  </si>
  <si>
    <t>Order Number</t>
  </si>
  <si>
    <t>Product hierarchy lowest level</t>
  </si>
  <si>
    <t>Target execution time in days</t>
  </si>
  <si>
    <t>Time unit</t>
  </si>
  <si>
    <t>Actual execution time in days</t>
  </si>
  <si>
    <t>Scheduled teardown time</t>
  </si>
  <si>
    <t>Scheduled cap. requirements for the op. segment "setup"</t>
  </si>
  <si>
    <t>Scheduled cap. requirements for the op. segment "processing"</t>
  </si>
  <si>
    <t>Scheduled cap. requirements for the op. segment teardown</t>
  </si>
  <si>
    <t>Unit of measure for execution time</t>
  </si>
  <si>
    <t>Unit of measure for processing time</t>
  </si>
  <si>
    <t>Product hierarchy choosen level</t>
  </si>
  <si>
    <t>Product hierarchy choosen level and description</t>
  </si>
  <si>
    <t>Qty_KG</t>
  </si>
  <si>
    <t>Confirmed yield from Order - calculated in KGs</t>
  </si>
  <si>
    <t>Total quantity for the process order - in choosen unit of measure</t>
  </si>
  <si>
    <t>FG_Test</t>
  </si>
  <si>
    <t>Yes shows only the work centres not excluded in the sheet "Excluded"</t>
  </si>
  <si>
    <t>Work Center ID and description.</t>
  </si>
  <si>
    <t>Year-Month</t>
  </si>
  <si>
    <t>Year-Week</t>
  </si>
  <si>
    <t>Material Number and description</t>
  </si>
  <si>
    <t>Operation Quantity = Planned Order Quantity</t>
  </si>
  <si>
    <t>Qty Deviation %</t>
  </si>
  <si>
    <t>Confirmed Quantity / Planned Order Quantity - 1</t>
  </si>
  <si>
    <t>Production Scheduler - groups of Work Centres</t>
  </si>
  <si>
    <t>Scheduled processing time.</t>
  </si>
  <si>
    <t>Target number of Labour Hours connected to Scheduled processing time.</t>
  </si>
  <si>
    <t>Qty/Labour Hour</t>
  </si>
  <si>
    <t>Conf. Qty divided on target number of Labour Hours</t>
  </si>
  <si>
    <t>DeviationExecTime %</t>
  </si>
  <si>
    <t>Deviation between "Target execution time" and "Actual execution time".</t>
  </si>
  <si>
    <t>Mtyp</t>
  </si>
  <si>
    <t>Set up scheduled cap. Rqmts</t>
  </si>
  <si>
    <t>18.12.2012</t>
  </si>
  <si>
    <t>Storhusholdning</t>
  </si>
  <si>
    <t>Norsk</t>
  </si>
  <si>
    <t>Stabburet Snadderbiff  25x180g</t>
  </si>
  <si>
    <t>Ferdigvare, Stab. Pricat</t>
  </si>
  <si>
    <t>Råbekken</t>
  </si>
  <si>
    <t>FR00/035</t>
  </si>
  <si>
    <t>STORFE FRYS, SH</t>
  </si>
  <si>
    <t>FR00/FR6107</t>
  </si>
  <si>
    <t>01.01.2013</t>
  </si>
  <si>
    <t>ZFER</t>
  </si>
  <si>
    <t>FR00</t>
  </si>
  <si>
    <t>31.12.2012</t>
  </si>
  <si>
    <t>Ikke tilordnet</t>
  </si>
  <si>
    <t>Råvarebl.Kebab Spann</t>
  </si>
  <si>
    <t>Halvfabrikat, Stabburet</t>
  </si>
  <si>
    <t>FR00/055</t>
  </si>
  <si>
    <t>FR00/FR7312</t>
  </si>
  <si>
    <t>03.01.2013</t>
  </si>
  <si>
    <t>ZHAL</t>
  </si>
  <si>
    <t>200400990201</t>
  </si>
  <si>
    <t/>
  </si>
  <si>
    <t>N</t>
  </si>
  <si>
    <t>Rapporten Inneholder</t>
  </si>
  <si>
    <t>Rapport Statistikker</t>
  </si>
  <si>
    <t>Ordre</t>
  </si>
  <si>
    <t>Språk</t>
  </si>
  <si>
    <t>Material Besk.</t>
  </si>
  <si>
    <t>MType Besk.</t>
  </si>
  <si>
    <t>Fabrikk Navn</t>
  </si>
  <si>
    <t>Prod. Planlegger</t>
  </si>
  <si>
    <t>Produkt heierarki Besk.</t>
  </si>
  <si>
    <t>Arbeidsstasjon</t>
  </si>
  <si>
    <t>Dato</t>
  </si>
  <si>
    <t>Språk Kode</t>
  </si>
  <si>
    <t>Fabrikk</t>
  </si>
  <si>
    <t>Produkthierarki</t>
  </si>
  <si>
    <t>Planlagt sluttdato</t>
  </si>
  <si>
    <t>Produkt hierarki navn</t>
  </si>
  <si>
    <t>Ordre_Kva</t>
  </si>
  <si>
    <t>Bekr_Kva</t>
  </si>
  <si>
    <t>AS_Test</t>
  </si>
  <si>
    <t>Arbeids stasjon</t>
  </si>
  <si>
    <t>År</t>
  </si>
  <si>
    <t>År_Måned</t>
  </si>
  <si>
    <t>Måned</t>
  </si>
  <si>
    <t>Uke</t>
  </si>
  <si>
    <t>Material Navn</t>
  </si>
  <si>
    <t>Ordre Info</t>
  </si>
  <si>
    <t>Totalt Kva</t>
  </si>
  <si>
    <t xml:space="preserve">Ordre_Kva </t>
  </si>
  <si>
    <t>Kva Forskj</t>
  </si>
  <si>
    <t>Forskj_Lots</t>
  </si>
  <si>
    <t>År_Uke</t>
  </si>
  <si>
    <t>2013-01</t>
  </si>
  <si>
    <t xml:space="preserve">Forskj_Lots </t>
  </si>
  <si>
    <t xml:space="preserve">Forskj_Lots % </t>
  </si>
  <si>
    <t xml:space="preserve"> Totalt bekreftet kvantum er registrert på prosessordrer sluttdato.</t>
  </si>
  <si>
    <t>Maskintimer</t>
  </si>
  <si>
    <t>Faktisk utføre tid</t>
  </si>
  <si>
    <t>Target utføre tid</t>
  </si>
  <si>
    <t>Test_Null</t>
  </si>
  <si>
    <t>Tid Adherance</t>
  </si>
  <si>
    <t>Historikk basert på prosess ordre gir oversikt over kvanta pr arbeidssted, material og periode</t>
  </si>
  <si>
    <t>- Utvalg; Fabrikk, Arbeidssted, Material, Produksjonsplanlegger, Materialtype, Tid</t>
  </si>
  <si>
    <t>- Maksimalt utvalg 1 år alle prosessordre</t>
  </si>
  <si>
    <t>- Maks 2 år når Materialtype eller Produksjonsplanlegger er valgt</t>
  </si>
  <si>
    <t>- Planlagt ordrekvantum og bekreftet kvantum - i KG eller gitt enhet</t>
  </si>
  <si>
    <t>- Planlagt prosesseringstid (maskintimer) og arbeidstid</t>
  </si>
  <si>
    <t>- Planlagt og faktisk medgått tid i dager</t>
  </si>
  <si>
    <t>- Alle prosessordre pr Fabrikk</t>
  </si>
  <si>
    <t>- både i produksjonsvolum og kg.  Merk at alle volumer er knyttet til SLUTTDATO prosessordre.</t>
  </si>
  <si>
    <t>Nevner</t>
  </si>
  <si>
    <t>Teller</t>
  </si>
  <si>
    <t>Base Enhet</t>
  </si>
  <si>
    <t>Alt Enhet</t>
  </si>
  <si>
    <t>Ant FPAK</t>
  </si>
  <si>
    <t>Vekt</t>
  </si>
  <si>
    <t>Base Enhet2</t>
  </si>
  <si>
    <t>Rcounter</t>
  </si>
  <si>
    <t>Rcounter2</t>
  </si>
  <si>
    <t>Setup</t>
  </si>
  <si>
    <t>Material type</t>
  </si>
  <si>
    <t xml:space="preserve">Ant FPAK </t>
  </si>
  <si>
    <t xml:space="preserve">    Trykk F10 for å vise seleksjoner for rapport</t>
  </si>
  <si>
    <t>Brukerinstruks</t>
  </si>
  <si>
    <t>- Velg periode du ønsker å se på enten i "Enkel data seleksjon" eller ved å angi tidsrom direkte</t>
  </si>
  <si>
    <t>- Klikk multiselektsymbolet dersom du ønsker å se flere materialtyper                 Dobbelklikk på linje 2 for innlegging ny materialtype.  Klikk Utvalg for å komme tilbake</t>
  </si>
  <si>
    <t>- Kjør rapport (F8) og du får frem produksjoner i valgt periode.  Ordre kvantum, Bekreftet kvantum (STK) - Bekreftet KG og Kvantumsavvik</t>
  </si>
  <si>
    <t>- Dersom du ønsker rapporten tilpasset dine behov kan du filtrere utvalgsmeny øverst til venstre og eventuelt drille ned i detaljer som vist i eksempel under</t>
  </si>
  <si>
    <r>
      <t xml:space="preserve">- Du kan gå direkte inn i SAP fra rapporten ved å høyreklikke på ønsket linje og velge mm03, md04 eller cor3.  </t>
    </r>
    <r>
      <rPr>
        <b/>
        <sz val="12"/>
        <color theme="1"/>
        <rFont val="Calibri"/>
        <family val="2"/>
        <scheme val="minor"/>
      </rPr>
      <t>Husk da å bruke pil tilbake for å komme tilbake</t>
    </r>
  </si>
  <si>
    <t>Persontimer</t>
  </si>
  <si>
    <t>Fjern dobbel</t>
  </si>
  <si>
    <t>1174462</t>
  </si>
  <si>
    <t>1175744</t>
  </si>
  <si>
    <t xml:space="preserve">Lev_Kva </t>
  </si>
  <si>
    <t xml:space="preserve">Levert_Kva </t>
  </si>
  <si>
    <t xml:space="preserve">Planlagt tid </t>
  </si>
  <si>
    <t xml:space="preserve">Faktisk tid </t>
  </si>
  <si>
    <t>Oppnåelse/Tid</t>
  </si>
  <si>
    <t>Oppnåels/Kva</t>
  </si>
  <si>
    <t xml:space="preserve">Kva Avvik % </t>
  </si>
  <si>
    <t xml:space="preserve">Avvik tid % </t>
  </si>
  <si>
    <t>Plan Avvik</t>
  </si>
  <si>
    <t>Avvik Type</t>
  </si>
  <si>
    <t xml:space="preserve">Kva/Persontimer </t>
  </si>
  <si>
    <t>Arb. Stasjon Kode</t>
  </si>
  <si>
    <t>FR6107 FR00/FR6107</t>
  </si>
  <si>
    <t>FR7312 FR00/FR7312</t>
  </si>
  <si>
    <t>Prosess og Produksjons ordre historikk</t>
  </si>
  <si>
    <t>Planoppnåelse</t>
  </si>
  <si>
    <t xml:space="preserve">Planoppnåelse </t>
  </si>
  <si>
    <t xml:space="preserve">Lev_KG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</si>
</sst>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.0;[Red]\-#,##0.0"/>
    <numFmt numFmtId="165" formatCode="#,##0\ %;[Red]\-#,##0\ %"/>
    <numFmt numFmtId="166" formatCode="#,##0.0\ %;[Red]\-#,##0.0\ %"/>
    <numFmt numFmtId="167" formatCode="0.0\ %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6"/>
      <name val="Arial"/>
      <family val="2"/>
    </font>
    <font>
      <sz val="10"/>
      <color indexed="9"/>
      <name val="Arial"/>
      <family val="2"/>
    </font>
    <font>
      <b/>
      <sz val="10"/>
      <color indexed="52"/>
      <name val="Arial"/>
      <family val="2"/>
    </font>
    <font>
      <sz val="10"/>
      <color indexed="20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b/>
      <sz val="10"/>
      <color indexed="9"/>
      <name val="Arial"/>
      <family val="2"/>
    </font>
    <font>
      <sz val="11"/>
      <color indexed="8"/>
      <name val="Calibri"/>
      <family val="2"/>
    </font>
    <font>
      <sz val="10"/>
      <color indexed="60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b/>
      <sz val="18"/>
      <color indexed="56"/>
      <name val="Cambria"/>
      <family val="2"/>
    </font>
    <font>
      <b/>
      <sz val="10"/>
      <color indexed="8"/>
      <name val="Arial"/>
      <family val="2"/>
    </font>
    <font>
      <b/>
      <sz val="10"/>
      <color indexed="63"/>
      <name val="Arial"/>
      <family val="2"/>
    </font>
    <font>
      <sz val="10"/>
      <color indexed="10"/>
      <name val="Arial"/>
      <family val="2"/>
    </font>
    <font>
      <sz val="11"/>
      <name val="Calibri"/>
      <family val="2"/>
      <scheme val="minor"/>
    </font>
    <font>
      <i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4"/>
      </top>
      <bottom/>
      <diagonal/>
    </border>
    <border>
      <left style="thin">
        <color indexed="8"/>
      </left>
      <right/>
      <top style="thin">
        <color rgb="FF999999"/>
      </top>
      <bottom/>
      <diagonal/>
    </border>
    <border>
      <left/>
      <right style="thin">
        <color indexed="8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 style="thin">
        <color rgb="FF999999"/>
      </right>
      <top/>
      <bottom/>
      <diagonal/>
    </border>
  </borders>
  <cellStyleXfs count="49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9" borderId="0" applyNumberFormat="0" applyBorder="0" applyAlignment="0" applyProtection="0"/>
    <xf numFmtId="0" fontId="8" fillId="12" borderId="0" applyNumberFormat="0" applyBorder="0" applyAlignment="0" applyProtection="0"/>
    <xf numFmtId="0" fontId="8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20" borderId="7" applyNumberFormat="0" applyAlignment="0" applyProtection="0"/>
    <xf numFmtId="0" fontId="13" fillId="7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6" fillId="11" borderId="7" applyNumberFormat="0" applyAlignment="0" applyProtection="0"/>
    <xf numFmtId="0" fontId="17" fillId="0" borderId="8" applyNumberFormat="0" applyFill="0" applyAlignment="0" applyProtection="0"/>
    <xf numFmtId="0" fontId="18" fillId="21" borderId="9" applyNumberFormat="0" applyAlignment="0" applyProtection="0"/>
    <xf numFmtId="0" fontId="19" fillId="22" borderId="10" applyNumberFormat="0" applyFont="0" applyAlignment="0" applyProtection="0"/>
    <xf numFmtId="0" fontId="20" fillId="23" borderId="0" applyNumberFormat="0" applyBorder="0" applyAlignment="0" applyProtection="0"/>
    <xf numFmtId="0" fontId="21" fillId="0" borderId="11" applyNumberFormat="0" applyFill="0" applyAlignment="0" applyProtection="0"/>
    <xf numFmtId="0" fontId="22" fillId="0" borderId="12" applyNumberFormat="0" applyFill="0" applyAlignment="0" applyProtection="0"/>
    <xf numFmtId="0" fontId="23" fillId="0" borderId="13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4" applyNumberFormat="0" applyFill="0" applyAlignment="0" applyProtection="0"/>
    <xf numFmtId="0" fontId="26" fillId="20" borderId="15" applyNumberFormat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7" borderId="0" applyNumberFormat="0" applyBorder="0" applyAlignment="0" applyProtection="0"/>
    <xf numFmtId="0" fontId="27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0" fillId="3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/>
    <xf numFmtId="49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1" fillId="5" borderId="0" xfId="0" applyFont="1" applyFill="1"/>
    <xf numFmtId="0" fontId="1" fillId="0" borderId="6" xfId="0" applyFont="1" applyBorder="1"/>
    <xf numFmtId="0" fontId="1" fillId="0" borderId="6" xfId="0" applyFont="1" applyBorder="1" applyAlignment="1"/>
    <xf numFmtId="0" fontId="1" fillId="0" borderId="6" xfId="0" applyFont="1" applyBorder="1" applyAlignment="1">
      <alignment horizontal="right"/>
    </xf>
    <xf numFmtId="0" fontId="0" fillId="0" borderId="0" xfId="0" applyNumberFormat="1"/>
    <xf numFmtId="0" fontId="0" fillId="3" borderId="0" xfId="0" applyFill="1" applyAlignment="1">
      <alignment horizontal="left"/>
    </xf>
    <xf numFmtId="0" fontId="9" fillId="0" borderId="0" xfId="0" applyFont="1" applyFill="1"/>
    <xf numFmtId="38" fontId="0" fillId="0" borderId="0" xfId="0" applyNumberFormat="1"/>
    <xf numFmtId="164" fontId="0" fillId="0" borderId="0" xfId="0" applyNumberFormat="1"/>
    <xf numFmtId="21" fontId="0" fillId="0" borderId="0" xfId="0" applyNumberFormat="1"/>
    <xf numFmtId="0" fontId="10" fillId="0" borderId="0" xfId="1" applyFont="1"/>
    <xf numFmtId="0" fontId="7" fillId="0" borderId="0" xfId="1"/>
    <xf numFmtId="0" fontId="0" fillId="0" borderId="0" xfId="0" applyBorder="1"/>
    <xf numFmtId="0" fontId="1" fillId="0" borderId="1" xfId="0" applyFont="1" applyBorder="1"/>
    <xf numFmtId="0" fontId="1" fillId="2" borderId="5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0" borderId="0" xfId="0" applyFont="1" applyBorder="1"/>
    <xf numFmtId="164" fontId="1" fillId="2" borderId="3" xfId="0" applyNumberFormat="1" applyFont="1" applyFill="1" applyBorder="1" applyAlignment="1">
      <alignment horizontal="right"/>
    </xf>
    <xf numFmtId="164" fontId="1" fillId="2" borderId="4" xfId="0" applyNumberFormat="1" applyFont="1" applyFill="1" applyBorder="1" applyAlignment="1">
      <alignment horizontal="right"/>
    </xf>
    <xf numFmtId="0" fontId="7" fillId="0" borderId="0" xfId="1"/>
    <xf numFmtId="0" fontId="3" fillId="28" borderId="0" xfId="0" applyFont="1" applyFill="1"/>
    <xf numFmtId="0" fontId="28" fillId="0" borderId="0" xfId="1" applyFont="1"/>
    <xf numFmtId="49" fontId="0" fillId="0" borderId="0" xfId="0" quotePrefix="1" applyNumberFormat="1"/>
    <xf numFmtId="0" fontId="1" fillId="0" borderId="0" xfId="0" applyNumberFormat="1" applyFont="1"/>
    <xf numFmtId="0" fontId="4" fillId="0" borderId="0" xfId="0" applyFont="1"/>
    <xf numFmtId="1" fontId="0" fillId="0" borderId="0" xfId="0" applyNumberFormat="1"/>
    <xf numFmtId="1" fontId="1" fillId="0" borderId="0" xfId="0" applyNumberFormat="1" applyFont="1"/>
    <xf numFmtId="1" fontId="1" fillId="5" borderId="0" xfId="0" applyNumberFormat="1" applyFont="1" applyFill="1"/>
    <xf numFmtId="164" fontId="0" fillId="0" borderId="0" xfId="0" applyNumberFormat="1" applyAlignment="1">
      <alignment horizontal="right"/>
    </xf>
    <xf numFmtId="0" fontId="4" fillId="0" borderId="0" xfId="0" quotePrefix="1" applyFont="1"/>
    <xf numFmtId="0" fontId="29" fillId="0" borderId="0" xfId="0" applyFont="1"/>
    <xf numFmtId="0" fontId="29" fillId="0" borderId="0" xfId="0" quotePrefix="1" applyFont="1" applyFill="1"/>
    <xf numFmtId="166" fontId="1" fillId="2" borderId="3" xfId="0" applyNumberFormat="1" applyFont="1" applyFill="1" applyBorder="1" applyAlignment="1">
      <alignment horizontal="right"/>
    </xf>
    <xf numFmtId="0" fontId="30" fillId="0" borderId="0" xfId="0" applyFont="1"/>
    <xf numFmtId="0" fontId="0" fillId="0" borderId="0" xfId="0" quotePrefix="1" applyNumberFormat="1"/>
    <xf numFmtId="3" fontId="0" fillId="0" borderId="0" xfId="0" applyNumberFormat="1" applyAlignment="1">
      <alignment horizontal="right"/>
    </xf>
    <xf numFmtId="3" fontId="1" fillId="2" borderId="3" xfId="0" applyNumberFormat="1" applyFont="1" applyFill="1" applyBorder="1" applyAlignment="1">
      <alignment horizontal="right"/>
    </xf>
    <xf numFmtId="3" fontId="1" fillId="2" borderId="4" xfId="0" applyNumberFormat="1" applyFont="1" applyFill="1" applyBorder="1" applyAlignment="1">
      <alignment horizontal="right"/>
    </xf>
    <xf numFmtId="9" fontId="1" fillId="5" borderId="0" xfId="48" applyFont="1" applyFill="1"/>
    <xf numFmtId="9" fontId="0" fillId="0" borderId="0" xfId="48" applyFont="1"/>
    <xf numFmtId="0" fontId="0" fillId="0" borderId="17" xfId="0" applyBorder="1"/>
    <xf numFmtId="0" fontId="0" fillId="0" borderId="20" xfId="0" pivotButton="1" applyBorder="1"/>
    <xf numFmtId="0" fontId="0" fillId="0" borderId="20" xfId="0" applyBorder="1"/>
    <xf numFmtId="0" fontId="1" fillId="0" borderId="21" xfId="0" applyFont="1" applyBorder="1"/>
    <xf numFmtId="0" fontId="1" fillId="0" borderId="16" xfId="0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3" fontId="0" fillId="0" borderId="16" xfId="0" applyNumberFormat="1" applyBorder="1" applyAlignment="1">
      <alignment horizontal="right"/>
    </xf>
    <xf numFmtId="3" fontId="0" fillId="0" borderId="17" xfId="0" applyNumberFormat="1" applyBorder="1" applyAlignment="1">
      <alignment horizontal="right"/>
    </xf>
    <xf numFmtId="166" fontId="0" fillId="0" borderId="17" xfId="0" applyNumberFormat="1" applyBorder="1" applyAlignment="1">
      <alignment horizontal="right"/>
    </xf>
    <xf numFmtId="0" fontId="0" fillId="4" borderId="22" xfId="0" applyFill="1" applyBorder="1"/>
    <xf numFmtId="0" fontId="0" fillId="4" borderId="19" xfId="0" applyFill="1" applyBorder="1"/>
    <xf numFmtId="3" fontId="0" fillId="4" borderId="16" xfId="0" applyNumberFormat="1" applyFill="1" applyBorder="1" applyAlignment="1">
      <alignment horizontal="right"/>
    </xf>
    <xf numFmtId="3" fontId="0" fillId="4" borderId="17" xfId="0" applyNumberFormat="1" applyFill="1" applyBorder="1" applyAlignment="1">
      <alignment horizontal="right"/>
    </xf>
    <xf numFmtId="166" fontId="0" fillId="4" borderId="17" xfId="0" applyNumberFormat="1" applyFill="1" applyBorder="1" applyAlignment="1">
      <alignment horizontal="right"/>
    </xf>
    <xf numFmtId="164" fontId="0" fillId="0" borderId="17" xfId="0" applyNumberFormat="1" applyBorder="1" applyAlignment="1">
      <alignment horizontal="right"/>
    </xf>
    <xf numFmtId="0" fontId="32" fillId="0" borderId="20" xfId="0" pivotButton="1" applyFont="1" applyBorder="1"/>
    <xf numFmtId="0" fontId="32" fillId="0" borderId="20" xfId="0" applyFont="1" applyBorder="1"/>
    <xf numFmtId="0" fontId="31" fillId="0" borderId="1" xfId="0" applyFont="1" applyBorder="1"/>
    <xf numFmtId="0" fontId="31" fillId="0" borderId="16" xfId="0" applyFont="1" applyBorder="1" applyAlignment="1">
      <alignment horizontal="right"/>
    </xf>
    <xf numFmtId="0" fontId="31" fillId="0" borderId="17" xfId="0" applyFont="1" applyBorder="1" applyAlignment="1">
      <alignment horizontal="right"/>
    </xf>
    <xf numFmtId="0" fontId="31" fillId="0" borderId="18" xfId="0" applyFont="1" applyBorder="1" applyAlignment="1">
      <alignment horizontal="right"/>
    </xf>
    <xf numFmtId="0" fontId="32" fillId="0" borderId="17" xfId="0" applyFont="1" applyBorder="1"/>
    <xf numFmtId="38" fontId="32" fillId="0" borderId="16" xfId="0" applyNumberFormat="1" applyFont="1" applyBorder="1" applyAlignment="1">
      <alignment horizontal="right"/>
    </xf>
    <xf numFmtId="164" fontId="32" fillId="0" borderId="17" xfId="0" applyNumberFormat="1" applyFont="1" applyBorder="1" applyAlignment="1">
      <alignment horizontal="right"/>
    </xf>
    <xf numFmtId="166" fontId="32" fillId="0" borderId="18" xfId="0" applyNumberFormat="1" applyFont="1" applyBorder="1" applyAlignment="1">
      <alignment horizontal="right"/>
    </xf>
    <xf numFmtId="0" fontId="31" fillId="2" borderId="2" xfId="0" applyFont="1" applyFill="1" applyBorder="1"/>
    <xf numFmtId="38" fontId="31" fillId="2" borderId="3" xfId="0" applyNumberFormat="1" applyFont="1" applyFill="1" applyBorder="1" applyAlignment="1">
      <alignment horizontal="right"/>
    </xf>
    <xf numFmtId="164" fontId="31" fillId="2" borderId="3" xfId="0" applyNumberFormat="1" applyFont="1" applyFill="1" applyBorder="1" applyAlignment="1">
      <alignment horizontal="right"/>
    </xf>
    <xf numFmtId="166" fontId="31" fillId="2" borderId="4" xfId="0" applyNumberFormat="1" applyFont="1" applyFill="1" applyBorder="1" applyAlignment="1">
      <alignment horizontal="right"/>
    </xf>
    <xf numFmtId="3" fontId="0" fillId="0" borderId="25" xfId="0" applyNumberFormat="1" applyBorder="1" applyAlignment="1">
      <alignment horizontal="right"/>
    </xf>
    <xf numFmtId="0" fontId="1" fillId="0" borderId="24" xfId="0" applyFont="1" applyBorder="1" applyAlignment="1">
      <alignment horizontal="right"/>
    </xf>
    <xf numFmtId="3" fontId="0" fillId="0" borderId="24" xfId="0" applyNumberFormat="1" applyBorder="1" applyAlignment="1">
      <alignment horizontal="right"/>
    </xf>
    <xf numFmtId="3" fontId="0" fillId="0" borderId="26" xfId="0" applyNumberFormat="1" applyBorder="1" applyAlignment="1">
      <alignment horizontal="right"/>
    </xf>
    <xf numFmtId="164" fontId="0" fillId="0" borderId="16" xfId="0" applyNumberFormat="1" applyBorder="1" applyAlignment="1">
      <alignment horizontal="right"/>
    </xf>
    <xf numFmtId="164" fontId="0" fillId="0" borderId="18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7" xfId="0" applyNumberFormat="1" applyBorder="1" applyAlignment="1">
      <alignment horizontal="right"/>
    </xf>
    <xf numFmtId="38" fontId="32" fillId="0" borderId="17" xfId="0" applyNumberFormat="1" applyFont="1" applyBorder="1" applyAlignment="1">
      <alignment horizontal="right"/>
    </xf>
    <xf numFmtId="165" fontId="32" fillId="0" borderId="17" xfId="0" applyNumberFormat="1" applyFont="1" applyBorder="1" applyAlignment="1">
      <alignment horizontal="right"/>
    </xf>
    <xf numFmtId="165" fontId="32" fillId="0" borderId="18" xfId="0" applyNumberFormat="1" applyFont="1" applyBorder="1" applyAlignment="1">
      <alignment horizontal="right"/>
    </xf>
    <xf numFmtId="165" fontId="31" fillId="2" borderId="3" xfId="0" applyNumberFormat="1" applyFont="1" applyFill="1" applyBorder="1" applyAlignment="1">
      <alignment horizontal="right"/>
    </xf>
    <xf numFmtId="165" fontId="31" fillId="2" borderId="4" xfId="0" applyNumberFormat="1" applyFont="1" applyFill="1" applyBorder="1" applyAlignment="1">
      <alignment horizontal="right"/>
    </xf>
    <xf numFmtId="1" fontId="0" fillId="0" borderId="17" xfId="0" applyNumberFormat="1" applyBorder="1" applyAlignment="1">
      <alignment horizontal="right"/>
    </xf>
    <xf numFmtId="1" fontId="1" fillId="2" borderId="3" xfId="0" applyNumberFormat="1" applyFont="1" applyFill="1" applyBorder="1" applyAlignment="1">
      <alignment horizontal="right"/>
    </xf>
    <xf numFmtId="1" fontId="0" fillId="4" borderId="17" xfId="0" applyNumberFormat="1" applyFill="1" applyBorder="1" applyAlignment="1">
      <alignment horizontal="right"/>
    </xf>
    <xf numFmtId="167" fontId="0" fillId="0" borderId="18" xfId="0" applyNumberFormat="1" applyBorder="1" applyAlignment="1">
      <alignment horizontal="right"/>
    </xf>
    <xf numFmtId="167" fontId="1" fillId="2" borderId="4" xfId="0" applyNumberFormat="1" applyFont="1" applyFill="1" applyBorder="1" applyAlignment="1">
      <alignment horizontal="right"/>
    </xf>
    <xf numFmtId="167" fontId="0" fillId="4" borderId="23" xfId="0" applyNumberFormat="1" applyFill="1" applyBorder="1" applyAlignment="1">
      <alignment horizontal="right"/>
    </xf>
  </cellXfs>
  <cellStyles count="49">
    <cellStyle name="20% - Accent1 2" xfId="7"/>
    <cellStyle name="20% - Accent2 2" xfId="8"/>
    <cellStyle name="20% - Accent3 2" xfId="9"/>
    <cellStyle name="20% - Accent4 2" xfId="10"/>
    <cellStyle name="20% - Accent5 2" xfId="11"/>
    <cellStyle name="20% - Accent6 2" xfId="12"/>
    <cellStyle name="40% - Accent1 2" xfId="13"/>
    <cellStyle name="40% - Accent2 2" xfId="14"/>
    <cellStyle name="40% - Accent3 2" xfId="15"/>
    <cellStyle name="40% - Accent4 2" xfId="16"/>
    <cellStyle name="40% - Accent5 2" xfId="17"/>
    <cellStyle name="40% - Accent6 2" xfId="18"/>
    <cellStyle name="60% - Accent1 2" xfId="19"/>
    <cellStyle name="60% - Accent2 2" xfId="20"/>
    <cellStyle name="60% - Accent3 2" xfId="21"/>
    <cellStyle name="60% - Accent4 2" xfId="22"/>
    <cellStyle name="60% - Accent5 2" xfId="23"/>
    <cellStyle name="60% - Accent6 2" xfId="24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Bad 2" xfId="26"/>
    <cellStyle name="Calculation 2" xfId="25"/>
    <cellStyle name="Check Cell 2" xfId="31"/>
    <cellStyle name="Explanatory Text 2" xfId="27"/>
    <cellStyle name="Good 2" xfId="28"/>
    <cellStyle name="Heading 1 2" xfId="34"/>
    <cellStyle name="Heading 2 2" xfId="35"/>
    <cellStyle name="Heading 3 2" xfId="36"/>
    <cellStyle name="Heading 4 2" xfId="37"/>
    <cellStyle name="Input 2" xfId="29"/>
    <cellStyle name="Linked Cell 2" xfId="30"/>
    <cellStyle name="Min stil" xfId="2"/>
    <cellStyle name="Neutral 2" xfId="33"/>
    <cellStyle name="Normal" xfId="0" builtinId="0"/>
    <cellStyle name="Normal 2" xfId="1"/>
    <cellStyle name="Normal 2 2" xfId="3"/>
    <cellStyle name="Normal 2_MultiSelect" xfId="4"/>
    <cellStyle name="Normal 3" xfId="5"/>
    <cellStyle name="Normal 4" xfId="6"/>
    <cellStyle name="Note 2" xfId="32"/>
    <cellStyle name="Output 2" xfId="40"/>
    <cellStyle name="Percent" xfId="48" builtinId="5"/>
    <cellStyle name="Title 2" xfId="38"/>
    <cellStyle name="Total 2" xfId="39"/>
    <cellStyle name="Warning Text 2" xfId="47"/>
  </cellStyles>
  <dxfs count="63">
    <dxf>
      <numFmt numFmtId="6" formatCode="#,##0;[Red]\-#,##0"/>
    </dxf>
    <dxf>
      <numFmt numFmtId="6" formatCode="#,##0;[Red]\-#,##0"/>
    </dxf>
    <dxf>
      <numFmt numFmtId="164" formatCode="#,##0.0;[Red]\-#,##0.0"/>
    </dxf>
    <dxf>
      <numFmt numFmtId="164" formatCode="#,##0.0;[Red]\-#,##0.0"/>
    </dxf>
    <dxf>
      <numFmt numFmtId="165" formatCode="#,##0\ %;[Red]\-#,##0\ %"/>
    </dxf>
    <dxf>
      <numFmt numFmtId="165" formatCode="#,##0\ %;[Red]\-#,##0\ %"/>
    </dxf>
    <dxf>
      <numFmt numFmtId="6" formatCode="#,##0;[Red]\-#,##0"/>
    </dxf>
    <dxf>
      <font>
        <sz val="11"/>
      </font>
    </dxf>
    <dxf>
      <font>
        <sz val="11"/>
      </font>
    </dxf>
    <dxf>
      <font>
        <name val="Calibri"/>
        <scheme val="minor"/>
      </font>
    </dxf>
    <dxf>
      <font>
        <name val="Calibri"/>
        <scheme val="minor"/>
      </font>
    </dxf>
    <dxf>
      <numFmt numFmtId="166" formatCode="#,##0.0\ %;[Red]\-#,##0.0\ %"/>
    </dxf>
    <dxf>
      <numFmt numFmtId="164" formatCode="#,##0.0;[Red]\-#,##0.0"/>
    </dxf>
    <dxf>
      <font>
        <sz val="11"/>
      </font>
    </dxf>
    <dxf>
      <font>
        <name val="Calibri"/>
        <scheme val="minor"/>
      </font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3" formatCode="0\ %"/>
    </dxf>
    <dxf>
      <numFmt numFmtId="0" formatCode="General"/>
    </dxf>
    <dxf>
      <numFmt numFmtId="26" formatCode="hh:mm:ss"/>
    </dxf>
    <dxf>
      <numFmt numFmtId="26" formatCode="hh:mm:ss"/>
    </dxf>
    <dxf>
      <numFmt numFmtId="26" formatCode="hh:mm:ss"/>
    </dxf>
    <dxf>
      <numFmt numFmtId="26" formatCode="hh:mm:ss"/>
    </dxf>
    <dxf>
      <numFmt numFmtId="26" formatCode="hh:mm:ss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6" formatCode="hh:mm:ss"/>
    </dxf>
    <dxf>
      <numFmt numFmtId="6" formatCode="#,##0;[Red]\-#,##0"/>
    </dxf>
    <dxf>
      <numFmt numFmtId="164" formatCode="#,##0.0;[Red]\-#,##0.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26" formatCode="hh:mm:ss"/>
    </dxf>
    <dxf>
      <numFmt numFmtId="30" formatCode="@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11" Type="http://schemas.openxmlformats.org/officeDocument/2006/relationships/image" Target="../media/image11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653230" y="17253"/>
          <a:ext cx="2430450" cy="1131535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12</xdr:row>
      <xdr:rowOff>0</xdr:rowOff>
    </xdr:from>
    <xdr:to>
      <xdr:col>9</xdr:col>
      <xdr:colOff>69336</xdr:colOff>
      <xdr:row>24</xdr:row>
      <xdr:rowOff>105438</xdr:rowOff>
    </xdr:to>
    <xdr:pic macro="[0]!ShowDialog2">
      <xdr:nvPicPr>
        <xdr:cNvPr id="11" name="Dialog1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34523</xdr:colOff>
      <xdr:row>1</xdr:row>
      <xdr:rowOff>103508</xdr:rowOff>
    </xdr:from>
    <xdr:to>
      <xdr:col>12</xdr:col>
      <xdr:colOff>324970</xdr:colOff>
      <xdr:row>4</xdr:row>
      <xdr:rowOff>25866</xdr:rowOff>
    </xdr:to>
    <xdr:sp macro="" textlink="SapExlReportName">
      <xdr:nvSpPr>
        <xdr:cNvPr id="6" name="Avrundet rektangel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511023" y="305214"/>
          <a:ext cx="6117506" cy="549887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Prosess og Produksjons ordre historikk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213924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134472</xdr:rowOff>
    </xdr:from>
    <xdr:to>
      <xdr:col>3</xdr:col>
      <xdr:colOff>488240</xdr:colOff>
      <xdr:row>6</xdr:row>
      <xdr:rowOff>1010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1353" y="134472"/>
          <a:ext cx="1945005" cy="10991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11206</xdr:colOff>
      <xdr:row>29</xdr:row>
      <xdr:rowOff>100852</xdr:rowOff>
    </xdr:from>
    <xdr:to>
      <xdr:col>8</xdr:col>
      <xdr:colOff>83959</xdr:colOff>
      <xdr:row>51</xdr:row>
      <xdr:rowOff>6180</xdr:rowOff>
    </xdr:to>
    <xdr:pic>
      <xdr:nvPicPr>
        <xdr:cNvPr id="13" name="Bild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6481" y="5796802"/>
          <a:ext cx="5206728" cy="430587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16</xdr:col>
      <xdr:colOff>271555</xdr:colOff>
      <xdr:row>73</xdr:row>
      <xdr:rowOff>106825</xdr:rowOff>
    </xdr:to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95275" y="10296525"/>
          <a:ext cx="11272930" cy="4307350"/>
        </a:xfrm>
        <a:prstGeom prst="rect">
          <a:avLst/>
        </a:prstGeom>
      </xdr:spPr>
    </xdr:pic>
    <xdr:clientData/>
  </xdr:twoCellAnchor>
  <xdr:twoCellAnchor editAs="oneCell">
    <xdr:from>
      <xdr:col>2</xdr:col>
      <xdr:colOff>79642</xdr:colOff>
      <xdr:row>67</xdr:row>
      <xdr:rowOff>73960</xdr:rowOff>
    </xdr:from>
    <xdr:to>
      <xdr:col>3</xdr:col>
      <xdr:colOff>710686</xdr:colOff>
      <xdr:row>76</xdr:row>
      <xdr:rowOff>29831</xdr:rowOff>
    </xdr:to>
    <xdr:pic>
      <xdr:nvPicPr>
        <xdr:cNvPr id="15" name="Bild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08342" y="13370860"/>
          <a:ext cx="1364469" cy="1756096"/>
        </a:xfrm>
        <a:prstGeom prst="rect">
          <a:avLst/>
        </a:prstGeom>
      </xdr:spPr>
    </xdr:pic>
    <xdr:clientData/>
  </xdr:twoCellAnchor>
  <xdr:twoCellAnchor editAs="oneCell">
    <xdr:from>
      <xdr:col>7</xdr:col>
      <xdr:colOff>168088</xdr:colOff>
      <xdr:row>25</xdr:row>
      <xdr:rowOff>0</xdr:rowOff>
    </xdr:from>
    <xdr:to>
      <xdr:col>7</xdr:col>
      <xdr:colOff>377612</xdr:colOff>
      <xdr:row>26</xdr:row>
      <xdr:rowOff>17342</xdr:rowOff>
    </xdr:to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863913" y="4895850"/>
          <a:ext cx="209524" cy="2173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44824</xdr:colOff>
      <xdr:row>0</xdr:row>
      <xdr:rowOff>78442</xdr:rowOff>
    </xdr:from>
    <xdr:ext cx="3528274" cy="277097"/>
    <xdr:sp macro="" textlink="ReportCaption">
      <xdr:nvSpPr>
        <xdr:cNvPr id="4" name="Avrundet rektangel 1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4824" y="78442"/>
          <a:ext cx="3528274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Prosess og Produksjons ordre historikk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78442</xdr:rowOff>
    </xdr:from>
    <xdr:ext cx="3528274" cy="277097"/>
    <xdr:sp macro="" textlink="ReportCaption">
      <xdr:nvSpPr>
        <xdr:cNvPr id="4" name="Avrundet rektangel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56030" y="78442"/>
          <a:ext cx="3528274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Prosess og Produksjons ordre historikk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78442</xdr:rowOff>
    </xdr:from>
    <xdr:ext cx="3528274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56030" y="78442"/>
          <a:ext cx="3528274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Prosess og Produksjons ordre historikk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78442</xdr:rowOff>
    </xdr:from>
    <xdr:ext cx="3528274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6030" y="78442"/>
          <a:ext cx="3528274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Prosess og Produksjons ordre historikk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56030</xdr:colOff>
      <xdr:row>0</xdr:row>
      <xdr:rowOff>78442</xdr:rowOff>
    </xdr:from>
    <xdr:ext cx="3528274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56030" y="78442"/>
          <a:ext cx="3528274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>
              <a:solidFill>
                <a:srgbClr val="C00000"/>
              </a:solidFill>
            </a:rPr>
            <a:pPr algn="l"/>
            <a:t>Prosess og Produksjons ordre historikk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il Kumar Bottu" refreshedDate="43028.3831943287" createdVersion="4" refreshedVersion="6" minRefreshableVersion="3" recordCount="3">
  <cacheSource type="worksheet">
    <worksheetSource name="SapExlData"/>
  </cacheSource>
  <cacheFields count="69">
    <cacheField name="Ordre" numFmtId="0">
      <sharedItems containsMixedTypes="1" containsNumber="1" containsInteger="1" minValue="1174462" maxValue="1175744" count="4">
        <s v="1174462"/>
        <s v="1175744"/>
        <n v="1175744" u="1"/>
        <n v="1174462" u="1"/>
      </sharedItems>
    </cacheField>
    <cacheField name="Planlagt sluttdato" numFmtId="0">
      <sharedItems/>
    </cacheField>
    <cacheField name="Dv" numFmtId="0">
      <sharedItems/>
    </cacheField>
    <cacheField name="EAN/UPC" numFmtId="0">
      <sharedItems containsString="0" containsBlank="1" containsNumber="1" containsInteger="1" minValue="7039019943421" maxValue="7039019943421"/>
    </cacheField>
    <cacheField name="Språk" numFmtId="0">
      <sharedItems/>
    </cacheField>
    <cacheField name="Material Besk." numFmtId="0">
      <sharedItems/>
    </cacheField>
    <cacheField name="MType Besk." numFmtId="0">
      <sharedItems count="2">
        <s v="Ferdigvare, Stab. Pricat"/>
        <s v="Halvfabrikat, Stabburet"/>
      </sharedItems>
    </cacheField>
    <cacheField name="Fabrikk Navn" numFmtId="0">
      <sharedItems/>
    </cacheField>
    <cacheField name="Prod. Planlegger" numFmtId="0">
      <sharedItems count="2">
        <s v="FR00/035"/>
        <s v="FR00/055"/>
      </sharedItems>
    </cacheField>
    <cacheField name="Produkt heierarki Besk." numFmtId="0">
      <sharedItems/>
    </cacheField>
    <cacheField name="Arbeidsstasjon" numFmtId="0">
      <sharedItems/>
    </cacheField>
    <cacheField name="Alt Enhet" numFmtId="0">
      <sharedItems containsNonDate="0" containsString="0" containsBlank="1"/>
    </cacheField>
    <cacheField name="Rcounter" numFmtId="0">
      <sharedItems containsNonDate="0" containsString="0" containsBlank="1"/>
    </cacheField>
    <cacheField name="Dato" numFmtId="0">
      <sharedItems count="2">
        <s v="01.01.2013"/>
        <s v="03.01.2013"/>
      </sharedItems>
    </cacheField>
    <cacheField name="Base Enhet" numFmtId="0">
      <sharedItems containsNonDate="0" containsString="0" containsBlank="1"/>
    </cacheField>
    <cacheField name="Base Enhet2" numFmtId="0">
      <sharedItems containsNonDate="0" containsString="0" containsBlank="1"/>
    </cacheField>
    <cacheField name="Språk Kode" numFmtId="0">
      <sharedItems/>
    </cacheField>
    <cacheField name="Material" numFmtId="0">
      <sharedItems containsSemiMixedTypes="0" containsString="0" containsNumber="1" containsInteger="1" minValue="4342" maxValue="69237"/>
    </cacheField>
    <cacheField name="Mtyp" numFmtId="0">
      <sharedItems count="3">
        <s v="ZFER"/>
        <s v="ZHAL"/>
        <s v="FERT" u="1"/>
      </sharedItems>
    </cacheField>
    <cacheField name="Fabrikk" numFmtId="0">
      <sharedItems/>
    </cacheField>
    <cacheField name="Produkthierarki" numFmtId="49">
      <sharedItems/>
    </cacheField>
    <cacheField name="Arb. Stasjon Kode" numFmtId="21">
      <sharedItems/>
    </cacheField>
    <cacheField name="N" numFmtId="0">
      <sharedItems containsSemiMixedTypes="0" containsString="0" containsNumber="1" containsInteger="1" minValue="0" maxValue="0"/>
    </cacheField>
    <cacheField name="EBS max. batch size" numFmtId="49">
      <sharedItems containsSemiMixedTypes="0" containsString="0" containsNumber="1" containsInteger="1" minValue="0" maxValue="0"/>
    </cacheField>
    <cacheField name="Equal batch size qty10" numFmtId="0">
      <sharedItems containsSemiMixedTypes="0" containsString="0" containsNumber="1" containsInteger="1" minValue="0" maxValue="0"/>
    </cacheField>
    <cacheField name="Equal batch size qty" numFmtId="0">
      <sharedItems containsSemiMixedTypes="0" containsString="0" containsNumber="1" containsInteger="1" minValue="0" maxValue="0"/>
    </cacheField>
    <cacheField name="Confirmed scrap" numFmtId="0">
      <sharedItems containsSemiMixedTypes="0" containsString="0" containsNumber="1" containsInteger="1" minValue="0" maxValue="0"/>
    </cacheField>
    <cacheField name="Confirmed yield" numFmtId="1">
      <sharedItems containsSemiMixedTypes="0" containsString="0" containsNumber="1" minValue="478.73099999999999" maxValue="6239.9939999999997"/>
    </cacheField>
    <cacheField name="Faktisk utføre tid" numFmtId="0">
      <sharedItems containsSemiMixedTypes="0" containsString="0" containsNumber="1" containsInteger="1" minValue="0" maxValue="2"/>
    </cacheField>
    <cacheField name="Net Weight" numFmtId="0">
      <sharedItems containsSemiMixedTypes="0" containsString="0" containsNumber="1" minValue="0" maxValue="4.5"/>
    </cacheField>
    <cacheField name="Scheduled processing time" numFmtId="1">
      <sharedItems containsSemiMixedTypes="0" containsString="0" containsNumber="1" minValue="2" maxValue="6.4"/>
    </cacheField>
    <cacheField name="Sched. teardown time" numFmtId="0">
      <sharedItems containsSemiMixedTypes="0" containsString="0" containsNumber="1" containsInteger="1" minValue="0" maxValue="0"/>
    </cacheField>
    <cacheField name="Target requirements - processi" numFmtId="1">
      <sharedItems containsSemiMixedTypes="0" containsString="0" containsNumber="1" minValue="3.1" maxValue="6.4"/>
    </cacheField>
    <cacheField name="Scheduled requirements- teardo" numFmtId="0">
      <sharedItems containsSemiMixedTypes="0" containsString="0" containsNumber="1" containsInteger="1" minValue="0" maxValue="0"/>
    </cacheField>
    <cacheField name="Target utføre tid" numFmtId="0">
      <sharedItems containsSemiMixedTypes="0" containsString="0" containsNumber="1" containsInteger="1" minValue="0" maxValue="0"/>
    </cacheField>
    <cacheField name="Set up scheduled cap. Rqmts" numFmtId="0">
      <sharedItems containsSemiMixedTypes="0" containsString="0" containsNumber="1" containsInteger="1" minValue="0" maxValue="0"/>
    </cacheField>
    <cacheField name="Setup" numFmtId="0">
      <sharedItems containsSemiMixedTypes="0" containsString="0" containsNumber="1" containsInteger="1" minValue="0" maxValue="0"/>
    </cacheField>
    <cacheField name="Operation Qty" numFmtId="1">
      <sharedItems containsSemiMixedTypes="0" containsString="0" containsNumber="1" minValue="558.52" maxValue="6239.9939999999997"/>
    </cacheField>
    <cacheField name="Nevner" numFmtId="1">
      <sharedItems containsSemiMixedTypes="0" containsString="0" containsNumber="1" containsInteger="1" minValue="1" maxValue="2"/>
    </cacheField>
    <cacheField name="Teller" numFmtId="1">
      <sharedItems containsSemiMixedTypes="0" containsString="0" containsNumber="1" containsInteger="1" minValue="2" maxValue="3"/>
    </cacheField>
    <cacheField name="Rcounter2" numFmtId="0">
      <sharedItems containsNonDate="0" containsString="0" containsBlank="1"/>
    </cacheField>
    <cacheField name="Produkt hierarki navn" numFmtId="0">
      <sharedItems count="4">
        <s v="STORFE FRYS, SH"/>
        <s v="Ikke tilordnet"/>
        <s v="200400990201 STORFE FRYS, SH" u="1"/>
        <s v=" Ikke tilordnet" u="1"/>
      </sharedItems>
    </cacheField>
    <cacheField name="Ordre_Kva" numFmtId="38">
      <sharedItems containsSemiMixedTypes="0" containsString="0" containsNumber="1" minValue="558.52" maxValue="6239.9939999999997"/>
    </cacheField>
    <cacheField name="Bekr_Kva" numFmtId="38">
      <sharedItems containsSemiMixedTypes="0" containsString="0" containsNumber="1" minValue="478.73099999999999" maxValue="6239.9939999999997"/>
    </cacheField>
    <cacheField name="Vekt" numFmtId="38">
      <sharedItems containsSemiMixedTypes="0" containsString="0" containsNumber="1" minValue="2154.2894999999999" maxValue="6239.9939999999997"/>
    </cacheField>
    <cacheField name="Ant FPAK" numFmtId="38">
      <sharedItems containsSemiMixedTypes="0" containsString="0" containsNumber="1" minValue="0" maxValue="239.3655"/>
    </cacheField>
    <cacheField name="Forskj_Lots" numFmtId="164">
      <sharedItems containsSemiMixedTypes="0" containsString="0" containsNumber="1" containsInteger="1" minValue="0" maxValue="0"/>
    </cacheField>
    <cacheField name="AS_Test" numFmtId="38">
      <sharedItems/>
    </cacheField>
    <cacheField name="Arbeids stasjon" numFmtId="21">
      <sharedItems count="6">
        <s v="FR6107 FR00/FR6107"/>
        <s v="FR7312 FR00/FR7312"/>
        <s v="FR00/FR6107 " u="1"/>
        <s v="FR00/FR6107" u="1"/>
        <s v="FR00/FR7312 " u="1"/>
        <s v="FR00/FR7312" u="1"/>
      </sharedItems>
    </cacheField>
    <cacheField name="Plan Avvik" numFmtId="0">
      <sharedItems containsSemiMixedTypes="0" containsString="0" containsNumber="1" containsInteger="1" minValue="0" maxValue="2"/>
    </cacheField>
    <cacheField name="Ordre Info" numFmtId="0">
      <sharedItems/>
    </cacheField>
    <cacheField name="Avvik Type" numFmtId="0">
      <sharedItems count="1">
        <s v="Too late"/>
      </sharedItems>
    </cacheField>
    <cacheField name="Tid Adherance" numFmtId="0">
      <sharedItems containsSemiMixedTypes="0" containsString="0" containsNumber="1" containsInteger="1" minValue="-2" maxValue="0"/>
    </cacheField>
    <cacheField name="Kva Forskj" numFmtId="1">
      <sharedItems containsSemiMixedTypes="0" containsString="0" containsNumber="1" minValue="558.52" maxValue="6239.9939999999997"/>
    </cacheField>
    <cacheField name="Test_Null" numFmtId="0">
      <sharedItems count="1">
        <s v="Utftid=0"/>
      </sharedItems>
    </cacheField>
    <cacheField name="År" numFmtId="0">
      <sharedItems containsSemiMixedTypes="0" containsString="0" containsNumber="1" containsInteger="1" minValue="2013" maxValue="2013" count="1">
        <n v="2013"/>
      </sharedItems>
    </cacheField>
    <cacheField name="År_Måned" numFmtId="21">
      <sharedItems count="1">
        <s v="2013-01"/>
      </sharedItems>
    </cacheField>
    <cacheField name="År_Uke" numFmtId="21">
      <sharedItems count="1">
        <s v="2013-01"/>
      </sharedItems>
    </cacheField>
    <cacheField name="Måned" numFmtId="21">
      <sharedItems/>
    </cacheField>
    <cacheField name="Uke" numFmtId="21">
      <sharedItems/>
    </cacheField>
    <cacheField name="Fjern dobbel" numFmtId="21">
      <sharedItems count="2">
        <s v=""/>
        <s v="Dobbel"/>
      </sharedItems>
    </cacheField>
    <cacheField name="Material Navn" numFmtId="0">
      <sharedItems count="2">
        <s v="004342 Stabburet Snadderbiff  25x180g"/>
        <s v="069237 Råvarebl.Kebab Spann"/>
      </sharedItems>
    </cacheField>
    <cacheField name="Planoppnåelse" numFmtId="9">
      <sharedItems containsSemiMixedTypes="0" containsString="0" containsNumber="1" minValue="0.83333228890546052" maxValue="1"/>
    </cacheField>
    <cacheField name="Kva Avikk %" numFmtId="0" formula="(Bekr_Kva/Ordre_Kva-1)" databaseField="0"/>
    <cacheField name="Forskj_Lots %" numFmtId="0" formula="(Forskj_Lots/N)" databaseField="0"/>
    <cacheField name="Kva/Arbeidstimer" numFmtId="0" formula="(Bekr_Kva/'Target requirements - processi')" databaseField="0"/>
    <cacheField name="Avikk utføre tid %" numFmtId="0" formula="('Faktisk utføre tid'/'Target utføre tid'-1)" databaseField="0"/>
    <cacheField name="Kva Adherence" numFmtId="0" formula="(1-'Kva Forskj'/'Operation Qty')" databaseField="0"/>
    <cacheField name="Kva/Lot" numFmtId="0" formula="(Ordre_Kva/N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">
  <r>
    <x v="0"/>
    <s v="18.12.2012"/>
    <s v="Storhusholdning"/>
    <n v="7039019943421"/>
    <s v="Norsk"/>
    <s v="Stabburet Snadderbiff  25x180g"/>
    <x v="0"/>
    <s v="Råbekken"/>
    <x v="0"/>
    <s v="STORFE FRYS, SH"/>
    <s v="FR00/FR6107"/>
    <m/>
    <m/>
    <x v="0"/>
    <m/>
    <m/>
    <s v="NO"/>
    <n v="4342"/>
    <x v="0"/>
    <s v="FR00"/>
    <s v="200400990201"/>
    <s v="FR00/FR6107"/>
    <n v="0"/>
    <n v="0"/>
    <n v="0"/>
    <n v="0"/>
    <n v="0"/>
    <n v="478.73099999999999"/>
    <n v="2"/>
    <n v="4.5"/>
    <n v="6.4"/>
    <n v="0"/>
    <n v="6.4"/>
    <n v="0"/>
    <n v="0"/>
    <n v="0"/>
    <n v="0"/>
    <n v="558.52"/>
    <n v="1"/>
    <n v="2"/>
    <m/>
    <x v="0"/>
    <n v="558.52"/>
    <n v="478.73099999999999"/>
    <n v="2154.2894999999999"/>
    <n v="239.3655"/>
    <n v="0"/>
    <s v="Included"/>
    <x v="0"/>
    <n v="2"/>
    <s v="OK"/>
    <x v="0"/>
    <n v="-2"/>
    <n v="558.52"/>
    <x v="0"/>
    <x v="0"/>
    <x v="0"/>
    <x v="0"/>
    <s v="01"/>
    <s v="01"/>
    <x v="0"/>
    <x v="0"/>
    <n v="0.83333228890546052"/>
  </r>
  <r>
    <x v="1"/>
    <s v="31.12.2012"/>
    <s v="Ikke tilordnet"/>
    <m/>
    <s v="Norsk"/>
    <s v="Råvarebl.Kebab Spann"/>
    <x v="1"/>
    <s v="Råbekken"/>
    <x v="1"/>
    <s v="Ikke tilordnet"/>
    <s v="FR00/FR7312"/>
    <m/>
    <m/>
    <x v="1"/>
    <m/>
    <m/>
    <s v="NO"/>
    <n v="69237"/>
    <x v="1"/>
    <s v="FR00"/>
    <s v=""/>
    <s v="FR00/FR7312"/>
    <n v="0"/>
    <n v="0"/>
    <n v="0"/>
    <n v="0"/>
    <n v="0"/>
    <n v="6239.9939999999997"/>
    <n v="0"/>
    <n v="0"/>
    <n v="2"/>
    <n v="0"/>
    <n v="3.1"/>
    <n v="0"/>
    <n v="0"/>
    <n v="0"/>
    <n v="0"/>
    <n v="6239.9939999999997"/>
    <n v="2"/>
    <n v="3"/>
    <m/>
    <x v="1"/>
    <n v="6239.9939999999997"/>
    <n v="6239.9939999999997"/>
    <n v="6239.9939999999997"/>
    <n v="0"/>
    <n v="0"/>
    <s v="Included"/>
    <x v="1"/>
    <n v="0"/>
    <s v="OK"/>
    <x v="0"/>
    <n v="0"/>
    <n v="6239.9939999999997"/>
    <x v="0"/>
    <x v="0"/>
    <x v="0"/>
    <x v="0"/>
    <s v="01"/>
    <s v="01"/>
    <x v="1"/>
    <x v="1"/>
    <n v="1"/>
  </r>
  <r>
    <x v="1"/>
    <s v="31.12.2012"/>
    <s v="Ikke tilordnet"/>
    <m/>
    <s v="Norsk"/>
    <s v="Råvarebl.Kebab Spann"/>
    <x v="1"/>
    <s v="Råbekken"/>
    <x v="1"/>
    <s v="Ikke tilordnet"/>
    <s v="FR00/FR7312"/>
    <m/>
    <m/>
    <x v="1"/>
    <m/>
    <m/>
    <s v="NO"/>
    <n v="69237"/>
    <x v="1"/>
    <s v="FR00"/>
    <s v=""/>
    <s v="FR00/FR7312"/>
    <n v="0"/>
    <n v="0"/>
    <n v="0"/>
    <n v="0"/>
    <n v="0"/>
    <n v="6239.9939999999997"/>
    <n v="0"/>
    <n v="0"/>
    <n v="2"/>
    <n v="0"/>
    <n v="3.1"/>
    <n v="0"/>
    <n v="0"/>
    <n v="0"/>
    <n v="0"/>
    <n v="6239.9939999999997"/>
    <n v="2"/>
    <n v="3"/>
    <m/>
    <x v="1"/>
    <n v="6239.9939999999997"/>
    <n v="6239.9939999999997"/>
    <n v="6239.9939999999997"/>
    <n v="0"/>
    <n v="0"/>
    <s v="Included"/>
    <x v="1"/>
    <n v="0"/>
    <s v="OK"/>
    <x v="0"/>
    <n v="0"/>
    <n v="6239.9939999999997"/>
    <x v="0"/>
    <x v="0"/>
    <x v="0"/>
    <x v="0"/>
    <s v="01"/>
    <s v="01"/>
    <x v="0"/>
    <x v="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colGrandTotals="0" itemPrintTitles="1" createdVersion="1" indent="0" compact="0" compactData="0" gridDropZones="1">
  <location ref="A17:H22" firstHeaderRow="0" firstDataRow="1" firstDataCol="2" rowPageCount="9" colPageCount="1"/>
  <pivotFields count="69">
    <pivotField axis="axisPage" compact="0" numFmtId="49" outline="0" subtotalTop="0" showAll="0" includeNewItemsInFilter="1" defaultSubtotal="0">
      <items count="4">
        <item m="1" x="3"/>
        <item m="1" x="2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name="Material type"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axis="axisRow" compact="0" outline="0" subtotalTop="0" showAll="0" insertBlankRow="1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4">
        <item m="1" x="3"/>
        <item m="1" x="2"/>
        <item x="0"/>
        <item x="1"/>
      </items>
    </pivotField>
    <pivotField dataField="1" compact="0" numFmtId="38" outline="0" subtotalTop="0" showAll="0" includeNewItemsInFilter="1" defaultSubtotal="0"/>
    <pivotField dataField="1" compact="0" numFmtId="38" outline="0" subtotalTop="0" showAll="0" includeNewItemsInFilter="1" defaultSubtotal="0"/>
    <pivotField dataField="1" compact="0" numFmtId="38" outline="0" subtotalTop="0" showAll="0" includeNewItemsInFilter="1" defaultSubtotal="0"/>
    <pivotField dataField="1" compact="0" numFmtId="38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6">
        <item m="1" x="2"/>
        <item m="1" x="4"/>
        <item m="1" x="3"/>
        <item m="1" x="5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multipleItemSelectionAllowed="1" showAll="0" includeNewItemsInFilter="1" defaultSubtotal="0">
      <items count="2">
        <item h="1" x="1"/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dataField="1" compact="0" numFmtId="9" outline="0" showAll="0" includeNewItemsInFilter="1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2">
    <field x="8"/>
    <field x="48"/>
  </rowFields>
  <rowItems count="5">
    <i>
      <x/>
      <x v="4"/>
    </i>
    <i t="blank">
      <x/>
    </i>
    <i>
      <x v="1"/>
      <x v="5"/>
    </i>
    <i t="blank">
      <x v="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9">
    <pageField fld="56" hier="-1"/>
    <pageField fld="57" hier="-1"/>
    <pageField fld="55" hier="-1"/>
    <pageField fld="61" hier="-1"/>
    <pageField fld="6" hier="-1"/>
    <pageField fld="13" hier="-1"/>
    <pageField fld="41" hier="-1"/>
    <pageField fld="0" hier="-1"/>
    <pageField fld="60" hier="-1"/>
  </pageFields>
  <dataFields count="6">
    <dataField name="Ordre_Kva " fld="42" baseField="48" baseItem="4" numFmtId="3"/>
    <dataField name="Lev_Kva " fld="43" baseField="48" baseItem="4" numFmtId="3"/>
    <dataField name="Lev_KG " fld="44" baseField="48" baseItem="4" numFmtId="3"/>
    <dataField name="Kva Avvik % " fld="63" baseField="48" baseItem="4" numFmtId="166"/>
    <dataField name="Ant FPAK " fld="45" baseField="48" baseItem="4" numFmtId="1"/>
    <dataField name="Planoppnåelse " fld="62" baseField="48" baseItem="4" numFmtId="167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ell4" cacheId="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colGrandTotals="0" itemPrintTitles="1" createdVersion="1" indent="0" compact="0" compactData="0" gridDropZones="1">
  <location ref="A17:D19" firstHeaderRow="0" firstDataRow="1" firstDataCol="1" rowPageCount="9" colPageCount="1"/>
  <pivotFields count="69">
    <pivotField axis="axisPage" compact="0" numFmtId="49" outline="0" subtotalTop="0" showAll="0" includeNewItemsInFilter="1" defaultSubtotal="0">
      <items count="4">
        <item m="1" x="3"/>
        <item m="1" x="2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4">
        <item m="1" x="3"/>
        <item m="1" x="2"/>
        <item x="0"/>
        <item x="1"/>
      </items>
    </pivotField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dataField="1" compact="0" numFmtId="164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6">
        <item m="1" x="2"/>
        <item m="1" x="4"/>
        <item m="1" x="3"/>
        <item m="1" x="5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multipleItemSelectionAllowed="1" showAll="0" includeNewItemsInFilter="1" defaultSubtotal="0">
      <items count="2">
        <item h="1" x="1"/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compact="0" numFmtId="9" outline="0" showAll="0" includeNewItemsInFilter="1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56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9">
    <pageField fld="41" hier="-1"/>
    <pageField fld="55" hier="-1"/>
    <pageField fld="0" hier="-1"/>
    <pageField fld="13" hier="-1"/>
    <pageField fld="61" hier="-1"/>
    <pageField fld="8" hier="-1"/>
    <pageField fld="57" hier="-1"/>
    <pageField fld="48" hier="-1"/>
    <pageField fld="60" hier="-1"/>
  </pageFields>
  <dataFields count="3">
    <dataField name="Lots" fld="22" baseField="47" baseItem="0" numFmtId="38"/>
    <dataField name="Forskj_Lots " fld="46" baseField="47" baseItem="0" numFmtId="164"/>
    <dataField name="Forskj_Lots % " fld="64" baseField="47" baseItem="0" numFmtId="166"/>
  </dataFields>
  <formats count="4">
    <format dxfId="14">
      <pivotArea type="all" dataOnly="0" outline="0" fieldPosition="0"/>
    </format>
    <format dxfId="13">
      <pivotArea type="all" dataOnly="0" outline="0" fieldPosition="0"/>
    </format>
    <format dxfId="12">
      <pivotArea outline="0" fieldPosition="0">
        <references count="1">
          <reference field="4294967294" count="1">
            <x v="1"/>
          </reference>
        </references>
      </pivotArea>
    </format>
    <format dxfId="11">
      <pivotArea outline="0" fieldPosition="0">
        <references count="1">
          <reference field="4294967294" count="1">
            <x v="2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6:D20" firstHeaderRow="1" firstDataRow="2" firstDataCol="1" rowPageCount="9" colPageCount="1"/>
  <pivotFields count="69">
    <pivotField axis="axisPage" compact="0" numFmtId="49" outline="0" subtotalTop="0" showAll="0" includeNewItemsInFilter="1" defaultSubtotal="0">
      <items count="4">
        <item m="1" x="3"/>
        <item m="1" x="2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name="MTyp" axis="axisCol" compact="0" outline="0" subtotalTop="0" showAll="0" includeNewItemsInFilter="1">
      <items count="4">
        <item m="1" x="2"/>
        <item x="0"/>
        <item x="1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4">
        <item m="1" x="3"/>
        <item m="1" x="2"/>
        <item x="0"/>
        <item x="1"/>
      </items>
    </pivotField>
    <pivotField compact="0" numFmtId="38" outline="0" subtotalTop="0" showAll="0" includeNewItemsInFilter="1" defaultSubtotal="0"/>
    <pivotField dataField="1"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6">
        <item m="1" x="2"/>
        <item m="1" x="4"/>
        <item m="1" x="3"/>
        <item m="1" x="5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multipleItemSelectionAllowed="1" showAll="0" includeNewItemsInFilter="1" defaultSubtotal="0">
      <items count="2">
        <item h="1" x="1"/>
        <item x="0"/>
      </items>
    </pivotField>
    <pivotField axis="axisPage" compact="0" outline="0" subtotalTop="0" showAll="0" includeNewItemsInFilter="1" defaultSubtotal="0">
      <items count="2">
        <item x="0"/>
        <item x="1"/>
      </items>
    </pivotField>
    <pivotField compact="0" numFmtId="9" outline="0" showAll="0" includeNewItemsInFilter="1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48"/>
  </rowFields>
  <rowItems count="3">
    <i>
      <x v="4"/>
    </i>
    <i>
      <x v="5"/>
    </i>
    <i t="grand">
      <x/>
    </i>
  </rowItems>
  <colFields count="1">
    <field x="18"/>
  </colFields>
  <colItems count="3">
    <i>
      <x v="1"/>
    </i>
    <i>
      <x v="2"/>
    </i>
    <i t="grand">
      <x/>
    </i>
  </colItems>
  <pageFields count="9">
    <pageField fld="57" hier="-1"/>
    <pageField fld="56" hier="-1"/>
    <pageField fld="0" hier="-1"/>
    <pageField fld="41" hier="-1"/>
    <pageField fld="8" hier="-1"/>
    <pageField fld="55" hier="-1"/>
    <pageField fld="13" hier="-1"/>
    <pageField fld="61" hier="-1"/>
    <pageField fld="60" hier="-1"/>
  </pageFields>
  <dataFields count="1">
    <dataField name="Lev_Kva " fld="43" subtotal="average" baseField="48" baseItem="4" numFmtId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6:D19" firstHeaderRow="0" firstDataRow="1" firstDataCol="1" rowPageCount="8" colPageCount="1"/>
  <pivotFields count="69">
    <pivotField axis="axisPage" compact="0" numFmtId="49" outline="0" subtotalTop="0" showAll="0" includeNewItemsInFilter="1" defaultSubtotal="0">
      <items count="4">
        <item m="1" x="3"/>
        <item m="1" x="2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4">
        <item m="1" x="3"/>
        <item m="1" x="2"/>
        <item x="0"/>
        <item x="1"/>
      </items>
    </pivotField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defaultSubtotal="0">
      <items count="6">
        <item m="1" x="2"/>
        <item m="1" x="4"/>
        <item m="1" x="3"/>
        <item m="1" x="5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numFmtId="9" outline="0" showAll="0" includeNewItemsInFilter="1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48"/>
  </rowFields>
  <rowItems count="3"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8">
    <pageField fld="57" hier="-1"/>
    <pageField fld="56" hier="-1"/>
    <pageField fld="0" hier="-1"/>
    <pageField fld="41" hier="-1"/>
    <pageField fld="8" hier="-1"/>
    <pageField fld="13" hier="-1"/>
    <pageField fld="61" hier="-1"/>
    <pageField fld="55" hier="-1"/>
  </pageFields>
  <dataFields count="3">
    <dataField name="Maskintimer" fld="30" baseField="39" baseItem="0" numFmtId="164"/>
    <dataField name="Persontimer" fld="32" baseField="47" baseItem="2" numFmtId="164"/>
    <dataField name="Kva/Persontimer " fld="65" baseField="47" baseItem="2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Pivottabell1" cacheId="1" autoFormatId="4109" applyNumberFormats="1" applyBorderFormats="1" applyFontFormats="1" applyPatternFormats="1" applyAlignmentFormats="1" applyWidthHeightFormats="1" dataCaption="Data" showError="1" updatedVersion="6" showDrill="0" showMemberPropertyTips="0" useAutoFormatting="1" itemPrintTitles="1" createdVersion="1" indent="0" compact="0" compactData="0" gridDropZones="1">
  <location ref="A16:H18" firstHeaderRow="0" firstDataRow="1" firstDataCol="1" rowPageCount="9" colPageCount="1"/>
  <pivotFields count="69">
    <pivotField axis="axisPage" compact="0" numFmtId="49" outline="0" subtotalTop="0" showAll="0" includeNewItemsInFilter="1" defaultSubtotal="0">
      <items count="4">
        <item m="1" x="3"/>
        <item m="1" x="2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numFmtId="1" outline="0" subtotalTop="0" showAll="0" includeNewItemsInFilter="1" defaultSubtotal="0"/>
    <pivotField compact="0" numFmtId="1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numFmtId="38" outline="0" subtotalTop="0" showAll="0" includeNewItemsInFilter="1" defaultSubtotal="0"/>
    <pivotField dataField="1"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38" outline="0" subtotalTop="0" showAll="0" includeNewItemsInFilter="1" defaultSubtotal="0"/>
    <pivotField compact="0" numFmtId="164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6">
        <item m="1" x="2"/>
        <item m="1" x="4"/>
        <item m="1" x="3"/>
        <item m="1" x="5"/>
        <item x="0"/>
        <item x="1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Page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axis="axisPage" compact="0" outline="0" subtotalTop="0" showAll="0" includeNewItemsInFilter="1" defaultSubtotal="0">
      <items count="2">
        <item x="0"/>
        <item x="1"/>
      </items>
    </pivotField>
    <pivotField compact="0" numFmtId="9" outline="0" showAll="0" includeNewItemsInFilter="1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57"/>
  </rowFields>
  <rowItems count="2">
    <i>
      <x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9">
    <pageField fld="54" hier="-1"/>
    <pageField fld="56" hier="-1"/>
    <pageField fld="61" hier="-1"/>
    <pageField fld="8" hier="-1"/>
    <pageField fld="13" hier="-1"/>
    <pageField fld="55" hier="-1"/>
    <pageField fld="48" hier="-1"/>
    <pageField fld="0" hier="-1"/>
    <pageField fld="51" hier="-1"/>
  </pageFields>
  <dataFields count="7">
    <dataField name="Ordre_Kva " fld="42" subtotal="average" baseField="57" baseItem="0" numFmtId="38"/>
    <dataField name="Levert_Kva " fld="43" subtotal="average" baseField="57" baseItem="0" numFmtId="38"/>
    <dataField name="Planlagt tid " fld="34" baseField="56" baseItem="0" numFmtId="164"/>
    <dataField name="Faktisk tid " fld="28" baseField="56" baseItem="0" numFmtId="164"/>
    <dataField name="Avvik tid % " fld="66" baseField="56" baseItem="0" numFmtId="165"/>
    <dataField name="Oppnåelse/Tid" fld="52" baseField="56" baseItem="0" numFmtId="38"/>
    <dataField name="Oppnåels/Kva" fld="67" baseField="56" baseItem="0" numFmtId="165"/>
  </dataFields>
  <formats count="11">
    <format dxfId="10">
      <pivotArea type="all" dataOnly="0" outline="0" fieldPosition="0"/>
    </format>
    <format dxfId="9">
      <pivotArea outline="0" fieldPosition="0"/>
    </format>
    <format dxfId="8">
      <pivotArea type="all" dataOnly="0" outline="0" fieldPosition="0"/>
    </format>
    <format dxfId="7">
      <pivotArea outline="0" fieldPosition="0"/>
    </format>
    <format dxfId="6">
      <pivotArea outline="0" fieldPosition="0">
        <references count="1">
          <reference field="4294967294" count="1">
            <x v="5"/>
          </reference>
        </references>
      </pivotArea>
    </format>
    <format dxfId="5">
      <pivotArea outline="0" fieldPosition="0">
        <references count="1">
          <reference field="4294967294" count="1">
            <x v="6"/>
          </reference>
        </references>
      </pivotArea>
    </format>
    <format dxfId="4">
      <pivotArea outline="0" fieldPosition="0">
        <references count="1">
          <reference field="4294967294" count="1">
            <x v="4"/>
          </reference>
        </references>
      </pivotArea>
    </format>
    <format dxfId="3">
      <pivotArea outline="0" fieldPosition="0">
        <references count="1">
          <reference field="4294967294" count="1">
            <x v="3"/>
          </reference>
        </references>
      </pivotArea>
    </format>
    <format dxfId="2">
      <pivotArea outline="0" fieldPosition="0">
        <references count="1">
          <reference field="4294967294" count="1">
            <x v="2"/>
          </reference>
        </references>
      </pivotArea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SapExlData" displayName="SapExlData" ref="A1:BK4" totalsRowShown="0" headerRowDxfId="62">
  <autoFilter ref="A1:BK4"/>
  <tableColumns count="63">
    <tableColumn id="44" name="Ordre" dataDxfId="61"/>
    <tableColumn id="59" name="Planlagt sluttdato" dataDxfId="60"/>
    <tableColumn id="2" name="Dv"/>
    <tableColumn id="3" name="EAN/UPC" dataDxfId="59"/>
    <tableColumn id="4" name="Språk"/>
    <tableColumn id="5" name="Material Besk."/>
    <tableColumn id="6" name="MType Besk."/>
    <tableColumn id="7" name="Fabrikk Navn"/>
    <tableColumn id="8" name="Prod. Planlegger"/>
    <tableColumn id="9" name="Produkt heierarki Besk."/>
    <tableColumn id="10" name="Arbeidsstasjon"/>
    <tableColumn id="29" name="Alt Enhet"/>
    <tableColumn id="30" name="Rcounter" dataDxfId="58"/>
    <tableColumn id="11" name="Dato"/>
    <tableColumn id="27" name="Base Enhet"/>
    <tableColumn id="26" name="Base Enhet2"/>
    <tableColumn id="12" name="Språk Kode"/>
    <tableColumn id="13" name="Material"/>
    <tableColumn id="14" name="Mtyp"/>
    <tableColumn id="15" name="Fabrikk" dataDxfId="57"/>
    <tableColumn id="16" name="Produkthierarki" dataDxfId="56"/>
    <tableColumn id="21" name="Arb. Stasjon Kode" dataDxfId="55">
      <calculatedColumnFormula>SapExlData[[#This Row],[Arbeidsstasjon]]</calculatedColumnFormula>
    </tableColumn>
    <tableColumn id="1" name="N"/>
    <tableColumn id="60" name="EBS max. batch size" dataDxfId="54"/>
    <tableColumn id="19" name="Equal batch size qty10"/>
    <tableColumn id="18" name="Equal batch size qty"/>
    <tableColumn id="17" name="Confirmed scrap"/>
    <tableColumn id="20" name="Confirmed yield" dataDxfId="53"/>
    <tableColumn id="22" name="Faktisk utføre tid"/>
    <tableColumn id="78" name="Net Weight"/>
    <tableColumn id="77" name="Scheduled processing time" dataDxfId="52"/>
    <tableColumn id="76" name="Sched. teardown time"/>
    <tableColumn id="74" name="Target requirements - processi" dataDxfId="51"/>
    <tableColumn id="73" name="Scheduled requirements- teardo"/>
    <tableColumn id="72" name="Target utføre tid"/>
    <tableColumn id="71" name="Set up scheduled cap. Rqmts"/>
    <tableColumn id="45" name="Setup"/>
    <tableColumn id="64" name="Operation Qty" dataDxfId="50"/>
    <tableColumn id="23" name="Nevner" dataDxfId="49"/>
    <tableColumn id="24" name="Teller" dataDxfId="48"/>
    <tableColumn id="31" name="Rcounter2" dataDxfId="47"/>
    <tableColumn id="33" name="Produkt hierarki navn" dataDxfId="46">
      <calculatedColumnFormula>SapExlData[Produkt heierarki Besk.]</calculatedColumnFormula>
    </tableColumn>
    <tableColumn id="34" name="Ordre_Kva" dataDxfId="45">
      <calculatedColumnFormula>IF(QuantityUnit=1,SapExlData[Operation Qty],SapExlData[Operation Qty]*IF(SapExlData[[#This Row],[Net Weight]]=0,1,SapExlData[[#This Row],[Net Weight]]))</calculatedColumnFormula>
    </tableColumn>
    <tableColumn id="35" name="Bekr_Kva" dataDxfId="44">
      <calculatedColumnFormula>IF(QuantityUnit=1,SapExlData[Confirmed yield],SapExlData[Confirmed yield]*IF(SapExlData[[#This Row],[Net Weight]]=0,1,SapExlData[[#This Row],[Net Weight]]))</calculatedColumnFormula>
    </tableColumn>
    <tableColumn id="28" name="Vekt" dataDxfId="43">
      <calculatedColumnFormula>IF(OR(SapExlData[Mtyp]="ZFER",SapExlData[Mtyp]="ZFEU"),SapExlData[Bekr_Kva]*SapExlData[Net Weight],SapExlData[Bekr_Kva])</calculatedColumnFormula>
    </tableColumn>
    <tableColumn id="25" name="Ant FPAK" dataDxfId="42">
      <calculatedColumnFormula>IF(OR(SapExlData[Mtyp]="ZFER",SapExlData[Mtyp]="ZFEU"),(SapExlData[Bekr_Kva]*SapExlData[Nevner])/SapExlData[Teller],0)</calculatedColumnFormula>
    </tableColumn>
    <tableColumn id="36" name="Forskj_Lots" dataDxfId="41">
      <calculatedColumnFormula>IF(SapExlData[[#This Row],[Equal batch size qty]]=0,0,SapExlData[[#This Row],[N]]-SapExlData[[#This Row],[Ordre_Kva]]/SapExlData[[#This Row],[Equal batch size qty]])</calculatedColumnFormula>
    </tableColumn>
    <tableColumn id="37" name="AS_Test" dataDxfId="40">
      <calculatedColumnFormula>IF(SapExlData[[#This Row],[Arbeids stasjon]]&lt;&gt;"","Included","Excluded")</calculatedColumnFormula>
    </tableColumn>
    <tableColumn id="75" name="Arbeids stasjon" dataDxfId="39">
      <calculatedColumnFormula>RIGHT(SapExlData[Arb. Stasjon Kode],LEN(SapExlData[Arb. Stasjon Kode])-5)&amp;" "&amp;SapExlData[Arbeidsstasjon]</calculatedColumnFormula>
    </tableColumn>
    <tableColumn id="38" name="Plan Avvik" dataDxfId="38">
      <calculatedColumnFormula>ABS(SapExlData[[#This Row],[Target utføre tid]]-SapExlData[[#This Row],[Faktisk utføre tid]])</calculatedColumnFormula>
    </tableColumn>
    <tableColumn id="39" name="Ordre Info" dataDxfId="37">
      <calculatedColumnFormula>IF(ISERROR(SapExlData[[#This Row],[Plan Avvik]]),"N/A","OK")</calculatedColumnFormula>
    </tableColumn>
    <tableColumn id="40" name="Avvik Type" dataDxfId="36">
      <calculatedColumnFormula>IF(SapExlData[[#This Row],[Ordre Info]]="OK",IF(SapExlData[[#This Row],[Dato]]-SapExlData[[#This Row],[Planlagt sluttdato]]&gt;0,"Too late",IF(SapExlData[[#This Row],[Dato]]-SapExlData[[#This Row],[Planlagt sluttdato]]=0,"On time","Too early")),"N/A")</calculatedColumnFormula>
    </tableColumn>
    <tableColumn id="41" name="Tid Adherance" dataDxfId="35">
      <calculatedColumnFormula>-SapExlData[[#This Row],[Plan Avvik]]</calculatedColumnFormula>
    </tableColumn>
    <tableColumn id="42" name="Kva Forskj" dataDxfId="34">
      <calculatedColumnFormula>ABS(SapExlData[[#This Row],[Confirmed scrap]]-SapExlData[Operation Qty])</calculatedColumnFormula>
    </tableColumn>
    <tableColumn id="43" name="Test_Null" dataDxfId="33">
      <calculatedColumnFormula>IF(OR(SapExlData[[#This Row],[Target utføre tid]]=0,SapExlData[[#This Row],[Faktisk utføre tid]]=0),"Utftid=0","Utftid OK")</calculatedColumnFormula>
    </tableColumn>
    <tableColumn id="65" name="År" dataDxfId="32">
      <calculatedColumnFormula>YEAR(SapExlData[[#This Row],[Dato]])</calculatedColumnFormula>
    </tableColumn>
    <tableColumn id="66" name="År_Måned" dataDxfId="31">
      <calculatedColumnFormula>SapExlData[[#This Row],[År]]&amp;"-"&amp;TEXT(MONTH(SapExlData[[#This Row],[Dato]]),"00")</calculatedColumnFormula>
    </tableColumn>
    <tableColumn id="67" name="År_Uke" dataDxfId="30">
      <calculatedColumnFormula>SapExlData[[#This Row],[År]]&amp;"-"&amp;SapExlData[[#This Row],[Uke]]</calculatedColumnFormula>
    </tableColumn>
    <tableColumn id="68" name="Måned" dataDxfId="29">
      <calculatedColumnFormula>TEXT(MONTH(SapExlData[[#This Row],[Dato]]),"00")</calculatedColumnFormula>
    </tableColumn>
    <tableColumn id="69" name="Uke" dataDxfId="28">
      <calculatedColumnFormula>TEXT(IF(WEEKDAY(DATE(SapExlData[[#This Row],[År]],1,1),2)&gt;4,WEEKNUM(SapExlData[[#This Row],[Dato]],2)-1,WEEKNUM(SapExlData[[#This Row],[Dato]],2)),"00")</calculatedColumnFormula>
    </tableColumn>
    <tableColumn id="32" name="Fjern dobbel" dataDxfId="27">
      <calculatedColumnFormula>IF(A2=A3,"Dobbel","")</calculatedColumnFormula>
    </tableColumn>
    <tableColumn id="70" name="Material Navn" dataDxfId="26">
      <calculatedColumnFormula>TEXT(SapExlData[[#This Row],[Material]],"000000")&amp;" "&amp;SapExlData[[#This Row],[Material Besk.]]</calculatedColumnFormula>
    </tableColumn>
    <tableColumn id="46" name="Planoppnåelse" dataDxfId="25" dataCellStyle="Percent">
      <calculatedColumnFormula>1-ABS(SapExlData[Ordre_Kva]-SapExlData[Bekr_Kva])/SapExlData[Ordre_Kva]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Descriptions" displayName="Descriptions" ref="A1:B82" totalsRowShown="0" headerRowDxfId="24">
  <autoFilter ref="A1:B82"/>
  <tableColumns count="2">
    <tableColumn id="1" name="FieldName"/>
    <tableColumn id="2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PvtTableDef" displayName="PvtTableDef" ref="A1:AG2" tableType="xml" insertRow="1" totalsRowShown="0" connectionId="1">
  <autoFilter ref="A1:AG2"/>
  <tableColumns count="33">
    <tableColumn id="1" uniqueName="UserID" name="UserID" dataDxfId="23">
      <xmlColumnPr mapId="1" xpath="/XtraSerializer/@UserID" xmlDataType="integer"/>
    </tableColumn>
    <tableColumn id="2" uniqueName="ReportID" name="ReportID">
      <xmlColumnPr mapId="1" xpath="/XtraSerializer/@ReportID" xmlDataType="integer"/>
    </tableColumn>
    <tableColumn id="3" uniqueName="VariantID" name="VariantID" dataDxfId="22">
      <xmlColumnPr mapId="1" xpath="/XtraSerializer/@VariantID" xmlDataType="integer"/>
    </tableColumn>
    <tableColumn id="4" uniqueName="SheetName" name="SheetName" dataDxfId="21">
      <xmlColumnPr mapId="1" xpath="/XtraSerializer/property/@SheetName" xmlDataType="string"/>
    </tableColumn>
    <tableColumn id="5" uniqueName="TableName" name="TableName" dataDxfId="20">
      <xmlColumnPr mapId="1" xpath="/XtraSerializer/property/@TableName" xmlDataType="string"/>
    </tableColumn>
    <tableColumn id="6" uniqueName="Seq" name="Seq" dataDxfId="19">
      <xmlColumnPr mapId="1" xpath="/XtraSerializer/property/property/@Seq" xmlDataType="integer"/>
    </tableColumn>
    <tableColumn id="7" uniqueName="PivotElement" name="PivotElement">
      <xmlColumnPr mapId="1" xpath="/XtraSerializer/property/property/@PivotElement" xmlDataType="string"/>
    </tableColumn>
    <tableColumn id="8" uniqueName="SourceName" name="SourceName">
      <xmlColumnPr mapId="1" xpath="/XtraSerializer/property/property/@SourceName" xmlDataType="string"/>
    </tableColumn>
    <tableColumn id="9" uniqueName="ColumnGrand" name="ColumnGrand" dataDxfId="18">
      <xmlColumnPr mapId="1" xpath="/XtraSerializer/property/property/@ColumnGrand" xmlDataType="integer"/>
    </tableColumn>
    <tableColumn id="10" uniqueName="RowGrand" name="RowGrand">
      <xmlColumnPr mapId="1" xpath="/XtraSerializer/property/property/@RowGrand" xmlDataType="integer"/>
    </tableColumn>
    <tableColumn id="11" uniqueName="DisplayErrorString" name="DisplayErrorString">
      <xmlColumnPr mapId="1" xpath="/XtraSerializer/property/property/@DisplayErrorString" xmlDataType="integer"/>
    </tableColumn>
    <tableColumn id="12" uniqueName="TableStart" name="TableStart">
      <xmlColumnPr mapId="1" xpath="/XtraSerializer/property/property/@TableStart" xmlDataType="string"/>
    </tableColumn>
    <tableColumn id="13" uniqueName="FieldList" name="FieldList" dataDxfId="17">
      <xmlColumnPr mapId="1" xpath="/XtraSerializer/property/property/@FieldList" xmlDataType="integer"/>
    </tableColumn>
    <tableColumn id="14" uniqueName="MissingItems" name="MissingItems" dataDxfId="16">
      <xmlColumnPr mapId="1" xpath="/XtraSerializer/property/property/@MissingItems" xmlDataType="string"/>
    </tableColumn>
    <tableColumn id="15" uniqueName="SaveData" name="SaveData">
      <xmlColumnPr mapId="1" xpath="/XtraSerializer/property/property/@SaveData" xmlDataType="string"/>
    </tableColumn>
    <tableColumn id="16" uniqueName="ShowDrillIndicators" name="ShowDrillIndicators">
      <xmlColumnPr mapId="1" xpath="/XtraSerializer/property/property/@ShowDrillIndicators" xmlDataType="string"/>
    </tableColumn>
    <tableColumn id="17" uniqueName="Caption" name="Caption">
      <xmlColumnPr mapId="1" xpath="/XtraSerializer/property/property/@Caption" xmlDataType="string"/>
    </tableColumn>
    <tableColumn id="18" uniqueName="Name" name="Name">
      <xmlColumnPr mapId="1" xpath="/XtraSerializer/property/property/@Name" xmlDataType="string"/>
    </tableColumn>
    <tableColumn id="19" uniqueName="NumberFormat" name="NumberFormat">
      <xmlColumnPr mapId="1" xpath="/XtraSerializer/property/property/@NumberFormat" xmlDataType="string"/>
    </tableColumn>
    <tableColumn id="20" uniqueName="Orientation" name="Orientation">
      <xmlColumnPr mapId="1" xpath="/XtraSerializer/property/property/@Orientation" xmlDataType="integer"/>
    </tableColumn>
    <tableColumn id="21" uniqueName="Formula" name="Formula">
      <xmlColumnPr mapId="1" xpath="/XtraSerializer/property/property/@Formula" xmlDataType="string"/>
    </tableColumn>
    <tableColumn id="22" uniqueName="CurrentPage" name="CurrentPage">
      <xmlColumnPr mapId="1" xpath="/XtraSerializer/property/property/@CurrentPage" xmlDataType="string"/>
    </tableColumn>
    <tableColumn id="23" uniqueName="CpSourceName" name="CpSourceName">
      <xmlColumnPr mapId="1" xpath="/XtraSerializer/property/property/@CpSourceName" xmlDataType="string"/>
    </tableColumn>
    <tableColumn id="24" uniqueName="PivotItems" name="PivotItems">
      <xmlColumnPr mapId="1" xpath="/XtraSerializer/property/property/@PivotItems" xmlDataType="string"/>
    </tableColumn>
    <tableColumn id="25" uniqueName="Visible" name="Visible">
      <xmlColumnPr mapId="1" xpath="/XtraSerializer/property/property/@Visible" xmlDataType="integer"/>
    </tableColumn>
    <tableColumn id="26" uniqueName="AutoSortOrder" name="AutoSortOrder">
      <xmlColumnPr mapId="1" xpath="/XtraSerializer/property/property/@AutoSortOrder" xmlDataType="integer"/>
    </tableColumn>
    <tableColumn id="27" uniqueName="AutoSortField" name="AutoSortField">
      <xmlColumnPr mapId="1" xpath="/XtraSerializer/property/property/@AutoSortField" xmlDataType="string"/>
    </tableColumn>
    <tableColumn id="28" uniqueName="SubTotals" name="SubTotals">
      <xmlColumnPr mapId="1" xpath="/XtraSerializer/property/property/@SubTotals" xmlDataType="integer"/>
    </tableColumn>
    <tableColumn id="29" uniqueName="Function" name="Function">
      <xmlColumnPr mapId="1" xpath="/XtraSerializer/property/property/@Function" xmlDataType="integer"/>
    </tableColumn>
    <tableColumn id="30" uniqueName="Calculation" name="Calculation">
      <xmlColumnPr mapId="1" xpath="/XtraSerializer/property/property/@Calculation" xmlDataType="integer"/>
    </tableColumn>
    <tableColumn id="31" uniqueName="BaseField" name="BaseField">
      <xmlColumnPr mapId="1" xpath="/XtraSerializer/property/property/@BaseField" xmlDataType="string"/>
    </tableColumn>
    <tableColumn id="32" uniqueName="BaseItem" name="BaseItem">
      <xmlColumnPr mapId="1" xpath="/XtraSerializer/property/property/@BaseItem" xmlDataType="string"/>
    </tableColumn>
    <tableColumn id="33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8" name="tOrderStatusCodes" displayName="tOrderStatusCodes" ref="A1:C5" totalsRowShown="0">
  <autoFilter ref="A1:C5"/>
  <tableColumns count="3">
    <tableColumn id="1" name="DS1"/>
    <tableColumn id="2" name="Text"/>
    <tableColumn id="3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tSectors" displayName="tSectors" ref="E1:F6" totalsRowShown="0">
  <autoFilter ref="E1:F6"/>
  <tableColumns count="2">
    <tableColumn id="1" name="Profit Center"/>
    <tableColumn id="2" name="Secto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tMaterialPrice" displayName="tMaterialPrice" ref="E4:G7" totalsRowShown="0">
  <autoFilter ref="E4:G7"/>
  <tableColumns count="3">
    <tableColumn id="1" name="Material Price" dataDxfId="15"/>
    <tableColumn id="2" name="Value"/>
    <tableColumn id="3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tCustomerLevel" displayName="tCustomerLevel" ref="I4:K8" totalsRowShown="0">
  <autoFilter ref="I4:K8"/>
  <tableColumns count="3">
    <tableColumn id="1" name="Level"/>
    <tableColumn id="3" name="Column"/>
    <tableColumn id="2" name="Descr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tProductHierarchyLevel" displayName="tProductHierarchyLevel" ref="M4:O8" totalsRowShown="0">
  <autoFilter ref="M4:O8"/>
  <tableColumns count="3">
    <tableColumn id="1" name="Level"/>
    <tableColumn id="2" name="Characters"/>
    <tableColumn id="3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>
    <tabColor rgb="FFFF8080"/>
  </sheetPr>
  <dimension ref="A1:BK4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4140625" defaultRowHeight="14.4" x14ac:dyDescent="0.3"/>
  <cols>
    <col min="1" max="1" width="8.5546875" style="9" bestFit="1" customWidth="1"/>
    <col min="2" max="2" width="19" bestFit="1" customWidth="1"/>
    <col min="3" max="3" width="16.44140625" bestFit="1" customWidth="1"/>
    <col min="4" max="4" width="12.21875" style="16" bestFit="1" customWidth="1"/>
    <col min="5" max="5" width="11.77734375" bestFit="1" customWidth="1"/>
    <col min="6" max="6" width="29.77734375" bestFit="1" customWidth="1"/>
    <col min="7" max="7" width="22.77734375" bestFit="1" customWidth="1"/>
    <col min="8" max="8" width="15" bestFit="1" customWidth="1"/>
    <col min="9" max="9" width="16.77734375" bestFit="1" customWidth="1"/>
    <col min="10" max="10" width="30.21875" bestFit="1" customWidth="1"/>
    <col min="11" max="11" width="15.77734375" bestFit="1" customWidth="1"/>
    <col min="12" max="12" width="15.77734375" customWidth="1"/>
    <col min="13" max="13" width="11.21875" style="16" bestFit="1" customWidth="1"/>
    <col min="14" max="14" width="10.21875" bestFit="1" customWidth="1"/>
    <col min="15" max="15" width="13.21875" bestFit="1" customWidth="1"/>
    <col min="16" max="16" width="11.21875" bestFit="1" customWidth="1"/>
    <col min="17" max="17" width="16.77734375" bestFit="1" customWidth="1"/>
    <col min="18" max="18" width="10.77734375" bestFit="1" customWidth="1"/>
    <col min="19" max="19" width="8.21875" bestFit="1" customWidth="1"/>
    <col min="20" max="20" width="10" bestFit="1" customWidth="1"/>
    <col min="21" max="21" width="19" style="9" customWidth="1"/>
    <col min="22" max="22" width="19" style="9" bestFit="1" customWidth="1"/>
    <col min="23" max="23" width="5.21875" bestFit="1" customWidth="1"/>
    <col min="24" max="24" width="20.77734375" bestFit="1" customWidth="1"/>
    <col min="25" max="25" width="22.77734375" bestFit="1" customWidth="1"/>
    <col min="26" max="26" width="20.77734375" style="24" bestFit="1" customWidth="1"/>
    <col min="27" max="28" width="17.77734375" bestFit="1" customWidth="1"/>
    <col min="29" max="29" width="21.21875" customWidth="1"/>
    <col min="30" max="30" width="19.5546875" customWidth="1"/>
    <col min="31" max="31" width="27.44140625" style="38" bestFit="1" customWidth="1"/>
    <col min="32" max="32" width="23" bestFit="1" customWidth="1"/>
    <col min="33" max="33" width="30.77734375" style="38" bestFit="1" customWidth="1"/>
    <col min="34" max="34" width="32.77734375" customWidth="1"/>
    <col min="35" max="35" width="18" customWidth="1"/>
    <col min="36" max="36" width="29" customWidth="1"/>
    <col min="37" max="37" width="8.5546875" bestFit="1" customWidth="1"/>
    <col min="38" max="38" width="16" bestFit="1" customWidth="1"/>
    <col min="39" max="39" width="9.77734375" bestFit="1" customWidth="1"/>
    <col min="40" max="40" width="8.5546875" bestFit="1" customWidth="1"/>
    <col min="41" max="41" width="12.21875" style="16" bestFit="1" customWidth="1"/>
    <col min="42" max="42" width="29" bestFit="1" customWidth="1"/>
    <col min="43" max="43" width="12.21875" bestFit="1" customWidth="1"/>
    <col min="44" max="44" width="11" bestFit="1" customWidth="1"/>
    <col min="45" max="45" width="11" customWidth="1"/>
    <col min="46" max="46" width="11.5546875" bestFit="1" customWidth="1"/>
    <col min="47" max="47" width="12.21875" customWidth="1"/>
    <col min="48" max="48" width="11.21875" bestFit="1" customWidth="1"/>
    <col min="49" max="49" width="19.44140625" bestFit="1" customWidth="1"/>
    <col min="50" max="50" width="16.21875" bestFit="1" customWidth="1"/>
    <col min="51" max="51" width="11.77734375" bestFit="1" customWidth="1"/>
    <col min="52" max="53" width="17.77734375" bestFit="1" customWidth="1"/>
    <col min="54" max="54" width="12.5546875" style="38" bestFit="1" customWidth="1"/>
    <col min="55" max="55" width="12.21875" bestFit="1" customWidth="1"/>
    <col min="56" max="56" width="11.44140625" bestFit="1" customWidth="1"/>
    <col min="57" max="58" width="10.77734375" bestFit="1" customWidth="1"/>
    <col min="59" max="59" width="8.77734375" bestFit="1" customWidth="1"/>
    <col min="60" max="60" width="27.77734375" bestFit="1" customWidth="1"/>
    <col min="61" max="61" width="27.77734375" customWidth="1"/>
    <col min="62" max="62" width="36.77734375" bestFit="1" customWidth="1"/>
    <col min="63" max="63" width="16.6640625" style="52" bestFit="1" customWidth="1"/>
  </cols>
  <sheetData>
    <row r="1" spans="1:63" s="5" customFormat="1" x14ac:dyDescent="0.3">
      <c r="A1" s="8" t="s">
        <v>221</v>
      </c>
      <c r="B1" s="8" t="s">
        <v>233</v>
      </c>
      <c r="C1" s="5" t="s">
        <v>30</v>
      </c>
      <c r="D1" s="36" t="s">
        <v>117</v>
      </c>
      <c r="E1" s="5" t="s">
        <v>222</v>
      </c>
      <c r="F1" s="5" t="s">
        <v>223</v>
      </c>
      <c r="G1" s="5" t="s">
        <v>224</v>
      </c>
      <c r="H1" s="5" t="s">
        <v>225</v>
      </c>
      <c r="I1" s="5" t="s">
        <v>226</v>
      </c>
      <c r="J1" s="5" t="s">
        <v>227</v>
      </c>
      <c r="K1" s="5" t="s">
        <v>228</v>
      </c>
      <c r="L1" s="5" t="s">
        <v>271</v>
      </c>
      <c r="M1" s="36" t="s">
        <v>275</v>
      </c>
      <c r="N1" s="5" t="s">
        <v>229</v>
      </c>
      <c r="O1" s="5" t="s">
        <v>270</v>
      </c>
      <c r="P1" s="5" t="s">
        <v>274</v>
      </c>
      <c r="Q1" s="5" t="s">
        <v>230</v>
      </c>
      <c r="R1" s="5" t="s">
        <v>5</v>
      </c>
      <c r="S1" s="5" t="s">
        <v>194</v>
      </c>
      <c r="T1" s="5" t="s">
        <v>231</v>
      </c>
      <c r="U1" s="8" t="s">
        <v>232</v>
      </c>
      <c r="V1" s="8" t="s">
        <v>302</v>
      </c>
      <c r="W1" s="5" t="s">
        <v>218</v>
      </c>
      <c r="X1" s="5" t="s">
        <v>133</v>
      </c>
      <c r="Y1" s="5" t="s">
        <v>142</v>
      </c>
      <c r="Z1" s="5" t="s">
        <v>132</v>
      </c>
      <c r="AA1" s="5" t="s">
        <v>113</v>
      </c>
      <c r="AB1" s="5" t="s">
        <v>112</v>
      </c>
      <c r="AC1" s="5" t="s">
        <v>255</v>
      </c>
      <c r="AD1" s="5" t="s">
        <v>115</v>
      </c>
      <c r="AE1" s="39" t="s">
        <v>124</v>
      </c>
      <c r="AF1" s="5" t="s">
        <v>125</v>
      </c>
      <c r="AG1" s="39" t="s">
        <v>129</v>
      </c>
      <c r="AH1" s="5" t="s">
        <v>130</v>
      </c>
      <c r="AI1" s="5" t="s">
        <v>256</v>
      </c>
      <c r="AJ1" s="5" t="s">
        <v>195</v>
      </c>
      <c r="AK1" s="5" t="s">
        <v>277</v>
      </c>
      <c r="AL1" s="5" t="s">
        <v>110</v>
      </c>
      <c r="AM1" s="5" t="s">
        <v>268</v>
      </c>
      <c r="AN1" s="5" t="s">
        <v>269</v>
      </c>
      <c r="AO1" s="36" t="s">
        <v>276</v>
      </c>
      <c r="AP1" s="12" t="s">
        <v>234</v>
      </c>
      <c r="AQ1" s="12" t="s">
        <v>235</v>
      </c>
      <c r="AR1" s="12" t="s">
        <v>236</v>
      </c>
      <c r="AS1" s="12" t="s">
        <v>273</v>
      </c>
      <c r="AT1" s="12" t="s">
        <v>272</v>
      </c>
      <c r="AU1" s="12" t="s">
        <v>248</v>
      </c>
      <c r="AV1" s="12" t="s">
        <v>237</v>
      </c>
      <c r="AW1" s="12" t="s">
        <v>238</v>
      </c>
      <c r="AX1" s="12" t="s">
        <v>299</v>
      </c>
      <c r="AY1" s="12" t="s">
        <v>244</v>
      </c>
      <c r="AZ1" s="12" t="s">
        <v>300</v>
      </c>
      <c r="BA1" s="12" t="s">
        <v>258</v>
      </c>
      <c r="BB1" s="40" t="s">
        <v>247</v>
      </c>
      <c r="BC1" s="12" t="s">
        <v>257</v>
      </c>
      <c r="BD1" s="12" t="s">
        <v>239</v>
      </c>
      <c r="BE1" s="12" t="s">
        <v>240</v>
      </c>
      <c r="BF1" s="12" t="s">
        <v>249</v>
      </c>
      <c r="BG1" s="12" t="s">
        <v>241</v>
      </c>
      <c r="BH1" s="12" t="s">
        <v>242</v>
      </c>
      <c r="BI1" s="12" t="s">
        <v>288</v>
      </c>
      <c r="BJ1" s="12" t="s">
        <v>243</v>
      </c>
      <c r="BK1" s="51" t="s">
        <v>306</v>
      </c>
    </row>
    <row r="2" spans="1:63" x14ac:dyDescent="0.3">
      <c r="A2" s="47" t="s">
        <v>289</v>
      </c>
      <c r="B2" t="s">
        <v>196</v>
      </c>
      <c r="C2" t="s">
        <v>197</v>
      </c>
      <c r="D2" s="16">
        <v>7039019943421</v>
      </c>
      <c r="E2" t="s">
        <v>198</v>
      </c>
      <c r="F2" t="s">
        <v>199</v>
      </c>
      <c r="G2" t="s">
        <v>200</v>
      </c>
      <c r="H2" t="s">
        <v>201</v>
      </c>
      <c r="I2" t="s">
        <v>202</v>
      </c>
      <c r="J2" t="s">
        <v>203</v>
      </c>
      <c r="K2" s="21" t="s">
        <v>204</v>
      </c>
      <c r="L2" s="21"/>
      <c r="N2" t="s">
        <v>205</v>
      </c>
      <c r="Q2" t="s">
        <v>46</v>
      </c>
      <c r="R2">
        <v>4342</v>
      </c>
      <c r="S2" t="s">
        <v>206</v>
      </c>
      <c r="T2" t="s">
        <v>207</v>
      </c>
      <c r="U2" s="35" t="s">
        <v>216</v>
      </c>
      <c r="V2" s="21" t="str">
        <f>SapExlData[[#This Row],[Arbeidsstasjon]]</f>
        <v>FR00/FR6107</v>
      </c>
      <c r="W2">
        <v>0</v>
      </c>
      <c r="X2" s="9">
        <v>0</v>
      </c>
      <c r="Y2">
        <v>0</v>
      </c>
      <c r="Z2">
        <v>0</v>
      </c>
      <c r="AA2">
        <v>0</v>
      </c>
      <c r="AB2" s="38">
        <v>478.73099999999999</v>
      </c>
      <c r="AC2">
        <v>2</v>
      </c>
      <c r="AD2">
        <v>4.5</v>
      </c>
      <c r="AE2" s="38">
        <v>6.4</v>
      </c>
      <c r="AF2">
        <v>0</v>
      </c>
      <c r="AG2" s="38">
        <v>6.4</v>
      </c>
      <c r="AH2">
        <v>0</v>
      </c>
      <c r="AI2">
        <v>0</v>
      </c>
      <c r="AJ2">
        <v>0</v>
      </c>
      <c r="AK2">
        <v>0</v>
      </c>
      <c r="AL2" s="38">
        <v>558.52</v>
      </c>
      <c r="AM2" s="38">
        <v>1</v>
      </c>
      <c r="AN2" s="38">
        <v>2</v>
      </c>
      <c r="AP2" t="str">
        <f>SapExlData[Produkt heierarki Besk.]</f>
        <v>STORFE FRYS, SH</v>
      </c>
      <c r="AQ2" s="19">
        <f>IF(QuantityUnit=1,SapExlData[Operation Qty],SapExlData[Operation Qty]*IF(SapExlData[[#This Row],[Net Weight]]=0,1,SapExlData[[#This Row],[Net Weight]]))</f>
        <v>558.52</v>
      </c>
      <c r="AR2" s="19">
        <f>IF(QuantityUnit=1,SapExlData[Confirmed yield],SapExlData[Confirmed yield]*IF(SapExlData[[#This Row],[Net Weight]]=0,1,SapExlData[[#This Row],[Net Weight]]))</f>
        <v>478.73099999999999</v>
      </c>
      <c r="AS2" s="19">
        <f>IF(OR(SapExlData[Mtyp]="ZFER",SapExlData[Mtyp]="ZFEU"),SapExlData[Bekr_Kva]*SapExlData[Net Weight],SapExlData[Bekr_Kva])</f>
        <v>2154.2894999999999</v>
      </c>
      <c r="AT2" s="19">
        <f>IF(OR(SapExlData[Mtyp]="ZFER",SapExlData[Mtyp]="ZFEU"),(SapExlData[Bekr_Kva]*SapExlData[Nevner])/SapExlData[Teller],0)</f>
        <v>239.3655</v>
      </c>
      <c r="AU2" s="20">
        <f>IF(SapExlData[[#This Row],[Equal batch size qty]]=0,0,SapExlData[[#This Row],[N]]-SapExlData[[#This Row],[Ordre_Kva]]/SapExlData[[#This Row],[Equal batch size qty]])</f>
        <v>0</v>
      </c>
      <c r="AV2" s="19" t="str">
        <f>IF(SapExlData[[#This Row],[Arbeids stasjon]]&lt;&gt;"","Included","Excluded")</f>
        <v>Included</v>
      </c>
      <c r="AW2" s="21" t="str">
        <f>RIGHT(SapExlData[Arb. Stasjon Kode],LEN(SapExlData[Arb. Stasjon Kode])-5)&amp;" "&amp;SapExlData[Arbeidsstasjon]</f>
        <v>FR6107 FR00/FR6107</v>
      </c>
      <c r="AX2">
        <f>ABS(SapExlData[[#This Row],[Target utføre tid]]-SapExlData[[#This Row],[Faktisk utføre tid]])</f>
        <v>2</v>
      </c>
      <c r="AY2" t="str">
        <f>IF(ISERROR(SapExlData[[#This Row],[Plan Avvik]]),"N/A","OK")</f>
        <v>OK</v>
      </c>
      <c r="AZ2" t="str">
        <f>IF(SapExlData[[#This Row],[Ordre Info]]="OK",IF(SapExlData[[#This Row],[Dato]]-SapExlData[[#This Row],[Planlagt sluttdato]]&gt;0,"Too late",IF(SapExlData[[#This Row],[Dato]]-SapExlData[[#This Row],[Planlagt sluttdato]]=0,"On time","Too early")),"N/A")</f>
        <v>Too late</v>
      </c>
      <c r="BA2">
        <f>-SapExlData[[#This Row],[Plan Avvik]]</f>
        <v>-2</v>
      </c>
      <c r="BB2" s="38">
        <f>ABS(SapExlData[[#This Row],[Confirmed scrap]]-SapExlData[Operation Qty])</f>
        <v>558.52</v>
      </c>
      <c r="BC2" t="str">
        <f>IF(OR(SapExlData[[#This Row],[Target utføre tid]]=0,SapExlData[[#This Row],[Faktisk utføre tid]]=0),"Utftid=0","Utftid OK")</f>
        <v>Utftid=0</v>
      </c>
      <c r="BD2">
        <f>YEAR(SapExlData[[#This Row],[Dato]])</f>
        <v>2013</v>
      </c>
      <c r="BE2" s="21" t="str">
        <f>SapExlData[[#This Row],[År]]&amp;"-"&amp;TEXT(MONTH(SapExlData[[#This Row],[Dato]]),"00")</f>
        <v>2013-01</v>
      </c>
      <c r="BF2" s="21" t="str">
        <f>SapExlData[[#This Row],[År]]&amp;"-"&amp;SapExlData[[#This Row],[Uke]]</f>
        <v>2013-01</v>
      </c>
      <c r="BG2" s="21" t="str">
        <f>TEXT(MONTH(SapExlData[[#This Row],[Dato]]),"00")</f>
        <v>01</v>
      </c>
      <c r="BH2" s="21" t="str">
        <f>TEXT(IF(WEEKDAY(DATE(SapExlData[[#This Row],[År]],1,1),2)&gt;4,WEEKNUM(SapExlData[[#This Row],[Dato]],2)-1,WEEKNUM(SapExlData[[#This Row],[Dato]],2)),"00")</f>
        <v>01</v>
      </c>
      <c r="BI2" s="21" t="str">
        <f t="shared" ref="BI2:BI4" si="0">IF(A2=A3,"Dobbel","")</f>
        <v/>
      </c>
      <c r="BJ2" t="str">
        <f>TEXT(SapExlData[[#This Row],[Material]],"000000")&amp;" "&amp;SapExlData[[#This Row],[Material Besk.]]</f>
        <v>004342 Stabburet Snadderbiff  25x180g</v>
      </c>
      <c r="BK2" s="52">
        <f>1-ABS(SapExlData[Ordre_Kva]-SapExlData[Bekr_Kva])/SapExlData[Ordre_Kva]</f>
        <v>0.85714208980878037</v>
      </c>
    </row>
    <row r="3" spans="1:63" x14ac:dyDescent="0.3">
      <c r="A3" s="47" t="s">
        <v>290</v>
      </c>
      <c r="B3" t="s">
        <v>208</v>
      </c>
      <c r="C3" t="s">
        <v>209</v>
      </c>
      <c r="E3" t="s">
        <v>198</v>
      </c>
      <c r="F3" t="s">
        <v>210</v>
      </c>
      <c r="G3" t="s">
        <v>211</v>
      </c>
      <c r="H3" t="s">
        <v>201</v>
      </c>
      <c r="I3" t="s">
        <v>212</v>
      </c>
      <c r="J3" t="s">
        <v>209</v>
      </c>
      <c r="K3" t="s">
        <v>213</v>
      </c>
      <c r="N3" t="s">
        <v>214</v>
      </c>
      <c r="Q3" t="s">
        <v>46</v>
      </c>
      <c r="R3">
        <v>69237</v>
      </c>
      <c r="S3" t="s">
        <v>215</v>
      </c>
      <c r="T3" t="s">
        <v>207</v>
      </c>
      <c r="U3" s="35" t="s">
        <v>217</v>
      </c>
      <c r="V3" s="21" t="str">
        <f>SapExlData[[#This Row],[Arbeidsstasjon]]</f>
        <v>FR00/FR7312</v>
      </c>
      <c r="W3">
        <v>0</v>
      </c>
      <c r="X3" s="9">
        <v>0</v>
      </c>
      <c r="Y3">
        <v>0</v>
      </c>
      <c r="Z3">
        <v>0</v>
      </c>
      <c r="AA3">
        <v>0</v>
      </c>
      <c r="AB3" s="38">
        <v>6239.9939999999997</v>
      </c>
      <c r="AC3">
        <v>0</v>
      </c>
      <c r="AD3">
        <v>0</v>
      </c>
      <c r="AE3" s="38">
        <v>2</v>
      </c>
      <c r="AF3">
        <v>0</v>
      </c>
      <c r="AG3" s="38">
        <v>3.1</v>
      </c>
      <c r="AH3">
        <v>0</v>
      </c>
      <c r="AI3">
        <v>0</v>
      </c>
      <c r="AJ3">
        <v>0</v>
      </c>
      <c r="AK3">
        <v>0</v>
      </c>
      <c r="AL3" s="38">
        <v>6239.9939999999997</v>
      </c>
      <c r="AM3" s="38">
        <v>2</v>
      </c>
      <c r="AN3" s="38">
        <v>3</v>
      </c>
      <c r="AP3" t="str">
        <f>SapExlData[Produkt heierarki Besk.]</f>
        <v>Ikke tilordnet</v>
      </c>
      <c r="AQ3" s="19">
        <f>IF(QuantityUnit=1,SapExlData[Operation Qty],SapExlData[Operation Qty]*IF(SapExlData[[#This Row],[Net Weight]]=0,1,SapExlData[[#This Row],[Net Weight]]))</f>
        <v>6239.9939999999997</v>
      </c>
      <c r="AR3" s="19">
        <f>IF(QuantityUnit=1,SapExlData[Confirmed yield],SapExlData[Confirmed yield]*IF(SapExlData[[#This Row],[Net Weight]]=0,1,SapExlData[[#This Row],[Net Weight]]))</f>
        <v>6239.9939999999997</v>
      </c>
      <c r="AS3" s="19">
        <f>IF(OR(SapExlData[Mtyp]="ZFER",SapExlData[Mtyp]="ZFEU"),SapExlData[Bekr_Kva]*SapExlData[Net Weight],SapExlData[Bekr_Kva])</f>
        <v>6239.9939999999997</v>
      </c>
      <c r="AT3" s="19">
        <f>IF(OR(SapExlData[Mtyp]="ZFER",SapExlData[Mtyp]="ZFEU"),(SapExlData[Bekr_Kva]*SapExlData[Nevner])/SapExlData[Teller],0)</f>
        <v>0</v>
      </c>
      <c r="AU3" s="20">
        <f>IF(SapExlData[[#This Row],[Equal batch size qty]]=0,0,SapExlData[[#This Row],[N]]-SapExlData[[#This Row],[Ordre_Kva]]/SapExlData[[#This Row],[Equal batch size qty]])</f>
        <v>0</v>
      </c>
      <c r="AV3" s="19" t="str">
        <f>IF(SapExlData[[#This Row],[Arbeids stasjon]]&lt;&gt;"","Included","Excluded")</f>
        <v>Included</v>
      </c>
      <c r="AW3" s="21" t="str">
        <f>RIGHT(SapExlData[Arb. Stasjon Kode],LEN(SapExlData[Arb. Stasjon Kode])-5)&amp;" "&amp;SapExlData[Arbeidsstasjon]</f>
        <v>FR7312 FR00/FR7312</v>
      </c>
      <c r="AX3">
        <f>ABS(SapExlData[[#This Row],[Target utføre tid]]-SapExlData[[#This Row],[Faktisk utføre tid]])</f>
        <v>0</v>
      </c>
      <c r="AY3" t="str">
        <f>IF(ISERROR(SapExlData[[#This Row],[Plan Avvik]]),"N/A","OK")</f>
        <v>OK</v>
      </c>
      <c r="AZ3" t="str">
        <f>IF(SapExlData[[#This Row],[Ordre Info]]="OK",IF(SapExlData[[#This Row],[Dato]]-SapExlData[[#This Row],[Planlagt sluttdato]]&gt;0,"Too late",IF(SapExlData[[#This Row],[Dato]]-SapExlData[[#This Row],[Planlagt sluttdato]]=0,"On time","Too early")),"N/A")</f>
        <v>Too late</v>
      </c>
      <c r="BA3">
        <f>-SapExlData[[#This Row],[Plan Avvik]]</f>
        <v>0</v>
      </c>
      <c r="BB3" s="38">
        <f>ABS(SapExlData[[#This Row],[Confirmed scrap]]-SapExlData[Operation Qty])</f>
        <v>6239.9939999999997</v>
      </c>
      <c r="BC3" t="str">
        <f>IF(OR(SapExlData[[#This Row],[Target utføre tid]]=0,SapExlData[[#This Row],[Faktisk utføre tid]]=0),"Utftid=0","Utftid OK")</f>
        <v>Utftid=0</v>
      </c>
      <c r="BD3">
        <f>YEAR(SapExlData[[#This Row],[Dato]])</f>
        <v>2013</v>
      </c>
      <c r="BE3" s="21" t="str">
        <f>SapExlData[[#This Row],[År]]&amp;"-"&amp;TEXT(MONTH(SapExlData[[#This Row],[Dato]]),"00")</f>
        <v>2013-01</v>
      </c>
      <c r="BF3" s="21" t="str">
        <f>SapExlData[[#This Row],[År]]&amp;"-"&amp;SapExlData[[#This Row],[Uke]]</f>
        <v>2013-01</v>
      </c>
      <c r="BG3" s="21" t="str">
        <f>TEXT(MONTH(SapExlData[[#This Row],[Dato]]),"00")</f>
        <v>01</v>
      </c>
      <c r="BH3" s="21" t="str">
        <f>TEXT(IF(WEEKDAY(DATE(SapExlData[[#This Row],[År]],1,1),2)&gt;4,WEEKNUM(SapExlData[[#This Row],[Dato]],2)-1,WEEKNUM(SapExlData[[#This Row],[Dato]],2)),"00")</f>
        <v>01</v>
      </c>
      <c r="BI3" s="21" t="str">
        <f t="shared" si="0"/>
        <v>Dobbel</v>
      </c>
      <c r="BJ3" t="str">
        <f>TEXT(SapExlData[[#This Row],[Material]],"000000")&amp;" "&amp;SapExlData[[#This Row],[Material Besk.]]</f>
        <v>069237 Råvarebl.Kebab Spann</v>
      </c>
      <c r="BK3" s="52">
        <f>1-ABS(SapExlData[Ordre_Kva]-SapExlData[Bekr_Kva])/SapExlData[Ordre_Kva]</f>
        <v>1</v>
      </c>
    </row>
    <row r="4" spans="1:63" x14ac:dyDescent="0.3">
      <c r="A4" s="47" t="s">
        <v>290</v>
      </c>
      <c r="B4" s="10" t="s">
        <v>208</v>
      </c>
      <c r="C4" t="s">
        <v>209</v>
      </c>
      <c r="E4" t="s">
        <v>198</v>
      </c>
      <c r="F4" t="s">
        <v>210</v>
      </c>
      <c r="G4" t="s">
        <v>211</v>
      </c>
      <c r="H4" t="s">
        <v>201</v>
      </c>
      <c r="I4" t="s">
        <v>212</v>
      </c>
      <c r="J4" t="s">
        <v>209</v>
      </c>
      <c r="K4" t="s">
        <v>213</v>
      </c>
      <c r="N4" t="s">
        <v>214</v>
      </c>
      <c r="Q4" t="s">
        <v>46</v>
      </c>
      <c r="R4">
        <v>69237</v>
      </c>
      <c r="S4" t="s">
        <v>215</v>
      </c>
      <c r="T4" s="10" t="s">
        <v>207</v>
      </c>
      <c r="U4" s="35" t="s">
        <v>217</v>
      </c>
      <c r="V4" s="21" t="str">
        <f>SapExlData[[#This Row],[Arbeidsstasjon]]</f>
        <v>FR00/FR7312</v>
      </c>
      <c r="W4">
        <v>0</v>
      </c>
      <c r="X4" s="9">
        <v>0</v>
      </c>
      <c r="Y4">
        <v>0</v>
      </c>
      <c r="Z4">
        <v>0</v>
      </c>
      <c r="AA4">
        <v>0</v>
      </c>
      <c r="AB4" s="38">
        <v>6239.9939999999997</v>
      </c>
      <c r="AC4">
        <v>0</v>
      </c>
      <c r="AD4">
        <v>0</v>
      </c>
      <c r="AE4" s="38">
        <v>2</v>
      </c>
      <c r="AF4">
        <v>0</v>
      </c>
      <c r="AG4" s="38">
        <v>3.1</v>
      </c>
      <c r="AH4">
        <v>0</v>
      </c>
      <c r="AI4">
        <v>0</v>
      </c>
      <c r="AJ4">
        <v>0</v>
      </c>
      <c r="AK4">
        <v>0</v>
      </c>
      <c r="AL4" s="38">
        <v>6239.9939999999997</v>
      </c>
      <c r="AM4" s="38">
        <v>2</v>
      </c>
      <c r="AN4" s="38">
        <v>3</v>
      </c>
      <c r="AP4" s="16" t="str">
        <f>SapExlData[Produkt heierarki Besk.]</f>
        <v>Ikke tilordnet</v>
      </c>
      <c r="AQ4" s="19">
        <f>IF(QuantityUnit=1,SapExlData[Operation Qty],SapExlData[Operation Qty]*IF(SapExlData[[#This Row],[Net Weight]]=0,1,SapExlData[[#This Row],[Net Weight]]))</f>
        <v>6239.9939999999997</v>
      </c>
      <c r="AR4" s="19">
        <f>IF(QuantityUnit=1,SapExlData[Confirmed yield],SapExlData[Confirmed yield]*IF(SapExlData[[#This Row],[Net Weight]]=0,1,SapExlData[[#This Row],[Net Weight]]))</f>
        <v>6239.9939999999997</v>
      </c>
      <c r="AS4" s="19">
        <f>IF(OR(SapExlData[Mtyp]="ZFER",SapExlData[Mtyp]="ZFEU"),SapExlData[Bekr_Kva]*SapExlData[Net Weight],SapExlData[Bekr_Kva])</f>
        <v>6239.9939999999997</v>
      </c>
      <c r="AT4" s="19">
        <f>IF(OR(SapExlData[Mtyp]="ZFER",SapExlData[Mtyp]="ZFEU"),(SapExlData[Bekr_Kva]*SapExlData[Nevner])/SapExlData[Teller],0)</f>
        <v>0</v>
      </c>
      <c r="AU4" s="20">
        <f>IF(SapExlData[[#This Row],[Equal batch size qty]]=0,0,SapExlData[[#This Row],[N]]-SapExlData[[#This Row],[Ordre_Kva]]/SapExlData[[#This Row],[Equal batch size qty]])</f>
        <v>0</v>
      </c>
      <c r="AV4" s="19" t="str">
        <f>IF(SapExlData[[#This Row],[Arbeids stasjon]]&lt;&gt;"","Included","Excluded")</f>
        <v>Included</v>
      </c>
      <c r="AW4" s="21" t="str">
        <f>RIGHT(SapExlData[Arb. Stasjon Kode],LEN(SapExlData[Arb. Stasjon Kode])-5)&amp;" "&amp;SapExlData[Arbeidsstasjon]</f>
        <v>FR7312 FR00/FR7312</v>
      </c>
      <c r="AX4" s="16">
        <f>ABS(SapExlData[[#This Row],[Target utføre tid]]-SapExlData[[#This Row],[Faktisk utføre tid]])</f>
        <v>0</v>
      </c>
      <c r="AY4" s="16" t="str">
        <f>IF(ISERROR(SapExlData[[#This Row],[Plan Avvik]]),"N/A","OK")</f>
        <v>OK</v>
      </c>
      <c r="AZ4" s="16" t="str">
        <f>IF(SapExlData[[#This Row],[Ordre Info]]="OK",IF(SapExlData[[#This Row],[Dato]]-SapExlData[[#This Row],[Planlagt sluttdato]]&gt;0,"Too late",IF(SapExlData[[#This Row],[Dato]]-SapExlData[[#This Row],[Planlagt sluttdato]]=0,"On time","Too early")),"N/A")</f>
        <v>Too late</v>
      </c>
      <c r="BA4" s="16">
        <f>-SapExlData[[#This Row],[Plan Avvik]]</f>
        <v>0</v>
      </c>
      <c r="BB4" s="38">
        <f>ABS(SapExlData[[#This Row],[Confirmed scrap]]-SapExlData[Operation Qty])</f>
        <v>6239.9939999999997</v>
      </c>
      <c r="BC4" s="16" t="str">
        <f>IF(OR(SapExlData[[#This Row],[Target utføre tid]]=0,SapExlData[[#This Row],[Faktisk utføre tid]]=0),"Utftid=0","Utftid OK")</f>
        <v>Utftid=0</v>
      </c>
      <c r="BD4" s="16">
        <f>YEAR(SapExlData[[#This Row],[Dato]])</f>
        <v>2013</v>
      </c>
      <c r="BE4" s="21" t="str">
        <f>SapExlData[[#This Row],[År]]&amp;"-"&amp;TEXT(MONTH(SapExlData[[#This Row],[Dato]]),"00")</f>
        <v>2013-01</v>
      </c>
      <c r="BF4" s="21" t="str">
        <f>SapExlData[[#This Row],[År]]&amp;"-"&amp;SapExlData[[#This Row],[Uke]]</f>
        <v>2013-01</v>
      </c>
      <c r="BG4" s="21" t="str">
        <f>TEXT(MONTH(SapExlData[[#This Row],[Dato]]),"00")</f>
        <v>01</v>
      </c>
      <c r="BH4" s="21" t="str">
        <f>TEXT(IF(WEEKDAY(DATE(SapExlData[[#This Row],[År]],1,1),2)&gt;4,WEEKNUM(SapExlData[[#This Row],[Dato]],2)-1,WEEKNUM(SapExlData[[#This Row],[Dato]],2)),"00")</f>
        <v>01</v>
      </c>
      <c r="BI4" s="21" t="str">
        <f t="shared" si="0"/>
        <v/>
      </c>
      <c r="BJ4" s="16" t="str">
        <f>TEXT(SapExlData[[#This Row],[Material]],"000000")&amp;" "&amp;SapExlData[[#This Row],[Material Besk.]]</f>
        <v>069237 Råvarebl.Kebab Spann</v>
      </c>
      <c r="BK4" s="52">
        <f>1-ABS(SapExlData[Ordre_Kva]-SapExlData[Bekr_Kva])/SapExlData[Ordre_Kva]</f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>
    <tabColor rgb="FFFF8080"/>
  </sheetPr>
  <dimension ref="A1:B58"/>
  <sheetViews>
    <sheetView showGridLines="0" zoomScale="85" zoomScaleNormal="85" workbookViewId="0">
      <selection activeCell="B1" sqref="B1"/>
    </sheetView>
  </sheetViews>
  <sheetFormatPr defaultColWidth="11.44140625" defaultRowHeight="14.4" x14ac:dyDescent="0.3"/>
  <cols>
    <col min="1" max="1" width="29.21875" bestFit="1" customWidth="1"/>
    <col min="2" max="2" width="81.77734375" bestFit="1" customWidth="1"/>
  </cols>
  <sheetData>
    <row r="1" spans="1:2" x14ac:dyDescent="0.3">
      <c r="A1" s="5" t="s">
        <v>24</v>
      </c>
      <c r="B1" s="5" t="s">
        <v>12</v>
      </c>
    </row>
    <row r="2" spans="1:2" x14ac:dyDescent="0.3">
      <c r="A2" s="32" t="s">
        <v>108</v>
      </c>
      <c r="B2" s="32" t="s">
        <v>148</v>
      </c>
    </row>
    <row r="3" spans="1:2" x14ac:dyDescent="0.3">
      <c r="A3" s="32" t="s">
        <v>4</v>
      </c>
      <c r="B3" s="32" t="s">
        <v>149</v>
      </c>
    </row>
    <row r="4" spans="1:2" x14ac:dyDescent="0.3">
      <c r="A4" s="32" t="s">
        <v>5</v>
      </c>
      <c r="B4" s="32" t="s">
        <v>150</v>
      </c>
    </row>
    <row r="5" spans="1:2" x14ac:dyDescent="0.3">
      <c r="A5" s="32" t="s">
        <v>109</v>
      </c>
      <c r="B5" s="32" t="s">
        <v>151</v>
      </c>
    </row>
    <row r="6" spans="1:2" x14ac:dyDescent="0.3">
      <c r="A6" s="32" t="s">
        <v>110</v>
      </c>
      <c r="B6" s="32" t="s">
        <v>152</v>
      </c>
    </row>
    <row r="7" spans="1:2" x14ac:dyDescent="0.3">
      <c r="A7" s="32" t="s">
        <v>111</v>
      </c>
      <c r="B7" s="32" t="s">
        <v>153</v>
      </c>
    </row>
    <row r="8" spans="1:2" x14ac:dyDescent="0.3">
      <c r="A8" s="32" t="s">
        <v>112</v>
      </c>
      <c r="B8" s="32" t="s">
        <v>154</v>
      </c>
    </row>
    <row r="9" spans="1:2" x14ac:dyDescent="0.3">
      <c r="A9" s="32" t="s">
        <v>111</v>
      </c>
      <c r="B9" s="32" t="s">
        <v>153</v>
      </c>
    </row>
    <row r="10" spans="1:2" x14ac:dyDescent="0.3">
      <c r="A10" s="32" t="s">
        <v>113</v>
      </c>
      <c r="B10" s="32" t="s">
        <v>155</v>
      </c>
    </row>
    <row r="11" spans="1:2" x14ac:dyDescent="0.3">
      <c r="A11" s="32" t="s">
        <v>111</v>
      </c>
      <c r="B11" s="32" t="s">
        <v>153</v>
      </c>
    </row>
    <row r="12" spans="1:2" x14ac:dyDescent="0.3">
      <c r="A12" s="32" t="s">
        <v>114</v>
      </c>
      <c r="B12" s="32" t="s">
        <v>156</v>
      </c>
    </row>
    <row r="13" spans="1:2" x14ac:dyDescent="0.3">
      <c r="A13" s="32" t="s">
        <v>1</v>
      </c>
      <c r="B13" s="32" t="s">
        <v>157</v>
      </c>
    </row>
    <row r="14" spans="1:2" x14ac:dyDescent="0.3">
      <c r="A14" s="32" t="s">
        <v>6</v>
      </c>
      <c r="B14" s="32" t="s">
        <v>158</v>
      </c>
    </row>
    <row r="15" spans="1:2" x14ac:dyDescent="0.3">
      <c r="A15" s="32" t="s">
        <v>115</v>
      </c>
      <c r="B15" s="32" t="s">
        <v>115</v>
      </c>
    </row>
    <row r="16" spans="1:2" x14ac:dyDescent="0.3">
      <c r="A16" s="32" t="s">
        <v>116</v>
      </c>
      <c r="B16" s="32" t="s">
        <v>159</v>
      </c>
    </row>
    <row r="17" spans="1:2" x14ac:dyDescent="0.3">
      <c r="A17" s="32" t="s">
        <v>30</v>
      </c>
      <c r="B17" s="32" t="s">
        <v>160</v>
      </c>
    </row>
    <row r="18" spans="1:2" x14ac:dyDescent="0.3">
      <c r="A18" s="32" t="s">
        <v>117</v>
      </c>
      <c r="B18" s="32" t="s">
        <v>161</v>
      </c>
    </row>
    <row r="19" spans="1:2" x14ac:dyDescent="0.3">
      <c r="A19" s="32" t="s">
        <v>118</v>
      </c>
      <c r="B19" s="32" t="s">
        <v>162</v>
      </c>
    </row>
    <row r="20" spans="1:2" x14ac:dyDescent="0.3">
      <c r="A20" s="32" t="s">
        <v>23</v>
      </c>
      <c r="B20" s="32" t="s">
        <v>163</v>
      </c>
    </row>
    <row r="21" spans="1:2" x14ac:dyDescent="0.3">
      <c r="A21" s="32" t="s">
        <v>119</v>
      </c>
      <c r="B21" s="32" t="s">
        <v>164</v>
      </c>
    </row>
    <row r="22" spans="1:2" x14ac:dyDescent="0.3">
      <c r="A22" s="32" t="s">
        <v>120</v>
      </c>
      <c r="B22" s="32" t="s">
        <v>165</v>
      </c>
    </row>
    <row r="23" spans="1:2" x14ac:dyDescent="0.3">
      <c r="A23" s="32" t="s">
        <v>121</v>
      </c>
      <c r="B23" s="32" t="s">
        <v>166</v>
      </c>
    </row>
    <row r="24" spans="1:2" x14ac:dyDescent="0.3">
      <c r="A24" s="32" t="s">
        <v>120</v>
      </c>
      <c r="B24" s="32" t="s">
        <v>165</v>
      </c>
    </row>
    <row r="25" spans="1:2" x14ac:dyDescent="0.3">
      <c r="A25" s="32" t="s">
        <v>122</v>
      </c>
      <c r="B25" s="32" t="s">
        <v>122</v>
      </c>
    </row>
    <row r="26" spans="1:2" x14ac:dyDescent="0.3">
      <c r="A26" s="32" t="s">
        <v>123</v>
      </c>
      <c r="B26" s="32" t="s">
        <v>165</v>
      </c>
    </row>
    <row r="27" spans="1:2" x14ac:dyDescent="0.3">
      <c r="A27" s="32" t="s">
        <v>124</v>
      </c>
      <c r="B27" s="32" t="s">
        <v>124</v>
      </c>
    </row>
    <row r="28" spans="1:2" x14ac:dyDescent="0.3">
      <c r="A28" s="32" t="s">
        <v>120</v>
      </c>
      <c r="B28" s="32" t="s">
        <v>165</v>
      </c>
    </row>
    <row r="29" spans="1:2" x14ac:dyDescent="0.3">
      <c r="A29" s="32" t="s">
        <v>125</v>
      </c>
      <c r="B29" s="32" t="s">
        <v>167</v>
      </c>
    </row>
    <row r="30" spans="1:2" x14ac:dyDescent="0.3">
      <c r="A30" s="32" t="s">
        <v>126</v>
      </c>
      <c r="B30" s="32" t="s">
        <v>165</v>
      </c>
    </row>
    <row r="31" spans="1:2" x14ac:dyDescent="0.3">
      <c r="A31" s="32" t="s">
        <v>127</v>
      </c>
      <c r="B31" s="32" t="s">
        <v>168</v>
      </c>
    </row>
    <row r="32" spans="1:2" x14ac:dyDescent="0.3">
      <c r="A32" s="32" t="s">
        <v>128</v>
      </c>
      <c r="B32" s="32" t="s">
        <v>128</v>
      </c>
    </row>
    <row r="33" spans="1:2" x14ac:dyDescent="0.3">
      <c r="A33" s="32" t="s">
        <v>129</v>
      </c>
      <c r="B33" s="32" t="s">
        <v>169</v>
      </c>
    </row>
    <row r="34" spans="1:2" x14ac:dyDescent="0.3">
      <c r="A34" s="32" t="s">
        <v>128</v>
      </c>
      <c r="B34" s="32" t="s">
        <v>128</v>
      </c>
    </row>
    <row r="35" spans="1:2" x14ac:dyDescent="0.3">
      <c r="A35" s="32" t="s">
        <v>130</v>
      </c>
      <c r="B35" s="32" t="s">
        <v>170</v>
      </c>
    </row>
    <row r="36" spans="1:2" x14ac:dyDescent="0.3">
      <c r="A36" s="32" t="s">
        <v>128</v>
      </c>
      <c r="B36" s="32" t="s">
        <v>128</v>
      </c>
    </row>
    <row r="37" spans="1:2" x14ac:dyDescent="0.3">
      <c r="A37" s="32" t="s">
        <v>120</v>
      </c>
      <c r="B37" s="32" t="s">
        <v>171</v>
      </c>
    </row>
    <row r="38" spans="1:2" x14ac:dyDescent="0.3">
      <c r="A38" s="32" t="s">
        <v>120</v>
      </c>
      <c r="B38" s="32" t="s">
        <v>172</v>
      </c>
    </row>
    <row r="39" spans="1:2" x14ac:dyDescent="0.3">
      <c r="A39" s="32" t="s">
        <v>34</v>
      </c>
      <c r="B39" s="32" t="s">
        <v>173</v>
      </c>
    </row>
    <row r="40" spans="1:2" x14ac:dyDescent="0.3">
      <c r="A40" s="32" t="s">
        <v>35</v>
      </c>
      <c r="B40" s="32" t="s">
        <v>174</v>
      </c>
    </row>
    <row r="41" spans="1:2" x14ac:dyDescent="0.3">
      <c r="A41" s="32" t="s">
        <v>175</v>
      </c>
      <c r="B41" s="32" t="s">
        <v>176</v>
      </c>
    </row>
    <row r="42" spans="1:2" x14ac:dyDescent="0.3">
      <c r="A42" s="32" t="s">
        <v>135</v>
      </c>
      <c r="B42" s="32" t="s">
        <v>177</v>
      </c>
    </row>
    <row r="43" spans="1:2" x14ac:dyDescent="0.3">
      <c r="A43" s="32" t="s">
        <v>178</v>
      </c>
      <c r="B43" s="32" t="s">
        <v>179</v>
      </c>
    </row>
    <row r="44" spans="1:2" x14ac:dyDescent="0.3">
      <c r="A44" s="32" t="s">
        <v>136</v>
      </c>
      <c r="B44" s="32" t="s">
        <v>180</v>
      </c>
    </row>
    <row r="45" spans="1:2" x14ac:dyDescent="0.3">
      <c r="A45" s="32" t="s">
        <v>137</v>
      </c>
      <c r="B45" s="32" t="s">
        <v>137</v>
      </c>
    </row>
    <row r="46" spans="1:2" x14ac:dyDescent="0.3">
      <c r="A46" s="32" t="s">
        <v>138</v>
      </c>
      <c r="B46" s="32" t="s">
        <v>181</v>
      </c>
    </row>
    <row r="47" spans="1:2" x14ac:dyDescent="0.3">
      <c r="A47" s="32" t="s">
        <v>139</v>
      </c>
      <c r="B47" s="32" t="s">
        <v>182</v>
      </c>
    </row>
    <row r="48" spans="1:2" x14ac:dyDescent="0.3">
      <c r="A48" s="32" t="s">
        <v>140</v>
      </c>
      <c r="B48" s="32" t="s">
        <v>140</v>
      </c>
    </row>
    <row r="49" spans="1:2" x14ac:dyDescent="0.3">
      <c r="A49" s="32" t="s">
        <v>141</v>
      </c>
      <c r="B49" s="32" t="s">
        <v>141</v>
      </c>
    </row>
    <row r="50" spans="1:2" x14ac:dyDescent="0.3">
      <c r="A50" s="32" t="s">
        <v>0</v>
      </c>
      <c r="B50" s="32" t="s">
        <v>183</v>
      </c>
    </row>
    <row r="51" spans="1:2" x14ac:dyDescent="0.3">
      <c r="A51" s="32" t="s">
        <v>134</v>
      </c>
      <c r="B51" s="32" t="s">
        <v>184</v>
      </c>
    </row>
    <row r="52" spans="1:2" x14ac:dyDescent="0.3">
      <c r="A52" s="32" t="s">
        <v>185</v>
      </c>
      <c r="B52" s="32" t="s">
        <v>186</v>
      </c>
    </row>
    <row r="53" spans="1:2" x14ac:dyDescent="0.3">
      <c r="A53" s="32" t="s">
        <v>131</v>
      </c>
      <c r="B53" s="32" t="s">
        <v>187</v>
      </c>
    </row>
    <row r="54" spans="1:2" x14ac:dyDescent="0.3">
      <c r="A54" s="32" t="s">
        <v>143</v>
      </c>
      <c r="B54" s="32" t="s">
        <v>187</v>
      </c>
    </row>
    <row r="55" spans="1:2" x14ac:dyDescent="0.3">
      <c r="A55" s="32" t="s">
        <v>145</v>
      </c>
      <c r="B55" s="32" t="s">
        <v>188</v>
      </c>
    </row>
    <row r="56" spans="1:2" x14ac:dyDescent="0.3">
      <c r="A56" s="32" t="s">
        <v>146</v>
      </c>
      <c r="B56" s="32" t="s">
        <v>189</v>
      </c>
    </row>
    <row r="57" spans="1:2" x14ac:dyDescent="0.3">
      <c r="A57" s="32" t="s">
        <v>190</v>
      </c>
      <c r="B57" s="32" t="s">
        <v>191</v>
      </c>
    </row>
    <row r="58" spans="1:2" x14ac:dyDescent="0.3">
      <c r="A58" s="32" t="s">
        <v>192</v>
      </c>
      <c r="B58" s="32" t="s">
        <v>193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8080"/>
  </sheetPr>
  <dimension ref="A1:AG76"/>
  <sheetViews>
    <sheetView workbookViewId="0">
      <selection sqref="A1:AG2"/>
    </sheetView>
  </sheetViews>
  <sheetFormatPr defaultRowHeight="14.4" x14ac:dyDescent="0.3"/>
  <cols>
    <col min="1" max="1" width="11" customWidth="1"/>
    <col min="2" max="2" width="11.21875" bestFit="1" customWidth="1"/>
    <col min="3" max="3" width="11.5546875" bestFit="1" customWidth="1"/>
    <col min="4" max="4" width="13.77734375" customWidth="1"/>
    <col min="5" max="5" width="13.44140625" bestFit="1" customWidth="1"/>
    <col min="6" max="6" width="11" customWidth="1"/>
    <col min="7" max="7" width="15.44140625" bestFit="1" customWidth="1"/>
    <col min="8" max="8" width="14.5546875" bestFit="1" customWidth="1"/>
    <col min="9" max="9" width="15.77734375" bestFit="1" customWidth="1"/>
    <col min="10" max="10" width="12.5546875" bestFit="1" customWidth="1"/>
    <col min="11" max="11" width="19.21875" bestFit="1" customWidth="1"/>
    <col min="12" max="12" width="12.21875" bestFit="1" customWidth="1"/>
    <col min="13" max="14" width="12" customWidth="1"/>
    <col min="15" max="15" width="17" customWidth="1"/>
    <col min="16" max="16" width="20.77734375" bestFit="1" customWidth="1"/>
    <col min="17" max="17" width="12" customWidth="1"/>
    <col min="18" max="18" width="8.5546875" customWidth="1"/>
    <col min="19" max="19" width="9.21875" customWidth="1"/>
    <col min="20" max="20" width="13.5546875" customWidth="1"/>
    <col min="21" max="21" width="11" customWidth="1"/>
    <col min="22" max="23" width="12" customWidth="1"/>
    <col min="24" max="24" width="12.77734375" customWidth="1"/>
    <col min="25" max="51" width="12" customWidth="1"/>
  </cols>
  <sheetData>
    <row r="1" spans="1:33" x14ac:dyDescent="0.3">
      <c r="A1" t="s">
        <v>72</v>
      </c>
      <c r="B1" t="s">
        <v>3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t="s">
        <v>89</v>
      </c>
      <c r="T1" t="s">
        <v>90</v>
      </c>
      <c r="U1" t="s">
        <v>91</v>
      </c>
      <c r="V1" t="s">
        <v>92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  <c r="AE1" t="s">
        <v>101</v>
      </c>
      <c r="AF1" t="s">
        <v>102</v>
      </c>
      <c r="AG1" t="s">
        <v>103</v>
      </c>
    </row>
    <row r="2" spans="1:33" x14ac:dyDescent="0.3">
      <c r="A2" s="9"/>
      <c r="C2" s="9"/>
      <c r="D2" s="9"/>
      <c r="E2" s="9"/>
      <c r="F2" s="9"/>
      <c r="G2" s="9"/>
      <c r="H2" s="9"/>
      <c r="I2" s="9"/>
      <c r="L2" s="9"/>
      <c r="M2" s="9"/>
      <c r="N2" s="9"/>
      <c r="O2" s="9"/>
      <c r="P2" s="9"/>
      <c r="Q2" s="9"/>
      <c r="R2" s="9"/>
      <c r="S2" s="9"/>
      <c r="U2" s="9"/>
      <c r="V2" s="9"/>
      <c r="W2" s="9"/>
      <c r="X2" s="9"/>
      <c r="AA2" s="9"/>
      <c r="AE2" s="9"/>
      <c r="AF2" s="9"/>
    </row>
    <row r="3" spans="1:33" x14ac:dyDescent="0.3">
      <c r="D3" s="9"/>
      <c r="E3" s="9"/>
      <c r="G3" s="9"/>
      <c r="H3" s="9"/>
      <c r="L3" s="9"/>
      <c r="M3" s="9"/>
      <c r="N3" s="9"/>
      <c r="O3" s="9"/>
      <c r="Q3" s="9"/>
      <c r="R3" s="9"/>
      <c r="S3" s="9"/>
      <c r="U3" s="9"/>
    </row>
    <row r="4" spans="1:33" x14ac:dyDescent="0.3">
      <c r="D4" s="9"/>
      <c r="E4" s="9"/>
      <c r="G4" s="9"/>
      <c r="H4" s="9"/>
      <c r="L4" s="9"/>
      <c r="M4" s="9"/>
      <c r="N4" s="9"/>
      <c r="O4" s="9"/>
      <c r="Q4" s="9"/>
      <c r="R4" s="9"/>
      <c r="S4" s="9"/>
      <c r="U4" s="9"/>
    </row>
    <row r="5" spans="1:33" x14ac:dyDescent="0.3">
      <c r="D5" s="9"/>
      <c r="E5" s="9"/>
      <c r="G5" s="9"/>
      <c r="H5" s="9"/>
      <c r="L5" s="9"/>
      <c r="M5" s="9"/>
      <c r="N5" s="9"/>
      <c r="O5" s="9"/>
      <c r="Q5" s="9"/>
      <c r="R5" s="9"/>
      <c r="S5" s="9"/>
      <c r="U5" s="9"/>
    </row>
    <row r="6" spans="1:33" x14ac:dyDescent="0.3">
      <c r="D6" s="9"/>
      <c r="E6" s="9"/>
      <c r="G6" s="9"/>
      <c r="H6" s="9"/>
      <c r="L6" s="9"/>
      <c r="M6" s="9"/>
      <c r="N6" s="9"/>
      <c r="O6" s="9"/>
      <c r="Q6" s="9"/>
      <c r="R6" s="9"/>
      <c r="S6" s="9"/>
      <c r="U6" s="9"/>
    </row>
    <row r="7" spans="1:33" x14ac:dyDescent="0.3">
      <c r="D7" s="9"/>
      <c r="E7" s="9"/>
      <c r="G7" s="9"/>
      <c r="H7" s="9"/>
      <c r="L7" s="9"/>
      <c r="M7" s="9"/>
      <c r="N7" s="9"/>
      <c r="O7" s="9"/>
      <c r="Q7" s="9"/>
      <c r="R7" s="9"/>
      <c r="S7" s="9"/>
      <c r="U7" s="9"/>
    </row>
    <row r="8" spans="1:33" x14ac:dyDescent="0.3">
      <c r="D8" s="9"/>
      <c r="E8" s="9"/>
      <c r="G8" s="9"/>
      <c r="H8" s="9"/>
      <c r="L8" s="9"/>
      <c r="M8" s="9"/>
      <c r="N8" s="9"/>
      <c r="O8" s="9"/>
      <c r="Q8" s="9"/>
      <c r="R8" s="9"/>
      <c r="S8" s="9"/>
      <c r="U8" s="9"/>
    </row>
    <row r="9" spans="1:33" x14ac:dyDescent="0.3">
      <c r="D9" s="9"/>
      <c r="E9" s="9"/>
      <c r="G9" s="9"/>
      <c r="H9" s="9"/>
      <c r="L9" s="9"/>
      <c r="M9" s="9"/>
      <c r="N9" s="9"/>
      <c r="O9" s="9"/>
      <c r="Q9" s="9"/>
      <c r="R9" s="9"/>
      <c r="S9" s="9"/>
      <c r="U9" s="9"/>
    </row>
    <row r="10" spans="1:33" x14ac:dyDescent="0.3">
      <c r="D10" s="9"/>
      <c r="E10" s="9"/>
      <c r="G10" s="9"/>
      <c r="H10" s="9"/>
      <c r="L10" s="9"/>
      <c r="M10" s="9"/>
      <c r="N10" s="9"/>
      <c r="O10" s="9"/>
      <c r="Q10" s="9"/>
      <c r="R10" s="9"/>
      <c r="S10" s="9"/>
      <c r="U10" s="9"/>
    </row>
    <row r="11" spans="1:33" x14ac:dyDescent="0.3">
      <c r="D11" s="9"/>
      <c r="E11" s="9"/>
      <c r="G11" s="9"/>
      <c r="H11" s="9"/>
      <c r="L11" s="9"/>
      <c r="M11" s="9"/>
      <c r="N11" s="9"/>
      <c r="O11" s="9"/>
      <c r="Q11" s="9"/>
      <c r="R11" s="9"/>
      <c r="S11" s="9"/>
      <c r="U11" s="9"/>
    </row>
    <row r="12" spans="1:33" x14ac:dyDescent="0.3">
      <c r="D12" s="9"/>
      <c r="E12" s="9"/>
      <c r="G12" s="9"/>
      <c r="H12" s="9"/>
      <c r="L12" s="9"/>
      <c r="M12" s="9"/>
      <c r="N12" s="9"/>
      <c r="O12" s="9"/>
      <c r="Q12" s="9"/>
      <c r="R12" s="9"/>
      <c r="S12" s="9"/>
      <c r="U12" s="9"/>
    </row>
    <row r="13" spans="1:33" x14ac:dyDescent="0.3">
      <c r="D13" s="9"/>
      <c r="E13" s="9"/>
      <c r="G13" s="9"/>
      <c r="H13" s="9"/>
      <c r="L13" s="9"/>
      <c r="M13" s="9"/>
      <c r="N13" s="9"/>
      <c r="O13" s="9"/>
      <c r="Q13" s="9"/>
      <c r="R13" s="9"/>
      <c r="S13" s="9"/>
      <c r="U13" s="9"/>
    </row>
    <row r="14" spans="1:33" x14ac:dyDescent="0.3">
      <c r="D14" s="9"/>
      <c r="E14" s="9"/>
      <c r="G14" s="9"/>
      <c r="H14" s="9"/>
      <c r="L14" s="9"/>
      <c r="M14" s="9"/>
      <c r="N14" s="9"/>
      <c r="O14" s="9"/>
      <c r="Q14" s="9"/>
      <c r="R14" s="9"/>
      <c r="S14" s="9"/>
      <c r="U14" s="9"/>
    </row>
    <row r="15" spans="1:33" x14ac:dyDescent="0.3">
      <c r="D15" s="9"/>
      <c r="E15" s="9"/>
      <c r="G15" s="9"/>
      <c r="H15" s="9"/>
      <c r="L15" s="9"/>
      <c r="M15" s="9"/>
      <c r="N15" s="9"/>
      <c r="O15" s="9"/>
      <c r="Q15" s="9"/>
      <c r="R15" s="9"/>
      <c r="S15" s="9"/>
      <c r="U15" s="9"/>
    </row>
    <row r="16" spans="1:33" x14ac:dyDescent="0.3">
      <c r="D16" s="9"/>
      <c r="E16" s="9"/>
      <c r="G16" s="9"/>
      <c r="H16" s="9"/>
      <c r="L16" s="9"/>
      <c r="M16" s="9"/>
      <c r="N16" s="9"/>
      <c r="O16" s="9"/>
      <c r="Q16" s="9"/>
      <c r="R16" s="9"/>
      <c r="S16" s="9"/>
      <c r="U16" s="9"/>
    </row>
    <row r="17" spans="4:21" x14ac:dyDescent="0.3">
      <c r="D17" s="9"/>
      <c r="E17" s="9"/>
      <c r="G17" s="9"/>
      <c r="H17" s="9"/>
      <c r="L17" s="9"/>
      <c r="M17" s="9"/>
      <c r="N17" s="9"/>
      <c r="O17" s="9"/>
      <c r="Q17" s="9"/>
      <c r="R17" s="9"/>
      <c r="S17" s="9"/>
      <c r="U17" s="9"/>
    </row>
    <row r="18" spans="4:21" x14ac:dyDescent="0.3">
      <c r="D18" s="9"/>
      <c r="E18" s="9"/>
      <c r="G18" s="9"/>
      <c r="H18" s="9"/>
      <c r="L18" s="9"/>
      <c r="M18" s="9"/>
      <c r="N18" s="9"/>
      <c r="O18" s="9"/>
      <c r="Q18" s="9"/>
      <c r="R18" s="9"/>
      <c r="S18" s="9"/>
      <c r="U18" s="9"/>
    </row>
    <row r="19" spans="4:21" x14ac:dyDescent="0.3">
      <c r="D19" s="9"/>
      <c r="E19" s="9"/>
      <c r="G19" s="9"/>
      <c r="H19" s="9"/>
      <c r="L19" s="9"/>
      <c r="M19" s="9"/>
      <c r="N19" s="9"/>
      <c r="O19" s="9"/>
      <c r="Q19" s="9"/>
      <c r="R19" s="9"/>
      <c r="S19" s="9"/>
      <c r="U19" s="9"/>
    </row>
    <row r="20" spans="4:21" x14ac:dyDescent="0.3">
      <c r="D20" s="9"/>
      <c r="E20" s="9"/>
      <c r="G20" s="9"/>
      <c r="H20" s="9"/>
      <c r="L20" s="9"/>
      <c r="M20" s="9"/>
      <c r="N20" s="9"/>
      <c r="O20" s="9"/>
      <c r="Q20" s="9"/>
      <c r="R20" s="9"/>
      <c r="S20" s="9"/>
      <c r="U20" s="9"/>
    </row>
    <row r="21" spans="4:21" x14ac:dyDescent="0.3">
      <c r="D21" s="9"/>
      <c r="E21" s="9"/>
      <c r="G21" s="9"/>
      <c r="H21" s="9"/>
      <c r="L21" s="9"/>
      <c r="M21" s="9"/>
      <c r="N21" s="9"/>
      <c r="O21" s="9"/>
      <c r="Q21" s="9"/>
      <c r="R21" s="9"/>
      <c r="S21" s="9"/>
      <c r="U21" s="9"/>
    </row>
    <row r="22" spans="4:21" x14ac:dyDescent="0.3">
      <c r="D22" s="9"/>
      <c r="E22" s="9"/>
      <c r="G22" s="9"/>
      <c r="H22" s="9"/>
      <c r="L22" s="9"/>
      <c r="M22" s="9"/>
      <c r="N22" s="9"/>
      <c r="O22" s="9"/>
      <c r="Q22" s="9"/>
      <c r="R22" s="9"/>
      <c r="S22" s="9"/>
      <c r="U22" s="9"/>
    </row>
    <row r="23" spans="4:21" x14ac:dyDescent="0.3">
      <c r="D23" s="9"/>
      <c r="E23" s="9"/>
      <c r="G23" s="9"/>
      <c r="H23" s="9"/>
      <c r="L23" s="9"/>
      <c r="M23" s="9"/>
      <c r="N23" s="9"/>
      <c r="O23" s="9"/>
      <c r="Q23" s="9"/>
      <c r="R23" s="9"/>
      <c r="S23" s="9"/>
      <c r="U23" s="9"/>
    </row>
    <row r="24" spans="4:21" x14ac:dyDescent="0.3">
      <c r="D24" s="9"/>
      <c r="E24" s="9"/>
      <c r="G24" s="9"/>
      <c r="H24" s="9"/>
      <c r="L24" s="9"/>
      <c r="M24" s="9"/>
      <c r="N24" s="9"/>
      <c r="O24" s="9"/>
      <c r="Q24" s="9"/>
      <c r="R24" s="9"/>
      <c r="S24" s="9"/>
      <c r="U24" s="9"/>
    </row>
    <row r="25" spans="4:21" x14ac:dyDescent="0.3">
      <c r="D25" s="9"/>
      <c r="E25" s="9"/>
      <c r="G25" s="9"/>
      <c r="H25" s="9"/>
      <c r="L25" s="9"/>
      <c r="M25" s="9"/>
      <c r="N25" s="9"/>
      <c r="O25" s="9"/>
      <c r="Q25" s="9"/>
      <c r="R25" s="9"/>
      <c r="S25" s="9"/>
      <c r="U25" s="9"/>
    </row>
    <row r="26" spans="4:21" x14ac:dyDescent="0.3">
      <c r="D26" s="9"/>
      <c r="E26" s="9"/>
      <c r="G26" s="9"/>
      <c r="H26" s="9"/>
      <c r="L26" s="9"/>
      <c r="M26" s="9"/>
      <c r="N26" s="9"/>
      <c r="O26" s="9"/>
      <c r="Q26" s="9"/>
      <c r="R26" s="9"/>
      <c r="S26" s="9"/>
      <c r="U26" s="9"/>
    </row>
    <row r="27" spans="4:21" x14ac:dyDescent="0.3">
      <c r="D27" s="9"/>
      <c r="E27" s="9"/>
      <c r="G27" s="9"/>
      <c r="H27" s="9"/>
      <c r="L27" s="9"/>
      <c r="M27" s="9"/>
      <c r="N27" s="9"/>
      <c r="O27" s="9"/>
      <c r="Q27" s="9"/>
      <c r="R27" s="9"/>
      <c r="S27" s="9"/>
      <c r="U27" s="9"/>
    </row>
    <row r="28" spans="4:21" x14ac:dyDescent="0.3">
      <c r="D28" s="9"/>
      <c r="E28" s="9"/>
      <c r="G28" s="9"/>
      <c r="H28" s="9"/>
      <c r="L28" s="9"/>
      <c r="M28" s="9"/>
      <c r="N28" s="9"/>
      <c r="O28" s="9"/>
      <c r="Q28" s="9"/>
      <c r="R28" s="9"/>
      <c r="S28" s="9"/>
      <c r="U28" s="9"/>
    </row>
    <row r="29" spans="4:21" x14ac:dyDescent="0.3">
      <c r="D29" s="9"/>
      <c r="E29" s="9"/>
      <c r="G29" s="9"/>
      <c r="H29" s="9"/>
      <c r="L29" s="9"/>
      <c r="M29" s="9"/>
      <c r="N29" s="9"/>
      <c r="O29" s="9"/>
      <c r="Q29" s="9"/>
      <c r="R29" s="9"/>
      <c r="S29" s="9"/>
      <c r="U29" s="9"/>
    </row>
    <row r="30" spans="4:21" x14ac:dyDescent="0.3">
      <c r="D30" s="9"/>
      <c r="E30" s="9"/>
      <c r="G30" s="9"/>
      <c r="H30" s="9"/>
      <c r="L30" s="9"/>
      <c r="M30" s="9"/>
      <c r="N30" s="9"/>
      <c r="O30" s="9"/>
      <c r="Q30" s="9"/>
      <c r="R30" s="9"/>
      <c r="S30" s="9"/>
      <c r="U30" s="9"/>
    </row>
    <row r="31" spans="4:21" x14ac:dyDescent="0.3">
      <c r="D31" s="9"/>
      <c r="E31" s="9"/>
      <c r="G31" s="9"/>
      <c r="H31" s="9"/>
      <c r="L31" s="9"/>
      <c r="M31" s="9"/>
      <c r="N31" s="9"/>
      <c r="O31" s="9"/>
      <c r="Q31" s="9"/>
      <c r="R31" s="9"/>
      <c r="S31" s="9"/>
      <c r="U31" s="9"/>
    </row>
    <row r="32" spans="4:21" x14ac:dyDescent="0.3">
      <c r="D32" s="9"/>
      <c r="E32" s="9"/>
      <c r="G32" s="9"/>
      <c r="H32" s="9"/>
      <c r="L32" s="9"/>
      <c r="M32" s="9"/>
      <c r="N32" s="9"/>
      <c r="O32" s="9"/>
      <c r="Q32" s="9"/>
      <c r="R32" s="9"/>
      <c r="S32" s="9"/>
      <c r="U32" s="9"/>
    </row>
    <row r="33" spans="4:21" x14ac:dyDescent="0.3">
      <c r="D33" s="9"/>
      <c r="E33" s="9"/>
      <c r="G33" s="9"/>
      <c r="H33" s="9"/>
      <c r="L33" s="9"/>
      <c r="M33" s="9"/>
      <c r="N33" s="9"/>
      <c r="O33" s="9"/>
      <c r="Q33" s="9"/>
      <c r="R33" s="9"/>
      <c r="S33" s="9"/>
      <c r="U33" s="9"/>
    </row>
    <row r="34" spans="4:21" x14ac:dyDescent="0.3">
      <c r="D34" s="9"/>
      <c r="E34" s="9"/>
      <c r="G34" s="9"/>
      <c r="H34" s="9"/>
      <c r="L34" s="9"/>
      <c r="M34" s="9"/>
      <c r="N34" s="9"/>
      <c r="O34" s="9"/>
      <c r="Q34" s="9"/>
      <c r="R34" s="9"/>
      <c r="S34" s="9"/>
      <c r="U34" s="9"/>
    </row>
    <row r="35" spans="4:21" x14ac:dyDescent="0.3">
      <c r="D35" s="9"/>
      <c r="E35" s="9"/>
      <c r="G35" s="9"/>
      <c r="H35" s="9"/>
      <c r="L35" s="9"/>
      <c r="M35" s="9"/>
      <c r="N35" s="9"/>
      <c r="O35" s="9"/>
      <c r="Q35" s="9"/>
      <c r="R35" s="9"/>
      <c r="S35" s="9"/>
      <c r="U35" s="9"/>
    </row>
    <row r="36" spans="4:21" x14ac:dyDescent="0.3">
      <c r="D36" s="9"/>
      <c r="E36" s="9"/>
      <c r="G36" s="9"/>
      <c r="H36" s="9"/>
      <c r="L36" s="9"/>
      <c r="M36" s="9"/>
      <c r="N36" s="9"/>
      <c r="O36" s="9"/>
      <c r="Q36" s="9"/>
      <c r="R36" s="9"/>
      <c r="S36" s="9"/>
      <c r="U36" s="9"/>
    </row>
    <row r="37" spans="4:21" x14ac:dyDescent="0.3">
      <c r="D37" s="9"/>
      <c r="E37" s="9"/>
      <c r="G37" s="9"/>
      <c r="H37" s="9"/>
      <c r="L37" s="9"/>
      <c r="M37" s="9"/>
      <c r="N37" s="9"/>
      <c r="O37" s="9"/>
      <c r="Q37" s="9"/>
      <c r="R37" s="9"/>
      <c r="S37" s="9"/>
      <c r="U37" s="9"/>
    </row>
    <row r="38" spans="4:21" x14ac:dyDescent="0.3">
      <c r="D38" s="9"/>
      <c r="E38" s="9"/>
      <c r="G38" s="9"/>
      <c r="H38" s="9"/>
      <c r="L38" s="9"/>
      <c r="M38" s="9"/>
      <c r="N38" s="9"/>
      <c r="O38" s="9"/>
      <c r="Q38" s="9"/>
      <c r="R38" s="9"/>
      <c r="S38" s="9"/>
      <c r="U38" s="9"/>
    </row>
    <row r="39" spans="4:21" x14ac:dyDescent="0.3">
      <c r="D39" s="9"/>
      <c r="E39" s="9"/>
      <c r="G39" s="9"/>
      <c r="H39" s="9"/>
      <c r="L39" s="9"/>
      <c r="M39" s="9"/>
      <c r="N39" s="9"/>
      <c r="O39" s="9"/>
      <c r="Q39" s="9"/>
      <c r="R39" s="9"/>
      <c r="S39" s="9"/>
      <c r="U39" s="9"/>
    </row>
    <row r="40" spans="4:21" x14ac:dyDescent="0.3">
      <c r="D40" s="9"/>
      <c r="E40" s="9"/>
      <c r="G40" s="9"/>
      <c r="H40" s="9"/>
      <c r="L40" s="9"/>
      <c r="M40" s="9"/>
      <c r="N40" s="9"/>
      <c r="O40" s="9"/>
      <c r="Q40" s="9"/>
      <c r="R40" s="9"/>
      <c r="S40" s="9"/>
      <c r="U40" s="9"/>
    </row>
    <row r="41" spans="4:21" x14ac:dyDescent="0.3">
      <c r="D41" s="9"/>
      <c r="E41" s="9"/>
      <c r="G41" s="9"/>
      <c r="H41" s="9"/>
      <c r="L41" s="9"/>
      <c r="M41" s="9"/>
      <c r="N41" s="9"/>
      <c r="O41" s="9"/>
      <c r="Q41" s="9"/>
      <c r="R41" s="9"/>
      <c r="S41" s="9"/>
      <c r="U41" s="9"/>
    </row>
    <row r="42" spans="4:21" x14ac:dyDescent="0.3">
      <c r="D42" s="9"/>
      <c r="E42" s="9"/>
      <c r="G42" s="9"/>
      <c r="H42" s="9"/>
      <c r="L42" s="9"/>
      <c r="M42" s="9"/>
      <c r="N42" s="9"/>
      <c r="O42" s="9"/>
      <c r="Q42" s="9"/>
      <c r="R42" s="9"/>
      <c r="S42" s="9"/>
      <c r="U42" s="9"/>
    </row>
    <row r="43" spans="4:21" x14ac:dyDescent="0.3">
      <c r="D43" s="9"/>
      <c r="E43" s="9"/>
      <c r="G43" s="9"/>
      <c r="H43" s="9"/>
      <c r="L43" s="9"/>
      <c r="M43" s="9"/>
      <c r="N43" s="9"/>
      <c r="O43" s="9"/>
      <c r="Q43" s="9"/>
      <c r="R43" s="9"/>
      <c r="S43" s="9"/>
      <c r="U43" s="9"/>
    </row>
    <row r="44" spans="4:21" x14ac:dyDescent="0.3">
      <c r="D44" s="9"/>
      <c r="E44" s="9"/>
      <c r="G44" s="9"/>
      <c r="H44" s="9"/>
      <c r="L44" s="9"/>
      <c r="M44" s="9"/>
      <c r="N44" s="9"/>
      <c r="O44" s="9"/>
      <c r="Q44" s="9"/>
      <c r="R44" s="9"/>
      <c r="S44" s="9"/>
      <c r="U44" s="9"/>
    </row>
    <row r="45" spans="4:21" x14ac:dyDescent="0.3">
      <c r="D45" s="9"/>
      <c r="E45" s="9"/>
      <c r="G45" s="9"/>
      <c r="H45" s="9"/>
      <c r="L45" s="9"/>
      <c r="M45" s="9"/>
      <c r="N45" s="9"/>
      <c r="O45" s="9"/>
      <c r="Q45" s="9"/>
      <c r="R45" s="9"/>
      <c r="S45" s="9"/>
      <c r="U45" s="9"/>
    </row>
    <row r="46" spans="4:21" x14ac:dyDescent="0.3">
      <c r="D46" s="9"/>
      <c r="E46" s="9"/>
      <c r="G46" s="9"/>
      <c r="H46" s="9"/>
      <c r="L46" s="9"/>
      <c r="M46" s="9"/>
      <c r="N46" s="9"/>
      <c r="O46" s="9"/>
      <c r="Q46" s="9"/>
      <c r="R46" s="9"/>
      <c r="S46" s="9"/>
      <c r="U46" s="9"/>
    </row>
    <row r="47" spans="4:21" x14ac:dyDescent="0.3">
      <c r="D47" s="9"/>
      <c r="E47" s="9"/>
      <c r="G47" s="9"/>
      <c r="H47" s="9"/>
      <c r="L47" s="9"/>
      <c r="M47" s="9"/>
      <c r="N47" s="9"/>
      <c r="O47" s="9"/>
      <c r="Q47" s="9"/>
      <c r="R47" s="9"/>
      <c r="S47" s="9"/>
      <c r="U47" s="9"/>
    </row>
    <row r="48" spans="4:21" x14ac:dyDescent="0.3">
      <c r="D48" s="9"/>
      <c r="E48" s="9"/>
      <c r="G48" s="9"/>
      <c r="H48" s="9"/>
      <c r="L48" s="9"/>
      <c r="M48" s="9"/>
      <c r="N48" s="9"/>
      <c r="O48" s="9"/>
      <c r="Q48" s="9"/>
      <c r="R48" s="9"/>
      <c r="S48" s="9"/>
      <c r="U48" s="9"/>
    </row>
    <row r="49" spans="4:21" x14ac:dyDescent="0.3">
      <c r="D49" s="9"/>
      <c r="E49" s="9"/>
      <c r="G49" s="9"/>
      <c r="H49" s="9"/>
      <c r="L49" s="9"/>
      <c r="M49" s="9"/>
      <c r="N49" s="9"/>
      <c r="O49" s="9"/>
      <c r="Q49" s="9"/>
      <c r="R49" s="9"/>
      <c r="S49" s="9"/>
      <c r="U49" s="9"/>
    </row>
    <row r="50" spans="4:21" x14ac:dyDescent="0.3">
      <c r="D50" s="9"/>
      <c r="E50" s="9"/>
      <c r="G50" s="9"/>
      <c r="H50" s="9"/>
      <c r="L50" s="9"/>
      <c r="M50" s="9"/>
      <c r="N50" s="9"/>
      <c r="O50" s="9"/>
      <c r="Q50" s="9"/>
      <c r="R50" s="9"/>
      <c r="S50" s="9"/>
      <c r="U50" s="9"/>
    </row>
    <row r="51" spans="4:21" x14ac:dyDescent="0.3">
      <c r="D51" s="9"/>
      <c r="E51" s="9"/>
      <c r="G51" s="9"/>
      <c r="H51" s="9"/>
      <c r="L51" s="9"/>
      <c r="M51" s="9"/>
      <c r="N51" s="9"/>
      <c r="O51" s="9"/>
      <c r="Q51" s="9"/>
      <c r="R51" s="9"/>
      <c r="S51" s="9"/>
      <c r="U51" s="9"/>
    </row>
    <row r="52" spans="4:21" x14ac:dyDescent="0.3">
      <c r="D52" s="9"/>
      <c r="E52" s="9"/>
      <c r="G52" s="9"/>
      <c r="H52" s="9"/>
      <c r="L52" s="9"/>
      <c r="M52" s="9"/>
      <c r="N52" s="9"/>
      <c r="O52" s="9"/>
      <c r="Q52" s="9"/>
      <c r="R52" s="9"/>
      <c r="S52" s="9"/>
      <c r="U52" s="9"/>
    </row>
    <row r="53" spans="4:21" x14ac:dyDescent="0.3">
      <c r="D53" s="9"/>
      <c r="E53" s="9"/>
      <c r="G53" s="9"/>
      <c r="H53" s="9"/>
      <c r="L53" s="9"/>
      <c r="M53" s="9"/>
      <c r="N53" s="9"/>
      <c r="O53" s="9"/>
      <c r="Q53" s="9"/>
      <c r="R53" s="9"/>
      <c r="S53" s="9"/>
      <c r="U53" s="9"/>
    </row>
    <row r="54" spans="4:21" x14ac:dyDescent="0.3">
      <c r="D54" s="9"/>
      <c r="E54" s="9"/>
      <c r="G54" s="9"/>
      <c r="H54" s="9"/>
      <c r="L54" s="9"/>
      <c r="M54" s="9"/>
      <c r="N54" s="9"/>
      <c r="O54" s="9"/>
      <c r="Q54" s="9"/>
      <c r="R54" s="9"/>
      <c r="S54" s="9"/>
      <c r="U54" s="9"/>
    </row>
    <row r="55" spans="4:21" x14ac:dyDescent="0.3">
      <c r="D55" s="9"/>
      <c r="E55" s="9"/>
      <c r="G55" s="9"/>
      <c r="H55" s="9"/>
      <c r="L55" s="9"/>
      <c r="M55" s="9"/>
      <c r="N55" s="9"/>
      <c r="O55" s="9"/>
      <c r="Q55" s="9"/>
      <c r="R55" s="9"/>
      <c r="S55" s="9"/>
      <c r="U55" s="9"/>
    </row>
    <row r="56" spans="4:21" x14ac:dyDescent="0.3">
      <c r="D56" s="9"/>
      <c r="E56" s="9"/>
      <c r="G56" s="9"/>
      <c r="H56" s="9"/>
      <c r="L56" s="9"/>
      <c r="M56" s="9"/>
      <c r="N56" s="9"/>
      <c r="O56" s="9"/>
      <c r="Q56" s="9"/>
      <c r="R56" s="9"/>
      <c r="S56" s="9"/>
      <c r="U56" s="9"/>
    </row>
    <row r="57" spans="4:21" x14ac:dyDescent="0.3">
      <c r="D57" s="9"/>
      <c r="E57" s="9"/>
      <c r="G57" s="9"/>
      <c r="H57" s="9"/>
      <c r="L57" s="9"/>
      <c r="M57" s="9"/>
      <c r="N57" s="9"/>
      <c r="O57" s="9"/>
      <c r="Q57" s="9"/>
      <c r="R57" s="9"/>
      <c r="S57" s="9"/>
      <c r="U57" s="9"/>
    </row>
    <row r="58" spans="4:21" x14ac:dyDescent="0.3">
      <c r="D58" s="9"/>
      <c r="E58" s="9"/>
      <c r="G58" s="9"/>
      <c r="H58" s="9"/>
      <c r="L58" s="9"/>
      <c r="M58" s="9"/>
      <c r="N58" s="9"/>
      <c r="O58" s="9"/>
      <c r="Q58" s="9"/>
      <c r="R58" s="9"/>
      <c r="S58" s="9"/>
      <c r="U58" s="9"/>
    </row>
    <row r="59" spans="4:21" x14ac:dyDescent="0.3">
      <c r="D59" s="9"/>
      <c r="E59" s="9"/>
      <c r="G59" s="9"/>
      <c r="H59" s="9"/>
      <c r="L59" s="9"/>
      <c r="M59" s="9"/>
      <c r="N59" s="9"/>
      <c r="O59" s="9"/>
      <c r="Q59" s="9"/>
      <c r="R59" s="9"/>
      <c r="S59" s="9"/>
      <c r="U59" s="9"/>
    </row>
    <row r="60" spans="4:21" x14ac:dyDescent="0.3">
      <c r="D60" s="9"/>
      <c r="E60" s="9"/>
      <c r="G60" s="9"/>
      <c r="H60" s="9"/>
      <c r="L60" s="9"/>
      <c r="M60" s="9"/>
      <c r="N60" s="9"/>
      <c r="O60" s="9"/>
      <c r="Q60" s="9"/>
      <c r="R60" s="9"/>
      <c r="S60" s="9"/>
      <c r="U60" s="9"/>
    </row>
    <row r="61" spans="4:21" x14ac:dyDescent="0.3">
      <c r="D61" s="9"/>
      <c r="E61" s="9"/>
      <c r="G61" s="9"/>
      <c r="H61" s="9"/>
      <c r="L61" s="9"/>
      <c r="M61" s="9"/>
      <c r="N61" s="9"/>
      <c r="O61" s="9"/>
      <c r="Q61" s="9"/>
      <c r="R61" s="9"/>
      <c r="S61" s="9"/>
      <c r="U61" s="9"/>
    </row>
    <row r="62" spans="4:21" x14ac:dyDescent="0.3">
      <c r="D62" s="9"/>
      <c r="E62" s="9"/>
      <c r="G62" s="9"/>
      <c r="H62" s="9"/>
      <c r="L62" s="9"/>
      <c r="M62" s="9"/>
      <c r="N62" s="9"/>
      <c r="O62" s="9"/>
      <c r="Q62" s="9"/>
      <c r="R62" s="9"/>
      <c r="S62" s="9"/>
      <c r="U62" s="9"/>
    </row>
    <row r="63" spans="4:21" x14ac:dyDescent="0.3">
      <c r="D63" s="9"/>
      <c r="E63" s="9"/>
      <c r="G63" s="9"/>
      <c r="H63" s="9"/>
      <c r="L63" s="9"/>
      <c r="M63" s="9"/>
      <c r="N63" s="9"/>
      <c r="O63" s="9"/>
      <c r="Q63" s="9"/>
      <c r="R63" s="9"/>
      <c r="S63" s="9"/>
      <c r="U63" s="9"/>
    </row>
    <row r="64" spans="4:21" x14ac:dyDescent="0.3">
      <c r="D64" s="9"/>
      <c r="E64" s="9"/>
      <c r="G64" s="9"/>
      <c r="H64" s="9"/>
      <c r="L64" s="9"/>
      <c r="M64" s="9"/>
      <c r="N64" s="9"/>
      <c r="O64" s="9"/>
      <c r="Q64" s="9"/>
      <c r="R64" s="9"/>
      <c r="S64" s="9"/>
      <c r="U64" s="9"/>
    </row>
    <row r="65" spans="4:21" x14ac:dyDescent="0.3">
      <c r="D65" s="9"/>
      <c r="E65" s="9"/>
      <c r="G65" s="9"/>
      <c r="H65" s="9"/>
      <c r="L65" s="9"/>
      <c r="M65" s="9"/>
      <c r="N65" s="9"/>
      <c r="O65" s="9"/>
      <c r="Q65" s="9"/>
      <c r="R65" s="9"/>
      <c r="S65" s="9"/>
      <c r="U65" s="9"/>
    </row>
    <row r="66" spans="4:21" x14ac:dyDescent="0.3">
      <c r="D66" s="9"/>
      <c r="E66" s="9"/>
      <c r="G66" s="9"/>
      <c r="H66" s="9"/>
      <c r="L66" s="9"/>
      <c r="M66" s="9"/>
      <c r="N66" s="9"/>
      <c r="O66" s="9"/>
      <c r="Q66" s="9"/>
      <c r="R66" s="9"/>
      <c r="S66" s="9"/>
      <c r="U66" s="9"/>
    </row>
    <row r="67" spans="4:21" x14ac:dyDescent="0.3">
      <c r="D67" s="9"/>
      <c r="E67" s="9"/>
      <c r="G67" s="9"/>
      <c r="H67" s="9"/>
      <c r="L67" s="9"/>
      <c r="M67" s="9"/>
      <c r="N67" s="9"/>
      <c r="O67" s="9"/>
      <c r="Q67" s="9"/>
      <c r="R67" s="9"/>
      <c r="S67" s="9"/>
      <c r="U67" s="9"/>
    </row>
    <row r="68" spans="4:21" x14ac:dyDescent="0.3">
      <c r="D68" s="9"/>
      <c r="E68" s="9"/>
      <c r="G68" s="9"/>
      <c r="H68" s="9"/>
      <c r="L68" s="9"/>
      <c r="M68" s="9"/>
      <c r="N68" s="9"/>
      <c r="O68" s="9"/>
      <c r="Q68" s="9"/>
      <c r="R68" s="9"/>
      <c r="S68" s="9"/>
      <c r="U68" s="9"/>
    </row>
    <row r="69" spans="4:21" x14ac:dyDescent="0.3">
      <c r="D69" s="9"/>
      <c r="E69" s="9"/>
      <c r="G69" s="9"/>
      <c r="H69" s="9"/>
      <c r="L69" s="9"/>
      <c r="M69" s="9"/>
      <c r="N69" s="9"/>
      <c r="O69" s="9"/>
      <c r="Q69" s="9"/>
      <c r="R69" s="9"/>
      <c r="S69" s="9"/>
      <c r="U69" s="9"/>
    </row>
    <row r="70" spans="4:21" x14ac:dyDescent="0.3">
      <c r="D70" s="9"/>
      <c r="E70" s="9"/>
      <c r="G70" s="9"/>
      <c r="H70" s="9"/>
      <c r="L70" s="9"/>
      <c r="M70" s="9"/>
      <c r="N70" s="9"/>
      <c r="O70" s="9"/>
      <c r="Q70" s="9"/>
      <c r="R70" s="9"/>
      <c r="S70" s="9"/>
      <c r="U70" s="9"/>
    </row>
    <row r="71" spans="4:21" x14ac:dyDescent="0.3">
      <c r="D71" s="9"/>
      <c r="E71" s="9"/>
      <c r="G71" s="9"/>
      <c r="H71" s="9"/>
      <c r="L71" s="9"/>
      <c r="M71" s="9"/>
      <c r="N71" s="9"/>
      <c r="O71" s="9"/>
      <c r="Q71" s="9"/>
      <c r="R71" s="9"/>
      <c r="S71" s="9"/>
      <c r="U71" s="9"/>
    </row>
    <row r="72" spans="4:21" x14ac:dyDescent="0.3">
      <c r="D72" s="9"/>
      <c r="E72" s="9"/>
      <c r="G72" s="9"/>
      <c r="H72" s="9"/>
      <c r="L72" s="9"/>
      <c r="M72" s="9"/>
      <c r="N72" s="9"/>
      <c r="O72" s="9"/>
      <c r="Q72" s="9"/>
      <c r="R72" s="9"/>
      <c r="S72" s="9"/>
      <c r="U72" s="9"/>
    </row>
    <row r="73" spans="4:21" x14ac:dyDescent="0.3">
      <c r="D73" s="9"/>
      <c r="E73" s="9"/>
      <c r="G73" s="9"/>
      <c r="H73" s="9"/>
      <c r="L73" s="9"/>
      <c r="M73" s="9"/>
      <c r="N73" s="9"/>
      <c r="O73" s="9"/>
      <c r="Q73" s="9"/>
      <c r="R73" s="9"/>
      <c r="S73" s="9"/>
      <c r="U73" s="9"/>
    </row>
    <row r="74" spans="4:21" x14ac:dyDescent="0.3">
      <c r="D74" s="9"/>
      <c r="E74" s="9"/>
      <c r="G74" s="9"/>
      <c r="H74" s="9"/>
      <c r="L74" s="9"/>
      <c r="M74" s="9"/>
      <c r="N74" s="9"/>
      <c r="O74" s="9"/>
      <c r="Q74" s="9"/>
      <c r="R74" s="9"/>
      <c r="S74" s="9"/>
      <c r="U74" s="9"/>
    </row>
    <row r="75" spans="4:21" x14ac:dyDescent="0.3">
      <c r="D75" s="9"/>
      <c r="E75" s="9"/>
      <c r="G75" s="9"/>
      <c r="H75" s="9"/>
      <c r="L75" s="9"/>
      <c r="M75" s="9"/>
      <c r="N75" s="9"/>
      <c r="O75" s="9"/>
      <c r="Q75" s="9"/>
      <c r="R75" s="9"/>
      <c r="S75" s="9"/>
      <c r="U75" s="9"/>
    </row>
    <row r="76" spans="4:21" x14ac:dyDescent="0.3">
      <c r="D76" s="9"/>
      <c r="E76" s="9"/>
      <c r="G76" s="9"/>
      <c r="H76" s="9"/>
      <c r="L76" s="9"/>
      <c r="M76" s="9"/>
      <c r="N76" s="9"/>
      <c r="O76" s="9"/>
      <c r="Q76" s="9"/>
      <c r="R76" s="9"/>
      <c r="S76" s="9"/>
      <c r="U76" s="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>
    <tabColor rgb="FFFF8080"/>
  </sheetPr>
  <dimension ref="A1:F6"/>
  <sheetViews>
    <sheetView showGridLines="0" zoomScale="85" zoomScaleNormal="85" workbookViewId="0"/>
  </sheetViews>
  <sheetFormatPr defaultColWidth="11.44140625" defaultRowHeight="14.4" x14ac:dyDescent="0.3"/>
  <cols>
    <col min="1" max="2" width="11.21875" bestFit="1" customWidth="1"/>
    <col min="3" max="3" width="18.77734375" bestFit="1" customWidth="1"/>
    <col min="5" max="5" width="14.44140625" bestFit="1" customWidth="1"/>
    <col min="6" max="6" width="9.21875" bestFit="1" customWidth="1"/>
  </cols>
  <sheetData>
    <row r="1" spans="1:6" x14ac:dyDescent="0.3">
      <c r="A1" t="s">
        <v>45</v>
      </c>
      <c r="B1" t="s">
        <v>44</v>
      </c>
      <c r="C1" t="s">
        <v>12</v>
      </c>
      <c r="E1" t="s">
        <v>22</v>
      </c>
      <c r="F1" t="s">
        <v>69</v>
      </c>
    </row>
    <row r="2" spans="1:6" x14ac:dyDescent="0.3">
      <c r="C2" t="s">
        <v>43</v>
      </c>
      <c r="E2" t="s">
        <v>7</v>
      </c>
      <c r="F2" t="s">
        <v>63</v>
      </c>
    </row>
    <row r="3" spans="1:6" x14ac:dyDescent="0.3">
      <c r="A3" t="s">
        <v>33</v>
      </c>
      <c r="B3" t="s">
        <v>42</v>
      </c>
      <c r="C3" t="s">
        <v>41</v>
      </c>
      <c r="E3" t="s">
        <v>31</v>
      </c>
      <c r="F3" t="s">
        <v>64</v>
      </c>
    </row>
    <row r="4" spans="1:6" x14ac:dyDescent="0.3">
      <c r="A4" t="s">
        <v>40</v>
      </c>
      <c r="B4" t="s">
        <v>39</v>
      </c>
      <c r="C4" t="s">
        <v>38</v>
      </c>
      <c r="E4" t="s">
        <v>65</v>
      </c>
      <c r="F4" t="s">
        <v>66</v>
      </c>
    </row>
    <row r="5" spans="1:6" x14ac:dyDescent="0.3">
      <c r="A5" t="s">
        <v>32</v>
      </c>
      <c r="B5" t="s">
        <v>37</v>
      </c>
      <c r="C5" t="s">
        <v>36</v>
      </c>
      <c r="E5" t="s">
        <v>67</v>
      </c>
      <c r="F5" t="s">
        <v>63</v>
      </c>
    </row>
    <row r="6" spans="1:6" x14ac:dyDescent="0.3">
      <c r="E6" t="s">
        <v>68</v>
      </c>
      <c r="F6" t="s">
        <v>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>
    <tabColor rgb="FFFF8080"/>
  </sheetPr>
  <dimension ref="A1:O10"/>
  <sheetViews>
    <sheetView showGridLines="0" zoomScale="85" zoomScaleNormal="85" workbookViewId="0"/>
  </sheetViews>
  <sheetFormatPr defaultColWidth="11.44140625" defaultRowHeight="14.4" x14ac:dyDescent="0.3"/>
  <cols>
    <col min="1" max="1" width="17.21875" customWidth="1"/>
    <col min="2" max="2" width="13.21875" customWidth="1"/>
    <col min="3" max="3" width="11.77734375" customWidth="1"/>
    <col min="4" max="4" width="5.21875" customWidth="1"/>
    <col min="5" max="5" width="15.5546875" customWidth="1"/>
    <col min="6" max="6" width="8" customWidth="1"/>
    <col min="7" max="7" width="34.5546875" bestFit="1" customWidth="1"/>
    <col min="8" max="8" width="4" customWidth="1"/>
    <col min="9" max="9" width="8.21875" customWidth="1"/>
    <col min="10" max="10" width="10.21875" customWidth="1"/>
    <col min="11" max="11" width="13.5546875" bestFit="1" customWidth="1"/>
    <col min="12" max="12" width="3" customWidth="1"/>
    <col min="13" max="13" width="8.21875" customWidth="1"/>
    <col min="14" max="14" width="12.77734375" customWidth="1"/>
    <col min="15" max="15" width="22.44140625" bestFit="1" customWidth="1"/>
  </cols>
  <sheetData>
    <row r="1" spans="1:15" ht="23.4" x14ac:dyDescent="0.45">
      <c r="A1" s="6" t="s">
        <v>11</v>
      </c>
    </row>
    <row r="4" spans="1:15" x14ac:dyDescent="0.3">
      <c r="A4" s="13" t="s">
        <v>13</v>
      </c>
      <c r="B4" s="14" t="s">
        <v>18</v>
      </c>
      <c r="C4" s="15" t="s">
        <v>14</v>
      </c>
      <c r="E4" s="5" t="s">
        <v>70</v>
      </c>
      <c r="F4" s="7" t="s">
        <v>14</v>
      </c>
      <c r="G4" s="5" t="s">
        <v>12</v>
      </c>
      <c r="I4" t="s">
        <v>52</v>
      </c>
      <c r="J4" t="s">
        <v>53</v>
      </c>
      <c r="K4" t="s">
        <v>12</v>
      </c>
      <c r="M4" t="s">
        <v>52</v>
      </c>
      <c r="N4" t="s">
        <v>58</v>
      </c>
      <c r="O4" t="s">
        <v>12</v>
      </c>
    </row>
    <row r="5" spans="1:15" x14ac:dyDescent="0.3">
      <c r="A5" t="s">
        <v>29</v>
      </c>
      <c r="B5" s="4"/>
      <c r="C5" t="str">
        <f>IFERROR(VLOOKUP(MaterialPrice,tMaterialPrice[],2,FALSE),"")</f>
        <v/>
      </c>
      <c r="E5" s="1" t="s">
        <v>16</v>
      </c>
      <c r="G5" t="s">
        <v>9</v>
      </c>
      <c r="I5" t="s">
        <v>54</v>
      </c>
      <c r="J5" t="e">
        <f>COLUMN(#REF!)</f>
        <v>#REF!</v>
      </c>
      <c r="K5" t="s">
        <v>48</v>
      </c>
      <c r="M5" t="s">
        <v>54</v>
      </c>
      <c r="N5">
        <v>2</v>
      </c>
      <c r="O5" t="s">
        <v>59</v>
      </c>
    </row>
    <row r="6" spans="1:15" x14ac:dyDescent="0.3">
      <c r="A6" t="s">
        <v>28</v>
      </c>
      <c r="B6" s="4" t="s">
        <v>54</v>
      </c>
      <c r="C6">
        <f>IFERROR(VLOOKUP(ProductHierarchy,tProductHierarchyLevel[],2,FALSE),"")</f>
        <v>2</v>
      </c>
      <c r="E6" s="1" t="s">
        <v>15</v>
      </c>
      <c r="G6" t="s">
        <v>19</v>
      </c>
      <c r="I6" t="s">
        <v>55</v>
      </c>
      <c r="J6" t="e">
        <f>COLUMN(#REF!)</f>
        <v>#REF!</v>
      </c>
      <c r="K6" t="s">
        <v>49</v>
      </c>
      <c r="M6" t="s">
        <v>55</v>
      </c>
      <c r="N6">
        <v>5</v>
      </c>
      <c r="O6" t="s">
        <v>60</v>
      </c>
    </row>
    <row r="7" spans="1:15" x14ac:dyDescent="0.3">
      <c r="A7" t="s">
        <v>27</v>
      </c>
      <c r="B7" s="4" t="s">
        <v>56</v>
      </c>
      <c r="C7" t="str">
        <f>IFERROR(VLOOKUP(CustomerHierarchy,tCustomerLevel[],2,FALSE),"")</f>
        <v/>
      </c>
      <c r="E7" s="1" t="s">
        <v>17</v>
      </c>
      <c r="G7" t="s">
        <v>10</v>
      </c>
      <c r="I7" t="s">
        <v>56</v>
      </c>
      <c r="J7" t="e">
        <f>COLUMN(#REF!)</f>
        <v>#REF!</v>
      </c>
      <c r="K7" t="s">
        <v>50</v>
      </c>
      <c r="M7" t="s">
        <v>56</v>
      </c>
      <c r="N7">
        <v>8</v>
      </c>
      <c r="O7" t="s">
        <v>61</v>
      </c>
    </row>
    <row r="8" spans="1:15" x14ac:dyDescent="0.3">
      <c r="A8" t="s">
        <v>26</v>
      </c>
      <c r="B8" s="4" t="s">
        <v>106</v>
      </c>
      <c r="C8" t="str">
        <f t="shared" ref="C8:C10" si="0">B8</f>
        <v>Gross</v>
      </c>
      <c r="I8" t="s">
        <v>57</v>
      </c>
      <c r="J8" t="e">
        <f>COLUMN(#REF!)</f>
        <v>#REF!</v>
      </c>
      <c r="K8" t="s">
        <v>51</v>
      </c>
      <c r="M8" t="s">
        <v>57</v>
      </c>
      <c r="N8">
        <v>12</v>
      </c>
      <c r="O8" t="s">
        <v>62</v>
      </c>
    </row>
    <row r="9" spans="1:15" x14ac:dyDescent="0.3">
      <c r="A9" t="s">
        <v>25</v>
      </c>
      <c r="B9" s="4">
        <v>1</v>
      </c>
      <c r="C9">
        <f t="shared" si="0"/>
        <v>1</v>
      </c>
    </row>
    <row r="10" spans="1:15" x14ac:dyDescent="0.3">
      <c r="A10" t="s">
        <v>8</v>
      </c>
      <c r="B10" s="4" t="s">
        <v>107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tabColor rgb="FFFF8080"/>
  </sheetPr>
  <dimension ref="A1:B8"/>
  <sheetViews>
    <sheetView showGridLines="0" zoomScale="85" zoomScaleNormal="85" workbookViewId="0"/>
  </sheetViews>
  <sheetFormatPr defaultColWidth="11.44140625" defaultRowHeight="14.4" x14ac:dyDescent="0.3"/>
  <cols>
    <col min="1" max="1" width="13.21875" bestFit="1" customWidth="1"/>
    <col min="2" max="2" width="42.21875" bestFit="1" customWidth="1"/>
  </cols>
  <sheetData>
    <row r="1" spans="1:2" ht="23.4" x14ac:dyDescent="0.45">
      <c r="A1" s="6" t="s">
        <v>47</v>
      </c>
    </row>
    <row r="4" spans="1:2" x14ac:dyDescent="0.3">
      <c r="A4" t="s">
        <v>3</v>
      </c>
      <c r="B4" s="17">
        <v>13</v>
      </c>
    </row>
    <row r="5" spans="1:2" x14ac:dyDescent="0.3">
      <c r="A5" t="s">
        <v>2</v>
      </c>
      <c r="B5" s="17" t="s">
        <v>305</v>
      </c>
    </row>
    <row r="6" spans="1:2" x14ac:dyDescent="0.3">
      <c r="A6" t="s">
        <v>20</v>
      </c>
      <c r="B6" s="17" t="s">
        <v>245</v>
      </c>
    </row>
    <row r="7" spans="1:2" x14ac:dyDescent="0.3">
      <c r="A7" t="s">
        <v>21</v>
      </c>
      <c r="B7" s="17" t="s">
        <v>147</v>
      </c>
    </row>
    <row r="8" spans="1:2" x14ac:dyDescent="0.3">
      <c r="A8" t="s">
        <v>71</v>
      </c>
      <c r="B8" s="17" t="s">
        <v>305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K29"/>
  <sheetViews>
    <sheetView showGridLines="0" showRowColHeaders="0" tabSelected="1" zoomScale="85" zoomScaleNormal="85" workbookViewId="0">
      <selection activeCell="C4" sqref="C4"/>
    </sheetView>
  </sheetViews>
  <sheetFormatPr defaultColWidth="11" defaultRowHeight="15.6" x14ac:dyDescent="0.3"/>
  <cols>
    <col min="1" max="1" width="4.44140625" style="1" customWidth="1"/>
    <col min="2" max="3" width="11" style="3"/>
    <col min="4" max="16384" width="11" style="1"/>
  </cols>
  <sheetData>
    <row r="2" spans="2:11" ht="17.399999999999999" x14ac:dyDescent="0.3">
      <c r="K2" s="2"/>
    </row>
    <row r="5" spans="2:11" x14ac:dyDescent="0.3">
      <c r="E5" s="3" t="s">
        <v>280</v>
      </c>
    </row>
    <row r="9" spans="2:11" x14ac:dyDescent="0.3">
      <c r="B9" s="43" t="s">
        <v>259</v>
      </c>
      <c r="J9" s="11"/>
      <c r="K9" s="11" t="s">
        <v>220</v>
      </c>
    </row>
    <row r="10" spans="2:11" x14ac:dyDescent="0.3">
      <c r="B10" s="44" t="s">
        <v>267</v>
      </c>
    </row>
    <row r="13" spans="2:11" ht="21" x14ac:dyDescent="0.4">
      <c r="B13" s="33" t="s">
        <v>219</v>
      </c>
    </row>
    <row r="14" spans="2:11" x14ac:dyDescent="0.3">
      <c r="B14" s="42" t="s">
        <v>266</v>
      </c>
    </row>
    <row r="15" spans="2:11" x14ac:dyDescent="0.3">
      <c r="B15" s="42" t="s">
        <v>263</v>
      </c>
    </row>
    <row r="16" spans="2:11" x14ac:dyDescent="0.3">
      <c r="B16" s="42" t="s">
        <v>264</v>
      </c>
    </row>
    <row r="17" spans="2:2" x14ac:dyDescent="0.3">
      <c r="B17" s="42" t="s">
        <v>265</v>
      </c>
    </row>
    <row r="18" spans="2:2" x14ac:dyDescent="0.3">
      <c r="B18" s="37" t="s">
        <v>260</v>
      </c>
    </row>
    <row r="19" spans="2:2" x14ac:dyDescent="0.3">
      <c r="B19" s="37"/>
    </row>
    <row r="20" spans="2:2" x14ac:dyDescent="0.3">
      <c r="B20" s="37" t="s">
        <v>261</v>
      </c>
    </row>
    <row r="21" spans="2:2" x14ac:dyDescent="0.3">
      <c r="B21" s="37" t="s">
        <v>262</v>
      </c>
    </row>
    <row r="22" spans="2:2" x14ac:dyDescent="0.3">
      <c r="B22" s="18"/>
    </row>
    <row r="24" spans="2:2" x14ac:dyDescent="0.3">
      <c r="B24" s="46" t="s">
        <v>281</v>
      </c>
    </row>
    <row r="25" spans="2:2" x14ac:dyDescent="0.3">
      <c r="B25" s="42" t="s">
        <v>282</v>
      </c>
    </row>
    <row r="26" spans="2:2" x14ac:dyDescent="0.3">
      <c r="B26" s="42" t="s">
        <v>283</v>
      </c>
    </row>
    <row r="27" spans="2:2" x14ac:dyDescent="0.3">
      <c r="B27" s="42" t="s">
        <v>284</v>
      </c>
    </row>
    <row r="28" spans="2:2" x14ac:dyDescent="0.3">
      <c r="B28" s="42" t="s">
        <v>285</v>
      </c>
    </row>
    <row r="29" spans="2:2" x14ac:dyDescent="0.3">
      <c r="B29" s="42" t="s">
        <v>286</v>
      </c>
    </row>
  </sheetData>
  <sheetProtection password="CB87" sheet="1" objects="1" scenarios="1" pivotTables="0"/>
  <pageMargins left="0.7" right="0.7" top="0.75" bottom="0.75" header="0.3" footer="0.3"/>
  <pageSetup paperSize="9" orientation="portrait" horizontalDpi="300" verticalDpi="300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>
    <tabColor rgb="FFC00000"/>
    <pageSetUpPr fitToPage="1"/>
  </sheetPr>
  <dimension ref="A1:H68"/>
  <sheetViews>
    <sheetView showGridLines="0" zoomScale="85" workbookViewId="0">
      <pane xSplit="1" ySplit="17" topLeftCell="B18" activePane="bottomRight" state="frozen"/>
      <selection activeCell="H32" sqref="H32"/>
      <selection pane="topRight" activeCell="H32" sqref="H32"/>
      <selection pane="bottomLeft" activeCell="H32" sqref="H32"/>
      <selection pane="bottomRight" activeCell="B18" sqref="B18"/>
    </sheetView>
  </sheetViews>
  <sheetFormatPr defaultColWidth="11.44140625" defaultRowHeight="13.2" x14ac:dyDescent="0.25"/>
  <cols>
    <col min="1" max="1" width="21" style="23" customWidth="1"/>
    <col min="2" max="2" width="19.21875" style="23" customWidth="1"/>
    <col min="3" max="3" width="11" style="23" customWidth="1"/>
    <col min="4" max="4" width="8.77734375" style="23" customWidth="1"/>
    <col min="5" max="5" width="8" style="23" customWidth="1"/>
    <col min="6" max="6" width="12.21875" style="23" customWidth="1"/>
    <col min="7" max="7" width="9.77734375" style="23" customWidth="1"/>
    <col min="8" max="8" width="14.6640625" style="23" customWidth="1"/>
    <col min="9" max="20" width="15.77734375" style="23" customWidth="1"/>
    <col min="21" max="21" width="15.21875" style="23" customWidth="1"/>
    <col min="22" max="22" width="14.21875" style="23" customWidth="1"/>
    <col min="23" max="23" width="20.5546875" style="23" customWidth="1"/>
    <col min="24" max="24" width="14.21875" style="23" customWidth="1"/>
    <col min="25" max="25" width="20.5546875" style="23" customWidth="1"/>
    <col min="26" max="26" width="15.77734375" style="23" customWidth="1"/>
    <col min="27" max="27" width="24.5546875" style="23" customWidth="1"/>
    <col min="28" max="28" width="9.77734375" style="23" customWidth="1"/>
    <col min="29" max="29" width="15.77734375" style="23" customWidth="1"/>
    <col min="30" max="30" width="25" style="23" customWidth="1"/>
    <col min="31" max="31" width="9.77734375" style="23" customWidth="1"/>
    <col min="32" max="32" width="15.77734375" style="23" customWidth="1"/>
    <col min="33" max="33" width="29.77734375" style="23" customWidth="1"/>
    <col min="34" max="34" width="9.77734375" style="23" customWidth="1"/>
    <col min="35" max="35" width="15.77734375" style="23" customWidth="1"/>
    <col min="36" max="36" width="26.77734375" style="23" customWidth="1"/>
    <col min="37" max="37" width="9.77734375" style="23" customWidth="1"/>
    <col min="38" max="38" width="15.77734375" style="23" customWidth="1"/>
    <col min="39" max="39" width="31.21875" style="23" customWidth="1"/>
    <col min="40" max="40" width="9.5546875" style="23" customWidth="1"/>
    <col min="41" max="41" width="15.77734375" style="23" customWidth="1"/>
    <col min="42" max="42" width="26.77734375" style="23" customWidth="1"/>
    <col min="43" max="43" width="9.77734375" style="23" customWidth="1"/>
    <col min="44" max="44" width="15.77734375" style="23" customWidth="1"/>
    <col min="45" max="45" width="31.77734375" style="23" customWidth="1"/>
    <col min="46" max="46" width="9.5546875" style="23" customWidth="1"/>
    <col min="47" max="47" width="15.77734375" style="23" customWidth="1"/>
    <col min="48" max="48" width="26.77734375" style="23" customWidth="1"/>
    <col min="49" max="49" width="9.77734375" style="23" customWidth="1"/>
    <col min="50" max="50" width="15.77734375" style="23" customWidth="1"/>
    <col min="51" max="51" width="30.5546875" style="23" customWidth="1"/>
    <col min="52" max="52" width="9.5546875" style="23" customWidth="1"/>
    <col min="53" max="53" width="15.77734375" style="23" customWidth="1"/>
    <col min="54" max="54" width="25.77734375" style="23" customWidth="1"/>
    <col min="55" max="55" width="9.5546875" style="23" customWidth="1"/>
    <col min="56" max="56" width="15.77734375" style="23" customWidth="1"/>
    <col min="57" max="57" width="26" style="23" customWidth="1"/>
    <col min="58" max="58" width="9.77734375" style="23" customWidth="1"/>
    <col min="59" max="59" width="15.77734375" style="23" customWidth="1"/>
    <col min="60" max="60" width="31.77734375" style="23" customWidth="1"/>
    <col min="61" max="61" width="9.5546875" style="23" customWidth="1"/>
    <col min="62" max="62" width="15.77734375" style="23" customWidth="1"/>
    <col min="63" max="63" width="29.77734375" style="23" customWidth="1"/>
    <col min="64" max="64" width="9.5546875" style="23" customWidth="1"/>
    <col min="65" max="65" width="15.77734375" style="23" customWidth="1"/>
    <col min="66" max="66" width="26.44140625" style="23" customWidth="1"/>
    <col min="67" max="67" width="9.5546875" style="23" customWidth="1"/>
    <col min="68" max="68" width="15.77734375" style="23" customWidth="1"/>
    <col min="69" max="69" width="17.5546875" style="23" customWidth="1"/>
    <col min="70" max="70" width="9.77734375" style="23" customWidth="1"/>
    <col min="71" max="71" width="15.77734375" style="23" customWidth="1"/>
    <col min="72" max="72" width="16.77734375" style="23" customWidth="1"/>
    <col min="73" max="73" width="9.77734375" style="23" customWidth="1"/>
    <col min="74" max="74" width="15.77734375" style="23" customWidth="1"/>
    <col min="75" max="75" width="22.21875" style="23" customWidth="1"/>
    <col min="76" max="76" width="9.5546875" style="23" customWidth="1"/>
    <col min="77" max="77" width="15.77734375" style="23" customWidth="1"/>
    <col min="78" max="78" width="13.21875" style="23" customWidth="1"/>
    <col min="79" max="79" width="9.5546875" style="23" customWidth="1"/>
    <col min="80" max="80" width="15.77734375" style="23" customWidth="1"/>
    <col min="81" max="81" width="25.77734375" style="23" customWidth="1"/>
    <col min="82" max="82" width="9.5546875" style="23" customWidth="1"/>
    <col min="83" max="83" width="15.77734375" style="23" customWidth="1"/>
    <col min="84" max="84" width="26.77734375" style="23" customWidth="1"/>
    <col min="85" max="85" width="9.5546875" style="23" customWidth="1"/>
    <col min="86" max="86" width="15.77734375" style="23" customWidth="1"/>
    <col min="87" max="87" width="16.21875" style="23" customWidth="1"/>
    <col min="88" max="88" width="9.5546875" style="23" customWidth="1"/>
    <col min="89" max="89" width="15.77734375" style="23" customWidth="1"/>
    <col min="90" max="90" width="31.21875" style="23" customWidth="1"/>
    <col min="91" max="91" width="9.5546875" style="23" customWidth="1"/>
    <col min="92" max="92" width="15.77734375" style="23" customWidth="1"/>
    <col min="93" max="93" width="31.21875" style="23" customWidth="1"/>
    <col min="94" max="94" width="9.5546875" style="23" customWidth="1"/>
    <col min="95" max="95" width="15.77734375" style="23" customWidth="1"/>
    <col min="96" max="16384" width="11.44140625" style="23"/>
  </cols>
  <sheetData>
    <row r="1" spans="1:2" ht="21" x14ac:dyDescent="0.4">
      <c r="A1" s="22"/>
    </row>
    <row r="3" spans="1:2" ht="14.4" x14ac:dyDescent="0.3">
      <c r="A3" s="34" t="s">
        <v>253</v>
      </c>
    </row>
    <row r="7" spans="1:2" ht="14.4" x14ac:dyDescent="0.3">
      <c r="A7" s="54" t="s">
        <v>240</v>
      </c>
      <c r="B7" s="55" t="s">
        <v>105</v>
      </c>
    </row>
    <row r="8" spans="1:2" ht="14.4" x14ac:dyDescent="0.3">
      <c r="A8" s="54" t="s">
        <v>249</v>
      </c>
      <c r="B8" s="55" t="s">
        <v>105</v>
      </c>
    </row>
    <row r="9" spans="1:2" ht="14.4" x14ac:dyDescent="0.3">
      <c r="A9" s="54" t="s">
        <v>239</v>
      </c>
      <c r="B9" s="55" t="s">
        <v>105</v>
      </c>
    </row>
    <row r="10" spans="1:2" ht="14.4" x14ac:dyDescent="0.3">
      <c r="A10" s="54" t="s">
        <v>243</v>
      </c>
      <c r="B10" s="55" t="s">
        <v>105</v>
      </c>
    </row>
    <row r="11" spans="1:2" ht="14.4" x14ac:dyDescent="0.3">
      <c r="A11" s="54" t="s">
        <v>278</v>
      </c>
      <c r="B11" s="55" t="s">
        <v>105</v>
      </c>
    </row>
    <row r="12" spans="1:2" ht="14.4" x14ac:dyDescent="0.3">
      <c r="A12" s="54" t="s">
        <v>229</v>
      </c>
      <c r="B12" s="55" t="s">
        <v>105</v>
      </c>
    </row>
    <row r="13" spans="1:2" ht="14.4" x14ac:dyDescent="0.3">
      <c r="A13" s="54" t="s">
        <v>234</v>
      </c>
      <c r="B13" s="55" t="s">
        <v>105</v>
      </c>
    </row>
    <row r="14" spans="1:2" ht="14.4" x14ac:dyDescent="0.3">
      <c r="A14" s="54" t="s">
        <v>221</v>
      </c>
      <c r="B14" s="55" t="s">
        <v>105</v>
      </c>
    </row>
    <row r="15" spans="1:2" ht="14.4" x14ac:dyDescent="0.3">
      <c r="A15" s="54" t="s">
        <v>288</v>
      </c>
      <c r="B15" s="55"/>
    </row>
    <row r="17" spans="1:8" ht="14.4" x14ac:dyDescent="0.3">
      <c r="A17" s="25" t="s">
        <v>226</v>
      </c>
      <c r="B17" s="56" t="s">
        <v>238</v>
      </c>
      <c r="C17" s="57" t="s">
        <v>246</v>
      </c>
      <c r="D17" s="58" t="s">
        <v>291</v>
      </c>
      <c r="E17" s="58" t="s">
        <v>308</v>
      </c>
      <c r="F17" s="58" t="s">
        <v>297</v>
      </c>
      <c r="G17" s="58" t="s">
        <v>279</v>
      </c>
      <c r="H17" s="59" t="s">
        <v>307</v>
      </c>
    </row>
    <row r="18" spans="1:8" ht="14.4" x14ac:dyDescent="0.3">
      <c r="A18" s="26" t="s">
        <v>202</v>
      </c>
      <c r="B18" s="53" t="s">
        <v>303</v>
      </c>
      <c r="C18" s="60">
        <v>558.52</v>
      </c>
      <c r="D18" s="61">
        <v>478.73099999999999</v>
      </c>
      <c r="E18" s="61">
        <v>2154.2894999999999</v>
      </c>
      <c r="F18" s="62">
        <v>-0.14285791019121963</v>
      </c>
      <c r="G18" s="96">
        <v>239.3655</v>
      </c>
      <c r="H18" s="99">
        <v>0.83333228890546052</v>
      </c>
    </row>
    <row r="19" spans="1:8" ht="14.4" x14ac:dyDescent="0.3">
      <c r="A19" s="63"/>
      <c r="B19" s="64"/>
      <c r="C19" s="65"/>
      <c r="D19" s="66"/>
      <c r="E19" s="66"/>
      <c r="F19" s="67"/>
      <c r="G19" s="98"/>
      <c r="H19" s="101"/>
    </row>
    <row r="20" spans="1:8" ht="14.4" x14ac:dyDescent="0.3">
      <c r="A20" s="26" t="s">
        <v>212</v>
      </c>
      <c r="B20" s="53" t="s">
        <v>304</v>
      </c>
      <c r="C20" s="60">
        <v>6239.9939999999997</v>
      </c>
      <c r="D20" s="61">
        <v>6239.9939999999997</v>
      </c>
      <c r="E20" s="61">
        <v>6239.9939999999997</v>
      </c>
      <c r="F20" s="62">
        <v>0</v>
      </c>
      <c r="G20" s="96">
        <v>0</v>
      </c>
      <c r="H20" s="99">
        <v>1</v>
      </c>
    </row>
    <row r="21" spans="1:8" ht="14.4" x14ac:dyDescent="0.3">
      <c r="A21" s="63"/>
      <c r="B21" s="64"/>
      <c r="C21" s="65"/>
      <c r="D21" s="66"/>
      <c r="E21" s="66"/>
      <c r="F21" s="67"/>
      <c r="G21" s="98"/>
      <c r="H21" s="101"/>
    </row>
    <row r="22" spans="1:8" ht="15" thickBot="1" x14ac:dyDescent="0.35">
      <c r="A22" s="27" t="s">
        <v>104</v>
      </c>
      <c r="B22" s="28"/>
      <c r="C22" s="49">
        <v>6798.5139999999992</v>
      </c>
      <c r="D22" s="49">
        <v>6718.7249999999995</v>
      </c>
      <c r="E22" s="49">
        <v>8394.2834999999995</v>
      </c>
      <c r="F22" s="45">
        <v>-1.1736241184470586E-2</v>
      </c>
      <c r="G22" s="97">
        <v>239.3655</v>
      </c>
      <c r="H22" s="100">
        <v>1.8333322889054604</v>
      </c>
    </row>
    <row r="23" spans="1:8" ht="15" thickTop="1" x14ac:dyDescent="0.3">
      <c r="A23"/>
      <c r="B23"/>
      <c r="C23"/>
      <c r="D23"/>
      <c r="E23"/>
    </row>
    <row r="24" spans="1:8" ht="15" thickBot="1" x14ac:dyDescent="0.35">
      <c r="A24"/>
      <c r="B24"/>
      <c r="C24"/>
      <c r="D24"/>
      <c r="E24"/>
    </row>
    <row r="25" spans="1:8" ht="15" thickTop="1" x14ac:dyDescent="0.3">
      <c r="A25"/>
      <c r="B25"/>
      <c r="C25"/>
      <c r="D25"/>
      <c r="E25"/>
    </row>
    <row r="26" spans="1:8" ht="14.4" x14ac:dyDescent="0.3">
      <c r="A26"/>
      <c r="B26"/>
      <c r="C26"/>
      <c r="D26"/>
      <c r="E26"/>
    </row>
    <row r="27" spans="1:8" ht="14.4" x14ac:dyDescent="0.3">
      <c r="A27"/>
      <c r="B27"/>
      <c r="C27"/>
      <c r="D27"/>
      <c r="E27"/>
    </row>
    <row r="28" spans="1:8" ht="14.4" x14ac:dyDescent="0.3">
      <c r="A28"/>
      <c r="B28"/>
      <c r="C28"/>
      <c r="D28"/>
      <c r="E28"/>
    </row>
    <row r="29" spans="1:8" ht="14.4" x14ac:dyDescent="0.3">
      <c r="A29"/>
      <c r="B29"/>
      <c r="C29"/>
      <c r="D29"/>
      <c r="E29"/>
    </row>
    <row r="30" spans="1:8" ht="14.4" x14ac:dyDescent="0.3">
      <c r="A30"/>
      <c r="B30"/>
      <c r="C30"/>
      <c r="D30"/>
      <c r="E30"/>
    </row>
    <row r="31" spans="1:8" ht="14.4" x14ac:dyDescent="0.3">
      <c r="A31"/>
      <c r="B31"/>
      <c r="C31"/>
      <c r="D31"/>
      <c r="E31"/>
    </row>
    <row r="32" spans="1:8" ht="14.4" x14ac:dyDescent="0.3">
      <c r="A32"/>
      <c r="B32"/>
      <c r="C32"/>
      <c r="D32"/>
      <c r="E32"/>
    </row>
    <row r="33" spans="1:5" ht="14.4" x14ac:dyDescent="0.3">
      <c r="A33"/>
      <c r="B33"/>
      <c r="C33"/>
      <c r="D33"/>
      <c r="E33"/>
    </row>
    <row r="34" spans="1:5" ht="14.4" x14ac:dyDescent="0.3">
      <c r="A34"/>
      <c r="B34"/>
      <c r="C34"/>
      <c r="D34"/>
      <c r="E34"/>
    </row>
    <row r="35" spans="1:5" ht="14.4" x14ac:dyDescent="0.3">
      <c r="A35"/>
      <c r="B35"/>
      <c r="C35"/>
      <c r="D35"/>
      <c r="E35"/>
    </row>
    <row r="36" spans="1:5" ht="15" thickBot="1" x14ac:dyDescent="0.35">
      <c r="A36"/>
      <c r="B36"/>
      <c r="C36"/>
      <c r="D36"/>
      <c r="E36"/>
    </row>
    <row r="37" spans="1:5" ht="15" thickTop="1" x14ac:dyDescent="0.3">
      <c r="A37"/>
      <c r="B37"/>
      <c r="C37"/>
      <c r="D37"/>
      <c r="E37"/>
    </row>
    <row r="38" spans="1:5" ht="14.4" x14ac:dyDescent="0.3">
      <c r="A38"/>
      <c r="B38"/>
      <c r="C38"/>
      <c r="D38"/>
      <c r="E38"/>
    </row>
    <row r="39" spans="1:5" ht="14.4" x14ac:dyDescent="0.3">
      <c r="A39"/>
      <c r="B39"/>
      <c r="C39"/>
      <c r="D39"/>
      <c r="E39"/>
    </row>
    <row r="40" spans="1:5" ht="14.4" x14ac:dyDescent="0.3">
      <c r="A40"/>
      <c r="B40"/>
      <c r="C40"/>
      <c r="D40"/>
      <c r="E40"/>
    </row>
    <row r="41" spans="1:5" ht="14.4" x14ac:dyDescent="0.3">
      <c r="A41"/>
      <c r="B41"/>
      <c r="C41"/>
      <c r="D41"/>
      <c r="E41"/>
    </row>
    <row r="42" spans="1:5" ht="14.4" x14ac:dyDescent="0.3">
      <c r="A42"/>
      <c r="B42"/>
      <c r="C42"/>
      <c r="D42"/>
      <c r="E42"/>
    </row>
    <row r="43" spans="1:5" ht="14.4" x14ac:dyDescent="0.3">
      <c r="A43"/>
      <c r="B43"/>
      <c r="C43"/>
      <c r="D43"/>
      <c r="E43"/>
    </row>
    <row r="44" spans="1:5" ht="14.4" x14ac:dyDescent="0.3">
      <c r="A44"/>
      <c r="B44"/>
      <c r="C44"/>
      <c r="D44"/>
      <c r="E44"/>
    </row>
    <row r="45" spans="1:5" ht="14.4" x14ac:dyDescent="0.3">
      <c r="A45"/>
      <c r="B45"/>
      <c r="C45"/>
      <c r="D45"/>
      <c r="E45"/>
    </row>
    <row r="46" spans="1:5" ht="14.4" x14ac:dyDescent="0.3">
      <c r="A46"/>
      <c r="B46"/>
      <c r="C46"/>
      <c r="D46"/>
      <c r="E46"/>
    </row>
    <row r="47" spans="1:5" ht="14.4" x14ac:dyDescent="0.3">
      <c r="A47"/>
      <c r="B47"/>
      <c r="C47"/>
      <c r="D47"/>
      <c r="E47"/>
    </row>
    <row r="48" spans="1:5" ht="14.4" x14ac:dyDescent="0.3">
      <c r="A48"/>
      <c r="B48"/>
      <c r="C48"/>
      <c r="D48"/>
      <c r="E48"/>
    </row>
    <row r="49" spans="1:5" ht="14.4" x14ac:dyDescent="0.3">
      <c r="A49"/>
      <c r="B49"/>
      <c r="C49"/>
      <c r="D49"/>
      <c r="E49"/>
    </row>
    <row r="50" spans="1:5" ht="14.4" x14ac:dyDescent="0.3">
      <c r="A50"/>
      <c r="B50"/>
      <c r="C50"/>
      <c r="D50"/>
      <c r="E50"/>
    </row>
    <row r="51" spans="1:5" ht="14.4" x14ac:dyDescent="0.3">
      <c r="A51"/>
      <c r="B51"/>
      <c r="C51"/>
      <c r="D51"/>
      <c r="E51"/>
    </row>
    <row r="52" spans="1:5" ht="14.4" x14ac:dyDescent="0.3">
      <c r="A52"/>
      <c r="B52"/>
      <c r="C52"/>
      <c r="D52"/>
      <c r="E52"/>
    </row>
    <row r="53" spans="1:5" ht="14.4" x14ac:dyDescent="0.3">
      <c r="A53"/>
      <c r="B53"/>
      <c r="C53"/>
      <c r="D53"/>
      <c r="E53"/>
    </row>
    <row r="54" spans="1:5" ht="15" thickBot="1" x14ac:dyDescent="0.35">
      <c r="A54"/>
      <c r="B54"/>
      <c r="C54"/>
      <c r="D54"/>
      <c r="E54"/>
    </row>
    <row r="55" spans="1:5" ht="15" thickTop="1" x14ac:dyDescent="0.3">
      <c r="A55"/>
      <c r="B55"/>
      <c r="C55"/>
      <c r="D55"/>
      <c r="E55"/>
    </row>
    <row r="56" spans="1:5" ht="14.4" x14ac:dyDescent="0.3">
      <c r="A56"/>
      <c r="B56"/>
      <c r="C56"/>
      <c r="D56"/>
      <c r="E56"/>
    </row>
    <row r="57" spans="1:5" ht="14.4" x14ac:dyDescent="0.3">
      <c r="A57"/>
      <c r="B57"/>
      <c r="C57"/>
      <c r="D57"/>
      <c r="E57"/>
    </row>
    <row r="58" spans="1:5" ht="14.4" x14ac:dyDescent="0.3">
      <c r="A58"/>
      <c r="B58"/>
      <c r="C58"/>
      <c r="D58"/>
      <c r="E58"/>
    </row>
    <row r="59" spans="1:5" ht="14.4" x14ac:dyDescent="0.3">
      <c r="A59"/>
      <c r="B59"/>
      <c r="C59"/>
      <c r="D59"/>
      <c r="E59"/>
    </row>
    <row r="60" spans="1:5" ht="14.4" x14ac:dyDescent="0.3">
      <c r="A60"/>
      <c r="B60"/>
      <c r="C60"/>
      <c r="D60"/>
      <c r="E60"/>
    </row>
    <row r="61" spans="1:5" ht="14.4" x14ac:dyDescent="0.3">
      <c r="A61"/>
      <c r="B61"/>
      <c r="C61"/>
      <c r="D61"/>
      <c r="E61"/>
    </row>
    <row r="62" spans="1:5" ht="15" thickBot="1" x14ac:dyDescent="0.35">
      <c r="A62"/>
      <c r="B62"/>
      <c r="C62"/>
      <c r="D62"/>
      <c r="E62"/>
    </row>
    <row r="63" spans="1:5" ht="15" thickTop="1" x14ac:dyDescent="0.3">
      <c r="A63"/>
      <c r="B63"/>
      <c r="C63"/>
      <c r="D63"/>
      <c r="E63"/>
    </row>
    <row r="64" spans="1:5" ht="14.4" x14ac:dyDescent="0.3">
      <c r="A64"/>
      <c r="B64"/>
      <c r="C64"/>
      <c r="D64"/>
      <c r="E64"/>
    </row>
    <row r="65" spans="1:5" ht="15" thickBot="1" x14ac:dyDescent="0.35">
      <c r="A65"/>
      <c r="B65"/>
      <c r="C65"/>
      <c r="D65"/>
      <c r="E65"/>
    </row>
    <row r="66" spans="1:5" ht="15" thickTop="1" x14ac:dyDescent="0.3">
      <c r="A66"/>
      <c r="B66"/>
      <c r="C66"/>
      <c r="D66"/>
      <c r="E66"/>
    </row>
    <row r="67" spans="1:5" ht="15" thickBot="1" x14ac:dyDescent="0.35">
      <c r="A67"/>
      <c r="B67"/>
      <c r="C67"/>
      <c r="D67"/>
      <c r="E67"/>
    </row>
    <row r="68" spans="1:5" ht="13.8" thickTop="1" x14ac:dyDescent="0.25"/>
  </sheetData>
  <sheetProtection pivotTables="0"/>
  <pageMargins left="0.78740157499999996" right="0.78740157499999996" top="0.984251969" bottom="0.984251969" header="0.5" footer="0.5"/>
  <pageSetup paperSize="9" scale="53" fitToHeight="0" orientation="portrait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1">
    <tabColor rgb="FFC00000"/>
    <pageSetUpPr fitToPage="1"/>
  </sheetPr>
  <dimension ref="A1:D20"/>
  <sheetViews>
    <sheetView showGridLines="0" zoomScale="85" workbookViewId="0">
      <pane xSplit="1" ySplit="17" topLeftCell="B18" activePane="bottomRight" state="frozen"/>
      <selection activeCell="A3" sqref="A3"/>
      <selection pane="topRight" activeCell="A3" sqref="A3"/>
      <selection pane="bottomLeft" activeCell="A3" sqref="A3"/>
      <selection pane="bottomRight" activeCell="B18" sqref="B18"/>
    </sheetView>
  </sheetViews>
  <sheetFormatPr defaultColWidth="11.44140625" defaultRowHeight="13.2" x14ac:dyDescent="0.25"/>
  <cols>
    <col min="1" max="1" width="19.109375" style="23" customWidth="1"/>
    <col min="2" max="2" width="7" style="23" customWidth="1"/>
    <col min="3" max="3" width="11.33203125" style="23" customWidth="1"/>
    <col min="4" max="4" width="13.5546875" style="23" customWidth="1"/>
    <col min="5" max="6" width="11.44140625" style="23" customWidth="1"/>
    <col min="7" max="16" width="7.77734375" style="23" customWidth="1"/>
    <col min="17" max="17" width="10.77734375" style="23" customWidth="1"/>
    <col min="18" max="29" width="15.21875" style="23" customWidth="1"/>
    <col min="30" max="30" width="25" style="23" customWidth="1"/>
    <col min="31" max="31" width="9.77734375" style="23" customWidth="1"/>
    <col min="32" max="32" width="15.77734375" style="23" customWidth="1"/>
    <col min="33" max="33" width="29.77734375" style="23" customWidth="1"/>
    <col min="34" max="34" width="9.77734375" style="23" customWidth="1"/>
    <col min="35" max="35" width="15.77734375" style="23" customWidth="1"/>
    <col min="36" max="36" width="26.77734375" style="23" customWidth="1"/>
    <col min="37" max="37" width="9.77734375" style="23" customWidth="1"/>
    <col min="38" max="38" width="15.77734375" style="23" customWidth="1"/>
    <col min="39" max="39" width="31.21875" style="23" customWidth="1"/>
    <col min="40" max="40" width="9.5546875" style="23" customWidth="1"/>
    <col min="41" max="41" width="15.77734375" style="23" customWidth="1"/>
    <col min="42" max="42" width="26.77734375" style="23" customWidth="1"/>
    <col min="43" max="43" width="9.77734375" style="23" customWidth="1"/>
    <col min="44" max="44" width="15.77734375" style="23" customWidth="1"/>
    <col min="45" max="45" width="31.77734375" style="23" customWidth="1"/>
    <col min="46" max="46" width="9.5546875" style="23" customWidth="1"/>
    <col min="47" max="47" width="15.77734375" style="23" customWidth="1"/>
    <col min="48" max="48" width="26.77734375" style="23" customWidth="1"/>
    <col min="49" max="49" width="9.77734375" style="23" customWidth="1"/>
    <col min="50" max="50" width="15.77734375" style="23" customWidth="1"/>
    <col min="51" max="51" width="30.5546875" style="23" customWidth="1"/>
    <col min="52" max="52" width="9.5546875" style="23" customWidth="1"/>
    <col min="53" max="53" width="15.77734375" style="23" customWidth="1"/>
    <col min="54" max="54" width="25.77734375" style="23" customWidth="1"/>
    <col min="55" max="55" width="9.5546875" style="23" customWidth="1"/>
    <col min="56" max="56" width="15.77734375" style="23" customWidth="1"/>
    <col min="57" max="57" width="26" style="23" customWidth="1"/>
    <col min="58" max="58" width="9.77734375" style="23" customWidth="1"/>
    <col min="59" max="59" width="15.77734375" style="23" customWidth="1"/>
    <col min="60" max="60" width="31.77734375" style="23" customWidth="1"/>
    <col min="61" max="61" width="9.5546875" style="23" customWidth="1"/>
    <col min="62" max="62" width="15.77734375" style="23" customWidth="1"/>
    <col min="63" max="63" width="29.77734375" style="23" customWidth="1"/>
    <col min="64" max="64" width="9.5546875" style="23" customWidth="1"/>
    <col min="65" max="65" width="15.77734375" style="23" customWidth="1"/>
    <col min="66" max="66" width="26.44140625" style="23" customWidth="1"/>
    <col min="67" max="67" width="9.5546875" style="23" customWidth="1"/>
    <col min="68" max="68" width="15.77734375" style="23" customWidth="1"/>
    <col min="69" max="69" width="17.5546875" style="23" customWidth="1"/>
    <col min="70" max="70" width="9.77734375" style="23" customWidth="1"/>
    <col min="71" max="71" width="15.77734375" style="23" customWidth="1"/>
    <col min="72" max="72" width="16.77734375" style="23" customWidth="1"/>
    <col min="73" max="73" width="9.77734375" style="23" customWidth="1"/>
    <col min="74" max="74" width="15.77734375" style="23" customWidth="1"/>
    <col min="75" max="75" width="22.21875" style="23" customWidth="1"/>
    <col min="76" max="76" width="9.5546875" style="23" customWidth="1"/>
    <col min="77" max="77" width="15.77734375" style="23" customWidth="1"/>
    <col min="78" max="78" width="13.21875" style="23" customWidth="1"/>
    <col min="79" max="79" width="9.5546875" style="23" customWidth="1"/>
    <col min="80" max="80" width="15.77734375" style="23" customWidth="1"/>
    <col min="81" max="81" width="25.77734375" style="23" customWidth="1"/>
    <col min="82" max="82" width="9.5546875" style="23" customWidth="1"/>
    <col min="83" max="83" width="15.77734375" style="23" customWidth="1"/>
    <col min="84" max="84" width="26.77734375" style="23" customWidth="1"/>
    <col min="85" max="85" width="9.5546875" style="23" customWidth="1"/>
    <col min="86" max="86" width="15.77734375" style="23" customWidth="1"/>
    <col min="87" max="87" width="16.21875" style="23" customWidth="1"/>
    <col min="88" max="88" width="9.5546875" style="23" customWidth="1"/>
    <col min="89" max="89" width="15.77734375" style="23" customWidth="1"/>
    <col min="90" max="90" width="31.21875" style="23" customWidth="1"/>
    <col min="91" max="91" width="9.5546875" style="23" customWidth="1"/>
    <col min="92" max="92" width="15.77734375" style="23" customWidth="1"/>
    <col min="93" max="93" width="31.21875" style="23" customWidth="1"/>
    <col min="94" max="94" width="9.5546875" style="23" customWidth="1"/>
    <col min="95" max="95" width="15.77734375" style="23" customWidth="1"/>
    <col min="96" max="16384" width="11.44140625" style="23"/>
  </cols>
  <sheetData>
    <row r="1" spans="1:2" ht="20.25" customHeight="1" x14ac:dyDescent="0.25"/>
    <row r="3" spans="1:2" s="34" customFormat="1" ht="15" customHeight="1" x14ac:dyDescent="0.3">
      <c r="A3" s="34" t="s">
        <v>253</v>
      </c>
    </row>
    <row r="7" spans="1:2" ht="14.4" x14ac:dyDescent="0.3">
      <c r="A7" s="69" t="s">
        <v>234</v>
      </c>
      <c r="B7" s="70" t="s">
        <v>105</v>
      </c>
    </row>
    <row r="8" spans="1:2" ht="14.4" x14ac:dyDescent="0.3">
      <c r="A8" s="69" t="s">
        <v>239</v>
      </c>
      <c r="B8" s="70" t="s">
        <v>105</v>
      </c>
    </row>
    <row r="9" spans="1:2" ht="14.4" x14ac:dyDescent="0.3">
      <c r="A9" s="69" t="s">
        <v>221</v>
      </c>
      <c r="B9" s="70" t="s">
        <v>105</v>
      </c>
    </row>
    <row r="10" spans="1:2" ht="14.4" x14ac:dyDescent="0.3">
      <c r="A10" s="69" t="s">
        <v>229</v>
      </c>
      <c r="B10" s="70" t="s">
        <v>105</v>
      </c>
    </row>
    <row r="11" spans="1:2" ht="14.4" x14ac:dyDescent="0.3">
      <c r="A11" s="69" t="s">
        <v>243</v>
      </c>
      <c r="B11" s="70" t="s">
        <v>105</v>
      </c>
    </row>
    <row r="12" spans="1:2" ht="14.4" x14ac:dyDescent="0.3">
      <c r="A12" s="69" t="s">
        <v>226</v>
      </c>
      <c r="B12" s="70" t="s">
        <v>105</v>
      </c>
    </row>
    <row r="13" spans="1:2" ht="14.4" x14ac:dyDescent="0.3">
      <c r="A13" s="69" t="s">
        <v>249</v>
      </c>
      <c r="B13" s="70" t="s">
        <v>105</v>
      </c>
    </row>
    <row r="14" spans="1:2" ht="14.4" x14ac:dyDescent="0.3">
      <c r="A14" s="69" t="s">
        <v>238</v>
      </c>
      <c r="B14" s="70" t="s">
        <v>105</v>
      </c>
    </row>
    <row r="15" spans="1:2" ht="14.4" x14ac:dyDescent="0.3">
      <c r="A15" s="69" t="s">
        <v>288</v>
      </c>
      <c r="B15" s="70"/>
    </row>
    <row r="17" spans="1:4" ht="14.4" x14ac:dyDescent="0.3">
      <c r="A17" s="71" t="s">
        <v>240</v>
      </c>
      <c r="B17" s="72" t="s">
        <v>144</v>
      </c>
      <c r="C17" s="73" t="s">
        <v>251</v>
      </c>
      <c r="D17" s="74" t="s">
        <v>252</v>
      </c>
    </row>
    <row r="18" spans="1:4" ht="14.4" x14ac:dyDescent="0.3">
      <c r="A18" s="75" t="s">
        <v>250</v>
      </c>
      <c r="B18" s="76">
        <v>0</v>
      </c>
      <c r="C18" s="77">
        <v>0</v>
      </c>
      <c r="D18" s="78"/>
    </row>
    <row r="19" spans="1:4" ht="15" thickBot="1" x14ac:dyDescent="0.35">
      <c r="A19" s="79" t="s">
        <v>104</v>
      </c>
      <c r="B19" s="80">
        <v>0</v>
      </c>
      <c r="C19" s="81">
        <v>0</v>
      </c>
      <c r="D19" s="82"/>
    </row>
    <row r="20" spans="1:4" ht="13.8" thickTop="1" x14ac:dyDescent="0.25"/>
  </sheetData>
  <sheetProtection pivotTables="0"/>
  <pageMargins left="0.78740157499999996" right="0.78740157499999996" top="0.984251969" bottom="0.984251969" header="0.5" footer="0.5"/>
  <pageSetup paperSize="9" scale="53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>
    <tabColor rgb="FFC00000"/>
    <pageSetUpPr fitToPage="1"/>
  </sheetPr>
  <dimension ref="A1:E56"/>
  <sheetViews>
    <sheetView showGridLines="0" zoomScale="85" workbookViewId="0">
      <pane xSplit="1" ySplit="17" topLeftCell="B18" activePane="bottomRight" state="frozen"/>
      <selection pane="topRight"/>
      <selection pane="bottomLeft"/>
      <selection pane="bottomRight" activeCell="B18" sqref="B18"/>
    </sheetView>
  </sheetViews>
  <sheetFormatPr defaultColWidth="11.44140625" defaultRowHeight="13.2" x14ac:dyDescent="0.25"/>
  <cols>
    <col min="1" max="1" width="19.21875" style="23" customWidth="1"/>
    <col min="2" max="3" width="8.5546875" style="23" customWidth="1"/>
    <col min="4" max="4" width="11.44140625" style="23" customWidth="1"/>
    <col min="5" max="5" width="11.77734375" style="23" customWidth="1"/>
    <col min="6" max="6" width="11.21875" style="23" customWidth="1"/>
    <col min="7" max="7" width="13.5546875" style="23" customWidth="1"/>
    <col min="8" max="8" width="10.77734375" style="23" customWidth="1"/>
    <col min="9" max="9" width="9.21875" style="23" customWidth="1"/>
    <col min="10" max="16384" width="11.44140625" style="23"/>
  </cols>
  <sheetData>
    <row r="1" spans="1:5" ht="20.25" customHeight="1" x14ac:dyDescent="0.25"/>
    <row r="3" spans="1:5" ht="15" customHeight="1" x14ac:dyDescent="0.3">
      <c r="A3" s="34"/>
    </row>
    <row r="6" spans="1:5" ht="14.4" x14ac:dyDescent="0.3">
      <c r="A6" s="54" t="s">
        <v>249</v>
      </c>
      <c r="B6" s="55" t="s">
        <v>105</v>
      </c>
    </row>
    <row r="7" spans="1:5" ht="14.4" x14ac:dyDescent="0.3">
      <c r="A7" s="54" t="s">
        <v>240</v>
      </c>
      <c r="B7" s="55" t="s">
        <v>105</v>
      </c>
    </row>
    <row r="8" spans="1:5" ht="14.4" x14ac:dyDescent="0.3">
      <c r="A8" s="54" t="s">
        <v>221</v>
      </c>
      <c r="B8" s="55" t="s">
        <v>105</v>
      </c>
    </row>
    <row r="9" spans="1:5" ht="14.4" x14ac:dyDescent="0.3">
      <c r="A9" s="54" t="s">
        <v>234</v>
      </c>
      <c r="B9" s="55" t="s">
        <v>105</v>
      </c>
    </row>
    <row r="10" spans="1:5" ht="14.4" x14ac:dyDescent="0.3">
      <c r="A10" s="54" t="s">
        <v>226</v>
      </c>
      <c r="B10" s="55" t="s">
        <v>105</v>
      </c>
    </row>
    <row r="11" spans="1:5" ht="14.4" x14ac:dyDescent="0.3">
      <c r="A11" s="54" t="s">
        <v>239</v>
      </c>
      <c r="B11" s="55" t="s">
        <v>105</v>
      </c>
    </row>
    <row r="12" spans="1:5" ht="14.4" x14ac:dyDescent="0.3">
      <c r="A12" s="54" t="s">
        <v>229</v>
      </c>
      <c r="B12" s="55" t="s">
        <v>105</v>
      </c>
    </row>
    <row r="13" spans="1:5" ht="14.4" x14ac:dyDescent="0.3">
      <c r="A13" s="54" t="s">
        <v>243</v>
      </c>
      <c r="B13" s="55" t="s">
        <v>105</v>
      </c>
    </row>
    <row r="14" spans="1:5" ht="14.4" x14ac:dyDescent="0.3">
      <c r="A14" s="54" t="s">
        <v>288</v>
      </c>
      <c r="B14" s="55"/>
    </row>
    <row r="16" spans="1:5" ht="14.4" x14ac:dyDescent="0.3">
      <c r="A16" s="29" t="s">
        <v>291</v>
      </c>
      <c r="B16" s="29" t="s">
        <v>1</v>
      </c>
      <c r="C16" s="29"/>
      <c r="D16" s="29"/>
      <c r="E16"/>
    </row>
    <row r="17" spans="1:5" ht="14.4" x14ac:dyDescent="0.3">
      <c r="A17" s="25" t="s">
        <v>238</v>
      </c>
      <c r="B17" s="57" t="s">
        <v>206</v>
      </c>
      <c r="C17" s="58" t="s">
        <v>215</v>
      </c>
      <c r="D17" s="84" t="s">
        <v>104</v>
      </c>
      <c r="E17"/>
    </row>
    <row r="18" spans="1:5" ht="15" thickBot="1" x14ac:dyDescent="0.35">
      <c r="A18" s="53" t="s">
        <v>303</v>
      </c>
      <c r="B18" s="60">
        <v>478.73099999999999</v>
      </c>
      <c r="C18" s="61"/>
      <c r="D18" s="85">
        <v>478.73099999999999</v>
      </c>
      <c r="E18"/>
    </row>
    <row r="19" spans="1:5" ht="14.4" x14ac:dyDescent="0.3">
      <c r="A19" s="24" t="s">
        <v>304</v>
      </c>
      <c r="B19" s="83"/>
      <c r="C19" s="48">
        <v>6239.9939999999997</v>
      </c>
      <c r="D19" s="86">
        <v>6239.9939999999997</v>
      </c>
      <c r="E19"/>
    </row>
    <row r="20" spans="1:5" ht="15" thickBot="1" x14ac:dyDescent="0.35">
      <c r="A20" s="27" t="s">
        <v>104</v>
      </c>
      <c r="B20" s="49">
        <v>478.73099999999999</v>
      </c>
      <c r="C20" s="49">
        <v>6239.9939999999997</v>
      </c>
      <c r="D20" s="50">
        <v>3359.3624999999997</v>
      </c>
      <c r="E20"/>
    </row>
    <row r="21" spans="1:5" ht="15" thickTop="1" x14ac:dyDescent="0.3">
      <c r="A21"/>
      <c r="B21"/>
      <c r="C21"/>
      <c r="D21"/>
      <c r="E21"/>
    </row>
    <row r="22" spans="1:5" ht="14.4" x14ac:dyDescent="0.3">
      <c r="A22"/>
      <c r="B22"/>
      <c r="C22"/>
      <c r="D22"/>
      <c r="E22"/>
    </row>
    <row r="23" spans="1:5" ht="14.4" x14ac:dyDescent="0.3">
      <c r="A23"/>
      <c r="B23"/>
      <c r="C23"/>
      <c r="D23"/>
      <c r="E23"/>
    </row>
    <row r="24" spans="1:5" ht="14.4" x14ac:dyDescent="0.3">
      <c r="A24"/>
      <c r="B24"/>
      <c r="C24"/>
      <c r="D24"/>
      <c r="E24"/>
    </row>
    <row r="25" spans="1:5" ht="14.4" x14ac:dyDescent="0.3">
      <c r="A25"/>
      <c r="B25"/>
      <c r="C25"/>
      <c r="D25"/>
      <c r="E25"/>
    </row>
    <row r="26" spans="1:5" ht="14.4" x14ac:dyDescent="0.3">
      <c r="A26"/>
      <c r="B26"/>
      <c r="C26"/>
      <c r="D26"/>
      <c r="E26"/>
    </row>
    <row r="27" spans="1:5" ht="14.4" x14ac:dyDescent="0.3">
      <c r="A27"/>
      <c r="B27"/>
      <c r="C27"/>
      <c r="D27"/>
      <c r="E27"/>
    </row>
    <row r="28" spans="1:5" ht="14.4" x14ac:dyDescent="0.3">
      <c r="A28"/>
      <c r="B28"/>
      <c r="C28"/>
      <c r="D28"/>
      <c r="E28"/>
    </row>
    <row r="29" spans="1:5" ht="14.4" x14ac:dyDescent="0.3">
      <c r="A29"/>
      <c r="B29"/>
      <c r="C29"/>
      <c r="D29"/>
      <c r="E29"/>
    </row>
    <row r="30" spans="1:5" ht="15" thickBot="1" x14ac:dyDescent="0.35">
      <c r="A30"/>
      <c r="B30"/>
      <c r="C30"/>
      <c r="D30"/>
      <c r="E30"/>
    </row>
    <row r="31" spans="1:5" ht="15" thickTop="1" x14ac:dyDescent="0.3">
      <c r="A31"/>
      <c r="B31"/>
      <c r="C31"/>
      <c r="D31"/>
      <c r="E31"/>
    </row>
    <row r="32" spans="1:5" ht="14.4" x14ac:dyDescent="0.3">
      <c r="A32"/>
      <c r="B32"/>
      <c r="C32"/>
      <c r="D32"/>
      <c r="E32"/>
    </row>
    <row r="33" spans="1:5" ht="14.4" x14ac:dyDescent="0.3">
      <c r="A33"/>
      <c r="B33"/>
      <c r="C33"/>
      <c r="D33"/>
      <c r="E33"/>
    </row>
    <row r="34" spans="1:5" ht="14.4" x14ac:dyDescent="0.3">
      <c r="A34"/>
      <c r="B34"/>
      <c r="C34"/>
      <c r="D34"/>
      <c r="E34"/>
    </row>
    <row r="35" spans="1:5" ht="14.4" x14ac:dyDescent="0.3">
      <c r="A35"/>
      <c r="B35"/>
      <c r="C35"/>
      <c r="D35"/>
      <c r="E35"/>
    </row>
    <row r="36" spans="1:5" ht="14.4" x14ac:dyDescent="0.3">
      <c r="A36"/>
      <c r="B36"/>
      <c r="C36"/>
      <c r="D36"/>
      <c r="E36"/>
    </row>
    <row r="37" spans="1:5" ht="14.4" x14ac:dyDescent="0.3">
      <c r="A37"/>
      <c r="B37"/>
      <c r="C37"/>
      <c r="D37"/>
      <c r="E37"/>
    </row>
    <row r="38" spans="1:5" ht="14.4" x14ac:dyDescent="0.3">
      <c r="A38"/>
      <c r="B38"/>
      <c r="C38"/>
      <c r="D38"/>
      <c r="E38"/>
    </row>
    <row r="39" spans="1:5" ht="14.4" x14ac:dyDescent="0.3">
      <c r="A39"/>
      <c r="B39"/>
      <c r="C39"/>
      <c r="D39"/>
      <c r="E39"/>
    </row>
    <row r="40" spans="1:5" ht="14.4" x14ac:dyDescent="0.3">
      <c r="A40"/>
      <c r="B40"/>
      <c r="C40"/>
      <c r="D40"/>
      <c r="E40"/>
    </row>
    <row r="41" spans="1:5" ht="14.4" x14ac:dyDescent="0.3">
      <c r="A41"/>
      <c r="B41"/>
      <c r="C41"/>
      <c r="D41"/>
      <c r="E41"/>
    </row>
    <row r="42" spans="1:5" ht="14.4" x14ac:dyDescent="0.3">
      <c r="A42"/>
      <c r="B42"/>
      <c r="C42"/>
      <c r="D42"/>
      <c r="E42"/>
    </row>
    <row r="43" spans="1:5" ht="14.4" x14ac:dyDescent="0.3">
      <c r="A43"/>
      <c r="B43"/>
      <c r="C43"/>
      <c r="D43"/>
      <c r="E43"/>
    </row>
    <row r="44" spans="1:5" ht="14.4" x14ac:dyDescent="0.3">
      <c r="A44"/>
      <c r="B44"/>
      <c r="C44"/>
      <c r="D44"/>
      <c r="E44"/>
    </row>
    <row r="45" spans="1:5" ht="14.4" x14ac:dyDescent="0.3">
      <c r="A45"/>
      <c r="B45"/>
      <c r="C45"/>
      <c r="D45"/>
      <c r="E45"/>
    </row>
    <row r="46" spans="1:5" ht="14.4" x14ac:dyDescent="0.3">
      <c r="A46"/>
      <c r="B46"/>
      <c r="C46"/>
      <c r="D46"/>
      <c r="E46"/>
    </row>
    <row r="47" spans="1:5" ht="14.4" x14ac:dyDescent="0.3">
      <c r="A47"/>
      <c r="B47"/>
      <c r="C47"/>
      <c r="D47"/>
      <c r="E47"/>
    </row>
    <row r="48" spans="1:5" ht="14.4" x14ac:dyDescent="0.3">
      <c r="A48"/>
      <c r="B48"/>
      <c r="C48"/>
      <c r="D48"/>
      <c r="E48"/>
    </row>
    <row r="49" spans="1:5" ht="14.4" x14ac:dyDescent="0.3">
      <c r="A49"/>
      <c r="B49"/>
      <c r="C49"/>
      <c r="D49"/>
      <c r="E49"/>
    </row>
    <row r="50" spans="1:5" ht="14.4" x14ac:dyDescent="0.3">
      <c r="A50"/>
      <c r="B50"/>
      <c r="C50"/>
      <c r="D50"/>
      <c r="E50"/>
    </row>
    <row r="51" spans="1:5" ht="14.4" x14ac:dyDescent="0.3">
      <c r="A51"/>
      <c r="B51"/>
      <c r="C51"/>
      <c r="D51"/>
      <c r="E51"/>
    </row>
    <row r="52" spans="1:5" ht="14.4" x14ac:dyDescent="0.3">
      <c r="A52"/>
      <c r="B52"/>
      <c r="C52"/>
      <c r="D52"/>
      <c r="E52"/>
    </row>
    <row r="53" spans="1:5" ht="14.4" x14ac:dyDescent="0.3">
      <c r="A53"/>
      <c r="B53"/>
      <c r="C53"/>
      <c r="D53"/>
      <c r="E53"/>
    </row>
    <row r="54" spans="1:5" ht="14.4" x14ac:dyDescent="0.3">
      <c r="A54"/>
      <c r="B54"/>
      <c r="C54"/>
      <c r="D54"/>
      <c r="E54"/>
    </row>
    <row r="55" spans="1:5" ht="15" thickBot="1" x14ac:dyDescent="0.35">
      <c r="A55"/>
      <c r="B55"/>
      <c r="C55"/>
      <c r="D55"/>
      <c r="E55"/>
    </row>
    <row r="56" spans="1:5" ht="13.8" thickTop="1" x14ac:dyDescent="0.25"/>
  </sheetData>
  <pageMargins left="0.78740157499999996" right="0.78740157499999996" top="0.984251969" bottom="0.984251969" header="0.5" footer="0.5"/>
  <pageSetup paperSize="9" scale="82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1">
    <tabColor rgb="FFC00000"/>
    <pageSetUpPr fitToPage="1"/>
  </sheetPr>
  <dimension ref="A1:E55"/>
  <sheetViews>
    <sheetView showGridLines="0" zoomScale="85" workbookViewId="0">
      <pane xSplit="1" ySplit="16" topLeftCell="B17" activePane="bottomRight" state="frozen"/>
      <selection pane="topRight"/>
      <selection pane="bottomLeft"/>
      <selection pane="bottomRight" activeCell="B17" sqref="B17"/>
    </sheetView>
  </sheetViews>
  <sheetFormatPr defaultColWidth="11.44140625" defaultRowHeight="13.2" x14ac:dyDescent="0.25"/>
  <cols>
    <col min="1" max="1" width="19.21875" style="23" customWidth="1"/>
    <col min="2" max="2" width="12.109375" style="23" customWidth="1"/>
    <col min="3" max="3" width="11.88671875" style="23" customWidth="1"/>
    <col min="4" max="4" width="16.6640625" style="23" customWidth="1"/>
    <col min="5" max="5" width="16.77734375" style="23" customWidth="1"/>
    <col min="6" max="6" width="16.5546875" style="23" customWidth="1"/>
    <col min="7" max="7" width="13.77734375" style="23" customWidth="1"/>
    <col min="8" max="8" width="9.5546875" style="23" customWidth="1"/>
    <col min="9" max="9" width="16.5546875" style="23" customWidth="1"/>
    <col min="10" max="10" width="17.77734375" style="23" bestFit="1" customWidth="1"/>
    <col min="11" max="11" width="19.5546875" style="23" bestFit="1" customWidth="1"/>
    <col min="12" max="12" width="15.21875" style="23" bestFit="1" customWidth="1"/>
    <col min="13" max="13" width="22.44140625" style="23" bestFit="1" customWidth="1"/>
    <col min="14" max="16384" width="11.44140625" style="23"/>
  </cols>
  <sheetData>
    <row r="1" spans="1:5" ht="20.25" customHeight="1" x14ac:dyDescent="0.25"/>
    <row r="3" spans="1:5" ht="15" customHeight="1" x14ac:dyDescent="0.3">
      <c r="A3" s="34"/>
    </row>
    <row r="6" spans="1:5" ht="14.4" x14ac:dyDescent="0.3">
      <c r="A6"/>
      <c r="B6"/>
    </row>
    <row r="7" spans="1:5" ht="14.4" x14ac:dyDescent="0.3">
      <c r="A7" s="54" t="s">
        <v>249</v>
      </c>
      <c r="B7" s="55" t="s">
        <v>105</v>
      </c>
    </row>
    <row r="8" spans="1:5" ht="14.4" x14ac:dyDescent="0.3">
      <c r="A8" s="54" t="s">
        <v>240</v>
      </c>
      <c r="B8" s="55" t="s">
        <v>105</v>
      </c>
    </row>
    <row r="9" spans="1:5" ht="14.4" x14ac:dyDescent="0.3">
      <c r="A9" s="54" t="s">
        <v>221</v>
      </c>
      <c r="B9" s="55" t="s">
        <v>105</v>
      </c>
    </row>
    <row r="10" spans="1:5" ht="14.4" x14ac:dyDescent="0.3">
      <c r="A10" s="54" t="s">
        <v>234</v>
      </c>
      <c r="B10" s="55" t="s">
        <v>105</v>
      </c>
    </row>
    <row r="11" spans="1:5" ht="14.4" x14ac:dyDescent="0.3">
      <c r="A11" s="54" t="s">
        <v>226</v>
      </c>
      <c r="B11" s="55" t="s">
        <v>105</v>
      </c>
    </row>
    <row r="12" spans="1:5" ht="14.4" x14ac:dyDescent="0.3">
      <c r="A12" s="54" t="s">
        <v>229</v>
      </c>
      <c r="B12" s="55" t="s">
        <v>105</v>
      </c>
    </row>
    <row r="13" spans="1:5" ht="14.4" x14ac:dyDescent="0.3">
      <c r="A13" s="54" t="s">
        <v>243</v>
      </c>
      <c r="B13" s="55" t="s">
        <v>105</v>
      </c>
    </row>
    <row r="14" spans="1:5" ht="14.4" x14ac:dyDescent="0.3">
      <c r="A14" s="54" t="s">
        <v>239</v>
      </c>
      <c r="B14" s="55" t="s">
        <v>105</v>
      </c>
    </row>
    <row r="16" spans="1:5" ht="14.4" x14ac:dyDescent="0.3">
      <c r="A16" s="25" t="s">
        <v>238</v>
      </c>
      <c r="B16" s="57" t="s">
        <v>254</v>
      </c>
      <c r="C16" s="58" t="s">
        <v>287</v>
      </c>
      <c r="D16" s="59" t="s">
        <v>301</v>
      </c>
      <c r="E16"/>
    </row>
    <row r="17" spans="1:5" ht="14.4" x14ac:dyDescent="0.3">
      <c r="A17" s="53" t="s">
        <v>303</v>
      </c>
      <c r="B17" s="87">
        <v>6.4</v>
      </c>
      <c r="C17" s="68">
        <v>6.4</v>
      </c>
      <c r="D17" s="88">
        <v>74.801718749999992</v>
      </c>
      <c r="E17"/>
    </row>
    <row r="18" spans="1:5" ht="14.4" x14ac:dyDescent="0.3">
      <c r="A18" s="24" t="s">
        <v>304</v>
      </c>
      <c r="B18" s="89">
        <v>4</v>
      </c>
      <c r="C18" s="41">
        <v>6.2</v>
      </c>
      <c r="D18" s="90">
        <v>2012.9012903225805</v>
      </c>
      <c r="E18"/>
    </row>
    <row r="19" spans="1:5" ht="15" thickBot="1" x14ac:dyDescent="0.35">
      <c r="A19" s="27" t="s">
        <v>104</v>
      </c>
      <c r="B19" s="30">
        <v>10.4</v>
      </c>
      <c r="C19" s="30">
        <v>12.600000000000001</v>
      </c>
      <c r="D19" s="31">
        <v>1028.4697619047618</v>
      </c>
      <c r="E19"/>
    </row>
    <row r="20" spans="1:5" ht="15" thickTop="1" x14ac:dyDescent="0.3">
      <c r="A20"/>
      <c r="B20"/>
      <c r="C20"/>
      <c r="D20"/>
      <c r="E20"/>
    </row>
    <row r="21" spans="1:5" ht="14.4" x14ac:dyDescent="0.3">
      <c r="A21"/>
      <c r="B21"/>
      <c r="C21"/>
      <c r="D21"/>
      <c r="E21"/>
    </row>
    <row r="22" spans="1:5" ht="14.4" x14ac:dyDescent="0.3">
      <c r="A22"/>
      <c r="B22"/>
      <c r="C22"/>
      <c r="D22"/>
      <c r="E22"/>
    </row>
    <row r="23" spans="1:5" ht="14.4" x14ac:dyDescent="0.3">
      <c r="A23"/>
      <c r="B23"/>
      <c r="C23"/>
      <c r="D23"/>
      <c r="E23"/>
    </row>
    <row r="24" spans="1:5" ht="14.4" x14ac:dyDescent="0.3">
      <c r="A24"/>
      <c r="B24"/>
      <c r="C24"/>
      <c r="D24"/>
      <c r="E24"/>
    </row>
    <row r="25" spans="1:5" ht="14.4" x14ac:dyDescent="0.3">
      <c r="A25"/>
      <c r="B25"/>
      <c r="C25"/>
      <c r="D25"/>
      <c r="E25"/>
    </row>
    <row r="26" spans="1:5" ht="14.4" x14ac:dyDescent="0.3">
      <c r="A26"/>
      <c r="B26"/>
      <c r="C26"/>
      <c r="D26"/>
      <c r="E26"/>
    </row>
    <row r="27" spans="1:5" ht="14.4" x14ac:dyDescent="0.3">
      <c r="A27"/>
      <c r="B27"/>
      <c r="C27"/>
      <c r="D27"/>
      <c r="E27"/>
    </row>
    <row r="28" spans="1:5" ht="14.4" x14ac:dyDescent="0.3">
      <c r="A28"/>
      <c r="B28"/>
      <c r="C28"/>
      <c r="D28"/>
      <c r="E28"/>
    </row>
    <row r="29" spans="1:5" ht="14.4" x14ac:dyDescent="0.3">
      <c r="A29"/>
      <c r="B29"/>
      <c r="C29"/>
      <c r="D29"/>
      <c r="E29"/>
    </row>
    <row r="30" spans="1:5" ht="14.4" x14ac:dyDescent="0.3">
      <c r="A30"/>
      <c r="B30"/>
      <c r="C30"/>
      <c r="D30"/>
      <c r="E30"/>
    </row>
    <row r="31" spans="1:5" ht="14.4" x14ac:dyDescent="0.3">
      <c r="A31"/>
      <c r="B31"/>
      <c r="C31"/>
      <c r="D31"/>
      <c r="E31"/>
    </row>
    <row r="32" spans="1:5" ht="14.4" x14ac:dyDescent="0.3">
      <c r="A32"/>
      <c r="B32"/>
      <c r="C32"/>
      <c r="D32"/>
      <c r="E32"/>
    </row>
    <row r="33" spans="1:5" ht="14.4" x14ac:dyDescent="0.3">
      <c r="A33"/>
      <c r="B33"/>
      <c r="C33"/>
      <c r="D33"/>
      <c r="E33"/>
    </row>
    <row r="34" spans="1:5" ht="14.4" x14ac:dyDescent="0.3">
      <c r="A34"/>
      <c r="B34"/>
      <c r="C34"/>
      <c r="D34"/>
      <c r="E34"/>
    </row>
    <row r="35" spans="1:5" ht="14.4" x14ac:dyDescent="0.3">
      <c r="A35"/>
      <c r="B35"/>
      <c r="C35"/>
      <c r="D35"/>
      <c r="E35"/>
    </row>
    <row r="36" spans="1:5" ht="14.4" x14ac:dyDescent="0.3">
      <c r="A36"/>
      <c r="B36"/>
      <c r="C36"/>
      <c r="D36"/>
      <c r="E36"/>
    </row>
    <row r="37" spans="1:5" ht="14.4" x14ac:dyDescent="0.3">
      <c r="A37"/>
      <c r="B37"/>
      <c r="C37"/>
      <c r="D37"/>
      <c r="E37"/>
    </row>
    <row r="38" spans="1:5" ht="14.4" x14ac:dyDescent="0.3">
      <c r="A38"/>
      <c r="B38"/>
      <c r="C38"/>
      <c r="D38"/>
      <c r="E38"/>
    </row>
    <row r="39" spans="1:5" ht="14.4" x14ac:dyDescent="0.3">
      <c r="A39"/>
      <c r="B39"/>
      <c r="C39"/>
      <c r="D39"/>
      <c r="E39"/>
    </row>
    <row r="40" spans="1:5" ht="14.4" x14ac:dyDescent="0.3">
      <c r="A40"/>
      <c r="B40"/>
      <c r="C40"/>
      <c r="D40"/>
      <c r="E40"/>
    </row>
    <row r="41" spans="1:5" ht="14.4" x14ac:dyDescent="0.3">
      <c r="A41"/>
      <c r="B41"/>
      <c r="C41"/>
      <c r="D41"/>
      <c r="E41"/>
    </row>
    <row r="42" spans="1:5" ht="14.4" x14ac:dyDescent="0.3">
      <c r="A42"/>
      <c r="B42"/>
      <c r="C42"/>
      <c r="D42"/>
      <c r="E42"/>
    </row>
    <row r="43" spans="1:5" ht="14.4" x14ac:dyDescent="0.3">
      <c r="A43"/>
      <c r="B43"/>
      <c r="C43"/>
      <c r="D43"/>
      <c r="E43"/>
    </row>
    <row r="44" spans="1:5" ht="14.4" x14ac:dyDescent="0.3">
      <c r="A44"/>
      <c r="B44"/>
      <c r="C44"/>
      <c r="D44"/>
      <c r="E44"/>
    </row>
    <row r="45" spans="1:5" ht="14.4" x14ac:dyDescent="0.3">
      <c r="A45"/>
      <c r="B45"/>
      <c r="C45"/>
      <c r="D45"/>
      <c r="E45"/>
    </row>
    <row r="46" spans="1:5" ht="14.4" x14ac:dyDescent="0.3">
      <c r="A46"/>
      <c r="B46"/>
      <c r="C46"/>
      <c r="D46"/>
      <c r="E46"/>
    </row>
    <row r="47" spans="1:5" ht="14.4" x14ac:dyDescent="0.3">
      <c r="A47"/>
      <c r="B47"/>
      <c r="C47"/>
      <c r="D47"/>
      <c r="E47"/>
    </row>
    <row r="48" spans="1:5" ht="14.4" x14ac:dyDescent="0.3">
      <c r="A48"/>
      <c r="B48"/>
      <c r="C48"/>
      <c r="D48"/>
      <c r="E48"/>
    </row>
    <row r="49" spans="1:5" ht="14.4" x14ac:dyDescent="0.3">
      <c r="A49"/>
      <c r="B49"/>
      <c r="C49"/>
      <c r="D49"/>
      <c r="E49"/>
    </row>
    <row r="50" spans="1:5" ht="14.4" x14ac:dyDescent="0.3">
      <c r="A50"/>
      <c r="B50"/>
      <c r="C50"/>
      <c r="D50"/>
      <c r="E50"/>
    </row>
    <row r="51" spans="1:5" ht="14.4" x14ac:dyDescent="0.3">
      <c r="A51"/>
      <c r="B51"/>
      <c r="C51"/>
      <c r="D51"/>
      <c r="E51"/>
    </row>
    <row r="52" spans="1:5" ht="14.4" x14ac:dyDescent="0.3">
      <c r="A52"/>
      <c r="B52"/>
      <c r="C52"/>
      <c r="D52"/>
      <c r="E52"/>
    </row>
    <row r="53" spans="1:5" ht="14.4" x14ac:dyDescent="0.3">
      <c r="A53"/>
      <c r="B53"/>
      <c r="C53"/>
      <c r="D53"/>
      <c r="E53"/>
    </row>
    <row r="54" spans="1:5" ht="15" thickBot="1" x14ac:dyDescent="0.35">
      <c r="A54"/>
      <c r="B54"/>
      <c r="C54"/>
      <c r="D54"/>
      <c r="E54"/>
    </row>
    <row r="55" spans="1:5" ht="13.8" thickTop="1" x14ac:dyDescent="0.25"/>
  </sheetData>
  <pageMargins left="0.78740157499999996" right="0.78740157499999996" top="0.984251969" bottom="0.984251969" header="0.5" footer="0.5"/>
  <pageSetup paperSize="9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1">
    <tabColor rgb="FFC00000"/>
    <pageSetUpPr fitToPage="1"/>
  </sheetPr>
  <dimension ref="A1:I29"/>
  <sheetViews>
    <sheetView showGridLines="0" zoomScale="85" workbookViewId="0">
      <pane xSplit="2" ySplit="16" topLeftCell="C17" activePane="bottomRight" state="frozen"/>
      <selection pane="topRight"/>
      <selection pane="bottomLeft"/>
      <selection pane="bottomRight" activeCell="C17" sqref="C17"/>
    </sheetView>
  </sheetViews>
  <sheetFormatPr defaultColWidth="11.44140625" defaultRowHeight="14.4" x14ac:dyDescent="0.3"/>
  <cols>
    <col min="1" max="1" width="14.88671875" style="34" customWidth="1"/>
    <col min="2" max="2" width="11" style="34" customWidth="1"/>
    <col min="3" max="3" width="11.33203125" style="34" customWidth="1"/>
    <col min="4" max="4" width="11.77734375" style="34" customWidth="1"/>
    <col min="5" max="5" width="10.5546875" style="34" customWidth="1"/>
    <col min="6" max="6" width="11.44140625" style="34" customWidth="1"/>
    <col min="7" max="7" width="14.109375" style="34" customWidth="1"/>
    <col min="8" max="8" width="13.5546875" style="34" customWidth="1"/>
    <col min="9" max="9" width="7.77734375" style="34" customWidth="1"/>
    <col min="10" max="10" width="14.77734375" style="34" customWidth="1"/>
    <col min="11" max="16384" width="11.44140625" style="34"/>
  </cols>
  <sheetData>
    <row r="1" spans="1:9" ht="20.25" customHeight="1" x14ac:dyDescent="0.3"/>
    <row r="2" spans="1:9" ht="12" customHeight="1" x14ac:dyDescent="0.3"/>
    <row r="5" spans="1:9" x14ac:dyDescent="0.3">
      <c r="A5"/>
      <c r="B5"/>
    </row>
    <row r="6" spans="1:9" x14ac:dyDescent="0.3">
      <c r="A6" s="69" t="s">
        <v>257</v>
      </c>
      <c r="B6" s="70" t="s">
        <v>105</v>
      </c>
    </row>
    <row r="7" spans="1:9" x14ac:dyDescent="0.3">
      <c r="A7" s="69" t="s">
        <v>240</v>
      </c>
      <c r="B7" s="70" t="s">
        <v>105</v>
      </c>
    </row>
    <row r="8" spans="1:9" x14ac:dyDescent="0.3">
      <c r="A8" s="69" t="s">
        <v>243</v>
      </c>
      <c r="B8" s="70" t="s">
        <v>105</v>
      </c>
    </row>
    <row r="9" spans="1:9" x14ac:dyDescent="0.3">
      <c r="A9" s="69" t="s">
        <v>226</v>
      </c>
      <c r="B9" s="70" t="s">
        <v>105</v>
      </c>
    </row>
    <row r="10" spans="1:9" x14ac:dyDescent="0.3">
      <c r="A10" s="69" t="s">
        <v>229</v>
      </c>
      <c r="B10" s="70" t="s">
        <v>105</v>
      </c>
    </row>
    <row r="11" spans="1:9" x14ac:dyDescent="0.3">
      <c r="A11" s="69" t="s">
        <v>239</v>
      </c>
      <c r="B11" s="70" t="s">
        <v>105</v>
      </c>
    </row>
    <row r="12" spans="1:9" x14ac:dyDescent="0.3">
      <c r="A12" s="69" t="s">
        <v>238</v>
      </c>
      <c r="B12" s="70" t="s">
        <v>105</v>
      </c>
    </row>
    <row r="13" spans="1:9" x14ac:dyDescent="0.3">
      <c r="A13" s="69" t="s">
        <v>221</v>
      </c>
      <c r="B13" s="70" t="s">
        <v>105</v>
      </c>
    </row>
    <row r="14" spans="1:9" x14ac:dyDescent="0.3">
      <c r="A14" s="69" t="s">
        <v>300</v>
      </c>
      <c r="B14" s="70" t="s">
        <v>105</v>
      </c>
    </row>
    <row r="16" spans="1:9" x14ac:dyDescent="0.3">
      <c r="A16" s="71" t="s">
        <v>249</v>
      </c>
      <c r="B16" s="72" t="s">
        <v>246</v>
      </c>
      <c r="C16" s="73" t="s">
        <v>292</v>
      </c>
      <c r="D16" s="73" t="s">
        <v>293</v>
      </c>
      <c r="E16" s="73" t="s">
        <v>294</v>
      </c>
      <c r="F16" s="73" t="s">
        <v>298</v>
      </c>
      <c r="G16" s="73" t="s">
        <v>295</v>
      </c>
      <c r="H16" s="74" t="s">
        <v>296</v>
      </c>
      <c r="I16"/>
    </row>
    <row r="17" spans="1:9" x14ac:dyDescent="0.3">
      <c r="A17" s="75" t="s">
        <v>250</v>
      </c>
      <c r="B17" s="76">
        <v>4346.1693333333324</v>
      </c>
      <c r="C17" s="91">
        <v>4319.5729999999994</v>
      </c>
      <c r="D17" s="77">
        <v>0</v>
      </c>
      <c r="E17" s="77">
        <v>2</v>
      </c>
      <c r="F17" s="92"/>
      <c r="G17" s="91">
        <v>-2</v>
      </c>
      <c r="H17" s="93">
        <v>0</v>
      </c>
      <c r="I17"/>
    </row>
    <row r="18" spans="1:9" ht="15" thickBot="1" x14ac:dyDescent="0.35">
      <c r="A18" s="79" t="s">
        <v>104</v>
      </c>
      <c r="B18" s="80">
        <v>4346.1693333333324</v>
      </c>
      <c r="C18" s="80">
        <v>4319.5729999999994</v>
      </c>
      <c r="D18" s="81">
        <v>0</v>
      </c>
      <c r="E18" s="81">
        <v>2</v>
      </c>
      <c r="F18" s="94"/>
      <c r="G18" s="80">
        <v>-2</v>
      </c>
      <c r="H18" s="95">
        <v>0</v>
      </c>
      <c r="I18"/>
    </row>
    <row r="19" spans="1:9" ht="15" thickTop="1" x14ac:dyDescent="0.3">
      <c r="A19"/>
      <c r="B19"/>
      <c r="C19"/>
      <c r="D19"/>
      <c r="E19"/>
      <c r="F19"/>
      <c r="G19"/>
    </row>
    <row r="20" spans="1:9" x14ac:dyDescent="0.3">
      <c r="A20"/>
      <c r="B20"/>
      <c r="C20"/>
      <c r="D20"/>
      <c r="E20"/>
      <c r="F20"/>
      <c r="G20"/>
    </row>
    <row r="21" spans="1:9" x14ac:dyDescent="0.3">
      <c r="A21"/>
      <c r="B21"/>
      <c r="C21"/>
      <c r="D21"/>
      <c r="E21"/>
      <c r="F21"/>
      <c r="G21"/>
    </row>
    <row r="22" spans="1:9" x14ac:dyDescent="0.3">
      <c r="A22"/>
      <c r="B22"/>
      <c r="C22"/>
      <c r="D22"/>
      <c r="E22"/>
      <c r="F22"/>
      <c r="G22"/>
    </row>
    <row r="23" spans="1:9" x14ac:dyDescent="0.3">
      <c r="A23"/>
      <c r="B23"/>
      <c r="C23"/>
      <c r="D23"/>
      <c r="E23"/>
      <c r="F23"/>
      <c r="G23"/>
    </row>
    <row r="24" spans="1:9" x14ac:dyDescent="0.3">
      <c r="A24"/>
      <c r="B24"/>
      <c r="C24"/>
      <c r="D24"/>
      <c r="E24"/>
      <c r="F24"/>
      <c r="G24"/>
    </row>
    <row r="25" spans="1:9" x14ac:dyDescent="0.3">
      <c r="A25"/>
      <c r="B25"/>
      <c r="C25"/>
      <c r="D25"/>
      <c r="E25"/>
      <c r="F25"/>
      <c r="G25"/>
    </row>
    <row r="26" spans="1:9" x14ac:dyDescent="0.3">
      <c r="A26"/>
      <c r="B26"/>
      <c r="C26"/>
      <c r="D26"/>
      <c r="E26"/>
      <c r="F26"/>
      <c r="G26"/>
    </row>
    <row r="27" spans="1:9" x14ac:dyDescent="0.3">
      <c r="A27"/>
      <c r="B27"/>
      <c r="C27"/>
      <c r="D27"/>
      <c r="E27"/>
      <c r="F27"/>
      <c r="G27"/>
    </row>
    <row r="28" spans="1:9" x14ac:dyDescent="0.3">
      <c r="A28"/>
      <c r="B28"/>
      <c r="C28"/>
      <c r="D28"/>
      <c r="E28"/>
      <c r="F28"/>
      <c r="G28"/>
    </row>
    <row r="29" spans="1:9" x14ac:dyDescent="0.3">
      <c r="A29"/>
      <c r="B29"/>
      <c r="C29"/>
      <c r="D29"/>
      <c r="E29"/>
      <c r="F29"/>
      <c r="G29"/>
    </row>
  </sheetData>
  <pageMargins left="0.78740157499999996" right="0.78740157499999996" top="0.984251969" bottom="0.984251969" header="0.5" footer="0.5"/>
  <pageSetup paperSize="9" scale="82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19</vt:i4>
      </vt:variant>
    </vt:vector>
  </HeadingPairs>
  <TitlesOfParts>
    <vt:vector size="31" baseType="lpstr">
      <vt:lpstr>Database</vt:lpstr>
      <vt:lpstr>Descriptions</vt:lpstr>
      <vt:lpstr>PvtTableDef</vt:lpstr>
      <vt:lpstr>LocalLists</vt:lpstr>
      <vt:lpstr>ReportOptions</vt:lpstr>
      <vt:lpstr>Version</vt:lpstr>
      <vt:lpstr>Rapport info</vt:lpstr>
      <vt:lpstr>Totalt Kva</vt:lpstr>
      <vt:lpstr>Lot Størrelse</vt:lpstr>
      <vt:lpstr>Tot Kva Mtyp</vt:lpstr>
      <vt:lpstr>Timer</vt:lpstr>
      <vt:lpstr>Forbrukt dager</vt:lpstr>
      <vt:lpstr>Currency</vt:lpstr>
      <vt:lpstr>CustomerHierarchy</vt:lpstr>
      <vt:lpstr>FirstSheet</vt:lpstr>
      <vt:lpstr>FirstTable</vt:lpstr>
      <vt:lpstr>MaterialPrice</vt:lpstr>
      <vt:lpstr>'Forbrukt dager'!Print_Titles</vt:lpstr>
      <vt:lpstr>'Lot Størrelse'!Print_Titles</vt:lpstr>
      <vt:lpstr>Timer!Print_Titles</vt:lpstr>
      <vt:lpstr>'Tot Kva Mtyp'!Print_Titles</vt:lpstr>
      <vt:lpstr>'Totalt Kva'!Print_Titles</vt:lpstr>
      <vt:lpstr>ProductHierarchy</vt:lpstr>
      <vt:lpstr>QuantityUnit</vt:lpstr>
      <vt:lpstr>RecNum</vt:lpstr>
      <vt:lpstr>ReportCaption</vt:lpstr>
      <vt:lpstr>ReportID</vt:lpstr>
      <vt:lpstr>SalesValue</vt:lpstr>
      <vt:lpstr>SapExlReportName</vt:lpstr>
      <vt:lpstr>Time_Used</vt:lpstr>
      <vt:lpstr>Updated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2018-04-04T08:58:06Z</dcterms:modified>
</cp:coreProperties>
</file>