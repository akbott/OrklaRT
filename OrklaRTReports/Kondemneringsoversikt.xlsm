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3.5 - Copy\OrklaRTReports\"/>
    </mc:Choice>
  </mc:AlternateContent>
  <workbookProtection workbookAlgorithmName="SHA-512" workbookHashValue="1Xc+9Ht1QMkVZoPzqZ4/WBWxC2Ze6UOJ5QfEHc4ugIUzB9zJCTSPQTkaxkJZ8kPx9dgilzIhinApPVvntfcY5g==" workbookSaltValue="SvQay1HU0ExnQJfRuQTRFw==" workbookSpinCount="100000" lockStructure="1"/>
  <bookViews>
    <workbookView xWindow="1536" yWindow="2760" windowWidth="17388" windowHeight="7500" tabRatio="934" firstSheet="10" activeTab="10"/>
  </bookViews>
  <sheets>
    <sheet name="Database" sheetId="9" state="hidden" r:id="rId1"/>
    <sheet name="Lansdato" sheetId="35" state="hidden" r:id="rId2"/>
    <sheet name="RFC_T157E_Data" sheetId="36" state="hidden" r:id="rId3"/>
    <sheet name="ExchangeRates" sheetId="11" state="hidden" r:id="rId4"/>
    <sheet name="Comments" sheetId="25" state="hidden" r:id="rId5"/>
    <sheet name="Descriptions" sheetId="8" state="hidden" r:id="rId6"/>
    <sheet name="PvtTableDef" sheetId="33" state="hidden" r:id="rId7"/>
    <sheet name="LocalLists" sheetId="24" state="hidden" r:id="rId8"/>
    <sheet name="ReportOptions" sheetId="10" state="hidden" r:id="rId9"/>
    <sheet name="Version" sheetId="5" state="hidden" r:id="rId10"/>
    <sheet name="Rapport info" sheetId="41" r:id="rId11"/>
    <sheet name="Oversikt" sheetId="37" r:id="rId12"/>
    <sheet name="Fabrikk" sheetId="38" r:id="rId13"/>
    <sheet name="Produkt" sheetId="39" r:id="rId14"/>
    <sheet name="Rotårsak" sheetId="40" r:id="rId15"/>
  </sheets>
  <definedNames>
    <definedName name="Currency">ReportOptions!$B$10</definedName>
    <definedName name="CustomerHierarchy">ReportOptions!$B$7</definedName>
    <definedName name="FirstSheet">Version!$B$6</definedName>
    <definedName name="FirstTable">Version!$B$7</definedName>
    <definedName name="Lansdato">Lansdato!$A$2:$B$952</definedName>
    <definedName name="MaterialPrice">ReportOptions!$B$5</definedName>
    <definedName name="NP_Bud">Lansdato!$G$2:$G$13</definedName>
    <definedName name="ProductHierarchy">ReportOptions!$B$6</definedName>
    <definedName name="QuantityUnit">ReportOptions!$B$9</definedName>
    <definedName name="Reason_All">RFC_T157E_Data!$A$1:$E$3</definedName>
    <definedName name="Reasons" localSheetId="2">RFC_T157E_Data!$D$1:$E$3</definedName>
    <definedName name="RecNum" localSheetId="10">'Rapport info'!$K$10</definedName>
    <definedName name="ReportCaption">Version!$B$8</definedName>
    <definedName name="ReportID">Version!$B$4</definedName>
    <definedName name="SalesValue">ReportOptions!$B$8</definedName>
    <definedName name="SapExlReportName">Version!$B$5</definedName>
    <definedName name="Time_Used" localSheetId="10">'Rapport info'!$K$12</definedName>
    <definedName name="Updated" localSheetId="10">'Rapport info'!$K$11</definedName>
  </definedNames>
  <calcPr calcId="171027"/>
  <pivotCaches>
    <pivotCache cacheId="1" r:id="rId16"/>
  </pivotCaches>
</workbook>
</file>

<file path=xl/calcChain.xml><?xml version="1.0" encoding="utf-8"?>
<calcChain xmlns="http://schemas.openxmlformats.org/spreadsheetml/2006/main">
  <c r="A2" i="40" l="1"/>
  <c r="A2" i="39"/>
  <c r="A2" i="38"/>
  <c r="A2" i="37"/>
  <c r="BL2" i="9" l="1"/>
  <c r="BL3" i="9"/>
  <c r="BI2" i="9" l="1"/>
  <c r="BI3" i="9"/>
  <c r="BH2" i="9"/>
  <c r="BH3" i="9"/>
  <c r="BK2" i="9" l="1"/>
  <c r="BK3" i="9"/>
  <c r="BJ2" i="9"/>
  <c r="BJ3" i="9"/>
  <c r="BM2" i="9"/>
  <c r="BM3" i="9"/>
  <c r="BN2" i="9"/>
  <c r="BN3" i="9"/>
  <c r="B2" i="36" l="1"/>
  <c r="B3" i="36"/>
  <c r="E3" i="36" l="1"/>
  <c r="D3" i="36"/>
  <c r="E2" i="36"/>
  <c r="D2" i="36"/>
  <c r="BE2" i="9" l="1"/>
  <c r="BG2" i="9" s="1"/>
  <c r="BE3" i="9"/>
  <c r="BG3" i="9" s="1"/>
  <c r="BF3" i="9" l="1"/>
  <c r="BF2" i="9"/>
  <c r="J8" i="10" l="1"/>
  <c r="J7" i="10"/>
  <c r="J6" i="10"/>
  <c r="C7" i="10" s="1"/>
  <c r="J5" i="10"/>
  <c r="C6" i="10"/>
  <c r="C5" i="10"/>
  <c r="C8" i="10"/>
  <c r="C9" i="10"/>
  <c r="C10" i="10" l="1"/>
</calcChain>
</file>

<file path=xl/connections.xml><?xml version="1.0" encoding="utf-8"?>
<connections xmlns="http://schemas.openxmlformats.org/spreadsheetml/2006/main">
  <connection id="1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<sst xmlns="http://schemas.openxmlformats.org/spreadsheetml/2006/main" count="1358" uniqueCount="346">
  <si>
    <t>Profit Ctr</t>
  </si>
  <si>
    <t>Material Name</t>
  </si>
  <si>
    <t>MTyp</t>
  </si>
  <si>
    <t>ReportName</t>
  </si>
  <si>
    <t>ReportID</t>
  </si>
  <si>
    <t>Plnt</t>
  </si>
  <si>
    <t>Material</t>
  </si>
  <si>
    <t>SLoc</t>
  </si>
  <si>
    <t>BUn</t>
  </si>
  <si>
    <t>Material Description</t>
  </si>
  <si>
    <t>NOK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</si>
  <si>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</si>
  <si>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</si>
  <si>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</si>
  <si>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</si>
  <si>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</si>
  <si>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</si>
  <si>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</si>
  <si>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</si>
  <si>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</si>
  <si>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</si>
  <si>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</si>
  <si>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</si>
  <si>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</si>
  <si>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</si>
  <si>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AUD</t>
  </si>
  <si>
    <t>CAD</t>
  </si>
  <si>
    <t>CHF</t>
  </si>
  <si>
    <t>CZK</t>
  </si>
  <si>
    <t>DKK</t>
  </si>
  <si>
    <t>EUR</t>
  </si>
  <si>
    <t>GBP</t>
  </si>
  <si>
    <t>HUF</t>
  </si>
  <si>
    <t>JPY</t>
  </si>
  <si>
    <t>PLN</t>
  </si>
  <si>
    <t>SEK</t>
  </si>
  <si>
    <t>USD</t>
  </si>
  <si>
    <t>From</t>
  </si>
  <si>
    <t>To</t>
  </si>
  <si>
    <t>Valid from</t>
  </si>
  <si>
    <t>FieldName</t>
  </si>
  <si>
    <t>QuantityUnit</t>
  </si>
  <si>
    <t>SalesValue</t>
  </si>
  <si>
    <t>CustomerHierarchy</t>
  </si>
  <si>
    <t>ProductHierarchy</t>
  </si>
  <si>
    <t>MaterialPrice</t>
  </si>
  <si>
    <t>Dv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</si>
  <si>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</si>
  <si>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</si>
  <si>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</si>
  <si>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</si>
  <si>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</si>
  <si>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</si>
  <si>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</si>
  <si>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</si>
  <si>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</si>
  <si>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</si>
  <si>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</si>
  <si>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</si>
  <si>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01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</si>
  <si>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</si>
  <si>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</si>
  <si>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</si>
  <si>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</si>
  <si>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</si>
  <si>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</si>
  <si>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</si>
  <si>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</si>
  <si>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</si>
  <si>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</si>
  <si>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</si>
  <si>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</si>
  <si>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</si>
  <si>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</si>
  <si>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</si>
  <si>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</si>
  <si>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</si>
  <si>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Material Price</t>
  </si>
  <si>
    <t>AvailibleDate</t>
  </si>
  <si>
    <t>Comment</t>
  </si>
  <si>
    <t>ReportCaption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</si>
  <si>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</si>
  <si>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</si>
  <si>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</si>
  <si>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</si>
  <si>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</si>
  <si>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</si>
  <si>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</si>
  <si>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</si>
  <si>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</si>
  <si>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</si>
  <si>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</si>
  <si>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</si>
  <si>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</si>
  <si>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</si>
  <si>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</si>
  <si>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</si>
  <si>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</si>
  <si>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</si>
  <si>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</si>
  <si>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</si>
  <si>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</si>
  <si>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</si>
  <si>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</si>
  <si>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</si>
  <si>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</si>
  <si>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</si>
  <si>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</si>
  <si>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</si>
  <si>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</si>
  <si>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</si>
  <si>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</si>
  <si>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</si>
  <si>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</si>
  <si>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</si>
  <si>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Gross</t>
  </si>
  <si>
    <t>Default</t>
  </si>
  <si>
    <t>Mat. Doc.</t>
  </si>
  <si>
    <t>MatYr</t>
  </si>
  <si>
    <t>MvT</t>
  </si>
  <si>
    <t>Batch</t>
  </si>
  <si>
    <t>S</t>
  </si>
  <si>
    <t>D/C</t>
  </si>
  <si>
    <t>Crcy</t>
  </si>
  <si>
    <t>Amount in LC</t>
  </si>
  <si>
    <t>Revaluation</t>
  </si>
  <si>
    <t>Val. Type</t>
  </si>
  <si>
    <t>Quantity</t>
  </si>
  <si>
    <t>FYrRef</t>
  </si>
  <si>
    <t>Ref. Doc.</t>
  </si>
  <si>
    <t>Cost Ctr</t>
  </si>
  <si>
    <t>CoCd</t>
  </si>
  <si>
    <t>DocumentNo</t>
  </si>
  <si>
    <t>WhN</t>
  </si>
  <si>
    <t>Typ</t>
  </si>
  <si>
    <t>Stor. Bin</t>
  </si>
  <si>
    <t>MTy</t>
  </si>
  <si>
    <t>Reas.</t>
  </si>
  <si>
    <t>G/L Acct</t>
  </si>
  <si>
    <t>SLED/BBD</t>
  </si>
  <si>
    <t>Doc. Date</t>
  </si>
  <si>
    <t>Pstng Date</t>
  </si>
  <si>
    <t>Entry Dte</t>
  </si>
  <si>
    <t>Time</t>
  </si>
  <si>
    <t>User Name</t>
  </si>
  <si>
    <t>Reference</t>
  </si>
  <si>
    <t>Document Header Text</t>
  </si>
  <si>
    <t>Customs Reference Number</t>
  </si>
  <si>
    <t>I</t>
  </si>
  <si>
    <t>Partner PC</t>
  </si>
  <si>
    <t>H</t>
  </si>
  <si>
    <t>Month</t>
  </si>
  <si>
    <t>Reason</t>
  </si>
  <si>
    <t>Matnr</t>
  </si>
  <si>
    <t>Lansdato</t>
  </si>
  <si>
    <t>0</t>
  </si>
  <si>
    <t>200505</t>
  </si>
  <si>
    <t>199001</t>
  </si>
  <si>
    <t>200401</t>
  </si>
  <si>
    <t>200402</t>
  </si>
  <si>
    <t>200310</t>
  </si>
  <si>
    <t>200404</t>
  </si>
  <si>
    <t>200108</t>
  </si>
  <si>
    <t>198901</t>
  </si>
  <si>
    <t>199101</t>
  </si>
  <si>
    <t>198601</t>
  </si>
  <si>
    <t>198602</t>
  </si>
  <si>
    <t>198801</t>
  </si>
  <si>
    <t>198701</t>
  </si>
  <si>
    <t>199501</t>
  </si>
  <si>
    <t>199601</t>
  </si>
  <si>
    <t>200109</t>
  </si>
  <si>
    <t>200409</t>
  </si>
  <si>
    <t>200309</t>
  </si>
  <si>
    <t>199701</t>
  </si>
  <si>
    <t>199805</t>
  </si>
  <si>
    <t>200504</t>
  </si>
  <si>
    <t>200302</t>
  </si>
  <si>
    <t>200405</t>
  </si>
  <si>
    <t>200101</t>
  </si>
  <si>
    <t>200301</t>
  </si>
  <si>
    <t>200602</t>
  </si>
  <si>
    <t>200502</t>
  </si>
  <si>
    <t>199201</t>
  </si>
  <si>
    <t>199908</t>
  </si>
  <si>
    <t>200412</t>
  </si>
  <si>
    <t>200208</t>
  </si>
  <si>
    <t>199902</t>
  </si>
  <si>
    <t>199801</t>
  </si>
  <si>
    <t>199810</t>
  </si>
  <si>
    <t>200103</t>
  </si>
  <si>
    <t>200202</t>
  </si>
  <si>
    <t>200303</t>
  </si>
  <si>
    <t>199905</t>
  </si>
  <si>
    <t>198501</t>
  </si>
  <si>
    <t>200509</t>
  </si>
  <si>
    <t>200305</t>
  </si>
  <si>
    <t>200104</t>
  </si>
  <si>
    <t>200207</t>
  </si>
  <si>
    <t>199401</t>
  </si>
  <si>
    <t>200105</t>
  </si>
  <si>
    <t>200609</t>
  </si>
  <si>
    <t>200603</t>
  </si>
  <si>
    <t>200511</t>
  </si>
  <si>
    <t>199907</t>
  </si>
  <si>
    <t>199803</t>
  </si>
  <si>
    <t>200002</t>
  </si>
  <si>
    <t>200201</t>
  </si>
  <si>
    <t>200204</t>
  </si>
  <si>
    <t>199808</t>
  </si>
  <si>
    <t>199809</t>
  </si>
  <si>
    <t>200001</t>
  </si>
  <si>
    <t>199910</t>
  </si>
  <si>
    <t>200308</t>
  </si>
  <si>
    <t>200102</t>
  </si>
  <si>
    <t>200605</t>
  </si>
  <si>
    <t>?</t>
  </si>
  <si>
    <t>200802</t>
  </si>
  <si>
    <t>200606</t>
  </si>
  <si>
    <t>200702</t>
  </si>
  <si>
    <t>200709</t>
  </si>
  <si>
    <t>200705</t>
  </si>
  <si>
    <t>200805</t>
  </si>
  <si>
    <t>200508</t>
  </si>
  <si>
    <t>200711</t>
  </si>
  <si>
    <t>198702</t>
  </si>
  <si>
    <t>200804</t>
  </si>
  <si>
    <t>200809</t>
  </si>
  <si>
    <t>200902</t>
  </si>
  <si>
    <t>200905</t>
  </si>
  <si>
    <t>200901</t>
  </si>
  <si>
    <t>200909</t>
  </si>
  <si>
    <t>200903</t>
  </si>
  <si>
    <t>201002</t>
  </si>
  <si>
    <t>Budsj.</t>
  </si>
  <si>
    <t>201005</t>
  </si>
  <si>
    <t>BWART</t>
  </si>
  <si>
    <t>GRUND</t>
  </si>
  <si>
    <t>GRTXT</t>
  </si>
  <si>
    <t>Index</t>
  </si>
  <si>
    <t>Dårlig kvalitet</t>
  </si>
  <si>
    <t>Ikke identifiserbar</t>
  </si>
  <si>
    <t>Pivottabell1</t>
  </si>
  <si>
    <t>0CHRT_ACCTS</t>
  </si>
  <si>
    <t>0CO_AREA</t>
  </si>
  <si>
    <t>Acc DocumentNo</t>
  </si>
  <si>
    <t>Profit ctr</t>
  </si>
  <si>
    <t>/</t>
  </si>
  <si>
    <t>Ikke tilordnet</t>
  </si>
  <si>
    <t>Stabburet AS</t>
  </si>
  <si>
    <t>Ikke tilordnet/1005</t>
  </si>
  <si>
    <t>Ikke tilordnet/5910</t>
  </si>
  <si>
    <t>04.09.2016</t>
  </si>
  <si>
    <t>Storhusholdning</t>
  </si>
  <si>
    <t>02.01.2013</t>
  </si>
  <si>
    <t>K4/</t>
  </si>
  <si>
    <t>Norsk</t>
  </si>
  <si>
    <t>Stabb Leverp Bacon Porsj 70x22g</t>
  </si>
  <si>
    <t>STABBURET LEVERPOSTE</t>
  </si>
  <si>
    <t>STABBURET</t>
  </si>
  <si>
    <t>Ferdigvare, Stab. Pricat</t>
  </si>
  <si>
    <t>Ikke tilordnet/P1000</t>
  </si>
  <si>
    <t>Råbekken</t>
  </si>
  <si>
    <t>K4//501/</t>
  </si>
  <si>
    <t>Product Hierarchy Name</t>
  </si>
  <si>
    <t>Ikke tilordnet/P2662</t>
  </si>
  <si>
    <t>FR00/FR10</t>
  </si>
  <si>
    <t>125/916</t>
  </si>
  <si>
    <t>ST-JOKR</t>
  </si>
  <si>
    <t>MO520</t>
  </si>
  <si>
    <t>MP230</t>
  </si>
  <si>
    <t>ZFER</t>
  </si>
  <si>
    <t>FR00</t>
  </si>
  <si>
    <t>Dagligvare</t>
  </si>
  <si>
    <t>Stabbur-Makrell Pepper 20x80g</t>
  </si>
  <si>
    <t>STABBUR-MAKRELL</t>
  </si>
  <si>
    <t>MAKRELL CLUB</t>
  </si>
  <si>
    <t>Ikke tilordnet/P2000</t>
  </si>
  <si>
    <t>MO540</t>
  </si>
  <si>
    <t>2013</t>
  </si>
  <si>
    <t>2013 Total</t>
  </si>
  <si>
    <t>001518 Stabb Leverp Bacon Porsj 70x22g</t>
  </si>
  <si>
    <t>001642 Stabbur-Makrell Pepper 20x80g</t>
  </si>
  <si>
    <t>2013-01</t>
  </si>
  <si>
    <t>Rapport Statistikker</t>
  </si>
  <si>
    <t>Rapporten Inneholder</t>
  </si>
  <si>
    <t>- Maksimal utvalg tiden er 24 måneder.</t>
  </si>
  <si>
    <t>År-Måned</t>
  </si>
  <si>
    <t>Måned</t>
  </si>
  <si>
    <t>År</t>
  </si>
  <si>
    <t>Verdi</t>
  </si>
  <si>
    <t>Kvantum2</t>
  </si>
  <si>
    <t>Merke</t>
  </si>
  <si>
    <t>Produkthierarki</t>
  </si>
  <si>
    <t>Material Navn</t>
  </si>
  <si>
    <t>Grunn</t>
  </si>
  <si>
    <t>FirmaNavn</t>
  </si>
  <si>
    <t>Kostnadssted</t>
  </si>
  <si>
    <t>DokNo</t>
  </si>
  <si>
    <t>D/K</t>
  </si>
  <si>
    <t>D/K3</t>
  </si>
  <si>
    <t>Klokke</t>
  </si>
  <si>
    <t>Dok. Dato</t>
  </si>
  <si>
    <t>MatÅr</t>
  </si>
  <si>
    <t>Språk Besk</t>
  </si>
  <si>
    <t>Material Besk</t>
  </si>
  <si>
    <t>Merke Navn</t>
  </si>
  <si>
    <t>Merke Paraply Navn</t>
  </si>
  <si>
    <t>Mtyp Besk</t>
  </si>
  <si>
    <t>Mat. Dok.</t>
  </si>
  <si>
    <t>Bevegelsestype</t>
  </si>
  <si>
    <t>Fabrikk Besk</t>
  </si>
  <si>
    <t>Produkthierarki Navn</t>
  </si>
  <si>
    <t>Reg Dato</t>
  </si>
  <si>
    <t>Lager</t>
  </si>
  <si>
    <t>Lageradresse</t>
  </si>
  <si>
    <t>Bruker</t>
  </si>
  <si>
    <t>Vur. Type</t>
  </si>
  <si>
    <t>Lagernummer</t>
  </si>
  <si>
    <t>Språk</t>
  </si>
  <si>
    <t>Merke Kode</t>
  </si>
  <si>
    <t>Merke Paraply Kode</t>
  </si>
  <si>
    <t>Fabrikk</t>
  </si>
  <si>
    <t>Beløp lok. Val.</t>
  </si>
  <si>
    <t>Kvantum</t>
  </si>
  <si>
    <t>Produkthierarki Besk</t>
  </si>
  <si>
    <t xml:space="preserve">Verdi </t>
  </si>
  <si>
    <t>Oversikt</t>
  </si>
  <si>
    <t>Årsak</t>
  </si>
  <si>
    <t>Kondemneringsoversikt</t>
  </si>
  <si>
    <t>Å kunne legge til kommentar feltene År-måned og Materialnavn må være synlig.</t>
  </si>
  <si>
    <t>Reas.2</t>
  </si>
  <si>
    <t>Divisjon</t>
  </si>
  <si>
    <t>Kommentarer</t>
  </si>
  <si>
    <t>Reasontekst</t>
  </si>
  <si>
    <t xml:space="preserve"> </t>
  </si>
  <si>
    <t xml:space="preserve">    Trykk F10 for å vise utvalgsbilde</t>
  </si>
  <si>
    <t>- Leser materialbevegelsetype dokumenter .</t>
  </si>
  <si>
    <t>- Vis data på divisjon, fabrikk, materialtype, årsakskode og periode</t>
  </si>
  <si>
    <t>- Plukker transaksjoner med bevegelsestype 941 til 945</t>
  </si>
  <si>
    <t>Utvalg – angi Månedsnr og dato fylles automatisk eller tast inn fra_til dato og velg evnetuelt fabrikk og materialtype for å begrense utvalg</t>
  </si>
  <si>
    <r>
      <rPr>
        <b/>
        <sz val="11"/>
        <color theme="1"/>
        <rFont val="Arial"/>
        <family val="2"/>
      </rPr>
      <t>Oversikt</t>
    </r>
    <r>
      <rPr>
        <sz val="11"/>
        <color theme="1"/>
        <rFont val="Arial"/>
        <family val="2"/>
      </rPr>
      <t xml:space="preserve"> - folder viser kondemneringer på divisjon pr fabrikk pr materialtype og måned i verdi</t>
    </r>
  </si>
  <si>
    <r>
      <rPr>
        <b/>
        <sz val="11"/>
        <color theme="1"/>
        <rFont val="Arial"/>
        <family val="2"/>
      </rPr>
      <t>Fabrikk</t>
    </r>
    <r>
      <rPr>
        <sz val="11"/>
        <color theme="1"/>
        <rFont val="Arial"/>
        <family val="2"/>
      </rPr>
      <t xml:space="preserve"> – folderen viser kondemnering pr divisjon pr årsakskode pr fabrikk og totalt</t>
    </r>
  </si>
  <si>
    <r>
      <rPr>
        <b/>
        <sz val="11"/>
        <color theme="1"/>
        <rFont val="Arial"/>
        <family val="2"/>
      </rPr>
      <t>Produkt</t>
    </r>
    <r>
      <rPr>
        <sz val="11"/>
        <color theme="1"/>
        <rFont val="Arial"/>
        <family val="2"/>
      </rPr>
      <t xml:space="preserve"> – folderen viser kondemneringer pr produkt for utvalgt periode og divisjon</t>
    </r>
  </si>
  <si>
    <r>
      <rPr>
        <b/>
        <sz val="11"/>
        <color theme="1"/>
        <rFont val="Arial"/>
        <family val="2"/>
      </rPr>
      <t>Rotårsak</t>
    </r>
    <r>
      <rPr>
        <sz val="11"/>
        <color theme="1"/>
        <rFont val="Arial"/>
        <family val="2"/>
      </rPr>
      <t xml:space="preserve"> – folderen viser kondemneringer pr divisjon pr årsakskode</t>
    </r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</si>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</sst>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indexed="8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indexed="64"/>
      </patternFill>
    </fill>
  </fills>
  <borders count="25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rgb="FFABABAB"/>
      </top>
      <bottom/>
      <diagonal/>
    </border>
    <border>
      <left style="thin">
        <color indexed="8"/>
      </left>
      <right/>
      <top style="thin">
        <color rgb="FFABABAB"/>
      </top>
      <bottom/>
      <diagonal/>
    </border>
    <border>
      <left style="thin">
        <color rgb="FFABABAB"/>
      </left>
      <right style="thin">
        <color indexed="8"/>
      </right>
      <top style="thin">
        <color rgb="FFABABAB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999999"/>
      </top>
      <bottom/>
      <diagonal/>
    </border>
    <border>
      <left style="thin">
        <color rgb="FF999999"/>
      </left>
      <right style="thin">
        <color indexed="8"/>
      </right>
      <top style="thin">
        <color rgb="FF999999"/>
      </top>
      <bottom/>
      <diagonal/>
    </border>
  </borders>
  <cellStyleXfs count="9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10" fillId="0" borderId="0"/>
    <xf numFmtId="0" fontId="7" fillId="0" borderId="0"/>
    <xf numFmtId="0" fontId="7" fillId="0" borderId="0"/>
  </cellStyleXfs>
  <cellXfs count="80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38" fontId="1" fillId="2" borderId="3" xfId="0" applyNumberFormat="1" applyFont="1" applyFill="1" applyBorder="1" applyAlignment="1">
      <alignment horizontal="right"/>
    </xf>
    <xf numFmtId="38" fontId="1" fillId="2" borderId="4" xfId="0" applyNumberFormat="1" applyFont="1" applyFill="1" applyBorder="1" applyAlignment="1">
      <alignment horizontal="right"/>
    </xf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2" borderId="5" xfId="0" applyFont="1" applyFill="1" applyBorder="1"/>
    <xf numFmtId="0" fontId="1" fillId="2" borderId="3" xfId="0" applyFont="1" applyFill="1" applyBorder="1"/>
    <xf numFmtId="0" fontId="1" fillId="5" borderId="0" xfId="0" applyFont="1" applyFill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0" fontId="0" fillId="3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0" fontId="8" fillId="0" borderId="0" xfId="0" applyNumberFormat="1" applyFont="1"/>
    <xf numFmtId="14" fontId="8" fillId="0" borderId="0" xfId="0" applyNumberFormat="1" applyFont="1"/>
    <xf numFmtId="21" fontId="8" fillId="0" borderId="0" xfId="0" applyNumberFormat="1" applyFont="1"/>
    <xf numFmtId="49" fontId="8" fillId="0" borderId="0" xfId="0" applyNumberFormat="1" applyFont="1"/>
    <xf numFmtId="0" fontId="10" fillId="0" borderId="0" xfId="6"/>
    <xf numFmtId="0" fontId="7" fillId="0" borderId="0" xfId="7"/>
    <xf numFmtId="0" fontId="7" fillId="6" borderId="0" xfId="7" applyFill="1"/>
    <xf numFmtId="0" fontId="7" fillId="6" borderId="0" xfId="7" quotePrefix="1" applyFill="1"/>
    <xf numFmtId="0" fontId="11" fillId="0" borderId="0" xfId="6" applyFont="1"/>
    <xf numFmtId="0" fontId="8" fillId="0" borderId="0" xfId="6" applyFont="1"/>
    <xf numFmtId="0" fontId="12" fillId="0" borderId="0" xfId="6" applyFont="1"/>
    <xf numFmtId="0" fontId="1" fillId="0" borderId="0" xfId="0" applyFont="1" applyBorder="1"/>
    <xf numFmtId="38" fontId="1" fillId="2" borderId="2" xfId="0" applyNumberFormat="1" applyFont="1" applyFill="1" applyBorder="1" applyAlignment="1">
      <alignment horizontal="right"/>
    </xf>
    <xf numFmtId="38" fontId="1" fillId="2" borderId="3" xfId="0" applyNumberFormat="1" applyFont="1" applyFill="1" applyBorder="1"/>
    <xf numFmtId="0" fontId="1" fillId="0" borderId="0" xfId="0" applyFont="1" applyBorder="1" applyAlignment="1">
      <alignment horizontal="right"/>
    </xf>
    <xf numFmtId="0" fontId="7" fillId="0" borderId="0" xfId="1"/>
    <xf numFmtId="0" fontId="7" fillId="0" borderId="0" xfId="1" quotePrefix="1"/>
    <xf numFmtId="0" fontId="1" fillId="7" borderId="0" xfId="0" applyFont="1" applyFill="1"/>
    <xf numFmtId="0" fontId="4" fillId="0" borderId="0" xfId="0" applyFont="1"/>
    <xf numFmtId="0" fontId="4" fillId="0" borderId="0" xfId="0" quotePrefix="1" applyFont="1"/>
    <xf numFmtId="0" fontId="1" fillId="5" borderId="0" xfId="0" applyNumberFormat="1" applyFont="1" applyFill="1"/>
    <xf numFmtId="38" fontId="0" fillId="0" borderId="7" xfId="0" applyNumberFormat="1" applyBorder="1"/>
    <xf numFmtId="0" fontId="0" fillId="0" borderId="12" xfId="0" pivotButton="1" applyBorder="1"/>
    <xf numFmtId="0" fontId="0" fillId="0" borderId="12" xfId="0" applyBorder="1"/>
    <xf numFmtId="0" fontId="0" fillId="0" borderId="13" xfId="0" applyBorder="1"/>
    <xf numFmtId="0" fontId="1" fillId="0" borderId="14" xfId="0" applyFont="1" applyBorder="1"/>
    <xf numFmtId="0" fontId="1" fillId="0" borderId="15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7" xfId="0" applyFont="1" applyBorder="1" applyAlignment="1">
      <alignment horizontal="right"/>
    </xf>
    <xf numFmtId="38" fontId="0" fillId="0" borderId="15" xfId="0" applyNumberFormat="1" applyBorder="1" applyAlignment="1">
      <alignment horizontal="right"/>
    </xf>
    <xf numFmtId="0" fontId="1" fillId="0" borderId="10" xfId="0" applyFont="1" applyBorder="1" applyAlignment="1">
      <alignment horizontal="right"/>
    </xf>
    <xf numFmtId="0" fontId="1" fillId="0" borderId="11" xfId="0" applyFont="1" applyBorder="1" applyAlignment="1">
      <alignment horizontal="right"/>
    </xf>
    <xf numFmtId="38" fontId="0" fillId="0" borderId="10" xfId="0" applyNumberFormat="1" applyBorder="1" applyAlignment="1">
      <alignment horizontal="right"/>
    </xf>
    <xf numFmtId="38" fontId="0" fillId="0" borderId="7" xfId="0" applyNumberFormat="1" applyBorder="1" applyAlignment="1">
      <alignment horizontal="right"/>
    </xf>
    <xf numFmtId="0" fontId="1" fillId="0" borderId="13" xfId="0" applyFont="1" applyBorder="1"/>
    <xf numFmtId="0" fontId="0" fillId="4" borderId="16" xfId="0" applyFill="1" applyBorder="1"/>
    <xf numFmtId="0" fontId="0" fillId="4" borderId="8" xfId="0" applyFill="1" applyBorder="1"/>
    <xf numFmtId="38" fontId="0" fillId="4" borderId="15" xfId="0" applyNumberFormat="1" applyFill="1" applyBorder="1" applyAlignment="1">
      <alignment horizontal="right"/>
    </xf>
    <xf numFmtId="38" fontId="0" fillId="4" borderId="7" xfId="0" applyNumberFormat="1" applyFill="1" applyBorder="1"/>
    <xf numFmtId="38" fontId="0" fillId="4" borderId="17" xfId="0" applyNumberFormat="1" applyFill="1" applyBorder="1" applyAlignment="1">
      <alignment horizontal="right"/>
    </xf>
    <xf numFmtId="38" fontId="0" fillId="4" borderId="7" xfId="0" applyNumberFormat="1" applyFill="1" applyBorder="1" applyAlignment="1">
      <alignment horizontal="right"/>
    </xf>
    <xf numFmtId="0" fontId="13" fillId="0" borderId="0" xfId="0" applyFont="1"/>
    <xf numFmtId="0" fontId="13" fillId="0" borderId="0" xfId="0" applyFont="1" applyAlignment="1">
      <alignment vertical="center"/>
    </xf>
    <xf numFmtId="0" fontId="0" fillId="0" borderId="20" xfId="0" pivotButton="1" applyBorder="1"/>
    <xf numFmtId="0" fontId="0" fillId="0" borderId="20" xfId="0" applyBorder="1"/>
    <xf numFmtId="0" fontId="0" fillId="0" borderId="21" xfId="0" applyBorder="1"/>
    <xf numFmtId="0" fontId="1" fillId="0" borderId="22" xfId="0" applyFont="1" applyBorder="1"/>
    <xf numFmtId="0" fontId="1" fillId="0" borderId="21" xfId="0" applyFont="1" applyBorder="1"/>
    <xf numFmtId="38" fontId="0" fillId="0" borderId="18" xfId="0" applyNumberFormat="1" applyBorder="1" applyAlignment="1">
      <alignment horizontal="right"/>
    </xf>
    <xf numFmtId="0" fontId="0" fillId="4" borderId="23" xfId="0" applyFill="1" applyBorder="1"/>
    <xf numFmtId="0" fontId="0" fillId="4" borderId="19" xfId="0" applyFill="1" applyBorder="1"/>
    <xf numFmtId="38" fontId="0" fillId="4" borderId="24" xfId="0" applyNumberFormat="1" applyFill="1" applyBorder="1" applyAlignment="1">
      <alignment horizontal="right"/>
    </xf>
  </cellXfs>
  <cellStyles count="9">
    <cellStyle name="Min stil" xfId="2"/>
    <cellStyle name="Normal" xfId="0" builtinId="0"/>
    <cellStyle name="Normal 2" xfId="1"/>
    <cellStyle name="Normal 2 2" xfId="3"/>
    <cellStyle name="Normal 2_FinishPlan_M" xfId="8"/>
    <cellStyle name="Normal 3" xfId="4"/>
    <cellStyle name="Normal 4" xfId="5"/>
    <cellStyle name="Normal 5" xfId="6"/>
    <cellStyle name="Normal_Database_Profitbility_Analysis_Cust_Bud_NOA104_2010_BW" xfId="7"/>
  </cellStyles>
  <dxfs count="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numFmt numFmtId="0" formatCode="General"/>
    </dxf>
    <dxf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8080"/>
      <color rgb="FFFF6600"/>
      <color rgb="FFFFFF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12" Type="http://schemas.openxmlformats.org/officeDocument/2006/relationships/image" Target="../media/image12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2" name="rg_hi" descr="http://t3.gstatic.com/images?q=tbn:ANd9GcQtQRh3WNbHXelD8uBGAaob0YpZAxhzS2M51ZxoGfQPiYX8pc6WXw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874658" y="17253"/>
          <a:ext cx="2534441" cy="1114054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3" name="Dialog1" hidden="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80845" y="2072640"/>
          <a:ext cx="5828331" cy="2550114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9</xdr:col>
      <xdr:colOff>313764</xdr:colOff>
      <xdr:row>4</xdr:row>
      <xdr:rowOff>25866</xdr:rowOff>
    </xdr:to>
    <xdr:sp macro="" textlink="SapExlReportName">
      <xdr:nvSpPr>
        <xdr:cNvPr id="4" name="Avrundet rektangel 5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602464" y="301628"/>
          <a:ext cx="4051140" cy="539578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Kondemneringsoversikt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5" name="rg_hi" descr="http://t3.gstatic.com/images?q=tbn:ANd9GcRPfCwrdcK6Fv69l56iSLixO0g0ZmUqZbolC8jj5wXneiz7okam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9550" y="2615568"/>
          <a:ext cx="1883577" cy="1480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6" name="Dialog2" hidden="1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75307" y="1125586"/>
          <a:ext cx="3521928" cy="3548679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7" name="Dialog3" hidden="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85327" y="1513216"/>
          <a:ext cx="3466285" cy="31610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134470</xdr:rowOff>
    </xdr:from>
    <xdr:to>
      <xdr:col>3</xdr:col>
      <xdr:colOff>488240</xdr:colOff>
      <xdr:row>6</xdr:row>
      <xdr:rowOff>1008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34470"/>
          <a:ext cx="1997000" cy="1078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4</xdr:col>
      <xdr:colOff>179293</xdr:colOff>
      <xdr:row>29</xdr:row>
      <xdr:rowOff>28014</xdr:rowOff>
    </xdr:to>
    <xdr:pic>
      <xdr:nvPicPr>
        <xdr:cNvPr id="9" name="Bilde 11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/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4800" y="4053840"/>
          <a:ext cx="2442433" cy="1811094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31</xdr:row>
      <xdr:rowOff>22411</xdr:rowOff>
    </xdr:from>
    <xdr:to>
      <xdr:col>4</xdr:col>
      <xdr:colOff>515470</xdr:colOff>
      <xdr:row>41</xdr:row>
      <xdr:rowOff>95250</xdr:rowOff>
    </xdr:to>
    <xdr:pic>
      <xdr:nvPicPr>
        <xdr:cNvPr id="10" name="Bilde 17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/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16006" y="6255571"/>
          <a:ext cx="2767404" cy="205403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22412</xdr:rowOff>
    </xdr:from>
    <xdr:to>
      <xdr:col>4</xdr:col>
      <xdr:colOff>33617</xdr:colOff>
      <xdr:row>57</xdr:row>
      <xdr:rowOff>84044</xdr:rowOff>
    </xdr:to>
    <xdr:pic>
      <xdr:nvPicPr>
        <xdr:cNvPr id="11" name="Bilde 18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/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04800" y="8633012"/>
          <a:ext cx="2296757" cy="283531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59</xdr:row>
      <xdr:rowOff>0</xdr:rowOff>
    </xdr:from>
    <xdr:to>
      <xdr:col>8</xdr:col>
      <xdr:colOff>549087</xdr:colOff>
      <xdr:row>70</xdr:row>
      <xdr:rowOff>140073</xdr:rowOff>
    </xdr:to>
    <xdr:pic>
      <xdr:nvPicPr>
        <xdr:cNvPr id="12" name="Bilde 19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/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4800" y="11780520"/>
          <a:ext cx="5829747" cy="2319393"/>
        </a:xfrm>
        <a:prstGeom prst="rect">
          <a:avLst/>
        </a:prstGeom>
      </xdr:spPr>
    </xdr:pic>
    <xdr:clientData/>
  </xdr:twoCellAnchor>
  <xdr:twoCellAnchor editAs="oneCell">
    <xdr:from>
      <xdr:col>0</xdr:col>
      <xdr:colOff>319367</xdr:colOff>
      <xdr:row>72</xdr:row>
      <xdr:rowOff>0</xdr:rowOff>
    </xdr:from>
    <xdr:to>
      <xdr:col>10</xdr:col>
      <xdr:colOff>437028</xdr:colOff>
      <xdr:row>85</xdr:row>
      <xdr:rowOff>140074</xdr:rowOff>
    </xdr:to>
    <xdr:pic>
      <xdr:nvPicPr>
        <xdr:cNvPr id="13" name="Bilde 20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/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127" y="14356080"/>
          <a:ext cx="7227121" cy="27156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2305983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2412" y="33618"/>
          <a:ext cx="230598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B0BE091D-45B4-4DAF-A6C8-4EDE361EAAA3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Kondemneringsoversikt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2305983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2412" y="33618"/>
          <a:ext cx="230598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B0BE091D-45B4-4DAF-A6C8-4EDE361EAAA3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Kondemneringsoversikt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2305983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2412" y="33618"/>
          <a:ext cx="230598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B0BE091D-45B4-4DAF-A6C8-4EDE361EAAA3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Kondemneringsoversikt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2305983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2412" y="33618"/>
          <a:ext cx="230598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B0BE091D-45B4-4DAF-A6C8-4EDE361EAAA3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Kondemneringsoversikt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098.681305439815" createdVersion="4" refreshedVersion="5" minRefreshableVersion="3" recordCount="2">
  <cacheSource type="worksheet">
    <worksheetSource name="SapExlData"/>
  </cacheSource>
  <cacheFields count="65">
    <cacheField name="Customs Reference Number" numFmtId="0">
      <sharedItems/>
    </cacheField>
    <cacheField name="DokNo" numFmtId="0">
      <sharedItems/>
    </cacheField>
    <cacheField name="G/L Acct" numFmtId="0">
      <sharedItems containsMixedTypes="1" containsNumber="1" containsInteger="1" minValue="429011" maxValue="429011" count="2">
        <s v="Ikke tilordnet"/>
        <n v="429011" u="1"/>
      </sharedItems>
    </cacheField>
    <cacheField name="Ref. Doc." numFmtId="0">
      <sharedItems containsNonDate="0" containsString="0" containsBlank="1"/>
    </cacheField>
    <cacheField name="0CHRT_ACCTS" numFmtId="0">
      <sharedItems/>
    </cacheField>
    <cacheField name="FirmaNavn" numFmtId="0">
      <sharedItems/>
    </cacheField>
    <cacheField name="Kostnadssted" numFmtId="0">
      <sharedItems count="1">
        <s v="Ikke tilordnet/1005"/>
      </sharedItems>
    </cacheField>
    <cacheField name="S" numFmtId="0">
      <sharedItems/>
    </cacheField>
    <cacheField name="0CO_AREA" numFmtId="0">
      <sharedItems/>
    </cacheField>
    <cacheField name="Klokke" numFmtId="21">
      <sharedItems containsSemiMixedTypes="0" containsNonDate="0" containsDate="1" containsString="0" minDate="1899-12-30T10:18:21" maxDate="1899-12-30T10:18:21"/>
    </cacheField>
    <cacheField name="D/K" numFmtId="0">
      <sharedItems/>
    </cacheField>
    <cacheField name="D/K3" numFmtId="0">
      <sharedItems containsNonDate="0" containsString="0" containsBlank="1"/>
    </cacheField>
    <cacheField name="Pstng Date" numFmtId="0">
      <sharedItems containsBlank="1"/>
    </cacheField>
    <cacheField name="Divisjon" numFmtId="0">
      <sharedItems count="2">
        <s v="Storhusholdning"/>
        <s v="Dagligvare"/>
      </sharedItems>
    </cacheField>
    <cacheField name="Dok. Dato" numFmtId="0">
      <sharedItems/>
    </cacheField>
    <cacheField name="Document Header Text" numFmtId="0">
      <sharedItems containsNonDate="0" containsString="0" containsBlank="1"/>
    </cacheField>
    <cacheField name="MatÅr" numFmtId="0">
      <sharedItems containsSemiMixedTypes="0" containsString="0" containsNumber="1" containsInteger="1" minValue="2013" maxValue="2013"/>
    </cacheField>
    <cacheField name="FYrRef" numFmtId="0">
      <sharedItems/>
    </cacheField>
    <cacheField name="I" numFmtId="0">
      <sharedItems containsSemiMixedTypes="0" containsString="0" containsNumber="1" containsInteger="1" minValue="1" maxValue="1"/>
    </cacheField>
    <cacheField name="Språk Besk" numFmtId="0">
      <sharedItems/>
    </cacheField>
    <cacheField name="Material Besk" numFmtId="0">
      <sharedItems/>
    </cacheField>
    <cacheField name="Merke Navn" numFmtId="0">
      <sharedItems/>
    </cacheField>
    <cacheField name="Merke Paraply Navn" numFmtId="0">
      <sharedItems/>
    </cacheField>
    <cacheField name="Mtyp Besk" numFmtId="0">
      <sharedItems/>
    </cacheField>
    <cacheField name="Mat. Dok." numFmtId="0">
      <sharedItems containsSemiMixedTypes="0" containsString="0" containsNumber="1" containsInteger="1" minValue="4901549700" maxValue="4901549700"/>
    </cacheField>
    <cacheField name="Bevegelsestype" numFmtId="0">
      <sharedItems containsSemiMixedTypes="0" containsString="0" containsNumber="1" containsInteger="1" minValue="956" maxValue="956"/>
    </cacheField>
    <cacheField name="SLED/BBD" numFmtId="0">
      <sharedItems/>
    </cacheField>
    <cacheField name="Partner PC" numFmtId="0">
      <sharedItems/>
    </cacheField>
    <cacheField name="Fabrikk Besk" numFmtId="0">
      <sharedItems/>
    </cacheField>
    <cacheField name="Acc DocumentNo" numFmtId="0">
      <sharedItems/>
    </cacheField>
    <cacheField name="Produkthierarki Besk" numFmtId="14">
      <sharedItems/>
    </cacheField>
    <cacheField name="Profit ctr" numFmtId="14">
      <sharedItems count="3">
        <s v="Ikke tilordnet/P2662"/>
        <s v="Ikke tilordnet/P2000"/>
        <s v="NOA104" u="1"/>
      </sharedItems>
    </cacheField>
    <cacheField name="Reference" numFmtId="14">
      <sharedItems containsSemiMixedTypes="0" containsString="0" containsNumber="1" containsInteger="1" minValue="80521136" maxValue="80521136"/>
    </cacheField>
    <cacheField name="Reg Dato" numFmtId="14">
      <sharedItems/>
    </cacheField>
    <cacheField name="Lager" numFmtId="21">
      <sharedItems/>
    </cacheField>
    <cacheField name="Lageradresse" numFmtId="0">
      <sharedItems containsSemiMixedTypes="0" containsString="0" containsNumber="1" containsInteger="1" minValue="80521136" maxValue="80521136"/>
    </cacheField>
    <cacheField name="Typ" numFmtId="0">
      <sharedItems/>
    </cacheField>
    <cacheField name="Bruker" numFmtId="0">
      <sharedItems/>
    </cacheField>
    <cacheField name="Vur. Type" numFmtId="0">
      <sharedItems containsNonDate="0" containsString="0" containsBlank="1"/>
    </cacheField>
    <cacheField name="Lagernummer" numFmtId="0">
      <sharedItems containsSemiMixedTypes="0" containsString="0" containsNumber="1" containsInteger="1" minValue="125" maxValue="125"/>
    </cacheField>
    <cacheField name="Batch" numFmtId="0">
      <sharedItems containsString="0" containsBlank="1" containsNumber="1" containsInteger="1" minValue="1171289" maxValue="1171289"/>
    </cacheField>
    <cacheField name="Reas.2" numFmtId="0">
      <sharedItems containsNonDate="0" containsString="0" containsBlank="1"/>
    </cacheField>
    <cacheField name="MTy" numFmtId="0">
      <sharedItems containsNonDate="0" containsString="0" containsBlank="1"/>
    </cacheField>
    <cacheField name="Reasontekst" numFmtId="0">
      <sharedItems containsNonDate="0" containsString="0" containsBlank="1"/>
    </cacheField>
    <cacheField name="Språk" numFmtId="49">
      <sharedItems/>
    </cacheField>
    <cacheField name="Material" numFmtId="0">
      <sharedItems containsSemiMixedTypes="0" containsString="0" containsNumber="1" containsInteger="1" minValue="1518" maxValue="1642"/>
    </cacheField>
    <cacheField name="Merke Kode" numFmtId="0">
      <sharedItems/>
    </cacheField>
    <cacheField name="Merke Paraply Kode" numFmtId="0">
      <sharedItems/>
    </cacheField>
    <cacheField name="MTyp" numFmtId="0">
      <sharedItems count="2">
        <s v="ZFER"/>
        <s v="FERT" u="1"/>
      </sharedItems>
    </cacheField>
    <cacheField name="Fabrikk" numFmtId="0">
      <sharedItems count="1">
        <s v="FR00"/>
      </sharedItems>
    </cacheField>
    <cacheField name="Produkthierarki" numFmtId="0">
      <sharedItems containsSemiMixedTypes="0" containsString="0" containsNumber="1" containsInteger="1" minValue="200700010102" maxValue="600300040107"/>
    </cacheField>
    <cacheField name="Reason" numFmtId="0">
      <sharedItems containsNonDate="0" containsString="0" containsBlank="1"/>
    </cacheField>
    <cacheField name="Beløp lok. Val." numFmtId="0">
      <sharedItems containsSemiMixedTypes="0" containsString="0" containsNumber="1" minValue="58.64" maxValue="241.62"/>
    </cacheField>
    <cacheField name="Kvantum" numFmtId="0">
      <sharedItems containsSemiMixedTypes="0" containsString="0" containsNumber="1" containsInteger="1" minValue="1" maxValue="3"/>
    </cacheField>
    <cacheField name="Revaluation" numFmtId="0">
      <sharedItems containsSemiMixedTypes="0" containsString="0" containsNumber="1" containsInteger="1" minValue="0" maxValue="0"/>
    </cacheField>
    <cacheField name="År-Måned" numFmtId="0">
      <sharedItems count="1">
        <s v="2013-01"/>
      </sharedItems>
    </cacheField>
    <cacheField name="Måned" numFmtId="0">
      <sharedItems count="1">
        <s v="01"/>
      </sharedItems>
    </cacheField>
    <cacheField name="År" numFmtId="0">
      <sharedItems count="1">
        <s v="2013"/>
      </sharedItems>
    </cacheField>
    <cacheField name="Verdi" numFmtId="0">
      <sharedItems containsSemiMixedTypes="0" containsString="0" containsNumber="1" minValue="58.64" maxValue="241.62"/>
    </cacheField>
    <cacheField name="Kvantum2" numFmtId="0">
      <sharedItems containsSemiMixedTypes="0" containsString="0" containsNumber="1" containsInteger="1" minValue="1" maxValue="3"/>
    </cacheField>
    <cacheField name="Merke" numFmtId="0">
      <sharedItems count="2">
        <s v="MO520 STABBURET LEVERPOSTE"/>
        <s v="MO540 STABBUR-MAKRELL"/>
      </sharedItems>
    </cacheField>
    <cacheField name="Produkthierarki Navn" numFmtId="0">
      <sharedItems/>
    </cacheField>
    <cacheField name="Grunn" numFmtId="0">
      <sharedItems containsBlank="1" count="4">
        <s v=" "/>
        <m u="1"/>
        <e v="#REF!" u="1"/>
        <s v="0000" u="1"/>
      </sharedItems>
    </cacheField>
    <cacheField name="Kommentarer" numFmtId="0">
      <sharedItems count="1">
        <s v=""/>
      </sharedItems>
    </cacheField>
    <cacheField name="Material Navn" numFmtId="0">
      <sharedItems count="2">
        <s v="001518 Stabb Leverp Bacon Porsj 70x22g"/>
        <s v="001642 Stabbur-Makrell Pepper 20x80g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s v="/"/>
    <s v="/"/>
    <x v="0"/>
    <m/>
    <s v="Ikke tilordnet"/>
    <s v="Stabburet AS"/>
    <x v="0"/>
    <s v="Ikke tilordnet/5910"/>
    <s v="Ikke tilordnet"/>
    <d v="1899-12-30T10:18:21"/>
    <s v="H"/>
    <m/>
    <s v="04.09.2016"/>
    <x v="0"/>
    <s v="02.01.2013"/>
    <m/>
    <n v="2013"/>
    <s v="K4/"/>
    <n v="1"/>
    <s v="Norsk"/>
    <s v="Stabb Leverp Bacon Porsj 70x22g"/>
    <s v="STABBURET LEVERPOSTE"/>
    <s v="STABBURET"/>
    <s v="Ferdigvare, Stab. Pricat"/>
    <n v="4901549700"/>
    <n v="956"/>
    <s v="02.01.2013"/>
    <s v="Ikke tilordnet/P1000"/>
    <s v="Råbekken"/>
    <s v="K4//501/"/>
    <s v="Product Hierarchy Name"/>
    <x v="0"/>
    <n v="80521136"/>
    <s v="02.01.2013"/>
    <s v="FR00/FR10"/>
    <n v="80521136"/>
    <s v="125/916"/>
    <s v="ST-JOKR"/>
    <m/>
    <n v="125"/>
    <n v="1171289"/>
    <m/>
    <m/>
    <m/>
    <s v="NO"/>
    <n v="1518"/>
    <s v="MO520"/>
    <s v="MP230"/>
    <x v="0"/>
    <x v="0"/>
    <n v="200700010102"/>
    <m/>
    <n v="58.64"/>
    <n v="1"/>
    <n v="0"/>
    <x v="0"/>
    <x v="0"/>
    <x v="0"/>
    <n v="58.64"/>
    <n v="1"/>
    <x v="0"/>
    <s v="200700010102 Product Hierarchy Name"/>
    <x v="0"/>
    <x v="0"/>
    <x v="0"/>
  </r>
  <r>
    <s v="/"/>
    <s v="/"/>
    <x v="0"/>
    <m/>
    <s v="Ikke tilordnet"/>
    <s v="Stabburet AS"/>
    <x v="0"/>
    <s v="Ikke tilordnet/5910"/>
    <s v="Ikke tilordnet"/>
    <d v="1899-12-30T10:18:21"/>
    <s v="H"/>
    <m/>
    <m/>
    <x v="1"/>
    <s v="02.01.2013"/>
    <m/>
    <n v="2013"/>
    <s v="K4/"/>
    <n v="1"/>
    <s v="Norsk"/>
    <s v="Stabbur-Makrell Pepper 20x80g"/>
    <s v="STABBUR-MAKRELL"/>
    <s v="STABBURET"/>
    <s v="Ferdigvare, Stab. Pricat"/>
    <n v="4901549700"/>
    <n v="956"/>
    <s v="02.01.2013"/>
    <s v="Ikke tilordnet/P1000"/>
    <s v="Råbekken"/>
    <s v="K4//501/"/>
    <s v="MAKRELL CLUB"/>
    <x v="1"/>
    <n v="80521136"/>
    <s v="02.01.2013"/>
    <s v="FR00/FR10"/>
    <n v="80521136"/>
    <s v="125/916"/>
    <s v="ST-JOKR"/>
    <m/>
    <n v="125"/>
    <m/>
    <m/>
    <m/>
    <m/>
    <s v="NO"/>
    <n v="1642"/>
    <s v="MO540"/>
    <s v="MP230"/>
    <x v="0"/>
    <x v="0"/>
    <n v="600300040107"/>
    <m/>
    <n v="241.62"/>
    <n v="3"/>
    <n v="0"/>
    <x v="0"/>
    <x v="0"/>
    <x v="0"/>
    <n v="241.62"/>
    <n v="3"/>
    <x v="1"/>
    <s v="600300040107 MAKRELL CLUB"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1" autoFormatId="4109" applyNumberFormats="1" applyBorderFormats="1" applyFontFormats="1" applyPatternFormats="1" applyAlignmentFormats="1" applyWidthHeightFormats="1" dataCaption="Data" showError="1" updatedVersion="5" showDrill="0" showMemberPropertyTips="0" useAutoFormatting="1" itemPrintTitles="1" createdVersion="1" indent="0" compact="0" compactData="0" gridDropZones="1">
  <location ref="A16:F23" firstHeaderRow="1" firstDataRow="3" firstDataCol="3" rowPageCount="6" colPageCount="1"/>
  <pivotFields count="65">
    <pivotField compact="0" outline="0" subtotalTop="0" showAll="0" includeNewItemsInFilter="1"/>
    <pivotField compact="0" outline="0" subtotalTop="0" showAll="0" includeNewItemsInFilter="1" defaultSubtotal="0"/>
    <pivotField name="G/L Acct"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numFmtId="21" outline="0" subtotalTop="0" showAll="0" includeNewItemsInFilter="1" defaultSubtotal="0"/>
    <pivotField name="D/K"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axis="axisRow" compact="0" outline="0" subtotalTop="0" showAll="0" insertBlankRow="1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name="Partner PC" compact="0" outline="0" subtotalTop="0" showAll="0" insertBlankRow="1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Profit Ctr" axis="axisPage" compact="0" outline="0" subtotalTop="0" showAll="0" includeNewItemsInFilter="1">
      <items count="4">
        <item m="1"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name="MTyp" axis="axisRow" compact="0" outline="0" subtotalTop="0" showAll="0" includeNewItemsInFilter="1">
      <items count="3">
        <item m="1" x="1"/>
        <item x="0"/>
        <item t="default"/>
      </items>
    </pivotField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axis="axisCol" compact="0" outline="0" subtotalTop="0" showAll="0" includeNewItemsInFilter="1" sortType="ascending" defaultSubtotal="0">
      <items count="1">
        <item x="0"/>
      </items>
    </pivotField>
    <pivotField axis="axisCol" compact="0" outline="0" subtotalTop="0" showAll="0" includeNewItemsInFilter="1">
      <items count="2">
        <item x="0"/>
        <item t="default"/>
      </items>
    </pivotField>
    <pivotField dataField="1"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name="Årsak" axis="axisPage" compact="0" outline="0" subtotalTop="0" showAll="0" includeNewItemsInFilter="1" defaultSubtotal="0">
      <items count="4">
        <item m="1" x="3"/>
        <item m="1" x="2"/>
        <item m="1" x="1"/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</pivotFields>
  <rowFields count="3">
    <field x="13"/>
    <field x="49"/>
    <field x="48"/>
  </rowFields>
  <rowItems count="5">
    <i>
      <x/>
      <x/>
      <x v="1"/>
    </i>
    <i t="blank">
      <x/>
    </i>
    <i>
      <x v="1"/>
      <x/>
      <x v="1"/>
    </i>
    <i t="blank">
      <x v="1"/>
    </i>
    <i t="grand">
      <x/>
    </i>
  </rowItems>
  <colFields count="2">
    <field x="57"/>
    <field x="56"/>
  </colFields>
  <colItems count="3">
    <i>
      <x/>
      <x/>
    </i>
    <i t="default">
      <x/>
    </i>
    <i t="grand">
      <x/>
    </i>
  </colItems>
  <pageFields count="6">
    <pageField fld="31" hier="-1"/>
    <pageField fld="62" hier="-1"/>
    <pageField fld="60" hier="-1"/>
    <pageField fld="2" hier="-1"/>
    <pageField fld="6" hier="-1"/>
    <pageField fld="64" hier="-1"/>
  </pageFields>
  <dataFields count="1">
    <dataField name="Verdi " fld="58" baseField="48" baseItem="1" numFmtId="38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ell1" cacheId="1" autoFormatId="4109" applyNumberFormats="1" applyBorderFormats="1" applyFontFormats="1" applyPatternFormats="1" applyAlignmentFormats="1" applyWidthHeightFormats="1" dataCaption="Data" showError="1" updatedVersion="5" showDrill="0" showMemberPropertyTips="0" useAutoFormatting="1" itemPrintTitles="1" createdVersion="1" indent="0" compact="0" compactData="0" gridDropZones="1">
  <location ref="A16:E23" firstHeaderRow="1" firstDataRow="3" firstDataCol="2" rowPageCount="7" colPageCount="1"/>
  <pivotFields count="65">
    <pivotField compact="0" outline="0" subtotalTop="0" showAll="0" includeNewItemsInFilter="1"/>
    <pivotField compact="0" outline="0" subtotalTop="0" showAll="0" includeNewItemsInFilter="1" defaultSubtotal="0"/>
    <pivotField name="G/L Acct"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axis="axisRow" compact="0" outline="0" subtotalTop="0" showAll="0" insertBlankRow="1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name="Partner PC" compact="0" outline="0" subtotalTop="0" showAll="0" insertBlankRow="1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Profit Ctr" axis="axisPage" compact="0" outline="0" subtotalTop="0" showAll="0" includeNewItemsInFilter="1">
      <items count="4">
        <item m="1"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name="MTyp" axis="axisPage" compact="0" outline="0" subtotalTop="0" showAll="0" includeNewItemsInFilter="1">
      <items count="3">
        <item m="1" x="1"/>
        <item x="0"/>
        <item t="default"/>
      </items>
    </pivotField>
    <pivotField axis="axisCol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Col" compact="0" outline="0" subtotalTop="0" showAll="0" includeNewItemsInFilter="1">
      <items count="2">
        <item x="0"/>
        <item t="default"/>
      </items>
    </pivotField>
    <pivotField dataField="1"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name="Årsak" axis="axisRow" compact="0" outline="0" subtotalTop="0" showAll="0" includeNewItemsInFilter="1" defaultSubtotal="0">
      <items count="4">
        <item m="1" x="3"/>
        <item m="1" x="2"/>
        <item m="1" x="1"/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</pivotFields>
  <rowFields count="2">
    <field x="13"/>
    <field x="62"/>
  </rowFields>
  <rowItems count="5">
    <i>
      <x/>
      <x v="3"/>
    </i>
    <i t="blank">
      <x/>
    </i>
    <i>
      <x v="1"/>
      <x v="3"/>
    </i>
    <i t="blank">
      <x v="1"/>
    </i>
    <i t="grand">
      <x/>
    </i>
  </rowItems>
  <colFields count="2">
    <field x="57"/>
    <field x="49"/>
  </colFields>
  <colItems count="3">
    <i>
      <x/>
      <x/>
    </i>
    <i t="default">
      <x/>
    </i>
    <i t="grand">
      <x/>
    </i>
  </colItems>
  <pageFields count="7">
    <pageField fld="31" hier="-1"/>
    <pageField fld="60" hier="-1"/>
    <pageField fld="56" hier="-1"/>
    <pageField fld="2" hier="-1"/>
    <pageField fld="6" hier="-1"/>
    <pageField fld="64" hier="-1"/>
    <pageField fld="48" hier="-1"/>
  </pageFields>
  <dataFields count="1">
    <dataField name="Verdi " fld="58" baseField="61" baseItem="0" numFmtId="38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ell1" cacheId="1" autoFormatId="4109" applyNumberFormats="1" applyBorderFormats="1" applyFontFormats="1" applyPatternFormats="1" applyAlignmentFormats="1" applyWidthHeightFormats="1" dataCaption="Data" showError="1" updatedVersion="5" showDrill="0" showMemberPropertyTips="0" useAutoFormatting="1" itemPrintTitles="1" createdVersion="1" indent="0" compact="0" compactData="0" gridDropZones="1">
  <location ref="A16:E22" firstHeaderRow="1" firstDataRow="2" firstDataCol="3" rowPageCount="8" colPageCount="1"/>
  <pivotFields count="65">
    <pivotField compact="0" outline="0" subtotalTop="0" showAll="0" includeNewItemsInFilter="1"/>
    <pivotField compact="0" outline="0" subtotalTop="0" showAll="0" includeNewItemsInFilter="1" defaultSubtotal="0"/>
    <pivotField name="G/L Acct"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axis="axisRow" compact="0" outline="0" subtotalTop="0" showAll="0" insertBlankRow="1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name="Partner PC" compact="0" outline="0" subtotalTop="0" showAll="0" insertBlankRow="1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Profit Ctr" axis="axisPage" compact="0" outline="0" subtotalTop="0" showAll="0" includeNewItemsInFilter="1">
      <items count="4">
        <item m="1"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name="MTyp" axis="axisRow" compact="0" outline="0" subtotalTop="0" showAll="0" includeNewItemsInFilter="1" defaultSubtotal="0">
      <items count="2">
        <item m="1" x="1"/>
        <item x="0"/>
      </items>
    </pivotField>
    <pivotField axis="axisCol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dataField="1"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sertBlankRow="1" includeNewItemsInFilter="1" defaultSubtotal="0"/>
    <pivotField name="Årsak" axis="axisPage" compact="0" outline="0" subtotalTop="0" showAll="0" includeNewItemsInFilter="1" defaultSubtotal="0">
      <items count="4">
        <item m="1" x="3"/>
        <item m="1" x="2"/>
        <item m="1" x="1"/>
        <item x="0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2">
        <item x="0"/>
        <item x="1"/>
      </items>
    </pivotField>
  </pivotFields>
  <rowFields count="3">
    <field x="13"/>
    <field x="48"/>
    <field x="64"/>
  </rowFields>
  <rowItems count="5">
    <i>
      <x/>
      <x v="1"/>
      <x v="1"/>
    </i>
    <i t="blank">
      <x/>
    </i>
    <i>
      <x v="1"/>
      <x v="1"/>
      <x/>
    </i>
    <i t="blank">
      <x v="1"/>
    </i>
    <i t="grand">
      <x/>
    </i>
  </rowItems>
  <colFields count="1">
    <field x="49"/>
  </colFields>
  <colItems count="2">
    <i>
      <x/>
    </i>
    <i t="grand">
      <x/>
    </i>
  </colItems>
  <pageFields count="8">
    <pageField fld="31" hier="-1"/>
    <pageField fld="60" hier="-1"/>
    <pageField fld="55" hier="-1"/>
    <pageField fld="56" hier="-1"/>
    <pageField fld="57" hier="-1"/>
    <pageField fld="2" hier="-1"/>
    <pageField fld="6" hier="-1"/>
    <pageField fld="62" hier="-1"/>
  </pageFields>
  <dataFields count="1">
    <dataField name="Verdi " fld="58" baseField="63" baseItem="0" numFmtId="38"/>
  </dataField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ell1" cacheId="1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itemPrintTitles="1" createdVersion="1" indent="0" compact="0" compactData="0" gridDropZones="1">
  <location ref="A17:G22" firstHeaderRow="1" firstDataRow="1" firstDataCol="6" rowPageCount="5" colPageCount="1"/>
  <pivotFields count="65"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axis="axisRow" compact="0" outline="0" subtotalTop="0" showAll="0" insertBlankRow="1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name="Partner PC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Profit Ctr" axis="axisPage" compact="0" outline="0" subtotalTop="0" showAll="0" includeNewItemsInFilter="1">
      <items count="4">
        <item m="1"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name="MTyp" axis="axisRow" compact="0" outline="0" subtotalTop="0" showAll="0" includeNewItemsInFilter="1" defaultSubtotal="0">
      <items count="2">
        <item m="1" x="1"/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Row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dataField="1"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name="Årsak" axis="axisRow" compact="0" outline="0" subtotalTop="0" showAll="0" includeNewItemsInFilter="1" defaultSubtotal="0">
      <items count="4">
        <item m="1" x="3"/>
        <item m="1" x="2"/>
        <item m="1" x="1"/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2">
        <item x="0"/>
        <item x="1"/>
      </items>
    </pivotField>
  </pivotFields>
  <rowFields count="6">
    <field x="13"/>
    <field x="62"/>
    <field x="55"/>
    <field x="48"/>
    <field x="64"/>
    <field x="63"/>
  </rowFields>
  <rowItems count="5">
    <i>
      <x/>
      <x v="3"/>
      <x/>
      <x v="1"/>
      <x v="1"/>
      <x/>
    </i>
    <i t="blank">
      <x/>
    </i>
    <i>
      <x v="1"/>
      <x v="3"/>
      <x/>
      <x v="1"/>
      <x/>
      <x/>
    </i>
    <i t="blank">
      <x v="1"/>
    </i>
    <i t="grand">
      <x/>
    </i>
  </rowItems>
  <colItems count="1">
    <i/>
  </colItems>
  <pageFields count="5">
    <pageField fld="31" hier="-1"/>
    <pageField fld="57" hier="-1"/>
    <pageField fld="60" hier="-1"/>
    <pageField fld="56" hier="-1"/>
    <pageField fld="49" hier="-1"/>
  </pageFields>
  <dataFields count="1">
    <dataField name="Verdi " fld="58" baseField="62" baseItem="0" numFmtId="38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BN3" totalsRowShown="0" headerRowDxfId="79">
  <autoFilter ref="A1:BN3"/>
  <tableColumns count="66">
    <tableColumn id="1" name="Customs Reference Number" dataDxfId="78"/>
    <tableColumn id="2" name="DokNo" dataDxfId="77"/>
    <tableColumn id="3" name="G/L Acct" dataDxfId="76"/>
    <tableColumn id="4" name="Ref. Doc." dataDxfId="75"/>
    <tableColumn id="5" name="0CHRT_ACCTS" dataDxfId="74"/>
    <tableColumn id="6" name="FirmaNavn" dataDxfId="73"/>
    <tableColumn id="7" name="Kostnadssted" dataDxfId="72"/>
    <tableColumn id="8" name="S" dataDxfId="71"/>
    <tableColumn id="9" name="0CO_AREA" dataDxfId="70"/>
    <tableColumn id="10" name="Klokke" dataDxfId="69"/>
    <tableColumn id="11" name="D/K" dataDxfId="68"/>
    <tableColumn id="12" name="D/K3" dataDxfId="67"/>
    <tableColumn id="13" name="Pstng Date" dataDxfId="66"/>
    <tableColumn id="14" name="Divisjon" dataDxfId="65"/>
    <tableColumn id="15" name="Dok. Dato" dataDxfId="64"/>
    <tableColumn id="16" name="Document Header Text" dataDxfId="63"/>
    <tableColumn id="17" name="MatÅr" dataDxfId="62"/>
    <tableColumn id="18" name="FYrRef" dataDxfId="61"/>
    <tableColumn id="19" name="I" dataDxfId="60"/>
    <tableColumn id="20" name="Språk Besk" dataDxfId="59"/>
    <tableColumn id="21" name="Material Besk" dataDxfId="58"/>
    <tableColumn id="22" name="Merke Navn" dataDxfId="57"/>
    <tableColumn id="23" name="Merke Paraply Navn" dataDxfId="56"/>
    <tableColumn id="24" name="Mtyp Besk" dataDxfId="55"/>
    <tableColumn id="26" name="Mat. Dok." dataDxfId="54"/>
    <tableColumn id="27" name="Bevegelsestype" dataDxfId="53"/>
    <tableColumn id="28" name="SLED/BBD" dataDxfId="52"/>
    <tableColumn id="29" name="Partner PC" dataDxfId="51"/>
    <tableColumn id="30" name="Fabrikk Besk" dataDxfId="50"/>
    <tableColumn id="31" name="Acc DocumentNo" dataDxfId="49"/>
    <tableColumn id="45" name="Produkthierarki Besk" dataDxfId="48"/>
    <tableColumn id="46" name="Profit ctr" dataDxfId="47"/>
    <tableColumn id="33" name="Reference" dataDxfId="46"/>
    <tableColumn id="48" name="Reg Dato" dataDxfId="45"/>
    <tableColumn id="49" name="Lager" dataDxfId="44"/>
    <tableColumn id="50" name="Lageradresse" dataDxfId="43"/>
    <tableColumn id="51" name="Typ" dataDxfId="42"/>
    <tableColumn id="52" name="Bruker" dataDxfId="41"/>
    <tableColumn id="53" name="Vur. Type" dataDxfId="40"/>
    <tableColumn id="54" name="Lagernummer" dataDxfId="39"/>
    <tableColumn id="55" name="Batch" dataDxfId="38"/>
    <tableColumn id="57" name="Reas.2" dataDxfId="37"/>
    <tableColumn id="42" name="MTy" dataDxfId="36"/>
    <tableColumn id="56" name="Reasontekst" dataDxfId="35"/>
    <tableColumn id="65" name="Column1" dataDxfId="0"/>
    <tableColumn id="58" name="Språk" dataDxfId="34"/>
    <tableColumn id="61" name="Material" dataDxfId="33"/>
    <tableColumn id="60" name="Merke Kode" dataDxfId="32"/>
    <tableColumn id="47" name="Merke Paraply Kode" dataDxfId="31"/>
    <tableColumn id="44" name="MTyp" dataDxfId="30"/>
    <tableColumn id="37" name="Fabrikk" dataDxfId="29"/>
    <tableColumn id="36" name="Produkthierarki" dataDxfId="28"/>
    <tableColumn id="25" name="Reason"/>
    <tableColumn id="35" name="Beløp lok. Val." dataDxfId="27"/>
    <tableColumn id="62" name="Kvantum" dataDxfId="26"/>
    <tableColumn id="34" name="Revaluation" dataDxfId="25"/>
    <tableColumn id="38" name="År-Måned" dataDxfId="24">
      <calculatedColumnFormula>YEAR(SapExlData[[#This Row],[Reg Dato]])&amp;"-"&amp;TEXT(MONTH(SapExlData[[#This Row],[Reg Dato]]),"00")</calculatedColumnFormula>
    </tableColumn>
    <tableColumn id="39" name="Måned" dataDxfId="23">
      <calculatedColumnFormula>RIGHT(SapExlData[[#This Row],[År-Måned]],2)</calculatedColumnFormula>
    </tableColumn>
    <tableColumn id="40" name="År" dataDxfId="22">
      <calculatedColumnFormula>LEFT(SapExlData[[#This Row],[År-Måned]],4)</calculatedColumnFormula>
    </tableColumn>
    <tableColumn id="41" name="Verdi" dataDxfId="21">
      <calculatedColumnFormula>IF(SapExlData[[#This Row],[D/K]]="H",SapExlData[[#This Row],[Beløp lok. Val.]],-SapExlData[[#This Row],[Beløp lok. Val.]])</calculatedColumnFormula>
    </tableColumn>
    <tableColumn id="63" name="Kvantum2" dataDxfId="20">
      <calculatedColumnFormula>IF(SapExlData[[#This Row],[D/K]]="H",SapExlData[[#This Row],[Kvantum]],-SapExlData[[#This Row],[Kvantum]])</calculatedColumnFormula>
    </tableColumn>
    <tableColumn id="43" name="Merke" dataDxfId="19">
      <calculatedColumnFormula>SapExlData[Merke Kode]&amp;" "&amp;SapExlData[Merke Navn]</calculatedColumnFormula>
    </tableColumn>
    <tableColumn id="68" name="Produkthierarki Navn" dataDxfId="18">
      <calculatedColumnFormula>SapExlData[Produkthierarki]&amp;" "&amp;SapExlData[Produkthierarki Besk]</calculatedColumnFormula>
    </tableColumn>
    <tableColumn id="70" name="Grunn" dataDxfId="17">
      <calculatedColumnFormula>TEXT(RIGHT(SapExlData[Reason],LEN(SapExlData[Reason])-4),"0000")&amp;" "&amp;SapExlData[Reasontekst]</calculatedColumnFormula>
    </tableColumn>
    <tableColumn id="73" name="Kommentarer" dataDxfId="16">
      <calculatedColumnFormula>IFERROR(VLOOKUP(TEXT(SapExlData[Material],"000000"),Comments[],COLUMN(Comments[[#Headers],[Comment]]),FALSE),"")</calculatedColumnFormula>
    </tableColumn>
    <tableColumn id="32" name="Material Navn" dataDxfId="15">
      <calculatedColumnFormula>TEXT(SapExlData[Material],"000000")&amp;" "&amp;SapExlData[[#This Row],[Material Besk]]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RFC_T157E" displayName="RFC_T157E" ref="A1:E3" totalsRowShown="0" headerRowCellStyle="Normal 5" dataCellStyle="Normal 5">
  <autoFilter ref="A1:E3"/>
  <tableColumns count="5">
    <tableColumn id="1" name="BWART" dataCellStyle="Normal 5"/>
    <tableColumn id="2" name="GRUND" dataDxfId="14" dataCellStyle="Normal 5">
      <calculatedColumnFormula>TEXT(A2,"0000")</calculatedColumnFormula>
    </tableColumn>
    <tableColumn id="3" name="GRTXT" dataCellStyle="Normal 5"/>
    <tableColumn id="4" name="Index" dataCellStyle="Normal 5">
      <calculatedColumnFormula>A2&amp;TEXT(B2,"0000")</calculatedColumnFormula>
    </tableColumn>
    <tableColumn id="5" name="Reason" dataCellStyle="Normal 5">
      <calculatedColumnFormula>C2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ExchangeRates" displayName="ExchangeRates" ref="A1:D14" totalsRowShown="0" headerRowDxfId="13">
  <autoFilter ref="A1:D14"/>
  <tableColumns count="4">
    <tableColumn id="1" name="From"/>
    <tableColumn id="2" name="To"/>
    <tableColumn id="3" name="Valid from" dataDxfId="12"/>
    <tableColumn id="4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Comments" displayName="Comments" ref="A1:C106" totalsRowShown="0">
  <autoFilter ref="A1:C106"/>
  <tableColumns count="3">
    <tableColumn id="1" name="Index"/>
    <tableColumn id="2" name="Comment"/>
    <tableColumn id="3" name="AvailibleDate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Descriptions" displayName="Descriptions" ref="A1:B50" totalsRowShown="0" headerRowDxfId="10">
  <autoFilter ref="A1:B50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9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8">
      <xmlColumnPr mapId="1" xpath="/XtraSerializer/@VariantID" xmlDataType="integer"/>
    </tableColumn>
    <tableColumn id="4" uniqueName="SheetName" name="SheetName" dataDxfId="7">
      <xmlColumnPr mapId="1" xpath="/XtraSerializer/property/@SheetName" xmlDataType="string"/>
    </tableColumn>
    <tableColumn id="5" uniqueName="TableName" name="TableName" dataDxfId="6">
      <xmlColumnPr mapId="1" xpath="/XtraSerializer/property/@TableName" xmlDataType="string"/>
    </tableColumn>
    <tableColumn id="6" uniqueName="Seq" name="Seq" dataDxfId="5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4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3">
      <xmlColumnPr mapId="1" xpath="/XtraSerializer/property/property/@FieldList" xmlDataType="integer"/>
    </tableColumn>
    <tableColumn id="14" uniqueName="MissingItems" name="MissingItems" dataDxfId="2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1"/>
    <tableColumn id="2" name="Value"/>
    <tableColumn id="3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BN3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4140625" defaultRowHeight="14.4" x14ac:dyDescent="0.3"/>
  <cols>
    <col min="1" max="1" width="27.77734375" customWidth="1"/>
    <col min="2" max="2" width="9.33203125" customWidth="1"/>
    <col min="3" max="3" width="10.77734375" customWidth="1"/>
    <col min="4" max="4" width="11.21875" customWidth="1"/>
    <col min="5" max="5" width="15.44140625" customWidth="1"/>
    <col min="6" max="6" width="12.77734375" customWidth="1"/>
    <col min="7" max="7" width="15.109375" customWidth="1"/>
    <col min="8" max="8" width="4.5546875" customWidth="1"/>
    <col min="9" max="9" width="12.77734375" customWidth="1"/>
    <col min="10" max="10" width="9.21875" customWidth="1"/>
    <col min="11" max="11" width="6.77734375" customWidth="1"/>
    <col min="12" max="12" width="7.88671875" customWidth="1"/>
    <col min="13" max="13" width="12.77734375" customWidth="1"/>
    <col min="14" max="14" width="10.44140625" customWidth="1"/>
    <col min="15" max="15" width="12" customWidth="1"/>
    <col min="16" max="16" width="23.33203125" customWidth="1"/>
    <col min="17" max="18" width="9.21875" customWidth="1"/>
    <col min="19" max="19" width="4.21875" customWidth="1"/>
    <col min="20" max="20" width="12.77734375" customWidth="1"/>
    <col min="21" max="21" width="15.44140625" customWidth="1"/>
    <col min="22" max="22" width="14.109375" customWidth="1"/>
    <col min="23" max="23" width="21.109375" customWidth="1"/>
    <col min="24" max="24" width="12.77734375" customWidth="1"/>
    <col min="25" max="25" width="12" customWidth="1"/>
    <col min="26" max="26" width="17.21875" customWidth="1"/>
    <col min="27" max="27" width="12.21875" customWidth="1"/>
    <col min="28" max="28" width="12.6640625" customWidth="1"/>
    <col min="29" max="29" width="14.21875" customWidth="1"/>
    <col min="30" max="30" width="18.33203125" customWidth="1"/>
    <col min="31" max="31" width="21.77734375" customWidth="1"/>
    <col min="32" max="32" width="11.21875" customWidth="1"/>
    <col min="33" max="33" width="12.33203125" customWidth="1"/>
    <col min="34" max="34" width="11.33203125" customWidth="1"/>
    <col min="35" max="35" width="8.21875" customWidth="1"/>
    <col min="36" max="36" width="14.77734375" customWidth="1"/>
    <col min="37" max="37" width="6.6640625" customWidth="1"/>
    <col min="38" max="38" width="9.33203125" customWidth="1"/>
    <col min="39" max="39" width="11.6640625" customWidth="1"/>
    <col min="40" max="40" width="15.33203125" customWidth="1"/>
    <col min="41" max="41" width="8.44140625" customWidth="1"/>
    <col min="42" max="42" width="9.21875" bestFit="1" customWidth="1"/>
    <col min="43" max="43" width="7.33203125" customWidth="1"/>
    <col min="44" max="44" width="14.21875" bestFit="1" customWidth="1"/>
    <col min="45" max="45" width="14.21875" customWidth="1"/>
    <col min="46" max="46" width="8.33203125" customWidth="1"/>
    <col min="47" max="47" width="11" customWidth="1"/>
    <col min="48" max="48" width="14" customWidth="1"/>
    <col min="49" max="49" width="20.88671875" customWidth="1"/>
    <col min="50" max="50" width="8.44140625" customWidth="1"/>
    <col min="51" max="51" width="9.77734375" customWidth="1"/>
    <col min="52" max="52" width="17.109375" customWidth="1"/>
    <col min="53" max="53" width="9.77734375" bestFit="1" customWidth="1"/>
    <col min="54" max="54" width="15.77734375" customWidth="1"/>
    <col min="55" max="55" width="11.109375" customWidth="1"/>
    <col min="56" max="56" width="13.77734375" customWidth="1"/>
    <col min="57" max="57" width="12.21875" customWidth="1"/>
    <col min="58" max="58" width="9.6640625" customWidth="1"/>
    <col min="59" max="59" width="5.6640625" customWidth="1"/>
    <col min="60" max="60" width="8.21875" customWidth="1"/>
    <col min="61" max="61" width="12.21875" customWidth="1"/>
    <col min="62" max="62" width="9.21875" customWidth="1"/>
    <col min="63" max="63" width="35" bestFit="1" customWidth="1"/>
    <col min="64" max="64" width="8.77734375" style="23" customWidth="1"/>
    <col min="65" max="65" width="13.21875" customWidth="1"/>
    <col min="66" max="66" width="15.77734375" customWidth="1"/>
  </cols>
  <sheetData>
    <row r="1" spans="1:66" s="10" customFormat="1" x14ac:dyDescent="0.3">
      <c r="A1" s="44" t="s">
        <v>147</v>
      </c>
      <c r="B1" s="44" t="s">
        <v>298</v>
      </c>
      <c r="C1" s="44" t="s">
        <v>138</v>
      </c>
      <c r="D1" s="44" t="s">
        <v>129</v>
      </c>
      <c r="E1" s="44" t="s">
        <v>243</v>
      </c>
      <c r="F1" s="44" t="s">
        <v>296</v>
      </c>
      <c r="G1" s="44" t="s">
        <v>297</v>
      </c>
      <c r="H1" s="44" t="s">
        <v>121</v>
      </c>
      <c r="I1" s="44" t="s">
        <v>244</v>
      </c>
      <c r="J1" s="44" t="s">
        <v>301</v>
      </c>
      <c r="K1" s="44" t="s">
        <v>299</v>
      </c>
      <c r="L1" s="44" t="s">
        <v>300</v>
      </c>
      <c r="M1" s="44" t="s">
        <v>141</v>
      </c>
      <c r="N1" s="44" t="s">
        <v>332</v>
      </c>
      <c r="O1" s="44" t="s">
        <v>302</v>
      </c>
      <c r="P1" s="44" t="s">
        <v>146</v>
      </c>
      <c r="Q1" s="44" t="s">
        <v>303</v>
      </c>
      <c r="R1" s="44" t="s">
        <v>128</v>
      </c>
      <c r="S1" s="44" t="s">
        <v>148</v>
      </c>
      <c r="T1" s="44" t="s">
        <v>304</v>
      </c>
      <c r="U1" s="44" t="s">
        <v>305</v>
      </c>
      <c r="V1" s="44" t="s">
        <v>306</v>
      </c>
      <c r="W1" s="44" t="s">
        <v>307</v>
      </c>
      <c r="X1" s="44" t="s">
        <v>308</v>
      </c>
      <c r="Y1" s="44" t="s">
        <v>309</v>
      </c>
      <c r="Z1" s="44" t="s">
        <v>310</v>
      </c>
      <c r="AA1" s="44" t="s">
        <v>139</v>
      </c>
      <c r="AB1" s="44" t="s">
        <v>149</v>
      </c>
      <c r="AC1" s="44" t="s">
        <v>311</v>
      </c>
      <c r="AD1" s="44" t="s">
        <v>245</v>
      </c>
      <c r="AE1" s="44" t="s">
        <v>325</v>
      </c>
      <c r="AF1" s="44" t="s">
        <v>246</v>
      </c>
      <c r="AG1" s="44" t="s">
        <v>145</v>
      </c>
      <c r="AH1" s="44" t="s">
        <v>313</v>
      </c>
      <c r="AI1" s="44" t="s">
        <v>314</v>
      </c>
      <c r="AJ1" s="44" t="s">
        <v>315</v>
      </c>
      <c r="AK1" s="44" t="s">
        <v>134</v>
      </c>
      <c r="AL1" s="44" t="s">
        <v>316</v>
      </c>
      <c r="AM1" s="44" t="s">
        <v>317</v>
      </c>
      <c r="AN1" s="44" t="s">
        <v>318</v>
      </c>
      <c r="AO1" s="44" t="s">
        <v>120</v>
      </c>
      <c r="AP1" s="44" t="s">
        <v>331</v>
      </c>
      <c r="AQ1" s="44" t="s">
        <v>136</v>
      </c>
      <c r="AR1" s="44" t="s">
        <v>334</v>
      </c>
      <c r="AS1" s="44" t="s">
        <v>345</v>
      </c>
      <c r="AT1" s="44" t="s">
        <v>319</v>
      </c>
      <c r="AU1" s="44" t="s">
        <v>6</v>
      </c>
      <c r="AV1" s="44" t="s">
        <v>320</v>
      </c>
      <c r="AW1" s="44" t="s">
        <v>321</v>
      </c>
      <c r="AX1" s="44" t="s">
        <v>2</v>
      </c>
      <c r="AY1" s="44" t="s">
        <v>322</v>
      </c>
      <c r="AZ1" s="44" t="s">
        <v>293</v>
      </c>
      <c r="BA1" s="44" t="s">
        <v>152</v>
      </c>
      <c r="BB1" s="44" t="s">
        <v>323</v>
      </c>
      <c r="BC1" s="44" t="s">
        <v>324</v>
      </c>
      <c r="BD1" s="44" t="s">
        <v>125</v>
      </c>
      <c r="BE1" s="18" t="s">
        <v>287</v>
      </c>
      <c r="BF1" s="18" t="s">
        <v>288</v>
      </c>
      <c r="BG1" s="18" t="s">
        <v>289</v>
      </c>
      <c r="BH1" s="18" t="s">
        <v>290</v>
      </c>
      <c r="BI1" s="18" t="s">
        <v>291</v>
      </c>
      <c r="BJ1" s="18" t="s">
        <v>292</v>
      </c>
      <c r="BK1" s="18" t="s">
        <v>312</v>
      </c>
      <c r="BL1" s="47" t="s">
        <v>295</v>
      </c>
      <c r="BM1" s="18" t="s">
        <v>333</v>
      </c>
      <c r="BN1" s="18" t="s">
        <v>294</v>
      </c>
    </row>
    <row r="2" spans="1:66" x14ac:dyDescent="0.3">
      <c r="A2" s="27" t="s">
        <v>247</v>
      </c>
      <c r="B2" s="27" t="s">
        <v>247</v>
      </c>
      <c r="C2" s="27" t="s">
        <v>248</v>
      </c>
      <c r="D2" s="27"/>
      <c r="E2" s="27" t="s">
        <v>248</v>
      </c>
      <c r="F2" s="27" t="s">
        <v>249</v>
      </c>
      <c r="G2" s="23" t="s">
        <v>250</v>
      </c>
      <c r="H2" s="27" t="s">
        <v>251</v>
      </c>
      <c r="I2" s="27" t="s">
        <v>248</v>
      </c>
      <c r="J2" s="29">
        <v>0.42940972222222223</v>
      </c>
      <c r="K2" s="27" t="s">
        <v>150</v>
      </c>
      <c r="L2" s="23"/>
      <c r="M2" s="23" t="s">
        <v>252</v>
      </c>
      <c r="N2" s="27" t="s">
        <v>253</v>
      </c>
      <c r="O2" s="23" t="s">
        <v>254</v>
      </c>
      <c r="P2" s="23"/>
      <c r="Q2" s="23">
        <v>2013</v>
      </c>
      <c r="R2" s="27" t="s">
        <v>255</v>
      </c>
      <c r="S2" s="27">
        <v>1</v>
      </c>
      <c r="T2" s="27" t="s">
        <v>256</v>
      </c>
      <c r="U2" s="27" t="s">
        <v>257</v>
      </c>
      <c r="V2" s="27" t="s">
        <v>258</v>
      </c>
      <c r="W2" s="27" t="s">
        <v>259</v>
      </c>
      <c r="X2" s="27" t="s">
        <v>260</v>
      </c>
      <c r="Y2" s="27">
        <v>4901549700</v>
      </c>
      <c r="Z2" s="27">
        <v>956</v>
      </c>
      <c r="AA2" s="27" t="s">
        <v>254</v>
      </c>
      <c r="AB2" s="27" t="s">
        <v>261</v>
      </c>
      <c r="AC2" s="27" t="s">
        <v>262</v>
      </c>
      <c r="AD2" s="27" t="s">
        <v>263</v>
      </c>
      <c r="AE2" s="28" t="s">
        <v>264</v>
      </c>
      <c r="AF2" s="28" t="s">
        <v>265</v>
      </c>
      <c r="AG2" s="28">
        <v>80521136</v>
      </c>
      <c r="AH2" s="28" t="s">
        <v>254</v>
      </c>
      <c r="AI2" s="29" t="s">
        <v>266</v>
      </c>
      <c r="AJ2" s="27">
        <v>80521136</v>
      </c>
      <c r="AK2" s="27" t="s">
        <v>267</v>
      </c>
      <c r="AL2" s="27" t="s">
        <v>268</v>
      </c>
      <c r="AM2" s="27"/>
      <c r="AN2" s="27">
        <v>125</v>
      </c>
      <c r="AO2" s="27">
        <v>1171289</v>
      </c>
      <c r="AP2" s="27"/>
      <c r="AQ2" s="27"/>
      <c r="AR2" s="27"/>
      <c r="AS2" s="27"/>
      <c r="AT2" s="30" t="s">
        <v>60</v>
      </c>
      <c r="AU2" s="27">
        <v>1518</v>
      </c>
      <c r="AV2" s="27" t="s">
        <v>269</v>
      </c>
      <c r="AW2" s="27" t="s">
        <v>270</v>
      </c>
      <c r="AX2" s="27" t="s">
        <v>271</v>
      </c>
      <c r="AY2" s="27" t="s">
        <v>272</v>
      </c>
      <c r="AZ2">
        <v>200700010102</v>
      </c>
      <c r="BB2">
        <v>58.64</v>
      </c>
      <c r="BC2">
        <v>1</v>
      </c>
      <c r="BD2">
        <v>0</v>
      </c>
      <c r="BE2" s="27" t="str">
        <f>YEAR(SapExlData[[#This Row],[Reg Dato]])&amp;"-"&amp;TEXT(MONTH(SapExlData[[#This Row],[Reg Dato]]),"00")</f>
        <v>2013-01</v>
      </c>
      <c r="BF2" s="27" t="str">
        <f>RIGHT(SapExlData[[#This Row],[År-Måned]],2)</f>
        <v>01</v>
      </c>
      <c r="BG2" s="27" t="str">
        <f>LEFT(SapExlData[[#This Row],[År-Måned]],4)</f>
        <v>2013</v>
      </c>
      <c r="BH2" s="27">
        <f>IF(SapExlData[[#This Row],[D/K]]="H",SapExlData[[#This Row],[Beløp lok. Val.]],-SapExlData[[#This Row],[Beløp lok. Val.]])</f>
        <v>58.64</v>
      </c>
      <c r="BI2" s="27">
        <f>IF(SapExlData[[#This Row],[D/K]]="H",SapExlData[[#This Row],[Kvantum]],-SapExlData[[#This Row],[Kvantum]])</f>
        <v>1</v>
      </c>
      <c r="BJ2" t="str">
        <f>SapExlData[Merke Kode]&amp;" "&amp;SapExlData[Merke Navn]</f>
        <v>MO520 STABBURET LEVERPOSTE</v>
      </c>
      <c r="BK2" t="str">
        <f>SapExlData[Produkthierarki]&amp;" "&amp;SapExlData[Produkthierarki Besk]</f>
        <v>200700010102 Product Hierarchy Name</v>
      </c>
      <c r="BL2" s="23" t="e">
        <f>TEXT(RIGHT(SapExlData[Reason],LEN(SapExlData[Reason])-4),"0000")&amp;" "&amp;SapExlData[Reasontekst]</f>
        <v>#VALUE!</v>
      </c>
      <c r="BM2" t="str">
        <f>IFERROR(VLOOKUP(TEXT(SapExlData[Material],"000000"),Comments[],COLUMN(Comments[[#Headers],[Comment]]),FALSE),"")</f>
        <v/>
      </c>
      <c r="BN2" s="23" t="str">
        <f>TEXT(SapExlData[Material],"000000")&amp;" "&amp;SapExlData[[#This Row],[Material Besk]]</f>
        <v>001518 Stabb Leverp Bacon Porsj 70x22g</v>
      </c>
    </row>
    <row r="3" spans="1:66" x14ac:dyDescent="0.3">
      <c r="A3" s="27" t="s">
        <v>247</v>
      </c>
      <c r="B3" s="23" t="s">
        <v>247</v>
      </c>
      <c r="C3" s="27" t="s">
        <v>248</v>
      </c>
      <c r="D3" s="27"/>
      <c r="E3" s="27" t="s">
        <v>248</v>
      </c>
      <c r="F3" s="27" t="s">
        <v>249</v>
      </c>
      <c r="G3" s="23" t="s">
        <v>250</v>
      </c>
      <c r="H3" s="23" t="s">
        <v>251</v>
      </c>
      <c r="I3" s="27" t="s">
        <v>248</v>
      </c>
      <c r="J3" s="29">
        <v>0.42940972222222223</v>
      </c>
      <c r="K3" s="27" t="s">
        <v>150</v>
      </c>
      <c r="L3" s="23"/>
      <c r="M3" s="23"/>
      <c r="N3" s="27" t="s">
        <v>273</v>
      </c>
      <c r="O3" s="23" t="s">
        <v>254</v>
      </c>
      <c r="P3" s="23"/>
      <c r="Q3" s="23">
        <v>2013</v>
      </c>
      <c r="R3" s="27" t="s">
        <v>255</v>
      </c>
      <c r="S3" s="27">
        <v>1</v>
      </c>
      <c r="T3" s="27" t="s">
        <v>256</v>
      </c>
      <c r="U3" s="27" t="s">
        <v>274</v>
      </c>
      <c r="V3" s="27" t="s">
        <v>275</v>
      </c>
      <c r="W3" s="27" t="s">
        <v>259</v>
      </c>
      <c r="X3" s="27" t="s">
        <v>260</v>
      </c>
      <c r="Y3" s="27">
        <v>4901549700</v>
      </c>
      <c r="Z3" s="23">
        <v>956</v>
      </c>
      <c r="AA3" s="27" t="s">
        <v>254</v>
      </c>
      <c r="AB3" s="27" t="s">
        <v>261</v>
      </c>
      <c r="AC3" s="27" t="s">
        <v>262</v>
      </c>
      <c r="AD3" s="27" t="s">
        <v>263</v>
      </c>
      <c r="AE3" s="28" t="s">
        <v>276</v>
      </c>
      <c r="AF3" s="28" t="s">
        <v>277</v>
      </c>
      <c r="AG3" s="28">
        <v>80521136</v>
      </c>
      <c r="AH3" s="28" t="s">
        <v>254</v>
      </c>
      <c r="AI3" s="29" t="s">
        <v>266</v>
      </c>
      <c r="AJ3" s="27">
        <v>80521136</v>
      </c>
      <c r="AK3" s="27" t="s">
        <v>267</v>
      </c>
      <c r="AL3" s="27" t="s">
        <v>268</v>
      </c>
      <c r="AM3" s="27"/>
      <c r="AN3" s="27">
        <v>125</v>
      </c>
      <c r="AO3" s="27"/>
      <c r="AP3" s="27"/>
      <c r="AQ3" s="27"/>
      <c r="AR3" s="27"/>
      <c r="AS3" s="27"/>
      <c r="AT3" s="30" t="s">
        <v>60</v>
      </c>
      <c r="AU3" s="27">
        <v>1642</v>
      </c>
      <c r="AV3" s="27" t="s">
        <v>278</v>
      </c>
      <c r="AW3" s="27" t="s">
        <v>270</v>
      </c>
      <c r="AX3" s="27" t="s">
        <v>271</v>
      </c>
      <c r="AY3" s="27" t="s">
        <v>272</v>
      </c>
      <c r="AZ3" s="23">
        <v>600300040107</v>
      </c>
      <c r="BA3" s="23"/>
      <c r="BB3" s="23">
        <v>241.62</v>
      </c>
      <c r="BC3" s="23">
        <v>3</v>
      </c>
      <c r="BD3" s="23">
        <v>0</v>
      </c>
      <c r="BE3" s="27" t="str">
        <f>YEAR(SapExlData[[#This Row],[Reg Dato]])&amp;"-"&amp;TEXT(MONTH(SapExlData[[#This Row],[Reg Dato]]),"00")</f>
        <v>2013-01</v>
      </c>
      <c r="BF3" s="27" t="str">
        <f>RIGHT(SapExlData[[#This Row],[År-Måned]],2)</f>
        <v>01</v>
      </c>
      <c r="BG3" s="27" t="str">
        <f>LEFT(SapExlData[[#This Row],[År-Måned]],4)</f>
        <v>2013</v>
      </c>
      <c r="BH3" s="27">
        <f>IF(SapExlData[[#This Row],[D/K]]="H",SapExlData[[#This Row],[Beløp lok. Val.]],-SapExlData[[#This Row],[Beløp lok. Val.]])</f>
        <v>241.62</v>
      </c>
      <c r="BI3" s="27">
        <f>IF(SapExlData[[#This Row],[D/K]]="H",SapExlData[[#This Row],[Kvantum]],-SapExlData[[#This Row],[Kvantum]])</f>
        <v>3</v>
      </c>
      <c r="BJ3" s="23" t="str">
        <f>SapExlData[Merke Kode]&amp;" "&amp;SapExlData[Merke Navn]</f>
        <v>MO540 STABBUR-MAKRELL</v>
      </c>
      <c r="BK3" s="23" t="str">
        <f>SapExlData[Produkthierarki]&amp;" "&amp;SapExlData[Produkthierarki Besk]</f>
        <v>600300040107 MAKRELL CLUB</v>
      </c>
      <c r="BL3" s="23" t="e">
        <f>TEXT(RIGHT(SapExlData[Reason],LEN(SapExlData[Reason])-4),"0000")&amp;" "&amp;SapExlData[Reasontekst]</f>
        <v>#VALUE!</v>
      </c>
      <c r="BM3" s="23" t="str">
        <f>IFERROR(VLOOKUP(TEXT(SapExlData[Material],"000000"),Comments[],COLUMN(Comments[[#Headers],[Comment]]),FALSE),"")</f>
        <v/>
      </c>
      <c r="BN3" s="23" t="str">
        <f>TEXT(SapExlData[Material],"000000")&amp;" "&amp;SapExlData[[#This Row],[Material Besk]]</f>
        <v>001642 Stabbur-Makrell Pepper 20x80g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>
    <tabColor indexed="29"/>
  </sheetPr>
  <dimension ref="A1:B952"/>
  <sheetViews>
    <sheetView showGridLines="0" showZeros="0" zoomScale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11.44140625" defaultRowHeight="13.2" x14ac:dyDescent="0.25"/>
  <cols>
    <col min="1" max="1" width="11.44140625" style="32"/>
    <col min="2" max="2" width="8.77734375" style="32" bestFit="1" customWidth="1"/>
    <col min="3" max="16384" width="11.44140625" style="32"/>
  </cols>
  <sheetData>
    <row r="1" spans="1:2" x14ac:dyDescent="0.25">
      <c r="A1" s="32" t="s">
        <v>153</v>
      </c>
      <c r="B1" s="32" t="s">
        <v>154</v>
      </c>
    </row>
    <row r="2" spans="1:2" x14ac:dyDescent="0.25">
      <c r="A2" s="33">
        <v>73</v>
      </c>
      <c r="B2" s="33" t="s">
        <v>155</v>
      </c>
    </row>
    <row r="3" spans="1:2" x14ac:dyDescent="0.25">
      <c r="A3" s="33">
        <v>154</v>
      </c>
      <c r="B3" s="33" t="s">
        <v>156</v>
      </c>
    </row>
    <row r="4" spans="1:2" x14ac:dyDescent="0.25">
      <c r="A4" s="33">
        <v>204</v>
      </c>
      <c r="B4" s="33" t="s">
        <v>155</v>
      </c>
    </row>
    <row r="5" spans="1:2" x14ac:dyDescent="0.25">
      <c r="A5" s="33">
        <v>207</v>
      </c>
      <c r="B5" s="33" t="s">
        <v>157</v>
      </c>
    </row>
    <row r="6" spans="1:2" x14ac:dyDescent="0.25">
      <c r="A6" s="33">
        <v>218</v>
      </c>
      <c r="B6" s="33" t="s">
        <v>155</v>
      </c>
    </row>
    <row r="7" spans="1:2" x14ac:dyDescent="0.25">
      <c r="A7" s="33">
        <v>227</v>
      </c>
      <c r="B7" s="33" t="s">
        <v>157</v>
      </c>
    </row>
    <row r="8" spans="1:2" x14ac:dyDescent="0.25">
      <c r="A8" s="33">
        <v>441</v>
      </c>
      <c r="B8" s="33" t="s">
        <v>158</v>
      </c>
    </row>
    <row r="9" spans="1:2" x14ac:dyDescent="0.25">
      <c r="A9" s="33">
        <v>474</v>
      </c>
      <c r="B9" s="33" t="s">
        <v>159</v>
      </c>
    </row>
    <row r="10" spans="1:2" x14ac:dyDescent="0.25">
      <c r="A10" s="33">
        <v>481</v>
      </c>
      <c r="B10" s="33" t="s">
        <v>160</v>
      </c>
    </row>
    <row r="11" spans="1:2" x14ac:dyDescent="0.25">
      <c r="A11" s="33">
        <v>482</v>
      </c>
      <c r="B11" s="33" t="s">
        <v>160</v>
      </c>
    </row>
    <row r="12" spans="1:2" x14ac:dyDescent="0.25">
      <c r="A12" s="33">
        <v>492</v>
      </c>
      <c r="B12" s="33" t="s">
        <v>159</v>
      </c>
    </row>
    <row r="13" spans="1:2" x14ac:dyDescent="0.25">
      <c r="A13" s="33">
        <v>495</v>
      </c>
      <c r="B13" s="33" t="s">
        <v>158</v>
      </c>
    </row>
    <row r="14" spans="1:2" x14ac:dyDescent="0.25">
      <c r="A14" s="33">
        <v>502</v>
      </c>
      <c r="B14" s="33" t="s">
        <v>155</v>
      </c>
    </row>
    <row r="15" spans="1:2" x14ac:dyDescent="0.25">
      <c r="A15" s="33">
        <v>544</v>
      </c>
      <c r="B15" s="33" t="s">
        <v>155</v>
      </c>
    </row>
    <row r="16" spans="1:2" x14ac:dyDescent="0.25">
      <c r="A16" s="33">
        <v>599</v>
      </c>
      <c r="B16" s="33" t="s">
        <v>159</v>
      </c>
    </row>
    <row r="17" spans="1:2" x14ac:dyDescent="0.25">
      <c r="A17" s="33">
        <v>601</v>
      </c>
      <c r="B17" s="33" t="s">
        <v>158</v>
      </c>
    </row>
    <row r="18" spans="1:2" x14ac:dyDescent="0.25">
      <c r="A18" s="33">
        <v>721</v>
      </c>
      <c r="B18" s="33" t="s">
        <v>161</v>
      </c>
    </row>
    <row r="19" spans="1:2" x14ac:dyDescent="0.25">
      <c r="A19" s="33">
        <v>722</v>
      </c>
      <c r="B19" s="33" t="s">
        <v>161</v>
      </c>
    </row>
    <row r="20" spans="1:2" x14ac:dyDescent="0.25">
      <c r="A20" s="33">
        <v>723</v>
      </c>
      <c r="B20" s="33" t="s">
        <v>161</v>
      </c>
    </row>
    <row r="21" spans="1:2" x14ac:dyDescent="0.25">
      <c r="A21" s="33">
        <v>724</v>
      </c>
      <c r="B21" s="33" t="s">
        <v>161</v>
      </c>
    </row>
    <row r="22" spans="1:2" x14ac:dyDescent="0.25">
      <c r="A22" s="33">
        <v>725</v>
      </c>
      <c r="B22" s="33" t="s">
        <v>161</v>
      </c>
    </row>
    <row r="23" spans="1:2" x14ac:dyDescent="0.25">
      <c r="A23" s="33">
        <v>727</v>
      </c>
      <c r="B23" s="33" t="s">
        <v>161</v>
      </c>
    </row>
    <row r="24" spans="1:2" x14ac:dyDescent="0.25">
      <c r="A24" s="33">
        <v>754</v>
      </c>
      <c r="B24" s="33" t="s">
        <v>161</v>
      </c>
    </row>
    <row r="25" spans="1:2" x14ac:dyDescent="0.25">
      <c r="A25" s="33">
        <v>802</v>
      </c>
      <c r="B25" s="33" t="s">
        <v>155</v>
      </c>
    </row>
    <row r="26" spans="1:2" x14ac:dyDescent="0.25">
      <c r="A26" s="33">
        <v>828</v>
      </c>
      <c r="B26" s="33" t="s">
        <v>162</v>
      </c>
    </row>
    <row r="27" spans="1:2" x14ac:dyDescent="0.25">
      <c r="A27" s="33">
        <v>838</v>
      </c>
      <c r="B27" s="33" t="s">
        <v>162</v>
      </c>
    </row>
    <row r="28" spans="1:2" x14ac:dyDescent="0.25">
      <c r="A28" s="33">
        <v>851</v>
      </c>
      <c r="B28" s="33" t="s">
        <v>163</v>
      </c>
    </row>
    <row r="29" spans="1:2" x14ac:dyDescent="0.25">
      <c r="A29" s="33">
        <v>883</v>
      </c>
      <c r="B29" s="33" t="s">
        <v>164</v>
      </c>
    </row>
    <row r="30" spans="1:2" x14ac:dyDescent="0.25">
      <c r="A30" s="33">
        <v>900</v>
      </c>
      <c r="B30" s="33" t="s">
        <v>164</v>
      </c>
    </row>
    <row r="31" spans="1:2" x14ac:dyDescent="0.25">
      <c r="A31" s="33">
        <v>902</v>
      </c>
      <c r="B31" s="33" t="s">
        <v>155</v>
      </c>
    </row>
    <row r="32" spans="1:2" x14ac:dyDescent="0.25">
      <c r="A32" s="33">
        <v>947</v>
      </c>
      <c r="B32" s="33" t="s">
        <v>155</v>
      </c>
    </row>
    <row r="33" spans="1:2" x14ac:dyDescent="0.25">
      <c r="A33" s="33">
        <v>993</v>
      </c>
      <c r="B33" s="33" t="s">
        <v>155</v>
      </c>
    </row>
    <row r="34" spans="1:2" x14ac:dyDescent="0.25">
      <c r="A34" s="33">
        <v>1001</v>
      </c>
      <c r="B34" s="33" t="s">
        <v>165</v>
      </c>
    </row>
    <row r="35" spans="1:2" x14ac:dyDescent="0.25">
      <c r="A35" s="33">
        <v>1109</v>
      </c>
      <c r="B35" s="33" t="s">
        <v>155</v>
      </c>
    </row>
    <row r="36" spans="1:2" x14ac:dyDescent="0.25">
      <c r="A36" s="33">
        <v>1119</v>
      </c>
      <c r="B36" s="33" t="s">
        <v>155</v>
      </c>
    </row>
    <row r="37" spans="1:2" x14ac:dyDescent="0.25">
      <c r="A37" s="33">
        <v>1202</v>
      </c>
      <c r="B37" s="33" t="s">
        <v>155</v>
      </c>
    </row>
    <row r="38" spans="1:2" x14ac:dyDescent="0.25">
      <c r="A38" s="33">
        <v>1217</v>
      </c>
      <c r="B38" s="33" t="s">
        <v>155</v>
      </c>
    </row>
    <row r="39" spans="1:2" x14ac:dyDescent="0.25">
      <c r="A39" s="33">
        <v>1232</v>
      </c>
      <c r="B39" s="33" t="s">
        <v>155</v>
      </c>
    </row>
    <row r="40" spans="1:2" x14ac:dyDescent="0.25">
      <c r="A40" s="33">
        <v>1265</v>
      </c>
      <c r="B40" s="33" t="s">
        <v>165</v>
      </c>
    </row>
    <row r="41" spans="1:2" x14ac:dyDescent="0.25">
      <c r="A41" s="33">
        <v>1272</v>
      </c>
      <c r="B41" s="33" t="s">
        <v>166</v>
      </c>
    </row>
    <row r="42" spans="1:2" x14ac:dyDescent="0.25">
      <c r="A42" s="33">
        <v>1303</v>
      </c>
      <c r="B42" s="33" t="s">
        <v>155</v>
      </c>
    </row>
    <row r="43" spans="1:2" x14ac:dyDescent="0.25">
      <c r="A43" s="33">
        <v>1322</v>
      </c>
      <c r="B43" s="33" t="s">
        <v>155</v>
      </c>
    </row>
    <row r="44" spans="1:2" x14ac:dyDescent="0.25">
      <c r="A44" s="33">
        <v>1332</v>
      </c>
      <c r="B44" s="33" t="s">
        <v>155</v>
      </c>
    </row>
    <row r="45" spans="1:2" x14ac:dyDescent="0.25">
      <c r="A45" s="33">
        <v>1403</v>
      </c>
      <c r="B45" s="33" t="s">
        <v>155</v>
      </c>
    </row>
    <row r="46" spans="1:2" x14ac:dyDescent="0.25">
      <c r="A46" s="33">
        <v>1425</v>
      </c>
      <c r="B46" s="33" t="s">
        <v>167</v>
      </c>
    </row>
    <row r="47" spans="1:2" x14ac:dyDescent="0.25">
      <c r="A47" s="33">
        <v>1451</v>
      </c>
      <c r="B47" s="33" t="s">
        <v>155</v>
      </c>
    </row>
    <row r="48" spans="1:2" x14ac:dyDescent="0.25">
      <c r="A48" s="33">
        <v>1502</v>
      </c>
      <c r="B48" s="33" t="s">
        <v>155</v>
      </c>
    </row>
    <row r="49" spans="1:2" x14ac:dyDescent="0.25">
      <c r="A49" s="33">
        <v>1509</v>
      </c>
      <c r="B49" s="33" t="s">
        <v>164</v>
      </c>
    </row>
    <row r="50" spans="1:2" x14ac:dyDescent="0.25">
      <c r="A50" s="33">
        <v>1516</v>
      </c>
      <c r="B50" s="33" t="s">
        <v>155</v>
      </c>
    </row>
    <row r="51" spans="1:2" x14ac:dyDescent="0.25">
      <c r="A51" s="33">
        <v>1527</v>
      </c>
      <c r="B51" s="33" t="s">
        <v>155</v>
      </c>
    </row>
    <row r="52" spans="1:2" x14ac:dyDescent="0.25">
      <c r="A52" s="33">
        <v>1542</v>
      </c>
      <c r="B52" s="33" t="s">
        <v>155</v>
      </c>
    </row>
    <row r="53" spans="1:2" x14ac:dyDescent="0.25">
      <c r="A53" s="33">
        <v>1545</v>
      </c>
      <c r="B53" s="33" t="s">
        <v>155</v>
      </c>
    </row>
    <row r="54" spans="1:2" x14ac:dyDescent="0.25">
      <c r="A54" s="33">
        <v>1561</v>
      </c>
      <c r="B54" s="33" t="s">
        <v>155</v>
      </c>
    </row>
    <row r="55" spans="1:2" x14ac:dyDescent="0.25">
      <c r="A55" s="33">
        <v>1572</v>
      </c>
      <c r="B55" s="33" t="s">
        <v>168</v>
      </c>
    </row>
    <row r="56" spans="1:2" x14ac:dyDescent="0.25">
      <c r="A56" s="33">
        <v>1601</v>
      </c>
      <c r="B56" s="33" t="s">
        <v>155</v>
      </c>
    </row>
    <row r="57" spans="1:2" x14ac:dyDescent="0.25">
      <c r="A57" s="33">
        <v>1632</v>
      </c>
      <c r="B57" s="33" t="s">
        <v>169</v>
      </c>
    </row>
    <row r="58" spans="1:2" x14ac:dyDescent="0.25">
      <c r="A58" s="33">
        <v>1704</v>
      </c>
      <c r="B58" s="33" t="s">
        <v>155</v>
      </c>
    </row>
    <row r="59" spans="1:2" x14ac:dyDescent="0.25">
      <c r="A59" s="33">
        <v>1711</v>
      </c>
      <c r="B59" s="33" t="s">
        <v>161</v>
      </c>
    </row>
    <row r="60" spans="1:2" x14ac:dyDescent="0.25">
      <c r="A60" s="33">
        <v>1714</v>
      </c>
      <c r="B60" s="33" t="s">
        <v>161</v>
      </c>
    </row>
    <row r="61" spans="1:2" x14ac:dyDescent="0.25">
      <c r="A61" s="33">
        <v>1733</v>
      </c>
      <c r="B61" s="33" t="s">
        <v>170</v>
      </c>
    </row>
    <row r="62" spans="1:2" x14ac:dyDescent="0.25">
      <c r="A62" s="33">
        <v>1741</v>
      </c>
      <c r="B62" s="33" t="s">
        <v>159</v>
      </c>
    </row>
    <row r="63" spans="1:2" x14ac:dyDescent="0.25">
      <c r="A63" s="33">
        <v>1803</v>
      </c>
      <c r="B63" s="33" t="s">
        <v>155</v>
      </c>
    </row>
    <row r="64" spans="1:2" x14ac:dyDescent="0.25">
      <c r="A64" s="33">
        <v>1821</v>
      </c>
      <c r="B64" s="33" t="s">
        <v>155</v>
      </c>
    </row>
    <row r="65" spans="1:2" x14ac:dyDescent="0.25">
      <c r="A65" s="33">
        <v>1841</v>
      </c>
      <c r="B65" s="33" t="s">
        <v>161</v>
      </c>
    </row>
    <row r="66" spans="1:2" x14ac:dyDescent="0.25">
      <c r="A66" s="33">
        <v>1842</v>
      </c>
      <c r="B66" s="33" t="s">
        <v>161</v>
      </c>
    </row>
    <row r="67" spans="1:2" x14ac:dyDescent="0.25">
      <c r="A67" s="33">
        <v>1843</v>
      </c>
      <c r="B67" s="33" t="s">
        <v>171</v>
      </c>
    </row>
    <row r="68" spans="1:2" x14ac:dyDescent="0.25">
      <c r="A68" s="33">
        <v>1871</v>
      </c>
      <c r="B68" s="33" t="s">
        <v>161</v>
      </c>
    </row>
    <row r="69" spans="1:2" x14ac:dyDescent="0.25">
      <c r="A69" s="33">
        <v>1993</v>
      </c>
      <c r="B69" s="33" t="s">
        <v>171</v>
      </c>
    </row>
    <row r="70" spans="1:2" x14ac:dyDescent="0.25">
      <c r="A70" s="33">
        <v>2006</v>
      </c>
      <c r="B70" s="33" t="s">
        <v>155</v>
      </c>
    </row>
    <row r="71" spans="1:2" x14ac:dyDescent="0.25">
      <c r="A71" s="33">
        <v>2022</v>
      </c>
      <c r="B71" s="33" t="s">
        <v>172</v>
      </c>
    </row>
    <row r="72" spans="1:2" x14ac:dyDescent="0.25">
      <c r="A72" s="33">
        <v>2023</v>
      </c>
      <c r="B72" s="33" t="s">
        <v>173</v>
      </c>
    </row>
    <row r="73" spans="1:2" x14ac:dyDescent="0.25">
      <c r="A73" s="33">
        <v>2026</v>
      </c>
      <c r="B73" s="33" t="s">
        <v>172</v>
      </c>
    </row>
    <row r="74" spans="1:2" x14ac:dyDescent="0.25">
      <c r="A74" s="33">
        <v>2027</v>
      </c>
      <c r="B74" s="33" t="s">
        <v>172</v>
      </c>
    </row>
    <row r="75" spans="1:2" x14ac:dyDescent="0.25">
      <c r="A75" s="33">
        <v>2028</v>
      </c>
      <c r="B75" s="33" t="s">
        <v>172</v>
      </c>
    </row>
    <row r="76" spans="1:2" x14ac:dyDescent="0.25">
      <c r="A76" s="33">
        <v>2031</v>
      </c>
      <c r="B76" s="33" t="s">
        <v>172</v>
      </c>
    </row>
    <row r="77" spans="1:2" x14ac:dyDescent="0.25">
      <c r="A77" s="33">
        <v>2032</v>
      </c>
      <c r="B77" s="33" t="s">
        <v>174</v>
      </c>
    </row>
    <row r="78" spans="1:2" x14ac:dyDescent="0.25">
      <c r="A78" s="33">
        <v>2034</v>
      </c>
      <c r="B78" s="33" t="s">
        <v>172</v>
      </c>
    </row>
    <row r="79" spans="1:2" x14ac:dyDescent="0.25">
      <c r="A79" s="33">
        <v>2053</v>
      </c>
      <c r="B79" s="33" t="s">
        <v>175</v>
      </c>
    </row>
    <row r="80" spans="1:2" x14ac:dyDescent="0.25">
      <c r="A80" s="33">
        <v>2062</v>
      </c>
      <c r="B80" s="33" t="s">
        <v>176</v>
      </c>
    </row>
    <row r="81" spans="1:2" x14ac:dyDescent="0.25">
      <c r="A81" s="33">
        <v>2065</v>
      </c>
      <c r="B81" s="33" t="s">
        <v>161</v>
      </c>
    </row>
    <row r="82" spans="1:2" x14ac:dyDescent="0.25">
      <c r="A82" s="33">
        <v>2072</v>
      </c>
      <c r="B82" s="33" t="s">
        <v>177</v>
      </c>
    </row>
    <row r="83" spans="1:2" x14ac:dyDescent="0.25">
      <c r="A83" s="33">
        <v>2074</v>
      </c>
      <c r="B83" s="33" t="s">
        <v>172</v>
      </c>
    </row>
    <row r="84" spans="1:2" x14ac:dyDescent="0.25">
      <c r="A84" s="33">
        <v>2076</v>
      </c>
      <c r="B84" s="33" t="s">
        <v>172</v>
      </c>
    </row>
    <row r="85" spans="1:2" x14ac:dyDescent="0.25">
      <c r="A85" s="33">
        <v>2077</v>
      </c>
      <c r="B85" s="33" t="s">
        <v>172</v>
      </c>
    </row>
    <row r="86" spans="1:2" x14ac:dyDescent="0.25">
      <c r="A86" s="33">
        <v>2080</v>
      </c>
      <c r="B86" s="33" t="s">
        <v>178</v>
      </c>
    </row>
    <row r="87" spans="1:2" x14ac:dyDescent="0.25">
      <c r="A87" s="33">
        <v>2081</v>
      </c>
      <c r="B87" s="33" t="s">
        <v>178</v>
      </c>
    </row>
    <row r="88" spans="1:2" x14ac:dyDescent="0.25">
      <c r="A88" s="33">
        <v>2082</v>
      </c>
      <c r="B88" s="33" t="s">
        <v>177</v>
      </c>
    </row>
    <row r="89" spans="1:2" x14ac:dyDescent="0.25">
      <c r="A89" s="33">
        <v>2083</v>
      </c>
      <c r="B89" s="33" t="s">
        <v>178</v>
      </c>
    </row>
    <row r="90" spans="1:2" x14ac:dyDescent="0.25">
      <c r="A90" s="33">
        <v>2084</v>
      </c>
      <c r="B90" s="33" t="s">
        <v>178</v>
      </c>
    </row>
    <row r="91" spans="1:2" x14ac:dyDescent="0.25">
      <c r="A91" s="33">
        <v>2085</v>
      </c>
      <c r="B91" s="33" t="s">
        <v>178</v>
      </c>
    </row>
    <row r="92" spans="1:2" x14ac:dyDescent="0.25">
      <c r="A92" s="33">
        <v>2086</v>
      </c>
      <c r="B92" s="33" t="s">
        <v>178</v>
      </c>
    </row>
    <row r="93" spans="1:2" x14ac:dyDescent="0.25">
      <c r="A93" s="33">
        <v>2112</v>
      </c>
      <c r="B93" s="33" t="s">
        <v>155</v>
      </c>
    </row>
    <row r="94" spans="1:2" x14ac:dyDescent="0.25">
      <c r="A94" s="33">
        <v>2119</v>
      </c>
      <c r="B94" s="33" t="s">
        <v>155</v>
      </c>
    </row>
    <row r="95" spans="1:2" x14ac:dyDescent="0.25">
      <c r="A95" s="33">
        <v>2132</v>
      </c>
      <c r="B95" s="33" t="s">
        <v>171</v>
      </c>
    </row>
    <row r="96" spans="1:2" x14ac:dyDescent="0.25">
      <c r="A96" s="33">
        <v>2138</v>
      </c>
      <c r="B96" s="33" t="s">
        <v>172</v>
      </c>
    </row>
    <row r="97" spans="1:2" x14ac:dyDescent="0.25">
      <c r="A97" s="33">
        <v>2166</v>
      </c>
      <c r="B97" s="33" t="s">
        <v>155</v>
      </c>
    </row>
    <row r="98" spans="1:2" x14ac:dyDescent="0.25">
      <c r="A98" s="33">
        <v>2181</v>
      </c>
      <c r="B98" s="33" t="s">
        <v>169</v>
      </c>
    </row>
    <row r="99" spans="1:2" x14ac:dyDescent="0.25">
      <c r="A99" s="33">
        <v>2200</v>
      </c>
      <c r="B99" s="33" t="s">
        <v>155</v>
      </c>
    </row>
    <row r="100" spans="1:2" x14ac:dyDescent="0.25">
      <c r="A100" s="33">
        <v>2243</v>
      </c>
      <c r="B100" s="33" t="s">
        <v>175</v>
      </c>
    </row>
    <row r="101" spans="1:2" x14ac:dyDescent="0.25">
      <c r="A101" s="33">
        <v>2253</v>
      </c>
      <c r="B101" s="33" t="s">
        <v>174</v>
      </c>
    </row>
    <row r="102" spans="1:2" x14ac:dyDescent="0.25">
      <c r="A102" s="33">
        <v>2292</v>
      </c>
      <c r="B102" s="33" t="s">
        <v>172</v>
      </c>
    </row>
    <row r="103" spans="1:2" x14ac:dyDescent="0.25">
      <c r="A103" s="33">
        <v>2293</v>
      </c>
      <c r="B103" s="33" t="s">
        <v>172</v>
      </c>
    </row>
    <row r="104" spans="1:2" x14ac:dyDescent="0.25">
      <c r="A104" s="33">
        <v>2297</v>
      </c>
      <c r="B104" s="33" t="s">
        <v>172</v>
      </c>
    </row>
    <row r="105" spans="1:2" x14ac:dyDescent="0.25">
      <c r="A105" s="33">
        <v>2303</v>
      </c>
      <c r="B105" s="33" t="s">
        <v>155</v>
      </c>
    </row>
    <row r="106" spans="1:2" x14ac:dyDescent="0.25">
      <c r="A106" s="33">
        <v>2304</v>
      </c>
      <c r="B106" s="33" t="s">
        <v>155</v>
      </c>
    </row>
    <row r="107" spans="1:2" x14ac:dyDescent="0.25">
      <c r="A107" s="33">
        <v>2307</v>
      </c>
      <c r="B107" s="33" t="s">
        <v>172</v>
      </c>
    </row>
    <row r="108" spans="1:2" x14ac:dyDescent="0.25">
      <c r="A108" s="33">
        <v>2308</v>
      </c>
      <c r="B108" s="33" t="s">
        <v>172</v>
      </c>
    </row>
    <row r="109" spans="1:2" x14ac:dyDescent="0.25">
      <c r="A109" s="33">
        <v>2322</v>
      </c>
      <c r="B109" s="33" t="s">
        <v>155</v>
      </c>
    </row>
    <row r="110" spans="1:2" x14ac:dyDescent="0.25">
      <c r="A110" s="33">
        <v>2331</v>
      </c>
      <c r="B110" s="33" t="s">
        <v>155</v>
      </c>
    </row>
    <row r="111" spans="1:2" x14ac:dyDescent="0.25">
      <c r="A111" s="33">
        <v>2343</v>
      </c>
      <c r="B111" s="33" t="s">
        <v>179</v>
      </c>
    </row>
    <row r="112" spans="1:2" x14ac:dyDescent="0.25">
      <c r="A112" s="33">
        <v>2346</v>
      </c>
      <c r="B112" s="33" t="s">
        <v>155</v>
      </c>
    </row>
    <row r="113" spans="1:2" x14ac:dyDescent="0.25">
      <c r="A113" s="33">
        <v>2384</v>
      </c>
      <c r="B113" s="33" t="s">
        <v>174</v>
      </c>
    </row>
    <row r="114" spans="1:2" x14ac:dyDescent="0.25">
      <c r="A114" s="33">
        <v>2391</v>
      </c>
      <c r="B114" s="33" t="s">
        <v>172</v>
      </c>
    </row>
    <row r="115" spans="1:2" x14ac:dyDescent="0.25">
      <c r="A115" s="33">
        <v>2392</v>
      </c>
      <c r="B115" s="33" t="s">
        <v>172</v>
      </c>
    </row>
    <row r="116" spans="1:2" x14ac:dyDescent="0.25">
      <c r="A116" s="33">
        <v>2414</v>
      </c>
      <c r="B116" s="33" t="s">
        <v>155</v>
      </c>
    </row>
    <row r="117" spans="1:2" x14ac:dyDescent="0.25">
      <c r="A117" s="33">
        <v>2421</v>
      </c>
      <c r="B117" s="33" t="s">
        <v>172</v>
      </c>
    </row>
    <row r="118" spans="1:2" x14ac:dyDescent="0.25">
      <c r="A118" s="33">
        <v>2422</v>
      </c>
      <c r="B118" s="33" t="s">
        <v>169</v>
      </c>
    </row>
    <row r="119" spans="1:2" x14ac:dyDescent="0.25">
      <c r="A119" s="33">
        <v>2425</v>
      </c>
      <c r="B119" s="33" t="s">
        <v>172</v>
      </c>
    </row>
    <row r="120" spans="1:2" x14ac:dyDescent="0.25">
      <c r="A120" s="33">
        <v>2451</v>
      </c>
      <c r="B120" s="33" t="s">
        <v>155</v>
      </c>
    </row>
    <row r="121" spans="1:2" x14ac:dyDescent="0.25">
      <c r="A121" s="33">
        <v>2471</v>
      </c>
      <c r="B121" s="33" t="s">
        <v>155</v>
      </c>
    </row>
    <row r="122" spans="1:2" x14ac:dyDescent="0.25">
      <c r="A122" s="33">
        <v>2704</v>
      </c>
      <c r="B122" s="33" t="s">
        <v>155</v>
      </c>
    </row>
    <row r="123" spans="1:2" x14ac:dyDescent="0.25">
      <c r="A123" s="33">
        <v>2705</v>
      </c>
      <c r="B123" s="33" t="s">
        <v>155</v>
      </c>
    </row>
    <row r="124" spans="1:2" x14ac:dyDescent="0.25">
      <c r="A124" s="33">
        <v>2731</v>
      </c>
      <c r="B124" s="33" t="s">
        <v>170</v>
      </c>
    </row>
    <row r="125" spans="1:2" x14ac:dyDescent="0.25">
      <c r="A125" s="33">
        <v>2761</v>
      </c>
      <c r="B125" s="33" t="s">
        <v>172</v>
      </c>
    </row>
    <row r="126" spans="1:2" x14ac:dyDescent="0.25">
      <c r="A126" s="33">
        <v>2762</v>
      </c>
      <c r="B126" s="33" t="s">
        <v>172</v>
      </c>
    </row>
    <row r="127" spans="1:2" x14ac:dyDescent="0.25">
      <c r="A127" s="33">
        <v>2764</v>
      </c>
      <c r="B127" s="33" t="s">
        <v>172</v>
      </c>
    </row>
    <row r="128" spans="1:2" x14ac:dyDescent="0.25">
      <c r="A128" s="33">
        <v>2765</v>
      </c>
      <c r="B128" s="33" t="s">
        <v>172</v>
      </c>
    </row>
    <row r="129" spans="1:2" x14ac:dyDescent="0.25">
      <c r="A129" s="33">
        <v>2766</v>
      </c>
      <c r="B129" s="33" t="s">
        <v>172</v>
      </c>
    </row>
    <row r="130" spans="1:2" x14ac:dyDescent="0.25">
      <c r="A130" s="33">
        <v>2767</v>
      </c>
      <c r="B130" s="33" t="s">
        <v>155</v>
      </c>
    </row>
    <row r="131" spans="1:2" x14ac:dyDescent="0.25">
      <c r="A131" s="33">
        <v>2771</v>
      </c>
      <c r="B131" s="33" t="s">
        <v>180</v>
      </c>
    </row>
    <row r="132" spans="1:2" x14ac:dyDescent="0.25">
      <c r="A132" s="33">
        <v>2831</v>
      </c>
      <c r="B132" s="33" t="s">
        <v>172</v>
      </c>
    </row>
    <row r="133" spans="1:2" x14ac:dyDescent="0.25">
      <c r="A133" s="33">
        <v>2866</v>
      </c>
      <c r="B133" s="33" t="s">
        <v>172</v>
      </c>
    </row>
    <row r="134" spans="1:2" x14ac:dyDescent="0.25">
      <c r="A134" s="33">
        <v>3005</v>
      </c>
      <c r="B134" s="33" t="s">
        <v>155</v>
      </c>
    </row>
    <row r="135" spans="1:2" x14ac:dyDescent="0.25">
      <c r="A135" s="33">
        <v>3034</v>
      </c>
      <c r="B135" s="33">
        <v>0</v>
      </c>
    </row>
    <row r="136" spans="1:2" x14ac:dyDescent="0.25">
      <c r="A136" s="33">
        <v>3035</v>
      </c>
      <c r="B136" s="33">
        <v>0</v>
      </c>
    </row>
    <row r="137" spans="1:2" x14ac:dyDescent="0.25">
      <c r="A137" s="33">
        <v>3037</v>
      </c>
      <c r="B137" s="33">
        <v>0</v>
      </c>
    </row>
    <row r="138" spans="1:2" x14ac:dyDescent="0.25">
      <c r="A138" s="33">
        <v>3038</v>
      </c>
      <c r="B138" s="33">
        <v>0</v>
      </c>
    </row>
    <row r="139" spans="1:2" x14ac:dyDescent="0.25">
      <c r="A139" s="33">
        <v>3042</v>
      </c>
      <c r="B139" s="33">
        <v>0</v>
      </c>
    </row>
    <row r="140" spans="1:2" x14ac:dyDescent="0.25">
      <c r="A140" s="33">
        <v>3050</v>
      </c>
      <c r="B140" s="33">
        <v>0</v>
      </c>
    </row>
    <row r="141" spans="1:2" x14ac:dyDescent="0.25">
      <c r="A141" s="33">
        <v>3052</v>
      </c>
      <c r="B141" s="33" t="s">
        <v>158</v>
      </c>
    </row>
    <row r="142" spans="1:2" x14ac:dyDescent="0.25">
      <c r="A142" s="33">
        <v>3057</v>
      </c>
      <c r="B142" s="33">
        <v>0</v>
      </c>
    </row>
    <row r="143" spans="1:2" x14ac:dyDescent="0.25">
      <c r="A143" s="33">
        <v>3087</v>
      </c>
      <c r="B143" s="33" t="s">
        <v>164</v>
      </c>
    </row>
    <row r="144" spans="1:2" x14ac:dyDescent="0.25">
      <c r="A144" s="33">
        <v>3104</v>
      </c>
      <c r="B144" s="33" t="s">
        <v>155</v>
      </c>
    </row>
    <row r="145" spans="1:2" x14ac:dyDescent="0.25">
      <c r="A145" s="33">
        <v>3118</v>
      </c>
      <c r="B145" s="33" t="s">
        <v>155</v>
      </c>
    </row>
    <row r="146" spans="1:2" x14ac:dyDescent="0.25">
      <c r="A146" s="33">
        <v>3119</v>
      </c>
      <c r="B146" s="33" t="s">
        <v>155</v>
      </c>
    </row>
    <row r="147" spans="1:2" x14ac:dyDescent="0.25">
      <c r="A147" s="33">
        <v>3121</v>
      </c>
      <c r="B147" s="33" t="s">
        <v>155</v>
      </c>
    </row>
    <row r="148" spans="1:2" x14ac:dyDescent="0.25">
      <c r="A148" s="33">
        <v>3122</v>
      </c>
      <c r="B148" s="33" t="s">
        <v>155</v>
      </c>
    </row>
    <row r="149" spans="1:2" x14ac:dyDescent="0.25">
      <c r="A149" s="33">
        <v>3134</v>
      </c>
      <c r="B149" s="33" t="s">
        <v>155</v>
      </c>
    </row>
    <row r="150" spans="1:2" x14ac:dyDescent="0.25">
      <c r="A150" s="33">
        <v>3189</v>
      </c>
      <c r="B150" s="33" t="s">
        <v>181</v>
      </c>
    </row>
    <row r="151" spans="1:2" x14ac:dyDescent="0.25">
      <c r="A151" s="33">
        <v>3190</v>
      </c>
      <c r="B151" s="33" t="s">
        <v>181</v>
      </c>
    </row>
    <row r="152" spans="1:2" x14ac:dyDescent="0.25">
      <c r="A152" s="33">
        <v>3221</v>
      </c>
      <c r="B152" s="33" t="s">
        <v>155</v>
      </c>
    </row>
    <row r="153" spans="1:2" x14ac:dyDescent="0.25">
      <c r="A153" s="33">
        <v>3222</v>
      </c>
      <c r="B153" s="33" t="s">
        <v>155</v>
      </c>
    </row>
    <row r="154" spans="1:2" x14ac:dyDescent="0.25">
      <c r="A154" s="33">
        <v>3223</v>
      </c>
      <c r="B154" s="33" t="s">
        <v>155</v>
      </c>
    </row>
    <row r="155" spans="1:2" x14ac:dyDescent="0.25">
      <c r="A155" s="33">
        <v>3224</v>
      </c>
      <c r="B155" s="33" t="s">
        <v>155</v>
      </c>
    </row>
    <row r="156" spans="1:2" x14ac:dyDescent="0.25">
      <c r="A156" s="33">
        <v>3226</v>
      </c>
      <c r="B156" s="33" t="s">
        <v>155</v>
      </c>
    </row>
    <row r="157" spans="1:2" x14ac:dyDescent="0.25">
      <c r="A157" s="33">
        <v>3238</v>
      </c>
      <c r="B157" s="33" t="s">
        <v>155</v>
      </c>
    </row>
    <row r="158" spans="1:2" x14ac:dyDescent="0.25">
      <c r="A158" s="33">
        <v>3239</v>
      </c>
      <c r="B158" s="33" t="s">
        <v>155</v>
      </c>
    </row>
    <row r="159" spans="1:2" x14ac:dyDescent="0.25">
      <c r="A159" s="33">
        <v>3240</v>
      </c>
      <c r="B159" s="33" t="s">
        <v>155</v>
      </c>
    </row>
    <row r="160" spans="1:2" x14ac:dyDescent="0.25">
      <c r="A160" s="33">
        <v>3241</v>
      </c>
      <c r="B160" s="33" t="s">
        <v>155</v>
      </c>
    </row>
    <row r="161" spans="1:2" x14ac:dyDescent="0.25">
      <c r="A161" s="33">
        <v>3242</v>
      </c>
      <c r="B161" s="33" t="s">
        <v>155</v>
      </c>
    </row>
    <row r="162" spans="1:2" x14ac:dyDescent="0.25">
      <c r="A162" s="33">
        <v>3243</v>
      </c>
      <c r="B162" s="33" t="s">
        <v>155</v>
      </c>
    </row>
    <row r="163" spans="1:2" x14ac:dyDescent="0.25">
      <c r="A163" s="33">
        <v>3244</v>
      </c>
      <c r="B163" s="33" t="s">
        <v>155</v>
      </c>
    </row>
    <row r="164" spans="1:2" x14ac:dyDescent="0.25">
      <c r="A164" s="33">
        <v>3245</v>
      </c>
      <c r="B164" s="33" t="s">
        <v>155</v>
      </c>
    </row>
    <row r="165" spans="1:2" x14ac:dyDescent="0.25">
      <c r="A165" s="33">
        <v>3246</v>
      </c>
      <c r="B165" s="33" t="s">
        <v>155</v>
      </c>
    </row>
    <row r="166" spans="1:2" x14ac:dyDescent="0.25">
      <c r="A166" s="33">
        <v>3247</v>
      </c>
      <c r="B166" s="33" t="s">
        <v>155</v>
      </c>
    </row>
    <row r="167" spans="1:2" x14ac:dyDescent="0.25">
      <c r="A167" s="33">
        <v>3250</v>
      </c>
      <c r="B167" s="33" t="s">
        <v>155</v>
      </c>
    </row>
    <row r="168" spans="1:2" x14ac:dyDescent="0.25">
      <c r="A168" s="33">
        <v>3251</v>
      </c>
      <c r="B168" s="33" t="s">
        <v>155</v>
      </c>
    </row>
    <row r="169" spans="1:2" x14ac:dyDescent="0.25">
      <c r="A169" s="33">
        <v>3252</v>
      </c>
      <c r="B169" s="33" t="s">
        <v>173</v>
      </c>
    </row>
    <row r="170" spans="1:2" x14ac:dyDescent="0.25">
      <c r="A170" s="33">
        <v>3253</v>
      </c>
      <c r="B170" s="33" t="s">
        <v>173</v>
      </c>
    </row>
    <row r="171" spans="1:2" x14ac:dyDescent="0.25">
      <c r="A171" s="33">
        <v>3255</v>
      </c>
      <c r="B171" s="33" t="s">
        <v>173</v>
      </c>
    </row>
    <row r="172" spans="1:2" x14ac:dyDescent="0.25">
      <c r="A172" s="33">
        <v>3256</v>
      </c>
      <c r="B172" s="33" t="s">
        <v>155</v>
      </c>
    </row>
    <row r="173" spans="1:2" x14ac:dyDescent="0.25">
      <c r="A173" s="33">
        <v>3293</v>
      </c>
      <c r="B173" s="33" t="s">
        <v>182</v>
      </c>
    </row>
    <row r="174" spans="1:2" x14ac:dyDescent="0.25">
      <c r="A174" s="33">
        <v>3294</v>
      </c>
      <c r="B174" s="33" t="s">
        <v>182</v>
      </c>
    </row>
    <row r="175" spans="1:2" x14ac:dyDescent="0.25">
      <c r="A175" s="33">
        <v>3295</v>
      </c>
      <c r="B175" s="33" t="s">
        <v>182</v>
      </c>
    </row>
    <row r="176" spans="1:2" x14ac:dyDescent="0.25">
      <c r="A176" s="33">
        <v>3296</v>
      </c>
      <c r="B176" s="33" t="s">
        <v>181</v>
      </c>
    </row>
    <row r="177" spans="1:2" x14ac:dyDescent="0.25">
      <c r="A177" s="33">
        <v>3297</v>
      </c>
      <c r="B177" s="33" t="s">
        <v>181</v>
      </c>
    </row>
    <row r="178" spans="1:2" x14ac:dyDescent="0.25">
      <c r="A178" s="33">
        <v>3302</v>
      </c>
      <c r="B178" s="33" t="s">
        <v>155</v>
      </c>
    </row>
    <row r="179" spans="1:2" x14ac:dyDescent="0.25">
      <c r="A179" s="33">
        <v>3318</v>
      </c>
      <c r="B179" s="33" t="s">
        <v>162</v>
      </c>
    </row>
    <row r="180" spans="1:2" x14ac:dyDescent="0.25">
      <c r="A180" s="33">
        <v>3338</v>
      </c>
      <c r="B180" s="33" t="s">
        <v>162</v>
      </c>
    </row>
    <row r="181" spans="1:2" x14ac:dyDescent="0.25">
      <c r="A181" s="33">
        <v>3348</v>
      </c>
      <c r="B181" s="33" t="s">
        <v>162</v>
      </c>
    </row>
    <row r="182" spans="1:2" x14ac:dyDescent="0.25">
      <c r="A182" s="33">
        <v>3450</v>
      </c>
      <c r="B182" s="33" t="s">
        <v>155</v>
      </c>
    </row>
    <row r="183" spans="1:2" x14ac:dyDescent="0.25">
      <c r="A183" s="33">
        <v>3451</v>
      </c>
      <c r="B183" s="33" t="s">
        <v>155</v>
      </c>
    </row>
    <row r="184" spans="1:2" x14ac:dyDescent="0.25">
      <c r="A184" s="33">
        <v>3452</v>
      </c>
      <c r="B184" s="33" t="s">
        <v>155</v>
      </c>
    </row>
    <row r="185" spans="1:2" x14ac:dyDescent="0.25">
      <c r="A185" s="33">
        <v>3453</v>
      </c>
      <c r="B185" s="33" t="s">
        <v>155</v>
      </c>
    </row>
    <row r="186" spans="1:2" x14ac:dyDescent="0.25">
      <c r="A186" s="33">
        <v>3454</v>
      </c>
      <c r="B186" s="33" t="s">
        <v>155</v>
      </c>
    </row>
    <row r="187" spans="1:2" x14ac:dyDescent="0.25">
      <c r="A187" s="33">
        <v>3455</v>
      </c>
      <c r="B187" s="33" t="s">
        <v>155</v>
      </c>
    </row>
    <row r="188" spans="1:2" x14ac:dyDescent="0.25">
      <c r="A188" s="33">
        <v>3456</v>
      </c>
      <c r="B188" s="33" t="s">
        <v>155</v>
      </c>
    </row>
    <row r="189" spans="1:2" x14ac:dyDescent="0.25">
      <c r="A189" s="33">
        <v>3458</v>
      </c>
      <c r="B189" s="33" t="s">
        <v>182</v>
      </c>
    </row>
    <row r="190" spans="1:2" x14ac:dyDescent="0.25">
      <c r="A190" s="33">
        <v>3460</v>
      </c>
      <c r="B190" s="33" t="s">
        <v>182</v>
      </c>
    </row>
    <row r="191" spans="1:2" x14ac:dyDescent="0.25">
      <c r="A191" s="33">
        <v>3506</v>
      </c>
      <c r="B191" s="33" t="s">
        <v>155</v>
      </c>
    </row>
    <row r="192" spans="1:2" x14ac:dyDescent="0.25">
      <c r="A192" s="33">
        <v>3507</v>
      </c>
      <c r="B192" s="33" t="s">
        <v>155</v>
      </c>
    </row>
    <row r="193" spans="1:2" x14ac:dyDescent="0.25">
      <c r="A193" s="33">
        <v>3541</v>
      </c>
      <c r="B193" s="33" t="s">
        <v>182</v>
      </c>
    </row>
    <row r="194" spans="1:2" x14ac:dyDescent="0.25">
      <c r="A194" s="33">
        <v>3644</v>
      </c>
      <c r="B194" s="33" t="s">
        <v>155</v>
      </c>
    </row>
    <row r="195" spans="1:2" x14ac:dyDescent="0.25">
      <c r="A195" s="33">
        <v>3645</v>
      </c>
      <c r="B195" s="33" t="s">
        <v>155</v>
      </c>
    </row>
    <row r="196" spans="1:2" x14ac:dyDescent="0.25">
      <c r="A196" s="33">
        <v>3646</v>
      </c>
      <c r="B196" s="33" t="s">
        <v>155</v>
      </c>
    </row>
    <row r="197" spans="1:2" x14ac:dyDescent="0.25">
      <c r="A197" s="33">
        <v>3647</v>
      </c>
      <c r="B197" s="33" t="s">
        <v>155</v>
      </c>
    </row>
    <row r="198" spans="1:2" x14ac:dyDescent="0.25">
      <c r="A198" s="33">
        <v>3665</v>
      </c>
      <c r="B198" s="33" t="s">
        <v>155</v>
      </c>
    </row>
    <row r="199" spans="1:2" x14ac:dyDescent="0.25">
      <c r="A199" s="33">
        <v>3712</v>
      </c>
      <c r="B199" s="33" t="s">
        <v>180</v>
      </c>
    </row>
    <row r="200" spans="1:2" x14ac:dyDescent="0.25">
      <c r="A200" s="33">
        <v>3732</v>
      </c>
      <c r="B200" s="33" t="s">
        <v>180</v>
      </c>
    </row>
    <row r="201" spans="1:2" x14ac:dyDescent="0.25">
      <c r="A201" s="33">
        <v>3742</v>
      </c>
      <c r="B201" s="33" t="s">
        <v>180</v>
      </c>
    </row>
    <row r="202" spans="1:2" x14ac:dyDescent="0.25">
      <c r="A202" s="33">
        <v>3832</v>
      </c>
      <c r="B202" s="33" t="s">
        <v>163</v>
      </c>
    </row>
    <row r="203" spans="1:2" x14ac:dyDescent="0.25">
      <c r="A203" s="33">
        <v>3838</v>
      </c>
      <c r="B203" s="33" t="s">
        <v>155</v>
      </c>
    </row>
    <row r="204" spans="1:2" x14ac:dyDescent="0.25">
      <c r="A204" s="33">
        <v>3851</v>
      </c>
      <c r="B204" s="33" t="s">
        <v>155</v>
      </c>
    </row>
    <row r="205" spans="1:2" x14ac:dyDescent="0.25">
      <c r="A205" s="33">
        <v>3872</v>
      </c>
      <c r="B205" s="33" t="s">
        <v>182</v>
      </c>
    </row>
    <row r="206" spans="1:2" x14ac:dyDescent="0.25">
      <c r="A206" s="33">
        <v>3874</v>
      </c>
      <c r="B206" s="33" t="s">
        <v>182</v>
      </c>
    </row>
    <row r="207" spans="1:2" x14ac:dyDescent="0.25">
      <c r="A207" s="33">
        <v>3876</v>
      </c>
      <c r="B207" s="33" t="s">
        <v>182</v>
      </c>
    </row>
    <row r="208" spans="1:2" x14ac:dyDescent="0.25">
      <c r="A208" s="33">
        <v>3877</v>
      </c>
      <c r="B208" s="33" t="s">
        <v>168</v>
      </c>
    </row>
    <row r="209" spans="1:2" x14ac:dyDescent="0.25">
      <c r="A209" s="33">
        <v>3884</v>
      </c>
      <c r="B209" s="33" t="s">
        <v>158</v>
      </c>
    </row>
    <row r="210" spans="1:2" x14ac:dyDescent="0.25">
      <c r="A210" s="33">
        <v>3887</v>
      </c>
      <c r="B210" s="33" t="s">
        <v>168</v>
      </c>
    </row>
    <row r="211" spans="1:2" x14ac:dyDescent="0.25">
      <c r="A211" s="33">
        <v>3888</v>
      </c>
      <c r="B211" s="33" t="s">
        <v>183</v>
      </c>
    </row>
    <row r="212" spans="1:2" x14ac:dyDescent="0.25">
      <c r="A212" s="33">
        <v>3892</v>
      </c>
      <c r="B212" s="33" t="s">
        <v>184</v>
      </c>
    </row>
    <row r="213" spans="1:2" x14ac:dyDescent="0.25">
      <c r="A213" s="33">
        <v>3922</v>
      </c>
      <c r="B213" s="33" t="s">
        <v>176</v>
      </c>
    </row>
    <row r="214" spans="1:2" x14ac:dyDescent="0.25">
      <c r="A214" s="33">
        <v>3923</v>
      </c>
      <c r="B214" s="33" t="s">
        <v>176</v>
      </c>
    </row>
    <row r="215" spans="1:2" x14ac:dyDescent="0.25">
      <c r="A215" s="33">
        <v>3924</v>
      </c>
      <c r="B215" s="33" t="s">
        <v>176</v>
      </c>
    </row>
    <row r="216" spans="1:2" x14ac:dyDescent="0.25">
      <c r="A216" s="33">
        <v>3949</v>
      </c>
      <c r="B216" s="33" t="s">
        <v>155</v>
      </c>
    </row>
    <row r="217" spans="1:2" x14ac:dyDescent="0.25">
      <c r="A217" s="33">
        <v>3961</v>
      </c>
      <c r="B217" s="33" t="s">
        <v>155</v>
      </c>
    </row>
    <row r="218" spans="1:2" x14ac:dyDescent="0.25">
      <c r="A218" s="33">
        <v>3981</v>
      </c>
      <c r="B218" s="33" t="s">
        <v>176</v>
      </c>
    </row>
    <row r="219" spans="1:2" x14ac:dyDescent="0.25">
      <c r="A219" s="33">
        <v>4003</v>
      </c>
      <c r="B219" s="33" t="s">
        <v>155</v>
      </c>
    </row>
    <row r="220" spans="1:2" x14ac:dyDescent="0.25">
      <c r="A220" s="33">
        <v>4011</v>
      </c>
      <c r="B220" s="33" t="s">
        <v>182</v>
      </c>
    </row>
    <row r="221" spans="1:2" x14ac:dyDescent="0.25">
      <c r="A221" s="33">
        <v>4015</v>
      </c>
      <c r="B221" s="33" t="s">
        <v>164</v>
      </c>
    </row>
    <row r="222" spans="1:2" x14ac:dyDescent="0.25">
      <c r="A222" s="33">
        <v>4086</v>
      </c>
      <c r="B222" s="33" t="s">
        <v>156</v>
      </c>
    </row>
    <row r="223" spans="1:2" x14ac:dyDescent="0.25">
      <c r="A223" s="33">
        <v>4090</v>
      </c>
      <c r="B223" s="33" t="s">
        <v>156</v>
      </c>
    </row>
    <row r="224" spans="1:2" x14ac:dyDescent="0.25">
      <c r="A224" s="33">
        <v>4091</v>
      </c>
      <c r="B224" s="33" t="s">
        <v>176</v>
      </c>
    </row>
    <row r="225" spans="1:2" x14ac:dyDescent="0.25">
      <c r="A225" s="33">
        <v>4093</v>
      </c>
      <c r="B225" s="33" t="s">
        <v>176</v>
      </c>
    </row>
    <row r="226" spans="1:2" x14ac:dyDescent="0.25">
      <c r="A226" s="33">
        <v>4142</v>
      </c>
      <c r="B226" s="33" t="s">
        <v>155</v>
      </c>
    </row>
    <row r="227" spans="1:2" x14ac:dyDescent="0.25">
      <c r="A227" s="33">
        <v>4171</v>
      </c>
      <c r="B227" s="33" t="s">
        <v>156</v>
      </c>
    </row>
    <row r="228" spans="1:2" x14ac:dyDescent="0.25">
      <c r="A228" s="33">
        <v>4172</v>
      </c>
      <c r="B228" s="33" t="s">
        <v>156</v>
      </c>
    </row>
    <row r="229" spans="1:2" x14ac:dyDescent="0.25">
      <c r="A229" s="33">
        <v>4181</v>
      </c>
      <c r="B229" s="33" t="s">
        <v>176</v>
      </c>
    </row>
    <row r="230" spans="1:2" x14ac:dyDescent="0.25">
      <c r="A230" s="33">
        <v>4184</v>
      </c>
      <c r="B230" s="33" t="s">
        <v>176</v>
      </c>
    </row>
    <row r="231" spans="1:2" x14ac:dyDescent="0.25">
      <c r="A231" s="33">
        <v>4191</v>
      </c>
      <c r="B231" s="33" t="s">
        <v>185</v>
      </c>
    </row>
    <row r="232" spans="1:2" x14ac:dyDescent="0.25">
      <c r="A232" s="33">
        <v>4194</v>
      </c>
      <c r="B232" s="33" t="s">
        <v>180</v>
      </c>
    </row>
    <row r="233" spans="1:2" x14ac:dyDescent="0.25">
      <c r="A233" s="33">
        <v>4195</v>
      </c>
      <c r="B233" s="33" t="s">
        <v>155</v>
      </c>
    </row>
    <row r="234" spans="1:2" x14ac:dyDescent="0.25">
      <c r="A234" s="33">
        <v>4212</v>
      </c>
      <c r="B234" s="33" t="s">
        <v>180</v>
      </c>
    </row>
    <row r="235" spans="1:2" x14ac:dyDescent="0.25">
      <c r="A235" s="33">
        <v>4228</v>
      </c>
      <c r="B235" s="33" t="s">
        <v>155</v>
      </c>
    </row>
    <row r="236" spans="1:2" x14ac:dyDescent="0.25">
      <c r="A236" s="33">
        <v>4242</v>
      </c>
      <c r="B236" s="33" t="s">
        <v>155</v>
      </c>
    </row>
    <row r="237" spans="1:2" x14ac:dyDescent="0.25">
      <c r="A237" s="33">
        <v>4252</v>
      </c>
      <c r="B237" s="33" t="s">
        <v>155</v>
      </c>
    </row>
    <row r="238" spans="1:2" x14ac:dyDescent="0.25">
      <c r="A238" s="33">
        <v>4259</v>
      </c>
      <c r="B238" s="33" t="s">
        <v>155</v>
      </c>
    </row>
    <row r="239" spans="1:2" x14ac:dyDescent="0.25">
      <c r="A239" s="33">
        <v>4262</v>
      </c>
      <c r="B239" s="33" t="s">
        <v>155</v>
      </c>
    </row>
    <row r="240" spans="1:2" x14ac:dyDescent="0.25">
      <c r="A240" s="33">
        <v>4268</v>
      </c>
      <c r="B240" s="33" t="s">
        <v>155</v>
      </c>
    </row>
    <row r="241" spans="1:2" x14ac:dyDescent="0.25">
      <c r="A241" s="33">
        <v>4282</v>
      </c>
      <c r="B241" s="33" t="s">
        <v>155</v>
      </c>
    </row>
    <row r="242" spans="1:2" x14ac:dyDescent="0.25">
      <c r="A242" s="33">
        <v>4312</v>
      </c>
      <c r="B242" s="33" t="s">
        <v>186</v>
      </c>
    </row>
    <row r="243" spans="1:2" x14ac:dyDescent="0.25">
      <c r="A243" s="33">
        <v>4343</v>
      </c>
      <c r="B243" s="33" t="s">
        <v>171</v>
      </c>
    </row>
    <row r="244" spans="1:2" x14ac:dyDescent="0.25">
      <c r="A244" s="33">
        <v>4373</v>
      </c>
      <c r="B244" s="33" t="s">
        <v>173</v>
      </c>
    </row>
    <row r="245" spans="1:2" x14ac:dyDescent="0.25">
      <c r="A245" s="33">
        <v>4393</v>
      </c>
      <c r="B245" s="33" t="s">
        <v>158</v>
      </c>
    </row>
    <row r="246" spans="1:2" x14ac:dyDescent="0.25">
      <c r="A246" s="33">
        <v>4451</v>
      </c>
      <c r="B246" s="33" t="s">
        <v>187</v>
      </c>
    </row>
    <row r="247" spans="1:2" x14ac:dyDescent="0.25">
      <c r="A247" s="33">
        <v>4453</v>
      </c>
      <c r="B247" s="33" t="s">
        <v>188</v>
      </c>
    </row>
    <row r="248" spans="1:2" x14ac:dyDescent="0.25">
      <c r="A248" s="33">
        <v>4481</v>
      </c>
      <c r="B248" s="33" t="s">
        <v>189</v>
      </c>
    </row>
    <row r="249" spans="1:2" x14ac:dyDescent="0.25">
      <c r="A249" s="33">
        <v>4502</v>
      </c>
      <c r="B249" s="33" t="s">
        <v>155</v>
      </c>
    </row>
    <row r="250" spans="1:2" x14ac:dyDescent="0.25">
      <c r="A250" s="33">
        <v>4509</v>
      </c>
      <c r="B250" s="33" t="s">
        <v>155</v>
      </c>
    </row>
    <row r="251" spans="1:2" x14ac:dyDescent="0.25">
      <c r="A251" s="33">
        <v>4519</v>
      </c>
      <c r="B251" s="33" t="s">
        <v>155</v>
      </c>
    </row>
    <row r="252" spans="1:2" x14ac:dyDescent="0.25">
      <c r="A252" s="33">
        <v>4525</v>
      </c>
      <c r="B252" s="33" t="s">
        <v>176</v>
      </c>
    </row>
    <row r="253" spans="1:2" x14ac:dyDescent="0.25">
      <c r="A253" s="33">
        <v>4532</v>
      </c>
      <c r="B253" s="33" t="s">
        <v>155</v>
      </c>
    </row>
    <row r="254" spans="1:2" x14ac:dyDescent="0.25">
      <c r="A254" s="33">
        <v>4575</v>
      </c>
      <c r="B254" s="33" t="s">
        <v>155</v>
      </c>
    </row>
    <row r="255" spans="1:2" x14ac:dyDescent="0.25">
      <c r="A255" s="33">
        <v>4576</v>
      </c>
      <c r="B255" s="33" t="s">
        <v>155</v>
      </c>
    </row>
    <row r="256" spans="1:2" x14ac:dyDescent="0.25">
      <c r="A256" s="33">
        <v>4585</v>
      </c>
      <c r="B256" s="33" t="s">
        <v>155</v>
      </c>
    </row>
    <row r="257" spans="1:2" x14ac:dyDescent="0.25">
      <c r="A257" s="33">
        <v>4624</v>
      </c>
      <c r="B257" s="33" t="s">
        <v>155</v>
      </c>
    </row>
    <row r="258" spans="1:2" x14ac:dyDescent="0.25">
      <c r="A258" s="33">
        <v>4629</v>
      </c>
      <c r="B258" s="33" t="s">
        <v>155</v>
      </c>
    </row>
    <row r="259" spans="1:2" x14ac:dyDescent="0.25">
      <c r="A259" s="33">
        <v>4644</v>
      </c>
      <c r="B259" s="33" t="s">
        <v>155</v>
      </c>
    </row>
    <row r="260" spans="1:2" x14ac:dyDescent="0.25">
      <c r="A260" s="33">
        <v>4651</v>
      </c>
      <c r="B260" s="33" t="s">
        <v>155</v>
      </c>
    </row>
    <row r="261" spans="1:2" x14ac:dyDescent="0.25">
      <c r="A261" s="33">
        <v>4654</v>
      </c>
      <c r="B261" s="33" t="s">
        <v>156</v>
      </c>
    </row>
    <row r="262" spans="1:2" x14ac:dyDescent="0.25">
      <c r="A262" s="33">
        <v>4656</v>
      </c>
      <c r="B262" s="33" t="s">
        <v>156</v>
      </c>
    </row>
    <row r="263" spans="1:2" x14ac:dyDescent="0.25">
      <c r="A263" s="33">
        <v>4657</v>
      </c>
      <c r="B263" s="33" t="s">
        <v>156</v>
      </c>
    </row>
    <row r="264" spans="1:2" x14ac:dyDescent="0.25">
      <c r="A264" s="33">
        <v>4660</v>
      </c>
      <c r="B264" s="33" t="s">
        <v>176</v>
      </c>
    </row>
    <row r="265" spans="1:2" x14ac:dyDescent="0.25">
      <c r="A265" s="33">
        <v>4662</v>
      </c>
      <c r="B265" s="33" t="s">
        <v>155</v>
      </c>
    </row>
    <row r="266" spans="1:2" x14ac:dyDescent="0.25">
      <c r="A266" s="33">
        <v>4664</v>
      </c>
      <c r="B266" s="33" t="s">
        <v>176</v>
      </c>
    </row>
    <row r="267" spans="1:2" x14ac:dyDescent="0.25">
      <c r="A267" s="33">
        <v>4665</v>
      </c>
      <c r="B267" s="33" t="s">
        <v>176</v>
      </c>
    </row>
    <row r="268" spans="1:2" x14ac:dyDescent="0.25">
      <c r="A268" s="33">
        <v>4682</v>
      </c>
      <c r="B268" s="33" t="s">
        <v>167</v>
      </c>
    </row>
    <row r="269" spans="1:2" x14ac:dyDescent="0.25">
      <c r="A269" s="33">
        <v>4686</v>
      </c>
      <c r="B269" s="33" t="s">
        <v>156</v>
      </c>
    </row>
    <row r="270" spans="1:2" x14ac:dyDescent="0.25">
      <c r="A270" s="33">
        <v>4695</v>
      </c>
      <c r="B270" s="33" t="s">
        <v>155</v>
      </c>
    </row>
    <row r="271" spans="1:2" x14ac:dyDescent="0.25">
      <c r="A271" s="33">
        <v>4701</v>
      </c>
      <c r="B271" s="33" t="s">
        <v>156</v>
      </c>
    </row>
    <row r="272" spans="1:2" x14ac:dyDescent="0.25">
      <c r="A272" s="33">
        <v>4712</v>
      </c>
      <c r="B272" s="33" t="s">
        <v>176</v>
      </c>
    </row>
    <row r="273" spans="1:2" x14ac:dyDescent="0.25">
      <c r="A273" s="33">
        <v>4713</v>
      </c>
      <c r="B273" s="33" t="s">
        <v>155</v>
      </c>
    </row>
    <row r="274" spans="1:2" x14ac:dyDescent="0.25">
      <c r="A274" s="33">
        <v>4714</v>
      </c>
      <c r="B274" s="33" t="s">
        <v>155</v>
      </c>
    </row>
    <row r="275" spans="1:2" x14ac:dyDescent="0.25">
      <c r="A275" s="33">
        <v>4715</v>
      </c>
      <c r="B275" s="33" t="s">
        <v>155</v>
      </c>
    </row>
    <row r="276" spans="1:2" x14ac:dyDescent="0.25">
      <c r="A276" s="33">
        <v>4716</v>
      </c>
      <c r="B276" s="33" t="s">
        <v>155</v>
      </c>
    </row>
    <row r="277" spans="1:2" x14ac:dyDescent="0.25">
      <c r="A277" s="33">
        <v>4726</v>
      </c>
      <c r="B277" s="33" t="s">
        <v>176</v>
      </c>
    </row>
    <row r="278" spans="1:2" x14ac:dyDescent="0.25">
      <c r="A278" s="33">
        <v>4741</v>
      </c>
      <c r="B278" s="33">
        <v>0</v>
      </c>
    </row>
    <row r="279" spans="1:2" x14ac:dyDescent="0.25">
      <c r="A279" s="33">
        <v>4772</v>
      </c>
      <c r="B279" s="33" t="s">
        <v>155</v>
      </c>
    </row>
    <row r="280" spans="1:2" x14ac:dyDescent="0.25">
      <c r="A280" s="33">
        <v>4812</v>
      </c>
      <c r="B280" s="33" t="s">
        <v>190</v>
      </c>
    </row>
    <row r="281" spans="1:2" x14ac:dyDescent="0.25">
      <c r="A281" s="33">
        <v>4833</v>
      </c>
      <c r="B281" s="33" t="s">
        <v>191</v>
      </c>
    </row>
    <row r="282" spans="1:2" x14ac:dyDescent="0.25">
      <c r="A282" s="33">
        <v>4835</v>
      </c>
      <c r="B282" s="33" t="s">
        <v>192</v>
      </c>
    </row>
    <row r="283" spans="1:2" x14ac:dyDescent="0.25">
      <c r="A283" s="33">
        <v>4841</v>
      </c>
      <c r="B283" s="33" t="s">
        <v>167</v>
      </c>
    </row>
    <row r="284" spans="1:2" x14ac:dyDescent="0.25">
      <c r="A284" s="33">
        <v>4852</v>
      </c>
      <c r="B284" s="33" t="s">
        <v>167</v>
      </c>
    </row>
    <row r="285" spans="1:2" x14ac:dyDescent="0.25">
      <c r="A285" s="33">
        <v>4855</v>
      </c>
      <c r="B285" s="33" t="s">
        <v>155</v>
      </c>
    </row>
    <row r="286" spans="1:2" x14ac:dyDescent="0.25">
      <c r="A286" s="33">
        <v>4875</v>
      </c>
      <c r="B286" s="33" t="s">
        <v>192</v>
      </c>
    </row>
    <row r="287" spans="1:2" x14ac:dyDescent="0.25">
      <c r="A287" s="33">
        <v>4876</v>
      </c>
      <c r="B287" s="33" t="s">
        <v>155</v>
      </c>
    </row>
    <row r="288" spans="1:2" x14ac:dyDescent="0.25">
      <c r="A288" s="33">
        <v>4883</v>
      </c>
      <c r="B288" s="33" t="s">
        <v>193</v>
      </c>
    </row>
    <row r="289" spans="1:2" x14ac:dyDescent="0.25">
      <c r="A289" s="33">
        <v>4884</v>
      </c>
      <c r="B289" s="33" t="s">
        <v>155</v>
      </c>
    </row>
    <row r="290" spans="1:2" x14ac:dyDescent="0.25">
      <c r="A290" s="33">
        <v>4885</v>
      </c>
      <c r="B290" s="33" t="s">
        <v>155</v>
      </c>
    </row>
    <row r="291" spans="1:2" x14ac:dyDescent="0.25">
      <c r="A291" s="33">
        <v>4902</v>
      </c>
      <c r="B291" s="33" t="s">
        <v>194</v>
      </c>
    </row>
    <row r="292" spans="1:2" x14ac:dyDescent="0.25">
      <c r="A292" s="33">
        <v>4912</v>
      </c>
      <c r="B292" s="33" t="s">
        <v>194</v>
      </c>
    </row>
    <row r="293" spans="1:2" x14ac:dyDescent="0.25">
      <c r="A293" s="33">
        <v>4921</v>
      </c>
      <c r="B293" s="33" t="s">
        <v>195</v>
      </c>
    </row>
    <row r="294" spans="1:2" x14ac:dyDescent="0.25">
      <c r="A294" s="33">
        <v>4932</v>
      </c>
      <c r="B294" s="33" t="s">
        <v>183</v>
      </c>
    </row>
    <row r="295" spans="1:2" x14ac:dyDescent="0.25">
      <c r="A295" s="33">
        <v>4962</v>
      </c>
      <c r="B295" s="33" t="s">
        <v>195</v>
      </c>
    </row>
    <row r="296" spans="1:2" x14ac:dyDescent="0.25">
      <c r="A296" s="33">
        <v>4963</v>
      </c>
      <c r="B296" s="33" t="s">
        <v>196</v>
      </c>
    </row>
    <row r="297" spans="1:2" x14ac:dyDescent="0.25">
      <c r="A297" s="33">
        <v>4971</v>
      </c>
      <c r="B297" s="33" t="s">
        <v>181</v>
      </c>
    </row>
    <row r="298" spans="1:2" x14ac:dyDescent="0.25">
      <c r="A298" s="33">
        <v>4983</v>
      </c>
      <c r="B298" s="33" t="s">
        <v>196</v>
      </c>
    </row>
    <row r="299" spans="1:2" x14ac:dyDescent="0.25">
      <c r="A299" s="33">
        <v>4991</v>
      </c>
      <c r="B299" s="33" t="s">
        <v>157</v>
      </c>
    </row>
    <row r="300" spans="1:2" x14ac:dyDescent="0.25">
      <c r="A300" s="33">
        <v>5010</v>
      </c>
      <c r="B300" s="33" t="s">
        <v>174</v>
      </c>
    </row>
    <row r="301" spans="1:2" x14ac:dyDescent="0.25">
      <c r="A301" s="33">
        <v>5032</v>
      </c>
      <c r="B301" s="33" t="s">
        <v>197</v>
      </c>
    </row>
    <row r="302" spans="1:2" x14ac:dyDescent="0.25">
      <c r="A302" s="33">
        <v>5033</v>
      </c>
      <c r="B302" s="33" t="s">
        <v>167</v>
      </c>
    </row>
    <row r="303" spans="1:2" x14ac:dyDescent="0.25">
      <c r="A303" s="33">
        <v>5051</v>
      </c>
      <c r="B303" s="33" t="s">
        <v>155</v>
      </c>
    </row>
    <row r="304" spans="1:2" x14ac:dyDescent="0.25">
      <c r="A304" s="33">
        <v>5060</v>
      </c>
      <c r="B304" s="33" t="s">
        <v>155</v>
      </c>
    </row>
    <row r="305" spans="1:2" x14ac:dyDescent="0.25">
      <c r="A305" s="33">
        <v>5104</v>
      </c>
      <c r="B305" s="33" t="s">
        <v>198</v>
      </c>
    </row>
    <row r="306" spans="1:2" x14ac:dyDescent="0.25">
      <c r="A306" s="33">
        <v>5122</v>
      </c>
      <c r="B306" s="33" t="s">
        <v>199</v>
      </c>
    </row>
    <row r="307" spans="1:2" x14ac:dyDescent="0.25">
      <c r="A307" s="33">
        <v>5125</v>
      </c>
      <c r="B307" s="33" t="s">
        <v>195</v>
      </c>
    </row>
    <row r="308" spans="1:2" x14ac:dyDescent="0.25">
      <c r="A308" s="33">
        <v>5134</v>
      </c>
      <c r="B308" s="33" t="s">
        <v>155</v>
      </c>
    </row>
    <row r="309" spans="1:2" x14ac:dyDescent="0.25">
      <c r="A309" s="33">
        <v>5142</v>
      </c>
      <c r="B309" s="33" t="s">
        <v>195</v>
      </c>
    </row>
    <row r="310" spans="1:2" x14ac:dyDescent="0.25">
      <c r="A310" s="33">
        <v>5148</v>
      </c>
      <c r="B310" s="33" t="s">
        <v>169</v>
      </c>
    </row>
    <row r="311" spans="1:2" x14ac:dyDescent="0.25">
      <c r="A311" s="33">
        <v>5149</v>
      </c>
      <c r="B311" s="33" t="s">
        <v>199</v>
      </c>
    </row>
    <row r="312" spans="1:2" x14ac:dyDescent="0.25">
      <c r="A312" s="33">
        <v>5181</v>
      </c>
      <c r="B312" s="33" t="s">
        <v>195</v>
      </c>
    </row>
    <row r="313" spans="1:2" x14ac:dyDescent="0.25">
      <c r="A313" s="33">
        <v>5182</v>
      </c>
      <c r="B313" s="33" t="s">
        <v>197</v>
      </c>
    </row>
    <row r="314" spans="1:2" x14ac:dyDescent="0.25">
      <c r="A314" s="33">
        <v>5183</v>
      </c>
      <c r="B314" s="33" t="s">
        <v>195</v>
      </c>
    </row>
    <row r="315" spans="1:2" x14ac:dyDescent="0.25">
      <c r="A315" s="33">
        <v>5209</v>
      </c>
      <c r="B315" s="33" t="s">
        <v>155</v>
      </c>
    </row>
    <row r="316" spans="1:2" x14ac:dyDescent="0.25">
      <c r="A316" s="33">
        <v>5214</v>
      </c>
      <c r="B316" s="33" t="s">
        <v>186</v>
      </c>
    </row>
    <row r="317" spans="1:2" x14ac:dyDescent="0.25">
      <c r="A317" s="33">
        <v>5242</v>
      </c>
      <c r="B317" s="33" t="s">
        <v>155</v>
      </c>
    </row>
    <row r="318" spans="1:2" x14ac:dyDescent="0.25">
      <c r="A318" s="33">
        <v>5255</v>
      </c>
      <c r="B318" s="33" t="s">
        <v>195</v>
      </c>
    </row>
    <row r="319" spans="1:2" x14ac:dyDescent="0.25">
      <c r="A319" s="33">
        <v>5256</v>
      </c>
      <c r="B319" s="33" t="s">
        <v>195</v>
      </c>
    </row>
    <row r="320" spans="1:2" x14ac:dyDescent="0.25">
      <c r="A320" s="33">
        <v>5270</v>
      </c>
      <c r="B320" s="33" t="s">
        <v>195</v>
      </c>
    </row>
    <row r="321" spans="1:2" x14ac:dyDescent="0.25">
      <c r="A321" s="33">
        <v>5271</v>
      </c>
      <c r="B321" s="33" t="s">
        <v>195</v>
      </c>
    </row>
    <row r="322" spans="1:2" x14ac:dyDescent="0.25">
      <c r="A322" s="33">
        <v>5289</v>
      </c>
      <c r="B322" s="33" t="s">
        <v>200</v>
      </c>
    </row>
    <row r="323" spans="1:2" x14ac:dyDescent="0.25">
      <c r="A323" s="33">
        <v>5323</v>
      </c>
      <c r="B323" s="33" t="s">
        <v>201</v>
      </c>
    </row>
    <row r="324" spans="1:2" x14ac:dyDescent="0.25">
      <c r="A324" s="33">
        <v>5329</v>
      </c>
      <c r="B324" s="33" t="s">
        <v>195</v>
      </c>
    </row>
    <row r="325" spans="1:2" x14ac:dyDescent="0.25">
      <c r="A325" s="33">
        <v>5332</v>
      </c>
      <c r="B325" s="33" t="s">
        <v>195</v>
      </c>
    </row>
    <row r="326" spans="1:2" x14ac:dyDescent="0.25">
      <c r="A326" s="33">
        <v>5333</v>
      </c>
      <c r="B326" s="33" t="s">
        <v>201</v>
      </c>
    </row>
    <row r="327" spans="1:2" x14ac:dyDescent="0.25">
      <c r="A327" s="33">
        <v>5363</v>
      </c>
      <c r="B327" s="33" t="s">
        <v>201</v>
      </c>
    </row>
    <row r="328" spans="1:2" x14ac:dyDescent="0.25">
      <c r="A328" s="33">
        <v>5371</v>
      </c>
      <c r="B328" s="33" t="s">
        <v>195</v>
      </c>
    </row>
    <row r="329" spans="1:2" x14ac:dyDescent="0.25">
      <c r="A329" s="33">
        <v>5393</v>
      </c>
      <c r="B329" s="33" t="s">
        <v>195</v>
      </c>
    </row>
    <row r="330" spans="1:2" x14ac:dyDescent="0.25">
      <c r="A330" s="33">
        <v>5395</v>
      </c>
      <c r="B330" s="33" t="s">
        <v>195</v>
      </c>
    </row>
    <row r="331" spans="1:2" x14ac:dyDescent="0.25">
      <c r="A331" s="33">
        <v>5406</v>
      </c>
      <c r="B331" s="33" t="s">
        <v>155</v>
      </c>
    </row>
    <row r="332" spans="1:2" x14ac:dyDescent="0.25">
      <c r="A332" s="33">
        <v>5420</v>
      </c>
      <c r="B332" s="33" t="s">
        <v>155</v>
      </c>
    </row>
    <row r="333" spans="1:2" x14ac:dyDescent="0.25">
      <c r="A333" s="33">
        <v>5421</v>
      </c>
      <c r="B333" s="33" t="s">
        <v>155</v>
      </c>
    </row>
    <row r="334" spans="1:2" x14ac:dyDescent="0.25">
      <c r="A334" s="33">
        <v>5422</v>
      </c>
      <c r="B334" s="33" t="s">
        <v>155</v>
      </c>
    </row>
    <row r="335" spans="1:2" x14ac:dyDescent="0.25">
      <c r="A335" s="33">
        <v>5471</v>
      </c>
      <c r="B335" s="33" t="s">
        <v>182</v>
      </c>
    </row>
    <row r="336" spans="1:2" x14ac:dyDescent="0.25">
      <c r="A336" s="33">
        <v>5472</v>
      </c>
      <c r="B336" s="33" t="s">
        <v>182</v>
      </c>
    </row>
    <row r="337" spans="1:2" x14ac:dyDescent="0.25">
      <c r="A337" s="33">
        <v>5473</v>
      </c>
      <c r="B337" s="33" t="s">
        <v>182</v>
      </c>
    </row>
    <row r="338" spans="1:2" x14ac:dyDescent="0.25">
      <c r="A338" s="33">
        <v>5580</v>
      </c>
      <c r="B338" s="33" t="s">
        <v>157</v>
      </c>
    </row>
    <row r="339" spans="1:2" x14ac:dyDescent="0.25">
      <c r="A339" s="33">
        <v>5585</v>
      </c>
      <c r="B339" s="33" t="s">
        <v>181</v>
      </c>
    </row>
    <row r="340" spans="1:2" x14ac:dyDescent="0.25">
      <c r="A340" s="33">
        <v>5588</v>
      </c>
      <c r="B340" s="33" t="s">
        <v>181</v>
      </c>
    </row>
    <row r="341" spans="1:2" x14ac:dyDescent="0.25">
      <c r="A341" s="33">
        <v>5591</v>
      </c>
      <c r="B341" s="33" t="s">
        <v>181</v>
      </c>
    </row>
    <row r="342" spans="1:2" x14ac:dyDescent="0.25">
      <c r="A342" s="33">
        <v>5598</v>
      </c>
      <c r="B342" s="33" t="s">
        <v>202</v>
      </c>
    </row>
    <row r="343" spans="1:2" x14ac:dyDescent="0.25">
      <c r="A343" s="33">
        <v>5599</v>
      </c>
      <c r="B343" s="33" t="s">
        <v>202</v>
      </c>
    </row>
    <row r="344" spans="1:2" x14ac:dyDescent="0.25">
      <c r="A344" s="33">
        <v>5602</v>
      </c>
      <c r="B344" s="33" t="s">
        <v>181</v>
      </c>
    </row>
    <row r="345" spans="1:2" x14ac:dyDescent="0.25">
      <c r="A345" s="33">
        <v>5604</v>
      </c>
      <c r="B345" s="33" t="s">
        <v>181</v>
      </c>
    </row>
    <row r="346" spans="1:2" x14ac:dyDescent="0.25">
      <c r="A346" s="33">
        <v>5605</v>
      </c>
      <c r="B346" s="33" t="s">
        <v>181</v>
      </c>
    </row>
    <row r="347" spans="1:2" x14ac:dyDescent="0.25">
      <c r="A347" s="33">
        <v>5608</v>
      </c>
      <c r="B347" s="33" t="s">
        <v>155</v>
      </c>
    </row>
    <row r="348" spans="1:2" x14ac:dyDescent="0.25">
      <c r="A348" s="33">
        <v>5612</v>
      </c>
      <c r="B348" s="33" t="s">
        <v>194</v>
      </c>
    </row>
    <row r="349" spans="1:2" x14ac:dyDescent="0.25">
      <c r="A349" s="33">
        <v>5622</v>
      </c>
      <c r="B349" s="33" t="s">
        <v>194</v>
      </c>
    </row>
    <row r="350" spans="1:2" x14ac:dyDescent="0.25">
      <c r="A350" s="33">
        <v>5662</v>
      </c>
      <c r="B350" s="33" t="s">
        <v>180</v>
      </c>
    </row>
    <row r="351" spans="1:2" x14ac:dyDescent="0.25">
      <c r="A351" s="33">
        <v>5703</v>
      </c>
      <c r="B351" s="33" t="s">
        <v>162</v>
      </c>
    </row>
    <row r="352" spans="1:2" x14ac:dyDescent="0.25">
      <c r="A352" s="33">
        <v>5713</v>
      </c>
      <c r="B352" s="33" t="s">
        <v>171</v>
      </c>
    </row>
    <row r="353" spans="1:2" x14ac:dyDescent="0.25">
      <c r="A353" s="33">
        <v>5723</v>
      </c>
      <c r="B353" s="33" t="s">
        <v>171</v>
      </c>
    </row>
    <row r="354" spans="1:2" x14ac:dyDescent="0.25">
      <c r="A354" s="33">
        <v>5733</v>
      </c>
      <c r="B354" s="33" t="s">
        <v>171</v>
      </c>
    </row>
    <row r="355" spans="1:2" x14ac:dyDescent="0.25">
      <c r="A355" s="33">
        <v>5819</v>
      </c>
      <c r="B355" s="33" t="s">
        <v>155</v>
      </c>
    </row>
    <row r="356" spans="1:2" x14ac:dyDescent="0.25">
      <c r="A356" s="33">
        <v>5843</v>
      </c>
      <c r="B356" s="33" t="s">
        <v>202</v>
      </c>
    </row>
    <row r="357" spans="1:2" x14ac:dyDescent="0.25">
      <c r="A357" s="33">
        <v>5844</v>
      </c>
      <c r="B357" s="33" t="s">
        <v>202</v>
      </c>
    </row>
    <row r="358" spans="1:2" x14ac:dyDescent="0.25">
      <c r="A358" s="33">
        <v>5845</v>
      </c>
      <c r="B358" s="33" t="s">
        <v>202</v>
      </c>
    </row>
    <row r="359" spans="1:2" x14ac:dyDescent="0.25">
      <c r="A359" s="33">
        <v>5853</v>
      </c>
      <c r="B359" s="33" t="s">
        <v>157</v>
      </c>
    </row>
    <row r="360" spans="1:2" x14ac:dyDescent="0.25">
      <c r="A360" s="33">
        <v>5862</v>
      </c>
      <c r="B360" s="33" t="s">
        <v>170</v>
      </c>
    </row>
    <row r="361" spans="1:2" x14ac:dyDescent="0.25">
      <c r="A361" s="33">
        <v>5881</v>
      </c>
      <c r="B361" s="33" t="s">
        <v>155</v>
      </c>
    </row>
    <row r="362" spans="1:2" x14ac:dyDescent="0.25">
      <c r="A362" s="33">
        <v>5882</v>
      </c>
      <c r="B362" s="33" t="s">
        <v>158</v>
      </c>
    </row>
    <row r="363" spans="1:2" x14ac:dyDescent="0.25">
      <c r="A363" s="33">
        <v>5894</v>
      </c>
      <c r="B363" s="33" t="s">
        <v>155</v>
      </c>
    </row>
    <row r="364" spans="1:2" x14ac:dyDescent="0.25">
      <c r="A364" s="33">
        <v>5906</v>
      </c>
      <c r="B364" s="33" t="s">
        <v>181</v>
      </c>
    </row>
    <row r="365" spans="1:2" x14ac:dyDescent="0.25">
      <c r="A365" s="33">
        <v>5907</v>
      </c>
      <c r="B365" s="33" t="s">
        <v>181</v>
      </c>
    </row>
    <row r="366" spans="1:2" x14ac:dyDescent="0.25">
      <c r="A366" s="33">
        <v>5908</v>
      </c>
      <c r="B366" s="33" t="s">
        <v>181</v>
      </c>
    </row>
    <row r="367" spans="1:2" x14ac:dyDescent="0.25">
      <c r="A367" s="33">
        <v>5909</v>
      </c>
      <c r="B367" s="33" t="s">
        <v>181</v>
      </c>
    </row>
    <row r="368" spans="1:2" x14ac:dyDescent="0.25">
      <c r="A368" s="33">
        <v>5911</v>
      </c>
      <c r="B368" s="33" t="s">
        <v>181</v>
      </c>
    </row>
    <row r="369" spans="1:2" x14ac:dyDescent="0.25">
      <c r="A369" s="33">
        <v>5926</v>
      </c>
      <c r="B369" s="33" t="s">
        <v>181</v>
      </c>
    </row>
    <row r="370" spans="1:2" x14ac:dyDescent="0.25">
      <c r="A370" s="33">
        <v>5941</v>
      </c>
      <c r="B370" s="33" t="s">
        <v>155</v>
      </c>
    </row>
    <row r="371" spans="1:2" x14ac:dyDescent="0.25">
      <c r="A371" s="33">
        <v>5944</v>
      </c>
      <c r="B371" s="33" t="s">
        <v>155</v>
      </c>
    </row>
    <row r="372" spans="1:2" x14ac:dyDescent="0.25">
      <c r="A372" s="33">
        <v>5945</v>
      </c>
      <c r="B372" s="33" t="s">
        <v>155</v>
      </c>
    </row>
    <row r="373" spans="1:2" x14ac:dyDescent="0.25">
      <c r="A373" s="33">
        <v>5946</v>
      </c>
      <c r="B373" s="33" t="s">
        <v>155</v>
      </c>
    </row>
    <row r="374" spans="1:2" x14ac:dyDescent="0.25">
      <c r="A374" s="33">
        <v>5992</v>
      </c>
      <c r="B374" s="33" t="s">
        <v>181</v>
      </c>
    </row>
    <row r="375" spans="1:2" x14ac:dyDescent="0.25">
      <c r="A375" s="33">
        <v>5993</v>
      </c>
      <c r="B375" s="33" t="s">
        <v>181</v>
      </c>
    </row>
    <row r="376" spans="1:2" x14ac:dyDescent="0.25">
      <c r="A376" s="33">
        <v>6029</v>
      </c>
      <c r="B376" s="33" t="s">
        <v>203</v>
      </c>
    </row>
    <row r="377" spans="1:2" x14ac:dyDescent="0.25">
      <c r="A377" s="33">
        <v>6037</v>
      </c>
      <c r="B377" s="33" t="s">
        <v>203</v>
      </c>
    </row>
    <row r="378" spans="1:2" x14ac:dyDescent="0.25">
      <c r="A378" s="33">
        <v>6041</v>
      </c>
      <c r="B378" s="33" t="s">
        <v>203</v>
      </c>
    </row>
    <row r="379" spans="1:2" x14ac:dyDescent="0.25">
      <c r="A379" s="33">
        <v>6045</v>
      </c>
      <c r="B379" s="33" t="s">
        <v>203</v>
      </c>
    </row>
    <row r="380" spans="1:2" x14ac:dyDescent="0.25">
      <c r="A380" s="33">
        <v>6047</v>
      </c>
      <c r="B380" s="33" t="s">
        <v>203</v>
      </c>
    </row>
    <row r="381" spans="1:2" x14ac:dyDescent="0.25">
      <c r="A381" s="33">
        <v>6048</v>
      </c>
      <c r="B381" s="33" t="s">
        <v>203</v>
      </c>
    </row>
    <row r="382" spans="1:2" x14ac:dyDescent="0.25">
      <c r="A382" s="33">
        <v>6049</v>
      </c>
      <c r="B382" s="33" t="s">
        <v>203</v>
      </c>
    </row>
    <row r="383" spans="1:2" x14ac:dyDescent="0.25">
      <c r="A383" s="33">
        <v>6090</v>
      </c>
      <c r="B383" s="33" t="s">
        <v>204</v>
      </c>
    </row>
    <row r="384" spans="1:2" x14ac:dyDescent="0.25">
      <c r="A384" s="33">
        <v>6105</v>
      </c>
      <c r="B384" s="33" t="s">
        <v>205</v>
      </c>
    </row>
    <row r="385" spans="1:2" x14ac:dyDescent="0.25">
      <c r="A385" s="33">
        <v>6106</v>
      </c>
      <c r="B385" s="33" t="s">
        <v>205</v>
      </c>
    </row>
    <row r="386" spans="1:2" x14ac:dyDescent="0.25">
      <c r="A386" s="33">
        <v>6107</v>
      </c>
      <c r="B386" s="33" t="s">
        <v>188</v>
      </c>
    </row>
    <row r="387" spans="1:2" x14ac:dyDescent="0.25">
      <c r="A387" s="33">
        <v>6109</v>
      </c>
      <c r="B387" s="33" t="s">
        <v>187</v>
      </c>
    </row>
    <row r="388" spans="1:2" x14ac:dyDescent="0.25">
      <c r="A388" s="33">
        <v>6120</v>
      </c>
      <c r="B388" s="33" t="s">
        <v>204</v>
      </c>
    </row>
    <row r="389" spans="1:2" x14ac:dyDescent="0.25">
      <c r="A389" s="33">
        <v>6122</v>
      </c>
      <c r="B389" s="33" t="s">
        <v>204</v>
      </c>
    </row>
    <row r="390" spans="1:2" x14ac:dyDescent="0.25">
      <c r="A390" s="33">
        <v>6123</v>
      </c>
      <c r="B390" s="33" t="s">
        <v>179</v>
      </c>
    </row>
    <row r="391" spans="1:2" x14ac:dyDescent="0.25">
      <c r="A391" s="33">
        <v>6124</v>
      </c>
      <c r="B391" s="33" t="s">
        <v>206</v>
      </c>
    </row>
    <row r="392" spans="1:2" x14ac:dyDescent="0.25">
      <c r="A392" s="33">
        <v>6125</v>
      </c>
      <c r="B392" s="33" t="s">
        <v>206</v>
      </c>
    </row>
    <row r="393" spans="1:2" x14ac:dyDescent="0.25">
      <c r="A393" s="33">
        <v>6126</v>
      </c>
      <c r="B393" s="33" t="s">
        <v>206</v>
      </c>
    </row>
    <row r="394" spans="1:2" x14ac:dyDescent="0.25">
      <c r="A394" s="33">
        <v>6128</v>
      </c>
      <c r="B394" s="33" t="s">
        <v>171</v>
      </c>
    </row>
    <row r="395" spans="1:2" x14ac:dyDescent="0.25">
      <c r="A395" s="33">
        <v>6129</v>
      </c>
      <c r="B395" s="33" t="s">
        <v>171</v>
      </c>
    </row>
    <row r="396" spans="1:2" x14ac:dyDescent="0.25">
      <c r="A396" s="33">
        <v>6133</v>
      </c>
      <c r="B396" s="33" t="s">
        <v>155</v>
      </c>
    </row>
    <row r="397" spans="1:2" x14ac:dyDescent="0.25">
      <c r="A397" s="33">
        <v>6141</v>
      </c>
      <c r="B397" s="33" t="s">
        <v>183</v>
      </c>
    </row>
    <row r="398" spans="1:2" x14ac:dyDescent="0.25">
      <c r="A398" s="33">
        <v>6150</v>
      </c>
      <c r="B398" s="33" t="s">
        <v>196</v>
      </c>
    </row>
    <row r="399" spans="1:2" x14ac:dyDescent="0.25">
      <c r="A399" s="33">
        <v>6151</v>
      </c>
      <c r="B399" s="33" t="s">
        <v>196</v>
      </c>
    </row>
    <row r="400" spans="1:2" x14ac:dyDescent="0.25">
      <c r="A400" s="33">
        <v>6152</v>
      </c>
      <c r="B400" s="33" t="s">
        <v>196</v>
      </c>
    </row>
    <row r="401" spans="1:2" x14ac:dyDescent="0.25">
      <c r="A401" s="33">
        <v>6154</v>
      </c>
      <c r="B401" s="33" t="s">
        <v>207</v>
      </c>
    </row>
    <row r="402" spans="1:2" x14ac:dyDescent="0.25">
      <c r="A402" s="33">
        <v>6155</v>
      </c>
      <c r="B402" s="33" t="s">
        <v>208</v>
      </c>
    </row>
    <row r="403" spans="1:2" x14ac:dyDescent="0.25">
      <c r="A403" s="33">
        <v>6163</v>
      </c>
      <c r="B403" s="33" t="s">
        <v>155</v>
      </c>
    </row>
    <row r="404" spans="1:2" x14ac:dyDescent="0.25">
      <c r="A404" s="33">
        <v>6166</v>
      </c>
      <c r="B404" s="33" t="s">
        <v>155</v>
      </c>
    </row>
    <row r="405" spans="1:2" x14ac:dyDescent="0.25">
      <c r="A405" s="33">
        <v>6167</v>
      </c>
      <c r="B405" s="33" t="s">
        <v>155</v>
      </c>
    </row>
    <row r="406" spans="1:2" x14ac:dyDescent="0.25">
      <c r="A406" s="33">
        <v>6168</v>
      </c>
      <c r="B406" s="33" t="s">
        <v>155</v>
      </c>
    </row>
    <row r="407" spans="1:2" x14ac:dyDescent="0.25">
      <c r="A407" s="33">
        <v>6169</v>
      </c>
      <c r="B407" s="33" t="s">
        <v>155</v>
      </c>
    </row>
    <row r="408" spans="1:2" x14ac:dyDescent="0.25">
      <c r="A408" s="33">
        <v>6170</v>
      </c>
      <c r="B408" s="33" t="s">
        <v>196</v>
      </c>
    </row>
    <row r="409" spans="1:2" x14ac:dyDescent="0.25">
      <c r="A409" s="33">
        <v>6171</v>
      </c>
      <c r="B409" s="33" t="s">
        <v>196</v>
      </c>
    </row>
    <row r="410" spans="1:2" x14ac:dyDescent="0.25">
      <c r="A410" s="33">
        <v>6172</v>
      </c>
      <c r="B410" s="33" t="s">
        <v>196</v>
      </c>
    </row>
    <row r="411" spans="1:2" x14ac:dyDescent="0.25">
      <c r="A411" s="33">
        <v>6174</v>
      </c>
      <c r="B411" s="33" t="s">
        <v>155</v>
      </c>
    </row>
    <row r="412" spans="1:2" x14ac:dyDescent="0.25">
      <c r="A412" s="33">
        <v>6178</v>
      </c>
      <c r="B412" s="33" t="s">
        <v>155</v>
      </c>
    </row>
    <row r="413" spans="1:2" x14ac:dyDescent="0.25">
      <c r="A413" s="33">
        <v>6179</v>
      </c>
      <c r="B413" s="33" t="s">
        <v>155</v>
      </c>
    </row>
    <row r="414" spans="1:2" x14ac:dyDescent="0.25">
      <c r="A414" s="33">
        <v>6181</v>
      </c>
      <c r="B414" s="33" t="s">
        <v>155</v>
      </c>
    </row>
    <row r="415" spans="1:2" x14ac:dyDescent="0.25">
      <c r="A415" s="33">
        <v>6182</v>
      </c>
      <c r="B415" s="33" t="s">
        <v>155</v>
      </c>
    </row>
    <row r="416" spans="1:2" x14ac:dyDescent="0.25">
      <c r="A416" s="33">
        <v>6183</v>
      </c>
      <c r="B416" s="33" t="s">
        <v>155</v>
      </c>
    </row>
    <row r="417" spans="1:2" x14ac:dyDescent="0.25">
      <c r="A417" s="33">
        <v>6184</v>
      </c>
      <c r="B417" s="33" t="s">
        <v>155</v>
      </c>
    </row>
    <row r="418" spans="1:2" x14ac:dyDescent="0.25">
      <c r="A418" s="33">
        <v>6185</v>
      </c>
      <c r="B418" s="33" t="s">
        <v>180</v>
      </c>
    </row>
    <row r="419" spans="1:2" x14ac:dyDescent="0.25">
      <c r="A419" s="33">
        <v>6186</v>
      </c>
      <c r="B419" s="33" t="s">
        <v>180</v>
      </c>
    </row>
    <row r="420" spans="1:2" x14ac:dyDescent="0.25">
      <c r="A420" s="33">
        <v>6187</v>
      </c>
      <c r="B420" s="33" t="s">
        <v>155</v>
      </c>
    </row>
    <row r="421" spans="1:2" x14ac:dyDescent="0.25">
      <c r="A421" s="33">
        <v>6188</v>
      </c>
      <c r="B421" s="33" t="s">
        <v>155</v>
      </c>
    </row>
    <row r="422" spans="1:2" x14ac:dyDescent="0.25">
      <c r="A422" s="33">
        <v>6190</v>
      </c>
      <c r="B422" s="33" t="s">
        <v>170</v>
      </c>
    </row>
    <row r="423" spans="1:2" x14ac:dyDescent="0.25">
      <c r="A423" s="33">
        <v>6191</v>
      </c>
      <c r="B423" s="33" t="s">
        <v>155</v>
      </c>
    </row>
    <row r="424" spans="1:2" x14ac:dyDescent="0.25">
      <c r="A424" s="33">
        <v>6192</v>
      </c>
      <c r="B424" s="33" t="s">
        <v>155</v>
      </c>
    </row>
    <row r="425" spans="1:2" x14ac:dyDescent="0.25">
      <c r="A425" s="33">
        <v>6193</v>
      </c>
      <c r="B425" s="33" t="s">
        <v>155</v>
      </c>
    </row>
    <row r="426" spans="1:2" x14ac:dyDescent="0.25">
      <c r="A426" s="33">
        <v>6194</v>
      </c>
      <c r="B426" s="33" t="s">
        <v>155</v>
      </c>
    </row>
    <row r="427" spans="1:2" x14ac:dyDescent="0.25">
      <c r="A427" s="33">
        <v>6196</v>
      </c>
      <c r="B427" s="33" t="s">
        <v>155</v>
      </c>
    </row>
    <row r="428" spans="1:2" x14ac:dyDescent="0.25">
      <c r="A428" s="33">
        <v>6197</v>
      </c>
      <c r="B428" s="33" t="s">
        <v>155</v>
      </c>
    </row>
    <row r="429" spans="1:2" x14ac:dyDescent="0.25">
      <c r="A429" s="33">
        <v>6198</v>
      </c>
      <c r="B429" s="33" t="s">
        <v>155</v>
      </c>
    </row>
    <row r="430" spans="1:2" x14ac:dyDescent="0.25">
      <c r="A430" s="33">
        <v>6199</v>
      </c>
      <c r="B430" s="33" t="s">
        <v>173</v>
      </c>
    </row>
    <row r="431" spans="1:2" x14ac:dyDescent="0.25">
      <c r="A431" s="33">
        <v>6200</v>
      </c>
      <c r="B431" s="33" t="s">
        <v>155</v>
      </c>
    </row>
    <row r="432" spans="1:2" x14ac:dyDescent="0.25">
      <c r="A432" s="33">
        <v>6201</v>
      </c>
      <c r="B432" s="33" t="s">
        <v>155</v>
      </c>
    </row>
    <row r="433" spans="1:2" x14ac:dyDescent="0.25">
      <c r="A433" s="33">
        <v>6202</v>
      </c>
      <c r="B433" s="33" t="s">
        <v>155</v>
      </c>
    </row>
    <row r="434" spans="1:2" x14ac:dyDescent="0.25">
      <c r="A434" s="33">
        <v>6203</v>
      </c>
      <c r="B434" s="33" t="s">
        <v>155</v>
      </c>
    </row>
    <row r="435" spans="1:2" x14ac:dyDescent="0.25">
      <c r="A435" s="33">
        <v>6220</v>
      </c>
      <c r="B435" s="33" t="s">
        <v>155</v>
      </c>
    </row>
    <row r="436" spans="1:2" x14ac:dyDescent="0.25">
      <c r="A436" s="33">
        <v>6225</v>
      </c>
      <c r="B436" s="33" t="s">
        <v>155</v>
      </c>
    </row>
    <row r="437" spans="1:2" x14ac:dyDescent="0.25">
      <c r="A437" s="33">
        <v>6233</v>
      </c>
      <c r="B437" s="33" t="s">
        <v>155</v>
      </c>
    </row>
    <row r="438" spans="1:2" x14ac:dyDescent="0.25">
      <c r="A438" s="33">
        <v>6243</v>
      </c>
      <c r="B438" s="33" t="s">
        <v>155</v>
      </c>
    </row>
    <row r="439" spans="1:2" x14ac:dyDescent="0.25">
      <c r="A439" s="33">
        <v>6248</v>
      </c>
      <c r="B439" s="33" t="s">
        <v>171</v>
      </c>
    </row>
    <row r="440" spans="1:2" x14ac:dyDescent="0.25">
      <c r="A440" s="33">
        <v>6251</v>
      </c>
      <c r="B440" s="33" t="s">
        <v>155</v>
      </c>
    </row>
    <row r="441" spans="1:2" x14ac:dyDescent="0.25">
      <c r="A441" s="33">
        <v>6253</v>
      </c>
      <c r="B441" s="33" t="s">
        <v>155</v>
      </c>
    </row>
    <row r="442" spans="1:2" x14ac:dyDescent="0.25">
      <c r="A442" s="33">
        <v>6322</v>
      </c>
      <c r="B442" s="33" t="s">
        <v>209</v>
      </c>
    </row>
    <row r="443" spans="1:2" x14ac:dyDescent="0.25">
      <c r="A443" s="33">
        <v>6340</v>
      </c>
      <c r="B443" s="33" t="s">
        <v>179</v>
      </c>
    </row>
    <row r="444" spans="1:2" x14ac:dyDescent="0.25">
      <c r="A444" s="33">
        <v>6341</v>
      </c>
      <c r="B444" s="33" t="s">
        <v>179</v>
      </c>
    </row>
    <row r="445" spans="1:2" x14ac:dyDescent="0.25">
      <c r="A445" s="33">
        <v>6352</v>
      </c>
      <c r="B445" s="33" t="s">
        <v>196</v>
      </c>
    </row>
    <row r="446" spans="1:2" x14ac:dyDescent="0.25">
      <c r="A446" s="33">
        <v>6353</v>
      </c>
      <c r="B446" s="33" t="s">
        <v>196</v>
      </c>
    </row>
    <row r="447" spans="1:2" x14ac:dyDescent="0.25">
      <c r="A447" s="33">
        <v>6354</v>
      </c>
      <c r="B447" s="33" t="s">
        <v>196</v>
      </c>
    </row>
    <row r="448" spans="1:2" x14ac:dyDescent="0.25">
      <c r="A448" s="33">
        <v>6370</v>
      </c>
      <c r="B448" s="33" t="s">
        <v>170</v>
      </c>
    </row>
    <row r="449" spans="1:2" x14ac:dyDescent="0.25">
      <c r="A449" s="33">
        <v>6371</v>
      </c>
      <c r="B449" s="33" t="s">
        <v>170</v>
      </c>
    </row>
    <row r="450" spans="1:2" x14ac:dyDescent="0.25">
      <c r="A450" s="33">
        <v>6372</v>
      </c>
      <c r="B450" s="33" t="s">
        <v>170</v>
      </c>
    </row>
    <row r="451" spans="1:2" x14ac:dyDescent="0.25">
      <c r="A451" s="33">
        <v>6374</v>
      </c>
      <c r="B451" s="33" t="s">
        <v>210</v>
      </c>
    </row>
    <row r="452" spans="1:2" x14ac:dyDescent="0.25">
      <c r="A452" s="33">
        <v>6376</v>
      </c>
      <c r="B452" s="33" t="s">
        <v>211</v>
      </c>
    </row>
    <row r="453" spans="1:2" x14ac:dyDescent="0.25">
      <c r="A453" s="33">
        <v>6377</v>
      </c>
      <c r="B453" s="33" t="s">
        <v>207</v>
      </c>
    </row>
    <row r="454" spans="1:2" x14ac:dyDescent="0.25">
      <c r="A454" s="33">
        <v>6379</v>
      </c>
      <c r="B454" s="33" t="s">
        <v>171</v>
      </c>
    </row>
    <row r="455" spans="1:2" x14ac:dyDescent="0.25">
      <c r="A455" s="33">
        <v>6380</v>
      </c>
      <c r="B455" s="33" t="s">
        <v>171</v>
      </c>
    </row>
    <row r="456" spans="1:2" x14ac:dyDescent="0.25">
      <c r="A456" s="33">
        <v>6385</v>
      </c>
      <c r="B456" s="33" t="s">
        <v>212</v>
      </c>
    </row>
    <row r="457" spans="1:2" x14ac:dyDescent="0.25">
      <c r="A457" s="33">
        <v>6386</v>
      </c>
      <c r="B457" s="33" t="s">
        <v>212</v>
      </c>
    </row>
    <row r="458" spans="1:2" x14ac:dyDescent="0.25">
      <c r="A458" s="33">
        <v>6387</v>
      </c>
      <c r="B458" s="33" t="s">
        <v>212</v>
      </c>
    </row>
    <row r="459" spans="1:2" x14ac:dyDescent="0.25">
      <c r="A459" s="33">
        <v>6388</v>
      </c>
      <c r="B459" s="33" t="s">
        <v>212</v>
      </c>
    </row>
    <row r="460" spans="1:2" x14ac:dyDescent="0.25">
      <c r="A460" s="33">
        <v>6393</v>
      </c>
      <c r="B460" s="33" t="s">
        <v>213</v>
      </c>
    </row>
    <row r="461" spans="1:2" x14ac:dyDescent="0.25">
      <c r="A461" s="33">
        <v>6395</v>
      </c>
      <c r="B461" s="33" t="s">
        <v>196</v>
      </c>
    </row>
    <row r="462" spans="1:2" x14ac:dyDescent="0.25">
      <c r="A462" s="33">
        <v>6396</v>
      </c>
      <c r="B462" s="33" t="s">
        <v>196</v>
      </c>
    </row>
    <row r="463" spans="1:2" x14ac:dyDescent="0.25">
      <c r="A463" s="33">
        <v>6397</v>
      </c>
      <c r="B463" s="33" t="s">
        <v>196</v>
      </c>
    </row>
    <row r="464" spans="1:2" x14ac:dyDescent="0.25">
      <c r="A464" s="33">
        <v>6412</v>
      </c>
      <c r="B464" s="33" t="s">
        <v>212</v>
      </c>
    </row>
    <row r="465" spans="1:2" x14ac:dyDescent="0.25">
      <c r="A465" s="33">
        <v>6440</v>
      </c>
      <c r="B465" s="33" t="s">
        <v>155</v>
      </c>
    </row>
    <row r="466" spans="1:2" x14ac:dyDescent="0.25">
      <c r="A466" s="33">
        <v>6441</v>
      </c>
      <c r="B466" s="33" t="s">
        <v>155</v>
      </c>
    </row>
    <row r="467" spans="1:2" x14ac:dyDescent="0.25">
      <c r="A467" s="33">
        <v>6442</v>
      </c>
      <c r="B467" s="33" t="s">
        <v>155</v>
      </c>
    </row>
    <row r="468" spans="1:2" x14ac:dyDescent="0.25">
      <c r="A468" s="33">
        <v>6461</v>
      </c>
      <c r="B468" s="33" t="s">
        <v>155</v>
      </c>
    </row>
    <row r="469" spans="1:2" x14ac:dyDescent="0.25">
      <c r="A469" s="33">
        <v>6469</v>
      </c>
      <c r="B469" s="33" t="s">
        <v>155</v>
      </c>
    </row>
    <row r="470" spans="1:2" x14ac:dyDescent="0.25">
      <c r="A470" s="33">
        <v>6470</v>
      </c>
      <c r="B470" s="33" t="s">
        <v>155</v>
      </c>
    </row>
    <row r="471" spans="1:2" x14ac:dyDescent="0.25">
      <c r="A471" s="33">
        <v>6471</v>
      </c>
      <c r="B471" s="33" t="s">
        <v>155</v>
      </c>
    </row>
    <row r="472" spans="1:2" x14ac:dyDescent="0.25">
      <c r="A472" s="33">
        <v>6472</v>
      </c>
      <c r="B472" s="33" t="s">
        <v>155</v>
      </c>
    </row>
    <row r="473" spans="1:2" x14ac:dyDescent="0.25">
      <c r="A473" s="33">
        <v>6528</v>
      </c>
      <c r="B473" s="33" t="s">
        <v>155</v>
      </c>
    </row>
    <row r="474" spans="1:2" x14ac:dyDescent="0.25">
      <c r="A474" s="33">
        <v>6529</v>
      </c>
      <c r="B474" s="33" t="s">
        <v>155</v>
      </c>
    </row>
    <row r="475" spans="1:2" x14ac:dyDescent="0.25">
      <c r="A475" s="33">
        <v>6531</v>
      </c>
      <c r="B475" s="33" t="s">
        <v>155</v>
      </c>
    </row>
    <row r="476" spans="1:2" x14ac:dyDescent="0.25">
      <c r="A476" s="33">
        <v>6532</v>
      </c>
      <c r="B476" s="33" t="s">
        <v>155</v>
      </c>
    </row>
    <row r="477" spans="1:2" x14ac:dyDescent="0.25">
      <c r="A477" s="33">
        <v>6533</v>
      </c>
      <c r="B477" s="33" t="s">
        <v>155</v>
      </c>
    </row>
    <row r="478" spans="1:2" x14ac:dyDescent="0.25">
      <c r="A478" s="33">
        <v>6534</v>
      </c>
      <c r="B478" s="33" t="s">
        <v>155</v>
      </c>
    </row>
    <row r="479" spans="1:2" x14ac:dyDescent="0.25">
      <c r="A479" s="33">
        <v>6535</v>
      </c>
      <c r="B479" s="33" t="s">
        <v>155</v>
      </c>
    </row>
    <row r="480" spans="1:2" x14ac:dyDescent="0.25">
      <c r="A480" s="33">
        <v>6537</v>
      </c>
      <c r="B480" s="33" t="s">
        <v>155</v>
      </c>
    </row>
    <row r="481" spans="1:2" x14ac:dyDescent="0.25">
      <c r="A481" s="33">
        <v>6538</v>
      </c>
      <c r="B481" s="33" t="s">
        <v>155</v>
      </c>
    </row>
    <row r="482" spans="1:2" x14ac:dyDescent="0.25">
      <c r="A482" s="33">
        <v>6539</v>
      </c>
      <c r="B482" s="33" t="s">
        <v>155</v>
      </c>
    </row>
    <row r="483" spans="1:2" x14ac:dyDescent="0.25">
      <c r="A483" s="33">
        <v>6540</v>
      </c>
      <c r="B483" s="33" t="s">
        <v>155</v>
      </c>
    </row>
    <row r="484" spans="1:2" x14ac:dyDescent="0.25">
      <c r="A484" s="33">
        <v>6541</v>
      </c>
      <c r="B484" s="33" t="s">
        <v>155</v>
      </c>
    </row>
    <row r="485" spans="1:2" x14ac:dyDescent="0.25">
      <c r="A485" s="33">
        <v>6542</v>
      </c>
      <c r="B485" s="33" t="s">
        <v>155</v>
      </c>
    </row>
    <row r="486" spans="1:2" x14ac:dyDescent="0.25">
      <c r="A486" s="33">
        <v>6543</v>
      </c>
      <c r="B486" s="33" t="s">
        <v>155</v>
      </c>
    </row>
    <row r="487" spans="1:2" x14ac:dyDescent="0.25">
      <c r="A487" s="33">
        <v>6544</v>
      </c>
      <c r="B487" s="33" t="s">
        <v>155</v>
      </c>
    </row>
    <row r="488" spans="1:2" x14ac:dyDescent="0.25">
      <c r="A488" s="33">
        <v>6545</v>
      </c>
      <c r="B488" s="33" t="s">
        <v>155</v>
      </c>
    </row>
    <row r="489" spans="1:2" x14ac:dyDescent="0.25">
      <c r="A489" s="33">
        <v>6546</v>
      </c>
      <c r="B489" s="33" t="s">
        <v>155</v>
      </c>
    </row>
    <row r="490" spans="1:2" x14ac:dyDescent="0.25">
      <c r="A490" s="33">
        <v>6547</v>
      </c>
      <c r="B490" s="33" t="s">
        <v>155</v>
      </c>
    </row>
    <row r="491" spans="1:2" x14ac:dyDescent="0.25">
      <c r="A491" s="33">
        <v>6548</v>
      </c>
      <c r="B491" s="33" t="s">
        <v>155</v>
      </c>
    </row>
    <row r="492" spans="1:2" x14ac:dyDescent="0.25">
      <c r="A492" s="33">
        <v>6549</v>
      </c>
      <c r="B492" s="33" t="s">
        <v>155</v>
      </c>
    </row>
    <row r="493" spans="1:2" x14ac:dyDescent="0.25">
      <c r="A493" s="33">
        <v>6550</v>
      </c>
      <c r="B493" s="33" t="s">
        <v>180</v>
      </c>
    </row>
    <row r="494" spans="1:2" x14ac:dyDescent="0.25">
      <c r="A494" s="33">
        <v>6551</v>
      </c>
      <c r="B494" s="33" t="s">
        <v>155</v>
      </c>
    </row>
    <row r="495" spans="1:2" x14ac:dyDescent="0.25">
      <c r="A495" s="33">
        <v>6552</v>
      </c>
      <c r="B495" s="33" t="s">
        <v>155</v>
      </c>
    </row>
    <row r="496" spans="1:2" x14ac:dyDescent="0.25">
      <c r="A496" s="33">
        <v>6553</v>
      </c>
      <c r="B496" s="33" t="s">
        <v>155</v>
      </c>
    </row>
    <row r="497" spans="1:2" x14ac:dyDescent="0.25">
      <c r="A497" s="33">
        <v>6554</v>
      </c>
      <c r="B497" s="33" t="s">
        <v>155</v>
      </c>
    </row>
    <row r="498" spans="1:2" x14ac:dyDescent="0.25">
      <c r="A498" s="33">
        <v>6555</v>
      </c>
      <c r="B498" s="33" t="s">
        <v>155</v>
      </c>
    </row>
    <row r="499" spans="1:2" x14ac:dyDescent="0.25">
      <c r="A499" s="33">
        <v>6556</v>
      </c>
      <c r="B499" s="33" t="s">
        <v>155</v>
      </c>
    </row>
    <row r="500" spans="1:2" x14ac:dyDescent="0.25">
      <c r="A500" s="33">
        <v>6605</v>
      </c>
      <c r="B500" s="33" t="s">
        <v>155</v>
      </c>
    </row>
    <row r="501" spans="1:2" x14ac:dyDescent="0.25">
      <c r="A501" s="33">
        <v>6607</v>
      </c>
      <c r="B501" s="33" t="s">
        <v>155</v>
      </c>
    </row>
    <row r="502" spans="1:2" x14ac:dyDescent="0.25">
      <c r="A502" s="33">
        <v>6609</v>
      </c>
      <c r="B502" s="33" t="s">
        <v>155</v>
      </c>
    </row>
    <row r="503" spans="1:2" x14ac:dyDescent="0.25">
      <c r="A503" s="33">
        <v>6610</v>
      </c>
      <c r="B503" s="33" t="s">
        <v>155</v>
      </c>
    </row>
    <row r="504" spans="1:2" x14ac:dyDescent="0.25">
      <c r="A504" s="33">
        <v>6613</v>
      </c>
      <c r="B504" s="33" t="s">
        <v>155</v>
      </c>
    </row>
    <row r="505" spans="1:2" x14ac:dyDescent="0.25">
      <c r="A505" s="33">
        <v>6615</v>
      </c>
      <c r="B505" s="33" t="s">
        <v>155</v>
      </c>
    </row>
    <row r="506" spans="1:2" x14ac:dyDescent="0.25">
      <c r="A506" s="33">
        <v>6620</v>
      </c>
      <c r="B506" s="33" t="s">
        <v>155</v>
      </c>
    </row>
    <row r="507" spans="1:2" x14ac:dyDescent="0.25">
      <c r="A507" s="33">
        <v>6621</v>
      </c>
      <c r="B507" s="33" t="s">
        <v>155</v>
      </c>
    </row>
    <row r="508" spans="1:2" x14ac:dyDescent="0.25">
      <c r="A508" s="33">
        <v>6622</v>
      </c>
      <c r="B508" s="33" t="s">
        <v>155</v>
      </c>
    </row>
    <row r="509" spans="1:2" x14ac:dyDescent="0.25">
      <c r="A509" s="33">
        <v>6623</v>
      </c>
      <c r="B509" s="33" t="s">
        <v>155</v>
      </c>
    </row>
    <row r="510" spans="1:2" x14ac:dyDescent="0.25">
      <c r="A510" s="33">
        <v>6624</v>
      </c>
      <c r="B510" s="33" t="s">
        <v>155</v>
      </c>
    </row>
    <row r="511" spans="1:2" x14ac:dyDescent="0.25">
      <c r="A511" s="33">
        <v>6625</v>
      </c>
      <c r="B511" s="33" t="s">
        <v>155</v>
      </c>
    </row>
    <row r="512" spans="1:2" x14ac:dyDescent="0.25">
      <c r="A512" s="33">
        <v>6626</v>
      </c>
      <c r="B512" s="33" t="s">
        <v>155</v>
      </c>
    </row>
    <row r="513" spans="1:2" x14ac:dyDescent="0.25">
      <c r="A513" s="33">
        <v>6627</v>
      </c>
      <c r="B513" s="33" t="s">
        <v>155</v>
      </c>
    </row>
    <row r="514" spans="1:2" x14ac:dyDescent="0.25">
      <c r="A514" s="33">
        <v>6629</v>
      </c>
      <c r="B514" s="33" t="s">
        <v>155</v>
      </c>
    </row>
    <row r="515" spans="1:2" x14ac:dyDescent="0.25">
      <c r="A515" s="33">
        <v>6630</v>
      </c>
      <c r="B515" s="33" t="s">
        <v>155</v>
      </c>
    </row>
    <row r="516" spans="1:2" x14ac:dyDescent="0.25">
      <c r="A516" s="33">
        <v>6632</v>
      </c>
      <c r="B516" s="33" t="s">
        <v>155</v>
      </c>
    </row>
    <row r="517" spans="1:2" x14ac:dyDescent="0.25">
      <c r="A517" s="33">
        <v>6633</v>
      </c>
      <c r="B517" s="33" t="s">
        <v>155</v>
      </c>
    </row>
    <row r="518" spans="1:2" x14ac:dyDescent="0.25">
      <c r="A518" s="33">
        <v>6634</v>
      </c>
      <c r="B518" s="33" t="s">
        <v>155</v>
      </c>
    </row>
    <row r="519" spans="1:2" x14ac:dyDescent="0.25">
      <c r="A519" s="33">
        <v>6635</v>
      </c>
      <c r="B519" s="33" t="s">
        <v>155</v>
      </c>
    </row>
    <row r="520" spans="1:2" x14ac:dyDescent="0.25">
      <c r="A520" s="33">
        <v>6636</v>
      </c>
      <c r="B520" s="33" t="s">
        <v>155</v>
      </c>
    </row>
    <row r="521" spans="1:2" x14ac:dyDescent="0.25">
      <c r="A521" s="33">
        <v>6661</v>
      </c>
      <c r="B521" s="33" t="s">
        <v>155</v>
      </c>
    </row>
    <row r="522" spans="1:2" x14ac:dyDescent="0.25">
      <c r="A522" s="33">
        <v>6698</v>
      </c>
      <c r="B522" s="33" t="s">
        <v>181</v>
      </c>
    </row>
    <row r="523" spans="1:2" x14ac:dyDescent="0.25">
      <c r="A523" s="33">
        <v>6754</v>
      </c>
      <c r="B523" s="33" t="s">
        <v>169</v>
      </c>
    </row>
    <row r="524" spans="1:2" x14ac:dyDescent="0.25">
      <c r="A524" s="33">
        <v>6759</v>
      </c>
      <c r="B524" s="33" t="s">
        <v>214</v>
      </c>
    </row>
    <row r="525" spans="1:2" x14ac:dyDescent="0.25">
      <c r="A525" s="33">
        <v>6760</v>
      </c>
      <c r="B525" s="33" t="s">
        <v>186</v>
      </c>
    </row>
    <row r="526" spans="1:2" x14ac:dyDescent="0.25">
      <c r="A526" s="33">
        <v>6761</v>
      </c>
      <c r="B526" s="33" t="s">
        <v>186</v>
      </c>
    </row>
    <row r="527" spans="1:2" x14ac:dyDescent="0.25">
      <c r="A527" s="33">
        <v>6763</v>
      </c>
      <c r="B527" s="33" t="s">
        <v>173</v>
      </c>
    </row>
    <row r="528" spans="1:2" x14ac:dyDescent="0.25">
      <c r="A528" s="33">
        <v>6764</v>
      </c>
      <c r="B528" s="33" t="s">
        <v>173</v>
      </c>
    </row>
    <row r="529" spans="1:2" x14ac:dyDescent="0.25">
      <c r="A529" s="33">
        <v>6766</v>
      </c>
      <c r="B529" s="33" t="s">
        <v>186</v>
      </c>
    </row>
    <row r="530" spans="1:2" x14ac:dyDescent="0.25">
      <c r="A530" s="33">
        <v>6767</v>
      </c>
      <c r="B530" s="33" t="s">
        <v>186</v>
      </c>
    </row>
    <row r="531" spans="1:2" x14ac:dyDescent="0.25">
      <c r="A531" s="33">
        <v>6768</v>
      </c>
      <c r="B531" s="33" t="s">
        <v>186</v>
      </c>
    </row>
    <row r="532" spans="1:2" x14ac:dyDescent="0.25">
      <c r="A532" s="33">
        <v>6770</v>
      </c>
      <c r="B532" s="33" t="s">
        <v>155</v>
      </c>
    </row>
    <row r="533" spans="1:2" x14ac:dyDescent="0.25">
      <c r="A533" s="33">
        <v>6905</v>
      </c>
      <c r="B533" s="33" t="s">
        <v>155</v>
      </c>
    </row>
    <row r="534" spans="1:2" x14ac:dyDescent="0.25">
      <c r="A534" s="33">
        <v>6910</v>
      </c>
      <c r="B534" s="33" t="s">
        <v>155</v>
      </c>
    </row>
    <row r="535" spans="1:2" x14ac:dyDescent="0.25">
      <c r="A535" s="33">
        <v>6913</v>
      </c>
      <c r="B535" s="33" t="s">
        <v>155</v>
      </c>
    </row>
    <row r="536" spans="1:2" x14ac:dyDescent="0.25">
      <c r="A536" s="33">
        <v>6915</v>
      </c>
      <c r="B536" s="33" t="s">
        <v>155</v>
      </c>
    </row>
    <row r="537" spans="1:2" x14ac:dyDescent="0.25">
      <c r="A537" s="33">
        <v>6918</v>
      </c>
      <c r="B537" s="33" t="s">
        <v>155</v>
      </c>
    </row>
    <row r="538" spans="1:2" x14ac:dyDescent="0.25">
      <c r="A538" s="33">
        <v>6920</v>
      </c>
      <c r="B538" s="33" t="s">
        <v>155</v>
      </c>
    </row>
    <row r="539" spans="1:2" x14ac:dyDescent="0.25">
      <c r="A539" s="33">
        <v>6926</v>
      </c>
      <c r="B539" s="33" t="s">
        <v>155</v>
      </c>
    </row>
    <row r="540" spans="1:2" x14ac:dyDescent="0.25">
      <c r="A540" s="33">
        <v>6930</v>
      </c>
      <c r="B540" s="33" t="s">
        <v>155</v>
      </c>
    </row>
    <row r="541" spans="1:2" x14ac:dyDescent="0.25">
      <c r="A541" s="33">
        <v>6942</v>
      </c>
      <c r="B541" s="33" t="s">
        <v>155</v>
      </c>
    </row>
    <row r="542" spans="1:2" x14ac:dyDescent="0.25">
      <c r="A542" s="33">
        <v>6945</v>
      </c>
      <c r="B542" s="33" t="s">
        <v>155</v>
      </c>
    </row>
    <row r="543" spans="1:2" x14ac:dyDescent="0.25">
      <c r="A543" s="33">
        <v>6947</v>
      </c>
      <c r="B543" s="33" t="s">
        <v>155</v>
      </c>
    </row>
    <row r="544" spans="1:2" x14ac:dyDescent="0.25">
      <c r="A544" s="33">
        <v>7650</v>
      </c>
      <c r="B544" s="33" t="s">
        <v>155</v>
      </c>
    </row>
    <row r="545" spans="1:2" x14ac:dyDescent="0.25">
      <c r="A545" s="33">
        <v>7671</v>
      </c>
      <c r="B545" s="33" t="s">
        <v>155</v>
      </c>
    </row>
    <row r="546" spans="1:2" x14ac:dyDescent="0.25">
      <c r="A546" s="33">
        <v>7681</v>
      </c>
      <c r="B546" s="33" t="s">
        <v>155</v>
      </c>
    </row>
    <row r="547" spans="1:2" x14ac:dyDescent="0.25">
      <c r="A547" s="33">
        <v>7691</v>
      </c>
      <c r="B547" s="33" t="s">
        <v>155</v>
      </c>
    </row>
    <row r="548" spans="1:2" x14ac:dyDescent="0.25">
      <c r="A548" s="33">
        <v>8231</v>
      </c>
      <c r="B548" s="33" t="s">
        <v>181</v>
      </c>
    </row>
    <row r="549" spans="1:2" x14ac:dyDescent="0.25">
      <c r="A549" s="33">
        <v>8232</v>
      </c>
      <c r="B549" s="33" t="s">
        <v>181</v>
      </c>
    </row>
    <row r="550" spans="1:2" x14ac:dyDescent="0.25">
      <c r="A550" s="33">
        <v>8233</v>
      </c>
      <c r="B550" s="33" t="s">
        <v>181</v>
      </c>
    </row>
    <row r="551" spans="1:2" x14ac:dyDescent="0.25">
      <c r="A551" s="33">
        <v>8234</v>
      </c>
      <c r="B551" s="33" t="s">
        <v>181</v>
      </c>
    </row>
    <row r="552" spans="1:2" x14ac:dyDescent="0.25">
      <c r="A552" s="33">
        <v>8235</v>
      </c>
      <c r="B552" s="33" t="s">
        <v>181</v>
      </c>
    </row>
    <row r="553" spans="1:2" x14ac:dyDescent="0.25">
      <c r="A553" s="33">
        <v>8236</v>
      </c>
      <c r="B553" s="33" t="s">
        <v>181</v>
      </c>
    </row>
    <row r="554" spans="1:2" x14ac:dyDescent="0.25">
      <c r="A554" s="33">
        <v>8237</v>
      </c>
      <c r="B554" s="33" t="s">
        <v>181</v>
      </c>
    </row>
    <row r="555" spans="1:2" x14ac:dyDescent="0.25">
      <c r="A555" s="33">
        <v>8280</v>
      </c>
      <c r="B555" s="33" t="s">
        <v>181</v>
      </c>
    </row>
    <row r="556" spans="1:2" x14ac:dyDescent="0.25">
      <c r="A556" s="33">
        <v>8342</v>
      </c>
      <c r="B556" s="33" t="s">
        <v>215</v>
      </c>
    </row>
    <row r="557" spans="1:2" x14ac:dyDescent="0.25">
      <c r="A557" s="33">
        <v>8343</v>
      </c>
      <c r="B557" s="33" t="s">
        <v>215</v>
      </c>
    </row>
    <row r="558" spans="1:2" x14ac:dyDescent="0.25">
      <c r="A558" s="33">
        <v>8344</v>
      </c>
      <c r="B558" s="33" t="s">
        <v>215</v>
      </c>
    </row>
    <row r="559" spans="1:2" x14ac:dyDescent="0.25">
      <c r="A559" s="33">
        <v>8397</v>
      </c>
      <c r="B559" s="33" t="s">
        <v>215</v>
      </c>
    </row>
    <row r="560" spans="1:2" x14ac:dyDescent="0.25">
      <c r="A560" s="33">
        <v>8413</v>
      </c>
      <c r="B560" s="33" t="s">
        <v>201</v>
      </c>
    </row>
    <row r="561" spans="1:2" x14ac:dyDescent="0.25">
      <c r="A561" s="33">
        <v>8414</v>
      </c>
      <c r="B561" s="33" t="s">
        <v>201</v>
      </c>
    </row>
    <row r="562" spans="1:2" x14ac:dyDescent="0.25">
      <c r="A562" s="33">
        <v>8432</v>
      </c>
      <c r="B562" s="33" t="s">
        <v>215</v>
      </c>
    </row>
    <row r="563" spans="1:2" x14ac:dyDescent="0.25">
      <c r="A563" s="33">
        <v>8445</v>
      </c>
      <c r="B563" s="33" t="s">
        <v>215</v>
      </c>
    </row>
    <row r="564" spans="1:2" x14ac:dyDescent="0.25">
      <c r="A564" s="33">
        <v>8446</v>
      </c>
      <c r="B564" s="33" t="s">
        <v>215</v>
      </c>
    </row>
    <row r="565" spans="1:2" x14ac:dyDescent="0.25">
      <c r="A565" s="33">
        <v>8501</v>
      </c>
      <c r="B565" s="33" t="s">
        <v>201</v>
      </c>
    </row>
    <row r="566" spans="1:2" x14ac:dyDescent="0.25">
      <c r="A566" s="33">
        <v>8503</v>
      </c>
      <c r="B566" s="33" t="s">
        <v>215</v>
      </c>
    </row>
    <row r="567" spans="1:2" x14ac:dyDescent="0.25">
      <c r="A567" s="33">
        <v>8504</v>
      </c>
      <c r="B567" s="33" t="s">
        <v>215</v>
      </c>
    </row>
    <row r="568" spans="1:2" x14ac:dyDescent="0.25">
      <c r="A568" s="33">
        <v>8633</v>
      </c>
      <c r="B568" s="33" t="s">
        <v>215</v>
      </c>
    </row>
    <row r="569" spans="1:2" x14ac:dyDescent="0.25">
      <c r="A569" s="33">
        <v>8634</v>
      </c>
      <c r="B569" s="33" t="s">
        <v>215</v>
      </c>
    </row>
    <row r="570" spans="1:2" x14ac:dyDescent="0.25">
      <c r="A570" s="33">
        <v>8635</v>
      </c>
      <c r="B570" s="33" t="s">
        <v>215</v>
      </c>
    </row>
    <row r="571" spans="1:2" x14ac:dyDescent="0.25">
      <c r="A571" s="33">
        <v>8636</v>
      </c>
      <c r="B571" s="33" t="s">
        <v>215</v>
      </c>
    </row>
    <row r="572" spans="1:2" x14ac:dyDescent="0.25">
      <c r="A572" s="33">
        <v>8701</v>
      </c>
      <c r="B572" s="33" t="s">
        <v>215</v>
      </c>
    </row>
    <row r="573" spans="1:2" x14ac:dyDescent="0.25">
      <c r="A573" s="33">
        <v>8703</v>
      </c>
      <c r="B573" s="33" t="s">
        <v>215</v>
      </c>
    </row>
    <row r="574" spans="1:2" x14ac:dyDescent="0.25">
      <c r="A574" s="33">
        <v>8843</v>
      </c>
      <c r="B574" s="33" t="s">
        <v>216</v>
      </c>
    </row>
    <row r="575" spans="1:2" x14ac:dyDescent="0.25">
      <c r="A575" s="33">
        <v>8860</v>
      </c>
      <c r="B575" s="33" t="s">
        <v>201</v>
      </c>
    </row>
    <row r="576" spans="1:2" x14ac:dyDescent="0.25">
      <c r="A576" s="33">
        <v>8901</v>
      </c>
      <c r="B576" s="33" t="s">
        <v>155</v>
      </c>
    </row>
    <row r="577" spans="1:2" x14ac:dyDescent="0.25">
      <c r="A577" s="33">
        <v>8904</v>
      </c>
      <c r="B577" s="33" t="s">
        <v>155</v>
      </c>
    </row>
    <row r="578" spans="1:2" x14ac:dyDescent="0.25">
      <c r="A578" s="33">
        <v>8905</v>
      </c>
      <c r="B578" s="33" t="s">
        <v>155</v>
      </c>
    </row>
    <row r="579" spans="1:2" x14ac:dyDescent="0.25">
      <c r="A579" s="33">
        <v>8962</v>
      </c>
      <c r="B579" s="33" t="s">
        <v>155</v>
      </c>
    </row>
    <row r="580" spans="1:2" x14ac:dyDescent="0.25">
      <c r="A580" s="33">
        <v>8964</v>
      </c>
      <c r="B580" s="33" t="s">
        <v>155</v>
      </c>
    </row>
    <row r="581" spans="1:2" x14ac:dyDescent="0.25">
      <c r="A581" s="33">
        <v>8966</v>
      </c>
      <c r="B581" s="33" t="s">
        <v>155</v>
      </c>
    </row>
    <row r="582" spans="1:2" x14ac:dyDescent="0.25">
      <c r="A582" s="33">
        <v>8970</v>
      </c>
      <c r="B582" s="33" t="s">
        <v>155</v>
      </c>
    </row>
    <row r="583" spans="1:2" x14ac:dyDescent="0.25">
      <c r="A583" s="33">
        <v>8974</v>
      </c>
      <c r="B583" s="33" t="s">
        <v>155</v>
      </c>
    </row>
    <row r="584" spans="1:2" x14ac:dyDescent="0.25">
      <c r="A584" s="33">
        <v>8975</v>
      </c>
      <c r="B584" s="33" t="s">
        <v>155</v>
      </c>
    </row>
    <row r="585" spans="1:2" x14ac:dyDescent="0.25">
      <c r="A585" s="33">
        <v>8978</v>
      </c>
      <c r="B585" s="33" t="s">
        <v>155</v>
      </c>
    </row>
    <row r="586" spans="1:2" x14ac:dyDescent="0.25">
      <c r="A586" s="33">
        <v>8980</v>
      </c>
      <c r="B586" s="33" t="s">
        <v>155</v>
      </c>
    </row>
    <row r="587" spans="1:2" x14ac:dyDescent="0.25">
      <c r="A587" s="33">
        <v>8981</v>
      </c>
      <c r="B587" s="33" t="s">
        <v>155</v>
      </c>
    </row>
    <row r="588" spans="1:2" x14ac:dyDescent="0.25">
      <c r="A588" s="33">
        <v>8982</v>
      </c>
      <c r="B588" s="33" t="s">
        <v>155</v>
      </c>
    </row>
    <row r="589" spans="1:2" x14ac:dyDescent="0.25">
      <c r="A589" s="33">
        <v>8983</v>
      </c>
      <c r="B589" s="33" t="s">
        <v>155</v>
      </c>
    </row>
    <row r="590" spans="1:2" x14ac:dyDescent="0.25">
      <c r="A590" s="33">
        <v>8984</v>
      </c>
      <c r="B590" s="33" t="s">
        <v>155</v>
      </c>
    </row>
    <row r="591" spans="1:2" x14ac:dyDescent="0.25">
      <c r="A591" s="33">
        <v>8985</v>
      </c>
      <c r="B591" s="33" t="s">
        <v>155</v>
      </c>
    </row>
    <row r="592" spans="1:2" x14ac:dyDescent="0.25">
      <c r="A592" s="33">
        <v>8988</v>
      </c>
      <c r="B592" s="33" t="s">
        <v>155</v>
      </c>
    </row>
    <row r="593" spans="1:2" x14ac:dyDescent="0.25">
      <c r="A593" s="33">
        <v>8991</v>
      </c>
      <c r="B593" s="33" t="s">
        <v>155</v>
      </c>
    </row>
    <row r="594" spans="1:2" x14ac:dyDescent="0.25">
      <c r="A594" s="33">
        <v>8996</v>
      </c>
      <c r="B594" s="33" t="s">
        <v>155</v>
      </c>
    </row>
    <row r="595" spans="1:2" x14ac:dyDescent="0.25">
      <c r="A595" s="33">
        <v>8997</v>
      </c>
      <c r="B595" s="33" t="s">
        <v>155</v>
      </c>
    </row>
    <row r="596" spans="1:2" x14ac:dyDescent="0.25">
      <c r="A596" s="33">
        <v>8999</v>
      </c>
      <c r="B596" s="33" t="s">
        <v>155</v>
      </c>
    </row>
    <row r="597" spans="1:2" x14ac:dyDescent="0.25">
      <c r="A597" s="33">
        <v>9000</v>
      </c>
      <c r="B597" s="33" t="s">
        <v>155</v>
      </c>
    </row>
    <row r="598" spans="1:2" x14ac:dyDescent="0.25">
      <c r="A598" s="33">
        <v>9004</v>
      </c>
      <c r="B598" s="33" t="s">
        <v>155</v>
      </c>
    </row>
    <row r="599" spans="1:2" x14ac:dyDescent="0.25">
      <c r="A599" s="33">
        <v>9007</v>
      </c>
      <c r="B599" s="33" t="s">
        <v>155</v>
      </c>
    </row>
    <row r="600" spans="1:2" x14ac:dyDescent="0.25">
      <c r="A600" s="33">
        <v>9008</v>
      </c>
      <c r="B600" s="33" t="s">
        <v>155</v>
      </c>
    </row>
    <row r="601" spans="1:2" x14ac:dyDescent="0.25">
      <c r="A601" s="33">
        <v>9010</v>
      </c>
      <c r="B601" s="33" t="s">
        <v>155</v>
      </c>
    </row>
    <row r="602" spans="1:2" x14ac:dyDescent="0.25">
      <c r="A602" s="33">
        <v>9012</v>
      </c>
      <c r="B602" s="33" t="s">
        <v>155</v>
      </c>
    </row>
    <row r="603" spans="1:2" x14ac:dyDescent="0.25">
      <c r="A603" s="33">
        <v>9018</v>
      </c>
      <c r="B603" s="33" t="s">
        <v>155</v>
      </c>
    </row>
    <row r="604" spans="1:2" x14ac:dyDescent="0.25">
      <c r="A604" s="33">
        <v>9021</v>
      </c>
      <c r="B604" s="33" t="s">
        <v>155</v>
      </c>
    </row>
    <row r="605" spans="1:2" x14ac:dyDescent="0.25">
      <c r="A605" s="33">
        <v>9024</v>
      </c>
      <c r="B605" s="33" t="s">
        <v>155</v>
      </c>
    </row>
    <row r="606" spans="1:2" x14ac:dyDescent="0.25">
      <c r="A606" s="33">
        <v>9027</v>
      </c>
      <c r="B606" s="33" t="s">
        <v>155</v>
      </c>
    </row>
    <row r="607" spans="1:2" x14ac:dyDescent="0.25">
      <c r="A607" s="33">
        <v>9033</v>
      </c>
      <c r="B607" s="33" t="s">
        <v>155</v>
      </c>
    </row>
    <row r="608" spans="1:2" x14ac:dyDescent="0.25">
      <c r="A608" s="33">
        <v>9035</v>
      </c>
      <c r="B608" s="33" t="s">
        <v>155</v>
      </c>
    </row>
    <row r="609" spans="1:2" x14ac:dyDescent="0.25">
      <c r="A609" s="33">
        <v>9036</v>
      </c>
      <c r="B609" s="33" t="s">
        <v>155</v>
      </c>
    </row>
    <row r="610" spans="1:2" x14ac:dyDescent="0.25">
      <c r="A610" s="33">
        <v>9039</v>
      </c>
      <c r="B610" s="33" t="s">
        <v>155</v>
      </c>
    </row>
    <row r="611" spans="1:2" x14ac:dyDescent="0.25">
      <c r="A611" s="33">
        <v>9041</v>
      </c>
      <c r="B611" s="33" t="s">
        <v>155</v>
      </c>
    </row>
    <row r="612" spans="1:2" x14ac:dyDescent="0.25">
      <c r="A612" s="33">
        <v>9042</v>
      </c>
      <c r="B612" s="33" t="s">
        <v>155</v>
      </c>
    </row>
    <row r="613" spans="1:2" x14ac:dyDescent="0.25">
      <c r="A613" s="33">
        <v>9044</v>
      </c>
      <c r="B613" s="33" t="s">
        <v>155</v>
      </c>
    </row>
    <row r="614" spans="1:2" x14ac:dyDescent="0.25">
      <c r="A614" s="33">
        <v>9045</v>
      </c>
      <c r="B614" s="33" t="s">
        <v>155</v>
      </c>
    </row>
    <row r="615" spans="1:2" x14ac:dyDescent="0.25">
      <c r="A615" s="33">
        <v>9047</v>
      </c>
      <c r="B615" s="33" t="s">
        <v>155</v>
      </c>
    </row>
    <row r="616" spans="1:2" x14ac:dyDescent="0.25">
      <c r="A616" s="33">
        <v>9048</v>
      </c>
      <c r="B616" s="33" t="s">
        <v>155</v>
      </c>
    </row>
    <row r="617" spans="1:2" x14ac:dyDescent="0.25">
      <c r="A617" s="33">
        <v>9050</v>
      </c>
      <c r="B617" s="33" t="s">
        <v>155</v>
      </c>
    </row>
    <row r="618" spans="1:2" x14ac:dyDescent="0.25">
      <c r="A618" s="33">
        <v>9052</v>
      </c>
      <c r="B618" s="33" t="s">
        <v>155</v>
      </c>
    </row>
    <row r="619" spans="1:2" x14ac:dyDescent="0.25">
      <c r="A619" s="33">
        <v>9054</v>
      </c>
      <c r="B619" s="33" t="s">
        <v>155</v>
      </c>
    </row>
    <row r="620" spans="1:2" x14ac:dyDescent="0.25">
      <c r="A620" s="33">
        <v>9056</v>
      </c>
      <c r="B620" s="33" t="s">
        <v>155</v>
      </c>
    </row>
    <row r="621" spans="1:2" x14ac:dyDescent="0.25">
      <c r="A621" s="33">
        <v>9057</v>
      </c>
      <c r="B621" s="33" t="s">
        <v>155</v>
      </c>
    </row>
    <row r="622" spans="1:2" x14ac:dyDescent="0.25">
      <c r="A622" s="33">
        <v>9058</v>
      </c>
      <c r="B622" s="33" t="s">
        <v>155</v>
      </c>
    </row>
    <row r="623" spans="1:2" x14ac:dyDescent="0.25">
      <c r="A623" s="33">
        <v>9059</v>
      </c>
      <c r="B623" s="33" t="s">
        <v>155</v>
      </c>
    </row>
    <row r="624" spans="1:2" x14ac:dyDescent="0.25">
      <c r="A624" s="33">
        <v>9060</v>
      </c>
      <c r="B624" s="33" t="s">
        <v>155</v>
      </c>
    </row>
    <row r="625" spans="1:2" x14ac:dyDescent="0.25">
      <c r="A625" s="33">
        <v>9063</v>
      </c>
      <c r="B625" s="33" t="s">
        <v>155</v>
      </c>
    </row>
    <row r="626" spans="1:2" x14ac:dyDescent="0.25">
      <c r="A626" s="33">
        <v>9064</v>
      </c>
      <c r="B626" s="33" t="s">
        <v>155</v>
      </c>
    </row>
    <row r="627" spans="1:2" x14ac:dyDescent="0.25">
      <c r="A627" s="33">
        <v>9065</v>
      </c>
      <c r="B627" s="33" t="s">
        <v>155</v>
      </c>
    </row>
    <row r="628" spans="1:2" x14ac:dyDescent="0.25">
      <c r="A628" s="33">
        <v>9074</v>
      </c>
      <c r="B628" s="33" t="s">
        <v>155</v>
      </c>
    </row>
    <row r="629" spans="1:2" x14ac:dyDescent="0.25">
      <c r="A629" s="33">
        <v>9091</v>
      </c>
      <c r="B629" s="33" t="s">
        <v>155</v>
      </c>
    </row>
    <row r="630" spans="1:2" x14ac:dyDescent="0.25">
      <c r="A630" s="33">
        <v>9092</v>
      </c>
      <c r="B630" s="33" t="s">
        <v>155</v>
      </c>
    </row>
    <row r="631" spans="1:2" x14ac:dyDescent="0.25">
      <c r="A631" s="33">
        <v>9093</v>
      </c>
      <c r="B631" s="33" t="s">
        <v>155</v>
      </c>
    </row>
    <row r="632" spans="1:2" x14ac:dyDescent="0.25">
      <c r="A632" s="33">
        <v>9095</v>
      </c>
      <c r="B632" s="33" t="s">
        <v>155</v>
      </c>
    </row>
    <row r="633" spans="1:2" x14ac:dyDescent="0.25">
      <c r="A633" s="33">
        <v>9100</v>
      </c>
      <c r="B633" s="33" t="s">
        <v>155</v>
      </c>
    </row>
    <row r="634" spans="1:2" x14ac:dyDescent="0.25">
      <c r="A634" s="33">
        <v>9110</v>
      </c>
      <c r="B634" s="33" t="s">
        <v>155</v>
      </c>
    </row>
    <row r="635" spans="1:2" x14ac:dyDescent="0.25">
      <c r="A635" s="33">
        <v>9111</v>
      </c>
      <c r="B635" s="33" t="s">
        <v>155</v>
      </c>
    </row>
    <row r="636" spans="1:2" x14ac:dyDescent="0.25">
      <c r="A636" s="33">
        <v>9117</v>
      </c>
      <c r="B636" s="33" t="s">
        <v>155</v>
      </c>
    </row>
    <row r="637" spans="1:2" x14ac:dyDescent="0.25">
      <c r="A637" s="33">
        <v>9118</v>
      </c>
      <c r="B637" s="33" t="s">
        <v>155</v>
      </c>
    </row>
    <row r="638" spans="1:2" x14ac:dyDescent="0.25">
      <c r="A638" s="33">
        <v>9119</v>
      </c>
      <c r="B638" s="33" t="s">
        <v>155</v>
      </c>
    </row>
    <row r="639" spans="1:2" x14ac:dyDescent="0.25">
      <c r="A639" s="33">
        <v>9120</v>
      </c>
      <c r="B639" s="33" t="s">
        <v>155</v>
      </c>
    </row>
    <row r="640" spans="1:2" x14ac:dyDescent="0.25">
      <c r="A640" s="33">
        <v>9121</v>
      </c>
      <c r="B640" s="33" t="s">
        <v>155</v>
      </c>
    </row>
    <row r="641" spans="1:2" x14ac:dyDescent="0.25">
      <c r="A641" s="33">
        <v>9122</v>
      </c>
      <c r="B641" s="33" t="s">
        <v>155</v>
      </c>
    </row>
    <row r="642" spans="1:2" x14ac:dyDescent="0.25">
      <c r="A642" s="33">
        <v>9123</v>
      </c>
      <c r="B642" s="33" t="s">
        <v>155</v>
      </c>
    </row>
    <row r="643" spans="1:2" x14ac:dyDescent="0.25">
      <c r="A643" s="33">
        <v>9125</v>
      </c>
      <c r="B643" s="33" t="s">
        <v>155</v>
      </c>
    </row>
    <row r="644" spans="1:2" x14ac:dyDescent="0.25">
      <c r="A644" s="33">
        <v>9126</v>
      </c>
      <c r="B644" s="33" t="s">
        <v>155</v>
      </c>
    </row>
    <row r="645" spans="1:2" x14ac:dyDescent="0.25">
      <c r="A645" s="33">
        <v>9137</v>
      </c>
      <c r="B645" s="33" t="s">
        <v>155</v>
      </c>
    </row>
    <row r="646" spans="1:2" x14ac:dyDescent="0.25">
      <c r="A646" s="33">
        <v>9138</v>
      </c>
      <c r="B646" s="33" t="s">
        <v>155</v>
      </c>
    </row>
    <row r="647" spans="1:2" x14ac:dyDescent="0.25">
      <c r="A647" s="33">
        <v>9140</v>
      </c>
      <c r="B647" s="33" t="s">
        <v>155</v>
      </c>
    </row>
    <row r="648" spans="1:2" x14ac:dyDescent="0.25">
      <c r="A648" s="33">
        <v>9144</v>
      </c>
      <c r="B648" s="33" t="s">
        <v>155</v>
      </c>
    </row>
    <row r="649" spans="1:2" x14ac:dyDescent="0.25">
      <c r="A649" s="33">
        <v>9145</v>
      </c>
      <c r="B649" s="33" t="s">
        <v>155</v>
      </c>
    </row>
    <row r="650" spans="1:2" x14ac:dyDescent="0.25">
      <c r="A650" s="33">
        <v>9146</v>
      </c>
      <c r="B650" s="33" t="s">
        <v>155</v>
      </c>
    </row>
    <row r="651" spans="1:2" x14ac:dyDescent="0.25">
      <c r="A651" s="33">
        <v>9153</v>
      </c>
      <c r="B651" s="33" t="s">
        <v>155</v>
      </c>
    </row>
    <row r="652" spans="1:2" x14ac:dyDescent="0.25">
      <c r="A652" s="33">
        <v>9154</v>
      </c>
      <c r="B652" s="33" t="s">
        <v>155</v>
      </c>
    </row>
    <row r="653" spans="1:2" x14ac:dyDescent="0.25">
      <c r="A653" s="33">
        <v>9183</v>
      </c>
      <c r="B653" s="33" t="s">
        <v>155</v>
      </c>
    </row>
    <row r="654" spans="1:2" x14ac:dyDescent="0.25">
      <c r="A654" s="33">
        <v>9193</v>
      </c>
      <c r="B654" s="33" t="s">
        <v>155</v>
      </c>
    </row>
    <row r="655" spans="1:2" x14ac:dyDescent="0.25">
      <c r="A655" s="33">
        <v>9196</v>
      </c>
      <c r="B655" s="33" t="s">
        <v>155</v>
      </c>
    </row>
    <row r="656" spans="1:2" x14ac:dyDescent="0.25">
      <c r="A656" s="33">
        <v>9231</v>
      </c>
      <c r="B656" s="33" t="s">
        <v>201</v>
      </c>
    </row>
    <row r="657" spans="1:2" x14ac:dyDescent="0.25">
      <c r="A657" s="33">
        <v>9232</v>
      </c>
      <c r="B657" s="33" t="s">
        <v>217</v>
      </c>
    </row>
    <row r="658" spans="1:2" x14ac:dyDescent="0.25">
      <c r="A658" s="33">
        <v>9292</v>
      </c>
      <c r="B658" s="33" t="s">
        <v>201</v>
      </c>
    </row>
    <row r="659" spans="1:2" x14ac:dyDescent="0.25">
      <c r="A659" s="33">
        <v>9293</v>
      </c>
      <c r="B659" s="33" t="s">
        <v>201</v>
      </c>
    </row>
    <row r="660" spans="1:2" x14ac:dyDescent="0.25">
      <c r="A660" s="33">
        <v>9294</v>
      </c>
      <c r="B660" s="33" t="s">
        <v>201</v>
      </c>
    </row>
    <row r="661" spans="1:2" x14ac:dyDescent="0.25">
      <c r="A661" s="33">
        <v>9296</v>
      </c>
      <c r="B661" s="33" t="s">
        <v>218</v>
      </c>
    </row>
    <row r="662" spans="1:2" x14ac:dyDescent="0.25">
      <c r="A662" s="33">
        <v>9297</v>
      </c>
      <c r="B662" s="33" t="s">
        <v>201</v>
      </c>
    </row>
    <row r="663" spans="1:2" x14ac:dyDescent="0.25">
      <c r="A663" s="33">
        <v>9298</v>
      </c>
      <c r="B663" s="33" t="s">
        <v>201</v>
      </c>
    </row>
    <row r="664" spans="1:2" x14ac:dyDescent="0.25">
      <c r="A664" s="33">
        <v>9302</v>
      </c>
      <c r="B664" s="33" t="s">
        <v>201</v>
      </c>
    </row>
    <row r="665" spans="1:2" x14ac:dyDescent="0.25">
      <c r="A665" s="33">
        <v>9303</v>
      </c>
      <c r="B665" s="33" t="s">
        <v>201</v>
      </c>
    </row>
    <row r="666" spans="1:2" x14ac:dyDescent="0.25">
      <c r="A666" s="33">
        <v>9304</v>
      </c>
      <c r="B666" s="33" t="s">
        <v>201</v>
      </c>
    </row>
    <row r="667" spans="1:2" x14ac:dyDescent="0.25">
      <c r="A667" s="33">
        <v>9375</v>
      </c>
      <c r="B667" s="33" t="s">
        <v>155</v>
      </c>
    </row>
    <row r="668" spans="1:2" x14ac:dyDescent="0.25">
      <c r="A668" s="33">
        <v>9382</v>
      </c>
      <c r="B668" s="33" t="s">
        <v>215</v>
      </c>
    </row>
    <row r="669" spans="1:2" x14ac:dyDescent="0.25">
      <c r="A669" s="33">
        <v>9385</v>
      </c>
      <c r="B669" s="33" t="s">
        <v>215</v>
      </c>
    </row>
    <row r="670" spans="1:2" x14ac:dyDescent="0.25">
      <c r="A670" s="33">
        <v>9386</v>
      </c>
      <c r="B670" s="33" t="s">
        <v>218</v>
      </c>
    </row>
    <row r="671" spans="1:2" x14ac:dyDescent="0.25">
      <c r="A671" s="33">
        <v>9387</v>
      </c>
      <c r="B671" s="33" t="s">
        <v>215</v>
      </c>
    </row>
    <row r="672" spans="1:2" x14ac:dyDescent="0.25">
      <c r="A672" s="33">
        <v>9421</v>
      </c>
      <c r="B672" s="33" t="s">
        <v>155</v>
      </c>
    </row>
    <row r="673" spans="1:2" x14ac:dyDescent="0.25">
      <c r="A673" s="33">
        <v>9422</v>
      </c>
      <c r="B673" s="33" t="s">
        <v>155</v>
      </c>
    </row>
    <row r="674" spans="1:2" x14ac:dyDescent="0.25">
      <c r="A674" s="33">
        <v>9488</v>
      </c>
      <c r="B674" s="33" t="s">
        <v>215</v>
      </c>
    </row>
    <row r="675" spans="1:2" x14ac:dyDescent="0.25">
      <c r="A675" s="33">
        <v>9910</v>
      </c>
      <c r="B675" s="33">
        <v>0</v>
      </c>
    </row>
    <row r="676" spans="1:2" x14ac:dyDescent="0.25">
      <c r="A676" s="33">
        <v>9911</v>
      </c>
      <c r="B676" s="33">
        <v>0</v>
      </c>
    </row>
    <row r="677" spans="1:2" x14ac:dyDescent="0.25">
      <c r="A677" s="33">
        <v>9956</v>
      </c>
      <c r="B677" s="33">
        <v>0</v>
      </c>
    </row>
    <row r="678" spans="1:2" x14ac:dyDescent="0.25">
      <c r="A678" s="33">
        <v>10363</v>
      </c>
      <c r="B678" s="33">
        <v>0</v>
      </c>
    </row>
    <row r="679" spans="1:2" x14ac:dyDescent="0.25">
      <c r="A679" s="33">
        <v>10393</v>
      </c>
      <c r="B679" s="33">
        <v>0</v>
      </c>
    </row>
    <row r="680" spans="1:2" x14ac:dyDescent="0.25">
      <c r="A680" s="33">
        <v>10434</v>
      </c>
      <c r="B680" s="33">
        <v>0</v>
      </c>
    </row>
    <row r="681" spans="1:2" x14ac:dyDescent="0.25">
      <c r="A681" s="33">
        <v>10443</v>
      </c>
      <c r="B681" s="33">
        <v>0</v>
      </c>
    </row>
    <row r="682" spans="1:2" x14ac:dyDescent="0.25">
      <c r="A682" s="33">
        <v>10448</v>
      </c>
      <c r="B682" s="33">
        <v>0</v>
      </c>
    </row>
    <row r="683" spans="1:2" x14ac:dyDescent="0.25">
      <c r="A683" s="33">
        <v>10451</v>
      </c>
      <c r="B683" s="33" t="s">
        <v>201</v>
      </c>
    </row>
    <row r="684" spans="1:2" x14ac:dyDescent="0.25">
      <c r="A684" s="33">
        <v>10509</v>
      </c>
      <c r="B684" s="33">
        <v>0</v>
      </c>
    </row>
    <row r="685" spans="1:2" x14ac:dyDescent="0.25">
      <c r="A685" s="33">
        <v>10528</v>
      </c>
      <c r="B685" s="33" t="s">
        <v>201</v>
      </c>
    </row>
    <row r="686" spans="1:2" x14ac:dyDescent="0.25">
      <c r="A686" s="33">
        <v>10629</v>
      </c>
      <c r="B686" s="33" t="s">
        <v>155</v>
      </c>
    </row>
    <row r="687" spans="1:2" x14ac:dyDescent="0.25">
      <c r="A687" s="33">
        <v>10734</v>
      </c>
      <c r="B687" s="33" t="s">
        <v>155</v>
      </c>
    </row>
    <row r="688" spans="1:2" x14ac:dyDescent="0.25">
      <c r="A688" s="33">
        <v>10736</v>
      </c>
      <c r="B688" s="33" t="s">
        <v>219</v>
      </c>
    </row>
    <row r="689" spans="1:2" x14ac:dyDescent="0.25">
      <c r="A689" s="33">
        <v>10737</v>
      </c>
      <c r="B689" s="33" t="s">
        <v>219</v>
      </c>
    </row>
    <row r="690" spans="1:2" x14ac:dyDescent="0.25">
      <c r="A690" s="33">
        <v>10738</v>
      </c>
      <c r="B690" s="33" t="s">
        <v>219</v>
      </c>
    </row>
    <row r="691" spans="1:2" x14ac:dyDescent="0.25">
      <c r="A691" s="33">
        <v>10739</v>
      </c>
      <c r="B691" s="33" t="s">
        <v>219</v>
      </c>
    </row>
    <row r="692" spans="1:2" x14ac:dyDescent="0.25">
      <c r="A692" s="33">
        <v>10812</v>
      </c>
      <c r="B692" s="33" t="s">
        <v>220</v>
      </c>
    </row>
    <row r="693" spans="1:2" x14ac:dyDescent="0.25">
      <c r="A693" s="33">
        <v>10813</v>
      </c>
      <c r="B693" s="33" t="s">
        <v>219</v>
      </c>
    </row>
    <row r="694" spans="1:2" x14ac:dyDescent="0.25">
      <c r="A694" s="33">
        <v>10875</v>
      </c>
      <c r="B694" s="33" t="s">
        <v>155</v>
      </c>
    </row>
    <row r="695" spans="1:2" x14ac:dyDescent="0.25">
      <c r="A695" s="33">
        <v>10901</v>
      </c>
      <c r="B695" s="33" t="s">
        <v>219</v>
      </c>
    </row>
    <row r="696" spans="1:2" x14ac:dyDescent="0.25">
      <c r="A696" s="33">
        <v>10902</v>
      </c>
      <c r="B696" s="33" t="s">
        <v>219</v>
      </c>
    </row>
    <row r="697" spans="1:2" x14ac:dyDescent="0.25">
      <c r="A697" s="33">
        <v>10903</v>
      </c>
      <c r="B697" s="33" t="s">
        <v>219</v>
      </c>
    </row>
    <row r="698" spans="1:2" x14ac:dyDescent="0.25">
      <c r="A698" s="33">
        <v>10904</v>
      </c>
      <c r="B698" s="33" t="s">
        <v>219</v>
      </c>
    </row>
    <row r="699" spans="1:2" x14ac:dyDescent="0.25">
      <c r="A699" s="33">
        <v>10906</v>
      </c>
      <c r="B699" s="33" t="s">
        <v>219</v>
      </c>
    </row>
    <row r="700" spans="1:2" x14ac:dyDescent="0.25">
      <c r="A700" s="33">
        <v>10911</v>
      </c>
      <c r="B700" s="33" t="s">
        <v>155</v>
      </c>
    </row>
    <row r="701" spans="1:2" x14ac:dyDescent="0.25">
      <c r="A701" s="33">
        <v>10961</v>
      </c>
      <c r="B701" s="33" t="s">
        <v>155</v>
      </c>
    </row>
    <row r="702" spans="1:2" x14ac:dyDescent="0.25">
      <c r="A702" s="33">
        <v>11165</v>
      </c>
      <c r="B702" s="33" t="s">
        <v>155</v>
      </c>
    </row>
    <row r="703" spans="1:2" x14ac:dyDescent="0.25">
      <c r="A703" s="33">
        <v>11171</v>
      </c>
      <c r="B703" s="33" t="s">
        <v>219</v>
      </c>
    </row>
    <row r="704" spans="1:2" x14ac:dyDescent="0.25">
      <c r="A704" s="33">
        <v>11177</v>
      </c>
      <c r="B704" s="34" t="s">
        <v>219</v>
      </c>
    </row>
    <row r="705" spans="1:2" x14ac:dyDescent="0.25">
      <c r="A705" s="33">
        <v>11178</v>
      </c>
      <c r="B705" s="33" t="s">
        <v>219</v>
      </c>
    </row>
    <row r="706" spans="1:2" x14ac:dyDescent="0.25">
      <c r="A706" s="33">
        <v>11187</v>
      </c>
      <c r="B706" s="33" t="s">
        <v>219</v>
      </c>
    </row>
    <row r="707" spans="1:2" x14ac:dyDescent="0.25">
      <c r="A707" s="33">
        <v>11190</v>
      </c>
      <c r="B707" s="33" t="s">
        <v>194</v>
      </c>
    </row>
    <row r="708" spans="1:2" x14ac:dyDescent="0.25">
      <c r="A708" s="33">
        <v>11199</v>
      </c>
      <c r="B708" s="33" t="s">
        <v>219</v>
      </c>
    </row>
    <row r="709" spans="1:2" x14ac:dyDescent="0.25">
      <c r="A709" s="33">
        <v>11215</v>
      </c>
      <c r="B709" s="33">
        <v>0</v>
      </c>
    </row>
    <row r="710" spans="1:2" x14ac:dyDescent="0.25">
      <c r="A710" s="33">
        <v>11217</v>
      </c>
      <c r="B710" s="33">
        <v>0</v>
      </c>
    </row>
    <row r="711" spans="1:2" x14ac:dyDescent="0.25">
      <c r="A711" s="33">
        <v>11218</v>
      </c>
      <c r="B711" s="33" t="s">
        <v>207</v>
      </c>
    </row>
    <row r="712" spans="1:2" x14ac:dyDescent="0.25">
      <c r="A712" s="33">
        <v>11226</v>
      </c>
      <c r="B712" s="33" t="s">
        <v>219</v>
      </c>
    </row>
    <row r="713" spans="1:2" x14ac:dyDescent="0.25">
      <c r="A713" s="33">
        <v>11227</v>
      </c>
      <c r="B713" s="33">
        <v>0</v>
      </c>
    </row>
    <row r="714" spans="1:2" x14ac:dyDescent="0.25">
      <c r="A714" s="33">
        <v>11231</v>
      </c>
      <c r="B714" s="33" t="s">
        <v>219</v>
      </c>
    </row>
    <row r="715" spans="1:2" x14ac:dyDescent="0.25">
      <c r="A715" s="33">
        <v>11254</v>
      </c>
      <c r="B715" s="33" t="s">
        <v>155</v>
      </c>
    </row>
    <row r="716" spans="1:2" x14ac:dyDescent="0.25">
      <c r="A716" s="33">
        <v>11256</v>
      </c>
      <c r="B716" s="33" t="s">
        <v>155</v>
      </c>
    </row>
    <row r="717" spans="1:2" x14ac:dyDescent="0.25">
      <c r="A717" s="33">
        <v>11257</v>
      </c>
      <c r="B717" s="33" t="s">
        <v>219</v>
      </c>
    </row>
    <row r="718" spans="1:2" x14ac:dyDescent="0.25">
      <c r="A718" s="33">
        <v>11258</v>
      </c>
      <c r="B718" s="33" t="s">
        <v>219</v>
      </c>
    </row>
    <row r="719" spans="1:2" x14ac:dyDescent="0.25">
      <c r="A719" s="33">
        <v>11259</v>
      </c>
      <c r="B719" s="33" t="s">
        <v>155</v>
      </c>
    </row>
    <row r="720" spans="1:2" x14ac:dyDescent="0.25">
      <c r="A720" s="33">
        <v>11283</v>
      </c>
      <c r="B720" s="33" t="s">
        <v>155</v>
      </c>
    </row>
    <row r="721" spans="1:2" x14ac:dyDescent="0.25">
      <c r="A721" s="33">
        <v>11296</v>
      </c>
      <c r="B721" s="33" t="s">
        <v>155</v>
      </c>
    </row>
    <row r="722" spans="1:2" x14ac:dyDescent="0.25">
      <c r="A722" s="33">
        <v>11301</v>
      </c>
      <c r="B722" s="33" t="s">
        <v>219</v>
      </c>
    </row>
    <row r="723" spans="1:2" x14ac:dyDescent="0.25">
      <c r="A723" s="33">
        <v>11351</v>
      </c>
      <c r="B723" s="33" t="s">
        <v>155</v>
      </c>
    </row>
    <row r="724" spans="1:2" x14ac:dyDescent="0.25">
      <c r="A724" s="33">
        <v>11361</v>
      </c>
      <c r="B724" s="33" t="s">
        <v>155</v>
      </c>
    </row>
    <row r="725" spans="1:2" x14ac:dyDescent="0.25">
      <c r="A725" s="33">
        <v>11401</v>
      </c>
      <c r="B725" s="33" t="s">
        <v>219</v>
      </c>
    </row>
    <row r="726" spans="1:2" x14ac:dyDescent="0.25">
      <c r="A726" s="33">
        <v>11402</v>
      </c>
      <c r="B726" s="33" t="s">
        <v>219</v>
      </c>
    </row>
    <row r="727" spans="1:2" x14ac:dyDescent="0.25">
      <c r="A727" s="33">
        <v>11442</v>
      </c>
      <c r="B727" s="33" t="s">
        <v>219</v>
      </c>
    </row>
    <row r="728" spans="1:2" x14ac:dyDescent="0.25">
      <c r="A728" s="33">
        <v>11731</v>
      </c>
      <c r="B728" s="33" t="s">
        <v>220</v>
      </c>
    </row>
    <row r="729" spans="1:2" x14ac:dyDescent="0.25">
      <c r="A729" s="33">
        <v>11732</v>
      </c>
      <c r="B729" s="33" t="s">
        <v>220</v>
      </c>
    </row>
    <row r="730" spans="1:2" x14ac:dyDescent="0.25">
      <c r="A730" s="33">
        <v>11741</v>
      </c>
      <c r="B730" s="33" t="s">
        <v>155</v>
      </c>
    </row>
    <row r="731" spans="1:2" x14ac:dyDescent="0.25">
      <c r="A731" s="33">
        <v>11742</v>
      </c>
      <c r="B731" s="33" t="s">
        <v>220</v>
      </c>
    </row>
    <row r="732" spans="1:2" x14ac:dyDescent="0.25">
      <c r="A732" s="33">
        <v>11841</v>
      </c>
      <c r="B732" s="33" t="s">
        <v>221</v>
      </c>
    </row>
    <row r="733" spans="1:2" x14ac:dyDescent="0.25">
      <c r="A733" s="33">
        <v>11842</v>
      </c>
      <c r="B733" s="33" t="s">
        <v>221</v>
      </c>
    </row>
    <row r="734" spans="1:2" x14ac:dyDescent="0.25">
      <c r="A734" s="33">
        <v>11862</v>
      </c>
      <c r="B734" s="33">
        <v>0</v>
      </c>
    </row>
    <row r="735" spans="1:2" x14ac:dyDescent="0.25">
      <c r="A735" s="33">
        <v>11871</v>
      </c>
      <c r="B735" s="33" t="s">
        <v>220</v>
      </c>
    </row>
    <row r="736" spans="1:2" x14ac:dyDescent="0.25">
      <c r="A736" s="33">
        <v>11873</v>
      </c>
      <c r="B736" s="33" t="s">
        <v>221</v>
      </c>
    </row>
    <row r="737" spans="1:2" x14ac:dyDescent="0.25">
      <c r="A737" s="33">
        <v>11874</v>
      </c>
      <c r="B737" s="33" t="s">
        <v>221</v>
      </c>
    </row>
    <row r="738" spans="1:2" x14ac:dyDescent="0.25">
      <c r="A738" s="33">
        <v>11945</v>
      </c>
      <c r="B738" s="33" t="s">
        <v>220</v>
      </c>
    </row>
    <row r="739" spans="1:2" x14ac:dyDescent="0.25">
      <c r="A739" s="33">
        <v>11951</v>
      </c>
      <c r="B739" s="33" t="s">
        <v>220</v>
      </c>
    </row>
    <row r="740" spans="1:2" x14ac:dyDescent="0.25">
      <c r="A740" s="33">
        <v>12023</v>
      </c>
      <c r="B740" s="33" t="s">
        <v>220</v>
      </c>
    </row>
    <row r="741" spans="1:2" x14ac:dyDescent="0.25">
      <c r="A741" s="33">
        <v>12102</v>
      </c>
      <c r="B741" s="33" t="s">
        <v>220</v>
      </c>
    </row>
    <row r="742" spans="1:2" x14ac:dyDescent="0.25">
      <c r="A742" s="33">
        <v>12103</v>
      </c>
      <c r="B742" s="33" t="s">
        <v>220</v>
      </c>
    </row>
    <row r="743" spans="1:2" x14ac:dyDescent="0.25">
      <c r="A743" s="33">
        <v>12105</v>
      </c>
      <c r="B743" s="33" t="s">
        <v>220</v>
      </c>
    </row>
    <row r="744" spans="1:2" x14ac:dyDescent="0.25">
      <c r="A744" s="33">
        <v>12106</v>
      </c>
      <c r="B744" s="33" t="s">
        <v>220</v>
      </c>
    </row>
    <row r="745" spans="1:2" x14ac:dyDescent="0.25">
      <c r="A745" s="33">
        <v>12197</v>
      </c>
      <c r="B745" s="33" t="s">
        <v>221</v>
      </c>
    </row>
    <row r="746" spans="1:2" x14ac:dyDescent="0.25">
      <c r="A746" s="33">
        <v>12198</v>
      </c>
      <c r="B746" s="33" t="s">
        <v>221</v>
      </c>
    </row>
    <row r="747" spans="1:2" x14ac:dyDescent="0.25">
      <c r="A747" s="33">
        <v>12274</v>
      </c>
      <c r="B747" s="33" t="s">
        <v>155</v>
      </c>
    </row>
    <row r="748" spans="1:2" x14ac:dyDescent="0.25">
      <c r="A748" s="33">
        <v>12481</v>
      </c>
      <c r="B748" s="33" t="s">
        <v>220</v>
      </c>
    </row>
    <row r="749" spans="1:2" x14ac:dyDescent="0.25">
      <c r="A749" s="33">
        <v>12482</v>
      </c>
      <c r="B749" s="33" t="s">
        <v>220</v>
      </c>
    </row>
    <row r="750" spans="1:2" x14ac:dyDescent="0.25">
      <c r="A750" s="33">
        <v>12521</v>
      </c>
      <c r="B750" s="33" t="s">
        <v>220</v>
      </c>
    </row>
    <row r="751" spans="1:2" x14ac:dyDescent="0.25">
      <c r="A751" s="33">
        <v>12533</v>
      </c>
      <c r="B751" s="33" t="s">
        <v>155</v>
      </c>
    </row>
    <row r="752" spans="1:2" x14ac:dyDescent="0.25">
      <c r="A752" s="33">
        <v>12721</v>
      </c>
      <c r="B752" s="33" t="s">
        <v>220</v>
      </c>
    </row>
    <row r="753" spans="1:2" x14ac:dyDescent="0.25">
      <c r="A753" s="33">
        <v>12741</v>
      </c>
      <c r="B753" s="33" t="s">
        <v>220</v>
      </c>
    </row>
    <row r="754" spans="1:2" x14ac:dyDescent="0.25">
      <c r="A754" s="33">
        <v>12742</v>
      </c>
      <c r="B754" s="33" t="s">
        <v>220</v>
      </c>
    </row>
    <row r="755" spans="1:2" x14ac:dyDescent="0.25">
      <c r="A755" s="33">
        <v>12743</v>
      </c>
      <c r="B755" s="33" t="s">
        <v>220</v>
      </c>
    </row>
    <row r="756" spans="1:2" x14ac:dyDescent="0.25">
      <c r="A756" s="33">
        <v>12751</v>
      </c>
      <c r="B756" s="33" t="s">
        <v>155</v>
      </c>
    </row>
    <row r="757" spans="1:2" x14ac:dyDescent="0.25">
      <c r="A757" s="33">
        <v>12752</v>
      </c>
      <c r="B757" s="33" t="s">
        <v>155</v>
      </c>
    </row>
    <row r="758" spans="1:2" x14ac:dyDescent="0.25">
      <c r="A758" s="33">
        <v>12753</v>
      </c>
      <c r="B758" s="33" t="s">
        <v>155</v>
      </c>
    </row>
    <row r="759" spans="1:2" x14ac:dyDescent="0.25">
      <c r="A759" s="33">
        <v>12804</v>
      </c>
      <c r="B759" s="33" t="s">
        <v>220</v>
      </c>
    </row>
    <row r="760" spans="1:2" x14ac:dyDescent="0.25">
      <c r="A760" s="33">
        <v>12805</v>
      </c>
      <c r="B760" s="33" t="s">
        <v>220</v>
      </c>
    </row>
    <row r="761" spans="1:2" x14ac:dyDescent="0.25">
      <c r="A761" s="33">
        <v>12871</v>
      </c>
      <c r="B761" s="33" t="s">
        <v>155</v>
      </c>
    </row>
    <row r="762" spans="1:2" x14ac:dyDescent="0.25">
      <c r="A762" s="33">
        <v>12971</v>
      </c>
      <c r="B762" s="33" t="s">
        <v>155</v>
      </c>
    </row>
    <row r="763" spans="1:2" x14ac:dyDescent="0.25">
      <c r="A763" s="33">
        <v>13322</v>
      </c>
      <c r="B763" s="33" t="s">
        <v>217</v>
      </c>
    </row>
    <row r="764" spans="1:2" x14ac:dyDescent="0.25">
      <c r="A764" s="33">
        <v>13323</v>
      </c>
      <c r="B764" s="33" t="s">
        <v>217</v>
      </c>
    </row>
    <row r="765" spans="1:2" x14ac:dyDescent="0.25">
      <c r="A765" s="33">
        <v>13324</v>
      </c>
      <c r="B765" s="33" t="s">
        <v>219</v>
      </c>
    </row>
    <row r="766" spans="1:2" x14ac:dyDescent="0.25">
      <c r="A766" s="33">
        <v>13325</v>
      </c>
      <c r="B766" s="33" t="s">
        <v>217</v>
      </c>
    </row>
    <row r="767" spans="1:2" x14ac:dyDescent="0.25">
      <c r="A767" s="33">
        <v>13326</v>
      </c>
      <c r="B767" s="33" t="s">
        <v>219</v>
      </c>
    </row>
    <row r="768" spans="1:2" x14ac:dyDescent="0.25">
      <c r="A768" s="33">
        <v>13327</v>
      </c>
      <c r="B768" s="33" t="s">
        <v>215</v>
      </c>
    </row>
    <row r="769" spans="1:2" x14ac:dyDescent="0.25">
      <c r="A769" s="33">
        <v>13328</v>
      </c>
      <c r="B769" s="33" t="s">
        <v>215</v>
      </c>
    </row>
    <row r="770" spans="1:2" x14ac:dyDescent="0.25">
      <c r="A770" s="33">
        <v>13329</v>
      </c>
      <c r="B770" s="33" t="s">
        <v>217</v>
      </c>
    </row>
    <row r="771" spans="1:2" x14ac:dyDescent="0.25">
      <c r="A771" s="33">
        <v>13330</v>
      </c>
      <c r="B771" s="33" t="s">
        <v>217</v>
      </c>
    </row>
    <row r="772" spans="1:2" x14ac:dyDescent="0.25">
      <c r="A772" s="33">
        <v>13331</v>
      </c>
      <c r="B772" s="33" t="s">
        <v>222</v>
      </c>
    </row>
    <row r="773" spans="1:2" x14ac:dyDescent="0.25">
      <c r="A773" s="33">
        <v>13332</v>
      </c>
      <c r="B773" s="33" t="s">
        <v>217</v>
      </c>
    </row>
    <row r="774" spans="1:2" x14ac:dyDescent="0.25">
      <c r="A774" s="33">
        <v>13334</v>
      </c>
      <c r="B774" s="33" t="s">
        <v>217</v>
      </c>
    </row>
    <row r="775" spans="1:2" x14ac:dyDescent="0.25">
      <c r="A775" s="33">
        <v>13335</v>
      </c>
      <c r="B775" s="33" t="s">
        <v>217</v>
      </c>
    </row>
    <row r="776" spans="1:2" x14ac:dyDescent="0.25">
      <c r="A776" s="33">
        <v>13337</v>
      </c>
      <c r="B776" s="33" t="s">
        <v>219</v>
      </c>
    </row>
    <row r="777" spans="1:2" x14ac:dyDescent="0.25">
      <c r="A777" s="33">
        <v>13338</v>
      </c>
      <c r="B777" s="33" t="s">
        <v>182</v>
      </c>
    </row>
    <row r="778" spans="1:2" x14ac:dyDescent="0.25">
      <c r="A778" s="33">
        <v>13354</v>
      </c>
      <c r="B778" s="33" t="s">
        <v>217</v>
      </c>
    </row>
    <row r="779" spans="1:2" x14ac:dyDescent="0.25">
      <c r="A779" s="33">
        <v>13355</v>
      </c>
      <c r="B779" s="33" t="s">
        <v>223</v>
      </c>
    </row>
    <row r="780" spans="1:2" x14ac:dyDescent="0.25">
      <c r="A780" s="33">
        <v>13356</v>
      </c>
      <c r="B780" s="33" t="s">
        <v>222</v>
      </c>
    </row>
    <row r="781" spans="1:2" x14ac:dyDescent="0.25">
      <c r="A781" s="33">
        <v>13358</v>
      </c>
      <c r="B781" s="33" t="s">
        <v>222</v>
      </c>
    </row>
    <row r="782" spans="1:2" x14ac:dyDescent="0.25">
      <c r="A782" s="33">
        <v>13359</v>
      </c>
      <c r="B782" s="33" t="s">
        <v>224</v>
      </c>
    </row>
    <row r="783" spans="1:2" x14ac:dyDescent="0.25">
      <c r="A783" s="33">
        <v>13531</v>
      </c>
      <c r="B783" s="33" t="s">
        <v>217</v>
      </c>
    </row>
    <row r="784" spans="1:2" x14ac:dyDescent="0.25">
      <c r="A784" s="33">
        <v>13542</v>
      </c>
      <c r="B784" s="33" t="s">
        <v>217</v>
      </c>
    </row>
    <row r="785" spans="1:2" x14ac:dyDescent="0.25">
      <c r="A785" s="33">
        <v>13573</v>
      </c>
      <c r="B785" s="33" t="s">
        <v>155</v>
      </c>
    </row>
    <row r="786" spans="1:2" x14ac:dyDescent="0.25">
      <c r="A786" s="33">
        <v>13574</v>
      </c>
      <c r="B786" s="33" t="s">
        <v>217</v>
      </c>
    </row>
    <row r="787" spans="1:2" x14ac:dyDescent="0.25">
      <c r="A787" s="33">
        <v>13681</v>
      </c>
      <c r="B787" s="33" t="s">
        <v>155</v>
      </c>
    </row>
    <row r="788" spans="1:2" x14ac:dyDescent="0.25">
      <c r="A788" s="33">
        <v>13682</v>
      </c>
      <c r="B788" s="33" t="s">
        <v>155</v>
      </c>
    </row>
    <row r="789" spans="1:2" x14ac:dyDescent="0.25">
      <c r="A789" s="33">
        <v>13683</v>
      </c>
      <c r="B789" s="33" t="s">
        <v>155</v>
      </c>
    </row>
    <row r="790" spans="1:2" x14ac:dyDescent="0.25">
      <c r="A790" s="33">
        <v>13684</v>
      </c>
      <c r="B790" s="33" t="s">
        <v>155</v>
      </c>
    </row>
    <row r="791" spans="1:2" x14ac:dyDescent="0.25">
      <c r="A791" s="33">
        <v>13685</v>
      </c>
      <c r="B791" s="33" t="s">
        <v>155</v>
      </c>
    </row>
    <row r="792" spans="1:2" x14ac:dyDescent="0.25">
      <c r="A792" s="33">
        <v>13686</v>
      </c>
      <c r="B792" s="33" t="s">
        <v>155</v>
      </c>
    </row>
    <row r="793" spans="1:2" x14ac:dyDescent="0.25">
      <c r="A793" s="33">
        <v>13691</v>
      </c>
      <c r="B793" s="33" t="s">
        <v>222</v>
      </c>
    </row>
    <row r="794" spans="1:2" x14ac:dyDescent="0.25">
      <c r="A794" s="33">
        <v>13702</v>
      </c>
      <c r="B794" s="33" t="s">
        <v>217</v>
      </c>
    </row>
    <row r="795" spans="1:2" x14ac:dyDescent="0.25">
      <c r="A795" s="33">
        <v>13716</v>
      </c>
      <c r="B795" s="33" t="s">
        <v>155</v>
      </c>
    </row>
    <row r="796" spans="1:2" x14ac:dyDescent="0.25">
      <c r="A796" s="33">
        <v>13731</v>
      </c>
      <c r="B796" s="33" t="s">
        <v>168</v>
      </c>
    </row>
    <row r="797" spans="1:2" x14ac:dyDescent="0.25">
      <c r="A797" s="33">
        <v>13732</v>
      </c>
      <c r="B797" s="33" t="s">
        <v>225</v>
      </c>
    </row>
    <row r="798" spans="1:2" x14ac:dyDescent="0.25">
      <c r="A798" s="33">
        <v>13733</v>
      </c>
      <c r="B798" s="33" t="s">
        <v>183</v>
      </c>
    </row>
    <row r="799" spans="1:2" x14ac:dyDescent="0.25">
      <c r="A799" s="33">
        <v>13771</v>
      </c>
      <c r="B799" s="33" t="s">
        <v>226</v>
      </c>
    </row>
    <row r="800" spans="1:2" x14ac:dyDescent="0.25">
      <c r="A800" s="33">
        <v>13772</v>
      </c>
      <c r="B800" s="33" t="s">
        <v>226</v>
      </c>
    </row>
    <row r="801" spans="1:2" x14ac:dyDescent="0.25">
      <c r="A801" s="33">
        <v>13773</v>
      </c>
      <c r="B801" s="33" t="s">
        <v>226</v>
      </c>
    </row>
    <row r="802" spans="1:2" x14ac:dyDescent="0.25">
      <c r="A802" s="33">
        <v>13774</v>
      </c>
      <c r="B802" s="33" t="s">
        <v>226</v>
      </c>
    </row>
    <row r="803" spans="1:2" x14ac:dyDescent="0.25">
      <c r="A803" s="33">
        <v>13775</v>
      </c>
      <c r="B803" s="33" t="s">
        <v>226</v>
      </c>
    </row>
    <row r="804" spans="1:2" x14ac:dyDescent="0.25">
      <c r="A804" s="33">
        <v>13782</v>
      </c>
      <c r="B804" s="33" t="s">
        <v>155</v>
      </c>
    </row>
    <row r="805" spans="1:2" x14ac:dyDescent="0.25">
      <c r="A805" s="33">
        <v>13802</v>
      </c>
      <c r="B805" s="33" t="s">
        <v>226</v>
      </c>
    </row>
    <row r="806" spans="1:2" x14ac:dyDescent="0.25">
      <c r="A806" s="33">
        <v>13803</v>
      </c>
      <c r="B806" s="33" t="s">
        <v>226</v>
      </c>
    </row>
    <row r="807" spans="1:2" x14ac:dyDescent="0.25">
      <c r="A807" s="33">
        <v>13804</v>
      </c>
      <c r="B807" s="33" t="s">
        <v>226</v>
      </c>
    </row>
    <row r="808" spans="1:2" x14ac:dyDescent="0.25">
      <c r="A808" s="33">
        <v>13841</v>
      </c>
      <c r="B808" s="33" t="s">
        <v>222</v>
      </c>
    </row>
    <row r="809" spans="1:2" x14ac:dyDescent="0.25">
      <c r="A809" s="33">
        <v>13842</v>
      </c>
      <c r="B809" s="33" t="s">
        <v>222</v>
      </c>
    </row>
    <row r="810" spans="1:2" x14ac:dyDescent="0.25">
      <c r="A810" s="33">
        <v>14003</v>
      </c>
      <c r="B810" s="33" t="s">
        <v>222</v>
      </c>
    </row>
    <row r="811" spans="1:2" x14ac:dyDescent="0.25">
      <c r="A811" s="33">
        <v>14081</v>
      </c>
      <c r="B811" s="33" t="s">
        <v>222</v>
      </c>
    </row>
    <row r="812" spans="1:2" x14ac:dyDescent="0.25">
      <c r="A812" s="33">
        <v>14082</v>
      </c>
      <c r="B812" s="33" t="s">
        <v>195</v>
      </c>
    </row>
    <row r="813" spans="1:2" x14ac:dyDescent="0.25">
      <c r="A813" s="33">
        <v>14083</v>
      </c>
      <c r="B813" s="33" t="s">
        <v>177</v>
      </c>
    </row>
    <row r="814" spans="1:2" x14ac:dyDescent="0.25">
      <c r="A814" s="33">
        <v>14087</v>
      </c>
      <c r="B814" s="33" t="s">
        <v>226</v>
      </c>
    </row>
    <row r="815" spans="1:2" x14ac:dyDescent="0.25">
      <c r="A815" s="33">
        <v>14100</v>
      </c>
      <c r="B815" s="33" t="s">
        <v>217</v>
      </c>
    </row>
    <row r="816" spans="1:2" x14ac:dyDescent="0.25">
      <c r="A816" s="33">
        <v>14221</v>
      </c>
      <c r="B816" s="33" t="s">
        <v>222</v>
      </c>
    </row>
    <row r="817" spans="1:2" x14ac:dyDescent="0.25">
      <c r="A817" s="33">
        <v>14426</v>
      </c>
      <c r="B817" s="33" t="s">
        <v>155</v>
      </c>
    </row>
    <row r="818" spans="1:2" x14ac:dyDescent="0.25">
      <c r="A818" s="33">
        <v>14598</v>
      </c>
      <c r="B818" s="33" t="s">
        <v>227</v>
      </c>
    </row>
    <row r="819" spans="1:2" x14ac:dyDescent="0.25">
      <c r="A819" s="33">
        <v>14673</v>
      </c>
      <c r="B819" s="33" t="s">
        <v>227</v>
      </c>
    </row>
    <row r="820" spans="1:2" x14ac:dyDescent="0.25">
      <c r="A820" s="33">
        <v>14683</v>
      </c>
      <c r="B820" s="33" t="s">
        <v>227</v>
      </c>
    </row>
    <row r="821" spans="1:2" x14ac:dyDescent="0.25">
      <c r="A821" s="33">
        <v>14684</v>
      </c>
      <c r="B821" s="33" t="s">
        <v>227</v>
      </c>
    </row>
    <row r="822" spans="1:2" x14ac:dyDescent="0.25">
      <c r="A822" s="33">
        <v>14732</v>
      </c>
      <c r="B822" s="33" t="s">
        <v>227</v>
      </c>
    </row>
    <row r="823" spans="1:2" x14ac:dyDescent="0.25">
      <c r="A823" s="33">
        <v>14733</v>
      </c>
      <c r="B823" s="33" t="s">
        <v>227</v>
      </c>
    </row>
    <row r="824" spans="1:2" x14ac:dyDescent="0.25">
      <c r="A824" s="33">
        <v>14743</v>
      </c>
      <c r="B824" s="33" t="s">
        <v>227</v>
      </c>
    </row>
    <row r="825" spans="1:2" x14ac:dyDescent="0.25">
      <c r="A825" s="33">
        <v>14744</v>
      </c>
      <c r="B825" s="33" t="s">
        <v>227</v>
      </c>
    </row>
    <row r="826" spans="1:2" x14ac:dyDescent="0.25">
      <c r="A826" s="33">
        <v>14763</v>
      </c>
      <c r="B826" s="33" t="s">
        <v>227</v>
      </c>
    </row>
    <row r="827" spans="1:2" x14ac:dyDescent="0.25">
      <c r="A827" s="33">
        <v>14886</v>
      </c>
      <c r="B827" s="33" t="s">
        <v>227</v>
      </c>
    </row>
    <row r="828" spans="1:2" x14ac:dyDescent="0.25">
      <c r="A828" s="33">
        <v>14901</v>
      </c>
      <c r="B828" s="33" t="s">
        <v>227</v>
      </c>
    </row>
    <row r="829" spans="1:2" x14ac:dyDescent="0.25">
      <c r="A829" s="33">
        <v>14941</v>
      </c>
      <c r="B829" s="33" t="s">
        <v>227</v>
      </c>
    </row>
    <row r="830" spans="1:2" x14ac:dyDescent="0.25">
      <c r="A830" s="33">
        <v>1468</v>
      </c>
      <c r="B830" s="33" t="s">
        <v>164</v>
      </c>
    </row>
    <row r="831" spans="1:2" x14ac:dyDescent="0.25">
      <c r="A831" s="33">
        <v>2295</v>
      </c>
      <c r="B831" s="33" t="s">
        <v>205</v>
      </c>
    </row>
    <row r="832" spans="1:2" x14ac:dyDescent="0.25">
      <c r="A832" s="33">
        <v>12874</v>
      </c>
      <c r="B832" s="33" t="s">
        <v>227</v>
      </c>
    </row>
    <row r="833" spans="1:2" x14ac:dyDescent="0.25">
      <c r="A833" s="33">
        <v>13575</v>
      </c>
      <c r="B833" s="33" t="s">
        <v>217</v>
      </c>
    </row>
    <row r="834" spans="1:2" x14ac:dyDescent="0.25">
      <c r="A834" s="33">
        <v>437</v>
      </c>
      <c r="B834" s="33" t="s">
        <v>155</v>
      </c>
    </row>
    <row r="835" spans="1:2" x14ac:dyDescent="0.25">
      <c r="A835" s="33">
        <v>6429</v>
      </c>
      <c r="B835" s="33" t="s">
        <v>155</v>
      </c>
    </row>
    <row r="836" spans="1:2" x14ac:dyDescent="0.25">
      <c r="A836" s="33">
        <v>14188</v>
      </c>
      <c r="B836" s="33" t="s">
        <v>155</v>
      </c>
    </row>
    <row r="837" spans="1:2" x14ac:dyDescent="0.25">
      <c r="A837" s="33">
        <v>15713</v>
      </c>
      <c r="B837" s="33" t="s">
        <v>228</v>
      </c>
    </row>
    <row r="838" spans="1:2" x14ac:dyDescent="0.25">
      <c r="A838" s="33">
        <v>6436</v>
      </c>
      <c r="B838" s="33" t="s">
        <v>155</v>
      </c>
    </row>
    <row r="839" spans="1:2" x14ac:dyDescent="0.25">
      <c r="A839" s="33">
        <v>15085</v>
      </c>
      <c r="B839" s="33" t="s">
        <v>155</v>
      </c>
    </row>
    <row r="840" spans="1:2" x14ac:dyDescent="0.25">
      <c r="A840" s="33">
        <v>15181</v>
      </c>
      <c r="B840" s="33" t="s">
        <v>155</v>
      </c>
    </row>
    <row r="841" spans="1:2" x14ac:dyDescent="0.25">
      <c r="A841" s="33">
        <v>10105</v>
      </c>
      <c r="B841" s="33" t="s">
        <v>201</v>
      </c>
    </row>
    <row r="842" spans="1:2" x14ac:dyDescent="0.25">
      <c r="A842" s="33">
        <v>14559</v>
      </c>
      <c r="B842" s="33" t="s">
        <v>155</v>
      </c>
    </row>
    <row r="843" spans="1:2" x14ac:dyDescent="0.25">
      <c r="A843" s="33">
        <v>1493</v>
      </c>
      <c r="B843" s="33" t="s">
        <v>155</v>
      </c>
    </row>
    <row r="844" spans="1:2" x14ac:dyDescent="0.25">
      <c r="A844" s="33">
        <v>16391</v>
      </c>
      <c r="B844" s="33" t="s">
        <v>229</v>
      </c>
    </row>
    <row r="845" spans="1:2" x14ac:dyDescent="0.25">
      <c r="A845" s="33">
        <v>15094</v>
      </c>
      <c r="B845" s="33" t="s">
        <v>221</v>
      </c>
    </row>
    <row r="846" spans="1:2" x14ac:dyDescent="0.25">
      <c r="A846" s="33">
        <v>15721</v>
      </c>
      <c r="B846" s="33" t="s">
        <v>228</v>
      </c>
    </row>
    <row r="847" spans="1:2" x14ac:dyDescent="0.25">
      <c r="A847" s="33">
        <v>16291</v>
      </c>
      <c r="B847" s="33" t="s">
        <v>228</v>
      </c>
    </row>
    <row r="848" spans="1:2" x14ac:dyDescent="0.25">
      <c r="A848" s="33">
        <v>12872</v>
      </c>
      <c r="B848" s="33" t="s">
        <v>155</v>
      </c>
    </row>
    <row r="849" spans="1:2" x14ac:dyDescent="0.25">
      <c r="A849" s="33">
        <v>15551</v>
      </c>
      <c r="B849" s="33" t="s">
        <v>228</v>
      </c>
    </row>
    <row r="850" spans="1:2" x14ac:dyDescent="0.25">
      <c r="A850" s="33">
        <v>16000</v>
      </c>
      <c r="B850" s="33" t="s">
        <v>182</v>
      </c>
    </row>
    <row r="851" spans="1:2" x14ac:dyDescent="0.25">
      <c r="A851" s="33">
        <v>15731</v>
      </c>
      <c r="B851" s="33" t="s">
        <v>228</v>
      </c>
    </row>
    <row r="852" spans="1:2" x14ac:dyDescent="0.25">
      <c r="A852" s="33">
        <v>15541</v>
      </c>
      <c r="B852" s="33" t="s">
        <v>228</v>
      </c>
    </row>
    <row r="853" spans="1:2" x14ac:dyDescent="0.25">
      <c r="A853" s="33">
        <v>15542</v>
      </c>
      <c r="B853" s="33" t="s">
        <v>228</v>
      </c>
    </row>
    <row r="854" spans="1:2" x14ac:dyDescent="0.25">
      <c r="A854" s="33">
        <v>15543</v>
      </c>
      <c r="B854" s="33" t="s">
        <v>228</v>
      </c>
    </row>
    <row r="855" spans="1:2" x14ac:dyDescent="0.25">
      <c r="A855" s="33">
        <v>15756</v>
      </c>
      <c r="B855" s="33" t="s">
        <v>228</v>
      </c>
    </row>
    <row r="856" spans="1:2" x14ac:dyDescent="0.25">
      <c r="A856" s="33">
        <v>15757</v>
      </c>
      <c r="B856" s="33" t="s">
        <v>228</v>
      </c>
    </row>
    <row r="857" spans="1:2" x14ac:dyDescent="0.25">
      <c r="A857" s="33">
        <v>15758</v>
      </c>
      <c r="B857" s="33" t="s">
        <v>228</v>
      </c>
    </row>
    <row r="858" spans="1:2" x14ac:dyDescent="0.25">
      <c r="A858" s="33">
        <v>15759</v>
      </c>
      <c r="B858" s="33" t="s">
        <v>228</v>
      </c>
    </row>
    <row r="859" spans="1:2" x14ac:dyDescent="0.25">
      <c r="A859" s="33">
        <v>6389</v>
      </c>
      <c r="B859" s="33" t="s">
        <v>212</v>
      </c>
    </row>
    <row r="860" spans="1:2" x14ac:dyDescent="0.25">
      <c r="A860" s="33">
        <v>16365</v>
      </c>
      <c r="B860" s="33" t="s">
        <v>204</v>
      </c>
    </row>
    <row r="861" spans="1:2" x14ac:dyDescent="0.25">
      <c r="A861" s="33">
        <v>5627</v>
      </c>
      <c r="B861" s="33" t="s">
        <v>172</v>
      </c>
    </row>
    <row r="862" spans="1:2" x14ac:dyDescent="0.25">
      <c r="A862" s="33">
        <v>5629</v>
      </c>
      <c r="B862" s="33" t="s">
        <v>172</v>
      </c>
    </row>
    <row r="863" spans="1:2" x14ac:dyDescent="0.25">
      <c r="A863" s="33">
        <v>14661</v>
      </c>
      <c r="B863" s="33" t="s">
        <v>155</v>
      </c>
    </row>
    <row r="864" spans="1:2" x14ac:dyDescent="0.25">
      <c r="A864" s="33">
        <v>15863</v>
      </c>
      <c r="B864" s="33" t="s">
        <v>155</v>
      </c>
    </row>
    <row r="865" spans="1:2" x14ac:dyDescent="0.25">
      <c r="A865" s="33">
        <v>16202</v>
      </c>
      <c r="B865" s="34" t="s">
        <v>229</v>
      </c>
    </row>
    <row r="866" spans="1:2" x14ac:dyDescent="0.25">
      <c r="A866" s="33">
        <v>11218</v>
      </c>
      <c r="B866" s="33" t="s">
        <v>207</v>
      </c>
    </row>
    <row r="867" spans="1:2" x14ac:dyDescent="0.25">
      <c r="A867" s="33">
        <v>11177</v>
      </c>
      <c r="B867" s="33" t="s">
        <v>219</v>
      </c>
    </row>
    <row r="868" spans="1:2" x14ac:dyDescent="0.25">
      <c r="A868" s="33">
        <v>15094</v>
      </c>
      <c r="B868" s="33" t="s">
        <v>221</v>
      </c>
    </row>
    <row r="869" spans="1:2" x14ac:dyDescent="0.25">
      <c r="A869" s="33">
        <v>11187</v>
      </c>
      <c r="B869" s="33" t="s">
        <v>219</v>
      </c>
    </row>
    <row r="870" spans="1:2" x14ac:dyDescent="0.25">
      <c r="A870" s="33">
        <v>11190</v>
      </c>
      <c r="B870" s="33" t="s">
        <v>194</v>
      </c>
    </row>
    <row r="871" spans="1:2" x14ac:dyDescent="0.25">
      <c r="A871" s="33">
        <v>13337</v>
      </c>
      <c r="B871" s="33" t="s">
        <v>219</v>
      </c>
    </row>
    <row r="872" spans="1:2" x14ac:dyDescent="0.25">
      <c r="A872" s="33">
        <v>6140</v>
      </c>
      <c r="B872" s="33" t="s">
        <v>155</v>
      </c>
    </row>
    <row r="873" spans="1:2" x14ac:dyDescent="0.25">
      <c r="A873" s="33">
        <v>9956</v>
      </c>
      <c r="B873" s="33" t="s">
        <v>155</v>
      </c>
    </row>
    <row r="874" spans="1:2" x14ac:dyDescent="0.25">
      <c r="A874" s="33">
        <v>13922</v>
      </c>
      <c r="B874" s="33" t="s">
        <v>155</v>
      </c>
    </row>
    <row r="875" spans="1:2" x14ac:dyDescent="0.25">
      <c r="A875" s="33">
        <v>13991</v>
      </c>
      <c r="B875" s="33" t="s">
        <v>155</v>
      </c>
    </row>
    <row r="876" spans="1:2" x14ac:dyDescent="0.25">
      <c r="A876" s="33">
        <v>14082</v>
      </c>
      <c r="B876" s="33" t="s">
        <v>195</v>
      </c>
    </row>
    <row r="877" spans="1:2" x14ac:dyDescent="0.25">
      <c r="A877" s="33">
        <v>14083</v>
      </c>
      <c r="B877" s="33" t="s">
        <v>177</v>
      </c>
    </row>
    <row r="878" spans="1:2" x14ac:dyDescent="0.25">
      <c r="A878" s="33">
        <v>14189</v>
      </c>
      <c r="B878" s="33" t="s">
        <v>155</v>
      </c>
    </row>
    <row r="879" spans="1:2" x14ac:dyDescent="0.25">
      <c r="A879" s="33">
        <v>15518</v>
      </c>
      <c r="B879" s="33" t="s">
        <v>230</v>
      </c>
    </row>
    <row r="880" spans="1:2" x14ac:dyDescent="0.25">
      <c r="A880" s="33">
        <v>15623</v>
      </c>
      <c r="B880" s="33" t="s">
        <v>155</v>
      </c>
    </row>
    <row r="881" spans="1:2" x14ac:dyDescent="0.25">
      <c r="A881" s="33">
        <v>15753</v>
      </c>
      <c r="B881" s="33" t="s">
        <v>231</v>
      </c>
    </row>
    <row r="882" spans="1:2" x14ac:dyDescent="0.25">
      <c r="A882" s="33">
        <v>15754</v>
      </c>
      <c r="B882" s="33" t="s">
        <v>231</v>
      </c>
    </row>
    <row r="883" spans="1:2" x14ac:dyDescent="0.25">
      <c r="A883" s="33">
        <v>16263</v>
      </c>
      <c r="B883" s="33" t="s">
        <v>229</v>
      </c>
    </row>
    <row r="884" spans="1:2" x14ac:dyDescent="0.25">
      <c r="A884" s="33">
        <v>16264</v>
      </c>
      <c r="B884" s="33" t="s">
        <v>229</v>
      </c>
    </row>
    <row r="885" spans="1:2" x14ac:dyDescent="0.25">
      <c r="A885" s="33">
        <v>16265</v>
      </c>
      <c r="B885" s="33" t="s">
        <v>229</v>
      </c>
    </row>
    <row r="886" spans="1:2" x14ac:dyDescent="0.25">
      <c r="A886" s="33">
        <v>16393</v>
      </c>
      <c r="B886" s="33" t="s">
        <v>232</v>
      </c>
    </row>
    <row r="887" spans="1:2" x14ac:dyDescent="0.25">
      <c r="A887" s="33">
        <v>16714</v>
      </c>
      <c r="B887" s="33" t="s">
        <v>164</v>
      </c>
    </row>
    <row r="888" spans="1:2" x14ac:dyDescent="0.25">
      <c r="A888" s="33">
        <v>4269</v>
      </c>
      <c r="B888" s="33" t="s">
        <v>155</v>
      </c>
    </row>
    <row r="889" spans="1:2" x14ac:dyDescent="0.25">
      <c r="A889" s="33">
        <v>4659</v>
      </c>
      <c r="B889" s="33" t="s">
        <v>156</v>
      </c>
    </row>
    <row r="890" spans="1:2" x14ac:dyDescent="0.25">
      <c r="A890" s="33">
        <v>5408</v>
      </c>
      <c r="B890" s="33" t="s">
        <v>155</v>
      </c>
    </row>
    <row r="891" spans="1:2" x14ac:dyDescent="0.25">
      <c r="A891" s="33">
        <v>15532</v>
      </c>
      <c r="B891" s="33" t="s">
        <v>230</v>
      </c>
    </row>
    <row r="892" spans="1:2" x14ac:dyDescent="0.25">
      <c r="A892" s="33">
        <v>15652</v>
      </c>
      <c r="B892" s="33" t="s">
        <v>231</v>
      </c>
    </row>
    <row r="893" spans="1:2" x14ac:dyDescent="0.25">
      <c r="A893" s="33">
        <v>15901</v>
      </c>
      <c r="B893" s="33" t="s">
        <v>231</v>
      </c>
    </row>
    <row r="894" spans="1:2" x14ac:dyDescent="0.25">
      <c r="A894" s="33">
        <v>15952</v>
      </c>
      <c r="B894" s="33" t="s">
        <v>155</v>
      </c>
    </row>
    <row r="895" spans="1:2" x14ac:dyDescent="0.25">
      <c r="A895" s="33">
        <v>15971</v>
      </c>
      <c r="B895" s="33" t="s">
        <v>231</v>
      </c>
    </row>
    <row r="896" spans="1:2" x14ac:dyDescent="0.25">
      <c r="A896" s="33">
        <v>15981</v>
      </c>
      <c r="B896" s="33" t="s">
        <v>231</v>
      </c>
    </row>
    <row r="897" spans="1:2" x14ac:dyDescent="0.25">
      <c r="A897" s="33">
        <v>16226</v>
      </c>
      <c r="B897" s="33" t="s">
        <v>173</v>
      </c>
    </row>
    <row r="898" spans="1:2" x14ac:dyDescent="0.25">
      <c r="A898" s="33">
        <v>16632</v>
      </c>
      <c r="B898" s="33" t="s">
        <v>231</v>
      </c>
    </row>
    <row r="899" spans="1:2" x14ac:dyDescent="0.25">
      <c r="A899" s="33">
        <v>16663</v>
      </c>
      <c r="B899" s="33" t="s">
        <v>231</v>
      </c>
    </row>
    <row r="900" spans="1:2" x14ac:dyDescent="0.25">
      <c r="A900" s="33">
        <v>16664</v>
      </c>
      <c r="B900" s="33" t="s">
        <v>231</v>
      </c>
    </row>
    <row r="901" spans="1:2" x14ac:dyDescent="0.25">
      <c r="A901" s="33">
        <v>16671</v>
      </c>
      <c r="B901" s="33" t="s">
        <v>165</v>
      </c>
    </row>
    <row r="902" spans="1:2" x14ac:dyDescent="0.25">
      <c r="A902" s="33">
        <v>16763</v>
      </c>
      <c r="B902" s="33" t="s">
        <v>231</v>
      </c>
    </row>
    <row r="903" spans="1:2" x14ac:dyDescent="0.25">
      <c r="A903" s="33">
        <v>16861</v>
      </c>
      <c r="B903" s="33" t="s">
        <v>231</v>
      </c>
    </row>
    <row r="904" spans="1:2" x14ac:dyDescent="0.25">
      <c r="A904" s="33">
        <v>16964</v>
      </c>
      <c r="B904" s="33" t="s">
        <v>155</v>
      </c>
    </row>
    <row r="905" spans="1:2" x14ac:dyDescent="0.25">
      <c r="A905" s="33">
        <v>16971</v>
      </c>
      <c r="B905" s="33" t="s">
        <v>155</v>
      </c>
    </row>
    <row r="906" spans="1:2" x14ac:dyDescent="0.25">
      <c r="A906" s="33">
        <v>16266</v>
      </c>
      <c r="B906" s="33" t="s">
        <v>231</v>
      </c>
    </row>
    <row r="907" spans="1:2" x14ac:dyDescent="0.25">
      <c r="A907" s="33">
        <v>16361</v>
      </c>
      <c r="B907" s="33" t="s">
        <v>233</v>
      </c>
    </row>
    <row r="908" spans="1:2" x14ac:dyDescent="0.25">
      <c r="A908" s="33">
        <v>16972</v>
      </c>
      <c r="B908" s="33" t="s">
        <v>233</v>
      </c>
    </row>
    <row r="909" spans="1:2" x14ac:dyDescent="0.25">
      <c r="A909" s="33">
        <v>16973</v>
      </c>
      <c r="B909" s="33" t="s">
        <v>233</v>
      </c>
    </row>
    <row r="910" spans="1:2" x14ac:dyDescent="0.25">
      <c r="A910" s="33">
        <v>17153</v>
      </c>
      <c r="B910" s="33" t="s">
        <v>233</v>
      </c>
    </row>
    <row r="911" spans="1:2" x14ac:dyDescent="0.25">
      <c r="A911" s="33">
        <v>17393</v>
      </c>
      <c r="B911" s="33" t="s">
        <v>233</v>
      </c>
    </row>
    <row r="912" spans="1:2" x14ac:dyDescent="0.25">
      <c r="A912" s="33">
        <v>17394</v>
      </c>
      <c r="B912" s="33" t="s">
        <v>233</v>
      </c>
    </row>
    <row r="913" spans="1:2" x14ac:dyDescent="0.25">
      <c r="A913" s="33">
        <v>17511</v>
      </c>
      <c r="B913" s="33" t="s">
        <v>233</v>
      </c>
    </row>
    <row r="914" spans="1:2" x14ac:dyDescent="0.25">
      <c r="A914" s="33">
        <v>17561</v>
      </c>
      <c r="B914" s="33" t="s">
        <v>233</v>
      </c>
    </row>
    <row r="915" spans="1:2" x14ac:dyDescent="0.25">
      <c r="A915" s="33">
        <v>15098</v>
      </c>
      <c r="B915" s="33" t="s">
        <v>234</v>
      </c>
    </row>
    <row r="916" spans="1:2" x14ac:dyDescent="0.25">
      <c r="A916" s="33">
        <v>15100</v>
      </c>
      <c r="B916" s="33" t="s">
        <v>234</v>
      </c>
    </row>
    <row r="917" spans="1:2" x14ac:dyDescent="0.25">
      <c r="A917" s="33">
        <v>11182</v>
      </c>
      <c r="B917" s="33" t="s">
        <v>234</v>
      </c>
    </row>
    <row r="918" spans="1:2" x14ac:dyDescent="0.25">
      <c r="A918" s="33">
        <v>15107</v>
      </c>
      <c r="B918" s="33" t="s">
        <v>234</v>
      </c>
    </row>
    <row r="919" spans="1:2" x14ac:dyDescent="0.25">
      <c r="A919" s="33">
        <v>15097</v>
      </c>
      <c r="B919" s="33" t="s">
        <v>234</v>
      </c>
    </row>
    <row r="920" spans="1:2" x14ac:dyDescent="0.25">
      <c r="A920" s="33">
        <v>15106</v>
      </c>
      <c r="B920" s="33" t="s">
        <v>234</v>
      </c>
    </row>
    <row r="921" spans="1:2" x14ac:dyDescent="0.25">
      <c r="A921" s="33">
        <v>15099</v>
      </c>
      <c r="B921" s="33" t="s">
        <v>234</v>
      </c>
    </row>
    <row r="922" spans="1:2" x14ac:dyDescent="0.25">
      <c r="A922" s="33">
        <v>3521</v>
      </c>
      <c r="B922" s="33" t="s">
        <v>234</v>
      </c>
    </row>
    <row r="923" spans="1:2" x14ac:dyDescent="0.25">
      <c r="A923" s="33">
        <v>11198</v>
      </c>
      <c r="B923" s="33" t="s">
        <v>234</v>
      </c>
    </row>
    <row r="924" spans="1:2" x14ac:dyDescent="0.25">
      <c r="A924" s="33">
        <v>13341</v>
      </c>
      <c r="B924" s="33" t="s">
        <v>234</v>
      </c>
    </row>
    <row r="925" spans="1:2" x14ac:dyDescent="0.25">
      <c r="A925" s="33">
        <v>15096</v>
      </c>
      <c r="B925" s="33" t="s">
        <v>234</v>
      </c>
    </row>
    <row r="926" spans="1:2" x14ac:dyDescent="0.25">
      <c r="A926" s="33">
        <v>15103</v>
      </c>
      <c r="B926" s="33" t="s">
        <v>234</v>
      </c>
    </row>
    <row r="927" spans="1:2" x14ac:dyDescent="0.25">
      <c r="A927" s="33">
        <v>17687</v>
      </c>
      <c r="B927" s="33" t="s">
        <v>235</v>
      </c>
    </row>
    <row r="928" spans="1:2" x14ac:dyDescent="0.25">
      <c r="A928" s="33"/>
      <c r="B928" s="33"/>
    </row>
    <row r="929" spans="1:2" x14ac:dyDescent="0.25">
      <c r="A929" s="33"/>
      <c r="B929" s="33"/>
    </row>
    <row r="930" spans="1:2" x14ac:dyDescent="0.25">
      <c r="A930" s="33"/>
      <c r="B930" s="33"/>
    </row>
    <row r="931" spans="1:2" x14ac:dyDescent="0.25">
      <c r="A931" s="33"/>
      <c r="B931" s="33"/>
    </row>
    <row r="932" spans="1:2" x14ac:dyDescent="0.25">
      <c r="A932" s="33"/>
      <c r="B932" s="33"/>
    </row>
    <row r="933" spans="1:2" x14ac:dyDescent="0.25">
      <c r="A933" s="33"/>
      <c r="B933" s="33"/>
    </row>
    <row r="934" spans="1:2" x14ac:dyDescent="0.25">
      <c r="A934" s="33"/>
      <c r="B934" s="33"/>
    </row>
    <row r="935" spans="1:2" x14ac:dyDescent="0.25">
      <c r="A935" s="33"/>
      <c r="B935" s="33"/>
    </row>
    <row r="936" spans="1:2" x14ac:dyDescent="0.25">
      <c r="A936" s="33"/>
      <c r="B936" s="33"/>
    </row>
    <row r="937" spans="1:2" x14ac:dyDescent="0.25">
      <c r="A937" s="33"/>
      <c r="B937" s="33"/>
    </row>
    <row r="938" spans="1:2" x14ac:dyDescent="0.25">
      <c r="A938" s="33"/>
      <c r="B938" s="33"/>
    </row>
    <row r="939" spans="1:2" x14ac:dyDescent="0.25">
      <c r="A939" s="33"/>
      <c r="B939" s="33"/>
    </row>
    <row r="940" spans="1:2" x14ac:dyDescent="0.25">
      <c r="A940" s="33"/>
      <c r="B940" s="33"/>
    </row>
    <row r="941" spans="1:2" x14ac:dyDescent="0.25">
      <c r="A941" s="33"/>
      <c r="B941" s="33"/>
    </row>
    <row r="942" spans="1:2" x14ac:dyDescent="0.25">
      <c r="A942" s="33"/>
      <c r="B942" s="33"/>
    </row>
    <row r="943" spans="1:2" x14ac:dyDescent="0.25">
      <c r="A943" s="33"/>
      <c r="B943" s="33"/>
    </row>
    <row r="944" spans="1:2" x14ac:dyDescent="0.25">
      <c r="A944" s="33"/>
      <c r="B944" s="33"/>
    </row>
    <row r="945" spans="1:2" x14ac:dyDescent="0.25">
      <c r="A945" s="33"/>
      <c r="B945" s="33"/>
    </row>
    <row r="946" spans="1:2" x14ac:dyDescent="0.25">
      <c r="A946" s="33"/>
      <c r="B946" s="33"/>
    </row>
    <row r="947" spans="1:2" x14ac:dyDescent="0.25">
      <c r="A947" s="33"/>
      <c r="B947" s="33"/>
    </row>
    <row r="948" spans="1:2" x14ac:dyDescent="0.25">
      <c r="A948" s="33"/>
      <c r="B948" s="33"/>
    </row>
    <row r="949" spans="1:2" x14ac:dyDescent="0.25">
      <c r="A949" s="33"/>
      <c r="B949" s="33"/>
    </row>
    <row r="950" spans="1:2" x14ac:dyDescent="0.25">
      <c r="A950" s="33"/>
      <c r="B950" s="33"/>
    </row>
    <row r="951" spans="1:2" x14ac:dyDescent="0.25">
      <c r="A951" s="33"/>
      <c r="B951" s="33"/>
    </row>
    <row r="952" spans="1:2" x14ac:dyDescent="0.25">
      <c r="A952" s="33"/>
      <c r="B952" s="33"/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>
    <tabColor indexed="29"/>
  </sheetPr>
  <dimension ref="A1:E3"/>
  <sheetViews>
    <sheetView showGridLines="0" zoomScale="85" workbookViewId="0">
      <pane ySplit="1" topLeftCell="A2" activePane="bottomLeft" state="frozen"/>
      <selection pane="bottomLeft" activeCell="A2" sqref="A2"/>
    </sheetView>
  </sheetViews>
  <sheetFormatPr defaultColWidth="11.44140625" defaultRowHeight="13.2" x14ac:dyDescent="0.25"/>
  <cols>
    <col min="1" max="1" width="9.77734375" style="31" customWidth="1"/>
    <col min="2" max="2" width="9.21875" style="31" customWidth="1"/>
    <col min="3" max="3" width="19.5546875" style="31" customWidth="1"/>
    <col min="4" max="4" width="8.5546875" style="31" customWidth="1"/>
    <col min="5" max="5" width="19.5546875" style="31" customWidth="1"/>
    <col min="6" max="16384" width="11.44140625" style="31"/>
  </cols>
  <sheetData>
    <row r="1" spans="1:5" x14ac:dyDescent="0.25">
      <c r="A1" s="31" t="s">
        <v>236</v>
      </c>
      <c r="B1" s="31" t="s">
        <v>237</v>
      </c>
      <c r="C1" s="31" t="s">
        <v>238</v>
      </c>
      <c r="D1" s="31" t="s">
        <v>239</v>
      </c>
      <c r="E1" s="31" t="s">
        <v>152</v>
      </c>
    </row>
    <row r="2" spans="1:5" x14ac:dyDescent="0.25">
      <c r="A2" s="31">
        <v>101</v>
      </c>
      <c r="B2" s="31" t="str">
        <f t="shared" ref="B2:B3" si="0">TEXT(A2,"0000")</f>
        <v>0101</v>
      </c>
      <c r="C2" s="31" t="s">
        <v>240</v>
      </c>
      <c r="D2" s="31" t="str">
        <f>A2&amp;TEXT(B2,"0000")</f>
        <v>1010101</v>
      </c>
      <c r="E2" s="31" t="str">
        <f>C2</f>
        <v>Dårlig kvalitet</v>
      </c>
    </row>
    <row r="3" spans="1:5" x14ac:dyDescent="0.25">
      <c r="A3" s="31">
        <v>101</v>
      </c>
      <c r="B3" s="31" t="str">
        <f t="shared" si="0"/>
        <v>0101</v>
      </c>
      <c r="C3" s="31" t="s">
        <v>241</v>
      </c>
      <c r="D3" s="31" t="str">
        <f t="shared" ref="D3" si="1">A3&amp;TEXT(B3,"0000")</f>
        <v>1010101</v>
      </c>
      <c r="E3" s="31" t="str">
        <f t="shared" ref="E3" si="2">C3</f>
        <v>Ikke identifiserbar</v>
      </c>
    </row>
  </sheetData>
  <pageMargins left="0.75" right="0.75" top="1" bottom="1" header="0.5" footer="0.5"/>
  <headerFooter alignWithMargins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>
    <tabColor rgb="FFFF8080"/>
  </sheetPr>
  <dimension ref="A1:D14"/>
  <sheetViews>
    <sheetView showGridLines="0" zoomScale="85" zoomScaleNormal="85" workbookViewId="0"/>
  </sheetViews>
  <sheetFormatPr defaultColWidth="11.44140625" defaultRowHeight="14.4" x14ac:dyDescent="0.3"/>
  <cols>
    <col min="1" max="1" width="8.21875" bestFit="1" customWidth="1"/>
    <col min="2" max="2" width="5.77734375" bestFit="1" customWidth="1"/>
    <col min="3" max="3" width="12.44140625" bestFit="1" customWidth="1"/>
    <col min="4" max="4" width="8.44140625" bestFit="1" customWidth="1"/>
  </cols>
  <sheetData>
    <row r="1" spans="1:4" x14ac:dyDescent="0.3">
      <c r="A1" s="10" t="s">
        <v>37</v>
      </c>
      <c r="B1" s="10" t="s">
        <v>38</v>
      </c>
      <c r="C1" s="10" t="s">
        <v>39</v>
      </c>
      <c r="D1" s="10" t="s">
        <v>17</v>
      </c>
    </row>
    <row r="2" spans="1:4" x14ac:dyDescent="0.3">
      <c r="A2" t="s">
        <v>25</v>
      </c>
      <c r="B2" t="s">
        <v>10</v>
      </c>
      <c r="C2" s="14">
        <v>40909</v>
      </c>
      <c r="D2">
        <v>5.68</v>
      </c>
    </row>
    <row r="3" spans="1:4" x14ac:dyDescent="0.3">
      <c r="A3" t="s">
        <v>26</v>
      </c>
      <c r="B3" t="s">
        <v>10</v>
      </c>
      <c r="C3" s="14">
        <v>40909</v>
      </c>
      <c r="D3">
        <v>5.69</v>
      </c>
    </row>
    <row r="4" spans="1:4" x14ac:dyDescent="0.3">
      <c r="A4" t="s">
        <v>27</v>
      </c>
      <c r="B4" t="s">
        <v>10</v>
      </c>
      <c r="C4" s="14">
        <v>40909</v>
      </c>
      <c r="D4">
        <v>6.61</v>
      </c>
    </row>
    <row r="5" spans="1:4" x14ac:dyDescent="0.3">
      <c r="A5" t="s">
        <v>28</v>
      </c>
      <c r="B5" t="s">
        <v>10</v>
      </c>
      <c r="C5" s="14">
        <v>40909</v>
      </c>
      <c r="D5">
        <v>0.32900000000000001</v>
      </c>
    </row>
    <row r="6" spans="1:4" x14ac:dyDescent="0.3">
      <c r="A6" t="s">
        <v>29</v>
      </c>
      <c r="B6" t="s">
        <v>10</v>
      </c>
      <c r="C6" s="14">
        <v>40909</v>
      </c>
      <c r="D6">
        <v>1.0660000000000001</v>
      </c>
    </row>
    <row r="7" spans="1:4" x14ac:dyDescent="0.3">
      <c r="A7" t="s">
        <v>30</v>
      </c>
      <c r="B7" t="s">
        <v>10</v>
      </c>
      <c r="C7" s="14">
        <v>40909</v>
      </c>
      <c r="D7">
        <v>7.94</v>
      </c>
    </row>
    <row r="8" spans="1:4" x14ac:dyDescent="0.3">
      <c r="A8" t="s">
        <v>31</v>
      </c>
      <c r="B8" t="s">
        <v>10</v>
      </c>
      <c r="C8" s="14">
        <v>40909</v>
      </c>
      <c r="D8">
        <v>8.84</v>
      </c>
    </row>
    <row r="9" spans="1:4" x14ac:dyDescent="0.3">
      <c r="A9" t="s">
        <v>32</v>
      </c>
      <c r="B9" t="s">
        <v>10</v>
      </c>
      <c r="C9" s="14">
        <v>40909</v>
      </c>
      <c r="D9">
        <v>2.91</v>
      </c>
    </row>
    <row r="10" spans="1:4" x14ac:dyDescent="0.3">
      <c r="A10" t="s">
        <v>33</v>
      </c>
      <c r="B10" t="s">
        <v>10</v>
      </c>
      <c r="C10" s="14">
        <v>40909</v>
      </c>
      <c r="D10">
        <v>6.9</v>
      </c>
    </row>
    <row r="11" spans="1:4" x14ac:dyDescent="0.3">
      <c r="A11" t="s">
        <v>34</v>
      </c>
      <c r="B11" t="s">
        <v>10</v>
      </c>
      <c r="C11" s="14">
        <v>40909</v>
      </c>
      <c r="D11">
        <v>1.9550000000000001</v>
      </c>
    </row>
    <row r="12" spans="1:4" x14ac:dyDescent="0.3">
      <c r="A12" t="s">
        <v>35</v>
      </c>
      <c r="B12" t="s">
        <v>10</v>
      </c>
      <c r="C12" s="14">
        <v>40909</v>
      </c>
      <c r="D12">
        <v>0.85699999999999998</v>
      </c>
    </row>
    <row r="13" spans="1:4" x14ac:dyDescent="0.3">
      <c r="A13" t="s">
        <v>10</v>
      </c>
      <c r="B13" t="s">
        <v>10</v>
      </c>
      <c r="C13" s="14">
        <v>40909</v>
      </c>
      <c r="D13">
        <v>1</v>
      </c>
    </row>
    <row r="14" spans="1:4" x14ac:dyDescent="0.3">
      <c r="A14" t="s">
        <v>36</v>
      </c>
      <c r="B14" t="s">
        <v>10</v>
      </c>
      <c r="C14" s="14">
        <v>40909</v>
      </c>
      <c r="D14">
        <v>5.53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>
    <tabColor rgb="FFFF8080"/>
  </sheetPr>
  <dimension ref="A1:C106"/>
  <sheetViews>
    <sheetView showGridLines="0" zoomScale="85" zoomScaleNormal="85" workbookViewId="0"/>
  </sheetViews>
  <sheetFormatPr defaultColWidth="11.44140625" defaultRowHeight="14.4" x14ac:dyDescent="0.3"/>
  <cols>
    <col min="1" max="1" width="10.44140625" bestFit="1" customWidth="1"/>
    <col min="2" max="2" width="38.44140625" bestFit="1" customWidth="1"/>
    <col min="3" max="3" width="12.44140625" bestFit="1" customWidth="1"/>
  </cols>
  <sheetData>
    <row r="1" spans="1:3" x14ac:dyDescent="0.3">
      <c r="A1" t="s">
        <v>239</v>
      </c>
      <c r="B1" t="s">
        <v>79</v>
      </c>
      <c r="C1" s="14" t="s">
        <v>78</v>
      </c>
    </row>
    <row r="2" spans="1:3" x14ac:dyDescent="0.3">
      <c r="C2" s="14"/>
    </row>
    <row r="3" spans="1:3" x14ac:dyDescent="0.3">
      <c r="C3" s="14"/>
    </row>
    <row r="4" spans="1:3" x14ac:dyDescent="0.3">
      <c r="C4" s="14"/>
    </row>
    <row r="5" spans="1:3" x14ac:dyDescent="0.3">
      <c r="C5" s="14"/>
    </row>
    <row r="6" spans="1:3" x14ac:dyDescent="0.3">
      <c r="C6" s="14"/>
    </row>
    <row r="7" spans="1:3" x14ac:dyDescent="0.3">
      <c r="C7" s="14"/>
    </row>
    <row r="8" spans="1:3" x14ac:dyDescent="0.3">
      <c r="C8" s="14"/>
    </row>
    <row r="9" spans="1:3" x14ac:dyDescent="0.3">
      <c r="C9" s="14"/>
    </row>
    <row r="10" spans="1:3" x14ac:dyDescent="0.3">
      <c r="C10" s="14"/>
    </row>
    <row r="11" spans="1:3" x14ac:dyDescent="0.3">
      <c r="C11" s="14"/>
    </row>
    <row r="12" spans="1:3" x14ac:dyDescent="0.3">
      <c r="C12" s="14"/>
    </row>
    <row r="13" spans="1:3" x14ac:dyDescent="0.3">
      <c r="C13" s="14"/>
    </row>
    <row r="14" spans="1:3" x14ac:dyDescent="0.3">
      <c r="C14" s="14"/>
    </row>
    <row r="15" spans="1:3" x14ac:dyDescent="0.3">
      <c r="C15" s="14"/>
    </row>
    <row r="16" spans="1:3" x14ac:dyDescent="0.3">
      <c r="C16" s="14"/>
    </row>
    <row r="17" spans="3:3" x14ac:dyDescent="0.3">
      <c r="C17" s="14"/>
    </row>
    <row r="18" spans="3:3" x14ac:dyDescent="0.3">
      <c r="C18" s="14"/>
    </row>
    <row r="19" spans="3:3" x14ac:dyDescent="0.3">
      <c r="C19" s="14"/>
    </row>
    <row r="20" spans="3:3" x14ac:dyDescent="0.3">
      <c r="C20" s="14"/>
    </row>
    <row r="21" spans="3:3" x14ac:dyDescent="0.3">
      <c r="C21" s="14"/>
    </row>
    <row r="22" spans="3:3" x14ac:dyDescent="0.3">
      <c r="C22" s="14"/>
    </row>
    <row r="23" spans="3:3" x14ac:dyDescent="0.3">
      <c r="C23" s="14"/>
    </row>
    <row r="24" spans="3:3" x14ac:dyDescent="0.3">
      <c r="C24" s="14"/>
    </row>
    <row r="25" spans="3:3" x14ac:dyDescent="0.3">
      <c r="C25" s="14"/>
    </row>
    <row r="26" spans="3:3" x14ac:dyDescent="0.3">
      <c r="C26" s="14"/>
    </row>
    <row r="27" spans="3:3" x14ac:dyDescent="0.3">
      <c r="C27" s="14"/>
    </row>
    <row r="28" spans="3:3" x14ac:dyDescent="0.3">
      <c r="C28" s="14"/>
    </row>
    <row r="29" spans="3:3" x14ac:dyDescent="0.3">
      <c r="C29" s="14"/>
    </row>
    <row r="30" spans="3:3" x14ac:dyDescent="0.3">
      <c r="C30" s="14"/>
    </row>
    <row r="31" spans="3:3" x14ac:dyDescent="0.3">
      <c r="C31" s="14"/>
    </row>
    <row r="32" spans="3:3" x14ac:dyDescent="0.3">
      <c r="C32" s="14"/>
    </row>
    <row r="33" spans="3:3" x14ac:dyDescent="0.3">
      <c r="C33" s="14"/>
    </row>
    <row r="34" spans="3:3" x14ac:dyDescent="0.3">
      <c r="C34" s="14"/>
    </row>
    <row r="35" spans="3:3" x14ac:dyDescent="0.3">
      <c r="C35" s="14"/>
    </row>
    <row r="36" spans="3:3" x14ac:dyDescent="0.3">
      <c r="C36" s="14"/>
    </row>
    <row r="37" spans="3:3" x14ac:dyDescent="0.3">
      <c r="C37" s="14"/>
    </row>
    <row r="38" spans="3:3" x14ac:dyDescent="0.3">
      <c r="C38" s="14"/>
    </row>
    <row r="39" spans="3:3" x14ac:dyDescent="0.3">
      <c r="C39" s="14"/>
    </row>
    <row r="40" spans="3:3" x14ac:dyDescent="0.3">
      <c r="C40" s="14"/>
    </row>
    <row r="41" spans="3:3" x14ac:dyDescent="0.3">
      <c r="C41" s="14"/>
    </row>
    <row r="42" spans="3:3" x14ac:dyDescent="0.3">
      <c r="C42" s="14"/>
    </row>
    <row r="43" spans="3:3" x14ac:dyDescent="0.3">
      <c r="C43" s="14"/>
    </row>
    <row r="44" spans="3:3" x14ac:dyDescent="0.3">
      <c r="C44" s="14"/>
    </row>
    <row r="45" spans="3:3" x14ac:dyDescent="0.3">
      <c r="C45" s="14"/>
    </row>
    <row r="46" spans="3:3" x14ac:dyDescent="0.3">
      <c r="C46" s="14"/>
    </row>
    <row r="47" spans="3:3" x14ac:dyDescent="0.3">
      <c r="C47" s="14"/>
    </row>
    <row r="48" spans="3:3" x14ac:dyDescent="0.3">
      <c r="C48" s="14"/>
    </row>
    <row r="49" spans="3:3" x14ac:dyDescent="0.3">
      <c r="C49" s="14"/>
    </row>
    <row r="50" spans="3:3" x14ac:dyDescent="0.3">
      <c r="C50" s="14"/>
    </row>
    <row r="51" spans="3:3" x14ac:dyDescent="0.3">
      <c r="C51" s="14"/>
    </row>
    <row r="52" spans="3:3" x14ac:dyDescent="0.3">
      <c r="C52" s="14"/>
    </row>
    <row r="53" spans="3:3" x14ac:dyDescent="0.3">
      <c r="C53" s="14"/>
    </row>
    <row r="54" spans="3:3" x14ac:dyDescent="0.3">
      <c r="C54" s="14"/>
    </row>
    <row r="55" spans="3:3" x14ac:dyDescent="0.3">
      <c r="C55" s="14"/>
    </row>
    <row r="56" spans="3:3" x14ac:dyDescent="0.3">
      <c r="C56" s="14"/>
    </row>
    <row r="57" spans="3:3" x14ac:dyDescent="0.3">
      <c r="C57" s="14"/>
    </row>
    <row r="58" spans="3:3" x14ac:dyDescent="0.3">
      <c r="C58" s="14"/>
    </row>
    <row r="59" spans="3:3" x14ac:dyDescent="0.3">
      <c r="C59" s="14"/>
    </row>
    <row r="60" spans="3:3" x14ac:dyDescent="0.3">
      <c r="C60" s="14"/>
    </row>
    <row r="61" spans="3:3" x14ac:dyDescent="0.3">
      <c r="C61" s="14"/>
    </row>
    <row r="62" spans="3:3" x14ac:dyDescent="0.3">
      <c r="C62" s="14"/>
    </row>
    <row r="63" spans="3:3" x14ac:dyDescent="0.3">
      <c r="C63" s="14"/>
    </row>
    <row r="64" spans="3:3" x14ac:dyDescent="0.3">
      <c r="C64" s="14"/>
    </row>
    <row r="65" spans="3:3" x14ac:dyDescent="0.3">
      <c r="C65" s="14"/>
    </row>
    <row r="66" spans="3:3" x14ac:dyDescent="0.3">
      <c r="C66" s="14"/>
    </row>
    <row r="67" spans="3:3" x14ac:dyDescent="0.3">
      <c r="C67" s="14"/>
    </row>
    <row r="68" spans="3:3" x14ac:dyDescent="0.3">
      <c r="C68" s="14"/>
    </row>
    <row r="69" spans="3:3" x14ac:dyDescent="0.3">
      <c r="C69" s="14"/>
    </row>
    <row r="70" spans="3:3" x14ac:dyDescent="0.3">
      <c r="C70" s="14"/>
    </row>
    <row r="71" spans="3:3" x14ac:dyDescent="0.3">
      <c r="C71" s="14"/>
    </row>
    <row r="72" spans="3:3" x14ac:dyDescent="0.3">
      <c r="C72" s="14"/>
    </row>
    <row r="73" spans="3:3" x14ac:dyDescent="0.3">
      <c r="C73" s="14"/>
    </row>
    <row r="74" spans="3:3" x14ac:dyDescent="0.3">
      <c r="C74" s="14"/>
    </row>
    <row r="75" spans="3:3" x14ac:dyDescent="0.3">
      <c r="C75" s="14"/>
    </row>
    <row r="76" spans="3:3" x14ac:dyDescent="0.3">
      <c r="C76" s="14"/>
    </row>
    <row r="77" spans="3:3" x14ac:dyDescent="0.3">
      <c r="C77" s="14"/>
    </row>
    <row r="78" spans="3:3" x14ac:dyDescent="0.3">
      <c r="C78" s="14"/>
    </row>
    <row r="79" spans="3:3" x14ac:dyDescent="0.3">
      <c r="C79" s="14"/>
    </row>
    <row r="80" spans="3:3" x14ac:dyDescent="0.3">
      <c r="C80" s="14"/>
    </row>
    <row r="81" spans="3:3" x14ac:dyDescent="0.3">
      <c r="C81" s="14"/>
    </row>
    <row r="82" spans="3:3" x14ac:dyDescent="0.3">
      <c r="C82" s="14"/>
    </row>
    <row r="83" spans="3:3" x14ac:dyDescent="0.3">
      <c r="C83" s="14"/>
    </row>
    <row r="84" spans="3:3" x14ac:dyDescent="0.3">
      <c r="C84" s="14"/>
    </row>
    <row r="85" spans="3:3" x14ac:dyDescent="0.3">
      <c r="C85" s="14"/>
    </row>
    <row r="86" spans="3:3" x14ac:dyDescent="0.3">
      <c r="C86" s="14"/>
    </row>
    <row r="87" spans="3:3" x14ac:dyDescent="0.3">
      <c r="C87" s="14"/>
    </row>
    <row r="88" spans="3:3" x14ac:dyDescent="0.3">
      <c r="C88" s="14"/>
    </row>
    <row r="89" spans="3:3" x14ac:dyDescent="0.3">
      <c r="C89" s="14"/>
    </row>
    <row r="90" spans="3:3" x14ac:dyDescent="0.3">
      <c r="C90" s="14"/>
    </row>
    <row r="91" spans="3:3" x14ac:dyDescent="0.3">
      <c r="C91" s="14"/>
    </row>
    <row r="92" spans="3:3" x14ac:dyDescent="0.3">
      <c r="C92" s="14"/>
    </row>
    <row r="93" spans="3:3" x14ac:dyDescent="0.3">
      <c r="C93" s="14"/>
    </row>
    <row r="94" spans="3:3" x14ac:dyDescent="0.3">
      <c r="C94" s="14"/>
    </row>
    <row r="95" spans="3:3" x14ac:dyDescent="0.3">
      <c r="C95" s="14"/>
    </row>
    <row r="96" spans="3:3" x14ac:dyDescent="0.3">
      <c r="C96" s="14"/>
    </row>
    <row r="97" spans="3:3" x14ac:dyDescent="0.3">
      <c r="C97" s="14"/>
    </row>
    <row r="98" spans="3:3" x14ac:dyDescent="0.3">
      <c r="C98" s="14"/>
    </row>
    <row r="99" spans="3:3" x14ac:dyDescent="0.3">
      <c r="C99" s="14"/>
    </row>
    <row r="100" spans="3:3" x14ac:dyDescent="0.3">
      <c r="C100" s="14"/>
    </row>
    <row r="101" spans="3:3" x14ac:dyDescent="0.3">
      <c r="C101" s="14"/>
    </row>
    <row r="102" spans="3:3" x14ac:dyDescent="0.3">
      <c r="C102" s="14"/>
    </row>
    <row r="103" spans="3:3" x14ac:dyDescent="0.3">
      <c r="C103" s="14"/>
    </row>
    <row r="104" spans="3:3" x14ac:dyDescent="0.3">
      <c r="C104" s="14"/>
    </row>
    <row r="105" spans="3:3" x14ac:dyDescent="0.3">
      <c r="C105" s="14"/>
    </row>
    <row r="106" spans="3:3" x14ac:dyDescent="0.3">
      <c r="C106" s="14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50"/>
  <sheetViews>
    <sheetView showGridLines="0" zoomScale="85" zoomScaleNormal="85" workbookViewId="0"/>
  </sheetViews>
  <sheetFormatPr defaultColWidth="11.44140625" defaultRowHeight="14.4" x14ac:dyDescent="0.3"/>
  <cols>
    <col min="1" max="1" width="29.21875" bestFit="1" customWidth="1"/>
    <col min="2" max="2" width="81.77734375" bestFit="1" customWidth="1"/>
  </cols>
  <sheetData>
    <row r="1" spans="1:2" x14ac:dyDescent="0.3">
      <c r="A1" s="10" t="s">
        <v>40</v>
      </c>
      <c r="B1" s="10" t="s">
        <v>15</v>
      </c>
    </row>
    <row r="2" spans="1:2" x14ac:dyDescent="0.3">
      <c r="A2" s="42" t="s">
        <v>117</v>
      </c>
    </row>
    <row r="3" spans="1:2" x14ac:dyDescent="0.3">
      <c r="A3" s="42" t="s">
        <v>118</v>
      </c>
    </row>
    <row r="4" spans="1:2" x14ac:dyDescent="0.3">
      <c r="A4" s="42" t="s">
        <v>119</v>
      </c>
    </row>
    <row r="5" spans="1:2" x14ac:dyDescent="0.3">
      <c r="A5" s="42" t="s">
        <v>6</v>
      </c>
    </row>
    <row r="6" spans="1:2" x14ac:dyDescent="0.3">
      <c r="A6" s="42" t="s">
        <v>5</v>
      </c>
    </row>
    <row r="7" spans="1:2" x14ac:dyDescent="0.3">
      <c r="A7" s="42" t="s">
        <v>7</v>
      </c>
    </row>
    <row r="8" spans="1:2" x14ac:dyDescent="0.3">
      <c r="A8" s="42" t="s">
        <v>120</v>
      </c>
    </row>
    <row r="9" spans="1:2" x14ac:dyDescent="0.3">
      <c r="A9" s="42" t="s">
        <v>121</v>
      </c>
    </row>
    <row r="10" spans="1:2" x14ac:dyDescent="0.3">
      <c r="A10" s="42" t="s">
        <v>122</v>
      </c>
    </row>
    <row r="11" spans="1:2" x14ac:dyDescent="0.3">
      <c r="A11" s="42" t="s">
        <v>123</v>
      </c>
    </row>
    <row r="12" spans="1:2" x14ac:dyDescent="0.3">
      <c r="A12" s="42" t="s">
        <v>124</v>
      </c>
    </row>
    <row r="13" spans="1:2" x14ac:dyDescent="0.3">
      <c r="A13" s="42" t="s">
        <v>123</v>
      </c>
    </row>
    <row r="14" spans="1:2" x14ac:dyDescent="0.3">
      <c r="A14" s="42" t="s">
        <v>122</v>
      </c>
    </row>
    <row r="15" spans="1:2" x14ac:dyDescent="0.3">
      <c r="A15" s="42" t="s">
        <v>125</v>
      </c>
    </row>
    <row r="16" spans="1:2" x14ac:dyDescent="0.3">
      <c r="A16" s="42" t="s">
        <v>123</v>
      </c>
    </row>
    <row r="17" spans="1:1" x14ac:dyDescent="0.3">
      <c r="A17" s="42" t="s">
        <v>126</v>
      </c>
    </row>
    <row r="18" spans="1:1" x14ac:dyDescent="0.3">
      <c r="A18" s="42" t="s">
        <v>127</v>
      </c>
    </row>
    <row r="19" spans="1:1" x14ac:dyDescent="0.3">
      <c r="A19" s="42" t="s">
        <v>8</v>
      </c>
    </row>
    <row r="20" spans="1:1" x14ac:dyDescent="0.3">
      <c r="A20" s="42" t="s">
        <v>128</v>
      </c>
    </row>
    <row r="21" spans="1:1" x14ac:dyDescent="0.3">
      <c r="A21" s="42" t="s">
        <v>129</v>
      </c>
    </row>
    <row r="22" spans="1:1" x14ac:dyDescent="0.3">
      <c r="A22" s="42" t="s">
        <v>130</v>
      </c>
    </row>
    <row r="23" spans="1:1" x14ac:dyDescent="0.3">
      <c r="A23" s="42" t="s">
        <v>131</v>
      </c>
    </row>
    <row r="24" spans="1:1" x14ac:dyDescent="0.3">
      <c r="A24" s="42" t="s">
        <v>132</v>
      </c>
    </row>
    <row r="25" spans="1:1" x14ac:dyDescent="0.3">
      <c r="A25" s="42" t="s">
        <v>132</v>
      </c>
    </row>
    <row r="26" spans="1:1" x14ac:dyDescent="0.3">
      <c r="A26" s="42" t="s">
        <v>9</v>
      </c>
    </row>
    <row r="27" spans="1:1" x14ac:dyDescent="0.3">
      <c r="A27" s="42" t="s">
        <v>133</v>
      </c>
    </row>
    <row r="28" spans="1:1" x14ac:dyDescent="0.3">
      <c r="A28" s="42" t="s">
        <v>134</v>
      </c>
    </row>
    <row r="29" spans="1:1" x14ac:dyDescent="0.3">
      <c r="A29" s="42" t="s">
        <v>135</v>
      </c>
    </row>
    <row r="30" spans="1:1" x14ac:dyDescent="0.3">
      <c r="A30" s="42" t="s">
        <v>136</v>
      </c>
    </row>
    <row r="31" spans="1:1" x14ac:dyDescent="0.3">
      <c r="A31" s="42" t="s">
        <v>137</v>
      </c>
    </row>
    <row r="32" spans="1:1" x14ac:dyDescent="0.3">
      <c r="A32" s="42" t="s">
        <v>0</v>
      </c>
    </row>
    <row r="33" spans="1:1" x14ac:dyDescent="0.3">
      <c r="A33" s="42" t="s">
        <v>138</v>
      </c>
    </row>
    <row r="34" spans="1:1" x14ac:dyDescent="0.3">
      <c r="A34" s="42" t="s">
        <v>139</v>
      </c>
    </row>
    <row r="35" spans="1:1" x14ac:dyDescent="0.3">
      <c r="A35" s="42" t="s">
        <v>140</v>
      </c>
    </row>
    <row r="36" spans="1:1" x14ac:dyDescent="0.3">
      <c r="A36" s="42" t="s">
        <v>141</v>
      </c>
    </row>
    <row r="37" spans="1:1" x14ac:dyDescent="0.3">
      <c r="A37" s="42" t="s">
        <v>142</v>
      </c>
    </row>
    <row r="38" spans="1:1" x14ac:dyDescent="0.3">
      <c r="A38" s="42" t="s">
        <v>143</v>
      </c>
    </row>
    <row r="39" spans="1:1" x14ac:dyDescent="0.3">
      <c r="A39" s="42" t="s">
        <v>144</v>
      </c>
    </row>
    <row r="40" spans="1:1" x14ac:dyDescent="0.3">
      <c r="A40" s="42" t="s">
        <v>145</v>
      </c>
    </row>
    <row r="41" spans="1:1" x14ac:dyDescent="0.3">
      <c r="A41" s="42" t="s">
        <v>146</v>
      </c>
    </row>
    <row r="42" spans="1:1" x14ac:dyDescent="0.3">
      <c r="A42" s="43" t="s">
        <v>147</v>
      </c>
    </row>
    <row r="43" spans="1:1" x14ac:dyDescent="0.3">
      <c r="A43" s="42" t="s">
        <v>2</v>
      </c>
    </row>
    <row r="44" spans="1:1" x14ac:dyDescent="0.3">
      <c r="A44" s="42" t="s">
        <v>148</v>
      </c>
    </row>
    <row r="45" spans="1:1" x14ac:dyDescent="0.3">
      <c r="A45" s="42" t="s">
        <v>149</v>
      </c>
    </row>
    <row r="46" spans="1:1" x14ac:dyDescent="0.3">
      <c r="A46" s="42" t="s">
        <v>46</v>
      </c>
    </row>
    <row r="47" spans="1:1" x14ac:dyDescent="0.3">
      <c r="A47" s="42" t="s">
        <v>151</v>
      </c>
    </row>
    <row r="48" spans="1:1" x14ac:dyDescent="0.3">
      <c r="A48" s="42" t="s">
        <v>17</v>
      </c>
    </row>
    <row r="49" spans="1:1" x14ac:dyDescent="0.3">
      <c r="A49" s="42" t="s">
        <v>127</v>
      </c>
    </row>
    <row r="50" spans="1:1" x14ac:dyDescent="0.3">
      <c r="A50" s="42" t="s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4" x14ac:dyDescent="0.3"/>
  <cols>
    <col min="1" max="1" width="11" customWidth="1"/>
    <col min="2" max="2" width="11.21875" bestFit="1" customWidth="1"/>
    <col min="3" max="3" width="11.5546875" bestFit="1" customWidth="1"/>
    <col min="4" max="4" width="13.77734375" customWidth="1"/>
    <col min="5" max="5" width="13.44140625" bestFit="1" customWidth="1"/>
    <col min="6" max="6" width="11" customWidth="1"/>
    <col min="7" max="7" width="15.44140625" bestFit="1" customWidth="1"/>
    <col min="8" max="8" width="14.5546875" bestFit="1" customWidth="1"/>
    <col min="9" max="9" width="15.77734375" bestFit="1" customWidth="1"/>
    <col min="10" max="10" width="12.5546875" bestFit="1" customWidth="1"/>
    <col min="11" max="11" width="19.21875" bestFit="1" customWidth="1"/>
    <col min="12" max="12" width="12.21875" bestFit="1" customWidth="1"/>
    <col min="13" max="14" width="12" customWidth="1"/>
    <col min="15" max="15" width="17" customWidth="1"/>
    <col min="16" max="16" width="20.77734375" bestFit="1" customWidth="1"/>
    <col min="17" max="17" width="12" customWidth="1"/>
    <col min="18" max="18" width="8.5546875" customWidth="1"/>
    <col min="19" max="19" width="9.21875" customWidth="1"/>
    <col min="20" max="20" width="13.5546875" customWidth="1"/>
    <col min="21" max="21" width="11" customWidth="1"/>
    <col min="22" max="23" width="12" customWidth="1"/>
    <col min="24" max="24" width="12.77734375" customWidth="1"/>
    <col min="25" max="51" width="12" customWidth="1"/>
  </cols>
  <sheetData>
    <row r="1" spans="1:33" x14ac:dyDescent="0.3">
      <c r="A1" t="s">
        <v>81</v>
      </c>
      <c r="B1" t="s">
        <v>4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90</v>
      </c>
      <c r="L1" t="s">
        <v>91</v>
      </c>
      <c r="M1" t="s">
        <v>92</v>
      </c>
      <c r="N1" t="s">
        <v>93</v>
      </c>
      <c r="O1" t="s">
        <v>94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105</v>
      </c>
      <c r="AA1" t="s">
        <v>106</v>
      </c>
      <c r="AB1" t="s">
        <v>107</v>
      </c>
      <c r="AC1" t="s">
        <v>108</v>
      </c>
      <c r="AD1" t="s">
        <v>109</v>
      </c>
      <c r="AE1" t="s">
        <v>110</v>
      </c>
      <c r="AF1" t="s">
        <v>111</v>
      </c>
      <c r="AG1" t="s">
        <v>112</v>
      </c>
    </row>
    <row r="2" spans="1:33" x14ac:dyDescent="0.3">
      <c r="A2" s="13"/>
      <c r="C2" s="13"/>
      <c r="D2" s="13"/>
      <c r="E2" s="13"/>
      <c r="F2" s="13"/>
      <c r="G2" s="13"/>
      <c r="H2" s="13"/>
      <c r="I2" s="13"/>
      <c r="L2" s="13"/>
      <c r="M2" s="13"/>
      <c r="N2" s="13"/>
      <c r="O2" s="13"/>
      <c r="P2" s="13"/>
      <c r="Q2" s="13"/>
      <c r="R2" s="13"/>
      <c r="S2" s="13"/>
      <c r="U2" s="13"/>
      <c r="V2" s="13"/>
      <c r="W2" s="13"/>
      <c r="X2" s="13"/>
      <c r="AA2" s="13"/>
      <c r="AE2" s="13"/>
      <c r="AF2" s="13"/>
    </row>
    <row r="3" spans="1:33" x14ac:dyDescent="0.3">
      <c r="D3" s="13"/>
      <c r="E3" s="13"/>
      <c r="G3" s="13"/>
      <c r="H3" s="13"/>
      <c r="L3" s="13"/>
      <c r="M3" s="13"/>
      <c r="N3" s="13"/>
      <c r="O3" s="13"/>
      <c r="Q3" s="13"/>
      <c r="R3" s="13"/>
      <c r="S3" s="13"/>
      <c r="U3" s="13"/>
    </row>
    <row r="4" spans="1:33" x14ac:dyDescent="0.3">
      <c r="D4" s="13"/>
      <c r="E4" s="13"/>
      <c r="G4" s="13"/>
      <c r="H4" s="13"/>
      <c r="L4" s="13"/>
      <c r="M4" s="13"/>
      <c r="N4" s="13"/>
      <c r="O4" s="13"/>
      <c r="Q4" s="13"/>
      <c r="R4" s="13"/>
      <c r="S4" s="13"/>
      <c r="U4" s="13"/>
    </row>
    <row r="5" spans="1:33" x14ac:dyDescent="0.3">
      <c r="D5" s="13"/>
      <c r="E5" s="13"/>
      <c r="G5" s="13"/>
      <c r="H5" s="13"/>
      <c r="L5" s="13"/>
      <c r="M5" s="13"/>
      <c r="N5" s="13"/>
      <c r="O5" s="13"/>
      <c r="Q5" s="13"/>
      <c r="R5" s="13"/>
      <c r="S5" s="13"/>
      <c r="U5" s="13"/>
    </row>
    <row r="6" spans="1:33" x14ac:dyDescent="0.3">
      <c r="D6" s="13"/>
      <c r="E6" s="13"/>
      <c r="G6" s="13"/>
      <c r="H6" s="13"/>
      <c r="L6" s="13"/>
      <c r="M6" s="13"/>
      <c r="N6" s="13"/>
      <c r="O6" s="13"/>
      <c r="Q6" s="13"/>
      <c r="R6" s="13"/>
      <c r="S6" s="13"/>
      <c r="U6" s="13"/>
    </row>
    <row r="7" spans="1:33" x14ac:dyDescent="0.3">
      <c r="D7" s="13"/>
      <c r="E7" s="13"/>
      <c r="G7" s="13"/>
      <c r="H7" s="13"/>
      <c r="L7" s="13"/>
      <c r="M7" s="13"/>
      <c r="N7" s="13"/>
      <c r="O7" s="13"/>
      <c r="Q7" s="13"/>
      <c r="R7" s="13"/>
      <c r="S7" s="13"/>
      <c r="U7" s="13"/>
    </row>
    <row r="8" spans="1:33" x14ac:dyDescent="0.3">
      <c r="D8" s="13"/>
      <c r="E8" s="13"/>
      <c r="G8" s="13"/>
      <c r="H8" s="13"/>
      <c r="L8" s="13"/>
      <c r="M8" s="13"/>
      <c r="N8" s="13"/>
      <c r="O8" s="13"/>
      <c r="Q8" s="13"/>
      <c r="R8" s="13"/>
      <c r="S8" s="13"/>
      <c r="U8" s="13"/>
    </row>
    <row r="9" spans="1:33" x14ac:dyDescent="0.3">
      <c r="D9" s="13"/>
      <c r="E9" s="13"/>
      <c r="G9" s="13"/>
      <c r="H9" s="13"/>
      <c r="L9" s="13"/>
      <c r="M9" s="13"/>
      <c r="N9" s="13"/>
      <c r="O9" s="13"/>
      <c r="Q9" s="13"/>
      <c r="R9" s="13"/>
      <c r="S9" s="13"/>
      <c r="U9" s="13"/>
    </row>
    <row r="10" spans="1:33" x14ac:dyDescent="0.3">
      <c r="D10" s="13"/>
      <c r="E10" s="13"/>
      <c r="G10" s="13"/>
      <c r="H10" s="13"/>
      <c r="L10" s="13"/>
      <c r="M10" s="13"/>
      <c r="N10" s="13"/>
      <c r="O10" s="13"/>
      <c r="Q10" s="13"/>
      <c r="R10" s="13"/>
      <c r="S10" s="13"/>
      <c r="U10" s="13"/>
    </row>
    <row r="11" spans="1:33" x14ac:dyDescent="0.3">
      <c r="D11" s="13"/>
      <c r="E11" s="13"/>
      <c r="G11" s="13"/>
      <c r="H11" s="13"/>
      <c r="L11" s="13"/>
      <c r="M11" s="13"/>
      <c r="N11" s="13"/>
      <c r="O11" s="13"/>
      <c r="Q11" s="13"/>
      <c r="R11" s="13"/>
      <c r="S11" s="13"/>
      <c r="U11" s="13"/>
    </row>
    <row r="12" spans="1:33" x14ac:dyDescent="0.3">
      <c r="D12" s="13"/>
      <c r="E12" s="13"/>
      <c r="G12" s="13"/>
      <c r="H12" s="13"/>
      <c r="L12" s="13"/>
      <c r="M12" s="13"/>
      <c r="N12" s="13"/>
      <c r="O12" s="13"/>
      <c r="Q12" s="13"/>
      <c r="R12" s="13"/>
      <c r="S12" s="13"/>
      <c r="U12" s="13"/>
    </row>
    <row r="13" spans="1:33" x14ac:dyDescent="0.3">
      <c r="D13" s="13"/>
      <c r="E13" s="13"/>
      <c r="G13" s="13"/>
      <c r="H13" s="13"/>
      <c r="L13" s="13"/>
      <c r="M13" s="13"/>
      <c r="N13" s="13"/>
      <c r="O13" s="13"/>
      <c r="Q13" s="13"/>
      <c r="R13" s="13"/>
      <c r="S13" s="13"/>
      <c r="U13" s="13"/>
    </row>
    <row r="14" spans="1:33" x14ac:dyDescent="0.3">
      <c r="D14" s="13"/>
      <c r="E14" s="13"/>
      <c r="G14" s="13"/>
      <c r="H14" s="13"/>
      <c r="L14" s="13"/>
      <c r="M14" s="13"/>
      <c r="N14" s="13"/>
      <c r="O14" s="13"/>
      <c r="Q14" s="13"/>
      <c r="R14" s="13"/>
      <c r="S14" s="13"/>
      <c r="U14" s="13"/>
    </row>
    <row r="15" spans="1:33" x14ac:dyDescent="0.3">
      <c r="D15" s="13"/>
      <c r="E15" s="13"/>
      <c r="G15" s="13"/>
      <c r="H15" s="13"/>
      <c r="L15" s="13"/>
      <c r="M15" s="13"/>
      <c r="N15" s="13"/>
      <c r="O15" s="13"/>
      <c r="Q15" s="13"/>
      <c r="R15" s="13"/>
      <c r="S15" s="13"/>
      <c r="U15" s="13"/>
    </row>
    <row r="16" spans="1:33" x14ac:dyDescent="0.3">
      <c r="D16" s="13"/>
      <c r="E16" s="13"/>
      <c r="G16" s="13"/>
      <c r="H16" s="13"/>
      <c r="L16" s="13"/>
      <c r="M16" s="13"/>
      <c r="N16" s="13"/>
      <c r="O16" s="13"/>
      <c r="Q16" s="13"/>
      <c r="R16" s="13"/>
      <c r="S16" s="13"/>
      <c r="U16" s="13"/>
    </row>
    <row r="17" spans="4:21" x14ac:dyDescent="0.3">
      <c r="D17" s="13"/>
      <c r="E17" s="13"/>
      <c r="G17" s="13"/>
      <c r="H17" s="13"/>
      <c r="L17" s="13"/>
      <c r="M17" s="13"/>
      <c r="N17" s="13"/>
      <c r="O17" s="13"/>
      <c r="Q17" s="13"/>
      <c r="R17" s="13"/>
      <c r="S17" s="13"/>
      <c r="U17" s="13"/>
    </row>
    <row r="18" spans="4:21" x14ac:dyDescent="0.3">
      <c r="D18" s="13"/>
      <c r="E18" s="13"/>
      <c r="G18" s="13"/>
      <c r="H18" s="13"/>
      <c r="L18" s="13"/>
      <c r="M18" s="13"/>
      <c r="N18" s="13"/>
      <c r="O18" s="13"/>
      <c r="Q18" s="13"/>
      <c r="R18" s="13"/>
      <c r="S18" s="13"/>
      <c r="U18" s="13"/>
    </row>
    <row r="19" spans="4:21" x14ac:dyDescent="0.3">
      <c r="D19" s="13"/>
      <c r="E19" s="13"/>
      <c r="G19" s="13"/>
      <c r="H19" s="13"/>
      <c r="L19" s="13"/>
      <c r="M19" s="13"/>
      <c r="N19" s="13"/>
      <c r="O19" s="13"/>
      <c r="Q19" s="13"/>
      <c r="R19" s="13"/>
      <c r="S19" s="13"/>
      <c r="U19" s="13"/>
    </row>
    <row r="20" spans="4:21" x14ac:dyDescent="0.3">
      <c r="D20" s="13"/>
      <c r="E20" s="13"/>
      <c r="G20" s="13"/>
      <c r="H20" s="13"/>
      <c r="L20" s="13"/>
      <c r="M20" s="13"/>
      <c r="N20" s="13"/>
      <c r="O20" s="13"/>
      <c r="Q20" s="13"/>
      <c r="R20" s="13"/>
      <c r="S20" s="13"/>
      <c r="U20" s="13"/>
    </row>
    <row r="21" spans="4:21" x14ac:dyDescent="0.3">
      <c r="D21" s="13"/>
      <c r="E21" s="13"/>
      <c r="G21" s="13"/>
      <c r="H21" s="13"/>
      <c r="L21" s="13"/>
      <c r="M21" s="13"/>
      <c r="N21" s="13"/>
      <c r="O21" s="13"/>
      <c r="Q21" s="13"/>
      <c r="R21" s="13"/>
      <c r="S21" s="13"/>
      <c r="U21" s="13"/>
    </row>
    <row r="22" spans="4:21" x14ac:dyDescent="0.3">
      <c r="D22" s="13"/>
      <c r="E22" s="13"/>
      <c r="G22" s="13"/>
      <c r="H22" s="13"/>
      <c r="L22" s="13"/>
      <c r="M22" s="13"/>
      <c r="N22" s="13"/>
      <c r="O22" s="13"/>
      <c r="Q22" s="13"/>
      <c r="R22" s="13"/>
      <c r="S22" s="13"/>
      <c r="U22" s="13"/>
    </row>
    <row r="23" spans="4:21" x14ac:dyDescent="0.3">
      <c r="D23" s="13"/>
      <c r="E23" s="13"/>
      <c r="G23" s="13"/>
      <c r="H23" s="13"/>
      <c r="L23" s="13"/>
      <c r="M23" s="13"/>
      <c r="N23" s="13"/>
      <c r="O23" s="13"/>
      <c r="Q23" s="13"/>
      <c r="R23" s="13"/>
      <c r="S23" s="13"/>
      <c r="U23" s="13"/>
    </row>
    <row r="24" spans="4:21" x14ac:dyDescent="0.3">
      <c r="D24" s="13"/>
      <c r="E24" s="13"/>
      <c r="G24" s="13"/>
      <c r="H24" s="13"/>
      <c r="L24" s="13"/>
      <c r="M24" s="13"/>
      <c r="N24" s="13"/>
      <c r="O24" s="13"/>
      <c r="Q24" s="13"/>
      <c r="R24" s="13"/>
      <c r="S24" s="13"/>
      <c r="U24" s="13"/>
    </row>
    <row r="25" spans="4:21" x14ac:dyDescent="0.3">
      <c r="D25" s="13"/>
      <c r="E25" s="13"/>
      <c r="G25" s="13"/>
      <c r="H25" s="13"/>
      <c r="L25" s="13"/>
      <c r="M25" s="13"/>
      <c r="N25" s="13"/>
      <c r="O25" s="13"/>
      <c r="Q25" s="13"/>
      <c r="R25" s="13"/>
      <c r="S25" s="13"/>
      <c r="U25" s="13"/>
    </row>
    <row r="26" spans="4:21" x14ac:dyDescent="0.3">
      <c r="D26" s="13"/>
      <c r="E26" s="13"/>
      <c r="G26" s="13"/>
      <c r="H26" s="13"/>
      <c r="L26" s="13"/>
      <c r="M26" s="13"/>
      <c r="N26" s="13"/>
      <c r="O26" s="13"/>
      <c r="Q26" s="13"/>
      <c r="R26" s="13"/>
      <c r="S26" s="13"/>
      <c r="U26" s="13"/>
    </row>
    <row r="27" spans="4:21" x14ac:dyDescent="0.3">
      <c r="D27" s="13"/>
      <c r="E27" s="13"/>
      <c r="G27" s="13"/>
      <c r="H27" s="13"/>
      <c r="L27" s="13"/>
      <c r="M27" s="13"/>
      <c r="N27" s="13"/>
      <c r="O27" s="13"/>
      <c r="Q27" s="13"/>
      <c r="R27" s="13"/>
      <c r="S27" s="13"/>
      <c r="U27" s="13"/>
    </row>
    <row r="28" spans="4:21" x14ac:dyDescent="0.3">
      <c r="D28" s="13"/>
      <c r="E28" s="13"/>
      <c r="G28" s="13"/>
      <c r="H28" s="13"/>
      <c r="L28" s="13"/>
      <c r="M28" s="13"/>
      <c r="N28" s="13"/>
      <c r="O28" s="13"/>
      <c r="Q28" s="13"/>
      <c r="R28" s="13"/>
      <c r="S28" s="13"/>
      <c r="U28" s="13"/>
    </row>
    <row r="29" spans="4:21" x14ac:dyDescent="0.3">
      <c r="D29" s="13"/>
      <c r="E29" s="13"/>
      <c r="G29" s="13"/>
      <c r="H29" s="13"/>
      <c r="L29" s="13"/>
      <c r="M29" s="13"/>
      <c r="N29" s="13"/>
      <c r="O29" s="13"/>
      <c r="Q29" s="13"/>
      <c r="R29" s="13"/>
      <c r="S29" s="13"/>
      <c r="U29" s="13"/>
    </row>
    <row r="30" spans="4:21" x14ac:dyDescent="0.3">
      <c r="D30" s="13"/>
      <c r="E30" s="13"/>
      <c r="G30" s="13"/>
      <c r="H30" s="13"/>
      <c r="L30" s="13"/>
      <c r="M30" s="13"/>
      <c r="N30" s="13"/>
      <c r="O30" s="13"/>
      <c r="Q30" s="13"/>
      <c r="R30" s="13"/>
      <c r="S30" s="13"/>
      <c r="U30" s="13"/>
    </row>
    <row r="31" spans="4:21" x14ac:dyDescent="0.3">
      <c r="D31" s="13"/>
      <c r="E31" s="13"/>
      <c r="G31" s="13"/>
      <c r="H31" s="13"/>
      <c r="L31" s="13"/>
      <c r="M31" s="13"/>
      <c r="N31" s="13"/>
      <c r="O31" s="13"/>
      <c r="Q31" s="13"/>
      <c r="R31" s="13"/>
      <c r="S31" s="13"/>
      <c r="U31" s="13"/>
    </row>
    <row r="32" spans="4:21" x14ac:dyDescent="0.3">
      <c r="D32" s="13"/>
      <c r="E32" s="13"/>
      <c r="G32" s="13"/>
      <c r="H32" s="13"/>
      <c r="L32" s="13"/>
      <c r="M32" s="13"/>
      <c r="N32" s="13"/>
      <c r="O32" s="13"/>
      <c r="Q32" s="13"/>
      <c r="R32" s="13"/>
      <c r="S32" s="13"/>
      <c r="U32" s="13"/>
    </row>
    <row r="33" spans="4:21" x14ac:dyDescent="0.3">
      <c r="D33" s="13"/>
      <c r="E33" s="13"/>
      <c r="G33" s="13"/>
      <c r="H33" s="13"/>
      <c r="L33" s="13"/>
      <c r="M33" s="13"/>
      <c r="N33" s="13"/>
      <c r="O33" s="13"/>
      <c r="Q33" s="13"/>
      <c r="R33" s="13"/>
      <c r="S33" s="13"/>
      <c r="U33" s="13"/>
    </row>
    <row r="34" spans="4:21" x14ac:dyDescent="0.3">
      <c r="D34" s="13"/>
      <c r="E34" s="13"/>
      <c r="G34" s="13"/>
      <c r="H34" s="13"/>
      <c r="L34" s="13"/>
      <c r="M34" s="13"/>
      <c r="N34" s="13"/>
      <c r="O34" s="13"/>
      <c r="Q34" s="13"/>
      <c r="R34" s="13"/>
      <c r="S34" s="13"/>
      <c r="U34" s="13"/>
    </row>
    <row r="35" spans="4:21" x14ac:dyDescent="0.3">
      <c r="D35" s="13"/>
      <c r="E35" s="13"/>
      <c r="G35" s="13"/>
      <c r="H35" s="13"/>
      <c r="L35" s="13"/>
      <c r="M35" s="13"/>
      <c r="N35" s="13"/>
      <c r="O35" s="13"/>
      <c r="Q35" s="13"/>
      <c r="R35" s="13"/>
      <c r="S35" s="13"/>
      <c r="U35" s="13"/>
    </row>
    <row r="36" spans="4:21" x14ac:dyDescent="0.3">
      <c r="D36" s="13"/>
      <c r="E36" s="13"/>
      <c r="G36" s="13"/>
      <c r="H36" s="13"/>
      <c r="L36" s="13"/>
      <c r="M36" s="13"/>
      <c r="N36" s="13"/>
      <c r="O36" s="13"/>
      <c r="Q36" s="13"/>
      <c r="R36" s="13"/>
      <c r="S36" s="13"/>
      <c r="U36" s="13"/>
    </row>
    <row r="37" spans="4:21" x14ac:dyDescent="0.3">
      <c r="D37" s="13"/>
      <c r="E37" s="13"/>
      <c r="G37" s="13"/>
      <c r="H37" s="13"/>
      <c r="L37" s="13"/>
      <c r="M37" s="13"/>
      <c r="N37" s="13"/>
      <c r="O37" s="13"/>
      <c r="Q37" s="13"/>
      <c r="R37" s="13"/>
      <c r="S37" s="13"/>
      <c r="U37" s="13"/>
    </row>
    <row r="38" spans="4:21" x14ac:dyDescent="0.3">
      <c r="D38" s="13"/>
      <c r="E38" s="13"/>
      <c r="G38" s="13"/>
      <c r="H38" s="13"/>
      <c r="L38" s="13"/>
      <c r="M38" s="13"/>
      <c r="N38" s="13"/>
      <c r="O38" s="13"/>
      <c r="Q38" s="13"/>
      <c r="R38" s="13"/>
      <c r="S38" s="13"/>
      <c r="U38" s="13"/>
    </row>
    <row r="39" spans="4:21" x14ac:dyDescent="0.3">
      <c r="D39" s="13"/>
      <c r="E39" s="13"/>
      <c r="G39" s="13"/>
      <c r="H39" s="13"/>
      <c r="L39" s="13"/>
      <c r="M39" s="13"/>
      <c r="N39" s="13"/>
      <c r="O39" s="13"/>
      <c r="Q39" s="13"/>
      <c r="R39" s="13"/>
      <c r="S39" s="13"/>
      <c r="U39" s="13"/>
    </row>
    <row r="40" spans="4:21" x14ac:dyDescent="0.3">
      <c r="D40" s="13"/>
      <c r="E40" s="13"/>
      <c r="G40" s="13"/>
      <c r="H40" s="13"/>
      <c r="L40" s="13"/>
      <c r="M40" s="13"/>
      <c r="N40" s="13"/>
      <c r="O40" s="13"/>
      <c r="Q40" s="13"/>
      <c r="R40" s="13"/>
      <c r="S40" s="13"/>
      <c r="U40" s="13"/>
    </row>
    <row r="41" spans="4:21" x14ac:dyDescent="0.3">
      <c r="D41" s="13"/>
      <c r="E41" s="13"/>
      <c r="G41" s="13"/>
      <c r="H41" s="13"/>
      <c r="L41" s="13"/>
      <c r="M41" s="13"/>
      <c r="N41" s="13"/>
      <c r="O41" s="13"/>
      <c r="Q41" s="13"/>
      <c r="R41" s="13"/>
      <c r="S41" s="13"/>
      <c r="U41" s="13"/>
    </row>
    <row r="42" spans="4:21" x14ac:dyDescent="0.3">
      <c r="D42" s="13"/>
      <c r="E42" s="13"/>
      <c r="G42" s="13"/>
      <c r="H42" s="13"/>
      <c r="L42" s="13"/>
      <c r="M42" s="13"/>
      <c r="N42" s="13"/>
      <c r="O42" s="13"/>
      <c r="Q42" s="13"/>
      <c r="R42" s="13"/>
      <c r="S42" s="13"/>
      <c r="U42" s="13"/>
    </row>
    <row r="43" spans="4:21" x14ac:dyDescent="0.3">
      <c r="D43" s="13"/>
      <c r="E43" s="13"/>
      <c r="G43" s="13"/>
      <c r="H43" s="13"/>
      <c r="L43" s="13"/>
      <c r="M43" s="13"/>
      <c r="N43" s="13"/>
      <c r="O43" s="13"/>
      <c r="Q43" s="13"/>
      <c r="R43" s="13"/>
      <c r="S43" s="13"/>
      <c r="U43" s="13"/>
    </row>
    <row r="44" spans="4:21" x14ac:dyDescent="0.3">
      <c r="D44" s="13"/>
      <c r="E44" s="13"/>
      <c r="G44" s="13"/>
      <c r="H44" s="13"/>
      <c r="L44" s="13"/>
      <c r="M44" s="13"/>
      <c r="N44" s="13"/>
      <c r="O44" s="13"/>
      <c r="Q44" s="13"/>
      <c r="R44" s="13"/>
      <c r="S44" s="13"/>
      <c r="U44" s="13"/>
    </row>
    <row r="45" spans="4:21" x14ac:dyDescent="0.3">
      <c r="D45" s="13"/>
      <c r="E45" s="13"/>
      <c r="G45" s="13"/>
      <c r="H45" s="13"/>
      <c r="L45" s="13"/>
      <c r="M45" s="13"/>
      <c r="N45" s="13"/>
      <c r="O45" s="13"/>
      <c r="Q45" s="13"/>
      <c r="R45" s="13"/>
      <c r="S45" s="13"/>
      <c r="U45" s="13"/>
    </row>
    <row r="46" spans="4:21" x14ac:dyDescent="0.3">
      <c r="D46" s="13"/>
      <c r="E46" s="13"/>
      <c r="G46" s="13"/>
      <c r="H46" s="13"/>
      <c r="L46" s="13"/>
      <c r="M46" s="13"/>
      <c r="N46" s="13"/>
      <c r="O46" s="13"/>
      <c r="Q46" s="13"/>
      <c r="R46" s="13"/>
      <c r="S46" s="13"/>
      <c r="U46" s="13"/>
    </row>
    <row r="47" spans="4:21" x14ac:dyDescent="0.3">
      <c r="D47" s="13"/>
      <c r="E47" s="13"/>
      <c r="G47" s="13"/>
      <c r="H47" s="13"/>
      <c r="L47" s="13"/>
      <c r="M47" s="13"/>
      <c r="N47" s="13"/>
      <c r="O47" s="13"/>
      <c r="Q47" s="13"/>
      <c r="R47" s="13"/>
      <c r="S47" s="13"/>
      <c r="U47" s="13"/>
    </row>
    <row r="48" spans="4:21" x14ac:dyDescent="0.3">
      <c r="D48" s="13"/>
      <c r="E48" s="13"/>
      <c r="G48" s="13"/>
      <c r="H48" s="13"/>
      <c r="L48" s="13"/>
      <c r="M48" s="13"/>
      <c r="N48" s="13"/>
      <c r="O48" s="13"/>
      <c r="Q48" s="13"/>
      <c r="R48" s="13"/>
      <c r="S48" s="13"/>
      <c r="U48" s="13"/>
    </row>
    <row r="49" spans="4:21" x14ac:dyDescent="0.3">
      <c r="D49" s="13"/>
      <c r="E49" s="13"/>
      <c r="G49" s="13"/>
      <c r="H49" s="13"/>
      <c r="L49" s="13"/>
      <c r="M49" s="13"/>
      <c r="N49" s="13"/>
      <c r="O49" s="13"/>
      <c r="Q49" s="13"/>
      <c r="R49" s="13"/>
      <c r="S49" s="13"/>
      <c r="U49" s="13"/>
    </row>
    <row r="50" spans="4:21" x14ac:dyDescent="0.3">
      <c r="D50" s="13"/>
      <c r="E50" s="13"/>
      <c r="G50" s="13"/>
      <c r="H50" s="13"/>
      <c r="L50" s="13"/>
      <c r="M50" s="13"/>
      <c r="N50" s="13"/>
      <c r="O50" s="13"/>
      <c r="Q50" s="13"/>
      <c r="R50" s="13"/>
      <c r="S50" s="13"/>
      <c r="U50" s="13"/>
    </row>
    <row r="51" spans="4:21" x14ac:dyDescent="0.3">
      <c r="D51" s="13"/>
      <c r="E51" s="13"/>
      <c r="G51" s="13"/>
      <c r="H51" s="13"/>
      <c r="L51" s="13"/>
      <c r="M51" s="13"/>
      <c r="N51" s="13"/>
      <c r="O51" s="13"/>
      <c r="Q51" s="13"/>
      <c r="R51" s="13"/>
      <c r="S51" s="13"/>
      <c r="U51" s="13"/>
    </row>
    <row r="52" spans="4:21" x14ac:dyDescent="0.3">
      <c r="D52" s="13"/>
      <c r="E52" s="13"/>
      <c r="G52" s="13"/>
      <c r="H52" s="13"/>
      <c r="L52" s="13"/>
      <c r="M52" s="13"/>
      <c r="N52" s="13"/>
      <c r="O52" s="13"/>
      <c r="Q52" s="13"/>
      <c r="R52" s="13"/>
      <c r="S52" s="13"/>
      <c r="U52" s="13"/>
    </row>
    <row r="53" spans="4:21" x14ac:dyDescent="0.3">
      <c r="D53" s="13"/>
      <c r="E53" s="13"/>
      <c r="G53" s="13"/>
      <c r="H53" s="13"/>
      <c r="L53" s="13"/>
      <c r="M53" s="13"/>
      <c r="N53" s="13"/>
      <c r="O53" s="13"/>
      <c r="Q53" s="13"/>
      <c r="R53" s="13"/>
      <c r="S53" s="13"/>
      <c r="U53" s="13"/>
    </row>
    <row r="54" spans="4:21" x14ac:dyDescent="0.3">
      <c r="D54" s="13"/>
      <c r="E54" s="13"/>
      <c r="G54" s="13"/>
      <c r="H54" s="13"/>
      <c r="L54" s="13"/>
      <c r="M54" s="13"/>
      <c r="N54" s="13"/>
      <c r="O54" s="13"/>
      <c r="Q54" s="13"/>
      <c r="R54" s="13"/>
      <c r="S54" s="13"/>
      <c r="U54" s="13"/>
    </row>
    <row r="55" spans="4:21" x14ac:dyDescent="0.3">
      <c r="D55" s="13"/>
      <c r="E55" s="13"/>
      <c r="G55" s="13"/>
      <c r="H55" s="13"/>
      <c r="L55" s="13"/>
      <c r="M55" s="13"/>
      <c r="N55" s="13"/>
      <c r="O55" s="13"/>
      <c r="Q55" s="13"/>
      <c r="R55" s="13"/>
      <c r="S55" s="13"/>
      <c r="U55" s="13"/>
    </row>
    <row r="56" spans="4:21" x14ac:dyDescent="0.3">
      <c r="D56" s="13"/>
      <c r="E56" s="13"/>
      <c r="G56" s="13"/>
      <c r="H56" s="13"/>
      <c r="L56" s="13"/>
      <c r="M56" s="13"/>
      <c r="N56" s="13"/>
      <c r="O56" s="13"/>
      <c r="Q56" s="13"/>
      <c r="R56" s="13"/>
      <c r="S56" s="13"/>
      <c r="U56" s="13"/>
    </row>
    <row r="57" spans="4:21" x14ac:dyDescent="0.3">
      <c r="D57" s="13"/>
      <c r="E57" s="13"/>
      <c r="G57" s="13"/>
      <c r="H57" s="13"/>
      <c r="L57" s="13"/>
      <c r="M57" s="13"/>
      <c r="N57" s="13"/>
      <c r="O57" s="13"/>
      <c r="Q57" s="13"/>
      <c r="R57" s="13"/>
      <c r="S57" s="13"/>
      <c r="U57" s="13"/>
    </row>
    <row r="58" spans="4:21" x14ac:dyDescent="0.3">
      <c r="D58" s="13"/>
      <c r="E58" s="13"/>
      <c r="G58" s="13"/>
      <c r="H58" s="13"/>
      <c r="L58" s="13"/>
      <c r="M58" s="13"/>
      <c r="N58" s="13"/>
      <c r="O58" s="13"/>
      <c r="Q58" s="13"/>
      <c r="R58" s="13"/>
      <c r="S58" s="13"/>
      <c r="U58" s="13"/>
    </row>
    <row r="59" spans="4:21" x14ac:dyDescent="0.3">
      <c r="D59" s="13"/>
      <c r="E59" s="13"/>
      <c r="G59" s="13"/>
      <c r="H59" s="13"/>
      <c r="L59" s="13"/>
      <c r="M59" s="13"/>
      <c r="N59" s="13"/>
      <c r="O59" s="13"/>
      <c r="Q59" s="13"/>
      <c r="R59" s="13"/>
      <c r="S59" s="13"/>
      <c r="U59" s="13"/>
    </row>
    <row r="60" spans="4:21" x14ac:dyDescent="0.3">
      <c r="D60" s="13"/>
      <c r="E60" s="13"/>
      <c r="G60" s="13"/>
      <c r="H60" s="13"/>
      <c r="L60" s="13"/>
      <c r="M60" s="13"/>
      <c r="N60" s="13"/>
      <c r="O60" s="13"/>
      <c r="Q60" s="13"/>
      <c r="R60" s="13"/>
      <c r="S60" s="13"/>
      <c r="U60" s="13"/>
    </row>
    <row r="61" spans="4:21" x14ac:dyDescent="0.3">
      <c r="D61" s="13"/>
      <c r="E61" s="13"/>
      <c r="G61" s="13"/>
      <c r="H61" s="13"/>
      <c r="L61" s="13"/>
      <c r="M61" s="13"/>
      <c r="N61" s="13"/>
      <c r="O61" s="13"/>
      <c r="Q61" s="13"/>
      <c r="R61" s="13"/>
      <c r="S61" s="13"/>
      <c r="U61" s="13"/>
    </row>
    <row r="62" spans="4:21" x14ac:dyDescent="0.3">
      <c r="D62" s="13"/>
      <c r="E62" s="13"/>
      <c r="G62" s="13"/>
      <c r="H62" s="13"/>
      <c r="L62" s="13"/>
      <c r="M62" s="13"/>
      <c r="N62" s="13"/>
      <c r="O62" s="13"/>
      <c r="Q62" s="13"/>
      <c r="R62" s="13"/>
      <c r="S62" s="13"/>
      <c r="U62" s="13"/>
    </row>
    <row r="63" spans="4:21" x14ac:dyDescent="0.3">
      <c r="D63" s="13"/>
      <c r="E63" s="13"/>
      <c r="G63" s="13"/>
      <c r="H63" s="13"/>
      <c r="L63" s="13"/>
      <c r="M63" s="13"/>
      <c r="N63" s="13"/>
      <c r="O63" s="13"/>
      <c r="Q63" s="13"/>
      <c r="R63" s="13"/>
      <c r="S63" s="13"/>
      <c r="U63" s="13"/>
    </row>
    <row r="64" spans="4:21" x14ac:dyDescent="0.3">
      <c r="D64" s="13"/>
      <c r="E64" s="13"/>
      <c r="G64" s="13"/>
      <c r="H64" s="13"/>
      <c r="L64" s="13"/>
      <c r="M64" s="13"/>
      <c r="N64" s="13"/>
      <c r="O64" s="13"/>
      <c r="Q64" s="13"/>
      <c r="R64" s="13"/>
      <c r="S64" s="13"/>
      <c r="U64" s="13"/>
    </row>
    <row r="65" spans="4:21" x14ac:dyDescent="0.3">
      <c r="D65" s="13"/>
      <c r="E65" s="13"/>
      <c r="G65" s="13"/>
      <c r="H65" s="13"/>
      <c r="L65" s="13"/>
      <c r="M65" s="13"/>
      <c r="N65" s="13"/>
      <c r="O65" s="13"/>
      <c r="Q65" s="13"/>
      <c r="R65" s="13"/>
      <c r="S65" s="13"/>
      <c r="U65" s="13"/>
    </row>
    <row r="66" spans="4:21" x14ac:dyDescent="0.3">
      <c r="D66" s="13"/>
      <c r="E66" s="13"/>
      <c r="G66" s="13"/>
      <c r="H66" s="13"/>
      <c r="L66" s="13"/>
      <c r="M66" s="13"/>
      <c r="N66" s="13"/>
      <c r="O66" s="13"/>
      <c r="Q66" s="13"/>
      <c r="R66" s="13"/>
      <c r="S66" s="13"/>
      <c r="U66" s="13"/>
    </row>
    <row r="67" spans="4:21" x14ac:dyDescent="0.3">
      <c r="D67" s="13"/>
      <c r="E67" s="13"/>
      <c r="G67" s="13"/>
      <c r="H67" s="13"/>
      <c r="L67" s="13"/>
      <c r="M67" s="13"/>
      <c r="N67" s="13"/>
      <c r="O67" s="13"/>
      <c r="Q67" s="13"/>
      <c r="R67" s="13"/>
      <c r="S67" s="13"/>
      <c r="U67" s="13"/>
    </row>
    <row r="68" spans="4:21" x14ac:dyDescent="0.3">
      <c r="D68" s="13"/>
      <c r="E68" s="13"/>
      <c r="G68" s="13"/>
      <c r="H68" s="13"/>
      <c r="L68" s="13"/>
      <c r="M68" s="13"/>
      <c r="N68" s="13"/>
      <c r="O68" s="13"/>
      <c r="Q68" s="13"/>
      <c r="R68" s="13"/>
      <c r="S68" s="13"/>
      <c r="U68" s="13"/>
    </row>
    <row r="69" spans="4:21" x14ac:dyDescent="0.3">
      <c r="D69" s="13"/>
      <c r="E69" s="13"/>
      <c r="G69" s="13"/>
      <c r="H69" s="13"/>
      <c r="L69" s="13"/>
      <c r="M69" s="13"/>
      <c r="N69" s="13"/>
      <c r="O69" s="13"/>
      <c r="Q69" s="13"/>
      <c r="R69" s="13"/>
      <c r="S69" s="13"/>
      <c r="U69" s="13"/>
    </row>
    <row r="70" spans="4:21" x14ac:dyDescent="0.3">
      <c r="D70" s="13"/>
      <c r="E70" s="13"/>
      <c r="G70" s="13"/>
      <c r="H70" s="13"/>
      <c r="L70" s="13"/>
      <c r="M70" s="13"/>
      <c r="N70" s="13"/>
      <c r="O70" s="13"/>
      <c r="Q70" s="13"/>
      <c r="R70" s="13"/>
      <c r="S70" s="13"/>
      <c r="U70" s="13"/>
    </row>
    <row r="71" spans="4:21" x14ac:dyDescent="0.3">
      <c r="D71" s="13"/>
      <c r="E71" s="13"/>
      <c r="G71" s="13"/>
      <c r="H71" s="13"/>
      <c r="L71" s="13"/>
      <c r="M71" s="13"/>
      <c r="N71" s="13"/>
      <c r="O71" s="13"/>
      <c r="Q71" s="13"/>
      <c r="R71" s="13"/>
      <c r="S71" s="13"/>
      <c r="U71" s="13"/>
    </row>
    <row r="72" spans="4:21" x14ac:dyDescent="0.3">
      <c r="D72" s="13"/>
      <c r="E72" s="13"/>
      <c r="G72" s="13"/>
      <c r="H72" s="13"/>
      <c r="L72" s="13"/>
      <c r="M72" s="13"/>
      <c r="N72" s="13"/>
      <c r="O72" s="13"/>
      <c r="Q72" s="13"/>
      <c r="R72" s="13"/>
      <c r="S72" s="13"/>
      <c r="U72" s="13"/>
    </row>
    <row r="73" spans="4:21" x14ac:dyDescent="0.3">
      <c r="D73" s="13"/>
      <c r="E73" s="13"/>
      <c r="G73" s="13"/>
      <c r="H73" s="13"/>
      <c r="L73" s="13"/>
      <c r="M73" s="13"/>
      <c r="N73" s="13"/>
      <c r="O73" s="13"/>
      <c r="Q73" s="13"/>
      <c r="R73" s="13"/>
      <c r="S73" s="13"/>
      <c r="U73" s="13"/>
    </row>
    <row r="74" spans="4:21" x14ac:dyDescent="0.3">
      <c r="D74" s="13"/>
      <c r="E74" s="13"/>
      <c r="G74" s="13"/>
      <c r="H74" s="13"/>
      <c r="L74" s="13"/>
      <c r="M74" s="13"/>
      <c r="N74" s="13"/>
      <c r="O74" s="13"/>
      <c r="Q74" s="13"/>
      <c r="R74" s="13"/>
      <c r="S74" s="13"/>
      <c r="U74" s="13"/>
    </row>
    <row r="75" spans="4:21" x14ac:dyDescent="0.3">
      <c r="D75" s="13"/>
      <c r="E75" s="13"/>
      <c r="G75" s="13"/>
      <c r="H75" s="13"/>
      <c r="L75" s="13"/>
      <c r="M75" s="13"/>
      <c r="N75" s="13"/>
      <c r="O75" s="13"/>
      <c r="Q75" s="13"/>
      <c r="R75" s="13"/>
      <c r="S75" s="13"/>
      <c r="U75" s="13"/>
    </row>
    <row r="76" spans="4:21" x14ac:dyDescent="0.3">
      <c r="D76" s="13"/>
      <c r="E76" s="13"/>
      <c r="G76" s="13"/>
      <c r="H76" s="13"/>
      <c r="L76" s="13"/>
      <c r="M76" s="13"/>
      <c r="N76" s="13"/>
      <c r="O76" s="13"/>
      <c r="Q76" s="13"/>
      <c r="R76" s="13"/>
      <c r="S76" s="13"/>
      <c r="U76" s="1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C5"/>
  <sheetViews>
    <sheetView showGridLines="0" zoomScale="85" zoomScaleNormal="85" workbookViewId="0"/>
  </sheetViews>
  <sheetFormatPr defaultColWidth="11.44140625" defaultRowHeight="14.4" x14ac:dyDescent="0.3"/>
  <cols>
    <col min="1" max="2" width="11.21875" bestFit="1" customWidth="1"/>
    <col min="3" max="3" width="18.77734375" bestFit="1" customWidth="1"/>
    <col min="5" max="5" width="14.44140625" bestFit="1" customWidth="1"/>
    <col min="6" max="6" width="9.21875" bestFit="1" customWidth="1"/>
  </cols>
  <sheetData>
    <row r="1" spans="1:3" x14ac:dyDescent="0.3">
      <c r="A1" t="s">
        <v>58</v>
      </c>
      <c r="B1" t="s">
        <v>57</v>
      </c>
      <c r="C1" t="s">
        <v>15</v>
      </c>
    </row>
    <row r="2" spans="1:3" x14ac:dyDescent="0.3">
      <c r="C2" t="s">
        <v>56</v>
      </c>
    </row>
    <row r="3" spans="1:3" x14ac:dyDescent="0.3">
      <c r="A3" t="s">
        <v>48</v>
      </c>
      <c r="B3" t="s">
        <v>55</v>
      </c>
      <c r="C3" t="s">
        <v>54</v>
      </c>
    </row>
    <row r="4" spans="1:3" x14ac:dyDescent="0.3">
      <c r="A4" t="s">
        <v>53</v>
      </c>
      <c r="B4" t="s">
        <v>52</v>
      </c>
      <c r="C4" t="s">
        <v>51</v>
      </c>
    </row>
    <row r="5" spans="1:3" x14ac:dyDescent="0.3">
      <c r="A5" t="s">
        <v>47</v>
      </c>
      <c r="B5" t="s">
        <v>50</v>
      </c>
      <c r="C5" t="s">
        <v>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0"/>
  <sheetViews>
    <sheetView showGridLines="0" zoomScale="85" zoomScaleNormal="85" workbookViewId="0"/>
  </sheetViews>
  <sheetFormatPr defaultColWidth="11.44140625" defaultRowHeight="14.4" x14ac:dyDescent="0.3"/>
  <cols>
    <col min="1" max="1" width="17.21875" customWidth="1"/>
    <col min="2" max="2" width="13.21875" customWidth="1"/>
    <col min="3" max="3" width="11.77734375" customWidth="1"/>
    <col min="4" max="4" width="5.21875" customWidth="1"/>
    <col min="5" max="5" width="15.5546875" customWidth="1"/>
    <col min="6" max="6" width="8" customWidth="1"/>
    <col min="7" max="7" width="34.5546875" bestFit="1" customWidth="1"/>
    <col min="8" max="8" width="4" customWidth="1"/>
    <col min="9" max="9" width="8.21875" customWidth="1"/>
    <col min="10" max="10" width="10.21875" customWidth="1"/>
    <col min="11" max="11" width="13.5546875" bestFit="1" customWidth="1"/>
    <col min="12" max="12" width="3" customWidth="1"/>
    <col min="13" max="13" width="8.21875" customWidth="1"/>
    <col min="14" max="14" width="12.77734375" customWidth="1"/>
    <col min="15" max="15" width="22.44140625" bestFit="1" customWidth="1"/>
  </cols>
  <sheetData>
    <row r="1" spans="1:15" ht="23.4" x14ac:dyDescent="0.45">
      <c r="A1" s="11" t="s">
        <v>14</v>
      </c>
    </row>
    <row r="4" spans="1:15" x14ac:dyDescent="0.3">
      <c r="A4" s="19" t="s">
        <v>16</v>
      </c>
      <c r="B4" s="20" t="s">
        <v>21</v>
      </c>
      <c r="C4" s="21" t="s">
        <v>17</v>
      </c>
      <c r="E4" s="10" t="s">
        <v>77</v>
      </c>
      <c r="F4" s="12" t="s">
        <v>17</v>
      </c>
      <c r="G4" s="10" t="s">
        <v>15</v>
      </c>
      <c r="I4" t="s">
        <v>66</v>
      </c>
      <c r="J4" t="s">
        <v>67</v>
      </c>
      <c r="K4" t="s">
        <v>15</v>
      </c>
      <c r="M4" t="s">
        <v>66</v>
      </c>
      <c r="N4" t="s">
        <v>72</v>
      </c>
      <c r="O4" t="s">
        <v>15</v>
      </c>
    </row>
    <row r="5" spans="1:15" x14ac:dyDescent="0.3">
      <c r="A5" t="s">
        <v>45</v>
      </c>
      <c r="B5" s="9"/>
      <c r="C5" t="str">
        <f>IFERROR(VLOOKUP(MaterialPrice,tMaterialPrice[],2,FALSE),"")</f>
        <v/>
      </c>
      <c r="E5" s="5" t="s">
        <v>19</v>
      </c>
      <c r="G5" t="s">
        <v>12</v>
      </c>
      <c r="I5" t="s">
        <v>68</v>
      </c>
      <c r="J5" t="e">
        <f>COLUMN(#REF!)</f>
        <v>#REF!</v>
      </c>
      <c r="K5" t="s">
        <v>62</v>
      </c>
      <c r="M5" t="s">
        <v>68</v>
      </c>
      <c r="N5">
        <v>2</v>
      </c>
      <c r="O5" t="s">
        <v>73</v>
      </c>
    </row>
    <row r="6" spans="1:15" x14ac:dyDescent="0.3">
      <c r="A6" t="s">
        <v>44</v>
      </c>
      <c r="B6" s="9" t="s">
        <v>68</v>
      </c>
      <c r="C6">
        <f>IFERROR(VLOOKUP(ProductHierarchy,tProductHierarchyLevel[],2,FALSE),"")</f>
        <v>2</v>
      </c>
      <c r="E6" s="5" t="s">
        <v>18</v>
      </c>
      <c r="G6" t="s">
        <v>22</v>
      </c>
      <c r="I6" t="s">
        <v>69</v>
      </c>
      <c r="J6" t="e">
        <f>COLUMN(#REF!)</f>
        <v>#REF!</v>
      </c>
      <c r="K6" t="s">
        <v>63</v>
      </c>
      <c r="M6" t="s">
        <v>69</v>
      </c>
      <c r="N6">
        <v>5</v>
      </c>
      <c r="O6" t="s">
        <v>74</v>
      </c>
    </row>
    <row r="7" spans="1:15" x14ac:dyDescent="0.3">
      <c r="A7" t="s">
        <v>43</v>
      </c>
      <c r="B7" s="9" t="s">
        <v>70</v>
      </c>
      <c r="C7" t="str">
        <f>IFERROR(VLOOKUP(CustomerHierarchy,tCustomerLevel[],2,FALSE),"")</f>
        <v/>
      </c>
      <c r="E7" s="5" t="s">
        <v>20</v>
      </c>
      <c r="G7" t="s">
        <v>13</v>
      </c>
      <c r="I7" t="s">
        <v>70</v>
      </c>
      <c r="J7" t="e">
        <f>COLUMN(#REF!)</f>
        <v>#REF!</v>
      </c>
      <c r="K7" t="s">
        <v>64</v>
      </c>
      <c r="M7" t="s">
        <v>70</v>
      </c>
      <c r="N7">
        <v>8</v>
      </c>
      <c r="O7" t="s">
        <v>75</v>
      </c>
    </row>
    <row r="8" spans="1:15" x14ac:dyDescent="0.3">
      <c r="A8" t="s">
        <v>42</v>
      </c>
      <c r="B8" s="9" t="s">
        <v>115</v>
      </c>
      <c r="C8" t="str">
        <f t="shared" ref="C8:C10" si="0">B8</f>
        <v>Gross</v>
      </c>
      <c r="I8" t="s">
        <v>71</v>
      </c>
      <c r="J8" t="e">
        <f>COLUMN(#REF!)</f>
        <v>#REF!</v>
      </c>
      <c r="K8" t="s">
        <v>65</v>
      </c>
      <c r="M8" t="s">
        <v>71</v>
      </c>
      <c r="N8">
        <v>12</v>
      </c>
      <c r="O8" t="s">
        <v>76</v>
      </c>
    </row>
    <row r="9" spans="1:15" x14ac:dyDescent="0.3">
      <c r="A9" t="s">
        <v>41</v>
      </c>
      <c r="B9" s="9">
        <v>1</v>
      </c>
      <c r="C9">
        <f t="shared" si="0"/>
        <v>1</v>
      </c>
    </row>
    <row r="10" spans="1:15" x14ac:dyDescent="0.3">
      <c r="A10" t="s">
        <v>11</v>
      </c>
      <c r="B10" s="9" t="s">
        <v>116</v>
      </c>
      <c r="C10" t="str">
        <f t="shared" si="0"/>
        <v>Default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B8"/>
  <sheetViews>
    <sheetView showGridLines="0" zoomScale="85" zoomScaleNormal="85" workbookViewId="0"/>
  </sheetViews>
  <sheetFormatPr defaultColWidth="11.44140625" defaultRowHeight="14.4" x14ac:dyDescent="0.3"/>
  <cols>
    <col min="1" max="1" width="13.21875" bestFit="1" customWidth="1"/>
    <col min="2" max="2" width="42.21875" bestFit="1" customWidth="1"/>
  </cols>
  <sheetData>
    <row r="1" spans="1:2" ht="23.4" x14ac:dyDescent="0.45">
      <c r="A1" s="11" t="s">
        <v>61</v>
      </c>
    </row>
    <row r="4" spans="1:2" x14ac:dyDescent="0.3">
      <c r="A4" t="s">
        <v>4</v>
      </c>
      <c r="B4" s="24">
        <v>33</v>
      </c>
    </row>
    <row r="5" spans="1:2" x14ac:dyDescent="0.3">
      <c r="A5" t="s">
        <v>3</v>
      </c>
      <c r="B5" s="24" t="s">
        <v>329</v>
      </c>
    </row>
    <row r="6" spans="1:2" x14ac:dyDescent="0.3">
      <c r="A6" t="s">
        <v>23</v>
      </c>
      <c r="B6" s="24" t="s">
        <v>327</v>
      </c>
    </row>
    <row r="7" spans="1:2" x14ac:dyDescent="0.3">
      <c r="A7" t="s">
        <v>24</v>
      </c>
      <c r="B7" s="24" t="s">
        <v>242</v>
      </c>
    </row>
    <row r="8" spans="1:2" x14ac:dyDescent="0.3">
      <c r="A8" t="s">
        <v>80</v>
      </c>
      <c r="B8" s="24" t="s">
        <v>329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72"/>
  <sheetViews>
    <sheetView showGridLines="0" showRowColHeaders="0" tabSelected="1" zoomScale="85" zoomScaleNormal="85" workbookViewId="0">
      <selection activeCell="C3" sqref="C3"/>
    </sheetView>
  </sheetViews>
  <sheetFormatPr defaultColWidth="11" defaultRowHeight="15.6" x14ac:dyDescent="0.3"/>
  <cols>
    <col min="1" max="1" width="4.44140625" style="5" customWidth="1"/>
    <col min="2" max="3" width="11" style="7"/>
    <col min="4" max="16384" width="11" style="5"/>
  </cols>
  <sheetData>
    <row r="2" spans="2:11" ht="17.399999999999999" x14ac:dyDescent="0.3">
      <c r="K2" s="6"/>
    </row>
    <row r="5" spans="2:11" x14ac:dyDescent="0.3">
      <c r="E5" s="7" t="s">
        <v>336</v>
      </c>
    </row>
    <row r="9" spans="2:11" ht="21" x14ac:dyDescent="0.4">
      <c r="B9" s="8" t="s">
        <v>285</v>
      </c>
      <c r="J9" s="15"/>
      <c r="K9" s="15" t="s">
        <v>284</v>
      </c>
    </row>
    <row r="10" spans="2:11" x14ac:dyDescent="0.3">
      <c r="B10" s="46" t="s">
        <v>337</v>
      </c>
    </row>
    <row r="11" spans="2:11" x14ac:dyDescent="0.3">
      <c r="B11" s="46" t="s">
        <v>338</v>
      </c>
    </row>
    <row r="12" spans="2:11" x14ac:dyDescent="0.3">
      <c r="B12" s="22" t="s">
        <v>339</v>
      </c>
    </row>
    <row r="14" spans="2:11" x14ac:dyDescent="0.3">
      <c r="B14" s="45" t="s">
        <v>286</v>
      </c>
    </row>
    <row r="19" spans="2:2" x14ac:dyDescent="0.3">
      <c r="B19" s="22"/>
    </row>
    <row r="20" spans="2:2" x14ac:dyDescent="0.3">
      <c r="B20" s="69" t="s">
        <v>340</v>
      </c>
    </row>
    <row r="22" spans="2:2" x14ac:dyDescent="0.3">
      <c r="B22" s="25"/>
    </row>
    <row r="24" spans="2:2" x14ac:dyDescent="0.3">
      <c r="B24" s="22"/>
    </row>
    <row r="25" spans="2:2" x14ac:dyDescent="0.3">
      <c r="B25" s="26"/>
    </row>
    <row r="31" spans="2:2" x14ac:dyDescent="0.3">
      <c r="B31" s="70" t="s">
        <v>341</v>
      </c>
    </row>
    <row r="43" spans="2:2" x14ac:dyDescent="0.3">
      <c r="B43" s="70" t="s">
        <v>342</v>
      </c>
    </row>
    <row r="59" spans="2:2" x14ac:dyDescent="0.3">
      <c r="B59" s="70" t="s">
        <v>343</v>
      </c>
    </row>
    <row r="72" spans="2:2" x14ac:dyDescent="0.3">
      <c r="B72" s="69" t="s">
        <v>344</v>
      </c>
    </row>
  </sheetData>
  <sheetProtection algorithmName="SHA-512" hashValue="VIau89LHW8dQ1ZvALV4zxSoYhrH25AOqKe9VCXChXBoyqZFYq5wWBo1/bM9HY6RKZNk2sMc7IJmtdsZOdP5cTw==" saltValue="YJKNXcDcEPicgNmN/ajT+g==" spinCount="100000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>
    <tabColor rgb="FFC00000"/>
    <pageSetUpPr fitToPage="1"/>
  </sheetPr>
  <dimension ref="A1:R54"/>
  <sheetViews>
    <sheetView showGridLines="0" zoomScale="85" zoomScaleNormal="85" workbookViewId="0">
      <pane xSplit="2" ySplit="18" topLeftCell="C19" activePane="bottomRight" state="frozen"/>
      <selection activeCell="L43" sqref="L43"/>
      <selection pane="topRight" activeCell="L43" sqref="L43"/>
      <selection pane="bottomLeft" activeCell="L43" sqref="L43"/>
      <selection pane="bottomRight" activeCell="C19" sqref="C19"/>
    </sheetView>
  </sheetViews>
  <sheetFormatPr defaultColWidth="11.44140625" defaultRowHeight="13.2" x14ac:dyDescent="0.25"/>
  <cols>
    <col min="1" max="1" width="14.21875" style="36" customWidth="1"/>
    <col min="2" max="3" width="8.44140625" style="36" customWidth="1"/>
    <col min="4" max="4" width="5.6640625" style="36" customWidth="1"/>
    <col min="5" max="5" width="9.88671875" style="36" customWidth="1"/>
    <col min="6" max="6" width="10.77734375" style="36" customWidth="1"/>
    <col min="7" max="7" width="8.44140625" style="36" customWidth="1"/>
    <col min="8" max="8" width="10.77734375" style="36" customWidth="1"/>
    <col min="9" max="14" width="9.77734375" style="36" customWidth="1"/>
    <col min="15" max="18" width="10.77734375" style="36" customWidth="1"/>
    <col min="19" max="16384" width="11.44140625" style="36"/>
  </cols>
  <sheetData>
    <row r="1" spans="1:18" ht="30" customHeight="1" x14ac:dyDescent="0.4">
      <c r="A1" s="35"/>
    </row>
    <row r="2" spans="1:18" x14ac:dyDescent="0.25">
      <c r="A2" s="31">
        <f>'Rapport info'!Updated</f>
        <v>0</v>
      </c>
      <c r="B2" s="31"/>
    </row>
    <row r="3" spans="1:18" x14ac:dyDescent="0.25">
      <c r="A3" s="31"/>
      <c r="B3" s="31"/>
    </row>
    <row r="4" spans="1:18" x14ac:dyDescent="0.25">
      <c r="A4" s="31"/>
      <c r="B4" s="31"/>
    </row>
    <row r="5" spans="1:18" x14ac:dyDescent="0.25">
      <c r="A5" s="31"/>
      <c r="B5" s="31"/>
    </row>
    <row r="6" spans="1:18" x14ac:dyDescent="0.25">
      <c r="A6" s="31"/>
      <c r="B6" s="31"/>
    </row>
    <row r="7" spans="1:18" ht="14.4" x14ac:dyDescent="0.3">
      <c r="A7"/>
      <c r="B7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</row>
    <row r="8" spans="1:18" ht="14.4" x14ac:dyDescent="0.3">
      <c r="A8"/>
      <c r="B8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18" ht="14.4" x14ac:dyDescent="0.3">
      <c r="A9" s="49" t="s">
        <v>0</v>
      </c>
      <c r="B9" s="50" t="s">
        <v>114</v>
      </c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</row>
    <row r="10" spans="1:18" ht="14.4" x14ac:dyDescent="0.3">
      <c r="A10" s="49" t="s">
        <v>328</v>
      </c>
      <c r="B10" s="50" t="s">
        <v>114</v>
      </c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</row>
    <row r="11" spans="1:18" ht="14.4" x14ac:dyDescent="0.3">
      <c r="A11" s="49" t="s">
        <v>292</v>
      </c>
      <c r="B11" s="50" t="s">
        <v>114</v>
      </c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</row>
    <row r="12" spans="1:18" ht="14.4" x14ac:dyDescent="0.3">
      <c r="A12" s="49" t="s">
        <v>138</v>
      </c>
      <c r="B12" s="50" t="s">
        <v>114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</row>
    <row r="13" spans="1:18" ht="14.4" x14ac:dyDescent="0.3">
      <c r="A13" s="49" t="s">
        <v>297</v>
      </c>
      <c r="B13" s="50" t="s">
        <v>114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</row>
    <row r="14" spans="1:18" ht="14.4" x14ac:dyDescent="0.3">
      <c r="A14" s="49" t="s">
        <v>294</v>
      </c>
      <c r="B14" s="50" t="s">
        <v>114</v>
      </c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</row>
    <row r="15" spans="1:18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</row>
    <row r="16" spans="1:18" ht="14.4" x14ac:dyDescent="0.3">
      <c r="A16" s="38" t="s">
        <v>326</v>
      </c>
      <c r="B16" s="38"/>
      <c r="C16" s="38"/>
      <c r="D16" s="38" t="s">
        <v>289</v>
      </c>
      <c r="E16" s="38" t="s">
        <v>288</v>
      </c>
      <c r="F16" s="38"/>
      <c r="G16"/>
      <c r="H16"/>
      <c r="I16" s="31"/>
      <c r="J16" s="31"/>
      <c r="K16" s="31"/>
      <c r="L16" s="31"/>
      <c r="M16" s="31"/>
      <c r="N16" s="31"/>
      <c r="O16" s="31"/>
      <c r="P16" s="31"/>
      <c r="Q16" s="31"/>
      <c r="R16" s="31"/>
    </row>
    <row r="17" spans="1:18" ht="14.4" x14ac:dyDescent="0.3">
      <c r="A17" s="38"/>
      <c r="B17" s="38"/>
      <c r="C17" s="38"/>
      <c r="D17" s="53" t="s">
        <v>279</v>
      </c>
      <c r="E17" s="54" t="s">
        <v>280</v>
      </c>
      <c r="F17" s="58" t="s">
        <v>113</v>
      </c>
      <c r="G17"/>
      <c r="H17"/>
      <c r="I17" s="31"/>
      <c r="J17" s="31"/>
      <c r="K17" s="31"/>
      <c r="L17" s="31"/>
      <c r="M17" s="31"/>
      <c r="N17" s="31"/>
      <c r="O17" s="31"/>
      <c r="P17" s="31"/>
      <c r="Q17" s="31"/>
      <c r="R17" s="31"/>
    </row>
    <row r="18" spans="1:18" ht="14.4" x14ac:dyDescent="0.3">
      <c r="A18" s="1" t="s">
        <v>332</v>
      </c>
      <c r="B18" s="52" t="s">
        <v>322</v>
      </c>
      <c r="C18" s="52" t="s">
        <v>2</v>
      </c>
      <c r="D18" s="56" t="s">
        <v>59</v>
      </c>
      <c r="E18" s="55"/>
      <c r="F18" s="59"/>
      <c r="G18"/>
      <c r="H18"/>
      <c r="I18" s="31"/>
      <c r="J18" s="31"/>
      <c r="K18" s="31"/>
      <c r="L18" s="31"/>
      <c r="M18" s="31"/>
      <c r="N18" s="31"/>
      <c r="O18" s="31"/>
      <c r="P18" s="31"/>
      <c r="Q18" s="31"/>
      <c r="R18" s="31"/>
    </row>
    <row r="19" spans="1:18" ht="14.4" x14ac:dyDescent="0.3">
      <c r="A19" s="16" t="s">
        <v>273</v>
      </c>
      <c r="B19" s="62" t="s">
        <v>272</v>
      </c>
      <c r="C19" s="51" t="s">
        <v>271</v>
      </c>
      <c r="D19" s="57">
        <v>241.62</v>
      </c>
      <c r="E19" s="48">
        <v>241.62</v>
      </c>
      <c r="F19" s="60">
        <v>241.62</v>
      </c>
      <c r="G19"/>
      <c r="H19"/>
      <c r="I19" s="31"/>
      <c r="J19" s="31"/>
      <c r="K19" s="31"/>
      <c r="L19" s="31"/>
      <c r="M19" s="31"/>
      <c r="N19" s="31"/>
      <c r="O19" s="31"/>
      <c r="P19" s="31"/>
      <c r="Q19" s="31"/>
      <c r="R19" s="31"/>
    </row>
    <row r="20" spans="1:18" ht="15" thickBot="1" x14ac:dyDescent="0.35">
      <c r="A20" s="63"/>
      <c r="B20" s="64"/>
      <c r="C20" s="64"/>
      <c r="D20" s="65"/>
      <c r="E20" s="66"/>
      <c r="F20" s="67"/>
      <c r="G20"/>
      <c r="H20"/>
      <c r="I20" s="31"/>
      <c r="J20" s="31"/>
      <c r="K20" s="31"/>
      <c r="L20" s="31"/>
      <c r="M20" s="31"/>
      <c r="N20" s="31"/>
      <c r="O20" s="31"/>
      <c r="P20" s="31"/>
      <c r="Q20" s="31"/>
      <c r="R20" s="31"/>
    </row>
    <row r="21" spans="1:18" ht="15" thickTop="1" x14ac:dyDescent="0.3">
      <c r="A21" s="16" t="s">
        <v>253</v>
      </c>
      <c r="B21" s="62" t="s">
        <v>272</v>
      </c>
      <c r="C21" s="51" t="s">
        <v>271</v>
      </c>
      <c r="D21" s="57">
        <v>58.64</v>
      </c>
      <c r="E21" s="48">
        <v>58.64</v>
      </c>
      <c r="F21" s="60">
        <v>58.64</v>
      </c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</row>
    <row r="22" spans="1:18" ht="14.4" x14ac:dyDescent="0.3">
      <c r="A22" s="63"/>
      <c r="B22" s="64"/>
      <c r="C22" s="64"/>
      <c r="D22" s="65"/>
      <c r="E22" s="66"/>
      <c r="F22" s="67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</row>
    <row r="23" spans="1:18" ht="15" thickBot="1" x14ac:dyDescent="0.35">
      <c r="A23" s="2" t="s">
        <v>113</v>
      </c>
      <c r="B23" s="17"/>
      <c r="C23" s="17"/>
      <c r="D23" s="39">
        <v>300.26</v>
      </c>
      <c r="E23" s="40">
        <v>300.26</v>
      </c>
      <c r="F23" s="4">
        <v>300.26</v>
      </c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</row>
    <row r="24" spans="1:18" ht="15" thickTop="1" x14ac:dyDescent="0.3">
      <c r="A24"/>
      <c r="B24"/>
      <c r="C24"/>
      <c r="D24"/>
      <c r="E24"/>
      <c r="F24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</row>
    <row r="25" spans="1:18" ht="15" thickBot="1" x14ac:dyDescent="0.35">
      <c r="A25"/>
      <c r="B25"/>
      <c r="C25"/>
      <c r="D25"/>
      <c r="E25"/>
      <c r="F25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</row>
    <row r="26" spans="1:18" ht="15" thickTop="1" x14ac:dyDescent="0.3">
      <c r="A26"/>
      <c r="B26"/>
      <c r="C26"/>
      <c r="D26"/>
      <c r="E26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</row>
    <row r="27" spans="1:18" ht="14.4" x14ac:dyDescent="0.3">
      <c r="A27"/>
      <c r="B27"/>
      <c r="C27"/>
      <c r="D27"/>
      <c r="E27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</row>
    <row r="28" spans="1:18" ht="14.4" x14ac:dyDescent="0.3">
      <c r="A28"/>
      <c r="B28"/>
      <c r="C28"/>
      <c r="D28"/>
      <c r="E28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</row>
    <row r="29" spans="1:18" ht="14.4" x14ac:dyDescent="0.3">
      <c r="A29"/>
      <c r="B29"/>
      <c r="C29"/>
      <c r="D29"/>
      <c r="E29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</row>
    <row r="30" spans="1:18" ht="14.4" x14ac:dyDescent="0.3">
      <c r="A30"/>
      <c r="B30"/>
      <c r="C30"/>
      <c r="D30"/>
      <c r="E30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</row>
    <row r="31" spans="1:18" ht="14.4" x14ac:dyDescent="0.3">
      <c r="A31"/>
      <c r="B31"/>
      <c r="C31"/>
      <c r="D31"/>
      <c r="E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</row>
    <row r="32" spans="1:18" ht="14.4" x14ac:dyDescent="0.3">
      <c r="A32"/>
      <c r="B32"/>
      <c r="C32"/>
      <c r="D32"/>
      <c r="E32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</row>
    <row r="33" spans="1:18" ht="14.4" x14ac:dyDescent="0.3">
      <c r="A33"/>
      <c r="B33"/>
      <c r="C33"/>
      <c r="D33"/>
      <c r="E33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</row>
    <row r="34" spans="1:18" ht="14.4" x14ac:dyDescent="0.3">
      <c r="A34"/>
      <c r="B34"/>
      <c r="C34"/>
      <c r="D34"/>
      <c r="E34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</row>
    <row r="35" spans="1:18" ht="14.4" x14ac:dyDescent="0.3">
      <c r="A35"/>
      <c r="B35"/>
      <c r="C35"/>
      <c r="D35"/>
      <c r="E35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</row>
    <row r="36" spans="1:18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</row>
    <row r="37" spans="1:18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</row>
    <row r="38" spans="1:18" x14ac:dyDescent="0.2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</row>
    <row r="39" spans="1:18" x14ac:dyDescent="0.25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</row>
    <row r="40" spans="1:18" x14ac:dyDescent="0.25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</row>
    <row r="41" spans="1:18" x14ac:dyDescent="0.2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</row>
    <row r="42" spans="1:18" x14ac:dyDescent="0.25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</row>
    <row r="43" spans="1:18" x14ac:dyDescent="0.25">
      <c r="A43" s="31"/>
      <c r="B43" s="31"/>
      <c r="C43" s="31"/>
      <c r="D43" s="31"/>
      <c r="E43" s="31"/>
      <c r="F43" s="31"/>
      <c r="G43" s="31"/>
      <c r="H43" s="31"/>
      <c r="I43" s="31"/>
      <c r="J43" s="31"/>
    </row>
    <row r="44" spans="1:18" x14ac:dyDescent="0.25">
      <c r="A44" s="31"/>
      <c r="B44" s="31"/>
      <c r="C44" s="31"/>
      <c r="D44" s="31"/>
      <c r="E44" s="31"/>
      <c r="F44" s="31"/>
      <c r="G44" s="31"/>
      <c r="H44" s="31"/>
      <c r="I44" s="31"/>
      <c r="J44" s="31"/>
    </row>
    <row r="45" spans="1:18" x14ac:dyDescent="0.25">
      <c r="A45" s="31"/>
      <c r="B45" s="31"/>
      <c r="C45" s="31"/>
      <c r="D45" s="31"/>
      <c r="E45" s="31"/>
      <c r="F45" s="31"/>
      <c r="G45" s="31"/>
      <c r="H45" s="31"/>
      <c r="I45" s="31"/>
      <c r="J45" s="31"/>
    </row>
    <row r="46" spans="1:18" x14ac:dyDescent="0.25">
      <c r="A46" s="31"/>
      <c r="B46" s="31"/>
      <c r="C46" s="31"/>
      <c r="D46" s="31"/>
      <c r="E46" s="31"/>
      <c r="F46" s="31"/>
      <c r="G46" s="31"/>
      <c r="H46" s="31"/>
      <c r="I46" s="31"/>
      <c r="J46" s="31"/>
    </row>
    <row r="47" spans="1:18" x14ac:dyDescent="0.25">
      <c r="A47" s="31"/>
      <c r="B47" s="31"/>
      <c r="C47" s="31"/>
      <c r="D47" s="31"/>
      <c r="E47" s="31"/>
      <c r="F47" s="31"/>
      <c r="G47" s="31"/>
      <c r="H47" s="31"/>
      <c r="I47" s="31"/>
      <c r="J47" s="31"/>
    </row>
    <row r="48" spans="1:18" x14ac:dyDescent="0.25">
      <c r="A48" s="31"/>
      <c r="B48" s="31"/>
      <c r="C48" s="31"/>
      <c r="D48" s="31"/>
      <c r="E48" s="31"/>
      <c r="F48" s="31"/>
      <c r="G48" s="31"/>
      <c r="H48" s="31"/>
      <c r="I48" s="31"/>
      <c r="J48" s="31"/>
    </row>
    <row r="49" spans="1:10" x14ac:dyDescent="0.25">
      <c r="A49" s="31"/>
      <c r="B49" s="31"/>
      <c r="C49" s="31"/>
      <c r="D49" s="31"/>
      <c r="E49" s="31"/>
      <c r="F49" s="31"/>
      <c r="G49" s="31"/>
      <c r="H49" s="31"/>
      <c r="I49" s="31"/>
      <c r="J49" s="31"/>
    </row>
    <row r="50" spans="1:10" x14ac:dyDescent="0.25">
      <c r="A50" s="31"/>
      <c r="B50" s="31"/>
      <c r="C50" s="31"/>
      <c r="D50" s="31"/>
      <c r="E50" s="31"/>
      <c r="F50" s="31"/>
      <c r="G50" s="31"/>
      <c r="H50" s="31"/>
      <c r="I50" s="31"/>
      <c r="J50" s="31"/>
    </row>
    <row r="51" spans="1:10" x14ac:dyDescent="0.25">
      <c r="A51" s="31"/>
      <c r="B51" s="31"/>
      <c r="C51" s="31"/>
      <c r="D51" s="31"/>
      <c r="E51" s="31"/>
      <c r="F51" s="31"/>
      <c r="G51" s="31"/>
      <c r="H51" s="31"/>
      <c r="I51" s="31"/>
      <c r="J51" s="31"/>
    </row>
    <row r="52" spans="1:10" x14ac:dyDescent="0.25">
      <c r="A52" s="31"/>
      <c r="B52" s="31"/>
      <c r="C52" s="31"/>
      <c r="D52" s="31"/>
      <c r="E52" s="31"/>
      <c r="F52" s="31"/>
      <c r="G52" s="31"/>
      <c r="H52" s="31"/>
      <c r="I52" s="31"/>
      <c r="J52" s="31"/>
    </row>
    <row r="53" spans="1:10" x14ac:dyDescent="0.25">
      <c r="A53" s="31"/>
      <c r="B53" s="31"/>
      <c r="C53" s="31"/>
      <c r="D53" s="31"/>
      <c r="E53" s="31"/>
      <c r="F53" s="31"/>
      <c r="G53" s="31"/>
      <c r="H53" s="31"/>
      <c r="I53" s="31"/>
      <c r="J53" s="31"/>
    </row>
    <row r="54" spans="1:10" x14ac:dyDescent="0.25">
      <c r="A54" s="31"/>
      <c r="B54" s="31"/>
      <c r="C54" s="31"/>
      <c r="D54" s="31"/>
      <c r="E54" s="31"/>
      <c r="F54" s="31"/>
      <c r="G54" s="31"/>
      <c r="H54" s="31"/>
      <c r="I54" s="31"/>
      <c r="J54" s="31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300" r:id="rId2"/>
  <headerFooter>
    <oddHeader>&amp;LRieber SapExl Reports</oddHeader>
    <oddFooter xml:space="preserve">&amp;LPrinting date: &amp;D&amp;CPage &amp;P / &amp;N&amp;R&amp;F - &amp;A </oddFoot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1">
    <tabColor rgb="FFC00000"/>
    <pageSetUpPr fitToPage="1"/>
  </sheetPr>
  <dimension ref="A1:N68"/>
  <sheetViews>
    <sheetView showGridLines="0" zoomScale="85" zoomScaleNormal="85" workbookViewId="0">
      <pane xSplit="2" ySplit="18" topLeftCell="C19" activePane="bottomRight" state="frozen"/>
      <selection activeCell="T31" sqref="T31"/>
      <selection pane="topRight" activeCell="T31" sqref="T31"/>
      <selection pane="bottomLeft" activeCell="T31" sqref="T31"/>
      <selection pane="bottomRight" activeCell="C19" sqref="C19"/>
    </sheetView>
  </sheetViews>
  <sheetFormatPr defaultColWidth="11.44140625" defaultRowHeight="13.2" x14ac:dyDescent="0.25"/>
  <cols>
    <col min="1" max="1" width="12.5546875" style="36" customWidth="1"/>
    <col min="2" max="2" width="8.44140625" style="36" customWidth="1"/>
    <col min="3" max="3" width="5.6640625" style="36" customWidth="1"/>
    <col min="4" max="4" width="9.88671875" style="36" customWidth="1"/>
    <col min="5" max="5" width="10.77734375" style="36" customWidth="1"/>
    <col min="6" max="6" width="9.77734375" style="36" customWidth="1"/>
    <col min="7" max="7" width="10.21875" style="36" customWidth="1"/>
    <col min="8" max="8" width="11.77734375" style="36" customWidth="1"/>
    <col min="9" max="9" width="9.77734375" style="36" customWidth="1"/>
    <col min="10" max="10" width="10.77734375" style="36" customWidth="1"/>
    <col min="11" max="11" width="9.77734375" style="36" customWidth="1"/>
    <col min="12" max="13" width="10.77734375" style="36" customWidth="1"/>
    <col min="14" max="14" width="9.77734375" style="36" customWidth="1"/>
    <col min="15" max="16384" width="11.44140625" style="36"/>
  </cols>
  <sheetData>
    <row r="1" spans="1:14" ht="30" customHeight="1" x14ac:dyDescent="0.4">
      <c r="A1" s="35"/>
    </row>
    <row r="2" spans="1:14" x14ac:dyDescent="0.25">
      <c r="A2" s="31">
        <f>'Rapport info'!Updated</f>
        <v>0</v>
      </c>
      <c r="B2" s="31"/>
    </row>
    <row r="3" spans="1:14" x14ac:dyDescent="0.25">
      <c r="A3" s="31"/>
      <c r="B3" s="31"/>
    </row>
    <row r="4" spans="1:14" x14ac:dyDescent="0.25">
      <c r="A4" s="31"/>
      <c r="B4" s="31"/>
    </row>
    <row r="5" spans="1:14" x14ac:dyDescent="0.25">
      <c r="A5" s="31"/>
      <c r="B5" s="31"/>
    </row>
    <row r="6" spans="1:14" x14ac:dyDescent="0.25">
      <c r="A6" s="31"/>
      <c r="B6" s="31"/>
    </row>
    <row r="7" spans="1:14" ht="14.4" x14ac:dyDescent="0.3">
      <c r="A7"/>
      <c r="B7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</row>
    <row r="8" spans="1:14" ht="14.4" x14ac:dyDescent="0.3">
      <c r="A8" s="49" t="s">
        <v>0</v>
      </c>
      <c r="B8" s="50" t="s">
        <v>114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</row>
    <row r="9" spans="1:14" ht="14.4" x14ac:dyDescent="0.3">
      <c r="A9" s="49" t="s">
        <v>292</v>
      </c>
      <c r="B9" s="50" t="s">
        <v>114</v>
      </c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</row>
    <row r="10" spans="1:14" ht="14.4" x14ac:dyDescent="0.3">
      <c r="A10" s="49" t="s">
        <v>288</v>
      </c>
      <c r="B10" s="50" t="s">
        <v>114</v>
      </c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</row>
    <row r="11" spans="1:14" ht="14.4" x14ac:dyDescent="0.3">
      <c r="A11" s="49" t="s">
        <v>138</v>
      </c>
      <c r="B11" s="50" t="s">
        <v>114</v>
      </c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</row>
    <row r="12" spans="1:14" ht="14.4" x14ac:dyDescent="0.3">
      <c r="A12" s="49" t="s">
        <v>297</v>
      </c>
      <c r="B12" s="50" t="s">
        <v>114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</row>
    <row r="13" spans="1:14" ht="14.4" x14ac:dyDescent="0.3">
      <c r="A13" s="49" t="s">
        <v>294</v>
      </c>
      <c r="B13" s="50" t="s">
        <v>114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</row>
    <row r="14" spans="1:14" ht="14.4" x14ac:dyDescent="0.3">
      <c r="A14" s="49" t="s">
        <v>2</v>
      </c>
      <c r="B14" s="50" t="s">
        <v>114</v>
      </c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</row>
    <row r="15" spans="1:14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</row>
    <row r="16" spans="1:14" ht="14.4" x14ac:dyDescent="0.3">
      <c r="A16" s="38" t="s">
        <v>326</v>
      </c>
      <c r="B16" s="38"/>
      <c r="C16" s="38" t="s">
        <v>289</v>
      </c>
      <c r="D16" s="38" t="s">
        <v>322</v>
      </c>
      <c r="E16" s="38"/>
      <c r="F16"/>
      <c r="G16"/>
      <c r="H16"/>
      <c r="I16" s="31"/>
      <c r="J16" s="31"/>
      <c r="K16" s="31"/>
      <c r="L16" s="31"/>
      <c r="M16" s="31"/>
      <c r="N16" s="31"/>
    </row>
    <row r="17" spans="1:14" ht="14.4" x14ac:dyDescent="0.3">
      <c r="A17" s="38"/>
      <c r="B17" s="38"/>
      <c r="C17" s="53" t="s">
        <v>279</v>
      </c>
      <c r="D17" s="54" t="s">
        <v>280</v>
      </c>
      <c r="E17" s="58" t="s">
        <v>113</v>
      </c>
      <c r="F17"/>
      <c r="G17"/>
      <c r="H17"/>
      <c r="I17" s="31"/>
      <c r="J17" s="31"/>
      <c r="K17" s="31"/>
      <c r="L17" s="31"/>
      <c r="M17" s="31"/>
      <c r="N17" s="31"/>
    </row>
    <row r="18" spans="1:14" ht="14.4" x14ac:dyDescent="0.3">
      <c r="A18" s="1" t="s">
        <v>332</v>
      </c>
      <c r="B18" s="52" t="s">
        <v>328</v>
      </c>
      <c r="C18" s="56" t="s">
        <v>272</v>
      </c>
      <c r="D18" s="55"/>
      <c r="E18" s="59"/>
      <c r="F18"/>
      <c r="G18"/>
      <c r="H18"/>
      <c r="I18" s="31"/>
      <c r="J18" s="31"/>
      <c r="K18" s="31"/>
      <c r="L18" s="31"/>
      <c r="M18" s="31"/>
      <c r="N18" s="31"/>
    </row>
    <row r="19" spans="1:14" ht="14.4" x14ac:dyDescent="0.3">
      <c r="A19" s="16" t="s">
        <v>273</v>
      </c>
      <c r="B19" s="51" t="s">
        <v>335</v>
      </c>
      <c r="C19" s="57">
        <v>241.62</v>
      </c>
      <c r="D19" s="48">
        <v>241.62</v>
      </c>
      <c r="E19" s="60">
        <v>241.62</v>
      </c>
      <c r="F19"/>
      <c r="G19"/>
      <c r="H19"/>
      <c r="I19" s="31"/>
      <c r="J19" s="31"/>
      <c r="K19" s="31"/>
      <c r="L19" s="31"/>
      <c r="M19" s="31"/>
      <c r="N19" s="31"/>
    </row>
    <row r="20" spans="1:14" ht="15" thickBot="1" x14ac:dyDescent="0.35">
      <c r="A20" s="63"/>
      <c r="B20" s="64"/>
      <c r="C20" s="65"/>
      <c r="D20" s="66"/>
      <c r="E20" s="67"/>
      <c r="F20"/>
      <c r="G20"/>
      <c r="H20"/>
      <c r="I20" s="31"/>
      <c r="J20" s="31"/>
      <c r="K20" s="31"/>
      <c r="L20" s="31"/>
      <c r="M20" s="31"/>
      <c r="N20" s="31"/>
    </row>
    <row r="21" spans="1:14" ht="15" thickTop="1" x14ac:dyDescent="0.3">
      <c r="A21" s="16" t="s">
        <v>253</v>
      </c>
      <c r="B21" s="51" t="s">
        <v>335</v>
      </c>
      <c r="C21" s="57">
        <v>58.64</v>
      </c>
      <c r="D21" s="48">
        <v>58.64</v>
      </c>
      <c r="E21" s="60">
        <v>58.64</v>
      </c>
      <c r="F21"/>
      <c r="G21"/>
      <c r="H21"/>
      <c r="I21" s="31"/>
      <c r="J21" s="31"/>
      <c r="K21" s="31"/>
      <c r="L21" s="31"/>
      <c r="M21" s="31"/>
      <c r="N21" s="31"/>
    </row>
    <row r="22" spans="1:14" ht="14.4" x14ac:dyDescent="0.3">
      <c r="A22" s="63"/>
      <c r="B22" s="64"/>
      <c r="C22" s="65"/>
      <c r="D22" s="66"/>
      <c r="E22" s="67"/>
      <c r="F22"/>
      <c r="G22"/>
      <c r="H22"/>
      <c r="I22" s="31"/>
      <c r="J22" s="31"/>
      <c r="K22" s="31"/>
      <c r="L22" s="31"/>
      <c r="M22" s="31"/>
      <c r="N22" s="31"/>
    </row>
    <row r="23" spans="1:14" ht="15" thickBot="1" x14ac:dyDescent="0.35">
      <c r="A23" s="2" t="s">
        <v>113</v>
      </c>
      <c r="B23" s="17"/>
      <c r="C23" s="39">
        <v>300.26</v>
      </c>
      <c r="D23" s="40">
        <v>300.26</v>
      </c>
      <c r="E23" s="4">
        <v>300.26</v>
      </c>
      <c r="F23"/>
      <c r="G23"/>
      <c r="H23"/>
      <c r="I23" s="31"/>
      <c r="J23" s="31"/>
      <c r="K23" s="31"/>
      <c r="L23" s="31"/>
      <c r="M23" s="31"/>
      <c r="N23" s="31"/>
    </row>
    <row r="24" spans="1:14" ht="15" thickTop="1" x14ac:dyDescent="0.3">
      <c r="A24"/>
      <c r="B24"/>
      <c r="C24"/>
      <c r="D24"/>
      <c r="E24"/>
      <c r="F24"/>
      <c r="G24"/>
      <c r="H24"/>
      <c r="I24" s="31"/>
      <c r="J24" s="31"/>
      <c r="K24" s="31"/>
      <c r="L24" s="31"/>
      <c r="M24" s="31"/>
      <c r="N24" s="31"/>
    </row>
    <row r="25" spans="1:14" ht="15" thickBot="1" x14ac:dyDescent="0.35">
      <c r="A25"/>
      <c r="B25"/>
      <c r="C25"/>
      <c r="D25"/>
      <c r="E25"/>
      <c r="F25"/>
      <c r="G25"/>
      <c r="H25"/>
      <c r="I25" s="31"/>
      <c r="J25" s="31"/>
      <c r="K25" s="31"/>
      <c r="L25" s="31"/>
      <c r="M25" s="31"/>
      <c r="N25" s="31"/>
    </row>
    <row r="26" spans="1:14" ht="15" thickTop="1" x14ac:dyDescent="0.3">
      <c r="A26"/>
      <c r="B26"/>
      <c r="C26"/>
      <c r="D26"/>
      <c r="E26"/>
      <c r="F26"/>
      <c r="G26"/>
      <c r="H26"/>
      <c r="I26" s="31"/>
      <c r="J26" s="31"/>
      <c r="K26" s="31"/>
      <c r="L26" s="31"/>
      <c r="M26" s="31"/>
      <c r="N26" s="31"/>
    </row>
    <row r="27" spans="1:14" ht="14.4" x14ac:dyDescent="0.3">
      <c r="A27"/>
      <c r="B27"/>
      <c r="C27"/>
      <c r="D27"/>
      <c r="E27"/>
      <c r="F27"/>
      <c r="G27"/>
      <c r="H27"/>
      <c r="I27" s="31"/>
      <c r="J27" s="31"/>
      <c r="K27" s="31"/>
      <c r="L27" s="31"/>
      <c r="M27" s="31"/>
      <c r="N27" s="31"/>
    </row>
    <row r="28" spans="1:14" ht="14.4" x14ac:dyDescent="0.3">
      <c r="A28"/>
      <c r="B28"/>
      <c r="C28"/>
      <c r="D28"/>
      <c r="E28"/>
      <c r="F28"/>
      <c r="G28"/>
      <c r="H28"/>
      <c r="I28" s="31"/>
      <c r="J28" s="31"/>
      <c r="K28" s="31"/>
      <c r="L28" s="31"/>
      <c r="M28" s="31"/>
      <c r="N28" s="31"/>
    </row>
    <row r="29" spans="1:14" ht="14.4" x14ac:dyDescent="0.3">
      <c r="A29"/>
      <c r="B29"/>
      <c r="C29"/>
      <c r="D29"/>
      <c r="E29"/>
      <c r="F29"/>
      <c r="G29"/>
      <c r="H29"/>
      <c r="I29" s="31"/>
      <c r="J29" s="31"/>
      <c r="K29" s="31"/>
      <c r="L29" s="31"/>
      <c r="M29" s="31"/>
      <c r="N29" s="31"/>
    </row>
    <row r="30" spans="1:14" ht="14.4" x14ac:dyDescent="0.3">
      <c r="A30"/>
      <c r="B30"/>
      <c r="C30"/>
      <c r="D30"/>
      <c r="E30"/>
      <c r="F30"/>
      <c r="G30"/>
      <c r="H30"/>
      <c r="I30" s="31"/>
      <c r="J30" s="31"/>
      <c r="K30" s="31"/>
      <c r="L30" s="31"/>
      <c r="M30" s="31"/>
      <c r="N30" s="31"/>
    </row>
    <row r="31" spans="1:14" ht="14.4" x14ac:dyDescent="0.3">
      <c r="A31"/>
      <c r="B31"/>
      <c r="C31"/>
      <c r="D31"/>
      <c r="E31"/>
      <c r="F31"/>
      <c r="G31"/>
      <c r="H31"/>
      <c r="I31" s="31"/>
      <c r="J31" s="31"/>
      <c r="K31" s="31"/>
      <c r="L31" s="31"/>
      <c r="M31" s="31"/>
    </row>
    <row r="32" spans="1:14" ht="14.4" x14ac:dyDescent="0.3">
      <c r="A32"/>
      <c r="B32"/>
      <c r="C32"/>
      <c r="D32"/>
      <c r="E32"/>
      <c r="F32"/>
      <c r="G32"/>
      <c r="H32"/>
      <c r="I32" s="31"/>
      <c r="J32" s="31"/>
      <c r="K32" s="31"/>
      <c r="L32" s="31"/>
      <c r="M32" s="31"/>
    </row>
    <row r="33" spans="1:13" ht="14.4" x14ac:dyDescent="0.3">
      <c r="A33"/>
      <c r="B33"/>
      <c r="C33"/>
      <c r="D33"/>
      <c r="E33"/>
      <c r="F33"/>
      <c r="G33"/>
      <c r="H33"/>
      <c r="I33" s="31"/>
      <c r="J33" s="31"/>
      <c r="K33" s="31"/>
      <c r="L33" s="31"/>
      <c r="M33" s="31"/>
    </row>
    <row r="34" spans="1:13" ht="14.4" x14ac:dyDescent="0.3">
      <c r="A34"/>
      <c r="B34"/>
      <c r="C34"/>
      <c r="D34"/>
      <c r="E34"/>
      <c r="F34"/>
      <c r="G34"/>
      <c r="H34"/>
      <c r="I34" s="31"/>
      <c r="J34" s="31"/>
      <c r="K34" s="31"/>
      <c r="L34" s="31"/>
      <c r="M34" s="31"/>
    </row>
    <row r="35" spans="1:13" ht="14.4" x14ac:dyDescent="0.3">
      <c r="A35"/>
      <c r="B35"/>
      <c r="C35"/>
      <c r="D35"/>
      <c r="E35"/>
      <c r="F35"/>
      <c r="G35"/>
      <c r="H35"/>
      <c r="I35" s="31"/>
      <c r="J35" s="31"/>
      <c r="K35" s="31"/>
      <c r="L35" s="31"/>
      <c r="M35" s="31"/>
    </row>
    <row r="36" spans="1:13" ht="14.4" x14ac:dyDescent="0.3">
      <c r="A36"/>
      <c r="B36"/>
      <c r="C36"/>
      <c r="D36"/>
      <c r="E36"/>
      <c r="F36"/>
      <c r="G36"/>
      <c r="H36"/>
      <c r="I36" s="31"/>
      <c r="J36" s="31"/>
      <c r="K36" s="31"/>
      <c r="L36" s="31"/>
      <c r="M36" s="31"/>
    </row>
    <row r="37" spans="1:13" ht="14.4" x14ac:dyDescent="0.3">
      <c r="A37"/>
      <c r="B37"/>
      <c r="C37"/>
      <c r="D37"/>
      <c r="E37"/>
      <c r="F37"/>
      <c r="G37"/>
      <c r="H37"/>
      <c r="I37" s="31"/>
      <c r="J37" s="31"/>
      <c r="K37" s="31"/>
      <c r="L37" s="31"/>
      <c r="M37" s="31"/>
    </row>
    <row r="38" spans="1:13" ht="14.4" x14ac:dyDescent="0.3">
      <c r="A38"/>
      <c r="B38"/>
      <c r="C38"/>
      <c r="D38"/>
      <c r="E38"/>
      <c r="F38"/>
      <c r="G38"/>
      <c r="H38"/>
      <c r="I38" s="31"/>
      <c r="J38" s="31"/>
      <c r="K38" s="31"/>
      <c r="L38" s="31"/>
      <c r="M38" s="31"/>
    </row>
    <row r="39" spans="1:13" ht="14.4" x14ac:dyDescent="0.3">
      <c r="A39"/>
      <c r="B39"/>
      <c r="C39"/>
      <c r="D39"/>
      <c r="E39"/>
      <c r="F39"/>
      <c r="G39"/>
      <c r="H39"/>
      <c r="I39" s="31"/>
      <c r="J39" s="31"/>
      <c r="K39" s="31"/>
      <c r="L39" s="31"/>
      <c r="M39" s="31"/>
    </row>
    <row r="40" spans="1:13" ht="14.4" x14ac:dyDescent="0.3">
      <c r="A40"/>
      <c r="B40"/>
      <c r="C40"/>
      <c r="D40"/>
      <c r="E40"/>
      <c r="F40"/>
      <c r="G40"/>
      <c r="H40"/>
      <c r="I40" s="31"/>
      <c r="J40" s="31"/>
      <c r="K40" s="31"/>
      <c r="L40" s="31"/>
      <c r="M40" s="31"/>
    </row>
    <row r="41" spans="1:13" x14ac:dyDescent="0.2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</row>
    <row r="42" spans="1:13" x14ac:dyDescent="0.25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</row>
    <row r="43" spans="1:13" x14ac:dyDescent="0.25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</row>
    <row r="44" spans="1:13" x14ac:dyDescent="0.25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</row>
    <row r="45" spans="1:13" x14ac:dyDescent="0.25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</row>
    <row r="46" spans="1:13" x14ac:dyDescent="0.25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</row>
    <row r="47" spans="1:13" x14ac:dyDescent="0.25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</row>
    <row r="48" spans="1:13" x14ac:dyDescent="0.25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</row>
    <row r="49" spans="1:13" x14ac:dyDescent="0.25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</row>
    <row r="50" spans="1:13" x14ac:dyDescent="0.25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</row>
    <row r="51" spans="1:13" x14ac:dyDescent="0.25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</row>
    <row r="52" spans="1:13" x14ac:dyDescent="0.25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</row>
    <row r="53" spans="1:13" x14ac:dyDescent="0.25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</row>
    <row r="54" spans="1:13" x14ac:dyDescent="0.25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</row>
    <row r="55" spans="1:13" x14ac:dyDescent="0.2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</row>
    <row r="56" spans="1:13" x14ac:dyDescent="0.25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</row>
    <row r="57" spans="1:13" x14ac:dyDescent="0.25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</row>
    <row r="58" spans="1:13" x14ac:dyDescent="0.25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</row>
    <row r="59" spans="1:13" x14ac:dyDescent="0.25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</row>
    <row r="60" spans="1:13" x14ac:dyDescent="0.25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</row>
    <row r="61" spans="1:13" x14ac:dyDescent="0.25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</row>
    <row r="62" spans="1:13" x14ac:dyDescent="0.25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</row>
    <row r="63" spans="1:13" x14ac:dyDescent="0.2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</row>
    <row r="64" spans="1:13" x14ac:dyDescent="0.25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</row>
    <row r="65" spans="1:13" x14ac:dyDescent="0.25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</row>
    <row r="66" spans="1:13" x14ac:dyDescent="0.25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</row>
    <row r="67" spans="1:13" x14ac:dyDescent="0.25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</row>
    <row r="68" spans="1:13" x14ac:dyDescent="0.2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3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2">
    <tabColor rgb="FFC00000"/>
    <pageSetUpPr fitToPage="1"/>
  </sheetPr>
  <dimension ref="A1:O688"/>
  <sheetViews>
    <sheetView showGridLines="0" zoomScale="85" zoomScaleNormal="85" workbookViewId="0">
      <pane xSplit="2" ySplit="17" topLeftCell="C18" activePane="bottomRight" state="frozen"/>
      <selection activeCell="T31" sqref="T31"/>
      <selection pane="topRight" activeCell="T31" sqref="T31"/>
      <selection pane="bottomLeft" activeCell="T31" sqref="T31"/>
      <selection pane="bottomRight" activeCell="C18" sqref="C18"/>
    </sheetView>
  </sheetViews>
  <sheetFormatPr defaultColWidth="11.44140625" defaultRowHeight="13.2" x14ac:dyDescent="0.25"/>
  <cols>
    <col min="1" max="1" width="14.5546875" style="36" customWidth="1"/>
    <col min="2" max="3" width="35.77734375" style="36" customWidth="1"/>
    <col min="4" max="4" width="9.77734375" style="36" customWidth="1"/>
    <col min="5" max="5" width="10.77734375" style="36" customWidth="1"/>
    <col min="6" max="6" width="11.21875" style="36" customWidth="1"/>
    <col min="7" max="8" width="9.77734375" style="36" customWidth="1"/>
    <col min="9" max="9" width="11.77734375" style="36" customWidth="1"/>
    <col min="10" max="13" width="8.44140625" style="36" customWidth="1"/>
    <col min="14" max="15" width="10.77734375" style="36" customWidth="1"/>
    <col min="16" max="16384" width="11.44140625" style="36"/>
  </cols>
  <sheetData>
    <row r="1" spans="1:15" ht="30" customHeight="1" x14ac:dyDescent="0.4">
      <c r="A1" s="35"/>
    </row>
    <row r="2" spans="1:15" x14ac:dyDescent="0.25">
      <c r="A2" s="31">
        <f>'Rapport info'!Updated</f>
        <v>0</v>
      </c>
      <c r="B2" s="31"/>
    </row>
    <row r="3" spans="1:15" x14ac:dyDescent="0.25">
      <c r="A3" s="31"/>
      <c r="B3" s="31"/>
    </row>
    <row r="4" spans="1:15" x14ac:dyDescent="0.25">
      <c r="A4" s="31"/>
      <c r="B4" s="31"/>
    </row>
    <row r="5" spans="1:15" x14ac:dyDescent="0.25">
      <c r="A5" s="31"/>
      <c r="B5" s="31"/>
    </row>
    <row r="6" spans="1:15" ht="14.4" x14ac:dyDescent="0.3">
      <c r="A6"/>
      <c r="B6"/>
      <c r="C6" s="31"/>
      <c r="D6" s="31"/>
      <c r="E6" s="31"/>
      <c r="F6" s="31"/>
      <c r="G6" s="31"/>
      <c r="H6" s="31"/>
      <c r="I6" s="31"/>
    </row>
    <row r="7" spans="1:15" ht="14.4" x14ac:dyDescent="0.3">
      <c r="A7" s="49" t="s">
        <v>0</v>
      </c>
      <c r="B7" s="50" t="s">
        <v>114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</row>
    <row r="8" spans="1:15" ht="14.4" x14ac:dyDescent="0.3">
      <c r="A8" s="49" t="s">
        <v>292</v>
      </c>
      <c r="B8" s="50" t="s">
        <v>114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</row>
    <row r="9" spans="1:15" ht="14.4" x14ac:dyDescent="0.3">
      <c r="A9" s="49" t="s">
        <v>287</v>
      </c>
      <c r="B9" s="50" t="s">
        <v>114</v>
      </c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</row>
    <row r="10" spans="1:15" ht="14.4" x14ac:dyDescent="0.3">
      <c r="A10" s="49" t="s">
        <v>288</v>
      </c>
      <c r="B10" s="50" t="s">
        <v>114</v>
      </c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</row>
    <row r="11" spans="1:15" ht="14.4" x14ac:dyDescent="0.3">
      <c r="A11" s="49" t="s">
        <v>289</v>
      </c>
      <c r="B11" s="50" t="s">
        <v>114</v>
      </c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</row>
    <row r="12" spans="1:15" ht="14.4" x14ac:dyDescent="0.3">
      <c r="A12" s="49" t="s">
        <v>138</v>
      </c>
      <c r="B12" s="50" t="s">
        <v>114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</row>
    <row r="13" spans="1:15" ht="14.4" x14ac:dyDescent="0.3">
      <c r="A13" s="49" t="s">
        <v>297</v>
      </c>
      <c r="B13" s="50" t="s">
        <v>114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</row>
    <row r="14" spans="1:15" ht="14.4" x14ac:dyDescent="0.3">
      <c r="A14" s="49" t="s">
        <v>328</v>
      </c>
      <c r="B14" s="50" t="s">
        <v>114</v>
      </c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</row>
    <row r="15" spans="1:15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</row>
    <row r="16" spans="1:15" ht="14.4" x14ac:dyDescent="0.3">
      <c r="A16" s="38" t="s">
        <v>326</v>
      </c>
      <c r="B16" s="38"/>
      <c r="C16" s="38"/>
      <c r="D16" s="38" t="s">
        <v>322</v>
      </c>
      <c r="E16" s="38"/>
      <c r="F16"/>
      <c r="G16"/>
      <c r="H16"/>
      <c r="I16"/>
      <c r="J16"/>
      <c r="K16" s="31"/>
      <c r="L16" s="31"/>
      <c r="M16" s="31"/>
      <c r="N16" s="31"/>
      <c r="O16" s="31"/>
    </row>
    <row r="17" spans="1:15" ht="14.4" x14ac:dyDescent="0.3">
      <c r="A17" s="1" t="s">
        <v>332</v>
      </c>
      <c r="B17" s="52" t="s">
        <v>2</v>
      </c>
      <c r="C17" s="52" t="s">
        <v>294</v>
      </c>
      <c r="D17" s="56" t="s">
        <v>272</v>
      </c>
      <c r="E17" s="58" t="s">
        <v>113</v>
      </c>
      <c r="F17"/>
      <c r="G17"/>
      <c r="H17"/>
      <c r="I17"/>
      <c r="J17"/>
      <c r="K17" s="31"/>
      <c r="L17" s="31"/>
      <c r="M17" s="31"/>
      <c r="N17" s="31"/>
      <c r="O17" s="31"/>
    </row>
    <row r="18" spans="1:15" ht="14.4" x14ac:dyDescent="0.3">
      <c r="A18" s="16" t="s">
        <v>273</v>
      </c>
      <c r="B18" s="62" t="s">
        <v>271</v>
      </c>
      <c r="C18" s="51" t="s">
        <v>282</v>
      </c>
      <c r="D18" s="61">
        <v>241.62</v>
      </c>
      <c r="E18" s="60">
        <v>241.62</v>
      </c>
      <c r="F18"/>
      <c r="G18"/>
      <c r="H18"/>
      <c r="I18"/>
      <c r="J18"/>
      <c r="K18" s="31"/>
      <c r="L18" s="31"/>
      <c r="M18" s="31"/>
      <c r="N18" s="31"/>
      <c r="O18" s="31"/>
    </row>
    <row r="19" spans="1:15" ht="14.4" x14ac:dyDescent="0.3">
      <c r="A19" s="63"/>
      <c r="B19" s="64"/>
      <c r="C19" s="64"/>
      <c r="D19" s="68"/>
      <c r="E19" s="67"/>
      <c r="F19"/>
      <c r="G19"/>
      <c r="H19"/>
      <c r="I19"/>
      <c r="J19"/>
      <c r="K19" s="31"/>
      <c r="L19" s="31"/>
      <c r="M19" s="31"/>
      <c r="N19" s="31"/>
      <c r="O19" s="31"/>
    </row>
    <row r="20" spans="1:15" ht="15" thickBot="1" x14ac:dyDescent="0.35">
      <c r="A20" s="16" t="s">
        <v>253</v>
      </c>
      <c r="B20" s="62" t="s">
        <v>271</v>
      </c>
      <c r="C20" s="51" t="s">
        <v>281</v>
      </c>
      <c r="D20" s="61">
        <v>58.64</v>
      </c>
      <c r="E20" s="60">
        <v>58.64</v>
      </c>
      <c r="F20"/>
      <c r="G20"/>
      <c r="H20"/>
      <c r="I20"/>
      <c r="J20"/>
      <c r="K20" s="31"/>
      <c r="L20" s="31"/>
      <c r="M20" s="31"/>
      <c r="N20" s="31"/>
      <c r="O20" s="31"/>
    </row>
    <row r="21" spans="1:15" ht="14.4" x14ac:dyDescent="0.3">
      <c r="A21" s="63"/>
      <c r="B21" s="64"/>
      <c r="C21" s="64"/>
      <c r="D21" s="68"/>
      <c r="E21" s="67"/>
      <c r="F21"/>
      <c r="G21"/>
      <c r="H21"/>
      <c r="I21"/>
      <c r="J21"/>
      <c r="K21" s="31"/>
      <c r="L21" s="31"/>
      <c r="M21" s="31"/>
      <c r="N21" s="31"/>
      <c r="O21" s="31"/>
    </row>
    <row r="22" spans="1:15" ht="15" thickBot="1" x14ac:dyDescent="0.35">
      <c r="A22" s="2" t="s">
        <v>113</v>
      </c>
      <c r="B22" s="17"/>
      <c r="C22" s="17"/>
      <c r="D22" s="3">
        <v>300.26</v>
      </c>
      <c r="E22" s="4">
        <v>300.26</v>
      </c>
      <c r="F22"/>
      <c r="G22"/>
      <c r="H22"/>
      <c r="I22"/>
      <c r="J22" s="31"/>
      <c r="K22" s="31"/>
      <c r="L22" s="31"/>
      <c r="M22" s="31"/>
      <c r="N22" s="31"/>
      <c r="O22" s="31"/>
    </row>
    <row r="23" spans="1:15" ht="15" thickTop="1" x14ac:dyDescent="0.3">
      <c r="A23"/>
      <c r="B23"/>
      <c r="C23"/>
      <c r="D23"/>
      <c r="E23"/>
      <c r="F23"/>
      <c r="G23"/>
      <c r="H23"/>
      <c r="I23"/>
      <c r="J23" s="31"/>
      <c r="K23" s="31"/>
      <c r="L23" s="31"/>
      <c r="M23" s="31"/>
      <c r="N23" s="31"/>
      <c r="O23" s="31"/>
    </row>
    <row r="24" spans="1:15" ht="15" thickBot="1" x14ac:dyDescent="0.35">
      <c r="A24"/>
      <c r="B24"/>
      <c r="C24"/>
      <c r="D24"/>
      <c r="E24"/>
      <c r="F24"/>
      <c r="G24"/>
      <c r="H24"/>
      <c r="I24"/>
      <c r="J24" s="31"/>
      <c r="K24" s="31"/>
      <c r="L24" s="31"/>
      <c r="M24" s="31"/>
      <c r="N24" s="31"/>
      <c r="O24" s="31"/>
    </row>
    <row r="25" spans="1:15" ht="15" thickTop="1" x14ac:dyDescent="0.3">
      <c r="A25"/>
      <c r="B25"/>
      <c r="C25"/>
      <c r="D25"/>
      <c r="E25"/>
      <c r="F25"/>
      <c r="G25"/>
      <c r="H25"/>
      <c r="I25"/>
      <c r="J25" s="31"/>
      <c r="K25" s="31"/>
      <c r="L25" s="31"/>
      <c r="M25" s="31"/>
      <c r="N25" s="31"/>
      <c r="O25" s="31"/>
    </row>
    <row r="26" spans="1:15" ht="14.4" x14ac:dyDescent="0.3">
      <c r="A26"/>
      <c r="B26"/>
      <c r="C26"/>
      <c r="D26"/>
      <c r="E26"/>
      <c r="F26"/>
      <c r="G26"/>
      <c r="H26"/>
      <c r="I26"/>
      <c r="J26" s="31"/>
      <c r="K26" s="31"/>
      <c r="L26" s="31"/>
      <c r="M26" s="31"/>
      <c r="N26" s="31"/>
      <c r="O26" s="31"/>
    </row>
    <row r="27" spans="1:15" ht="14.4" x14ac:dyDescent="0.3">
      <c r="A27"/>
      <c r="B27"/>
      <c r="C27"/>
      <c r="D27"/>
      <c r="E27"/>
      <c r="F27"/>
      <c r="G27"/>
      <c r="H27"/>
      <c r="I27"/>
      <c r="J27" s="31"/>
      <c r="K27" s="31"/>
      <c r="L27" s="31"/>
      <c r="M27" s="31"/>
      <c r="N27" s="31"/>
      <c r="O27" s="31"/>
    </row>
    <row r="28" spans="1:15" ht="14.4" x14ac:dyDescent="0.3">
      <c r="A28"/>
      <c r="B28"/>
      <c r="C28"/>
      <c r="D28"/>
      <c r="E28"/>
      <c r="F28"/>
      <c r="G28"/>
      <c r="H28"/>
      <c r="I28"/>
      <c r="J28" s="31"/>
      <c r="K28" s="31"/>
      <c r="L28" s="31"/>
      <c r="M28" s="31"/>
      <c r="N28" s="31"/>
      <c r="O28" s="31"/>
    </row>
    <row r="29" spans="1:15" ht="14.4" x14ac:dyDescent="0.3">
      <c r="A29"/>
      <c r="B29"/>
      <c r="C29"/>
      <c r="D29"/>
      <c r="E29"/>
      <c r="F29"/>
      <c r="G29"/>
      <c r="H29"/>
      <c r="I29"/>
      <c r="J29" s="31"/>
      <c r="K29" s="31"/>
      <c r="L29" s="31"/>
      <c r="M29" s="31"/>
      <c r="N29" s="31"/>
      <c r="O29" s="31"/>
    </row>
    <row r="30" spans="1:15" ht="14.4" x14ac:dyDescent="0.3">
      <c r="A30"/>
      <c r="B30"/>
      <c r="C30"/>
      <c r="D30"/>
      <c r="E30"/>
      <c r="F30"/>
      <c r="G30"/>
      <c r="H30"/>
      <c r="I30"/>
      <c r="J30" s="31"/>
      <c r="K30" s="31"/>
      <c r="L30" s="31"/>
      <c r="M30" s="31"/>
      <c r="N30" s="31"/>
      <c r="O30" s="31"/>
    </row>
    <row r="31" spans="1:15" ht="14.4" x14ac:dyDescent="0.3">
      <c r="A31"/>
      <c r="B31"/>
      <c r="C31"/>
      <c r="D31"/>
      <c r="E31"/>
      <c r="F31"/>
      <c r="G31"/>
      <c r="H31"/>
      <c r="I31"/>
      <c r="J31" s="31"/>
      <c r="K31" s="31"/>
      <c r="L31" s="31"/>
      <c r="M31" s="31"/>
      <c r="N31" s="31"/>
      <c r="O31" s="31"/>
    </row>
    <row r="32" spans="1:15" ht="14.4" x14ac:dyDescent="0.3">
      <c r="A32"/>
      <c r="B32"/>
      <c r="C32"/>
      <c r="D32"/>
      <c r="E32"/>
      <c r="F32"/>
      <c r="G32"/>
      <c r="H32"/>
      <c r="I32"/>
      <c r="J32" s="31"/>
      <c r="K32" s="31"/>
      <c r="L32" s="31"/>
      <c r="M32" s="31"/>
      <c r="N32" s="31"/>
      <c r="O32" s="31"/>
    </row>
    <row r="33" spans="1:15" ht="14.4" x14ac:dyDescent="0.3">
      <c r="A33"/>
      <c r="B33"/>
      <c r="C33"/>
      <c r="D33"/>
      <c r="E33"/>
      <c r="F33"/>
      <c r="G33"/>
      <c r="H33"/>
      <c r="I33"/>
      <c r="J33" s="31"/>
      <c r="K33" s="31"/>
      <c r="L33" s="31"/>
      <c r="M33" s="31"/>
      <c r="N33" s="31"/>
      <c r="O33" s="31"/>
    </row>
    <row r="34" spans="1:15" ht="14.4" x14ac:dyDescent="0.3">
      <c r="A34"/>
      <c r="B34"/>
      <c r="C34"/>
      <c r="D34"/>
      <c r="E34"/>
      <c r="F34"/>
      <c r="G34"/>
      <c r="H34"/>
      <c r="I34"/>
      <c r="J34" s="31"/>
      <c r="K34" s="31"/>
      <c r="L34" s="31"/>
      <c r="M34" s="31"/>
      <c r="N34" s="31"/>
      <c r="O34" s="31"/>
    </row>
    <row r="35" spans="1:15" ht="14.4" x14ac:dyDescent="0.3">
      <c r="A35"/>
      <c r="B35"/>
      <c r="C35"/>
      <c r="D35"/>
      <c r="E35"/>
      <c r="F35"/>
      <c r="G35"/>
      <c r="H35"/>
      <c r="I35"/>
      <c r="J35" s="31"/>
      <c r="K35" s="31"/>
      <c r="L35" s="31"/>
      <c r="M35" s="31"/>
      <c r="N35" s="31"/>
      <c r="O35" s="31"/>
    </row>
    <row r="36" spans="1:15" ht="14.4" x14ac:dyDescent="0.3">
      <c r="A36"/>
      <c r="B36"/>
      <c r="C36"/>
      <c r="D36"/>
      <c r="E36"/>
      <c r="F36"/>
      <c r="G36"/>
      <c r="H36"/>
      <c r="I36"/>
      <c r="J36" s="31"/>
      <c r="K36" s="31"/>
      <c r="L36" s="31"/>
      <c r="M36" s="31"/>
      <c r="N36" s="31"/>
      <c r="O36" s="31"/>
    </row>
    <row r="37" spans="1:15" ht="14.4" x14ac:dyDescent="0.3">
      <c r="A37"/>
      <c r="B37"/>
      <c r="C37"/>
      <c r="D37"/>
      <c r="E37"/>
      <c r="F37"/>
      <c r="G37"/>
      <c r="H37"/>
      <c r="I37"/>
      <c r="J37" s="31"/>
      <c r="K37" s="31"/>
      <c r="L37" s="31"/>
      <c r="M37" s="31"/>
      <c r="N37" s="31"/>
      <c r="O37" s="31"/>
    </row>
    <row r="38" spans="1:15" ht="14.4" x14ac:dyDescent="0.3">
      <c r="A38"/>
      <c r="B38"/>
      <c r="C38"/>
      <c r="D38"/>
      <c r="E38"/>
      <c r="F38"/>
      <c r="G38"/>
      <c r="H38"/>
      <c r="I38"/>
      <c r="J38" s="31"/>
      <c r="K38" s="31"/>
      <c r="L38" s="31"/>
      <c r="M38" s="31"/>
      <c r="N38" s="31"/>
      <c r="O38" s="31"/>
    </row>
    <row r="39" spans="1:15" ht="14.4" x14ac:dyDescent="0.3">
      <c r="A39"/>
      <c r="B39"/>
      <c r="C39"/>
      <c r="D39"/>
      <c r="E39"/>
      <c r="F39"/>
      <c r="G39"/>
      <c r="H39"/>
      <c r="I39"/>
      <c r="J39" s="31"/>
      <c r="K39" s="31"/>
      <c r="L39" s="31"/>
      <c r="M39" s="31"/>
      <c r="N39" s="31"/>
      <c r="O39" s="31"/>
    </row>
    <row r="40" spans="1:15" ht="14.4" x14ac:dyDescent="0.3">
      <c r="A40"/>
      <c r="B40"/>
      <c r="C40"/>
      <c r="D40"/>
      <c r="E40"/>
      <c r="F40"/>
      <c r="G40"/>
      <c r="H40"/>
      <c r="I40"/>
      <c r="J40" s="31"/>
      <c r="K40" s="31"/>
      <c r="L40" s="31"/>
      <c r="M40" s="31"/>
      <c r="N40" s="31"/>
      <c r="O40" s="31"/>
    </row>
    <row r="41" spans="1:15" ht="14.4" x14ac:dyDescent="0.3">
      <c r="A41"/>
      <c r="B41"/>
      <c r="C41"/>
      <c r="D41"/>
      <c r="E41"/>
      <c r="F41"/>
      <c r="G41"/>
      <c r="H41"/>
      <c r="I41"/>
      <c r="J41" s="31"/>
      <c r="K41" s="31"/>
      <c r="L41" s="31"/>
      <c r="M41" s="31"/>
      <c r="N41" s="31"/>
      <c r="O41" s="31"/>
    </row>
    <row r="42" spans="1:15" ht="14.4" x14ac:dyDescent="0.3">
      <c r="A42"/>
      <c r="B42"/>
      <c r="C42"/>
      <c r="D42"/>
      <c r="E42"/>
      <c r="F42"/>
      <c r="G42"/>
      <c r="H42"/>
      <c r="I42"/>
      <c r="J42" s="31"/>
      <c r="K42" s="31"/>
      <c r="L42" s="31"/>
      <c r="M42" s="31"/>
      <c r="N42" s="31"/>
      <c r="O42" s="31"/>
    </row>
    <row r="43" spans="1:15" ht="14.4" x14ac:dyDescent="0.3">
      <c r="A43"/>
      <c r="B43"/>
      <c r="C43"/>
      <c r="D43"/>
      <c r="E43"/>
      <c r="F43"/>
      <c r="G43"/>
      <c r="H43"/>
      <c r="I43"/>
      <c r="J43" s="31"/>
      <c r="K43" s="31"/>
      <c r="L43" s="31"/>
      <c r="M43" s="31"/>
      <c r="N43" s="31"/>
      <c r="O43" s="31"/>
    </row>
    <row r="44" spans="1:15" ht="14.4" x14ac:dyDescent="0.3">
      <c r="A44"/>
      <c r="B44"/>
      <c r="C44"/>
      <c r="D44"/>
      <c r="E44"/>
      <c r="F44"/>
      <c r="G44"/>
      <c r="H44"/>
      <c r="I44"/>
      <c r="J44" s="31"/>
      <c r="K44" s="31"/>
      <c r="L44" s="31"/>
      <c r="M44" s="31"/>
      <c r="N44" s="31"/>
      <c r="O44" s="31"/>
    </row>
    <row r="45" spans="1:15" ht="14.4" x14ac:dyDescent="0.3">
      <c r="A45"/>
      <c r="B45"/>
      <c r="C45"/>
      <c r="D45"/>
      <c r="E45"/>
      <c r="F45"/>
      <c r="G45"/>
      <c r="H45"/>
      <c r="I45"/>
      <c r="J45" s="31"/>
      <c r="K45" s="31"/>
      <c r="L45" s="31"/>
      <c r="M45" s="31"/>
      <c r="N45" s="31"/>
      <c r="O45" s="31"/>
    </row>
    <row r="46" spans="1:15" ht="14.4" x14ac:dyDescent="0.3">
      <c r="A46"/>
      <c r="B46"/>
      <c r="C46"/>
      <c r="D46"/>
      <c r="E46"/>
      <c r="F46"/>
      <c r="G46"/>
      <c r="H46"/>
      <c r="I46"/>
      <c r="J46" s="31"/>
      <c r="K46" s="31"/>
      <c r="L46" s="31"/>
      <c r="M46" s="31"/>
      <c r="N46" s="31"/>
      <c r="O46" s="31"/>
    </row>
    <row r="47" spans="1:15" ht="14.4" x14ac:dyDescent="0.3">
      <c r="A47"/>
      <c r="B47"/>
      <c r="C47"/>
      <c r="D47"/>
      <c r="E47"/>
      <c r="F47"/>
      <c r="G47"/>
      <c r="H47"/>
      <c r="I47"/>
      <c r="J47" s="31"/>
      <c r="K47" s="31"/>
      <c r="L47" s="31"/>
      <c r="M47" s="31"/>
      <c r="N47" s="31"/>
      <c r="O47" s="31"/>
    </row>
    <row r="48" spans="1:15" ht="14.4" x14ac:dyDescent="0.3">
      <c r="A48"/>
      <c r="B48"/>
      <c r="C48"/>
      <c r="D48"/>
      <c r="E48"/>
      <c r="F48"/>
      <c r="G48"/>
      <c r="H48"/>
      <c r="I48"/>
      <c r="J48" s="31"/>
      <c r="K48" s="31"/>
      <c r="L48" s="31"/>
      <c r="M48" s="31"/>
      <c r="N48" s="31"/>
      <c r="O48" s="31"/>
    </row>
    <row r="49" spans="1:15" ht="14.4" x14ac:dyDescent="0.3">
      <c r="A49"/>
      <c r="B49"/>
      <c r="C49"/>
      <c r="D49"/>
      <c r="E49"/>
      <c r="F49"/>
      <c r="G49"/>
      <c r="H49"/>
      <c r="I49"/>
      <c r="J49" s="31"/>
      <c r="K49" s="31"/>
      <c r="L49" s="31"/>
      <c r="M49" s="31"/>
      <c r="N49" s="31"/>
      <c r="O49" s="31"/>
    </row>
    <row r="50" spans="1:15" ht="14.4" x14ac:dyDescent="0.3">
      <c r="A50"/>
      <c r="B50"/>
      <c r="C50"/>
      <c r="D50"/>
      <c r="E50"/>
      <c r="F50"/>
      <c r="G50"/>
      <c r="H50"/>
      <c r="I50"/>
      <c r="J50" s="31"/>
      <c r="K50" s="31"/>
      <c r="L50" s="31"/>
      <c r="M50" s="31"/>
      <c r="N50" s="31"/>
      <c r="O50" s="31"/>
    </row>
    <row r="51" spans="1:15" ht="14.4" x14ac:dyDescent="0.3">
      <c r="A51"/>
      <c r="B51"/>
      <c r="C51"/>
      <c r="D51"/>
      <c r="E51"/>
      <c r="F51"/>
      <c r="G51"/>
      <c r="H51"/>
      <c r="I51"/>
      <c r="J51" s="31"/>
      <c r="K51" s="31"/>
      <c r="L51" s="31"/>
      <c r="M51" s="31"/>
      <c r="N51" s="31"/>
      <c r="O51" s="31"/>
    </row>
    <row r="52" spans="1:15" ht="14.4" x14ac:dyDescent="0.3">
      <c r="A52"/>
      <c r="B52"/>
      <c r="C52"/>
      <c r="D52"/>
      <c r="E52"/>
      <c r="F52"/>
      <c r="G52"/>
      <c r="H52"/>
      <c r="I52"/>
      <c r="J52" s="31"/>
      <c r="K52" s="31"/>
      <c r="L52" s="31"/>
      <c r="M52" s="31"/>
      <c r="N52" s="31"/>
      <c r="O52" s="31"/>
    </row>
    <row r="53" spans="1:15" ht="14.4" x14ac:dyDescent="0.3">
      <c r="A53"/>
      <c r="B53"/>
      <c r="C53"/>
      <c r="D53"/>
      <c r="E53"/>
      <c r="F53"/>
      <c r="G53"/>
      <c r="H53"/>
      <c r="I53"/>
      <c r="J53" s="31"/>
      <c r="K53" s="31"/>
      <c r="L53" s="31"/>
      <c r="M53" s="31"/>
      <c r="N53" s="31"/>
      <c r="O53" s="31"/>
    </row>
    <row r="54" spans="1:15" ht="14.4" x14ac:dyDescent="0.3">
      <c r="A54"/>
      <c r="B54"/>
      <c r="C54"/>
      <c r="D54"/>
      <c r="E54"/>
      <c r="F54"/>
      <c r="G54"/>
      <c r="H54"/>
      <c r="I54"/>
      <c r="J54" s="31"/>
      <c r="K54" s="31"/>
      <c r="L54" s="31"/>
      <c r="M54" s="31"/>
      <c r="N54" s="31"/>
      <c r="O54" s="31"/>
    </row>
    <row r="55" spans="1:15" ht="14.4" x14ac:dyDescent="0.3">
      <c r="A55"/>
      <c r="B55"/>
      <c r="C55"/>
      <c r="D55"/>
      <c r="E55"/>
      <c r="F55"/>
      <c r="G55"/>
      <c r="H55"/>
      <c r="I55"/>
      <c r="J55" s="31"/>
      <c r="K55" s="31"/>
      <c r="L55" s="31"/>
      <c r="M55" s="31"/>
      <c r="N55" s="31"/>
      <c r="O55" s="31"/>
    </row>
    <row r="56" spans="1:15" ht="14.4" x14ac:dyDescent="0.3">
      <c r="A56"/>
      <c r="B56"/>
      <c r="C56"/>
      <c r="D56"/>
      <c r="E56"/>
      <c r="F56"/>
      <c r="G56"/>
      <c r="H56"/>
      <c r="I56"/>
      <c r="J56" s="31"/>
      <c r="K56" s="31"/>
      <c r="L56" s="31"/>
      <c r="M56" s="31"/>
      <c r="N56" s="31"/>
      <c r="O56" s="31"/>
    </row>
    <row r="57" spans="1:15" ht="14.4" x14ac:dyDescent="0.3">
      <c r="A57"/>
      <c r="B57"/>
      <c r="C57"/>
      <c r="D57"/>
      <c r="E57"/>
      <c r="F57"/>
      <c r="G57"/>
      <c r="H57"/>
      <c r="I57"/>
      <c r="J57" s="31"/>
      <c r="K57" s="31"/>
      <c r="L57" s="31"/>
      <c r="M57" s="31"/>
      <c r="N57" s="31"/>
      <c r="O57" s="31"/>
    </row>
    <row r="58" spans="1:15" ht="14.4" x14ac:dyDescent="0.3">
      <c r="A58"/>
      <c r="B58"/>
      <c r="C58"/>
      <c r="D58"/>
      <c r="E58"/>
      <c r="F58"/>
      <c r="G58"/>
      <c r="H58"/>
      <c r="I58"/>
      <c r="J58" s="31"/>
      <c r="K58" s="31"/>
      <c r="L58" s="31"/>
      <c r="M58" s="31"/>
      <c r="N58" s="31"/>
      <c r="O58" s="31"/>
    </row>
    <row r="59" spans="1:15" ht="14.4" x14ac:dyDescent="0.3">
      <c r="A59"/>
      <c r="B59"/>
      <c r="C59"/>
      <c r="D59"/>
      <c r="E59"/>
      <c r="F59"/>
      <c r="G59"/>
      <c r="H59"/>
      <c r="I59"/>
      <c r="J59" s="31"/>
      <c r="K59" s="31"/>
      <c r="L59" s="31"/>
      <c r="M59" s="31"/>
      <c r="N59" s="31"/>
      <c r="O59" s="31"/>
    </row>
    <row r="60" spans="1:15" ht="14.4" x14ac:dyDescent="0.3">
      <c r="A60"/>
      <c r="B60"/>
      <c r="C60"/>
      <c r="D60"/>
      <c r="E60"/>
      <c r="F60"/>
      <c r="G60"/>
      <c r="H60"/>
      <c r="I60"/>
      <c r="J60" s="31"/>
      <c r="K60" s="31"/>
      <c r="L60" s="31"/>
      <c r="M60" s="31"/>
      <c r="N60" s="31"/>
      <c r="O60" s="31"/>
    </row>
    <row r="61" spans="1:15" ht="14.4" x14ac:dyDescent="0.3">
      <c r="A61"/>
      <c r="B61"/>
      <c r="C61"/>
      <c r="D61"/>
      <c r="E61"/>
      <c r="F61"/>
      <c r="G61"/>
      <c r="H61"/>
      <c r="I61"/>
      <c r="J61" s="31"/>
      <c r="K61" s="31"/>
      <c r="L61" s="31"/>
      <c r="M61" s="31"/>
      <c r="N61" s="31"/>
      <c r="O61" s="31"/>
    </row>
    <row r="62" spans="1:15" ht="14.4" x14ac:dyDescent="0.3">
      <c r="A62"/>
      <c r="B62"/>
      <c r="C62"/>
      <c r="D62"/>
      <c r="E62"/>
      <c r="F62"/>
      <c r="G62"/>
      <c r="H62"/>
      <c r="I62"/>
      <c r="J62" s="31"/>
      <c r="K62" s="31"/>
      <c r="L62" s="31"/>
      <c r="M62" s="31"/>
      <c r="N62" s="31"/>
      <c r="O62" s="31"/>
    </row>
    <row r="63" spans="1:15" ht="14.4" x14ac:dyDescent="0.3">
      <c r="A63"/>
      <c r="B63"/>
      <c r="C63"/>
      <c r="D63"/>
      <c r="E63"/>
      <c r="F63"/>
      <c r="G63"/>
      <c r="H63"/>
      <c r="I63"/>
      <c r="J63" s="31"/>
      <c r="K63" s="31"/>
      <c r="L63" s="31"/>
      <c r="M63" s="31"/>
      <c r="N63" s="31"/>
      <c r="O63" s="31"/>
    </row>
    <row r="64" spans="1:15" ht="14.4" x14ac:dyDescent="0.3">
      <c r="A64"/>
      <c r="B64"/>
      <c r="C64"/>
      <c r="D64"/>
      <c r="E64"/>
      <c r="F64"/>
      <c r="G64"/>
      <c r="H64"/>
      <c r="I64"/>
      <c r="J64" s="31"/>
      <c r="K64" s="31"/>
      <c r="L64" s="31"/>
      <c r="M64" s="31"/>
      <c r="N64" s="31"/>
      <c r="O64" s="31"/>
    </row>
    <row r="65" spans="1:15" ht="14.4" x14ac:dyDescent="0.3">
      <c r="A65"/>
      <c r="B65"/>
      <c r="C65"/>
      <c r="D65"/>
      <c r="E65"/>
      <c r="F65"/>
      <c r="G65"/>
      <c r="H65"/>
      <c r="I65"/>
      <c r="J65" s="31"/>
      <c r="K65" s="31"/>
      <c r="L65" s="31"/>
      <c r="M65" s="31"/>
      <c r="N65" s="31"/>
      <c r="O65" s="31"/>
    </row>
    <row r="66" spans="1:15" ht="14.4" x14ac:dyDescent="0.3">
      <c r="A66"/>
      <c r="B66"/>
      <c r="C66"/>
      <c r="D66"/>
      <c r="E66"/>
      <c r="F66"/>
      <c r="G66"/>
      <c r="H66"/>
      <c r="I66"/>
      <c r="J66" s="31"/>
      <c r="K66" s="31"/>
      <c r="L66" s="31"/>
      <c r="M66" s="31"/>
      <c r="N66" s="31"/>
      <c r="O66" s="31"/>
    </row>
    <row r="67" spans="1:15" ht="14.4" x14ac:dyDescent="0.3">
      <c r="A67"/>
      <c r="B67"/>
      <c r="C67"/>
      <c r="D67"/>
      <c r="E67"/>
      <c r="F67"/>
      <c r="G67"/>
      <c r="H67"/>
      <c r="I67"/>
      <c r="J67" s="31"/>
      <c r="K67" s="31"/>
      <c r="L67" s="31"/>
      <c r="M67" s="31"/>
      <c r="N67" s="31"/>
      <c r="O67" s="31"/>
    </row>
    <row r="68" spans="1:15" ht="14.4" x14ac:dyDescent="0.3">
      <c r="A68"/>
      <c r="B68"/>
      <c r="C68"/>
      <c r="D68"/>
      <c r="E68"/>
      <c r="F68"/>
      <c r="G68"/>
      <c r="H68"/>
      <c r="I68"/>
      <c r="J68" s="31"/>
      <c r="K68" s="31"/>
      <c r="L68" s="31"/>
      <c r="M68" s="31"/>
      <c r="N68" s="31"/>
      <c r="O68" s="31"/>
    </row>
    <row r="69" spans="1:15" ht="14.4" x14ac:dyDescent="0.3">
      <c r="A69"/>
      <c r="B69"/>
      <c r="C69"/>
      <c r="D69"/>
      <c r="E69"/>
      <c r="F69"/>
      <c r="G69"/>
      <c r="H69"/>
      <c r="I69"/>
      <c r="J69" s="31"/>
      <c r="K69" s="31"/>
      <c r="L69" s="31"/>
      <c r="M69" s="31"/>
      <c r="N69" s="31"/>
      <c r="O69" s="31"/>
    </row>
    <row r="70" spans="1:15" ht="14.4" x14ac:dyDescent="0.3">
      <c r="A70"/>
      <c r="B70"/>
      <c r="C70"/>
      <c r="D70"/>
      <c r="E70"/>
      <c r="F70"/>
      <c r="G70"/>
      <c r="H70"/>
      <c r="I70"/>
      <c r="J70" s="31"/>
      <c r="K70" s="31"/>
      <c r="L70" s="31"/>
      <c r="M70" s="31"/>
      <c r="N70" s="31"/>
      <c r="O70" s="31"/>
    </row>
    <row r="71" spans="1:15" ht="14.4" x14ac:dyDescent="0.3">
      <c r="A71"/>
      <c r="B71"/>
      <c r="C71"/>
      <c r="D71"/>
      <c r="E71"/>
      <c r="F71"/>
      <c r="G71"/>
      <c r="H71"/>
      <c r="I71"/>
      <c r="J71" s="31"/>
      <c r="K71" s="31"/>
      <c r="L71" s="31"/>
      <c r="M71" s="31"/>
      <c r="N71" s="31"/>
      <c r="O71" s="31"/>
    </row>
    <row r="72" spans="1:15" ht="14.4" x14ac:dyDescent="0.3">
      <c r="A72"/>
      <c r="B72"/>
      <c r="C72"/>
      <c r="D72"/>
      <c r="E72"/>
      <c r="F72"/>
      <c r="G72"/>
      <c r="H72"/>
      <c r="I72"/>
      <c r="J72" s="31"/>
      <c r="K72" s="31"/>
      <c r="L72" s="31"/>
      <c r="M72" s="31"/>
      <c r="N72" s="31"/>
      <c r="O72" s="31"/>
    </row>
    <row r="73" spans="1:15" ht="14.4" x14ac:dyDescent="0.3">
      <c r="A73"/>
      <c r="B73"/>
      <c r="C73"/>
      <c r="D73"/>
      <c r="E73"/>
      <c r="F73"/>
      <c r="G73"/>
      <c r="H73"/>
      <c r="I73"/>
      <c r="J73" s="31"/>
      <c r="K73" s="31"/>
      <c r="L73" s="31"/>
      <c r="M73" s="31"/>
      <c r="N73" s="31"/>
      <c r="O73" s="31"/>
    </row>
    <row r="74" spans="1:15" ht="14.4" x14ac:dyDescent="0.3">
      <c r="A74"/>
      <c r="B74"/>
      <c r="C74"/>
      <c r="D74"/>
      <c r="E74"/>
      <c r="F74"/>
      <c r="G74"/>
      <c r="H74"/>
      <c r="I74"/>
      <c r="J74" s="31"/>
      <c r="K74" s="31"/>
      <c r="L74" s="31"/>
      <c r="M74" s="31"/>
      <c r="N74" s="31"/>
      <c r="O74" s="31"/>
    </row>
    <row r="75" spans="1:15" ht="14.4" x14ac:dyDescent="0.3">
      <c r="A75"/>
      <c r="B75"/>
      <c r="C75"/>
      <c r="D75"/>
      <c r="E75"/>
      <c r="F75"/>
      <c r="G75"/>
      <c r="H75"/>
      <c r="I75"/>
      <c r="J75" s="31"/>
      <c r="K75" s="31"/>
      <c r="L75" s="31"/>
      <c r="M75" s="31"/>
      <c r="N75" s="31"/>
      <c r="O75" s="31"/>
    </row>
    <row r="76" spans="1:15" ht="14.4" x14ac:dyDescent="0.3">
      <c r="A76"/>
      <c r="B76"/>
      <c r="C76"/>
      <c r="D76"/>
      <c r="E76"/>
      <c r="F76"/>
      <c r="G76"/>
      <c r="H76"/>
      <c r="I76"/>
      <c r="J76" s="31"/>
      <c r="K76" s="31"/>
      <c r="L76" s="31"/>
      <c r="M76" s="31"/>
      <c r="N76" s="31"/>
      <c r="O76" s="31"/>
    </row>
    <row r="77" spans="1:15" ht="14.4" x14ac:dyDescent="0.3">
      <c r="A77"/>
      <c r="B77"/>
      <c r="C77"/>
      <c r="D77"/>
      <c r="E77"/>
      <c r="F77"/>
      <c r="G77"/>
      <c r="H77"/>
      <c r="I77"/>
      <c r="J77" s="31"/>
      <c r="K77" s="31"/>
      <c r="L77" s="31"/>
      <c r="M77" s="31"/>
      <c r="N77" s="31"/>
      <c r="O77" s="31"/>
    </row>
    <row r="78" spans="1:15" ht="14.4" x14ac:dyDescent="0.3">
      <c r="A78"/>
      <c r="B78"/>
      <c r="C78"/>
      <c r="D78"/>
      <c r="E78"/>
      <c r="F78"/>
      <c r="G78"/>
      <c r="H78"/>
      <c r="I78"/>
      <c r="J78" s="31"/>
      <c r="K78" s="31"/>
      <c r="L78" s="31"/>
      <c r="M78" s="31"/>
      <c r="N78" s="31"/>
      <c r="O78" s="31"/>
    </row>
    <row r="79" spans="1:15" ht="14.4" x14ac:dyDescent="0.3">
      <c r="A79"/>
      <c r="B79"/>
      <c r="C79"/>
      <c r="D79"/>
      <c r="E79"/>
      <c r="F79"/>
      <c r="G79"/>
      <c r="H79"/>
      <c r="I79"/>
      <c r="J79" s="31"/>
      <c r="K79" s="31"/>
      <c r="L79" s="31"/>
      <c r="M79" s="31"/>
      <c r="N79" s="31"/>
      <c r="O79" s="31"/>
    </row>
    <row r="80" spans="1:15" ht="14.4" x14ac:dyDescent="0.3">
      <c r="A80"/>
      <c r="B80"/>
      <c r="C80"/>
      <c r="D80"/>
      <c r="E80"/>
      <c r="F80"/>
      <c r="G80"/>
      <c r="H80"/>
      <c r="I80"/>
      <c r="J80" s="31"/>
      <c r="K80" s="31"/>
      <c r="L80" s="31"/>
      <c r="M80" s="31"/>
      <c r="N80" s="31"/>
      <c r="O80" s="31"/>
    </row>
    <row r="81" spans="1:15" ht="14.4" x14ac:dyDescent="0.3">
      <c r="A81"/>
      <c r="B81"/>
      <c r="C81"/>
      <c r="D81"/>
      <c r="E81"/>
      <c r="F81"/>
      <c r="G81"/>
      <c r="H81"/>
      <c r="I81"/>
      <c r="J81" s="31"/>
      <c r="K81" s="31"/>
      <c r="L81" s="31"/>
      <c r="M81" s="31"/>
      <c r="N81" s="31"/>
      <c r="O81" s="31"/>
    </row>
    <row r="82" spans="1:15" ht="14.4" x14ac:dyDescent="0.3">
      <c r="A82"/>
      <c r="B82"/>
      <c r="C82"/>
      <c r="D82"/>
      <c r="E82"/>
      <c r="F82"/>
      <c r="G82"/>
      <c r="H82"/>
      <c r="I82"/>
      <c r="J82" s="31"/>
      <c r="K82" s="31"/>
      <c r="L82" s="31"/>
      <c r="M82" s="31"/>
      <c r="N82" s="31"/>
      <c r="O82" s="31"/>
    </row>
    <row r="83" spans="1:15" ht="14.4" x14ac:dyDescent="0.3">
      <c r="A83"/>
      <c r="B83"/>
      <c r="C83"/>
      <c r="D83"/>
      <c r="E83"/>
      <c r="F83"/>
      <c r="G83"/>
      <c r="H83"/>
      <c r="I83"/>
      <c r="J83" s="31"/>
      <c r="K83" s="31"/>
      <c r="L83" s="31"/>
      <c r="M83" s="31"/>
      <c r="N83" s="31"/>
      <c r="O83" s="31"/>
    </row>
    <row r="84" spans="1:15" ht="14.4" x14ac:dyDescent="0.3">
      <c r="A84"/>
      <c r="B84"/>
      <c r="C84"/>
      <c r="D84"/>
      <c r="E84"/>
      <c r="F84"/>
      <c r="G84"/>
      <c r="H84"/>
      <c r="I84"/>
      <c r="J84" s="31"/>
      <c r="K84" s="31"/>
      <c r="L84" s="31"/>
      <c r="M84" s="31"/>
      <c r="N84" s="31"/>
      <c r="O84" s="31"/>
    </row>
    <row r="85" spans="1:15" ht="14.4" x14ac:dyDescent="0.3">
      <c r="A85"/>
      <c r="B85"/>
      <c r="C85"/>
      <c r="D85"/>
      <c r="E85"/>
      <c r="F85"/>
      <c r="G85"/>
      <c r="H85"/>
      <c r="I85"/>
      <c r="J85" s="31"/>
      <c r="K85" s="31"/>
      <c r="L85" s="31"/>
      <c r="M85" s="31"/>
      <c r="N85" s="31"/>
      <c r="O85" s="31"/>
    </row>
    <row r="86" spans="1:15" ht="14.4" x14ac:dyDescent="0.3">
      <c r="A86"/>
      <c r="B86"/>
      <c r="C86"/>
      <c r="D86"/>
      <c r="E86"/>
      <c r="F86"/>
      <c r="G86"/>
      <c r="H86"/>
      <c r="I86"/>
      <c r="J86" s="31"/>
      <c r="K86" s="31"/>
      <c r="L86" s="31"/>
      <c r="M86" s="31"/>
      <c r="N86" s="31"/>
      <c r="O86" s="31"/>
    </row>
    <row r="87" spans="1:15" ht="14.4" x14ac:dyDescent="0.3">
      <c r="A87"/>
      <c r="B87"/>
      <c r="C87"/>
      <c r="D87"/>
      <c r="E87"/>
      <c r="F87"/>
      <c r="G87"/>
      <c r="H87"/>
      <c r="I87"/>
      <c r="J87" s="31"/>
      <c r="K87" s="31"/>
      <c r="L87" s="31"/>
      <c r="M87" s="31"/>
      <c r="N87" s="31"/>
      <c r="O87" s="31"/>
    </row>
    <row r="88" spans="1:15" ht="14.4" x14ac:dyDescent="0.3">
      <c r="A88"/>
      <c r="B88"/>
      <c r="C88"/>
      <c r="D88"/>
      <c r="E88"/>
      <c r="F88"/>
      <c r="G88"/>
      <c r="H88"/>
      <c r="I88"/>
      <c r="J88" s="31"/>
      <c r="K88" s="31"/>
      <c r="L88" s="31"/>
      <c r="M88" s="31"/>
      <c r="N88" s="31"/>
      <c r="O88" s="31"/>
    </row>
    <row r="89" spans="1:15" ht="14.4" x14ac:dyDescent="0.3">
      <c r="A89"/>
      <c r="B89"/>
      <c r="C89"/>
      <c r="D89"/>
      <c r="E89"/>
      <c r="F89"/>
      <c r="G89"/>
      <c r="H89"/>
      <c r="I89"/>
      <c r="J89" s="31"/>
      <c r="K89" s="31"/>
      <c r="L89" s="31"/>
      <c r="M89" s="31"/>
      <c r="N89" s="31"/>
      <c r="O89" s="31"/>
    </row>
    <row r="90" spans="1:15" ht="14.4" x14ac:dyDescent="0.3">
      <c r="A90"/>
      <c r="B90"/>
      <c r="C90"/>
      <c r="D90"/>
      <c r="E90"/>
      <c r="F90"/>
      <c r="G90"/>
      <c r="H90"/>
      <c r="I90"/>
      <c r="J90" s="31"/>
      <c r="K90" s="31"/>
      <c r="L90" s="31"/>
      <c r="M90" s="31"/>
      <c r="N90" s="31"/>
      <c r="O90" s="31"/>
    </row>
    <row r="91" spans="1:15" ht="14.4" x14ac:dyDescent="0.3">
      <c r="A91"/>
      <c r="B91"/>
      <c r="C91"/>
      <c r="D91"/>
      <c r="E91"/>
      <c r="F91"/>
      <c r="G91"/>
      <c r="H91"/>
      <c r="I91"/>
      <c r="J91" s="31"/>
      <c r="K91" s="31"/>
      <c r="L91" s="31"/>
      <c r="M91" s="31"/>
      <c r="N91" s="31"/>
      <c r="O91" s="31"/>
    </row>
    <row r="92" spans="1:15" ht="14.4" x14ac:dyDescent="0.3">
      <c r="A92"/>
      <c r="B92"/>
      <c r="C92"/>
      <c r="D92"/>
      <c r="E92"/>
      <c r="F92"/>
      <c r="G92"/>
      <c r="H92"/>
      <c r="I92"/>
      <c r="J92" s="31"/>
      <c r="K92" s="31"/>
      <c r="L92" s="31"/>
      <c r="M92" s="31"/>
      <c r="N92" s="31"/>
      <c r="O92" s="31"/>
    </row>
    <row r="93" spans="1:15" ht="14.4" x14ac:dyDescent="0.3">
      <c r="A93"/>
      <c r="B93"/>
      <c r="C93"/>
      <c r="D93"/>
      <c r="E93"/>
      <c r="F93"/>
      <c r="G93"/>
      <c r="H93"/>
      <c r="I93"/>
      <c r="J93" s="31"/>
      <c r="K93" s="31"/>
      <c r="L93" s="31"/>
      <c r="M93" s="31"/>
      <c r="N93" s="31"/>
      <c r="O93" s="31"/>
    </row>
    <row r="94" spans="1:15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</row>
    <row r="95" spans="1:15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</row>
    <row r="96" spans="1:15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</row>
    <row r="97" spans="1:15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</row>
    <row r="98" spans="1:15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</row>
    <row r="99" spans="1:15" x14ac:dyDescent="0.25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</row>
    <row r="100" spans="1:15" x14ac:dyDescent="0.25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</row>
    <row r="101" spans="1:15" x14ac:dyDescent="0.25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</row>
    <row r="102" spans="1:15" x14ac:dyDescent="0.25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</row>
    <row r="103" spans="1:15" x14ac:dyDescent="0.25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</row>
    <row r="104" spans="1:15" x14ac:dyDescent="0.25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</row>
    <row r="105" spans="1:15" x14ac:dyDescent="0.25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</row>
    <row r="106" spans="1:15" x14ac:dyDescent="0.25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</row>
    <row r="107" spans="1:15" x14ac:dyDescent="0.25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</row>
    <row r="108" spans="1:15" x14ac:dyDescent="0.25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</row>
    <row r="109" spans="1:15" x14ac:dyDescent="0.25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</row>
    <row r="110" spans="1:15" x14ac:dyDescent="0.25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</row>
    <row r="111" spans="1:15" x14ac:dyDescent="0.25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</row>
    <row r="112" spans="1:15" x14ac:dyDescent="0.25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</row>
    <row r="113" spans="1:15" x14ac:dyDescent="0.25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</row>
    <row r="114" spans="1:15" x14ac:dyDescent="0.25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</row>
    <row r="115" spans="1:15" x14ac:dyDescent="0.25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</row>
    <row r="116" spans="1:15" x14ac:dyDescent="0.25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</row>
    <row r="117" spans="1:15" x14ac:dyDescent="0.25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</row>
    <row r="118" spans="1:15" x14ac:dyDescent="0.25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</row>
    <row r="119" spans="1:15" x14ac:dyDescent="0.25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</row>
    <row r="120" spans="1:15" x14ac:dyDescent="0.25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</row>
    <row r="121" spans="1:15" x14ac:dyDescent="0.25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</row>
    <row r="122" spans="1:15" x14ac:dyDescent="0.25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</row>
    <row r="123" spans="1:15" x14ac:dyDescent="0.25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</row>
    <row r="124" spans="1:15" x14ac:dyDescent="0.25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</row>
    <row r="125" spans="1:15" x14ac:dyDescent="0.25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</row>
    <row r="126" spans="1:15" x14ac:dyDescent="0.25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</row>
    <row r="127" spans="1:15" x14ac:dyDescent="0.25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</row>
    <row r="128" spans="1:15" x14ac:dyDescent="0.25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</row>
    <row r="129" spans="1:15" x14ac:dyDescent="0.25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</row>
    <row r="130" spans="1:15" x14ac:dyDescent="0.25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</row>
    <row r="131" spans="1:15" x14ac:dyDescent="0.25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</row>
    <row r="132" spans="1:15" x14ac:dyDescent="0.25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</row>
    <row r="133" spans="1:15" x14ac:dyDescent="0.25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</row>
    <row r="134" spans="1:15" x14ac:dyDescent="0.25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</row>
    <row r="135" spans="1:15" x14ac:dyDescent="0.25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</row>
    <row r="136" spans="1:15" x14ac:dyDescent="0.25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</row>
    <row r="137" spans="1:15" x14ac:dyDescent="0.25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</row>
    <row r="138" spans="1:15" x14ac:dyDescent="0.25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</row>
    <row r="139" spans="1:15" x14ac:dyDescent="0.25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</row>
    <row r="140" spans="1:15" x14ac:dyDescent="0.25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</row>
    <row r="141" spans="1:15" x14ac:dyDescent="0.25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</row>
    <row r="142" spans="1:15" x14ac:dyDescent="0.25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</row>
    <row r="143" spans="1:15" x14ac:dyDescent="0.25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</row>
    <row r="144" spans="1:15" x14ac:dyDescent="0.25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</row>
    <row r="145" spans="1:15" x14ac:dyDescent="0.25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</row>
    <row r="146" spans="1:15" x14ac:dyDescent="0.25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</row>
    <row r="147" spans="1:15" x14ac:dyDescent="0.25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</row>
    <row r="148" spans="1:15" x14ac:dyDescent="0.25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</row>
    <row r="149" spans="1:15" x14ac:dyDescent="0.25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</row>
    <row r="150" spans="1:15" x14ac:dyDescent="0.25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</row>
    <row r="151" spans="1:15" x14ac:dyDescent="0.25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</row>
    <row r="152" spans="1:15" x14ac:dyDescent="0.25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</row>
    <row r="153" spans="1:15" x14ac:dyDescent="0.25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</row>
    <row r="154" spans="1:15" x14ac:dyDescent="0.25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</row>
    <row r="155" spans="1:15" x14ac:dyDescent="0.25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</row>
    <row r="156" spans="1:15" x14ac:dyDescent="0.25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</row>
    <row r="157" spans="1:15" x14ac:dyDescent="0.25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</row>
    <row r="158" spans="1:15" x14ac:dyDescent="0.25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</row>
    <row r="159" spans="1:15" x14ac:dyDescent="0.25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</row>
    <row r="160" spans="1:15" x14ac:dyDescent="0.25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</row>
    <row r="161" spans="1:15" x14ac:dyDescent="0.25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</row>
    <row r="162" spans="1:15" x14ac:dyDescent="0.25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</row>
    <row r="163" spans="1:15" x14ac:dyDescent="0.25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</row>
    <row r="164" spans="1:15" x14ac:dyDescent="0.25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</row>
    <row r="165" spans="1:15" x14ac:dyDescent="0.25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</row>
    <row r="166" spans="1:15" x14ac:dyDescent="0.25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</row>
    <row r="167" spans="1:15" x14ac:dyDescent="0.25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</row>
    <row r="168" spans="1:15" x14ac:dyDescent="0.25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</row>
    <row r="169" spans="1:15" x14ac:dyDescent="0.25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</row>
    <row r="170" spans="1:15" x14ac:dyDescent="0.25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</row>
    <row r="171" spans="1:15" x14ac:dyDescent="0.25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</row>
    <row r="172" spans="1:15" x14ac:dyDescent="0.25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</row>
    <row r="173" spans="1:15" x14ac:dyDescent="0.25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</row>
    <row r="174" spans="1:15" x14ac:dyDescent="0.25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</row>
    <row r="175" spans="1:15" x14ac:dyDescent="0.25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</row>
    <row r="176" spans="1:15" x14ac:dyDescent="0.25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</row>
    <row r="177" spans="1:15" x14ac:dyDescent="0.25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</row>
    <row r="178" spans="1:15" x14ac:dyDescent="0.25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</row>
    <row r="179" spans="1:15" x14ac:dyDescent="0.25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</row>
    <row r="180" spans="1:15" x14ac:dyDescent="0.25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</row>
    <row r="181" spans="1:15" x14ac:dyDescent="0.25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</row>
    <row r="182" spans="1:15" x14ac:dyDescent="0.25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</row>
    <row r="183" spans="1:15" x14ac:dyDescent="0.25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</row>
    <row r="184" spans="1:15" x14ac:dyDescent="0.25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</row>
    <row r="185" spans="1:15" x14ac:dyDescent="0.25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</row>
    <row r="186" spans="1:15" x14ac:dyDescent="0.25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</row>
    <row r="187" spans="1:15" x14ac:dyDescent="0.25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</row>
    <row r="188" spans="1:15" x14ac:dyDescent="0.25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</row>
    <row r="189" spans="1:15" x14ac:dyDescent="0.25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</row>
    <row r="190" spans="1:15" x14ac:dyDescent="0.25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</row>
    <row r="191" spans="1:15" x14ac:dyDescent="0.25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</row>
    <row r="192" spans="1:15" x14ac:dyDescent="0.25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</row>
    <row r="193" spans="1:15" x14ac:dyDescent="0.25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</row>
    <row r="194" spans="1:15" x14ac:dyDescent="0.25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</row>
    <row r="195" spans="1:15" x14ac:dyDescent="0.25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</row>
    <row r="196" spans="1:15" x14ac:dyDescent="0.25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</row>
    <row r="197" spans="1:15" x14ac:dyDescent="0.25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</row>
    <row r="198" spans="1:15" x14ac:dyDescent="0.25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</row>
    <row r="199" spans="1:15" x14ac:dyDescent="0.25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</row>
    <row r="200" spans="1:15" x14ac:dyDescent="0.25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</row>
    <row r="201" spans="1:15" x14ac:dyDescent="0.25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</row>
    <row r="202" spans="1:15" x14ac:dyDescent="0.25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</row>
    <row r="203" spans="1:15" x14ac:dyDescent="0.25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</row>
    <row r="204" spans="1:15" x14ac:dyDescent="0.25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</row>
    <row r="205" spans="1:15" x14ac:dyDescent="0.25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</row>
    <row r="206" spans="1:15" x14ac:dyDescent="0.25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</row>
    <row r="207" spans="1:15" x14ac:dyDescent="0.25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</row>
    <row r="208" spans="1:15" x14ac:dyDescent="0.25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</row>
    <row r="209" spans="1:15" x14ac:dyDescent="0.25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</row>
    <row r="210" spans="1:15" x14ac:dyDescent="0.25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</row>
    <row r="211" spans="1:15" x14ac:dyDescent="0.25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</row>
    <row r="212" spans="1:15" x14ac:dyDescent="0.25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</row>
    <row r="213" spans="1:15" x14ac:dyDescent="0.25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</row>
    <row r="214" spans="1:15" x14ac:dyDescent="0.25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</row>
    <row r="215" spans="1:15" x14ac:dyDescent="0.25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</row>
    <row r="216" spans="1:15" x14ac:dyDescent="0.25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</row>
    <row r="217" spans="1:15" x14ac:dyDescent="0.25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</row>
    <row r="218" spans="1:15" x14ac:dyDescent="0.25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</row>
    <row r="219" spans="1:15" x14ac:dyDescent="0.25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</row>
    <row r="220" spans="1:15" x14ac:dyDescent="0.25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</row>
    <row r="221" spans="1:15" x14ac:dyDescent="0.25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</row>
    <row r="222" spans="1:15" x14ac:dyDescent="0.25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</row>
    <row r="223" spans="1:15" x14ac:dyDescent="0.25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</row>
    <row r="224" spans="1:15" x14ac:dyDescent="0.25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</row>
    <row r="225" spans="1:15" x14ac:dyDescent="0.25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</row>
    <row r="226" spans="1:15" x14ac:dyDescent="0.25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</row>
    <row r="227" spans="1:15" x14ac:dyDescent="0.25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</row>
    <row r="228" spans="1:15" x14ac:dyDescent="0.25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</row>
    <row r="229" spans="1:15" x14ac:dyDescent="0.25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</row>
    <row r="230" spans="1:15" x14ac:dyDescent="0.25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</row>
    <row r="231" spans="1:15" x14ac:dyDescent="0.25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</row>
    <row r="232" spans="1:15" x14ac:dyDescent="0.25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</row>
    <row r="233" spans="1:15" x14ac:dyDescent="0.25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</row>
    <row r="234" spans="1:15" x14ac:dyDescent="0.25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</row>
    <row r="235" spans="1:15" x14ac:dyDescent="0.25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</row>
    <row r="236" spans="1:15" x14ac:dyDescent="0.25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</row>
    <row r="237" spans="1:15" x14ac:dyDescent="0.25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</row>
    <row r="238" spans="1:15" x14ac:dyDescent="0.25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</row>
    <row r="239" spans="1:15" x14ac:dyDescent="0.25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</row>
    <row r="240" spans="1:15" x14ac:dyDescent="0.25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</row>
    <row r="241" spans="1:15" x14ac:dyDescent="0.25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</row>
    <row r="242" spans="1:15" x14ac:dyDescent="0.25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</row>
    <row r="243" spans="1:15" x14ac:dyDescent="0.25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</row>
    <row r="244" spans="1:15" x14ac:dyDescent="0.25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</row>
    <row r="245" spans="1:15" x14ac:dyDescent="0.25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</row>
    <row r="246" spans="1:15" x14ac:dyDescent="0.2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</row>
    <row r="247" spans="1:15" x14ac:dyDescent="0.2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</row>
    <row r="248" spans="1:15" x14ac:dyDescent="0.25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</row>
    <row r="249" spans="1:15" x14ac:dyDescent="0.25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</row>
    <row r="250" spans="1:15" x14ac:dyDescent="0.25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</row>
    <row r="251" spans="1:15" x14ac:dyDescent="0.25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</row>
    <row r="252" spans="1:15" x14ac:dyDescent="0.25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</row>
    <row r="253" spans="1:15" x14ac:dyDescent="0.25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</row>
    <row r="254" spans="1:15" x14ac:dyDescent="0.25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</row>
    <row r="255" spans="1:15" x14ac:dyDescent="0.2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</row>
    <row r="256" spans="1:15" x14ac:dyDescent="0.2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</row>
    <row r="257" spans="1:15" x14ac:dyDescent="0.2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</row>
    <row r="258" spans="1:15" x14ac:dyDescent="0.2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</row>
    <row r="259" spans="1:15" x14ac:dyDescent="0.2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</row>
    <row r="260" spans="1:15" x14ac:dyDescent="0.2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</row>
    <row r="261" spans="1:15" x14ac:dyDescent="0.2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</row>
    <row r="262" spans="1:15" x14ac:dyDescent="0.2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</row>
    <row r="263" spans="1:15" x14ac:dyDescent="0.2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</row>
    <row r="264" spans="1:15" x14ac:dyDescent="0.2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</row>
    <row r="265" spans="1:15" x14ac:dyDescent="0.2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</row>
    <row r="266" spans="1:15" x14ac:dyDescent="0.2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</row>
    <row r="267" spans="1:15" x14ac:dyDescent="0.2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</row>
    <row r="268" spans="1:15" x14ac:dyDescent="0.2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</row>
    <row r="269" spans="1:15" x14ac:dyDescent="0.2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</row>
    <row r="270" spans="1:15" x14ac:dyDescent="0.2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</row>
    <row r="271" spans="1:15" x14ac:dyDescent="0.2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</row>
    <row r="272" spans="1:15" x14ac:dyDescent="0.2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</row>
    <row r="273" spans="1:15" x14ac:dyDescent="0.2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</row>
    <row r="274" spans="1:15" x14ac:dyDescent="0.2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</row>
    <row r="275" spans="1:15" x14ac:dyDescent="0.2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</row>
    <row r="276" spans="1:15" x14ac:dyDescent="0.2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</row>
    <row r="277" spans="1:15" x14ac:dyDescent="0.2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</row>
    <row r="278" spans="1:15" x14ac:dyDescent="0.2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</row>
    <row r="279" spans="1:15" x14ac:dyDescent="0.2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</row>
    <row r="280" spans="1:15" x14ac:dyDescent="0.2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</row>
    <row r="281" spans="1:15" x14ac:dyDescent="0.2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</row>
    <row r="282" spans="1:15" x14ac:dyDescent="0.2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</row>
    <row r="283" spans="1:15" x14ac:dyDescent="0.2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</row>
    <row r="284" spans="1:15" x14ac:dyDescent="0.2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</row>
    <row r="285" spans="1:15" x14ac:dyDescent="0.2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</row>
    <row r="286" spans="1:15" x14ac:dyDescent="0.2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</row>
    <row r="287" spans="1:15" x14ac:dyDescent="0.2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</row>
    <row r="288" spans="1:15" x14ac:dyDescent="0.2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</row>
    <row r="289" spans="1:15" x14ac:dyDescent="0.2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</row>
    <row r="290" spans="1:15" x14ac:dyDescent="0.2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</row>
    <row r="291" spans="1:15" x14ac:dyDescent="0.2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</row>
    <row r="292" spans="1:15" x14ac:dyDescent="0.2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</row>
    <row r="293" spans="1:15" x14ac:dyDescent="0.2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</row>
    <row r="294" spans="1:15" x14ac:dyDescent="0.2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</row>
    <row r="295" spans="1:15" x14ac:dyDescent="0.2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</row>
    <row r="296" spans="1:15" x14ac:dyDescent="0.2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</row>
    <row r="297" spans="1:15" x14ac:dyDescent="0.2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</row>
    <row r="298" spans="1:15" x14ac:dyDescent="0.2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</row>
    <row r="299" spans="1:15" x14ac:dyDescent="0.2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</row>
    <row r="300" spans="1:15" x14ac:dyDescent="0.2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</row>
    <row r="301" spans="1:15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</row>
    <row r="302" spans="1:15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</row>
    <row r="303" spans="1:15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</row>
    <row r="304" spans="1:15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</row>
    <row r="305" spans="1:15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</row>
    <row r="306" spans="1:15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</row>
    <row r="307" spans="1:15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</row>
    <row r="308" spans="1:15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</row>
    <row r="309" spans="1:15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</row>
    <row r="310" spans="1:15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</row>
    <row r="311" spans="1:15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</row>
    <row r="312" spans="1:15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</row>
    <row r="313" spans="1:15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</row>
    <row r="314" spans="1:15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</row>
    <row r="315" spans="1:15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</row>
    <row r="316" spans="1:15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</row>
    <row r="317" spans="1:15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</row>
    <row r="318" spans="1:15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</row>
    <row r="319" spans="1:15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</row>
    <row r="320" spans="1:15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</row>
    <row r="321" spans="1:15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</row>
    <row r="322" spans="1:15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</row>
    <row r="323" spans="1:15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</row>
    <row r="324" spans="1:15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</row>
    <row r="325" spans="1:15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</row>
    <row r="326" spans="1:15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</row>
    <row r="327" spans="1:15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</row>
    <row r="328" spans="1:15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</row>
    <row r="329" spans="1:15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</row>
    <row r="330" spans="1:15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</row>
    <row r="331" spans="1:15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</row>
    <row r="332" spans="1:15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</row>
    <row r="333" spans="1:15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</row>
    <row r="334" spans="1:15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</row>
    <row r="335" spans="1:15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</row>
    <row r="336" spans="1:15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</row>
    <row r="337" spans="1:15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</row>
    <row r="338" spans="1:15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</row>
    <row r="339" spans="1:15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</row>
    <row r="340" spans="1:15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</row>
    <row r="341" spans="1:15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</row>
    <row r="342" spans="1:15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</row>
    <row r="343" spans="1:15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</row>
    <row r="344" spans="1:15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</row>
    <row r="345" spans="1:15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</row>
    <row r="346" spans="1:15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</row>
    <row r="347" spans="1:15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</row>
    <row r="348" spans="1:15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</row>
    <row r="349" spans="1:15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</row>
    <row r="350" spans="1:15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</row>
    <row r="351" spans="1:15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</row>
    <row r="352" spans="1:15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</row>
    <row r="353" spans="1:15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</row>
    <row r="354" spans="1:15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</row>
    <row r="355" spans="1:15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</row>
    <row r="356" spans="1:15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</row>
    <row r="357" spans="1:15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</row>
    <row r="358" spans="1:15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</row>
    <row r="359" spans="1:15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</row>
    <row r="360" spans="1:15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</row>
    <row r="361" spans="1:15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</row>
    <row r="362" spans="1:15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</row>
    <row r="363" spans="1:15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</row>
    <row r="364" spans="1:15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</row>
    <row r="365" spans="1:15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</row>
    <row r="366" spans="1:15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</row>
    <row r="367" spans="1:15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</row>
    <row r="368" spans="1:15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</row>
    <row r="369" spans="1:15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</row>
    <row r="370" spans="1:15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</row>
    <row r="371" spans="1:15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</row>
    <row r="372" spans="1:15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</row>
    <row r="373" spans="1:15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</row>
    <row r="374" spans="1:15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</row>
    <row r="375" spans="1:15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</row>
    <row r="376" spans="1:15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</row>
    <row r="377" spans="1:15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</row>
    <row r="378" spans="1:15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</row>
    <row r="379" spans="1:15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</row>
    <row r="380" spans="1:15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</row>
    <row r="381" spans="1:15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</row>
    <row r="382" spans="1:15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</row>
    <row r="383" spans="1:15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</row>
    <row r="384" spans="1:15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</row>
    <row r="385" spans="1:15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</row>
    <row r="386" spans="1:15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</row>
    <row r="387" spans="1:15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</row>
    <row r="388" spans="1:15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</row>
    <row r="389" spans="1:15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</row>
    <row r="390" spans="1:15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</row>
    <row r="391" spans="1:15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</row>
    <row r="392" spans="1:15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</row>
    <row r="393" spans="1:15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</row>
    <row r="394" spans="1:15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</row>
    <row r="395" spans="1:15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</row>
    <row r="396" spans="1:15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</row>
    <row r="397" spans="1:15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</row>
    <row r="398" spans="1:15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</row>
    <row r="399" spans="1:15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</row>
    <row r="400" spans="1:15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</row>
    <row r="401" spans="1:15" x14ac:dyDescent="0.25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</row>
    <row r="402" spans="1:15" x14ac:dyDescent="0.25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</row>
    <row r="403" spans="1:15" x14ac:dyDescent="0.25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</row>
    <row r="404" spans="1:15" x14ac:dyDescent="0.25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</row>
    <row r="405" spans="1:15" x14ac:dyDescent="0.25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</row>
    <row r="406" spans="1:15" x14ac:dyDescent="0.25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</row>
    <row r="407" spans="1:15" x14ac:dyDescent="0.25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</row>
    <row r="408" spans="1:15" x14ac:dyDescent="0.25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</row>
    <row r="409" spans="1:15" x14ac:dyDescent="0.25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</row>
    <row r="410" spans="1:15" x14ac:dyDescent="0.25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</row>
    <row r="411" spans="1:15" x14ac:dyDescent="0.25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</row>
    <row r="412" spans="1:15" x14ac:dyDescent="0.25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</row>
    <row r="413" spans="1:15" x14ac:dyDescent="0.25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</row>
    <row r="414" spans="1:15" x14ac:dyDescent="0.25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</row>
    <row r="415" spans="1:15" x14ac:dyDescent="0.25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</row>
    <row r="416" spans="1:15" x14ac:dyDescent="0.25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</row>
    <row r="417" spans="1:15" x14ac:dyDescent="0.25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</row>
    <row r="418" spans="1:15" x14ac:dyDescent="0.25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</row>
    <row r="419" spans="1:15" x14ac:dyDescent="0.25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</row>
    <row r="420" spans="1:15" x14ac:dyDescent="0.25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</row>
    <row r="421" spans="1:15" x14ac:dyDescent="0.25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</row>
    <row r="422" spans="1:15" x14ac:dyDescent="0.25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</row>
    <row r="423" spans="1:15" x14ac:dyDescent="0.25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</row>
    <row r="424" spans="1:15" x14ac:dyDescent="0.25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</row>
    <row r="425" spans="1:15" x14ac:dyDescent="0.25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</row>
    <row r="426" spans="1:15" x14ac:dyDescent="0.25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</row>
    <row r="427" spans="1:15" x14ac:dyDescent="0.25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</row>
    <row r="428" spans="1:15" x14ac:dyDescent="0.25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</row>
    <row r="429" spans="1:15" x14ac:dyDescent="0.25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</row>
    <row r="430" spans="1:15" x14ac:dyDescent="0.25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</row>
    <row r="431" spans="1:15" x14ac:dyDescent="0.25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</row>
    <row r="432" spans="1:15" x14ac:dyDescent="0.25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</row>
    <row r="433" spans="1:15" x14ac:dyDescent="0.25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</row>
    <row r="434" spans="1:15" x14ac:dyDescent="0.25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</row>
    <row r="435" spans="1:15" x14ac:dyDescent="0.25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</row>
    <row r="436" spans="1:15" x14ac:dyDescent="0.25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</row>
    <row r="437" spans="1:15" x14ac:dyDescent="0.25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</row>
    <row r="438" spans="1:15" x14ac:dyDescent="0.25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</row>
    <row r="439" spans="1:15" x14ac:dyDescent="0.25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</row>
    <row r="440" spans="1:15" x14ac:dyDescent="0.25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</row>
    <row r="441" spans="1:15" x14ac:dyDescent="0.25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</row>
    <row r="442" spans="1:15" x14ac:dyDescent="0.25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</row>
    <row r="443" spans="1:15" x14ac:dyDescent="0.25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</row>
    <row r="444" spans="1:15" x14ac:dyDescent="0.25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</row>
    <row r="445" spans="1:15" x14ac:dyDescent="0.25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</row>
    <row r="446" spans="1:15" x14ac:dyDescent="0.25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</row>
    <row r="447" spans="1:15" x14ac:dyDescent="0.25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</row>
    <row r="448" spans="1:15" x14ac:dyDescent="0.25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</row>
    <row r="449" spans="1:15" x14ac:dyDescent="0.25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</row>
    <row r="450" spans="1:15" x14ac:dyDescent="0.25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</row>
    <row r="451" spans="1:15" x14ac:dyDescent="0.25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</row>
    <row r="452" spans="1:15" x14ac:dyDescent="0.25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</row>
    <row r="453" spans="1:15" x14ac:dyDescent="0.25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</row>
    <row r="454" spans="1:15" x14ac:dyDescent="0.25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</row>
    <row r="455" spans="1:15" x14ac:dyDescent="0.25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</row>
    <row r="456" spans="1:15" x14ac:dyDescent="0.25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</row>
    <row r="457" spans="1:15" x14ac:dyDescent="0.25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</row>
    <row r="458" spans="1:15" x14ac:dyDescent="0.25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</row>
    <row r="459" spans="1:15" x14ac:dyDescent="0.25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</row>
    <row r="460" spans="1:15" x14ac:dyDescent="0.25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</row>
    <row r="461" spans="1:15" x14ac:dyDescent="0.25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</row>
    <row r="462" spans="1:15" x14ac:dyDescent="0.25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</row>
    <row r="463" spans="1:15" x14ac:dyDescent="0.25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</row>
    <row r="464" spans="1:15" x14ac:dyDescent="0.25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</row>
    <row r="465" spans="1:15" x14ac:dyDescent="0.25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</row>
    <row r="466" spans="1:15" x14ac:dyDescent="0.25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</row>
    <row r="467" spans="1:15" x14ac:dyDescent="0.25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</row>
    <row r="468" spans="1:15" x14ac:dyDescent="0.25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</row>
    <row r="469" spans="1:15" x14ac:dyDescent="0.25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</row>
    <row r="470" spans="1:15" x14ac:dyDescent="0.25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</row>
    <row r="471" spans="1:15" x14ac:dyDescent="0.25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</row>
    <row r="472" spans="1:15" x14ac:dyDescent="0.25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</row>
    <row r="473" spans="1:15" x14ac:dyDescent="0.25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</row>
    <row r="474" spans="1:15" x14ac:dyDescent="0.25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</row>
    <row r="475" spans="1:15" x14ac:dyDescent="0.25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</row>
    <row r="476" spans="1:15" x14ac:dyDescent="0.25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</row>
    <row r="477" spans="1:15" x14ac:dyDescent="0.25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</row>
    <row r="478" spans="1:15" x14ac:dyDescent="0.25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</row>
    <row r="479" spans="1:15" x14ac:dyDescent="0.25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</row>
    <row r="480" spans="1:15" x14ac:dyDescent="0.25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</row>
    <row r="481" spans="1:15" x14ac:dyDescent="0.25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</row>
    <row r="482" spans="1:15" x14ac:dyDescent="0.25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</row>
    <row r="483" spans="1:15" x14ac:dyDescent="0.25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</row>
    <row r="484" spans="1:15" x14ac:dyDescent="0.25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</row>
    <row r="485" spans="1:15" x14ac:dyDescent="0.25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</row>
    <row r="486" spans="1:15" x14ac:dyDescent="0.25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</row>
    <row r="487" spans="1:15" x14ac:dyDescent="0.25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</row>
    <row r="488" spans="1:15" x14ac:dyDescent="0.25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</row>
    <row r="489" spans="1:15" x14ac:dyDescent="0.25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</row>
    <row r="490" spans="1:15" x14ac:dyDescent="0.25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</row>
    <row r="491" spans="1:15" x14ac:dyDescent="0.25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</row>
    <row r="492" spans="1:15" x14ac:dyDescent="0.25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</row>
    <row r="493" spans="1:15" x14ac:dyDescent="0.25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</row>
    <row r="494" spans="1:15" x14ac:dyDescent="0.25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</row>
    <row r="495" spans="1:15" x14ac:dyDescent="0.25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</row>
    <row r="496" spans="1:15" x14ac:dyDescent="0.25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</row>
    <row r="497" spans="1:15" x14ac:dyDescent="0.25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</row>
    <row r="498" spans="1:15" x14ac:dyDescent="0.25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</row>
    <row r="499" spans="1:15" x14ac:dyDescent="0.25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</row>
    <row r="500" spans="1:15" x14ac:dyDescent="0.25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</row>
    <row r="501" spans="1:15" x14ac:dyDescent="0.25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</row>
    <row r="502" spans="1:15" x14ac:dyDescent="0.25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</row>
    <row r="503" spans="1:15" x14ac:dyDescent="0.25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</row>
    <row r="504" spans="1:15" x14ac:dyDescent="0.25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</row>
    <row r="505" spans="1:15" x14ac:dyDescent="0.25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</row>
    <row r="506" spans="1:15" x14ac:dyDescent="0.25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</row>
    <row r="507" spans="1:15" x14ac:dyDescent="0.25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</row>
    <row r="508" spans="1:15" x14ac:dyDescent="0.25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</row>
    <row r="509" spans="1:15" x14ac:dyDescent="0.25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</row>
    <row r="510" spans="1:15" x14ac:dyDescent="0.25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</row>
    <row r="511" spans="1:15" x14ac:dyDescent="0.25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</row>
    <row r="512" spans="1:15" x14ac:dyDescent="0.25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</row>
    <row r="513" spans="1:15" x14ac:dyDescent="0.25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</row>
    <row r="514" spans="1:15" x14ac:dyDescent="0.25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</row>
    <row r="515" spans="1:15" x14ac:dyDescent="0.25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</row>
    <row r="516" spans="1:15" x14ac:dyDescent="0.25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</row>
    <row r="517" spans="1:15" x14ac:dyDescent="0.25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</row>
    <row r="518" spans="1:15" x14ac:dyDescent="0.25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</row>
    <row r="519" spans="1:15" x14ac:dyDescent="0.25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</row>
    <row r="520" spans="1:15" x14ac:dyDescent="0.25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</row>
    <row r="521" spans="1:15" x14ac:dyDescent="0.25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</row>
    <row r="522" spans="1:15" x14ac:dyDescent="0.25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</row>
    <row r="523" spans="1:15" x14ac:dyDescent="0.25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</row>
    <row r="524" spans="1:15" x14ac:dyDescent="0.25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</row>
    <row r="525" spans="1:15" x14ac:dyDescent="0.25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</row>
    <row r="526" spans="1:15" x14ac:dyDescent="0.25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</row>
    <row r="527" spans="1:15" x14ac:dyDescent="0.25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</row>
    <row r="528" spans="1:15" x14ac:dyDescent="0.25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</row>
    <row r="529" spans="1:15" x14ac:dyDescent="0.25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</row>
    <row r="530" spans="1:15" x14ac:dyDescent="0.25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</row>
    <row r="531" spans="1:15" x14ac:dyDescent="0.25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</row>
    <row r="532" spans="1:15" x14ac:dyDescent="0.25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</row>
    <row r="533" spans="1:15" x14ac:dyDescent="0.25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</row>
    <row r="534" spans="1:15" x14ac:dyDescent="0.25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</row>
    <row r="535" spans="1:15" x14ac:dyDescent="0.25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</row>
    <row r="536" spans="1:15" x14ac:dyDescent="0.25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</row>
    <row r="537" spans="1:15" x14ac:dyDescent="0.25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</row>
    <row r="538" spans="1:15" x14ac:dyDescent="0.25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</row>
    <row r="539" spans="1:15" x14ac:dyDescent="0.25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</row>
    <row r="540" spans="1:15" x14ac:dyDescent="0.25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</row>
    <row r="541" spans="1:15" x14ac:dyDescent="0.25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</row>
    <row r="542" spans="1:15" x14ac:dyDescent="0.25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</row>
    <row r="543" spans="1:15" x14ac:dyDescent="0.25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</row>
    <row r="544" spans="1:15" x14ac:dyDescent="0.25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</row>
    <row r="545" spans="1:15" x14ac:dyDescent="0.25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</row>
    <row r="546" spans="1:15" x14ac:dyDescent="0.25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</row>
    <row r="547" spans="1:15" x14ac:dyDescent="0.25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</row>
    <row r="548" spans="1:15" x14ac:dyDescent="0.25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</row>
    <row r="549" spans="1:15" x14ac:dyDescent="0.25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</row>
    <row r="550" spans="1:15" x14ac:dyDescent="0.25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</row>
    <row r="551" spans="1:15" x14ac:dyDescent="0.25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</row>
    <row r="552" spans="1:15" x14ac:dyDescent="0.25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</row>
    <row r="553" spans="1:15" x14ac:dyDescent="0.25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</row>
    <row r="554" spans="1:15" x14ac:dyDescent="0.25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</row>
    <row r="555" spans="1:15" x14ac:dyDescent="0.25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</row>
    <row r="556" spans="1:15" x14ac:dyDescent="0.25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</row>
    <row r="557" spans="1:15" x14ac:dyDescent="0.25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</row>
    <row r="558" spans="1:15" x14ac:dyDescent="0.25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</row>
    <row r="559" spans="1:15" x14ac:dyDescent="0.25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</row>
    <row r="560" spans="1:15" x14ac:dyDescent="0.25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</row>
    <row r="561" spans="1:15" x14ac:dyDescent="0.25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</row>
    <row r="562" spans="1:15" x14ac:dyDescent="0.25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</row>
    <row r="563" spans="1:15" x14ac:dyDescent="0.25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</row>
    <row r="564" spans="1:15" x14ac:dyDescent="0.25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</row>
    <row r="565" spans="1:15" x14ac:dyDescent="0.25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</row>
    <row r="566" spans="1:15" x14ac:dyDescent="0.25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</row>
    <row r="567" spans="1:15" x14ac:dyDescent="0.25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</row>
    <row r="568" spans="1:15" x14ac:dyDescent="0.25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</row>
    <row r="569" spans="1:15" x14ac:dyDescent="0.25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</row>
    <row r="570" spans="1:15" x14ac:dyDescent="0.25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</row>
    <row r="571" spans="1:15" x14ac:dyDescent="0.25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</row>
    <row r="572" spans="1:15" x14ac:dyDescent="0.25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</row>
    <row r="573" spans="1:15" x14ac:dyDescent="0.25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</row>
    <row r="574" spans="1:15" x14ac:dyDescent="0.25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</row>
    <row r="575" spans="1:15" x14ac:dyDescent="0.25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</row>
    <row r="576" spans="1:15" x14ac:dyDescent="0.25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</row>
    <row r="577" spans="1:15" x14ac:dyDescent="0.25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</row>
    <row r="578" spans="1:15" x14ac:dyDescent="0.25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</row>
    <row r="579" spans="1:15" x14ac:dyDescent="0.25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</row>
    <row r="580" spans="1:15" x14ac:dyDescent="0.25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</row>
    <row r="581" spans="1:15" x14ac:dyDescent="0.25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</row>
    <row r="582" spans="1:15" x14ac:dyDescent="0.25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</row>
    <row r="583" spans="1:15" x14ac:dyDescent="0.25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</row>
    <row r="584" spans="1:15" x14ac:dyDescent="0.25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</row>
    <row r="585" spans="1:15" x14ac:dyDescent="0.25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</row>
    <row r="586" spans="1:15" x14ac:dyDescent="0.25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</row>
    <row r="587" spans="1:15" x14ac:dyDescent="0.25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</row>
    <row r="588" spans="1:15" x14ac:dyDescent="0.25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</row>
    <row r="589" spans="1:15" x14ac:dyDescent="0.25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</row>
    <row r="590" spans="1:15" x14ac:dyDescent="0.25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</row>
    <row r="591" spans="1:15" x14ac:dyDescent="0.25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</row>
    <row r="592" spans="1:15" x14ac:dyDescent="0.25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</row>
    <row r="593" spans="1:15" x14ac:dyDescent="0.25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</row>
    <row r="594" spans="1:15" x14ac:dyDescent="0.25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</row>
    <row r="595" spans="1:15" x14ac:dyDescent="0.25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</row>
    <row r="596" spans="1:15" x14ac:dyDescent="0.25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</row>
    <row r="597" spans="1:15" x14ac:dyDescent="0.25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</row>
    <row r="598" spans="1:15" x14ac:dyDescent="0.25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</row>
    <row r="599" spans="1:15" x14ac:dyDescent="0.25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</row>
    <row r="600" spans="1:15" x14ac:dyDescent="0.25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</row>
    <row r="601" spans="1:15" x14ac:dyDescent="0.25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</row>
    <row r="602" spans="1:15" x14ac:dyDescent="0.25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</row>
    <row r="603" spans="1:15" x14ac:dyDescent="0.25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</row>
    <row r="604" spans="1:15" x14ac:dyDescent="0.25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</row>
    <row r="605" spans="1:15" x14ac:dyDescent="0.25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</row>
    <row r="606" spans="1:15" x14ac:dyDescent="0.25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</row>
    <row r="607" spans="1:15" x14ac:dyDescent="0.25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</row>
    <row r="608" spans="1:15" x14ac:dyDescent="0.25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</row>
    <row r="609" spans="1:15" x14ac:dyDescent="0.25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</row>
    <row r="610" spans="1:15" x14ac:dyDescent="0.25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</row>
    <row r="611" spans="1:15" x14ac:dyDescent="0.25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</row>
    <row r="612" spans="1:15" x14ac:dyDescent="0.25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</row>
    <row r="613" spans="1:15" x14ac:dyDescent="0.25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</row>
    <row r="614" spans="1:15" x14ac:dyDescent="0.25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</row>
    <row r="615" spans="1:15" x14ac:dyDescent="0.25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</row>
    <row r="616" spans="1:15" x14ac:dyDescent="0.25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</row>
    <row r="617" spans="1:15" x14ac:dyDescent="0.25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</row>
    <row r="618" spans="1:15" x14ac:dyDescent="0.25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</row>
    <row r="619" spans="1:15" x14ac:dyDescent="0.25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</row>
    <row r="620" spans="1:15" x14ac:dyDescent="0.25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</row>
    <row r="621" spans="1:15" x14ac:dyDescent="0.25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</row>
    <row r="622" spans="1:15" x14ac:dyDescent="0.25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</row>
    <row r="623" spans="1:15" x14ac:dyDescent="0.25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</row>
    <row r="624" spans="1:15" x14ac:dyDescent="0.25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</row>
    <row r="625" spans="1:15" x14ac:dyDescent="0.25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</row>
    <row r="626" spans="1:15" x14ac:dyDescent="0.25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</row>
    <row r="627" spans="1:15" x14ac:dyDescent="0.25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</row>
    <row r="628" spans="1:15" x14ac:dyDescent="0.25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</row>
    <row r="629" spans="1:15" x14ac:dyDescent="0.25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</row>
    <row r="630" spans="1:15" x14ac:dyDescent="0.25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</row>
    <row r="631" spans="1:15" x14ac:dyDescent="0.25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</row>
    <row r="632" spans="1:15" x14ac:dyDescent="0.25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</row>
    <row r="633" spans="1:15" x14ac:dyDescent="0.25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</row>
    <row r="634" spans="1:15" x14ac:dyDescent="0.25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</row>
    <row r="635" spans="1:15" x14ac:dyDescent="0.25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</row>
    <row r="636" spans="1:15" x14ac:dyDescent="0.25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</row>
    <row r="637" spans="1:15" x14ac:dyDescent="0.25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</row>
    <row r="638" spans="1:15" x14ac:dyDescent="0.25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</row>
    <row r="639" spans="1:15" x14ac:dyDescent="0.25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</row>
    <row r="640" spans="1:15" x14ac:dyDescent="0.25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</row>
    <row r="641" spans="1:15" x14ac:dyDescent="0.25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</row>
    <row r="642" spans="1:15" x14ac:dyDescent="0.25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</row>
    <row r="643" spans="1:15" x14ac:dyDescent="0.25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</row>
    <row r="644" spans="1:15" x14ac:dyDescent="0.25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</row>
    <row r="645" spans="1:15" x14ac:dyDescent="0.25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</row>
    <row r="646" spans="1:15" x14ac:dyDescent="0.25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</row>
    <row r="647" spans="1:15" x14ac:dyDescent="0.25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</row>
    <row r="648" spans="1:15" x14ac:dyDescent="0.25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</row>
    <row r="649" spans="1:15" x14ac:dyDescent="0.25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</row>
    <row r="650" spans="1:15" x14ac:dyDescent="0.25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</row>
    <row r="651" spans="1:15" x14ac:dyDescent="0.25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</row>
    <row r="652" spans="1:15" x14ac:dyDescent="0.25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</row>
    <row r="653" spans="1:15" x14ac:dyDescent="0.25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</row>
    <row r="654" spans="1:15" x14ac:dyDescent="0.25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</row>
    <row r="655" spans="1:15" x14ac:dyDescent="0.25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</row>
    <row r="656" spans="1:15" x14ac:dyDescent="0.25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</row>
    <row r="657" spans="1:15" x14ac:dyDescent="0.25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</row>
    <row r="658" spans="1:15" x14ac:dyDescent="0.25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</row>
    <row r="659" spans="1:15" x14ac:dyDescent="0.25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</row>
    <row r="660" spans="1:15" x14ac:dyDescent="0.25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</row>
    <row r="661" spans="1:15" x14ac:dyDescent="0.25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</row>
    <row r="662" spans="1:15" x14ac:dyDescent="0.25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</row>
    <row r="663" spans="1:15" x14ac:dyDescent="0.25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</row>
    <row r="664" spans="1:15" x14ac:dyDescent="0.25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</row>
    <row r="665" spans="1:15" x14ac:dyDescent="0.25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</row>
    <row r="666" spans="1:15" x14ac:dyDescent="0.25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</row>
    <row r="667" spans="1:15" x14ac:dyDescent="0.25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</row>
    <row r="668" spans="1:15" x14ac:dyDescent="0.25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</row>
    <row r="669" spans="1:15" x14ac:dyDescent="0.25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</row>
    <row r="670" spans="1:15" x14ac:dyDescent="0.25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</row>
    <row r="671" spans="1:15" x14ac:dyDescent="0.25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</row>
    <row r="672" spans="1:15" x14ac:dyDescent="0.25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</row>
    <row r="673" spans="1:15" x14ac:dyDescent="0.25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</row>
    <row r="674" spans="1:15" x14ac:dyDescent="0.25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</row>
    <row r="675" spans="1:15" x14ac:dyDescent="0.25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</row>
    <row r="676" spans="1:15" x14ac:dyDescent="0.25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</row>
    <row r="677" spans="1:15" x14ac:dyDescent="0.25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</row>
    <row r="678" spans="1:15" x14ac:dyDescent="0.25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</row>
    <row r="679" spans="1:15" x14ac:dyDescent="0.25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</row>
    <row r="680" spans="1:15" x14ac:dyDescent="0.25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</row>
    <row r="681" spans="1:15" x14ac:dyDescent="0.25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</row>
    <row r="682" spans="1:15" x14ac:dyDescent="0.25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</row>
    <row r="683" spans="1:15" x14ac:dyDescent="0.25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</row>
    <row r="684" spans="1:15" x14ac:dyDescent="0.25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</row>
    <row r="685" spans="1:15" x14ac:dyDescent="0.25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</row>
    <row r="686" spans="1:15" x14ac:dyDescent="0.25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</row>
    <row r="687" spans="1:15" x14ac:dyDescent="0.25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</row>
    <row r="688" spans="1:15" x14ac:dyDescent="0.25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3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3">
    <tabColor rgb="FFC00000"/>
    <pageSetUpPr fitToPage="1"/>
  </sheetPr>
  <dimension ref="A1:O1778"/>
  <sheetViews>
    <sheetView showGridLines="0" zoomScale="85" zoomScaleNormal="85" workbookViewId="0">
      <pane ySplit="17" topLeftCell="A18" activePane="bottomLeft" state="frozen"/>
      <selection activeCell="T31" sqref="T31"/>
      <selection pane="bottomLeft" activeCell="A18" sqref="A18"/>
    </sheetView>
  </sheetViews>
  <sheetFormatPr defaultColWidth="11.44140625" defaultRowHeight="13.2" x14ac:dyDescent="0.25"/>
  <cols>
    <col min="1" max="1" width="20.77734375" style="36" customWidth="1"/>
    <col min="2" max="2" width="37.5546875" style="36" customWidth="1"/>
    <col min="3" max="3" width="13.21875" style="36" customWidth="1"/>
    <col min="4" max="4" width="9.77734375" style="36" bestFit="1" customWidth="1"/>
    <col min="5" max="5" width="35.77734375" style="36" bestFit="1" customWidth="1"/>
    <col min="6" max="6" width="15.88671875" style="36" customWidth="1"/>
    <col min="7" max="7" width="6.109375" style="36" customWidth="1"/>
    <col min="8" max="8" width="10.21875" style="36" customWidth="1"/>
    <col min="9" max="9" width="10.77734375" style="36" customWidth="1"/>
    <col min="10" max="13" width="8.44140625" style="36" customWidth="1"/>
    <col min="14" max="15" width="10.77734375" style="36" customWidth="1"/>
    <col min="16" max="16384" width="11.44140625" style="36"/>
  </cols>
  <sheetData>
    <row r="1" spans="1:14" ht="30" customHeight="1" x14ac:dyDescent="0.4">
      <c r="A1" s="35"/>
    </row>
    <row r="2" spans="1:14" x14ac:dyDescent="0.25">
      <c r="A2" s="31">
        <f>'Rapport info'!Updated</f>
        <v>0</v>
      </c>
      <c r="B2" s="31"/>
    </row>
    <row r="3" spans="1:14" x14ac:dyDescent="0.25">
      <c r="A3" s="37" t="s">
        <v>330</v>
      </c>
      <c r="B3" s="31"/>
    </row>
    <row r="4" spans="1:14" x14ac:dyDescent="0.25">
      <c r="A4" s="31"/>
      <c r="B4" s="31"/>
    </row>
    <row r="5" spans="1:14" x14ac:dyDescent="0.25">
      <c r="A5" s="31"/>
      <c r="B5" s="31"/>
    </row>
    <row r="6" spans="1:14" ht="14.4" x14ac:dyDescent="0.3">
      <c r="A6"/>
      <c r="B6"/>
      <c r="C6" s="31"/>
      <c r="D6" s="31"/>
    </row>
    <row r="7" spans="1:14" ht="14.4" x14ac:dyDescent="0.3">
      <c r="A7"/>
      <c r="B7"/>
      <c r="C7" s="31"/>
      <c r="D7" s="31"/>
    </row>
    <row r="8" spans="1:14" ht="14.4" x14ac:dyDescent="0.3">
      <c r="A8"/>
      <c r="B8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</row>
    <row r="9" spans="1:14" ht="14.4" x14ac:dyDescent="0.3">
      <c r="A9"/>
      <c r="B9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</row>
    <row r="10" spans="1:14" ht="14.4" x14ac:dyDescent="0.3">
      <c r="A10"/>
      <c r="B10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</row>
    <row r="11" spans="1:14" ht="14.4" x14ac:dyDescent="0.3">
      <c r="A11" s="71" t="s">
        <v>0</v>
      </c>
      <c r="B11" s="72" t="s">
        <v>114</v>
      </c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</row>
    <row r="12" spans="1:14" ht="14.4" x14ac:dyDescent="0.3">
      <c r="A12" s="71" t="s">
        <v>289</v>
      </c>
      <c r="B12" s="72" t="s">
        <v>114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</row>
    <row r="13" spans="1:14" ht="14.4" x14ac:dyDescent="0.3">
      <c r="A13" s="71" t="s">
        <v>292</v>
      </c>
      <c r="B13" s="72" t="s">
        <v>114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</row>
    <row r="14" spans="1:14" ht="14.4" x14ac:dyDescent="0.3">
      <c r="A14" s="71" t="s">
        <v>288</v>
      </c>
      <c r="B14" s="72" t="s">
        <v>114</v>
      </c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</row>
    <row r="15" spans="1:14" ht="14.4" x14ac:dyDescent="0.3">
      <c r="A15" s="71" t="s">
        <v>322</v>
      </c>
      <c r="B15" s="72" t="s">
        <v>114</v>
      </c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</row>
    <row r="16" spans="1:14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</row>
    <row r="17" spans="1:15" ht="14.4" x14ac:dyDescent="0.3">
      <c r="A17" s="1" t="s">
        <v>332</v>
      </c>
      <c r="B17" s="74" t="s">
        <v>328</v>
      </c>
      <c r="C17" s="74" t="s">
        <v>287</v>
      </c>
      <c r="D17" s="74" t="s">
        <v>2</v>
      </c>
      <c r="E17" s="74" t="s">
        <v>294</v>
      </c>
      <c r="F17" s="74" t="s">
        <v>333</v>
      </c>
      <c r="G17" s="41" t="s">
        <v>326</v>
      </c>
      <c r="H17"/>
      <c r="I17"/>
      <c r="J17" s="31"/>
      <c r="K17" s="31"/>
      <c r="L17" s="31"/>
      <c r="M17" s="31"/>
      <c r="N17" s="31"/>
      <c r="O17" s="31"/>
    </row>
    <row r="18" spans="1:15" ht="14.4" x14ac:dyDescent="0.3">
      <c r="A18" s="16" t="s">
        <v>273</v>
      </c>
      <c r="B18" s="75" t="s">
        <v>335</v>
      </c>
      <c r="C18" s="73" t="s">
        <v>283</v>
      </c>
      <c r="D18" s="75" t="s">
        <v>271</v>
      </c>
      <c r="E18" s="73" t="s">
        <v>282</v>
      </c>
      <c r="F18" s="73"/>
      <c r="G18" s="76">
        <v>241.62</v>
      </c>
      <c r="H18"/>
      <c r="I18"/>
      <c r="J18" s="31"/>
      <c r="K18" s="31"/>
      <c r="L18" s="31"/>
      <c r="M18" s="31"/>
      <c r="N18" s="31"/>
      <c r="O18" s="31"/>
    </row>
    <row r="19" spans="1:15" ht="14.4" x14ac:dyDescent="0.3">
      <c r="A19" s="77"/>
      <c r="B19" s="78"/>
      <c r="C19" s="78"/>
      <c r="D19" s="78"/>
      <c r="E19" s="78"/>
      <c r="F19" s="78"/>
      <c r="G19" s="79"/>
      <c r="H19"/>
      <c r="I19"/>
      <c r="J19" s="31"/>
      <c r="K19" s="31"/>
      <c r="L19" s="31"/>
      <c r="M19" s="31"/>
      <c r="N19" s="31"/>
      <c r="O19" s="31"/>
    </row>
    <row r="20" spans="1:15" ht="14.4" x14ac:dyDescent="0.3">
      <c r="A20" s="16" t="s">
        <v>253</v>
      </c>
      <c r="B20" s="75" t="s">
        <v>335</v>
      </c>
      <c r="C20" s="73" t="s">
        <v>283</v>
      </c>
      <c r="D20" s="75" t="s">
        <v>271</v>
      </c>
      <c r="E20" s="73" t="s">
        <v>281</v>
      </c>
      <c r="F20" s="73"/>
      <c r="G20" s="76">
        <v>58.64</v>
      </c>
      <c r="H20"/>
      <c r="I20"/>
      <c r="J20" s="31"/>
      <c r="K20" s="31"/>
      <c r="L20" s="31"/>
      <c r="M20" s="31"/>
      <c r="N20" s="31"/>
      <c r="O20" s="31"/>
    </row>
    <row r="21" spans="1:15" ht="14.4" x14ac:dyDescent="0.3">
      <c r="A21" s="77"/>
      <c r="B21" s="78"/>
      <c r="C21" s="78"/>
      <c r="D21" s="78"/>
      <c r="E21" s="78"/>
      <c r="F21" s="78"/>
      <c r="G21" s="79"/>
      <c r="H21"/>
      <c r="I21"/>
      <c r="J21" s="31"/>
      <c r="K21" s="31"/>
      <c r="L21" s="31"/>
      <c r="M21" s="31"/>
      <c r="N21" s="31"/>
      <c r="O21" s="31"/>
    </row>
    <row r="22" spans="1:15" ht="15" thickBot="1" x14ac:dyDescent="0.35">
      <c r="A22" s="2" t="s">
        <v>113</v>
      </c>
      <c r="B22" s="17"/>
      <c r="C22" s="17"/>
      <c r="D22" s="17"/>
      <c r="E22" s="17"/>
      <c r="F22" s="17"/>
      <c r="G22" s="4">
        <v>300.26</v>
      </c>
      <c r="H22" s="31"/>
      <c r="I22" s="31"/>
      <c r="J22" s="31"/>
      <c r="K22" s="31"/>
      <c r="L22" s="31"/>
      <c r="M22" s="31"/>
      <c r="N22" s="31"/>
      <c r="O22" s="31"/>
    </row>
    <row r="23" spans="1:15" ht="15" thickTop="1" x14ac:dyDescent="0.3">
      <c r="A23"/>
      <c r="B23"/>
      <c r="C23"/>
      <c r="D23"/>
      <c r="E23"/>
      <c r="F23"/>
      <c r="G23"/>
      <c r="H23" s="31"/>
      <c r="I23" s="31"/>
      <c r="J23" s="31"/>
      <c r="K23" s="31"/>
      <c r="L23" s="31"/>
      <c r="M23" s="31"/>
      <c r="N23" s="31"/>
      <c r="O23" s="31"/>
    </row>
    <row r="24" spans="1:15" ht="15" thickBot="1" x14ac:dyDescent="0.35">
      <c r="A24"/>
      <c r="B24"/>
      <c r="C24"/>
      <c r="D24"/>
      <c r="E24"/>
      <c r="F24"/>
      <c r="G24"/>
      <c r="H24" s="31"/>
      <c r="I24" s="31"/>
      <c r="J24" s="31"/>
      <c r="K24" s="31"/>
      <c r="L24" s="31"/>
      <c r="M24" s="31"/>
      <c r="N24" s="31"/>
      <c r="O24" s="31"/>
    </row>
    <row r="25" spans="1:15" ht="15" thickTop="1" x14ac:dyDescent="0.3">
      <c r="A25"/>
      <c r="B25"/>
      <c r="C25"/>
      <c r="D25"/>
      <c r="E25"/>
      <c r="F25"/>
      <c r="G25"/>
      <c r="H25" s="31"/>
      <c r="I25" s="31"/>
      <c r="J25" s="31"/>
      <c r="K25" s="31"/>
      <c r="L25" s="31"/>
      <c r="M25" s="31"/>
      <c r="N25" s="31"/>
      <c r="O25" s="31"/>
    </row>
    <row r="26" spans="1:15" ht="15" thickBot="1" x14ac:dyDescent="0.35">
      <c r="A26"/>
      <c r="B26"/>
      <c r="C26"/>
      <c r="D26"/>
      <c r="E26"/>
      <c r="F26"/>
      <c r="G26"/>
      <c r="H26" s="31"/>
      <c r="I26" s="31"/>
      <c r="J26" s="31"/>
      <c r="K26" s="31"/>
      <c r="L26" s="31"/>
      <c r="M26" s="31"/>
      <c r="N26" s="31"/>
      <c r="O26" s="31"/>
    </row>
    <row r="27" spans="1:15" ht="15" thickTop="1" x14ac:dyDescent="0.3">
      <c r="A27"/>
      <c r="B27"/>
      <c r="C27"/>
      <c r="D27"/>
      <c r="E27"/>
      <c r="F27"/>
      <c r="G27"/>
      <c r="H27" s="31"/>
      <c r="I27" s="31"/>
      <c r="J27" s="31"/>
      <c r="K27" s="31"/>
      <c r="L27" s="31"/>
      <c r="M27" s="31"/>
      <c r="N27" s="31"/>
      <c r="O27" s="31"/>
    </row>
    <row r="28" spans="1:15" ht="14.4" x14ac:dyDescent="0.3">
      <c r="A28"/>
      <c r="B28"/>
      <c r="C28"/>
      <c r="D28"/>
      <c r="E28"/>
      <c r="F28"/>
      <c r="G28"/>
      <c r="H28" s="31"/>
      <c r="I28" s="31"/>
      <c r="J28" s="31"/>
      <c r="K28" s="31"/>
      <c r="L28" s="31"/>
      <c r="M28" s="31"/>
      <c r="N28" s="31"/>
      <c r="O28" s="31"/>
    </row>
    <row r="29" spans="1:15" ht="14.4" x14ac:dyDescent="0.3">
      <c r="A29"/>
      <c r="B29"/>
      <c r="C29"/>
      <c r="D29"/>
      <c r="E29"/>
      <c r="F29"/>
      <c r="G29"/>
      <c r="H29" s="31"/>
      <c r="I29" s="31"/>
      <c r="J29" s="31"/>
      <c r="K29" s="31"/>
      <c r="L29" s="31"/>
      <c r="M29" s="31"/>
      <c r="N29" s="31"/>
      <c r="O29" s="31"/>
    </row>
    <row r="30" spans="1:15" ht="14.4" x14ac:dyDescent="0.3">
      <c r="A30"/>
      <c r="B30"/>
      <c r="C30"/>
      <c r="D30"/>
      <c r="E30"/>
      <c r="F30"/>
      <c r="G30"/>
      <c r="H30" s="31"/>
      <c r="I30" s="31"/>
      <c r="J30" s="31"/>
      <c r="K30" s="31"/>
      <c r="L30" s="31"/>
      <c r="M30" s="31"/>
      <c r="N30" s="31"/>
      <c r="O30" s="31"/>
    </row>
    <row r="31" spans="1:15" ht="14.4" x14ac:dyDescent="0.3">
      <c r="A31"/>
      <c r="B31"/>
      <c r="C31"/>
      <c r="D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</row>
    <row r="32" spans="1:15" ht="14.4" x14ac:dyDescent="0.3">
      <c r="A32"/>
      <c r="B32"/>
      <c r="C32"/>
      <c r="D32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</row>
    <row r="33" spans="1:15" ht="14.4" x14ac:dyDescent="0.3">
      <c r="A33"/>
      <c r="B33"/>
      <c r="C33"/>
      <c r="D33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</row>
    <row r="34" spans="1:15" ht="14.4" x14ac:dyDescent="0.3">
      <c r="A34"/>
      <c r="B34"/>
      <c r="C34"/>
      <c r="D34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</row>
    <row r="35" spans="1:15" ht="14.4" x14ac:dyDescent="0.3">
      <c r="A35"/>
      <c r="B35"/>
      <c r="C35"/>
      <c r="D35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</row>
    <row r="36" spans="1:15" ht="14.4" x14ac:dyDescent="0.3">
      <c r="A36"/>
      <c r="B36"/>
      <c r="C36"/>
      <c r="D36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</row>
    <row r="37" spans="1:15" ht="14.4" x14ac:dyDescent="0.3">
      <c r="A37"/>
      <c r="B37"/>
      <c r="C37"/>
      <c r="D37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</row>
    <row r="38" spans="1:15" ht="14.4" x14ac:dyDescent="0.3">
      <c r="A38"/>
      <c r="B38"/>
      <c r="C38"/>
      <c r="D38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</row>
    <row r="39" spans="1:15" ht="14.4" x14ac:dyDescent="0.3">
      <c r="A39"/>
      <c r="B39"/>
      <c r="C39"/>
      <c r="D39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15" ht="14.4" x14ac:dyDescent="0.3">
      <c r="A40"/>
      <c r="B40"/>
      <c r="C40"/>
      <c r="D40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</row>
    <row r="41" spans="1:15" ht="14.4" x14ac:dyDescent="0.3">
      <c r="A41"/>
      <c r="B41"/>
      <c r="C41"/>
      <c r="D4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</row>
    <row r="42" spans="1:15" ht="14.4" x14ac:dyDescent="0.3">
      <c r="A42"/>
      <c r="B42"/>
      <c r="C42"/>
      <c r="D42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</row>
    <row r="43" spans="1:15" ht="14.4" x14ac:dyDescent="0.3">
      <c r="A43"/>
      <c r="B43"/>
      <c r="C43"/>
      <c r="D43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</row>
    <row r="44" spans="1:15" ht="14.4" x14ac:dyDescent="0.3">
      <c r="A44"/>
      <c r="B44"/>
      <c r="C44"/>
      <c r="D44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15" ht="14.4" x14ac:dyDescent="0.3">
      <c r="A45"/>
      <c r="B45"/>
      <c r="C45"/>
      <c r="D45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</row>
    <row r="46" spans="1:15" ht="14.4" x14ac:dyDescent="0.3">
      <c r="A46"/>
      <c r="B46"/>
      <c r="C46"/>
      <c r="D46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1:15" ht="14.4" x14ac:dyDescent="0.3">
      <c r="A47"/>
      <c r="B47"/>
      <c r="C47"/>
      <c r="D47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</row>
    <row r="48" spans="1:15" ht="14.4" x14ac:dyDescent="0.3">
      <c r="A48"/>
      <c r="B48"/>
      <c r="C48"/>
      <c r="D48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</row>
    <row r="49" spans="1:15" ht="14.4" x14ac:dyDescent="0.3">
      <c r="A49"/>
      <c r="B49"/>
      <c r="C49"/>
      <c r="D49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</row>
    <row r="50" spans="1:15" ht="14.4" x14ac:dyDescent="0.3">
      <c r="A50"/>
      <c r="B50"/>
      <c r="C50"/>
      <c r="D50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</row>
    <row r="51" spans="1:15" ht="14.4" x14ac:dyDescent="0.3">
      <c r="A51"/>
      <c r="B51"/>
      <c r="C51"/>
      <c r="D5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</row>
    <row r="52" spans="1:15" ht="14.4" x14ac:dyDescent="0.3">
      <c r="A52"/>
      <c r="B52"/>
      <c r="C52"/>
      <c r="D52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</row>
    <row r="53" spans="1:15" ht="14.4" x14ac:dyDescent="0.3">
      <c r="A53"/>
      <c r="B53"/>
      <c r="C53"/>
      <c r="D53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</row>
    <row r="54" spans="1:15" ht="14.4" x14ac:dyDescent="0.3">
      <c r="A54"/>
      <c r="B54"/>
      <c r="C54"/>
      <c r="D54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</row>
    <row r="55" spans="1:15" ht="14.4" x14ac:dyDescent="0.3">
      <c r="A55"/>
      <c r="B55"/>
      <c r="C55"/>
      <c r="D55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</row>
    <row r="56" spans="1:15" ht="14.4" x14ac:dyDescent="0.3">
      <c r="A56"/>
      <c r="B56"/>
      <c r="C56"/>
      <c r="D56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</row>
    <row r="57" spans="1:15" ht="14.4" x14ac:dyDescent="0.3">
      <c r="A57"/>
      <c r="B57"/>
      <c r="C57"/>
      <c r="D57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</row>
    <row r="58" spans="1:15" ht="14.4" x14ac:dyDescent="0.3">
      <c r="A58"/>
      <c r="B58"/>
      <c r="C58"/>
      <c r="D58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</row>
    <row r="59" spans="1:15" ht="14.4" x14ac:dyDescent="0.3">
      <c r="A59"/>
      <c r="B59"/>
      <c r="C59"/>
      <c r="D59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</row>
    <row r="60" spans="1:15" ht="14.4" x14ac:dyDescent="0.3">
      <c r="A60"/>
      <c r="B60"/>
      <c r="C60"/>
      <c r="D60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</row>
    <row r="61" spans="1:15" ht="14.4" x14ac:dyDescent="0.3">
      <c r="A61"/>
      <c r="B61"/>
      <c r="C61"/>
      <c r="D6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</row>
    <row r="62" spans="1:15" ht="14.4" x14ac:dyDescent="0.3">
      <c r="A62"/>
      <c r="B62"/>
      <c r="C62"/>
      <c r="D62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</row>
    <row r="63" spans="1:15" ht="14.4" x14ac:dyDescent="0.3">
      <c r="A63"/>
      <c r="B63"/>
      <c r="C63"/>
      <c r="D63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</row>
    <row r="64" spans="1:15" ht="14.4" x14ac:dyDescent="0.3">
      <c r="A64"/>
      <c r="B64"/>
      <c r="C64"/>
      <c r="D64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</row>
    <row r="65" spans="1:15" ht="14.4" x14ac:dyDescent="0.3">
      <c r="A65"/>
      <c r="B65"/>
      <c r="C65"/>
      <c r="D65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</row>
    <row r="66" spans="1:15" ht="14.4" x14ac:dyDescent="0.3">
      <c r="A66"/>
      <c r="B66"/>
      <c r="C66"/>
      <c r="D66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</row>
    <row r="67" spans="1:15" ht="14.4" x14ac:dyDescent="0.3">
      <c r="A67"/>
      <c r="B67"/>
      <c r="C67"/>
      <c r="D67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</row>
    <row r="68" spans="1:15" ht="14.4" x14ac:dyDescent="0.3">
      <c r="A68"/>
      <c r="B68"/>
      <c r="C68"/>
      <c r="D68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</row>
    <row r="69" spans="1:15" ht="14.4" x14ac:dyDescent="0.3">
      <c r="A69"/>
      <c r="B69"/>
      <c r="C69"/>
      <c r="D69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</row>
    <row r="70" spans="1:15" ht="14.4" x14ac:dyDescent="0.3">
      <c r="A70"/>
      <c r="B70"/>
      <c r="C70"/>
      <c r="D70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</row>
    <row r="71" spans="1:15" ht="14.4" x14ac:dyDescent="0.3">
      <c r="A71"/>
      <c r="B71"/>
      <c r="C71"/>
      <c r="D7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</row>
    <row r="72" spans="1:15" ht="14.4" x14ac:dyDescent="0.3">
      <c r="A72"/>
      <c r="B72"/>
      <c r="C72"/>
      <c r="D72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</row>
    <row r="73" spans="1:15" ht="14.4" x14ac:dyDescent="0.3">
      <c r="A73"/>
      <c r="B73"/>
      <c r="C73"/>
      <c r="D73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</row>
    <row r="74" spans="1:15" ht="14.4" x14ac:dyDescent="0.3">
      <c r="A74"/>
      <c r="B74"/>
      <c r="C74"/>
      <c r="D74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</row>
    <row r="75" spans="1:15" ht="14.4" x14ac:dyDescent="0.3">
      <c r="A75"/>
      <c r="B75"/>
      <c r="C75"/>
      <c r="D75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</row>
    <row r="76" spans="1:15" ht="14.4" x14ac:dyDescent="0.3">
      <c r="A76"/>
      <c r="B76"/>
      <c r="C76"/>
      <c r="D76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</row>
    <row r="77" spans="1:15" ht="14.4" x14ac:dyDescent="0.3">
      <c r="A77"/>
      <c r="B77"/>
      <c r="C77"/>
      <c r="D77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</row>
    <row r="78" spans="1:15" ht="14.4" x14ac:dyDescent="0.3">
      <c r="A78"/>
      <c r="B78"/>
      <c r="C78"/>
      <c r="D78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</row>
    <row r="79" spans="1:15" ht="14.4" x14ac:dyDescent="0.3">
      <c r="A79"/>
      <c r="B79"/>
      <c r="C79"/>
      <c r="D79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</row>
    <row r="80" spans="1:15" ht="14.4" x14ac:dyDescent="0.3">
      <c r="A80"/>
      <c r="B80"/>
      <c r="C80"/>
      <c r="D80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</row>
    <row r="81" spans="1:15" ht="14.4" x14ac:dyDescent="0.3">
      <c r="A81"/>
      <c r="B81"/>
      <c r="C81"/>
      <c r="D8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</row>
    <row r="82" spans="1:15" ht="14.4" x14ac:dyDescent="0.3">
      <c r="A82"/>
      <c r="B82"/>
      <c r="C82"/>
      <c r="D82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</row>
    <row r="83" spans="1:15" ht="14.4" x14ac:dyDescent="0.3">
      <c r="A83"/>
      <c r="B83"/>
      <c r="C83"/>
      <c r="D83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</row>
    <row r="84" spans="1:15" ht="14.4" x14ac:dyDescent="0.3">
      <c r="A84"/>
      <c r="B84"/>
      <c r="C84"/>
      <c r="D84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</row>
    <row r="85" spans="1:15" ht="14.4" x14ac:dyDescent="0.3">
      <c r="A85"/>
      <c r="B85"/>
      <c r="C85"/>
      <c r="D85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</row>
    <row r="86" spans="1:15" ht="14.4" x14ac:dyDescent="0.3">
      <c r="A86"/>
      <c r="B86"/>
      <c r="C86"/>
      <c r="D86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</row>
    <row r="87" spans="1:15" ht="14.4" x14ac:dyDescent="0.3">
      <c r="A87"/>
      <c r="B87"/>
      <c r="C87"/>
      <c r="D87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</row>
    <row r="88" spans="1:15" ht="14.4" x14ac:dyDescent="0.3">
      <c r="A88"/>
      <c r="B88"/>
      <c r="C88"/>
      <c r="D88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</row>
    <row r="89" spans="1:15" ht="14.4" x14ac:dyDescent="0.3">
      <c r="A89"/>
      <c r="B89"/>
      <c r="C89"/>
      <c r="D89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</row>
    <row r="90" spans="1:15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</row>
    <row r="91" spans="1:15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</row>
    <row r="92" spans="1:15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</row>
    <row r="93" spans="1:15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</row>
    <row r="94" spans="1:15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</row>
    <row r="95" spans="1:15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</row>
    <row r="96" spans="1:15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</row>
    <row r="97" spans="1:15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</row>
    <row r="98" spans="1:15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</row>
    <row r="99" spans="1:15" x14ac:dyDescent="0.25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</row>
    <row r="100" spans="1:15" x14ac:dyDescent="0.25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</row>
    <row r="101" spans="1:15" x14ac:dyDescent="0.25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</row>
    <row r="102" spans="1:15" x14ac:dyDescent="0.25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</row>
    <row r="103" spans="1:15" x14ac:dyDescent="0.25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</row>
    <row r="104" spans="1:15" x14ac:dyDescent="0.25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</row>
    <row r="105" spans="1:15" x14ac:dyDescent="0.25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</row>
    <row r="106" spans="1:15" x14ac:dyDescent="0.25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</row>
    <row r="107" spans="1:15" x14ac:dyDescent="0.25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</row>
    <row r="108" spans="1:15" x14ac:dyDescent="0.25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</row>
    <row r="109" spans="1:15" x14ac:dyDescent="0.25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</row>
    <row r="110" spans="1:15" x14ac:dyDescent="0.25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</row>
    <row r="111" spans="1:15" x14ac:dyDescent="0.25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</row>
    <row r="112" spans="1:15" x14ac:dyDescent="0.25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</row>
    <row r="113" spans="1:15" x14ac:dyDescent="0.25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</row>
    <row r="114" spans="1:15" x14ac:dyDescent="0.25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</row>
    <row r="115" spans="1:15" x14ac:dyDescent="0.25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</row>
    <row r="116" spans="1:15" x14ac:dyDescent="0.25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</row>
    <row r="117" spans="1:15" x14ac:dyDescent="0.25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</row>
    <row r="118" spans="1:15" x14ac:dyDescent="0.25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</row>
    <row r="119" spans="1:15" x14ac:dyDescent="0.25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</row>
    <row r="120" spans="1:15" x14ac:dyDescent="0.25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</row>
    <row r="121" spans="1:15" x14ac:dyDescent="0.25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</row>
    <row r="122" spans="1:15" x14ac:dyDescent="0.25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</row>
    <row r="123" spans="1:15" x14ac:dyDescent="0.25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</row>
    <row r="124" spans="1:15" x14ac:dyDescent="0.25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</row>
    <row r="125" spans="1:15" x14ac:dyDescent="0.25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</row>
    <row r="126" spans="1:15" x14ac:dyDescent="0.25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</row>
    <row r="127" spans="1:15" x14ac:dyDescent="0.25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</row>
    <row r="128" spans="1:15" x14ac:dyDescent="0.25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</row>
    <row r="129" spans="1:15" x14ac:dyDescent="0.25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</row>
    <row r="130" spans="1:15" x14ac:dyDescent="0.25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</row>
    <row r="131" spans="1:15" x14ac:dyDescent="0.25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</row>
    <row r="132" spans="1:15" x14ac:dyDescent="0.25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</row>
    <row r="133" spans="1:15" x14ac:dyDescent="0.25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</row>
    <row r="134" spans="1:15" x14ac:dyDescent="0.25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</row>
    <row r="135" spans="1:15" x14ac:dyDescent="0.25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</row>
    <row r="136" spans="1:15" x14ac:dyDescent="0.25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</row>
    <row r="137" spans="1:15" x14ac:dyDescent="0.25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</row>
    <row r="138" spans="1:15" x14ac:dyDescent="0.25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</row>
    <row r="139" spans="1:15" x14ac:dyDescent="0.25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</row>
    <row r="140" spans="1:15" x14ac:dyDescent="0.25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</row>
    <row r="141" spans="1:15" x14ac:dyDescent="0.25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</row>
    <row r="142" spans="1:15" x14ac:dyDescent="0.25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</row>
    <row r="143" spans="1:15" x14ac:dyDescent="0.25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</row>
    <row r="144" spans="1:15" x14ac:dyDescent="0.25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</row>
    <row r="145" spans="1:15" x14ac:dyDescent="0.25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</row>
    <row r="146" spans="1:15" x14ac:dyDescent="0.25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</row>
    <row r="147" spans="1:15" x14ac:dyDescent="0.25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</row>
    <row r="148" spans="1:15" x14ac:dyDescent="0.25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</row>
    <row r="149" spans="1:15" x14ac:dyDescent="0.25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</row>
    <row r="150" spans="1:15" x14ac:dyDescent="0.25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</row>
    <row r="151" spans="1:15" x14ac:dyDescent="0.25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</row>
    <row r="152" spans="1:15" x14ac:dyDescent="0.25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</row>
    <row r="153" spans="1:15" x14ac:dyDescent="0.25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</row>
    <row r="154" spans="1:15" x14ac:dyDescent="0.25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</row>
    <row r="155" spans="1:15" x14ac:dyDescent="0.25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</row>
    <row r="156" spans="1:15" x14ac:dyDescent="0.25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</row>
    <row r="157" spans="1:15" x14ac:dyDescent="0.25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</row>
    <row r="158" spans="1:15" x14ac:dyDescent="0.25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</row>
    <row r="159" spans="1:15" x14ac:dyDescent="0.25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</row>
    <row r="160" spans="1:15" x14ac:dyDescent="0.25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</row>
    <row r="161" spans="1:15" x14ac:dyDescent="0.25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</row>
    <row r="162" spans="1:15" x14ac:dyDescent="0.25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</row>
    <row r="163" spans="1:15" x14ac:dyDescent="0.25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</row>
    <row r="164" spans="1:15" x14ac:dyDescent="0.25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</row>
    <row r="165" spans="1:15" x14ac:dyDescent="0.25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</row>
    <row r="166" spans="1:15" x14ac:dyDescent="0.25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</row>
    <row r="167" spans="1:15" x14ac:dyDescent="0.25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</row>
    <row r="168" spans="1:15" x14ac:dyDescent="0.25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</row>
    <row r="169" spans="1:15" x14ac:dyDescent="0.25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</row>
    <row r="170" spans="1:15" x14ac:dyDescent="0.25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</row>
    <row r="171" spans="1:15" x14ac:dyDescent="0.25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</row>
    <row r="172" spans="1:15" x14ac:dyDescent="0.25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</row>
    <row r="173" spans="1:15" x14ac:dyDescent="0.25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</row>
    <row r="174" spans="1:15" x14ac:dyDescent="0.25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</row>
    <row r="175" spans="1:15" x14ac:dyDescent="0.25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</row>
    <row r="176" spans="1:15" x14ac:dyDescent="0.25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</row>
    <row r="177" spans="1:15" x14ac:dyDescent="0.25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</row>
    <row r="178" spans="1:15" x14ac:dyDescent="0.25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</row>
    <row r="179" spans="1:15" x14ac:dyDescent="0.25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</row>
    <row r="180" spans="1:15" x14ac:dyDescent="0.25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</row>
    <row r="181" spans="1:15" x14ac:dyDescent="0.25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</row>
    <row r="182" spans="1:15" x14ac:dyDescent="0.25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</row>
    <row r="183" spans="1:15" x14ac:dyDescent="0.25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</row>
    <row r="184" spans="1:15" x14ac:dyDescent="0.25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</row>
    <row r="185" spans="1:15" x14ac:dyDescent="0.25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</row>
    <row r="186" spans="1:15" x14ac:dyDescent="0.25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</row>
    <row r="187" spans="1:15" x14ac:dyDescent="0.25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</row>
    <row r="188" spans="1:15" x14ac:dyDescent="0.25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</row>
    <row r="189" spans="1:15" x14ac:dyDescent="0.25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</row>
    <row r="190" spans="1:15" x14ac:dyDescent="0.25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</row>
    <row r="191" spans="1:15" x14ac:dyDescent="0.25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</row>
    <row r="192" spans="1:15" x14ac:dyDescent="0.25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</row>
    <row r="193" spans="1:15" x14ac:dyDescent="0.25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</row>
    <row r="194" spans="1:15" x14ac:dyDescent="0.25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</row>
    <row r="195" spans="1:15" x14ac:dyDescent="0.25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</row>
    <row r="196" spans="1:15" x14ac:dyDescent="0.25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</row>
    <row r="197" spans="1:15" x14ac:dyDescent="0.25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</row>
    <row r="198" spans="1:15" x14ac:dyDescent="0.25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</row>
    <row r="199" spans="1:15" x14ac:dyDescent="0.25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</row>
    <row r="200" spans="1:15" x14ac:dyDescent="0.25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</row>
    <row r="201" spans="1:15" x14ac:dyDescent="0.25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</row>
    <row r="202" spans="1:15" x14ac:dyDescent="0.25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</row>
    <row r="203" spans="1:15" x14ac:dyDescent="0.25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</row>
    <row r="204" spans="1:15" x14ac:dyDescent="0.25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</row>
    <row r="205" spans="1:15" x14ac:dyDescent="0.25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</row>
    <row r="206" spans="1:15" x14ac:dyDescent="0.25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</row>
    <row r="207" spans="1:15" x14ac:dyDescent="0.25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</row>
    <row r="208" spans="1:15" x14ac:dyDescent="0.25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</row>
    <row r="209" spans="1:15" x14ac:dyDescent="0.25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</row>
    <row r="210" spans="1:15" x14ac:dyDescent="0.25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</row>
    <row r="211" spans="1:15" x14ac:dyDescent="0.25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</row>
    <row r="212" spans="1:15" x14ac:dyDescent="0.25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</row>
    <row r="213" spans="1:15" x14ac:dyDescent="0.25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</row>
    <row r="214" spans="1:15" x14ac:dyDescent="0.25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</row>
    <row r="215" spans="1:15" x14ac:dyDescent="0.25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</row>
    <row r="216" spans="1:15" x14ac:dyDescent="0.25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</row>
    <row r="217" spans="1:15" x14ac:dyDescent="0.25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</row>
    <row r="218" spans="1:15" x14ac:dyDescent="0.25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</row>
    <row r="219" spans="1:15" x14ac:dyDescent="0.25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</row>
    <row r="220" spans="1:15" x14ac:dyDescent="0.25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</row>
    <row r="221" spans="1:15" x14ac:dyDescent="0.25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</row>
    <row r="222" spans="1:15" x14ac:dyDescent="0.25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</row>
    <row r="223" spans="1:15" x14ac:dyDescent="0.25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</row>
    <row r="224" spans="1:15" x14ac:dyDescent="0.25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</row>
    <row r="225" spans="1:15" x14ac:dyDescent="0.25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</row>
    <row r="226" spans="1:15" x14ac:dyDescent="0.25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</row>
    <row r="227" spans="1:15" x14ac:dyDescent="0.25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</row>
    <row r="228" spans="1:15" x14ac:dyDescent="0.25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</row>
    <row r="229" spans="1:15" x14ac:dyDescent="0.25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</row>
    <row r="230" spans="1:15" x14ac:dyDescent="0.25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</row>
    <row r="231" spans="1:15" x14ac:dyDescent="0.25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</row>
    <row r="232" spans="1:15" x14ac:dyDescent="0.25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</row>
    <row r="233" spans="1:15" x14ac:dyDescent="0.25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</row>
    <row r="234" spans="1:15" x14ac:dyDescent="0.25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</row>
    <row r="235" spans="1:15" x14ac:dyDescent="0.25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</row>
    <row r="236" spans="1:15" x14ac:dyDescent="0.25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</row>
    <row r="237" spans="1:15" x14ac:dyDescent="0.25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</row>
    <row r="238" spans="1:15" x14ac:dyDescent="0.25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</row>
    <row r="239" spans="1:15" x14ac:dyDescent="0.25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</row>
    <row r="240" spans="1:15" x14ac:dyDescent="0.25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</row>
    <row r="241" spans="1:15" x14ac:dyDescent="0.25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</row>
    <row r="242" spans="1:15" x14ac:dyDescent="0.25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</row>
    <row r="243" spans="1:15" x14ac:dyDescent="0.25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</row>
    <row r="244" spans="1:15" x14ac:dyDescent="0.25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</row>
    <row r="245" spans="1:15" x14ac:dyDescent="0.25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</row>
    <row r="246" spans="1:15" x14ac:dyDescent="0.2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</row>
    <row r="247" spans="1:15" x14ac:dyDescent="0.2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</row>
    <row r="248" spans="1:15" x14ac:dyDescent="0.25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</row>
    <row r="249" spans="1:15" x14ac:dyDescent="0.25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</row>
    <row r="250" spans="1:15" x14ac:dyDescent="0.25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</row>
    <row r="251" spans="1:15" x14ac:dyDescent="0.25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</row>
    <row r="252" spans="1:15" x14ac:dyDescent="0.25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</row>
    <row r="253" spans="1:15" x14ac:dyDescent="0.25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</row>
    <row r="254" spans="1:15" x14ac:dyDescent="0.25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</row>
    <row r="255" spans="1:15" x14ac:dyDescent="0.2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</row>
    <row r="256" spans="1:15" x14ac:dyDescent="0.2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</row>
    <row r="257" spans="1:15" x14ac:dyDescent="0.2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</row>
    <row r="258" spans="1:15" x14ac:dyDescent="0.2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</row>
    <row r="259" spans="1:15" x14ac:dyDescent="0.2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</row>
    <row r="260" spans="1:15" x14ac:dyDescent="0.2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</row>
    <row r="261" spans="1:15" x14ac:dyDescent="0.2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</row>
    <row r="262" spans="1:15" x14ac:dyDescent="0.2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</row>
    <row r="263" spans="1:15" x14ac:dyDescent="0.2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</row>
    <row r="264" spans="1:15" x14ac:dyDescent="0.2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</row>
    <row r="265" spans="1:15" x14ac:dyDescent="0.2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</row>
    <row r="266" spans="1:15" x14ac:dyDescent="0.2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</row>
    <row r="267" spans="1:15" x14ac:dyDescent="0.2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</row>
    <row r="268" spans="1:15" x14ac:dyDescent="0.2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</row>
    <row r="269" spans="1:15" x14ac:dyDescent="0.2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</row>
    <row r="270" spans="1:15" x14ac:dyDescent="0.2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</row>
    <row r="271" spans="1:15" x14ac:dyDescent="0.2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</row>
    <row r="272" spans="1:15" x14ac:dyDescent="0.2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</row>
    <row r="273" spans="1:15" x14ac:dyDescent="0.2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</row>
    <row r="274" spans="1:15" x14ac:dyDescent="0.2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</row>
    <row r="275" spans="1:15" x14ac:dyDescent="0.2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</row>
    <row r="276" spans="1:15" x14ac:dyDescent="0.2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</row>
    <row r="277" spans="1:15" x14ac:dyDescent="0.2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</row>
    <row r="278" spans="1:15" x14ac:dyDescent="0.2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</row>
    <row r="279" spans="1:15" x14ac:dyDescent="0.2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</row>
    <row r="280" spans="1:15" x14ac:dyDescent="0.2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</row>
    <row r="281" spans="1:15" x14ac:dyDescent="0.2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</row>
    <row r="282" spans="1:15" x14ac:dyDescent="0.2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</row>
    <row r="283" spans="1:15" x14ac:dyDescent="0.2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</row>
    <row r="284" spans="1:15" x14ac:dyDescent="0.2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</row>
    <row r="285" spans="1:15" x14ac:dyDescent="0.2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</row>
    <row r="286" spans="1:15" x14ac:dyDescent="0.2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</row>
    <row r="287" spans="1:15" x14ac:dyDescent="0.2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</row>
    <row r="288" spans="1:15" x14ac:dyDescent="0.2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</row>
    <row r="289" spans="1:15" x14ac:dyDescent="0.2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</row>
    <row r="290" spans="1:15" x14ac:dyDescent="0.2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</row>
    <row r="291" spans="1:15" x14ac:dyDescent="0.2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</row>
    <row r="292" spans="1:15" x14ac:dyDescent="0.2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</row>
    <row r="293" spans="1:15" x14ac:dyDescent="0.2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</row>
    <row r="294" spans="1:15" x14ac:dyDescent="0.2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</row>
    <row r="295" spans="1:15" x14ac:dyDescent="0.2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</row>
    <row r="296" spans="1:15" x14ac:dyDescent="0.2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</row>
    <row r="297" spans="1:15" x14ac:dyDescent="0.2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</row>
    <row r="298" spans="1:15" x14ac:dyDescent="0.2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</row>
    <row r="299" spans="1:15" x14ac:dyDescent="0.2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</row>
    <row r="300" spans="1:15" x14ac:dyDescent="0.2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</row>
    <row r="301" spans="1:15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</row>
    <row r="302" spans="1:15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</row>
    <row r="303" spans="1:15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</row>
    <row r="304" spans="1:15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</row>
    <row r="305" spans="1:15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</row>
    <row r="306" spans="1:15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</row>
    <row r="307" spans="1:15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</row>
    <row r="308" spans="1:15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</row>
    <row r="309" spans="1:15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</row>
    <row r="310" spans="1:15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</row>
    <row r="311" spans="1:15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</row>
    <row r="312" spans="1:15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</row>
    <row r="313" spans="1:15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</row>
    <row r="314" spans="1:15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</row>
    <row r="315" spans="1:15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</row>
    <row r="316" spans="1:15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</row>
    <row r="317" spans="1:15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</row>
    <row r="318" spans="1:15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</row>
    <row r="319" spans="1:15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</row>
    <row r="320" spans="1:15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</row>
    <row r="321" spans="1:15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</row>
    <row r="322" spans="1:15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</row>
    <row r="323" spans="1:15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</row>
    <row r="324" spans="1:15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</row>
    <row r="325" spans="1:15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</row>
    <row r="326" spans="1:15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</row>
    <row r="327" spans="1:15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</row>
    <row r="328" spans="1:15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</row>
    <row r="329" spans="1:15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</row>
    <row r="330" spans="1:15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</row>
    <row r="331" spans="1:15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</row>
    <row r="332" spans="1:15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</row>
    <row r="333" spans="1:15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</row>
    <row r="334" spans="1:15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</row>
    <row r="335" spans="1:15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</row>
    <row r="336" spans="1:15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</row>
    <row r="337" spans="1:15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</row>
    <row r="338" spans="1:15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</row>
    <row r="339" spans="1:15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</row>
    <row r="340" spans="1:15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</row>
    <row r="341" spans="1:15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</row>
    <row r="342" spans="1:15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</row>
    <row r="343" spans="1:15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</row>
    <row r="344" spans="1:15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</row>
    <row r="345" spans="1:15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</row>
    <row r="346" spans="1:15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</row>
    <row r="347" spans="1:15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</row>
    <row r="348" spans="1:15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</row>
    <row r="349" spans="1:15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</row>
    <row r="350" spans="1:15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</row>
    <row r="351" spans="1:15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</row>
    <row r="352" spans="1:15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</row>
    <row r="353" spans="1:15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</row>
    <row r="354" spans="1:15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</row>
    <row r="355" spans="1:15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</row>
    <row r="356" spans="1:15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</row>
    <row r="357" spans="1:15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</row>
    <row r="358" spans="1:15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</row>
    <row r="359" spans="1:15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</row>
    <row r="360" spans="1:15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</row>
    <row r="361" spans="1:15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</row>
    <row r="362" spans="1:15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</row>
    <row r="363" spans="1:15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</row>
    <row r="364" spans="1:15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</row>
    <row r="365" spans="1:15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</row>
    <row r="366" spans="1:15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</row>
    <row r="367" spans="1:15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</row>
    <row r="368" spans="1:15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</row>
    <row r="369" spans="1:15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</row>
    <row r="370" spans="1:15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</row>
    <row r="371" spans="1:15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</row>
    <row r="372" spans="1:15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</row>
    <row r="373" spans="1:15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</row>
    <row r="374" spans="1:15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</row>
    <row r="375" spans="1:15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</row>
    <row r="376" spans="1:15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</row>
    <row r="377" spans="1:15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</row>
    <row r="378" spans="1:15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</row>
    <row r="379" spans="1:15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</row>
    <row r="380" spans="1:15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</row>
    <row r="381" spans="1:15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</row>
    <row r="382" spans="1:15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</row>
    <row r="383" spans="1:15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</row>
    <row r="384" spans="1:15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</row>
    <row r="385" spans="1:15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</row>
    <row r="386" spans="1:15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</row>
    <row r="387" spans="1:15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</row>
    <row r="388" spans="1:15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</row>
    <row r="389" spans="1:15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</row>
    <row r="390" spans="1:15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</row>
    <row r="391" spans="1:15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</row>
    <row r="392" spans="1:15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</row>
    <row r="393" spans="1:15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</row>
    <row r="394" spans="1:15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</row>
    <row r="395" spans="1:15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</row>
    <row r="396" spans="1:15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</row>
    <row r="397" spans="1:15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</row>
    <row r="398" spans="1:15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</row>
    <row r="399" spans="1:15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</row>
    <row r="400" spans="1:15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</row>
    <row r="401" spans="1:15" x14ac:dyDescent="0.25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</row>
    <row r="402" spans="1:15" x14ac:dyDescent="0.25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</row>
    <row r="403" spans="1:15" x14ac:dyDescent="0.25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</row>
    <row r="404" spans="1:15" x14ac:dyDescent="0.25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</row>
    <row r="405" spans="1:15" x14ac:dyDescent="0.25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</row>
    <row r="406" spans="1:15" x14ac:dyDescent="0.25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</row>
    <row r="407" spans="1:15" x14ac:dyDescent="0.25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</row>
    <row r="408" spans="1:15" x14ac:dyDescent="0.25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</row>
    <row r="409" spans="1:15" x14ac:dyDescent="0.25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</row>
    <row r="410" spans="1:15" x14ac:dyDescent="0.25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</row>
    <row r="411" spans="1:15" x14ac:dyDescent="0.25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</row>
    <row r="412" spans="1:15" x14ac:dyDescent="0.25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</row>
    <row r="413" spans="1:15" x14ac:dyDescent="0.25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</row>
    <row r="414" spans="1:15" x14ac:dyDescent="0.25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</row>
    <row r="415" spans="1:15" x14ac:dyDescent="0.25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</row>
    <row r="416" spans="1:15" x14ac:dyDescent="0.25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</row>
    <row r="417" spans="1:15" x14ac:dyDescent="0.25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</row>
    <row r="418" spans="1:15" x14ac:dyDescent="0.25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</row>
    <row r="419" spans="1:15" x14ac:dyDescent="0.25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</row>
    <row r="420" spans="1:15" x14ac:dyDescent="0.25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</row>
    <row r="421" spans="1:15" x14ac:dyDescent="0.25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</row>
    <row r="422" spans="1:15" x14ac:dyDescent="0.25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</row>
    <row r="423" spans="1:15" x14ac:dyDescent="0.25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</row>
    <row r="424" spans="1:15" x14ac:dyDescent="0.25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</row>
    <row r="425" spans="1:15" x14ac:dyDescent="0.25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</row>
    <row r="426" spans="1:15" x14ac:dyDescent="0.25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</row>
    <row r="427" spans="1:15" x14ac:dyDescent="0.25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</row>
    <row r="428" spans="1:15" x14ac:dyDescent="0.25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</row>
    <row r="429" spans="1:15" x14ac:dyDescent="0.25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</row>
    <row r="430" spans="1:15" x14ac:dyDescent="0.25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</row>
    <row r="431" spans="1:15" x14ac:dyDescent="0.25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</row>
    <row r="432" spans="1:15" x14ac:dyDescent="0.25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</row>
    <row r="433" spans="1:15" x14ac:dyDescent="0.25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</row>
    <row r="434" spans="1:15" x14ac:dyDescent="0.25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</row>
    <row r="435" spans="1:15" x14ac:dyDescent="0.25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</row>
    <row r="436" spans="1:15" x14ac:dyDescent="0.25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</row>
    <row r="437" spans="1:15" x14ac:dyDescent="0.25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</row>
    <row r="438" spans="1:15" x14ac:dyDescent="0.25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</row>
    <row r="439" spans="1:15" x14ac:dyDescent="0.25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</row>
    <row r="440" spans="1:15" x14ac:dyDescent="0.25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</row>
    <row r="441" spans="1:15" x14ac:dyDescent="0.25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</row>
    <row r="442" spans="1:15" x14ac:dyDescent="0.25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</row>
    <row r="443" spans="1:15" x14ac:dyDescent="0.25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</row>
    <row r="444" spans="1:15" x14ac:dyDescent="0.25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</row>
    <row r="445" spans="1:15" x14ac:dyDescent="0.25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</row>
    <row r="446" spans="1:15" x14ac:dyDescent="0.25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</row>
    <row r="447" spans="1:15" x14ac:dyDescent="0.25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</row>
    <row r="448" spans="1:15" x14ac:dyDescent="0.25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</row>
    <row r="449" spans="1:15" x14ac:dyDescent="0.25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</row>
    <row r="450" spans="1:15" x14ac:dyDescent="0.25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</row>
    <row r="451" spans="1:15" x14ac:dyDescent="0.25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</row>
    <row r="452" spans="1:15" x14ac:dyDescent="0.25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</row>
    <row r="453" spans="1:15" x14ac:dyDescent="0.25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</row>
    <row r="454" spans="1:15" x14ac:dyDescent="0.25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</row>
    <row r="455" spans="1:15" x14ac:dyDescent="0.25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</row>
    <row r="456" spans="1:15" x14ac:dyDescent="0.25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</row>
    <row r="457" spans="1:15" x14ac:dyDescent="0.25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</row>
    <row r="458" spans="1:15" x14ac:dyDescent="0.25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</row>
    <row r="459" spans="1:15" x14ac:dyDescent="0.25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</row>
    <row r="460" spans="1:15" x14ac:dyDescent="0.25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</row>
    <row r="461" spans="1:15" x14ac:dyDescent="0.25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</row>
    <row r="462" spans="1:15" x14ac:dyDescent="0.25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</row>
    <row r="463" spans="1:15" x14ac:dyDescent="0.25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</row>
    <row r="464" spans="1:15" x14ac:dyDescent="0.25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</row>
    <row r="465" spans="1:15" x14ac:dyDescent="0.25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</row>
    <row r="466" spans="1:15" x14ac:dyDescent="0.25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</row>
    <row r="467" spans="1:15" x14ac:dyDescent="0.25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</row>
    <row r="468" spans="1:15" x14ac:dyDescent="0.25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</row>
    <row r="469" spans="1:15" x14ac:dyDescent="0.25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</row>
    <row r="470" spans="1:15" x14ac:dyDescent="0.25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</row>
    <row r="471" spans="1:15" x14ac:dyDescent="0.25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</row>
    <row r="472" spans="1:15" x14ac:dyDescent="0.25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</row>
    <row r="473" spans="1:15" x14ac:dyDescent="0.25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</row>
    <row r="474" spans="1:15" x14ac:dyDescent="0.25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</row>
    <row r="475" spans="1:15" x14ac:dyDescent="0.25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</row>
    <row r="476" spans="1:15" x14ac:dyDescent="0.25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</row>
    <row r="477" spans="1:15" x14ac:dyDescent="0.25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</row>
    <row r="478" spans="1:15" x14ac:dyDescent="0.25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</row>
    <row r="479" spans="1:15" x14ac:dyDescent="0.25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</row>
    <row r="480" spans="1:15" x14ac:dyDescent="0.25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</row>
    <row r="481" spans="1:15" x14ac:dyDescent="0.25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</row>
    <row r="482" spans="1:15" x14ac:dyDescent="0.25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</row>
    <row r="483" spans="1:15" x14ac:dyDescent="0.25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</row>
    <row r="484" spans="1:15" x14ac:dyDescent="0.25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</row>
    <row r="485" spans="1:15" x14ac:dyDescent="0.25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</row>
    <row r="486" spans="1:15" x14ac:dyDescent="0.25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</row>
    <row r="487" spans="1:15" x14ac:dyDescent="0.25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</row>
    <row r="488" spans="1:15" x14ac:dyDescent="0.25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</row>
    <row r="489" spans="1:15" x14ac:dyDescent="0.25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</row>
    <row r="490" spans="1:15" x14ac:dyDescent="0.25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</row>
    <row r="491" spans="1:15" x14ac:dyDescent="0.25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</row>
    <row r="492" spans="1:15" x14ac:dyDescent="0.25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</row>
    <row r="493" spans="1:15" x14ac:dyDescent="0.25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</row>
    <row r="494" spans="1:15" x14ac:dyDescent="0.25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</row>
    <row r="495" spans="1:15" x14ac:dyDescent="0.25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</row>
    <row r="496" spans="1:15" x14ac:dyDescent="0.25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</row>
    <row r="497" spans="1:15" x14ac:dyDescent="0.25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</row>
    <row r="498" spans="1:15" x14ac:dyDescent="0.25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</row>
    <row r="499" spans="1:15" x14ac:dyDescent="0.25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</row>
    <row r="500" spans="1:15" x14ac:dyDescent="0.25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</row>
    <row r="501" spans="1:15" x14ac:dyDescent="0.25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</row>
    <row r="502" spans="1:15" x14ac:dyDescent="0.25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</row>
    <row r="503" spans="1:15" x14ac:dyDescent="0.25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</row>
    <row r="504" spans="1:15" x14ac:dyDescent="0.25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</row>
    <row r="505" spans="1:15" x14ac:dyDescent="0.25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</row>
    <row r="506" spans="1:15" x14ac:dyDescent="0.25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</row>
    <row r="507" spans="1:15" x14ac:dyDescent="0.25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</row>
    <row r="508" spans="1:15" x14ac:dyDescent="0.25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</row>
    <row r="509" spans="1:15" x14ac:dyDescent="0.25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</row>
    <row r="510" spans="1:15" x14ac:dyDescent="0.25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</row>
    <row r="511" spans="1:15" x14ac:dyDescent="0.25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</row>
    <row r="512" spans="1:15" x14ac:dyDescent="0.25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</row>
    <row r="513" spans="1:15" x14ac:dyDescent="0.25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</row>
    <row r="514" spans="1:15" x14ac:dyDescent="0.25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</row>
    <row r="515" spans="1:15" x14ac:dyDescent="0.25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</row>
    <row r="516" spans="1:15" x14ac:dyDescent="0.25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</row>
    <row r="517" spans="1:15" x14ac:dyDescent="0.25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</row>
    <row r="518" spans="1:15" x14ac:dyDescent="0.25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</row>
    <row r="519" spans="1:15" x14ac:dyDescent="0.25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</row>
    <row r="520" spans="1:15" x14ac:dyDescent="0.25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</row>
    <row r="521" spans="1:15" x14ac:dyDescent="0.25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</row>
    <row r="522" spans="1:15" x14ac:dyDescent="0.25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</row>
    <row r="523" spans="1:15" x14ac:dyDescent="0.25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</row>
    <row r="524" spans="1:15" x14ac:dyDescent="0.25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</row>
    <row r="525" spans="1:15" x14ac:dyDescent="0.25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</row>
    <row r="526" spans="1:15" x14ac:dyDescent="0.25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</row>
    <row r="527" spans="1:15" x14ac:dyDescent="0.25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</row>
    <row r="528" spans="1:15" x14ac:dyDescent="0.25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</row>
    <row r="529" spans="1:15" x14ac:dyDescent="0.25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</row>
    <row r="530" spans="1:15" x14ac:dyDescent="0.25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</row>
    <row r="531" spans="1:15" x14ac:dyDescent="0.25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</row>
    <row r="532" spans="1:15" x14ac:dyDescent="0.25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</row>
    <row r="533" spans="1:15" x14ac:dyDescent="0.25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</row>
    <row r="534" spans="1:15" x14ac:dyDescent="0.25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</row>
    <row r="535" spans="1:15" x14ac:dyDescent="0.25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</row>
    <row r="536" spans="1:15" x14ac:dyDescent="0.25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</row>
    <row r="537" spans="1:15" x14ac:dyDescent="0.25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</row>
    <row r="538" spans="1:15" x14ac:dyDescent="0.25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</row>
    <row r="539" spans="1:15" x14ac:dyDescent="0.25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</row>
    <row r="540" spans="1:15" x14ac:dyDescent="0.25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</row>
    <row r="541" spans="1:15" x14ac:dyDescent="0.25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</row>
    <row r="542" spans="1:15" x14ac:dyDescent="0.25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</row>
    <row r="543" spans="1:15" x14ac:dyDescent="0.25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</row>
    <row r="544" spans="1:15" x14ac:dyDescent="0.25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</row>
    <row r="545" spans="1:15" x14ac:dyDescent="0.25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</row>
    <row r="546" spans="1:15" x14ac:dyDescent="0.25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</row>
    <row r="547" spans="1:15" x14ac:dyDescent="0.25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</row>
    <row r="548" spans="1:15" x14ac:dyDescent="0.25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</row>
    <row r="549" spans="1:15" x14ac:dyDescent="0.25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</row>
    <row r="550" spans="1:15" x14ac:dyDescent="0.25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</row>
    <row r="551" spans="1:15" x14ac:dyDescent="0.25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</row>
    <row r="552" spans="1:15" x14ac:dyDescent="0.25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</row>
    <row r="553" spans="1:15" x14ac:dyDescent="0.25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</row>
    <row r="554" spans="1:15" x14ac:dyDescent="0.25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</row>
    <row r="555" spans="1:15" x14ac:dyDescent="0.25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</row>
    <row r="556" spans="1:15" x14ac:dyDescent="0.25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</row>
    <row r="557" spans="1:15" x14ac:dyDescent="0.25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</row>
    <row r="558" spans="1:15" x14ac:dyDescent="0.25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</row>
    <row r="559" spans="1:15" x14ac:dyDescent="0.25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</row>
    <row r="560" spans="1:15" x14ac:dyDescent="0.25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</row>
    <row r="561" spans="1:15" x14ac:dyDescent="0.25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</row>
    <row r="562" spans="1:15" x14ac:dyDescent="0.25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</row>
    <row r="563" spans="1:15" x14ac:dyDescent="0.25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</row>
    <row r="564" spans="1:15" x14ac:dyDescent="0.25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</row>
    <row r="565" spans="1:15" x14ac:dyDescent="0.25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</row>
    <row r="566" spans="1:15" x14ac:dyDescent="0.25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</row>
    <row r="567" spans="1:15" x14ac:dyDescent="0.25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</row>
    <row r="568" spans="1:15" x14ac:dyDescent="0.25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</row>
    <row r="569" spans="1:15" x14ac:dyDescent="0.25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</row>
    <row r="570" spans="1:15" x14ac:dyDescent="0.25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</row>
    <row r="571" spans="1:15" x14ac:dyDescent="0.25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</row>
    <row r="572" spans="1:15" x14ac:dyDescent="0.25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</row>
    <row r="573" spans="1:15" x14ac:dyDescent="0.25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</row>
    <row r="574" spans="1:15" x14ac:dyDescent="0.25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</row>
    <row r="575" spans="1:15" x14ac:dyDescent="0.25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</row>
    <row r="576" spans="1:15" x14ac:dyDescent="0.25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</row>
    <row r="577" spans="1:15" x14ac:dyDescent="0.25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</row>
    <row r="578" spans="1:15" x14ac:dyDescent="0.25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</row>
    <row r="579" spans="1:15" x14ac:dyDescent="0.25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</row>
    <row r="580" spans="1:15" x14ac:dyDescent="0.25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</row>
    <row r="581" spans="1:15" x14ac:dyDescent="0.25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</row>
    <row r="582" spans="1:15" x14ac:dyDescent="0.25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</row>
    <row r="583" spans="1:15" x14ac:dyDescent="0.25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</row>
    <row r="584" spans="1:15" x14ac:dyDescent="0.25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</row>
    <row r="585" spans="1:15" x14ac:dyDescent="0.25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</row>
    <row r="586" spans="1:15" x14ac:dyDescent="0.25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</row>
    <row r="587" spans="1:15" x14ac:dyDescent="0.25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</row>
    <row r="588" spans="1:15" x14ac:dyDescent="0.25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</row>
    <row r="589" spans="1:15" x14ac:dyDescent="0.25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</row>
    <row r="590" spans="1:15" x14ac:dyDescent="0.25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</row>
    <row r="591" spans="1:15" x14ac:dyDescent="0.25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</row>
    <row r="592" spans="1:15" x14ac:dyDescent="0.25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</row>
    <row r="593" spans="1:15" x14ac:dyDescent="0.25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</row>
    <row r="594" spans="1:15" x14ac:dyDescent="0.25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</row>
    <row r="595" spans="1:15" x14ac:dyDescent="0.25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</row>
    <row r="596" spans="1:15" x14ac:dyDescent="0.25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</row>
    <row r="597" spans="1:15" x14ac:dyDescent="0.25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</row>
    <row r="598" spans="1:15" x14ac:dyDescent="0.25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</row>
    <row r="599" spans="1:15" x14ac:dyDescent="0.25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</row>
    <row r="600" spans="1:15" x14ac:dyDescent="0.25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</row>
    <row r="601" spans="1:15" x14ac:dyDescent="0.25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</row>
    <row r="602" spans="1:15" x14ac:dyDescent="0.25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</row>
    <row r="603" spans="1:15" x14ac:dyDescent="0.25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</row>
    <row r="604" spans="1:15" x14ac:dyDescent="0.25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</row>
    <row r="605" spans="1:15" x14ac:dyDescent="0.25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</row>
    <row r="606" spans="1:15" x14ac:dyDescent="0.25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</row>
    <row r="607" spans="1:15" x14ac:dyDescent="0.25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</row>
    <row r="608" spans="1:15" x14ac:dyDescent="0.25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</row>
    <row r="609" spans="1:15" x14ac:dyDescent="0.25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</row>
    <row r="610" spans="1:15" x14ac:dyDescent="0.25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</row>
    <row r="611" spans="1:15" x14ac:dyDescent="0.25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</row>
    <row r="612" spans="1:15" x14ac:dyDescent="0.25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</row>
    <row r="613" spans="1:15" x14ac:dyDescent="0.25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</row>
    <row r="614" spans="1:15" x14ac:dyDescent="0.25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</row>
    <row r="615" spans="1:15" x14ac:dyDescent="0.25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</row>
    <row r="616" spans="1:15" x14ac:dyDescent="0.25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</row>
    <row r="617" spans="1:15" x14ac:dyDescent="0.25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</row>
    <row r="618" spans="1:15" x14ac:dyDescent="0.25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</row>
    <row r="619" spans="1:15" x14ac:dyDescent="0.25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</row>
    <row r="620" spans="1:15" x14ac:dyDescent="0.25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</row>
    <row r="621" spans="1:15" x14ac:dyDescent="0.25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</row>
    <row r="622" spans="1:15" x14ac:dyDescent="0.25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</row>
    <row r="623" spans="1:15" x14ac:dyDescent="0.25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</row>
    <row r="624" spans="1:15" x14ac:dyDescent="0.25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</row>
    <row r="625" spans="1:15" x14ac:dyDescent="0.25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</row>
    <row r="626" spans="1:15" x14ac:dyDescent="0.25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</row>
    <row r="627" spans="1:15" x14ac:dyDescent="0.25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</row>
    <row r="628" spans="1:15" x14ac:dyDescent="0.25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</row>
    <row r="629" spans="1:15" x14ac:dyDescent="0.25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</row>
    <row r="630" spans="1:15" x14ac:dyDescent="0.25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</row>
    <row r="631" spans="1:15" x14ac:dyDescent="0.25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</row>
    <row r="632" spans="1:15" x14ac:dyDescent="0.25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</row>
    <row r="633" spans="1:15" x14ac:dyDescent="0.25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</row>
    <row r="634" spans="1:15" x14ac:dyDescent="0.25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</row>
    <row r="635" spans="1:15" x14ac:dyDescent="0.25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</row>
    <row r="636" spans="1:15" x14ac:dyDescent="0.25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</row>
    <row r="637" spans="1:15" x14ac:dyDescent="0.25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</row>
    <row r="638" spans="1:15" x14ac:dyDescent="0.25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</row>
    <row r="639" spans="1:15" x14ac:dyDescent="0.25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</row>
    <row r="640" spans="1:15" x14ac:dyDescent="0.25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</row>
    <row r="641" spans="1:15" x14ac:dyDescent="0.25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</row>
    <row r="642" spans="1:15" x14ac:dyDescent="0.25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</row>
    <row r="643" spans="1:15" x14ac:dyDescent="0.25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</row>
    <row r="644" spans="1:15" x14ac:dyDescent="0.25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</row>
    <row r="645" spans="1:15" x14ac:dyDescent="0.25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</row>
    <row r="646" spans="1:15" x14ac:dyDescent="0.25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</row>
    <row r="647" spans="1:15" x14ac:dyDescent="0.25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</row>
    <row r="648" spans="1:15" x14ac:dyDescent="0.25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</row>
    <row r="649" spans="1:15" x14ac:dyDescent="0.25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</row>
    <row r="650" spans="1:15" x14ac:dyDescent="0.25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</row>
    <row r="651" spans="1:15" x14ac:dyDescent="0.25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</row>
    <row r="652" spans="1:15" x14ac:dyDescent="0.25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</row>
    <row r="653" spans="1:15" x14ac:dyDescent="0.25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</row>
    <row r="654" spans="1:15" x14ac:dyDescent="0.25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</row>
    <row r="655" spans="1:15" x14ac:dyDescent="0.25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</row>
    <row r="656" spans="1:15" x14ac:dyDescent="0.25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</row>
    <row r="657" spans="1:15" x14ac:dyDescent="0.25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</row>
    <row r="658" spans="1:15" x14ac:dyDescent="0.25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</row>
    <row r="659" spans="1:15" x14ac:dyDescent="0.25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</row>
    <row r="660" spans="1:15" x14ac:dyDescent="0.25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</row>
    <row r="661" spans="1:15" x14ac:dyDescent="0.25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</row>
    <row r="662" spans="1:15" x14ac:dyDescent="0.25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</row>
    <row r="663" spans="1:15" x14ac:dyDescent="0.25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</row>
    <row r="664" spans="1:15" x14ac:dyDescent="0.25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</row>
    <row r="665" spans="1:15" x14ac:dyDescent="0.25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</row>
    <row r="666" spans="1:15" x14ac:dyDescent="0.25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</row>
    <row r="667" spans="1:15" x14ac:dyDescent="0.25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</row>
    <row r="668" spans="1:15" x14ac:dyDescent="0.25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</row>
    <row r="669" spans="1:15" x14ac:dyDescent="0.25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</row>
    <row r="670" spans="1:15" x14ac:dyDescent="0.25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</row>
    <row r="671" spans="1:15" x14ac:dyDescent="0.25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</row>
    <row r="672" spans="1:15" x14ac:dyDescent="0.25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</row>
    <row r="673" spans="1:15" x14ac:dyDescent="0.25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</row>
    <row r="674" spans="1:15" x14ac:dyDescent="0.25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</row>
    <row r="675" spans="1:15" x14ac:dyDescent="0.25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</row>
    <row r="676" spans="1:15" x14ac:dyDescent="0.25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</row>
    <row r="677" spans="1:15" x14ac:dyDescent="0.25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</row>
    <row r="678" spans="1:15" x14ac:dyDescent="0.25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</row>
    <row r="679" spans="1:15" x14ac:dyDescent="0.25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</row>
    <row r="680" spans="1:15" x14ac:dyDescent="0.25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</row>
    <row r="681" spans="1:15" x14ac:dyDescent="0.25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</row>
    <row r="682" spans="1:15" x14ac:dyDescent="0.25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</row>
    <row r="683" spans="1:15" x14ac:dyDescent="0.25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</row>
    <row r="684" spans="1:15" x14ac:dyDescent="0.25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</row>
    <row r="685" spans="1:15" x14ac:dyDescent="0.25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</row>
    <row r="686" spans="1:15" x14ac:dyDescent="0.25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</row>
    <row r="687" spans="1:15" x14ac:dyDescent="0.25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</row>
    <row r="688" spans="1:15" x14ac:dyDescent="0.25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</row>
    <row r="689" spans="1:15" x14ac:dyDescent="0.25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</row>
    <row r="690" spans="1:15" x14ac:dyDescent="0.25">
      <c r="A690" s="31"/>
      <c r="B690" s="31"/>
      <c r="C690" s="31"/>
      <c r="D690" s="31"/>
    </row>
    <row r="691" spans="1:15" x14ac:dyDescent="0.25">
      <c r="A691" s="31"/>
      <c r="B691" s="31"/>
      <c r="C691" s="31"/>
      <c r="D691" s="31"/>
    </row>
    <row r="692" spans="1:15" x14ac:dyDescent="0.25">
      <c r="A692" s="31"/>
      <c r="B692" s="31"/>
      <c r="C692" s="31"/>
      <c r="D692" s="31"/>
    </row>
    <row r="693" spans="1:15" x14ac:dyDescent="0.25">
      <c r="A693" s="31"/>
      <c r="B693" s="31"/>
      <c r="C693" s="31"/>
      <c r="D693" s="31"/>
    </row>
    <row r="694" spans="1:15" x14ac:dyDescent="0.25">
      <c r="A694" s="31"/>
      <c r="B694" s="31"/>
      <c r="C694" s="31"/>
      <c r="D694" s="31"/>
    </row>
    <row r="695" spans="1:15" x14ac:dyDescent="0.25">
      <c r="A695" s="31"/>
      <c r="B695" s="31"/>
      <c r="C695" s="31"/>
      <c r="D695" s="31"/>
    </row>
    <row r="696" spans="1:15" x14ac:dyDescent="0.25">
      <c r="A696" s="31"/>
      <c r="B696" s="31"/>
      <c r="C696" s="31"/>
      <c r="D696" s="31"/>
    </row>
    <row r="697" spans="1:15" x14ac:dyDescent="0.25">
      <c r="A697" s="31"/>
      <c r="B697" s="31"/>
      <c r="C697" s="31"/>
      <c r="D697" s="31"/>
    </row>
    <row r="698" spans="1:15" x14ac:dyDescent="0.25">
      <c r="A698" s="31"/>
      <c r="B698" s="31"/>
      <c r="C698" s="31"/>
      <c r="D698" s="31"/>
    </row>
    <row r="699" spans="1:15" x14ac:dyDescent="0.25">
      <c r="A699" s="31"/>
      <c r="B699" s="31"/>
      <c r="C699" s="31"/>
      <c r="D699" s="31"/>
    </row>
    <row r="700" spans="1:15" x14ac:dyDescent="0.25">
      <c r="A700" s="31"/>
      <c r="B700" s="31"/>
      <c r="C700" s="31"/>
      <c r="D700" s="31"/>
    </row>
    <row r="701" spans="1:15" x14ac:dyDescent="0.25">
      <c r="A701" s="31"/>
      <c r="B701" s="31"/>
      <c r="C701" s="31"/>
      <c r="D701" s="31"/>
    </row>
    <row r="702" spans="1:15" x14ac:dyDescent="0.25">
      <c r="A702" s="31"/>
      <c r="B702" s="31"/>
      <c r="C702" s="31"/>
      <c r="D702" s="31"/>
    </row>
    <row r="703" spans="1:15" x14ac:dyDescent="0.25">
      <c r="A703" s="31"/>
      <c r="B703" s="31"/>
      <c r="C703" s="31"/>
      <c r="D703" s="31"/>
    </row>
    <row r="704" spans="1:15" x14ac:dyDescent="0.25">
      <c r="A704" s="31"/>
      <c r="B704" s="31"/>
      <c r="C704" s="31"/>
      <c r="D704" s="31"/>
    </row>
    <row r="705" spans="1:4" x14ac:dyDescent="0.25">
      <c r="A705" s="31"/>
      <c r="B705" s="31"/>
      <c r="C705" s="31"/>
      <c r="D705" s="31"/>
    </row>
    <row r="706" spans="1:4" x14ac:dyDescent="0.25">
      <c r="A706" s="31"/>
      <c r="B706" s="31"/>
      <c r="C706" s="31"/>
      <c r="D706" s="31"/>
    </row>
    <row r="707" spans="1:4" x14ac:dyDescent="0.25">
      <c r="A707" s="31"/>
      <c r="B707" s="31"/>
      <c r="C707" s="31"/>
      <c r="D707" s="31"/>
    </row>
    <row r="708" spans="1:4" x14ac:dyDescent="0.25">
      <c r="A708" s="31"/>
      <c r="B708" s="31"/>
      <c r="C708" s="31"/>
      <c r="D708" s="31"/>
    </row>
    <row r="709" spans="1:4" x14ac:dyDescent="0.25">
      <c r="A709" s="31"/>
      <c r="B709" s="31"/>
      <c r="C709" s="31"/>
      <c r="D709" s="31"/>
    </row>
    <row r="710" spans="1:4" x14ac:dyDescent="0.25">
      <c r="A710" s="31"/>
      <c r="B710" s="31"/>
      <c r="C710" s="31"/>
      <c r="D710" s="31"/>
    </row>
    <row r="711" spans="1:4" x14ac:dyDescent="0.25">
      <c r="A711" s="31"/>
      <c r="B711" s="31"/>
      <c r="C711" s="31"/>
      <c r="D711" s="31"/>
    </row>
    <row r="712" spans="1:4" x14ac:dyDescent="0.25">
      <c r="A712" s="31"/>
      <c r="B712" s="31"/>
      <c r="C712" s="31"/>
      <c r="D712" s="31"/>
    </row>
    <row r="713" spans="1:4" x14ac:dyDescent="0.25">
      <c r="A713" s="31"/>
      <c r="B713" s="31"/>
      <c r="C713" s="31"/>
      <c r="D713" s="31"/>
    </row>
    <row r="714" spans="1:4" x14ac:dyDescent="0.25">
      <c r="A714" s="31"/>
      <c r="B714" s="31"/>
      <c r="C714" s="31"/>
      <c r="D714" s="31"/>
    </row>
    <row r="715" spans="1:4" x14ac:dyDescent="0.25">
      <c r="A715" s="31"/>
      <c r="B715" s="31"/>
      <c r="C715" s="31"/>
      <c r="D715" s="31"/>
    </row>
    <row r="716" spans="1:4" x14ac:dyDescent="0.25">
      <c r="A716" s="31"/>
      <c r="B716" s="31"/>
      <c r="C716" s="31"/>
      <c r="D716" s="31"/>
    </row>
    <row r="717" spans="1:4" x14ac:dyDescent="0.25">
      <c r="A717" s="31"/>
      <c r="B717" s="31"/>
      <c r="C717" s="31"/>
      <c r="D717" s="31"/>
    </row>
    <row r="718" spans="1:4" x14ac:dyDescent="0.25">
      <c r="A718" s="31"/>
      <c r="B718" s="31"/>
      <c r="C718" s="31"/>
      <c r="D718" s="31"/>
    </row>
    <row r="719" spans="1:4" x14ac:dyDescent="0.25">
      <c r="A719" s="31"/>
      <c r="B719" s="31"/>
      <c r="C719" s="31"/>
      <c r="D719" s="31"/>
    </row>
    <row r="720" spans="1:4" x14ac:dyDescent="0.25">
      <c r="A720" s="31"/>
      <c r="B720" s="31"/>
      <c r="C720" s="31"/>
      <c r="D720" s="31"/>
    </row>
    <row r="721" spans="1:4" x14ac:dyDescent="0.25">
      <c r="A721" s="31"/>
      <c r="B721" s="31"/>
      <c r="C721" s="31"/>
      <c r="D721" s="31"/>
    </row>
    <row r="722" spans="1:4" x14ac:dyDescent="0.25">
      <c r="A722" s="31"/>
      <c r="B722" s="31"/>
      <c r="C722" s="31"/>
      <c r="D722" s="31"/>
    </row>
    <row r="723" spans="1:4" x14ac:dyDescent="0.25">
      <c r="A723" s="31"/>
      <c r="B723" s="31"/>
      <c r="C723" s="31"/>
      <c r="D723" s="31"/>
    </row>
    <row r="724" spans="1:4" x14ac:dyDescent="0.25">
      <c r="A724" s="31"/>
      <c r="B724" s="31"/>
      <c r="C724" s="31"/>
      <c r="D724" s="31"/>
    </row>
    <row r="725" spans="1:4" x14ac:dyDescent="0.25">
      <c r="A725" s="31"/>
      <c r="B725" s="31"/>
      <c r="C725" s="31"/>
      <c r="D725" s="31"/>
    </row>
    <row r="726" spans="1:4" x14ac:dyDescent="0.25">
      <c r="A726" s="31"/>
      <c r="B726" s="31"/>
      <c r="C726" s="31"/>
      <c r="D726" s="31"/>
    </row>
    <row r="727" spans="1:4" x14ac:dyDescent="0.25">
      <c r="A727" s="31"/>
      <c r="B727" s="31"/>
      <c r="C727" s="31"/>
      <c r="D727" s="31"/>
    </row>
    <row r="728" spans="1:4" x14ac:dyDescent="0.25">
      <c r="A728" s="31"/>
      <c r="B728" s="31"/>
      <c r="C728" s="31"/>
      <c r="D728" s="31"/>
    </row>
    <row r="729" spans="1:4" x14ac:dyDescent="0.25">
      <c r="A729" s="31"/>
      <c r="B729" s="31"/>
      <c r="C729" s="31"/>
      <c r="D729" s="31"/>
    </row>
    <row r="730" spans="1:4" x14ac:dyDescent="0.25">
      <c r="A730" s="31"/>
      <c r="B730" s="31"/>
      <c r="C730" s="31"/>
      <c r="D730" s="31"/>
    </row>
    <row r="731" spans="1:4" x14ac:dyDescent="0.25">
      <c r="A731" s="31"/>
      <c r="B731" s="31"/>
      <c r="C731" s="31"/>
      <c r="D731" s="31"/>
    </row>
    <row r="732" spans="1:4" x14ac:dyDescent="0.25">
      <c r="A732" s="31"/>
      <c r="B732" s="31"/>
      <c r="C732" s="31"/>
      <c r="D732" s="31"/>
    </row>
    <row r="733" spans="1:4" x14ac:dyDescent="0.25">
      <c r="A733" s="31"/>
      <c r="B733" s="31"/>
      <c r="C733" s="31"/>
      <c r="D733" s="31"/>
    </row>
    <row r="734" spans="1:4" x14ac:dyDescent="0.25">
      <c r="A734" s="31"/>
      <c r="B734" s="31"/>
      <c r="C734" s="31"/>
      <c r="D734" s="31"/>
    </row>
    <row r="735" spans="1:4" x14ac:dyDescent="0.25">
      <c r="A735" s="31"/>
      <c r="B735" s="31"/>
      <c r="C735" s="31"/>
      <c r="D735" s="31"/>
    </row>
    <row r="736" spans="1:4" x14ac:dyDescent="0.25">
      <c r="A736" s="31"/>
      <c r="B736" s="31"/>
      <c r="C736" s="31"/>
      <c r="D736" s="31"/>
    </row>
    <row r="737" spans="1:4" x14ac:dyDescent="0.25">
      <c r="A737" s="31"/>
      <c r="B737" s="31"/>
      <c r="C737" s="31"/>
      <c r="D737" s="31"/>
    </row>
    <row r="738" spans="1:4" x14ac:dyDescent="0.25">
      <c r="A738" s="31"/>
      <c r="B738" s="31"/>
      <c r="C738" s="31"/>
      <c r="D738" s="31"/>
    </row>
    <row r="739" spans="1:4" x14ac:dyDescent="0.25">
      <c r="A739" s="31"/>
      <c r="B739" s="31"/>
      <c r="C739" s="31"/>
      <c r="D739" s="31"/>
    </row>
    <row r="740" spans="1:4" x14ac:dyDescent="0.25">
      <c r="A740" s="31"/>
      <c r="B740" s="31"/>
      <c r="C740" s="31"/>
      <c r="D740" s="31"/>
    </row>
    <row r="741" spans="1:4" x14ac:dyDescent="0.25">
      <c r="A741" s="31"/>
      <c r="B741" s="31"/>
      <c r="C741" s="31"/>
      <c r="D741" s="31"/>
    </row>
    <row r="742" spans="1:4" x14ac:dyDescent="0.25">
      <c r="A742" s="31"/>
      <c r="B742" s="31"/>
      <c r="C742" s="31"/>
      <c r="D742" s="31"/>
    </row>
    <row r="743" spans="1:4" x14ac:dyDescent="0.25">
      <c r="A743" s="31"/>
      <c r="B743" s="31"/>
      <c r="C743" s="31"/>
      <c r="D743" s="31"/>
    </row>
    <row r="744" spans="1:4" x14ac:dyDescent="0.25">
      <c r="A744" s="31"/>
      <c r="B744" s="31"/>
      <c r="C744" s="31"/>
      <c r="D744" s="31"/>
    </row>
    <row r="745" spans="1:4" x14ac:dyDescent="0.25">
      <c r="A745" s="31"/>
      <c r="B745" s="31"/>
      <c r="C745" s="31"/>
      <c r="D745" s="31"/>
    </row>
    <row r="746" spans="1:4" x14ac:dyDescent="0.25">
      <c r="A746" s="31"/>
      <c r="B746" s="31"/>
      <c r="C746" s="31"/>
      <c r="D746" s="31"/>
    </row>
    <row r="747" spans="1:4" x14ac:dyDescent="0.25">
      <c r="A747" s="31"/>
      <c r="B747" s="31"/>
      <c r="C747" s="31"/>
      <c r="D747" s="31"/>
    </row>
    <row r="748" spans="1:4" x14ac:dyDescent="0.25">
      <c r="A748" s="31"/>
      <c r="B748" s="31"/>
      <c r="C748" s="31"/>
      <c r="D748" s="31"/>
    </row>
    <row r="749" spans="1:4" x14ac:dyDescent="0.25">
      <c r="A749" s="31"/>
      <c r="B749" s="31"/>
      <c r="C749" s="31"/>
      <c r="D749" s="31"/>
    </row>
    <row r="750" spans="1:4" x14ac:dyDescent="0.25">
      <c r="A750" s="31"/>
      <c r="B750" s="31"/>
      <c r="C750" s="31"/>
      <c r="D750" s="31"/>
    </row>
    <row r="751" spans="1:4" x14ac:dyDescent="0.25">
      <c r="A751" s="31"/>
      <c r="B751" s="31"/>
      <c r="C751" s="31"/>
      <c r="D751" s="31"/>
    </row>
    <row r="752" spans="1:4" x14ac:dyDescent="0.25">
      <c r="A752" s="31"/>
      <c r="B752" s="31"/>
      <c r="C752" s="31"/>
      <c r="D752" s="31"/>
    </row>
    <row r="753" spans="1:4" x14ac:dyDescent="0.25">
      <c r="A753" s="31"/>
      <c r="B753" s="31"/>
      <c r="C753" s="31"/>
      <c r="D753" s="31"/>
    </row>
    <row r="754" spans="1:4" x14ac:dyDescent="0.25">
      <c r="A754" s="31"/>
      <c r="B754" s="31"/>
      <c r="C754" s="31"/>
      <c r="D754" s="31"/>
    </row>
    <row r="755" spans="1:4" x14ac:dyDescent="0.25">
      <c r="A755" s="31"/>
      <c r="B755" s="31"/>
      <c r="C755" s="31"/>
      <c r="D755" s="31"/>
    </row>
    <row r="756" spans="1:4" x14ac:dyDescent="0.25">
      <c r="A756" s="31"/>
      <c r="B756" s="31"/>
      <c r="C756" s="31"/>
      <c r="D756" s="31"/>
    </row>
    <row r="757" spans="1:4" x14ac:dyDescent="0.25">
      <c r="A757" s="31"/>
      <c r="B757" s="31"/>
      <c r="C757" s="31"/>
      <c r="D757" s="31"/>
    </row>
    <row r="758" spans="1:4" x14ac:dyDescent="0.25">
      <c r="A758" s="31"/>
      <c r="B758" s="31"/>
      <c r="C758" s="31"/>
      <c r="D758" s="31"/>
    </row>
    <row r="759" spans="1:4" x14ac:dyDescent="0.25">
      <c r="A759" s="31"/>
      <c r="B759" s="31"/>
      <c r="C759" s="31"/>
      <c r="D759" s="31"/>
    </row>
    <row r="760" spans="1:4" x14ac:dyDescent="0.25">
      <c r="A760" s="31"/>
      <c r="B760" s="31"/>
      <c r="C760" s="31"/>
      <c r="D760" s="31"/>
    </row>
    <row r="761" spans="1:4" x14ac:dyDescent="0.25">
      <c r="A761" s="31"/>
      <c r="B761" s="31"/>
      <c r="C761" s="31"/>
      <c r="D761" s="31"/>
    </row>
    <row r="762" spans="1:4" x14ac:dyDescent="0.25">
      <c r="A762" s="31"/>
      <c r="B762" s="31"/>
      <c r="C762" s="31"/>
      <c r="D762" s="31"/>
    </row>
    <row r="763" spans="1:4" x14ac:dyDescent="0.25">
      <c r="A763" s="31"/>
      <c r="B763" s="31"/>
      <c r="C763" s="31"/>
      <c r="D763" s="31"/>
    </row>
    <row r="764" spans="1:4" x14ac:dyDescent="0.25">
      <c r="A764" s="31"/>
      <c r="B764" s="31"/>
      <c r="C764" s="31"/>
      <c r="D764" s="31"/>
    </row>
    <row r="765" spans="1:4" x14ac:dyDescent="0.25">
      <c r="A765" s="31"/>
      <c r="B765" s="31"/>
      <c r="C765" s="31"/>
      <c r="D765" s="31"/>
    </row>
    <row r="766" spans="1:4" x14ac:dyDescent="0.25">
      <c r="A766" s="31"/>
      <c r="B766" s="31"/>
      <c r="C766" s="31"/>
      <c r="D766" s="31"/>
    </row>
    <row r="767" spans="1:4" x14ac:dyDescent="0.25">
      <c r="A767" s="31"/>
      <c r="B767" s="31"/>
      <c r="C767" s="31"/>
      <c r="D767" s="31"/>
    </row>
    <row r="768" spans="1:4" x14ac:dyDescent="0.25">
      <c r="A768" s="31"/>
      <c r="B768" s="31"/>
      <c r="C768" s="31"/>
      <c r="D768" s="31"/>
    </row>
    <row r="769" spans="1:4" x14ac:dyDescent="0.25">
      <c r="A769" s="31"/>
      <c r="B769" s="31"/>
      <c r="C769" s="31"/>
      <c r="D769" s="31"/>
    </row>
    <row r="770" spans="1:4" x14ac:dyDescent="0.25">
      <c r="A770" s="31"/>
      <c r="B770" s="31"/>
      <c r="C770" s="31"/>
      <c r="D770" s="31"/>
    </row>
    <row r="771" spans="1:4" x14ac:dyDescent="0.25">
      <c r="A771" s="31"/>
      <c r="B771" s="31"/>
      <c r="C771" s="31"/>
      <c r="D771" s="31"/>
    </row>
    <row r="772" spans="1:4" x14ac:dyDescent="0.25">
      <c r="A772" s="31"/>
      <c r="B772" s="31"/>
      <c r="C772" s="31"/>
      <c r="D772" s="31"/>
    </row>
    <row r="773" spans="1:4" x14ac:dyDescent="0.25">
      <c r="A773" s="31"/>
      <c r="B773" s="31"/>
      <c r="C773" s="31"/>
      <c r="D773" s="31"/>
    </row>
    <row r="774" spans="1:4" x14ac:dyDescent="0.25">
      <c r="A774" s="31"/>
      <c r="B774" s="31"/>
      <c r="C774" s="31"/>
      <c r="D774" s="31"/>
    </row>
    <row r="775" spans="1:4" x14ac:dyDescent="0.25">
      <c r="A775" s="31"/>
      <c r="B775" s="31"/>
      <c r="C775" s="31"/>
      <c r="D775" s="31"/>
    </row>
    <row r="776" spans="1:4" x14ac:dyDescent="0.25">
      <c r="A776" s="31"/>
      <c r="B776" s="31"/>
      <c r="C776" s="31"/>
      <c r="D776" s="31"/>
    </row>
    <row r="777" spans="1:4" x14ac:dyDescent="0.25">
      <c r="A777" s="31"/>
      <c r="B777" s="31"/>
      <c r="C777" s="31"/>
      <c r="D777" s="31"/>
    </row>
    <row r="778" spans="1:4" x14ac:dyDescent="0.25">
      <c r="A778" s="31"/>
      <c r="B778" s="31"/>
      <c r="C778" s="31"/>
      <c r="D778" s="31"/>
    </row>
    <row r="779" spans="1:4" x14ac:dyDescent="0.25">
      <c r="A779" s="31"/>
      <c r="B779" s="31"/>
      <c r="C779" s="31"/>
      <c r="D779" s="31"/>
    </row>
    <row r="780" spans="1:4" x14ac:dyDescent="0.25">
      <c r="A780" s="31"/>
      <c r="B780" s="31"/>
      <c r="C780" s="31"/>
      <c r="D780" s="31"/>
    </row>
    <row r="781" spans="1:4" x14ac:dyDescent="0.25">
      <c r="A781" s="31"/>
      <c r="B781" s="31"/>
      <c r="C781" s="31"/>
      <c r="D781" s="31"/>
    </row>
    <row r="782" spans="1:4" x14ac:dyDescent="0.25">
      <c r="A782" s="31"/>
      <c r="B782" s="31"/>
      <c r="C782" s="31"/>
      <c r="D782" s="31"/>
    </row>
    <row r="783" spans="1:4" x14ac:dyDescent="0.25">
      <c r="A783" s="31"/>
      <c r="B783" s="31"/>
      <c r="C783" s="31"/>
      <c r="D783" s="31"/>
    </row>
    <row r="784" spans="1:4" x14ac:dyDescent="0.25">
      <c r="A784" s="31"/>
      <c r="B784" s="31"/>
      <c r="C784" s="31"/>
      <c r="D784" s="31"/>
    </row>
    <row r="785" spans="1:4" x14ac:dyDescent="0.25">
      <c r="A785" s="31"/>
      <c r="B785" s="31"/>
      <c r="C785" s="31"/>
      <c r="D785" s="31"/>
    </row>
    <row r="786" spans="1:4" x14ac:dyDescent="0.25">
      <c r="A786" s="31"/>
      <c r="B786" s="31"/>
      <c r="C786" s="31"/>
      <c r="D786" s="31"/>
    </row>
    <row r="787" spans="1:4" x14ac:dyDescent="0.25">
      <c r="A787" s="31"/>
      <c r="B787" s="31"/>
      <c r="C787" s="31"/>
      <c r="D787" s="31"/>
    </row>
    <row r="788" spans="1:4" x14ac:dyDescent="0.25">
      <c r="A788" s="31"/>
      <c r="B788" s="31"/>
      <c r="C788" s="31"/>
      <c r="D788" s="31"/>
    </row>
    <row r="789" spans="1:4" x14ac:dyDescent="0.25">
      <c r="A789" s="31"/>
      <c r="B789" s="31"/>
      <c r="C789" s="31"/>
      <c r="D789" s="31"/>
    </row>
    <row r="790" spans="1:4" x14ac:dyDescent="0.25">
      <c r="A790" s="31"/>
      <c r="B790" s="31"/>
      <c r="C790" s="31"/>
      <c r="D790" s="31"/>
    </row>
    <row r="791" spans="1:4" x14ac:dyDescent="0.25">
      <c r="A791" s="31"/>
      <c r="B791" s="31"/>
      <c r="C791" s="31"/>
      <c r="D791" s="31"/>
    </row>
    <row r="792" spans="1:4" x14ac:dyDescent="0.25">
      <c r="A792" s="31"/>
      <c r="B792" s="31"/>
      <c r="C792" s="31"/>
      <c r="D792" s="31"/>
    </row>
    <row r="793" spans="1:4" x14ac:dyDescent="0.25">
      <c r="A793" s="31"/>
      <c r="B793" s="31"/>
      <c r="C793" s="31"/>
      <c r="D793" s="31"/>
    </row>
    <row r="794" spans="1:4" x14ac:dyDescent="0.25">
      <c r="A794" s="31"/>
      <c r="B794" s="31"/>
      <c r="C794" s="31"/>
      <c r="D794" s="31"/>
    </row>
    <row r="795" spans="1:4" x14ac:dyDescent="0.25">
      <c r="A795" s="31"/>
      <c r="B795" s="31"/>
      <c r="C795" s="31"/>
      <c r="D795" s="31"/>
    </row>
    <row r="796" spans="1:4" x14ac:dyDescent="0.25">
      <c r="A796" s="31"/>
      <c r="B796" s="31"/>
      <c r="C796" s="31"/>
      <c r="D796" s="31"/>
    </row>
    <row r="797" spans="1:4" x14ac:dyDescent="0.25">
      <c r="A797" s="31"/>
      <c r="B797" s="31"/>
      <c r="C797" s="31"/>
      <c r="D797" s="31"/>
    </row>
    <row r="798" spans="1:4" x14ac:dyDescent="0.25">
      <c r="A798" s="31"/>
      <c r="B798" s="31"/>
      <c r="C798" s="31"/>
      <c r="D798" s="31"/>
    </row>
    <row r="799" spans="1:4" x14ac:dyDescent="0.25">
      <c r="A799" s="31"/>
      <c r="B799" s="31"/>
      <c r="C799" s="31"/>
      <c r="D799" s="31"/>
    </row>
    <row r="800" spans="1:4" x14ac:dyDescent="0.25">
      <c r="A800" s="31"/>
      <c r="B800" s="31"/>
      <c r="C800" s="31"/>
      <c r="D800" s="31"/>
    </row>
    <row r="801" spans="1:4" x14ac:dyDescent="0.25">
      <c r="A801" s="31"/>
      <c r="B801" s="31"/>
      <c r="C801" s="31"/>
      <c r="D801" s="31"/>
    </row>
    <row r="802" spans="1:4" x14ac:dyDescent="0.25">
      <c r="A802" s="31"/>
      <c r="B802" s="31"/>
      <c r="C802" s="31"/>
      <c r="D802" s="31"/>
    </row>
    <row r="803" spans="1:4" x14ac:dyDescent="0.25">
      <c r="A803" s="31"/>
      <c r="B803" s="31"/>
      <c r="C803" s="31"/>
      <c r="D803" s="31"/>
    </row>
    <row r="804" spans="1:4" x14ac:dyDescent="0.25">
      <c r="A804" s="31"/>
      <c r="B804" s="31"/>
      <c r="C804" s="31"/>
      <c r="D804" s="31"/>
    </row>
    <row r="805" spans="1:4" x14ac:dyDescent="0.25">
      <c r="A805" s="31"/>
      <c r="B805" s="31"/>
      <c r="C805" s="31"/>
      <c r="D805" s="31"/>
    </row>
    <row r="806" spans="1:4" x14ac:dyDescent="0.25">
      <c r="A806" s="31"/>
      <c r="B806" s="31"/>
      <c r="C806" s="31"/>
      <c r="D806" s="31"/>
    </row>
    <row r="807" spans="1:4" x14ac:dyDescent="0.25">
      <c r="A807" s="31"/>
      <c r="B807" s="31"/>
      <c r="C807" s="31"/>
      <c r="D807" s="31"/>
    </row>
    <row r="808" spans="1:4" x14ac:dyDescent="0.25">
      <c r="A808" s="31"/>
      <c r="B808" s="31"/>
      <c r="C808" s="31"/>
      <c r="D808" s="31"/>
    </row>
    <row r="809" spans="1:4" x14ac:dyDescent="0.25">
      <c r="A809" s="31"/>
      <c r="B809" s="31"/>
      <c r="C809" s="31"/>
      <c r="D809" s="31"/>
    </row>
    <row r="810" spans="1:4" x14ac:dyDescent="0.25">
      <c r="A810" s="31"/>
      <c r="B810" s="31"/>
      <c r="C810" s="31"/>
      <c r="D810" s="31"/>
    </row>
    <row r="811" spans="1:4" x14ac:dyDescent="0.25">
      <c r="A811" s="31"/>
      <c r="B811" s="31"/>
      <c r="C811" s="31"/>
      <c r="D811" s="31"/>
    </row>
    <row r="812" spans="1:4" x14ac:dyDescent="0.25">
      <c r="A812" s="31"/>
      <c r="B812" s="31"/>
      <c r="C812" s="31"/>
      <c r="D812" s="31"/>
    </row>
    <row r="813" spans="1:4" x14ac:dyDescent="0.25">
      <c r="A813" s="31"/>
      <c r="B813" s="31"/>
      <c r="C813" s="31"/>
      <c r="D813" s="31"/>
    </row>
    <row r="814" spans="1:4" x14ac:dyDescent="0.25">
      <c r="A814" s="31"/>
      <c r="B814" s="31"/>
      <c r="C814" s="31"/>
      <c r="D814" s="31"/>
    </row>
    <row r="815" spans="1:4" x14ac:dyDescent="0.25">
      <c r="A815" s="31"/>
      <c r="B815" s="31"/>
      <c r="C815" s="31"/>
      <c r="D815" s="31"/>
    </row>
    <row r="816" spans="1:4" x14ac:dyDescent="0.25">
      <c r="A816" s="31"/>
      <c r="B816" s="31"/>
      <c r="C816" s="31"/>
      <c r="D816" s="31"/>
    </row>
    <row r="817" spans="1:4" x14ac:dyDescent="0.25">
      <c r="A817" s="31"/>
      <c r="B817" s="31"/>
      <c r="C817" s="31"/>
      <c r="D817" s="31"/>
    </row>
    <row r="818" spans="1:4" x14ac:dyDescent="0.25">
      <c r="A818" s="31"/>
      <c r="B818" s="31"/>
      <c r="C818" s="31"/>
      <c r="D818" s="31"/>
    </row>
    <row r="819" spans="1:4" x14ac:dyDescent="0.25">
      <c r="A819" s="31"/>
      <c r="B819" s="31"/>
      <c r="C819" s="31"/>
      <c r="D819" s="31"/>
    </row>
    <row r="820" spans="1:4" x14ac:dyDescent="0.25">
      <c r="A820" s="31"/>
      <c r="B820" s="31"/>
      <c r="C820" s="31"/>
      <c r="D820" s="31"/>
    </row>
    <row r="821" spans="1:4" x14ac:dyDescent="0.25">
      <c r="A821" s="31"/>
      <c r="B821" s="31"/>
      <c r="C821" s="31"/>
      <c r="D821" s="31"/>
    </row>
    <row r="822" spans="1:4" x14ac:dyDescent="0.25">
      <c r="A822" s="31"/>
      <c r="B822" s="31"/>
      <c r="C822" s="31"/>
      <c r="D822" s="31"/>
    </row>
    <row r="823" spans="1:4" x14ac:dyDescent="0.25">
      <c r="A823" s="31"/>
      <c r="B823" s="31"/>
      <c r="C823" s="31"/>
      <c r="D823" s="31"/>
    </row>
    <row r="824" spans="1:4" x14ac:dyDescent="0.25">
      <c r="A824" s="31"/>
      <c r="B824" s="31"/>
      <c r="C824" s="31"/>
      <c r="D824" s="31"/>
    </row>
    <row r="825" spans="1:4" x14ac:dyDescent="0.25">
      <c r="A825" s="31"/>
      <c r="B825" s="31"/>
      <c r="C825" s="31"/>
      <c r="D825" s="31"/>
    </row>
    <row r="826" spans="1:4" x14ac:dyDescent="0.25">
      <c r="A826" s="31"/>
      <c r="B826" s="31"/>
      <c r="C826" s="31"/>
      <c r="D826" s="31"/>
    </row>
    <row r="827" spans="1:4" x14ac:dyDescent="0.25">
      <c r="A827" s="31"/>
      <c r="B827" s="31"/>
      <c r="C827" s="31"/>
      <c r="D827" s="31"/>
    </row>
    <row r="828" spans="1:4" x14ac:dyDescent="0.25">
      <c r="A828" s="31"/>
      <c r="B828" s="31"/>
      <c r="C828" s="31"/>
      <c r="D828" s="31"/>
    </row>
    <row r="829" spans="1:4" x14ac:dyDescent="0.25">
      <c r="A829" s="31"/>
      <c r="B829" s="31"/>
      <c r="C829" s="31"/>
      <c r="D829" s="31"/>
    </row>
    <row r="830" spans="1:4" x14ac:dyDescent="0.25">
      <c r="A830" s="31"/>
      <c r="B830" s="31"/>
      <c r="C830" s="31"/>
      <c r="D830" s="31"/>
    </row>
    <row r="831" spans="1:4" x14ac:dyDescent="0.25">
      <c r="A831" s="31"/>
      <c r="B831" s="31"/>
      <c r="C831" s="31"/>
      <c r="D831" s="31"/>
    </row>
    <row r="832" spans="1:4" x14ac:dyDescent="0.25">
      <c r="A832" s="31"/>
      <c r="B832" s="31"/>
      <c r="C832" s="31"/>
      <c r="D832" s="31"/>
    </row>
    <row r="833" spans="1:4" x14ac:dyDescent="0.25">
      <c r="A833" s="31"/>
      <c r="B833" s="31"/>
      <c r="C833" s="31"/>
      <c r="D833" s="31"/>
    </row>
    <row r="834" spans="1:4" x14ac:dyDescent="0.25">
      <c r="A834" s="31"/>
      <c r="B834" s="31"/>
      <c r="C834" s="31"/>
      <c r="D834" s="31"/>
    </row>
    <row r="835" spans="1:4" x14ac:dyDescent="0.25">
      <c r="A835" s="31"/>
      <c r="B835" s="31"/>
      <c r="C835" s="31"/>
      <c r="D835" s="31"/>
    </row>
    <row r="836" spans="1:4" x14ac:dyDescent="0.25">
      <c r="A836" s="31"/>
      <c r="B836" s="31"/>
      <c r="C836" s="31"/>
      <c r="D836" s="31"/>
    </row>
    <row r="837" spans="1:4" x14ac:dyDescent="0.25">
      <c r="A837" s="31"/>
      <c r="B837" s="31"/>
      <c r="C837" s="31"/>
      <c r="D837" s="31"/>
    </row>
    <row r="838" spans="1:4" x14ac:dyDescent="0.25">
      <c r="A838" s="31"/>
      <c r="B838" s="31"/>
      <c r="C838" s="31"/>
      <c r="D838" s="31"/>
    </row>
    <row r="839" spans="1:4" x14ac:dyDescent="0.25">
      <c r="A839" s="31"/>
      <c r="B839" s="31"/>
      <c r="C839" s="31"/>
      <c r="D839" s="31"/>
    </row>
    <row r="840" spans="1:4" x14ac:dyDescent="0.25">
      <c r="A840" s="31"/>
      <c r="B840" s="31"/>
      <c r="C840" s="31"/>
      <c r="D840" s="31"/>
    </row>
    <row r="841" spans="1:4" x14ac:dyDescent="0.25">
      <c r="A841" s="31"/>
      <c r="B841" s="31"/>
      <c r="C841" s="31"/>
      <c r="D841" s="31"/>
    </row>
    <row r="842" spans="1:4" x14ac:dyDescent="0.25">
      <c r="A842" s="31"/>
      <c r="B842" s="31"/>
      <c r="C842" s="31"/>
      <c r="D842" s="31"/>
    </row>
    <row r="843" spans="1:4" x14ac:dyDescent="0.25">
      <c r="A843" s="31"/>
      <c r="B843" s="31"/>
      <c r="C843" s="31"/>
      <c r="D843" s="31"/>
    </row>
    <row r="844" spans="1:4" x14ac:dyDescent="0.25">
      <c r="A844" s="31"/>
      <c r="B844" s="31"/>
      <c r="C844" s="31"/>
      <c r="D844" s="31"/>
    </row>
    <row r="845" spans="1:4" x14ac:dyDescent="0.25">
      <c r="A845" s="31"/>
      <c r="B845" s="31"/>
      <c r="C845" s="31"/>
      <c r="D845" s="31"/>
    </row>
    <row r="846" spans="1:4" x14ac:dyDescent="0.25">
      <c r="A846" s="31"/>
      <c r="B846" s="31"/>
      <c r="C846" s="31"/>
      <c r="D846" s="31"/>
    </row>
    <row r="847" spans="1:4" x14ac:dyDescent="0.25">
      <c r="A847" s="31"/>
      <c r="B847" s="31"/>
      <c r="C847" s="31"/>
      <c r="D847" s="31"/>
    </row>
    <row r="848" spans="1:4" x14ac:dyDescent="0.25">
      <c r="A848" s="31"/>
      <c r="B848" s="31"/>
      <c r="C848" s="31"/>
      <c r="D848" s="31"/>
    </row>
    <row r="849" spans="1:4" x14ac:dyDescent="0.25">
      <c r="A849" s="31"/>
      <c r="B849" s="31"/>
      <c r="C849" s="31"/>
      <c r="D849" s="31"/>
    </row>
    <row r="850" spans="1:4" x14ac:dyDescent="0.25">
      <c r="A850" s="31"/>
      <c r="B850" s="31"/>
      <c r="C850" s="31"/>
      <c r="D850" s="31"/>
    </row>
    <row r="851" spans="1:4" x14ac:dyDescent="0.25">
      <c r="A851" s="31"/>
      <c r="B851" s="31"/>
      <c r="C851" s="31"/>
      <c r="D851" s="31"/>
    </row>
    <row r="852" spans="1:4" x14ac:dyDescent="0.25">
      <c r="A852" s="31"/>
      <c r="B852" s="31"/>
      <c r="C852" s="31"/>
      <c r="D852" s="31"/>
    </row>
    <row r="853" spans="1:4" x14ac:dyDescent="0.25">
      <c r="A853" s="31"/>
      <c r="B853" s="31"/>
      <c r="C853" s="31"/>
      <c r="D853" s="31"/>
    </row>
    <row r="854" spans="1:4" x14ac:dyDescent="0.25">
      <c r="A854" s="31"/>
      <c r="B854" s="31"/>
      <c r="C854" s="31"/>
      <c r="D854" s="31"/>
    </row>
    <row r="855" spans="1:4" x14ac:dyDescent="0.25">
      <c r="A855" s="31"/>
      <c r="B855" s="31"/>
      <c r="C855" s="31"/>
      <c r="D855" s="31"/>
    </row>
    <row r="856" spans="1:4" x14ac:dyDescent="0.25">
      <c r="A856" s="31"/>
      <c r="B856" s="31"/>
      <c r="C856" s="31"/>
      <c r="D856" s="31"/>
    </row>
    <row r="857" spans="1:4" x14ac:dyDescent="0.25">
      <c r="A857" s="31"/>
      <c r="B857" s="31"/>
      <c r="C857" s="31"/>
      <c r="D857" s="31"/>
    </row>
    <row r="858" spans="1:4" x14ac:dyDescent="0.25">
      <c r="A858" s="31"/>
      <c r="B858" s="31"/>
      <c r="C858" s="31"/>
      <c r="D858" s="31"/>
    </row>
    <row r="859" spans="1:4" x14ac:dyDescent="0.25">
      <c r="A859" s="31"/>
      <c r="B859" s="31"/>
      <c r="C859" s="31"/>
      <c r="D859" s="31"/>
    </row>
    <row r="860" spans="1:4" x14ac:dyDescent="0.25">
      <c r="A860" s="31"/>
      <c r="B860" s="31"/>
      <c r="C860" s="31"/>
      <c r="D860" s="31"/>
    </row>
    <row r="861" spans="1:4" x14ac:dyDescent="0.25">
      <c r="A861" s="31"/>
      <c r="B861" s="31"/>
      <c r="C861" s="31"/>
      <c r="D861" s="31"/>
    </row>
    <row r="862" spans="1:4" x14ac:dyDescent="0.25">
      <c r="A862" s="31"/>
      <c r="B862" s="31"/>
      <c r="C862" s="31"/>
      <c r="D862" s="31"/>
    </row>
    <row r="863" spans="1:4" x14ac:dyDescent="0.25">
      <c r="A863" s="31"/>
      <c r="B863" s="31"/>
      <c r="C863" s="31"/>
      <c r="D863" s="31"/>
    </row>
    <row r="864" spans="1:4" x14ac:dyDescent="0.25">
      <c r="A864" s="31"/>
      <c r="B864" s="31"/>
      <c r="C864" s="31"/>
      <c r="D864" s="31"/>
    </row>
    <row r="865" spans="1:4" x14ac:dyDescent="0.25">
      <c r="A865" s="31"/>
      <c r="B865" s="31"/>
      <c r="C865" s="31"/>
      <c r="D865" s="31"/>
    </row>
    <row r="866" spans="1:4" x14ac:dyDescent="0.25">
      <c r="A866" s="31"/>
      <c r="B866" s="31"/>
      <c r="C866" s="31"/>
      <c r="D866" s="31"/>
    </row>
    <row r="867" spans="1:4" x14ac:dyDescent="0.25">
      <c r="A867" s="31"/>
      <c r="B867" s="31"/>
      <c r="C867" s="31"/>
      <c r="D867" s="31"/>
    </row>
    <row r="868" spans="1:4" x14ac:dyDescent="0.25">
      <c r="A868" s="31"/>
      <c r="B868" s="31"/>
      <c r="C868" s="31"/>
      <c r="D868" s="31"/>
    </row>
    <row r="869" spans="1:4" x14ac:dyDescent="0.25">
      <c r="A869" s="31"/>
      <c r="B869" s="31"/>
      <c r="C869" s="31"/>
      <c r="D869" s="31"/>
    </row>
    <row r="870" spans="1:4" x14ac:dyDescent="0.25">
      <c r="A870" s="31"/>
      <c r="B870" s="31"/>
      <c r="C870" s="31"/>
      <c r="D870" s="31"/>
    </row>
    <row r="871" spans="1:4" x14ac:dyDescent="0.25">
      <c r="A871" s="31"/>
      <c r="B871" s="31"/>
      <c r="C871" s="31"/>
      <c r="D871" s="31"/>
    </row>
    <row r="872" spans="1:4" x14ac:dyDescent="0.25">
      <c r="A872" s="31"/>
      <c r="B872" s="31"/>
      <c r="C872" s="31"/>
      <c r="D872" s="31"/>
    </row>
    <row r="873" spans="1:4" x14ac:dyDescent="0.25">
      <c r="A873" s="31"/>
      <c r="B873" s="31"/>
      <c r="C873" s="31"/>
      <c r="D873" s="31"/>
    </row>
    <row r="874" spans="1:4" x14ac:dyDescent="0.25">
      <c r="A874" s="31"/>
      <c r="B874" s="31"/>
      <c r="C874" s="31"/>
      <c r="D874" s="31"/>
    </row>
    <row r="875" spans="1:4" x14ac:dyDescent="0.25">
      <c r="A875" s="31"/>
      <c r="B875" s="31"/>
      <c r="C875" s="31"/>
      <c r="D875" s="31"/>
    </row>
    <row r="876" spans="1:4" x14ac:dyDescent="0.25">
      <c r="A876" s="31"/>
      <c r="B876" s="31"/>
      <c r="C876" s="31"/>
      <c r="D876" s="31"/>
    </row>
    <row r="877" spans="1:4" x14ac:dyDescent="0.25">
      <c r="A877" s="31"/>
      <c r="B877" s="31"/>
      <c r="C877" s="31"/>
      <c r="D877" s="31"/>
    </row>
    <row r="878" spans="1:4" x14ac:dyDescent="0.25">
      <c r="A878" s="31"/>
      <c r="B878" s="31"/>
      <c r="C878" s="31"/>
      <c r="D878" s="31"/>
    </row>
    <row r="879" spans="1:4" x14ac:dyDescent="0.25">
      <c r="A879" s="31"/>
      <c r="B879" s="31"/>
      <c r="C879" s="31"/>
      <c r="D879" s="31"/>
    </row>
    <row r="880" spans="1:4" x14ac:dyDescent="0.25">
      <c r="A880" s="31"/>
      <c r="B880" s="31"/>
      <c r="C880" s="31"/>
      <c r="D880" s="31"/>
    </row>
    <row r="881" spans="1:4" x14ac:dyDescent="0.25">
      <c r="A881" s="31"/>
      <c r="B881" s="31"/>
      <c r="C881" s="31"/>
      <c r="D881" s="31"/>
    </row>
    <row r="882" spans="1:4" x14ac:dyDescent="0.25">
      <c r="A882" s="31"/>
      <c r="B882" s="31"/>
      <c r="C882" s="31"/>
      <c r="D882" s="31"/>
    </row>
    <row r="883" spans="1:4" x14ac:dyDescent="0.25">
      <c r="A883" s="31"/>
      <c r="B883" s="31"/>
      <c r="C883" s="31"/>
      <c r="D883" s="31"/>
    </row>
    <row r="884" spans="1:4" x14ac:dyDescent="0.25">
      <c r="A884" s="31"/>
      <c r="B884" s="31"/>
      <c r="C884" s="31"/>
      <c r="D884" s="31"/>
    </row>
    <row r="885" spans="1:4" x14ac:dyDescent="0.25">
      <c r="A885" s="31"/>
      <c r="B885" s="31"/>
      <c r="C885" s="31"/>
      <c r="D885" s="31"/>
    </row>
    <row r="886" spans="1:4" x14ac:dyDescent="0.25">
      <c r="A886" s="31"/>
      <c r="B886" s="31"/>
      <c r="C886" s="31"/>
      <c r="D886" s="31"/>
    </row>
    <row r="887" spans="1:4" x14ac:dyDescent="0.25">
      <c r="A887" s="31"/>
      <c r="B887" s="31"/>
      <c r="C887" s="31"/>
      <c r="D887" s="31"/>
    </row>
    <row r="888" spans="1:4" x14ac:dyDescent="0.25">
      <c r="A888" s="31"/>
      <c r="B888" s="31"/>
      <c r="C888" s="31"/>
      <c r="D888" s="31"/>
    </row>
    <row r="889" spans="1:4" x14ac:dyDescent="0.25">
      <c r="A889" s="31"/>
      <c r="B889" s="31"/>
      <c r="C889" s="31"/>
      <c r="D889" s="31"/>
    </row>
    <row r="890" spans="1:4" x14ac:dyDescent="0.25">
      <c r="A890" s="31"/>
      <c r="B890" s="31"/>
      <c r="C890" s="31"/>
      <c r="D890" s="31"/>
    </row>
    <row r="891" spans="1:4" x14ac:dyDescent="0.25">
      <c r="A891" s="31"/>
      <c r="B891" s="31"/>
      <c r="C891" s="31"/>
      <c r="D891" s="31"/>
    </row>
    <row r="892" spans="1:4" x14ac:dyDescent="0.25">
      <c r="A892" s="31"/>
      <c r="B892" s="31"/>
      <c r="C892" s="31"/>
      <c r="D892" s="31"/>
    </row>
    <row r="893" spans="1:4" x14ac:dyDescent="0.25">
      <c r="A893" s="31"/>
      <c r="B893" s="31"/>
      <c r="C893" s="31"/>
      <c r="D893" s="31"/>
    </row>
    <row r="894" spans="1:4" x14ac:dyDescent="0.25">
      <c r="A894" s="31"/>
      <c r="B894" s="31"/>
      <c r="C894" s="31"/>
      <c r="D894" s="31"/>
    </row>
    <row r="895" spans="1:4" x14ac:dyDescent="0.25">
      <c r="A895" s="31"/>
      <c r="B895" s="31"/>
      <c r="C895" s="31"/>
      <c r="D895" s="31"/>
    </row>
    <row r="896" spans="1:4" x14ac:dyDescent="0.25">
      <c r="A896" s="31"/>
      <c r="B896" s="31"/>
      <c r="C896" s="31"/>
      <c r="D896" s="31"/>
    </row>
    <row r="897" spans="1:4" x14ac:dyDescent="0.25">
      <c r="A897" s="31"/>
      <c r="B897" s="31"/>
      <c r="C897" s="31"/>
      <c r="D897" s="31"/>
    </row>
    <row r="898" spans="1:4" x14ac:dyDescent="0.25">
      <c r="A898" s="31"/>
      <c r="B898" s="31"/>
      <c r="C898" s="31"/>
      <c r="D898" s="31"/>
    </row>
    <row r="899" spans="1:4" x14ac:dyDescent="0.25">
      <c r="A899" s="31"/>
      <c r="B899" s="31"/>
      <c r="C899" s="31"/>
      <c r="D899" s="31"/>
    </row>
    <row r="900" spans="1:4" x14ac:dyDescent="0.25">
      <c r="A900" s="31"/>
      <c r="B900" s="31"/>
      <c r="C900" s="31"/>
      <c r="D900" s="31"/>
    </row>
    <row r="901" spans="1:4" x14ac:dyDescent="0.25">
      <c r="A901" s="31"/>
      <c r="B901" s="31"/>
      <c r="C901" s="31"/>
      <c r="D901" s="31"/>
    </row>
    <row r="902" spans="1:4" x14ac:dyDescent="0.25">
      <c r="A902" s="31"/>
      <c r="B902" s="31"/>
      <c r="C902" s="31"/>
      <c r="D902" s="31"/>
    </row>
    <row r="903" spans="1:4" x14ac:dyDescent="0.25">
      <c r="A903" s="31"/>
      <c r="B903" s="31"/>
      <c r="C903" s="31"/>
      <c r="D903" s="31"/>
    </row>
    <row r="904" spans="1:4" x14ac:dyDescent="0.25">
      <c r="A904" s="31"/>
      <c r="B904" s="31"/>
      <c r="C904" s="31"/>
      <c r="D904" s="31"/>
    </row>
    <row r="905" spans="1:4" x14ac:dyDescent="0.25">
      <c r="A905" s="31"/>
      <c r="B905" s="31"/>
      <c r="C905" s="31"/>
      <c r="D905" s="31"/>
    </row>
    <row r="906" spans="1:4" x14ac:dyDescent="0.25">
      <c r="A906" s="31"/>
      <c r="B906" s="31"/>
      <c r="C906" s="31"/>
      <c r="D906" s="31"/>
    </row>
    <row r="907" spans="1:4" x14ac:dyDescent="0.25">
      <c r="A907" s="31"/>
      <c r="B907" s="31"/>
      <c r="C907" s="31"/>
      <c r="D907" s="31"/>
    </row>
    <row r="908" spans="1:4" x14ac:dyDescent="0.25">
      <c r="A908" s="31"/>
      <c r="B908" s="31"/>
      <c r="C908" s="31"/>
      <c r="D908" s="31"/>
    </row>
    <row r="909" spans="1:4" x14ac:dyDescent="0.25">
      <c r="A909" s="31"/>
      <c r="B909" s="31"/>
      <c r="C909" s="31"/>
      <c r="D909" s="31"/>
    </row>
    <row r="910" spans="1:4" x14ac:dyDescent="0.25">
      <c r="A910" s="31"/>
      <c r="B910" s="31"/>
      <c r="C910" s="31"/>
      <c r="D910" s="31"/>
    </row>
    <row r="911" spans="1:4" x14ac:dyDescent="0.25">
      <c r="A911" s="31"/>
      <c r="B911" s="31"/>
      <c r="C911" s="31"/>
      <c r="D911" s="31"/>
    </row>
    <row r="912" spans="1:4" x14ac:dyDescent="0.25">
      <c r="A912" s="31"/>
      <c r="B912" s="31"/>
      <c r="C912" s="31"/>
      <c r="D912" s="31"/>
    </row>
    <row r="913" spans="1:4" x14ac:dyDescent="0.25">
      <c r="A913" s="31"/>
      <c r="B913" s="31"/>
      <c r="C913" s="31"/>
      <c r="D913" s="31"/>
    </row>
    <row r="914" spans="1:4" x14ac:dyDescent="0.25">
      <c r="A914" s="31"/>
      <c r="B914" s="31"/>
      <c r="C914" s="31"/>
      <c r="D914" s="31"/>
    </row>
    <row r="915" spans="1:4" x14ac:dyDescent="0.25">
      <c r="A915" s="31"/>
      <c r="B915" s="31"/>
      <c r="C915" s="31"/>
      <c r="D915" s="31"/>
    </row>
    <row r="916" spans="1:4" x14ac:dyDescent="0.25">
      <c r="A916" s="31"/>
      <c r="B916" s="31"/>
      <c r="C916" s="31"/>
      <c r="D916" s="31"/>
    </row>
    <row r="917" spans="1:4" x14ac:dyDescent="0.25">
      <c r="A917" s="31"/>
      <c r="B917" s="31"/>
      <c r="C917" s="31"/>
      <c r="D917" s="31"/>
    </row>
    <row r="918" spans="1:4" x14ac:dyDescent="0.25">
      <c r="A918" s="31"/>
      <c r="B918" s="31"/>
      <c r="C918" s="31"/>
      <c r="D918" s="31"/>
    </row>
    <row r="919" spans="1:4" x14ac:dyDescent="0.25">
      <c r="A919" s="31"/>
      <c r="B919" s="31"/>
      <c r="C919" s="31"/>
      <c r="D919" s="31"/>
    </row>
    <row r="920" spans="1:4" x14ac:dyDescent="0.25">
      <c r="A920" s="31"/>
      <c r="B920" s="31"/>
      <c r="C920" s="31"/>
      <c r="D920" s="31"/>
    </row>
    <row r="921" spans="1:4" x14ac:dyDescent="0.25">
      <c r="A921" s="31"/>
      <c r="B921" s="31"/>
      <c r="C921" s="31"/>
      <c r="D921" s="31"/>
    </row>
    <row r="922" spans="1:4" x14ac:dyDescent="0.25">
      <c r="A922" s="31"/>
      <c r="B922" s="31"/>
      <c r="C922" s="31"/>
      <c r="D922" s="31"/>
    </row>
    <row r="923" spans="1:4" x14ac:dyDescent="0.25">
      <c r="A923" s="31"/>
      <c r="B923" s="31"/>
      <c r="C923" s="31"/>
      <c r="D923" s="31"/>
    </row>
    <row r="924" spans="1:4" x14ac:dyDescent="0.25">
      <c r="A924" s="31"/>
      <c r="B924" s="31"/>
      <c r="C924" s="31"/>
      <c r="D924" s="31"/>
    </row>
    <row r="925" spans="1:4" x14ac:dyDescent="0.25">
      <c r="A925" s="31"/>
      <c r="B925" s="31"/>
      <c r="C925" s="31"/>
      <c r="D925" s="31"/>
    </row>
    <row r="926" spans="1:4" x14ac:dyDescent="0.25">
      <c r="A926" s="31"/>
      <c r="B926" s="31"/>
      <c r="C926" s="31"/>
      <c r="D926" s="31"/>
    </row>
    <row r="927" spans="1:4" x14ac:dyDescent="0.25">
      <c r="A927" s="31"/>
      <c r="B927" s="31"/>
      <c r="C927" s="31"/>
      <c r="D927" s="31"/>
    </row>
    <row r="928" spans="1:4" x14ac:dyDescent="0.25">
      <c r="A928" s="31"/>
      <c r="B928" s="31"/>
      <c r="C928" s="31"/>
      <c r="D928" s="31"/>
    </row>
    <row r="929" spans="1:4" x14ac:dyDescent="0.25">
      <c r="A929" s="31"/>
      <c r="B929" s="31"/>
      <c r="C929" s="31"/>
      <c r="D929" s="31"/>
    </row>
    <row r="930" spans="1:4" x14ac:dyDescent="0.25">
      <c r="A930" s="31"/>
      <c r="B930" s="31"/>
      <c r="C930" s="31"/>
      <c r="D930" s="31"/>
    </row>
    <row r="931" spans="1:4" x14ac:dyDescent="0.25">
      <c r="A931" s="31"/>
      <c r="B931" s="31"/>
      <c r="C931" s="31"/>
      <c r="D931" s="31"/>
    </row>
    <row r="932" spans="1:4" x14ac:dyDescent="0.25">
      <c r="A932" s="31"/>
      <c r="B932" s="31"/>
      <c r="C932" s="31"/>
      <c r="D932" s="31"/>
    </row>
    <row r="933" spans="1:4" x14ac:dyDescent="0.25">
      <c r="A933" s="31"/>
      <c r="B933" s="31"/>
      <c r="C933" s="31"/>
      <c r="D933" s="31"/>
    </row>
    <row r="934" spans="1:4" x14ac:dyDescent="0.25">
      <c r="A934" s="31"/>
      <c r="B934" s="31"/>
      <c r="C934" s="31"/>
      <c r="D934" s="31"/>
    </row>
    <row r="935" spans="1:4" x14ac:dyDescent="0.25">
      <c r="A935" s="31"/>
      <c r="B935" s="31"/>
      <c r="C935" s="31"/>
      <c r="D935" s="31"/>
    </row>
    <row r="936" spans="1:4" x14ac:dyDescent="0.25">
      <c r="A936" s="31"/>
      <c r="B936" s="31"/>
      <c r="C936" s="31"/>
      <c r="D936" s="31"/>
    </row>
    <row r="937" spans="1:4" x14ac:dyDescent="0.25">
      <c r="A937" s="31"/>
      <c r="B937" s="31"/>
      <c r="C937" s="31"/>
      <c r="D937" s="31"/>
    </row>
    <row r="938" spans="1:4" x14ac:dyDescent="0.25">
      <c r="A938" s="31"/>
      <c r="B938" s="31"/>
      <c r="C938" s="31"/>
      <c r="D938" s="31"/>
    </row>
    <row r="939" spans="1:4" x14ac:dyDescent="0.25">
      <c r="A939" s="31"/>
      <c r="B939" s="31"/>
      <c r="C939" s="31"/>
      <c r="D939" s="31"/>
    </row>
    <row r="940" spans="1:4" x14ac:dyDescent="0.25">
      <c r="A940" s="31"/>
      <c r="B940" s="31"/>
      <c r="C940" s="31"/>
      <c r="D940" s="31"/>
    </row>
    <row r="941" spans="1:4" x14ac:dyDescent="0.25">
      <c r="A941" s="31"/>
      <c r="B941" s="31"/>
      <c r="C941" s="31"/>
      <c r="D941" s="31"/>
    </row>
    <row r="942" spans="1:4" x14ac:dyDescent="0.25">
      <c r="A942" s="31"/>
      <c r="B942" s="31"/>
      <c r="C942" s="31"/>
      <c r="D942" s="31"/>
    </row>
    <row r="943" spans="1:4" x14ac:dyDescent="0.25">
      <c r="A943" s="31"/>
      <c r="B943" s="31"/>
      <c r="C943" s="31"/>
      <c r="D943" s="31"/>
    </row>
    <row r="944" spans="1:4" x14ac:dyDescent="0.25">
      <c r="A944" s="31"/>
      <c r="B944" s="31"/>
      <c r="C944" s="31"/>
      <c r="D944" s="31"/>
    </row>
    <row r="945" spans="1:4" x14ac:dyDescent="0.25">
      <c r="A945" s="31"/>
      <c r="B945" s="31"/>
      <c r="C945" s="31"/>
      <c r="D945" s="31"/>
    </row>
    <row r="946" spans="1:4" x14ac:dyDescent="0.25">
      <c r="A946" s="31"/>
      <c r="B946" s="31"/>
      <c r="C946" s="31"/>
      <c r="D946" s="31"/>
    </row>
    <row r="947" spans="1:4" x14ac:dyDescent="0.25">
      <c r="A947" s="31"/>
      <c r="B947" s="31"/>
      <c r="C947" s="31"/>
      <c r="D947" s="31"/>
    </row>
    <row r="948" spans="1:4" x14ac:dyDescent="0.25">
      <c r="A948" s="31"/>
      <c r="B948" s="31"/>
      <c r="C948" s="31"/>
      <c r="D948" s="31"/>
    </row>
    <row r="949" spans="1:4" x14ac:dyDescent="0.25">
      <c r="A949" s="31"/>
      <c r="B949" s="31"/>
      <c r="C949" s="31"/>
      <c r="D949" s="31"/>
    </row>
    <row r="950" spans="1:4" x14ac:dyDescent="0.25">
      <c r="A950" s="31"/>
      <c r="B950" s="31"/>
      <c r="C950" s="31"/>
      <c r="D950" s="31"/>
    </row>
    <row r="951" spans="1:4" x14ac:dyDescent="0.25">
      <c r="A951" s="31"/>
      <c r="B951" s="31"/>
      <c r="C951" s="31"/>
      <c r="D951" s="31"/>
    </row>
    <row r="952" spans="1:4" x14ac:dyDescent="0.25">
      <c r="A952" s="31"/>
      <c r="B952" s="31"/>
      <c r="C952" s="31"/>
      <c r="D952" s="31"/>
    </row>
    <row r="953" spans="1:4" x14ac:dyDescent="0.25">
      <c r="A953" s="31"/>
      <c r="B953" s="31"/>
      <c r="C953" s="31"/>
      <c r="D953" s="31"/>
    </row>
    <row r="954" spans="1:4" x14ac:dyDescent="0.25">
      <c r="A954" s="31"/>
      <c r="B954" s="31"/>
      <c r="C954" s="31"/>
      <c r="D954" s="31"/>
    </row>
    <row r="955" spans="1:4" x14ac:dyDescent="0.25">
      <c r="A955" s="31"/>
      <c r="B955" s="31"/>
      <c r="C955" s="31"/>
      <c r="D955" s="31"/>
    </row>
    <row r="956" spans="1:4" x14ac:dyDescent="0.25">
      <c r="A956" s="31"/>
      <c r="B956" s="31"/>
      <c r="C956" s="31"/>
      <c r="D956" s="31"/>
    </row>
    <row r="957" spans="1:4" x14ac:dyDescent="0.25">
      <c r="A957" s="31"/>
      <c r="B957" s="31"/>
      <c r="C957" s="31"/>
      <c r="D957" s="31"/>
    </row>
    <row r="958" spans="1:4" x14ac:dyDescent="0.25">
      <c r="A958" s="31"/>
      <c r="B958" s="31"/>
      <c r="C958" s="31"/>
      <c r="D958" s="31"/>
    </row>
    <row r="959" spans="1:4" x14ac:dyDescent="0.25">
      <c r="A959" s="31"/>
      <c r="B959" s="31"/>
      <c r="C959" s="31"/>
      <c r="D959" s="31"/>
    </row>
    <row r="960" spans="1:4" x14ac:dyDescent="0.25">
      <c r="A960" s="31"/>
      <c r="B960" s="31"/>
      <c r="C960" s="31"/>
      <c r="D960" s="31"/>
    </row>
    <row r="961" spans="1:4" x14ac:dyDescent="0.25">
      <c r="A961" s="31"/>
      <c r="B961" s="31"/>
      <c r="C961" s="31"/>
      <c r="D961" s="31"/>
    </row>
    <row r="962" spans="1:4" x14ac:dyDescent="0.25">
      <c r="A962" s="31"/>
      <c r="B962" s="31"/>
      <c r="C962" s="31"/>
      <c r="D962" s="31"/>
    </row>
    <row r="963" spans="1:4" x14ac:dyDescent="0.25">
      <c r="A963" s="31"/>
      <c r="B963" s="31"/>
      <c r="C963" s="31"/>
      <c r="D963" s="31"/>
    </row>
    <row r="964" spans="1:4" x14ac:dyDescent="0.25">
      <c r="A964" s="31"/>
      <c r="B964" s="31"/>
      <c r="C964" s="31"/>
      <c r="D964" s="31"/>
    </row>
    <row r="965" spans="1:4" x14ac:dyDescent="0.25">
      <c r="A965" s="31"/>
      <c r="B965" s="31"/>
      <c r="C965" s="31"/>
      <c r="D965" s="31"/>
    </row>
    <row r="966" spans="1:4" x14ac:dyDescent="0.25">
      <c r="A966" s="31"/>
      <c r="B966" s="31"/>
      <c r="C966" s="31"/>
      <c r="D966" s="31"/>
    </row>
    <row r="967" spans="1:4" x14ac:dyDescent="0.25">
      <c r="A967" s="31"/>
      <c r="B967" s="31"/>
      <c r="C967" s="31"/>
      <c r="D967" s="31"/>
    </row>
    <row r="968" spans="1:4" x14ac:dyDescent="0.25">
      <c r="A968" s="31"/>
      <c r="B968" s="31"/>
      <c r="C968" s="31"/>
      <c r="D968" s="31"/>
    </row>
    <row r="969" spans="1:4" x14ac:dyDescent="0.25">
      <c r="A969" s="31"/>
      <c r="B969" s="31"/>
      <c r="C969" s="31"/>
      <c r="D969" s="31"/>
    </row>
    <row r="970" spans="1:4" x14ac:dyDescent="0.25">
      <c r="A970" s="31"/>
      <c r="B970" s="31"/>
      <c r="C970" s="31"/>
      <c r="D970" s="31"/>
    </row>
    <row r="971" spans="1:4" x14ac:dyDescent="0.25">
      <c r="A971" s="31"/>
      <c r="B971" s="31"/>
      <c r="C971" s="31"/>
      <c r="D971" s="31"/>
    </row>
    <row r="972" spans="1:4" x14ac:dyDescent="0.25">
      <c r="A972" s="31"/>
      <c r="B972" s="31"/>
      <c r="C972" s="31"/>
      <c r="D972" s="31"/>
    </row>
    <row r="973" spans="1:4" x14ac:dyDescent="0.25">
      <c r="A973" s="31"/>
      <c r="B973" s="31"/>
      <c r="C973" s="31"/>
      <c r="D973" s="31"/>
    </row>
    <row r="974" spans="1:4" x14ac:dyDescent="0.25">
      <c r="A974" s="31"/>
      <c r="B974" s="31"/>
      <c r="C974" s="31"/>
      <c r="D974" s="31"/>
    </row>
    <row r="975" spans="1:4" x14ac:dyDescent="0.25">
      <c r="A975" s="31"/>
      <c r="B975" s="31"/>
      <c r="C975" s="31"/>
      <c r="D975" s="31"/>
    </row>
    <row r="976" spans="1:4" x14ac:dyDescent="0.25">
      <c r="A976" s="31"/>
      <c r="B976" s="31"/>
      <c r="C976" s="31"/>
      <c r="D976" s="31"/>
    </row>
    <row r="977" spans="1:4" x14ac:dyDescent="0.25">
      <c r="A977" s="31"/>
      <c r="B977" s="31"/>
      <c r="C977" s="31"/>
      <c r="D977" s="31"/>
    </row>
    <row r="978" spans="1:4" x14ac:dyDescent="0.25">
      <c r="A978" s="31"/>
      <c r="B978" s="31"/>
      <c r="C978" s="31"/>
      <c r="D978" s="31"/>
    </row>
    <row r="979" spans="1:4" x14ac:dyDescent="0.25">
      <c r="A979" s="31"/>
      <c r="B979" s="31"/>
      <c r="C979" s="31"/>
      <c r="D979" s="31"/>
    </row>
    <row r="980" spans="1:4" x14ac:dyDescent="0.25">
      <c r="A980" s="31"/>
      <c r="B980" s="31"/>
      <c r="C980" s="31"/>
      <c r="D980" s="31"/>
    </row>
    <row r="981" spans="1:4" x14ac:dyDescent="0.25">
      <c r="A981" s="31"/>
      <c r="B981" s="31"/>
      <c r="C981" s="31"/>
      <c r="D981" s="31"/>
    </row>
    <row r="982" spans="1:4" x14ac:dyDescent="0.25">
      <c r="A982" s="31"/>
      <c r="B982" s="31"/>
      <c r="C982" s="31"/>
      <c r="D982" s="31"/>
    </row>
    <row r="983" spans="1:4" x14ac:dyDescent="0.25">
      <c r="A983" s="31"/>
      <c r="B983" s="31"/>
      <c r="C983" s="31"/>
      <c r="D983" s="31"/>
    </row>
    <row r="984" spans="1:4" x14ac:dyDescent="0.25">
      <c r="A984" s="31"/>
      <c r="B984" s="31"/>
      <c r="C984" s="31"/>
      <c r="D984" s="31"/>
    </row>
    <row r="985" spans="1:4" x14ac:dyDescent="0.25">
      <c r="A985" s="31"/>
      <c r="B985" s="31"/>
      <c r="C985" s="31"/>
      <c r="D985" s="31"/>
    </row>
    <row r="986" spans="1:4" x14ac:dyDescent="0.25">
      <c r="A986" s="31"/>
      <c r="B986" s="31"/>
      <c r="C986" s="31"/>
      <c r="D986" s="31"/>
    </row>
    <row r="987" spans="1:4" x14ac:dyDescent="0.25">
      <c r="A987" s="31"/>
      <c r="B987" s="31"/>
      <c r="C987" s="31"/>
      <c r="D987" s="31"/>
    </row>
    <row r="988" spans="1:4" x14ac:dyDescent="0.25">
      <c r="A988" s="31"/>
      <c r="B988" s="31"/>
      <c r="C988" s="31"/>
      <c r="D988" s="31"/>
    </row>
    <row r="989" spans="1:4" x14ac:dyDescent="0.25">
      <c r="A989" s="31"/>
      <c r="B989" s="31"/>
      <c r="C989" s="31"/>
      <c r="D989" s="31"/>
    </row>
    <row r="990" spans="1:4" x14ac:dyDescent="0.25">
      <c r="A990" s="31"/>
      <c r="B990" s="31"/>
      <c r="C990" s="31"/>
      <c r="D990" s="31"/>
    </row>
    <row r="991" spans="1:4" x14ac:dyDescent="0.25">
      <c r="A991" s="31"/>
      <c r="B991" s="31"/>
      <c r="C991" s="31"/>
      <c r="D991" s="31"/>
    </row>
    <row r="992" spans="1:4" x14ac:dyDescent="0.25">
      <c r="A992" s="31"/>
      <c r="B992" s="31"/>
      <c r="C992" s="31"/>
      <c r="D992" s="31"/>
    </row>
    <row r="993" spans="1:4" x14ac:dyDescent="0.25">
      <c r="A993" s="31"/>
      <c r="B993" s="31"/>
      <c r="C993" s="31"/>
      <c r="D993" s="31"/>
    </row>
    <row r="994" spans="1:4" x14ac:dyDescent="0.25">
      <c r="A994" s="31"/>
      <c r="B994" s="31"/>
      <c r="C994" s="31"/>
      <c r="D994" s="31"/>
    </row>
    <row r="995" spans="1:4" x14ac:dyDescent="0.25">
      <c r="A995" s="31"/>
      <c r="B995" s="31"/>
      <c r="C995" s="31"/>
      <c r="D995" s="31"/>
    </row>
    <row r="996" spans="1:4" x14ac:dyDescent="0.25">
      <c r="A996" s="31"/>
      <c r="B996" s="31"/>
      <c r="C996" s="31"/>
      <c r="D996" s="31"/>
    </row>
    <row r="997" spans="1:4" x14ac:dyDescent="0.25">
      <c r="A997" s="31"/>
      <c r="B997" s="31"/>
      <c r="C997" s="31"/>
      <c r="D997" s="31"/>
    </row>
    <row r="998" spans="1:4" x14ac:dyDescent="0.25">
      <c r="A998" s="31"/>
      <c r="B998" s="31"/>
      <c r="C998" s="31"/>
      <c r="D998" s="31"/>
    </row>
    <row r="999" spans="1:4" x14ac:dyDescent="0.25">
      <c r="A999" s="31"/>
      <c r="B999" s="31"/>
      <c r="C999" s="31"/>
      <c r="D999" s="31"/>
    </row>
    <row r="1000" spans="1:4" x14ac:dyDescent="0.25">
      <c r="A1000" s="31"/>
      <c r="B1000" s="31"/>
      <c r="C1000" s="31"/>
      <c r="D1000" s="31"/>
    </row>
    <row r="1001" spans="1:4" x14ac:dyDescent="0.25">
      <c r="A1001" s="31"/>
      <c r="B1001" s="31"/>
      <c r="C1001" s="31"/>
      <c r="D1001" s="31"/>
    </row>
    <row r="1002" spans="1:4" x14ac:dyDescent="0.25">
      <c r="A1002" s="31"/>
      <c r="B1002" s="31"/>
      <c r="C1002" s="31"/>
      <c r="D1002" s="31"/>
    </row>
    <row r="1003" spans="1:4" x14ac:dyDescent="0.25">
      <c r="A1003" s="31"/>
      <c r="B1003" s="31"/>
      <c r="C1003" s="31"/>
      <c r="D1003" s="31"/>
    </row>
    <row r="1004" spans="1:4" x14ac:dyDescent="0.25">
      <c r="A1004" s="31"/>
      <c r="B1004" s="31"/>
      <c r="C1004" s="31"/>
      <c r="D1004" s="31"/>
    </row>
    <row r="1005" spans="1:4" x14ac:dyDescent="0.25">
      <c r="A1005" s="31"/>
      <c r="B1005" s="31"/>
      <c r="C1005" s="31"/>
      <c r="D1005" s="31"/>
    </row>
    <row r="1006" spans="1:4" x14ac:dyDescent="0.25">
      <c r="A1006" s="31"/>
      <c r="B1006" s="31"/>
      <c r="C1006" s="31"/>
      <c r="D1006" s="31"/>
    </row>
    <row r="1007" spans="1:4" x14ac:dyDescent="0.25">
      <c r="A1007" s="31"/>
      <c r="B1007" s="31"/>
      <c r="C1007" s="31"/>
      <c r="D1007" s="31"/>
    </row>
    <row r="1008" spans="1:4" x14ac:dyDescent="0.25">
      <c r="A1008" s="31"/>
      <c r="B1008" s="31"/>
      <c r="C1008" s="31"/>
      <c r="D1008" s="31"/>
    </row>
    <row r="1009" spans="1:4" x14ac:dyDescent="0.25">
      <c r="A1009" s="31"/>
      <c r="B1009" s="31"/>
      <c r="C1009" s="31"/>
      <c r="D1009" s="31"/>
    </row>
    <row r="1010" spans="1:4" x14ac:dyDescent="0.25">
      <c r="A1010" s="31"/>
      <c r="B1010" s="31"/>
      <c r="C1010" s="31"/>
      <c r="D1010" s="31"/>
    </row>
    <row r="1011" spans="1:4" x14ac:dyDescent="0.25">
      <c r="A1011" s="31"/>
      <c r="B1011" s="31"/>
      <c r="C1011" s="31"/>
      <c r="D1011" s="31"/>
    </row>
    <row r="1012" spans="1:4" x14ac:dyDescent="0.25">
      <c r="A1012" s="31"/>
      <c r="B1012" s="31"/>
      <c r="C1012" s="31"/>
      <c r="D1012" s="31"/>
    </row>
    <row r="1013" spans="1:4" x14ac:dyDescent="0.25">
      <c r="A1013" s="31"/>
      <c r="B1013" s="31"/>
      <c r="C1013" s="31"/>
      <c r="D1013" s="31"/>
    </row>
    <row r="1014" spans="1:4" x14ac:dyDescent="0.25">
      <c r="A1014" s="31"/>
      <c r="B1014" s="31"/>
      <c r="C1014" s="31"/>
      <c r="D1014" s="31"/>
    </row>
    <row r="1015" spans="1:4" x14ac:dyDescent="0.25">
      <c r="A1015" s="31"/>
      <c r="B1015" s="31"/>
      <c r="C1015" s="31"/>
      <c r="D1015" s="31"/>
    </row>
    <row r="1016" spans="1:4" x14ac:dyDescent="0.25">
      <c r="A1016" s="31"/>
      <c r="B1016" s="31"/>
      <c r="C1016" s="31"/>
      <c r="D1016" s="31"/>
    </row>
    <row r="1017" spans="1:4" x14ac:dyDescent="0.25">
      <c r="A1017" s="31"/>
      <c r="B1017" s="31"/>
      <c r="C1017" s="31"/>
      <c r="D1017" s="31"/>
    </row>
    <row r="1018" spans="1:4" x14ac:dyDescent="0.25">
      <c r="A1018" s="31"/>
      <c r="B1018" s="31"/>
      <c r="C1018" s="31"/>
      <c r="D1018" s="31"/>
    </row>
    <row r="1019" spans="1:4" x14ac:dyDescent="0.25">
      <c r="A1019" s="31"/>
      <c r="B1019" s="31"/>
      <c r="C1019" s="31"/>
      <c r="D1019" s="31"/>
    </row>
    <row r="1020" spans="1:4" x14ac:dyDescent="0.25">
      <c r="A1020" s="31"/>
      <c r="B1020" s="31"/>
      <c r="C1020" s="31"/>
      <c r="D1020" s="31"/>
    </row>
    <row r="1021" spans="1:4" x14ac:dyDescent="0.25">
      <c r="A1021" s="31"/>
      <c r="B1021" s="31"/>
      <c r="C1021" s="31"/>
      <c r="D1021" s="31"/>
    </row>
    <row r="1022" spans="1:4" x14ac:dyDescent="0.25">
      <c r="A1022" s="31"/>
      <c r="B1022" s="31"/>
      <c r="C1022" s="31"/>
      <c r="D1022" s="31"/>
    </row>
    <row r="1023" spans="1:4" x14ac:dyDescent="0.25">
      <c r="A1023" s="31"/>
      <c r="B1023" s="31"/>
      <c r="C1023" s="31"/>
      <c r="D1023" s="31"/>
    </row>
    <row r="1024" spans="1:4" x14ac:dyDescent="0.25">
      <c r="A1024" s="31"/>
      <c r="B1024" s="31"/>
      <c r="C1024" s="31"/>
      <c r="D1024" s="31"/>
    </row>
    <row r="1025" spans="1:4" x14ac:dyDescent="0.25">
      <c r="A1025" s="31"/>
      <c r="B1025" s="31"/>
      <c r="C1025" s="31"/>
      <c r="D1025" s="31"/>
    </row>
    <row r="1026" spans="1:4" x14ac:dyDescent="0.25">
      <c r="A1026" s="31"/>
      <c r="B1026" s="31"/>
      <c r="C1026" s="31"/>
      <c r="D1026" s="31"/>
    </row>
    <row r="1027" spans="1:4" x14ac:dyDescent="0.25">
      <c r="A1027" s="31"/>
      <c r="B1027" s="31"/>
      <c r="C1027" s="31"/>
      <c r="D1027" s="31"/>
    </row>
    <row r="1028" spans="1:4" x14ac:dyDescent="0.25">
      <c r="A1028" s="31"/>
      <c r="B1028" s="31"/>
      <c r="C1028" s="31"/>
      <c r="D1028" s="31"/>
    </row>
    <row r="1029" spans="1:4" x14ac:dyDescent="0.25">
      <c r="A1029" s="31"/>
      <c r="B1029" s="31"/>
      <c r="C1029" s="31"/>
      <c r="D1029" s="31"/>
    </row>
    <row r="1030" spans="1:4" x14ac:dyDescent="0.25">
      <c r="A1030" s="31"/>
      <c r="B1030" s="31"/>
      <c r="C1030" s="31"/>
      <c r="D1030" s="31"/>
    </row>
    <row r="1031" spans="1:4" x14ac:dyDescent="0.25">
      <c r="A1031" s="31"/>
      <c r="B1031" s="31"/>
      <c r="C1031" s="31"/>
      <c r="D1031" s="31"/>
    </row>
    <row r="1032" spans="1:4" x14ac:dyDescent="0.25">
      <c r="A1032" s="31"/>
      <c r="B1032" s="31"/>
      <c r="C1032" s="31"/>
      <c r="D1032" s="31"/>
    </row>
    <row r="1033" spans="1:4" x14ac:dyDescent="0.25">
      <c r="A1033" s="31"/>
      <c r="B1033" s="31"/>
      <c r="C1033" s="31"/>
      <c r="D1033" s="31"/>
    </row>
    <row r="1034" spans="1:4" x14ac:dyDescent="0.25">
      <c r="A1034" s="31"/>
      <c r="B1034" s="31"/>
      <c r="C1034" s="31"/>
      <c r="D1034" s="31"/>
    </row>
    <row r="1035" spans="1:4" x14ac:dyDescent="0.25">
      <c r="A1035" s="31"/>
      <c r="B1035" s="31"/>
      <c r="C1035" s="31"/>
      <c r="D1035" s="31"/>
    </row>
    <row r="1036" spans="1:4" x14ac:dyDescent="0.25">
      <c r="A1036" s="31"/>
      <c r="B1036" s="31"/>
      <c r="C1036" s="31"/>
      <c r="D1036" s="31"/>
    </row>
    <row r="1037" spans="1:4" x14ac:dyDescent="0.25">
      <c r="A1037" s="31"/>
      <c r="B1037" s="31"/>
      <c r="C1037" s="31"/>
      <c r="D1037" s="31"/>
    </row>
    <row r="1038" spans="1:4" x14ac:dyDescent="0.25">
      <c r="A1038" s="31"/>
      <c r="B1038" s="31"/>
      <c r="C1038" s="31"/>
      <c r="D1038" s="31"/>
    </row>
    <row r="1039" spans="1:4" x14ac:dyDescent="0.25">
      <c r="A1039" s="31"/>
      <c r="B1039" s="31"/>
      <c r="C1039" s="31"/>
      <c r="D1039" s="31"/>
    </row>
    <row r="1040" spans="1:4" x14ac:dyDescent="0.25">
      <c r="A1040" s="31"/>
      <c r="B1040" s="31"/>
      <c r="C1040" s="31"/>
      <c r="D1040" s="31"/>
    </row>
    <row r="1041" spans="1:4" x14ac:dyDescent="0.25">
      <c r="A1041" s="31"/>
      <c r="B1041" s="31"/>
      <c r="C1041" s="31"/>
      <c r="D1041" s="31"/>
    </row>
    <row r="1042" spans="1:4" x14ac:dyDescent="0.25">
      <c r="A1042" s="31"/>
      <c r="B1042" s="31"/>
      <c r="C1042" s="31"/>
      <c r="D1042" s="31"/>
    </row>
    <row r="1043" spans="1:4" x14ac:dyDescent="0.25">
      <c r="A1043" s="31"/>
      <c r="B1043" s="31"/>
      <c r="C1043" s="31"/>
      <c r="D1043" s="31"/>
    </row>
    <row r="1044" spans="1:4" x14ac:dyDescent="0.25">
      <c r="A1044" s="31"/>
      <c r="B1044" s="31"/>
      <c r="C1044" s="31"/>
      <c r="D1044" s="31"/>
    </row>
    <row r="1045" spans="1:4" x14ac:dyDescent="0.25">
      <c r="A1045" s="31"/>
      <c r="B1045" s="31"/>
      <c r="C1045" s="31"/>
      <c r="D1045" s="31"/>
    </row>
    <row r="1046" spans="1:4" x14ac:dyDescent="0.25">
      <c r="A1046" s="31"/>
      <c r="B1046" s="31"/>
      <c r="C1046" s="31"/>
      <c r="D1046" s="31"/>
    </row>
    <row r="1047" spans="1:4" x14ac:dyDescent="0.25">
      <c r="A1047" s="31"/>
      <c r="B1047" s="31"/>
      <c r="C1047" s="31"/>
      <c r="D1047" s="31"/>
    </row>
    <row r="1048" spans="1:4" x14ac:dyDescent="0.25">
      <c r="A1048" s="31"/>
      <c r="B1048" s="31"/>
      <c r="C1048" s="31"/>
      <c r="D1048" s="31"/>
    </row>
    <row r="1049" spans="1:4" x14ac:dyDescent="0.25">
      <c r="A1049" s="31"/>
      <c r="B1049" s="31"/>
      <c r="C1049" s="31"/>
      <c r="D1049" s="31"/>
    </row>
    <row r="1050" spans="1:4" x14ac:dyDescent="0.25">
      <c r="A1050" s="31"/>
      <c r="B1050" s="31"/>
      <c r="C1050" s="31"/>
      <c r="D1050" s="31"/>
    </row>
    <row r="1051" spans="1:4" x14ac:dyDescent="0.25">
      <c r="A1051" s="31"/>
      <c r="B1051" s="31"/>
      <c r="C1051" s="31"/>
      <c r="D1051" s="31"/>
    </row>
    <row r="1052" spans="1:4" x14ac:dyDescent="0.25">
      <c r="A1052" s="31"/>
      <c r="B1052" s="31"/>
      <c r="C1052" s="31"/>
      <c r="D1052" s="31"/>
    </row>
    <row r="1053" spans="1:4" x14ac:dyDescent="0.25">
      <c r="A1053" s="31"/>
      <c r="B1053" s="31"/>
      <c r="C1053" s="31"/>
      <c r="D1053" s="31"/>
    </row>
    <row r="1054" spans="1:4" x14ac:dyDescent="0.25">
      <c r="A1054" s="31"/>
      <c r="B1054" s="31"/>
      <c r="C1054" s="31"/>
      <c r="D1054" s="31"/>
    </row>
    <row r="1055" spans="1:4" x14ac:dyDescent="0.25">
      <c r="A1055" s="31"/>
      <c r="B1055" s="31"/>
      <c r="C1055" s="31"/>
      <c r="D1055" s="31"/>
    </row>
    <row r="1056" spans="1:4" x14ac:dyDescent="0.25">
      <c r="A1056" s="31"/>
      <c r="B1056" s="31"/>
      <c r="C1056" s="31"/>
      <c r="D1056" s="31"/>
    </row>
    <row r="1057" spans="1:4" x14ac:dyDescent="0.25">
      <c r="A1057" s="31"/>
      <c r="B1057" s="31"/>
      <c r="C1057" s="31"/>
      <c r="D1057" s="31"/>
    </row>
    <row r="1058" spans="1:4" x14ac:dyDescent="0.25">
      <c r="A1058" s="31"/>
      <c r="B1058" s="31"/>
      <c r="C1058" s="31"/>
      <c r="D1058" s="31"/>
    </row>
    <row r="1059" spans="1:4" x14ac:dyDescent="0.25">
      <c r="A1059" s="31"/>
      <c r="B1059" s="31"/>
      <c r="C1059" s="31"/>
      <c r="D1059" s="31"/>
    </row>
    <row r="1060" spans="1:4" x14ac:dyDescent="0.25">
      <c r="A1060" s="31"/>
      <c r="B1060" s="31"/>
      <c r="C1060" s="31"/>
      <c r="D1060" s="31"/>
    </row>
    <row r="1061" spans="1:4" x14ac:dyDescent="0.25">
      <c r="A1061" s="31"/>
      <c r="B1061" s="31"/>
      <c r="C1061" s="31"/>
      <c r="D1061" s="31"/>
    </row>
    <row r="1062" spans="1:4" x14ac:dyDescent="0.25">
      <c r="A1062" s="31"/>
      <c r="B1062" s="31"/>
      <c r="C1062" s="31"/>
      <c r="D1062" s="31"/>
    </row>
    <row r="1063" spans="1:4" x14ac:dyDescent="0.25">
      <c r="A1063" s="31"/>
      <c r="B1063" s="31"/>
      <c r="C1063" s="31"/>
      <c r="D1063" s="31"/>
    </row>
    <row r="1064" spans="1:4" x14ac:dyDescent="0.25">
      <c r="A1064" s="31"/>
      <c r="B1064" s="31"/>
      <c r="C1064" s="31"/>
      <c r="D1064" s="31"/>
    </row>
    <row r="1065" spans="1:4" x14ac:dyDescent="0.25">
      <c r="A1065" s="31"/>
      <c r="B1065" s="31"/>
      <c r="C1065" s="31"/>
      <c r="D1065" s="31"/>
    </row>
    <row r="1066" spans="1:4" x14ac:dyDescent="0.25">
      <c r="A1066" s="31"/>
      <c r="B1066" s="31"/>
      <c r="C1066" s="31"/>
      <c r="D1066" s="31"/>
    </row>
    <row r="1067" spans="1:4" x14ac:dyDescent="0.25">
      <c r="A1067" s="31"/>
      <c r="B1067" s="31"/>
      <c r="C1067" s="31"/>
      <c r="D1067" s="31"/>
    </row>
    <row r="1068" spans="1:4" x14ac:dyDescent="0.25">
      <c r="A1068" s="31"/>
      <c r="B1068" s="31"/>
      <c r="C1068" s="31"/>
      <c r="D1068" s="31"/>
    </row>
    <row r="1069" spans="1:4" x14ac:dyDescent="0.25">
      <c r="A1069" s="31"/>
      <c r="B1069" s="31"/>
      <c r="C1069" s="31"/>
      <c r="D1069" s="31"/>
    </row>
    <row r="1070" spans="1:4" x14ac:dyDescent="0.25">
      <c r="A1070" s="31"/>
      <c r="B1070" s="31"/>
      <c r="C1070" s="31"/>
      <c r="D1070" s="31"/>
    </row>
    <row r="1071" spans="1:4" x14ac:dyDescent="0.25">
      <c r="A1071" s="31"/>
      <c r="B1071" s="31"/>
      <c r="C1071" s="31"/>
      <c r="D1071" s="31"/>
    </row>
    <row r="1072" spans="1:4" x14ac:dyDescent="0.25">
      <c r="A1072" s="31"/>
      <c r="B1072" s="31"/>
      <c r="C1072" s="31"/>
      <c r="D1072" s="31"/>
    </row>
    <row r="1073" spans="1:4" x14ac:dyDescent="0.25">
      <c r="A1073" s="31"/>
      <c r="B1073" s="31"/>
      <c r="C1073" s="31"/>
      <c r="D1073" s="31"/>
    </row>
    <row r="1074" spans="1:4" x14ac:dyDescent="0.25">
      <c r="A1074" s="31"/>
      <c r="B1074" s="31"/>
      <c r="C1074" s="31"/>
      <c r="D1074" s="31"/>
    </row>
    <row r="1075" spans="1:4" x14ac:dyDescent="0.25">
      <c r="A1075" s="31"/>
      <c r="B1075" s="31"/>
      <c r="C1075" s="31"/>
      <c r="D1075" s="31"/>
    </row>
    <row r="1076" spans="1:4" x14ac:dyDescent="0.25">
      <c r="A1076" s="31"/>
      <c r="B1076" s="31"/>
      <c r="C1076" s="31"/>
      <c r="D1076" s="31"/>
    </row>
    <row r="1077" spans="1:4" x14ac:dyDescent="0.25">
      <c r="A1077" s="31"/>
      <c r="B1077" s="31"/>
      <c r="C1077" s="31"/>
      <c r="D1077" s="31"/>
    </row>
    <row r="1078" spans="1:4" x14ac:dyDescent="0.25">
      <c r="A1078" s="31"/>
      <c r="B1078" s="31"/>
      <c r="C1078" s="31"/>
      <c r="D1078" s="31"/>
    </row>
    <row r="1079" spans="1:4" x14ac:dyDescent="0.25">
      <c r="A1079" s="31"/>
      <c r="B1079" s="31"/>
      <c r="C1079" s="31"/>
      <c r="D1079" s="31"/>
    </row>
    <row r="1080" spans="1:4" x14ac:dyDescent="0.25">
      <c r="A1080" s="31"/>
      <c r="B1080" s="31"/>
      <c r="C1080" s="31"/>
      <c r="D1080" s="31"/>
    </row>
    <row r="1081" spans="1:4" x14ac:dyDescent="0.25">
      <c r="A1081" s="31"/>
      <c r="B1081" s="31"/>
      <c r="C1081" s="31"/>
      <c r="D1081" s="31"/>
    </row>
    <row r="1082" spans="1:4" x14ac:dyDescent="0.25">
      <c r="A1082" s="31"/>
      <c r="B1082" s="31"/>
      <c r="C1082" s="31"/>
      <c r="D1082" s="31"/>
    </row>
    <row r="1083" spans="1:4" x14ac:dyDescent="0.25">
      <c r="A1083" s="31"/>
      <c r="B1083" s="31"/>
      <c r="C1083" s="31"/>
      <c r="D1083" s="31"/>
    </row>
    <row r="1084" spans="1:4" x14ac:dyDescent="0.25">
      <c r="A1084" s="31"/>
      <c r="B1084" s="31"/>
      <c r="C1084" s="31"/>
      <c r="D1084" s="31"/>
    </row>
    <row r="1085" spans="1:4" x14ac:dyDescent="0.25">
      <c r="A1085" s="31"/>
      <c r="B1085" s="31"/>
      <c r="C1085" s="31"/>
      <c r="D1085" s="31"/>
    </row>
    <row r="1086" spans="1:4" x14ac:dyDescent="0.25">
      <c r="A1086" s="31"/>
      <c r="B1086" s="31"/>
      <c r="C1086" s="31"/>
      <c r="D1086" s="31"/>
    </row>
    <row r="1087" spans="1:4" x14ac:dyDescent="0.25">
      <c r="A1087" s="31"/>
      <c r="B1087" s="31"/>
      <c r="C1087" s="31"/>
      <c r="D1087" s="31"/>
    </row>
    <row r="1088" spans="1:4" x14ac:dyDescent="0.25">
      <c r="A1088" s="31"/>
      <c r="B1088" s="31"/>
      <c r="C1088" s="31"/>
      <c r="D1088" s="31"/>
    </row>
    <row r="1089" spans="1:4" x14ac:dyDescent="0.25">
      <c r="A1089" s="31"/>
      <c r="B1089" s="31"/>
      <c r="C1089" s="31"/>
      <c r="D1089" s="31"/>
    </row>
    <row r="1090" spans="1:4" x14ac:dyDescent="0.25">
      <c r="A1090" s="31"/>
      <c r="B1090" s="31"/>
      <c r="C1090" s="31"/>
      <c r="D1090" s="31"/>
    </row>
    <row r="1091" spans="1:4" x14ac:dyDescent="0.25">
      <c r="A1091" s="31"/>
      <c r="B1091" s="31"/>
      <c r="C1091" s="31"/>
      <c r="D1091" s="31"/>
    </row>
    <row r="1092" spans="1:4" x14ac:dyDescent="0.25">
      <c r="A1092" s="31"/>
      <c r="B1092" s="31"/>
      <c r="C1092" s="31"/>
      <c r="D1092" s="31"/>
    </row>
    <row r="1093" spans="1:4" x14ac:dyDescent="0.25">
      <c r="A1093" s="31"/>
      <c r="B1093" s="31"/>
      <c r="C1093" s="31"/>
      <c r="D1093" s="31"/>
    </row>
    <row r="1094" spans="1:4" x14ac:dyDescent="0.25">
      <c r="A1094" s="31"/>
      <c r="B1094" s="31"/>
      <c r="C1094" s="31"/>
      <c r="D1094" s="31"/>
    </row>
    <row r="1095" spans="1:4" x14ac:dyDescent="0.25">
      <c r="A1095" s="31"/>
      <c r="B1095" s="31"/>
      <c r="C1095" s="31"/>
      <c r="D1095" s="31"/>
    </row>
    <row r="1096" spans="1:4" x14ac:dyDescent="0.25">
      <c r="A1096" s="31"/>
      <c r="B1096" s="31"/>
      <c r="C1096" s="31"/>
      <c r="D1096" s="31"/>
    </row>
    <row r="1097" spans="1:4" x14ac:dyDescent="0.25">
      <c r="A1097" s="31"/>
      <c r="B1097" s="31"/>
      <c r="C1097" s="31"/>
      <c r="D1097" s="31"/>
    </row>
    <row r="1098" spans="1:4" x14ac:dyDescent="0.25">
      <c r="A1098" s="31"/>
      <c r="B1098" s="31"/>
      <c r="C1098" s="31"/>
      <c r="D1098" s="31"/>
    </row>
    <row r="1099" spans="1:4" x14ac:dyDescent="0.25">
      <c r="A1099" s="31"/>
      <c r="B1099" s="31"/>
      <c r="C1099" s="31"/>
      <c r="D1099" s="31"/>
    </row>
    <row r="1100" spans="1:4" x14ac:dyDescent="0.25">
      <c r="A1100" s="31"/>
      <c r="B1100" s="31"/>
      <c r="C1100" s="31"/>
      <c r="D1100" s="31"/>
    </row>
    <row r="1101" spans="1:4" x14ac:dyDescent="0.25">
      <c r="A1101" s="31"/>
      <c r="B1101" s="31"/>
      <c r="C1101" s="31"/>
      <c r="D1101" s="31"/>
    </row>
    <row r="1102" spans="1:4" x14ac:dyDescent="0.25">
      <c r="A1102" s="31"/>
      <c r="B1102" s="31"/>
      <c r="C1102" s="31"/>
      <c r="D1102" s="31"/>
    </row>
    <row r="1103" spans="1:4" x14ac:dyDescent="0.25">
      <c r="A1103" s="31"/>
      <c r="B1103" s="31"/>
      <c r="C1103" s="31"/>
      <c r="D1103" s="31"/>
    </row>
    <row r="1104" spans="1:4" x14ac:dyDescent="0.25">
      <c r="A1104" s="31"/>
      <c r="B1104" s="31"/>
      <c r="C1104" s="31"/>
      <c r="D1104" s="31"/>
    </row>
    <row r="1105" spans="1:4" x14ac:dyDescent="0.25">
      <c r="A1105" s="31"/>
      <c r="B1105" s="31"/>
      <c r="C1105" s="31"/>
      <c r="D1105" s="31"/>
    </row>
    <row r="1106" spans="1:4" x14ac:dyDescent="0.25">
      <c r="A1106" s="31"/>
      <c r="B1106" s="31"/>
      <c r="C1106" s="31"/>
      <c r="D1106" s="31"/>
    </row>
    <row r="1107" spans="1:4" x14ac:dyDescent="0.25">
      <c r="A1107" s="31"/>
      <c r="B1107" s="31"/>
      <c r="C1107" s="31"/>
      <c r="D1107" s="31"/>
    </row>
    <row r="1108" spans="1:4" x14ac:dyDescent="0.25">
      <c r="A1108" s="31"/>
      <c r="B1108" s="31"/>
      <c r="C1108" s="31"/>
      <c r="D1108" s="31"/>
    </row>
    <row r="1109" spans="1:4" x14ac:dyDescent="0.25">
      <c r="A1109" s="31"/>
      <c r="B1109" s="31"/>
      <c r="C1109" s="31"/>
      <c r="D1109" s="31"/>
    </row>
    <row r="1110" spans="1:4" x14ac:dyDescent="0.25">
      <c r="A1110" s="31"/>
      <c r="B1110" s="31"/>
      <c r="C1110" s="31"/>
      <c r="D1110" s="31"/>
    </row>
    <row r="1111" spans="1:4" x14ac:dyDescent="0.25">
      <c r="A1111" s="31"/>
      <c r="B1111" s="31"/>
      <c r="C1111" s="31"/>
      <c r="D1111" s="31"/>
    </row>
    <row r="1112" spans="1:4" x14ac:dyDescent="0.25">
      <c r="A1112" s="31"/>
      <c r="B1112" s="31"/>
      <c r="C1112" s="31"/>
      <c r="D1112" s="31"/>
    </row>
    <row r="1113" spans="1:4" x14ac:dyDescent="0.25">
      <c r="A1113" s="31"/>
      <c r="B1113" s="31"/>
      <c r="C1113" s="31"/>
      <c r="D1113" s="31"/>
    </row>
    <row r="1114" spans="1:4" x14ac:dyDescent="0.25">
      <c r="A1114" s="31"/>
      <c r="B1114" s="31"/>
      <c r="C1114" s="31"/>
      <c r="D1114" s="31"/>
    </row>
    <row r="1115" spans="1:4" x14ac:dyDescent="0.25">
      <c r="A1115" s="31"/>
      <c r="B1115" s="31"/>
      <c r="C1115" s="31"/>
      <c r="D1115" s="31"/>
    </row>
    <row r="1116" spans="1:4" x14ac:dyDescent="0.25">
      <c r="A1116" s="31"/>
      <c r="B1116" s="31"/>
      <c r="C1116" s="31"/>
      <c r="D1116" s="31"/>
    </row>
    <row r="1117" spans="1:4" x14ac:dyDescent="0.25">
      <c r="A1117" s="31"/>
      <c r="B1117" s="31"/>
      <c r="C1117" s="31"/>
      <c r="D1117" s="31"/>
    </row>
    <row r="1118" spans="1:4" x14ac:dyDescent="0.25">
      <c r="A1118" s="31"/>
      <c r="B1118" s="31"/>
      <c r="C1118" s="31"/>
      <c r="D1118" s="31"/>
    </row>
    <row r="1119" spans="1:4" x14ac:dyDescent="0.25">
      <c r="A1119" s="31"/>
      <c r="B1119" s="31"/>
      <c r="C1119" s="31"/>
      <c r="D1119" s="31"/>
    </row>
    <row r="1120" spans="1:4" x14ac:dyDescent="0.25">
      <c r="A1120" s="31"/>
      <c r="B1120" s="31"/>
      <c r="C1120" s="31"/>
      <c r="D1120" s="31"/>
    </row>
    <row r="1121" spans="1:4" x14ac:dyDescent="0.25">
      <c r="A1121" s="31"/>
      <c r="B1121" s="31"/>
      <c r="C1121" s="31"/>
      <c r="D1121" s="31"/>
    </row>
    <row r="1122" spans="1:4" x14ac:dyDescent="0.25">
      <c r="A1122" s="31"/>
      <c r="B1122" s="31"/>
      <c r="C1122" s="31"/>
      <c r="D1122" s="31"/>
    </row>
    <row r="1123" spans="1:4" x14ac:dyDescent="0.25">
      <c r="A1123" s="31"/>
      <c r="B1123" s="31"/>
      <c r="C1123" s="31"/>
      <c r="D1123" s="31"/>
    </row>
    <row r="1124" spans="1:4" x14ac:dyDescent="0.25">
      <c r="A1124" s="31"/>
      <c r="B1124" s="31"/>
      <c r="C1124" s="31"/>
      <c r="D1124" s="31"/>
    </row>
    <row r="1125" spans="1:4" x14ac:dyDescent="0.25">
      <c r="A1125" s="31"/>
      <c r="B1125" s="31"/>
      <c r="C1125" s="31"/>
      <c r="D1125" s="31"/>
    </row>
    <row r="1126" spans="1:4" x14ac:dyDescent="0.25">
      <c r="A1126" s="31"/>
      <c r="B1126" s="31"/>
      <c r="C1126" s="31"/>
      <c r="D1126" s="31"/>
    </row>
    <row r="1127" spans="1:4" x14ac:dyDescent="0.25">
      <c r="A1127" s="31"/>
      <c r="B1127" s="31"/>
      <c r="C1127" s="31"/>
      <c r="D1127" s="31"/>
    </row>
    <row r="1128" spans="1:4" x14ac:dyDescent="0.25">
      <c r="A1128" s="31"/>
      <c r="B1128" s="31"/>
      <c r="C1128" s="31"/>
      <c r="D1128" s="31"/>
    </row>
    <row r="1129" spans="1:4" x14ac:dyDescent="0.25">
      <c r="A1129" s="31"/>
      <c r="B1129" s="31"/>
      <c r="C1129" s="31"/>
      <c r="D1129" s="31"/>
    </row>
    <row r="1130" spans="1:4" x14ac:dyDescent="0.25">
      <c r="A1130" s="31"/>
      <c r="B1130" s="31"/>
      <c r="C1130" s="31"/>
      <c r="D1130" s="31"/>
    </row>
    <row r="1131" spans="1:4" x14ac:dyDescent="0.25">
      <c r="A1131" s="31"/>
      <c r="B1131" s="31"/>
      <c r="C1131" s="31"/>
      <c r="D1131" s="31"/>
    </row>
    <row r="1132" spans="1:4" x14ac:dyDescent="0.25">
      <c r="A1132" s="31"/>
      <c r="B1132" s="31"/>
      <c r="C1132" s="31"/>
      <c r="D1132" s="31"/>
    </row>
    <row r="1133" spans="1:4" x14ac:dyDescent="0.25">
      <c r="A1133" s="31"/>
      <c r="B1133" s="31"/>
      <c r="C1133" s="31"/>
      <c r="D1133" s="31"/>
    </row>
    <row r="1134" spans="1:4" x14ac:dyDescent="0.25">
      <c r="A1134" s="31"/>
      <c r="B1134" s="31"/>
      <c r="C1134" s="31"/>
      <c r="D1134" s="31"/>
    </row>
    <row r="1135" spans="1:4" x14ac:dyDescent="0.25">
      <c r="A1135" s="31"/>
      <c r="B1135" s="31"/>
      <c r="C1135" s="31"/>
      <c r="D1135" s="31"/>
    </row>
    <row r="1136" spans="1:4" x14ac:dyDescent="0.25">
      <c r="A1136" s="31"/>
      <c r="B1136" s="31"/>
      <c r="C1136" s="31"/>
      <c r="D1136" s="31"/>
    </row>
    <row r="1137" spans="1:4" x14ac:dyDescent="0.25">
      <c r="A1137" s="31"/>
      <c r="B1137" s="31"/>
      <c r="C1137" s="31"/>
      <c r="D1137" s="31"/>
    </row>
    <row r="1138" spans="1:4" x14ac:dyDescent="0.25">
      <c r="A1138" s="31"/>
      <c r="B1138" s="31"/>
      <c r="C1138" s="31"/>
      <c r="D1138" s="31"/>
    </row>
    <row r="1139" spans="1:4" x14ac:dyDescent="0.25">
      <c r="A1139" s="31"/>
      <c r="B1139" s="31"/>
      <c r="C1139" s="31"/>
      <c r="D1139" s="31"/>
    </row>
    <row r="1140" spans="1:4" x14ac:dyDescent="0.25">
      <c r="A1140" s="31"/>
      <c r="B1140" s="31"/>
      <c r="C1140" s="31"/>
      <c r="D1140" s="31"/>
    </row>
    <row r="1141" spans="1:4" x14ac:dyDescent="0.25">
      <c r="A1141" s="31"/>
      <c r="B1141" s="31"/>
      <c r="C1141" s="31"/>
      <c r="D1141" s="31"/>
    </row>
    <row r="1142" spans="1:4" x14ac:dyDescent="0.25">
      <c r="A1142" s="31"/>
      <c r="B1142" s="31"/>
      <c r="C1142" s="31"/>
      <c r="D1142" s="31"/>
    </row>
    <row r="1143" spans="1:4" x14ac:dyDescent="0.25">
      <c r="A1143" s="31"/>
      <c r="B1143" s="31"/>
      <c r="C1143" s="31"/>
      <c r="D1143" s="31"/>
    </row>
    <row r="1144" spans="1:4" x14ac:dyDescent="0.25">
      <c r="A1144" s="31"/>
      <c r="B1144" s="31"/>
      <c r="C1144" s="31"/>
      <c r="D1144" s="31"/>
    </row>
    <row r="1145" spans="1:4" x14ac:dyDescent="0.25">
      <c r="A1145" s="31"/>
      <c r="B1145" s="31"/>
      <c r="C1145" s="31"/>
      <c r="D1145" s="31"/>
    </row>
    <row r="1146" spans="1:4" x14ac:dyDescent="0.25">
      <c r="A1146" s="31"/>
      <c r="B1146" s="31"/>
      <c r="C1146" s="31"/>
      <c r="D1146" s="31"/>
    </row>
    <row r="1147" spans="1:4" x14ac:dyDescent="0.25">
      <c r="A1147" s="31"/>
      <c r="B1147" s="31"/>
      <c r="C1147" s="31"/>
      <c r="D1147" s="31"/>
    </row>
    <row r="1148" spans="1:4" x14ac:dyDescent="0.25">
      <c r="A1148" s="31"/>
      <c r="B1148" s="31"/>
      <c r="C1148" s="31"/>
      <c r="D1148" s="31"/>
    </row>
    <row r="1149" spans="1:4" x14ac:dyDescent="0.25">
      <c r="A1149" s="31"/>
      <c r="B1149" s="31"/>
      <c r="C1149" s="31"/>
      <c r="D1149" s="31"/>
    </row>
    <row r="1150" spans="1:4" x14ac:dyDescent="0.25">
      <c r="A1150" s="31"/>
      <c r="B1150" s="31"/>
      <c r="C1150" s="31"/>
      <c r="D1150" s="31"/>
    </row>
    <row r="1151" spans="1:4" x14ac:dyDescent="0.25">
      <c r="A1151" s="31"/>
      <c r="B1151" s="31"/>
      <c r="C1151" s="31"/>
      <c r="D1151" s="31"/>
    </row>
    <row r="1152" spans="1:4" x14ac:dyDescent="0.25">
      <c r="A1152" s="31"/>
      <c r="B1152" s="31"/>
      <c r="C1152" s="31"/>
      <c r="D1152" s="31"/>
    </row>
    <row r="1153" spans="1:4" x14ac:dyDescent="0.25">
      <c r="A1153" s="31"/>
      <c r="B1153" s="31"/>
      <c r="C1153" s="31"/>
      <c r="D1153" s="31"/>
    </row>
    <row r="1154" spans="1:4" x14ac:dyDescent="0.25">
      <c r="A1154" s="31"/>
      <c r="B1154" s="31"/>
      <c r="C1154" s="31"/>
      <c r="D1154" s="31"/>
    </row>
    <row r="1155" spans="1:4" x14ac:dyDescent="0.25">
      <c r="A1155" s="31"/>
      <c r="B1155" s="31"/>
      <c r="C1155" s="31"/>
      <c r="D1155" s="31"/>
    </row>
    <row r="1156" spans="1:4" x14ac:dyDescent="0.25">
      <c r="A1156" s="31"/>
      <c r="B1156" s="31"/>
      <c r="C1156" s="31"/>
      <c r="D1156" s="31"/>
    </row>
    <row r="1157" spans="1:4" x14ac:dyDescent="0.25">
      <c r="A1157" s="31"/>
      <c r="B1157" s="31"/>
      <c r="C1157" s="31"/>
      <c r="D1157" s="31"/>
    </row>
    <row r="1158" spans="1:4" x14ac:dyDescent="0.25">
      <c r="A1158" s="31"/>
      <c r="B1158" s="31"/>
      <c r="C1158" s="31"/>
      <c r="D1158" s="31"/>
    </row>
    <row r="1159" spans="1:4" x14ac:dyDescent="0.25">
      <c r="A1159" s="31"/>
      <c r="B1159" s="31"/>
      <c r="C1159" s="31"/>
      <c r="D1159" s="31"/>
    </row>
    <row r="1160" spans="1:4" x14ac:dyDescent="0.25">
      <c r="A1160" s="31"/>
      <c r="B1160" s="31"/>
      <c r="C1160" s="31"/>
      <c r="D1160" s="31"/>
    </row>
    <row r="1161" spans="1:4" x14ac:dyDescent="0.25">
      <c r="A1161" s="31"/>
      <c r="B1161" s="31"/>
      <c r="C1161" s="31"/>
      <c r="D1161" s="31"/>
    </row>
    <row r="1162" spans="1:4" x14ac:dyDescent="0.25">
      <c r="A1162" s="31"/>
      <c r="B1162" s="31"/>
      <c r="C1162" s="31"/>
      <c r="D1162" s="31"/>
    </row>
    <row r="1163" spans="1:4" x14ac:dyDescent="0.25">
      <c r="A1163" s="31"/>
      <c r="B1163" s="31"/>
      <c r="C1163" s="31"/>
      <c r="D1163" s="31"/>
    </row>
    <row r="1164" spans="1:4" x14ac:dyDescent="0.25">
      <c r="A1164" s="31"/>
      <c r="B1164" s="31"/>
      <c r="C1164" s="31"/>
      <c r="D1164" s="31"/>
    </row>
    <row r="1165" spans="1:4" x14ac:dyDescent="0.25">
      <c r="A1165" s="31"/>
      <c r="B1165" s="31"/>
      <c r="C1165" s="31"/>
      <c r="D1165" s="31"/>
    </row>
    <row r="1166" spans="1:4" x14ac:dyDescent="0.25">
      <c r="A1166" s="31"/>
      <c r="B1166" s="31"/>
      <c r="C1166" s="31"/>
      <c r="D1166" s="31"/>
    </row>
    <row r="1167" spans="1:4" x14ac:dyDescent="0.25">
      <c r="A1167" s="31"/>
      <c r="B1167" s="31"/>
      <c r="C1167" s="31"/>
      <c r="D1167" s="31"/>
    </row>
    <row r="1168" spans="1:4" x14ac:dyDescent="0.25">
      <c r="A1168" s="31"/>
      <c r="B1168" s="31"/>
      <c r="C1168" s="31"/>
      <c r="D1168" s="31"/>
    </row>
    <row r="1169" spans="1:4" x14ac:dyDescent="0.25">
      <c r="A1169" s="31"/>
      <c r="B1169" s="31"/>
      <c r="C1169" s="31"/>
      <c r="D1169" s="31"/>
    </row>
    <row r="1170" spans="1:4" x14ac:dyDescent="0.25">
      <c r="A1170" s="31"/>
      <c r="B1170" s="31"/>
      <c r="C1170" s="31"/>
      <c r="D1170" s="31"/>
    </row>
    <row r="1171" spans="1:4" x14ac:dyDescent="0.25">
      <c r="A1171" s="31"/>
      <c r="B1171" s="31"/>
      <c r="C1171" s="31"/>
      <c r="D1171" s="31"/>
    </row>
    <row r="1172" spans="1:4" x14ac:dyDescent="0.25">
      <c r="A1172" s="31"/>
      <c r="B1172" s="31"/>
      <c r="C1172" s="31"/>
      <c r="D1172" s="31"/>
    </row>
    <row r="1173" spans="1:4" x14ac:dyDescent="0.25">
      <c r="A1173" s="31"/>
      <c r="B1173" s="31"/>
      <c r="C1173" s="31"/>
      <c r="D1173" s="31"/>
    </row>
    <row r="1174" spans="1:4" x14ac:dyDescent="0.25">
      <c r="A1174" s="31"/>
      <c r="B1174" s="31"/>
      <c r="C1174" s="31"/>
      <c r="D1174" s="31"/>
    </row>
    <row r="1175" spans="1:4" x14ac:dyDescent="0.25">
      <c r="A1175" s="31"/>
      <c r="B1175" s="31"/>
      <c r="C1175" s="31"/>
      <c r="D1175" s="31"/>
    </row>
    <row r="1176" spans="1:4" x14ac:dyDescent="0.25">
      <c r="A1176" s="31"/>
      <c r="B1176" s="31"/>
      <c r="C1176" s="31"/>
      <c r="D1176" s="31"/>
    </row>
    <row r="1177" spans="1:4" x14ac:dyDescent="0.25">
      <c r="A1177" s="31"/>
      <c r="B1177" s="31"/>
      <c r="C1177" s="31"/>
      <c r="D1177" s="31"/>
    </row>
    <row r="1178" spans="1:4" x14ac:dyDescent="0.25">
      <c r="A1178" s="31"/>
      <c r="B1178" s="31"/>
      <c r="C1178" s="31"/>
      <c r="D1178" s="31"/>
    </row>
    <row r="1179" spans="1:4" x14ac:dyDescent="0.25">
      <c r="A1179" s="31"/>
      <c r="B1179" s="31"/>
      <c r="C1179" s="31"/>
      <c r="D1179" s="31"/>
    </row>
    <row r="1180" spans="1:4" x14ac:dyDescent="0.25">
      <c r="A1180" s="31"/>
      <c r="B1180" s="31"/>
      <c r="C1180" s="31"/>
      <c r="D1180" s="31"/>
    </row>
    <row r="1181" spans="1:4" x14ac:dyDescent="0.25">
      <c r="A1181" s="31"/>
      <c r="B1181" s="31"/>
      <c r="C1181" s="31"/>
      <c r="D1181" s="31"/>
    </row>
    <row r="1182" spans="1:4" x14ac:dyDescent="0.25">
      <c r="A1182" s="31"/>
      <c r="B1182" s="31"/>
      <c r="C1182" s="31"/>
      <c r="D1182" s="31"/>
    </row>
    <row r="1183" spans="1:4" x14ac:dyDescent="0.25">
      <c r="A1183" s="31"/>
      <c r="B1183" s="31"/>
      <c r="C1183" s="31"/>
      <c r="D1183" s="31"/>
    </row>
    <row r="1184" spans="1:4" x14ac:dyDescent="0.25">
      <c r="A1184" s="31"/>
      <c r="B1184" s="31"/>
      <c r="C1184" s="31"/>
      <c r="D1184" s="31"/>
    </row>
    <row r="1185" spans="1:4" x14ac:dyDescent="0.25">
      <c r="A1185" s="31"/>
      <c r="B1185" s="31"/>
      <c r="C1185" s="31"/>
      <c r="D1185" s="31"/>
    </row>
    <row r="1186" spans="1:4" x14ac:dyDescent="0.25">
      <c r="A1186" s="31"/>
      <c r="B1186" s="31"/>
      <c r="C1186" s="31"/>
      <c r="D1186" s="31"/>
    </row>
    <row r="1187" spans="1:4" x14ac:dyDescent="0.25">
      <c r="A1187" s="31"/>
      <c r="B1187" s="31"/>
      <c r="C1187" s="31"/>
      <c r="D1187" s="31"/>
    </row>
    <row r="1188" spans="1:4" x14ac:dyDescent="0.25">
      <c r="A1188" s="31"/>
      <c r="B1188" s="31"/>
      <c r="C1188" s="31"/>
      <c r="D1188" s="31"/>
    </row>
    <row r="1189" spans="1:4" x14ac:dyDescent="0.25">
      <c r="A1189" s="31"/>
      <c r="B1189" s="31"/>
      <c r="C1189" s="31"/>
      <c r="D1189" s="31"/>
    </row>
    <row r="1190" spans="1:4" x14ac:dyDescent="0.25">
      <c r="A1190" s="31"/>
      <c r="B1190" s="31"/>
      <c r="C1190" s="31"/>
      <c r="D1190" s="31"/>
    </row>
    <row r="1191" spans="1:4" x14ac:dyDescent="0.25">
      <c r="A1191" s="31"/>
      <c r="B1191" s="31"/>
      <c r="C1191" s="31"/>
      <c r="D1191" s="31"/>
    </row>
    <row r="1192" spans="1:4" x14ac:dyDescent="0.25">
      <c r="A1192" s="31"/>
      <c r="B1192" s="31"/>
      <c r="C1192" s="31"/>
      <c r="D1192" s="31"/>
    </row>
    <row r="1193" spans="1:4" x14ac:dyDescent="0.25">
      <c r="A1193" s="31"/>
      <c r="B1193" s="31"/>
      <c r="C1193" s="31"/>
      <c r="D1193" s="31"/>
    </row>
    <row r="1194" spans="1:4" x14ac:dyDescent="0.25">
      <c r="A1194" s="31"/>
      <c r="B1194" s="31"/>
      <c r="C1194" s="31"/>
      <c r="D1194" s="31"/>
    </row>
    <row r="1195" spans="1:4" x14ac:dyDescent="0.25">
      <c r="A1195" s="31"/>
      <c r="B1195" s="31"/>
      <c r="C1195" s="31"/>
      <c r="D1195" s="31"/>
    </row>
    <row r="1196" spans="1:4" x14ac:dyDescent="0.25">
      <c r="A1196" s="31"/>
      <c r="B1196" s="31"/>
      <c r="C1196" s="31"/>
      <c r="D1196" s="31"/>
    </row>
    <row r="1197" spans="1:4" x14ac:dyDescent="0.25">
      <c r="A1197" s="31"/>
      <c r="B1197" s="31"/>
      <c r="C1197" s="31"/>
      <c r="D1197" s="31"/>
    </row>
    <row r="1198" spans="1:4" x14ac:dyDescent="0.25">
      <c r="A1198" s="31"/>
      <c r="B1198" s="31"/>
      <c r="C1198" s="31"/>
      <c r="D1198" s="31"/>
    </row>
    <row r="1199" spans="1:4" x14ac:dyDescent="0.25">
      <c r="A1199" s="31"/>
      <c r="B1199" s="31"/>
      <c r="C1199" s="31"/>
      <c r="D1199" s="31"/>
    </row>
    <row r="1200" spans="1:4" x14ac:dyDescent="0.25">
      <c r="A1200" s="31"/>
      <c r="B1200" s="31"/>
      <c r="C1200" s="31"/>
      <c r="D1200" s="31"/>
    </row>
    <row r="1201" spans="1:4" x14ac:dyDescent="0.25">
      <c r="A1201" s="31"/>
      <c r="B1201" s="31"/>
      <c r="C1201" s="31"/>
      <c r="D1201" s="31"/>
    </row>
    <row r="1202" spans="1:4" x14ac:dyDescent="0.25">
      <c r="A1202" s="31"/>
      <c r="B1202" s="31"/>
      <c r="C1202" s="31"/>
      <c r="D1202" s="31"/>
    </row>
    <row r="1203" spans="1:4" x14ac:dyDescent="0.25">
      <c r="A1203" s="31"/>
      <c r="B1203" s="31"/>
      <c r="C1203" s="31"/>
      <c r="D1203" s="31"/>
    </row>
    <row r="1204" spans="1:4" x14ac:dyDescent="0.25">
      <c r="A1204" s="31"/>
      <c r="B1204" s="31"/>
      <c r="C1204" s="31"/>
      <c r="D1204" s="31"/>
    </row>
    <row r="1205" spans="1:4" x14ac:dyDescent="0.25">
      <c r="A1205" s="31"/>
      <c r="B1205" s="31"/>
      <c r="C1205" s="31"/>
      <c r="D1205" s="31"/>
    </row>
    <row r="1206" spans="1:4" x14ac:dyDescent="0.25">
      <c r="A1206" s="31"/>
      <c r="B1206" s="31"/>
      <c r="C1206" s="31"/>
      <c r="D1206" s="31"/>
    </row>
    <row r="1207" spans="1:4" x14ac:dyDescent="0.25">
      <c r="A1207" s="31"/>
      <c r="B1207" s="31"/>
      <c r="C1207" s="31"/>
      <c r="D1207" s="31"/>
    </row>
    <row r="1208" spans="1:4" x14ac:dyDescent="0.25">
      <c r="A1208" s="31"/>
      <c r="B1208" s="31"/>
      <c r="C1208" s="31"/>
      <c r="D1208" s="31"/>
    </row>
    <row r="1209" spans="1:4" x14ac:dyDescent="0.25">
      <c r="A1209" s="31"/>
      <c r="B1209" s="31"/>
      <c r="C1209" s="31"/>
      <c r="D1209" s="31"/>
    </row>
    <row r="1210" spans="1:4" x14ac:dyDescent="0.25">
      <c r="A1210" s="31"/>
      <c r="B1210" s="31"/>
      <c r="C1210" s="31"/>
      <c r="D1210" s="31"/>
    </row>
    <row r="1211" spans="1:4" x14ac:dyDescent="0.25">
      <c r="A1211" s="31"/>
      <c r="B1211" s="31"/>
      <c r="C1211" s="31"/>
      <c r="D1211" s="31"/>
    </row>
    <row r="1212" spans="1:4" x14ac:dyDescent="0.25">
      <c r="A1212" s="31"/>
      <c r="B1212" s="31"/>
      <c r="C1212" s="31"/>
      <c r="D1212" s="31"/>
    </row>
    <row r="1213" spans="1:4" x14ac:dyDescent="0.25">
      <c r="A1213" s="31"/>
      <c r="B1213" s="31"/>
      <c r="C1213" s="31"/>
      <c r="D1213" s="31"/>
    </row>
    <row r="1214" spans="1:4" x14ac:dyDescent="0.25">
      <c r="A1214" s="31"/>
      <c r="B1214" s="31"/>
      <c r="C1214" s="31"/>
      <c r="D1214" s="31"/>
    </row>
    <row r="1215" spans="1:4" x14ac:dyDescent="0.25">
      <c r="A1215" s="31"/>
      <c r="B1215" s="31"/>
      <c r="C1215" s="31"/>
      <c r="D1215" s="31"/>
    </row>
    <row r="1216" spans="1:4" x14ac:dyDescent="0.25">
      <c r="A1216" s="31"/>
      <c r="B1216" s="31"/>
      <c r="C1216" s="31"/>
      <c r="D1216" s="31"/>
    </row>
    <row r="1217" spans="1:4" x14ac:dyDescent="0.25">
      <c r="A1217" s="31"/>
      <c r="B1217" s="31"/>
      <c r="C1217" s="31"/>
      <c r="D1217" s="31"/>
    </row>
    <row r="1218" spans="1:4" x14ac:dyDescent="0.25">
      <c r="A1218" s="31"/>
      <c r="B1218" s="31"/>
      <c r="C1218" s="31"/>
      <c r="D1218" s="31"/>
    </row>
    <row r="1219" spans="1:4" x14ac:dyDescent="0.25">
      <c r="A1219" s="31"/>
      <c r="B1219" s="31"/>
      <c r="C1219" s="31"/>
      <c r="D1219" s="31"/>
    </row>
    <row r="1220" spans="1:4" x14ac:dyDescent="0.25">
      <c r="A1220" s="31"/>
      <c r="B1220" s="31"/>
      <c r="C1220" s="31"/>
      <c r="D1220" s="31"/>
    </row>
    <row r="1221" spans="1:4" x14ac:dyDescent="0.25">
      <c r="A1221" s="31"/>
      <c r="B1221" s="31"/>
      <c r="C1221" s="31"/>
      <c r="D1221" s="31"/>
    </row>
    <row r="1222" spans="1:4" x14ac:dyDescent="0.25">
      <c r="A1222" s="31"/>
      <c r="B1222" s="31"/>
      <c r="C1222" s="31"/>
      <c r="D1222" s="31"/>
    </row>
    <row r="1223" spans="1:4" x14ac:dyDescent="0.25">
      <c r="A1223" s="31"/>
      <c r="B1223" s="31"/>
      <c r="C1223" s="31"/>
      <c r="D1223" s="31"/>
    </row>
    <row r="1224" spans="1:4" x14ac:dyDescent="0.25">
      <c r="A1224" s="31"/>
      <c r="B1224" s="31"/>
      <c r="C1224" s="31"/>
      <c r="D1224" s="31"/>
    </row>
    <row r="1225" spans="1:4" x14ac:dyDescent="0.25">
      <c r="A1225" s="31"/>
      <c r="B1225" s="31"/>
      <c r="C1225" s="31"/>
      <c r="D1225" s="31"/>
    </row>
    <row r="1226" spans="1:4" x14ac:dyDescent="0.25">
      <c r="A1226" s="31"/>
      <c r="B1226" s="31"/>
      <c r="C1226" s="31"/>
      <c r="D1226" s="31"/>
    </row>
    <row r="1227" spans="1:4" x14ac:dyDescent="0.25">
      <c r="A1227" s="31"/>
      <c r="B1227" s="31"/>
      <c r="C1227" s="31"/>
      <c r="D1227" s="31"/>
    </row>
    <row r="1228" spans="1:4" x14ac:dyDescent="0.25">
      <c r="A1228" s="31"/>
      <c r="B1228" s="31"/>
      <c r="C1228" s="31"/>
      <c r="D1228" s="31"/>
    </row>
    <row r="1229" spans="1:4" x14ac:dyDescent="0.25">
      <c r="A1229" s="31"/>
      <c r="B1229" s="31"/>
      <c r="C1229" s="31"/>
      <c r="D1229" s="31"/>
    </row>
    <row r="1230" spans="1:4" x14ac:dyDescent="0.25">
      <c r="A1230" s="31"/>
      <c r="B1230" s="31"/>
      <c r="C1230" s="31"/>
      <c r="D1230" s="31"/>
    </row>
    <row r="1231" spans="1:4" x14ac:dyDescent="0.25">
      <c r="A1231" s="31"/>
      <c r="B1231" s="31"/>
      <c r="C1231" s="31"/>
      <c r="D1231" s="31"/>
    </row>
    <row r="1232" spans="1:4" x14ac:dyDescent="0.25">
      <c r="A1232" s="31"/>
      <c r="B1232" s="31"/>
      <c r="C1232" s="31"/>
      <c r="D1232" s="31"/>
    </row>
    <row r="1233" spans="1:4" x14ac:dyDescent="0.25">
      <c r="A1233" s="31"/>
      <c r="B1233" s="31"/>
      <c r="C1233" s="31"/>
      <c r="D1233" s="31"/>
    </row>
    <row r="1234" spans="1:4" x14ac:dyDescent="0.25">
      <c r="A1234" s="31"/>
      <c r="B1234" s="31"/>
      <c r="C1234" s="31"/>
      <c r="D1234" s="31"/>
    </row>
    <row r="1235" spans="1:4" x14ac:dyDescent="0.25">
      <c r="A1235" s="31"/>
      <c r="B1235" s="31"/>
      <c r="C1235" s="31"/>
      <c r="D1235" s="31"/>
    </row>
    <row r="1236" spans="1:4" x14ac:dyDescent="0.25">
      <c r="A1236" s="31"/>
      <c r="B1236" s="31"/>
      <c r="C1236" s="31"/>
      <c r="D1236" s="31"/>
    </row>
    <row r="1237" spans="1:4" x14ac:dyDescent="0.25">
      <c r="A1237" s="31"/>
      <c r="B1237" s="31"/>
      <c r="C1237" s="31"/>
      <c r="D1237" s="31"/>
    </row>
    <row r="1238" spans="1:4" x14ac:dyDescent="0.25">
      <c r="A1238" s="31"/>
      <c r="B1238" s="31"/>
      <c r="C1238" s="31"/>
      <c r="D1238" s="31"/>
    </row>
    <row r="1239" spans="1:4" x14ac:dyDescent="0.25">
      <c r="A1239" s="31"/>
      <c r="B1239" s="31"/>
      <c r="C1239" s="31"/>
      <c r="D1239" s="31"/>
    </row>
    <row r="1240" spans="1:4" x14ac:dyDescent="0.25">
      <c r="A1240" s="31"/>
      <c r="B1240" s="31"/>
      <c r="C1240" s="31"/>
      <c r="D1240" s="31"/>
    </row>
    <row r="1241" spans="1:4" x14ac:dyDescent="0.25">
      <c r="A1241" s="31"/>
      <c r="B1241" s="31"/>
      <c r="C1241" s="31"/>
      <c r="D1241" s="31"/>
    </row>
    <row r="1242" spans="1:4" x14ac:dyDescent="0.25">
      <c r="A1242" s="31"/>
      <c r="B1242" s="31"/>
      <c r="C1242" s="31"/>
      <c r="D1242" s="31"/>
    </row>
    <row r="1243" spans="1:4" x14ac:dyDescent="0.25">
      <c r="A1243" s="31"/>
      <c r="B1243" s="31"/>
      <c r="C1243" s="31"/>
      <c r="D1243" s="31"/>
    </row>
    <row r="1244" spans="1:4" x14ac:dyDescent="0.25">
      <c r="A1244" s="31"/>
      <c r="B1244" s="31"/>
      <c r="C1244" s="31"/>
      <c r="D1244" s="31"/>
    </row>
    <row r="1245" spans="1:4" x14ac:dyDescent="0.25">
      <c r="A1245" s="31"/>
      <c r="B1245" s="31"/>
      <c r="C1245" s="31"/>
      <c r="D1245" s="31"/>
    </row>
    <row r="1246" spans="1:4" x14ac:dyDescent="0.25">
      <c r="A1246" s="31"/>
      <c r="B1246" s="31"/>
      <c r="C1246" s="31"/>
      <c r="D1246" s="31"/>
    </row>
    <row r="1247" spans="1:4" x14ac:dyDescent="0.25">
      <c r="A1247" s="31"/>
      <c r="B1247" s="31"/>
      <c r="C1247" s="31"/>
      <c r="D1247" s="31"/>
    </row>
    <row r="1248" spans="1:4" x14ac:dyDescent="0.25">
      <c r="A1248" s="31"/>
      <c r="B1248" s="31"/>
      <c r="C1248" s="31"/>
      <c r="D1248" s="31"/>
    </row>
    <row r="1249" spans="1:4" x14ac:dyDescent="0.25">
      <c r="A1249" s="31"/>
      <c r="B1249" s="31"/>
      <c r="C1249" s="31"/>
      <c r="D1249" s="31"/>
    </row>
    <row r="1250" spans="1:4" x14ac:dyDescent="0.25">
      <c r="A1250" s="31"/>
      <c r="B1250" s="31"/>
      <c r="C1250" s="31"/>
      <c r="D1250" s="31"/>
    </row>
    <row r="1251" spans="1:4" x14ac:dyDescent="0.25">
      <c r="A1251" s="31"/>
      <c r="B1251" s="31"/>
      <c r="C1251" s="31"/>
      <c r="D1251" s="31"/>
    </row>
    <row r="1252" spans="1:4" x14ac:dyDescent="0.25">
      <c r="A1252" s="31"/>
      <c r="B1252" s="31"/>
      <c r="C1252" s="31"/>
      <c r="D1252" s="31"/>
    </row>
    <row r="1253" spans="1:4" x14ac:dyDescent="0.25">
      <c r="A1253" s="31"/>
      <c r="B1253" s="31"/>
      <c r="C1253" s="31"/>
      <c r="D1253" s="31"/>
    </row>
    <row r="1254" spans="1:4" x14ac:dyDescent="0.25">
      <c r="A1254" s="31"/>
      <c r="B1254" s="31"/>
      <c r="C1254" s="31"/>
      <c r="D1254" s="31"/>
    </row>
    <row r="1255" spans="1:4" x14ac:dyDescent="0.25">
      <c r="A1255" s="31"/>
      <c r="B1255" s="31"/>
      <c r="C1255" s="31"/>
      <c r="D1255" s="31"/>
    </row>
    <row r="1256" spans="1:4" x14ac:dyDescent="0.25">
      <c r="A1256" s="31"/>
      <c r="B1256" s="31"/>
      <c r="C1256" s="31"/>
      <c r="D1256" s="31"/>
    </row>
    <row r="1257" spans="1:4" x14ac:dyDescent="0.25">
      <c r="A1257" s="31"/>
      <c r="B1257" s="31"/>
      <c r="C1257" s="31"/>
      <c r="D1257" s="31"/>
    </row>
    <row r="1258" spans="1:4" x14ac:dyDescent="0.25">
      <c r="A1258" s="31"/>
      <c r="B1258" s="31"/>
      <c r="C1258" s="31"/>
      <c r="D1258" s="31"/>
    </row>
    <row r="1259" spans="1:4" x14ac:dyDescent="0.25">
      <c r="A1259" s="31"/>
      <c r="B1259" s="31"/>
      <c r="C1259" s="31"/>
      <c r="D1259" s="31"/>
    </row>
    <row r="1260" spans="1:4" x14ac:dyDescent="0.25">
      <c r="A1260" s="31"/>
      <c r="B1260" s="31"/>
      <c r="C1260" s="31"/>
      <c r="D1260" s="31"/>
    </row>
    <row r="1261" spans="1:4" x14ac:dyDescent="0.25">
      <c r="A1261" s="31"/>
      <c r="B1261" s="31"/>
      <c r="C1261" s="31"/>
      <c r="D1261" s="31"/>
    </row>
    <row r="1262" spans="1:4" x14ac:dyDescent="0.25">
      <c r="A1262" s="31"/>
      <c r="B1262" s="31"/>
      <c r="C1262" s="31"/>
      <c r="D1262" s="31"/>
    </row>
    <row r="1263" spans="1:4" x14ac:dyDescent="0.25">
      <c r="A1263" s="31"/>
      <c r="B1263" s="31"/>
      <c r="C1263" s="31"/>
      <c r="D1263" s="31"/>
    </row>
    <row r="1264" spans="1:4" x14ac:dyDescent="0.25">
      <c r="A1264" s="31"/>
      <c r="B1264" s="31"/>
      <c r="C1264" s="31"/>
      <c r="D1264" s="31"/>
    </row>
    <row r="1265" spans="1:4" x14ac:dyDescent="0.25">
      <c r="A1265" s="31"/>
      <c r="B1265" s="31"/>
      <c r="C1265" s="31"/>
      <c r="D1265" s="31"/>
    </row>
    <row r="1266" spans="1:4" x14ac:dyDescent="0.25">
      <c r="A1266" s="31"/>
      <c r="B1266" s="31"/>
      <c r="C1266" s="31"/>
      <c r="D1266" s="31"/>
    </row>
    <row r="1267" spans="1:4" x14ac:dyDescent="0.25">
      <c r="A1267" s="31"/>
      <c r="B1267" s="31"/>
      <c r="C1267" s="31"/>
      <c r="D1267" s="31"/>
    </row>
    <row r="1268" spans="1:4" x14ac:dyDescent="0.25">
      <c r="A1268" s="31"/>
      <c r="B1268" s="31"/>
      <c r="C1268" s="31"/>
      <c r="D1268" s="31"/>
    </row>
    <row r="1269" spans="1:4" x14ac:dyDescent="0.25">
      <c r="A1269" s="31"/>
      <c r="B1269" s="31"/>
      <c r="C1269" s="31"/>
      <c r="D1269" s="31"/>
    </row>
    <row r="1270" spans="1:4" x14ac:dyDescent="0.25">
      <c r="A1270" s="31"/>
      <c r="B1270" s="31"/>
      <c r="C1270" s="31"/>
      <c r="D1270" s="31"/>
    </row>
    <row r="1271" spans="1:4" x14ac:dyDescent="0.25">
      <c r="A1271" s="31"/>
      <c r="B1271" s="31"/>
      <c r="C1271" s="31"/>
      <c r="D1271" s="31"/>
    </row>
    <row r="1272" spans="1:4" x14ac:dyDescent="0.25">
      <c r="A1272" s="31"/>
      <c r="B1272" s="31"/>
      <c r="C1272" s="31"/>
      <c r="D1272" s="31"/>
    </row>
    <row r="1273" spans="1:4" x14ac:dyDescent="0.25">
      <c r="A1273" s="31"/>
      <c r="B1273" s="31"/>
      <c r="C1273" s="31"/>
      <c r="D1273" s="31"/>
    </row>
    <row r="1274" spans="1:4" x14ac:dyDescent="0.25">
      <c r="A1274" s="31"/>
      <c r="B1274" s="31"/>
      <c r="C1274" s="31"/>
      <c r="D1274" s="31"/>
    </row>
    <row r="1275" spans="1:4" x14ac:dyDescent="0.25">
      <c r="A1275" s="31"/>
      <c r="B1275" s="31"/>
      <c r="C1275" s="31"/>
      <c r="D1275" s="31"/>
    </row>
    <row r="1276" spans="1:4" x14ac:dyDescent="0.25">
      <c r="A1276" s="31"/>
      <c r="B1276" s="31"/>
      <c r="C1276" s="31"/>
      <c r="D1276" s="31"/>
    </row>
    <row r="1277" spans="1:4" x14ac:dyDescent="0.25">
      <c r="A1277" s="31"/>
      <c r="B1277" s="31"/>
      <c r="C1277" s="31"/>
      <c r="D1277" s="31"/>
    </row>
    <row r="1278" spans="1:4" x14ac:dyDescent="0.25">
      <c r="A1278" s="31"/>
      <c r="B1278" s="31"/>
      <c r="C1278" s="31"/>
      <c r="D1278" s="31"/>
    </row>
    <row r="1279" spans="1:4" x14ac:dyDescent="0.25">
      <c r="A1279" s="31"/>
      <c r="B1279" s="31"/>
      <c r="C1279" s="31"/>
      <c r="D1279" s="31"/>
    </row>
    <row r="1280" spans="1:4" x14ac:dyDescent="0.25">
      <c r="A1280" s="31"/>
      <c r="B1280" s="31"/>
      <c r="C1280" s="31"/>
      <c r="D1280" s="31"/>
    </row>
    <row r="1281" spans="1:4" x14ac:dyDescent="0.25">
      <c r="A1281" s="31"/>
      <c r="B1281" s="31"/>
      <c r="C1281" s="31"/>
      <c r="D1281" s="31"/>
    </row>
    <row r="1282" spans="1:4" x14ac:dyDescent="0.25">
      <c r="A1282" s="31"/>
      <c r="B1282" s="31"/>
      <c r="C1282" s="31"/>
      <c r="D1282" s="31"/>
    </row>
    <row r="1283" spans="1:4" x14ac:dyDescent="0.25">
      <c r="A1283" s="31"/>
      <c r="B1283" s="31"/>
      <c r="C1283" s="31"/>
      <c r="D1283" s="31"/>
    </row>
    <row r="1284" spans="1:4" x14ac:dyDescent="0.25">
      <c r="A1284" s="31"/>
      <c r="B1284" s="31"/>
      <c r="C1284" s="31"/>
      <c r="D1284" s="31"/>
    </row>
    <row r="1285" spans="1:4" x14ac:dyDescent="0.25">
      <c r="A1285" s="31"/>
      <c r="B1285" s="31"/>
      <c r="C1285" s="31"/>
      <c r="D1285" s="31"/>
    </row>
    <row r="1286" spans="1:4" x14ac:dyDescent="0.25">
      <c r="A1286" s="31"/>
      <c r="B1286" s="31"/>
      <c r="C1286" s="31"/>
      <c r="D1286" s="31"/>
    </row>
    <row r="1287" spans="1:4" x14ac:dyDescent="0.25">
      <c r="A1287" s="31"/>
      <c r="B1287" s="31"/>
      <c r="C1287" s="31"/>
      <c r="D1287" s="31"/>
    </row>
    <row r="1288" spans="1:4" x14ac:dyDescent="0.25">
      <c r="A1288" s="31"/>
      <c r="B1288" s="31"/>
      <c r="C1288" s="31"/>
      <c r="D1288" s="31"/>
    </row>
    <row r="1289" spans="1:4" x14ac:dyDescent="0.25">
      <c r="A1289" s="31"/>
      <c r="B1289" s="31"/>
      <c r="C1289" s="31"/>
      <c r="D1289" s="31"/>
    </row>
    <row r="1290" spans="1:4" x14ac:dyDescent="0.25">
      <c r="A1290" s="31"/>
      <c r="B1290" s="31"/>
      <c r="C1290" s="31"/>
      <c r="D1290" s="31"/>
    </row>
    <row r="1291" spans="1:4" x14ac:dyDescent="0.25">
      <c r="A1291" s="31"/>
      <c r="B1291" s="31"/>
      <c r="C1291" s="31"/>
      <c r="D1291" s="31"/>
    </row>
    <row r="1292" spans="1:4" x14ac:dyDescent="0.25">
      <c r="A1292" s="31"/>
      <c r="B1292" s="31"/>
      <c r="C1292" s="31"/>
      <c r="D1292" s="31"/>
    </row>
    <row r="1293" spans="1:4" x14ac:dyDescent="0.25">
      <c r="A1293" s="31"/>
      <c r="B1293" s="31"/>
      <c r="C1293" s="31"/>
      <c r="D1293" s="31"/>
    </row>
    <row r="1294" spans="1:4" x14ac:dyDescent="0.25">
      <c r="A1294" s="31"/>
      <c r="B1294" s="31"/>
      <c r="C1294" s="31"/>
      <c r="D1294" s="31"/>
    </row>
    <row r="1295" spans="1:4" x14ac:dyDescent="0.25">
      <c r="A1295" s="31"/>
      <c r="B1295" s="31"/>
      <c r="C1295" s="31"/>
      <c r="D1295" s="31"/>
    </row>
    <row r="1296" spans="1:4" x14ac:dyDescent="0.25">
      <c r="A1296" s="31"/>
      <c r="B1296" s="31"/>
      <c r="C1296" s="31"/>
      <c r="D1296" s="31"/>
    </row>
    <row r="1297" spans="1:4" x14ac:dyDescent="0.25">
      <c r="A1297" s="31"/>
      <c r="B1297" s="31"/>
      <c r="C1297" s="31"/>
      <c r="D1297" s="31"/>
    </row>
    <row r="1298" spans="1:4" x14ac:dyDescent="0.25">
      <c r="A1298" s="31"/>
      <c r="B1298" s="31"/>
      <c r="C1298" s="31"/>
      <c r="D1298" s="31"/>
    </row>
    <row r="1299" spans="1:4" x14ac:dyDescent="0.25">
      <c r="A1299" s="31"/>
      <c r="B1299" s="31"/>
      <c r="C1299" s="31"/>
      <c r="D1299" s="31"/>
    </row>
    <row r="1300" spans="1:4" x14ac:dyDescent="0.25">
      <c r="A1300" s="31"/>
      <c r="B1300" s="31"/>
      <c r="C1300" s="31"/>
      <c r="D1300" s="31"/>
    </row>
    <row r="1301" spans="1:4" x14ac:dyDescent="0.25">
      <c r="A1301" s="31"/>
      <c r="B1301" s="31"/>
      <c r="C1301" s="31"/>
      <c r="D1301" s="31"/>
    </row>
    <row r="1302" spans="1:4" x14ac:dyDescent="0.25">
      <c r="A1302" s="31"/>
      <c r="B1302" s="31"/>
      <c r="C1302" s="31"/>
      <c r="D1302" s="31"/>
    </row>
    <row r="1303" spans="1:4" x14ac:dyDescent="0.25">
      <c r="A1303" s="31"/>
      <c r="B1303" s="31"/>
      <c r="C1303" s="31"/>
      <c r="D1303" s="31"/>
    </row>
    <row r="1304" spans="1:4" x14ac:dyDescent="0.25">
      <c r="A1304" s="31"/>
      <c r="B1304" s="31"/>
      <c r="C1304" s="31"/>
      <c r="D1304" s="31"/>
    </row>
    <row r="1305" spans="1:4" x14ac:dyDescent="0.25">
      <c r="A1305" s="31"/>
      <c r="B1305" s="31"/>
      <c r="C1305" s="31"/>
      <c r="D1305" s="31"/>
    </row>
    <row r="1306" spans="1:4" x14ac:dyDescent="0.25">
      <c r="A1306" s="31"/>
      <c r="B1306" s="31"/>
      <c r="C1306" s="31"/>
      <c r="D1306" s="31"/>
    </row>
    <row r="1307" spans="1:4" x14ac:dyDescent="0.25">
      <c r="A1307" s="31"/>
      <c r="B1307" s="31"/>
      <c r="C1307" s="31"/>
      <c r="D1307" s="31"/>
    </row>
    <row r="1308" spans="1:4" x14ac:dyDescent="0.25">
      <c r="A1308" s="31"/>
      <c r="B1308" s="31"/>
      <c r="C1308" s="31"/>
      <c r="D1308" s="31"/>
    </row>
    <row r="1309" spans="1:4" x14ac:dyDescent="0.25">
      <c r="A1309" s="31"/>
      <c r="B1309" s="31"/>
      <c r="C1309" s="31"/>
      <c r="D1309" s="31"/>
    </row>
    <row r="1310" spans="1:4" x14ac:dyDescent="0.25">
      <c r="A1310" s="31"/>
      <c r="B1310" s="31"/>
      <c r="C1310" s="31"/>
      <c r="D1310" s="31"/>
    </row>
    <row r="1311" spans="1:4" x14ac:dyDescent="0.25">
      <c r="A1311" s="31"/>
      <c r="B1311" s="31"/>
      <c r="C1311" s="31"/>
      <c r="D1311" s="31"/>
    </row>
    <row r="1312" spans="1:4" x14ac:dyDescent="0.25">
      <c r="A1312" s="31"/>
      <c r="B1312" s="31"/>
      <c r="C1312" s="31"/>
      <c r="D1312" s="31"/>
    </row>
    <row r="1313" spans="1:4" x14ac:dyDescent="0.25">
      <c r="A1313" s="31"/>
      <c r="B1313" s="31"/>
      <c r="C1313" s="31"/>
      <c r="D1313" s="31"/>
    </row>
    <row r="1314" spans="1:4" x14ac:dyDescent="0.25">
      <c r="A1314" s="31"/>
      <c r="B1314" s="31"/>
      <c r="C1314" s="31"/>
      <c r="D1314" s="31"/>
    </row>
    <row r="1315" spans="1:4" x14ac:dyDescent="0.25">
      <c r="A1315" s="31"/>
      <c r="B1315" s="31"/>
      <c r="C1315" s="31"/>
      <c r="D1315" s="31"/>
    </row>
    <row r="1316" spans="1:4" x14ac:dyDescent="0.25">
      <c r="A1316" s="31"/>
      <c r="B1316" s="31"/>
      <c r="C1316" s="31"/>
      <c r="D1316" s="31"/>
    </row>
    <row r="1317" spans="1:4" x14ac:dyDescent="0.25">
      <c r="A1317" s="31"/>
      <c r="B1317" s="31"/>
      <c r="C1317" s="31"/>
      <c r="D1317" s="31"/>
    </row>
    <row r="1318" spans="1:4" x14ac:dyDescent="0.25">
      <c r="A1318" s="31"/>
      <c r="B1318" s="31"/>
      <c r="C1318" s="31"/>
      <c r="D1318" s="31"/>
    </row>
    <row r="1319" spans="1:4" x14ac:dyDescent="0.25">
      <c r="A1319" s="31"/>
      <c r="B1319" s="31"/>
      <c r="C1319" s="31"/>
      <c r="D1319" s="31"/>
    </row>
    <row r="1320" spans="1:4" x14ac:dyDescent="0.25">
      <c r="A1320" s="31"/>
      <c r="B1320" s="31"/>
      <c r="C1320" s="31"/>
      <c r="D1320" s="31"/>
    </row>
    <row r="1321" spans="1:4" x14ac:dyDescent="0.25">
      <c r="A1321" s="31"/>
      <c r="B1321" s="31"/>
      <c r="C1321" s="31"/>
      <c r="D1321" s="31"/>
    </row>
    <row r="1322" spans="1:4" x14ac:dyDescent="0.25">
      <c r="A1322" s="31"/>
      <c r="B1322" s="31"/>
      <c r="C1322" s="31"/>
      <c r="D1322" s="31"/>
    </row>
    <row r="1323" spans="1:4" x14ac:dyDescent="0.25">
      <c r="A1323" s="31"/>
      <c r="B1323" s="31"/>
      <c r="C1323" s="31"/>
      <c r="D1323" s="31"/>
    </row>
    <row r="1324" spans="1:4" x14ac:dyDescent="0.25">
      <c r="A1324" s="31"/>
      <c r="B1324" s="31"/>
      <c r="C1324" s="31"/>
      <c r="D1324" s="31"/>
    </row>
    <row r="1325" spans="1:4" x14ac:dyDescent="0.25">
      <c r="A1325" s="31"/>
      <c r="B1325" s="31"/>
      <c r="C1325" s="31"/>
      <c r="D1325" s="31"/>
    </row>
    <row r="1326" spans="1:4" x14ac:dyDescent="0.25">
      <c r="A1326" s="31"/>
      <c r="B1326" s="31"/>
      <c r="C1326" s="31"/>
      <c r="D1326" s="31"/>
    </row>
    <row r="1327" spans="1:4" x14ac:dyDescent="0.25">
      <c r="A1327" s="31"/>
      <c r="B1327" s="31"/>
      <c r="C1327" s="31"/>
      <c r="D1327" s="31"/>
    </row>
    <row r="1328" spans="1:4" x14ac:dyDescent="0.25">
      <c r="A1328" s="31"/>
      <c r="B1328" s="31"/>
      <c r="C1328" s="31"/>
      <c r="D1328" s="31"/>
    </row>
    <row r="1329" spans="1:4" x14ac:dyDescent="0.25">
      <c r="A1329" s="31"/>
      <c r="B1329" s="31"/>
      <c r="C1329" s="31"/>
      <c r="D1329" s="31"/>
    </row>
    <row r="1330" spans="1:4" x14ac:dyDescent="0.25">
      <c r="A1330" s="31"/>
      <c r="B1330" s="31"/>
      <c r="C1330" s="31"/>
      <c r="D1330" s="31"/>
    </row>
    <row r="1331" spans="1:4" x14ac:dyDescent="0.25">
      <c r="A1331" s="31"/>
      <c r="B1331" s="31"/>
      <c r="C1331" s="31"/>
      <c r="D1331" s="31"/>
    </row>
    <row r="1332" spans="1:4" x14ac:dyDescent="0.25">
      <c r="A1332" s="31"/>
      <c r="B1332" s="31"/>
      <c r="C1332" s="31"/>
      <c r="D1332" s="31"/>
    </row>
    <row r="1333" spans="1:4" x14ac:dyDescent="0.25">
      <c r="A1333" s="31"/>
      <c r="B1333" s="31"/>
      <c r="C1333" s="31"/>
      <c r="D1333" s="31"/>
    </row>
    <row r="1334" spans="1:4" x14ac:dyDescent="0.25">
      <c r="A1334" s="31"/>
      <c r="B1334" s="31"/>
      <c r="C1334" s="31"/>
      <c r="D1334" s="31"/>
    </row>
    <row r="1335" spans="1:4" x14ac:dyDescent="0.25">
      <c r="A1335" s="31"/>
      <c r="B1335" s="31"/>
      <c r="C1335" s="31"/>
      <c r="D1335" s="31"/>
    </row>
    <row r="1336" spans="1:4" x14ac:dyDescent="0.25">
      <c r="A1336" s="31"/>
      <c r="B1336" s="31"/>
      <c r="C1336" s="31"/>
      <c r="D1336" s="31"/>
    </row>
    <row r="1337" spans="1:4" x14ac:dyDescent="0.25">
      <c r="A1337" s="31"/>
      <c r="B1337" s="31"/>
      <c r="C1337" s="31"/>
      <c r="D1337" s="31"/>
    </row>
    <row r="1338" spans="1:4" x14ac:dyDescent="0.25">
      <c r="A1338" s="31"/>
      <c r="B1338" s="31"/>
      <c r="C1338" s="31"/>
      <c r="D1338" s="31"/>
    </row>
    <row r="1339" spans="1:4" x14ac:dyDescent="0.25">
      <c r="A1339" s="31"/>
      <c r="B1339" s="31"/>
      <c r="C1339" s="31"/>
      <c r="D1339" s="31"/>
    </row>
    <row r="1340" spans="1:4" x14ac:dyDescent="0.25">
      <c r="A1340" s="31"/>
      <c r="B1340" s="31"/>
      <c r="C1340" s="31"/>
      <c r="D1340" s="31"/>
    </row>
    <row r="1341" spans="1:4" x14ac:dyDescent="0.25">
      <c r="A1341" s="31"/>
      <c r="B1341" s="31"/>
      <c r="C1341" s="31"/>
      <c r="D1341" s="31"/>
    </row>
    <row r="1342" spans="1:4" x14ac:dyDescent="0.25">
      <c r="A1342" s="31"/>
      <c r="B1342" s="31"/>
      <c r="C1342" s="31"/>
      <c r="D1342" s="31"/>
    </row>
    <row r="1343" spans="1:4" x14ac:dyDescent="0.25">
      <c r="A1343" s="31"/>
      <c r="B1343" s="31"/>
      <c r="C1343" s="31"/>
      <c r="D1343" s="31"/>
    </row>
    <row r="1344" spans="1:4" x14ac:dyDescent="0.25">
      <c r="A1344" s="31"/>
      <c r="B1344" s="31"/>
      <c r="C1344" s="31"/>
      <c r="D1344" s="31"/>
    </row>
    <row r="1345" spans="1:4" x14ac:dyDescent="0.25">
      <c r="A1345" s="31"/>
      <c r="B1345" s="31"/>
      <c r="C1345" s="31"/>
      <c r="D1345" s="31"/>
    </row>
    <row r="1346" spans="1:4" x14ac:dyDescent="0.25">
      <c r="A1346" s="31"/>
      <c r="B1346" s="31"/>
      <c r="C1346" s="31"/>
      <c r="D1346" s="31"/>
    </row>
    <row r="1347" spans="1:4" x14ac:dyDescent="0.25">
      <c r="A1347" s="31"/>
      <c r="B1347" s="31"/>
      <c r="C1347" s="31"/>
      <c r="D1347" s="31"/>
    </row>
    <row r="1348" spans="1:4" x14ac:dyDescent="0.25">
      <c r="A1348" s="31"/>
      <c r="B1348" s="31"/>
      <c r="C1348" s="31"/>
      <c r="D1348" s="31"/>
    </row>
    <row r="1349" spans="1:4" x14ac:dyDescent="0.25">
      <c r="A1349" s="31"/>
      <c r="B1349" s="31"/>
      <c r="C1349" s="31"/>
      <c r="D1349" s="31"/>
    </row>
    <row r="1350" spans="1:4" x14ac:dyDescent="0.25">
      <c r="A1350" s="31"/>
      <c r="B1350" s="31"/>
      <c r="C1350" s="31"/>
      <c r="D1350" s="31"/>
    </row>
    <row r="1351" spans="1:4" x14ac:dyDescent="0.25">
      <c r="A1351" s="31"/>
      <c r="B1351" s="31"/>
      <c r="C1351" s="31"/>
      <c r="D1351" s="31"/>
    </row>
    <row r="1352" spans="1:4" x14ac:dyDescent="0.25">
      <c r="A1352" s="31"/>
      <c r="B1352" s="31"/>
      <c r="C1352" s="31"/>
      <c r="D1352" s="31"/>
    </row>
    <row r="1353" spans="1:4" x14ac:dyDescent="0.25">
      <c r="A1353" s="31"/>
      <c r="B1353" s="31"/>
      <c r="C1353" s="31"/>
      <c r="D1353" s="31"/>
    </row>
    <row r="1354" spans="1:4" x14ac:dyDescent="0.25">
      <c r="A1354" s="31"/>
      <c r="B1354" s="31"/>
      <c r="C1354" s="31"/>
      <c r="D1354" s="31"/>
    </row>
    <row r="1355" spans="1:4" x14ac:dyDescent="0.25">
      <c r="A1355" s="31"/>
      <c r="B1355" s="31"/>
      <c r="C1355" s="31"/>
      <c r="D1355" s="31"/>
    </row>
    <row r="1356" spans="1:4" x14ac:dyDescent="0.25">
      <c r="A1356" s="31"/>
      <c r="B1356" s="31"/>
      <c r="C1356" s="31"/>
      <c r="D1356" s="31"/>
    </row>
    <row r="1357" spans="1:4" x14ac:dyDescent="0.25">
      <c r="A1357" s="31"/>
      <c r="B1357" s="31"/>
      <c r="C1357" s="31"/>
      <c r="D1357" s="31"/>
    </row>
    <row r="1358" spans="1:4" x14ac:dyDescent="0.25">
      <c r="A1358" s="31"/>
      <c r="B1358" s="31"/>
      <c r="C1358" s="31"/>
      <c r="D1358" s="31"/>
    </row>
    <row r="1359" spans="1:4" x14ac:dyDescent="0.25">
      <c r="A1359" s="31"/>
      <c r="B1359" s="31"/>
      <c r="C1359" s="31"/>
      <c r="D1359" s="31"/>
    </row>
    <row r="1360" spans="1:4" x14ac:dyDescent="0.25">
      <c r="A1360" s="31"/>
      <c r="B1360" s="31"/>
      <c r="C1360" s="31"/>
      <c r="D1360" s="31"/>
    </row>
    <row r="1361" spans="1:4" x14ac:dyDescent="0.25">
      <c r="A1361" s="31"/>
      <c r="B1361" s="31"/>
      <c r="C1361" s="31"/>
      <c r="D1361" s="31"/>
    </row>
    <row r="1362" spans="1:4" x14ac:dyDescent="0.25">
      <c r="A1362" s="31"/>
      <c r="B1362" s="31"/>
      <c r="C1362" s="31"/>
      <c r="D1362" s="31"/>
    </row>
    <row r="1363" spans="1:4" x14ac:dyDescent="0.25">
      <c r="A1363" s="31"/>
      <c r="B1363" s="31"/>
      <c r="C1363" s="31"/>
      <c r="D1363" s="31"/>
    </row>
    <row r="1364" spans="1:4" x14ac:dyDescent="0.25">
      <c r="A1364" s="31"/>
      <c r="B1364" s="31"/>
      <c r="C1364" s="31"/>
      <c r="D1364" s="31"/>
    </row>
    <row r="1365" spans="1:4" x14ac:dyDescent="0.25">
      <c r="A1365" s="31"/>
      <c r="B1365" s="31"/>
      <c r="C1365" s="31"/>
      <c r="D1365" s="31"/>
    </row>
    <row r="1366" spans="1:4" x14ac:dyDescent="0.25">
      <c r="A1366" s="31"/>
      <c r="B1366" s="31"/>
      <c r="C1366" s="31"/>
      <c r="D1366" s="31"/>
    </row>
    <row r="1367" spans="1:4" x14ac:dyDescent="0.25">
      <c r="A1367" s="31"/>
      <c r="B1367" s="31"/>
      <c r="C1367" s="31"/>
      <c r="D1367" s="31"/>
    </row>
    <row r="1368" spans="1:4" x14ac:dyDescent="0.25">
      <c r="A1368" s="31"/>
      <c r="B1368" s="31"/>
      <c r="C1368" s="31"/>
      <c r="D1368" s="31"/>
    </row>
    <row r="1369" spans="1:4" x14ac:dyDescent="0.25">
      <c r="A1369" s="31"/>
      <c r="B1369" s="31"/>
      <c r="C1369" s="31"/>
      <c r="D1369" s="31"/>
    </row>
    <row r="1370" spans="1:4" x14ac:dyDescent="0.25">
      <c r="A1370" s="31"/>
      <c r="B1370" s="31"/>
      <c r="C1370" s="31"/>
      <c r="D1370" s="31"/>
    </row>
    <row r="1371" spans="1:4" x14ac:dyDescent="0.25">
      <c r="A1371" s="31"/>
      <c r="B1371" s="31"/>
      <c r="C1371" s="31"/>
      <c r="D1371" s="31"/>
    </row>
    <row r="1372" spans="1:4" x14ac:dyDescent="0.25">
      <c r="A1372" s="31"/>
      <c r="B1372" s="31"/>
      <c r="C1372" s="31"/>
      <c r="D1372" s="31"/>
    </row>
    <row r="1373" spans="1:4" x14ac:dyDescent="0.25">
      <c r="A1373" s="31"/>
      <c r="B1373" s="31"/>
      <c r="C1373" s="31"/>
      <c r="D1373" s="31"/>
    </row>
    <row r="1374" spans="1:4" x14ac:dyDescent="0.25">
      <c r="A1374" s="31"/>
      <c r="B1374" s="31"/>
      <c r="C1374" s="31"/>
      <c r="D1374" s="31"/>
    </row>
    <row r="1375" spans="1:4" x14ac:dyDescent="0.25">
      <c r="A1375" s="31"/>
      <c r="B1375" s="31"/>
      <c r="C1375" s="31"/>
      <c r="D1375" s="31"/>
    </row>
    <row r="1376" spans="1:4" x14ac:dyDescent="0.25">
      <c r="A1376" s="31"/>
      <c r="B1376" s="31"/>
      <c r="C1376" s="31"/>
      <c r="D1376" s="31"/>
    </row>
    <row r="1377" spans="1:4" x14ac:dyDescent="0.25">
      <c r="A1377" s="31"/>
      <c r="B1377" s="31"/>
      <c r="C1377" s="31"/>
      <c r="D1377" s="31"/>
    </row>
    <row r="1378" spans="1:4" x14ac:dyDescent="0.25">
      <c r="A1378" s="31"/>
      <c r="B1378" s="31"/>
      <c r="C1378" s="31"/>
      <c r="D1378" s="31"/>
    </row>
    <row r="1379" spans="1:4" x14ac:dyDescent="0.25">
      <c r="A1379" s="31"/>
      <c r="B1379" s="31"/>
      <c r="C1379" s="31"/>
      <c r="D1379" s="31"/>
    </row>
    <row r="1380" spans="1:4" x14ac:dyDescent="0.25">
      <c r="A1380" s="31"/>
      <c r="B1380" s="31"/>
      <c r="C1380" s="31"/>
      <c r="D1380" s="31"/>
    </row>
    <row r="1381" spans="1:4" x14ac:dyDescent="0.25">
      <c r="A1381" s="31"/>
      <c r="B1381" s="31"/>
      <c r="C1381" s="31"/>
      <c r="D1381" s="31"/>
    </row>
    <row r="1382" spans="1:4" x14ac:dyDescent="0.25">
      <c r="A1382" s="31"/>
      <c r="B1382" s="31"/>
      <c r="C1382" s="31"/>
      <c r="D1382" s="31"/>
    </row>
    <row r="1383" spans="1:4" x14ac:dyDescent="0.25">
      <c r="A1383" s="31"/>
      <c r="B1383" s="31"/>
      <c r="C1383" s="31"/>
      <c r="D1383" s="31"/>
    </row>
    <row r="1384" spans="1:4" x14ac:dyDescent="0.25">
      <c r="A1384" s="31"/>
      <c r="B1384" s="31"/>
      <c r="C1384" s="31"/>
      <c r="D1384" s="31"/>
    </row>
    <row r="1385" spans="1:4" x14ac:dyDescent="0.25">
      <c r="A1385" s="31"/>
      <c r="B1385" s="31"/>
      <c r="C1385" s="31"/>
      <c r="D1385" s="31"/>
    </row>
    <row r="1386" spans="1:4" x14ac:dyDescent="0.25">
      <c r="A1386" s="31"/>
      <c r="B1386" s="31"/>
      <c r="C1386" s="31"/>
      <c r="D1386" s="31"/>
    </row>
    <row r="1387" spans="1:4" x14ac:dyDescent="0.25">
      <c r="A1387" s="31"/>
      <c r="B1387" s="31"/>
      <c r="C1387" s="31"/>
      <c r="D1387" s="31"/>
    </row>
    <row r="1388" spans="1:4" x14ac:dyDescent="0.25">
      <c r="A1388" s="31"/>
      <c r="B1388" s="31"/>
      <c r="C1388" s="31"/>
      <c r="D1388" s="31"/>
    </row>
    <row r="1389" spans="1:4" x14ac:dyDescent="0.25">
      <c r="A1389" s="31"/>
      <c r="B1389" s="31"/>
      <c r="C1389" s="31"/>
      <c r="D1389" s="31"/>
    </row>
    <row r="1390" spans="1:4" x14ac:dyDescent="0.25">
      <c r="A1390" s="31"/>
      <c r="B1390" s="31"/>
      <c r="C1390" s="31"/>
      <c r="D1390" s="31"/>
    </row>
    <row r="1391" spans="1:4" x14ac:dyDescent="0.25">
      <c r="A1391" s="31"/>
      <c r="B1391" s="31"/>
      <c r="C1391" s="31"/>
      <c r="D1391" s="31"/>
    </row>
    <row r="1392" spans="1:4" x14ac:dyDescent="0.25">
      <c r="A1392" s="31"/>
      <c r="B1392" s="31"/>
      <c r="C1392" s="31"/>
      <c r="D1392" s="31"/>
    </row>
    <row r="1393" spans="1:4" x14ac:dyDescent="0.25">
      <c r="A1393" s="31"/>
      <c r="B1393" s="31"/>
      <c r="C1393" s="31"/>
      <c r="D1393" s="31"/>
    </row>
    <row r="1394" spans="1:4" x14ac:dyDescent="0.25">
      <c r="A1394" s="31"/>
      <c r="B1394" s="31"/>
      <c r="C1394" s="31"/>
      <c r="D1394" s="31"/>
    </row>
    <row r="1395" spans="1:4" x14ac:dyDescent="0.25">
      <c r="A1395" s="31"/>
      <c r="B1395" s="31"/>
      <c r="C1395" s="31"/>
      <c r="D1395" s="31"/>
    </row>
    <row r="1396" spans="1:4" x14ac:dyDescent="0.25">
      <c r="A1396" s="31"/>
      <c r="B1396" s="31"/>
      <c r="C1396" s="31"/>
      <c r="D1396" s="31"/>
    </row>
    <row r="1397" spans="1:4" x14ac:dyDescent="0.25">
      <c r="A1397" s="31"/>
      <c r="B1397" s="31"/>
      <c r="C1397" s="31"/>
      <c r="D1397" s="31"/>
    </row>
    <row r="1398" spans="1:4" x14ac:dyDescent="0.25">
      <c r="A1398" s="31"/>
      <c r="B1398" s="31"/>
      <c r="C1398" s="31"/>
      <c r="D1398" s="31"/>
    </row>
    <row r="1399" spans="1:4" x14ac:dyDescent="0.25">
      <c r="A1399" s="31"/>
      <c r="B1399" s="31"/>
      <c r="C1399" s="31"/>
      <c r="D1399" s="31"/>
    </row>
    <row r="1400" spans="1:4" x14ac:dyDescent="0.25">
      <c r="A1400" s="31"/>
      <c r="B1400" s="31"/>
      <c r="C1400" s="31"/>
      <c r="D1400" s="31"/>
    </row>
    <row r="1401" spans="1:4" x14ac:dyDescent="0.25">
      <c r="A1401" s="31"/>
      <c r="B1401" s="31"/>
      <c r="C1401" s="31"/>
      <c r="D1401" s="31"/>
    </row>
    <row r="1402" spans="1:4" x14ac:dyDescent="0.25">
      <c r="A1402" s="31"/>
      <c r="B1402" s="31"/>
      <c r="C1402" s="31"/>
      <c r="D1402" s="31"/>
    </row>
    <row r="1403" spans="1:4" x14ac:dyDescent="0.25">
      <c r="A1403" s="31"/>
      <c r="B1403" s="31"/>
      <c r="C1403" s="31"/>
      <c r="D1403" s="31"/>
    </row>
    <row r="1404" spans="1:4" x14ac:dyDescent="0.25">
      <c r="A1404" s="31"/>
      <c r="B1404" s="31"/>
      <c r="C1404" s="31"/>
      <c r="D1404" s="31"/>
    </row>
    <row r="1405" spans="1:4" x14ac:dyDescent="0.25">
      <c r="A1405" s="31"/>
      <c r="B1405" s="31"/>
      <c r="C1405" s="31"/>
      <c r="D1405" s="31"/>
    </row>
    <row r="1406" spans="1:4" x14ac:dyDescent="0.25">
      <c r="A1406" s="31"/>
      <c r="B1406" s="31"/>
      <c r="C1406" s="31"/>
      <c r="D1406" s="31"/>
    </row>
    <row r="1407" spans="1:4" x14ac:dyDescent="0.25">
      <c r="A1407" s="31"/>
      <c r="B1407" s="31"/>
      <c r="C1407" s="31"/>
      <c r="D1407" s="31"/>
    </row>
    <row r="1408" spans="1:4" x14ac:dyDescent="0.25">
      <c r="A1408" s="31"/>
      <c r="B1408" s="31"/>
      <c r="C1408" s="31"/>
      <c r="D1408" s="31"/>
    </row>
    <row r="1409" spans="1:4" x14ac:dyDescent="0.25">
      <c r="A1409" s="31"/>
      <c r="B1409" s="31"/>
      <c r="C1409" s="31"/>
      <c r="D1409" s="31"/>
    </row>
    <row r="1410" spans="1:4" x14ac:dyDescent="0.25">
      <c r="A1410" s="31"/>
      <c r="B1410" s="31"/>
      <c r="C1410" s="31"/>
      <c r="D1410" s="31"/>
    </row>
    <row r="1411" spans="1:4" x14ac:dyDescent="0.25">
      <c r="A1411" s="31"/>
      <c r="B1411" s="31"/>
      <c r="C1411" s="31"/>
      <c r="D1411" s="31"/>
    </row>
    <row r="1412" spans="1:4" x14ac:dyDescent="0.25">
      <c r="A1412" s="31"/>
      <c r="B1412" s="31"/>
      <c r="C1412" s="31"/>
      <c r="D1412" s="31"/>
    </row>
    <row r="1413" spans="1:4" x14ac:dyDescent="0.25">
      <c r="A1413" s="31"/>
      <c r="B1413" s="31"/>
      <c r="C1413" s="31"/>
      <c r="D1413" s="31"/>
    </row>
    <row r="1414" spans="1:4" x14ac:dyDescent="0.25">
      <c r="A1414" s="31"/>
      <c r="B1414" s="31"/>
      <c r="C1414" s="31"/>
      <c r="D1414" s="31"/>
    </row>
    <row r="1415" spans="1:4" x14ac:dyDescent="0.25">
      <c r="A1415" s="31"/>
      <c r="B1415" s="31"/>
      <c r="C1415" s="31"/>
      <c r="D1415" s="31"/>
    </row>
    <row r="1416" spans="1:4" x14ac:dyDescent="0.25">
      <c r="A1416" s="31"/>
      <c r="B1416" s="31"/>
      <c r="C1416" s="31"/>
      <c r="D1416" s="31"/>
    </row>
    <row r="1417" spans="1:4" x14ac:dyDescent="0.25">
      <c r="A1417" s="31"/>
      <c r="B1417" s="31"/>
      <c r="C1417" s="31"/>
      <c r="D1417" s="31"/>
    </row>
    <row r="1418" spans="1:4" x14ac:dyDescent="0.25">
      <c r="A1418" s="31"/>
      <c r="B1418" s="31"/>
      <c r="C1418" s="31"/>
      <c r="D1418" s="31"/>
    </row>
    <row r="1419" spans="1:4" x14ac:dyDescent="0.25">
      <c r="A1419" s="31"/>
      <c r="B1419" s="31"/>
      <c r="C1419" s="31"/>
      <c r="D1419" s="31"/>
    </row>
    <row r="1420" spans="1:4" x14ac:dyDescent="0.25">
      <c r="A1420" s="31"/>
      <c r="B1420" s="31"/>
      <c r="C1420" s="31"/>
      <c r="D1420" s="31"/>
    </row>
    <row r="1421" spans="1:4" x14ac:dyDescent="0.25">
      <c r="A1421" s="31"/>
      <c r="B1421" s="31"/>
      <c r="C1421" s="31"/>
      <c r="D1421" s="31"/>
    </row>
    <row r="1422" spans="1:4" x14ac:dyDescent="0.25">
      <c r="A1422" s="31"/>
      <c r="B1422" s="31"/>
      <c r="C1422" s="31"/>
      <c r="D1422" s="31"/>
    </row>
    <row r="1423" spans="1:4" x14ac:dyDescent="0.25">
      <c r="A1423" s="31"/>
      <c r="B1423" s="31"/>
      <c r="C1423" s="31"/>
      <c r="D1423" s="31"/>
    </row>
    <row r="1424" spans="1:4" x14ac:dyDescent="0.25">
      <c r="A1424" s="31"/>
      <c r="B1424" s="31"/>
      <c r="C1424" s="31"/>
      <c r="D1424" s="31"/>
    </row>
    <row r="1425" spans="1:4" x14ac:dyDescent="0.25">
      <c r="A1425" s="31"/>
      <c r="B1425" s="31"/>
      <c r="C1425" s="31"/>
      <c r="D1425" s="31"/>
    </row>
    <row r="1426" spans="1:4" x14ac:dyDescent="0.25">
      <c r="A1426" s="31"/>
      <c r="B1426" s="31"/>
      <c r="C1426" s="31"/>
      <c r="D1426" s="31"/>
    </row>
    <row r="1427" spans="1:4" x14ac:dyDescent="0.25">
      <c r="A1427" s="31"/>
      <c r="B1427" s="31"/>
      <c r="C1427" s="31"/>
      <c r="D1427" s="31"/>
    </row>
    <row r="1428" spans="1:4" x14ac:dyDescent="0.25">
      <c r="A1428" s="31"/>
      <c r="B1428" s="31"/>
      <c r="C1428" s="31"/>
      <c r="D1428" s="31"/>
    </row>
    <row r="1429" spans="1:4" x14ac:dyDescent="0.25">
      <c r="A1429" s="31"/>
      <c r="B1429" s="31"/>
      <c r="C1429" s="31"/>
      <c r="D1429" s="31"/>
    </row>
    <row r="1430" spans="1:4" x14ac:dyDescent="0.25">
      <c r="A1430" s="31"/>
      <c r="B1430" s="31"/>
      <c r="C1430" s="31"/>
      <c r="D1430" s="31"/>
    </row>
    <row r="1431" spans="1:4" x14ac:dyDescent="0.25">
      <c r="A1431" s="31"/>
      <c r="B1431" s="31"/>
      <c r="C1431" s="31"/>
      <c r="D1431" s="31"/>
    </row>
    <row r="1432" spans="1:4" x14ac:dyDescent="0.25">
      <c r="A1432" s="31"/>
      <c r="B1432" s="31"/>
      <c r="C1432" s="31"/>
      <c r="D1432" s="31"/>
    </row>
    <row r="1433" spans="1:4" x14ac:dyDescent="0.25">
      <c r="A1433" s="31"/>
      <c r="B1433" s="31"/>
      <c r="C1433" s="31"/>
      <c r="D1433" s="31"/>
    </row>
    <row r="1434" spans="1:4" x14ac:dyDescent="0.25">
      <c r="A1434" s="31"/>
      <c r="B1434" s="31"/>
      <c r="C1434" s="31"/>
      <c r="D1434" s="31"/>
    </row>
    <row r="1435" spans="1:4" x14ac:dyDescent="0.25">
      <c r="A1435" s="31"/>
      <c r="B1435" s="31"/>
      <c r="C1435" s="31"/>
      <c r="D1435" s="31"/>
    </row>
    <row r="1436" spans="1:4" x14ac:dyDescent="0.25">
      <c r="A1436" s="31"/>
      <c r="B1436" s="31"/>
      <c r="C1436" s="31"/>
      <c r="D1436" s="31"/>
    </row>
    <row r="1437" spans="1:4" x14ac:dyDescent="0.25">
      <c r="A1437" s="31"/>
      <c r="B1437" s="31"/>
      <c r="C1437" s="31"/>
      <c r="D1437" s="31"/>
    </row>
    <row r="1438" spans="1:4" x14ac:dyDescent="0.25">
      <c r="A1438" s="31"/>
      <c r="B1438" s="31"/>
      <c r="C1438" s="31"/>
      <c r="D1438" s="31"/>
    </row>
    <row r="1439" spans="1:4" x14ac:dyDescent="0.25">
      <c r="A1439" s="31"/>
      <c r="B1439" s="31"/>
      <c r="C1439" s="31"/>
      <c r="D1439" s="31"/>
    </row>
    <row r="1440" spans="1:4" x14ac:dyDescent="0.25">
      <c r="A1440" s="31"/>
      <c r="B1440" s="31"/>
      <c r="C1440" s="31"/>
      <c r="D1440" s="31"/>
    </row>
    <row r="1441" spans="1:4" x14ac:dyDescent="0.25">
      <c r="A1441" s="31"/>
      <c r="B1441" s="31"/>
      <c r="C1441" s="31"/>
      <c r="D1441" s="31"/>
    </row>
    <row r="1442" spans="1:4" x14ac:dyDescent="0.25">
      <c r="A1442" s="31"/>
      <c r="B1442" s="31"/>
      <c r="C1442" s="31"/>
      <c r="D1442" s="31"/>
    </row>
    <row r="1443" spans="1:4" x14ac:dyDescent="0.25">
      <c r="A1443" s="31"/>
      <c r="B1443" s="31"/>
      <c r="C1443" s="31"/>
      <c r="D1443" s="31"/>
    </row>
    <row r="1444" spans="1:4" x14ac:dyDescent="0.25">
      <c r="A1444" s="31"/>
      <c r="B1444" s="31"/>
      <c r="C1444" s="31"/>
      <c r="D1444" s="31"/>
    </row>
    <row r="1445" spans="1:4" x14ac:dyDescent="0.25">
      <c r="A1445" s="31"/>
      <c r="B1445" s="31"/>
      <c r="C1445" s="31"/>
      <c r="D1445" s="31"/>
    </row>
    <row r="1446" spans="1:4" x14ac:dyDescent="0.25">
      <c r="A1446" s="31"/>
      <c r="B1446" s="31"/>
      <c r="C1446" s="31"/>
      <c r="D1446" s="31"/>
    </row>
    <row r="1447" spans="1:4" x14ac:dyDescent="0.25">
      <c r="A1447" s="31"/>
      <c r="B1447" s="31"/>
      <c r="C1447" s="31"/>
      <c r="D1447" s="31"/>
    </row>
    <row r="1448" spans="1:4" x14ac:dyDescent="0.25">
      <c r="A1448" s="31"/>
      <c r="B1448" s="31"/>
      <c r="C1448" s="31"/>
      <c r="D1448" s="31"/>
    </row>
    <row r="1449" spans="1:4" x14ac:dyDescent="0.25">
      <c r="A1449" s="31"/>
      <c r="B1449" s="31"/>
      <c r="C1449" s="31"/>
      <c r="D1449" s="31"/>
    </row>
    <row r="1450" spans="1:4" x14ac:dyDescent="0.25">
      <c r="A1450" s="31"/>
      <c r="B1450" s="31"/>
      <c r="C1450" s="31"/>
      <c r="D1450" s="31"/>
    </row>
    <row r="1451" spans="1:4" x14ac:dyDescent="0.25">
      <c r="A1451" s="31"/>
      <c r="B1451" s="31"/>
      <c r="C1451" s="31"/>
      <c r="D1451" s="31"/>
    </row>
    <row r="1452" spans="1:4" x14ac:dyDescent="0.25">
      <c r="A1452" s="31"/>
      <c r="B1452" s="31"/>
      <c r="C1452" s="31"/>
      <c r="D1452" s="31"/>
    </row>
    <row r="1453" spans="1:4" x14ac:dyDescent="0.25">
      <c r="A1453" s="31"/>
      <c r="B1453" s="31"/>
      <c r="C1453" s="31"/>
      <c r="D1453" s="31"/>
    </row>
    <row r="1454" spans="1:4" x14ac:dyDescent="0.25">
      <c r="A1454" s="31"/>
      <c r="B1454" s="31"/>
      <c r="C1454" s="31"/>
      <c r="D1454" s="31"/>
    </row>
    <row r="1455" spans="1:4" x14ac:dyDescent="0.25">
      <c r="A1455" s="31"/>
      <c r="B1455" s="31"/>
      <c r="C1455" s="31"/>
      <c r="D1455" s="31"/>
    </row>
    <row r="1456" spans="1:4" x14ac:dyDescent="0.25">
      <c r="A1456" s="31"/>
      <c r="B1456" s="31"/>
      <c r="C1456" s="31"/>
      <c r="D1456" s="31"/>
    </row>
    <row r="1457" spans="1:4" x14ac:dyDescent="0.25">
      <c r="A1457" s="31"/>
      <c r="B1457" s="31"/>
      <c r="C1457" s="31"/>
      <c r="D1457" s="31"/>
    </row>
    <row r="1458" spans="1:4" x14ac:dyDescent="0.25">
      <c r="A1458" s="31"/>
      <c r="B1458" s="31"/>
      <c r="C1458" s="31"/>
      <c r="D1458" s="31"/>
    </row>
    <row r="1459" spans="1:4" x14ac:dyDescent="0.25">
      <c r="A1459" s="31"/>
      <c r="B1459" s="31"/>
      <c r="C1459" s="31"/>
      <c r="D1459" s="31"/>
    </row>
    <row r="1460" spans="1:4" x14ac:dyDescent="0.25">
      <c r="A1460" s="31"/>
      <c r="B1460" s="31"/>
      <c r="C1460" s="31"/>
      <c r="D1460" s="31"/>
    </row>
    <row r="1461" spans="1:4" x14ac:dyDescent="0.25">
      <c r="A1461" s="31"/>
      <c r="B1461" s="31"/>
      <c r="C1461" s="31"/>
      <c r="D1461" s="31"/>
    </row>
    <row r="1462" spans="1:4" x14ac:dyDescent="0.25">
      <c r="A1462" s="31"/>
      <c r="B1462" s="31"/>
      <c r="C1462" s="31"/>
      <c r="D1462" s="31"/>
    </row>
    <row r="1463" spans="1:4" x14ac:dyDescent="0.25">
      <c r="A1463" s="31"/>
      <c r="B1463" s="31"/>
      <c r="C1463" s="31"/>
      <c r="D1463" s="31"/>
    </row>
    <row r="1464" spans="1:4" x14ac:dyDescent="0.25">
      <c r="A1464" s="31"/>
      <c r="B1464" s="31"/>
      <c r="C1464" s="31"/>
      <c r="D1464" s="31"/>
    </row>
    <row r="1465" spans="1:4" x14ac:dyDescent="0.25">
      <c r="A1465" s="31"/>
      <c r="B1465" s="31"/>
      <c r="C1465" s="31"/>
      <c r="D1465" s="31"/>
    </row>
    <row r="1466" spans="1:4" x14ac:dyDescent="0.25">
      <c r="A1466" s="31"/>
      <c r="B1466" s="31"/>
      <c r="C1466" s="31"/>
      <c r="D1466" s="31"/>
    </row>
    <row r="1467" spans="1:4" x14ac:dyDescent="0.25">
      <c r="A1467" s="31"/>
      <c r="B1467" s="31"/>
      <c r="C1467" s="31"/>
      <c r="D1467" s="31"/>
    </row>
    <row r="1468" spans="1:4" x14ac:dyDescent="0.25">
      <c r="A1468" s="31"/>
      <c r="B1468" s="31"/>
      <c r="C1468" s="31"/>
      <c r="D1468" s="31"/>
    </row>
    <row r="1469" spans="1:4" x14ac:dyDescent="0.25">
      <c r="A1469" s="31"/>
      <c r="B1469" s="31"/>
      <c r="C1469" s="31"/>
      <c r="D1469" s="31"/>
    </row>
    <row r="1470" spans="1:4" x14ac:dyDescent="0.25">
      <c r="A1470" s="31"/>
      <c r="B1470" s="31"/>
      <c r="C1470" s="31"/>
      <c r="D1470" s="31"/>
    </row>
    <row r="1471" spans="1:4" x14ac:dyDescent="0.25">
      <c r="A1471" s="31"/>
      <c r="B1471" s="31"/>
      <c r="C1471" s="31"/>
      <c r="D1471" s="31"/>
    </row>
    <row r="1472" spans="1:4" x14ac:dyDescent="0.25">
      <c r="A1472" s="31"/>
      <c r="B1472" s="31"/>
      <c r="C1472" s="31"/>
      <c r="D1472" s="31"/>
    </row>
    <row r="1473" spans="1:4" x14ac:dyDescent="0.25">
      <c r="A1473" s="31"/>
      <c r="B1473" s="31"/>
      <c r="C1473" s="31"/>
      <c r="D1473" s="31"/>
    </row>
    <row r="1474" spans="1:4" x14ac:dyDescent="0.25">
      <c r="A1474" s="31"/>
      <c r="B1474" s="31"/>
      <c r="C1474" s="31"/>
      <c r="D1474" s="31"/>
    </row>
    <row r="1475" spans="1:4" x14ac:dyDescent="0.25">
      <c r="A1475" s="31"/>
      <c r="B1475" s="31"/>
      <c r="C1475" s="31"/>
      <c r="D1475" s="31"/>
    </row>
    <row r="1476" spans="1:4" x14ac:dyDescent="0.25">
      <c r="A1476" s="31"/>
      <c r="B1476" s="31"/>
      <c r="C1476" s="31"/>
      <c r="D1476" s="31"/>
    </row>
    <row r="1477" spans="1:4" x14ac:dyDescent="0.25">
      <c r="A1477" s="31"/>
      <c r="B1477" s="31"/>
      <c r="C1477" s="31"/>
      <c r="D1477" s="31"/>
    </row>
    <row r="1478" spans="1:4" x14ac:dyDescent="0.25">
      <c r="A1478" s="31"/>
      <c r="B1478" s="31"/>
      <c r="C1478" s="31"/>
      <c r="D1478" s="31"/>
    </row>
    <row r="1479" spans="1:4" x14ac:dyDescent="0.25">
      <c r="A1479" s="31"/>
      <c r="B1479" s="31"/>
      <c r="C1479" s="31"/>
      <c r="D1479" s="31"/>
    </row>
    <row r="1480" spans="1:4" x14ac:dyDescent="0.25">
      <c r="A1480" s="31"/>
      <c r="B1480" s="31"/>
      <c r="C1480" s="31"/>
      <c r="D1480" s="31"/>
    </row>
    <row r="1481" spans="1:4" x14ac:dyDescent="0.25">
      <c r="A1481" s="31"/>
      <c r="B1481" s="31"/>
      <c r="C1481" s="31"/>
      <c r="D1481" s="31"/>
    </row>
    <row r="1482" spans="1:4" x14ac:dyDescent="0.25">
      <c r="A1482" s="31"/>
      <c r="B1482" s="31"/>
      <c r="C1482" s="31"/>
      <c r="D1482" s="31"/>
    </row>
    <row r="1483" spans="1:4" x14ac:dyDescent="0.25">
      <c r="A1483" s="31"/>
      <c r="B1483" s="31"/>
      <c r="C1483" s="31"/>
      <c r="D1483" s="31"/>
    </row>
    <row r="1484" spans="1:4" x14ac:dyDescent="0.25">
      <c r="A1484" s="31"/>
      <c r="B1484" s="31"/>
      <c r="C1484" s="31"/>
      <c r="D1484" s="31"/>
    </row>
    <row r="1485" spans="1:4" x14ac:dyDescent="0.25">
      <c r="A1485" s="31"/>
      <c r="B1485" s="31"/>
      <c r="C1485" s="31"/>
      <c r="D1485" s="31"/>
    </row>
    <row r="1486" spans="1:4" x14ac:dyDescent="0.25">
      <c r="A1486" s="31"/>
      <c r="B1486" s="31"/>
      <c r="C1486" s="31"/>
      <c r="D1486" s="31"/>
    </row>
    <row r="1487" spans="1:4" x14ac:dyDescent="0.25">
      <c r="A1487" s="31"/>
      <c r="B1487" s="31"/>
      <c r="C1487" s="31"/>
      <c r="D1487" s="31"/>
    </row>
    <row r="1488" spans="1:4" x14ac:dyDescent="0.25">
      <c r="A1488" s="31"/>
      <c r="B1488" s="31"/>
      <c r="C1488" s="31"/>
      <c r="D1488" s="31"/>
    </row>
    <row r="1489" spans="1:4" x14ac:dyDescent="0.25">
      <c r="A1489" s="31"/>
      <c r="B1489" s="31"/>
      <c r="C1489" s="31"/>
      <c r="D1489" s="31"/>
    </row>
    <row r="1490" spans="1:4" x14ac:dyDescent="0.25">
      <c r="A1490" s="31"/>
      <c r="B1490" s="31"/>
      <c r="C1490" s="31"/>
      <c r="D1490" s="31"/>
    </row>
    <row r="1491" spans="1:4" x14ac:dyDescent="0.25">
      <c r="A1491" s="31"/>
      <c r="B1491" s="31"/>
      <c r="C1491" s="31"/>
      <c r="D1491" s="31"/>
    </row>
    <row r="1492" spans="1:4" x14ac:dyDescent="0.25">
      <c r="A1492" s="31"/>
      <c r="B1492" s="31"/>
      <c r="C1492" s="31"/>
      <c r="D1492" s="31"/>
    </row>
    <row r="1493" spans="1:4" x14ac:dyDescent="0.25">
      <c r="A1493" s="31"/>
      <c r="B1493" s="31"/>
      <c r="C1493" s="31"/>
      <c r="D1493" s="31"/>
    </row>
    <row r="1494" spans="1:4" x14ac:dyDescent="0.25">
      <c r="A1494" s="31"/>
      <c r="B1494" s="31"/>
      <c r="C1494" s="31"/>
      <c r="D1494" s="31"/>
    </row>
    <row r="1495" spans="1:4" x14ac:dyDescent="0.25">
      <c r="A1495" s="31"/>
      <c r="B1495" s="31"/>
      <c r="C1495" s="31"/>
      <c r="D1495" s="31"/>
    </row>
    <row r="1496" spans="1:4" x14ac:dyDescent="0.25">
      <c r="A1496" s="31"/>
      <c r="B1496" s="31"/>
      <c r="C1496" s="31"/>
      <c r="D1496" s="31"/>
    </row>
    <row r="1497" spans="1:4" x14ac:dyDescent="0.25">
      <c r="A1497" s="31"/>
      <c r="B1497" s="31"/>
      <c r="C1497" s="31"/>
      <c r="D1497" s="31"/>
    </row>
    <row r="1498" spans="1:4" x14ac:dyDescent="0.25">
      <c r="A1498" s="31"/>
      <c r="B1498" s="31"/>
      <c r="C1498" s="31"/>
      <c r="D1498" s="31"/>
    </row>
    <row r="1499" spans="1:4" x14ac:dyDescent="0.25">
      <c r="A1499" s="31"/>
      <c r="B1499" s="31"/>
      <c r="C1499" s="31"/>
      <c r="D1499" s="31"/>
    </row>
    <row r="1500" spans="1:4" x14ac:dyDescent="0.25">
      <c r="A1500" s="31"/>
      <c r="B1500" s="31"/>
      <c r="C1500" s="31"/>
      <c r="D1500" s="31"/>
    </row>
    <row r="1501" spans="1:4" x14ac:dyDescent="0.25">
      <c r="A1501" s="31"/>
      <c r="B1501" s="31"/>
      <c r="C1501" s="31"/>
      <c r="D1501" s="31"/>
    </row>
    <row r="1502" spans="1:4" x14ac:dyDescent="0.25">
      <c r="A1502" s="31"/>
      <c r="B1502" s="31"/>
      <c r="C1502" s="31"/>
      <c r="D1502" s="31"/>
    </row>
    <row r="1503" spans="1:4" x14ac:dyDescent="0.25">
      <c r="A1503" s="31"/>
      <c r="B1503" s="31"/>
      <c r="C1503" s="31"/>
      <c r="D1503" s="31"/>
    </row>
    <row r="1504" spans="1:4" x14ac:dyDescent="0.25">
      <c r="A1504" s="31"/>
      <c r="B1504" s="31"/>
      <c r="C1504" s="31"/>
      <c r="D1504" s="31"/>
    </row>
    <row r="1505" spans="1:4" x14ac:dyDescent="0.25">
      <c r="A1505" s="31"/>
      <c r="B1505" s="31"/>
      <c r="C1505" s="31"/>
      <c r="D1505" s="31"/>
    </row>
    <row r="1506" spans="1:4" x14ac:dyDescent="0.25">
      <c r="A1506" s="31"/>
      <c r="B1506" s="31"/>
      <c r="C1506" s="31"/>
      <c r="D1506" s="31"/>
    </row>
    <row r="1507" spans="1:4" x14ac:dyDescent="0.25">
      <c r="A1507" s="31"/>
      <c r="B1507" s="31"/>
      <c r="C1507" s="31"/>
      <c r="D1507" s="31"/>
    </row>
    <row r="1508" spans="1:4" x14ac:dyDescent="0.25">
      <c r="A1508" s="31"/>
      <c r="B1508" s="31"/>
      <c r="C1508" s="31"/>
      <c r="D1508" s="31"/>
    </row>
    <row r="1509" spans="1:4" x14ac:dyDescent="0.25">
      <c r="A1509" s="31"/>
      <c r="B1509" s="31"/>
      <c r="C1509" s="31"/>
      <c r="D1509" s="31"/>
    </row>
    <row r="1510" spans="1:4" x14ac:dyDescent="0.25">
      <c r="A1510" s="31"/>
      <c r="B1510" s="31"/>
      <c r="C1510" s="31"/>
      <c r="D1510" s="31"/>
    </row>
    <row r="1511" spans="1:4" x14ac:dyDescent="0.25">
      <c r="A1511" s="31"/>
      <c r="B1511" s="31"/>
      <c r="C1511" s="31"/>
      <c r="D1511" s="31"/>
    </row>
    <row r="1512" spans="1:4" x14ac:dyDescent="0.25">
      <c r="A1512" s="31"/>
      <c r="B1512" s="31"/>
      <c r="C1512" s="31"/>
      <c r="D1512" s="31"/>
    </row>
    <row r="1513" spans="1:4" x14ac:dyDescent="0.25">
      <c r="A1513" s="31"/>
      <c r="B1513" s="31"/>
      <c r="C1513" s="31"/>
      <c r="D1513" s="31"/>
    </row>
    <row r="1514" spans="1:4" x14ac:dyDescent="0.25">
      <c r="A1514" s="31"/>
      <c r="B1514" s="31"/>
      <c r="C1514" s="31"/>
      <c r="D1514" s="31"/>
    </row>
    <row r="1515" spans="1:4" x14ac:dyDescent="0.25">
      <c r="A1515" s="31"/>
      <c r="B1515" s="31"/>
      <c r="C1515" s="31"/>
      <c r="D1515" s="31"/>
    </row>
    <row r="1516" spans="1:4" x14ac:dyDescent="0.25">
      <c r="A1516" s="31"/>
      <c r="B1516" s="31"/>
      <c r="C1516" s="31"/>
      <c r="D1516" s="31"/>
    </row>
    <row r="1517" spans="1:4" x14ac:dyDescent="0.25">
      <c r="A1517" s="31"/>
      <c r="B1517" s="31"/>
      <c r="C1517" s="31"/>
      <c r="D1517" s="31"/>
    </row>
    <row r="1518" spans="1:4" x14ac:dyDescent="0.25">
      <c r="A1518" s="31"/>
      <c r="B1518" s="31"/>
      <c r="C1518" s="31"/>
      <c r="D1518" s="31"/>
    </row>
    <row r="1519" spans="1:4" x14ac:dyDescent="0.25">
      <c r="A1519" s="31"/>
      <c r="B1519" s="31"/>
      <c r="C1519" s="31"/>
      <c r="D1519" s="31"/>
    </row>
    <row r="1520" spans="1:4" x14ac:dyDescent="0.25">
      <c r="A1520" s="31"/>
      <c r="B1520" s="31"/>
      <c r="C1520" s="31"/>
      <c r="D1520" s="31"/>
    </row>
    <row r="1521" spans="1:4" x14ac:dyDescent="0.25">
      <c r="A1521" s="31"/>
      <c r="B1521" s="31"/>
      <c r="C1521" s="31"/>
      <c r="D1521" s="31"/>
    </row>
    <row r="1522" spans="1:4" x14ac:dyDescent="0.25">
      <c r="A1522" s="31"/>
      <c r="B1522" s="31"/>
      <c r="C1522" s="31"/>
      <c r="D1522" s="31"/>
    </row>
    <row r="1523" spans="1:4" x14ac:dyDescent="0.25">
      <c r="A1523" s="31"/>
      <c r="B1523" s="31"/>
      <c r="C1523" s="31"/>
      <c r="D1523" s="31"/>
    </row>
    <row r="1524" spans="1:4" x14ac:dyDescent="0.25">
      <c r="A1524" s="31"/>
      <c r="B1524" s="31"/>
      <c r="C1524" s="31"/>
      <c r="D1524" s="31"/>
    </row>
    <row r="1525" spans="1:4" x14ac:dyDescent="0.25">
      <c r="A1525" s="31"/>
      <c r="B1525" s="31"/>
      <c r="C1525" s="31"/>
      <c r="D1525" s="31"/>
    </row>
    <row r="1526" spans="1:4" x14ac:dyDescent="0.25">
      <c r="A1526" s="31"/>
      <c r="B1526" s="31"/>
      <c r="C1526" s="31"/>
      <c r="D1526" s="31"/>
    </row>
    <row r="1527" spans="1:4" x14ac:dyDescent="0.25">
      <c r="A1527" s="31"/>
      <c r="B1527" s="31"/>
      <c r="C1527" s="31"/>
      <c r="D1527" s="31"/>
    </row>
    <row r="1528" spans="1:4" x14ac:dyDescent="0.25">
      <c r="A1528" s="31"/>
      <c r="B1528" s="31"/>
      <c r="C1528" s="31"/>
      <c r="D1528" s="31"/>
    </row>
    <row r="1529" spans="1:4" x14ac:dyDescent="0.25">
      <c r="A1529" s="31"/>
      <c r="B1529" s="31"/>
      <c r="C1529" s="31"/>
      <c r="D1529" s="31"/>
    </row>
    <row r="1530" spans="1:4" x14ac:dyDescent="0.25">
      <c r="A1530" s="31"/>
      <c r="B1530" s="31"/>
      <c r="C1530" s="31"/>
      <c r="D1530" s="31"/>
    </row>
    <row r="1531" spans="1:4" x14ac:dyDescent="0.25">
      <c r="A1531" s="31"/>
      <c r="B1531" s="31"/>
      <c r="C1531" s="31"/>
      <c r="D1531" s="31"/>
    </row>
    <row r="1532" spans="1:4" x14ac:dyDescent="0.25">
      <c r="A1532" s="31"/>
      <c r="B1532" s="31"/>
      <c r="C1532" s="31"/>
      <c r="D1532" s="31"/>
    </row>
    <row r="1533" spans="1:4" x14ac:dyDescent="0.25">
      <c r="A1533" s="31"/>
      <c r="B1533" s="31"/>
      <c r="C1533" s="31"/>
      <c r="D1533" s="31"/>
    </row>
    <row r="1534" spans="1:4" x14ac:dyDescent="0.25">
      <c r="A1534" s="31"/>
      <c r="B1534" s="31"/>
      <c r="C1534" s="31"/>
      <c r="D1534" s="31"/>
    </row>
    <row r="1535" spans="1:4" x14ac:dyDescent="0.25">
      <c r="A1535" s="31"/>
      <c r="B1535" s="31"/>
      <c r="C1535" s="31"/>
      <c r="D1535" s="31"/>
    </row>
    <row r="1536" spans="1:4" x14ac:dyDescent="0.25">
      <c r="A1536" s="31"/>
      <c r="B1536" s="31"/>
      <c r="C1536" s="31"/>
      <c r="D1536" s="31"/>
    </row>
    <row r="1537" spans="1:4" x14ac:dyDescent="0.25">
      <c r="A1537" s="31"/>
      <c r="B1537" s="31"/>
      <c r="C1537" s="31"/>
      <c r="D1537" s="31"/>
    </row>
    <row r="1538" spans="1:4" x14ac:dyDescent="0.25">
      <c r="A1538" s="31"/>
      <c r="B1538" s="31"/>
      <c r="C1538" s="31"/>
      <c r="D1538" s="31"/>
    </row>
    <row r="1539" spans="1:4" x14ac:dyDescent="0.25">
      <c r="A1539" s="31"/>
      <c r="B1539" s="31"/>
      <c r="C1539" s="31"/>
      <c r="D1539" s="31"/>
    </row>
    <row r="1540" spans="1:4" x14ac:dyDescent="0.25">
      <c r="A1540" s="31"/>
      <c r="B1540" s="31"/>
      <c r="C1540" s="31"/>
      <c r="D1540" s="31"/>
    </row>
    <row r="1541" spans="1:4" x14ac:dyDescent="0.25">
      <c r="A1541" s="31"/>
      <c r="B1541" s="31"/>
      <c r="C1541" s="31"/>
      <c r="D1541" s="31"/>
    </row>
    <row r="1542" spans="1:4" x14ac:dyDescent="0.25">
      <c r="A1542" s="31"/>
      <c r="B1542" s="31"/>
      <c r="C1542" s="31"/>
      <c r="D1542" s="31"/>
    </row>
    <row r="1543" spans="1:4" x14ac:dyDescent="0.25">
      <c r="A1543" s="31"/>
      <c r="B1543" s="31"/>
      <c r="C1543" s="31"/>
      <c r="D1543" s="31"/>
    </row>
    <row r="1544" spans="1:4" x14ac:dyDescent="0.25">
      <c r="A1544" s="31"/>
      <c r="B1544" s="31"/>
      <c r="C1544" s="31"/>
      <c r="D1544" s="31"/>
    </row>
    <row r="1545" spans="1:4" x14ac:dyDescent="0.25">
      <c r="A1545" s="31"/>
      <c r="B1545" s="31"/>
      <c r="C1545" s="31"/>
      <c r="D1545" s="31"/>
    </row>
    <row r="1546" spans="1:4" x14ac:dyDescent="0.25">
      <c r="A1546" s="31"/>
      <c r="B1546" s="31"/>
      <c r="C1546" s="31"/>
      <c r="D1546" s="31"/>
    </row>
    <row r="1547" spans="1:4" x14ac:dyDescent="0.25">
      <c r="A1547" s="31"/>
      <c r="B1547" s="31"/>
      <c r="C1547" s="31"/>
      <c r="D1547" s="31"/>
    </row>
    <row r="1548" spans="1:4" x14ac:dyDescent="0.25">
      <c r="A1548" s="31"/>
      <c r="B1548" s="31"/>
      <c r="C1548" s="31"/>
      <c r="D1548" s="31"/>
    </row>
    <row r="1549" spans="1:4" x14ac:dyDescent="0.25">
      <c r="A1549" s="31"/>
      <c r="B1549" s="31"/>
      <c r="C1549" s="31"/>
      <c r="D1549" s="31"/>
    </row>
    <row r="1550" spans="1:4" x14ac:dyDescent="0.25">
      <c r="A1550" s="31"/>
      <c r="B1550" s="31"/>
      <c r="C1550" s="31"/>
      <c r="D1550" s="31"/>
    </row>
    <row r="1551" spans="1:4" x14ac:dyDescent="0.25">
      <c r="A1551" s="31"/>
      <c r="B1551" s="31"/>
      <c r="C1551" s="31"/>
      <c r="D1551" s="31"/>
    </row>
    <row r="1552" spans="1:4" x14ac:dyDescent="0.25">
      <c r="A1552" s="31"/>
      <c r="B1552" s="31"/>
      <c r="C1552" s="31"/>
      <c r="D1552" s="31"/>
    </row>
    <row r="1553" spans="1:4" x14ac:dyDescent="0.25">
      <c r="A1553" s="31"/>
      <c r="B1553" s="31"/>
      <c r="C1553" s="31"/>
      <c r="D1553" s="31"/>
    </row>
    <row r="1554" spans="1:4" x14ac:dyDescent="0.25">
      <c r="A1554" s="31"/>
      <c r="B1554" s="31"/>
      <c r="C1554" s="31"/>
      <c r="D1554" s="31"/>
    </row>
    <row r="1555" spans="1:4" x14ac:dyDescent="0.25">
      <c r="A1555" s="31"/>
      <c r="B1555" s="31"/>
      <c r="C1555" s="31"/>
      <c r="D1555" s="31"/>
    </row>
    <row r="1556" spans="1:4" x14ac:dyDescent="0.25">
      <c r="A1556" s="31"/>
      <c r="B1556" s="31"/>
      <c r="C1556" s="31"/>
      <c r="D1556" s="31"/>
    </row>
    <row r="1557" spans="1:4" x14ac:dyDescent="0.25">
      <c r="A1557" s="31"/>
      <c r="B1557" s="31"/>
      <c r="C1557" s="31"/>
      <c r="D1557" s="31"/>
    </row>
    <row r="1558" spans="1:4" x14ac:dyDescent="0.25">
      <c r="A1558" s="31"/>
      <c r="B1558" s="31"/>
      <c r="C1558" s="31"/>
      <c r="D1558" s="31"/>
    </row>
    <row r="1559" spans="1:4" x14ac:dyDescent="0.25">
      <c r="A1559" s="31"/>
      <c r="B1559" s="31"/>
      <c r="C1559" s="31"/>
      <c r="D1559" s="31"/>
    </row>
    <row r="1560" spans="1:4" x14ac:dyDescent="0.25">
      <c r="A1560" s="31"/>
      <c r="B1560" s="31"/>
      <c r="C1560" s="31"/>
      <c r="D1560" s="31"/>
    </row>
    <row r="1561" spans="1:4" x14ac:dyDescent="0.25">
      <c r="A1561" s="31"/>
      <c r="B1561" s="31"/>
      <c r="C1561" s="31"/>
      <c r="D1561" s="31"/>
    </row>
    <row r="1562" spans="1:4" x14ac:dyDescent="0.25">
      <c r="A1562" s="31"/>
      <c r="B1562" s="31"/>
      <c r="C1562" s="31"/>
      <c r="D1562" s="31"/>
    </row>
    <row r="1563" spans="1:4" x14ac:dyDescent="0.25">
      <c r="A1563" s="31"/>
      <c r="B1563" s="31"/>
      <c r="C1563" s="31"/>
      <c r="D1563" s="31"/>
    </row>
    <row r="1564" spans="1:4" x14ac:dyDescent="0.25">
      <c r="A1564" s="31"/>
      <c r="B1564" s="31"/>
      <c r="C1564" s="31"/>
      <c r="D1564" s="31"/>
    </row>
    <row r="1565" spans="1:4" x14ac:dyDescent="0.25">
      <c r="A1565" s="31"/>
      <c r="B1565" s="31"/>
      <c r="C1565" s="31"/>
      <c r="D1565" s="31"/>
    </row>
    <row r="1566" spans="1:4" x14ac:dyDescent="0.25">
      <c r="A1566" s="31"/>
      <c r="B1566" s="31"/>
      <c r="C1566" s="31"/>
      <c r="D1566" s="31"/>
    </row>
    <row r="1567" spans="1:4" x14ac:dyDescent="0.25">
      <c r="A1567" s="31"/>
      <c r="B1567" s="31"/>
      <c r="C1567" s="31"/>
      <c r="D1567" s="31"/>
    </row>
    <row r="1568" spans="1:4" x14ac:dyDescent="0.25">
      <c r="A1568" s="31"/>
      <c r="B1568" s="31"/>
      <c r="C1568" s="31"/>
      <c r="D1568" s="31"/>
    </row>
    <row r="1569" spans="1:4" x14ac:dyDescent="0.25">
      <c r="A1569" s="31"/>
      <c r="B1569" s="31"/>
      <c r="C1569" s="31"/>
      <c r="D1569" s="31"/>
    </row>
    <row r="1570" spans="1:4" x14ac:dyDescent="0.25">
      <c r="A1570" s="31"/>
      <c r="B1570" s="31"/>
      <c r="C1570" s="31"/>
      <c r="D1570" s="31"/>
    </row>
    <row r="1571" spans="1:4" x14ac:dyDescent="0.25">
      <c r="A1571" s="31"/>
      <c r="B1571" s="31"/>
      <c r="C1571" s="31"/>
      <c r="D1571" s="31"/>
    </row>
    <row r="1572" spans="1:4" x14ac:dyDescent="0.25">
      <c r="A1572" s="31"/>
      <c r="B1572" s="31"/>
      <c r="C1572" s="31"/>
      <c r="D1572" s="31"/>
    </row>
    <row r="1573" spans="1:4" x14ac:dyDescent="0.25">
      <c r="A1573" s="31"/>
      <c r="B1573" s="31"/>
      <c r="C1573" s="31"/>
      <c r="D1573" s="31"/>
    </row>
    <row r="1574" spans="1:4" x14ac:dyDescent="0.25">
      <c r="A1574" s="31"/>
      <c r="B1574" s="31"/>
      <c r="C1574" s="31"/>
      <c r="D1574" s="31"/>
    </row>
    <row r="1575" spans="1:4" x14ac:dyDescent="0.25">
      <c r="A1575" s="31"/>
      <c r="B1575" s="31"/>
      <c r="C1575" s="31"/>
      <c r="D1575" s="31"/>
    </row>
    <row r="1576" spans="1:4" x14ac:dyDescent="0.25">
      <c r="A1576" s="31"/>
      <c r="B1576" s="31"/>
      <c r="C1576" s="31"/>
      <c r="D1576" s="31"/>
    </row>
    <row r="1577" spans="1:4" x14ac:dyDescent="0.25">
      <c r="A1577" s="31"/>
      <c r="B1577" s="31"/>
      <c r="C1577" s="31"/>
      <c r="D1577" s="31"/>
    </row>
    <row r="1578" spans="1:4" x14ac:dyDescent="0.25">
      <c r="A1578" s="31"/>
      <c r="B1578" s="31"/>
      <c r="C1578" s="31"/>
      <c r="D1578" s="31"/>
    </row>
    <row r="1579" spans="1:4" x14ac:dyDescent="0.25">
      <c r="A1579" s="31"/>
      <c r="B1579" s="31"/>
      <c r="C1579" s="31"/>
      <c r="D1579" s="31"/>
    </row>
    <row r="1580" spans="1:4" x14ac:dyDescent="0.25">
      <c r="A1580" s="31"/>
      <c r="B1580" s="31"/>
      <c r="C1580" s="31"/>
      <c r="D1580" s="31"/>
    </row>
    <row r="1581" spans="1:4" x14ac:dyDescent="0.25">
      <c r="A1581" s="31"/>
      <c r="B1581" s="31"/>
      <c r="C1581" s="31"/>
      <c r="D1581" s="31"/>
    </row>
    <row r="1582" spans="1:4" x14ac:dyDescent="0.25">
      <c r="A1582" s="31"/>
      <c r="B1582" s="31"/>
      <c r="C1582" s="31"/>
      <c r="D1582" s="31"/>
    </row>
    <row r="1583" spans="1:4" x14ac:dyDescent="0.25">
      <c r="A1583" s="31"/>
      <c r="B1583" s="31"/>
      <c r="C1583" s="31"/>
      <c r="D1583" s="31"/>
    </row>
    <row r="1584" spans="1:4" x14ac:dyDescent="0.25">
      <c r="A1584" s="31"/>
      <c r="B1584" s="31"/>
      <c r="C1584" s="31"/>
      <c r="D1584" s="31"/>
    </row>
    <row r="1585" spans="1:4" x14ac:dyDescent="0.25">
      <c r="A1585" s="31"/>
      <c r="B1585" s="31"/>
      <c r="C1585" s="31"/>
      <c r="D1585" s="31"/>
    </row>
    <row r="1586" spans="1:4" x14ac:dyDescent="0.25">
      <c r="A1586" s="31"/>
      <c r="B1586" s="31"/>
      <c r="C1586" s="31"/>
      <c r="D1586" s="31"/>
    </row>
    <row r="1587" spans="1:4" x14ac:dyDescent="0.25">
      <c r="A1587" s="31"/>
      <c r="B1587" s="31"/>
      <c r="C1587" s="31"/>
      <c r="D1587" s="31"/>
    </row>
    <row r="1588" spans="1:4" x14ac:dyDescent="0.25">
      <c r="A1588" s="31"/>
      <c r="B1588" s="31"/>
      <c r="C1588" s="31"/>
      <c r="D1588" s="31"/>
    </row>
    <row r="1589" spans="1:4" x14ac:dyDescent="0.25">
      <c r="A1589" s="31"/>
      <c r="B1589" s="31"/>
      <c r="C1589" s="31"/>
      <c r="D1589" s="31"/>
    </row>
    <row r="1590" spans="1:4" x14ac:dyDescent="0.25">
      <c r="A1590" s="31"/>
      <c r="B1590" s="31"/>
      <c r="C1590" s="31"/>
      <c r="D1590" s="31"/>
    </row>
    <row r="1591" spans="1:4" x14ac:dyDescent="0.25">
      <c r="A1591" s="31"/>
      <c r="B1591" s="31"/>
      <c r="C1591" s="31"/>
      <c r="D1591" s="31"/>
    </row>
    <row r="1592" spans="1:4" x14ac:dyDescent="0.25">
      <c r="A1592" s="31"/>
      <c r="B1592" s="31"/>
      <c r="C1592" s="31"/>
      <c r="D1592" s="31"/>
    </row>
    <row r="1593" spans="1:4" x14ac:dyDescent="0.25">
      <c r="A1593" s="31"/>
      <c r="B1593" s="31"/>
      <c r="C1593" s="31"/>
      <c r="D1593" s="31"/>
    </row>
    <row r="1594" spans="1:4" x14ac:dyDescent="0.25">
      <c r="A1594" s="31"/>
      <c r="B1594" s="31"/>
      <c r="C1594" s="31"/>
      <c r="D1594" s="31"/>
    </row>
    <row r="1595" spans="1:4" x14ac:dyDescent="0.25">
      <c r="A1595" s="31"/>
      <c r="B1595" s="31"/>
      <c r="C1595" s="31"/>
      <c r="D1595" s="31"/>
    </row>
    <row r="1596" spans="1:4" x14ac:dyDescent="0.25">
      <c r="A1596" s="31"/>
      <c r="B1596" s="31"/>
      <c r="C1596" s="31"/>
      <c r="D1596" s="31"/>
    </row>
    <row r="1597" spans="1:4" x14ac:dyDescent="0.25">
      <c r="A1597" s="31"/>
      <c r="B1597" s="31"/>
      <c r="C1597" s="31"/>
      <c r="D1597" s="31"/>
    </row>
    <row r="1598" spans="1:4" x14ac:dyDescent="0.25">
      <c r="A1598" s="31"/>
      <c r="B1598" s="31"/>
      <c r="C1598" s="31"/>
      <c r="D1598" s="31"/>
    </row>
    <row r="1599" spans="1:4" x14ac:dyDescent="0.25">
      <c r="A1599" s="31"/>
      <c r="B1599" s="31"/>
      <c r="C1599" s="31"/>
      <c r="D1599" s="31"/>
    </row>
    <row r="1600" spans="1:4" x14ac:dyDescent="0.25">
      <c r="A1600" s="31"/>
      <c r="B1600" s="31"/>
      <c r="C1600" s="31"/>
      <c r="D1600" s="31"/>
    </row>
    <row r="1601" spans="1:4" x14ac:dyDescent="0.25">
      <c r="A1601" s="31"/>
      <c r="B1601" s="31"/>
      <c r="C1601" s="31"/>
      <c r="D1601" s="31"/>
    </row>
    <row r="1602" spans="1:4" x14ac:dyDescent="0.25">
      <c r="A1602" s="31"/>
      <c r="B1602" s="31"/>
      <c r="C1602" s="31"/>
      <c r="D1602" s="31"/>
    </row>
    <row r="1603" spans="1:4" x14ac:dyDescent="0.25">
      <c r="A1603" s="31"/>
      <c r="B1603" s="31"/>
      <c r="C1603" s="31"/>
      <c r="D1603" s="31"/>
    </row>
    <row r="1604" spans="1:4" x14ac:dyDescent="0.25">
      <c r="A1604" s="31"/>
      <c r="B1604" s="31"/>
      <c r="C1604" s="31"/>
      <c r="D1604" s="31"/>
    </row>
    <row r="1605" spans="1:4" x14ac:dyDescent="0.25">
      <c r="A1605" s="31"/>
      <c r="B1605" s="31"/>
      <c r="C1605" s="31"/>
      <c r="D1605" s="31"/>
    </row>
    <row r="1606" spans="1:4" x14ac:dyDescent="0.25">
      <c r="A1606" s="31"/>
      <c r="B1606" s="31"/>
      <c r="C1606" s="31"/>
      <c r="D1606" s="31"/>
    </row>
    <row r="1607" spans="1:4" x14ac:dyDescent="0.25">
      <c r="A1607" s="31"/>
      <c r="B1607" s="31"/>
      <c r="C1607" s="31"/>
      <c r="D1607" s="31"/>
    </row>
    <row r="1608" spans="1:4" x14ac:dyDescent="0.25">
      <c r="A1608" s="31"/>
      <c r="B1608" s="31"/>
      <c r="C1608" s="31"/>
      <c r="D1608" s="31"/>
    </row>
    <row r="1609" spans="1:4" x14ac:dyDescent="0.25">
      <c r="A1609" s="31"/>
      <c r="B1609" s="31"/>
      <c r="C1609" s="31"/>
      <c r="D1609" s="31"/>
    </row>
    <row r="1610" spans="1:4" x14ac:dyDescent="0.25">
      <c r="A1610" s="31"/>
      <c r="B1610" s="31"/>
      <c r="C1610" s="31"/>
      <c r="D1610" s="31"/>
    </row>
    <row r="1611" spans="1:4" x14ac:dyDescent="0.25">
      <c r="A1611" s="31"/>
      <c r="B1611" s="31"/>
      <c r="C1611" s="31"/>
      <c r="D1611" s="31"/>
    </row>
    <row r="1612" spans="1:4" x14ac:dyDescent="0.25">
      <c r="A1612" s="31"/>
      <c r="B1612" s="31"/>
      <c r="C1612" s="31"/>
      <c r="D1612" s="31"/>
    </row>
    <row r="1613" spans="1:4" x14ac:dyDescent="0.25">
      <c r="A1613" s="31"/>
      <c r="B1613" s="31"/>
      <c r="C1613" s="31"/>
      <c r="D1613" s="31"/>
    </row>
    <row r="1614" spans="1:4" x14ac:dyDescent="0.25">
      <c r="A1614" s="31"/>
      <c r="B1614" s="31"/>
      <c r="C1614" s="31"/>
      <c r="D1614" s="31"/>
    </row>
    <row r="1615" spans="1:4" x14ac:dyDescent="0.25">
      <c r="A1615" s="31"/>
      <c r="B1615" s="31"/>
      <c r="C1615" s="31"/>
      <c r="D1615" s="31"/>
    </row>
    <row r="1616" spans="1:4" x14ac:dyDescent="0.25">
      <c r="A1616" s="31"/>
      <c r="B1616" s="31"/>
      <c r="C1616" s="31"/>
      <c r="D1616" s="31"/>
    </row>
    <row r="1617" spans="1:4" x14ac:dyDescent="0.25">
      <c r="A1617" s="31"/>
      <c r="B1617" s="31"/>
      <c r="C1617" s="31"/>
      <c r="D1617" s="31"/>
    </row>
    <row r="1618" spans="1:4" x14ac:dyDescent="0.25">
      <c r="A1618" s="31"/>
      <c r="B1618" s="31"/>
      <c r="C1618" s="31"/>
      <c r="D1618" s="31"/>
    </row>
    <row r="1619" spans="1:4" x14ac:dyDescent="0.25">
      <c r="A1619" s="31"/>
      <c r="B1619" s="31"/>
      <c r="C1619" s="31"/>
      <c r="D1619" s="31"/>
    </row>
    <row r="1620" spans="1:4" x14ac:dyDescent="0.25">
      <c r="A1620" s="31"/>
      <c r="B1620" s="31"/>
      <c r="C1620" s="31"/>
      <c r="D1620" s="31"/>
    </row>
    <row r="1621" spans="1:4" x14ac:dyDescent="0.25">
      <c r="A1621" s="31"/>
      <c r="B1621" s="31"/>
      <c r="C1621" s="31"/>
      <c r="D1621" s="31"/>
    </row>
    <row r="1622" spans="1:4" x14ac:dyDescent="0.25">
      <c r="A1622" s="31"/>
      <c r="B1622" s="31"/>
      <c r="C1622" s="31"/>
      <c r="D1622" s="31"/>
    </row>
    <row r="1623" spans="1:4" x14ac:dyDescent="0.25">
      <c r="A1623" s="31"/>
      <c r="B1623" s="31"/>
      <c r="C1623" s="31"/>
      <c r="D1623" s="31"/>
    </row>
    <row r="1624" spans="1:4" x14ac:dyDescent="0.25">
      <c r="A1624" s="31"/>
      <c r="B1624" s="31"/>
      <c r="C1624" s="31"/>
      <c r="D1624" s="31"/>
    </row>
    <row r="1625" spans="1:4" x14ac:dyDescent="0.25">
      <c r="A1625" s="31"/>
      <c r="B1625" s="31"/>
      <c r="C1625" s="31"/>
      <c r="D1625" s="31"/>
    </row>
    <row r="1626" spans="1:4" x14ac:dyDescent="0.25">
      <c r="A1626" s="31"/>
      <c r="B1626" s="31"/>
      <c r="C1626" s="31"/>
      <c r="D1626" s="31"/>
    </row>
    <row r="1627" spans="1:4" x14ac:dyDescent="0.25">
      <c r="A1627" s="31"/>
      <c r="B1627" s="31"/>
      <c r="C1627" s="31"/>
      <c r="D1627" s="31"/>
    </row>
    <row r="1628" spans="1:4" x14ac:dyDescent="0.25">
      <c r="A1628" s="31"/>
      <c r="B1628" s="31"/>
      <c r="C1628" s="31"/>
      <c r="D1628" s="31"/>
    </row>
    <row r="1629" spans="1:4" x14ac:dyDescent="0.25">
      <c r="A1629" s="31"/>
      <c r="B1629" s="31"/>
      <c r="C1629" s="31"/>
      <c r="D1629" s="31"/>
    </row>
    <row r="1630" spans="1:4" x14ac:dyDescent="0.25">
      <c r="A1630" s="31"/>
      <c r="B1630" s="31"/>
      <c r="C1630" s="31"/>
      <c r="D1630" s="31"/>
    </row>
    <row r="1631" spans="1:4" x14ac:dyDescent="0.25">
      <c r="A1631" s="31"/>
      <c r="B1631" s="31"/>
      <c r="C1631" s="31"/>
      <c r="D1631" s="31"/>
    </row>
    <row r="1632" spans="1:4" x14ac:dyDescent="0.25">
      <c r="A1632" s="31"/>
      <c r="B1632" s="31"/>
      <c r="C1632" s="31"/>
      <c r="D1632" s="31"/>
    </row>
    <row r="1633" spans="1:4" x14ac:dyDescent="0.25">
      <c r="A1633" s="31"/>
      <c r="B1633" s="31"/>
      <c r="C1633" s="31"/>
      <c r="D1633" s="31"/>
    </row>
    <row r="1634" spans="1:4" x14ac:dyDescent="0.25">
      <c r="A1634" s="31"/>
      <c r="B1634" s="31"/>
      <c r="C1634" s="31"/>
      <c r="D1634" s="31"/>
    </row>
    <row r="1635" spans="1:4" x14ac:dyDescent="0.25">
      <c r="A1635" s="31"/>
      <c r="B1635" s="31"/>
      <c r="C1635" s="31"/>
      <c r="D1635" s="31"/>
    </row>
    <row r="1636" spans="1:4" x14ac:dyDescent="0.25">
      <c r="A1636" s="31"/>
      <c r="B1636" s="31"/>
      <c r="C1636" s="31"/>
      <c r="D1636" s="31"/>
    </row>
    <row r="1637" spans="1:4" x14ac:dyDescent="0.25">
      <c r="A1637" s="31"/>
      <c r="B1637" s="31"/>
      <c r="C1637" s="31"/>
      <c r="D1637" s="31"/>
    </row>
    <row r="1638" spans="1:4" x14ac:dyDescent="0.25">
      <c r="A1638" s="31"/>
      <c r="B1638" s="31"/>
      <c r="C1638" s="31"/>
      <c r="D1638" s="31"/>
    </row>
    <row r="1639" spans="1:4" x14ac:dyDescent="0.25">
      <c r="A1639" s="31"/>
      <c r="B1639" s="31"/>
      <c r="C1639" s="31"/>
      <c r="D1639" s="31"/>
    </row>
    <row r="1640" spans="1:4" x14ac:dyDescent="0.25">
      <c r="A1640" s="31"/>
      <c r="B1640" s="31"/>
      <c r="C1640" s="31"/>
      <c r="D1640" s="31"/>
    </row>
    <row r="1641" spans="1:4" x14ac:dyDescent="0.25">
      <c r="A1641" s="31"/>
      <c r="B1641" s="31"/>
      <c r="C1641" s="31"/>
      <c r="D1641" s="31"/>
    </row>
    <row r="1642" spans="1:4" x14ac:dyDescent="0.25">
      <c r="A1642" s="31"/>
      <c r="B1642" s="31"/>
      <c r="C1642" s="31"/>
      <c r="D1642" s="31"/>
    </row>
    <row r="1643" spans="1:4" x14ac:dyDescent="0.25">
      <c r="A1643" s="31"/>
      <c r="B1643" s="31"/>
      <c r="C1643" s="31"/>
      <c r="D1643" s="31"/>
    </row>
    <row r="1644" spans="1:4" x14ac:dyDescent="0.25">
      <c r="A1644" s="31"/>
      <c r="B1644" s="31"/>
      <c r="C1644" s="31"/>
      <c r="D1644" s="31"/>
    </row>
    <row r="1645" spans="1:4" x14ac:dyDescent="0.25">
      <c r="A1645" s="31"/>
      <c r="B1645" s="31"/>
      <c r="C1645" s="31"/>
      <c r="D1645" s="31"/>
    </row>
    <row r="1646" spans="1:4" x14ac:dyDescent="0.25">
      <c r="A1646" s="31"/>
      <c r="B1646" s="31"/>
      <c r="C1646" s="31"/>
      <c r="D1646" s="31"/>
    </row>
    <row r="1647" spans="1:4" x14ac:dyDescent="0.25">
      <c r="A1647" s="31"/>
      <c r="B1647" s="31"/>
      <c r="C1647" s="31"/>
      <c r="D1647" s="31"/>
    </row>
    <row r="1648" spans="1:4" x14ac:dyDescent="0.25">
      <c r="A1648" s="31"/>
      <c r="B1648" s="31"/>
      <c r="C1648" s="31"/>
      <c r="D1648" s="31"/>
    </row>
    <row r="1649" spans="1:4" x14ac:dyDescent="0.25">
      <c r="A1649" s="31"/>
      <c r="B1649" s="31"/>
      <c r="C1649" s="31"/>
      <c r="D1649" s="31"/>
    </row>
    <row r="1650" spans="1:4" x14ac:dyDescent="0.25">
      <c r="A1650" s="31"/>
      <c r="B1650" s="31"/>
      <c r="C1650" s="31"/>
      <c r="D1650" s="31"/>
    </row>
    <row r="1651" spans="1:4" x14ac:dyDescent="0.25">
      <c r="A1651" s="31"/>
      <c r="B1651" s="31"/>
      <c r="C1651" s="31"/>
      <c r="D1651" s="31"/>
    </row>
    <row r="1652" spans="1:4" x14ac:dyDescent="0.25">
      <c r="A1652" s="31"/>
      <c r="B1652" s="31"/>
      <c r="C1652" s="31"/>
      <c r="D1652" s="31"/>
    </row>
    <row r="1653" spans="1:4" x14ac:dyDescent="0.25">
      <c r="A1653" s="31"/>
      <c r="B1653" s="31"/>
      <c r="C1653" s="31"/>
      <c r="D1653" s="31"/>
    </row>
    <row r="1654" spans="1:4" x14ac:dyDescent="0.25">
      <c r="A1654" s="31"/>
      <c r="B1654" s="31"/>
      <c r="C1654" s="31"/>
      <c r="D1654" s="31"/>
    </row>
    <row r="1655" spans="1:4" x14ac:dyDescent="0.25">
      <c r="A1655" s="31"/>
      <c r="B1655" s="31"/>
      <c r="C1655" s="31"/>
      <c r="D1655" s="31"/>
    </row>
    <row r="1656" spans="1:4" x14ac:dyDescent="0.25">
      <c r="A1656" s="31"/>
      <c r="B1656" s="31"/>
      <c r="C1656" s="31"/>
      <c r="D1656" s="31"/>
    </row>
    <row r="1657" spans="1:4" x14ac:dyDescent="0.25">
      <c r="A1657" s="31"/>
      <c r="B1657" s="31"/>
      <c r="C1657" s="31"/>
      <c r="D1657" s="31"/>
    </row>
    <row r="1658" spans="1:4" x14ac:dyDescent="0.25">
      <c r="A1658" s="31"/>
      <c r="B1658" s="31"/>
      <c r="C1658" s="31"/>
      <c r="D1658" s="31"/>
    </row>
    <row r="1659" spans="1:4" x14ac:dyDescent="0.25">
      <c r="A1659" s="31"/>
      <c r="B1659" s="31"/>
      <c r="C1659" s="31"/>
      <c r="D1659" s="31"/>
    </row>
    <row r="1660" spans="1:4" x14ac:dyDescent="0.25">
      <c r="A1660" s="31"/>
      <c r="B1660" s="31"/>
      <c r="C1660" s="31"/>
      <c r="D1660" s="31"/>
    </row>
    <row r="1661" spans="1:4" x14ac:dyDescent="0.25">
      <c r="A1661" s="31"/>
      <c r="B1661" s="31"/>
      <c r="C1661" s="31"/>
      <c r="D1661" s="31"/>
    </row>
    <row r="1662" spans="1:4" x14ac:dyDescent="0.25">
      <c r="A1662" s="31"/>
      <c r="B1662" s="31"/>
      <c r="C1662" s="31"/>
      <c r="D1662" s="31"/>
    </row>
    <row r="1663" spans="1:4" x14ac:dyDescent="0.25">
      <c r="A1663" s="31"/>
      <c r="B1663" s="31"/>
      <c r="C1663" s="31"/>
      <c r="D1663" s="31"/>
    </row>
    <row r="1664" spans="1:4" x14ac:dyDescent="0.25">
      <c r="A1664" s="31"/>
      <c r="B1664" s="31"/>
      <c r="C1664" s="31"/>
      <c r="D1664" s="31"/>
    </row>
    <row r="1665" spans="1:4" x14ac:dyDescent="0.25">
      <c r="A1665" s="31"/>
      <c r="B1665" s="31"/>
      <c r="C1665" s="31"/>
      <c r="D1665" s="31"/>
    </row>
    <row r="1666" spans="1:4" x14ac:dyDescent="0.25">
      <c r="A1666" s="31"/>
      <c r="B1666" s="31"/>
      <c r="C1666" s="31"/>
      <c r="D1666" s="31"/>
    </row>
    <row r="1667" spans="1:4" x14ac:dyDescent="0.25">
      <c r="A1667" s="31"/>
      <c r="B1667" s="31"/>
      <c r="C1667" s="31"/>
      <c r="D1667" s="31"/>
    </row>
    <row r="1668" spans="1:4" x14ac:dyDescent="0.25">
      <c r="A1668" s="31"/>
      <c r="B1668" s="31"/>
      <c r="C1668" s="31"/>
      <c r="D1668" s="31"/>
    </row>
    <row r="1669" spans="1:4" x14ac:dyDescent="0.25">
      <c r="A1669" s="31"/>
      <c r="B1669" s="31"/>
      <c r="C1669" s="31"/>
      <c r="D1669" s="31"/>
    </row>
    <row r="1670" spans="1:4" x14ac:dyDescent="0.25">
      <c r="A1670" s="31"/>
      <c r="B1670" s="31"/>
      <c r="C1670" s="31"/>
      <c r="D1670" s="31"/>
    </row>
    <row r="1671" spans="1:4" x14ac:dyDescent="0.25">
      <c r="A1671" s="31"/>
      <c r="B1671" s="31"/>
      <c r="C1671" s="31"/>
      <c r="D1671" s="31"/>
    </row>
    <row r="1672" spans="1:4" x14ac:dyDescent="0.25">
      <c r="A1672" s="31"/>
      <c r="B1672" s="31"/>
      <c r="C1672" s="31"/>
      <c r="D1672" s="31"/>
    </row>
    <row r="1673" spans="1:4" x14ac:dyDescent="0.25">
      <c r="A1673" s="31"/>
      <c r="B1673" s="31"/>
      <c r="C1673" s="31"/>
      <c r="D1673" s="31"/>
    </row>
    <row r="1674" spans="1:4" x14ac:dyDescent="0.25">
      <c r="A1674" s="31"/>
      <c r="B1674" s="31"/>
      <c r="C1674" s="31"/>
      <c r="D1674" s="31"/>
    </row>
    <row r="1675" spans="1:4" x14ac:dyDescent="0.25">
      <c r="A1675" s="31"/>
      <c r="B1675" s="31"/>
      <c r="C1675" s="31"/>
      <c r="D1675" s="31"/>
    </row>
    <row r="1676" spans="1:4" x14ac:dyDescent="0.25">
      <c r="A1676" s="31"/>
      <c r="B1676" s="31"/>
      <c r="C1676" s="31"/>
      <c r="D1676" s="31"/>
    </row>
    <row r="1677" spans="1:4" x14ac:dyDescent="0.25">
      <c r="A1677" s="31"/>
      <c r="B1677" s="31"/>
      <c r="C1677" s="31"/>
      <c r="D1677" s="31"/>
    </row>
    <row r="1678" spans="1:4" x14ac:dyDescent="0.25">
      <c r="A1678" s="31"/>
      <c r="B1678" s="31"/>
      <c r="C1678" s="31"/>
      <c r="D1678" s="31"/>
    </row>
    <row r="1679" spans="1:4" x14ac:dyDescent="0.25">
      <c r="A1679" s="31"/>
      <c r="B1679" s="31"/>
      <c r="C1679" s="31"/>
      <c r="D1679" s="31"/>
    </row>
    <row r="1680" spans="1:4" x14ac:dyDescent="0.25">
      <c r="A1680" s="31"/>
      <c r="B1680" s="31"/>
      <c r="C1680" s="31"/>
      <c r="D1680" s="31"/>
    </row>
    <row r="1681" spans="1:4" x14ac:dyDescent="0.25">
      <c r="A1681" s="31"/>
      <c r="B1681" s="31"/>
      <c r="C1681" s="31"/>
      <c r="D1681" s="31"/>
    </row>
    <row r="1682" spans="1:4" x14ac:dyDescent="0.25">
      <c r="A1682" s="31"/>
      <c r="B1682" s="31"/>
      <c r="C1682" s="31"/>
      <c r="D1682" s="31"/>
    </row>
    <row r="1683" spans="1:4" x14ac:dyDescent="0.25">
      <c r="A1683" s="31"/>
      <c r="B1683" s="31"/>
      <c r="C1683" s="31"/>
      <c r="D1683" s="31"/>
    </row>
    <row r="1684" spans="1:4" x14ac:dyDescent="0.25">
      <c r="A1684" s="31"/>
      <c r="B1684" s="31"/>
      <c r="C1684" s="31"/>
      <c r="D1684" s="31"/>
    </row>
    <row r="1685" spans="1:4" x14ac:dyDescent="0.25">
      <c r="A1685" s="31"/>
      <c r="B1685" s="31"/>
      <c r="C1685" s="31"/>
      <c r="D1685" s="31"/>
    </row>
    <row r="1686" spans="1:4" x14ac:dyDescent="0.25">
      <c r="A1686" s="31"/>
      <c r="B1686" s="31"/>
      <c r="C1686" s="31"/>
      <c r="D1686" s="31"/>
    </row>
    <row r="1687" spans="1:4" x14ac:dyDescent="0.25">
      <c r="A1687" s="31"/>
      <c r="B1687" s="31"/>
      <c r="C1687" s="31"/>
      <c r="D1687" s="31"/>
    </row>
    <row r="1688" spans="1:4" x14ac:dyDescent="0.25">
      <c r="A1688" s="31"/>
      <c r="B1688" s="31"/>
      <c r="C1688" s="31"/>
      <c r="D1688" s="31"/>
    </row>
    <row r="1689" spans="1:4" x14ac:dyDescent="0.25">
      <c r="A1689" s="31"/>
      <c r="B1689" s="31"/>
      <c r="C1689" s="31"/>
      <c r="D1689" s="31"/>
    </row>
    <row r="1690" spans="1:4" x14ac:dyDescent="0.25">
      <c r="A1690" s="31"/>
      <c r="B1690" s="31"/>
      <c r="C1690" s="31"/>
      <c r="D1690" s="31"/>
    </row>
    <row r="1691" spans="1:4" x14ac:dyDescent="0.25">
      <c r="A1691" s="31"/>
      <c r="B1691" s="31"/>
      <c r="C1691" s="31"/>
      <c r="D1691" s="31"/>
    </row>
    <row r="1692" spans="1:4" x14ac:dyDescent="0.25">
      <c r="A1692" s="31"/>
      <c r="B1692" s="31"/>
      <c r="C1692" s="31"/>
      <c r="D1692" s="31"/>
    </row>
    <row r="1693" spans="1:4" x14ac:dyDescent="0.25">
      <c r="A1693" s="31"/>
      <c r="B1693" s="31"/>
      <c r="C1693" s="31"/>
      <c r="D1693" s="31"/>
    </row>
    <row r="1694" spans="1:4" x14ac:dyDescent="0.25">
      <c r="A1694" s="31"/>
      <c r="B1694" s="31"/>
      <c r="C1694" s="31"/>
      <c r="D1694" s="31"/>
    </row>
    <row r="1695" spans="1:4" x14ac:dyDescent="0.25">
      <c r="A1695" s="31"/>
      <c r="B1695" s="31"/>
      <c r="C1695" s="31"/>
      <c r="D1695" s="31"/>
    </row>
    <row r="1696" spans="1:4" x14ac:dyDescent="0.25">
      <c r="A1696" s="31"/>
      <c r="B1696" s="31"/>
      <c r="C1696" s="31"/>
      <c r="D1696" s="31"/>
    </row>
    <row r="1697" spans="1:4" x14ac:dyDescent="0.25">
      <c r="A1697" s="31"/>
      <c r="B1697" s="31"/>
      <c r="C1697" s="31"/>
      <c r="D1697" s="31"/>
    </row>
    <row r="1698" spans="1:4" x14ac:dyDescent="0.25">
      <c r="A1698" s="31"/>
      <c r="B1698" s="31"/>
      <c r="C1698" s="31"/>
      <c r="D1698" s="31"/>
    </row>
    <row r="1699" spans="1:4" x14ac:dyDescent="0.25">
      <c r="A1699" s="31"/>
      <c r="B1699" s="31"/>
      <c r="C1699" s="31"/>
      <c r="D1699" s="31"/>
    </row>
    <row r="1700" spans="1:4" x14ac:dyDescent="0.25">
      <c r="A1700" s="31"/>
      <c r="B1700" s="31"/>
      <c r="C1700" s="31"/>
      <c r="D1700" s="31"/>
    </row>
    <row r="1701" spans="1:4" x14ac:dyDescent="0.25">
      <c r="A1701" s="31"/>
      <c r="B1701" s="31"/>
      <c r="C1701" s="31"/>
      <c r="D1701" s="31"/>
    </row>
    <row r="1702" spans="1:4" x14ac:dyDescent="0.25">
      <c r="A1702" s="31"/>
      <c r="B1702" s="31"/>
      <c r="C1702" s="31"/>
      <c r="D1702" s="31"/>
    </row>
    <row r="1703" spans="1:4" x14ac:dyDescent="0.25">
      <c r="A1703" s="31"/>
      <c r="B1703" s="31"/>
      <c r="C1703" s="31"/>
      <c r="D1703" s="31"/>
    </row>
    <row r="1704" spans="1:4" x14ac:dyDescent="0.25">
      <c r="A1704" s="31"/>
      <c r="B1704" s="31"/>
      <c r="C1704" s="31"/>
      <c r="D1704" s="31"/>
    </row>
    <row r="1705" spans="1:4" x14ac:dyDescent="0.25">
      <c r="A1705" s="31"/>
      <c r="B1705" s="31"/>
      <c r="C1705" s="31"/>
      <c r="D1705" s="31"/>
    </row>
    <row r="1706" spans="1:4" x14ac:dyDescent="0.25">
      <c r="A1706" s="31"/>
      <c r="B1706" s="31"/>
      <c r="C1706" s="31"/>
      <c r="D1706" s="31"/>
    </row>
    <row r="1707" spans="1:4" x14ac:dyDescent="0.25">
      <c r="A1707" s="31"/>
      <c r="B1707" s="31"/>
      <c r="C1707" s="31"/>
      <c r="D1707" s="31"/>
    </row>
    <row r="1708" spans="1:4" x14ac:dyDescent="0.25">
      <c r="A1708" s="31"/>
      <c r="B1708" s="31"/>
      <c r="C1708" s="31"/>
      <c r="D1708" s="31"/>
    </row>
    <row r="1709" spans="1:4" x14ac:dyDescent="0.25">
      <c r="A1709" s="31"/>
      <c r="B1709" s="31"/>
      <c r="C1709" s="31"/>
      <c r="D1709" s="31"/>
    </row>
    <row r="1710" spans="1:4" x14ac:dyDescent="0.25">
      <c r="A1710" s="31"/>
      <c r="B1710" s="31"/>
      <c r="C1710" s="31"/>
      <c r="D1710" s="31"/>
    </row>
    <row r="1711" spans="1:4" x14ac:dyDescent="0.25">
      <c r="A1711" s="31"/>
      <c r="B1711" s="31"/>
      <c r="C1711" s="31"/>
      <c r="D1711" s="31"/>
    </row>
    <row r="1712" spans="1:4" x14ac:dyDescent="0.25">
      <c r="A1712" s="31"/>
      <c r="B1712" s="31"/>
      <c r="C1712" s="31"/>
      <c r="D1712" s="31"/>
    </row>
    <row r="1713" spans="1:4" x14ac:dyDescent="0.25">
      <c r="A1713" s="31"/>
      <c r="B1713" s="31"/>
      <c r="C1713" s="31"/>
      <c r="D1713" s="31"/>
    </row>
    <row r="1714" spans="1:4" x14ac:dyDescent="0.25">
      <c r="A1714" s="31"/>
      <c r="B1714" s="31"/>
      <c r="C1714" s="31"/>
      <c r="D1714" s="31"/>
    </row>
    <row r="1715" spans="1:4" x14ac:dyDescent="0.25">
      <c r="A1715" s="31"/>
      <c r="B1715" s="31"/>
      <c r="C1715" s="31"/>
      <c r="D1715" s="31"/>
    </row>
    <row r="1716" spans="1:4" x14ac:dyDescent="0.25">
      <c r="A1716" s="31"/>
      <c r="B1716" s="31"/>
      <c r="C1716" s="31"/>
      <c r="D1716" s="31"/>
    </row>
    <row r="1717" spans="1:4" x14ac:dyDescent="0.25">
      <c r="A1717" s="31"/>
      <c r="B1717" s="31"/>
      <c r="C1717" s="31"/>
      <c r="D1717" s="31"/>
    </row>
    <row r="1718" spans="1:4" x14ac:dyDescent="0.25">
      <c r="A1718" s="31"/>
      <c r="B1718" s="31"/>
      <c r="C1718" s="31"/>
      <c r="D1718" s="31"/>
    </row>
    <row r="1719" spans="1:4" x14ac:dyDescent="0.25">
      <c r="A1719" s="31"/>
      <c r="B1719" s="31"/>
      <c r="C1719" s="31"/>
      <c r="D1719" s="31"/>
    </row>
    <row r="1720" spans="1:4" x14ac:dyDescent="0.25">
      <c r="A1720" s="31"/>
      <c r="B1720" s="31"/>
      <c r="C1720" s="31"/>
      <c r="D1720" s="31"/>
    </row>
    <row r="1721" spans="1:4" x14ac:dyDescent="0.25">
      <c r="A1721" s="31"/>
      <c r="B1721" s="31"/>
      <c r="C1721" s="31"/>
      <c r="D1721" s="31"/>
    </row>
    <row r="1722" spans="1:4" x14ac:dyDescent="0.25">
      <c r="A1722" s="31"/>
      <c r="B1722" s="31"/>
      <c r="C1722" s="31"/>
      <c r="D1722" s="31"/>
    </row>
    <row r="1723" spans="1:4" x14ac:dyDescent="0.25">
      <c r="A1723" s="31"/>
      <c r="B1723" s="31"/>
      <c r="C1723" s="31"/>
      <c r="D1723" s="31"/>
    </row>
    <row r="1724" spans="1:4" x14ac:dyDescent="0.25">
      <c r="A1724" s="31"/>
      <c r="B1724" s="31"/>
      <c r="C1724" s="31"/>
      <c r="D1724" s="31"/>
    </row>
    <row r="1725" spans="1:4" x14ac:dyDescent="0.25">
      <c r="A1725" s="31"/>
      <c r="B1725" s="31"/>
      <c r="C1725" s="31"/>
      <c r="D1725" s="31"/>
    </row>
    <row r="1726" spans="1:4" x14ac:dyDescent="0.25">
      <c r="A1726" s="31"/>
      <c r="B1726" s="31"/>
      <c r="C1726" s="31"/>
      <c r="D1726" s="31"/>
    </row>
    <row r="1727" spans="1:4" x14ac:dyDescent="0.25">
      <c r="A1727" s="31"/>
      <c r="B1727" s="31"/>
      <c r="C1727" s="31"/>
      <c r="D1727" s="31"/>
    </row>
    <row r="1728" spans="1:4" x14ac:dyDescent="0.25">
      <c r="A1728" s="31"/>
      <c r="B1728" s="31"/>
      <c r="C1728" s="31"/>
      <c r="D1728" s="31"/>
    </row>
    <row r="1729" spans="1:4" x14ac:dyDescent="0.25">
      <c r="A1729" s="31"/>
      <c r="B1729" s="31"/>
      <c r="C1729" s="31"/>
      <c r="D1729" s="31"/>
    </row>
    <row r="1730" spans="1:4" x14ac:dyDescent="0.25">
      <c r="A1730" s="31"/>
      <c r="B1730" s="31"/>
      <c r="C1730" s="31"/>
      <c r="D1730" s="31"/>
    </row>
    <row r="1731" spans="1:4" x14ac:dyDescent="0.25">
      <c r="A1731" s="31"/>
      <c r="B1731" s="31"/>
      <c r="C1731" s="31"/>
      <c r="D1731" s="31"/>
    </row>
    <row r="1732" spans="1:4" x14ac:dyDescent="0.25">
      <c r="A1732" s="31"/>
      <c r="B1732" s="31"/>
      <c r="C1732" s="31"/>
      <c r="D1732" s="31"/>
    </row>
    <row r="1733" spans="1:4" x14ac:dyDescent="0.25">
      <c r="A1733" s="31"/>
      <c r="B1733" s="31"/>
      <c r="C1733" s="31"/>
      <c r="D1733" s="31"/>
    </row>
    <row r="1734" spans="1:4" x14ac:dyDescent="0.25">
      <c r="A1734" s="31"/>
      <c r="B1734" s="31"/>
      <c r="C1734" s="31"/>
      <c r="D1734" s="31"/>
    </row>
    <row r="1735" spans="1:4" x14ac:dyDescent="0.25">
      <c r="A1735" s="31"/>
      <c r="B1735" s="31"/>
      <c r="C1735" s="31"/>
      <c r="D1735" s="31"/>
    </row>
    <row r="1736" spans="1:4" x14ac:dyDescent="0.25">
      <c r="A1736" s="31"/>
      <c r="B1736" s="31"/>
      <c r="C1736" s="31"/>
      <c r="D1736" s="31"/>
    </row>
    <row r="1737" spans="1:4" x14ac:dyDescent="0.25">
      <c r="A1737" s="31"/>
      <c r="B1737" s="31"/>
      <c r="C1737" s="31"/>
      <c r="D1737" s="31"/>
    </row>
    <row r="1738" spans="1:4" x14ac:dyDescent="0.25">
      <c r="A1738" s="31"/>
      <c r="B1738" s="31"/>
      <c r="C1738" s="31"/>
      <c r="D1738" s="31"/>
    </row>
    <row r="1739" spans="1:4" x14ac:dyDescent="0.25">
      <c r="A1739" s="31"/>
      <c r="B1739" s="31"/>
      <c r="C1739" s="31"/>
      <c r="D1739" s="31"/>
    </row>
    <row r="1740" spans="1:4" x14ac:dyDescent="0.25">
      <c r="A1740" s="31"/>
      <c r="B1740" s="31"/>
      <c r="C1740" s="31"/>
      <c r="D1740" s="31"/>
    </row>
    <row r="1741" spans="1:4" x14ac:dyDescent="0.25">
      <c r="A1741" s="31"/>
      <c r="B1741" s="31"/>
      <c r="C1741" s="31"/>
      <c r="D1741" s="31"/>
    </row>
    <row r="1742" spans="1:4" x14ac:dyDescent="0.25">
      <c r="A1742" s="31"/>
      <c r="B1742" s="31"/>
      <c r="C1742" s="31"/>
      <c r="D1742" s="31"/>
    </row>
    <row r="1743" spans="1:4" x14ac:dyDescent="0.25">
      <c r="A1743" s="31"/>
      <c r="B1743" s="31"/>
      <c r="C1743" s="31"/>
      <c r="D1743" s="31"/>
    </row>
    <row r="1744" spans="1:4" x14ac:dyDescent="0.25">
      <c r="A1744" s="31"/>
      <c r="B1744" s="31"/>
      <c r="C1744" s="31"/>
      <c r="D1744" s="31"/>
    </row>
    <row r="1745" spans="1:4" x14ac:dyDescent="0.25">
      <c r="A1745" s="31"/>
      <c r="B1745" s="31"/>
      <c r="C1745" s="31"/>
      <c r="D1745" s="31"/>
    </row>
    <row r="1746" spans="1:4" x14ac:dyDescent="0.25">
      <c r="A1746" s="31"/>
      <c r="B1746" s="31"/>
      <c r="C1746" s="31"/>
      <c r="D1746" s="31"/>
    </row>
    <row r="1747" spans="1:4" x14ac:dyDescent="0.25">
      <c r="A1747" s="31"/>
      <c r="B1747" s="31"/>
      <c r="C1747" s="31"/>
      <c r="D1747" s="31"/>
    </row>
    <row r="1748" spans="1:4" x14ac:dyDescent="0.25">
      <c r="A1748" s="31"/>
      <c r="B1748" s="31"/>
      <c r="C1748" s="31"/>
      <c r="D1748" s="31"/>
    </row>
    <row r="1749" spans="1:4" x14ac:dyDescent="0.25">
      <c r="A1749" s="31"/>
      <c r="B1749" s="31"/>
      <c r="C1749" s="31"/>
      <c r="D1749" s="31"/>
    </row>
    <row r="1750" spans="1:4" x14ac:dyDescent="0.25">
      <c r="A1750" s="31"/>
      <c r="B1750" s="31"/>
      <c r="C1750" s="31"/>
      <c r="D1750" s="31"/>
    </row>
    <row r="1751" spans="1:4" x14ac:dyDescent="0.25">
      <c r="A1751" s="31"/>
      <c r="B1751" s="31"/>
      <c r="C1751" s="31"/>
      <c r="D1751" s="31"/>
    </row>
    <row r="1752" spans="1:4" x14ac:dyDescent="0.25">
      <c r="A1752" s="31"/>
      <c r="B1752" s="31"/>
      <c r="C1752" s="31"/>
      <c r="D1752" s="31"/>
    </row>
    <row r="1753" spans="1:4" x14ac:dyDescent="0.25">
      <c r="A1753" s="31"/>
      <c r="B1753" s="31"/>
      <c r="C1753" s="31"/>
      <c r="D1753" s="31"/>
    </row>
    <row r="1754" spans="1:4" x14ac:dyDescent="0.25">
      <c r="A1754" s="31"/>
      <c r="B1754" s="31"/>
      <c r="C1754" s="31"/>
      <c r="D1754" s="31"/>
    </row>
    <row r="1755" spans="1:4" x14ac:dyDescent="0.25">
      <c r="A1755" s="31"/>
      <c r="B1755" s="31"/>
      <c r="C1755" s="31"/>
      <c r="D1755" s="31"/>
    </row>
    <row r="1756" spans="1:4" x14ac:dyDescent="0.25">
      <c r="A1756" s="31"/>
      <c r="B1756" s="31"/>
      <c r="C1756" s="31"/>
      <c r="D1756" s="31"/>
    </row>
    <row r="1757" spans="1:4" x14ac:dyDescent="0.25">
      <c r="A1757" s="31"/>
      <c r="B1757" s="31"/>
      <c r="C1757" s="31"/>
      <c r="D1757" s="31"/>
    </row>
    <row r="1758" spans="1:4" x14ac:dyDescent="0.25">
      <c r="A1758" s="31"/>
      <c r="B1758" s="31"/>
      <c r="C1758" s="31"/>
      <c r="D1758" s="31"/>
    </row>
    <row r="1759" spans="1:4" x14ac:dyDescent="0.25">
      <c r="A1759" s="31"/>
      <c r="B1759" s="31"/>
      <c r="C1759" s="31"/>
      <c r="D1759" s="31"/>
    </row>
    <row r="1760" spans="1:4" x14ac:dyDescent="0.25">
      <c r="A1760" s="31"/>
      <c r="B1760" s="31"/>
      <c r="C1760" s="31"/>
      <c r="D1760" s="31"/>
    </row>
    <row r="1761" spans="1:4" x14ac:dyDescent="0.25">
      <c r="A1761" s="31"/>
      <c r="B1761" s="31"/>
      <c r="C1761" s="31"/>
      <c r="D1761" s="31"/>
    </row>
    <row r="1762" spans="1:4" x14ac:dyDescent="0.25">
      <c r="A1762" s="31"/>
      <c r="B1762" s="31"/>
      <c r="C1762" s="31"/>
      <c r="D1762" s="31"/>
    </row>
    <row r="1763" spans="1:4" x14ac:dyDescent="0.25">
      <c r="A1763" s="31"/>
      <c r="B1763" s="31"/>
      <c r="C1763" s="31"/>
      <c r="D1763" s="31"/>
    </row>
    <row r="1764" spans="1:4" x14ac:dyDescent="0.25">
      <c r="A1764" s="31"/>
      <c r="B1764" s="31"/>
      <c r="C1764" s="31"/>
      <c r="D1764" s="31"/>
    </row>
    <row r="1765" spans="1:4" x14ac:dyDescent="0.25">
      <c r="A1765" s="31"/>
      <c r="B1765" s="31"/>
      <c r="C1765" s="31"/>
      <c r="D1765" s="31"/>
    </row>
    <row r="1766" spans="1:4" x14ac:dyDescent="0.25">
      <c r="A1766" s="31"/>
      <c r="B1766" s="31"/>
      <c r="C1766" s="31"/>
      <c r="D1766" s="31"/>
    </row>
    <row r="1767" spans="1:4" x14ac:dyDescent="0.25">
      <c r="A1767" s="31"/>
      <c r="B1767" s="31"/>
      <c r="C1767" s="31"/>
      <c r="D1767" s="31"/>
    </row>
    <row r="1768" spans="1:4" x14ac:dyDescent="0.25">
      <c r="A1768" s="31"/>
      <c r="B1768" s="31"/>
      <c r="C1768" s="31"/>
      <c r="D1768" s="31"/>
    </row>
    <row r="1769" spans="1:4" x14ac:dyDescent="0.25">
      <c r="A1769" s="31"/>
      <c r="B1769" s="31"/>
      <c r="C1769" s="31"/>
      <c r="D1769" s="31"/>
    </row>
    <row r="1770" spans="1:4" x14ac:dyDescent="0.25">
      <c r="A1770" s="31"/>
      <c r="B1770" s="31"/>
      <c r="C1770" s="31"/>
      <c r="D1770" s="31"/>
    </row>
    <row r="1771" spans="1:4" x14ac:dyDescent="0.25">
      <c r="A1771" s="31"/>
      <c r="B1771" s="31"/>
      <c r="C1771" s="31"/>
      <c r="D1771" s="31"/>
    </row>
    <row r="1772" spans="1:4" x14ac:dyDescent="0.25">
      <c r="A1772" s="31"/>
      <c r="B1772" s="31"/>
      <c r="C1772" s="31"/>
      <c r="D1772" s="31"/>
    </row>
    <row r="1773" spans="1:4" x14ac:dyDescent="0.25">
      <c r="A1773" s="31"/>
      <c r="B1773" s="31"/>
      <c r="C1773" s="31"/>
      <c r="D1773" s="31"/>
    </row>
    <row r="1774" spans="1:4" x14ac:dyDescent="0.25">
      <c r="A1774" s="31"/>
      <c r="B1774" s="31"/>
      <c r="C1774" s="31"/>
      <c r="D1774" s="31"/>
    </row>
    <row r="1775" spans="1:4" x14ac:dyDescent="0.25">
      <c r="A1775" s="31"/>
      <c r="B1775" s="31"/>
      <c r="C1775" s="31"/>
      <c r="D1775" s="31"/>
    </row>
    <row r="1776" spans="1:4" x14ac:dyDescent="0.25">
      <c r="A1776" s="31"/>
      <c r="B1776" s="31"/>
      <c r="C1776" s="31"/>
      <c r="D1776" s="31"/>
    </row>
    <row r="1777" spans="1:4" x14ac:dyDescent="0.25">
      <c r="A1777" s="31"/>
      <c r="B1777" s="31"/>
      <c r="C1777" s="31"/>
      <c r="D1777" s="31"/>
    </row>
    <row r="1778" spans="1:4" x14ac:dyDescent="0.25">
      <c r="A1778" s="31"/>
      <c r="B1778" s="31"/>
      <c r="C1778" s="31"/>
      <c r="D1778" s="31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3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18</vt:i4>
      </vt:variant>
    </vt:vector>
  </HeadingPairs>
  <TitlesOfParts>
    <vt:vector size="33" baseType="lpstr">
      <vt:lpstr>Database</vt:lpstr>
      <vt:lpstr>Lansdato</vt:lpstr>
      <vt:lpstr>RFC_T157E_Data</vt:lpstr>
      <vt:lpstr>ExchangeRates</vt:lpstr>
      <vt:lpstr>Comments</vt:lpstr>
      <vt:lpstr>Descriptions</vt:lpstr>
      <vt:lpstr>PvtTableDef</vt:lpstr>
      <vt:lpstr>LocalLists</vt:lpstr>
      <vt:lpstr>ReportOptions</vt:lpstr>
      <vt:lpstr>Version</vt:lpstr>
      <vt:lpstr>Rapport info</vt:lpstr>
      <vt:lpstr>Oversikt</vt:lpstr>
      <vt:lpstr>Fabrikk</vt:lpstr>
      <vt:lpstr>Produkt</vt:lpstr>
      <vt:lpstr>Rotårsak</vt:lpstr>
      <vt:lpstr>Currency</vt:lpstr>
      <vt:lpstr>CustomerHierarchy</vt:lpstr>
      <vt:lpstr>FirstSheet</vt:lpstr>
      <vt:lpstr>FirstTable</vt:lpstr>
      <vt:lpstr>Lansdato</vt:lpstr>
      <vt:lpstr>MaterialPrice</vt:lpstr>
      <vt:lpstr>NP_Bud</vt:lpstr>
      <vt:lpstr>ProductHierarchy</vt:lpstr>
      <vt:lpstr>QuantityUnit</vt:lpstr>
      <vt:lpstr>Reason_All</vt:lpstr>
      <vt:lpstr>RFC_T157E_Data!Reasons</vt:lpstr>
      <vt:lpstr>'Rapport info'!RecNum</vt:lpstr>
      <vt:lpstr>ReportCaption</vt:lpstr>
      <vt:lpstr>ReportID</vt:lpstr>
      <vt:lpstr>SalesValue</vt:lpstr>
      <vt:lpstr>SapExlReportName</vt:lpstr>
      <vt:lpstr>'Rapport info'!Time_Used</vt:lpstr>
      <vt:lpstr>'Rapport info'!Updated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2017-04-05T08:57:58Z</dcterms:modified>
</cp:coreProperties>
</file>