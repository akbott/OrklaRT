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rklaRT-v3.6\OrklaRTReports\"/>
    </mc:Choice>
  </mc:AlternateContent>
  <xr:revisionPtr revIDLastSave="0" documentId="13_ncr:1_{D51C2788-D5D9-4FDD-A514-211460327CAB}" xr6:coauthVersionLast="36" xr6:coauthVersionMax="36" xr10:uidLastSave="{00000000-0000-0000-0000-000000000000}"/>
  <workbookProtection workbookPassword="CB87" lockStructure="1"/>
  <bookViews>
    <workbookView xWindow="1530" yWindow="2760" windowWidth="17385" windowHeight="7500" tabRatio="934" firstSheet="13" activeTab="13" xr2:uid="{00000000-000D-0000-FFFF-FFFF00000000}"/>
  </bookViews>
  <sheets>
    <sheet name="Y084_MatData" sheetId="34" state="hidden" r:id="rId1"/>
    <sheet name="Y084_StockData" sheetId="35" state="hidden" r:id="rId2"/>
    <sheet name="MD04_Data" sheetId="36" state="hidden" r:id="rId3"/>
    <sheet name="Pvt_Req" sheetId="37" state="hidden" r:id="rId4"/>
    <sheet name="Database" sheetId="38" state="hidden" r:id="rId5"/>
    <sheet name="MARM" sheetId="49" state="hidden" r:id="rId6"/>
    <sheet name="Descriptions" sheetId="8" state="hidden" r:id="rId7"/>
    <sheet name="PvtTableDef" sheetId="33" state="hidden" r:id="rId8"/>
    <sheet name="LocalLists" sheetId="24" state="hidden" r:id="rId9"/>
    <sheet name="ReportOptions" sheetId="10" state="hidden" r:id="rId10"/>
    <sheet name="Version" sheetId="5" state="hidden" r:id="rId11"/>
    <sheet name="Usage" sheetId="39" state="hidden" r:id="rId12"/>
    <sheet name="StockOut" sheetId="40" state="hidden" r:id="rId13"/>
    <sheet name="Rapport info" sheetId="1" r:id="rId14"/>
    <sheet name="Chart" sheetId="41" r:id="rId15"/>
    <sheet name="Material Usage Req" sheetId="42" r:id="rId16"/>
    <sheet name="SafetyStock" sheetId="43" r:id="rId17"/>
    <sheet name="Movement Types" sheetId="44" r:id="rId18"/>
    <sheet name="Stock Details" sheetId="45" r:id="rId19"/>
    <sheet name="Stock Dates" sheetId="46" r:id="rId20"/>
    <sheet name="MD04 Pivot" sheetId="47" r:id="rId21"/>
    <sheet name="SourceData" sheetId="48" state="hidden" r:id="rId22"/>
  </sheets>
  <definedNames>
    <definedName name="ActCov">SourceData!$S$250</definedName>
    <definedName name="AvgSafStockCov" localSheetId="21">SourceData!$T$245</definedName>
    <definedName name="ChartRange" localSheetId="1">Y084_StockData!$C$2:$G$2</definedName>
    <definedName name="Cov_Range">SourceData!$D$210:$D$523</definedName>
    <definedName name="Currency">ReportOptions!$B$10</definedName>
    <definedName name="CustomerHierarchy">ReportOptions!$B$7</definedName>
    <definedName name="_xlnm.Database">Database!$A$1:$AS$3</definedName>
    <definedName name="DataPeriod">SourceData!$A$1:$J$523</definedName>
    <definedName name="DataRange">SourceData!$B$2:$E$586</definedName>
    <definedName name="Dates">SourceData!$A$250:$A$523</definedName>
    <definedName name="Dates1">SourceData!$A$2:$A$250</definedName>
    <definedName name="FactCal">SourceData!$K$2:$K$450</definedName>
    <definedName name="FirstSheet">Version!$B$6</definedName>
    <definedName name="FirstTable">Version!$B$7</definedName>
    <definedName name="Future_Range">SourceData!$E$210:$E$523</definedName>
    <definedName name="LeadTime">SourceData!$T$252</definedName>
    <definedName name="MaterialName">Y084_MatData!$AO$1</definedName>
    <definedName name="MaterialPrice">ReportOptions!$B$5</definedName>
    <definedName name="MaxCov">SourceData!$U$250</definedName>
    <definedName name="MD04_Data">MD04_Data!$A$1:$AB$28</definedName>
    <definedName name="MD04_Fields">MD04_Data!$A$1:$U$1</definedName>
    <definedName name="MD04_Import">MD04_Data!$A$2:$U$28</definedName>
    <definedName name="MinCov">SourceData!$T$250</definedName>
    <definedName name="NewData">Database!$AS$1</definedName>
    <definedName name="NOAR">Y084_StockData!$A$4:$N$5</definedName>
    <definedName name="NumbDays">SourceData!$T$1</definedName>
    <definedName name="Oppslag">Database!$V$1:$AG$3</definedName>
    <definedName name="PostDate">Database!$N$1</definedName>
    <definedName name="_xlnm.Print_Area" localSheetId="14">Chart!$A$1:$L$39</definedName>
    <definedName name="_xlnm.Print_Titles" localSheetId="20">'MD04 Pivot'!$11:$12</definedName>
    <definedName name="_xlnm.Print_Titles" localSheetId="17">'Movement Types'!$12:$13</definedName>
    <definedName name="_xlnm.Print_Titles" localSheetId="19">'Stock Dates'!$12:$13</definedName>
    <definedName name="_xlnm.Print_Titles" localSheetId="18">'Stock Details'!$13:$14</definedName>
    <definedName name="ProductHierarchy">ReportOptions!$B$6</definedName>
    <definedName name="QuantityUnit">ReportOptions!$B$9</definedName>
    <definedName name="Query" localSheetId="14">Chart!$A$3</definedName>
    <definedName name="RecNum">'Rapport info'!$K$10</definedName>
    <definedName name="ReportCaption" localSheetId="17">'Movement Types'!$B$7</definedName>
    <definedName name="ReportCaption" localSheetId="19">'Stock Dates'!$B$7</definedName>
    <definedName name="ReportCaption" localSheetId="18">'Stock Details'!$B$8</definedName>
    <definedName name="ReportCaption">Version!$B$8</definedName>
    <definedName name="ReportID">Version!$B$4</definedName>
    <definedName name="Req_Range">SourceData!$F$210:$F$523</definedName>
    <definedName name="Req_Today">SourceData!$W$250</definedName>
    <definedName name="RngToDay">SourceData!$A$250</definedName>
    <definedName name="Saf_Stock">SourceData!$T$257</definedName>
    <definedName name="SafDays_Range">SourceData!$N$250:$N$523</definedName>
    <definedName name="SafDays1_Range">SourceData!$N$210:$N$523</definedName>
    <definedName name="SafStock" localSheetId="21">SourceData!$T$243</definedName>
    <definedName name="SafStock_Range">SourceData!$M$250:$M$523</definedName>
    <definedName name="SalesValue">ReportOptions!$B$8</definedName>
    <definedName name="SapExlReportName">Version!$B$5</definedName>
    <definedName name="SL_Days">SourceData!$T$258</definedName>
    <definedName name="Stock_Range">SourceData!$B$210:$B$523</definedName>
    <definedName name="StockData">Y084_StockData!$A$4:$O$5</definedName>
    <definedName name="StockIn">StockOut!$B$11</definedName>
    <definedName name="StockOut">IF(Database!XEM1&lt;&gt;Database!XEM1048576,Database!XEW1+SUMIF(Database!XES1:XES51,Database!XES1,Database!C1:C51),0)</definedName>
    <definedName name="Time_Used">'Rapport info'!$K$12</definedName>
    <definedName name="TopRange">SourceData!$T$2</definedName>
    <definedName name="TotStock">Y084_StockData!$H$1</definedName>
    <definedName name="UnresStock" localSheetId="21">SourceData!$T$242</definedName>
    <definedName name="Updated">'Rapport info'!$K$11</definedName>
    <definedName name="Used_Range">SourceData!$C$250:$C$523</definedName>
    <definedName name="X_Range">SourceData!$A$210:$A$523</definedName>
    <definedName name="X1_Range">SourceData!$A$250:$A$523</definedName>
    <definedName name="xDatabase">Database!$A$1:$AS$3</definedName>
  </definedNames>
  <calcPr calcId="191029"/>
  <pivotCaches>
    <pivotCache cacheId="0" r:id="rId23"/>
    <pivotCache cacheId="1" r:id="rId24"/>
    <pivotCache cacheId="2" r:id="rId25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P3" i="38" l="1"/>
  <c r="AQ2" i="38"/>
  <c r="AP2" i="38" s="1"/>
  <c r="AQ3" i="38"/>
  <c r="AT2" i="38" l="1"/>
  <c r="AT3" i="38"/>
  <c r="AW1" i="38" l="1"/>
  <c r="AB2" i="36" l="1"/>
  <c r="AB3" i="36"/>
  <c r="AB4" i="36"/>
  <c r="AB5" i="36"/>
  <c r="AB6" i="36"/>
  <c r="AB7" i="36"/>
  <c r="AB8" i="36"/>
  <c r="AB9" i="36"/>
  <c r="AB10" i="36"/>
  <c r="AB11" i="36"/>
  <c r="AB12" i="36"/>
  <c r="AB13" i="36"/>
  <c r="AB14" i="36"/>
  <c r="AB15" i="36"/>
  <c r="AB16" i="36"/>
  <c r="AB17" i="36"/>
  <c r="AB18" i="36"/>
  <c r="AB19" i="36"/>
  <c r="AB20" i="36"/>
  <c r="AB21" i="36"/>
  <c r="AB22" i="36"/>
  <c r="AB23" i="36"/>
  <c r="AB24" i="36"/>
  <c r="AB25" i="36"/>
  <c r="AB26" i="36"/>
  <c r="AB27" i="36"/>
  <c r="AB28" i="36"/>
  <c r="G2" i="35" l="1"/>
  <c r="F2" i="35"/>
  <c r="E2" i="35"/>
  <c r="D2" i="35"/>
  <c r="C2" i="35"/>
  <c r="H2" i="35" s="1"/>
  <c r="AM2" i="38" l="1"/>
  <c r="AM3" i="38"/>
  <c r="AR2" i="38" l="1"/>
  <c r="AR3" i="38"/>
  <c r="AS2" i="38" l="1"/>
  <c r="AS3" i="38"/>
  <c r="AN3" i="38" s="1"/>
  <c r="AO3" i="38" s="1"/>
  <c r="AN2" i="38" l="1"/>
  <c r="AO2" i="38" s="1"/>
  <c r="B2" i="35"/>
  <c r="B8" i="5" l="1"/>
  <c r="AO1" i="34" l="1"/>
  <c r="M633" i="48" l="1"/>
  <c r="P633" i="48" s="1"/>
  <c r="L633" i="48"/>
  <c r="J633" i="48"/>
  <c r="I633" i="48"/>
  <c r="H633" i="48"/>
  <c r="G633" i="48"/>
  <c r="M632" i="48"/>
  <c r="P632" i="48" s="1"/>
  <c r="L632" i="48"/>
  <c r="J632" i="48"/>
  <c r="I632" i="48"/>
  <c r="H632" i="48"/>
  <c r="G632" i="48"/>
  <c r="M631" i="48"/>
  <c r="P631" i="48" s="1"/>
  <c r="L631" i="48"/>
  <c r="J631" i="48"/>
  <c r="I631" i="48"/>
  <c r="H631" i="48"/>
  <c r="G631" i="48"/>
  <c r="M630" i="48"/>
  <c r="P630" i="48" s="1"/>
  <c r="L630" i="48"/>
  <c r="J630" i="48"/>
  <c r="I630" i="48"/>
  <c r="H630" i="48"/>
  <c r="G630" i="48"/>
  <c r="M629" i="48"/>
  <c r="P629" i="48" s="1"/>
  <c r="L629" i="48"/>
  <c r="J629" i="48"/>
  <c r="I629" i="48"/>
  <c r="H629" i="48"/>
  <c r="G629" i="48"/>
  <c r="M628" i="48"/>
  <c r="P628" i="48" s="1"/>
  <c r="L628" i="48"/>
  <c r="J628" i="48"/>
  <c r="I628" i="48"/>
  <c r="H628" i="48"/>
  <c r="G628" i="48"/>
  <c r="M627" i="48"/>
  <c r="P627" i="48" s="1"/>
  <c r="L627" i="48"/>
  <c r="J627" i="48"/>
  <c r="I627" i="48"/>
  <c r="H627" i="48"/>
  <c r="G627" i="48"/>
  <c r="M626" i="48"/>
  <c r="P626" i="48" s="1"/>
  <c r="L626" i="48"/>
  <c r="J626" i="48"/>
  <c r="I626" i="48"/>
  <c r="H626" i="48"/>
  <c r="G626" i="48"/>
  <c r="M625" i="48"/>
  <c r="P625" i="48" s="1"/>
  <c r="L625" i="48"/>
  <c r="J625" i="48"/>
  <c r="I625" i="48"/>
  <c r="H625" i="48"/>
  <c r="G625" i="48"/>
  <c r="M624" i="48"/>
  <c r="P624" i="48" s="1"/>
  <c r="L624" i="48"/>
  <c r="J624" i="48"/>
  <c r="I624" i="48"/>
  <c r="H624" i="48"/>
  <c r="G624" i="48"/>
  <c r="M623" i="48"/>
  <c r="P623" i="48" s="1"/>
  <c r="L623" i="48"/>
  <c r="J623" i="48"/>
  <c r="I623" i="48"/>
  <c r="H623" i="48"/>
  <c r="G623" i="48"/>
  <c r="M622" i="48"/>
  <c r="P622" i="48" s="1"/>
  <c r="L622" i="48"/>
  <c r="J622" i="48"/>
  <c r="I622" i="48"/>
  <c r="H622" i="48"/>
  <c r="G622" i="48"/>
  <c r="M621" i="48"/>
  <c r="P621" i="48" s="1"/>
  <c r="L621" i="48"/>
  <c r="J621" i="48"/>
  <c r="I621" i="48"/>
  <c r="H621" i="48"/>
  <c r="G621" i="48"/>
  <c r="M620" i="48"/>
  <c r="P620" i="48" s="1"/>
  <c r="L620" i="48"/>
  <c r="J620" i="48"/>
  <c r="I620" i="48"/>
  <c r="H620" i="48"/>
  <c r="G620" i="48"/>
  <c r="M619" i="48"/>
  <c r="P619" i="48" s="1"/>
  <c r="L619" i="48"/>
  <c r="J619" i="48"/>
  <c r="I619" i="48"/>
  <c r="H619" i="48"/>
  <c r="G619" i="48"/>
  <c r="M618" i="48"/>
  <c r="P618" i="48" s="1"/>
  <c r="L618" i="48"/>
  <c r="J618" i="48"/>
  <c r="I618" i="48"/>
  <c r="H618" i="48"/>
  <c r="G618" i="48"/>
  <c r="M617" i="48"/>
  <c r="P617" i="48" s="1"/>
  <c r="L617" i="48"/>
  <c r="J617" i="48"/>
  <c r="I617" i="48"/>
  <c r="H617" i="48"/>
  <c r="G617" i="48"/>
  <c r="M616" i="48"/>
  <c r="P616" i="48" s="1"/>
  <c r="L616" i="48"/>
  <c r="J616" i="48"/>
  <c r="I616" i="48"/>
  <c r="H616" i="48"/>
  <c r="G616" i="48"/>
  <c r="M615" i="48"/>
  <c r="P615" i="48" s="1"/>
  <c r="L615" i="48"/>
  <c r="J615" i="48"/>
  <c r="I615" i="48"/>
  <c r="H615" i="48"/>
  <c r="G615" i="48"/>
  <c r="M614" i="48"/>
  <c r="P614" i="48" s="1"/>
  <c r="L614" i="48"/>
  <c r="J614" i="48"/>
  <c r="I614" i="48"/>
  <c r="H614" i="48"/>
  <c r="G614" i="48"/>
  <c r="M613" i="48"/>
  <c r="P613" i="48" s="1"/>
  <c r="L613" i="48"/>
  <c r="J613" i="48"/>
  <c r="I613" i="48"/>
  <c r="H613" i="48"/>
  <c r="G613" i="48"/>
  <c r="M612" i="48"/>
  <c r="P612" i="48" s="1"/>
  <c r="L612" i="48"/>
  <c r="J612" i="48"/>
  <c r="I612" i="48"/>
  <c r="H612" i="48"/>
  <c r="G612" i="48"/>
  <c r="M611" i="48"/>
  <c r="P611" i="48" s="1"/>
  <c r="L611" i="48"/>
  <c r="J611" i="48"/>
  <c r="I611" i="48"/>
  <c r="H611" i="48"/>
  <c r="G611" i="48"/>
  <c r="M610" i="48"/>
  <c r="P610" i="48" s="1"/>
  <c r="L610" i="48"/>
  <c r="J610" i="48"/>
  <c r="I610" i="48"/>
  <c r="H610" i="48"/>
  <c r="G610" i="48"/>
  <c r="M609" i="48"/>
  <c r="P609" i="48" s="1"/>
  <c r="L609" i="48"/>
  <c r="J609" i="48"/>
  <c r="I609" i="48"/>
  <c r="H609" i="48"/>
  <c r="G609" i="48"/>
  <c r="M608" i="48"/>
  <c r="P608" i="48" s="1"/>
  <c r="L608" i="48"/>
  <c r="J608" i="48"/>
  <c r="I608" i="48"/>
  <c r="H608" i="48"/>
  <c r="G608" i="48"/>
  <c r="M607" i="48"/>
  <c r="P607" i="48" s="1"/>
  <c r="L607" i="48"/>
  <c r="J607" i="48"/>
  <c r="I607" i="48"/>
  <c r="H607" i="48"/>
  <c r="G607" i="48"/>
  <c r="M606" i="48"/>
  <c r="P606" i="48" s="1"/>
  <c r="L606" i="48"/>
  <c r="J606" i="48"/>
  <c r="I606" i="48"/>
  <c r="H606" i="48"/>
  <c r="G606" i="48"/>
  <c r="M605" i="48"/>
  <c r="P605" i="48" s="1"/>
  <c r="L605" i="48"/>
  <c r="J605" i="48"/>
  <c r="I605" i="48"/>
  <c r="H605" i="48"/>
  <c r="G605" i="48"/>
  <c r="M604" i="48"/>
  <c r="P604" i="48" s="1"/>
  <c r="L604" i="48"/>
  <c r="J604" i="48"/>
  <c r="I604" i="48"/>
  <c r="H604" i="48"/>
  <c r="G604" i="48"/>
  <c r="M603" i="48"/>
  <c r="P603" i="48" s="1"/>
  <c r="L603" i="48"/>
  <c r="J603" i="48"/>
  <c r="I603" i="48"/>
  <c r="H603" i="48"/>
  <c r="G603" i="48"/>
  <c r="M602" i="48"/>
  <c r="P602" i="48" s="1"/>
  <c r="L602" i="48"/>
  <c r="J602" i="48"/>
  <c r="I602" i="48"/>
  <c r="H602" i="48"/>
  <c r="G602" i="48"/>
  <c r="M601" i="48"/>
  <c r="P601" i="48" s="1"/>
  <c r="L601" i="48"/>
  <c r="J601" i="48"/>
  <c r="I601" i="48"/>
  <c r="H601" i="48"/>
  <c r="G601" i="48"/>
  <c r="M600" i="48"/>
  <c r="P600" i="48" s="1"/>
  <c r="L600" i="48"/>
  <c r="J600" i="48"/>
  <c r="I600" i="48"/>
  <c r="H600" i="48"/>
  <c r="G600" i="48"/>
  <c r="M599" i="48"/>
  <c r="P599" i="48" s="1"/>
  <c r="L599" i="48"/>
  <c r="J599" i="48"/>
  <c r="I599" i="48"/>
  <c r="H599" i="48"/>
  <c r="G599" i="48"/>
  <c r="M598" i="48"/>
  <c r="P598" i="48" s="1"/>
  <c r="L598" i="48"/>
  <c r="J598" i="48"/>
  <c r="I598" i="48"/>
  <c r="H598" i="48"/>
  <c r="G598" i="48"/>
  <c r="M597" i="48"/>
  <c r="P597" i="48" s="1"/>
  <c r="L597" i="48"/>
  <c r="J597" i="48"/>
  <c r="I597" i="48"/>
  <c r="H597" i="48"/>
  <c r="G597" i="48"/>
  <c r="M596" i="48"/>
  <c r="P596" i="48" s="1"/>
  <c r="L596" i="48"/>
  <c r="J596" i="48"/>
  <c r="I596" i="48"/>
  <c r="H596" i="48"/>
  <c r="G596" i="48"/>
  <c r="M595" i="48"/>
  <c r="P595" i="48" s="1"/>
  <c r="L595" i="48"/>
  <c r="J595" i="48"/>
  <c r="I595" i="48"/>
  <c r="H595" i="48"/>
  <c r="G595" i="48"/>
  <c r="M594" i="48"/>
  <c r="P594" i="48" s="1"/>
  <c r="L594" i="48"/>
  <c r="J594" i="48"/>
  <c r="I594" i="48"/>
  <c r="H594" i="48"/>
  <c r="G594" i="48"/>
  <c r="M593" i="48"/>
  <c r="P593" i="48" s="1"/>
  <c r="L593" i="48"/>
  <c r="J593" i="48"/>
  <c r="I593" i="48"/>
  <c r="H593" i="48"/>
  <c r="G593" i="48"/>
  <c r="M592" i="48"/>
  <c r="P592" i="48" s="1"/>
  <c r="L592" i="48"/>
  <c r="J592" i="48"/>
  <c r="I592" i="48"/>
  <c r="H592" i="48"/>
  <c r="G592" i="48"/>
  <c r="M591" i="48"/>
  <c r="P591" i="48" s="1"/>
  <c r="L591" i="48"/>
  <c r="J591" i="48"/>
  <c r="I591" i="48"/>
  <c r="H591" i="48"/>
  <c r="G591" i="48"/>
  <c r="M590" i="48"/>
  <c r="P590" i="48" s="1"/>
  <c r="L590" i="48"/>
  <c r="J590" i="48"/>
  <c r="I590" i="48"/>
  <c r="H590" i="48"/>
  <c r="G590" i="48"/>
  <c r="M589" i="48"/>
  <c r="P589" i="48" s="1"/>
  <c r="L589" i="48"/>
  <c r="J589" i="48"/>
  <c r="I589" i="48"/>
  <c r="H589" i="48"/>
  <c r="G589" i="48"/>
  <c r="M588" i="48"/>
  <c r="P588" i="48" s="1"/>
  <c r="L588" i="48"/>
  <c r="J588" i="48"/>
  <c r="I588" i="48"/>
  <c r="H588" i="48"/>
  <c r="G588" i="48"/>
  <c r="M587" i="48"/>
  <c r="P587" i="48" s="1"/>
  <c r="L587" i="48"/>
  <c r="J587" i="48"/>
  <c r="I587" i="48"/>
  <c r="H587" i="48"/>
  <c r="G587" i="48"/>
  <c r="M586" i="48"/>
  <c r="P586" i="48" s="1"/>
  <c r="L586" i="48"/>
  <c r="J586" i="48"/>
  <c r="I586" i="48"/>
  <c r="H586" i="48"/>
  <c r="G586" i="48"/>
  <c r="M585" i="48"/>
  <c r="P585" i="48" s="1"/>
  <c r="L585" i="48"/>
  <c r="J585" i="48"/>
  <c r="I585" i="48"/>
  <c r="H585" i="48"/>
  <c r="G585" i="48"/>
  <c r="M584" i="48"/>
  <c r="P584" i="48" s="1"/>
  <c r="L584" i="48"/>
  <c r="J584" i="48"/>
  <c r="I584" i="48"/>
  <c r="H584" i="48"/>
  <c r="G584" i="48"/>
  <c r="M583" i="48"/>
  <c r="P583" i="48" s="1"/>
  <c r="L583" i="48"/>
  <c r="J583" i="48"/>
  <c r="I583" i="48"/>
  <c r="H583" i="48"/>
  <c r="G583" i="48"/>
  <c r="M582" i="48"/>
  <c r="P582" i="48" s="1"/>
  <c r="L582" i="48"/>
  <c r="J582" i="48"/>
  <c r="I582" i="48"/>
  <c r="H582" i="48"/>
  <c r="G582" i="48"/>
  <c r="M581" i="48"/>
  <c r="P581" i="48" s="1"/>
  <c r="L581" i="48"/>
  <c r="J581" i="48"/>
  <c r="I581" i="48"/>
  <c r="H581" i="48"/>
  <c r="G581" i="48"/>
  <c r="M580" i="48"/>
  <c r="P580" i="48" s="1"/>
  <c r="L580" i="48"/>
  <c r="J580" i="48"/>
  <c r="I580" i="48"/>
  <c r="H580" i="48"/>
  <c r="G580" i="48"/>
  <c r="M579" i="48"/>
  <c r="P579" i="48" s="1"/>
  <c r="L579" i="48"/>
  <c r="J579" i="48"/>
  <c r="I579" i="48"/>
  <c r="H579" i="48"/>
  <c r="G579" i="48"/>
  <c r="M578" i="48"/>
  <c r="P578" i="48" s="1"/>
  <c r="L578" i="48"/>
  <c r="J578" i="48"/>
  <c r="I578" i="48"/>
  <c r="H578" i="48"/>
  <c r="G578" i="48"/>
  <c r="M577" i="48"/>
  <c r="P577" i="48" s="1"/>
  <c r="L577" i="48"/>
  <c r="J577" i="48"/>
  <c r="I577" i="48"/>
  <c r="H577" i="48"/>
  <c r="G577" i="48"/>
  <c r="M576" i="48"/>
  <c r="P576" i="48" s="1"/>
  <c r="L576" i="48"/>
  <c r="J576" i="48"/>
  <c r="I576" i="48"/>
  <c r="H576" i="48"/>
  <c r="G576" i="48"/>
  <c r="M575" i="48"/>
  <c r="P575" i="48" s="1"/>
  <c r="L575" i="48"/>
  <c r="J575" i="48"/>
  <c r="I575" i="48"/>
  <c r="H575" i="48"/>
  <c r="G575" i="48"/>
  <c r="M574" i="48"/>
  <c r="P574" i="48" s="1"/>
  <c r="L574" i="48"/>
  <c r="J574" i="48"/>
  <c r="I574" i="48"/>
  <c r="H574" i="48"/>
  <c r="G574" i="48"/>
  <c r="M573" i="48"/>
  <c r="P573" i="48" s="1"/>
  <c r="L573" i="48"/>
  <c r="J573" i="48"/>
  <c r="I573" i="48"/>
  <c r="H573" i="48"/>
  <c r="G573" i="48"/>
  <c r="M572" i="48"/>
  <c r="P572" i="48" s="1"/>
  <c r="L572" i="48"/>
  <c r="J572" i="48"/>
  <c r="I572" i="48"/>
  <c r="H572" i="48"/>
  <c r="G572" i="48"/>
  <c r="M571" i="48"/>
  <c r="P571" i="48" s="1"/>
  <c r="L571" i="48"/>
  <c r="J571" i="48"/>
  <c r="I571" i="48"/>
  <c r="H571" i="48"/>
  <c r="G571" i="48"/>
  <c r="M570" i="48"/>
  <c r="P570" i="48" s="1"/>
  <c r="L570" i="48"/>
  <c r="J570" i="48"/>
  <c r="I570" i="48"/>
  <c r="H570" i="48"/>
  <c r="G570" i="48"/>
  <c r="M569" i="48"/>
  <c r="P569" i="48" s="1"/>
  <c r="L569" i="48"/>
  <c r="J569" i="48"/>
  <c r="I569" i="48"/>
  <c r="H569" i="48"/>
  <c r="G569" i="48"/>
  <c r="M568" i="48"/>
  <c r="P568" i="48" s="1"/>
  <c r="L568" i="48"/>
  <c r="J568" i="48"/>
  <c r="I568" i="48"/>
  <c r="H568" i="48"/>
  <c r="G568" i="48"/>
  <c r="M567" i="48"/>
  <c r="P567" i="48" s="1"/>
  <c r="L567" i="48"/>
  <c r="J567" i="48"/>
  <c r="I567" i="48"/>
  <c r="H567" i="48"/>
  <c r="G567" i="48"/>
  <c r="M566" i="48"/>
  <c r="P566" i="48" s="1"/>
  <c r="L566" i="48"/>
  <c r="J566" i="48"/>
  <c r="I566" i="48"/>
  <c r="H566" i="48"/>
  <c r="G566" i="48"/>
  <c r="M565" i="48"/>
  <c r="P565" i="48" s="1"/>
  <c r="L565" i="48"/>
  <c r="J565" i="48"/>
  <c r="I565" i="48"/>
  <c r="H565" i="48"/>
  <c r="G565" i="48"/>
  <c r="M564" i="48"/>
  <c r="P564" i="48" s="1"/>
  <c r="L564" i="48"/>
  <c r="J564" i="48"/>
  <c r="I564" i="48"/>
  <c r="H564" i="48"/>
  <c r="G564" i="48"/>
  <c r="M563" i="48"/>
  <c r="P563" i="48" s="1"/>
  <c r="L563" i="48"/>
  <c r="J563" i="48"/>
  <c r="I563" i="48"/>
  <c r="H563" i="48"/>
  <c r="G563" i="48"/>
  <c r="M562" i="48"/>
  <c r="P562" i="48" s="1"/>
  <c r="L562" i="48"/>
  <c r="J562" i="48"/>
  <c r="I562" i="48"/>
  <c r="H562" i="48"/>
  <c r="G562" i="48"/>
  <c r="M561" i="48"/>
  <c r="P561" i="48" s="1"/>
  <c r="L561" i="48"/>
  <c r="J561" i="48"/>
  <c r="I561" i="48"/>
  <c r="H561" i="48"/>
  <c r="G561" i="48"/>
  <c r="M560" i="48"/>
  <c r="P560" i="48" s="1"/>
  <c r="L560" i="48"/>
  <c r="J560" i="48"/>
  <c r="I560" i="48"/>
  <c r="H560" i="48"/>
  <c r="G560" i="48"/>
  <c r="M559" i="48"/>
  <c r="P559" i="48" s="1"/>
  <c r="L559" i="48"/>
  <c r="J559" i="48"/>
  <c r="I559" i="48"/>
  <c r="H559" i="48"/>
  <c r="G559" i="48"/>
  <c r="M558" i="48"/>
  <c r="P558" i="48" s="1"/>
  <c r="L558" i="48"/>
  <c r="J558" i="48"/>
  <c r="I558" i="48"/>
  <c r="H558" i="48"/>
  <c r="G558" i="48"/>
  <c r="M557" i="48"/>
  <c r="P557" i="48" s="1"/>
  <c r="L557" i="48"/>
  <c r="J557" i="48"/>
  <c r="I557" i="48"/>
  <c r="H557" i="48"/>
  <c r="G557" i="48"/>
  <c r="M556" i="48"/>
  <c r="P556" i="48" s="1"/>
  <c r="L556" i="48"/>
  <c r="J556" i="48"/>
  <c r="I556" i="48"/>
  <c r="H556" i="48"/>
  <c r="G556" i="48"/>
  <c r="M555" i="48"/>
  <c r="P555" i="48" s="1"/>
  <c r="L555" i="48"/>
  <c r="J555" i="48"/>
  <c r="I555" i="48"/>
  <c r="H555" i="48"/>
  <c r="G555" i="48"/>
  <c r="M554" i="48"/>
  <c r="P554" i="48" s="1"/>
  <c r="L554" i="48"/>
  <c r="J554" i="48"/>
  <c r="I554" i="48"/>
  <c r="H554" i="48"/>
  <c r="G554" i="48"/>
  <c r="M553" i="48"/>
  <c r="P553" i="48" s="1"/>
  <c r="L553" i="48"/>
  <c r="J553" i="48"/>
  <c r="I553" i="48"/>
  <c r="H553" i="48"/>
  <c r="G553" i="48"/>
  <c r="M552" i="48"/>
  <c r="P552" i="48" s="1"/>
  <c r="L552" i="48"/>
  <c r="J552" i="48"/>
  <c r="I552" i="48"/>
  <c r="H552" i="48"/>
  <c r="G552" i="48"/>
  <c r="M551" i="48"/>
  <c r="P551" i="48" s="1"/>
  <c r="L551" i="48"/>
  <c r="J551" i="48"/>
  <c r="I551" i="48"/>
  <c r="H551" i="48"/>
  <c r="G551" i="48"/>
  <c r="M550" i="48"/>
  <c r="P550" i="48" s="1"/>
  <c r="L550" i="48"/>
  <c r="J550" i="48"/>
  <c r="I550" i="48"/>
  <c r="H550" i="48"/>
  <c r="G550" i="48"/>
  <c r="M549" i="48"/>
  <c r="P549" i="48" s="1"/>
  <c r="L549" i="48"/>
  <c r="J549" i="48"/>
  <c r="I549" i="48"/>
  <c r="H549" i="48"/>
  <c r="G549" i="48"/>
  <c r="M548" i="48"/>
  <c r="P548" i="48" s="1"/>
  <c r="L548" i="48"/>
  <c r="J548" i="48"/>
  <c r="I548" i="48"/>
  <c r="H548" i="48"/>
  <c r="G548" i="48"/>
  <c r="M547" i="48"/>
  <c r="P547" i="48" s="1"/>
  <c r="L547" i="48"/>
  <c r="J547" i="48"/>
  <c r="I547" i="48"/>
  <c r="H547" i="48"/>
  <c r="G547" i="48"/>
  <c r="M546" i="48"/>
  <c r="P546" i="48" s="1"/>
  <c r="L546" i="48"/>
  <c r="J546" i="48"/>
  <c r="I546" i="48"/>
  <c r="H546" i="48"/>
  <c r="G546" i="48"/>
  <c r="M545" i="48"/>
  <c r="P545" i="48" s="1"/>
  <c r="L545" i="48"/>
  <c r="J545" i="48"/>
  <c r="I545" i="48"/>
  <c r="H545" i="48"/>
  <c r="G545" i="48"/>
  <c r="M544" i="48"/>
  <c r="P544" i="48" s="1"/>
  <c r="L544" i="48"/>
  <c r="J544" i="48"/>
  <c r="I544" i="48"/>
  <c r="H544" i="48"/>
  <c r="G544" i="48"/>
  <c r="M543" i="48"/>
  <c r="P543" i="48" s="1"/>
  <c r="L543" i="48"/>
  <c r="J543" i="48"/>
  <c r="I543" i="48"/>
  <c r="H543" i="48"/>
  <c r="G543" i="48"/>
  <c r="M542" i="48"/>
  <c r="P542" i="48" s="1"/>
  <c r="L542" i="48"/>
  <c r="J542" i="48"/>
  <c r="I542" i="48"/>
  <c r="H542" i="48"/>
  <c r="G542" i="48"/>
  <c r="M541" i="48"/>
  <c r="P541" i="48" s="1"/>
  <c r="L541" i="48"/>
  <c r="J541" i="48"/>
  <c r="I541" i="48"/>
  <c r="H541" i="48"/>
  <c r="G541" i="48"/>
  <c r="M540" i="48"/>
  <c r="P540" i="48" s="1"/>
  <c r="L540" i="48"/>
  <c r="J540" i="48"/>
  <c r="I540" i="48"/>
  <c r="H540" i="48"/>
  <c r="G540" i="48"/>
  <c r="M539" i="48"/>
  <c r="P539" i="48" s="1"/>
  <c r="L539" i="48"/>
  <c r="J539" i="48"/>
  <c r="I539" i="48"/>
  <c r="H539" i="48"/>
  <c r="G539" i="48"/>
  <c r="M538" i="48"/>
  <c r="P538" i="48" s="1"/>
  <c r="L538" i="48"/>
  <c r="J538" i="48"/>
  <c r="I538" i="48"/>
  <c r="H538" i="48"/>
  <c r="G538" i="48"/>
  <c r="M537" i="48"/>
  <c r="P537" i="48" s="1"/>
  <c r="L537" i="48"/>
  <c r="J537" i="48"/>
  <c r="I537" i="48"/>
  <c r="H537" i="48"/>
  <c r="G537" i="48"/>
  <c r="M536" i="48"/>
  <c r="P536" i="48" s="1"/>
  <c r="L536" i="48"/>
  <c r="J536" i="48"/>
  <c r="I536" i="48"/>
  <c r="H536" i="48"/>
  <c r="G536" i="48"/>
  <c r="M535" i="48"/>
  <c r="P535" i="48" s="1"/>
  <c r="L535" i="48"/>
  <c r="J535" i="48"/>
  <c r="I535" i="48"/>
  <c r="H535" i="48"/>
  <c r="G535" i="48"/>
  <c r="M534" i="48"/>
  <c r="P534" i="48" s="1"/>
  <c r="L534" i="48"/>
  <c r="J534" i="48"/>
  <c r="I534" i="48"/>
  <c r="H534" i="48"/>
  <c r="G534" i="48"/>
  <c r="M533" i="48"/>
  <c r="P533" i="48" s="1"/>
  <c r="L533" i="48"/>
  <c r="J533" i="48"/>
  <c r="I533" i="48"/>
  <c r="H533" i="48"/>
  <c r="G533" i="48"/>
  <c r="M532" i="48"/>
  <c r="P532" i="48" s="1"/>
  <c r="L532" i="48"/>
  <c r="J532" i="48"/>
  <c r="I532" i="48"/>
  <c r="H532" i="48"/>
  <c r="G532" i="48"/>
  <c r="M531" i="48"/>
  <c r="P531" i="48" s="1"/>
  <c r="L531" i="48"/>
  <c r="J531" i="48"/>
  <c r="I531" i="48"/>
  <c r="H531" i="48"/>
  <c r="G531" i="48"/>
  <c r="M530" i="48"/>
  <c r="P530" i="48" s="1"/>
  <c r="L530" i="48"/>
  <c r="J530" i="48"/>
  <c r="I530" i="48"/>
  <c r="H530" i="48"/>
  <c r="G530" i="48"/>
  <c r="M529" i="48"/>
  <c r="P529" i="48" s="1"/>
  <c r="L529" i="48"/>
  <c r="J529" i="48"/>
  <c r="I529" i="48"/>
  <c r="H529" i="48"/>
  <c r="G529" i="48"/>
  <c r="M528" i="48"/>
  <c r="P528" i="48" s="1"/>
  <c r="L528" i="48"/>
  <c r="J528" i="48"/>
  <c r="I528" i="48"/>
  <c r="H528" i="48"/>
  <c r="G528" i="48"/>
  <c r="M527" i="48"/>
  <c r="P527" i="48" s="1"/>
  <c r="L527" i="48"/>
  <c r="J527" i="48"/>
  <c r="I527" i="48"/>
  <c r="H527" i="48"/>
  <c r="G527" i="48"/>
  <c r="M526" i="48"/>
  <c r="P526" i="48" s="1"/>
  <c r="L526" i="48"/>
  <c r="J526" i="48"/>
  <c r="I526" i="48"/>
  <c r="H526" i="48"/>
  <c r="G526" i="48"/>
  <c r="M525" i="48"/>
  <c r="P525" i="48" s="1"/>
  <c r="L525" i="48"/>
  <c r="J525" i="48"/>
  <c r="I525" i="48"/>
  <c r="H525" i="48"/>
  <c r="G525" i="48"/>
  <c r="M524" i="48"/>
  <c r="P524" i="48" s="1"/>
  <c r="L524" i="48"/>
  <c r="J524" i="48"/>
  <c r="I524" i="48"/>
  <c r="H524" i="48"/>
  <c r="G524" i="48"/>
  <c r="M523" i="48"/>
  <c r="P523" i="48" s="1"/>
  <c r="L523" i="48"/>
  <c r="J523" i="48"/>
  <c r="I523" i="48"/>
  <c r="H523" i="48"/>
  <c r="G523" i="48"/>
  <c r="M522" i="48"/>
  <c r="P522" i="48" s="1"/>
  <c r="L522" i="48"/>
  <c r="J522" i="48"/>
  <c r="I522" i="48"/>
  <c r="H522" i="48"/>
  <c r="G522" i="48"/>
  <c r="M521" i="48"/>
  <c r="P521" i="48" s="1"/>
  <c r="L521" i="48"/>
  <c r="J521" i="48"/>
  <c r="I521" i="48"/>
  <c r="H521" i="48"/>
  <c r="G521" i="48"/>
  <c r="M520" i="48"/>
  <c r="P520" i="48" s="1"/>
  <c r="L520" i="48"/>
  <c r="J520" i="48"/>
  <c r="I520" i="48"/>
  <c r="H520" i="48"/>
  <c r="G520" i="48"/>
  <c r="M519" i="48"/>
  <c r="P519" i="48" s="1"/>
  <c r="L519" i="48"/>
  <c r="J519" i="48"/>
  <c r="I519" i="48"/>
  <c r="H519" i="48"/>
  <c r="G519" i="48"/>
  <c r="M518" i="48"/>
  <c r="P518" i="48" s="1"/>
  <c r="L518" i="48"/>
  <c r="J518" i="48"/>
  <c r="I518" i="48"/>
  <c r="H518" i="48"/>
  <c r="G518" i="48"/>
  <c r="M517" i="48"/>
  <c r="P517" i="48" s="1"/>
  <c r="L517" i="48"/>
  <c r="J517" i="48"/>
  <c r="I517" i="48"/>
  <c r="H517" i="48"/>
  <c r="G517" i="48"/>
  <c r="M516" i="48"/>
  <c r="P516" i="48" s="1"/>
  <c r="L516" i="48"/>
  <c r="J516" i="48"/>
  <c r="I516" i="48"/>
  <c r="H516" i="48"/>
  <c r="G516" i="48"/>
  <c r="M515" i="48"/>
  <c r="P515" i="48" s="1"/>
  <c r="L515" i="48"/>
  <c r="J515" i="48"/>
  <c r="I515" i="48"/>
  <c r="H515" i="48"/>
  <c r="G515" i="48"/>
  <c r="M514" i="48"/>
  <c r="P514" i="48" s="1"/>
  <c r="L514" i="48"/>
  <c r="J514" i="48"/>
  <c r="I514" i="48"/>
  <c r="H514" i="48"/>
  <c r="G514" i="48"/>
  <c r="M513" i="48"/>
  <c r="P513" i="48" s="1"/>
  <c r="L513" i="48"/>
  <c r="J513" i="48"/>
  <c r="I513" i="48"/>
  <c r="H513" i="48"/>
  <c r="G513" i="48"/>
  <c r="M512" i="48"/>
  <c r="P512" i="48" s="1"/>
  <c r="L512" i="48"/>
  <c r="J512" i="48"/>
  <c r="I512" i="48"/>
  <c r="H512" i="48"/>
  <c r="G512" i="48"/>
  <c r="M511" i="48"/>
  <c r="P511" i="48" s="1"/>
  <c r="L511" i="48"/>
  <c r="J511" i="48"/>
  <c r="I511" i="48"/>
  <c r="H511" i="48"/>
  <c r="G511" i="48"/>
  <c r="M510" i="48"/>
  <c r="P510" i="48" s="1"/>
  <c r="L510" i="48"/>
  <c r="J510" i="48"/>
  <c r="I510" i="48"/>
  <c r="H510" i="48"/>
  <c r="G510" i="48"/>
  <c r="M509" i="48"/>
  <c r="P509" i="48" s="1"/>
  <c r="L509" i="48"/>
  <c r="J509" i="48"/>
  <c r="I509" i="48"/>
  <c r="H509" i="48"/>
  <c r="G509" i="48"/>
  <c r="M508" i="48"/>
  <c r="P508" i="48" s="1"/>
  <c r="L508" i="48"/>
  <c r="J508" i="48"/>
  <c r="I508" i="48"/>
  <c r="H508" i="48"/>
  <c r="G508" i="48"/>
  <c r="M507" i="48"/>
  <c r="P507" i="48" s="1"/>
  <c r="L507" i="48"/>
  <c r="J507" i="48"/>
  <c r="I507" i="48"/>
  <c r="H507" i="48"/>
  <c r="G507" i="48"/>
  <c r="M506" i="48"/>
  <c r="P506" i="48" s="1"/>
  <c r="L506" i="48"/>
  <c r="J506" i="48"/>
  <c r="I506" i="48"/>
  <c r="H506" i="48"/>
  <c r="G506" i="48"/>
  <c r="M505" i="48"/>
  <c r="P505" i="48" s="1"/>
  <c r="L505" i="48"/>
  <c r="J505" i="48"/>
  <c r="I505" i="48"/>
  <c r="H505" i="48"/>
  <c r="G505" i="48"/>
  <c r="M504" i="48"/>
  <c r="P504" i="48" s="1"/>
  <c r="L504" i="48"/>
  <c r="J504" i="48"/>
  <c r="I504" i="48"/>
  <c r="H504" i="48"/>
  <c r="G504" i="48"/>
  <c r="M503" i="48"/>
  <c r="P503" i="48" s="1"/>
  <c r="L503" i="48"/>
  <c r="J503" i="48"/>
  <c r="I503" i="48"/>
  <c r="H503" i="48"/>
  <c r="G503" i="48"/>
  <c r="M502" i="48"/>
  <c r="P502" i="48" s="1"/>
  <c r="L502" i="48"/>
  <c r="J502" i="48"/>
  <c r="I502" i="48"/>
  <c r="H502" i="48"/>
  <c r="G502" i="48"/>
  <c r="M501" i="48"/>
  <c r="P501" i="48" s="1"/>
  <c r="L501" i="48"/>
  <c r="J501" i="48"/>
  <c r="I501" i="48"/>
  <c r="H501" i="48"/>
  <c r="G501" i="48"/>
  <c r="M500" i="48"/>
  <c r="P500" i="48" s="1"/>
  <c r="L500" i="48"/>
  <c r="J500" i="48"/>
  <c r="I500" i="48"/>
  <c r="H500" i="48"/>
  <c r="G500" i="48"/>
  <c r="M499" i="48"/>
  <c r="P499" i="48" s="1"/>
  <c r="L499" i="48"/>
  <c r="J499" i="48"/>
  <c r="I499" i="48"/>
  <c r="H499" i="48"/>
  <c r="G499" i="48"/>
  <c r="M498" i="48"/>
  <c r="P498" i="48" s="1"/>
  <c r="L498" i="48"/>
  <c r="J498" i="48"/>
  <c r="I498" i="48"/>
  <c r="H498" i="48"/>
  <c r="G498" i="48"/>
  <c r="M497" i="48"/>
  <c r="P497" i="48" s="1"/>
  <c r="L497" i="48"/>
  <c r="J497" i="48"/>
  <c r="I497" i="48"/>
  <c r="H497" i="48"/>
  <c r="G497" i="48"/>
  <c r="M496" i="48"/>
  <c r="P496" i="48" s="1"/>
  <c r="L496" i="48"/>
  <c r="J496" i="48"/>
  <c r="I496" i="48"/>
  <c r="H496" i="48"/>
  <c r="G496" i="48"/>
  <c r="M495" i="48"/>
  <c r="P495" i="48" s="1"/>
  <c r="L495" i="48"/>
  <c r="J495" i="48"/>
  <c r="I495" i="48"/>
  <c r="H495" i="48"/>
  <c r="G495" i="48"/>
  <c r="M494" i="48"/>
  <c r="P494" i="48" s="1"/>
  <c r="L494" i="48"/>
  <c r="J494" i="48"/>
  <c r="I494" i="48"/>
  <c r="H494" i="48"/>
  <c r="G494" i="48"/>
  <c r="M493" i="48"/>
  <c r="P493" i="48" s="1"/>
  <c r="L493" i="48"/>
  <c r="J493" i="48"/>
  <c r="I493" i="48"/>
  <c r="H493" i="48"/>
  <c r="G493" i="48"/>
  <c r="M492" i="48"/>
  <c r="P492" i="48" s="1"/>
  <c r="L492" i="48"/>
  <c r="J492" i="48"/>
  <c r="I492" i="48"/>
  <c r="H492" i="48"/>
  <c r="G492" i="48"/>
  <c r="M491" i="48"/>
  <c r="P491" i="48" s="1"/>
  <c r="L491" i="48"/>
  <c r="J491" i="48"/>
  <c r="I491" i="48"/>
  <c r="H491" i="48"/>
  <c r="G491" i="48"/>
  <c r="M490" i="48"/>
  <c r="P490" i="48" s="1"/>
  <c r="L490" i="48"/>
  <c r="J490" i="48"/>
  <c r="I490" i="48"/>
  <c r="H490" i="48"/>
  <c r="G490" i="48"/>
  <c r="M489" i="48"/>
  <c r="P489" i="48" s="1"/>
  <c r="L489" i="48"/>
  <c r="J489" i="48"/>
  <c r="I489" i="48"/>
  <c r="H489" i="48"/>
  <c r="G489" i="48"/>
  <c r="M488" i="48"/>
  <c r="P488" i="48" s="1"/>
  <c r="L488" i="48"/>
  <c r="J488" i="48"/>
  <c r="I488" i="48"/>
  <c r="H488" i="48"/>
  <c r="G488" i="48"/>
  <c r="M487" i="48"/>
  <c r="P487" i="48" s="1"/>
  <c r="L487" i="48"/>
  <c r="J487" i="48"/>
  <c r="I487" i="48"/>
  <c r="H487" i="48"/>
  <c r="G487" i="48"/>
  <c r="M486" i="48"/>
  <c r="P486" i="48" s="1"/>
  <c r="L486" i="48"/>
  <c r="J486" i="48"/>
  <c r="I486" i="48"/>
  <c r="H486" i="48"/>
  <c r="G486" i="48"/>
  <c r="M485" i="48"/>
  <c r="P485" i="48" s="1"/>
  <c r="L485" i="48"/>
  <c r="J485" i="48"/>
  <c r="I485" i="48"/>
  <c r="H485" i="48"/>
  <c r="G485" i="48"/>
  <c r="M484" i="48"/>
  <c r="P484" i="48" s="1"/>
  <c r="L484" i="48"/>
  <c r="J484" i="48"/>
  <c r="I484" i="48"/>
  <c r="H484" i="48"/>
  <c r="G484" i="48"/>
  <c r="M483" i="48"/>
  <c r="P483" i="48" s="1"/>
  <c r="L483" i="48"/>
  <c r="J483" i="48"/>
  <c r="I483" i="48"/>
  <c r="H483" i="48"/>
  <c r="G483" i="48"/>
  <c r="M482" i="48"/>
  <c r="P482" i="48" s="1"/>
  <c r="L482" i="48"/>
  <c r="J482" i="48"/>
  <c r="I482" i="48"/>
  <c r="H482" i="48"/>
  <c r="G482" i="48"/>
  <c r="M481" i="48"/>
  <c r="P481" i="48" s="1"/>
  <c r="L481" i="48"/>
  <c r="J481" i="48"/>
  <c r="I481" i="48"/>
  <c r="H481" i="48"/>
  <c r="G481" i="48"/>
  <c r="M480" i="48"/>
  <c r="P480" i="48" s="1"/>
  <c r="L480" i="48"/>
  <c r="J480" i="48"/>
  <c r="I480" i="48"/>
  <c r="H480" i="48"/>
  <c r="G480" i="48"/>
  <c r="M479" i="48"/>
  <c r="P479" i="48" s="1"/>
  <c r="L479" i="48"/>
  <c r="J479" i="48"/>
  <c r="I479" i="48"/>
  <c r="H479" i="48"/>
  <c r="G479" i="48"/>
  <c r="M478" i="48"/>
  <c r="P478" i="48" s="1"/>
  <c r="L478" i="48"/>
  <c r="J478" i="48"/>
  <c r="I478" i="48"/>
  <c r="H478" i="48"/>
  <c r="G478" i="48"/>
  <c r="M477" i="48"/>
  <c r="P477" i="48" s="1"/>
  <c r="L477" i="48"/>
  <c r="J477" i="48"/>
  <c r="I477" i="48"/>
  <c r="H477" i="48"/>
  <c r="G477" i="48"/>
  <c r="M476" i="48"/>
  <c r="P476" i="48" s="1"/>
  <c r="L476" i="48"/>
  <c r="J476" i="48"/>
  <c r="I476" i="48"/>
  <c r="H476" i="48"/>
  <c r="G476" i="48"/>
  <c r="M475" i="48"/>
  <c r="P475" i="48" s="1"/>
  <c r="L475" i="48"/>
  <c r="J475" i="48"/>
  <c r="I475" i="48"/>
  <c r="H475" i="48"/>
  <c r="G475" i="48"/>
  <c r="M474" i="48"/>
  <c r="P474" i="48" s="1"/>
  <c r="L474" i="48"/>
  <c r="J474" i="48"/>
  <c r="I474" i="48"/>
  <c r="H474" i="48"/>
  <c r="G474" i="48"/>
  <c r="M473" i="48"/>
  <c r="P473" i="48" s="1"/>
  <c r="L473" i="48"/>
  <c r="J473" i="48"/>
  <c r="I473" i="48"/>
  <c r="H473" i="48"/>
  <c r="G473" i="48"/>
  <c r="M472" i="48"/>
  <c r="P472" i="48" s="1"/>
  <c r="L472" i="48"/>
  <c r="J472" i="48"/>
  <c r="I472" i="48"/>
  <c r="H472" i="48"/>
  <c r="G472" i="48"/>
  <c r="M471" i="48"/>
  <c r="P471" i="48" s="1"/>
  <c r="L471" i="48"/>
  <c r="J471" i="48"/>
  <c r="I471" i="48"/>
  <c r="H471" i="48"/>
  <c r="G471" i="48"/>
  <c r="M470" i="48"/>
  <c r="P470" i="48" s="1"/>
  <c r="L470" i="48"/>
  <c r="J470" i="48"/>
  <c r="I470" i="48"/>
  <c r="H470" i="48"/>
  <c r="G470" i="48"/>
  <c r="M469" i="48"/>
  <c r="P469" i="48" s="1"/>
  <c r="L469" i="48"/>
  <c r="J469" i="48"/>
  <c r="I469" i="48"/>
  <c r="H469" i="48"/>
  <c r="G469" i="48"/>
  <c r="M468" i="48"/>
  <c r="P468" i="48" s="1"/>
  <c r="L468" i="48"/>
  <c r="J468" i="48"/>
  <c r="I468" i="48"/>
  <c r="H468" i="48"/>
  <c r="G468" i="48"/>
  <c r="M467" i="48"/>
  <c r="P467" i="48" s="1"/>
  <c r="L467" i="48"/>
  <c r="J467" i="48"/>
  <c r="I467" i="48"/>
  <c r="H467" i="48"/>
  <c r="G467" i="48"/>
  <c r="M466" i="48"/>
  <c r="P466" i="48" s="1"/>
  <c r="L466" i="48"/>
  <c r="J466" i="48"/>
  <c r="I466" i="48"/>
  <c r="H466" i="48"/>
  <c r="G466" i="48"/>
  <c r="M465" i="48"/>
  <c r="P465" i="48" s="1"/>
  <c r="L465" i="48"/>
  <c r="J465" i="48"/>
  <c r="I465" i="48"/>
  <c r="H465" i="48"/>
  <c r="G465" i="48"/>
  <c r="M464" i="48"/>
  <c r="P464" i="48" s="1"/>
  <c r="L464" i="48"/>
  <c r="J464" i="48"/>
  <c r="I464" i="48"/>
  <c r="H464" i="48"/>
  <c r="G464" i="48"/>
  <c r="M463" i="48"/>
  <c r="P463" i="48" s="1"/>
  <c r="L463" i="48"/>
  <c r="J463" i="48"/>
  <c r="I463" i="48"/>
  <c r="H463" i="48"/>
  <c r="G463" i="48"/>
  <c r="M462" i="48"/>
  <c r="P462" i="48" s="1"/>
  <c r="L462" i="48"/>
  <c r="J462" i="48"/>
  <c r="I462" i="48"/>
  <c r="H462" i="48"/>
  <c r="G462" i="48"/>
  <c r="M461" i="48"/>
  <c r="P461" i="48" s="1"/>
  <c r="L461" i="48"/>
  <c r="J461" i="48"/>
  <c r="I461" i="48"/>
  <c r="H461" i="48"/>
  <c r="G461" i="48"/>
  <c r="M460" i="48"/>
  <c r="P460" i="48" s="1"/>
  <c r="L460" i="48"/>
  <c r="J460" i="48"/>
  <c r="I460" i="48"/>
  <c r="H460" i="48"/>
  <c r="G460" i="48"/>
  <c r="M459" i="48"/>
  <c r="P459" i="48" s="1"/>
  <c r="L459" i="48"/>
  <c r="J459" i="48"/>
  <c r="I459" i="48"/>
  <c r="H459" i="48"/>
  <c r="G459" i="48"/>
  <c r="M458" i="48"/>
  <c r="P458" i="48" s="1"/>
  <c r="L458" i="48"/>
  <c r="J458" i="48"/>
  <c r="I458" i="48"/>
  <c r="H458" i="48"/>
  <c r="G458" i="48"/>
  <c r="M457" i="48"/>
  <c r="P457" i="48" s="1"/>
  <c r="L457" i="48"/>
  <c r="J457" i="48"/>
  <c r="I457" i="48"/>
  <c r="H457" i="48"/>
  <c r="G457" i="48"/>
  <c r="M456" i="48"/>
  <c r="P456" i="48" s="1"/>
  <c r="L456" i="48"/>
  <c r="J456" i="48"/>
  <c r="I456" i="48"/>
  <c r="H456" i="48"/>
  <c r="G456" i="48"/>
  <c r="M455" i="48"/>
  <c r="P455" i="48" s="1"/>
  <c r="L455" i="48"/>
  <c r="J455" i="48"/>
  <c r="I455" i="48"/>
  <c r="H455" i="48"/>
  <c r="G455" i="48"/>
  <c r="M454" i="48"/>
  <c r="P454" i="48" s="1"/>
  <c r="L454" i="48"/>
  <c r="J454" i="48"/>
  <c r="I454" i="48"/>
  <c r="H454" i="48"/>
  <c r="G454" i="48"/>
  <c r="M453" i="48"/>
  <c r="P453" i="48" s="1"/>
  <c r="L453" i="48"/>
  <c r="J453" i="48"/>
  <c r="I453" i="48"/>
  <c r="H453" i="48"/>
  <c r="G453" i="48"/>
  <c r="M452" i="48"/>
  <c r="P452" i="48" s="1"/>
  <c r="L452" i="48"/>
  <c r="J452" i="48"/>
  <c r="I452" i="48"/>
  <c r="H452" i="48"/>
  <c r="G452" i="48"/>
  <c r="M451" i="48"/>
  <c r="P451" i="48" s="1"/>
  <c r="L451" i="48"/>
  <c r="J451" i="48"/>
  <c r="I451" i="48"/>
  <c r="H451" i="48"/>
  <c r="G451" i="48"/>
  <c r="M450" i="48"/>
  <c r="P450" i="48" s="1"/>
  <c r="L450" i="48"/>
  <c r="J450" i="48"/>
  <c r="I450" i="48"/>
  <c r="H450" i="48"/>
  <c r="G450" i="48"/>
  <c r="M449" i="48"/>
  <c r="P449" i="48" s="1"/>
  <c r="L449" i="48"/>
  <c r="J449" i="48"/>
  <c r="I449" i="48"/>
  <c r="H449" i="48"/>
  <c r="G449" i="48"/>
  <c r="M448" i="48"/>
  <c r="P448" i="48" s="1"/>
  <c r="L448" i="48"/>
  <c r="J448" i="48"/>
  <c r="I448" i="48"/>
  <c r="H448" i="48"/>
  <c r="G448" i="48"/>
  <c r="M447" i="48"/>
  <c r="P447" i="48" s="1"/>
  <c r="L447" i="48"/>
  <c r="J447" i="48"/>
  <c r="I447" i="48"/>
  <c r="H447" i="48"/>
  <c r="G447" i="48"/>
  <c r="M446" i="48"/>
  <c r="P446" i="48" s="1"/>
  <c r="L446" i="48"/>
  <c r="J446" i="48"/>
  <c r="I446" i="48"/>
  <c r="H446" i="48"/>
  <c r="G446" i="48"/>
  <c r="M445" i="48"/>
  <c r="P445" i="48" s="1"/>
  <c r="L445" i="48"/>
  <c r="J445" i="48"/>
  <c r="I445" i="48"/>
  <c r="H445" i="48"/>
  <c r="G445" i="48"/>
  <c r="M444" i="48"/>
  <c r="P444" i="48" s="1"/>
  <c r="L444" i="48"/>
  <c r="J444" i="48"/>
  <c r="I444" i="48"/>
  <c r="H444" i="48"/>
  <c r="G444" i="48"/>
  <c r="M443" i="48"/>
  <c r="P443" i="48" s="1"/>
  <c r="L443" i="48"/>
  <c r="J443" i="48"/>
  <c r="I443" i="48"/>
  <c r="H443" i="48"/>
  <c r="G443" i="48"/>
  <c r="M442" i="48"/>
  <c r="P442" i="48" s="1"/>
  <c r="L442" i="48"/>
  <c r="J442" i="48"/>
  <c r="I442" i="48"/>
  <c r="H442" i="48"/>
  <c r="G442" i="48"/>
  <c r="M441" i="48"/>
  <c r="P441" i="48" s="1"/>
  <c r="L441" i="48"/>
  <c r="J441" i="48"/>
  <c r="I441" i="48"/>
  <c r="H441" i="48"/>
  <c r="G441" i="48"/>
  <c r="M440" i="48"/>
  <c r="P440" i="48" s="1"/>
  <c r="L440" i="48"/>
  <c r="J440" i="48"/>
  <c r="I440" i="48"/>
  <c r="H440" i="48"/>
  <c r="G440" i="48"/>
  <c r="M439" i="48"/>
  <c r="P439" i="48" s="1"/>
  <c r="L439" i="48"/>
  <c r="J439" i="48"/>
  <c r="I439" i="48"/>
  <c r="H439" i="48"/>
  <c r="G439" i="48"/>
  <c r="M438" i="48"/>
  <c r="P438" i="48" s="1"/>
  <c r="L438" i="48"/>
  <c r="J438" i="48"/>
  <c r="I438" i="48"/>
  <c r="H438" i="48"/>
  <c r="G438" i="48"/>
  <c r="M437" i="48"/>
  <c r="P437" i="48" s="1"/>
  <c r="L437" i="48"/>
  <c r="J437" i="48"/>
  <c r="I437" i="48"/>
  <c r="H437" i="48"/>
  <c r="G437" i="48"/>
  <c r="M436" i="48"/>
  <c r="P436" i="48" s="1"/>
  <c r="L436" i="48"/>
  <c r="J436" i="48"/>
  <c r="I436" i="48"/>
  <c r="H436" i="48"/>
  <c r="G436" i="48"/>
  <c r="M435" i="48"/>
  <c r="P435" i="48" s="1"/>
  <c r="L435" i="48"/>
  <c r="J435" i="48"/>
  <c r="I435" i="48"/>
  <c r="H435" i="48"/>
  <c r="G435" i="48"/>
  <c r="M434" i="48"/>
  <c r="P434" i="48" s="1"/>
  <c r="L434" i="48"/>
  <c r="J434" i="48"/>
  <c r="I434" i="48"/>
  <c r="H434" i="48"/>
  <c r="G434" i="48"/>
  <c r="M433" i="48"/>
  <c r="P433" i="48" s="1"/>
  <c r="L433" i="48"/>
  <c r="J433" i="48"/>
  <c r="I433" i="48"/>
  <c r="H433" i="48"/>
  <c r="G433" i="48"/>
  <c r="M432" i="48"/>
  <c r="P432" i="48" s="1"/>
  <c r="L432" i="48"/>
  <c r="J432" i="48"/>
  <c r="I432" i="48"/>
  <c r="H432" i="48"/>
  <c r="G432" i="48"/>
  <c r="M431" i="48"/>
  <c r="P431" i="48" s="1"/>
  <c r="L431" i="48"/>
  <c r="J431" i="48"/>
  <c r="I431" i="48"/>
  <c r="H431" i="48"/>
  <c r="G431" i="48"/>
  <c r="M430" i="48"/>
  <c r="P430" i="48" s="1"/>
  <c r="L430" i="48"/>
  <c r="J430" i="48"/>
  <c r="I430" i="48"/>
  <c r="H430" i="48"/>
  <c r="G430" i="48"/>
  <c r="M429" i="48"/>
  <c r="P429" i="48" s="1"/>
  <c r="L429" i="48"/>
  <c r="J429" i="48"/>
  <c r="I429" i="48"/>
  <c r="H429" i="48"/>
  <c r="G429" i="48"/>
  <c r="M428" i="48"/>
  <c r="P428" i="48" s="1"/>
  <c r="L428" i="48"/>
  <c r="J428" i="48"/>
  <c r="I428" i="48"/>
  <c r="H428" i="48"/>
  <c r="G428" i="48"/>
  <c r="M427" i="48"/>
  <c r="P427" i="48" s="1"/>
  <c r="L427" i="48"/>
  <c r="J427" i="48"/>
  <c r="I427" i="48"/>
  <c r="H427" i="48"/>
  <c r="G427" i="48"/>
  <c r="M426" i="48"/>
  <c r="P426" i="48" s="1"/>
  <c r="L426" i="48"/>
  <c r="J426" i="48"/>
  <c r="I426" i="48"/>
  <c r="H426" i="48"/>
  <c r="G426" i="48"/>
  <c r="M425" i="48"/>
  <c r="P425" i="48" s="1"/>
  <c r="L425" i="48"/>
  <c r="J425" i="48"/>
  <c r="I425" i="48"/>
  <c r="H425" i="48"/>
  <c r="G425" i="48"/>
  <c r="M424" i="48"/>
  <c r="P424" i="48" s="1"/>
  <c r="L424" i="48"/>
  <c r="J424" i="48"/>
  <c r="I424" i="48"/>
  <c r="H424" i="48"/>
  <c r="G424" i="48"/>
  <c r="M423" i="48"/>
  <c r="P423" i="48" s="1"/>
  <c r="L423" i="48"/>
  <c r="J423" i="48"/>
  <c r="I423" i="48"/>
  <c r="H423" i="48"/>
  <c r="G423" i="48"/>
  <c r="M422" i="48"/>
  <c r="P422" i="48" s="1"/>
  <c r="L422" i="48"/>
  <c r="J422" i="48"/>
  <c r="I422" i="48"/>
  <c r="H422" i="48"/>
  <c r="G422" i="48"/>
  <c r="M421" i="48"/>
  <c r="P421" i="48" s="1"/>
  <c r="L421" i="48"/>
  <c r="J421" i="48"/>
  <c r="I421" i="48"/>
  <c r="H421" i="48"/>
  <c r="G421" i="48"/>
  <c r="M420" i="48"/>
  <c r="P420" i="48" s="1"/>
  <c r="L420" i="48"/>
  <c r="J420" i="48"/>
  <c r="I420" i="48"/>
  <c r="H420" i="48"/>
  <c r="G420" i="48"/>
  <c r="M419" i="48"/>
  <c r="P419" i="48" s="1"/>
  <c r="L419" i="48"/>
  <c r="J419" i="48"/>
  <c r="I419" i="48"/>
  <c r="H419" i="48"/>
  <c r="G419" i="48"/>
  <c r="M418" i="48"/>
  <c r="P418" i="48" s="1"/>
  <c r="L418" i="48"/>
  <c r="J418" i="48"/>
  <c r="I418" i="48"/>
  <c r="H418" i="48"/>
  <c r="G418" i="48"/>
  <c r="M417" i="48"/>
  <c r="P417" i="48" s="1"/>
  <c r="L417" i="48"/>
  <c r="J417" i="48"/>
  <c r="I417" i="48"/>
  <c r="H417" i="48"/>
  <c r="G417" i="48"/>
  <c r="M416" i="48"/>
  <c r="P416" i="48" s="1"/>
  <c r="L416" i="48"/>
  <c r="J416" i="48"/>
  <c r="I416" i="48"/>
  <c r="H416" i="48"/>
  <c r="G416" i="48"/>
  <c r="M415" i="48"/>
  <c r="P415" i="48" s="1"/>
  <c r="L415" i="48"/>
  <c r="J415" i="48"/>
  <c r="I415" i="48"/>
  <c r="H415" i="48"/>
  <c r="G415" i="48"/>
  <c r="M414" i="48"/>
  <c r="P414" i="48" s="1"/>
  <c r="L414" i="48"/>
  <c r="J414" i="48"/>
  <c r="I414" i="48"/>
  <c r="H414" i="48"/>
  <c r="G414" i="48"/>
  <c r="M413" i="48"/>
  <c r="P413" i="48" s="1"/>
  <c r="L413" i="48"/>
  <c r="J413" i="48"/>
  <c r="I413" i="48"/>
  <c r="H413" i="48"/>
  <c r="G413" i="48"/>
  <c r="M412" i="48"/>
  <c r="P412" i="48" s="1"/>
  <c r="L412" i="48"/>
  <c r="J412" i="48"/>
  <c r="I412" i="48"/>
  <c r="H412" i="48"/>
  <c r="G412" i="48"/>
  <c r="M411" i="48"/>
  <c r="P411" i="48" s="1"/>
  <c r="L411" i="48"/>
  <c r="J411" i="48"/>
  <c r="I411" i="48"/>
  <c r="H411" i="48"/>
  <c r="G411" i="48"/>
  <c r="M410" i="48"/>
  <c r="P410" i="48" s="1"/>
  <c r="L410" i="48"/>
  <c r="J410" i="48"/>
  <c r="I410" i="48"/>
  <c r="H410" i="48"/>
  <c r="G410" i="48"/>
  <c r="M409" i="48"/>
  <c r="P409" i="48" s="1"/>
  <c r="L409" i="48"/>
  <c r="J409" i="48"/>
  <c r="I409" i="48"/>
  <c r="H409" i="48"/>
  <c r="G409" i="48"/>
  <c r="M408" i="48"/>
  <c r="P408" i="48" s="1"/>
  <c r="L408" i="48"/>
  <c r="J408" i="48"/>
  <c r="I408" i="48"/>
  <c r="H408" i="48"/>
  <c r="G408" i="48"/>
  <c r="M407" i="48"/>
  <c r="P407" i="48" s="1"/>
  <c r="L407" i="48"/>
  <c r="J407" i="48"/>
  <c r="I407" i="48"/>
  <c r="H407" i="48"/>
  <c r="G407" i="48"/>
  <c r="M406" i="48"/>
  <c r="P406" i="48" s="1"/>
  <c r="L406" i="48"/>
  <c r="J406" i="48"/>
  <c r="I406" i="48"/>
  <c r="H406" i="48"/>
  <c r="G406" i="48"/>
  <c r="M405" i="48"/>
  <c r="P405" i="48" s="1"/>
  <c r="L405" i="48"/>
  <c r="J405" i="48"/>
  <c r="I405" i="48"/>
  <c r="H405" i="48"/>
  <c r="G405" i="48"/>
  <c r="M404" i="48"/>
  <c r="P404" i="48" s="1"/>
  <c r="L404" i="48"/>
  <c r="J404" i="48"/>
  <c r="I404" i="48"/>
  <c r="H404" i="48"/>
  <c r="G404" i="48"/>
  <c r="M403" i="48"/>
  <c r="P403" i="48" s="1"/>
  <c r="L403" i="48"/>
  <c r="J403" i="48"/>
  <c r="I403" i="48"/>
  <c r="H403" i="48"/>
  <c r="G403" i="48"/>
  <c r="M402" i="48"/>
  <c r="P402" i="48" s="1"/>
  <c r="L402" i="48"/>
  <c r="J402" i="48"/>
  <c r="I402" i="48"/>
  <c r="H402" i="48"/>
  <c r="G402" i="48"/>
  <c r="M401" i="48"/>
  <c r="P401" i="48" s="1"/>
  <c r="L401" i="48"/>
  <c r="J401" i="48"/>
  <c r="I401" i="48"/>
  <c r="H401" i="48"/>
  <c r="G401" i="48"/>
  <c r="M400" i="48"/>
  <c r="P400" i="48" s="1"/>
  <c r="L400" i="48"/>
  <c r="J400" i="48"/>
  <c r="I400" i="48"/>
  <c r="H400" i="48"/>
  <c r="G400" i="48"/>
  <c r="M399" i="48"/>
  <c r="P399" i="48" s="1"/>
  <c r="L399" i="48"/>
  <c r="J399" i="48"/>
  <c r="I399" i="48"/>
  <c r="H399" i="48"/>
  <c r="G399" i="48"/>
  <c r="M398" i="48"/>
  <c r="P398" i="48" s="1"/>
  <c r="L398" i="48"/>
  <c r="J398" i="48"/>
  <c r="I398" i="48"/>
  <c r="H398" i="48"/>
  <c r="G398" i="48"/>
  <c r="M397" i="48"/>
  <c r="P397" i="48" s="1"/>
  <c r="L397" i="48"/>
  <c r="J397" i="48"/>
  <c r="I397" i="48"/>
  <c r="H397" i="48"/>
  <c r="G397" i="48"/>
  <c r="M396" i="48"/>
  <c r="P396" i="48" s="1"/>
  <c r="L396" i="48"/>
  <c r="J396" i="48"/>
  <c r="I396" i="48"/>
  <c r="H396" i="48"/>
  <c r="G396" i="48"/>
  <c r="M395" i="48"/>
  <c r="P395" i="48" s="1"/>
  <c r="L395" i="48"/>
  <c r="J395" i="48"/>
  <c r="I395" i="48"/>
  <c r="H395" i="48"/>
  <c r="G395" i="48"/>
  <c r="M394" i="48"/>
  <c r="P394" i="48" s="1"/>
  <c r="L394" i="48"/>
  <c r="J394" i="48"/>
  <c r="I394" i="48"/>
  <c r="H394" i="48"/>
  <c r="G394" i="48"/>
  <c r="M393" i="48"/>
  <c r="P393" i="48" s="1"/>
  <c r="L393" i="48"/>
  <c r="J393" i="48"/>
  <c r="I393" i="48"/>
  <c r="H393" i="48"/>
  <c r="G393" i="48"/>
  <c r="M392" i="48"/>
  <c r="P392" i="48" s="1"/>
  <c r="L392" i="48"/>
  <c r="J392" i="48"/>
  <c r="I392" i="48"/>
  <c r="H392" i="48"/>
  <c r="G392" i="48"/>
  <c r="M391" i="48"/>
  <c r="P391" i="48" s="1"/>
  <c r="L391" i="48"/>
  <c r="J391" i="48"/>
  <c r="I391" i="48"/>
  <c r="H391" i="48"/>
  <c r="G391" i="48"/>
  <c r="M390" i="48"/>
  <c r="P390" i="48" s="1"/>
  <c r="L390" i="48"/>
  <c r="J390" i="48"/>
  <c r="I390" i="48"/>
  <c r="H390" i="48"/>
  <c r="G390" i="48"/>
  <c r="M389" i="48"/>
  <c r="P389" i="48" s="1"/>
  <c r="L389" i="48"/>
  <c r="J389" i="48"/>
  <c r="I389" i="48"/>
  <c r="H389" i="48"/>
  <c r="G389" i="48"/>
  <c r="M388" i="48"/>
  <c r="P388" i="48" s="1"/>
  <c r="L388" i="48"/>
  <c r="J388" i="48"/>
  <c r="I388" i="48"/>
  <c r="H388" i="48"/>
  <c r="G388" i="48"/>
  <c r="M387" i="48"/>
  <c r="P387" i="48" s="1"/>
  <c r="L387" i="48"/>
  <c r="J387" i="48"/>
  <c r="I387" i="48"/>
  <c r="H387" i="48"/>
  <c r="G387" i="48"/>
  <c r="M386" i="48"/>
  <c r="P386" i="48" s="1"/>
  <c r="L386" i="48"/>
  <c r="J386" i="48"/>
  <c r="I386" i="48"/>
  <c r="H386" i="48"/>
  <c r="G386" i="48"/>
  <c r="M385" i="48"/>
  <c r="P385" i="48" s="1"/>
  <c r="L385" i="48"/>
  <c r="J385" i="48"/>
  <c r="I385" i="48"/>
  <c r="H385" i="48"/>
  <c r="G385" i="48"/>
  <c r="M384" i="48"/>
  <c r="P384" i="48" s="1"/>
  <c r="L384" i="48"/>
  <c r="J384" i="48"/>
  <c r="I384" i="48"/>
  <c r="H384" i="48"/>
  <c r="G384" i="48"/>
  <c r="M383" i="48"/>
  <c r="P383" i="48" s="1"/>
  <c r="L383" i="48"/>
  <c r="J383" i="48"/>
  <c r="I383" i="48"/>
  <c r="H383" i="48"/>
  <c r="G383" i="48"/>
  <c r="M382" i="48"/>
  <c r="P382" i="48" s="1"/>
  <c r="L382" i="48"/>
  <c r="J382" i="48"/>
  <c r="I382" i="48"/>
  <c r="H382" i="48"/>
  <c r="G382" i="48"/>
  <c r="M381" i="48"/>
  <c r="P381" i="48" s="1"/>
  <c r="L381" i="48"/>
  <c r="J381" i="48"/>
  <c r="I381" i="48"/>
  <c r="H381" i="48"/>
  <c r="G381" i="48"/>
  <c r="M380" i="48"/>
  <c r="P380" i="48" s="1"/>
  <c r="L380" i="48"/>
  <c r="J380" i="48"/>
  <c r="I380" i="48"/>
  <c r="H380" i="48"/>
  <c r="G380" i="48"/>
  <c r="M379" i="48"/>
  <c r="P379" i="48" s="1"/>
  <c r="L379" i="48"/>
  <c r="J379" i="48"/>
  <c r="I379" i="48"/>
  <c r="H379" i="48"/>
  <c r="G379" i="48"/>
  <c r="M378" i="48"/>
  <c r="P378" i="48" s="1"/>
  <c r="L378" i="48"/>
  <c r="J378" i="48"/>
  <c r="I378" i="48"/>
  <c r="H378" i="48"/>
  <c r="G378" i="48"/>
  <c r="M377" i="48"/>
  <c r="P377" i="48" s="1"/>
  <c r="L377" i="48"/>
  <c r="J377" i="48"/>
  <c r="I377" i="48"/>
  <c r="H377" i="48"/>
  <c r="G377" i="48"/>
  <c r="M376" i="48"/>
  <c r="P376" i="48" s="1"/>
  <c r="L376" i="48"/>
  <c r="J376" i="48"/>
  <c r="I376" i="48"/>
  <c r="H376" i="48"/>
  <c r="G376" i="48"/>
  <c r="M375" i="48"/>
  <c r="P375" i="48" s="1"/>
  <c r="L375" i="48"/>
  <c r="J375" i="48"/>
  <c r="I375" i="48"/>
  <c r="H375" i="48"/>
  <c r="G375" i="48"/>
  <c r="M374" i="48"/>
  <c r="P374" i="48" s="1"/>
  <c r="L374" i="48"/>
  <c r="J374" i="48"/>
  <c r="I374" i="48"/>
  <c r="H374" i="48"/>
  <c r="G374" i="48"/>
  <c r="M373" i="48"/>
  <c r="P373" i="48" s="1"/>
  <c r="L373" i="48"/>
  <c r="J373" i="48"/>
  <c r="I373" i="48"/>
  <c r="H373" i="48"/>
  <c r="G373" i="48"/>
  <c r="M372" i="48"/>
  <c r="P372" i="48" s="1"/>
  <c r="L372" i="48"/>
  <c r="J372" i="48"/>
  <c r="I372" i="48"/>
  <c r="H372" i="48"/>
  <c r="G372" i="48"/>
  <c r="M371" i="48"/>
  <c r="P371" i="48" s="1"/>
  <c r="L371" i="48"/>
  <c r="J371" i="48"/>
  <c r="I371" i="48"/>
  <c r="H371" i="48"/>
  <c r="G371" i="48"/>
  <c r="M370" i="48"/>
  <c r="P370" i="48" s="1"/>
  <c r="L370" i="48"/>
  <c r="J370" i="48"/>
  <c r="I370" i="48"/>
  <c r="H370" i="48"/>
  <c r="G370" i="48"/>
  <c r="M369" i="48"/>
  <c r="P369" i="48" s="1"/>
  <c r="L369" i="48"/>
  <c r="J369" i="48"/>
  <c r="I369" i="48"/>
  <c r="H369" i="48"/>
  <c r="G369" i="48"/>
  <c r="M368" i="48"/>
  <c r="P368" i="48" s="1"/>
  <c r="L368" i="48"/>
  <c r="J368" i="48"/>
  <c r="I368" i="48"/>
  <c r="H368" i="48"/>
  <c r="G368" i="48"/>
  <c r="M367" i="48"/>
  <c r="P367" i="48" s="1"/>
  <c r="L367" i="48"/>
  <c r="J367" i="48"/>
  <c r="I367" i="48"/>
  <c r="H367" i="48"/>
  <c r="G367" i="48"/>
  <c r="M366" i="48"/>
  <c r="P366" i="48" s="1"/>
  <c r="L366" i="48"/>
  <c r="J366" i="48"/>
  <c r="I366" i="48"/>
  <c r="H366" i="48"/>
  <c r="G366" i="48"/>
  <c r="M365" i="48"/>
  <c r="P365" i="48" s="1"/>
  <c r="L365" i="48"/>
  <c r="J365" i="48"/>
  <c r="I365" i="48"/>
  <c r="H365" i="48"/>
  <c r="G365" i="48"/>
  <c r="M364" i="48"/>
  <c r="P364" i="48" s="1"/>
  <c r="L364" i="48"/>
  <c r="J364" i="48"/>
  <c r="I364" i="48"/>
  <c r="H364" i="48"/>
  <c r="G364" i="48"/>
  <c r="M363" i="48"/>
  <c r="P363" i="48" s="1"/>
  <c r="L363" i="48"/>
  <c r="J363" i="48"/>
  <c r="I363" i="48"/>
  <c r="H363" i="48"/>
  <c r="G363" i="48"/>
  <c r="M362" i="48"/>
  <c r="P362" i="48" s="1"/>
  <c r="L362" i="48"/>
  <c r="J362" i="48"/>
  <c r="I362" i="48"/>
  <c r="H362" i="48"/>
  <c r="G362" i="48"/>
  <c r="M361" i="48"/>
  <c r="P361" i="48" s="1"/>
  <c r="L361" i="48"/>
  <c r="J361" i="48"/>
  <c r="I361" i="48"/>
  <c r="H361" i="48"/>
  <c r="G361" i="48"/>
  <c r="M360" i="48"/>
  <c r="P360" i="48" s="1"/>
  <c r="L360" i="48"/>
  <c r="J360" i="48"/>
  <c r="I360" i="48"/>
  <c r="H360" i="48"/>
  <c r="G360" i="48"/>
  <c r="M359" i="48"/>
  <c r="P359" i="48" s="1"/>
  <c r="L359" i="48"/>
  <c r="J359" i="48"/>
  <c r="I359" i="48"/>
  <c r="H359" i="48"/>
  <c r="G359" i="48"/>
  <c r="M358" i="48"/>
  <c r="P358" i="48" s="1"/>
  <c r="L358" i="48"/>
  <c r="J358" i="48"/>
  <c r="I358" i="48"/>
  <c r="H358" i="48"/>
  <c r="G358" i="48"/>
  <c r="M357" i="48"/>
  <c r="P357" i="48" s="1"/>
  <c r="L357" i="48"/>
  <c r="J357" i="48"/>
  <c r="I357" i="48"/>
  <c r="H357" i="48"/>
  <c r="G357" i="48"/>
  <c r="M356" i="48"/>
  <c r="P356" i="48" s="1"/>
  <c r="L356" i="48"/>
  <c r="J356" i="48"/>
  <c r="I356" i="48"/>
  <c r="H356" i="48"/>
  <c r="G356" i="48"/>
  <c r="M355" i="48"/>
  <c r="P355" i="48" s="1"/>
  <c r="L355" i="48"/>
  <c r="J355" i="48"/>
  <c r="I355" i="48"/>
  <c r="H355" i="48"/>
  <c r="G355" i="48"/>
  <c r="M354" i="48"/>
  <c r="P354" i="48" s="1"/>
  <c r="L354" i="48"/>
  <c r="J354" i="48"/>
  <c r="I354" i="48"/>
  <c r="H354" i="48"/>
  <c r="G354" i="48"/>
  <c r="M353" i="48"/>
  <c r="P353" i="48" s="1"/>
  <c r="L353" i="48"/>
  <c r="J353" i="48"/>
  <c r="I353" i="48"/>
  <c r="H353" i="48"/>
  <c r="G353" i="48"/>
  <c r="M352" i="48"/>
  <c r="P352" i="48" s="1"/>
  <c r="L352" i="48"/>
  <c r="J352" i="48"/>
  <c r="I352" i="48"/>
  <c r="H352" i="48"/>
  <c r="G352" i="48"/>
  <c r="M351" i="48"/>
  <c r="P351" i="48" s="1"/>
  <c r="L351" i="48"/>
  <c r="J351" i="48"/>
  <c r="I351" i="48"/>
  <c r="H351" i="48"/>
  <c r="G351" i="48"/>
  <c r="M350" i="48"/>
  <c r="P350" i="48" s="1"/>
  <c r="L350" i="48"/>
  <c r="J350" i="48"/>
  <c r="I350" i="48"/>
  <c r="H350" i="48"/>
  <c r="G350" i="48"/>
  <c r="M349" i="48"/>
  <c r="P349" i="48" s="1"/>
  <c r="L349" i="48"/>
  <c r="J349" i="48"/>
  <c r="I349" i="48"/>
  <c r="H349" i="48"/>
  <c r="G349" i="48"/>
  <c r="M348" i="48"/>
  <c r="P348" i="48" s="1"/>
  <c r="L348" i="48"/>
  <c r="J348" i="48"/>
  <c r="I348" i="48"/>
  <c r="H348" i="48"/>
  <c r="G348" i="48"/>
  <c r="M347" i="48"/>
  <c r="P347" i="48" s="1"/>
  <c r="L347" i="48"/>
  <c r="J347" i="48"/>
  <c r="I347" i="48"/>
  <c r="H347" i="48"/>
  <c r="G347" i="48"/>
  <c r="M346" i="48"/>
  <c r="P346" i="48" s="1"/>
  <c r="L346" i="48"/>
  <c r="J346" i="48"/>
  <c r="I346" i="48"/>
  <c r="H346" i="48"/>
  <c r="G346" i="48"/>
  <c r="M345" i="48"/>
  <c r="P345" i="48" s="1"/>
  <c r="L345" i="48"/>
  <c r="J345" i="48"/>
  <c r="I345" i="48"/>
  <c r="H345" i="48"/>
  <c r="G345" i="48"/>
  <c r="M344" i="48"/>
  <c r="P344" i="48" s="1"/>
  <c r="L344" i="48"/>
  <c r="J344" i="48"/>
  <c r="I344" i="48"/>
  <c r="H344" i="48"/>
  <c r="G344" i="48"/>
  <c r="M343" i="48"/>
  <c r="P343" i="48" s="1"/>
  <c r="L343" i="48"/>
  <c r="J343" i="48"/>
  <c r="I343" i="48"/>
  <c r="H343" i="48"/>
  <c r="G343" i="48"/>
  <c r="M342" i="48"/>
  <c r="P342" i="48" s="1"/>
  <c r="L342" i="48"/>
  <c r="J342" i="48"/>
  <c r="I342" i="48"/>
  <c r="H342" i="48"/>
  <c r="G342" i="48"/>
  <c r="M341" i="48"/>
  <c r="P341" i="48" s="1"/>
  <c r="L341" i="48"/>
  <c r="J341" i="48"/>
  <c r="I341" i="48"/>
  <c r="H341" i="48"/>
  <c r="G341" i="48"/>
  <c r="M340" i="48"/>
  <c r="P340" i="48" s="1"/>
  <c r="L340" i="48"/>
  <c r="J340" i="48"/>
  <c r="I340" i="48"/>
  <c r="H340" i="48"/>
  <c r="G340" i="48"/>
  <c r="M339" i="48"/>
  <c r="P339" i="48" s="1"/>
  <c r="L339" i="48"/>
  <c r="J339" i="48"/>
  <c r="I339" i="48"/>
  <c r="H339" i="48"/>
  <c r="G339" i="48"/>
  <c r="M338" i="48"/>
  <c r="P338" i="48" s="1"/>
  <c r="L338" i="48"/>
  <c r="J338" i="48"/>
  <c r="I338" i="48"/>
  <c r="H338" i="48"/>
  <c r="G338" i="48"/>
  <c r="M337" i="48"/>
  <c r="P337" i="48" s="1"/>
  <c r="L337" i="48"/>
  <c r="J337" i="48"/>
  <c r="I337" i="48"/>
  <c r="H337" i="48"/>
  <c r="G337" i="48"/>
  <c r="M336" i="48"/>
  <c r="P336" i="48" s="1"/>
  <c r="L336" i="48"/>
  <c r="J336" i="48"/>
  <c r="I336" i="48"/>
  <c r="H336" i="48"/>
  <c r="G336" i="48"/>
  <c r="M335" i="48"/>
  <c r="P335" i="48" s="1"/>
  <c r="L335" i="48"/>
  <c r="J335" i="48"/>
  <c r="I335" i="48"/>
  <c r="H335" i="48"/>
  <c r="G335" i="48"/>
  <c r="M334" i="48"/>
  <c r="P334" i="48" s="1"/>
  <c r="L334" i="48"/>
  <c r="J334" i="48"/>
  <c r="I334" i="48"/>
  <c r="H334" i="48"/>
  <c r="G334" i="48"/>
  <c r="M333" i="48"/>
  <c r="P333" i="48" s="1"/>
  <c r="L333" i="48"/>
  <c r="J333" i="48"/>
  <c r="I333" i="48"/>
  <c r="H333" i="48"/>
  <c r="G333" i="48"/>
  <c r="M332" i="48"/>
  <c r="P332" i="48" s="1"/>
  <c r="L332" i="48"/>
  <c r="J332" i="48"/>
  <c r="I332" i="48"/>
  <c r="H332" i="48"/>
  <c r="G332" i="48"/>
  <c r="M331" i="48"/>
  <c r="P331" i="48" s="1"/>
  <c r="L331" i="48"/>
  <c r="J331" i="48"/>
  <c r="I331" i="48"/>
  <c r="H331" i="48"/>
  <c r="G331" i="48"/>
  <c r="M330" i="48"/>
  <c r="P330" i="48" s="1"/>
  <c r="L330" i="48"/>
  <c r="J330" i="48"/>
  <c r="I330" i="48"/>
  <c r="H330" i="48"/>
  <c r="G330" i="48"/>
  <c r="M329" i="48"/>
  <c r="P329" i="48" s="1"/>
  <c r="L329" i="48"/>
  <c r="J329" i="48"/>
  <c r="I329" i="48"/>
  <c r="H329" i="48"/>
  <c r="G329" i="48"/>
  <c r="M328" i="48"/>
  <c r="P328" i="48" s="1"/>
  <c r="L328" i="48"/>
  <c r="J328" i="48"/>
  <c r="I328" i="48"/>
  <c r="H328" i="48"/>
  <c r="G328" i="48"/>
  <c r="M327" i="48"/>
  <c r="P327" i="48" s="1"/>
  <c r="L327" i="48"/>
  <c r="J327" i="48"/>
  <c r="I327" i="48"/>
  <c r="H327" i="48"/>
  <c r="G327" i="48"/>
  <c r="M326" i="48"/>
  <c r="P326" i="48" s="1"/>
  <c r="L326" i="48"/>
  <c r="J326" i="48"/>
  <c r="I326" i="48"/>
  <c r="H326" i="48"/>
  <c r="G326" i="48"/>
  <c r="M325" i="48"/>
  <c r="P325" i="48" s="1"/>
  <c r="L325" i="48"/>
  <c r="J325" i="48"/>
  <c r="I325" i="48"/>
  <c r="H325" i="48"/>
  <c r="G325" i="48"/>
  <c r="M324" i="48"/>
  <c r="P324" i="48" s="1"/>
  <c r="L324" i="48"/>
  <c r="J324" i="48"/>
  <c r="I324" i="48"/>
  <c r="H324" i="48"/>
  <c r="G324" i="48"/>
  <c r="M323" i="48"/>
  <c r="P323" i="48" s="1"/>
  <c r="L323" i="48"/>
  <c r="J323" i="48"/>
  <c r="I323" i="48"/>
  <c r="H323" i="48"/>
  <c r="G323" i="48"/>
  <c r="M322" i="48"/>
  <c r="P322" i="48" s="1"/>
  <c r="L322" i="48"/>
  <c r="J322" i="48"/>
  <c r="I322" i="48"/>
  <c r="H322" i="48"/>
  <c r="G322" i="48"/>
  <c r="M321" i="48"/>
  <c r="P321" i="48" s="1"/>
  <c r="L321" i="48"/>
  <c r="J321" i="48"/>
  <c r="I321" i="48"/>
  <c r="H321" i="48"/>
  <c r="G321" i="48"/>
  <c r="M320" i="48"/>
  <c r="P320" i="48" s="1"/>
  <c r="L320" i="48"/>
  <c r="J320" i="48"/>
  <c r="I320" i="48"/>
  <c r="H320" i="48"/>
  <c r="G320" i="48"/>
  <c r="M319" i="48"/>
  <c r="P319" i="48" s="1"/>
  <c r="L319" i="48"/>
  <c r="J319" i="48"/>
  <c r="I319" i="48"/>
  <c r="H319" i="48"/>
  <c r="G319" i="48"/>
  <c r="M318" i="48"/>
  <c r="P318" i="48" s="1"/>
  <c r="L318" i="48"/>
  <c r="J318" i="48"/>
  <c r="I318" i="48"/>
  <c r="H318" i="48"/>
  <c r="G318" i="48"/>
  <c r="M317" i="48"/>
  <c r="P317" i="48" s="1"/>
  <c r="L317" i="48"/>
  <c r="J317" i="48"/>
  <c r="I317" i="48"/>
  <c r="H317" i="48"/>
  <c r="G317" i="48"/>
  <c r="M316" i="48"/>
  <c r="P316" i="48" s="1"/>
  <c r="L316" i="48"/>
  <c r="J316" i="48"/>
  <c r="I316" i="48"/>
  <c r="H316" i="48"/>
  <c r="G316" i="48"/>
  <c r="M315" i="48"/>
  <c r="P315" i="48" s="1"/>
  <c r="L315" i="48"/>
  <c r="J315" i="48"/>
  <c r="I315" i="48"/>
  <c r="H315" i="48"/>
  <c r="G315" i="48"/>
  <c r="M314" i="48"/>
  <c r="P314" i="48" s="1"/>
  <c r="L314" i="48"/>
  <c r="J314" i="48"/>
  <c r="I314" i="48"/>
  <c r="H314" i="48"/>
  <c r="G314" i="48"/>
  <c r="M313" i="48"/>
  <c r="P313" i="48" s="1"/>
  <c r="L313" i="48"/>
  <c r="J313" i="48"/>
  <c r="I313" i="48"/>
  <c r="H313" i="48"/>
  <c r="G313" i="48"/>
  <c r="M312" i="48"/>
  <c r="P312" i="48" s="1"/>
  <c r="L312" i="48"/>
  <c r="J312" i="48"/>
  <c r="I312" i="48"/>
  <c r="H312" i="48"/>
  <c r="G312" i="48"/>
  <c r="M311" i="48"/>
  <c r="P311" i="48" s="1"/>
  <c r="L311" i="48"/>
  <c r="J311" i="48"/>
  <c r="I311" i="48"/>
  <c r="H311" i="48"/>
  <c r="G311" i="48"/>
  <c r="M310" i="48"/>
  <c r="P310" i="48" s="1"/>
  <c r="L310" i="48"/>
  <c r="J310" i="48"/>
  <c r="I310" i="48"/>
  <c r="H310" i="48"/>
  <c r="G310" i="48"/>
  <c r="M309" i="48"/>
  <c r="P309" i="48" s="1"/>
  <c r="L309" i="48"/>
  <c r="J309" i="48"/>
  <c r="I309" i="48"/>
  <c r="H309" i="48"/>
  <c r="G309" i="48"/>
  <c r="M308" i="48"/>
  <c r="P308" i="48" s="1"/>
  <c r="L308" i="48"/>
  <c r="J308" i="48"/>
  <c r="I308" i="48"/>
  <c r="H308" i="48"/>
  <c r="G308" i="48"/>
  <c r="M307" i="48"/>
  <c r="P307" i="48" s="1"/>
  <c r="L307" i="48"/>
  <c r="J307" i="48"/>
  <c r="I307" i="48"/>
  <c r="H307" i="48"/>
  <c r="G307" i="48"/>
  <c r="M306" i="48"/>
  <c r="P306" i="48" s="1"/>
  <c r="L306" i="48"/>
  <c r="J306" i="48"/>
  <c r="I306" i="48"/>
  <c r="H306" i="48"/>
  <c r="G306" i="48"/>
  <c r="M305" i="48"/>
  <c r="P305" i="48" s="1"/>
  <c r="L305" i="48"/>
  <c r="J305" i="48"/>
  <c r="I305" i="48"/>
  <c r="H305" i="48"/>
  <c r="G305" i="48"/>
  <c r="M304" i="48"/>
  <c r="P304" i="48" s="1"/>
  <c r="L304" i="48"/>
  <c r="J304" i="48"/>
  <c r="I304" i="48"/>
  <c r="H304" i="48"/>
  <c r="G304" i="48"/>
  <c r="M303" i="48"/>
  <c r="P303" i="48" s="1"/>
  <c r="L303" i="48"/>
  <c r="J303" i="48"/>
  <c r="I303" i="48"/>
  <c r="H303" i="48"/>
  <c r="G303" i="48"/>
  <c r="M302" i="48"/>
  <c r="P302" i="48" s="1"/>
  <c r="L302" i="48"/>
  <c r="J302" i="48"/>
  <c r="I302" i="48"/>
  <c r="H302" i="48"/>
  <c r="G302" i="48"/>
  <c r="M301" i="48"/>
  <c r="P301" i="48" s="1"/>
  <c r="L301" i="48"/>
  <c r="J301" i="48"/>
  <c r="I301" i="48"/>
  <c r="H301" i="48"/>
  <c r="G301" i="48"/>
  <c r="M300" i="48"/>
  <c r="P300" i="48" s="1"/>
  <c r="L300" i="48"/>
  <c r="J300" i="48"/>
  <c r="I300" i="48"/>
  <c r="H300" i="48"/>
  <c r="G300" i="48"/>
  <c r="M299" i="48"/>
  <c r="P299" i="48" s="1"/>
  <c r="L299" i="48"/>
  <c r="J299" i="48"/>
  <c r="I299" i="48"/>
  <c r="H299" i="48"/>
  <c r="G299" i="48"/>
  <c r="M298" i="48"/>
  <c r="P298" i="48" s="1"/>
  <c r="L298" i="48"/>
  <c r="J298" i="48"/>
  <c r="I298" i="48"/>
  <c r="H298" i="48"/>
  <c r="G298" i="48"/>
  <c r="M297" i="48"/>
  <c r="P297" i="48" s="1"/>
  <c r="L297" i="48"/>
  <c r="J297" i="48"/>
  <c r="I297" i="48"/>
  <c r="H297" i="48"/>
  <c r="G297" i="48"/>
  <c r="M296" i="48"/>
  <c r="P296" i="48" s="1"/>
  <c r="L296" i="48"/>
  <c r="J296" i="48"/>
  <c r="I296" i="48"/>
  <c r="H296" i="48"/>
  <c r="G296" i="48"/>
  <c r="M295" i="48"/>
  <c r="P295" i="48" s="1"/>
  <c r="L295" i="48"/>
  <c r="J295" i="48"/>
  <c r="I295" i="48"/>
  <c r="H295" i="48"/>
  <c r="G295" i="48"/>
  <c r="M294" i="48"/>
  <c r="P294" i="48" s="1"/>
  <c r="L294" i="48"/>
  <c r="J294" i="48"/>
  <c r="I294" i="48"/>
  <c r="H294" i="48"/>
  <c r="G294" i="48"/>
  <c r="M293" i="48"/>
  <c r="P293" i="48" s="1"/>
  <c r="L293" i="48"/>
  <c r="J293" i="48"/>
  <c r="I293" i="48"/>
  <c r="H293" i="48"/>
  <c r="G293" i="48"/>
  <c r="M292" i="48"/>
  <c r="P292" i="48" s="1"/>
  <c r="L292" i="48"/>
  <c r="J292" i="48"/>
  <c r="I292" i="48"/>
  <c r="H292" i="48"/>
  <c r="G292" i="48"/>
  <c r="M291" i="48"/>
  <c r="P291" i="48" s="1"/>
  <c r="L291" i="48"/>
  <c r="J291" i="48"/>
  <c r="I291" i="48"/>
  <c r="H291" i="48"/>
  <c r="G291" i="48"/>
  <c r="M290" i="48"/>
  <c r="P290" i="48" s="1"/>
  <c r="L290" i="48"/>
  <c r="J290" i="48"/>
  <c r="I290" i="48"/>
  <c r="H290" i="48"/>
  <c r="G290" i="48"/>
  <c r="M289" i="48"/>
  <c r="P289" i="48" s="1"/>
  <c r="L289" i="48"/>
  <c r="J289" i="48"/>
  <c r="I289" i="48"/>
  <c r="H289" i="48"/>
  <c r="G289" i="48"/>
  <c r="M288" i="48"/>
  <c r="P288" i="48" s="1"/>
  <c r="L288" i="48"/>
  <c r="J288" i="48"/>
  <c r="I288" i="48"/>
  <c r="H288" i="48"/>
  <c r="G288" i="48"/>
  <c r="M287" i="48"/>
  <c r="P287" i="48" s="1"/>
  <c r="L287" i="48"/>
  <c r="J287" i="48"/>
  <c r="I287" i="48"/>
  <c r="H287" i="48"/>
  <c r="G287" i="48"/>
  <c r="M286" i="48"/>
  <c r="P286" i="48" s="1"/>
  <c r="L286" i="48"/>
  <c r="J286" i="48"/>
  <c r="I286" i="48"/>
  <c r="H286" i="48"/>
  <c r="G286" i="48"/>
  <c r="M285" i="48"/>
  <c r="P285" i="48" s="1"/>
  <c r="L285" i="48"/>
  <c r="J285" i="48"/>
  <c r="I285" i="48"/>
  <c r="H285" i="48"/>
  <c r="G285" i="48"/>
  <c r="M284" i="48"/>
  <c r="P284" i="48" s="1"/>
  <c r="L284" i="48"/>
  <c r="J284" i="48"/>
  <c r="I284" i="48"/>
  <c r="H284" i="48"/>
  <c r="G284" i="48"/>
  <c r="M283" i="48"/>
  <c r="P283" i="48" s="1"/>
  <c r="L283" i="48"/>
  <c r="J283" i="48"/>
  <c r="I283" i="48"/>
  <c r="H283" i="48"/>
  <c r="G283" i="48"/>
  <c r="M282" i="48"/>
  <c r="P282" i="48" s="1"/>
  <c r="L282" i="48"/>
  <c r="J282" i="48"/>
  <c r="I282" i="48"/>
  <c r="H282" i="48"/>
  <c r="G282" i="48"/>
  <c r="M281" i="48"/>
  <c r="P281" i="48" s="1"/>
  <c r="L281" i="48"/>
  <c r="J281" i="48"/>
  <c r="I281" i="48"/>
  <c r="H281" i="48"/>
  <c r="G281" i="48"/>
  <c r="M280" i="48"/>
  <c r="P280" i="48" s="1"/>
  <c r="L280" i="48"/>
  <c r="J280" i="48"/>
  <c r="I280" i="48"/>
  <c r="H280" i="48"/>
  <c r="G280" i="48"/>
  <c r="M279" i="48"/>
  <c r="P279" i="48" s="1"/>
  <c r="L279" i="48"/>
  <c r="J279" i="48"/>
  <c r="I279" i="48"/>
  <c r="H279" i="48"/>
  <c r="G279" i="48"/>
  <c r="M278" i="48"/>
  <c r="P278" i="48" s="1"/>
  <c r="L278" i="48"/>
  <c r="J278" i="48"/>
  <c r="I278" i="48"/>
  <c r="H278" i="48"/>
  <c r="G278" i="48"/>
  <c r="M277" i="48"/>
  <c r="P277" i="48" s="1"/>
  <c r="L277" i="48"/>
  <c r="J277" i="48"/>
  <c r="I277" i="48"/>
  <c r="H277" i="48"/>
  <c r="G277" i="48"/>
  <c r="M276" i="48"/>
  <c r="P276" i="48" s="1"/>
  <c r="L276" i="48"/>
  <c r="J276" i="48"/>
  <c r="I276" i="48"/>
  <c r="H276" i="48"/>
  <c r="G276" i="48"/>
  <c r="M275" i="48"/>
  <c r="P275" i="48" s="1"/>
  <c r="L275" i="48"/>
  <c r="J275" i="48"/>
  <c r="I275" i="48"/>
  <c r="H275" i="48"/>
  <c r="G275" i="48"/>
  <c r="M274" i="48"/>
  <c r="P274" i="48" s="1"/>
  <c r="L274" i="48"/>
  <c r="J274" i="48"/>
  <c r="I274" i="48"/>
  <c r="H274" i="48"/>
  <c r="G274" i="48"/>
  <c r="M273" i="48"/>
  <c r="P273" i="48" s="1"/>
  <c r="L273" i="48"/>
  <c r="J273" i="48"/>
  <c r="I273" i="48"/>
  <c r="H273" i="48"/>
  <c r="G273" i="48"/>
  <c r="M272" i="48"/>
  <c r="P272" i="48" s="1"/>
  <c r="L272" i="48"/>
  <c r="J272" i="48"/>
  <c r="I272" i="48"/>
  <c r="H272" i="48"/>
  <c r="G272" i="48"/>
  <c r="M271" i="48"/>
  <c r="P271" i="48" s="1"/>
  <c r="L271" i="48"/>
  <c r="J271" i="48"/>
  <c r="I271" i="48"/>
  <c r="H271" i="48"/>
  <c r="G271" i="48"/>
  <c r="M270" i="48"/>
  <c r="P270" i="48" s="1"/>
  <c r="L270" i="48"/>
  <c r="J270" i="48"/>
  <c r="I270" i="48"/>
  <c r="H270" i="48"/>
  <c r="G270" i="48"/>
  <c r="M269" i="48"/>
  <c r="P269" i="48" s="1"/>
  <c r="L269" i="48"/>
  <c r="J269" i="48"/>
  <c r="I269" i="48"/>
  <c r="H269" i="48"/>
  <c r="G269" i="48"/>
  <c r="T268" i="48"/>
  <c r="M268" i="48"/>
  <c r="P268" i="48" s="1"/>
  <c r="L268" i="48"/>
  <c r="J268" i="48"/>
  <c r="I268" i="48"/>
  <c r="H268" i="48"/>
  <c r="G268" i="48"/>
  <c r="M267" i="48"/>
  <c r="P267" i="48" s="1"/>
  <c r="L267" i="48"/>
  <c r="J267" i="48"/>
  <c r="I267" i="48"/>
  <c r="H267" i="48"/>
  <c r="G267" i="48"/>
  <c r="M266" i="48"/>
  <c r="P266" i="48" s="1"/>
  <c r="L266" i="48"/>
  <c r="J266" i="48"/>
  <c r="I266" i="48"/>
  <c r="H266" i="48"/>
  <c r="G266" i="48"/>
  <c r="M265" i="48"/>
  <c r="P265" i="48" s="1"/>
  <c r="L265" i="48"/>
  <c r="J265" i="48"/>
  <c r="I265" i="48"/>
  <c r="H265" i="48"/>
  <c r="G265" i="48"/>
  <c r="M264" i="48"/>
  <c r="P264" i="48" s="1"/>
  <c r="L264" i="48"/>
  <c r="J264" i="48"/>
  <c r="I264" i="48"/>
  <c r="H264" i="48"/>
  <c r="G264" i="48"/>
  <c r="M263" i="48"/>
  <c r="P263" i="48" s="1"/>
  <c r="L263" i="48"/>
  <c r="J263" i="48"/>
  <c r="I263" i="48"/>
  <c r="H263" i="48"/>
  <c r="G263" i="48"/>
  <c r="T262" i="48"/>
  <c r="K6" i="43" s="1"/>
  <c r="M262" i="48"/>
  <c r="P262" i="48" s="1"/>
  <c r="L262" i="48"/>
  <c r="J262" i="48"/>
  <c r="I262" i="48"/>
  <c r="H262" i="48"/>
  <c r="G262" i="48"/>
  <c r="U261" i="48"/>
  <c r="L5" i="43" s="1"/>
  <c r="T261" i="48"/>
  <c r="K5" i="43" s="1"/>
  <c r="M261" i="48"/>
  <c r="P261" i="48" s="1"/>
  <c r="L261" i="48"/>
  <c r="J261" i="48"/>
  <c r="I261" i="48"/>
  <c r="H261" i="48"/>
  <c r="G261" i="48"/>
  <c r="M260" i="48"/>
  <c r="P260" i="48" s="1"/>
  <c r="L260" i="48"/>
  <c r="J260" i="48"/>
  <c r="I260" i="48"/>
  <c r="H260" i="48"/>
  <c r="G260" i="48"/>
  <c r="U259" i="48"/>
  <c r="M259" i="48"/>
  <c r="P259" i="48" s="1"/>
  <c r="L259" i="48"/>
  <c r="J259" i="48"/>
  <c r="I259" i="48"/>
  <c r="H259" i="48"/>
  <c r="G259" i="48"/>
  <c r="M258" i="48"/>
  <c r="P258" i="48" s="1"/>
  <c r="L258" i="48"/>
  <c r="J258" i="48"/>
  <c r="I258" i="48"/>
  <c r="H258" i="48"/>
  <c r="G258" i="48"/>
  <c r="M257" i="48"/>
  <c r="P257" i="48" s="1"/>
  <c r="L257" i="48"/>
  <c r="J257" i="48"/>
  <c r="I257" i="48"/>
  <c r="H257" i="48"/>
  <c r="G257" i="48"/>
  <c r="T256" i="48"/>
  <c r="T265" i="48" s="1"/>
  <c r="M256" i="48"/>
  <c r="P256" i="48" s="1"/>
  <c r="L256" i="48"/>
  <c r="J256" i="48"/>
  <c r="I256" i="48"/>
  <c r="H256" i="48"/>
  <c r="G256" i="48"/>
  <c r="M255" i="48"/>
  <c r="P255" i="48" s="1"/>
  <c r="L255" i="48"/>
  <c r="J255" i="48"/>
  <c r="I255" i="48"/>
  <c r="H255" i="48"/>
  <c r="G255" i="48"/>
  <c r="M254" i="48"/>
  <c r="P254" i="48" s="1"/>
  <c r="L254" i="48"/>
  <c r="J254" i="48"/>
  <c r="I254" i="48"/>
  <c r="H254" i="48"/>
  <c r="G254" i="48"/>
  <c r="T253" i="48"/>
  <c r="H3" i="43" s="1"/>
  <c r="M253" i="48"/>
  <c r="P253" i="48" s="1"/>
  <c r="L253" i="48"/>
  <c r="J253" i="48"/>
  <c r="I253" i="48"/>
  <c r="H253" i="48"/>
  <c r="G253" i="48"/>
  <c r="T252" i="48"/>
  <c r="M1" i="48" s="1"/>
  <c r="M252" i="48"/>
  <c r="P252" i="48" s="1"/>
  <c r="L252" i="48"/>
  <c r="J252" i="48"/>
  <c r="I252" i="48"/>
  <c r="H252" i="48"/>
  <c r="G252" i="48"/>
  <c r="M251" i="48"/>
  <c r="L251" i="48"/>
  <c r="J251" i="48"/>
  <c r="I251" i="48"/>
  <c r="H251" i="48"/>
  <c r="G251" i="48"/>
  <c r="U250" i="48"/>
  <c r="H5" i="41" s="1"/>
  <c r="T250" i="48"/>
  <c r="H4" i="41" s="1"/>
  <c r="S250" i="48"/>
  <c r="F240" i="48" s="1"/>
  <c r="M250" i="48"/>
  <c r="P250" i="48" s="1"/>
  <c r="L250" i="48"/>
  <c r="A250" i="48"/>
  <c r="L249" i="48"/>
  <c r="J249" i="48"/>
  <c r="I249" i="48"/>
  <c r="H249" i="48"/>
  <c r="G249" i="48"/>
  <c r="L248" i="48"/>
  <c r="J248" i="48"/>
  <c r="I248" i="48"/>
  <c r="H248" i="48"/>
  <c r="G248" i="48"/>
  <c r="L247" i="48"/>
  <c r="J247" i="48"/>
  <c r="I247" i="48"/>
  <c r="H247" i="48"/>
  <c r="G247" i="48"/>
  <c r="T246" i="48"/>
  <c r="T259" i="48" s="1"/>
  <c r="K3" i="43" s="1"/>
  <c r="L246" i="48"/>
  <c r="J246" i="48"/>
  <c r="I246" i="48"/>
  <c r="H246" i="48"/>
  <c r="G246" i="48"/>
  <c r="L245" i="48"/>
  <c r="J245" i="48"/>
  <c r="I245" i="48"/>
  <c r="H245" i="48"/>
  <c r="G245" i="48"/>
  <c r="T244" i="48"/>
  <c r="L244" i="48"/>
  <c r="J244" i="48"/>
  <c r="I244" i="48"/>
  <c r="H244" i="48"/>
  <c r="G244" i="48"/>
  <c r="L243" i="48"/>
  <c r="J243" i="48"/>
  <c r="I243" i="48"/>
  <c r="H243" i="48"/>
  <c r="G243" i="48"/>
  <c r="L242" i="48"/>
  <c r="J242" i="48"/>
  <c r="I242" i="48"/>
  <c r="H242" i="48"/>
  <c r="G242" i="48"/>
  <c r="L241" i="48"/>
  <c r="J241" i="48"/>
  <c r="I241" i="48"/>
  <c r="H241" i="48"/>
  <c r="G241" i="48"/>
  <c r="L240" i="48"/>
  <c r="J240" i="48"/>
  <c r="I240" i="48"/>
  <c r="H240" i="48"/>
  <c r="G240" i="48"/>
  <c r="L239" i="48"/>
  <c r="J239" i="48"/>
  <c r="I239" i="48"/>
  <c r="H239" i="48"/>
  <c r="G239" i="48"/>
  <c r="L238" i="48"/>
  <c r="J238" i="48"/>
  <c r="I238" i="48"/>
  <c r="H238" i="48"/>
  <c r="G238" i="48"/>
  <c r="L237" i="48"/>
  <c r="J237" i="48"/>
  <c r="I237" i="48"/>
  <c r="H237" i="48"/>
  <c r="G237" i="48"/>
  <c r="L236" i="48"/>
  <c r="J236" i="48"/>
  <c r="I236" i="48"/>
  <c r="H236" i="48"/>
  <c r="G236" i="48"/>
  <c r="L235" i="48"/>
  <c r="J235" i="48"/>
  <c r="I235" i="48"/>
  <c r="H235" i="48"/>
  <c r="G235" i="48"/>
  <c r="L234" i="48"/>
  <c r="J234" i="48"/>
  <c r="I234" i="48"/>
  <c r="H234" i="48"/>
  <c r="G234" i="48"/>
  <c r="L233" i="48"/>
  <c r="J233" i="48"/>
  <c r="I233" i="48"/>
  <c r="H233" i="48"/>
  <c r="G233" i="48"/>
  <c r="L232" i="48"/>
  <c r="J232" i="48"/>
  <c r="I232" i="48"/>
  <c r="H232" i="48"/>
  <c r="G232" i="48"/>
  <c r="L231" i="48"/>
  <c r="J231" i="48"/>
  <c r="I231" i="48"/>
  <c r="H231" i="48"/>
  <c r="G231" i="48"/>
  <c r="L230" i="48"/>
  <c r="J230" i="48"/>
  <c r="I230" i="48"/>
  <c r="H230" i="48"/>
  <c r="G230" i="48"/>
  <c r="L229" i="48"/>
  <c r="J229" i="48"/>
  <c r="I229" i="48"/>
  <c r="H229" i="48"/>
  <c r="G229" i="48"/>
  <c r="L228" i="48"/>
  <c r="J228" i="48"/>
  <c r="I228" i="48"/>
  <c r="H228" i="48"/>
  <c r="G228" i="48"/>
  <c r="L227" i="48"/>
  <c r="J227" i="48"/>
  <c r="I227" i="48"/>
  <c r="H227" i="48"/>
  <c r="G227" i="48"/>
  <c r="L226" i="48"/>
  <c r="J226" i="48"/>
  <c r="I226" i="48"/>
  <c r="H226" i="48"/>
  <c r="G226" i="48"/>
  <c r="L225" i="48"/>
  <c r="J225" i="48"/>
  <c r="I225" i="48"/>
  <c r="H225" i="48"/>
  <c r="G225" i="48"/>
  <c r="L224" i="48"/>
  <c r="J224" i="48"/>
  <c r="I224" i="48"/>
  <c r="H224" i="48"/>
  <c r="G224" i="48"/>
  <c r="L223" i="48"/>
  <c r="J223" i="48"/>
  <c r="I223" i="48"/>
  <c r="H223" i="48"/>
  <c r="G223" i="48"/>
  <c r="L222" i="48"/>
  <c r="J222" i="48"/>
  <c r="I222" i="48"/>
  <c r="H222" i="48"/>
  <c r="G222" i="48"/>
  <c r="L221" i="48"/>
  <c r="J221" i="48"/>
  <c r="I221" i="48"/>
  <c r="H221" i="48"/>
  <c r="G221" i="48"/>
  <c r="L220" i="48"/>
  <c r="J220" i="48"/>
  <c r="I220" i="48"/>
  <c r="H220" i="48"/>
  <c r="G220" i="48"/>
  <c r="L219" i="48"/>
  <c r="J219" i="48"/>
  <c r="I219" i="48"/>
  <c r="H219" i="48"/>
  <c r="G219" i="48"/>
  <c r="L218" i="48"/>
  <c r="J218" i="48"/>
  <c r="I218" i="48"/>
  <c r="H218" i="48"/>
  <c r="G218" i="48"/>
  <c r="L217" i="48"/>
  <c r="J217" i="48"/>
  <c r="I217" i="48"/>
  <c r="H217" i="48"/>
  <c r="G217" i="48"/>
  <c r="L216" i="48"/>
  <c r="J216" i="48"/>
  <c r="I216" i="48"/>
  <c r="H216" i="48"/>
  <c r="G216" i="48"/>
  <c r="L215" i="48"/>
  <c r="J215" i="48"/>
  <c r="I215" i="48"/>
  <c r="H215" i="48"/>
  <c r="G215" i="48"/>
  <c r="L214" i="48"/>
  <c r="J214" i="48"/>
  <c r="I214" i="48"/>
  <c r="H214" i="48"/>
  <c r="G214" i="48"/>
  <c r="L213" i="48"/>
  <c r="J213" i="48"/>
  <c r="I213" i="48"/>
  <c r="H213" i="48"/>
  <c r="G213" i="48"/>
  <c r="L212" i="48"/>
  <c r="J212" i="48"/>
  <c r="I212" i="48"/>
  <c r="H212" i="48"/>
  <c r="G212" i="48"/>
  <c r="L211" i="48"/>
  <c r="J211" i="48"/>
  <c r="I211" i="48"/>
  <c r="H211" i="48"/>
  <c r="G211" i="48"/>
  <c r="L210" i="48"/>
  <c r="J210" i="48"/>
  <c r="I210" i="48"/>
  <c r="H210" i="48"/>
  <c r="G210" i="48"/>
  <c r="L209" i="48"/>
  <c r="J209" i="48"/>
  <c r="I209" i="48"/>
  <c r="H209" i="48"/>
  <c r="G209" i="48"/>
  <c r="L208" i="48"/>
  <c r="J208" i="48"/>
  <c r="I208" i="48"/>
  <c r="H208" i="48"/>
  <c r="G208" i="48"/>
  <c r="L207" i="48"/>
  <c r="J207" i="48"/>
  <c r="I207" i="48"/>
  <c r="H207" i="48"/>
  <c r="G207" i="48"/>
  <c r="L206" i="48"/>
  <c r="J206" i="48"/>
  <c r="I206" i="48"/>
  <c r="H206" i="48"/>
  <c r="G206" i="48"/>
  <c r="L205" i="48"/>
  <c r="J205" i="48"/>
  <c r="I205" i="48"/>
  <c r="H205" i="48"/>
  <c r="G205" i="48"/>
  <c r="L204" i="48"/>
  <c r="J204" i="48"/>
  <c r="I204" i="48"/>
  <c r="H204" i="48"/>
  <c r="G204" i="48"/>
  <c r="L203" i="48"/>
  <c r="J203" i="48"/>
  <c r="I203" i="48"/>
  <c r="H203" i="48"/>
  <c r="G203" i="48"/>
  <c r="L202" i="48"/>
  <c r="J202" i="48"/>
  <c r="I202" i="48"/>
  <c r="H202" i="48"/>
  <c r="G202" i="48"/>
  <c r="L201" i="48"/>
  <c r="J201" i="48"/>
  <c r="I201" i="48"/>
  <c r="H201" i="48"/>
  <c r="G201" i="48"/>
  <c r="L200" i="48"/>
  <c r="J200" i="48"/>
  <c r="I200" i="48"/>
  <c r="H200" i="48"/>
  <c r="G200" i="48"/>
  <c r="L199" i="48"/>
  <c r="J199" i="48"/>
  <c r="I199" i="48"/>
  <c r="H199" i="48"/>
  <c r="G199" i="48"/>
  <c r="L198" i="48"/>
  <c r="J198" i="48"/>
  <c r="I198" i="48"/>
  <c r="H198" i="48"/>
  <c r="G198" i="48"/>
  <c r="L197" i="48"/>
  <c r="J197" i="48"/>
  <c r="I197" i="48"/>
  <c r="H197" i="48"/>
  <c r="G197" i="48"/>
  <c r="L196" i="48"/>
  <c r="J196" i="48"/>
  <c r="I196" i="48"/>
  <c r="H196" i="48"/>
  <c r="G196" i="48"/>
  <c r="L195" i="48"/>
  <c r="J195" i="48"/>
  <c r="I195" i="48"/>
  <c r="H195" i="48"/>
  <c r="G195" i="48"/>
  <c r="L194" i="48"/>
  <c r="J194" i="48"/>
  <c r="I194" i="48"/>
  <c r="H194" i="48"/>
  <c r="G194" i="48"/>
  <c r="L193" i="48"/>
  <c r="J193" i="48"/>
  <c r="I193" i="48"/>
  <c r="H193" i="48"/>
  <c r="G193" i="48"/>
  <c r="L192" i="48"/>
  <c r="J192" i="48"/>
  <c r="I192" i="48"/>
  <c r="H192" i="48"/>
  <c r="G192" i="48"/>
  <c r="L191" i="48"/>
  <c r="J191" i="48"/>
  <c r="I191" i="48"/>
  <c r="H191" i="48"/>
  <c r="G191" i="48"/>
  <c r="L190" i="48"/>
  <c r="J190" i="48"/>
  <c r="I190" i="48"/>
  <c r="H190" i="48"/>
  <c r="G190" i="48"/>
  <c r="L189" i="48"/>
  <c r="J189" i="48"/>
  <c r="I189" i="48"/>
  <c r="H189" i="48"/>
  <c r="G189" i="48"/>
  <c r="L188" i="48"/>
  <c r="J188" i="48"/>
  <c r="I188" i="48"/>
  <c r="H188" i="48"/>
  <c r="G188" i="48"/>
  <c r="L187" i="48"/>
  <c r="J187" i="48"/>
  <c r="I187" i="48"/>
  <c r="H187" i="48"/>
  <c r="G187" i="48"/>
  <c r="L186" i="48"/>
  <c r="J186" i="48"/>
  <c r="I186" i="48"/>
  <c r="H186" i="48"/>
  <c r="G186" i="48"/>
  <c r="L185" i="48"/>
  <c r="J185" i="48"/>
  <c r="I185" i="48"/>
  <c r="H185" i="48"/>
  <c r="G185" i="48"/>
  <c r="L184" i="48"/>
  <c r="J184" i="48"/>
  <c r="I184" i="48"/>
  <c r="H184" i="48"/>
  <c r="G184" i="48"/>
  <c r="L183" i="48"/>
  <c r="J183" i="48"/>
  <c r="I183" i="48"/>
  <c r="H183" i="48"/>
  <c r="G183" i="48"/>
  <c r="L182" i="48"/>
  <c r="J182" i="48"/>
  <c r="I182" i="48"/>
  <c r="H182" i="48"/>
  <c r="G182" i="48"/>
  <c r="L181" i="48"/>
  <c r="J181" i="48"/>
  <c r="I181" i="48"/>
  <c r="H181" i="48"/>
  <c r="G181" i="48"/>
  <c r="L180" i="48"/>
  <c r="J180" i="48"/>
  <c r="I180" i="48"/>
  <c r="H180" i="48"/>
  <c r="G180" i="48"/>
  <c r="L179" i="48"/>
  <c r="J179" i="48"/>
  <c r="I179" i="48"/>
  <c r="H179" i="48"/>
  <c r="G179" i="48"/>
  <c r="L178" i="48"/>
  <c r="J178" i="48"/>
  <c r="I178" i="48"/>
  <c r="H178" i="48"/>
  <c r="G178" i="48"/>
  <c r="L177" i="48"/>
  <c r="J177" i="48"/>
  <c r="I177" i="48"/>
  <c r="H177" i="48"/>
  <c r="G177" i="48"/>
  <c r="L176" i="48"/>
  <c r="J176" i="48"/>
  <c r="I176" i="48"/>
  <c r="H176" i="48"/>
  <c r="G176" i="48"/>
  <c r="L175" i="48"/>
  <c r="J175" i="48"/>
  <c r="I175" i="48"/>
  <c r="H175" i="48"/>
  <c r="G175" i="48"/>
  <c r="L174" i="48"/>
  <c r="J174" i="48"/>
  <c r="I174" i="48"/>
  <c r="H174" i="48"/>
  <c r="G174" i="48"/>
  <c r="L173" i="48"/>
  <c r="J173" i="48"/>
  <c r="I173" i="48"/>
  <c r="H173" i="48"/>
  <c r="G173" i="48"/>
  <c r="L172" i="48"/>
  <c r="J172" i="48"/>
  <c r="I172" i="48"/>
  <c r="H172" i="48"/>
  <c r="G172" i="48"/>
  <c r="L171" i="48"/>
  <c r="J171" i="48"/>
  <c r="I171" i="48"/>
  <c r="H171" i="48"/>
  <c r="G171" i="48"/>
  <c r="L170" i="48"/>
  <c r="J170" i="48"/>
  <c r="I170" i="48"/>
  <c r="H170" i="48"/>
  <c r="G170" i="48"/>
  <c r="L169" i="48"/>
  <c r="J169" i="48"/>
  <c r="I169" i="48"/>
  <c r="H169" i="48"/>
  <c r="G169" i="48"/>
  <c r="L168" i="48"/>
  <c r="J168" i="48"/>
  <c r="I168" i="48"/>
  <c r="H168" i="48"/>
  <c r="G168" i="48"/>
  <c r="L167" i="48"/>
  <c r="J167" i="48"/>
  <c r="I167" i="48"/>
  <c r="H167" i="48"/>
  <c r="G167" i="48"/>
  <c r="L166" i="48"/>
  <c r="J166" i="48"/>
  <c r="I166" i="48"/>
  <c r="H166" i="48"/>
  <c r="G166" i="48"/>
  <c r="L165" i="48"/>
  <c r="J165" i="48"/>
  <c r="I165" i="48"/>
  <c r="H165" i="48"/>
  <c r="G165" i="48"/>
  <c r="L164" i="48"/>
  <c r="J164" i="48"/>
  <c r="I164" i="48"/>
  <c r="H164" i="48"/>
  <c r="G164" i="48"/>
  <c r="L163" i="48"/>
  <c r="J163" i="48"/>
  <c r="I163" i="48"/>
  <c r="H163" i="48"/>
  <c r="G163" i="48"/>
  <c r="L162" i="48"/>
  <c r="J162" i="48"/>
  <c r="I162" i="48"/>
  <c r="H162" i="48"/>
  <c r="G162" i="48"/>
  <c r="L161" i="48"/>
  <c r="J161" i="48"/>
  <c r="I161" i="48"/>
  <c r="H161" i="48"/>
  <c r="G161" i="48"/>
  <c r="L160" i="48"/>
  <c r="J160" i="48"/>
  <c r="I160" i="48"/>
  <c r="H160" i="48"/>
  <c r="G160" i="48"/>
  <c r="L159" i="48"/>
  <c r="J159" i="48"/>
  <c r="I159" i="48"/>
  <c r="H159" i="48"/>
  <c r="G159" i="48"/>
  <c r="L158" i="48"/>
  <c r="J158" i="48"/>
  <c r="I158" i="48"/>
  <c r="H158" i="48"/>
  <c r="G158" i="48"/>
  <c r="L157" i="48"/>
  <c r="J157" i="48"/>
  <c r="I157" i="48"/>
  <c r="H157" i="48"/>
  <c r="G157" i="48"/>
  <c r="L156" i="48"/>
  <c r="J156" i="48"/>
  <c r="I156" i="48"/>
  <c r="H156" i="48"/>
  <c r="G156" i="48"/>
  <c r="L155" i="48"/>
  <c r="J155" i="48"/>
  <c r="I155" i="48"/>
  <c r="H155" i="48"/>
  <c r="G155" i="48"/>
  <c r="L154" i="48"/>
  <c r="J154" i="48"/>
  <c r="I154" i="48"/>
  <c r="H154" i="48"/>
  <c r="G154" i="48"/>
  <c r="L153" i="48"/>
  <c r="J153" i="48"/>
  <c r="I153" i="48"/>
  <c r="H153" i="48"/>
  <c r="G153" i="48"/>
  <c r="L152" i="48"/>
  <c r="J152" i="48"/>
  <c r="I152" i="48"/>
  <c r="H152" i="48"/>
  <c r="G152" i="48"/>
  <c r="L151" i="48"/>
  <c r="J151" i="48"/>
  <c r="I151" i="48"/>
  <c r="H151" i="48"/>
  <c r="G151" i="48"/>
  <c r="L150" i="48"/>
  <c r="J150" i="48"/>
  <c r="I150" i="48"/>
  <c r="H150" i="48"/>
  <c r="G150" i="48"/>
  <c r="L149" i="48"/>
  <c r="J149" i="48"/>
  <c r="I149" i="48"/>
  <c r="H149" i="48"/>
  <c r="G149" i="48"/>
  <c r="L148" i="48"/>
  <c r="J148" i="48"/>
  <c r="I148" i="48"/>
  <c r="H148" i="48"/>
  <c r="G148" i="48"/>
  <c r="L147" i="48"/>
  <c r="J147" i="48"/>
  <c r="I147" i="48"/>
  <c r="H147" i="48"/>
  <c r="G147" i="48"/>
  <c r="L146" i="48"/>
  <c r="J146" i="48"/>
  <c r="I146" i="48"/>
  <c r="H146" i="48"/>
  <c r="G146" i="48"/>
  <c r="L145" i="48"/>
  <c r="J145" i="48"/>
  <c r="I145" i="48"/>
  <c r="H145" i="48"/>
  <c r="G145" i="48"/>
  <c r="L144" i="48"/>
  <c r="J144" i="48"/>
  <c r="I144" i="48"/>
  <c r="H144" i="48"/>
  <c r="G144" i="48"/>
  <c r="L143" i="48"/>
  <c r="J143" i="48"/>
  <c r="I143" i="48"/>
  <c r="H143" i="48"/>
  <c r="G143" i="48"/>
  <c r="L142" i="48"/>
  <c r="J142" i="48"/>
  <c r="I142" i="48"/>
  <c r="H142" i="48"/>
  <c r="G142" i="48"/>
  <c r="L141" i="48"/>
  <c r="J141" i="48"/>
  <c r="I141" i="48"/>
  <c r="H141" i="48"/>
  <c r="G141" i="48"/>
  <c r="L140" i="48"/>
  <c r="J140" i="48"/>
  <c r="I140" i="48"/>
  <c r="H140" i="48"/>
  <c r="G140" i="48"/>
  <c r="L139" i="48"/>
  <c r="J139" i="48"/>
  <c r="I139" i="48"/>
  <c r="H139" i="48"/>
  <c r="G139" i="48"/>
  <c r="L138" i="48"/>
  <c r="J138" i="48"/>
  <c r="I138" i="48"/>
  <c r="H138" i="48"/>
  <c r="G138" i="48"/>
  <c r="L137" i="48"/>
  <c r="J137" i="48"/>
  <c r="I137" i="48"/>
  <c r="H137" i="48"/>
  <c r="G137" i="48"/>
  <c r="L136" i="48"/>
  <c r="J136" i="48"/>
  <c r="I136" i="48"/>
  <c r="H136" i="48"/>
  <c r="G136" i="48"/>
  <c r="L135" i="48"/>
  <c r="J135" i="48"/>
  <c r="I135" i="48"/>
  <c r="H135" i="48"/>
  <c r="G135" i="48"/>
  <c r="L134" i="48"/>
  <c r="J134" i="48"/>
  <c r="I134" i="48"/>
  <c r="H134" i="48"/>
  <c r="G134" i="48"/>
  <c r="L133" i="48"/>
  <c r="J133" i="48"/>
  <c r="I133" i="48"/>
  <c r="H133" i="48"/>
  <c r="G133" i="48"/>
  <c r="L132" i="48"/>
  <c r="J132" i="48"/>
  <c r="I132" i="48"/>
  <c r="H132" i="48"/>
  <c r="G132" i="48"/>
  <c r="L131" i="48"/>
  <c r="J131" i="48"/>
  <c r="I131" i="48"/>
  <c r="H131" i="48"/>
  <c r="G131" i="48"/>
  <c r="L130" i="48"/>
  <c r="J130" i="48"/>
  <c r="I130" i="48"/>
  <c r="H130" i="48"/>
  <c r="G130" i="48"/>
  <c r="L129" i="48"/>
  <c r="J129" i="48"/>
  <c r="I129" i="48"/>
  <c r="H129" i="48"/>
  <c r="G129" i="48"/>
  <c r="L128" i="48"/>
  <c r="J128" i="48"/>
  <c r="I128" i="48"/>
  <c r="H128" i="48"/>
  <c r="G128" i="48"/>
  <c r="L127" i="48"/>
  <c r="J127" i="48"/>
  <c r="I127" i="48"/>
  <c r="H127" i="48"/>
  <c r="G127" i="48"/>
  <c r="L126" i="48"/>
  <c r="J126" i="48"/>
  <c r="I126" i="48"/>
  <c r="H126" i="48"/>
  <c r="G126" i="48"/>
  <c r="L125" i="48"/>
  <c r="J125" i="48"/>
  <c r="I125" i="48"/>
  <c r="H125" i="48"/>
  <c r="G125" i="48"/>
  <c r="L124" i="48"/>
  <c r="J124" i="48"/>
  <c r="I124" i="48"/>
  <c r="H124" i="48"/>
  <c r="G124" i="48"/>
  <c r="L123" i="48"/>
  <c r="J123" i="48"/>
  <c r="I123" i="48"/>
  <c r="H123" i="48"/>
  <c r="G123" i="48"/>
  <c r="L122" i="48"/>
  <c r="J122" i="48"/>
  <c r="I122" i="48"/>
  <c r="H122" i="48"/>
  <c r="G122" i="48"/>
  <c r="L121" i="48"/>
  <c r="J121" i="48"/>
  <c r="I121" i="48"/>
  <c r="H121" i="48"/>
  <c r="G121" i="48"/>
  <c r="L120" i="48"/>
  <c r="J120" i="48"/>
  <c r="I120" i="48"/>
  <c r="H120" i="48"/>
  <c r="G120" i="48"/>
  <c r="L119" i="48"/>
  <c r="J119" i="48"/>
  <c r="I119" i="48"/>
  <c r="H119" i="48"/>
  <c r="G119" i="48"/>
  <c r="L118" i="48"/>
  <c r="J118" i="48"/>
  <c r="I118" i="48"/>
  <c r="H118" i="48"/>
  <c r="G118" i="48"/>
  <c r="L117" i="48"/>
  <c r="J117" i="48"/>
  <c r="I117" i="48"/>
  <c r="H117" i="48"/>
  <c r="G117" i="48"/>
  <c r="L116" i="48"/>
  <c r="J116" i="48"/>
  <c r="I116" i="48"/>
  <c r="H116" i="48"/>
  <c r="G116" i="48"/>
  <c r="L115" i="48"/>
  <c r="J115" i="48"/>
  <c r="I115" i="48"/>
  <c r="H115" i="48"/>
  <c r="G115" i="48"/>
  <c r="L114" i="48"/>
  <c r="J114" i="48"/>
  <c r="I114" i="48"/>
  <c r="H114" i="48"/>
  <c r="G114" i="48"/>
  <c r="L113" i="48"/>
  <c r="J113" i="48"/>
  <c r="I113" i="48"/>
  <c r="H113" i="48"/>
  <c r="G113" i="48"/>
  <c r="L112" i="48"/>
  <c r="J112" i="48"/>
  <c r="I112" i="48"/>
  <c r="H112" i="48"/>
  <c r="G112" i="48"/>
  <c r="L111" i="48"/>
  <c r="J111" i="48"/>
  <c r="I111" i="48"/>
  <c r="H111" i="48"/>
  <c r="G111" i="48"/>
  <c r="L110" i="48"/>
  <c r="J110" i="48"/>
  <c r="I110" i="48"/>
  <c r="H110" i="48"/>
  <c r="G110" i="48"/>
  <c r="L109" i="48"/>
  <c r="J109" i="48"/>
  <c r="I109" i="48"/>
  <c r="H109" i="48"/>
  <c r="G109" i="48"/>
  <c r="L108" i="48"/>
  <c r="J108" i="48"/>
  <c r="I108" i="48"/>
  <c r="H108" i="48"/>
  <c r="G108" i="48"/>
  <c r="L107" i="48"/>
  <c r="J107" i="48"/>
  <c r="I107" i="48"/>
  <c r="H107" i="48"/>
  <c r="G107" i="48"/>
  <c r="L106" i="48"/>
  <c r="J106" i="48"/>
  <c r="I106" i="48"/>
  <c r="H106" i="48"/>
  <c r="G106" i="48"/>
  <c r="L105" i="48"/>
  <c r="J105" i="48"/>
  <c r="I105" i="48"/>
  <c r="H105" i="48"/>
  <c r="G105" i="48"/>
  <c r="L104" i="48"/>
  <c r="J104" i="48"/>
  <c r="I104" i="48"/>
  <c r="H104" i="48"/>
  <c r="G104" i="48"/>
  <c r="L103" i="48"/>
  <c r="J103" i="48"/>
  <c r="I103" i="48"/>
  <c r="H103" i="48"/>
  <c r="G103" i="48"/>
  <c r="L102" i="48"/>
  <c r="J102" i="48"/>
  <c r="I102" i="48"/>
  <c r="H102" i="48"/>
  <c r="G102" i="48"/>
  <c r="L101" i="48"/>
  <c r="J101" i="48"/>
  <c r="I101" i="48"/>
  <c r="H101" i="48"/>
  <c r="G101" i="48"/>
  <c r="L100" i="48"/>
  <c r="J100" i="48"/>
  <c r="I100" i="48"/>
  <c r="H100" i="48"/>
  <c r="G100" i="48"/>
  <c r="L99" i="48"/>
  <c r="J99" i="48"/>
  <c r="I99" i="48"/>
  <c r="H99" i="48"/>
  <c r="G99" i="48"/>
  <c r="L98" i="48"/>
  <c r="J98" i="48"/>
  <c r="I98" i="48"/>
  <c r="H98" i="48"/>
  <c r="G98" i="48"/>
  <c r="L97" i="48"/>
  <c r="J97" i="48"/>
  <c r="I97" i="48"/>
  <c r="H97" i="48"/>
  <c r="G97" i="48"/>
  <c r="L96" i="48"/>
  <c r="J96" i="48"/>
  <c r="I96" i="48"/>
  <c r="H96" i="48"/>
  <c r="G96" i="48"/>
  <c r="L95" i="48"/>
  <c r="J95" i="48"/>
  <c r="I95" i="48"/>
  <c r="H95" i="48"/>
  <c r="G95" i="48"/>
  <c r="L94" i="48"/>
  <c r="J94" i="48"/>
  <c r="I94" i="48"/>
  <c r="H94" i="48"/>
  <c r="G94" i="48"/>
  <c r="L93" i="48"/>
  <c r="J93" i="48"/>
  <c r="I93" i="48"/>
  <c r="H93" i="48"/>
  <c r="G93" i="48"/>
  <c r="L92" i="48"/>
  <c r="J92" i="48"/>
  <c r="I92" i="48"/>
  <c r="H92" i="48"/>
  <c r="G92" i="48"/>
  <c r="L91" i="48"/>
  <c r="J91" i="48"/>
  <c r="I91" i="48"/>
  <c r="H91" i="48"/>
  <c r="G91" i="48"/>
  <c r="L90" i="48"/>
  <c r="J90" i="48"/>
  <c r="I90" i="48"/>
  <c r="H90" i="48"/>
  <c r="G90" i="48"/>
  <c r="L89" i="48"/>
  <c r="J89" i="48"/>
  <c r="I89" i="48"/>
  <c r="H89" i="48"/>
  <c r="G89" i="48"/>
  <c r="L88" i="48"/>
  <c r="J88" i="48"/>
  <c r="I88" i="48"/>
  <c r="H88" i="48"/>
  <c r="G88" i="48"/>
  <c r="L87" i="48"/>
  <c r="J87" i="48"/>
  <c r="I87" i="48"/>
  <c r="H87" i="48"/>
  <c r="G87" i="48"/>
  <c r="L86" i="48"/>
  <c r="J86" i="48"/>
  <c r="I86" i="48"/>
  <c r="H86" i="48"/>
  <c r="G86" i="48"/>
  <c r="L85" i="48"/>
  <c r="J85" i="48"/>
  <c r="I85" i="48"/>
  <c r="H85" i="48"/>
  <c r="G85" i="48"/>
  <c r="L84" i="48"/>
  <c r="J84" i="48"/>
  <c r="I84" i="48"/>
  <c r="H84" i="48"/>
  <c r="G84" i="48"/>
  <c r="L83" i="48"/>
  <c r="J83" i="48"/>
  <c r="I83" i="48"/>
  <c r="H83" i="48"/>
  <c r="G83" i="48"/>
  <c r="L82" i="48"/>
  <c r="J82" i="48"/>
  <c r="I82" i="48"/>
  <c r="H82" i="48"/>
  <c r="G82" i="48"/>
  <c r="L81" i="48"/>
  <c r="J81" i="48"/>
  <c r="I81" i="48"/>
  <c r="H81" i="48"/>
  <c r="G81" i="48"/>
  <c r="L80" i="48"/>
  <c r="J80" i="48"/>
  <c r="I80" i="48"/>
  <c r="H80" i="48"/>
  <c r="G80" i="48"/>
  <c r="L79" i="48"/>
  <c r="J79" i="48"/>
  <c r="I79" i="48"/>
  <c r="H79" i="48"/>
  <c r="G79" i="48"/>
  <c r="L78" i="48"/>
  <c r="J78" i="48"/>
  <c r="I78" i="48"/>
  <c r="H78" i="48"/>
  <c r="G78" i="48"/>
  <c r="L77" i="48"/>
  <c r="J77" i="48"/>
  <c r="I77" i="48"/>
  <c r="H77" i="48"/>
  <c r="G77" i="48"/>
  <c r="L76" i="48"/>
  <c r="J76" i="48"/>
  <c r="I76" i="48"/>
  <c r="H76" i="48"/>
  <c r="G76" i="48"/>
  <c r="L75" i="48"/>
  <c r="J75" i="48"/>
  <c r="I75" i="48"/>
  <c r="H75" i="48"/>
  <c r="G75" i="48"/>
  <c r="L74" i="48"/>
  <c r="J74" i="48"/>
  <c r="I74" i="48"/>
  <c r="H74" i="48"/>
  <c r="G74" i="48"/>
  <c r="L73" i="48"/>
  <c r="J73" i="48"/>
  <c r="I73" i="48"/>
  <c r="H73" i="48"/>
  <c r="G73" i="48"/>
  <c r="L72" i="48"/>
  <c r="J72" i="48"/>
  <c r="I72" i="48"/>
  <c r="H72" i="48"/>
  <c r="G72" i="48"/>
  <c r="L71" i="48"/>
  <c r="J71" i="48"/>
  <c r="I71" i="48"/>
  <c r="H71" i="48"/>
  <c r="G71" i="48"/>
  <c r="L70" i="48"/>
  <c r="J70" i="48"/>
  <c r="I70" i="48"/>
  <c r="H70" i="48"/>
  <c r="G70" i="48"/>
  <c r="L69" i="48"/>
  <c r="J69" i="48"/>
  <c r="I69" i="48"/>
  <c r="H69" i="48"/>
  <c r="G69" i="48"/>
  <c r="L68" i="48"/>
  <c r="J68" i="48"/>
  <c r="I68" i="48"/>
  <c r="H68" i="48"/>
  <c r="G68" i="48"/>
  <c r="L67" i="48"/>
  <c r="J67" i="48"/>
  <c r="I67" i="48"/>
  <c r="H67" i="48"/>
  <c r="G67" i="48"/>
  <c r="L66" i="48"/>
  <c r="J66" i="48"/>
  <c r="I66" i="48"/>
  <c r="H66" i="48"/>
  <c r="G66" i="48"/>
  <c r="L65" i="48"/>
  <c r="J65" i="48"/>
  <c r="I65" i="48"/>
  <c r="H65" i="48"/>
  <c r="G65" i="48"/>
  <c r="L64" i="48"/>
  <c r="J64" i="48"/>
  <c r="I64" i="48"/>
  <c r="H64" i="48"/>
  <c r="G64" i="48"/>
  <c r="L63" i="48"/>
  <c r="J63" i="48"/>
  <c r="I63" i="48"/>
  <c r="H63" i="48"/>
  <c r="G63" i="48"/>
  <c r="L62" i="48"/>
  <c r="J62" i="48"/>
  <c r="I62" i="48"/>
  <c r="H62" i="48"/>
  <c r="G62" i="48"/>
  <c r="L61" i="48"/>
  <c r="J61" i="48"/>
  <c r="I61" i="48"/>
  <c r="H61" i="48"/>
  <c r="G61" i="48"/>
  <c r="L60" i="48"/>
  <c r="J60" i="48"/>
  <c r="I60" i="48"/>
  <c r="H60" i="48"/>
  <c r="G60" i="48"/>
  <c r="L59" i="48"/>
  <c r="J59" i="48"/>
  <c r="I59" i="48"/>
  <c r="H59" i="48"/>
  <c r="G59" i="48"/>
  <c r="L58" i="48"/>
  <c r="J58" i="48"/>
  <c r="I58" i="48"/>
  <c r="H58" i="48"/>
  <c r="G58" i="48"/>
  <c r="L57" i="48"/>
  <c r="J57" i="48"/>
  <c r="I57" i="48"/>
  <c r="H57" i="48"/>
  <c r="G57" i="48"/>
  <c r="L56" i="48"/>
  <c r="J56" i="48"/>
  <c r="I56" i="48"/>
  <c r="H56" i="48"/>
  <c r="G56" i="48"/>
  <c r="L55" i="48"/>
  <c r="J55" i="48"/>
  <c r="I55" i="48"/>
  <c r="H55" i="48"/>
  <c r="G55" i="48"/>
  <c r="L54" i="48"/>
  <c r="J54" i="48"/>
  <c r="I54" i="48"/>
  <c r="H54" i="48"/>
  <c r="G54" i="48"/>
  <c r="L53" i="48"/>
  <c r="J53" i="48"/>
  <c r="I53" i="48"/>
  <c r="H53" i="48"/>
  <c r="G53" i="48"/>
  <c r="L52" i="48"/>
  <c r="J52" i="48"/>
  <c r="I52" i="48"/>
  <c r="H52" i="48"/>
  <c r="G52" i="48"/>
  <c r="L51" i="48"/>
  <c r="J51" i="48"/>
  <c r="I51" i="48"/>
  <c r="H51" i="48"/>
  <c r="G51" i="48"/>
  <c r="L50" i="48"/>
  <c r="J50" i="48"/>
  <c r="I50" i="48"/>
  <c r="H50" i="48"/>
  <c r="G50" i="48"/>
  <c r="L49" i="48"/>
  <c r="J49" i="48"/>
  <c r="I49" i="48"/>
  <c r="H49" i="48"/>
  <c r="G49" i="48"/>
  <c r="L48" i="48"/>
  <c r="J48" i="48"/>
  <c r="I48" i="48"/>
  <c r="H48" i="48"/>
  <c r="G48" i="48"/>
  <c r="L47" i="48"/>
  <c r="J47" i="48"/>
  <c r="I47" i="48"/>
  <c r="H47" i="48"/>
  <c r="G47" i="48"/>
  <c r="L46" i="48"/>
  <c r="J46" i="48"/>
  <c r="I46" i="48"/>
  <c r="H46" i="48"/>
  <c r="G46" i="48"/>
  <c r="L45" i="48"/>
  <c r="J45" i="48"/>
  <c r="I45" i="48"/>
  <c r="H45" i="48"/>
  <c r="G45" i="48"/>
  <c r="L44" i="48"/>
  <c r="J44" i="48"/>
  <c r="I44" i="48"/>
  <c r="H44" i="48"/>
  <c r="G44" i="48"/>
  <c r="L43" i="48"/>
  <c r="J43" i="48"/>
  <c r="I43" i="48"/>
  <c r="H43" i="48"/>
  <c r="G43" i="48"/>
  <c r="L42" i="48"/>
  <c r="J42" i="48"/>
  <c r="I42" i="48"/>
  <c r="H42" i="48"/>
  <c r="G42" i="48"/>
  <c r="L41" i="48"/>
  <c r="J41" i="48"/>
  <c r="I41" i="48"/>
  <c r="H41" i="48"/>
  <c r="G41" i="48"/>
  <c r="L40" i="48"/>
  <c r="J40" i="48"/>
  <c r="I40" i="48"/>
  <c r="H40" i="48"/>
  <c r="G40" i="48"/>
  <c r="L39" i="48"/>
  <c r="J39" i="48"/>
  <c r="I39" i="48"/>
  <c r="H39" i="48"/>
  <c r="G39" i="48"/>
  <c r="L38" i="48"/>
  <c r="J38" i="48"/>
  <c r="I38" i="48"/>
  <c r="H38" i="48"/>
  <c r="G38" i="48"/>
  <c r="L37" i="48"/>
  <c r="J37" i="48"/>
  <c r="I37" i="48"/>
  <c r="H37" i="48"/>
  <c r="G37" i="48"/>
  <c r="L36" i="48"/>
  <c r="J36" i="48"/>
  <c r="I36" i="48"/>
  <c r="H36" i="48"/>
  <c r="G36" i="48"/>
  <c r="L35" i="48"/>
  <c r="J35" i="48"/>
  <c r="I35" i="48"/>
  <c r="H35" i="48"/>
  <c r="G35" i="48"/>
  <c r="L34" i="48"/>
  <c r="J34" i="48"/>
  <c r="I34" i="48"/>
  <c r="H34" i="48"/>
  <c r="G34" i="48"/>
  <c r="L33" i="48"/>
  <c r="J33" i="48"/>
  <c r="I33" i="48"/>
  <c r="H33" i="48"/>
  <c r="G33" i="48"/>
  <c r="L32" i="48"/>
  <c r="J32" i="48"/>
  <c r="I32" i="48"/>
  <c r="H32" i="48"/>
  <c r="G32" i="48"/>
  <c r="L31" i="48"/>
  <c r="J31" i="48"/>
  <c r="I31" i="48"/>
  <c r="H31" i="48"/>
  <c r="G31" i="48"/>
  <c r="L30" i="48"/>
  <c r="J30" i="48"/>
  <c r="I30" i="48"/>
  <c r="H30" i="48"/>
  <c r="G30" i="48"/>
  <c r="L29" i="48"/>
  <c r="J29" i="48"/>
  <c r="I29" i="48"/>
  <c r="H29" i="48"/>
  <c r="G29" i="48"/>
  <c r="L28" i="48"/>
  <c r="J28" i="48"/>
  <c r="I28" i="48"/>
  <c r="H28" i="48"/>
  <c r="G28" i="48"/>
  <c r="L27" i="48"/>
  <c r="J27" i="48"/>
  <c r="I27" i="48"/>
  <c r="H27" i="48"/>
  <c r="G27" i="48"/>
  <c r="L26" i="48"/>
  <c r="J26" i="48"/>
  <c r="I26" i="48"/>
  <c r="H26" i="48"/>
  <c r="G26" i="48"/>
  <c r="L25" i="48"/>
  <c r="J25" i="48"/>
  <c r="I25" i="48"/>
  <c r="H25" i="48"/>
  <c r="G25" i="48"/>
  <c r="L24" i="48"/>
  <c r="J24" i="48"/>
  <c r="I24" i="48"/>
  <c r="H24" i="48"/>
  <c r="G24" i="48"/>
  <c r="L23" i="48"/>
  <c r="J23" i="48"/>
  <c r="I23" i="48"/>
  <c r="H23" i="48"/>
  <c r="G23" i="48"/>
  <c r="L22" i="48"/>
  <c r="J22" i="48"/>
  <c r="I22" i="48"/>
  <c r="H22" i="48"/>
  <c r="G22" i="48"/>
  <c r="L21" i="48"/>
  <c r="J21" i="48"/>
  <c r="I21" i="48"/>
  <c r="H21" i="48"/>
  <c r="G21" i="48"/>
  <c r="L20" i="48"/>
  <c r="J20" i="48"/>
  <c r="I20" i="48"/>
  <c r="H20" i="48"/>
  <c r="G20" i="48"/>
  <c r="L19" i="48"/>
  <c r="J19" i="48"/>
  <c r="I19" i="48"/>
  <c r="H19" i="48"/>
  <c r="G19" i="48"/>
  <c r="L18" i="48"/>
  <c r="J18" i="48"/>
  <c r="I18" i="48"/>
  <c r="H18" i="48"/>
  <c r="G18" i="48"/>
  <c r="L17" i="48"/>
  <c r="J17" i="48"/>
  <c r="I17" i="48"/>
  <c r="H17" i="48"/>
  <c r="G17" i="48"/>
  <c r="L16" i="48"/>
  <c r="J16" i="48"/>
  <c r="I16" i="48"/>
  <c r="H16" i="48"/>
  <c r="G16" i="48"/>
  <c r="L15" i="48"/>
  <c r="J15" i="48"/>
  <c r="I15" i="48"/>
  <c r="H15" i="48"/>
  <c r="G15" i="48"/>
  <c r="L14" i="48"/>
  <c r="J14" i="48"/>
  <c r="I14" i="48"/>
  <c r="H14" i="48"/>
  <c r="G14" i="48"/>
  <c r="L13" i="48"/>
  <c r="J13" i="48"/>
  <c r="I13" i="48"/>
  <c r="H13" i="48"/>
  <c r="G13" i="48"/>
  <c r="L12" i="48"/>
  <c r="J12" i="48"/>
  <c r="I12" i="48"/>
  <c r="H12" i="48"/>
  <c r="G12" i="48"/>
  <c r="L11" i="48"/>
  <c r="J11" i="48"/>
  <c r="I11" i="48"/>
  <c r="H11" i="48"/>
  <c r="G11" i="48"/>
  <c r="L10" i="48"/>
  <c r="J10" i="48"/>
  <c r="I10" i="48"/>
  <c r="H10" i="48"/>
  <c r="G10" i="48"/>
  <c r="L9" i="48"/>
  <c r="J9" i="48"/>
  <c r="I9" i="48"/>
  <c r="H9" i="48"/>
  <c r="G9" i="48"/>
  <c r="L8" i="48"/>
  <c r="J8" i="48"/>
  <c r="I8" i="48"/>
  <c r="H8" i="48"/>
  <c r="G8" i="48"/>
  <c r="L7" i="48"/>
  <c r="J7" i="48"/>
  <c r="I7" i="48"/>
  <c r="H7" i="48"/>
  <c r="G7" i="48"/>
  <c r="L6" i="48"/>
  <c r="J6" i="48"/>
  <c r="I6" i="48"/>
  <c r="H6" i="48"/>
  <c r="G6" i="48"/>
  <c r="L5" i="48"/>
  <c r="J5" i="48"/>
  <c r="I5" i="48"/>
  <c r="H5" i="48"/>
  <c r="G5" i="48"/>
  <c r="L4" i="48"/>
  <c r="J4" i="48"/>
  <c r="I4" i="48"/>
  <c r="H4" i="48"/>
  <c r="G4" i="48"/>
  <c r="O3" i="48"/>
  <c r="O4" i="48" s="1"/>
  <c r="O5" i="48" s="1"/>
  <c r="O6" i="48" s="1"/>
  <c r="O7" i="48" s="1"/>
  <c r="O8" i="48" s="1"/>
  <c r="O9" i="48" s="1"/>
  <c r="O10" i="48" s="1"/>
  <c r="O11" i="48" s="1"/>
  <c r="O12" i="48" s="1"/>
  <c r="O13" i="48" s="1"/>
  <c r="O14" i="48" s="1"/>
  <c r="O15" i="48" s="1"/>
  <c r="O16" i="48" s="1"/>
  <c r="O17" i="48" s="1"/>
  <c r="O18" i="48" s="1"/>
  <c r="O19" i="48" s="1"/>
  <c r="O20" i="48" s="1"/>
  <c r="O21" i="48" s="1"/>
  <c r="O22" i="48" s="1"/>
  <c r="O23" i="48" s="1"/>
  <c r="O24" i="48" s="1"/>
  <c r="O25" i="48" s="1"/>
  <c r="O26" i="48" s="1"/>
  <c r="O27" i="48" s="1"/>
  <c r="O28" i="48" s="1"/>
  <c r="O29" i="48" s="1"/>
  <c r="O30" i="48" s="1"/>
  <c r="O31" i="48" s="1"/>
  <c r="O32" i="48" s="1"/>
  <c r="O33" i="48" s="1"/>
  <c r="O34" i="48" s="1"/>
  <c r="O35" i="48" s="1"/>
  <c r="O36" i="48" s="1"/>
  <c r="O37" i="48" s="1"/>
  <c r="O38" i="48" s="1"/>
  <c r="O39" i="48" s="1"/>
  <c r="O40" i="48" s="1"/>
  <c r="O41" i="48" s="1"/>
  <c r="O42" i="48" s="1"/>
  <c r="O43" i="48" s="1"/>
  <c r="O44" i="48" s="1"/>
  <c r="O45" i="48" s="1"/>
  <c r="O46" i="48" s="1"/>
  <c r="O47" i="48" s="1"/>
  <c r="O48" i="48" s="1"/>
  <c r="O49" i="48" s="1"/>
  <c r="O50" i="48" s="1"/>
  <c r="O51" i="48" s="1"/>
  <c r="O52" i="48" s="1"/>
  <c r="O53" i="48" s="1"/>
  <c r="O54" i="48" s="1"/>
  <c r="O55" i="48" s="1"/>
  <c r="O56" i="48" s="1"/>
  <c r="O57" i="48" s="1"/>
  <c r="O58" i="48" s="1"/>
  <c r="O59" i="48" s="1"/>
  <c r="O60" i="48" s="1"/>
  <c r="O61" i="48" s="1"/>
  <c r="O62" i="48" s="1"/>
  <c r="O63" i="48" s="1"/>
  <c r="O64" i="48" s="1"/>
  <c r="O65" i="48" s="1"/>
  <c r="O66" i="48" s="1"/>
  <c r="O67" i="48" s="1"/>
  <c r="O68" i="48" s="1"/>
  <c r="O69" i="48" s="1"/>
  <c r="O70" i="48" s="1"/>
  <c r="O71" i="48" s="1"/>
  <c r="O72" i="48" s="1"/>
  <c r="O73" i="48" s="1"/>
  <c r="O74" i="48" s="1"/>
  <c r="O75" i="48" s="1"/>
  <c r="O76" i="48" s="1"/>
  <c r="O77" i="48" s="1"/>
  <c r="O78" i="48" s="1"/>
  <c r="O79" i="48" s="1"/>
  <c r="O80" i="48" s="1"/>
  <c r="O81" i="48" s="1"/>
  <c r="O82" i="48" s="1"/>
  <c r="O83" i="48" s="1"/>
  <c r="O84" i="48" s="1"/>
  <c r="O85" i="48" s="1"/>
  <c r="O86" i="48" s="1"/>
  <c r="O87" i="48" s="1"/>
  <c r="O88" i="48" s="1"/>
  <c r="O89" i="48" s="1"/>
  <c r="O90" i="48" s="1"/>
  <c r="O91" i="48" s="1"/>
  <c r="O92" i="48" s="1"/>
  <c r="O93" i="48" s="1"/>
  <c r="O94" i="48" s="1"/>
  <c r="O95" i="48" s="1"/>
  <c r="O96" i="48" s="1"/>
  <c r="O97" i="48" s="1"/>
  <c r="O98" i="48" s="1"/>
  <c r="O99" i="48" s="1"/>
  <c r="O100" i="48" s="1"/>
  <c r="O101" i="48" s="1"/>
  <c r="O102" i="48" s="1"/>
  <c r="O103" i="48" s="1"/>
  <c r="O104" i="48" s="1"/>
  <c r="O105" i="48" s="1"/>
  <c r="O106" i="48" s="1"/>
  <c r="O107" i="48" s="1"/>
  <c r="O108" i="48" s="1"/>
  <c r="O109" i="48" s="1"/>
  <c r="O110" i="48" s="1"/>
  <c r="O111" i="48" s="1"/>
  <c r="O112" i="48" s="1"/>
  <c r="O113" i="48" s="1"/>
  <c r="O114" i="48" s="1"/>
  <c r="O115" i="48" s="1"/>
  <c r="O116" i="48" s="1"/>
  <c r="O117" i="48" s="1"/>
  <c r="O118" i="48" s="1"/>
  <c r="O119" i="48" s="1"/>
  <c r="O120" i="48" s="1"/>
  <c r="O121" i="48" s="1"/>
  <c r="O122" i="48" s="1"/>
  <c r="O123" i="48" s="1"/>
  <c r="O124" i="48" s="1"/>
  <c r="O125" i="48" s="1"/>
  <c r="O126" i="48" s="1"/>
  <c r="O127" i="48" s="1"/>
  <c r="O128" i="48" s="1"/>
  <c r="O129" i="48" s="1"/>
  <c r="O130" i="48" s="1"/>
  <c r="O131" i="48" s="1"/>
  <c r="O132" i="48" s="1"/>
  <c r="O133" i="48" s="1"/>
  <c r="O134" i="48" s="1"/>
  <c r="O135" i="48" s="1"/>
  <c r="O136" i="48" s="1"/>
  <c r="O137" i="48" s="1"/>
  <c r="O138" i="48" s="1"/>
  <c r="O139" i="48" s="1"/>
  <c r="O140" i="48" s="1"/>
  <c r="O141" i="48" s="1"/>
  <c r="O142" i="48" s="1"/>
  <c r="O143" i="48" s="1"/>
  <c r="O144" i="48" s="1"/>
  <c r="O145" i="48" s="1"/>
  <c r="O146" i="48" s="1"/>
  <c r="O147" i="48" s="1"/>
  <c r="O148" i="48" s="1"/>
  <c r="O149" i="48" s="1"/>
  <c r="O150" i="48" s="1"/>
  <c r="O151" i="48" s="1"/>
  <c r="O152" i="48" s="1"/>
  <c r="O153" i="48" s="1"/>
  <c r="O154" i="48" s="1"/>
  <c r="O155" i="48" s="1"/>
  <c r="O156" i="48" s="1"/>
  <c r="O157" i="48" s="1"/>
  <c r="O158" i="48" s="1"/>
  <c r="O159" i="48" s="1"/>
  <c r="O160" i="48" s="1"/>
  <c r="O161" i="48" s="1"/>
  <c r="O162" i="48" s="1"/>
  <c r="O163" i="48" s="1"/>
  <c r="O164" i="48" s="1"/>
  <c r="O165" i="48" s="1"/>
  <c r="O166" i="48" s="1"/>
  <c r="O167" i="48" s="1"/>
  <c r="O168" i="48" s="1"/>
  <c r="O169" i="48" s="1"/>
  <c r="O170" i="48" s="1"/>
  <c r="O171" i="48" s="1"/>
  <c r="O172" i="48" s="1"/>
  <c r="O173" i="48" s="1"/>
  <c r="O174" i="48" s="1"/>
  <c r="O175" i="48" s="1"/>
  <c r="O176" i="48" s="1"/>
  <c r="O177" i="48" s="1"/>
  <c r="O178" i="48" s="1"/>
  <c r="O179" i="48" s="1"/>
  <c r="O180" i="48" s="1"/>
  <c r="O181" i="48" s="1"/>
  <c r="O182" i="48" s="1"/>
  <c r="O183" i="48" s="1"/>
  <c r="O184" i="48" s="1"/>
  <c r="O185" i="48" s="1"/>
  <c r="O186" i="48" s="1"/>
  <c r="O187" i="48" s="1"/>
  <c r="O188" i="48" s="1"/>
  <c r="O189" i="48" s="1"/>
  <c r="O190" i="48" s="1"/>
  <c r="O191" i="48" s="1"/>
  <c r="O192" i="48" s="1"/>
  <c r="O193" i="48" s="1"/>
  <c r="O194" i="48" s="1"/>
  <c r="O195" i="48" s="1"/>
  <c r="O196" i="48" s="1"/>
  <c r="O197" i="48" s="1"/>
  <c r="O198" i="48" s="1"/>
  <c r="O199" i="48" s="1"/>
  <c r="O200" i="48" s="1"/>
  <c r="O201" i="48" s="1"/>
  <c r="O202" i="48" s="1"/>
  <c r="O203" i="48" s="1"/>
  <c r="O204" i="48" s="1"/>
  <c r="O205" i="48" s="1"/>
  <c r="O206" i="48" s="1"/>
  <c r="O207" i="48" s="1"/>
  <c r="O208" i="48" s="1"/>
  <c r="O209" i="48" s="1"/>
  <c r="O210" i="48" s="1"/>
  <c r="O211" i="48" s="1"/>
  <c r="O212" i="48" s="1"/>
  <c r="O213" i="48" s="1"/>
  <c r="O214" i="48" s="1"/>
  <c r="O215" i="48" s="1"/>
  <c r="O216" i="48" s="1"/>
  <c r="O217" i="48" s="1"/>
  <c r="O218" i="48" s="1"/>
  <c r="O219" i="48" s="1"/>
  <c r="O220" i="48" s="1"/>
  <c r="O221" i="48" s="1"/>
  <c r="O222" i="48" s="1"/>
  <c r="O223" i="48" s="1"/>
  <c r="O224" i="48" s="1"/>
  <c r="O225" i="48" s="1"/>
  <c r="O226" i="48" s="1"/>
  <c r="O227" i="48" s="1"/>
  <c r="O228" i="48" s="1"/>
  <c r="O229" i="48" s="1"/>
  <c r="O230" i="48" s="1"/>
  <c r="O231" i="48" s="1"/>
  <c r="O232" i="48" s="1"/>
  <c r="O233" i="48" s="1"/>
  <c r="O234" i="48" s="1"/>
  <c r="O235" i="48" s="1"/>
  <c r="O236" i="48" s="1"/>
  <c r="O237" i="48" s="1"/>
  <c r="O238" i="48" s="1"/>
  <c r="O239" i="48" s="1"/>
  <c r="O240" i="48" s="1"/>
  <c r="O241" i="48" s="1"/>
  <c r="O242" i="48" s="1"/>
  <c r="O243" i="48" s="1"/>
  <c r="O244" i="48" s="1"/>
  <c r="O245" i="48" s="1"/>
  <c r="O246" i="48" s="1"/>
  <c r="O247" i="48" s="1"/>
  <c r="O248" i="48" s="1"/>
  <c r="O249" i="48" s="1"/>
  <c r="O250" i="48" s="1"/>
  <c r="O251" i="48" s="1"/>
  <c r="O252" i="48" s="1"/>
  <c r="O253" i="48" s="1"/>
  <c r="O254" i="48" s="1"/>
  <c r="O255" i="48" s="1"/>
  <c r="O256" i="48" s="1"/>
  <c r="O257" i="48" s="1"/>
  <c r="O258" i="48" s="1"/>
  <c r="O259" i="48" s="1"/>
  <c r="O260" i="48" s="1"/>
  <c r="O261" i="48" s="1"/>
  <c r="O262" i="48" s="1"/>
  <c r="O263" i="48" s="1"/>
  <c r="O264" i="48" s="1"/>
  <c r="O265" i="48" s="1"/>
  <c r="O266" i="48" s="1"/>
  <c r="O267" i="48" s="1"/>
  <c r="O268" i="48" s="1"/>
  <c r="O269" i="48" s="1"/>
  <c r="O270" i="48" s="1"/>
  <c r="O271" i="48" s="1"/>
  <c r="O272" i="48" s="1"/>
  <c r="O273" i="48" s="1"/>
  <c r="O274" i="48" s="1"/>
  <c r="O275" i="48" s="1"/>
  <c r="O276" i="48" s="1"/>
  <c r="O277" i="48" s="1"/>
  <c r="O278" i="48" s="1"/>
  <c r="O279" i="48" s="1"/>
  <c r="O280" i="48" s="1"/>
  <c r="O281" i="48" s="1"/>
  <c r="O282" i="48" s="1"/>
  <c r="O283" i="48" s="1"/>
  <c r="O284" i="48" s="1"/>
  <c r="O285" i="48" s="1"/>
  <c r="O286" i="48" s="1"/>
  <c r="O287" i="48" s="1"/>
  <c r="O288" i="48" s="1"/>
  <c r="O289" i="48" s="1"/>
  <c r="O290" i="48" s="1"/>
  <c r="O291" i="48" s="1"/>
  <c r="O292" i="48" s="1"/>
  <c r="O293" i="48" s="1"/>
  <c r="O294" i="48" s="1"/>
  <c r="O295" i="48" s="1"/>
  <c r="O296" i="48" s="1"/>
  <c r="O297" i="48" s="1"/>
  <c r="O298" i="48" s="1"/>
  <c r="O299" i="48" s="1"/>
  <c r="O300" i="48" s="1"/>
  <c r="O301" i="48" s="1"/>
  <c r="O302" i="48" s="1"/>
  <c r="O303" i="48" s="1"/>
  <c r="O304" i="48" s="1"/>
  <c r="O305" i="48" s="1"/>
  <c r="O306" i="48" s="1"/>
  <c r="O307" i="48" s="1"/>
  <c r="O308" i="48" s="1"/>
  <c r="O309" i="48" s="1"/>
  <c r="O310" i="48" s="1"/>
  <c r="O311" i="48" s="1"/>
  <c r="O312" i="48" s="1"/>
  <c r="O313" i="48" s="1"/>
  <c r="O314" i="48" s="1"/>
  <c r="O315" i="48" s="1"/>
  <c r="O316" i="48" s="1"/>
  <c r="O317" i="48" s="1"/>
  <c r="O318" i="48" s="1"/>
  <c r="O319" i="48" s="1"/>
  <c r="O320" i="48" s="1"/>
  <c r="O321" i="48" s="1"/>
  <c r="O322" i="48" s="1"/>
  <c r="O323" i="48" s="1"/>
  <c r="O324" i="48" s="1"/>
  <c r="O325" i="48" s="1"/>
  <c r="O326" i="48" s="1"/>
  <c r="O327" i="48" s="1"/>
  <c r="O328" i="48" s="1"/>
  <c r="O329" i="48" s="1"/>
  <c r="O330" i="48" s="1"/>
  <c r="O331" i="48" s="1"/>
  <c r="O332" i="48" s="1"/>
  <c r="O333" i="48" s="1"/>
  <c r="O334" i="48" s="1"/>
  <c r="O335" i="48" s="1"/>
  <c r="O336" i="48" s="1"/>
  <c r="O337" i="48" s="1"/>
  <c r="O338" i="48" s="1"/>
  <c r="O339" i="48" s="1"/>
  <c r="O340" i="48" s="1"/>
  <c r="O341" i="48" s="1"/>
  <c r="O342" i="48" s="1"/>
  <c r="O343" i="48" s="1"/>
  <c r="O344" i="48" s="1"/>
  <c r="O345" i="48" s="1"/>
  <c r="O346" i="48" s="1"/>
  <c r="O347" i="48" s="1"/>
  <c r="O348" i="48" s="1"/>
  <c r="O349" i="48" s="1"/>
  <c r="O350" i="48" s="1"/>
  <c r="O351" i="48" s="1"/>
  <c r="O352" i="48" s="1"/>
  <c r="O353" i="48" s="1"/>
  <c r="O354" i="48" s="1"/>
  <c r="O355" i="48" s="1"/>
  <c r="O356" i="48" s="1"/>
  <c r="O357" i="48" s="1"/>
  <c r="O358" i="48" s="1"/>
  <c r="O359" i="48" s="1"/>
  <c r="O360" i="48" s="1"/>
  <c r="O361" i="48" s="1"/>
  <c r="O362" i="48" s="1"/>
  <c r="O363" i="48" s="1"/>
  <c r="O364" i="48" s="1"/>
  <c r="O365" i="48" s="1"/>
  <c r="O366" i="48" s="1"/>
  <c r="O367" i="48" s="1"/>
  <c r="O368" i="48" s="1"/>
  <c r="O369" i="48" s="1"/>
  <c r="O370" i="48" s="1"/>
  <c r="O371" i="48" s="1"/>
  <c r="O372" i="48" s="1"/>
  <c r="O373" i="48" s="1"/>
  <c r="O374" i="48" s="1"/>
  <c r="O375" i="48" s="1"/>
  <c r="O376" i="48" s="1"/>
  <c r="O377" i="48" s="1"/>
  <c r="O378" i="48" s="1"/>
  <c r="O379" i="48" s="1"/>
  <c r="O380" i="48" s="1"/>
  <c r="O381" i="48" s="1"/>
  <c r="O382" i="48" s="1"/>
  <c r="O383" i="48" s="1"/>
  <c r="O384" i="48" s="1"/>
  <c r="O385" i="48" s="1"/>
  <c r="O386" i="48" s="1"/>
  <c r="O387" i="48" s="1"/>
  <c r="O388" i="48" s="1"/>
  <c r="O389" i="48" s="1"/>
  <c r="O390" i="48" s="1"/>
  <c r="O391" i="48" s="1"/>
  <c r="O392" i="48" s="1"/>
  <c r="O393" i="48" s="1"/>
  <c r="O394" i="48" s="1"/>
  <c r="O395" i="48" s="1"/>
  <c r="O396" i="48" s="1"/>
  <c r="O397" i="48" s="1"/>
  <c r="O398" i="48" s="1"/>
  <c r="O399" i="48" s="1"/>
  <c r="O400" i="48" s="1"/>
  <c r="O401" i="48" s="1"/>
  <c r="O402" i="48" s="1"/>
  <c r="O403" i="48" s="1"/>
  <c r="O404" i="48" s="1"/>
  <c r="O405" i="48" s="1"/>
  <c r="O406" i="48" s="1"/>
  <c r="O407" i="48" s="1"/>
  <c r="O408" i="48" s="1"/>
  <c r="O409" i="48" s="1"/>
  <c r="O410" i="48" s="1"/>
  <c r="O411" i="48" s="1"/>
  <c r="O412" i="48" s="1"/>
  <c r="O413" i="48" s="1"/>
  <c r="O414" i="48" s="1"/>
  <c r="O415" i="48" s="1"/>
  <c r="O416" i="48" s="1"/>
  <c r="O417" i="48" s="1"/>
  <c r="O418" i="48" s="1"/>
  <c r="O419" i="48" s="1"/>
  <c r="O420" i="48" s="1"/>
  <c r="O421" i="48" s="1"/>
  <c r="O422" i="48" s="1"/>
  <c r="O423" i="48" s="1"/>
  <c r="O424" i="48" s="1"/>
  <c r="O425" i="48" s="1"/>
  <c r="O426" i="48" s="1"/>
  <c r="O427" i="48" s="1"/>
  <c r="O428" i="48" s="1"/>
  <c r="O429" i="48" s="1"/>
  <c r="O430" i="48" s="1"/>
  <c r="O431" i="48" s="1"/>
  <c r="O432" i="48" s="1"/>
  <c r="O433" i="48" s="1"/>
  <c r="O434" i="48" s="1"/>
  <c r="O435" i="48" s="1"/>
  <c r="O436" i="48" s="1"/>
  <c r="O437" i="48" s="1"/>
  <c r="O438" i="48" s="1"/>
  <c r="O439" i="48" s="1"/>
  <c r="O440" i="48" s="1"/>
  <c r="O441" i="48" s="1"/>
  <c r="O442" i="48" s="1"/>
  <c r="O443" i="48" s="1"/>
  <c r="O444" i="48" s="1"/>
  <c r="O445" i="48" s="1"/>
  <c r="O446" i="48" s="1"/>
  <c r="O447" i="48" s="1"/>
  <c r="O448" i="48" s="1"/>
  <c r="O449" i="48" s="1"/>
  <c r="O450" i="48" s="1"/>
  <c r="O451" i="48" s="1"/>
  <c r="O452" i="48" s="1"/>
  <c r="O453" i="48" s="1"/>
  <c r="O454" i="48" s="1"/>
  <c r="O455" i="48" s="1"/>
  <c r="O456" i="48" s="1"/>
  <c r="O457" i="48" s="1"/>
  <c r="O458" i="48" s="1"/>
  <c r="O459" i="48" s="1"/>
  <c r="O460" i="48" s="1"/>
  <c r="O461" i="48" s="1"/>
  <c r="O462" i="48" s="1"/>
  <c r="O463" i="48" s="1"/>
  <c r="O464" i="48" s="1"/>
  <c r="O465" i="48" s="1"/>
  <c r="O466" i="48" s="1"/>
  <c r="O467" i="48" s="1"/>
  <c r="O468" i="48" s="1"/>
  <c r="O469" i="48" s="1"/>
  <c r="O470" i="48" s="1"/>
  <c r="O471" i="48" s="1"/>
  <c r="O472" i="48" s="1"/>
  <c r="O473" i="48" s="1"/>
  <c r="O474" i="48" s="1"/>
  <c r="O475" i="48" s="1"/>
  <c r="O476" i="48" s="1"/>
  <c r="O477" i="48" s="1"/>
  <c r="O478" i="48" s="1"/>
  <c r="O479" i="48" s="1"/>
  <c r="O480" i="48" s="1"/>
  <c r="O481" i="48" s="1"/>
  <c r="O482" i="48" s="1"/>
  <c r="O483" i="48" s="1"/>
  <c r="O484" i="48" s="1"/>
  <c r="O485" i="48" s="1"/>
  <c r="O486" i="48" s="1"/>
  <c r="O487" i="48" s="1"/>
  <c r="O488" i="48" s="1"/>
  <c r="O489" i="48" s="1"/>
  <c r="O490" i="48" s="1"/>
  <c r="O491" i="48" s="1"/>
  <c r="O492" i="48" s="1"/>
  <c r="O493" i="48" s="1"/>
  <c r="O494" i="48" s="1"/>
  <c r="O495" i="48" s="1"/>
  <c r="O496" i="48" s="1"/>
  <c r="O497" i="48" s="1"/>
  <c r="O498" i="48" s="1"/>
  <c r="O499" i="48" s="1"/>
  <c r="O500" i="48" s="1"/>
  <c r="O501" i="48" s="1"/>
  <c r="O502" i="48" s="1"/>
  <c r="O503" i="48" s="1"/>
  <c r="O504" i="48" s="1"/>
  <c r="O505" i="48" s="1"/>
  <c r="O506" i="48" s="1"/>
  <c r="O507" i="48" s="1"/>
  <c r="O508" i="48" s="1"/>
  <c r="O509" i="48" s="1"/>
  <c r="O510" i="48" s="1"/>
  <c r="O511" i="48" s="1"/>
  <c r="O512" i="48" s="1"/>
  <c r="O513" i="48" s="1"/>
  <c r="O514" i="48" s="1"/>
  <c r="O515" i="48" s="1"/>
  <c r="O516" i="48" s="1"/>
  <c r="O517" i="48" s="1"/>
  <c r="O518" i="48" s="1"/>
  <c r="O519" i="48" s="1"/>
  <c r="O520" i="48" s="1"/>
  <c r="O521" i="48" s="1"/>
  <c r="O522" i="48" s="1"/>
  <c r="O523" i="48" s="1"/>
  <c r="O524" i="48" s="1"/>
  <c r="O525" i="48" s="1"/>
  <c r="O526" i="48" s="1"/>
  <c r="O527" i="48" s="1"/>
  <c r="O528" i="48" s="1"/>
  <c r="O529" i="48" s="1"/>
  <c r="O530" i="48" s="1"/>
  <c r="O531" i="48" s="1"/>
  <c r="O532" i="48" s="1"/>
  <c r="O533" i="48" s="1"/>
  <c r="O534" i="48" s="1"/>
  <c r="O535" i="48" s="1"/>
  <c r="O536" i="48" s="1"/>
  <c r="O537" i="48" s="1"/>
  <c r="O538" i="48" s="1"/>
  <c r="O539" i="48" s="1"/>
  <c r="O540" i="48" s="1"/>
  <c r="O541" i="48" s="1"/>
  <c r="O542" i="48" s="1"/>
  <c r="O543" i="48" s="1"/>
  <c r="O544" i="48" s="1"/>
  <c r="O545" i="48" s="1"/>
  <c r="O546" i="48" s="1"/>
  <c r="O547" i="48" s="1"/>
  <c r="O548" i="48" s="1"/>
  <c r="O549" i="48" s="1"/>
  <c r="O550" i="48" s="1"/>
  <c r="O551" i="48" s="1"/>
  <c r="O552" i="48" s="1"/>
  <c r="O553" i="48" s="1"/>
  <c r="O554" i="48" s="1"/>
  <c r="O555" i="48" s="1"/>
  <c r="O556" i="48" s="1"/>
  <c r="O557" i="48" s="1"/>
  <c r="O558" i="48" s="1"/>
  <c r="O559" i="48" s="1"/>
  <c r="O560" i="48" s="1"/>
  <c r="O561" i="48" s="1"/>
  <c r="O562" i="48" s="1"/>
  <c r="O563" i="48" s="1"/>
  <c r="O564" i="48" s="1"/>
  <c r="O565" i="48" s="1"/>
  <c r="O566" i="48" s="1"/>
  <c r="O567" i="48" s="1"/>
  <c r="O568" i="48" s="1"/>
  <c r="O569" i="48" s="1"/>
  <c r="O570" i="48" s="1"/>
  <c r="O571" i="48" s="1"/>
  <c r="O572" i="48" s="1"/>
  <c r="O573" i="48" s="1"/>
  <c r="O574" i="48" s="1"/>
  <c r="O575" i="48" s="1"/>
  <c r="O576" i="48" s="1"/>
  <c r="O577" i="48" s="1"/>
  <c r="O578" i="48" s="1"/>
  <c r="O579" i="48" s="1"/>
  <c r="O580" i="48" s="1"/>
  <c r="O581" i="48" s="1"/>
  <c r="O582" i="48" s="1"/>
  <c r="O583" i="48" s="1"/>
  <c r="O584" i="48" s="1"/>
  <c r="O585" i="48" s="1"/>
  <c r="O586" i="48" s="1"/>
  <c r="O587" i="48" s="1"/>
  <c r="O588" i="48" s="1"/>
  <c r="O589" i="48" s="1"/>
  <c r="O590" i="48" s="1"/>
  <c r="O591" i="48" s="1"/>
  <c r="O592" i="48" s="1"/>
  <c r="O593" i="48" s="1"/>
  <c r="O594" i="48" s="1"/>
  <c r="O595" i="48" s="1"/>
  <c r="O596" i="48" s="1"/>
  <c r="O597" i="48" s="1"/>
  <c r="O598" i="48" s="1"/>
  <c r="O599" i="48" s="1"/>
  <c r="O600" i="48" s="1"/>
  <c r="O601" i="48" s="1"/>
  <c r="O602" i="48" s="1"/>
  <c r="O603" i="48" s="1"/>
  <c r="O604" i="48" s="1"/>
  <c r="O605" i="48" s="1"/>
  <c r="O606" i="48" s="1"/>
  <c r="O607" i="48" s="1"/>
  <c r="O608" i="48" s="1"/>
  <c r="O609" i="48" s="1"/>
  <c r="O610" i="48" s="1"/>
  <c r="O611" i="48" s="1"/>
  <c r="O612" i="48" s="1"/>
  <c r="O613" i="48" s="1"/>
  <c r="O614" i="48" s="1"/>
  <c r="O615" i="48" s="1"/>
  <c r="O616" i="48" s="1"/>
  <c r="O617" i="48" s="1"/>
  <c r="O618" i="48" s="1"/>
  <c r="O619" i="48" s="1"/>
  <c r="O620" i="48" s="1"/>
  <c r="O621" i="48" s="1"/>
  <c r="O622" i="48" s="1"/>
  <c r="O623" i="48" s="1"/>
  <c r="O624" i="48" s="1"/>
  <c r="O625" i="48" s="1"/>
  <c r="O626" i="48" s="1"/>
  <c r="O627" i="48" s="1"/>
  <c r="O628" i="48" s="1"/>
  <c r="O629" i="48" s="1"/>
  <c r="O630" i="48" s="1"/>
  <c r="O631" i="48" s="1"/>
  <c r="O632" i="48" s="1"/>
  <c r="O633" i="48" s="1"/>
  <c r="L3" i="48"/>
  <c r="J3" i="48"/>
  <c r="I3" i="48"/>
  <c r="H3" i="48"/>
  <c r="G3" i="48"/>
  <c r="L2" i="48"/>
  <c r="J2" i="48"/>
  <c r="I2" i="48"/>
  <c r="H2" i="48"/>
  <c r="G2" i="48"/>
  <c r="L3" i="43"/>
  <c r="K7" i="41"/>
  <c r="K5" i="41"/>
  <c r="L4" i="41"/>
  <c r="L7" i="41" s="1"/>
  <c r="F244" i="48" l="1"/>
  <c r="F101" i="48"/>
  <c r="F8" i="48"/>
  <c r="F104" i="48"/>
  <c r="F72" i="48"/>
  <c r="F133" i="48"/>
  <c r="F136" i="48"/>
  <c r="F40" i="48"/>
  <c r="F200" i="48"/>
  <c r="F168" i="48"/>
  <c r="F52" i="48"/>
  <c r="F84" i="48"/>
  <c r="F148" i="48"/>
  <c r="F180" i="48"/>
  <c r="F212" i="48"/>
  <c r="F20" i="48"/>
  <c r="F24" i="48"/>
  <c r="F56" i="48"/>
  <c r="F88" i="48"/>
  <c r="F117" i="48"/>
  <c r="F120" i="48"/>
  <c r="F152" i="48"/>
  <c r="F184" i="48"/>
  <c r="F228" i="48"/>
  <c r="F4" i="48"/>
  <c r="F36" i="48"/>
  <c r="F68" i="48"/>
  <c r="F164" i="48"/>
  <c r="F196" i="48"/>
  <c r="F232" i="48"/>
  <c r="F216" i="48"/>
  <c r="F60" i="48"/>
  <c r="F76" i="48"/>
  <c r="F92" i="48"/>
  <c r="F140" i="48"/>
  <c r="F156" i="48"/>
  <c r="F172" i="48"/>
  <c r="F188" i="48"/>
  <c r="F204" i="48"/>
  <c r="F220" i="48"/>
  <c r="F236" i="48"/>
  <c r="F247" i="48"/>
  <c r="H5" i="43"/>
  <c r="F12" i="48"/>
  <c r="F28" i="48"/>
  <c r="F44" i="48"/>
  <c r="F16" i="48"/>
  <c r="F32" i="48"/>
  <c r="F48" i="48"/>
  <c r="F64" i="48"/>
  <c r="F80" i="48"/>
  <c r="F96" i="48"/>
  <c r="F109" i="48"/>
  <c r="F112" i="48"/>
  <c r="F125" i="48"/>
  <c r="F128" i="48"/>
  <c r="F144" i="48"/>
  <c r="F160" i="48"/>
  <c r="F176" i="48"/>
  <c r="F192" i="48"/>
  <c r="F208" i="48"/>
  <c r="F224" i="48"/>
  <c r="U247" i="48"/>
  <c r="V247" i="48" s="1"/>
  <c r="T269" i="48"/>
  <c r="L5" i="41"/>
  <c r="H250" i="48"/>
  <c r="G250" i="48"/>
  <c r="J250" i="48"/>
  <c r="I250" i="48"/>
  <c r="T260" i="48"/>
  <c r="K4" i="43" s="1"/>
  <c r="F241" i="48"/>
  <c r="F237" i="48"/>
  <c r="F233" i="48"/>
  <c r="F229" i="48"/>
  <c r="F225" i="48"/>
  <c r="F221" i="48"/>
  <c r="F217" i="48"/>
  <c r="F213" i="48"/>
  <c r="F209" i="48"/>
  <c r="F205" i="48"/>
  <c r="F201" i="48"/>
  <c r="F197" i="48"/>
  <c r="F193" i="48"/>
  <c r="F189" i="48"/>
  <c r="F185" i="48"/>
  <c r="F181" i="48"/>
  <c r="F177" i="48"/>
  <c r="F173" i="48"/>
  <c r="F169" i="48"/>
  <c r="F165" i="48"/>
  <c r="F161" i="48"/>
  <c r="F157" i="48"/>
  <c r="F153" i="48"/>
  <c r="F149" i="48"/>
  <c r="F145" i="48"/>
  <c r="F141" i="48"/>
  <c r="F137" i="48"/>
  <c r="F248" i="48"/>
  <c r="F242" i="48"/>
  <c r="F238" i="48"/>
  <c r="F234" i="48"/>
  <c r="F230" i="48"/>
  <c r="F226" i="48"/>
  <c r="F222" i="48"/>
  <c r="F218" i="48"/>
  <c r="F214" i="48"/>
  <c r="F210" i="48"/>
  <c r="F206" i="48"/>
  <c r="F202" i="48"/>
  <c r="F198" i="48"/>
  <c r="F194" i="48"/>
  <c r="F190" i="48"/>
  <c r="F186" i="48"/>
  <c r="F182" i="48"/>
  <c r="F178" i="48"/>
  <c r="F174" i="48"/>
  <c r="F170" i="48"/>
  <c r="F166" i="48"/>
  <c r="F162" i="48"/>
  <c r="F158" i="48"/>
  <c r="F154" i="48"/>
  <c r="F150" i="48"/>
  <c r="F146" i="48"/>
  <c r="F142" i="48"/>
  <c r="F138" i="48"/>
  <c r="F134" i="48"/>
  <c r="F130" i="48"/>
  <c r="F126" i="48"/>
  <c r="F122" i="48"/>
  <c r="F118" i="48"/>
  <c r="F114" i="48"/>
  <c r="F110" i="48"/>
  <c r="F106" i="48"/>
  <c r="F102" i="48"/>
  <c r="F98" i="48"/>
  <c r="F245" i="48"/>
  <c r="F131" i="48"/>
  <c r="F123" i="48"/>
  <c r="F115" i="48"/>
  <c r="F107" i="48"/>
  <c r="F99" i="48"/>
  <c r="F93" i="48"/>
  <c r="F89" i="48"/>
  <c r="F85" i="48"/>
  <c r="F81" i="48"/>
  <c r="F77" i="48"/>
  <c r="F73" i="48"/>
  <c r="F69" i="48"/>
  <c r="F65" i="48"/>
  <c r="F61" i="48"/>
  <c r="F57" i="48"/>
  <c r="F53" i="48"/>
  <c r="F49" i="48"/>
  <c r="F45" i="48"/>
  <c r="F41" i="48"/>
  <c r="F37" i="48"/>
  <c r="F33" i="48"/>
  <c r="F29" i="48"/>
  <c r="F25" i="48"/>
  <c r="F21" i="48"/>
  <c r="F17" i="48"/>
  <c r="F13" i="48"/>
  <c r="F9" i="48"/>
  <c r="F5" i="48"/>
  <c r="F2" i="48"/>
  <c r="H6" i="41"/>
  <c r="F100" i="48"/>
  <c r="F90" i="48"/>
  <c r="F86" i="48"/>
  <c r="F78" i="48"/>
  <c r="F74" i="48"/>
  <c r="F66" i="48"/>
  <c r="F62" i="48"/>
  <c r="F58" i="48"/>
  <c r="F50" i="48"/>
  <c r="F38" i="48"/>
  <c r="F30" i="48"/>
  <c r="F22" i="48"/>
  <c r="F14" i="48"/>
  <c r="F6" i="48"/>
  <c r="F246" i="48"/>
  <c r="F119" i="48"/>
  <c r="F103" i="48"/>
  <c r="F91" i="48"/>
  <c r="F83" i="48"/>
  <c r="F75" i="48"/>
  <c r="F67" i="48"/>
  <c r="F59" i="48"/>
  <c r="F51" i="48"/>
  <c r="F43" i="48"/>
  <c r="F35" i="48"/>
  <c r="F27" i="48"/>
  <c r="F19" i="48"/>
  <c r="F11" i="48"/>
  <c r="F3" i="48"/>
  <c r="F249" i="48"/>
  <c r="F243" i="48"/>
  <c r="F239" i="48"/>
  <c r="F235" i="48"/>
  <c r="F231" i="48"/>
  <c r="F227" i="48"/>
  <c r="F223" i="48"/>
  <c r="F219" i="48"/>
  <c r="F215" i="48"/>
  <c r="F211" i="48"/>
  <c r="F207" i="48"/>
  <c r="F203" i="48"/>
  <c r="F199" i="48"/>
  <c r="F195" i="48"/>
  <c r="F191" i="48"/>
  <c r="F187" i="48"/>
  <c r="F183" i="48"/>
  <c r="F179" i="48"/>
  <c r="F175" i="48"/>
  <c r="F171" i="48"/>
  <c r="F167" i="48"/>
  <c r="F163" i="48"/>
  <c r="F159" i="48"/>
  <c r="F155" i="48"/>
  <c r="F151" i="48"/>
  <c r="F147" i="48"/>
  <c r="F143" i="48"/>
  <c r="F139" i="48"/>
  <c r="F132" i="48"/>
  <c r="F129" i="48"/>
  <c r="F124" i="48"/>
  <c r="F121" i="48"/>
  <c r="F116" i="48"/>
  <c r="F113" i="48"/>
  <c r="F108" i="48"/>
  <c r="F105" i="48"/>
  <c r="F97" i="48"/>
  <c r="F94" i="48"/>
  <c r="F82" i="48"/>
  <c r="F70" i="48"/>
  <c r="F54" i="48"/>
  <c r="F46" i="48"/>
  <c r="F42" i="48"/>
  <c r="F34" i="48"/>
  <c r="F26" i="48"/>
  <c r="F18" i="48"/>
  <c r="F10" i="48"/>
  <c r="F250" i="48"/>
  <c r="F135" i="48"/>
  <c r="F127" i="48"/>
  <c r="F111" i="48"/>
  <c r="F95" i="48"/>
  <c r="F87" i="48"/>
  <c r="F79" i="48"/>
  <c r="F71" i="48"/>
  <c r="F63" i="48"/>
  <c r="F55" i="48"/>
  <c r="F47" i="48"/>
  <c r="F39" i="48"/>
  <c r="F31" i="48"/>
  <c r="F23" i="48"/>
  <c r="F15" i="48"/>
  <c r="F7" i="48"/>
  <c r="T254" i="48"/>
  <c r="H4" i="43" s="1"/>
  <c r="P251" i="48"/>
  <c r="U265" i="48" s="1"/>
  <c r="T255" i="48"/>
  <c r="Q250" i="48"/>
  <c r="T267" i="48"/>
  <c r="T264" i="48"/>
  <c r="T247" i="48"/>
  <c r="H8" i="41" l="1"/>
  <c r="T270" i="48"/>
  <c r="T271" i="48" s="1"/>
  <c r="T272" i="48" s="1"/>
  <c r="T263" i="48" s="1"/>
  <c r="B6" i="43" s="1"/>
  <c r="E6" i="43" s="1"/>
  <c r="F251" i="48"/>
  <c r="F252" i="48" s="1"/>
  <c r="F253" i="48" s="1"/>
  <c r="F254" i="48" s="1"/>
  <c r="F255" i="48" s="1"/>
  <c r="F256" i="48" s="1"/>
  <c r="F257" i="48" s="1"/>
  <c r="F258" i="48" s="1"/>
  <c r="F259" i="48" s="1"/>
  <c r="F260" i="48" s="1"/>
  <c r="F261" i="48" s="1"/>
  <c r="F262" i="48" s="1"/>
  <c r="F263" i="48" s="1"/>
  <c r="F264" i="48" s="1"/>
  <c r="F265" i="48" s="1"/>
  <c r="F266" i="48" s="1"/>
  <c r="F267" i="48" s="1"/>
  <c r="F268" i="48" s="1"/>
  <c r="F269" i="48" s="1"/>
  <c r="F270" i="48" s="1"/>
  <c r="F271" i="48" s="1"/>
  <c r="F272" i="48" s="1"/>
  <c r="F273" i="48" s="1"/>
  <c r="F274" i="48" s="1"/>
  <c r="F275" i="48" s="1"/>
  <c r="F276" i="48" s="1"/>
  <c r="F277" i="48" s="1"/>
  <c r="F278" i="48" s="1"/>
  <c r="F279" i="48" s="1"/>
  <c r="F280" i="48" s="1"/>
  <c r="F281" i="48" s="1"/>
  <c r="F282" i="48" s="1"/>
  <c r="F283" i="48" s="1"/>
  <c r="F284" i="48" s="1"/>
  <c r="F285" i="48" s="1"/>
  <c r="F286" i="48" s="1"/>
  <c r="F287" i="48" s="1"/>
  <c r="F288" i="48" s="1"/>
  <c r="F289" i="48" s="1"/>
  <c r="F290" i="48" s="1"/>
  <c r="F291" i="48" s="1"/>
  <c r="F292" i="48" s="1"/>
  <c r="F293" i="48" s="1"/>
  <c r="F294" i="48" s="1"/>
  <c r="F295" i="48" s="1"/>
  <c r="F296" i="48" s="1"/>
  <c r="F297" i="48" s="1"/>
  <c r="F298" i="48" s="1"/>
  <c r="F299" i="48" s="1"/>
  <c r="F300" i="48" s="1"/>
  <c r="F301" i="48" s="1"/>
  <c r="F302" i="48" s="1"/>
  <c r="F303" i="48" s="1"/>
  <c r="F304" i="48" s="1"/>
  <c r="F305" i="48" s="1"/>
  <c r="F306" i="48" s="1"/>
  <c r="F307" i="48" s="1"/>
  <c r="F308" i="48" s="1"/>
  <c r="F309" i="48" s="1"/>
  <c r="F310" i="48" s="1"/>
  <c r="F311" i="48" s="1"/>
  <c r="F312" i="48" s="1"/>
  <c r="F313" i="48" s="1"/>
  <c r="F314" i="48" s="1"/>
  <c r="F315" i="48" s="1"/>
  <c r="F316" i="48" s="1"/>
  <c r="F317" i="48" s="1"/>
  <c r="F318" i="48" s="1"/>
  <c r="F319" i="48" s="1"/>
  <c r="F320" i="48" s="1"/>
  <c r="F321" i="48" s="1"/>
  <c r="F322" i="48" s="1"/>
  <c r="F323" i="48" s="1"/>
  <c r="F324" i="48" s="1"/>
  <c r="F325" i="48" s="1"/>
  <c r="F326" i="48" s="1"/>
  <c r="F327" i="48" s="1"/>
  <c r="F328" i="48" s="1"/>
  <c r="F329" i="48" s="1"/>
  <c r="F330" i="48" s="1"/>
  <c r="F331" i="48" s="1"/>
  <c r="F332" i="48" s="1"/>
  <c r="F333" i="48" s="1"/>
  <c r="F334" i="48" s="1"/>
  <c r="F335" i="48" s="1"/>
  <c r="F336" i="48" s="1"/>
  <c r="F337" i="48" s="1"/>
  <c r="F338" i="48" s="1"/>
  <c r="F339" i="48" s="1"/>
  <c r="F340" i="48" s="1"/>
  <c r="F341" i="48" s="1"/>
  <c r="F342" i="48" s="1"/>
  <c r="F343" i="48" s="1"/>
  <c r="F344" i="48" s="1"/>
  <c r="F345" i="48" s="1"/>
  <c r="F346" i="48" s="1"/>
  <c r="F347" i="48" s="1"/>
  <c r="F348" i="48" s="1"/>
  <c r="F349" i="48" s="1"/>
  <c r="F350" i="48" s="1"/>
  <c r="F351" i="48" s="1"/>
  <c r="F352" i="48" s="1"/>
  <c r="F353" i="48" s="1"/>
  <c r="F354" i="48" s="1"/>
  <c r="F355" i="48" s="1"/>
  <c r="F356" i="48" s="1"/>
  <c r="F357" i="48" s="1"/>
  <c r="F358" i="48" s="1"/>
  <c r="F359" i="48" s="1"/>
  <c r="F360" i="48" s="1"/>
  <c r="F361" i="48" s="1"/>
  <c r="F362" i="48" s="1"/>
  <c r="F363" i="48" s="1"/>
  <c r="F364" i="48" s="1"/>
  <c r="F365" i="48" s="1"/>
  <c r="F366" i="48" s="1"/>
  <c r="F367" i="48" s="1"/>
  <c r="F368" i="48" s="1"/>
  <c r="F369" i="48" s="1"/>
  <c r="F370" i="48" s="1"/>
  <c r="F371" i="48" s="1"/>
  <c r="F372" i="48" s="1"/>
  <c r="F373" i="48" s="1"/>
  <c r="F374" i="48" s="1"/>
  <c r="F375" i="48" s="1"/>
  <c r="F376" i="48" s="1"/>
  <c r="F377" i="48" s="1"/>
  <c r="F378" i="48" s="1"/>
  <c r="F379" i="48" s="1"/>
  <c r="F380" i="48" s="1"/>
  <c r="F381" i="48" s="1"/>
  <c r="F382" i="48" s="1"/>
  <c r="F383" i="48" s="1"/>
  <c r="F384" i="48" s="1"/>
  <c r="F385" i="48" s="1"/>
  <c r="F386" i="48" s="1"/>
  <c r="F387" i="48" s="1"/>
  <c r="F388" i="48" s="1"/>
  <c r="F389" i="48" s="1"/>
  <c r="F390" i="48" s="1"/>
  <c r="F391" i="48" s="1"/>
  <c r="F392" i="48" s="1"/>
  <c r="F393" i="48" s="1"/>
  <c r="F394" i="48" s="1"/>
  <c r="F395" i="48" s="1"/>
  <c r="F396" i="48" s="1"/>
  <c r="F397" i="48" s="1"/>
  <c r="F398" i="48" s="1"/>
  <c r="F399" i="48" s="1"/>
  <c r="F400" i="48" s="1"/>
  <c r="F401" i="48" s="1"/>
  <c r="F402" i="48" s="1"/>
  <c r="F403" i="48" s="1"/>
  <c r="F404" i="48" s="1"/>
  <c r="F405" i="48" s="1"/>
  <c r="F406" i="48" s="1"/>
  <c r="F407" i="48" s="1"/>
  <c r="F408" i="48" s="1"/>
  <c r="F409" i="48" s="1"/>
  <c r="F410" i="48" s="1"/>
  <c r="F411" i="48" s="1"/>
  <c r="F412" i="48" s="1"/>
  <c r="F413" i="48" s="1"/>
  <c r="F414" i="48" s="1"/>
  <c r="F415" i="48" s="1"/>
  <c r="F416" i="48" s="1"/>
  <c r="F417" i="48" s="1"/>
  <c r="F418" i="48" s="1"/>
  <c r="F419" i="48" s="1"/>
  <c r="F420" i="48" s="1"/>
  <c r="F421" i="48" s="1"/>
  <c r="F422" i="48" s="1"/>
  <c r="F423" i="48" s="1"/>
  <c r="F424" i="48" s="1"/>
  <c r="F425" i="48" s="1"/>
  <c r="F426" i="48" s="1"/>
  <c r="F427" i="48" s="1"/>
  <c r="F428" i="48" s="1"/>
  <c r="F429" i="48" s="1"/>
  <c r="F430" i="48" s="1"/>
  <c r="F431" i="48" s="1"/>
  <c r="F432" i="48" s="1"/>
  <c r="F433" i="48" s="1"/>
  <c r="F434" i="48" s="1"/>
  <c r="F435" i="48" s="1"/>
  <c r="F436" i="48" s="1"/>
  <c r="F437" i="48" s="1"/>
  <c r="F438" i="48" s="1"/>
  <c r="F439" i="48" s="1"/>
  <c r="F440" i="48" s="1"/>
  <c r="F441" i="48" s="1"/>
  <c r="F442" i="48" s="1"/>
  <c r="F443" i="48" s="1"/>
  <c r="F444" i="48" s="1"/>
  <c r="F445" i="48" s="1"/>
  <c r="F446" i="48" s="1"/>
  <c r="F447" i="48" s="1"/>
  <c r="F448" i="48" s="1"/>
  <c r="F449" i="48" s="1"/>
  <c r="F450" i="48" s="1"/>
  <c r="F451" i="48" s="1"/>
  <c r="F452" i="48" s="1"/>
  <c r="F453" i="48" s="1"/>
  <c r="F454" i="48" s="1"/>
  <c r="F455" i="48" s="1"/>
  <c r="F456" i="48" s="1"/>
  <c r="F457" i="48" s="1"/>
  <c r="F458" i="48" s="1"/>
  <c r="F459" i="48" s="1"/>
  <c r="F460" i="48" s="1"/>
  <c r="F461" i="48" s="1"/>
  <c r="F462" i="48" s="1"/>
  <c r="F463" i="48" s="1"/>
  <c r="F464" i="48" s="1"/>
  <c r="F465" i="48" s="1"/>
  <c r="F466" i="48" s="1"/>
  <c r="F467" i="48" s="1"/>
  <c r="F468" i="48" s="1"/>
  <c r="F469" i="48" s="1"/>
  <c r="F470" i="48" s="1"/>
  <c r="F471" i="48" s="1"/>
  <c r="F472" i="48" s="1"/>
  <c r="F473" i="48" s="1"/>
  <c r="F474" i="48" s="1"/>
  <c r="F475" i="48" s="1"/>
  <c r="F476" i="48" s="1"/>
  <c r="F477" i="48" s="1"/>
  <c r="F478" i="48" s="1"/>
  <c r="F479" i="48" s="1"/>
  <c r="F480" i="48" s="1"/>
  <c r="F481" i="48" s="1"/>
  <c r="F482" i="48" s="1"/>
  <c r="F483" i="48" s="1"/>
  <c r="F484" i="48" s="1"/>
  <c r="F485" i="48" s="1"/>
  <c r="F486" i="48" s="1"/>
  <c r="F487" i="48" s="1"/>
  <c r="F488" i="48" s="1"/>
  <c r="F489" i="48" s="1"/>
  <c r="F490" i="48" s="1"/>
  <c r="F491" i="48" s="1"/>
  <c r="F492" i="48" s="1"/>
  <c r="F493" i="48" s="1"/>
  <c r="F494" i="48" s="1"/>
  <c r="F495" i="48" s="1"/>
  <c r="F496" i="48" s="1"/>
  <c r="F497" i="48" s="1"/>
  <c r="F498" i="48" s="1"/>
  <c r="F499" i="48" s="1"/>
  <c r="F500" i="48" s="1"/>
  <c r="F501" i="48" s="1"/>
  <c r="F502" i="48" s="1"/>
  <c r="F503" i="48" s="1"/>
  <c r="F504" i="48" s="1"/>
  <c r="F505" i="48" s="1"/>
  <c r="F506" i="48" s="1"/>
  <c r="F507" i="48" s="1"/>
  <c r="F508" i="48" s="1"/>
  <c r="F509" i="48" s="1"/>
  <c r="F510" i="48" s="1"/>
  <c r="F511" i="48" s="1"/>
  <c r="F512" i="48" s="1"/>
  <c r="F513" i="48" s="1"/>
  <c r="F514" i="48" s="1"/>
  <c r="F515" i="48" s="1"/>
  <c r="F516" i="48" s="1"/>
  <c r="F517" i="48" s="1"/>
  <c r="F518" i="48" s="1"/>
  <c r="F519" i="48" s="1"/>
  <c r="F520" i="48" s="1"/>
  <c r="F521" i="48" s="1"/>
  <c r="F522" i="48" s="1"/>
  <c r="F523" i="48" s="1"/>
  <c r="F524" i="48" s="1"/>
  <c r="F525" i="48" s="1"/>
  <c r="F526" i="48" s="1"/>
  <c r="F527" i="48" s="1"/>
  <c r="F528" i="48" s="1"/>
  <c r="F529" i="48" s="1"/>
  <c r="F530" i="48" s="1"/>
  <c r="F531" i="48" s="1"/>
  <c r="F532" i="48" s="1"/>
  <c r="F533" i="48" s="1"/>
  <c r="F534" i="48" s="1"/>
  <c r="F535" i="48" s="1"/>
  <c r="F536" i="48" s="1"/>
  <c r="F537" i="48" s="1"/>
  <c r="F538" i="48" s="1"/>
  <c r="F539" i="48" s="1"/>
  <c r="F540" i="48" s="1"/>
  <c r="F541" i="48" s="1"/>
  <c r="F542" i="48" s="1"/>
  <c r="F543" i="48" s="1"/>
  <c r="F544" i="48" s="1"/>
  <c r="F545" i="48" s="1"/>
  <c r="F546" i="48" s="1"/>
  <c r="F547" i="48" s="1"/>
  <c r="F548" i="48" s="1"/>
  <c r="F549" i="48" s="1"/>
  <c r="F550" i="48" s="1"/>
  <c r="F551" i="48" s="1"/>
  <c r="F552" i="48" s="1"/>
  <c r="F553" i="48" s="1"/>
  <c r="F554" i="48" s="1"/>
  <c r="F555" i="48" s="1"/>
  <c r="F556" i="48" s="1"/>
  <c r="F557" i="48" s="1"/>
  <c r="F558" i="48" s="1"/>
  <c r="F559" i="48" s="1"/>
  <c r="F560" i="48" s="1"/>
  <c r="F561" i="48" s="1"/>
  <c r="F562" i="48" s="1"/>
  <c r="F563" i="48" s="1"/>
  <c r="F564" i="48" s="1"/>
  <c r="F565" i="48" s="1"/>
  <c r="F566" i="48" s="1"/>
  <c r="F567" i="48" s="1"/>
  <c r="F568" i="48" s="1"/>
  <c r="F569" i="48" s="1"/>
  <c r="F570" i="48" s="1"/>
  <c r="F571" i="48" s="1"/>
  <c r="F572" i="48" s="1"/>
  <c r="F573" i="48" s="1"/>
  <c r="F574" i="48" s="1"/>
  <c r="F575" i="48" s="1"/>
  <c r="F576" i="48" s="1"/>
  <c r="F577" i="48" s="1"/>
  <c r="F578" i="48" s="1"/>
  <c r="F579" i="48" s="1"/>
  <c r="F580" i="48" s="1"/>
  <c r="F581" i="48" s="1"/>
  <c r="F582" i="48" s="1"/>
  <c r="F583" i="48" s="1"/>
  <c r="F584" i="48" s="1"/>
  <c r="F585" i="48" s="1"/>
  <c r="F586" i="48" s="1"/>
  <c r="F587" i="48" s="1"/>
  <c r="F588" i="48" s="1"/>
  <c r="F589" i="48" s="1"/>
  <c r="F590" i="48" s="1"/>
  <c r="F591" i="48" s="1"/>
  <c r="F592" i="48" s="1"/>
  <c r="F593" i="48" s="1"/>
  <c r="F594" i="48" s="1"/>
  <c r="F595" i="48" s="1"/>
  <c r="F596" i="48" s="1"/>
  <c r="F597" i="48" s="1"/>
  <c r="F598" i="48" s="1"/>
  <c r="F599" i="48" s="1"/>
  <c r="F600" i="48" s="1"/>
  <c r="F601" i="48" s="1"/>
  <c r="F602" i="48" s="1"/>
  <c r="F603" i="48" s="1"/>
  <c r="F604" i="48" s="1"/>
  <c r="F605" i="48" s="1"/>
  <c r="F606" i="48" s="1"/>
  <c r="F607" i="48" s="1"/>
  <c r="F608" i="48" s="1"/>
  <c r="F609" i="48" s="1"/>
  <c r="F610" i="48" s="1"/>
  <c r="F611" i="48" s="1"/>
  <c r="F612" i="48" s="1"/>
  <c r="F613" i="48" s="1"/>
  <c r="F614" i="48" s="1"/>
  <c r="F615" i="48" s="1"/>
  <c r="F616" i="48" s="1"/>
  <c r="F617" i="48" s="1"/>
  <c r="F618" i="48" s="1"/>
  <c r="F619" i="48" s="1"/>
  <c r="F620" i="48" s="1"/>
  <c r="F621" i="48" s="1"/>
  <c r="F622" i="48" s="1"/>
  <c r="F623" i="48" s="1"/>
  <c r="F624" i="48" s="1"/>
  <c r="F625" i="48" s="1"/>
  <c r="F626" i="48" s="1"/>
  <c r="F627" i="48" s="1"/>
  <c r="F628" i="48" s="1"/>
  <c r="F629" i="48" s="1"/>
  <c r="F630" i="48" s="1"/>
  <c r="F631" i="48" s="1"/>
  <c r="F632" i="48" s="1"/>
  <c r="F633" i="48" s="1"/>
  <c r="T245" i="48"/>
  <c r="H7" i="41" s="1"/>
  <c r="Q251" i="48"/>
  <c r="Q252" i="48" s="1"/>
  <c r="Q253" i="48" s="1"/>
  <c r="U255" i="48"/>
  <c r="H6" i="43"/>
  <c r="T257" i="48"/>
  <c r="E5" i="43" l="1"/>
  <c r="Q254" i="48"/>
  <c r="Q255" i="48" s="1"/>
  <c r="N630" i="48"/>
  <c r="N626" i="48"/>
  <c r="N622" i="48"/>
  <c r="N618" i="48"/>
  <c r="N614" i="48"/>
  <c r="N610" i="48"/>
  <c r="N606" i="48"/>
  <c r="N602" i="48"/>
  <c r="N598" i="48"/>
  <c r="N594" i="48"/>
  <c r="N590" i="48"/>
  <c r="N586" i="48"/>
  <c r="N582" i="48"/>
  <c r="N578" i="48"/>
  <c r="N574" i="48"/>
  <c r="N570" i="48"/>
  <c r="N566" i="48"/>
  <c r="N631" i="48"/>
  <c r="N627" i="48"/>
  <c r="N623" i="48"/>
  <c r="N619" i="48"/>
  <c r="N615" i="48"/>
  <c r="N611" i="48"/>
  <c r="N607" i="48"/>
  <c r="N603" i="48"/>
  <c r="N599" i="48"/>
  <c r="N595" i="48"/>
  <c r="N591" i="48"/>
  <c r="N587" i="48"/>
  <c r="N583" i="48"/>
  <c r="N579" i="48"/>
  <c r="N575" i="48"/>
  <c r="N571" i="48"/>
  <c r="N629" i="48"/>
  <c r="N624" i="48"/>
  <c r="N613" i="48"/>
  <c r="N608" i="48"/>
  <c r="N597" i="48"/>
  <c r="N592" i="48"/>
  <c r="N581" i="48"/>
  <c r="N576" i="48"/>
  <c r="N567" i="48"/>
  <c r="N565" i="48"/>
  <c r="N561" i="48"/>
  <c r="N557" i="48"/>
  <c r="N553" i="48"/>
  <c r="N549" i="48"/>
  <c r="N545" i="48"/>
  <c r="N541" i="48"/>
  <c r="N537" i="48"/>
  <c r="N533" i="48"/>
  <c r="N529" i="48"/>
  <c r="N632" i="48"/>
  <c r="N621" i="48"/>
  <c r="N616" i="48"/>
  <c r="N605" i="48"/>
  <c r="N600" i="48"/>
  <c r="N589" i="48"/>
  <c r="N584" i="48"/>
  <c r="N573" i="48"/>
  <c r="N568" i="48"/>
  <c r="N563" i="48"/>
  <c r="N559" i="48"/>
  <c r="N555" i="48"/>
  <c r="N551" i="48"/>
  <c r="N547" i="48"/>
  <c r="N543" i="48"/>
  <c r="N539" i="48"/>
  <c r="N535" i="48"/>
  <c r="N531" i="48"/>
  <c r="N633" i="48"/>
  <c r="N612" i="48"/>
  <c r="N601" i="48"/>
  <c r="N580" i="48"/>
  <c r="N569" i="48"/>
  <c r="N564" i="48"/>
  <c r="N556" i="48"/>
  <c r="N548" i="48"/>
  <c r="N540" i="48"/>
  <c r="N532" i="48"/>
  <c r="N527" i="48"/>
  <c r="N523" i="48"/>
  <c r="N519" i="48"/>
  <c r="N515" i="48"/>
  <c r="N511" i="48"/>
  <c r="N507" i="48"/>
  <c r="N503" i="48"/>
  <c r="N499" i="48"/>
  <c r="N495" i="48"/>
  <c r="N491" i="48"/>
  <c r="N487" i="48"/>
  <c r="N483" i="48"/>
  <c r="N479" i="48"/>
  <c r="N475" i="48"/>
  <c r="N471" i="48"/>
  <c r="N467" i="48"/>
  <c r="N463" i="48"/>
  <c r="N459" i="48"/>
  <c r="N455" i="48"/>
  <c r="N451" i="48"/>
  <c r="N447" i="48"/>
  <c r="N443" i="48"/>
  <c r="N439" i="48"/>
  <c r="N435" i="48"/>
  <c r="N431" i="48"/>
  <c r="N427" i="48"/>
  <c r="N423" i="48"/>
  <c r="N628" i="48"/>
  <c r="N617" i="48"/>
  <c r="N596" i="48"/>
  <c r="N585" i="48"/>
  <c r="N560" i="48"/>
  <c r="N552" i="48"/>
  <c r="N544" i="48"/>
  <c r="N536" i="48"/>
  <c r="N528" i="48"/>
  <c r="N525" i="48"/>
  <c r="N521" i="48"/>
  <c r="N517" i="48"/>
  <c r="N513" i="48"/>
  <c r="N509" i="48"/>
  <c r="N505" i="48"/>
  <c r="N501" i="48"/>
  <c r="N526" i="48"/>
  <c r="N518" i="48"/>
  <c r="N510" i="48"/>
  <c r="N502" i="48"/>
  <c r="N498" i="48"/>
  <c r="N496" i="48"/>
  <c r="N489" i="48"/>
  <c r="N482" i="48"/>
  <c r="N480" i="48"/>
  <c r="N473" i="48"/>
  <c r="N466" i="48"/>
  <c r="N464" i="48"/>
  <c r="N457" i="48"/>
  <c r="N450" i="48"/>
  <c r="N448" i="48"/>
  <c r="N441" i="48"/>
  <c r="N620" i="48"/>
  <c r="N588" i="48"/>
  <c r="N562" i="48"/>
  <c r="N546" i="48"/>
  <c r="N530" i="48"/>
  <c r="N522" i="48"/>
  <c r="N514" i="48"/>
  <c r="N506" i="48"/>
  <c r="N477" i="48"/>
  <c r="N469" i="48"/>
  <c r="N445" i="48"/>
  <c r="N438" i="48"/>
  <c r="N436" i="48"/>
  <c r="N429" i="48"/>
  <c r="N422" i="48"/>
  <c r="N419" i="48"/>
  <c r="N415" i="48"/>
  <c r="N411" i="48"/>
  <c r="N407" i="48"/>
  <c r="N403" i="48"/>
  <c r="N399" i="48"/>
  <c r="N395" i="48"/>
  <c r="N391" i="48"/>
  <c r="N387" i="48"/>
  <c r="N383" i="48"/>
  <c r="N379" i="48"/>
  <c r="N375" i="48"/>
  <c r="N371" i="48"/>
  <c r="N367" i="48"/>
  <c r="N363" i="48"/>
  <c r="N359" i="48"/>
  <c r="N609" i="48"/>
  <c r="N593" i="48"/>
  <c r="N572" i="48"/>
  <c r="N524" i="48"/>
  <c r="N508" i="48"/>
  <c r="N488" i="48"/>
  <c r="N476" i="48"/>
  <c r="N474" i="48"/>
  <c r="N472" i="48"/>
  <c r="N462" i="48"/>
  <c r="N461" i="48"/>
  <c r="N454" i="48"/>
  <c r="N453" i="48"/>
  <c r="N433" i="48"/>
  <c r="N425" i="48"/>
  <c r="N418" i="48"/>
  <c r="N416" i="48"/>
  <c r="N409" i="48"/>
  <c r="N402" i="48"/>
  <c r="N400" i="48"/>
  <c r="N393" i="48"/>
  <c r="N386" i="48"/>
  <c r="N384" i="48"/>
  <c r="N377" i="48"/>
  <c r="N370" i="48"/>
  <c r="N368" i="48"/>
  <c r="N361" i="48"/>
  <c r="N356" i="48"/>
  <c r="N352" i="48"/>
  <c r="N348" i="48"/>
  <c r="N344" i="48"/>
  <c r="N340" i="48"/>
  <c r="N336" i="48"/>
  <c r="N332" i="48"/>
  <c r="N328" i="48"/>
  <c r="N324" i="48"/>
  <c r="N320" i="48"/>
  <c r="N316" i="48"/>
  <c r="N312" i="48"/>
  <c r="N308" i="48"/>
  <c r="N304" i="48"/>
  <c r="N300" i="48"/>
  <c r="N296" i="48"/>
  <c r="N292" i="48"/>
  <c r="N288" i="48"/>
  <c r="N284" i="48"/>
  <c r="N280" i="48"/>
  <c r="N276" i="48"/>
  <c r="N266" i="48"/>
  <c r="N259" i="48"/>
  <c r="T258" i="48"/>
  <c r="E3" i="43" s="1"/>
  <c r="N258" i="48"/>
  <c r="U257" i="48"/>
  <c r="N577" i="48"/>
  <c r="N554" i="48"/>
  <c r="N538" i="48"/>
  <c r="N520" i="48"/>
  <c r="N504" i="48"/>
  <c r="N494" i="48"/>
  <c r="N493" i="48"/>
  <c r="N486" i="48"/>
  <c r="N485" i="48"/>
  <c r="N470" i="48"/>
  <c r="N468" i="48"/>
  <c r="N465" i="48"/>
  <c r="N460" i="48"/>
  <c r="N452" i="48"/>
  <c r="N449" i="48"/>
  <c r="N437" i="48"/>
  <c r="N432" i="48"/>
  <c r="N428" i="48"/>
  <c r="N424" i="48"/>
  <c r="N420" i="48"/>
  <c r="N413" i="48"/>
  <c r="N406" i="48"/>
  <c r="N404" i="48"/>
  <c r="N397" i="48"/>
  <c r="N390" i="48"/>
  <c r="N388" i="48"/>
  <c r="N381" i="48"/>
  <c r="N374" i="48"/>
  <c r="N372" i="48"/>
  <c r="N365" i="48"/>
  <c r="N357" i="48"/>
  <c r="N353" i="48"/>
  <c r="N349" i="48"/>
  <c r="N345" i="48"/>
  <c r="N341" i="48"/>
  <c r="N337" i="48"/>
  <c r="N333" i="48"/>
  <c r="N329" i="48"/>
  <c r="N325" i="48"/>
  <c r="N321" i="48"/>
  <c r="N317" i="48"/>
  <c r="N313" i="48"/>
  <c r="N309" i="48"/>
  <c r="N305" i="48"/>
  <c r="N301" i="48"/>
  <c r="N297" i="48"/>
  <c r="N293" i="48"/>
  <c r="N289" i="48"/>
  <c r="N285" i="48"/>
  <c r="N281" i="48"/>
  <c r="N277" i="48"/>
  <c r="N273" i="48"/>
  <c r="N272" i="48"/>
  <c r="N271" i="48"/>
  <c r="N270" i="48"/>
  <c r="N269" i="48"/>
  <c r="N268" i="48"/>
  <c r="N267" i="48"/>
  <c r="N265" i="48"/>
  <c r="N264" i="48"/>
  <c r="N257" i="48"/>
  <c r="N256" i="48"/>
  <c r="N251" i="48"/>
  <c r="N550" i="48"/>
  <c r="N478" i="48"/>
  <c r="N456" i="48"/>
  <c r="N355" i="48"/>
  <c r="N347" i="48"/>
  <c r="N339" i="48"/>
  <c r="N331" i="48"/>
  <c r="N323" i="48"/>
  <c r="N315" i="48"/>
  <c r="N307" i="48"/>
  <c r="N299" i="48"/>
  <c r="N291" i="48"/>
  <c r="N283" i="48"/>
  <c r="N275" i="48"/>
  <c r="N263" i="48"/>
  <c r="N254" i="48"/>
  <c r="E4" i="43"/>
  <c r="N604" i="48"/>
  <c r="N534" i="48"/>
  <c r="N490" i="48"/>
  <c r="N446" i="48"/>
  <c r="N430" i="48"/>
  <c r="N421" i="48"/>
  <c r="N410" i="48"/>
  <c r="N408" i="48"/>
  <c r="N394" i="48"/>
  <c r="N392" i="48"/>
  <c r="N389" i="48"/>
  <c r="N373" i="48"/>
  <c r="N362" i="48"/>
  <c r="N360" i="48"/>
  <c r="N343" i="48"/>
  <c r="N335" i="48"/>
  <c r="N252" i="48"/>
  <c r="N558" i="48"/>
  <c r="N512" i="48"/>
  <c r="N434" i="48"/>
  <c r="N342" i="48"/>
  <c r="N542" i="48"/>
  <c r="N500" i="48"/>
  <c r="N497" i="48"/>
  <c r="N481" i="48"/>
  <c r="N458" i="48"/>
  <c r="N444" i="48"/>
  <c r="N442" i="48"/>
  <c r="N440" i="48"/>
  <c r="N426" i="48"/>
  <c r="N417" i="48"/>
  <c r="N414" i="48"/>
  <c r="N412" i="48"/>
  <c r="N401" i="48"/>
  <c r="N398" i="48"/>
  <c r="N396" i="48"/>
  <c r="N385" i="48"/>
  <c r="N382" i="48"/>
  <c r="N380" i="48"/>
  <c r="N369" i="48"/>
  <c r="N366" i="48"/>
  <c r="N364" i="48"/>
  <c r="N354" i="48"/>
  <c r="N346" i="48"/>
  <c r="N338" i="48"/>
  <c r="N330" i="48"/>
  <c r="N322" i="48"/>
  <c r="N314" i="48"/>
  <c r="N306" i="48"/>
  <c r="N298" i="48"/>
  <c r="N290" i="48"/>
  <c r="N282" i="48"/>
  <c r="N274" i="48"/>
  <c r="N262" i="48"/>
  <c r="N260" i="48"/>
  <c r="N253" i="48"/>
  <c r="N250" i="48"/>
  <c r="N405" i="48"/>
  <c r="N378" i="48"/>
  <c r="N376" i="48"/>
  <c r="N351" i="48"/>
  <c r="N327" i="48"/>
  <c r="N319" i="48"/>
  <c r="N311" i="48"/>
  <c r="N303" i="48"/>
  <c r="N295" i="48"/>
  <c r="N287" i="48"/>
  <c r="N279" i="48"/>
  <c r="N625" i="48"/>
  <c r="N516" i="48"/>
  <c r="N492" i="48"/>
  <c r="N484" i="48"/>
  <c r="N358" i="48"/>
  <c r="N350" i="48"/>
  <c r="N334" i="48"/>
  <c r="N310" i="48"/>
  <c r="N278" i="48"/>
  <c r="N261" i="48"/>
  <c r="N255" i="48"/>
  <c r="N294" i="48"/>
  <c r="N318" i="48"/>
  <c r="N286" i="48"/>
  <c r="N326" i="48"/>
  <c r="N302" i="48"/>
  <c r="Q256" i="48" l="1"/>
  <c r="Q257" i="48" s="1"/>
  <c r="Q258" i="48" l="1"/>
  <c r="Q259" i="48" l="1"/>
  <c r="Q260" i="48" s="1"/>
  <c r="Q261" i="48" l="1"/>
  <c r="Q262" i="48" l="1"/>
  <c r="Q263" i="48" s="1"/>
  <c r="Q264" i="48" l="1"/>
  <c r="Q265" i="48" l="1"/>
  <c r="Q266" i="48" s="1"/>
  <c r="Q267" i="48" l="1"/>
  <c r="Q268" i="48" l="1"/>
  <c r="Q269" i="48" s="1"/>
  <c r="Q270" i="48" l="1"/>
  <c r="Q271" i="48" l="1"/>
  <c r="Q272" i="48" s="1"/>
  <c r="Q273" i="48" l="1"/>
  <c r="Q274" i="48" l="1"/>
  <c r="Q275" i="48" s="1"/>
  <c r="Q276" i="48" l="1"/>
  <c r="Q277" i="48" l="1"/>
  <c r="Q278" i="48" s="1"/>
  <c r="Q279" i="48" l="1"/>
  <c r="Q280" i="48" l="1"/>
  <c r="Q281" i="48" s="1"/>
  <c r="Q282" i="48" l="1"/>
  <c r="Q283" i="48" l="1"/>
  <c r="Q284" i="48" s="1"/>
  <c r="Q285" i="48" l="1"/>
  <c r="Q286" i="48" l="1"/>
  <c r="Q287" i="48" s="1"/>
  <c r="Q288" i="48" l="1"/>
  <c r="Q289" i="48" l="1"/>
  <c r="Q290" i="48" s="1"/>
  <c r="Q291" i="48" l="1"/>
  <c r="Q292" i="48" l="1"/>
  <c r="Q293" i="48" s="1"/>
  <c r="Q294" i="48" l="1"/>
  <c r="Q295" i="48" l="1"/>
  <c r="Q296" i="48" s="1"/>
  <c r="Q297" i="48" l="1"/>
  <c r="Q298" i="48" l="1"/>
  <c r="Q299" i="48" s="1"/>
  <c r="Q300" i="48" l="1"/>
  <c r="Q301" i="48" l="1"/>
  <c r="Q302" i="48" s="1"/>
  <c r="Q303" i="48" l="1"/>
  <c r="Q304" i="48" l="1"/>
  <c r="Q305" i="48" s="1"/>
  <c r="Q306" i="48" l="1"/>
  <c r="Q307" i="48" l="1"/>
  <c r="Q308" i="48" s="1"/>
  <c r="Q309" i="48" l="1"/>
  <c r="Q310" i="48" l="1"/>
  <c r="Q311" i="48" s="1"/>
  <c r="Q312" i="48" l="1"/>
  <c r="Q313" i="48" l="1"/>
  <c r="Q314" i="48" s="1"/>
  <c r="Q315" i="48" l="1"/>
  <c r="Q316" i="48" l="1"/>
  <c r="Q317" i="48" s="1"/>
  <c r="Q318" i="48" l="1"/>
  <c r="Q319" i="48" l="1"/>
  <c r="Q320" i="48" s="1"/>
  <c r="Q321" i="48" l="1"/>
  <c r="Q322" i="48" l="1"/>
  <c r="Q323" i="48" s="1"/>
  <c r="Q324" i="48" l="1"/>
  <c r="Q325" i="48" l="1"/>
  <c r="Q326" i="48" s="1"/>
  <c r="Q327" i="48" l="1"/>
  <c r="Q328" i="48" l="1"/>
  <c r="Q329" i="48" s="1"/>
  <c r="Q330" i="48" l="1"/>
  <c r="Q331" i="48" l="1"/>
  <c r="Q332" i="48" s="1"/>
  <c r="Q333" i="48" l="1"/>
  <c r="Q334" i="48" l="1"/>
  <c r="Q335" i="48" s="1"/>
  <c r="Q336" i="48" l="1"/>
  <c r="Q337" i="48" l="1"/>
  <c r="Q338" i="48" s="1"/>
  <c r="Q339" i="48" l="1"/>
  <c r="Q340" i="48" l="1"/>
  <c r="Q341" i="48" s="1"/>
  <c r="Q342" i="48" l="1"/>
  <c r="Q343" i="48" l="1"/>
  <c r="Q344" i="48" s="1"/>
  <c r="Q345" i="48" l="1"/>
  <c r="Q346" i="48" l="1"/>
  <c r="Q347" i="48" s="1"/>
  <c r="Q348" i="48" l="1"/>
  <c r="Q349" i="48" l="1"/>
  <c r="Q350" i="48" s="1"/>
  <c r="Q351" i="48" l="1"/>
  <c r="Q352" i="48" l="1"/>
  <c r="Q353" i="48" s="1"/>
  <c r="Q354" i="48" l="1"/>
  <c r="Q355" i="48" l="1"/>
  <c r="Q356" i="48" s="1"/>
  <c r="Q357" i="48" l="1"/>
  <c r="Q358" i="48" l="1"/>
  <c r="Q359" i="48" s="1"/>
  <c r="Q360" i="48" l="1"/>
  <c r="Q361" i="48" l="1"/>
  <c r="Q362" i="48" s="1"/>
  <c r="Q363" i="48" l="1"/>
  <c r="Q364" i="48" l="1"/>
  <c r="Q365" i="48" s="1"/>
  <c r="Q366" i="48" l="1"/>
  <c r="Q367" i="48" l="1"/>
  <c r="Q368" i="48" s="1"/>
  <c r="Q369" i="48" l="1"/>
  <c r="Q370" i="48" l="1"/>
  <c r="Q371" i="48" s="1"/>
  <c r="Q372" i="48" l="1"/>
  <c r="Q373" i="48" l="1"/>
  <c r="Q374" i="48" s="1"/>
  <c r="Q375" i="48" l="1"/>
  <c r="Q376" i="48" l="1"/>
  <c r="Q377" i="48" s="1"/>
  <c r="Q378" i="48" l="1"/>
  <c r="Q379" i="48" l="1"/>
  <c r="Q380" i="48" s="1"/>
  <c r="Q381" i="48" l="1"/>
  <c r="Q382" i="48" l="1"/>
  <c r="Q383" i="48" s="1"/>
  <c r="Q384" i="48" l="1"/>
  <c r="Q385" i="48" l="1"/>
  <c r="Q386" i="48" s="1"/>
  <c r="Q387" i="48" l="1"/>
  <c r="Q388" i="48" l="1"/>
  <c r="Q389" i="48" s="1"/>
  <c r="Q390" i="48" l="1"/>
  <c r="Q391" i="48" l="1"/>
  <c r="Q392" i="48" s="1"/>
  <c r="Q393" i="48" l="1"/>
  <c r="Q394" i="48" l="1"/>
  <c r="Q395" i="48" s="1"/>
  <c r="Q396" i="48" l="1"/>
  <c r="Q397" i="48" l="1"/>
  <c r="Q398" i="48" s="1"/>
  <c r="Q399" i="48" l="1"/>
  <c r="Q400" i="48" l="1"/>
  <c r="Q401" i="48" s="1"/>
  <c r="Q402" i="48" l="1"/>
  <c r="Q403" i="48" l="1"/>
  <c r="Q404" i="48" s="1"/>
  <c r="Q405" i="48" l="1"/>
  <c r="Q406" i="48" l="1"/>
  <c r="Q407" i="48" s="1"/>
  <c r="Q408" i="48" l="1"/>
  <c r="Q409" i="48" l="1"/>
  <c r="Q410" i="48" s="1"/>
  <c r="Q411" i="48" l="1"/>
  <c r="Q412" i="48" l="1"/>
  <c r="Q413" i="48" s="1"/>
  <c r="Q414" i="48" l="1"/>
  <c r="Q415" i="48" l="1"/>
  <c r="Q416" i="48" s="1"/>
  <c r="Q417" i="48" l="1"/>
  <c r="Q418" i="48" l="1"/>
  <c r="Q419" i="48" s="1"/>
  <c r="Q420" i="48" l="1"/>
  <c r="Q421" i="48" l="1"/>
  <c r="Q422" i="48" s="1"/>
  <c r="Q423" i="48" l="1"/>
  <c r="Q424" i="48" l="1"/>
  <c r="Q425" i="48" s="1"/>
  <c r="Q426" i="48" l="1"/>
  <c r="Q427" i="48" l="1"/>
  <c r="Q428" i="48" s="1"/>
  <c r="Q429" i="48" l="1"/>
  <c r="Q430" i="48" l="1"/>
  <c r="Q431" i="48" s="1"/>
  <c r="Q432" i="48" l="1"/>
  <c r="Q433" i="48" l="1"/>
  <c r="Q434" i="48" s="1"/>
  <c r="Q435" i="48" l="1"/>
  <c r="Q436" i="48" l="1"/>
  <c r="Q437" i="48" s="1"/>
  <c r="Q438" i="48" l="1"/>
  <c r="Q439" i="48" l="1"/>
  <c r="Q440" i="48" s="1"/>
  <c r="Q441" i="48" l="1"/>
  <c r="Q442" i="48" l="1"/>
  <c r="Q443" i="48" s="1"/>
  <c r="Q444" i="48" l="1"/>
  <c r="Q445" i="48" l="1"/>
  <c r="Q446" i="48" s="1"/>
  <c r="Q447" i="48" l="1"/>
  <c r="Q448" i="48" l="1"/>
  <c r="Q449" i="48" s="1"/>
  <c r="Q450" i="48" l="1"/>
  <c r="Q451" i="48" l="1"/>
  <c r="Q452" i="48" s="1"/>
  <c r="Q453" i="48" l="1"/>
  <c r="Q454" i="48" l="1"/>
  <c r="Q455" i="48" s="1"/>
  <c r="Q456" i="48" l="1"/>
  <c r="Q457" i="48" l="1"/>
  <c r="Q458" i="48" s="1"/>
  <c r="Q459" i="48" l="1"/>
  <c r="Q460" i="48" l="1"/>
  <c r="Q461" i="48" s="1"/>
  <c r="Q462" i="48" l="1"/>
  <c r="Q463" i="48" l="1"/>
  <c r="Q464" i="48" s="1"/>
  <c r="Q465" i="48" l="1"/>
  <c r="Q466" i="48" l="1"/>
  <c r="Q467" i="48" s="1"/>
  <c r="Q468" i="48" l="1"/>
  <c r="Q469" i="48" l="1"/>
  <c r="Q470" i="48" s="1"/>
  <c r="Q471" i="48" l="1"/>
  <c r="Q472" i="48" l="1"/>
  <c r="Q473" i="48" s="1"/>
  <c r="Q474" i="48" l="1"/>
  <c r="Q475" i="48" l="1"/>
  <c r="Q476" i="48" s="1"/>
  <c r="Q477" i="48" l="1"/>
  <c r="Q478" i="48" l="1"/>
  <c r="Q479" i="48" s="1"/>
  <c r="Q480" i="48" l="1"/>
  <c r="Q481" i="48" l="1"/>
  <c r="Q482" i="48" s="1"/>
  <c r="Q483" i="48" l="1"/>
  <c r="Q484" i="48" l="1"/>
  <c r="Q485" i="48" s="1"/>
  <c r="Q486" i="48" l="1"/>
  <c r="Q487" i="48" l="1"/>
  <c r="Q488" i="48" s="1"/>
  <c r="Q489" i="48" l="1"/>
  <c r="Q490" i="48" l="1"/>
  <c r="Q491" i="48" s="1"/>
  <c r="Q492" i="48" l="1"/>
  <c r="Q493" i="48" l="1"/>
  <c r="Q494" i="48" s="1"/>
  <c r="Q495" i="48" l="1"/>
  <c r="Q496" i="48" l="1"/>
  <c r="Q497" i="48" s="1"/>
  <c r="Q498" i="48" l="1"/>
  <c r="Q499" i="48" l="1"/>
  <c r="Q500" i="48" s="1"/>
  <c r="Q501" i="48" l="1"/>
  <c r="Q502" i="48" l="1"/>
  <c r="Q503" i="48" s="1"/>
  <c r="Q504" i="48" l="1"/>
  <c r="Q505" i="48" l="1"/>
  <c r="Q506" i="48" s="1"/>
  <c r="Q507" i="48" l="1"/>
  <c r="Q508" i="48" l="1"/>
  <c r="Q509" i="48" s="1"/>
  <c r="Q510" i="48" l="1"/>
  <c r="Q511" i="48" l="1"/>
  <c r="Q512" i="48" s="1"/>
  <c r="Q513" i="48" l="1"/>
  <c r="Q514" i="48" l="1"/>
  <c r="Q515" i="48" s="1"/>
  <c r="Q516" i="48" l="1"/>
  <c r="Q517" i="48" l="1"/>
  <c r="Q518" i="48" s="1"/>
  <c r="Q519" i="48" l="1"/>
  <c r="Q520" i="48" l="1"/>
  <c r="Q521" i="48" s="1"/>
  <c r="Q522" i="48" l="1"/>
  <c r="Q523" i="48" l="1"/>
  <c r="Q524" i="48" s="1"/>
  <c r="Q525" i="48" l="1"/>
  <c r="Q526" i="48" l="1"/>
  <c r="Q527" i="48" s="1"/>
  <c r="Q528" i="48" l="1"/>
  <c r="Q529" i="48" l="1"/>
  <c r="Q530" i="48" s="1"/>
  <c r="Q531" i="48" l="1"/>
  <c r="Q532" i="48" l="1"/>
  <c r="Q533" i="48" s="1"/>
  <c r="Q534" i="48" l="1"/>
  <c r="Q535" i="48" l="1"/>
  <c r="Q536" i="48" s="1"/>
  <c r="Q537" i="48" l="1"/>
  <c r="Q538" i="48" l="1"/>
  <c r="Q539" i="48" s="1"/>
  <c r="Q540" i="48" l="1"/>
  <c r="Q541" i="48" l="1"/>
  <c r="Q542" i="48" s="1"/>
  <c r="Q543" i="48" l="1"/>
  <c r="Q544" i="48" l="1"/>
  <c r="Q545" i="48" s="1"/>
  <c r="Q546" i="48" l="1"/>
  <c r="Q547" i="48" l="1"/>
  <c r="Q548" i="48" s="1"/>
  <c r="Q549" i="48" l="1"/>
  <c r="Q550" i="48" l="1"/>
  <c r="Q551" i="48" s="1"/>
  <c r="Q552" i="48" l="1"/>
  <c r="Q553" i="48" l="1"/>
  <c r="Q554" i="48" s="1"/>
  <c r="Q555" i="48" l="1"/>
  <c r="Q556" i="48" l="1"/>
  <c r="Q557" i="48" s="1"/>
  <c r="Q558" i="48" l="1"/>
  <c r="Q559" i="48" l="1"/>
  <c r="Q560" i="48" s="1"/>
  <c r="Q561" i="48" l="1"/>
  <c r="Q562" i="48" l="1"/>
  <c r="Q563" i="48" s="1"/>
  <c r="Q564" i="48" l="1"/>
  <c r="Q565" i="48" l="1"/>
  <c r="Q566" i="48" s="1"/>
  <c r="Q567" i="48" l="1"/>
  <c r="Q568" i="48" l="1"/>
  <c r="Q569" i="48" s="1"/>
  <c r="Q570" i="48" l="1"/>
  <c r="Q571" i="48" l="1"/>
  <c r="Q572" i="48" s="1"/>
  <c r="Q573" i="48" l="1"/>
  <c r="Q574" i="48" l="1"/>
  <c r="Q575" i="48" s="1"/>
  <c r="Q576" i="48" l="1"/>
  <c r="Q577" i="48" l="1"/>
  <c r="Q578" i="48" s="1"/>
  <c r="Q579" i="48" l="1"/>
  <c r="Q580" i="48" l="1"/>
  <c r="Q581" i="48" s="1"/>
  <c r="Q582" i="48" l="1"/>
  <c r="Q583" i="48" l="1"/>
  <c r="Q584" i="48" s="1"/>
  <c r="Q585" i="48" l="1"/>
  <c r="Q586" i="48" l="1"/>
  <c r="Q587" i="48" s="1"/>
  <c r="Q588" i="48" l="1"/>
  <c r="Q589" i="48" l="1"/>
  <c r="Q590" i="48" s="1"/>
  <c r="Q591" i="48" l="1"/>
  <c r="Q592" i="48" l="1"/>
  <c r="Q593" i="48" s="1"/>
  <c r="Q594" i="48" l="1"/>
  <c r="Q595" i="48" l="1"/>
  <c r="Q596" i="48" s="1"/>
  <c r="Q597" i="48" l="1"/>
  <c r="Q598" i="48" l="1"/>
  <c r="Q599" i="48" s="1"/>
  <c r="Q600" i="48" l="1"/>
  <c r="Q601" i="48" l="1"/>
  <c r="Q602" i="48" s="1"/>
  <c r="Q603" i="48" l="1"/>
  <c r="Q604" i="48" l="1"/>
  <c r="Q605" i="48" s="1"/>
  <c r="Q606" i="48" l="1"/>
  <c r="Q607" i="48" l="1"/>
  <c r="Q608" i="48" s="1"/>
  <c r="Q609" i="48" l="1"/>
  <c r="Q610" i="48" l="1"/>
  <c r="Q611" i="48" s="1"/>
  <c r="Q612" i="48" l="1"/>
  <c r="Q613" i="48" l="1"/>
  <c r="Q614" i="48" s="1"/>
  <c r="Q615" i="48" l="1"/>
  <c r="Q616" i="48" l="1"/>
  <c r="Q617" i="48" s="1"/>
  <c r="D11" i="40"/>
  <c r="D12" i="40" s="1"/>
  <c r="D13" i="40" s="1"/>
  <c r="D14" i="40" s="1"/>
  <c r="D15" i="40" s="1"/>
  <c r="D16" i="40" s="1"/>
  <c r="D17" i="40" s="1"/>
  <c r="D18" i="40" s="1"/>
  <c r="D19" i="40" s="1"/>
  <c r="D20" i="40" s="1"/>
  <c r="D21" i="40" s="1"/>
  <c r="D22" i="40" s="1"/>
  <c r="D23" i="40" s="1"/>
  <c r="D24" i="40" s="1"/>
  <c r="D25" i="40" s="1"/>
  <c r="D26" i="40" s="1"/>
  <c r="D27" i="40" s="1"/>
  <c r="D28" i="40" s="1"/>
  <c r="D29" i="40" s="1"/>
  <c r="D30" i="40" s="1"/>
  <c r="D31" i="40" s="1"/>
  <c r="D32" i="40" s="1"/>
  <c r="D33" i="40" s="1"/>
  <c r="D34" i="40" s="1"/>
  <c r="D35" i="40" s="1"/>
  <c r="D36" i="40" s="1"/>
  <c r="D37" i="40" s="1"/>
  <c r="D38" i="40" s="1"/>
  <c r="D39" i="40" s="1"/>
  <c r="D40" i="40" s="1"/>
  <c r="D41" i="40" s="1"/>
  <c r="D42" i="40" s="1"/>
  <c r="D43" i="40" s="1"/>
  <c r="D44" i="40" s="1"/>
  <c r="D45" i="40" s="1"/>
  <c r="D46" i="40" s="1"/>
  <c r="D47" i="40" s="1"/>
  <c r="D48" i="40" s="1"/>
  <c r="D49" i="40" s="1"/>
  <c r="D50" i="40" s="1"/>
  <c r="D51" i="40" s="1"/>
  <c r="D52" i="40" s="1"/>
  <c r="D53" i="40" s="1"/>
  <c r="D54" i="40" s="1"/>
  <c r="D55" i="40" s="1"/>
  <c r="D56" i="40" s="1"/>
  <c r="D57" i="40" s="1"/>
  <c r="D58" i="40" s="1"/>
  <c r="D59" i="40" s="1"/>
  <c r="D60" i="40" s="1"/>
  <c r="D61" i="40" s="1"/>
  <c r="D62" i="40" s="1"/>
  <c r="D63" i="40" s="1"/>
  <c r="D64" i="40" s="1"/>
  <c r="D65" i="40" s="1"/>
  <c r="D66" i="40" s="1"/>
  <c r="D67" i="40" s="1"/>
  <c r="D68" i="40" s="1"/>
  <c r="D69" i="40" s="1"/>
  <c r="D70" i="40" s="1"/>
  <c r="D71" i="40" s="1"/>
  <c r="D72" i="40" s="1"/>
  <c r="D73" i="40" s="1"/>
  <c r="D74" i="40" s="1"/>
  <c r="D75" i="40" s="1"/>
  <c r="D76" i="40" s="1"/>
  <c r="D77" i="40" s="1"/>
  <c r="D78" i="40" s="1"/>
  <c r="D79" i="40" s="1"/>
  <c r="D80" i="40" s="1"/>
  <c r="D81" i="40" s="1"/>
  <c r="D82" i="40" s="1"/>
  <c r="D83" i="40" s="1"/>
  <c r="D84" i="40" s="1"/>
  <c r="D85" i="40" s="1"/>
  <c r="D86" i="40" s="1"/>
  <c r="D87" i="40" s="1"/>
  <c r="D88" i="40" s="1"/>
  <c r="D89" i="40" s="1"/>
  <c r="D90" i="40" s="1"/>
  <c r="D91" i="40" s="1"/>
  <c r="D92" i="40" s="1"/>
  <c r="D93" i="40" s="1"/>
  <c r="D94" i="40" s="1"/>
  <c r="D95" i="40" s="1"/>
  <c r="D96" i="40" s="1"/>
  <c r="D97" i="40" s="1"/>
  <c r="D98" i="40" s="1"/>
  <c r="D99" i="40" s="1"/>
  <c r="D100" i="40" s="1"/>
  <c r="D101" i="40" s="1"/>
  <c r="D102" i="40" s="1"/>
  <c r="D103" i="40" s="1"/>
  <c r="D104" i="40" s="1"/>
  <c r="D105" i="40" s="1"/>
  <c r="D106" i="40" s="1"/>
  <c r="D107" i="40" s="1"/>
  <c r="D108" i="40" s="1"/>
  <c r="D109" i="40" s="1"/>
  <c r="D110" i="40" s="1"/>
  <c r="D111" i="40" s="1"/>
  <c r="D112" i="40" s="1"/>
  <c r="D113" i="40" s="1"/>
  <c r="D114" i="40" s="1"/>
  <c r="D115" i="40" s="1"/>
  <c r="D116" i="40" s="1"/>
  <c r="D117" i="40" s="1"/>
  <c r="D118" i="40" s="1"/>
  <c r="D119" i="40" s="1"/>
  <c r="D120" i="40" s="1"/>
  <c r="D121" i="40" s="1"/>
  <c r="D122" i="40" s="1"/>
  <c r="D123" i="40" s="1"/>
  <c r="D124" i="40" s="1"/>
  <c r="D125" i="40" s="1"/>
  <c r="D126" i="40" s="1"/>
  <c r="D127" i="40" s="1"/>
  <c r="D128" i="40" s="1"/>
  <c r="D129" i="40" s="1"/>
  <c r="D130" i="40" s="1"/>
  <c r="D131" i="40" s="1"/>
  <c r="D132" i="40" s="1"/>
  <c r="D133" i="40" s="1"/>
  <c r="D134" i="40" s="1"/>
  <c r="D135" i="40" s="1"/>
  <c r="D136" i="40" s="1"/>
  <c r="D137" i="40" s="1"/>
  <c r="D138" i="40" s="1"/>
  <c r="D139" i="40" s="1"/>
  <c r="D140" i="40" s="1"/>
  <c r="D141" i="40" s="1"/>
  <c r="D142" i="40" s="1"/>
  <c r="D143" i="40" s="1"/>
  <c r="D144" i="40" s="1"/>
  <c r="D145" i="40" s="1"/>
  <c r="D146" i="40" s="1"/>
  <c r="D147" i="40" s="1"/>
  <c r="D148" i="40" s="1"/>
  <c r="D149" i="40" s="1"/>
  <c r="D150" i="40" s="1"/>
  <c r="D151" i="40" s="1"/>
  <c r="D152" i="40" s="1"/>
  <c r="D153" i="40" s="1"/>
  <c r="D154" i="40" s="1"/>
  <c r="D155" i="40" s="1"/>
  <c r="D156" i="40" s="1"/>
  <c r="D157" i="40" s="1"/>
  <c r="D158" i="40" s="1"/>
  <c r="D159" i="40" s="1"/>
  <c r="D160" i="40" s="1"/>
  <c r="D161" i="40" s="1"/>
  <c r="D162" i="40" s="1"/>
  <c r="D163" i="40" s="1"/>
  <c r="D164" i="40" s="1"/>
  <c r="D165" i="40" s="1"/>
  <c r="D166" i="40" s="1"/>
  <c r="D167" i="40" s="1"/>
  <c r="D168" i="40" s="1"/>
  <c r="D169" i="40" s="1"/>
  <c r="D170" i="40" s="1"/>
  <c r="D171" i="40" s="1"/>
  <c r="D172" i="40" s="1"/>
  <c r="D173" i="40" s="1"/>
  <c r="D174" i="40" s="1"/>
  <c r="D175" i="40" s="1"/>
  <c r="D176" i="40" s="1"/>
  <c r="D177" i="40" s="1"/>
  <c r="D178" i="40" s="1"/>
  <c r="D179" i="40" s="1"/>
  <c r="D180" i="40" s="1"/>
  <c r="D181" i="40" s="1"/>
  <c r="D182" i="40" s="1"/>
  <c r="D183" i="40" s="1"/>
  <c r="D184" i="40" s="1"/>
  <c r="D185" i="40" s="1"/>
  <c r="D186" i="40" s="1"/>
  <c r="D187" i="40" s="1"/>
  <c r="D188" i="40" s="1"/>
  <c r="D189" i="40" s="1"/>
  <c r="D190" i="40" s="1"/>
  <c r="D191" i="40" s="1"/>
  <c r="D192" i="40" s="1"/>
  <c r="D193" i="40" s="1"/>
  <c r="D194" i="40" s="1"/>
  <c r="D195" i="40" s="1"/>
  <c r="D196" i="40" s="1"/>
  <c r="D197" i="40" s="1"/>
  <c r="D198" i="40" s="1"/>
  <c r="D199" i="40" s="1"/>
  <c r="D200" i="40" s="1"/>
  <c r="D201" i="40" s="1"/>
  <c r="D202" i="40" s="1"/>
  <c r="D203" i="40" s="1"/>
  <c r="D204" i="40" s="1"/>
  <c r="D205" i="40" s="1"/>
  <c r="D206" i="40" s="1"/>
  <c r="D207" i="40" s="1"/>
  <c r="D208" i="40" s="1"/>
  <c r="D209" i="40" s="1"/>
  <c r="D210" i="40" s="1"/>
  <c r="D211" i="40" s="1"/>
  <c r="D212" i="40" s="1"/>
  <c r="D213" i="40" s="1"/>
  <c r="D214" i="40" s="1"/>
  <c r="D215" i="40" s="1"/>
  <c r="D216" i="40" s="1"/>
  <c r="D217" i="40" s="1"/>
  <c r="D218" i="40" s="1"/>
  <c r="D219" i="40" s="1"/>
  <c r="D220" i="40" s="1"/>
  <c r="D221" i="40" s="1"/>
  <c r="D222" i="40" s="1"/>
  <c r="D223" i="40" s="1"/>
  <c r="D224" i="40" s="1"/>
  <c r="D225" i="40" s="1"/>
  <c r="D226" i="40" s="1"/>
  <c r="D227" i="40" s="1"/>
  <c r="D228" i="40" s="1"/>
  <c r="D229" i="40" s="1"/>
  <c r="D230" i="40" s="1"/>
  <c r="D231" i="40" s="1"/>
  <c r="D232" i="40" s="1"/>
  <c r="D233" i="40" s="1"/>
  <c r="D234" i="40" s="1"/>
  <c r="D235" i="40" s="1"/>
  <c r="D236" i="40" s="1"/>
  <c r="D237" i="40" s="1"/>
  <c r="D238" i="40" s="1"/>
  <c r="D239" i="40" s="1"/>
  <c r="D240" i="40" s="1"/>
  <c r="D241" i="40" s="1"/>
  <c r="D242" i="40" s="1"/>
  <c r="D243" i="40" s="1"/>
  <c r="D244" i="40" s="1"/>
  <c r="D245" i="40" s="1"/>
  <c r="D246" i="40" s="1"/>
  <c r="D247" i="40" s="1"/>
  <c r="D248" i="40" s="1"/>
  <c r="D249" i="40" s="1"/>
  <c r="D250" i="40" s="1"/>
  <c r="D251" i="40" s="1"/>
  <c r="D252" i="40" s="1"/>
  <c r="D253" i="40" s="1"/>
  <c r="D254" i="40" s="1"/>
  <c r="D255" i="40" s="1"/>
  <c r="D256" i="40" s="1"/>
  <c r="D257" i="40" s="1"/>
  <c r="D258" i="40" s="1"/>
  <c r="D259" i="40" s="1"/>
  <c r="D260" i="40" s="1"/>
  <c r="D261" i="40" s="1"/>
  <c r="D262" i="40" s="1"/>
  <c r="D263" i="40" s="1"/>
  <c r="D264" i="40" s="1"/>
  <c r="D265" i="40" s="1"/>
  <c r="D266" i="40" s="1"/>
  <c r="D267" i="40" s="1"/>
  <c r="D268" i="40" s="1"/>
  <c r="D269" i="40" s="1"/>
  <c r="D270" i="40" s="1"/>
  <c r="D271" i="40" s="1"/>
  <c r="D272" i="40" s="1"/>
  <c r="D273" i="40" s="1"/>
  <c r="D274" i="40" s="1"/>
  <c r="D275" i="40" s="1"/>
  <c r="D276" i="40" s="1"/>
  <c r="D277" i="40" s="1"/>
  <c r="D278" i="40" s="1"/>
  <c r="D279" i="40" s="1"/>
  <c r="D280" i="40" s="1"/>
  <c r="D281" i="40" s="1"/>
  <c r="D282" i="40" s="1"/>
  <c r="D283" i="40" s="1"/>
  <c r="D284" i="40" s="1"/>
  <c r="D285" i="40" s="1"/>
  <c r="D286" i="40" s="1"/>
  <c r="AA28" i="36"/>
  <c r="Z28" i="36"/>
  <c r="Y28" i="36"/>
  <c r="X28" i="36"/>
  <c r="W28" i="36"/>
  <c r="V28" i="36"/>
  <c r="AA27" i="36"/>
  <c r="Z27" i="36"/>
  <c r="Y27" i="36"/>
  <c r="X27" i="36"/>
  <c r="W27" i="36"/>
  <c r="V27" i="36"/>
  <c r="AA26" i="36"/>
  <c r="Z26" i="36"/>
  <c r="Y26" i="36"/>
  <c r="X26" i="36"/>
  <c r="W26" i="36"/>
  <c r="V26" i="36"/>
  <c r="AA25" i="36"/>
  <c r="Z25" i="36"/>
  <c r="Y25" i="36"/>
  <c r="X25" i="36"/>
  <c r="W25" i="36"/>
  <c r="V25" i="36"/>
  <c r="AA24" i="36"/>
  <c r="Z24" i="36"/>
  <c r="Y24" i="36"/>
  <c r="X24" i="36"/>
  <c r="W24" i="36"/>
  <c r="V24" i="36"/>
  <c r="AA23" i="36"/>
  <c r="Z23" i="36"/>
  <c r="Y23" i="36"/>
  <c r="X23" i="36"/>
  <c r="W23" i="36"/>
  <c r="V23" i="36"/>
  <c r="AA22" i="36"/>
  <c r="Z22" i="36"/>
  <c r="Y22" i="36"/>
  <c r="X22" i="36"/>
  <c r="W22" i="36"/>
  <c r="V22" i="36"/>
  <c r="AA21" i="36"/>
  <c r="Z21" i="36"/>
  <c r="Y21" i="36"/>
  <c r="X21" i="36"/>
  <c r="W21" i="36"/>
  <c r="V21" i="36"/>
  <c r="AA20" i="36"/>
  <c r="Z20" i="36"/>
  <c r="Y20" i="36"/>
  <c r="X20" i="36"/>
  <c r="W20" i="36"/>
  <c r="V20" i="36"/>
  <c r="AA19" i="36"/>
  <c r="Z19" i="36"/>
  <c r="Y19" i="36"/>
  <c r="X19" i="36"/>
  <c r="W19" i="36"/>
  <c r="V19" i="36"/>
  <c r="AA18" i="36"/>
  <c r="Z18" i="36"/>
  <c r="Y18" i="36"/>
  <c r="X18" i="36"/>
  <c r="W18" i="36"/>
  <c r="V18" i="36"/>
  <c r="AA17" i="36"/>
  <c r="Z17" i="36"/>
  <c r="Y17" i="36"/>
  <c r="X17" i="36"/>
  <c r="W17" i="36"/>
  <c r="V17" i="36"/>
  <c r="AA16" i="36"/>
  <c r="Z16" i="36"/>
  <c r="Y16" i="36"/>
  <c r="X16" i="36"/>
  <c r="W16" i="36"/>
  <c r="V16" i="36"/>
  <c r="AA15" i="36"/>
  <c r="Z15" i="36"/>
  <c r="Y15" i="36"/>
  <c r="X15" i="36"/>
  <c r="W15" i="36"/>
  <c r="V15" i="36"/>
  <c r="AA14" i="36"/>
  <c r="Z14" i="36"/>
  <c r="Y14" i="36"/>
  <c r="X14" i="36"/>
  <c r="W14" i="36"/>
  <c r="V14" i="36"/>
  <c r="AA13" i="36"/>
  <c r="Z13" i="36"/>
  <c r="Y13" i="36"/>
  <c r="X13" i="36"/>
  <c r="W13" i="36"/>
  <c r="V13" i="36"/>
  <c r="AA12" i="36"/>
  <c r="Z12" i="36"/>
  <c r="Y12" i="36"/>
  <c r="X12" i="36"/>
  <c r="W12" i="36"/>
  <c r="V12" i="36"/>
  <c r="AA11" i="36"/>
  <c r="Z11" i="36"/>
  <c r="Y11" i="36"/>
  <c r="X11" i="36"/>
  <c r="W11" i="36"/>
  <c r="V11" i="36"/>
  <c r="AA10" i="36"/>
  <c r="Z10" i="36"/>
  <c r="Y10" i="36"/>
  <c r="X10" i="36"/>
  <c r="W10" i="36"/>
  <c r="V10" i="36"/>
  <c r="AA9" i="36"/>
  <c r="Z9" i="36"/>
  <c r="Y9" i="36"/>
  <c r="X9" i="36"/>
  <c r="W9" i="36"/>
  <c r="V9" i="36"/>
  <c r="AA8" i="36"/>
  <c r="Z8" i="36"/>
  <c r="Y8" i="36"/>
  <c r="X8" i="36"/>
  <c r="W8" i="36"/>
  <c r="V8" i="36"/>
  <c r="AA7" i="36"/>
  <c r="Z7" i="36"/>
  <c r="Y7" i="36"/>
  <c r="X7" i="36"/>
  <c r="W7" i="36"/>
  <c r="V7" i="36"/>
  <c r="AA6" i="36"/>
  <c r="Z6" i="36"/>
  <c r="Y6" i="36"/>
  <c r="X6" i="36"/>
  <c r="W6" i="36"/>
  <c r="V6" i="36"/>
  <c r="AA5" i="36"/>
  <c r="Z5" i="36"/>
  <c r="Y5" i="36"/>
  <c r="X5" i="36"/>
  <c r="W5" i="36"/>
  <c r="V5" i="36"/>
  <c r="AA4" i="36"/>
  <c r="Z4" i="36"/>
  <c r="Y4" i="36"/>
  <c r="X4" i="36"/>
  <c r="W4" i="36"/>
  <c r="V4" i="36"/>
  <c r="AA3" i="36"/>
  <c r="Z3" i="36"/>
  <c r="Y3" i="36"/>
  <c r="X3" i="36"/>
  <c r="W3" i="36"/>
  <c r="V3" i="36"/>
  <c r="AA2" i="36"/>
  <c r="Z2" i="36"/>
  <c r="Y2" i="36"/>
  <c r="X2" i="36"/>
  <c r="W2" i="36"/>
  <c r="V2" i="36"/>
  <c r="K4" i="41"/>
  <c r="K6" i="41" s="1"/>
  <c r="Q618" i="48" l="1"/>
  <c r="Q619" i="48" l="1"/>
  <c r="Q620" i="48" s="1"/>
  <c r="J8" i="10"/>
  <c r="J7" i="10"/>
  <c r="J6" i="10"/>
  <c r="C7" i="10" s="1"/>
  <c r="J5" i="10"/>
  <c r="C6" i="10"/>
  <c r="C5" i="10"/>
  <c r="C8" i="10"/>
  <c r="C9" i="10"/>
  <c r="Q621" i="48" l="1"/>
  <c r="Q622" i="48" l="1"/>
  <c r="Q623" i="48" s="1"/>
  <c r="C10" i="10"/>
  <c r="Q624" i="48" l="1"/>
  <c r="Q625" i="48" l="1"/>
  <c r="Q626" i="48" s="1"/>
  <c r="Q627" i="48" l="1"/>
  <c r="Q628" i="48" l="1"/>
  <c r="Q629" i="48" s="1"/>
  <c r="Q630" i="48" l="1"/>
  <c r="Q631" i="48" l="1"/>
  <c r="Q632" i="48" l="1"/>
  <c r="Q633" i="48" s="1"/>
  <c r="U263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Bjørn Tømmerbakk</author>
  </authors>
  <commentList>
    <comment ref="H7" authorId="0" shapeId="0" xr:uid="{00000000-0006-0000-0D00-000001000000}">
      <text>
        <r>
          <rPr>
            <sz val="8"/>
            <color indexed="81"/>
            <rFont val="Tahoma"/>
            <family val="2"/>
          </rPr>
          <t>Calculated as 'average stock volume' / 'average stock coverage' * 'safety stock volume'</t>
        </r>
      </text>
    </comment>
    <comment ref="H8" authorId="0" shapeId="0" xr:uid="{00000000-0006-0000-0D00-000002000000}">
      <text>
        <r>
          <rPr>
            <sz val="8"/>
            <color indexed="81"/>
            <rFont val="Tahoma"/>
            <family val="2"/>
          </rPr>
          <t>Calculated as Total Usage / Average Stock. Then it's recalculated to annual basis.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Bjørn Tømmerbakk</author>
  </authors>
  <commentList>
    <comment ref="A3" authorId="0" shapeId="0" xr:uid="{00000000-0006-0000-0F00-000001000000}">
      <text>
        <r>
          <rPr>
            <sz val="8"/>
            <color indexed="81"/>
            <rFont val="Tahoma"/>
            <family val="2"/>
          </rPr>
          <t>Share of all rolling usage days below actual safety stock.</t>
        </r>
      </text>
    </comment>
    <comment ref="D3" authorId="0" shapeId="0" xr:uid="{00000000-0006-0000-0F00-000002000000}">
      <text>
        <r>
          <rPr>
            <sz val="8"/>
            <color indexed="81"/>
            <rFont val="Tahoma"/>
            <family val="2"/>
          </rPr>
          <t>Calculated safety stock in pieces divided on total usage in period.</t>
        </r>
      </text>
    </comment>
    <comment ref="G3" authorId="0" shapeId="0" xr:uid="{00000000-0006-0000-0F00-000003000000}">
      <text>
        <r>
          <rPr>
            <sz val="8"/>
            <color indexed="81"/>
            <rFont val="Tahoma"/>
            <family val="2"/>
          </rPr>
          <t>Average dayly quantity actually used  including also all days with zero usage.</t>
        </r>
      </text>
    </comment>
    <comment ref="J3" authorId="0" shapeId="0" xr:uid="{00000000-0006-0000-0F00-000004000000}">
      <text>
        <r>
          <rPr>
            <sz val="8"/>
            <color indexed="81"/>
            <rFont val="Tahoma"/>
            <family val="2"/>
          </rPr>
          <t>Average dayly quantity used  when excluding all days with zero usage.</t>
        </r>
      </text>
    </comment>
    <comment ref="A4" authorId="0" shapeId="0" xr:uid="{00000000-0006-0000-0F00-000005000000}">
      <text>
        <r>
          <rPr>
            <sz val="8"/>
            <color indexed="81"/>
            <rFont val="Tahoma"/>
            <family val="2"/>
          </rPr>
          <t>Input the period in days for which you want to see the rolling usage in the graph below.</t>
        </r>
      </text>
    </comment>
    <comment ref="D4" authorId="0" shapeId="0" xr:uid="{00000000-0006-0000-0F00-000006000000}">
      <text>
        <r>
          <rPr>
            <sz val="8"/>
            <color indexed="81"/>
            <rFont val="Tahoma"/>
            <family val="2"/>
          </rPr>
          <t>Calculated needed safety stock according to needed Safety Days.</t>
        </r>
      </text>
    </comment>
    <comment ref="G4" authorId="0" shapeId="0" xr:uid="{00000000-0006-0000-0F00-000007000000}">
      <text>
        <r>
          <rPr>
            <sz val="8"/>
            <color indexed="81"/>
            <rFont val="Tahoma"/>
            <family val="2"/>
          </rPr>
          <t xml:space="preserve">Average quantity used  within choosen rolling usage period. </t>
        </r>
      </text>
    </comment>
    <comment ref="J4" authorId="0" shapeId="0" xr:uid="{00000000-0006-0000-0F00-000008000000}">
      <text>
        <r>
          <rPr>
            <sz val="8"/>
            <color indexed="81"/>
            <rFont val="Tahoma"/>
            <family val="2"/>
          </rPr>
          <t>Productions often goes over serveral days - this lower this frequency. 
In case of productions usage - look to Future Frequency.</t>
        </r>
      </text>
    </comment>
    <comment ref="A5" authorId="0" shapeId="0" xr:uid="{00000000-0006-0000-0F00-000009000000}">
      <text>
        <r>
          <rPr>
            <sz val="8"/>
            <color indexed="81"/>
            <rFont val="Tahoma"/>
            <family val="2"/>
          </rPr>
          <t>Number of deliveries (Purchasing or Productions)</t>
        </r>
      </text>
    </comment>
    <comment ref="D5" authorId="0" shapeId="0" xr:uid="{00000000-0006-0000-0F00-00000A000000}">
      <text>
        <r>
          <rPr>
            <sz val="8"/>
            <color indexed="81"/>
            <rFont val="Tahoma"/>
            <family val="2"/>
          </rPr>
          <t>Average quantity not able to deliver if delivery date appear on rolling usage periods above the safety stock.</t>
        </r>
      </text>
    </comment>
    <comment ref="G5" authorId="0" shapeId="0" xr:uid="{00000000-0006-0000-0F00-00000B000000}">
      <text>
        <r>
          <rPr>
            <sz val="8"/>
            <color indexed="81"/>
            <rFont val="Tahoma"/>
            <family val="2"/>
          </rPr>
          <t>Total quantity used in the period.</t>
        </r>
      </text>
    </comment>
    <comment ref="J5" authorId="0" shapeId="0" xr:uid="{00000000-0006-0000-0F00-00000C000000}">
      <text>
        <r>
          <rPr>
            <sz val="8"/>
            <color indexed="81"/>
            <rFont val="Tahoma"/>
            <family val="2"/>
          </rPr>
          <t>Average dayly future quantity requirements  when excluding all days with zero usage.</t>
        </r>
      </text>
    </comment>
    <comment ref="A6" authorId="0" shapeId="0" xr:uid="{00000000-0006-0000-0F00-00000D000000}">
      <text>
        <r>
          <rPr>
            <sz val="8"/>
            <color indexed="81"/>
            <rFont val="Tahoma"/>
            <family val="2"/>
          </rPr>
          <t>Actual % delivered goods in time.</t>
        </r>
      </text>
    </comment>
    <comment ref="D6" authorId="0" shapeId="0" xr:uid="{00000000-0006-0000-0F00-00000E000000}">
      <text>
        <r>
          <rPr>
            <sz val="8"/>
            <color indexed="81"/>
            <rFont val="Tahoma"/>
            <family val="2"/>
          </rPr>
          <t>Not delivered quantity calculated from number of deliveries - and average not delivered if quantity above saf. stock.</t>
        </r>
      </text>
    </comment>
    <comment ref="G6" authorId="0" shapeId="0" xr:uid="{00000000-0006-0000-0F00-00000F000000}">
      <text>
        <r>
          <rPr>
            <sz val="8"/>
            <color indexed="81"/>
            <rFont val="Tahoma"/>
            <family val="2"/>
          </rPr>
          <t>Standard deviation from the rolling usage figures - in percent of the average usage.</t>
        </r>
      </text>
    </comment>
    <comment ref="J6" authorId="0" shapeId="0" xr:uid="{00000000-0006-0000-0F00-000010000000}">
      <text>
        <r>
          <rPr>
            <sz val="8"/>
            <color indexed="81"/>
            <rFont val="Tahoma"/>
            <family val="2"/>
          </rPr>
          <t>If usage type is sales, look to the Acc. Usage Frequency.
If production usage - use Future Frequency.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Bjørn Tømmerbakk</author>
  </authors>
  <commentList>
    <comment ref="C249" authorId="0" shapeId="0" xr:uid="{00000000-0006-0000-1400-000001000000}">
      <text>
        <r>
          <rPr>
            <sz val="8"/>
            <color indexed="81"/>
            <rFont val="Tahoma"/>
            <family val="2"/>
          </rPr>
          <t>Requirements tomorrow + not withdrawn from today.</t>
        </r>
      </text>
    </comment>
    <comment ref="B250" authorId="0" shapeId="0" xr:uid="{00000000-0006-0000-1400-000002000000}">
      <text>
        <r>
          <rPr>
            <sz val="8"/>
            <color indexed="81"/>
            <rFont val="Tahoma"/>
            <family val="2"/>
          </rPr>
          <t>Total Valuated Stock.  At current time.</t>
        </r>
      </text>
    </comment>
    <comment ref="C250" authorId="0" shapeId="0" xr:uid="{00000000-0006-0000-1400-000003000000}">
      <text>
        <r>
          <rPr>
            <sz val="8"/>
            <color indexed="81"/>
            <rFont val="Tahoma"/>
            <family val="2"/>
          </rPr>
          <t>Usage so far this day + not consumpted prognoses.</t>
        </r>
      </text>
    </comment>
    <comment ref="W250" authorId="0" shapeId="0" xr:uid="{00000000-0006-0000-1400-000004000000}">
      <text>
        <r>
          <rPr>
            <sz val="8"/>
            <color indexed="81"/>
            <rFont val="Tahoma"/>
            <family val="2"/>
          </rPr>
          <t>Requirements today (part of Usage today).</t>
        </r>
      </text>
    </comment>
    <comment ref="B251" authorId="0" shapeId="0" xr:uid="{00000000-0006-0000-1400-000005000000}">
      <text>
        <r>
          <rPr>
            <sz val="8"/>
            <color indexed="81"/>
            <rFont val="Tahoma"/>
            <family val="2"/>
          </rPr>
          <t>Stock at the end of the day.</t>
        </r>
      </text>
    </comment>
    <comment ref="C251" authorId="0" shapeId="0" xr:uid="{00000000-0006-0000-1400-000006000000}">
      <text>
        <r>
          <rPr>
            <sz val="8"/>
            <color indexed="81"/>
            <rFont val="Tahoma"/>
            <family val="2"/>
          </rPr>
          <t>Total Usage at certain date.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product" type="4" refreshedVersion="0" background="1">
    <webPr xml="1" sourceData="1" url="C:\Users\abottu\Desktop\product.xml" htmlTables="1" htmlFormat="all"/>
  </connection>
</connections>
</file>

<file path=xl/sharedStrings.xml><?xml version="1.0" encoding="utf-8"?>
<sst xmlns="http://schemas.openxmlformats.org/spreadsheetml/2006/main" count="10339" uniqueCount="458">
  <si>
    <t>ReportName</t>
  </si>
  <si>
    <t>ReportID</t>
  </si>
  <si>
    <t>Plnt</t>
  </si>
  <si>
    <t>Material</t>
  </si>
  <si>
    <t>SLoc</t>
  </si>
  <si>
    <t>BUn</t>
  </si>
  <si>
    <t>NOA104</t>
  </si>
  <si>
    <t>Currency</t>
  </si>
  <si>
    <t>Budget price this year</t>
  </si>
  <si>
    <t>Current calculated standard price</t>
  </si>
  <si>
    <t>This sheet is used to handle user selections in the ribbon group Options</t>
  </si>
  <si>
    <t>Description</t>
  </si>
  <si>
    <t>Ribbon options</t>
  </si>
  <si>
    <t>Value</t>
  </si>
  <si>
    <t>Moving</t>
  </si>
  <si>
    <t>Budget</t>
  </si>
  <si>
    <t>Standard</t>
  </si>
  <si>
    <t>Item tag</t>
  </si>
  <si>
    <t>Price for current stock (moving average)</t>
  </si>
  <si>
    <t>FirstSheet</t>
  </si>
  <si>
    <t>FirstTable</t>
  </si>
  <si>
    <t>Valid from</t>
  </si>
  <si>
    <t>Profit Center</t>
  </si>
  <si>
    <t>FieldName</t>
  </si>
  <si>
    <t>Plant</t>
  </si>
  <si>
    <t>QuantityUnit</t>
  </si>
  <si>
    <t>SalesValue</t>
  </si>
  <si>
    <t>CustomerHierarchy</t>
  </si>
  <si>
    <t>ProductHierarchy</t>
  </si>
  <si>
    <t>MaterialPrice</t>
  </si>
  <si>
    <t>Delivery</t>
  </si>
  <si>
    <t>NOA108</t>
  </si>
  <si>
    <t>C</t>
  </si>
  <si>
    <t>A</t>
  </si>
  <si>
    <t>Completely processed</t>
  </si>
  <si>
    <t>Completed</t>
  </si>
  <si>
    <t>Partially processed</t>
  </si>
  <si>
    <t>Started</t>
  </si>
  <si>
    <t>B</t>
  </si>
  <si>
    <t>Not yet processed</t>
  </si>
  <si>
    <t>Not started</t>
  </si>
  <si>
    <t>Not relevant</t>
  </si>
  <si>
    <t>Text</t>
  </si>
  <si>
    <t>DS1</t>
  </si>
  <si>
    <t>Customer</t>
  </si>
  <si>
    <t>NO</t>
  </si>
  <si>
    <t>This sheet contains report information used by the addin</t>
  </si>
  <si>
    <t>Sold To Party</t>
  </si>
  <si>
    <t>Regional</t>
  </si>
  <si>
    <t>National</t>
  </si>
  <si>
    <t>International</t>
  </si>
  <si>
    <t>Level</t>
  </si>
  <si>
    <t>Column</t>
  </si>
  <si>
    <t>Level 1</t>
  </si>
  <si>
    <t>Level 2</t>
  </si>
  <si>
    <t>Level 3</t>
  </si>
  <si>
    <t>Level 4</t>
  </si>
  <si>
    <t>Characters</t>
  </si>
  <si>
    <t>Product Hierarchy Level 1</t>
  </si>
  <si>
    <t>Product Hierarchy Level 2</t>
  </si>
  <si>
    <t>Product Hierarchy Level 3</t>
  </si>
  <si>
    <t>Product Hierarchy Level 4</t>
  </si>
  <si>
    <t>RE</t>
  </si>
  <si>
    <t>IN</t>
  </si>
  <si>
    <t>NOA109</t>
  </si>
  <si>
    <t>FS</t>
  </si>
  <si>
    <t>NOA102</t>
  </si>
  <si>
    <t>NOK102</t>
  </si>
  <si>
    <t>Sector</t>
  </si>
  <si>
    <t>Material Price</t>
  </si>
  <si>
    <t>ReportCaption</t>
  </si>
  <si>
    <t>X</t>
  </si>
  <si>
    <t>UserID</t>
  </si>
  <si>
    <t>VariantID</t>
  </si>
  <si>
    <t>SheetName</t>
  </si>
  <si>
    <t>TableName</t>
  </si>
  <si>
    <t>Seq</t>
  </si>
  <si>
    <t>PivotElement</t>
  </si>
  <si>
    <t>SourceName</t>
  </si>
  <si>
    <t>ColumnGrand</t>
  </si>
  <si>
    <t>RowGrand</t>
  </si>
  <si>
    <t>DisplayErrorString</t>
  </si>
  <si>
    <t>TableStart</t>
  </si>
  <si>
    <t>FieldList</t>
  </si>
  <si>
    <t>MissingItems</t>
  </si>
  <si>
    <t>SaveData</t>
  </si>
  <si>
    <t>ShowDrillIndicators</t>
  </si>
  <si>
    <t>Caption</t>
  </si>
  <si>
    <t>Name</t>
  </si>
  <si>
    <t>NumberFormat</t>
  </si>
  <si>
    <t>Orientation</t>
  </si>
  <si>
    <t>Formula</t>
  </si>
  <si>
    <t>CurrentPage</t>
  </si>
  <si>
    <t>CpSourceName</t>
  </si>
  <si>
    <t>PivotItems</t>
  </si>
  <si>
    <t>Visible</t>
  </si>
  <si>
    <t>AutoSortOrder</t>
  </si>
  <si>
    <t>AutoSortField</t>
  </si>
  <si>
    <t>SubTotals</t>
  </si>
  <si>
    <t>Function</t>
  </si>
  <si>
    <t>Calculation</t>
  </si>
  <si>
    <t>BaseField</t>
  </si>
  <si>
    <t>BaseItem</t>
  </si>
  <si>
    <t>Position</t>
  </si>
  <si>
    <t>Gross</t>
  </si>
  <si>
    <t>Default</t>
  </si>
  <si>
    <t>SL01</t>
  </si>
  <si>
    <t>NOAR</t>
  </si>
  <si>
    <t>SLHA</t>
  </si>
  <si>
    <t>Mat. Doc.</t>
  </si>
  <si>
    <t>Number of Material Document</t>
  </si>
  <si>
    <t>MatYr</t>
  </si>
  <si>
    <t>Material Document Year</t>
  </si>
  <si>
    <t>MvT</t>
  </si>
  <si>
    <t>Movement Type (Inventory Management)</t>
  </si>
  <si>
    <t>Material in Respect of Which Stock is Managed</t>
  </si>
  <si>
    <t>Storage Location</t>
  </si>
  <si>
    <t>Batch</t>
  </si>
  <si>
    <t>Batch Number</t>
  </si>
  <si>
    <t>Quantity</t>
  </si>
  <si>
    <t>Quantity in Unit of Entry</t>
  </si>
  <si>
    <t>Base Unit of Measure</t>
  </si>
  <si>
    <t>Tfr</t>
  </si>
  <si>
    <t>Special Stock Indicator for Physical Stock Transfer</t>
  </si>
  <si>
    <t>Mvt</t>
  </si>
  <si>
    <t>Cns</t>
  </si>
  <si>
    <t>Consumption Posting</t>
  </si>
  <si>
    <t>Rec</t>
  </si>
  <si>
    <t>Receipt Indicator</t>
  </si>
  <si>
    <t>MTy</t>
  </si>
  <si>
    <t>Movement Type for Warehouse Management</t>
  </si>
  <si>
    <t>S</t>
  </si>
  <si>
    <t>Material Staging Indicator for Production Supply</t>
  </si>
  <si>
    <t>Pstng Date</t>
  </si>
  <si>
    <t>Posting Date in the Document</t>
  </si>
  <si>
    <t>User Name</t>
  </si>
  <si>
    <t>Entry Dte</t>
  </si>
  <si>
    <t>Day On Which Accounting Document Was Entered</t>
  </si>
  <si>
    <t>Time</t>
  </si>
  <si>
    <t>Time of Entry</t>
  </si>
  <si>
    <t>D/C</t>
  </si>
  <si>
    <t>Debit/credit indicator for the stock movement</t>
  </si>
  <si>
    <t>Movement Type Text</t>
  </si>
  <si>
    <t>Movement Type Text (Inventory Management)</t>
  </si>
  <si>
    <t>Order</t>
  </si>
  <si>
    <t>Order Number</t>
  </si>
  <si>
    <t>PO</t>
  </si>
  <si>
    <t>Purchase Order Number</t>
  </si>
  <si>
    <t>Reas.</t>
  </si>
  <si>
    <t>Reason for Movement</t>
  </si>
  <si>
    <t>Total valuated stock before th</t>
  </si>
  <si>
    <t>Total valuated stock before the transaction</t>
  </si>
  <si>
    <t>W</t>
  </si>
  <si>
    <t>Indicator: posting in warehouse management system</t>
  </si>
  <si>
    <t>StR</t>
  </si>
  <si>
    <t>Transaction/event is relevant to statistics</t>
  </si>
  <si>
    <t>Value of total valuated stock</t>
  </si>
  <si>
    <t>Crcy</t>
  </si>
  <si>
    <t>Currency Key</t>
  </si>
  <si>
    <t>Manuf. Dte</t>
  </si>
  <si>
    <t>Date of Manufacture</t>
  </si>
  <si>
    <t>StockOut</t>
  </si>
  <si>
    <t>System Field</t>
  </si>
  <si>
    <t>StockTest</t>
  </si>
  <si>
    <t>NetQty</t>
  </si>
  <si>
    <t xml:space="preserve">Net Stock Movement Quantity </t>
  </si>
  <si>
    <t>Dates</t>
  </si>
  <si>
    <t>Calendar Dates</t>
  </si>
  <si>
    <t>Stock in BUm</t>
  </si>
  <si>
    <t>Stock Quantity in Base Unit of Measure</t>
  </si>
  <si>
    <t>Usage</t>
  </si>
  <si>
    <t>Total usage Quantity</t>
  </si>
  <si>
    <t>Coverage Work Days</t>
  </si>
  <si>
    <t>Stock Coverage in Work Days</t>
  </si>
  <si>
    <t>Future</t>
  </si>
  <si>
    <t>Requirements and Prognosis</t>
  </si>
  <si>
    <t>Avg. Coverage</t>
  </si>
  <si>
    <t>Avg. Stock Coverage in selected period</t>
  </si>
  <si>
    <t>Type</t>
  </si>
  <si>
    <t>Future requirements / prognosis or Historical Stock Usage</t>
  </si>
  <si>
    <t>Year</t>
  </si>
  <si>
    <t>Year of the selected day</t>
  </si>
  <si>
    <t>Month</t>
  </si>
  <si>
    <t>Month of the selected day</t>
  </si>
  <si>
    <t>Week</t>
  </si>
  <si>
    <t>Week number of the selected day</t>
  </si>
  <si>
    <t>PLAAB</t>
  </si>
  <si>
    <t>Material requirements planning segment</t>
  </si>
  <si>
    <t>SORT1</t>
  </si>
  <si>
    <t>Sort indicator 01</t>
  </si>
  <si>
    <t>SORT2</t>
  </si>
  <si>
    <t>Sort indicator 02</t>
  </si>
  <si>
    <t>DELKZ</t>
  </si>
  <si>
    <t>MRP element</t>
  </si>
  <si>
    <t>PLUMI</t>
  </si>
  <si>
    <t>Receipt/issue indicator</t>
  </si>
  <si>
    <t>DAT00</t>
  </si>
  <si>
    <t>Receipt/Requirements date</t>
  </si>
  <si>
    <t>DAT01</t>
  </si>
  <si>
    <t>Delivery/order finish date</t>
  </si>
  <si>
    <t>DELB0</t>
  </si>
  <si>
    <t>Abbreviation for MRP element</t>
  </si>
  <si>
    <t>EXTRA</t>
  </si>
  <si>
    <t>MRP element data</t>
  </si>
  <si>
    <t>AUSSL</t>
  </si>
  <si>
    <t>Exception message key</t>
  </si>
  <si>
    <t>AUSKT</t>
  </si>
  <si>
    <t>Exception message number</t>
  </si>
  <si>
    <t>MNG01</t>
  </si>
  <si>
    <t>Quantity received or quantity required</t>
  </si>
  <si>
    <t>DAT02</t>
  </si>
  <si>
    <t>Start/release date</t>
  </si>
  <si>
    <t>WRK01</t>
  </si>
  <si>
    <t>Planning Plant</t>
  </si>
  <si>
    <t>WRK02</t>
  </si>
  <si>
    <t>SLOC2</t>
  </si>
  <si>
    <t>Issuing/Receiving Storage Location</t>
  </si>
  <si>
    <t>LGORT</t>
  </si>
  <si>
    <t>LIFNR</t>
  </si>
  <si>
    <t>Account Number of Vendor or Creditor</t>
  </si>
  <si>
    <t>KUNNR</t>
  </si>
  <si>
    <t>Customer Number 1</t>
  </si>
  <si>
    <t>MD4KD</t>
  </si>
  <si>
    <t>Customer name</t>
  </si>
  <si>
    <t>MD4LI</t>
  </si>
  <si>
    <t>Vendor name</t>
  </si>
  <si>
    <t>Customer Number and Name</t>
  </si>
  <si>
    <t>Vendor</t>
  </si>
  <si>
    <t>Vendor Number and Name</t>
  </si>
  <si>
    <t>Date</t>
  </si>
  <si>
    <t>Date of MRP Element</t>
  </si>
  <si>
    <t>Week Number</t>
  </si>
  <si>
    <t>Month Number</t>
  </si>
  <si>
    <t>Year of MRP Date</t>
  </si>
  <si>
    <t>Net MRP Quantity</t>
  </si>
  <si>
    <t>P-S matl status</t>
  </si>
  <si>
    <t>ABC Indicator</t>
  </si>
  <si>
    <t>Critical Part</t>
  </si>
  <si>
    <t>Purch. Group</t>
  </si>
  <si>
    <t>Unit of issue</t>
  </si>
  <si>
    <t>MRP profile</t>
  </si>
  <si>
    <t>MRP Type</t>
  </si>
  <si>
    <t>MRP Controller</t>
  </si>
  <si>
    <t>Controller name</t>
  </si>
  <si>
    <t>Pl. Deliv. Time</t>
  </si>
  <si>
    <t>GR Proc. Time</t>
  </si>
  <si>
    <t>Period Ind.</t>
  </si>
  <si>
    <t>Lot size</t>
  </si>
  <si>
    <t>Procurement</t>
  </si>
  <si>
    <t>SpecProcurement</t>
  </si>
  <si>
    <t>Reorder Point</t>
  </si>
  <si>
    <t>Safety Stock</t>
  </si>
  <si>
    <t>Min. Lot Size</t>
  </si>
  <si>
    <t>Max. Lot Size</t>
  </si>
  <si>
    <t>Fixed lot size</t>
  </si>
  <si>
    <t>Rounding value</t>
  </si>
  <si>
    <t>Safety time ind</t>
  </si>
  <si>
    <t>Safety time</t>
  </si>
  <si>
    <t>Current period</t>
  </si>
  <si>
    <t>Year cur.period</t>
  </si>
  <si>
    <t>Min SafetyStock</t>
  </si>
  <si>
    <t>Base Unit</t>
  </si>
  <si>
    <t>Material Group</t>
  </si>
  <si>
    <t>Tot. shelf life</t>
  </si>
  <si>
    <t>Rem. Shelf Life</t>
  </si>
  <si>
    <t>LEADBUYER</t>
  </si>
  <si>
    <t>LEADBUYERN</t>
  </si>
  <si>
    <t>LEADDEVEL</t>
  </si>
  <si>
    <t>LEADDEVELN</t>
  </si>
  <si>
    <t>Mat.Name:</t>
  </si>
  <si>
    <t>00.00.0000</t>
  </si>
  <si>
    <t>PD</t>
  </si>
  <si>
    <t>Packaging matr 3</t>
  </si>
  <si>
    <t>M</t>
  </si>
  <si>
    <t>F</t>
  </si>
  <si>
    <t>PCE</t>
  </si>
  <si>
    <t>P011002</t>
  </si>
  <si>
    <t>Foil Spaghettisaus*</t>
  </si>
  <si>
    <t>Unrestricted</t>
  </si>
  <si>
    <t>Stock in tfr</t>
  </si>
  <si>
    <t>In Qual. Insp.</t>
  </si>
  <si>
    <t>Restricted-Use</t>
  </si>
  <si>
    <t>Blocked</t>
  </si>
  <si>
    <t>TotStock</t>
  </si>
  <si>
    <t>Returns</t>
  </si>
  <si>
    <t>Unrestr.-use</t>
  </si>
  <si>
    <t>In transfer</t>
  </si>
  <si>
    <t>Restr.-use PP</t>
  </si>
  <si>
    <t>WB</t>
  </si>
  <si>
    <t>Stock</t>
  </si>
  <si>
    <t>622660,600</t>
  </si>
  <si>
    <t>AR</t>
  </si>
  <si>
    <t>-</t>
  </si>
  <si>
    <t>OrdRes</t>
  </si>
  <si>
    <t>-75691,000</t>
  </si>
  <si>
    <t>SB</t>
  </si>
  <si>
    <t>DepReq</t>
  </si>
  <si>
    <t>-51383,000</t>
  </si>
  <si>
    <t>-53513,000</t>
  </si>
  <si>
    <t>-46879,000</t>
  </si>
  <si>
    <t>-34767,000</t>
  </si>
  <si>
    <t>-42464,000</t>
  </si>
  <si>
    <t>-55623,000</t>
  </si>
  <si>
    <t>-41493,000</t>
  </si>
  <si>
    <t>-33258,000</t>
  </si>
  <si>
    <t>-39012,000</t>
  </si>
  <si>
    <t>-42805,000</t>
  </si>
  <si>
    <t>-44815,000</t>
  </si>
  <si>
    <t>BA</t>
  </si>
  <si>
    <t>+</t>
  </si>
  <si>
    <t>PurRqs</t>
  </si>
  <si>
    <t>0032643196/00010</t>
  </si>
  <si>
    <t>165000,000</t>
  </si>
  <si>
    <t>SL02</t>
  </si>
  <si>
    <t>HUHTAMAKI DEUTSHLAND GMBH &amp; CO.KG</t>
  </si>
  <si>
    <t>-50058,000</t>
  </si>
  <si>
    <t>-49361,000</t>
  </si>
  <si>
    <t>-45297,000</t>
  </si>
  <si>
    <t>0032643197/00010</t>
  </si>
  <si>
    <t>-44764,000</t>
  </si>
  <si>
    <t>-44527,000</t>
  </si>
  <si>
    <t>-43009,000</t>
  </si>
  <si>
    <t>-42446,000</t>
  </si>
  <si>
    <t>0032643198/00010</t>
  </si>
  <si>
    <t>-48204,000</t>
  </si>
  <si>
    <t>-47628,000</t>
  </si>
  <si>
    <t>-58610,000</t>
  </si>
  <si>
    <t>-33879,000</t>
  </si>
  <si>
    <t>Sum av NetQty</t>
  </si>
  <si>
    <t>UsageTest</t>
  </si>
  <si>
    <t>Test2</t>
  </si>
  <si>
    <t>StockIn</t>
  </si>
  <si>
    <t>NewDate</t>
  </si>
  <si>
    <t>StockIn:</t>
  </si>
  <si>
    <t>H</t>
  </si>
  <si>
    <t>Total</t>
  </si>
  <si>
    <t>Stock History 500011 Kylling 6x6x6 Fryse-Tørket</t>
  </si>
  <si>
    <t>(All)</t>
  </si>
  <si>
    <t>Grand Total</t>
  </si>
  <si>
    <t>Sum av StockIn</t>
  </si>
  <si>
    <t/>
  </si>
  <si>
    <t>Stock Coverage Analysis - Work Days</t>
  </si>
  <si>
    <t>Current Stock key Figures</t>
  </si>
  <si>
    <t>Minium coverage</t>
  </si>
  <si>
    <t>Valuated Stock</t>
  </si>
  <si>
    <t>Maximum coverage</t>
  </si>
  <si>
    <t>Valuated Stock, not blocked</t>
  </si>
  <si>
    <t>Average coverage Valuated Stock</t>
  </si>
  <si>
    <t>Coverage Stock, not blocked</t>
  </si>
  <si>
    <t>WD</t>
  </si>
  <si>
    <t>Average coverage Safety Stock</t>
  </si>
  <si>
    <t>Inventory Turnover</t>
  </si>
  <si>
    <t>History</t>
  </si>
  <si>
    <t>Avg</t>
  </si>
  <si>
    <t>Max</t>
  </si>
  <si>
    <t>Rol. usage below Saf. Stock</t>
  </si>
  <si>
    <t>Safety Stock Days</t>
  </si>
  <si>
    <t>Average Usage</t>
  </si>
  <si>
    <t>Average Usage Qty</t>
  </si>
  <si>
    <t>Rolling Safety Days</t>
  </si>
  <si>
    <t>Safety Stock PCEs</t>
  </si>
  <si>
    <t>Average Usage Rolling Period</t>
  </si>
  <si>
    <t>Average Usage Frequency</t>
  </si>
  <si>
    <t>Number of Deliveries</t>
  </si>
  <si>
    <t>Average not delivered</t>
  </si>
  <si>
    <t>Total Usage</t>
  </si>
  <si>
    <t>Future Usage Qty</t>
  </si>
  <si>
    <t>Actual Service Level</t>
  </si>
  <si>
    <t>Actual not delivered</t>
  </si>
  <si>
    <t>Std. deviation / average</t>
  </si>
  <si>
    <t>Future Usage Frequency</t>
  </si>
  <si>
    <t>(blank)</t>
  </si>
  <si>
    <t>Data</t>
  </si>
  <si>
    <t>Total Sum av NetQty</t>
  </si>
  <si>
    <t>Total Sum av Stock Price</t>
  </si>
  <si>
    <t>Sum av Stock Price</t>
  </si>
  <si>
    <t>4055 HUHTAMAKI DEUTSHLAND GMBH &amp; CO.KG</t>
  </si>
  <si>
    <t>FactCal</t>
  </si>
  <si>
    <t>AccFC</t>
  </si>
  <si>
    <t>Saf_Stock_PCE</t>
  </si>
  <si>
    <t>Row</t>
  </si>
  <si>
    <t>Help</t>
  </si>
  <si>
    <t>Undelivered</t>
  </si>
  <si>
    <t>Number of Days:</t>
  </si>
  <si>
    <t>Top range:</t>
  </si>
  <si>
    <t>Total Stock not blocked:</t>
  </si>
  <si>
    <t>Safety Stock:</t>
  </si>
  <si>
    <t>Avg. total Stock:</t>
  </si>
  <si>
    <t>Avg. Cov SafStoc:</t>
  </si>
  <si>
    <t>Total usage:</t>
  </si>
  <si>
    <t>Inventory Turnover:</t>
  </si>
  <si>
    <t>Min Cov.</t>
  </si>
  <si>
    <t>Max Coverage</t>
  </si>
  <si>
    <t>Days of Rolling Usage</t>
  </si>
  <si>
    <t>Average rolling period</t>
  </si>
  <si>
    <t>Std. deviation</t>
  </si>
  <si>
    <t>Safety Level Deliv. Freq.</t>
  </si>
  <si>
    <t>SL_Days</t>
  </si>
  <si>
    <t>Probability Out Of Stock</t>
  </si>
  <si>
    <t>Occations Out Of Stock</t>
  </si>
  <si>
    <t>Possible number of deliveries</t>
  </si>
  <si>
    <t>Number of deliveries</t>
  </si>
  <si>
    <t>Number below saf. stock</t>
  </si>
  <si>
    <t>Average deviation</t>
  </si>
  <si>
    <t>Total not delivered</t>
  </si>
  <si>
    <t>Sum av Usage</t>
  </si>
  <si>
    <t>2009 Total</t>
  </si>
  <si>
    <t>2010 Total</t>
  </si>
  <si>
    <t>2011 Total</t>
  </si>
  <si>
    <t>2013 Total</t>
  </si>
  <si>
    <t>Chart</t>
  </si>
  <si>
    <t>- Historical stock movements, presentated graphically - for one plant material</t>
  </si>
  <si>
    <t>- Future requirements</t>
  </si>
  <si>
    <t>- Calculated stock coverage for each day, and average for the whole period</t>
  </si>
  <si>
    <t>- Splitted Current Valuated Stock</t>
  </si>
  <si>
    <t>- Wiew stock details:</t>
  </si>
  <si>
    <t xml:space="preserve">  Process orders, Purchase orders, Batches, Material documents, Storage locations</t>
  </si>
  <si>
    <t>- Calculate Safety Stock based on safety time and actual usage variations</t>
  </si>
  <si>
    <t>- Maximum 13 months of data</t>
  </si>
  <si>
    <t>Sum of NetQty</t>
  </si>
  <si>
    <t>Lang</t>
  </si>
  <si>
    <t>Material Description</t>
  </si>
  <si>
    <t>Materialtype Description</t>
  </si>
  <si>
    <t>Plant Description</t>
  </si>
  <si>
    <t>Sloc</t>
  </si>
  <si>
    <t>Mty</t>
  </si>
  <si>
    <t>LangCode</t>
  </si>
  <si>
    <t>Mtyp</t>
  </si>
  <si>
    <t>Norsk</t>
  </si>
  <si>
    <t>Stabburet Bayersk postei 8x6x22g</t>
  </si>
  <si>
    <t>Ferdigvare OFN Pricat</t>
  </si>
  <si>
    <t>Ikke tilordnet</t>
  </si>
  <si>
    <t>09.06.2014</t>
  </si>
  <si>
    <t>FR00</t>
  </si>
  <si>
    <t>Råbekken</t>
  </si>
  <si>
    <t>Q</t>
  </si>
  <si>
    <t>Ferdigvare tørr</t>
  </si>
  <si>
    <t>BATCH</t>
  </si>
  <si>
    <t>LO kval.Til fri disp</t>
  </si>
  <si>
    <t>ZFER</t>
  </si>
  <si>
    <t>Whr</t>
  </si>
  <si>
    <t>Beh.kat.</t>
  </si>
  <si>
    <t>R/S Plnt</t>
  </si>
  <si>
    <t>S2</t>
  </si>
  <si>
    <t>Material2</t>
  </si>
  <si>
    <t>In qual. insp.2</t>
  </si>
  <si>
    <t>Blocked3</t>
  </si>
  <si>
    <t>Returns4</t>
  </si>
  <si>
    <t>Lager Historikk</t>
  </si>
  <si>
    <t>Rapporter Statistikker</t>
  </si>
  <si>
    <t>Rapporten Inneholder</t>
  </si>
  <si>
    <t xml:space="preserve">    Trykk F10 for å lansere valgskjermen</t>
  </si>
  <si>
    <t>Entry</t>
  </si>
  <si>
    <t>Ikke tilordnet/201</t>
  </si>
  <si>
    <t>Alternative Unit</t>
  </si>
  <si>
    <t>Counter</t>
  </si>
  <si>
    <t>TPK</t>
  </si>
  <si>
    <t>RecordCount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</si>
</sst>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#,##0.000;[Red]\-#,##0.000"/>
    <numFmt numFmtId="165" formatCode="#,##0.0;[Red]\-#,##0.0"/>
    <numFmt numFmtId="166" formatCode="#,##0.0\ %;[Red]\-#,##0.0\ %"/>
    <numFmt numFmtId="167" formatCode="0.0"/>
    <numFmt numFmtId="168" formatCode="0.0\ %"/>
    <numFmt numFmtId="169" formatCode="dd/mm/yyyy;@"/>
    <numFmt numFmtId="170" formatCode="dd/mm/yyyy\ hh:mm:ss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222222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6"/>
      <name val="Arial"/>
      <family val="2"/>
    </font>
    <font>
      <sz val="8"/>
      <color indexed="81"/>
      <name val="Tahoma"/>
      <family val="2"/>
    </font>
    <font>
      <b/>
      <i/>
      <sz val="11"/>
      <color theme="1"/>
      <name val="Calibri"/>
      <family val="2"/>
      <scheme val="minor"/>
    </font>
    <font>
      <sz val="10"/>
      <color theme="0"/>
      <name val="Arial"/>
      <family val="2"/>
    </font>
    <font>
      <sz val="10"/>
      <name val="Arial"/>
    </font>
    <font>
      <sz val="10"/>
      <color indexed="8"/>
      <name val="Arial"/>
    </font>
    <font>
      <b/>
      <sz val="10"/>
      <color theme="0"/>
      <name val="Arial"/>
    </font>
  </fonts>
  <fills count="12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indexed="22"/>
        <bgColor indexed="64"/>
      </patternFill>
    </fill>
  </fills>
  <borders count="5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3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63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/>
      <diagonal/>
    </border>
    <border>
      <left style="thin">
        <color indexed="9"/>
      </left>
      <right/>
      <top style="thin">
        <color indexed="9"/>
      </top>
      <bottom style="thin">
        <color indexed="63"/>
      </bottom>
      <diagonal/>
    </border>
    <border>
      <left style="thin">
        <color indexed="9"/>
      </left>
      <right style="thin">
        <color indexed="63"/>
      </right>
      <top style="thin">
        <color indexed="9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65"/>
      </left>
      <right/>
      <top style="thin">
        <color indexed="64"/>
      </top>
      <bottom style="thick">
        <color indexed="64"/>
      </bottom>
      <diagonal/>
    </border>
    <border>
      <left style="thin">
        <color indexed="8"/>
      </left>
      <right/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/>
      <top style="thin">
        <color indexed="64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indexed="8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indexed="8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indexed="64"/>
      </left>
      <right/>
      <top style="thin">
        <color rgb="FFABABAB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1">
    <xf numFmtId="0" fontId="0" fillId="0" borderId="0"/>
    <xf numFmtId="0" fontId="7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8" fillId="0" borderId="0"/>
    <xf numFmtId="0" fontId="7" fillId="0" borderId="0"/>
    <xf numFmtId="0" fontId="16" fillId="0" borderId="0"/>
    <xf numFmtId="0" fontId="16" fillId="0" borderId="0"/>
  </cellStyleXfs>
  <cellXfs count="183">
    <xf numFmtId="0" fontId="0" fillId="0" borderId="0" xfId="0"/>
    <xf numFmtId="0" fontId="0" fillId="0" borderId="1" xfId="0" applyBorder="1"/>
    <xf numFmtId="0" fontId="0" fillId="0" borderId="1" xfId="0" pivotButton="1" applyBorder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3" fillId="0" borderId="0" xfId="0" applyFont="1" applyFill="1"/>
    <xf numFmtId="0" fontId="0" fillId="2" borderId="0" xfId="0" applyFill="1"/>
    <xf numFmtId="0" fontId="1" fillId="0" borderId="0" xfId="0" applyFont="1"/>
    <xf numFmtId="0" fontId="5" fillId="0" borderId="0" xfId="0" applyFont="1"/>
    <xf numFmtId="0" fontId="1" fillId="0" borderId="0" xfId="0" applyFont="1" applyAlignment="1">
      <alignment horizontal="right"/>
    </xf>
    <xf numFmtId="49" fontId="0" fillId="0" borderId="0" xfId="0" applyNumberFormat="1"/>
    <xf numFmtId="0" fontId="1" fillId="0" borderId="0" xfId="0" applyFont="1" applyFill="1"/>
    <xf numFmtId="0" fontId="1" fillId="0" borderId="3" xfId="0" applyFont="1" applyBorder="1"/>
    <xf numFmtId="0" fontId="1" fillId="0" borderId="3" xfId="0" applyFont="1" applyBorder="1" applyAlignment="1"/>
    <xf numFmtId="0" fontId="1" fillId="0" borderId="3" xfId="0" applyFont="1" applyBorder="1" applyAlignment="1">
      <alignment horizontal="right"/>
    </xf>
    <xf numFmtId="0" fontId="4" fillId="0" borderId="0" xfId="0" quotePrefix="1" applyFont="1" applyFill="1"/>
    <xf numFmtId="0" fontId="0" fillId="2" borderId="0" xfId="0" applyFill="1" applyAlignment="1">
      <alignment horizontal="left"/>
    </xf>
    <xf numFmtId="0" fontId="9" fillId="0" borderId="0" xfId="0" applyFont="1" applyFill="1"/>
    <xf numFmtId="0" fontId="4" fillId="0" borderId="0" xfId="0" applyFont="1" applyFill="1" applyAlignment="1">
      <alignment horizontal="left"/>
    </xf>
    <xf numFmtId="0" fontId="7" fillId="0" borderId="0" xfId="1" applyFill="1"/>
    <xf numFmtId="0" fontId="7" fillId="0" borderId="0" xfId="1" applyFont="1" applyFill="1"/>
    <xf numFmtId="0" fontId="7" fillId="0" borderId="0" xfId="1"/>
    <xf numFmtId="0" fontId="8" fillId="0" borderId="0" xfId="7"/>
    <xf numFmtId="4" fontId="7" fillId="0" borderId="0" xfId="1" applyNumberFormat="1"/>
    <xf numFmtId="3" fontId="7" fillId="0" borderId="0" xfId="1" applyNumberFormat="1"/>
    <xf numFmtId="38" fontId="7" fillId="0" borderId="0" xfId="1" applyNumberFormat="1"/>
    <xf numFmtId="14" fontId="7" fillId="0" borderId="0" xfId="1" applyNumberFormat="1"/>
    <xf numFmtId="19" fontId="7" fillId="0" borderId="0" xfId="1" applyNumberFormat="1"/>
    <xf numFmtId="49" fontId="7" fillId="0" borderId="0" xfId="1" applyNumberFormat="1"/>
    <xf numFmtId="164" fontId="7" fillId="0" borderId="0" xfId="1" applyNumberFormat="1"/>
    <xf numFmtId="0" fontId="8" fillId="0" borderId="0" xfId="7" applyFont="1"/>
    <xf numFmtId="38" fontId="8" fillId="0" borderId="0" xfId="7" applyNumberFormat="1" applyFont="1"/>
    <xf numFmtId="0" fontId="8" fillId="0" borderId="0" xfId="7" applyNumberFormat="1" applyFont="1"/>
    <xf numFmtId="14" fontId="8" fillId="0" borderId="0" xfId="7" applyNumberFormat="1" applyFont="1"/>
    <xf numFmtId="21" fontId="8" fillId="0" borderId="0" xfId="7" applyNumberFormat="1" applyFont="1"/>
    <xf numFmtId="38" fontId="8" fillId="0" borderId="0" xfId="7" applyNumberFormat="1"/>
    <xf numFmtId="0" fontId="10" fillId="0" borderId="0" xfId="1" applyFont="1"/>
    <xf numFmtId="0" fontId="10" fillId="3" borderId="0" xfId="1" applyFont="1" applyFill="1"/>
    <xf numFmtId="0" fontId="10" fillId="0" borderId="0" xfId="7" applyNumberFormat="1" applyFont="1"/>
    <xf numFmtId="0" fontId="10" fillId="3" borderId="0" xfId="7" applyNumberFormat="1" applyFont="1" applyFill="1"/>
    <xf numFmtId="0" fontId="10" fillId="3" borderId="0" xfId="7" applyFont="1" applyFill="1"/>
    <xf numFmtId="0" fontId="0" fillId="0" borderId="2" xfId="0" pivotButton="1" applyBorder="1"/>
    <xf numFmtId="0" fontId="0" fillId="0" borderId="4" xfId="0" applyBorder="1"/>
    <xf numFmtId="14" fontId="0" fillId="0" borderId="5" xfId="0" applyNumberFormat="1" applyBorder="1"/>
    <xf numFmtId="0" fontId="11" fillId="0" borderId="0" xfId="1" applyFont="1"/>
    <xf numFmtId="0" fontId="1" fillId="0" borderId="6" xfId="0" applyFont="1" applyBorder="1"/>
    <xf numFmtId="0" fontId="1" fillId="0" borderId="0" xfId="0" applyFont="1" applyBorder="1" applyAlignment="1">
      <alignment horizontal="right"/>
    </xf>
    <xf numFmtId="14" fontId="1" fillId="4" borderId="8" xfId="0" applyNumberFormat="1" applyFont="1" applyFill="1" applyBorder="1"/>
    <xf numFmtId="38" fontId="0" fillId="0" borderId="4" xfId="0" applyNumberFormat="1" applyBorder="1" applyAlignment="1">
      <alignment horizontal="right"/>
    </xf>
    <xf numFmtId="38" fontId="1" fillId="4" borderId="9" xfId="0" applyNumberFormat="1" applyFont="1" applyFill="1" applyBorder="1" applyAlignment="1">
      <alignment horizontal="right"/>
    </xf>
    <xf numFmtId="0" fontId="1" fillId="0" borderId="2" xfId="0" applyFont="1" applyBorder="1" applyAlignment="1">
      <alignment horizontal="right"/>
    </xf>
    <xf numFmtId="11" fontId="12" fillId="0" borderId="0" xfId="8" applyNumberFormat="1" applyFont="1" applyFill="1"/>
    <xf numFmtId="11" fontId="7" fillId="0" borderId="0" xfId="1" applyNumberFormat="1"/>
    <xf numFmtId="11" fontId="7" fillId="0" borderId="0" xfId="8" applyNumberFormat="1" applyFill="1"/>
    <xf numFmtId="0" fontId="7" fillId="0" borderId="0" xfId="8" applyFill="1"/>
    <xf numFmtId="0" fontId="7" fillId="0" borderId="0" xfId="8" quotePrefix="1" applyFill="1" applyAlignment="1"/>
    <xf numFmtId="0" fontId="7" fillId="0" borderId="0" xfId="8" quotePrefix="1" applyFill="1" applyAlignment="1">
      <alignment wrapText="1"/>
    </xf>
    <xf numFmtId="0" fontId="11" fillId="5" borderId="13" xfId="8" applyFont="1" applyFill="1" applyBorder="1" applyProtection="1"/>
    <xf numFmtId="0" fontId="11" fillId="5" borderId="14" xfId="8" applyFont="1" applyFill="1" applyBorder="1" applyAlignment="1" applyProtection="1">
      <alignment horizontal="center"/>
    </xf>
    <xf numFmtId="0" fontId="11" fillId="5" borderId="15" xfId="8" applyFont="1" applyFill="1" applyBorder="1" applyAlignment="1" applyProtection="1">
      <alignment horizontal="center"/>
    </xf>
    <xf numFmtId="0" fontId="11" fillId="5" borderId="16" xfId="8" applyFont="1" applyFill="1" applyBorder="1" applyAlignment="1" applyProtection="1">
      <alignment horizontal="center"/>
    </xf>
    <xf numFmtId="38" fontId="7" fillId="0" borderId="0" xfId="8" applyNumberFormat="1" applyFill="1"/>
    <xf numFmtId="0" fontId="7" fillId="6" borderId="17" xfId="8" applyFont="1" applyFill="1" applyBorder="1" applyProtection="1"/>
    <xf numFmtId="38" fontId="7" fillId="6" borderId="18" xfId="8" applyNumberFormat="1" applyFill="1" applyBorder="1" applyAlignment="1" applyProtection="1"/>
    <xf numFmtId="38" fontId="7" fillId="6" borderId="17" xfId="8" applyNumberFormat="1" applyFont="1" applyFill="1" applyBorder="1" applyProtection="1"/>
    <xf numFmtId="38" fontId="7" fillId="6" borderId="18" xfId="8" applyNumberFormat="1" applyFont="1" applyFill="1" applyBorder="1" applyAlignment="1" applyProtection="1"/>
    <xf numFmtId="0" fontId="7" fillId="0" borderId="0" xfId="8" applyFill="1" applyAlignment="1">
      <alignment wrapText="1"/>
    </xf>
    <xf numFmtId="11" fontId="7" fillId="0" borderId="0" xfId="8" quotePrefix="1" applyNumberFormat="1" applyFill="1" applyAlignment="1">
      <alignment wrapText="1"/>
    </xf>
    <xf numFmtId="0" fontId="7" fillId="6" borderId="13" xfId="8" applyFont="1" applyFill="1" applyBorder="1" applyProtection="1"/>
    <xf numFmtId="38" fontId="7" fillId="6" borderId="19" xfId="8" applyNumberFormat="1" applyFill="1" applyBorder="1" applyAlignment="1" applyProtection="1"/>
    <xf numFmtId="11" fontId="7" fillId="6" borderId="17" xfId="8" applyNumberFormat="1" applyFont="1" applyFill="1" applyBorder="1" applyProtection="1"/>
    <xf numFmtId="0" fontId="7" fillId="0" borderId="0" xfId="8" applyFill="1" applyAlignment="1"/>
    <xf numFmtId="0" fontId="7" fillId="6" borderId="20" xfId="8" applyFont="1" applyFill="1" applyBorder="1" applyProtection="1"/>
    <xf numFmtId="38" fontId="7" fillId="6" borderId="20" xfId="8" applyNumberFormat="1" applyFont="1" applyFill="1" applyBorder="1" applyProtection="1"/>
    <xf numFmtId="38" fontId="7" fillId="6" borderId="21" xfId="8" applyNumberFormat="1" applyFont="1" applyFill="1" applyBorder="1" applyAlignment="1" applyProtection="1"/>
    <xf numFmtId="165" fontId="7" fillId="6" borderId="21" xfId="8" applyNumberFormat="1" applyFill="1" applyBorder="1" applyAlignment="1" applyProtection="1"/>
    <xf numFmtId="14" fontId="7" fillId="0" borderId="0" xfId="8" applyNumberFormat="1" applyFill="1"/>
    <xf numFmtId="0" fontId="7" fillId="0" borderId="0" xfId="8" applyFill="1" applyProtection="1"/>
    <xf numFmtId="0" fontId="11" fillId="0" borderId="0" xfId="1" applyFont="1" applyAlignment="1">
      <alignment horizontal="right"/>
    </xf>
    <xf numFmtId="0" fontId="7" fillId="0" borderId="0" xfId="1" applyFont="1"/>
    <xf numFmtId="166" fontId="7" fillId="8" borderId="0" xfId="1" applyNumberFormat="1" applyFill="1" applyAlignment="1" applyProtection="1">
      <alignment horizontal="center"/>
      <protection locked="0"/>
    </xf>
    <xf numFmtId="165" fontId="7" fillId="0" borderId="0" xfId="1" applyNumberFormat="1" applyAlignment="1"/>
    <xf numFmtId="0" fontId="7" fillId="8" borderId="0" xfId="1" applyFill="1" applyAlignment="1" applyProtection="1">
      <alignment horizontal="center"/>
      <protection locked="0"/>
    </xf>
    <xf numFmtId="38" fontId="7" fillId="0" borderId="0" xfId="1" applyNumberFormat="1" applyAlignment="1"/>
    <xf numFmtId="165" fontId="7" fillId="0" borderId="0" xfId="1" applyNumberFormat="1"/>
    <xf numFmtId="167" fontId="7" fillId="8" borderId="0" xfId="1" applyNumberFormat="1" applyFill="1" applyAlignment="1" applyProtection="1">
      <alignment horizontal="center"/>
      <protection locked="0"/>
    </xf>
    <xf numFmtId="166" fontId="11" fillId="0" borderId="0" xfId="1" applyNumberFormat="1" applyFont="1"/>
    <xf numFmtId="166" fontId="7" fillId="0" borderId="0" xfId="1" applyNumberFormat="1"/>
    <xf numFmtId="0" fontId="11" fillId="0" borderId="0" xfId="1" applyFont="1" applyAlignment="1">
      <alignment horizontal="center"/>
    </xf>
    <xf numFmtId="0" fontId="11" fillId="0" borderId="0" xfId="1" applyFont="1" applyAlignment="1"/>
    <xf numFmtId="0" fontId="7" fillId="0" borderId="0" xfId="1" applyAlignment="1">
      <alignment horizontal="right"/>
    </xf>
    <xf numFmtId="38" fontId="7" fillId="9" borderId="0" xfId="1" applyNumberFormat="1" applyFill="1"/>
    <xf numFmtId="168" fontId="7" fillId="0" borderId="0" xfId="1" applyNumberFormat="1"/>
    <xf numFmtId="167" fontId="7" fillId="0" borderId="0" xfId="1" applyNumberFormat="1"/>
    <xf numFmtId="2" fontId="7" fillId="0" borderId="0" xfId="1" applyNumberFormat="1"/>
    <xf numFmtId="0" fontId="0" fillId="0" borderId="2" xfId="0" applyBorder="1"/>
    <xf numFmtId="0" fontId="0" fillId="0" borderId="30" xfId="0" applyBorder="1"/>
    <xf numFmtId="0" fontId="0" fillId="0" borderId="31" xfId="0" applyBorder="1"/>
    <xf numFmtId="38" fontId="0" fillId="0" borderId="2" xfId="0" applyNumberFormat="1" applyBorder="1"/>
    <xf numFmtId="0" fontId="0" fillId="0" borderId="23" xfId="0" applyBorder="1"/>
    <xf numFmtId="0" fontId="0" fillId="0" borderId="5" xfId="0" applyBorder="1"/>
    <xf numFmtId="38" fontId="0" fillId="0" borderId="5" xfId="0" applyNumberFormat="1" applyBorder="1"/>
    <xf numFmtId="0" fontId="1" fillId="0" borderId="0" xfId="0" applyFont="1" applyBorder="1"/>
    <xf numFmtId="0" fontId="0" fillId="0" borderId="7" xfId="0" applyBorder="1"/>
    <xf numFmtId="0" fontId="0" fillId="0" borderId="0" xfId="0" applyBorder="1"/>
    <xf numFmtId="0" fontId="1" fillId="4" borderId="22" xfId="0" applyFont="1" applyFill="1" applyBorder="1"/>
    <xf numFmtId="0" fontId="14" fillId="4" borderId="8" xfId="0" applyFont="1" applyFill="1" applyBorder="1"/>
    <xf numFmtId="0" fontId="14" fillId="4" borderId="26" xfId="0" applyFont="1" applyFill="1" applyBorder="1"/>
    <xf numFmtId="38" fontId="0" fillId="0" borderId="2" xfId="0" applyNumberFormat="1" applyBorder="1" applyAlignment="1">
      <alignment horizontal="right"/>
    </xf>
    <xf numFmtId="38" fontId="0" fillId="0" borderId="24" xfId="0" applyNumberFormat="1" applyBorder="1" applyAlignment="1">
      <alignment horizontal="right"/>
    </xf>
    <xf numFmtId="38" fontId="14" fillId="4" borderId="27" xfId="0" applyNumberFormat="1" applyFont="1" applyFill="1" applyBorder="1" applyAlignment="1">
      <alignment horizontal="right"/>
    </xf>
    <xf numFmtId="0" fontId="1" fillId="4" borderId="8" xfId="0" applyFont="1" applyFill="1" applyBorder="1"/>
    <xf numFmtId="0" fontId="1" fillId="4" borderId="28" xfId="0" applyFont="1" applyFill="1" applyBorder="1"/>
    <xf numFmtId="38" fontId="1" fillId="4" borderId="28" xfId="0" applyNumberFormat="1" applyFont="1" applyFill="1" applyBorder="1" applyAlignment="1">
      <alignment horizontal="right"/>
    </xf>
    <xf numFmtId="0" fontId="1" fillId="0" borderId="4" xfId="0" applyFont="1" applyBorder="1" applyAlignment="1">
      <alignment horizontal="right"/>
    </xf>
    <xf numFmtId="38" fontId="0" fillId="0" borderId="25" xfId="0" applyNumberFormat="1" applyBorder="1" applyAlignment="1">
      <alignment horizontal="right"/>
    </xf>
    <xf numFmtId="38" fontId="14" fillId="4" borderId="29" xfId="0" applyNumberFormat="1" applyFont="1" applyFill="1" applyBorder="1" applyAlignment="1">
      <alignment horizontal="right"/>
    </xf>
    <xf numFmtId="0" fontId="0" fillId="7" borderId="2" xfId="0" applyFill="1" applyBorder="1"/>
    <xf numFmtId="0" fontId="0" fillId="7" borderId="30" xfId="0" applyFill="1" applyBorder="1"/>
    <xf numFmtId="38" fontId="0" fillId="7" borderId="2" xfId="0" applyNumberFormat="1" applyFill="1" applyBorder="1" applyAlignment="1">
      <alignment horizontal="right"/>
    </xf>
    <xf numFmtId="38" fontId="0" fillId="7" borderId="4" xfId="0" applyNumberFormat="1" applyFill="1" applyBorder="1" applyAlignment="1">
      <alignment horizontal="right"/>
    </xf>
    <xf numFmtId="14" fontId="0" fillId="0" borderId="2" xfId="0" applyNumberFormat="1" applyBorder="1"/>
    <xf numFmtId="38" fontId="1" fillId="4" borderId="8" xfId="0" applyNumberFormat="1" applyFont="1" applyFill="1" applyBorder="1" applyAlignment="1">
      <alignment horizontal="right"/>
    </xf>
    <xf numFmtId="40" fontId="1" fillId="4" borderId="28" xfId="0" applyNumberFormat="1" applyFont="1" applyFill="1" applyBorder="1" applyAlignment="1">
      <alignment horizontal="right"/>
    </xf>
    <xf numFmtId="40" fontId="1" fillId="4" borderId="9" xfId="0" applyNumberFormat="1" applyFont="1" applyFill="1" applyBorder="1" applyAlignment="1">
      <alignment horizontal="right"/>
    </xf>
    <xf numFmtId="0" fontId="0" fillId="0" borderId="10" xfId="0" applyBorder="1"/>
    <xf numFmtId="38" fontId="0" fillId="0" borderId="7" xfId="0" applyNumberFormat="1" applyBorder="1"/>
    <xf numFmtId="38" fontId="0" fillId="0" borderId="10" xfId="0" applyNumberFormat="1" applyBorder="1"/>
    <xf numFmtId="38" fontId="0" fillId="0" borderId="11" xfId="0" applyNumberFormat="1" applyBorder="1"/>
    <xf numFmtId="38" fontId="0" fillId="0" borderId="12" xfId="0" applyNumberFormat="1" applyBorder="1"/>
    <xf numFmtId="38" fontId="0" fillId="0" borderId="1" xfId="0" applyNumberFormat="1" applyBorder="1"/>
    <xf numFmtId="169" fontId="11" fillId="0" borderId="0" xfId="1" applyNumberFormat="1" applyFont="1" applyAlignment="1">
      <alignment horizontal="center"/>
    </xf>
    <xf numFmtId="169" fontId="7" fillId="0" borderId="0" xfId="1" applyNumberFormat="1" applyFont="1" applyAlignment="1"/>
    <xf numFmtId="169" fontId="8" fillId="9" borderId="0" xfId="1" applyNumberFormat="1" applyFont="1" applyFill="1"/>
    <xf numFmtId="169" fontId="8" fillId="0" borderId="0" xfId="1" applyNumberFormat="1" applyFont="1"/>
    <xf numFmtId="169" fontId="7" fillId="0" borderId="0" xfId="1" applyNumberFormat="1"/>
    <xf numFmtId="0" fontId="10" fillId="10" borderId="0" xfId="7" applyNumberFormat="1" applyFont="1" applyFill="1"/>
    <xf numFmtId="0" fontId="15" fillId="0" borderId="0" xfId="1" applyFont="1"/>
    <xf numFmtId="0" fontId="0" fillId="0" borderId="34" xfId="0" pivotButton="1" applyBorder="1"/>
    <xf numFmtId="0" fontId="0" fillId="0" borderId="34" xfId="0" applyBorder="1"/>
    <xf numFmtId="14" fontId="0" fillId="0" borderId="35" xfId="0" applyNumberFormat="1" applyBorder="1"/>
    <xf numFmtId="0" fontId="1" fillId="0" borderId="36" xfId="0" applyFont="1" applyBorder="1"/>
    <xf numFmtId="38" fontId="0" fillId="0" borderId="33" xfId="0" applyNumberFormat="1" applyBorder="1" applyAlignment="1">
      <alignment horizontal="right"/>
    </xf>
    <xf numFmtId="0" fontId="1" fillId="0" borderId="32" xfId="0" applyFont="1" applyBorder="1" applyAlignment="1">
      <alignment horizontal="right"/>
    </xf>
    <xf numFmtId="0" fontId="0" fillId="0" borderId="35" xfId="0" applyBorder="1"/>
    <xf numFmtId="38" fontId="0" fillId="0" borderId="32" xfId="0" applyNumberFormat="1" applyBorder="1" applyAlignment="1">
      <alignment horizontal="right"/>
    </xf>
    <xf numFmtId="0" fontId="1" fillId="0" borderId="33" xfId="0" applyFont="1" applyBorder="1" applyAlignment="1">
      <alignment horizontal="right"/>
    </xf>
    <xf numFmtId="21" fontId="0" fillId="0" borderId="35" xfId="0" applyNumberFormat="1" applyBorder="1"/>
    <xf numFmtId="0" fontId="1" fillId="0" borderId="35" xfId="0" applyFont="1" applyBorder="1"/>
    <xf numFmtId="0" fontId="0" fillId="7" borderId="39" xfId="0" applyFill="1" applyBorder="1"/>
    <xf numFmtId="0" fontId="0" fillId="7" borderId="38" xfId="0" applyFill="1" applyBorder="1"/>
    <xf numFmtId="38" fontId="0" fillId="7" borderId="40" xfId="0" applyNumberFormat="1" applyFill="1" applyBorder="1" applyAlignment="1">
      <alignment horizontal="right"/>
    </xf>
    <xf numFmtId="0" fontId="1" fillId="0" borderId="43" xfId="0" applyFont="1" applyBorder="1"/>
    <xf numFmtId="0" fontId="1" fillId="0" borderId="37" xfId="0" applyFont="1" applyBorder="1"/>
    <xf numFmtId="0" fontId="1" fillId="11" borderId="43" xfId="0" applyFont="1" applyFill="1" applyBorder="1"/>
    <xf numFmtId="0" fontId="1" fillId="11" borderId="37" xfId="0" applyFont="1" applyFill="1" applyBorder="1"/>
    <xf numFmtId="0" fontId="1" fillId="0" borderId="35" xfId="0" applyFont="1" applyBorder="1" applyAlignment="1">
      <alignment horizontal="right"/>
    </xf>
    <xf numFmtId="38" fontId="0" fillId="0" borderId="43" xfId="0" applyNumberFormat="1" applyBorder="1" applyAlignment="1">
      <alignment horizontal="right"/>
    </xf>
    <xf numFmtId="40" fontId="0" fillId="0" borderId="35" xfId="0" applyNumberFormat="1" applyBorder="1" applyAlignment="1">
      <alignment horizontal="right"/>
    </xf>
    <xf numFmtId="38" fontId="0" fillId="11" borderId="32" xfId="0" applyNumberFormat="1" applyFill="1" applyBorder="1" applyAlignment="1">
      <alignment horizontal="right"/>
    </xf>
    <xf numFmtId="40" fontId="0" fillId="11" borderId="35" xfId="0" applyNumberFormat="1" applyFill="1" applyBorder="1" applyAlignment="1">
      <alignment horizontal="right"/>
    </xf>
    <xf numFmtId="40" fontId="0" fillId="0" borderId="33" xfId="0" applyNumberFormat="1" applyBorder="1" applyAlignment="1">
      <alignment horizontal="right"/>
    </xf>
    <xf numFmtId="0" fontId="1" fillId="0" borderId="41" xfId="0" applyFont="1" applyBorder="1" applyAlignment="1">
      <alignment horizontal="right"/>
    </xf>
    <xf numFmtId="0" fontId="1" fillId="0" borderId="42" xfId="0" applyFont="1" applyBorder="1" applyAlignment="1">
      <alignment horizontal="right"/>
    </xf>
    <xf numFmtId="170" fontId="10" fillId="3" borderId="0" xfId="7" applyNumberFormat="1" applyFont="1" applyFill="1"/>
    <xf numFmtId="170" fontId="8" fillId="0" borderId="0" xfId="7" applyNumberFormat="1" applyFont="1"/>
    <xf numFmtId="38" fontId="0" fillId="0" borderId="34" xfId="0" applyNumberFormat="1" applyBorder="1" applyAlignment="1">
      <alignment horizontal="left"/>
    </xf>
    <xf numFmtId="0" fontId="0" fillId="0" borderId="48" xfId="0" pivotButton="1" applyBorder="1"/>
    <xf numFmtId="0" fontId="0" fillId="0" borderId="48" xfId="0" applyBorder="1"/>
    <xf numFmtId="14" fontId="0" fillId="0" borderId="49" xfId="0" applyNumberFormat="1" applyBorder="1"/>
    <xf numFmtId="0" fontId="1" fillId="0" borderId="44" xfId="0" applyFont="1" applyBorder="1" applyAlignment="1">
      <alignment horizontal="right"/>
    </xf>
    <xf numFmtId="0" fontId="1" fillId="0" borderId="45" xfId="0" applyFont="1" applyBorder="1" applyAlignment="1">
      <alignment horizontal="right"/>
    </xf>
    <xf numFmtId="38" fontId="0" fillId="0" borderId="46" xfId="0" applyNumberFormat="1" applyBorder="1" applyAlignment="1">
      <alignment horizontal="right"/>
    </xf>
    <xf numFmtId="38" fontId="0" fillId="0" borderId="47" xfId="0" applyNumberFormat="1" applyBorder="1" applyAlignment="1">
      <alignment horizontal="right"/>
    </xf>
    <xf numFmtId="14" fontId="0" fillId="0" borderId="48" xfId="0" applyNumberFormat="1" applyBorder="1"/>
    <xf numFmtId="0" fontId="16" fillId="11" borderId="50" xfId="9" applyFill="1" applyBorder="1" applyAlignment="1">
      <alignment vertical="top"/>
    </xf>
    <xf numFmtId="0" fontId="16" fillId="11" borderId="50" xfId="9" applyFill="1" applyBorder="1" applyAlignment="1">
      <alignment vertical="top" wrapText="1"/>
    </xf>
    <xf numFmtId="0" fontId="16" fillId="0" borderId="0" xfId="10" applyAlignment="1">
      <alignment vertical="top"/>
    </xf>
    <xf numFmtId="0" fontId="16" fillId="0" borderId="0" xfId="9" applyAlignment="1">
      <alignment vertical="top"/>
    </xf>
    <xf numFmtId="1" fontId="16" fillId="0" borderId="0" xfId="9" applyNumberFormat="1" applyAlignment="1">
      <alignment horizontal="right" vertical="top"/>
    </xf>
    <xf numFmtId="38" fontId="17" fillId="0" borderId="0" xfId="7" applyNumberFormat="1" applyFont="1" applyFill="1"/>
    <xf numFmtId="0" fontId="18" fillId="3" borderId="0" xfId="7" applyNumberFormat="1" applyFont="1" applyFill="1"/>
  </cellXfs>
  <cellStyles count="11">
    <cellStyle name="Min stil" xfId="2" xr:uid="{00000000-0005-0000-0000-000000000000}"/>
    <cellStyle name="Normal" xfId="0" builtinId="0"/>
    <cellStyle name="Normal 2" xfId="1" xr:uid="{00000000-0005-0000-0000-000002000000}"/>
    <cellStyle name="Normal 2 2" xfId="3" xr:uid="{00000000-0005-0000-0000-000003000000}"/>
    <cellStyle name="Normal 2_MultiSelect" xfId="4" xr:uid="{00000000-0005-0000-0000-000004000000}"/>
    <cellStyle name="Normal 3" xfId="5" xr:uid="{00000000-0005-0000-0000-000005000000}"/>
    <cellStyle name="Normal 4" xfId="6" xr:uid="{00000000-0005-0000-0000-000006000000}"/>
    <cellStyle name="Normal 5" xfId="9" xr:uid="{4EA66882-6775-49ED-BAAA-16171CE15634}"/>
    <cellStyle name="Normal 6" xfId="10" xr:uid="{2823FD12-7E26-4ED4-8735-0A33B7E0C844}"/>
    <cellStyle name="Normal_Material_History_M" xfId="8" xr:uid="{00000000-0005-0000-0000-000007000000}"/>
    <cellStyle name="Normal_Stock_History_M1" xfId="7" xr:uid="{00000000-0005-0000-0000-000008000000}"/>
  </cellStyles>
  <dxfs count="91">
    <dxf>
      <numFmt numFmtId="19" formatCode="dd/mm/yyyy"/>
    </dxf>
    <dxf>
      <numFmt numFmtId="6" formatCode="#,##0;[Red]\-#,##0"/>
    </dxf>
    <dxf>
      <fill>
        <patternFill patternType="none">
          <fgColor indexed="64"/>
          <bgColor indexed="65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" formatCode="0"/>
      <alignment horizontal="righ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70" formatCode="dd/mm/yyyy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6" formatCode="#,##0;[Red]\-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6" formatCode="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numFmt numFmtId="0" formatCode="General"/>
      <fill>
        <patternFill patternType="solid">
          <fgColor indexed="64"/>
          <bgColor rgb="FFFFC000"/>
        </patternFill>
      </fill>
    </dxf>
    <dxf>
      <numFmt numFmtId="6" formatCode="#,##0;[Red]\-#,##0"/>
    </dxf>
    <dxf>
      <numFmt numFmtId="164" formatCode="#,##0.000;[Red]\-#,##0.000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6" formatCode="#,##0;[Red]\-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</dxf>
    <dxf>
      <numFmt numFmtId="3" formatCode="#,##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</dxf>
  </dxfs>
  <tableStyles count="0" defaultTableStyle="TableStyleMedium2" defaultPivotStyle="PivotStyleLight16"/>
  <colors>
    <mruColors>
      <color rgb="FFFF8080"/>
      <color rgb="FFFF6600"/>
      <color rgb="FFFFFF99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XtraSerializer">
        <xsd:complexType>
          <xsd:sequence minOccurs="0">
            <xsd:element minOccurs="0" maxOccurs="unbounded" nillable="true" name="property" form="unqualified">
              <xsd:complexType>
                <xsd:sequence minOccurs="0">
                  <xsd:element minOccurs="0" maxOccurs="unbounded" nillable="true" name="property" form="unqualified">
                    <xsd:complexType>
                      <xsd:attribute name="Seq" form="unqualified" type="xsd:integer"/>
                      <xsd:attribute name="PivotElement" form="unqualified" type="xsd:string"/>
                      <xsd:attribute name="SourceName" form="unqualified" type="xsd:string"/>
                      <xsd:attribute name="ColumnGrand" form="unqualified" type="xsd:integer"/>
                      <xsd:attribute name="RowGrand" form="unqualified" type="xsd:integer"/>
                      <xsd:attribute name="DisplayErrorString" form="unqualified" type="xsd:integer"/>
                      <xsd:attribute name="TableStart" form="unqualified" type="xsd:string"/>
                      <xsd:attribute name="FieldList" form="unqualified" type="xsd:integer"/>
                      <xsd:attribute name="MissingItems" form="unqualified" type="xsd:string"/>
                      <xsd:attribute name="SaveData" form="unqualified" type="xsd:string"/>
                      <xsd:attribute name="ShowDrillIndicators" form="unqualified" type="xsd:string"/>
                      <xsd:attribute name="Caption" form="unqualified" type="xsd:string"/>
                      <xsd:attribute name="Name" form="unqualified" type="xsd:string"/>
                      <xsd:attribute name="NumberFormat" form="unqualified" type="xsd:string"/>
                      <xsd:attribute name="Orientation" form="unqualified" type="xsd:integer"/>
                      <xsd:attribute name="Formula" form="unqualified" type="xsd:string"/>
                      <xsd:attribute name="CurrentPage" form="unqualified" type="xsd:string"/>
                      <xsd:attribute name="CpSourceName" form="unqualified" type="xsd:string"/>
                      <xsd:attribute name="PivotItems" form="unqualified" type="xsd:string"/>
                      <xsd:attribute name="Visible" form="unqualified" type="xsd:integer"/>
                      <xsd:attribute name="AutoSortOrder" form="unqualified" type="xsd:integer"/>
                      <xsd:attribute name="AutoSortField" form="unqualified" type="xsd:string"/>
                      <xsd:attribute name="SubTotals" form="unqualified" type="xsd:integer"/>
                      <xsd:attribute name="Function" form="unqualified" type="xsd:integer"/>
                      <xsd:attribute name="Calculation" form="unqualified" type="xsd:integer"/>
                      <xsd:attribute name="BaseField" form="unqualified" type="xsd:string"/>
                      <xsd:attribute name="BaseItem" form="unqualified" type="xsd:string"/>
                      <xsd:attribute name="Position" form="unqualified" type="xsd:integer"/>
                    </xsd:complexType>
                  </xsd:element>
                </xsd:sequence>
                <xsd:attribute name="SheetName" form="unqualified" type="xsd:string"/>
                <xsd:attribute name="TableName" form="unqualified" type="xsd:string"/>
              </xsd:complexType>
            </xsd:element>
          </xsd:sequence>
          <xsd:attribute name="UserID" form="unqualified" type="xsd:integer"/>
          <xsd:attribute name="ReportID" form="unqualified" type="xsd:integer"/>
          <xsd:attribute name="VariantID" form="unqualified" type="xsd:integer"/>
        </xsd:complexType>
      </xsd:element>
    </xsd:schema>
  </Schema>
  <Map ID="1" Name="XtraSerializer_Map" RootElement="XtraSerializer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7969782159891027E-2"/>
          <c:y val="9.7328244274809197E-2"/>
          <c:w val="0.82048291866132139"/>
          <c:h val="0.73091603053435161"/>
        </c:manualLayout>
      </c:layout>
      <c:areaChart>
        <c:grouping val="standard"/>
        <c:varyColors val="0"/>
        <c:ser>
          <c:idx val="0"/>
          <c:order val="0"/>
          <c:tx>
            <c:strRef>
              <c:f>SourceData!$B$1</c:f>
              <c:strCache>
                <c:ptCount val="1"/>
                <c:pt idx="0">
                  <c:v>Stock in BUm</c:v>
                </c:pt>
              </c:strCache>
            </c:strRef>
          </c:tx>
          <c:spPr>
            <a:solidFill>
              <a:srgbClr val="9999FF"/>
            </a:solidFill>
            <a:ln w="25400">
              <a:solidFill>
                <a:srgbClr val="9999FF"/>
              </a:solidFill>
              <a:prstDash val="solid"/>
            </a:ln>
          </c:spPr>
          <c:cat>
            <c:numRef>
              <c:f>[0]!X_Range</c:f>
              <c:numCache>
                <c:formatCode>dd/mm/yyyy;@</c:formatCode>
                <c:ptCount val="314"/>
                <c:pt idx="0">
                  <c:v>40268</c:v>
                </c:pt>
                <c:pt idx="1">
                  <c:v>40267</c:v>
                </c:pt>
                <c:pt idx="2">
                  <c:v>40266</c:v>
                </c:pt>
                <c:pt idx="3">
                  <c:v>40263</c:v>
                </c:pt>
                <c:pt idx="4">
                  <c:v>40262</c:v>
                </c:pt>
                <c:pt idx="5">
                  <c:v>40261</c:v>
                </c:pt>
                <c:pt idx="6">
                  <c:v>40260</c:v>
                </c:pt>
                <c:pt idx="7">
                  <c:v>40259</c:v>
                </c:pt>
                <c:pt idx="8">
                  <c:v>40256</c:v>
                </c:pt>
                <c:pt idx="9">
                  <c:v>40255</c:v>
                </c:pt>
                <c:pt idx="10">
                  <c:v>40254</c:v>
                </c:pt>
                <c:pt idx="11">
                  <c:v>40253</c:v>
                </c:pt>
                <c:pt idx="12">
                  <c:v>40252</c:v>
                </c:pt>
                <c:pt idx="13">
                  <c:v>40249</c:v>
                </c:pt>
                <c:pt idx="14">
                  <c:v>40248</c:v>
                </c:pt>
                <c:pt idx="15">
                  <c:v>40247</c:v>
                </c:pt>
                <c:pt idx="16">
                  <c:v>40246</c:v>
                </c:pt>
                <c:pt idx="17">
                  <c:v>40245</c:v>
                </c:pt>
                <c:pt idx="18">
                  <c:v>40242</c:v>
                </c:pt>
                <c:pt idx="19">
                  <c:v>40241</c:v>
                </c:pt>
                <c:pt idx="20">
                  <c:v>40240</c:v>
                </c:pt>
                <c:pt idx="21">
                  <c:v>40239</c:v>
                </c:pt>
                <c:pt idx="22">
                  <c:v>40238</c:v>
                </c:pt>
                <c:pt idx="23">
                  <c:v>40235</c:v>
                </c:pt>
                <c:pt idx="24">
                  <c:v>40234</c:v>
                </c:pt>
                <c:pt idx="25">
                  <c:v>40233</c:v>
                </c:pt>
                <c:pt idx="26">
                  <c:v>40232</c:v>
                </c:pt>
                <c:pt idx="27">
                  <c:v>40231</c:v>
                </c:pt>
                <c:pt idx="28">
                  <c:v>40228</c:v>
                </c:pt>
                <c:pt idx="29">
                  <c:v>40227</c:v>
                </c:pt>
                <c:pt idx="30">
                  <c:v>40226</c:v>
                </c:pt>
                <c:pt idx="31">
                  <c:v>40225</c:v>
                </c:pt>
                <c:pt idx="32">
                  <c:v>40224</c:v>
                </c:pt>
                <c:pt idx="33">
                  <c:v>40221</c:v>
                </c:pt>
                <c:pt idx="34">
                  <c:v>40220</c:v>
                </c:pt>
                <c:pt idx="35">
                  <c:v>40219</c:v>
                </c:pt>
                <c:pt idx="36">
                  <c:v>40218</c:v>
                </c:pt>
                <c:pt idx="37">
                  <c:v>40217</c:v>
                </c:pt>
                <c:pt idx="38">
                  <c:v>40214</c:v>
                </c:pt>
                <c:pt idx="39">
                  <c:v>40213</c:v>
                </c:pt>
                <c:pt idx="40">
                  <c:v>43497</c:v>
                </c:pt>
                <c:pt idx="41">
                  <c:v>40211</c:v>
                </c:pt>
                <c:pt idx="42">
                  <c:v>40210</c:v>
                </c:pt>
                <c:pt idx="43">
                  <c:v>40207</c:v>
                </c:pt>
                <c:pt idx="44">
                  <c:v>40206</c:v>
                </c:pt>
                <c:pt idx="45">
                  <c:v>40205</c:v>
                </c:pt>
                <c:pt idx="46">
                  <c:v>40204</c:v>
                </c:pt>
                <c:pt idx="47">
                  <c:v>40203</c:v>
                </c:pt>
                <c:pt idx="48">
                  <c:v>40200</c:v>
                </c:pt>
                <c:pt idx="49">
                  <c:v>40199</c:v>
                </c:pt>
                <c:pt idx="50">
                  <c:v>40198</c:v>
                </c:pt>
                <c:pt idx="51">
                  <c:v>40197</c:v>
                </c:pt>
                <c:pt idx="52">
                  <c:v>40196</c:v>
                </c:pt>
                <c:pt idx="53">
                  <c:v>40193</c:v>
                </c:pt>
                <c:pt idx="54">
                  <c:v>40192</c:v>
                </c:pt>
                <c:pt idx="55">
                  <c:v>40191</c:v>
                </c:pt>
                <c:pt idx="56">
                  <c:v>40190</c:v>
                </c:pt>
                <c:pt idx="57">
                  <c:v>40189</c:v>
                </c:pt>
                <c:pt idx="58">
                  <c:v>40186</c:v>
                </c:pt>
                <c:pt idx="59">
                  <c:v>40185</c:v>
                </c:pt>
                <c:pt idx="60">
                  <c:v>40184</c:v>
                </c:pt>
                <c:pt idx="61">
                  <c:v>40183</c:v>
                </c:pt>
                <c:pt idx="62">
                  <c:v>40182</c:v>
                </c:pt>
                <c:pt idx="63">
                  <c:v>40177</c:v>
                </c:pt>
                <c:pt idx="64">
                  <c:v>40176</c:v>
                </c:pt>
                <c:pt idx="65">
                  <c:v>40175</c:v>
                </c:pt>
                <c:pt idx="66">
                  <c:v>40170</c:v>
                </c:pt>
                <c:pt idx="67">
                  <c:v>40169</c:v>
                </c:pt>
                <c:pt idx="68">
                  <c:v>40168</c:v>
                </c:pt>
                <c:pt idx="69">
                  <c:v>40165</c:v>
                </c:pt>
                <c:pt idx="70">
                  <c:v>40164</c:v>
                </c:pt>
                <c:pt idx="71">
                  <c:v>40163</c:v>
                </c:pt>
                <c:pt idx="72">
                  <c:v>40162</c:v>
                </c:pt>
                <c:pt idx="73">
                  <c:v>40161</c:v>
                </c:pt>
                <c:pt idx="74">
                  <c:v>40158</c:v>
                </c:pt>
                <c:pt idx="75">
                  <c:v>40157</c:v>
                </c:pt>
                <c:pt idx="76">
                  <c:v>40156</c:v>
                </c:pt>
                <c:pt idx="77">
                  <c:v>40155</c:v>
                </c:pt>
                <c:pt idx="78">
                  <c:v>40154</c:v>
                </c:pt>
                <c:pt idx="79">
                  <c:v>40151</c:v>
                </c:pt>
                <c:pt idx="80">
                  <c:v>40150</c:v>
                </c:pt>
                <c:pt idx="81">
                  <c:v>40149</c:v>
                </c:pt>
                <c:pt idx="82">
                  <c:v>40148</c:v>
                </c:pt>
                <c:pt idx="83">
                  <c:v>40147</c:v>
                </c:pt>
                <c:pt idx="84">
                  <c:v>40144</c:v>
                </c:pt>
                <c:pt idx="85">
                  <c:v>40143</c:v>
                </c:pt>
                <c:pt idx="86">
                  <c:v>40142</c:v>
                </c:pt>
                <c:pt idx="87">
                  <c:v>40141</c:v>
                </c:pt>
                <c:pt idx="88">
                  <c:v>40140</c:v>
                </c:pt>
                <c:pt idx="89">
                  <c:v>40137</c:v>
                </c:pt>
                <c:pt idx="90">
                  <c:v>40136</c:v>
                </c:pt>
                <c:pt idx="91">
                  <c:v>40135</c:v>
                </c:pt>
                <c:pt idx="92">
                  <c:v>40134</c:v>
                </c:pt>
                <c:pt idx="93">
                  <c:v>40133</c:v>
                </c:pt>
                <c:pt idx="94">
                  <c:v>40130</c:v>
                </c:pt>
                <c:pt idx="95">
                  <c:v>40129</c:v>
                </c:pt>
                <c:pt idx="96">
                  <c:v>40128</c:v>
                </c:pt>
                <c:pt idx="97">
                  <c:v>40127</c:v>
                </c:pt>
                <c:pt idx="98">
                  <c:v>40126</c:v>
                </c:pt>
                <c:pt idx="99">
                  <c:v>40123</c:v>
                </c:pt>
                <c:pt idx="100">
                  <c:v>40122</c:v>
                </c:pt>
                <c:pt idx="101">
                  <c:v>40121</c:v>
                </c:pt>
                <c:pt idx="102">
                  <c:v>40120</c:v>
                </c:pt>
                <c:pt idx="103">
                  <c:v>40119</c:v>
                </c:pt>
                <c:pt idx="104">
                  <c:v>40116</c:v>
                </c:pt>
                <c:pt idx="105">
                  <c:v>40115</c:v>
                </c:pt>
                <c:pt idx="106">
                  <c:v>40114</c:v>
                </c:pt>
                <c:pt idx="107">
                  <c:v>40113</c:v>
                </c:pt>
                <c:pt idx="108">
                  <c:v>40112</c:v>
                </c:pt>
                <c:pt idx="109">
                  <c:v>40109</c:v>
                </c:pt>
                <c:pt idx="110">
                  <c:v>40108</c:v>
                </c:pt>
                <c:pt idx="111">
                  <c:v>40107</c:v>
                </c:pt>
                <c:pt idx="112">
                  <c:v>40106</c:v>
                </c:pt>
                <c:pt idx="113">
                  <c:v>40105</c:v>
                </c:pt>
                <c:pt idx="114">
                  <c:v>40102</c:v>
                </c:pt>
                <c:pt idx="115">
                  <c:v>40101</c:v>
                </c:pt>
                <c:pt idx="116">
                  <c:v>40100</c:v>
                </c:pt>
                <c:pt idx="117">
                  <c:v>40099</c:v>
                </c:pt>
                <c:pt idx="118">
                  <c:v>40098</c:v>
                </c:pt>
                <c:pt idx="119">
                  <c:v>40095</c:v>
                </c:pt>
                <c:pt idx="120">
                  <c:v>40094</c:v>
                </c:pt>
                <c:pt idx="121">
                  <c:v>40093</c:v>
                </c:pt>
                <c:pt idx="122">
                  <c:v>40092</c:v>
                </c:pt>
                <c:pt idx="123">
                  <c:v>40091</c:v>
                </c:pt>
                <c:pt idx="124">
                  <c:v>40088</c:v>
                </c:pt>
                <c:pt idx="125">
                  <c:v>40087</c:v>
                </c:pt>
                <c:pt idx="126">
                  <c:v>40086</c:v>
                </c:pt>
                <c:pt idx="127">
                  <c:v>40085</c:v>
                </c:pt>
                <c:pt idx="128">
                  <c:v>40084</c:v>
                </c:pt>
                <c:pt idx="129">
                  <c:v>40081</c:v>
                </c:pt>
                <c:pt idx="130">
                  <c:v>40080</c:v>
                </c:pt>
                <c:pt idx="131">
                  <c:v>40079</c:v>
                </c:pt>
                <c:pt idx="132">
                  <c:v>40078</c:v>
                </c:pt>
                <c:pt idx="133">
                  <c:v>40077</c:v>
                </c:pt>
                <c:pt idx="134">
                  <c:v>40074</c:v>
                </c:pt>
                <c:pt idx="135">
                  <c:v>40073</c:v>
                </c:pt>
                <c:pt idx="136">
                  <c:v>40072</c:v>
                </c:pt>
                <c:pt idx="137">
                  <c:v>40071</c:v>
                </c:pt>
                <c:pt idx="138">
                  <c:v>40070</c:v>
                </c:pt>
                <c:pt idx="139">
                  <c:v>40067</c:v>
                </c:pt>
                <c:pt idx="140">
                  <c:v>40066</c:v>
                </c:pt>
                <c:pt idx="141">
                  <c:v>40065</c:v>
                </c:pt>
                <c:pt idx="142">
                  <c:v>40064</c:v>
                </c:pt>
                <c:pt idx="143">
                  <c:v>40063</c:v>
                </c:pt>
                <c:pt idx="144">
                  <c:v>40060</c:v>
                </c:pt>
                <c:pt idx="145">
                  <c:v>40059</c:v>
                </c:pt>
                <c:pt idx="146">
                  <c:v>40058</c:v>
                </c:pt>
                <c:pt idx="147">
                  <c:v>40057</c:v>
                </c:pt>
                <c:pt idx="148">
                  <c:v>40056</c:v>
                </c:pt>
                <c:pt idx="149">
                  <c:v>40053</c:v>
                </c:pt>
                <c:pt idx="150">
                  <c:v>40052</c:v>
                </c:pt>
                <c:pt idx="151">
                  <c:v>40051</c:v>
                </c:pt>
                <c:pt idx="152">
                  <c:v>40050</c:v>
                </c:pt>
                <c:pt idx="153">
                  <c:v>40049</c:v>
                </c:pt>
                <c:pt idx="154">
                  <c:v>40046</c:v>
                </c:pt>
                <c:pt idx="155">
                  <c:v>40045</c:v>
                </c:pt>
                <c:pt idx="156">
                  <c:v>40044</c:v>
                </c:pt>
                <c:pt idx="157">
                  <c:v>40043</c:v>
                </c:pt>
                <c:pt idx="158">
                  <c:v>40042</c:v>
                </c:pt>
                <c:pt idx="159">
                  <c:v>40039</c:v>
                </c:pt>
                <c:pt idx="160">
                  <c:v>40038</c:v>
                </c:pt>
                <c:pt idx="161">
                  <c:v>40037</c:v>
                </c:pt>
                <c:pt idx="162">
                  <c:v>40036</c:v>
                </c:pt>
                <c:pt idx="163">
                  <c:v>40035</c:v>
                </c:pt>
                <c:pt idx="164">
                  <c:v>40032</c:v>
                </c:pt>
                <c:pt idx="165">
                  <c:v>40031</c:v>
                </c:pt>
                <c:pt idx="166">
                  <c:v>40030</c:v>
                </c:pt>
                <c:pt idx="167">
                  <c:v>40029</c:v>
                </c:pt>
                <c:pt idx="168">
                  <c:v>40028</c:v>
                </c:pt>
                <c:pt idx="169">
                  <c:v>40025</c:v>
                </c:pt>
                <c:pt idx="170">
                  <c:v>40024</c:v>
                </c:pt>
                <c:pt idx="171">
                  <c:v>40023</c:v>
                </c:pt>
                <c:pt idx="172">
                  <c:v>40022</c:v>
                </c:pt>
                <c:pt idx="173">
                  <c:v>40021</c:v>
                </c:pt>
                <c:pt idx="174">
                  <c:v>40018</c:v>
                </c:pt>
                <c:pt idx="175">
                  <c:v>40017</c:v>
                </c:pt>
                <c:pt idx="176">
                  <c:v>40016</c:v>
                </c:pt>
                <c:pt idx="177">
                  <c:v>40015</c:v>
                </c:pt>
                <c:pt idx="178">
                  <c:v>40014</c:v>
                </c:pt>
                <c:pt idx="179">
                  <c:v>40011</c:v>
                </c:pt>
                <c:pt idx="180">
                  <c:v>40010</c:v>
                </c:pt>
                <c:pt idx="181">
                  <c:v>40009</c:v>
                </c:pt>
                <c:pt idx="182">
                  <c:v>40008</c:v>
                </c:pt>
                <c:pt idx="183">
                  <c:v>40007</c:v>
                </c:pt>
                <c:pt idx="184">
                  <c:v>40004</c:v>
                </c:pt>
                <c:pt idx="185">
                  <c:v>40003</c:v>
                </c:pt>
                <c:pt idx="186">
                  <c:v>40002</c:v>
                </c:pt>
                <c:pt idx="187">
                  <c:v>40001</c:v>
                </c:pt>
                <c:pt idx="188">
                  <c:v>40000</c:v>
                </c:pt>
                <c:pt idx="189">
                  <c:v>39997</c:v>
                </c:pt>
                <c:pt idx="190">
                  <c:v>39996</c:v>
                </c:pt>
                <c:pt idx="191">
                  <c:v>39995</c:v>
                </c:pt>
                <c:pt idx="192">
                  <c:v>39994</c:v>
                </c:pt>
                <c:pt idx="193">
                  <c:v>39993</c:v>
                </c:pt>
                <c:pt idx="194">
                  <c:v>39990</c:v>
                </c:pt>
                <c:pt idx="195">
                  <c:v>39989</c:v>
                </c:pt>
                <c:pt idx="196">
                  <c:v>39988</c:v>
                </c:pt>
                <c:pt idx="197">
                  <c:v>39987</c:v>
                </c:pt>
                <c:pt idx="198">
                  <c:v>39986</c:v>
                </c:pt>
                <c:pt idx="199">
                  <c:v>39983</c:v>
                </c:pt>
                <c:pt idx="200">
                  <c:v>39982</c:v>
                </c:pt>
                <c:pt idx="201">
                  <c:v>39981</c:v>
                </c:pt>
                <c:pt idx="202">
                  <c:v>39980</c:v>
                </c:pt>
                <c:pt idx="203">
                  <c:v>39979</c:v>
                </c:pt>
                <c:pt idx="204">
                  <c:v>39976</c:v>
                </c:pt>
                <c:pt idx="205">
                  <c:v>39975</c:v>
                </c:pt>
                <c:pt idx="206">
                  <c:v>39974</c:v>
                </c:pt>
                <c:pt idx="207">
                  <c:v>39973</c:v>
                </c:pt>
                <c:pt idx="208">
                  <c:v>39972</c:v>
                </c:pt>
                <c:pt idx="209">
                  <c:v>39969</c:v>
                </c:pt>
                <c:pt idx="210">
                  <c:v>39968</c:v>
                </c:pt>
                <c:pt idx="211">
                  <c:v>39967</c:v>
                </c:pt>
                <c:pt idx="212">
                  <c:v>39966</c:v>
                </c:pt>
                <c:pt idx="213">
                  <c:v>39962</c:v>
                </c:pt>
                <c:pt idx="214">
                  <c:v>39961</c:v>
                </c:pt>
                <c:pt idx="215">
                  <c:v>39960</c:v>
                </c:pt>
                <c:pt idx="216">
                  <c:v>39959</c:v>
                </c:pt>
                <c:pt idx="217">
                  <c:v>39958</c:v>
                </c:pt>
                <c:pt idx="218">
                  <c:v>39955</c:v>
                </c:pt>
                <c:pt idx="219">
                  <c:v>39953</c:v>
                </c:pt>
                <c:pt idx="220">
                  <c:v>39952</c:v>
                </c:pt>
                <c:pt idx="221">
                  <c:v>39951</c:v>
                </c:pt>
                <c:pt idx="222">
                  <c:v>39948</c:v>
                </c:pt>
                <c:pt idx="223">
                  <c:v>39947</c:v>
                </c:pt>
                <c:pt idx="224">
                  <c:v>39946</c:v>
                </c:pt>
                <c:pt idx="225">
                  <c:v>39945</c:v>
                </c:pt>
                <c:pt idx="226">
                  <c:v>39944</c:v>
                </c:pt>
                <c:pt idx="227">
                  <c:v>39941</c:v>
                </c:pt>
                <c:pt idx="228">
                  <c:v>39940</c:v>
                </c:pt>
                <c:pt idx="229">
                  <c:v>39939</c:v>
                </c:pt>
                <c:pt idx="230">
                  <c:v>39938</c:v>
                </c:pt>
                <c:pt idx="231">
                  <c:v>39937</c:v>
                </c:pt>
                <c:pt idx="232">
                  <c:v>39933</c:v>
                </c:pt>
                <c:pt idx="233">
                  <c:v>39932</c:v>
                </c:pt>
                <c:pt idx="234">
                  <c:v>39931</c:v>
                </c:pt>
                <c:pt idx="235">
                  <c:v>39930</c:v>
                </c:pt>
                <c:pt idx="236">
                  <c:v>39927</c:v>
                </c:pt>
                <c:pt idx="237">
                  <c:v>39926</c:v>
                </c:pt>
                <c:pt idx="238">
                  <c:v>39925</c:v>
                </c:pt>
                <c:pt idx="239">
                  <c:v>39924</c:v>
                </c:pt>
                <c:pt idx="240">
                  <c:v>39923</c:v>
                </c:pt>
                <c:pt idx="241">
                  <c:v>39920</c:v>
                </c:pt>
                <c:pt idx="242">
                  <c:v>39919</c:v>
                </c:pt>
                <c:pt idx="243">
                  <c:v>39918</c:v>
                </c:pt>
                <c:pt idx="244">
                  <c:v>39917</c:v>
                </c:pt>
                <c:pt idx="245">
                  <c:v>39911</c:v>
                </c:pt>
                <c:pt idx="246">
                  <c:v>39910</c:v>
                </c:pt>
                <c:pt idx="247">
                  <c:v>39909</c:v>
                </c:pt>
                <c:pt idx="248">
                  <c:v>39906</c:v>
                </c:pt>
                <c:pt idx="249">
                  <c:v>39905</c:v>
                </c:pt>
                <c:pt idx="250">
                  <c:v>39904</c:v>
                </c:pt>
                <c:pt idx="251">
                  <c:v>39903</c:v>
                </c:pt>
                <c:pt idx="252">
                  <c:v>39902</c:v>
                </c:pt>
                <c:pt idx="253">
                  <c:v>39899</c:v>
                </c:pt>
                <c:pt idx="254">
                  <c:v>39898</c:v>
                </c:pt>
                <c:pt idx="255">
                  <c:v>39897</c:v>
                </c:pt>
                <c:pt idx="256">
                  <c:v>39896</c:v>
                </c:pt>
                <c:pt idx="257">
                  <c:v>39895</c:v>
                </c:pt>
                <c:pt idx="258">
                  <c:v>39892</c:v>
                </c:pt>
                <c:pt idx="259">
                  <c:v>39891</c:v>
                </c:pt>
                <c:pt idx="260">
                  <c:v>39890</c:v>
                </c:pt>
                <c:pt idx="261">
                  <c:v>39889</c:v>
                </c:pt>
                <c:pt idx="262">
                  <c:v>39888</c:v>
                </c:pt>
                <c:pt idx="263">
                  <c:v>39885</c:v>
                </c:pt>
                <c:pt idx="264">
                  <c:v>39884</c:v>
                </c:pt>
                <c:pt idx="265">
                  <c:v>39883</c:v>
                </c:pt>
                <c:pt idx="266">
                  <c:v>39882</c:v>
                </c:pt>
                <c:pt idx="267">
                  <c:v>39881</c:v>
                </c:pt>
                <c:pt idx="268">
                  <c:v>39878</c:v>
                </c:pt>
                <c:pt idx="269">
                  <c:v>39877</c:v>
                </c:pt>
                <c:pt idx="270">
                  <c:v>39876</c:v>
                </c:pt>
                <c:pt idx="271">
                  <c:v>39875</c:v>
                </c:pt>
                <c:pt idx="272">
                  <c:v>39874</c:v>
                </c:pt>
                <c:pt idx="273">
                  <c:v>39871</c:v>
                </c:pt>
                <c:pt idx="274">
                  <c:v>39870</c:v>
                </c:pt>
                <c:pt idx="275">
                  <c:v>39869</c:v>
                </c:pt>
                <c:pt idx="276">
                  <c:v>39868</c:v>
                </c:pt>
                <c:pt idx="277">
                  <c:v>39867</c:v>
                </c:pt>
                <c:pt idx="278">
                  <c:v>39864</c:v>
                </c:pt>
                <c:pt idx="279">
                  <c:v>39863</c:v>
                </c:pt>
                <c:pt idx="280">
                  <c:v>39862</c:v>
                </c:pt>
                <c:pt idx="281">
                  <c:v>39861</c:v>
                </c:pt>
                <c:pt idx="282">
                  <c:v>39860</c:v>
                </c:pt>
                <c:pt idx="283">
                  <c:v>39857</c:v>
                </c:pt>
                <c:pt idx="284">
                  <c:v>39856</c:v>
                </c:pt>
                <c:pt idx="285">
                  <c:v>39855</c:v>
                </c:pt>
                <c:pt idx="286">
                  <c:v>39854</c:v>
                </c:pt>
                <c:pt idx="287">
                  <c:v>39853</c:v>
                </c:pt>
                <c:pt idx="288">
                  <c:v>39850</c:v>
                </c:pt>
                <c:pt idx="289">
                  <c:v>39849</c:v>
                </c:pt>
                <c:pt idx="290">
                  <c:v>39848</c:v>
                </c:pt>
                <c:pt idx="291">
                  <c:v>39847</c:v>
                </c:pt>
                <c:pt idx="292">
                  <c:v>39846</c:v>
                </c:pt>
                <c:pt idx="293">
                  <c:v>39843</c:v>
                </c:pt>
                <c:pt idx="294">
                  <c:v>39842</c:v>
                </c:pt>
                <c:pt idx="295">
                  <c:v>39841</c:v>
                </c:pt>
                <c:pt idx="296">
                  <c:v>39840</c:v>
                </c:pt>
                <c:pt idx="297">
                  <c:v>39839</c:v>
                </c:pt>
                <c:pt idx="298">
                  <c:v>39836</c:v>
                </c:pt>
                <c:pt idx="299">
                  <c:v>39835</c:v>
                </c:pt>
                <c:pt idx="300">
                  <c:v>39834</c:v>
                </c:pt>
                <c:pt idx="301">
                  <c:v>39833</c:v>
                </c:pt>
                <c:pt idx="302">
                  <c:v>39832</c:v>
                </c:pt>
                <c:pt idx="303">
                  <c:v>39829</c:v>
                </c:pt>
                <c:pt idx="304">
                  <c:v>39828</c:v>
                </c:pt>
                <c:pt idx="305">
                  <c:v>39827</c:v>
                </c:pt>
                <c:pt idx="306">
                  <c:v>39826</c:v>
                </c:pt>
                <c:pt idx="307">
                  <c:v>39825</c:v>
                </c:pt>
                <c:pt idx="308">
                  <c:v>39822</c:v>
                </c:pt>
                <c:pt idx="309">
                  <c:v>39821</c:v>
                </c:pt>
                <c:pt idx="310">
                  <c:v>39820</c:v>
                </c:pt>
                <c:pt idx="311">
                  <c:v>39819</c:v>
                </c:pt>
                <c:pt idx="312">
                  <c:v>39818</c:v>
                </c:pt>
                <c:pt idx="313">
                  <c:v>39815</c:v>
                </c:pt>
              </c:numCache>
            </c:numRef>
          </c:cat>
          <c:val>
            <c:numRef>
              <c:f>SourceData!$B$210:$B$523</c:f>
              <c:numCache>
                <c:formatCode>#,##0_);[Red]\(#,##0\)</c:formatCode>
                <c:ptCount val="314"/>
              </c:numCache>
            </c:numRef>
          </c:val>
          <c:extLst>
            <c:ext xmlns:c16="http://schemas.microsoft.com/office/drawing/2014/chart" uri="{C3380CC4-5D6E-409C-BE32-E72D297353CC}">
              <c16:uniqueId val="{00000000-941E-4619-AFC8-120131C0C510}"/>
            </c:ext>
          </c:extLst>
        </c:ser>
        <c:ser>
          <c:idx val="3"/>
          <c:order val="3"/>
          <c:tx>
            <c:v>Stock Usage</c:v>
          </c:tx>
          <c:spPr>
            <a:solidFill>
              <a:srgbClr val="FFE899"/>
            </a:solidFill>
            <a:ln w="25400">
              <a:noFill/>
            </a:ln>
          </c:spPr>
          <c:cat>
            <c:numRef>
              <c:f>[0]!X_Range</c:f>
              <c:numCache>
                <c:formatCode>dd/mm/yyyy;@</c:formatCode>
                <c:ptCount val="314"/>
                <c:pt idx="0">
                  <c:v>40268</c:v>
                </c:pt>
                <c:pt idx="1">
                  <c:v>40267</c:v>
                </c:pt>
                <c:pt idx="2">
                  <c:v>40266</c:v>
                </c:pt>
                <c:pt idx="3">
                  <c:v>40263</c:v>
                </c:pt>
                <c:pt idx="4">
                  <c:v>40262</c:v>
                </c:pt>
                <c:pt idx="5">
                  <c:v>40261</c:v>
                </c:pt>
                <c:pt idx="6">
                  <c:v>40260</c:v>
                </c:pt>
                <c:pt idx="7">
                  <c:v>40259</c:v>
                </c:pt>
                <c:pt idx="8">
                  <c:v>40256</c:v>
                </c:pt>
                <c:pt idx="9">
                  <c:v>40255</c:v>
                </c:pt>
                <c:pt idx="10">
                  <c:v>40254</c:v>
                </c:pt>
                <c:pt idx="11">
                  <c:v>40253</c:v>
                </c:pt>
                <c:pt idx="12">
                  <c:v>40252</c:v>
                </c:pt>
                <c:pt idx="13">
                  <c:v>40249</c:v>
                </c:pt>
                <c:pt idx="14">
                  <c:v>40248</c:v>
                </c:pt>
                <c:pt idx="15">
                  <c:v>40247</c:v>
                </c:pt>
                <c:pt idx="16">
                  <c:v>40246</c:v>
                </c:pt>
                <c:pt idx="17">
                  <c:v>40245</c:v>
                </c:pt>
                <c:pt idx="18">
                  <c:v>40242</c:v>
                </c:pt>
                <c:pt idx="19">
                  <c:v>40241</c:v>
                </c:pt>
                <c:pt idx="20">
                  <c:v>40240</c:v>
                </c:pt>
                <c:pt idx="21">
                  <c:v>40239</c:v>
                </c:pt>
                <c:pt idx="22">
                  <c:v>40238</c:v>
                </c:pt>
                <c:pt idx="23">
                  <c:v>40235</c:v>
                </c:pt>
                <c:pt idx="24">
                  <c:v>40234</c:v>
                </c:pt>
                <c:pt idx="25">
                  <c:v>40233</c:v>
                </c:pt>
                <c:pt idx="26">
                  <c:v>40232</c:v>
                </c:pt>
                <c:pt idx="27">
                  <c:v>40231</c:v>
                </c:pt>
                <c:pt idx="28">
                  <c:v>40228</c:v>
                </c:pt>
                <c:pt idx="29">
                  <c:v>40227</c:v>
                </c:pt>
                <c:pt idx="30">
                  <c:v>40226</c:v>
                </c:pt>
                <c:pt idx="31">
                  <c:v>40225</c:v>
                </c:pt>
                <c:pt idx="32">
                  <c:v>40224</c:v>
                </c:pt>
                <c:pt idx="33">
                  <c:v>40221</c:v>
                </c:pt>
                <c:pt idx="34">
                  <c:v>40220</c:v>
                </c:pt>
                <c:pt idx="35">
                  <c:v>40219</c:v>
                </c:pt>
                <c:pt idx="36">
                  <c:v>40218</c:v>
                </c:pt>
                <c:pt idx="37">
                  <c:v>40217</c:v>
                </c:pt>
                <c:pt idx="38">
                  <c:v>40214</c:v>
                </c:pt>
                <c:pt idx="39">
                  <c:v>40213</c:v>
                </c:pt>
                <c:pt idx="40">
                  <c:v>43497</c:v>
                </c:pt>
                <c:pt idx="41">
                  <c:v>40211</c:v>
                </c:pt>
                <c:pt idx="42">
                  <c:v>40210</c:v>
                </c:pt>
                <c:pt idx="43">
                  <c:v>40207</c:v>
                </c:pt>
                <c:pt idx="44">
                  <c:v>40206</c:v>
                </c:pt>
                <c:pt idx="45">
                  <c:v>40205</c:v>
                </c:pt>
                <c:pt idx="46">
                  <c:v>40204</c:v>
                </c:pt>
                <c:pt idx="47">
                  <c:v>40203</c:v>
                </c:pt>
                <c:pt idx="48">
                  <c:v>40200</c:v>
                </c:pt>
                <c:pt idx="49">
                  <c:v>40199</c:v>
                </c:pt>
                <c:pt idx="50">
                  <c:v>40198</c:v>
                </c:pt>
                <c:pt idx="51">
                  <c:v>40197</c:v>
                </c:pt>
                <c:pt idx="52">
                  <c:v>40196</c:v>
                </c:pt>
                <c:pt idx="53">
                  <c:v>40193</c:v>
                </c:pt>
                <c:pt idx="54">
                  <c:v>40192</c:v>
                </c:pt>
                <c:pt idx="55">
                  <c:v>40191</c:v>
                </c:pt>
                <c:pt idx="56">
                  <c:v>40190</c:v>
                </c:pt>
                <c:pt idx="57">
                  <c:v>40189</c:v>
                </c:pt>
                <c:pt idx="58">
                  <c:v>40186</c:v>
                </c:pt>
                <c:pt idx="59">
                  <c:v>40185</c:v>
                </c:pt>
                <c:pt idx="60">
                  <c:v>40184</c:v>
                </c:pt>
                <c:pt idx="61">
                  <c:v>40183</c:v>
                </c:pt>
                <c:pt idx="62">
                  <c:v>40182</c:v>
                </c:pt>
                <c:pt idx="63">
                  <c:v>40177</c:v>
                </c:pt>
                <c:pt idx="64">
                  <c:v>40176</c:v>
                </c:pt>
                <c:pt idx="65">
                  <c:v>40175</c:v>
                </c:pt>
                <c:pt idx="66">
                  <c:v>40170</c:v>
                </c:pt>
                <c:pt idx="67">
                  <c:v>40169</c:v>
                </c:pt>
                <c:pt idx="68">
                  <c:v>40168</c:v>
                </c:pt>
                <c:pt idx="69">
                  <c:v>40165</c:v>
                </c:pt>
                <c:pt idx="70">
                  <c:v>40164</c:v>
                </c:pt>
                <c:pt idx="71">
                  <c:v>40163</c:v>
                </c:pt>
                <c:pt idx="72">
                  <c:v>40162</c:v>
                </c:pt>
                <c:pt idx="73">
                  <c:v>40161</c:v>
                </c:pt>
                <c:pt idx="74">
                  <c:v>40158</c:v>
                </c:pt>
                <c:pt idx="75">
                  <c:v>40157</c:v>
                </c:pt>
                <c:pt idx="76">
                  <c:v>40156</c:v>
                </c:pt>
                <c:pt idx="77">
                  <c:v>40155</c:v>
                </c:pt>
                <c:pt idx="78">
                  <c:v>40154</c:v>
                </c:pt>
                <c:pt idx="79">
                  <c:v>40151</c:v>
                </c:pt>
                <c:pt idx="80">
                  <c:v>40150</c:v>
                </c:pt>
                <c:pt idx="81">
                  <c:v>40149</c:v>
                </c:pt>
                <c:pt idx="82">
                  <c:v>40148</c:v>
                </c:pt>
                <c:pt idx="83">
                  <c:v>40147</c:v>
                </c:pt>
                <c:pt idx="84">
                  <c:v>40144</c:v>
                </c:pt>
                <c:pt idx="85">
                  <c:v>40143</c:v>
                </c:pt>
                <c:pt idx="86">
                  <c:v>40142</c:v>
                </c:pt>
                <c:pt idx="87">
                  <c:v>40141</c:v>
                </c:pt>
                <c:pt idx="88">
                  <c:v>40140</c:v>
                </c:pt>
                <c:pt idx="89">
                  <c:v>40137</c:v>
                </c:pt>
                <c:pt idx="90">
                  <c:v>40136</c:v>
                </c:pt>
                <c:pt idx="91">
                  <c:v>40135</c:v>
                </c:pt>
                <c:pt idx="92">
                  <c:v>40134</c:v>
                </c:pt>
                <c:pt idx="93">
                  <c:v>40133</c:v>
                </c:pt>
                <c:pt idx="94">
                  <c:v>40130</c:v>
                </c:pt>
                <c:pt idx="95">
                  <c:v>40129</c:v>
                </c:pt>
                <c:pt idx="96">
                  <c:v>40128</c:v>
                </c:pt>
                <c:pt idx="97">
                  <c:v>40127</c:v>
                </c:pt>
                <c:pt idx="98">
                  <c:v>40126</c:v>
                </c:pt>
                <c:pt idx="99">
                  <c:v>40123</c:v>
                </c:pt>
                <c:pt idx="100">
                  <c:v>40122</c:v>
                </c:pt>
                <c:pt idx="101">
                  <c:v>40121</c:v>
                </c:pt>
                <c:pt idx="102">
                  <c:v>40120</c:v>
                </c:pt>
                <c:pt idx="103">
                  <c:v>40119</c:v>
                </c:pt>
                <c:pt idx="104">
                  <c:v>40116</c:v>
                </c:pt>
                <c:pt idx="105">
                  <c:v>40115</c:v>
                </c:pt>
                <c:pt idx="106">
                  <c:v>40114</c:v>
                </c:pt>
                <c:pt idx="107">
                  <c:v>40113</c:v>
                </c:pt>
                <c:pt idx="108">
                  <c:v>40112</c:v>
                </c:pt>
                <c:pt idx="109">
                  <c:v>40109</c:v>
                </c:pt>
                <c:pt idx="110">
                  <c:v>40108</c:v>
                </c:pt>
                <c:pt idx="111">
                  <c:v>40107</c:v>
                </c:pt>
                <c:pt idx="112">
                  <c:v>40106</c:v>
                </c:pt>
                <c:pt idx="113">
                  <c:v>40105</c:v>
                </c:pt>
                <c:pt idx="114">
                  <c:v>40102</c:v>
                </c:pt>
                <c:pt idx="115">
                  <c:v>40101</c:v>
                </c:pt>
                <c:pt idx="116">
                  <c:v>40100</c:v>
                </c:pt>
                <c:pt idx="117">
                  <c:v>40099</c:v>
                </c:pt>
                <c:pt idx="118">
                  <c:v>40098</c:v>
                </c:pt>
                <c:pt idx="119">
                  <c:v>40095</c:v>
                </c:pt>
                <c:pt idx="120">
                  <c:v>40094</c:v>
                </c:pt>
                <c:pt idx="121">
                  <c:v>40093</c:v>
                </c:pt>
                <c:pt idx="122">
                  <c:v>40092</c:v>
                </c:pt>
                <c:pt idx="123">
                  <c:v>40091</c:v>
                </c:pt>
                <c:pt idx="124">
                  <c:v>40088</c:v>
                </c:pt>
                <c:pt idx="125">
                  <c:v>40087</c:v>
                </c:pt>
                <c:pt idx="126">
                  <c:v>40086</c:v>
                </c:pt>
                <c:pt idx="127">
                  <c:v>40085</c:v>
                </c:pt>
                <c:pt idx="128">
                  <c:v>40084</c:v>
                </c:pt>
                <c:pt idx="129">
                  <c:v>40081</c:v>
                </c:pt>
                <c:pt idx="130">
                  <c:v>40080</c:v>
                </c:pt>
                <c:pt idx="131">
                  <c:v>40079</c:v>
                </c:pt>
                <c:pt idx="132">
                  <c:v>40078</c:v>
                </c:pt>
                <c:pt idx="133">
                  <c:v>40077</c:v>
                </c:pt>
                <c:pt idx="134">
                  <c:v>40074</c:v>
                </c:pt>
                <c:pt idx="135">
                  <c:v>40073</c:v>
                </c:pt>
                <c:pt idx="136">
                  <c:v>40072</c:v>
                </c:pt>
                <c:pt idx="137">
                  <c:v>40071</c:v>
                </c:pt>
                <c:pt idx="138">
                  <c:v>40070</c:v>
                </c:pt>
                <c:pt idx="139">
                  <c:v>40067</c:v>
                </c:pt>
                <c:pt idx="140">
                  <c:v>40066</c:v>
                </c:pt>
                <c:pt idx="141">
                  <c:v>40065</c:v>
                </c:pt>
                <c:pt idx="142">
                  <c:v>40064</c:v>
                </c:pt>
                <c:pt idx="143">
                  <c:v>40063</c:v>
                </c:pt>
                <c:pt idx="144">
                  <c:v>40060</c:v>
                </c:pt>
                <c:pt idx="145">
                  <c:v>40059</c:v>
                </c:pt>
                <c:pt idx="146">
                  <c:v>40058</c:v>
                </c:pt>
                <c:pt idx="147">
                  <c:v>40057</c:v>
                </c:pt>
                <c:pt idx="148">
                  <c:v>40056</c:v>
                </c:pt>
                <c:pt idx="149">
                  <c:v>40053</c:v>
                </c:pt>
                <c:pt idx="150">
                  <c:v>40052</c:v>
                </c:pt>
                <c:pt idx="151">
                  <c:v>40051</c:v>
                </c:pt>
                <c:pt idx="152">
                  <c:v>40050</c:v>
                </c:pt>
                <c:pt idx="153">
                  <c:v>40049</c:v>
                </c:pt>
                <c:pt idx="154">
                  <c:v>40046</c:v>
                </c:pt>
                <c:pt idx="155">
                  <c:v>40045</c:v>
                </c:pt>
                <c:pt idx="156">
                  <c:v>40044</c:v>
                </c:pt>
                <c:pt idx="157">
                  <c:v>40043</c:v>
                </c:pt>
                <c:pt idx="158">
                  <c:v>40042</c:v>
                </c:pt>
                <c:pt idx="159">
                  <c:v>40039</c:v>
                </c:pt>
                <c:pt idx="160">
                  <c:v>40038</c:v>
                </c:pt>
                <c:pt idx="161">
                  <c:v>40037</c:v>
                </c:pt>
                <c:pt idx="162">
                  <c:v>40036</c:v>
                </c:pt>
                <c:pt idx="163">
                  <c:v>40035</c:v>
                </c:pt>
                <c:pt idx="164">
                  <c:v>40032</c:v>
                </c:pt>
                <c:pt idx="165">
                  <c:v>40031</c:v>
                </c:pt>
                <c:pt idx="166">
                  <c:v>40030</c:v>
                </c:pt>
                <c:pt idx="167">
                  <c:v>40029</c:v>
                </c:pt>
                <c:pt idx="168">
                  <c:v>40028</c:v>
                </c:pt>
                <c:pt idx="169">
                  <c:v>40025</c:v>
                </c:pt>
                <c:pt idx="170">
                  <c:v>40024</c:v>
                </c:pt>
                <c:pt idx="171">
                  <c:v>40023</c:v>
                </c:pt>
                <c:pt idx="172">
                  <c:v>40022</c:v>
                </c:pt>
                <c:pt idx="173">
                  <c:v>40021</c:v>
                </c:pt>
                <c:pt idx="174">
                  <c:v>40018</c:v>
                </c:pt>
                <c:pt idx="175">
                  <c:v>40017</c:v>
                </c:pt>
                <c:pt idx="176">
                  <c:v>40016</c:v>
                </c:pt>
                <c:pt idx="177">
                  <c:v>40015</c:v>
                </c:pt>
                <c:pt idx="178">
                  <c:v>40014</c:v>
                </c:pt>
                <c:pt idx="179">
                  <c:v>40011</c:v>
                </c:pt>
                <c:pt idx="180">
                  <c:v>40010</c:v>
                </c:pt>
                <c:pt idx="181">
                  <c:v>40009</c:v>
                </c:pt>
                <c:pt idx="182">
                  <c:v>40008</c:v>
                </c:pt>
                <c:pt idx="183">
                  <c:v>40007</c:v>
                </c:pt>
                <c:pt idx="184">
                  <c:v>40004</c:v>
                </c:pt>
                <c:pt idx="185">
                  <c:v>40003</c:v>
                </c:pt>
                <c:pt idx="186">
                  <c:v>40002</c:v>
                </c:pt>
                <c:pt idx="187">
                  <c:v>40001</c:v>
                </c:pt>
                <c:pt idx="188">
                  <c:v>40000</c:v>
                </c:pt>
                <c:pt idx="189">
                  <c:v>39997</c:v>
                </c:pt>
                <c:pt idx="190">
                  <c:v>39996</c:v>
                </c:pt>
                <c:pt idx="191">
                  <c:v>39995</c:v>
                </c:pt>
                <c:pt idx="192">
                  <c:v>39994</c:v>
                </c:pt>
                <c:pt idx="193">
                  <c:v>39993</c:v>
                </c:pt>
                <c:pt idx="194">
                  <c:v>39990</c:v>
                </c:pt>
                <c:pt idx="195">
                  <c:v>39989</c:v>
                </c:pt>
                <c:pt idx="196">
                  <c:v>39988</c:v>
                </c:pt>
                <c:pt idx="197">
                  <c:v>39987</c:v>
                </c:pt>
                <c:pt idx="198">
                  <c:v>39986</c:v>
                </c:pt>
                <c:pt idx="199">
                  <c:v>39983</c:v>
                </c:pt>
                <c:pt idx="200">
                  <c:v>39982</c:v>
                </c:pt>
                <c:pt idx="201">
                  <c:v>39981</c:v>
                </c:pt>
                <c:pt idx="202">
                  <c:v>39980</c:v>
                </c:pt>
                <c:pt idx="203">
                  <c:v>39979</c:v>
                </c:pt>
                <c:pt idx="204">
                  <c:v>39976</c:v>
                </c:pt>
                <c:pt idx="205">
                  <c:v>39975</c:v>
                </c:pt>
                <c:pt idx="206">
                  <c:v>39974</c:v>
                </c:pt>
                <c:pt idx="207">
                  <c:v>39973</c:v>
                </c:pt>
                <c:pt idx="208">
                  <c:v>39972</c:v>
                </c:pt>
                <c:pt idx="209">
                  <c:v>39969</c:v>
                </c:pt>
                <c:pt idx="210">
                  <c:v>39968</c:v>
                </c:pt>
                <c:pt idx="211">
                  <c:v>39967</c:v>
                </c:pt>
                <c:pt idx="212">
                  <c:v>39966</c:v>
                </c:pt>
                <c:pt idx="213">
                  <c:v>39962</c:v>
                </c:pt>
                <c:pt idx="214">
                  <c:v>39961</c:v>
                </c:pt>
                <c:pt idx="215">
                  <c:v>39960</c:v>
                </c:pt>
                <c:pt idx="216">
                  <c:v>39959</c:v>
                </c:pt>
                <c:pt idx="217">
                  <c:v>39958</c:v>
                </c:pt>
                <c:pt idx="218">
                  <c:v>39955</c:v>
                </c:pt>
                <c:pt idx="219">
                  <c:v>39953</c:v>
                </c:pt>
                <c:pt idx="220">
                  <c:v>39952</c:v>
                </c:pt>
                <c:pt idx="221">
                  <c:v>39951</c:v>
                </c:pt>
                <c:pt idx="222">
                  <c:v>39948</c:v>
                </c:pt>
                <c:pt idx="223">
                  <c:v>39947</c:v>
                </c:pt>
                <c:pt idx="224">
                  <c:v>39946</c:v>
                </c:pt>
                <c:pt idx="225">
                  <c:v>39945</c:v>
                </c:pt>
                <c:pt idx="226">
                  <c:v>39944</c:v>
                </c:pt>
                <c:pt idx="227">
                  <c:v>39941</c:v>
                </c:pt>
                <c:pt idx="228">
                  <c:v>39940</c:v>
                </c:pt>
                <c:pt idx="229">
                  <c:v>39939</c:v>
                </c:pt>
                <c:pt idx="230">
                  <c:v>39938</c:v>
                </c:pt>
                <c:pt idx="231">
                  <c:v>39937</c:v>
                </c:pt>
                <c:pt idx="232">
                  <c:v>39933</c:v>
                </c:pt>
                <c:pt idx="233">
                  <c:v>39932</c:v>
                </c:pt>
                <c:pt idx="234">
                  <c:v>39931</c:v>
                </c:pt>
                <c:pt idx="235">
                  <c:v>39930</c:v>
                </c:pt>
                <c:pt idx="236">
                  <c:v>39927</c:v>
                </c:pt>
                <c:pt idx="237">
                  <c:v>39926</c:v>
                </c:pt>
                <c:pt idx="238">
                  <c:v>39925</c:v>
                </c:pt>
                <c:pt idx="239">
                  <c:v>39924</c:v>
                </c:pt>
                <c:pt idx="240">
                  <c:v>39923</c:v>
                </c:pt>
                <c:pt idx="241">
                  <c:v>39920</c:v>
                </c:pt>
                <c:pt idx="242">
                  <c:v>39919</c:v>
                </c:pt>
                <c:pt idx="243">
                  <c:v>39918</c:v>
                </c:pt>
                <c:pt idx="244">
                  <c:v>39917</c:v>
                </c:pt>
                <c:pt idx="245">
                  <c:v>39911</c:v>
                </c:pt>
                <c:pt idx="246">
                  <c:v>39910</c:v>
                </c:pt>
                <c:pt idx="247">
                  <c:v>39909</c:v>
                </c:pt>
                <c:pt idx="248">
                  <c:v>39906</c:v>
                </c:pt>
                <c:pt idx="249">
                  <c:v>39905</c:v>
                </c:pt>
                <c:pt idx="250">
                  <c:v>39904</c:v>
                </c:pt>
                <c:pt idx="251">
                  <c:v>39903</c:v>
                </c:pt>
                <c:pt idx="252">
                  <c:v>39902</c:v>
                </c:pt>
                <c:pt idx="253">
                  <c:v>39899</c:v>
                </c:pt>
                <c:pt idx="254">
                  <c:v>39898</c:v>
                </c:pt>
                <c:pt idx="255">
                  <c:v>39897</c:v>
                </c:pt>
                <c:pt idx="256">
                  <c:v>39896</c:v>
                </c:pt>
                <c:pt idx="257">
                  <c:v>39895</c:v>
                </c:pt>
                <c:pt idx="258">
                  <c:v>39892</c:v>
                </c:pt>
                <c:pt idx="259">
                  <c:v>39891</c:v>
                </c:pt>
                <c:pt idx="260">
                  <c:v>39890</c:v>
                </c:pt>
                <c:pt idx="261">
                  <c:v>39889</c:v>
                </c:pt>
                <c:pt idx="262">
                  <c:v>39888</c:v>
                </c:pt>
                <c:pt idx="263">
                  <c:v>39885</c:v>
                </c:pt>
                <c:pt idx="264">
                  <c:v>39884</c:v>
                </c:pt>
                <c:pt idx="265">
                  <c:v>39883</c:v>
                </c:pt>
                <c:pt idx="266">
                  <c:v>39882</c:v>
                </c:pt>
                <c:pt idx="267">
                  <c:v>39881</c:v>
                </c:pt>
                <c:pt idx="268">
                  <c:v>39878</c:v>
                </c:pt>
                <c:pt idx="269">
                  <c:v>39877</c:v>
                </c:pt>
                <c:pt idx="270">
                  <c:v>39876</c:v>
                </c:pt>
                <c:pt idx="271">
                  <c:v>39875</c:v>
                </c:pt>
                <c:pt idx="272">
                  <c:v>39874</c:v>
                </c:pt>
                <c:pt idx="273">
                  <c:v>39871</c:v>
                </c:pt>
                <c:pt idx="274">
                  <c:v>39870</c:v>
                </c:pt>
                <c:pt idx="275">
                  <c:v>39869</c:v>
                </c:pt>
                <c:pt idx="276">
                  <c:v>39868</c:v>
                </c:pt>
                <c:pt idx="277">
                  <c:v>39867</c:v>
                </c:pt>
                <c:pt idx="278">
                  <c:v>39864</c:v>
                </c:pt>
                <c:pt idx="279">
                  <c:v>39863</c:v>
                </c:pt>
                <c:pt idx="280">
                  <c:v>39862</c:v>
                </c:pt>
                <c:pt idx="281">
                  <c:v>39861</c:v>
                </c:pt>
                <c:pt idx="282">
                  <c:v>39860</c:v>
                </c:pt>
                <c:pt idx="283">
                  <c:v>39857</c:v>
                </c:pt>
                <c:pt idx="284">
                  <c:v>39856</c:v>
                </c:pt>
                <c:pt idx="285">
                  <c:v>39855</c:v>
                </c:pt>
                <c:pt idx="286">
                  <c:v>39854</c:v>
                </c:pt>
                <c:pt idx="287">
                  <c:v>39853</c:v>
                </c:pt>
                <c:pt idx="288">
                  <c:v>39850</c:v>
                </c:pt>
                <c:pt idx="289">
                  <c:v>39849</c:v>
                </c:pt>
                <c:pt idx="290">
                  <c:v>39848</c:v>
                </c:pt>
                <c:pt idx="291">
                  <c:v>39847</c:v>
                </c:pt>
                <c:pt idx="292">
                  <c:v>39846</c:v>
                </c:pt>
                <c:pt idx="293">
                  <c:v>39843</c:v>
                </c:pt>
                <c:pt idx="294">
                  <c:v>39842</c:v>
                </c:pt>
                <c:pt idx="295">
                  <c:v>39841</c:v>
                </c:pt>
                <c:pt idx="296">
                  <c:v>39840</c:v>
                </c:pt>
                <c:pt idx="297">
                  <c:v>39839</c:v>
                </c:pt>
                <c:pt idx="298">
                  <c:v>39836</c:v>
                </c:pt>
                <c:pt idx="299">
                  <c:v>39835</c:v>
                </c:pt>
                <c:pt idx="300">
                  <c:v>39834</c:v>
                </c:pt>
                <c:pt idx="301">
                  <c:v>39833</c:v>
                </c:pt>
                <c:pt idx="302">
                  <c:v>39832</c:v>
                </c:pt>
                <c:pt idx="303">
                  <c:v>39829</c:v>
                </c:pt>
                <c:pt idx="304">
                  <c:v>39828</c:v>
                </c:pt>
                <c:pt idx="305">
                  <c:v>39827</c:v>
                </c:pt>
                <c:pt idx="306">
                  <c:v>39826</c:v>
                </c:pt>
                <c:pt idx="307">
                  <c:v>39825</c:v>
                </c:pt>
                <c:pt idx="308">
                  <c:v>39822</c:v>
                </c:pt>
                <c:pt idx="309">
                  <c:v>39821</c:v>
                </c:pt>
                <c:pt idx="310">
                  <c:v>39820</c:v>
                </c:pt>
                <c:pt idx="311">
                  <c:v>39819</c:v>
                </c:pt>
                <c:pt idx="312">
                  <c:v>39818</c:v>
                </c:pt>
                <c:pt idx="313">
                  <c:v>39815</c:v>
                </c:pt>
              </c:numCache>
            </c:numRef>
          </c:cat>
          <c:val>
            <c:numRef>
              <c:f>SourceData!$E$210:$E$523</c:f>
              <c:numCache>
                <c:formatCode>#,##0_);[Red]\(#,##0\)</c:formatCode>
                <c:ptCount val="314"/>
              </c:numCache>
            </c:numRef>
          </c:val>
          <c:extLst>
            <c:ext xmlns:c16="http://schemas.microsoft.com/office/drawing/2014/chart" uri="{C3380CC4-5D6E-409C-BE32-E72D297353CC}">
              <c16:uniqueId val="{00000001-941E-4619-AFC8-120131C0C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61688"/>
        <c:axId val="212459728"/>
      </c:areaChart>
      <c:lineChart>
        <c:grouping val="standard"/>
        <c:varyColors val="0"/>
        <c:ser>
          <c:idx val="4"/>
          <c:order val="4"/>
          <c:tx>
            <c:strRef>
              <c:f>SourceData!$N$1</c:f>
              <c:strCache>
                <c:ptCount val="1"/>
                <c:pt idx="0">
                  <c:v>Saf_Stock_PCE</c:v>
                </c:pt>
              </c:strCache>
            </c:strRef>
          </c:tx>
          <c:spPr>
            <a:ln>
              <a:solidFill>
                <a:srgbClr val="FF3300"/>
              </a:solidFill>
            </a:ln>
          </c:spPr>
          <c:marker>
            <c:symbol val="none"/>
          </c:marker>
          <c:cat>
            <c:numRef>
              <c:f>[0]!X_Range</c:f>
              <c:numCache>
                <c:formatCode>dd/mm/yyyy;@</c:formatCode>
                <c:ptCount val="314"/>
                <c:pt idx="0">
                  <c:v>40268</c:v>
                </c:pt>
                <c:pt idx="1">
                  <c:v>40267</c:v>
                </c:pt>
                <c:pt idx="2">
                  <c:v>40266</c:v>
                </c:pt>
                <c:pt idx="3">
                  <c:v>40263</c:v>
                </c:pt>
                <c:pt idx="4">
                  <c:v>40262</c:v>
                </c:pt>
                <c:pt idx="5">
                  <c:v>40261</c:v>
                </c:pt>
                <c:pt idx="6">
                  <c:v>40260</c:v>
                </c:pt>
                <c:pt idx="7">
                  <c:v>40259</c:v>
                </c:pt>
                <c:pt idx="8">
                  <c:v>40256</c:v>
                </c:pt>
                <c:pt idx="9">
                  <c:v>40255</c:v>
                </c:pt>
                <c:pt idx="10">
                  <c:v>40254</c:v>
                </c:pt>
                <c:pt idx="11">
                  <c:v>40253</c:v>
                </c:pt>
                <c:pt idx="12">
                  <c:v>40252</c:v>
                </c:pt>
                <c:pt idx="13">
                  <c:v>40249</c:v>
                </c:pt>
                <c:pt idx="14">
                  <c:v>40248</c:v>
                </c:pt>
                <c:pt idx="15">
                  <c:v>40247</c:v>
                </c:pt>
                <c:pt idx="16">
                  <c:v>40246</c:v>
                </c:pt>
                <c:pt idx="17">
                  <c:v>40245</c:v>
                </c:pt>
                <c:pt idx="18">
                  <c:v>40242</c:v>
                </c:pt>
                <c:pt idx="19">
                  <c:v>40241</c:v>
                </c:pt>
                <c:pt idx="20">
                  <c:v>40240</c:v>
                </c:pt>
                <c:pt idx="21">
                  <c:v>40239</c:v>
                </c:pt>
                <c:pt idx="22">
                  <c:v>40238</c:v>
                </c:pt>
                <c:pt idx="23">
                  <c:v>40235</c:v>
                </c:pt>
                <c:pt idx="24">
                  <c:v>40234</c:v>
                </c:pt>
                <c:pt idx="25">
                  <c:v>40233</c:v>
                </c:pt>
                <c:pt idx="26">
                  <c:v>40232</c:v>
                </c:pt>
                <c:pt idx="27">
                  <c:v>40231</c:v>
                </c:pt>
                <c:pt idx="28">
                  <c:v>40228</c:v>
                </c:pt>
                <c:pt idx="29">
                  <c:v>40227</c:v>
                </c:pt>
                <c:pt idx="30">
                  <c:v>40226</c:v>
                </c:pt>
                <c:pt idx="31">
                  <c:v>40225</c:v>
                </c:pt>
                <c:pt idx="32">
                  <c:v>40224</c:v>
                </c:pt>
                <c:pt idx="33">
                  <c:v>40221</c:v>
                </c:pt>
                <c:pt idx="34">
                  <c:v>40220</c:v>
                </c:pt>
                <c:pt idx="35">
                  <c:v>40219</c:v>
                </c:pt>
                <c:pt idx="36">
                  <c:v>40218</c:v>
                </c:pt>
                <c:pt idx="37">
                  <c:v>40217</c:v>
                </c:pt>
                <c:pt idx="38">
                  <c:v>40214</c:v>
                </c:pt>
                <c:pt idx="39">
                  <c:v>40213</c:v>
                </c:pt>
                <c:pt idx="40">
                  <c:v>43497</c:v>
                </c:pt>
                <c:pt idx="41">
                  <c:v>40211</c:v>
                </c:pt>
                <c:pt idx="42">
                  <c:v>40210</c:v>
                </c:pt>
                <c:pt idx="43">
                  <c:v>40207</c:v>
                </c:pt>
                <c:pt idx="44">
                  <c:v>40206</c:v>
                </c:pt>
                <c:pt idx="45">
                  <c:v>40205</c:v>
                </c:pt>
                <c:pt idx="46">
                  <c:v>40204</c:v>
                </c:pt>
                <c:pt idx="47">
                  <c:v>40203</c:v>
                </c:pt>
                <c:pt idx="48">
                  <c:v>40200</c:v>
                </c:pt>
                <c:pt idx="49">
                  <c:v>40199</c:v>
                </c:pt>
                <c:pt idx="50">
                  <c:v>40198</c:v>
                </c:pt>
                <c:pt idx="51">
                  <c:v>40197</c:v>
                </c:pt>
                <c:pt idx="52">
                  <c:v>40196</c:v>
                </c:pt>
                <c:pt idx="53">
                  <c:v>40193</c:v>
                </c:pt>
                <c:pt idx="54">
                  <c:v>40192</c:v>
                </c:pt>
                <c:pt idx="55">
                  <c:v>40191</c:v>
                </c:pt>
                <c:pt idx="56">
                  <c:v>40190</c:v>
                </c:pt>
                <c:pt idx="57">
                  <c:v>40189</c:v>
                </c:pt>
                <c:pt idx="58">
                  <c:v>40186</c:v>
                </c:pt>
                <c:pt idx="59">
                  <c:v>40185</c:v>
                </c:pt>
                <c:pt idx="60">
                  <c:v>40184</c:v>
                </c:pt>
                <c:pt idx="61">
                  <c:v>40183</c:v>
                </c:pt>
                <c:pt idx="62">
                  <c:v>40182</c:v>
                </c:pt>
                <c:pt idx="63">
                  <c:v>40177</c:v>
                </c:pt>
                <c:pt idx="64">
                  <c:v>40176</c:v>
                </c:pt>
                <c:pt idx="65">
                  <c:v>40175</c:v>
                </c:pt>
                <c:pt idx="66">
                  <c:v>40170</c:v>
                </c:pt>
                <c:pt idx="67">
                  <c:v>40169</c:v>
                </c:pt>
                <c:pt idx="68">
                  <c:v>40168</c:v>
                </c:pt>
                <c:pt idx="69">
                  <c:v>40165</c:v>
                </c:pt>
                <c:pt idx="70">
                  <c:v>40164</c:v>
                </c:pt>
                <c:pt idx="71">
                  <c:v>40163</c:v>
                </c:pt>
                <c:pt idx="72">
                  <c:v>40162</c:v>
                </c:pt>
                <c:pt idx="73">
                  <c:v>40161</c:v>
                </c:pt>
                <c:pt idx="74">
                  <c:v>40158</c:v>
                </c:pt>
                <c:pt idx="75">
                  <c:v>40157</c:v>
                </c:pt>
                <c:pt idx="76">
                  <c:v>40156</c:v>
                </c:pt>
                <c:pt idx="77">
                  <c:v>40155</c:v>
                </c:pt>
                <c:pt idx="78">
                  <c:v>40154</c:v>
                </c:pt>
                <c:pt idx="79">
                  <c:v>40151</c:v>
                </c:pt>
                <c:pt idx="80">
                  <c:v>40150</c:v>
                </c:pt>
                <c:pt idx="81">
                  <c:v>40149</c:v>
                </c:pt>
                <c:pt idx="82">
                  <c:v>40148</c:v>
                </c:pt>
                <c:pt idx="83">
                  <c:v>40147</c:v>
                </c:pt>
                <c:pt idx="84">
                  <c:v>40144</c:v>
                </c:pt>
                <c:pt idx="85">
                  <c:v>40143</c:v>
                </c:pt>
                <c:pt idx="86">
                  <c:v>40142</c:v>
                </c:pt>
                <c:pt idx="87">
                  <c:v>40141</c:v>
                </c:pt>
                <c:pt idx="88">
                  <c:v>40140</c:v>
                </c:pt>
                <c:pt idx="89">
                  <c:v>40137</c:v>
                </c:pt>
                <c:pt idx="90">
                  <c:v>40136</c:v>
                </c:pt>
                <c:pt idx="91">
                  <c:v>40135</c:v>
                </c:pt>
                <c:pt idx="92">
                  <c:v>40134</c:v>
                </c:pt>
                <c:pt idx="93">
                  <c:v>40133</c:v>
                </c:pt>
                <c:pt idx="94">
                  <c:v>40130</c:v>
                </c:pt>
                <c:pt idx="95">
                  <c:v>40129</c:v>
                </c:pt>
                <c:pt idx="96">
                  <c:v>40128</c:v>
                </c:pt>
                <c:pt idx="97">
                  <c:v>40127</c:v>
                </c:pt>
                <c:pt idx="98">
                  <c:v>40126</c:v>
                </c:pt>
                <c:pt idx="99">
                  <c:v>40123</c:v>
                </c:pt>
                <c:pt idx="100">
                  <c:v>40122</c:v>
                </c:pt>
                <c:pt idx="101">
                  <c:v>40121</c:v>
                </c:pt>
                <c:pt idx="102">
                  <c:v>40120</c:v>
                </c:pt>
                <c:pt idx="103">
                  <c:v>40119</c:v>
                </c:pt>
                <c:pt idx="104">
                  <c:v>40116</c:v>
                </c:pt>
                <c:pt idx="105">
                  <c:v>40115</c:v>
                </c:pt>
                <c:pt idx="106">
                  <c:v>40114</c:v>
                </c:pt>
                <c:pt idx="107">
                  <c:v>40113</c:v>
                </c:pt>
                <c:pt idx="108">
                  <c:v>40112</c:v>
                </c:pt>
                <c:pt idx="109">
                  <c:v>40109</c:v>
                </c:pt>
                <c:pt idx="110">
                  <c:v>40108</c:v>
                </c:pt>
                <c:pt idx="111">
                  <c:v>40107</c:v>
                </c:pt>
                <c:pt idx="112">
                  <c:v>40106</c:v>
                </c:pt>
                <c:pt idx="113">
                  <c:v>40105</c:v>
                </c:pt>
                <c:pt idx="114">
                  <c:v>40102</c:v>
                </c:pt>
                <c:pt idx="115">
                  <c:v>40101</c:v>
                </c:pt>
                <c:pt idx="116">
                  <c:v>40100</c:v>
                </c:pt>
                <c:pt idx="117">
                  <c:v>40099</c:v>
                </c:pt>
                <c:pt idx="118">
                  <c:v>40098</c:v>
                </c:pt>
                <c:pt idx="119">
                  <c:v>40095</c:v>
                </c:pt>
                <c:pt idx="120">
                  <c:v>40094</c:v>
                </c:pt>
                <c:pt idx="121">
                  <c:v>40093</c:v>
                </c:pt>
                <c:pt idx="122">
                  <c:v>40092</c:v>
                </c:pt>
                <c:pt idx="123">
                  <c:v>40091</c:v>
                </c:pt>
                <c:pt idx="124">
                  <c:v>40088</c:v>
                </c:pt>
                <c:pt idx="125">
                  <c:v>40087</c:v>
                </c:pt>
                <c:pt idx="126">
                  <c:v>40086</c:v>
                </c:pt>
                <c:pt idx="127">
                  <c:v>40085</c:v>
                </c:pt>
                <c:pt idx="128">
                  <c:v>40084</c:v>
                </c:pt>
                <c:pt idx="129">
                  <c:v>40081</c:v>
                </c:pt>
                <c:pt idx="130">
                  <c:v>40080</c:v>
                </c:pt>
                <c:pt idx="131">
                  <c:v>40079</c:v>
                </c:pt>
                <c:pt idx="132">
                  <c:v>40078</c:v>
                </c:pt>
                <c:pt idx="133">
                  <c:v>40077</c:v>
                </c:pt>
                <c:pt idx="134">
                  <c:v>40074</c:v>
                </c:pt>
                <c:pt idx="135">
                  <c:v>40073</c:v>
                </c:pt>
                <c:pt idx="136">
                  <c:v>40072</c:v>
                </c:pt>
                <c:pt idx="137">
                  <c:v>40071</c:v>
                </c:pt>
                <c:pt idx="138">
                  <c:v>40070</c:v>
                </c:pt>
                <c:pt idx="139">
                  <c:v>40067</c:v>
                </c:pt>
                <c:pt idx="140">
                  <c:v>40066</c:v>
                </c:pt>
                <c:pt idx="141">
                  <c:v>40065</c:v>
                </c:pt>
                <c:pt idx="142">
                  <c:v>40064</c:v>
                </c:pt>
                <c:pt idx="143">
                  <c:v>40063</c:v>
                </c:pt>
                <c:pt idx="144">
                  <c:v>40060</c:v>
                </c:pt>
                <c:pt idx="145">
                  <c:v>40059</c:v>
                </c:pt>
                <c:pt idx="146">
                  <c:v>40058</c:v>
                </c:pt>
                <c:pt idx="147">
                  <c:v>40057</c:v>
                </c:pt>
                <c:pt idx="148">
                  <c:v>40056</c:v>
                </c:pt>
                <c:pt idx="149">
                  <c:v>40053</c:v>
                </c:pt>
                <c:pt idx="150">
                  <c:v>40052</c:v>
                </c:pt>
                <c:pt idx="151">
                  <c:v>40051</c:v>
                </c:pt>
                <c:pt idx="152">
                  <c:v>40050</c:v>
                </c:pt>
                <c:pt idx="153">
                  <c:v>40049</c:v>
                </c:pt>
                <c:pt idx="154">
                  <c:v>40046</c:v>
                </c:pt>
                <c:pt idx="155">
                  <c:v>40045</c:v>
                </c:pt>
                <c:pt idx="156">
                  <c:v>40044</c:v>
                </c:pt>
                <c:pt idx="157">
                  <c:v>40043</c:v>
                </c:pt>
                <c:pt idx="158">
                  <c:v>40042</c:v>
                </c:pt>
                <c:pt idx="159">
                  <c:v>40039</c:v>
                </c:pt>
                <c:pt idx="160">
                  <c:v>40038</c:v>
                </c:pt>
                <c:pt idx="161">
                  <c:v>40037</c:v>
                </c:pt>
                <c:pt idx="162">
                  <c:v>40036</c:v>
                </c:pt>
                <c:pt idx="163">
                  <c:v>40035</c:v>
                </c:pt>
                <c:pt idx="164">
                  <c:v>40032</c:v>
                </c:pt>
                <c:pt idx="165">
                  <c:v>40031</c:v>
                </c:pt>
                <c:pt idx="166">
                  <c:v>40030</c:v>
                </c:pt>
                <c:pt idx="167">
                  <c:v>40029</c:v>
                </c:pt>
                <c:pt idx="168">
                  <c:v>40028</c:v>
                </c:pt>
                <c:pt idx="169">
                  <c:v>40025</c:v>
                </c:pt>
                <c:pt idx="170">
                  <c:v>40024</c:v>
                </c:pt>
                <c:pt idx="171">
                  <c:v>40023</c:v>
                </c:pt>
                <c:pt idx="172">
                  <c:v>40022</c:v>
                </c:pt>
                <c:pt idx="173">
                  <c:v>40021</c:v>
                </c:pt>
                <c:pt idx="174">
                  <c:v>40018</c:v>
                </c:pt>
                <c:pt idx="175">
                  <c:v>40017</c:v>
                </c:pt>
                <c:pt idx="176">
                  <c:v>40016</c:v>
                </c:pt>
                <c:pt idx="177">
                  <c:v>40015</c:v>
                </c:pt>
                <c:pt idx="178">
                  <c:v>40014</c:v>
                </c:pt>
                <c:pt idx="179">
                  <c:v>40011</c:v>
                </c:pt>
                <c:pt idx="180">
                  <c:v>40010</c:v>
                </c:pt>
                <c:pt idx="181">
                  <c:v>40009</c:v>
                </c:pt>
                <c:pt idx="182">
                  <c:v>40008</c:v>
                </c:pt>
                <c:pt idx="183">
                  <c:v>40007</c:v>
                </c:pt>
                <c:pt idx="184">
                  <c:v>40004</c:v>
                </c:pt>
                <c:pt idx="185">
                  <c:v>40003</c:v>
                </c:pt>
                <c:pt idx="186">
                  <c:v>40002</c:v>
                </c:pt>
                <c:pt idx="187">
                  <c:v>40001</c:v>
                </c:pt>
                <c:pt idx="188">
                  <c:v>40000</c:v>
                </c:pt>
                <c:pt idx="189">
                  <c:v>39997</c:v>
                </c:pt>
                <c:pt idx="190">
                  <c:v>39996</c:v>
                </c:pt>
                <c:pt idx="191">
                  <c:v>39995</c:v>
                </c:pt>
                <c:pt idx="192">
                  <c:v>39994</c:v>
                </c:pt>
                <c:pt idx="193">
                  <c:v>39993</c:v>
                </c:pt>
                <c:pt idx="194">
                  <c:v>39990</c:v>
                </c:pt>
                <c:pt idx="195">
                  <c:v>39989</c:v>
                </c:pt>
                <c:pt idx="196">
                  <c:v>39988</c:v>
                </c:pt>
                <c:pt idx="197">
                  <c:v>39987</c:v>
                </c:pt>
                <c:pt idx="198">
                  <c:v>39986</c:v>
                </c:pt>
                <c:pt idx="199">
                  <c:v>39983</c:v>
                </c:pt>
                <c:pt idx="200">
                  <c:v>39982</c:v>
                </c:pt>
                <c:pt idx="201">
                  <c:v>39981</c:v>
                </c:pt>
                <c:pt idx="202">
                  <c:v>39980</c:v>
                </c:pt>
                <c:pt idx="203">
                  <c:v>39979</c:v>
                </c:pt>
                <c:pt idx="204">
                  <c:v>39976</c:v>
                </c:pt>
                <c:pt idx="205">
                  <c:v>39975</c:v>
                </c:pt>
                <c:pt idx="206">
                  <c:v>39974</c:v>
                </c:pt>
                <c:pt idx="207">
                  <c:v>39973</c:v>
                </c:pt>
                <c:pt idx="208">
                  <c:v>39972</c:v>
                </c:pt>
                <c:pt idx="209">
                  <c:v>39969</c:v>
                </c:pt>
                <c:pt idx="210">
                  <c:v>39968</c:v>
                </c:pt>
                <c:pt idx="211">
                  <c:v>39967</c:v>
                </c:pt>
                <c:pt idx="212">
                  <c:v>39966</c:v>
                </c:pt>
                <c:pt idx="213">
                  <c:v>39962</c:v>
                </c:pt>
                <c:pt idx="214">
                  <c:v>39961</c:v>
                </c:pt>
                <c:pt idx="215">
                  <c:v>39960</c:v>
                </c:pt>
                <c:pt idx="216">
                  <c:v>39959</c:v>
                </c:pt>
                <c:pt idx="217">
                  <c:v>39958</c:v>
                </c:pt>
                <c:pt idx="218">
                  <c:v>39955</c:v>
                </c:pt>
                <c:pt idx="219">
                  <c:v>39953</c:v>
                </c:pt>
                <c:pt idx="220">
                  <c:v>39952</c:v>
                </c:pt>
                <c:pt idx="221">
                  <c:v>39951</c:v>
                </c:pt>
                <c:pt idx="222">
                  <c:v>39948</c:v>
                </c:pt>
                <c:pt idx="223">
                  <c:v>39947</c:v>
                </c:pt>
                <c:pt idx="224">
                  <c:v>39946</c:v>
                </c:pt>
                <c:pt idx="225">
                  <c:v>39945</c:v>
                </c:pt>
                <c:pt idx="226">
                  <c:v>39944</c:v>
                </c:pt>
                <c:pt idx="227">
                  <c:v>39941</c:v>
                </c:pt>
                <c:pt idx="228">
                  <c:v>39940</c:v>
                </c:pt>
                <c:pt idx="229">
                  <c:v>39939</c:v>
                </c:pt>
                <c:pt idx="230">
                  <c:v>39938</c:v>
                </c:pt>
                <c:pt idx="231">
                  <c:v>39937</c:v>
                </c:pt>
                <c:pt idx="232">
                  <c:v>39933</c:v>
                </c:pt>
                <c:pt idx="233">
                  <c:v>39932</c:v>
                </c:pt>
                <c:pt idx="234">
                  <c:v>39931</c:v>
                </c:pt>
                <c:pt idx="235">
                  <c:v>39930</c:v>
                </c:pt>
                <c:pt idx="236">
                  <c:v>39927</c:v>
                </c:pt>
                <c:pt idx="237">
                  <c:v>39926</c:v>
                </c:pt>
                <c:pt idx="238">
                  <c:v>39925</c:v>
                </c:pt>
                <c:pt idx="239">
                  <c:v>39924</c:v>
                </c:pt>
                <c:pt idx="240">
                  <c:v>39923</c:v>
                </c:pt>
                <c:pt idx="241">
                  <c:v>39920</c:v>
                </c:pt>
                <c:pt idx="242">
                  <c:v>39919</c:v>
                </c:pt>
                <c:pt idx="243">
                  <c:v>39918</c:v>
                </c:pt>
                <c:pt idx="244">
                  <c:v>39917</c:v>
                </c:pt>
                <c:pt idx="245">
                  <c:v>39911</c:v>
                </c:pt>
                <c:pt idx="246">
                  <c:v>39910</c:v>
                </c:pt>
                <c:pt idx="247">
                  <c:v>39909</c:v>
                </c:pt>
                <c:pt idx="248">
                  <c:v>39906</c:v>
                </c:pt>
                <c:pt idx="249">
                  <c:v>39905</c:v>
                </c:pt>
                <c:pt idx="250">
                  <c:v>39904</c:v>
                </c:pt>
                <c:pt idx="251">
                  <c:v>39903</c:v>
                </c:pt>
                <c:pt idx="252">
                  <c:v>39902</c:v>
                </c:pt>
                <c:pt idx="253">
                  <c:v>39899</c:v>
                </c:pt>
                <c:pt idx="254">
                  <c:v>39898</c:v>
                </c:pt>
                <c:pt idx="255">
                  <c:v>39897</c:v>
                </c:pt>
                <c:pt idx="256">
                  <c:v>39896</c:v>
                </c:pt>
                <c:pt idx="257">
                  <c:v>39895</c:v>
                </c:pt>
                <c:pt idx="258">
                  <c:v>39892</c:v>
                </c:pt>
                <c:pt idx="259">
                  <c:v>39891</c:v>
                </c:pt>
                <c:pt idx="260">
                  <c:v>39890</c:v>
                </c:pt>
                <c:pt idx="261">
                  <c:v>39889</c:v>
                </c:pt>
                <c:pt idx="262">
                  <c:v>39888</c:v>
                </c:pt>
                <c:pt idx="263">
                  <c:v>39885</c:v>
                </c:pt>
                <c:pt idx="264">
                  <c:v>39884</c:v>
                </c:pt>
                <c:pt idx="265">
                  <c:v>39883</c:v>
                </c:pt>
                <c:pt idx="266">
                  <c:v>39882</c:v>
                </c:pt>
                <c:pt idx="267">
                  <c:v>39881</c:v>
                </c:pt>
                <c:pt idx="268">
                  <c:v>39878</c:v>
                </c:pt>
                <c:pt idx="269">
                  <c:v>39877</c:v>
                </c:pt>
                <c:pt idx="270">
                  <c:v>39876</c:v>
                </c:pt>
                <c:pt idx="271">
                  <c:v>39875</c:v>
                </c:pt>
                <c:pt idx="272">
                  <c:v>39874</c:v>
                </c:pt>
                <c:pt idx="273">
                  <c:v>39871</c:v>
                </c:pt>
                <c:pt idx="274">
                  <c:v>39870</c:v>
                </c:pt>
                <c:pt idx="275">
                  <c:v>39869</c:v>
                </c:pt>
                <c:pt idx="276">
                  <c:v>39868</c:v>
                </c:pt>
                <c:pt idx="277">
                  <c:v>39867</c:v>
                </c:pt>
                <c:pt idx="278">
                  <c:v>39864</c:v>
                </c:pt>
                <c:pt idx="279">
                  <c:v>39863</c:v>
                </c:pt>
                <c:pt idx="280">
                  <c:v>39862</c:v>
                </c:pt>
                <c:pt idx="281">
                  <c:v>39861</c:v>
                </c:pt>
                <c:pt idx="282">
                  <c:v>39860</c:v>
                </c:pt>
                <c:pt idx="283">
                  <c:v>39857</c:v>
                </c:pt>
                <c:pt idx="284">
                  <c:v>39856</c:v>
                </c:pt>
                <c:pt idx="285">
                  <c:v>39855</c:v>
                </c:pt>
                <c:pt idx="286">
                  <c:v>39854</c:v>
                </c:pt>
                <c:pt idx="287">
                  <c:v>39853</c:v>
                </c:pt>
                <c:pt idx="288">
                  <c:v>39850</c:v>
                </c:pt>
                <c:pt idx="289">
                  <c:v>39849</c:v>
                </c:pt>
                <c:pt idx="290">
                  <c:v>39848</c:v>
                </c:pt>
                <c:pt idx="291">
                  <c:v>39847</c:v>
                </c:pt>
                <c:pt idx="292">
                  <c:v>39846</c:v>
                </c:pt>
                <c:pt idx="293">
                  <c:v>39843</c:v>
                </c:pt>
                <c:pt idx="294">
                  <c:v>39842</c:v>
                </c:pt>
                <c:pt idx="295">
                  <c:v>39841</c:v>
                </c:pt>
                <c:pt idx="296">
                  <c:v>39840</c:v>
                </c:pt>
                <c:pt idx="297">
                  <c:v>39839</c:v>
                </c:pt>
                <c:pt idx="298">
                  <c:v>39836</c:v>
                </c:pt>
                <c:pt idx="299">
                  <c:v>39835</c:v>
                </c:pt>
                <c:pt idx="300">
                  <c:v>39834</c:v>
                </c:pt>
                <c:pt idx="301">
                  <c:v>39833</c:v>
                </c:pt>
                <c:pt idx="302">
                  <c:v>39832</c:v>
                </c:pt>
                <c:pt idx="303">
                  <c:v>39829</c:v>
                </c:pt>
                <c:pt idx="304">
                  <c:v>39828</c:v>
                </c:pt>
                <c:pt idx="305">
                  <c:v>39827</c:v>
                </c:pt>
                <c:pt idx="306">
                  <c:v>39826</c:v>
                </c:pt>
                <c:pt idx="307">
                  <c:v>39825</c:v>
                </c:pt>
                <c:pt idx="308">
                  <c:v>39822</c:v>
                </c:pt>
                <c:pt idx="309">
                  <c:v>39821</c:v>
                </c:pt>
                <c:pt idx="310">
                  <c:v>39820</c:v>
                </c:pt>
                <c:pt idx="311">
                  <c:v>39819</c:v>
                </c:pt>
                <c:pt idx="312">
                  <c:v>39818</c:v>
                </c:pt>
                <c:pt idx="313">
                  <c:v>39815</c:v>
                </c:pt>
              </c:numCache>
            </c:numRef>
          </c:cat>
          <c:val>
            <c:numRef>
              <c:f>SourceData!$N$210:$N$523</c:f>
              <c:numCache>
                <c:formatCode>General</c:formatCode>
                <c:ptCount val="314"/>
                <c:pt idx="40" formatCode="#,##0_);[Red]\(#,##0\)">
                  <c:v>0</c:v>
                </c:pt>
                <c:pt idx="41" formatCode="#,##0_);[Red]\(#,##0\)">
                  <c:v>0</c:v>
                </c:pt>
                <c:pt idx="42" formatCode="#,##0_);[Red]\(#,##0\)">
                  <c:v>0</c:v>
                </c:pt>
                <c:pt idx="43" formatCode="#,##0_);[Red]\(#,##0\)">
                  <c:v>0</c:v>
                </c:pt>
                <c:pt idx="44" formatCode="#,##0_);[Red]\(#,##0\)">
                  <c:v>0</c:v>
                </c:pt>
                <c:pt idx="45" formatCode="#,##0_);[Red]\(#,##0\)">
                  <c:v>0</c:v>
                </c:pt>
                <c:pt idx="46" formatCode="#,##0_);[Red]\(#,##0\)">
                  <c:v>0</c:v>
                </c:pt>
                <c:pt idx="47" formatCode="#,##0_);[Red]\(#,##0\)">
                  <c:v>0</c:v>
                </c:pt>
                <c:pt idx="48" formatCode="#,##0_);[Red]\(#,##0\)">
                  <c:v>0</c:v>
                </c:pt>
                <c:pt idx="49" formatCode="#,##0_);[Red]\(#,##0\)">
                  <c:v>0</c:v>
                </c:pt>
                <c:pt idx="50" formatCode="#,##0_);[Red]\(#,##0\)">
                  <c:v>0</c:v>
                </c:pt>
                <c:pt idx="51" formatCode="#,##0_);[Red]\(#,##0\)">
                  <c:v>0</c:v>
                </c:pt>
                <c:pt idx="52" formatCode="#,##0_);[Red]\(#,##0\)">
                  <c:v>0</c:v>
                </c:pt>
                <c:pt idx="53" formatCode="#,##0_);[Red]\(#,##0\)">
                  <c:v>0</c:v>
                </c:pt>
                <c:pt idx="54" formatCode="#,##0_);[Red]\(#,##0\)">
                  <c:v>0</c:v>
                </c:pt>
                <c:pt idx="55" formatCode="#,##0_);[Red]\(#,##0\)">
                  <c:v>0</c:v>
                </c:pt>
                <c:pt idx="56" formatCode="#,##0_);[Red]\(#,##0\)">
                  <c:v>0</c:v>
                </c:pt>
                <c:pt idx="57" formatCode="#,##0_);[Red]\(#,##0\)">
                  <c:v>0</c:v>
                </c:pt>
                <c:pt idx="58" formatCode="#,##0_);[Red]\(#,##0\)">
                  <c:v>0</c:v>
                </c:pt>
                <c:pt idx="59" formatCode="#,##0_);[Red]\(#,##0\)">
                  <c:v>0</c:v>
                </c:pt>
                <c:pt idx="60" formatCode="#,##0_);[Red]\(#,##0\)">
                  <c:v>0</c:v>
                </c:pt>
                <c:pt idx="61" formatCode="#,##0_);[Red]\(#,##0\)">
                  <c:v>0</c:v>
                </c:pt>
                <c:pt idx="62" formatCode="#,##0_);[Red]\(#,##0\)">
                  <c:v>0</c:v>
                </c:pt>
                <c:pt idx="63" formatCode="#,##0_);[Red]\(#,##0\)">
                  <c:v>0</c:v>
                </c:pt>
                <c:pt idx="64" formatCode="#,##0_);[Red]\(#,##0\)">
                  <c:v>0</c:v>
                </c:pt>
                <c:pt idx="65" formatCode="#,##0_);[Red]\(#,##0\)">
                  <c:v>0</c:v>
                </c:pt>
                <c:pt idx="66" formatCode="#,##0_);[Red]\(#,##0\)">
                  <c:v>0</c:v>
                </c:pt>
                <c:pt idx="67" formatCode="#,##0_);[Red]\(#,##0\)">
                  <c:v>0</c:v>
                </c:pt>
                <c:pt idx="68" formatCode="#,##0_);[Red]\(#,##0\)">
                  <c:v>0</c:v>
                </c:pt>
                <c:pt idx="69" formatCode="#,##0_);[Red]\(#,##0\)">
                  <c:v>0</c:v>
                </c:pt>
                <c:pt idx="70" formatCode="#,##0_);[Red]\(#,##0\)">
                  <c:v>0</c:v>
                </c:pt>
                <c:pt idx="71" formatCode="#,##0_);[Red]\(#,##0\)">
                  <c:v>0</c:v>
                </c:pt>
                <c:pt idx="72" formatCode="#,##0_);[Red]\(#,##0\)">
                  <c:v>0</c:v>
                </c:pt>
                <c:pt idx="73" formatCode="#,##0_);[Red]\(#,##0\)">
                  <c:v>0</c:v>
                </c:pt>
                <c:pt idx="74" formatCode="#,##0_);[Red]\(#,##0\)">
                  <c:v>0</c:v>
                </c:pt>
                <c:pt idx="75" formatCode="#,##0_);[Red]\(#,##0\)">
                  <c:v>0</c:v>
                </c:pt>
                <c:pt idx="76" formatCode="#,##0_);[Red]\(#,##0\)">
                  <c:v>0</c:v>
                </c:pt>
                <c:pt idx="77" formatCode="#,##0_);[Red]\(#,##0\)">
                  <c:v>0</c:v>
                </c:pt>
                <c:pt idx="78" formatCode="#,##0_);[Red]\(#,##0\)">
                  <c:v>0</c:v>
                </c:pt>
                <c:pt idx="79" formatCode="#,##0_);[Red]\(#,##0\)">
                  <c:v>0</c:v>
                </c:pt>
                <c:pt idx="80" formatCode="#,##0_);[Red]\(#,##0\)">
                  <c:v>0</c:v>
                </c:pt>
                <c:pt idx="81" formatCode="#,##0_);[Red]\(#,##0\)">
                  <c:v>0</c:v>
                </c:pt>
                <c:pt idx="82" formatCode="#,##0_);[Red]\(#,##0\)">
                  <c:v>0</c:v>
                </c:pt>
                <c:pt idx="83" formatCode="#,##0_);[Red]\(#,##0\)">
                  <c:v>0</c:v>
                </c:pt>
                <c:pt idx="84" formatCode="#,##0_);[Red]\(#,##0\)">
                  <c:v>0</c:v>
                </c:pt>
                <c:pt idx="85" formatCode="#,##0_);[Red]\(#,##0\)">
                  <c:v>0</c:v>
                </c:pt>
                <c:pt idx="86" formatCode="#,##0_);[Red]\(#,##0\)">
                  <c:v>0</c:v>
                </c:pt>
                <c:pt idx="87" formatCode="#,##0_);[Red]\(#,##0\)">
                  <c:v>0</c:v>
                </c:pt>
                <c:pt idx="88" formatCode="#,##0_);[Red]\(#,##0\)">
                  <c:v>0</c:v>
                </c:pt>
                <c:pt idx="89" formatCode="#,##0_);[Red]\(#,##0\)">
                  <c:v>0</c:v>
                </c:pt>
                <c:pt idx="90" formatCode="#,##0_);[Red]\(#,##0\)">
                  <c:v>0</c:v>
                </c:pt>
                <c:pt idx="91" formatCode="#,##0_);[Red]\(#,##0\)">
                  <c:v>0</c:v>
                </c:pt>
                <c:pt idx="92" formatCode="#,##0_);[Red]\(#,##0\)">
                  <c:v>0</c:v>
                </c:pt>
                <c:pt idx="93" formatCode="#,##0_);[Red]\(#,##0\)">
                  <c:v>0</c:v>
                </c:pt>
                <c:pt idx="94" formatCode="#,##0_);[Red]\(#,##0\)">
                  <c:v>0</c:v>
                </c:pt>
                <c:pt idx="95" formatCode="#,##0_);[Red]\(#,##0\)">
                  <c:v>0</c:v>
                </c:pt>
                <c:pt idx="96" formatCode="#,##0_);[Red]\(#,##0\)">
                  <c:v>0</c:v>
                </c:pt>
                <c:pt idx="97" formatCode="#,##0_);[Red]\(#,##0\)">
                  <c:v>0</c:v>
                </c:pt>
                <c:pt idx="98" formatCode="#,##0_);[Red]\(#,##0\)">
                  <c:v>0</c:v>
                </c:pt>
                <c:pt idx="99" formatCode="#,##0_);[Red]\(#,##0\)">
                  <c:v>0</c:v>
                </c:pt>
                <c:pt idx="100" formatCode="#,##0_);[Red]\(#,##0\)">
                  <c:v>0</c:v>
                </c:pt>
                <c:pt idx="101" formatCode="#,##0_);[Red]\(#,##0\)">
                  <c:v>0</c:v>
                </c:pt>
                <c:pt idx="102" formatCode="#,##0_);[Red]\(#,##0\)">
                  <c:v>0</c:v>
                </c:pt>
                <c:pt idx="103" formatCode="#,##0_);[Red]\(#,##0\)">
                  <c:v>0</c:v>
                </c:pt>
                <c:pt idx="104" formatCode="#,##0_);[Red]\(#,##0\)">
                  <c:v>0</c:v>
                </c:pt>
                <c:pt idx="105" formatCode="#,##0_);[Red]\(#,##0\)">
                  <c:v>0</c:v>
                </c:pt>
                <c:pt idx="106" formatCode="#,##0_);[Red]\(#,##0\)">
                  <c:v>0</c:v>
                </c:pt>
                <c:pt idx="107" formatCode="#,##0_);[Red]\(#,##0\)">
                  <c:v>0</c:v>
                </c:pt>
                <c:pt idx="108" formatCode="#,##0_);[Red]\(#,##0\)">
                  <c:v>0</c:v>
                </c:pt>
                <c:pt idx="109" formatCode="#,##0_);[Red]\(#,##0\)">
                  <c:v>0</c:v>
                </c:pt>
                <c:pt idx="110" formatCode="#,##0_);[Red]\(#,##0\)">
                  <c:v>0</c:v>
                </c:pt>
                <c:pt idx="111" formatCode="#,##0_);[Red]\(#,##0\)">
                  <c:v>0</c:v>
                </c:pt>
                <c:pt idx="112" formatCode="#,##0_);[Red]\(#,##0\)">
                  <c:v>0</c:v>
                </c:pt>
                <c:pt idx="113" formatCode="#,##0_);[Red]\(#,##0\)">
                  <c:v>0</c:v>
                </c:pt>
                <c:pt idx="114" formatCode="#,##0_);[Red]\(#,##0\)">
                  <c:v>0</c:v>
                </c:pt>
                <c:pt idx="115" formatCode="#,##0_);[Red]\(#,##0\)">
                  <c:v>0</c:v>
                </c:pt>
                <c:pt idx="116" formatCode="#,##0_);[Red]\(#,##0\)">
                  <c:v>0</c:v>
                </c:pt>
                <c:pt idx="117" formatCode="#,##0_);[Red]\(#,##0\)">
                  <c:v>0</c:v>
                </c:pt>
                <c:pt idx="118" formatCode="#,##0_);[Red]\(#,##0\)">
                  <c:v>0</c:v>
                </c:pt>
                <c:pt idx="119" formatCode="#,##0_);[Red]\(#,##0\)">
                  <c:v>0</c:v>
                </c:pt>
                <c:pt idx="120" formatCode="#,##0_);[Red]\(#,##0\)">
                  <c:v>0</c:v>
                </c:pt>
                <c:pt idx="121" formatCode="#,##0_);[Red]\(#,##0\)">
                  <c:v>0</c:v>
                </c:pt>
                <c:pt idx="122" formatCode="#,##0_);[Red]\(#,##0\)">
                  <c:v>0</c:v>
                </c:pt>
                <c:pt idx="123" formatCode="#,##0_);[Red]\(#,##0\)">
                  <c:v>0</c:v>
                </c:pt>
                <c:pt idx="124" formatCode="#,##0_);[Red]\(#,##0\)">
                  <c:v>0</c:v>
                </c:pt>
                <c:pt idx="125" formatCode="#,##0_);[Red]\(#,##0\)">
                  <c:v>0</c:v>
                </c:pt>
                <c:pt idx="126" formatCode="#,##0_);[Red]\(#,##0\)">
                  <c:v>0</c:v>
                </c:pt>
                <c:pt idx="127" formatCode="#,##0_);[Red]\(#,##0\)">
                  <c:v>0</c:v>
                </c:pt>
                <c:pt idx="128" formatCode="#,##0_);[Red]\(#,##0\)">
                  <c:v>0</c:v>
                </c:pt>
                <c:pt idx="129" formatCode="#,##0_);[Red]\(#,##0\)">
                  <c:v>0</c:v>
                </c:pt>
                <c:pt idx="130" formatCode="#,##0_);[Red]\(#,##0\)">
                  <c:v>0</c:v>
                </c:pt>
                <c:pt idx="131" formatCode="#,##0_);[Red]\(#,##0\)">
                  <c:v>0</c:v>
                </c:pt>
                <c:pt idx="132" formatCode="#,##0_);[Red]\(#,##0\)">
                  <c:v>0</c:v>
                </c:pt>
                <c:pt idx="133" formatCode="#,##0_);[Red]\(#,##0\)">
                  <c:v>0</c:v>
                </c:pt>
                <c:pt idx="134" formatCode="#,##0_);[Red]\(#,##0\)">
                  <c:v>0</c:v>
                </c:pt>
                <c:pt idx="135" formatCode="#,##0_);[Red]\(#,##0\)">
                  <c:v>0</c:v>
                </c:pt>
                <c:pt idx="136" formatCode="#,##0_);[Red]\(#,##0\)">
                  <c:v>0</c:v>
                </c:pt>
                <c:pt idx="137" formatCode="#,##0_);[Red]\(#,##0\)">
                  <c:v>0</c:v>
                </c:pt>
                <c:pt idx="138" formatCode="#,##0_);[Red]\(#,##0\)">
                  <c:v>0</c:v>
                </c:pt>
                <c:pt idx="139" formatCode="#,##0_);[Red]\(#,##0\)">
                  <c:v>0</c:v>
                </c:pt>
                <c:pt idx="140" formatCode="#,##0_);[Red]\(#,##0\)">
                  <c:v>0</c:v>
                </c:pt>
                <c:pt idx="141" formatCode="#,##0_);[Red]\(#,##0\)">
                  <c:v>0</c:v>
                </c:pt>
                <c:pt idx="142" formatCode="#,##0_);[Red]\(#,##0\)">
                  <c:v>0</c:v>
                </c:pt>
                <c:pt idx="143" formatCode="#,##0_);[Red]\(#,##0\)">
                  <c:v>0</c:v>
                </c:pt>
                <c:pt idx="144" formatCode="#,##0_);[Red]\(#,##0\)">
                  <c:v>0</c:v>
                </c:pt>
                <c:pt idx="145" formatCode="#,##0_);[Red]\(#,##0\)">
                  <c:v>0</c:v>
                </c:pt>
                <c:pt idx="146" formatCode="#,##0_);[Red]\(#,##0\)">
                  <c:v>0</c:v>
                </c:pt>
                <c:pt idx="147" formatCode="#,##0_);[Red]\(#,##0\)">
                  <c:v>0</c:v>
                </c:pt>
                <c:pt idx="148" formatCode="#,##0_);[Red]\(#,##0\)">
                  <c:v>0</c:v>
                </c:pt>
                <c:pt idx="149" formatCode="#,##0_);[Red]\(#,##0\)">
                  <c:v>0</c:v>
                </c:pt>
                <c:pt idx="150" formatCode="#,##0_);[Red]\(#,##0\)">
                  <c:v>0</c:v>
                </c:pt>
                <c:pt idx="151" formatCode="#,##0_);[Red]\(#,##0\)">
                  <c:v>0</c:v>
                </c:pt>
                <c:pt idx="152" formatCode="#,##0_);[Red]\(#,##0\)">
                  <c:v>0</c:v>
                </c:pt>
                <c:pt idx="153" formatCode="#,##0_);[Red]\(#,##0\)">
                  <c:v>0</c:v>
                </c:pt>
                <c:pt idx="154" formatCode="#,##0_);[Red]\(#,##0\)">
                  <c:v>0</c:v>
                </c:pt>
                <c:pt idx="155" formatCode="#,##0_);[Red]\(#,##0\)">
                  <c:v>0</c:v>
                </c:pt>
                <c:pt idx="156" formatCode="#,##0_);[Red]\(#,##0\)">
                  <c:v>0</c:v>
                </c:pt>
                <c:pt idx="157" formatCode="#,##0_);[Red]\(#,##0\)">
                  <c:v>0</c:v>
                </c:pt>
                <c:pt idx="158" formatCode="#,##0_);[Red]\(#,##0\)">
                  <c:v>0</c:v>
                </c:pt>
                <c:pt idx="159" formatCode="#,##0_);[Red]\(#,##0\)">
                  <c:v>0</c:v>
                </c:pt>
                <c:pt idx="160" formatCode="#,##0_);[Red]\(#,##0\)">
                  <c:v>0</c:v>
                </c:pt>
                <c:pt idx="161" formatCode="#,##0_);[Red]\(#,##0\)">
                  <c:v>0</c:v>
                </c:pt>
                <c:pt idx="162" formatCode="#,##0_);[Red]\(#,##0\)">
                  <c:v>0</c:v>
                </c:pt>
                <c:pt idx="163" formatCode="#,##0_);[Red]\(#,##0\)">
                  <c:v>0</c:v>
                </c:pt>
                <c:pt idx="164" formatCode="#,##0_);[Red]\(#,##0\)">
                  <c:v>0</c:v>
                </c:pt>
                <c:pt idx="165" formatCode="#,##0_);[Red]\(#,##0\)">
                  <c:v>0</c:v>
                </c:pt>
                <c:pt idx="166" formatCode="#,##0_);[Red]\(#,##0\)">
                  <c:v>0</c:v>
                </c:pt>
                <c:pt idx="167" formatCode="#,##0_);[Red]\(#,##0\)">
                  <c:v>0</c:v>
                </c:pt>
                <c:pt idx="168" formatCode="#,##0_);[Red]\(#,##0\)">
                  <c:v>0</c:v>
                </c:pt>
                <c:pt idx="169" formatCode="#,##0_);[Red]\(#,##0\)">
                  <c:v>0</c:v>
                </c:pt>
                <c:pt idx="170" formatCode="#,##0_);[Red]\(#,##0\)">
                  <c:v>0</c:v>
                </c:pt>
                <c:pt idx="171" formatCode="#,##0_);[Red]\(#,##0\)">
                  <c:v>0</c:v>
                </c:pt>
                <c:pt idx="172" formatCode="#,##0_);[Red]\(#,##0\)">
                  <c:v>0</c:v>
                </c:pt>
                <c:pt idx="173" formatCode="#,##0_);[Red]\(#,##0\)">
                  <c:v>0</c:v>
                </c:pt>
                <c:pt idx="174" formatCode="#,##0_);[Red]\(#,##0\)">
                  <c:v>0</c:v>
                </c:pt>
                <c:pt idx="175" formatCode="#,##0_);[Red]\(#,##0\)">
                  <c:v>0</c:v>
                </c:pt>
                <c:pt idx="176" formatCode="#,##0_);[Red]\(#,##0\)">
                  <c:v>0</c:v>
                </c:pt>
                <c:pt idx="177" formatCode="#,##0_);[Red]\(#,##0\)">
                  <c:v>0</c:v>
                </c:pt>
                <c:pt idx="178" formatCode="#,##0_);[Red]\(#,##0\)">
                  <c:v>0</c:v>
                </c:pt>
                <c:pt idx="179" formatCode="#,##0_);[Red]\(#,##0\)">
                  <c:v>0</c:v>
                </c:pt>
                <c:pt idx="180" formatCode="#,##0_);[Red]\(#,##0\)">
                  <c:v>0</c:v>
                </c:pt>
                <c:pt idx="181" formatCode="#,##0_);[Red]\(#,##0\)">
                  <c:v>0</c:v>
                </c:pt>
                <c:pt idx="182" formatCode="#,##0_);[Red]\(#,##0\)">
                  <c:v>0</c:v>
                </c:pt>
                <c:pt idx="183" formatCode="#,##0_);[Red]\(#,##0\)">
                  <c:v>0</c:v>
                </c:pt>
                <c:pt idx="184" formatCode="#,##0_);[Red]\(#,##0\)">
                  <c:v>0</c:v>
                </c:pt>
                <c:pt idx="185" formatCode="#,##0_);[Red]\(#,##0\)">
                  <c:v>0</c:v>
                </c:pt>
                <c:pt idx="186" formatCode="#,##0_);[Red]\(#,##0\)">
                  <c:v>0</c:v>
                </c:pt>
                <c:pt idx="187" formatCode="#,##0_);[Red]\(#,##0\)">
                  <c:v>0</c:v>
                </c:pt>
                <c:pt idx="188" formatCode="#,##0_);[Red]\(#,##0\)">
                  <c:v>0</c:v>
                </c:pt>
                <c:pt idx="189" formatCode="#,##0_);[Red]\(#,##0\)">
                  <c:v>0</c:v>
                </c:pt>
                <c:pt idx="190" formatCode="#,##0_);[Red]\(#,##0\)">
                  <c:v>0</c:v>
                </c:pt>
                <c:pt idx="191" formatCode="#,##0_);[Red]\(#,##0\)">
                  <c:v>0</c:v>
                </c:pt>
                <c:pt idx="192" formatCode="#,##0_);[Red]\(#,##0\)">
                  <c:v>0</c:v>
                </c:pt>
                <c:pt idx="193" formatCode="#,##0_);[Red]\(#,##0\)">
                  <c:v>0</c:v>
                </c:pt>
                <c:pt idx="194" formatCode="#,##0_);[Red]\(#,##0\)">
                  <c:v>0</c:v>
                </c:pt>
                <c:pt idx="195" formatCode="#,##0_);[Red]\(#,##0\)">
                  <c:v>0</c:v>
                </c:pt>
                <c:pt idx="196" formatCode="#,##0_);[Red]\(#,##0\)">
                  <c:v>0</c:v>
                </c:pt>
                <c:pt idx="197" formatCode="#,##0_);[Red]\(#,##0\)">
                  <c:v>0</c:v>
                </c:pt>
                <c:pt idx="198" formatCode="#,##0_);[Red]\(#,##0\)">
                  <c:v>0</c:v>
                </c:pt>
                <c:pt idx="199" formatCode="#,##0_);[Red]\(#,##0\)">
                  <c:v>0</c:v>
                </c:pt>
                <c:pt idx="200" formatCode="#,##0_);[Red]\(#,##0\)">
                  <c:v>0</c:v>
                </c:pt>
                <c:pt idx="201" formatCode="#,##0_);[Red]\(#,##0\)">
                  <c:v>0</c:v>
                </c:pt>
                <c:pt idx="202" formatCode="#,##0_);[Red]\(#,##0\)">
                  <c:v>0</c:v>
                </c:pt>
                <c:pt idx="203" formatCode="#,##0_);[Red]\(#,##0\)">
                  <c:v>0</c:v>
                </c:pt>
                <c:pt idx="204" formatCode="#,##0_);[Red]\(#,##0\)">
                  <c:v>0</c:v>
                </c:pt>
                <c:pt idx="205" formatCode="#,##0_);[Red]\(#,##0\)">
                  <c:v>0</c:v>
                </c:pt>
                <c:pt idx="206" formatCode="#,##0_);[Red]\(#,##0\)">
                  <c:v>0</c:v>
                </c:pt>
                <c:pt idx="207" formatCode="#,##0_);[Red]\(#,##0\)">
                  <c:v>0</c:v>
                </c:pt>
                <c:pt idx="208" formatCode="#,##0_);[Red]\(#,##0\)">
                  <c:v>0</c:v>
                </c:pt>
                <c:pt idx="209" formatCode="#,##0_);[Red]\(#,##0\)">
                  <c:v>0</c:v>
                </c:pt>
                <c:pt idx="210" formatCode="#,##0_);[Red]\(#,##0\)">
                  <c:v>0</c:v>
                </c:pt>
                <c:pt idx="211" formatCode="#,##0_);[Red]\(#,##0\)">
                  <c:v>0</c:v>
                </c:pt>
                <c:pt idx="212" formatCode="#,##0_);[Red]\(#,##0\)">
                  <c:v>0</c:v>
                </c:pt>
                <c:pt idx="213" formatCode="#,##0_);[Red]\(#,##0\)">
                  <c:v>0</c:v>
                </c:pt>
                <c:pt idx="214" formatCode="#,##0_);[Red]\(#,##0\)">
                  <c:v>0</c:v>
                </c:pt>
                <c:pt idx="215" formatCode="#,##0_);[Red]\(#,##0\)">
                  <c:v>0</c:v>
                </c:pt>
                <c:pt idx="216" formatCode="#,##0_);[Red]\(#,##0\)">
                  <c:v>0</c:v>
                </c:pt>
                <c:pt idx="217" formatCode="#,##0_);[Red]\(#,##0\)">
                  <c:v>0</c:v>
                </c:pt>
                <c:pt idx="218" formatCode="#,##0_);[Red]\(#,##0\)">
                  <c:v>0</c:v>
                </c:pt>
                <c:pt idx="219" formatCode="#,##0_);[Red]\(#,##0\)">
                  <c:v>0</c:v>
                </c:pt>
                <c:pt idx="220" formatCode="#,##0_);[Red]\(#,##0\)">
                  <c:v>0</c:v>
                </c:pt>
                <c:pt idx="221" formatCode="#,##0_);[Red]\(#,##0\)">
                  <c:v>0</c:v>
                </c:pt>
                <c:pt idx="222" formatCode="#,##0_);[Red]\(#,##0\)">
                  <c:v>0</c:v>
                </c:pt>
                <c:pt idx="223" formatCode="#,##0_);[Red]\(#,##0\)">
                  <c:v>0</c:v>
                </c:pt>
                <c:pt idx="224" formatCode="#,##0_);[Red]\(#,##0\)">
                  <c:v>0</c:v>
                </c:pt>
                <c:pt idx="225" formatCode="#,##0_);[Red]\(#,##0\)">
                  <c:v>0</c:v>
                </c:pt>
                <c:pt idx="226" formatCode="#,##0_);[Red]\(#,##0\)">
                  <c:v>0</c:v>
                </c:pt>
                <c:pt idx="227" formatCode="#,##0_);[Red]\(#,##0\)">
                  <c:v>0</c:v>
                </c:pt>
                <c:pt idx="228" formatCode="#,##0_);[Red]\(#,##0\)">
                  <c:v>0</c:v>
                </c:pt>
                <c:pt idx="229" formatCode="#,##0_);[Red]\(#,##0\)">
                  <c:v>0</c:v>
                </c:pt>
                <c:pt idx="230" formatCode="#,##0_);[Red]\(#,##0\)">
                  <c:v>0</c:v>
                </c:pt>
                <c:pt idx="231" formatCode="#,##0_);[Red]\(#,##0\)">
                  <c:v>0</c:v>
                </c:pt>
                <c:pt idx="232" formatCode="#,##0_);[Red]\(#,##0\)">
                  <c:v>0</c:v>
                </c:pt>
                <c:pt idx="233" formatCode="#,##0_);[Red]\(#,##0\)">
                  <c:v>0</c:v>
                </c:pt>
                <c:pt idx="234" formatCode="#,##0_);[Red]\(#,##0\)">
                  <c:v>0</c:v>
                </c:pt>
                <c:pt idx="235" formatCode="#,##0_);[Red]\(#,##0\)">
                  <c:v>0</c:v>
                </c:pt>
                <c:pt idx="236" formatCode="#,##0_);[Red]\(#,##0\)">
                  <c:v>0</c:v>
                </c:pt>
                <c:pt idx="237" formatCode="#,##0_);[Red]\(#,##0\)">
                  <c:v>0</c:v>
                </c:pt>
                <c:pt idx="238" formatCode="#,##0_);[Red]\(#,##0\)">
                  <c:v>0</c:v>
                </c:pt>
                <c:pt idx="239" formatCode="#,##0_);[Red]\(#,##0\)">
                  <c:v>0</c:v>
                </c:pt>
                <c:pt idx="240" formatCode="#,##0_);[Red]\(#,##0\)">
                  <c:v>0</c:v>
                </c:pt>
                <c:pt idx="241" formatCode="#,##0_);[Red]\(#,##0\)">
                  <c:v>0</c:v>
                </c:pt>
                <c:pt idx="242" formatCode="#,##0_);[Red]\(#,##0\)">
                  <c:v>0</c:v>
                </c:pt>
                <c:pt idx="243" formatCode="#,##0_);[Red]\(#,##0\)">
                  <c:v>0</c:v>
                </c:pt>
                <c:pt idx="244" formatCode="#,##0_);[Red]\(#,##0\)">
                  <c:v>0</c:v>
                </c:pt>
                <c:pt idx="245" formatCode="#,##0_);[Red]\(#,##0\)">
                  <c:v>0</c:v>
                </c:pt>
                <c:pt idx="246" formatCode="#,##0_);[Red]\(#,##0\)">
                  <c:v>0</c:v>
                </c:pt>
                <c:pt idx="247" formatCode="#,##0_);[Red]\(#,##0\)">
                  <c:v>0</c:v>
                </c:pt>
                <c:pt idx="248" formatCode="#,##0_);[Red]\(#,##0\)">
                  <c:v>0</c:v>
                </c:pt>
                <c:pt idx="249" formatCode="#,##0_);[Red]\(#,##0\)">
                  <c:v>0</c:v>
                </c:pt>
                <c:pt idx="250" formatCode="#,##0_);[Red]\(#,##0\)">
                  <c:v>0</c:v>
                </c:pt>
                <c:pt idx="251" formatCode="#,##0_);[Red]\(#,##0\)">
                  <c:v>0</c:v>
                </c:pt>
                <c:pt idx="252" formatCode="#,##0_);[Red]\(#,##0\)">
                  <c:v>0</c:v>
                </c:pt>
                <c:pt idx="253" formatCode="#,##0_);[Red]\(#,##0\)">
                  <c:v>0</c:v>
                </c:pt>
                <c:pt idx="254" formatCode="#,##0_);[Red]\(#,##0\)">
                  <c:v>0</c:v>
                </c:pt>
                <c:pt idx="255" formatCode="#,##0_);[Red]\(#,##0\)">
                  <c:v>0</c:v>
                </c:pt>
                <c:pt idx="256" formatCode="#,##0_);[Red]\(#,##0\)">
                  <c:v>0</c:v>
                </c:pt>
                <c:pt idx="257" formatCode="#,##0_);[Red]\(#,##0\)">
                  <c:v>0</c:v>
                </c:pt>
                <c:pt idx="258" formatCode="#,##0_);[Red]\(#,##0\)">
                  <c:v>0</c:v>
                </c:pt>
                <c:pt idx="259" formatCode="#,##0_);[Red]\(#,##0\)">
                  <c:v>0</c:v>
                </c:pt>
                <c:pt idx="260" formatCode="#,##0_);[Red]\(#,##0\)">
                  <c:v>0</c:v>
                </c:pt>
                <c:pt idx="261" formatCode="#,##0_);[Red]\(#,##0\)">
                  <c:v>0</c:v>
                </c:pt>
                <c:pt idx="262" formatCode="#,##0_);[Red]\(#,##0\)">
                  <c:v>0</c:v>
                </c:pt>
                <c:pt idx="263" formatCode="#,##0_);[Red]\(#,##0\)">
                  <c:v>0</c:v>
                </c:pt>
                <c:pt idx="264" formatCode="#,##0_);[Red]\(#,##0\)">
                  <c:v>0</c:v>
                </c:pt>
                <c:pt idx="265" formatCode="#,##0_);[Red]\(#,##0\)">
                  <c:v>0</c:v>
                </c:pt>
                <c:pt idx="266" formatCode="#,##0_);[Red]\(#,##0\)">
                  <c:v>0</c:v>
                </c:pt>
                <c:pt idx="267" formatCode="#,##0_);[Red]\(#,##0\)">
                  <c:v>0</c:v>
                </c:pt>
                <c:pt idx="268" formatCode="#,##0_);[Red]\(#,##0\)">
                  <c:v>0</c:v>
                </c:pt>
                <c:pt idx="269" formatCode="#,##0_);[Red]\(#,##0\)">
                  <c:v>0</c:v>
                </c:pt>
                <c:pt idx="270" formatCode="#,##0_);[Red]\(#,##0\)">
                  <c:v>0</c:v>
                </c:pt>
                <c:pt idx="271" formatCode="#,##0_);[Red]\(#,##0\)">
                  <c:v>0</c:v>
                </c:pt>
                <c:pt idx="272" formatCode="#,##0_);[Red]\(#,##0\)">
                  <c:v>0</c:v>
                </c:pt>
                <c:pt idx="273" formatCode="#,##0_);[Red]\(#,##0\)">
                  <c:v>0</c:v>
                </c:pt>
                <c:pt idx="274" formatCode="#,##0_);[Red]\(#,##0\)">
                  <c:v>0</c:v>
                </c:pt>
                <c:pt idx="275" formatCode="#,##0_);[Red]\(#,##0\)">
                  <c:v>0</c:v>
                </c:pt>
                <c:pt idx="276" formatCode="#,##0_);[Red]\(#,##0\)">
                  <c:v>0</c:v>
                </c:pt>
                <c:pt idx="277" formatCode="#,##0_);[Red]\(#,##0\)">
                  <c:v>0</c:v>
                </c:pt>
                <c:pt idx="278" formatCode="#,##0_);[Red]\(#,##0\)">
                  <c:v>0</c:v>
                </c:pt>
                <c:pt idx="279" formatCode="#,##0_);[Red]\(#,##0\)">
                  <c:v>0</c:v>
                </c:pt>
                <c:pt idx="280" formatCode="#,##0_);[Red]\(#,##0\)">
                  <c:v>0</c:v>
                </c:pt>
                <c:pt idx="281" formatCode="#,##0_);[Red]\(#,##0\)">
                  <c:v>0</c:v>
                </c:pt>
                <c:pt idx="282" formatCode="#,##0_);[Red]\(#,##0\)">
                  <c:v>0</c:v>
                </c:pt>
                <c:pt idx="283" formatCode="#,##0_);[Red]\(#,##0\)">
                  <c:v>0</c:v>
                </c:pt>
                <c:pt idx="284" formatCode="#,##0_);[Red]\(#,##0\)">
                  <c:v>0</c:v>
                </c:pt>
                <c:pt idx="285" formatCode="#,##0_);[Red]\(#,##0\)">
                  <c:v>0</c:v>
                </c:pt>
                <c:pt idx="286" formatCode="#,##0_);[Red]\(#,##0\)">
                  <c:v>0</c:v>
                </c:pt>
                <c:pt idx="287" formatCode="#,##0_);[Red]\(#,##0\)">
                  <c:v>0</c:v>
                </c:pt>
                <c:pt idx="288" formatCode="#,##0_);[Red]\(#,##0\)">
                  <c:v>0</c:v>
                </c:pt>
                <c:pt idx="289" formatCode="#,##0_);[Red]\(#,##0\)">
                  <c:v>0</c:v>
                </c:pt>
                <c:pt idx="290" formatCode="#,##0_);[Red]\(#,##0\)">
                  <c:v>0</c:v>
                </c:pt>
                <c:pt idx="291" formatCode="#,##0_);[Red]\(#,##0\)">
                  <c:v>0</c:v>
                </c:pt>
                <c:pt idx="292" formatCode="#,##0_);[Red]\(#,##0\)">
                  <c:v>0</c:v>
                </c:pt>
                <c:pt idx="293" formatCode="#,##0_);[Red]\(#,##0\)">
                  <c:v>0</c:v>
                </c:pt>
                <c:pt idx="294" formatCode="#,##0_);[Red]\(#,##0\)">
                  <c:v>0</c:v>
                </c:pt>
                <c:pt idx="295" formatCode="#,##0_);[Red]\(#,##0\)">
                  <c:v>0</c:v>
                </c:pt>
                <c:pt idx="296" formatCode="#,##0_);[Red]\(#,##0\)">
                  <c:v>0</c:v>
                </c:pt>
                <c:pt idx="297" formatCode="#,##0_);[Red]\(#,##0\)">
                  <c:v>0</c:v>
                </c:pt>
                <c:pt idx="298" formatCode="#,##0_);[Red]\(#,##0\)">
                  <c:v>0</c:v>
                </c:pt>
                <c:pt idx="299" formatCode="#,##0_);[Red]\(#,##0\)">
                  <c:v>0</c:v>
                </c:pt>
                <c:pt idx="300" formatCode="#,##0_);[Red]\(#,##0\)">
                  <c:v>0</c:v>
                </c:pt>
                <c:pt idx="301" formatCode="#,##0_);[Red]\(#,##0\)">
                  <c:v>0</c:v>
                </c:pt>
                <c:pt idx="302" formatCode="#,##0_);[Red]\(#,##0\)">
                  <c:v>0</c:v>
                </c:pt>
                <c:pt idx="303" formatCode="#,##0_);[Red]\(#,##0\)">
                  <c:v>0</c:v>
                </c:pt>
                <c:pt idx="304" formatCode="#,##0_);[Red]\(#,##0\)">
                  <c:v>0</c:v>
                </c:pt>
                <c:pt idx="305" formatCode="#,##0_);[Red]\(#,##0\)">
                  <c:v>0</c:v>
                </c:pt>
                <c:pt idx="306" formatCode="#,##0_);[Red]\(#,##0\)">
                  <c:v>0</c:v>
                </c:pt>
                <c:pt idx="307" formatCode="#,##0_);[Red]\(#,##0\)">
                  <c:v>0</c:v>
                </c:pt>
                <c:pt idx="308" formatCode="#,##0_);[Red]\(#,##0\)">
                  <c:v>0</c:v>
                </c:pt>
                <c:pt idx="309" formatCode="#,##0_);[Red]\(#,##0\)">
                  <c:v>0</c:v>
                </c:pt>
                <c:pt idx="310" formatCode="#,##0_);[Red]\(#,##0\)">
                  <c:v>0</c:v>
                </c:pt>
                <c:pt idx="311" formatCode="#,##0_);[Red]\(#,##0\)">
                  <c:v>0</c:v>
                </c:pt>
                <c:pt idx="312" formatCode="#,##0_);[Red]\(#,##0\)">
                  <c:v>0</c:v>
                </c:pt>
                <c:pt idx="313" formatCode="#,##0_);[Red]\(#,##0\)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1E-4619-AFC8-120131C0C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461688"/>
        <c:axId val="212459728"/>
      </c:lineChart>
      <c:lineChart>
        <c:grouping val="standard"/>
        <c:varyColors val="0"/>
        <c:ser>
          <c:idx val="1"/>
          <c:order val="1"/>
          <c:tx>
            <c:strRef>
              <c:f>SourceData!$F$1</c:f>
              <c:strCache>
                <c:ptCount val="1"/>
                <c:pt idx="0">
                  <c:v>Avg. Coverage</c:v>
                </c:pt>
              </c:strCache>
            </c:strRef>
          </c:tx>
          <c:spPr>
            <a:ln w="254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[0]!X_Range</c:f>
              <c:numCache>
                <c:formatCode>dd/mm/yyyy;@</c:formatCode>
                <c:ptCount val="314"/>
                <c:pt idx="0">
                  <c:v>40268</c:v>
                </c:pt>
                <c:pt idx="1">
                  <c:v>40267</c:v>
                </c:pt>
                <c:pt idx="2">
                  <c:v>40266</c:v>
                </c:pt>
                <c:pt idx="3">
                  <c:v>40263</c:v>
                </c:pt>
                <c:pt idx="4">
                  <c:v>40262</c:v>
                </c:pt>
                <c:pt idx="5">
                  <c:v>40261</c:v>
                </c:pt>
                <c:pt idx="6">
                  <c:v>40260</c:v>
                </c:pt>
                <c:pt idx="7">
                  <c:v>40259</c:v>
                </c:pt>
                <c:pt idx="8">
                  <c:v>40256</c:v>
                </c:pt>
                <c:pt idx="9">
                  <c:v>40255</c:v>
                </c:pt>
                <c:pt idx="10">
                  <c:v>40254</c:v>
                </c:pt>
                <c:pt idx="11">
                  <c:v>40253</c:v>
                </c:pt>
                <c:pt idx="12">
                  <c:v>40252</c:v>
                </c:pt>
                <c:pt idx="13">
                  <c:v>40249</c:v>
                </c:pt>
                <c:pt idx="14">
                  <c:v>40248</c:v>
                </c:pt>
                <c:pt idx="15">
                  <c:v>40247</c:v>
                </c:pt>
                <c:pt idx="16">
                  <c:v>40246</c:v>
                </c:pt>
                <c:pt idx="17">
                  <c:v>40245</c:v>
                </c:pt>
                <c:pt idx="18">
                  <c:v>40242</c:v>
                </c:pt>
                <c:pt idx="19">
                  <c:v>40241</c:v>
                </c:pt>
                <c:pt idx="20">
                  <c:v>40240</c:v>
                </c:pt>
                <c:pt idx="21">
                  <c:v>40239</c:v>
                </c:pt>
                <c:pt idx="22">
                  <c:v>40238</c:v>
                </c:pt>
                <c:pt idx="23">
                  <c:v>40235</c:v>
                </c:pt>
                <c:pt idx="24">
                  <c:v>40234</c:v>
                </c:pt>
                <c:pt idx="25">
                  <c:v>40233</c:v>
                </c:pt>
                <c:pt idx="26">
                  <c:v>40232</c:v>
                </c:pt>
                <c:pt idx="27">
                  <c:v>40231</c:v>
                </c:pt>
                <c:pt idx="28">
                  <c:v>40228</c:v>
                </c:pt>
                <c:pt idx="29">
                  <c:v>40227</c:v>
                </c:pt>
                <c:pt idx="30">
                  <c:v>40226</c:v>
                </c:pt>
                <c:pt idx="31">
                  <c:v>40225</c:v>
                </c:pt>
                <c:pt idx="32">
                  <c:v>40224</c:v>
                </c:pt>
                <c:pt idx="33">
                  <c:v>40221</c:v>
                </c:pt>
                <c:pt idx="34">
                  <c:v>40220</c:v>
                </c:pt>
                <c:pt idx="35">
                  <c:v>40219</c:v>
                </c:pt>
                <c:pt idx="36">
                  <c:v>40218</c:v>
                </c:pt>
                <c:pt idx="37">
                  <c:v>40217</c:v>
                </c:pt>
                <c:pt idx="38">
                  <c:v>40214</c:v>
                </c:pt>
                <c:pt idx="39">
                  <c:v>40213</c:v>
                </c:pt>
                <c:pt idx="40">
                  <c:v>43497</c:v>
                </c:pt>
                <c:pt idx="41">
                  <c:v>40211</c:v>
                </c:pt>
                <c:pt idx="42">
                  <c:v>40210</c:v>
                </c:pt>
                <c:pt idx="43">
                  <c:v>40207</c:v>
                </c:pt>
                <c:pt idx="44">
                  <c:v>40206</c:v>
                </c:pt>
                <c:pt idx="45">
                  <c:v>40205</c:v>
                </c:pt>
                <c:pt idx="46">
                  <c:v>40204</c:v>
                </c:pt>
                <c:pt idx="47">
                  <c:v>40203</c:v>
                </c:pt>
                <c:pt idx="48">
                  <c:v>40200</c:v>
                </c:pt>
                <c:pt idx="49">
                  <c:v>40199</c:v>
                </c:pt>
                <c:pt idx="50">
                  <c:v>40198</c:v>
                </c:pt>
                <c:pt idx="51">
                  <c:v>40197</c:v>
                </c:pt>
                <c:pt idx="52">
                  <c:v>40196</c:v>
                </c:pt>
                <c:pt idx="53">
                  <c:v>40193</c:v>
                </c:pt>
                <c:pt idx="54">
                  <c:v>40192</c:v>
                </c:pt>
                <c:pt idx="55">
                  <c:v>40191</c:v>
                </c:pt>
                <c:pt idx="56">
                  <c:v>40190</c:v>
                </c:pt>
                <c:pt idx="57">
                  <c:v>40189</c:v>
                </c:pt>
                <c:pt idx="58">
                  <c:v>40186</c:v>
                </c:pt>
                <c:pt idx="59">
                  <c:v>40185</c:v>
                </c:pt>
                <c:pt idx="60">
                  <c:v>40184</c:v>
                </c:pt>
                <c:pt idx="61">
                  <c:v>40183</c:v>
                </c:pt>
                <c:pt idx="62">
                  <c:v>40182</c:v>
                </c:pt>
                <c:pt idx="63">
                  <c:v>40177</c:v>
                </c:pt>
                <c:pt idx="64">
                  <c:v>40176</c:v>
                </c:pt>
                <c:pt idx="65">
                  <c:v>40175</c:v>
                </c:pt>
                <c:pt idx="66">
                  <c:v>40170</c:v>
                </c:pt>
                <c:pt idx="67">
                  <c:v>40169</c:v>
                </c:pt>
                <c:pt idx="68">
                  <c:v>40168</c:v>
                </c:pt>
                <c:pt idx="69">
                  <c:v>40165</c:v>
                </c:pt>
                <c:pt idx="70">
                  <c:v>40164</c:v>
                </c:pt>
                <c:pt idx="71">
                  <c:v>40163</c:v>
                </c:pt>
                <c:pt idx="72">
                  <c:v>40162</c:v>
                </c:pt>
                <c:pt idx="73">
                  <c:v>40161</c:v>
                </c:pt>
                <c:pt idx="74">
                  <c:v>40158</c:v>
                </c:pt>
                <c:pt idx="75">
                  <c:v>40157</c:v>
                </c:pt>
                <c:pt idx="76">
                  <c:v>40156</c:v>
                </c:pt>
                <c:pt idx="77">
                  <c:v>40155</c:v>
                </c:pt>
                <c:pt idx="78">
                  <c:v>40154</c:v>
                </c:pt>
                <c:pt idx="79">
                  <c:v>40151</c:v>
                </c:pt>
                <c:pt idx="80">
                  <c:v>40150</c:v>
                </c:pt>
                <c:pt idx="81">
                  <c:v>40149</c:v>
                </c:pt>
                <c:pt idx="82">
                  <c:v>40148</c:v>
                </c:pt>
                <c:pt idx="83">
                  <c:v>40147</c:v>
                </c:pt>
                <c:pt idx="84">
                  <c:v>40144</c:v>
                </c:pt>
                <c:pt idx="85">
                  <c:v>40143</c:v>
                </c:pt>
                <c:pt idx="86">
                  <c:v>40142</c:v>
                </c:pt>
                <c:pt idx="87">
                  <c:v>40141</c:v>
                </c:pt>
                <c:pt idx="88">
                  <c:v>40140</c:v>
                </c:pt>
                <c:pt idx="89">
                  <c:v>40137</c:v>
                </c:pt>
                <c:pt idx="90">
                  <c:v>40136</c:v>
                </c:pt>
                <c:pt idx="91">
                  <c:v>40135</c:v>
                </c:pt>
                <c:pt idx="92">
                  <c:v>40134</c:v>
                </c:pt>
                <c:pt idx="93">
                  <c:v>40133</c:v>
                </c:pt>
                <c:pt idx="94">
                  <c:v>40130</c:v>
                </c:pt>
                <c:pt idx="95">
                  <c:v>40129</c:v>
                </c:pt>
                <c:pt idx="96">
                  <c:v>40128</c:v>
                </c:pt>
                <c:pt idx="97">
                  <c:v>40127</c:v>
                </c:pt>
                <c:pt idx="98">
                  <c:v>40126</c:v>
                </c:pt>
                <c:pt idx="99">
                  <c:v>40123</c:v>
                </c:pt>
                <c:pt idx="100">
                  <c:v>40122</c:v>
                </c:pt>
                <c:pt idx="101">
                  <c:v>40121</c:v>
                </c:pt>
                <c:pt idx="102">
                  <c:v>40120</c:v>
                </c:pt>
                <c:pt idx="103">
                  <c:v>40119</c:v>
                </c:pt>
                <c:pt idx="104">
                  <c:v>40116</c:v>
                </c:pt>
                <c:pt idx="105">
                  <c:v>40115</c:v>
                </c:pt>
                <c:pt idx="106">
                  <c:v>40114</c:v>
                </c:pt>
                <c:pt idx="107">
                  <c:v>40113</c:v>
                </c:pt>
                <c:pt idx="108">
                  <c:v>40112</c:v>
                </c:pt>
                <c:pt idx="109">
                  <c:v>40109</c:v>
                </c:pt>
                <c:pt idx="110">
                  <c:v>40108</c:v>
                </c:pt>
                <c:pt idx="111">
                  <c:v>40107</c:v>
                </c:pt>
                <c:pt idx="112">
                  <c:v>40106</c:v>
                </c:pt>
                <c:pt idx="113">
                  <c:v>40105</c:v>
                </c:pt>
                <c:pt idx="114">
                  <c:v>40102</c:v>
                </c:pt>
                <c:pt idx="115">
                  <c:v>40101</c:v>
                </c:pt>
                <c:pt idx="116">
                  <c:v>40100</c:v>
                </c:pt>
                <c:pt idx="117">
                  <c:v>40099</c:v>
                </c:pt>
                <c:pt idx="118">
                  <c:v>40098</c:v>
                </c:pt>
                <c:pt idx="119">
                  <c:v>40095</c:v>
                </c:pt>
                <c:pt idx="120">
                  <c:v>40094</c:v>
                </c:pt>
                <c:pt idx="121">
                  <c:v>40093</c:v>
                </c:pt>
                <c:pt idx="122">
                  <c:v>40092</c:v>
                </c:pt>
                <c:pt idx="123">
                  <c:v>40091</c:v>
                </c:pt>
                <c:pt idx="124">
                  <c:v>40088</c:v>
                </c:pt>
                <c:pt idx="125">
                  <c:v>40087</c:v>
                </c:pt>
                <c:pt idx="126">
                  <c:v>40086</c:v>
                </c:pt>
                <c:pt idx="127">
                  <c:v>40085</c:v>
                </c:pt>
                <c:pt idx="128">
                  <c:v>40084</c:v>
                </c:pt>
                <c:pt idx="129">
                  <c:v>40081</c:v>
                </c:pt>
                <c:pt idx="130">
                  <c:v>40080</c:v>
                </c:pt>
                <c:pt idx="131">
                  <c:v>40079</c:v>
                </c:pt>
                <c:pt idx="132">
                  <c:v>40078</c:v>
                </c:pt>
                <c:pt idx="133">
                  <c:v>40077</c:v>
                </c:pt>
                <c:pt idx="134">
                  <c:v>40074</c:v>
                </c:pt>
                <c:pt idx="135">
                  <c:v>40073</c:v>
                </c:pt>
                <c:pt idx="136">
                  <c:v>40072</c:v>
                </c:pt>
                <c:pt idx="137">
                  <c:v>40071</c:v>
                </c:pt>
                <c:pt idx="138">
                  <c:v>40070</c:v>
                </c:pt>
                <c:pt idx="139">
                  <c:v>40067</c:v>
                </c:pt>
                <c:pt idx="140">
                  <c:v>40066</c:v>
                </c:pt>
                <c:pt idx="141">
                  <c:v>40065</c:v>
                </c:pt>
                <c:pt idx="142">
                  <c:v>40064</c:v>
                </c:pt>
                <c:pt idx="143">
                  <c:v>40063</c:v>
                </c:pt>
                <c:pt idx="144">
                  <c:v>40060</c:v>
                </c:pt>
                <c:pt idx="145">
                  <c:v>40059</c:v>
                </c:pt>
                <c:pt idx="146">
                  <c:v>40058</c:v>
                </c:pt>
                <c:pt idx="147">
                  <c:v>40057</c:v>
                </c:pt>
                <c:pt idx="148">
                  <c:v>40056</c:v>
                </c:pt>
                <c:pt idx="149">
                  <c:v>40053</c:v>
                </c:pt>
                <c:pt idx="150">
                  <c:v>40052</c:v>
                </c:pt>
                <c:pt idx="151">
                  <c:v>40051</c:v>
                </c:pt>
                <c:pt idx="152">
                  <c:v>40050</c:v>
                </c:pt>
                <c:pt idx="153">
                  <c:v>40049</c:v>
                </c:pt>
                <c:pt idx="154">
                  <c:v>40046</c:v>
                </c:pt>
                <c:pt idx="155">
                  <c:v>40045</c:v>
                </c:pt>
                <c:pt idx="156">
                  <c:v>40044</c:v>
                </c:pt>
                <c:pt idx="157">
                  <c:v>40043</c:v>
                </c:pt>
                <c:pt idx="158">
                  <c:v>40042</c:v>
                </c:pt>
                <c:pt idx="159">
                  <c:v>40039</c:v>
                </c:pt>
                <c:pt idx="160">
                  <c:v>40038</c:v>
                </c:pt>
                <c:pt idx="161">
                  <c:v>40037</c:v>
                </c:pt>
                <c:pt idx="162">
                  <c:v>40036</c:v>
                </c:pt>
                <c:pt idx="163">
                  <c:v>40035</c:v>
                </c:pt>
                <c:pt idx="164">
                  <c:v>40032</c:v>
                </c:pt>
                <c:pt idx="165">
                  <c:v>40031</c:v>
                </c:pt>
                <c:pt idx="166">
                  <c:v>40030</c:v>
                </c:pt>
                <c:pt idx="167">
                  <c:v>40029</c:v>
                </c:pt>
                <c:pt idx="168">
                  <c:v>40028</c:v>
                </c:pt>
                <c:pt idx="169">
                  <c:v>40025</c:v>
                </c:pt>
                <c:pt idx="170">
                  <c:v>40024</c:v>
                </c:pt>
                <c:pt idx="171">
                  <c:v>40023</c:v>
                </c:pt>
                <c:pt idx="172">
                  <c:v>40022</c:v>
                </c:pt>
                <c:pt idx="173">
                  <c:v>40021</c:v>
                </c:pt>
                <c:pt idx="174">
                  <c:v>40018</c:v>
                </c:pt>
                <c:pt idx="175">
                  <c:v>40017</c:v>
                </c:pt>
                <c:pt idx="176">
                  <c:v>40016</c:v>
                </c:pt>
                <c:pt idx="177">
                  <c:v>40015</c:v>
                </c:pt>
                <c:pt idx="178">
                  <c:v>40014</c:v>
                </c:pt>
                <c:pt idx="179">
                  <c:v>40011</c:v>
                </c:pt>
                <c:pt idx="180">
                  <c:v>40010</c:v>
                </c:pt>
                <c:pt idx="181">
                  <c:v>40009</c:v>
                </c:pt>
                <c:pt idx="182">
                  <c:v>40008</c:v>
                </c:pt>
                <c:pt idx="183">
                  <c:v>40007</c:v>
                </c:pt>
                <c:pt idx="184">
                  <c:v>40004</c:v>
                </c:pt>
                <c:pt idx="185">
                  <c:v>40003</c:v>
                </c:pt>
                <c:pt idx="186">
                  <c:v>40002</c:v>
                </c:pt>
                <c:pt idx="187">
                  <c:v>40001</c:v>
                </c:pt>
                <c:pt idx="188">
                  <c:v>40000</c:v>
                </c:pt>
                <c:pt idx="189">
                  <c:v>39997</c:v>
                </c:pt>
                <c:pt idx="190">
                  <c:v>39996</c:v>
                </c:pt>
                <c:pt idx="191">
                  <c:v>39995</c:v>
                </c:pt>
                <c:pt idx="192">
                  <c:v>39994</c:v>
                </c:pt>
                <c:pt idx="193">
                  <c:v>39993</c:v>
                </c:pt>
                <c:pt idx="194">
                  <c:v>39990</c:v>
                </c:pt>
                <c:pt idx="195">
                  <c:v>39989</c:v>
                </c:pt>
                <c:pt idx="196">
                  <c:v>39988</c:v>
                </c:pt>
                <c:pt idx="197">
                  <c:v>39987</c:v>
                </c:pt>
                <c:pt idx="198">
                  <c:v>39986</c:v>
                </c:pt>
                <c:pt idx="199">
                  <c:v>39983</c:v>
                </c:pt>
                <c:pt idx="200">
                  <c:v>39982</c:v>
                </c:pt>
                <c:pt idx="201">
                  <c:v>39981</c:v>
                </c:pt>
                <c:pt idx="202">
                  <c:v>39980</c:v>
                </c:pt>
                <c:pt idx="203">
                  <c:v>39979</c:v>
                </c:pt>
                <c:pt idx="204">
                  <c:v>39976</c:v>
                </c:pt>
                <c:pt idx="205">
                  <c:v>39975</c:v>
                </c:pt>
                <c:pt idx="206">
                  <c:v>39974</c:v>
                </c:pt>
                <c:pt idx="207">
                  <c:v>39973</c:v>
                </c:pt>
                <c:pt idx="208">
                  <c:v>39972</c:v>
                </c:pt>
                <c:pt idx="209">
                  <c:v>39969</c:v>
                </c:pt>
                <c:pt idx="210">
                  <c:v>39968</c:v>
                </c:pt>
                <c:pt idx="211">
                  <c:v>39967</c:v>
                </c:pt>
                <c:pt idx="212">
                  <c:v>39966</c:v>
                </c:pt>
                <c:pt idx="213">
                  <c:v>39962</c:v>
                </c:pt>
                <c:pt idx="214">
                  <c:v>39961</c:v>
                </c:pt>
                <c:pt idx="215">
                  <c:v>39960</c:v>
                </c:pt>
                <c:pt idx="216">
                  <c:v>39959</c:v>
                </c:pt>
                <c:pt idx="217">
                  <c:v>39958</c:v>
                </c:pt>
                <c:pt idx="218">
                  <c:v>39955</c:v>
                </c:pt>
                <c:pt idx="219">
                  <c:v>39953</c:v>
                </c:pt>
                <c:pt idx="220">
                  <c:v>39952</c:v>
                </c:pt>
                <c:pt idx="221">
                  <c:v>39951</c:v>
                </c:pt>
                <c:pt idx="222">
                  <c:v>39948</c:v>
                </c:pt>
                <c:pt idx="223">
                  <c:v>39947</c:v>
                </c:pt>
                <c:pt idx="224">
                  <c:v>39946</c:v>
                </c:pt>
                <c:pt idx="225">
                  <c:v>39945</c:v>
                </c:pt>
                <c:pt idx="226">
                  <c:v>39944</c:v>
                </c:pt>
                <c:pt idx="227">
                  <c:v>39941</c:v>
                </c:pt>
                <c:pt idx="228">
                  <c:v>39940</c:v>
                </c:pt>
                <c:pt idx="229">
                  <c:v>39939</c:v>
                </c:pt>
                <c:pt idx="230">
                  <c:v>39938</c:v>
                </c:pt>
                <c:pt idx="231">
                  <c:v>39937</c:v>
                </c:pt>
                <c:pt idx="232">
                  <c:v>39933</c:v>
                </c:pt>
                <c:pt idx="233">
                  <c:v>39932</c:v>
                </c:pt>
                <c:pt idx="234">
                  <c:v>39931</c:v>
                </c:pt>
                <c:pt idx="235">
                  <c:v>39930</c:v>
                </c:pt>
                <c:pt idx="236">
                  <c:v>39927</c:v>
                </c:pt>
                <c:pt idx="237">
                  <c:v>39926</c:v>
                </c:pt>
                <c:pt idx="238">
                  <c:v>39925</c:v>
                </c:pt>
                <c:pt idx="239">
                  <c:v>39924</c:v>
                </c:pt>
                <c:pt idx="240">
                  <c:v>39923</c:v>
                </c:pt>
                <c:pt idx="241">
                  <c:v>39920</c:v>
                </c:pt>
                <c:pt idx="242">
                  <c:v>39919</c:v>
                </c:pt>
                <c:pt idx="243">
                  <c:v>39918</c:v>
                </c:pt>
                <c:pt idx="244">
                  <c:v>39917</c:v>
                </c:pt>
                <c:pt idx="245">
                  <c:v>39911</c:v>
                </c:pt>
                <c:pt idx="246">
                  <c:v>39910</c:v>
                </c:pt>
                <c:pt idx="247">
                  <c:v>39909</c:v>
                </c:pt>
                <c:pt idx="248">
                  <c:v>39906</c:v>
                </c:pt>
                <c:pt idx="249">
                  <c:v>39905</c:v>
                </c:pt>
                <c:pt idx="250">
                  <c:v>39904</c:v>
                </c:pt>
                <c:pt idx="251">
                  <c:v>39903</c:v>
                </c:pt>
                <c:pt idx="252">
                  <c:v>39902</c:v>
                </c:pt>
                <c:pt idx="253">
                  <c:v>39899</c:v>
                </c:pt>
                <c:pt idx="254">
                  <c:v>39898</c:v>
                </c:pt>
                <c:pt idx="255">
                  <c:v>39897</c:v>
                </c:pt>
                <c:pt idx="256">
                  <c:v>39896</c:v>
                </c:pt>
                <c:pt idx="257">
                  <c:v>39895</c:v>
                </c:pt>
                <c:pt idx="258">
                  <c:v>39892</c:v>
                </c:pt>
                <c:pt idx="259">
                  <c:v>39891</c:v>
                </c:pt>
                <c:pt idx="260">
                  <c:v>39890</c:v>
                </c:pt>
                <c:pt idx="261">
                  <c:v>39889</c:v>
                </c:pt>
                <c:pt idx="262">
                  <c:v>39888</c:v>
                </c:pt>
                <c:pt idx="263">
                  <c:v>39885</c:v>
                </c:pt>
                <c:pt idx="264">
                  <c:v>39884</c:v>
                </c:pt>
                <c:pt idx="265">
                  <c:v>39883</c:v>
                </c:pt>
                <c:pt idx="266">
                  <c:v>39882</c:v>
                </c:pt>
                <c:pt idx="267">
                  <c:v>39881</c:v>
                </c:pt>
                <c:pt idx="268">
                  <c:v>39878</c:v>
                </c:pt>
                <c:pt idx="269">
                  <c:v>39877</c:v>
                </c:pt>
                <c:pt idx="270">
                  <c:v>39876</c:v>
                </c:pt>
                <c:pt idx="271">
                  <c:v>39875</c:v>
                </c:pt>
                <c:pt idx="272">
                  <c:v>39874</c:v>
                </c:pt>
                <c:pt idx="273">
                  <c:v>39871</c:v>
                </c:pt>
                <c:pt idx="274">
                  <c:v>39870</c:v>
                </c:pt>
                <c:pt idx="275">
                  <c:v>39869</c:v>
                </c:pt>
                <c:pt idx="276">
                  <c:v>39868</c:v>
                </c:pt>
                <c:pt idx="277">
                  <c:v>39867</c:v>
                </c:pt>
                <c:pt idx="278">
                  <c:v>39864</c:v>
                </c:pt>
                <c:pt idx="279">
                  <c:v>39863</c:v>
                </c:pt>
                <c:pt idx="280">
                  <c:v>39862</c:v>
                </c:pt>
                <c:pt idx="281">
                  <c:v>39861</c:v>
                </c:pt>
                <c:pt idx="282">
                  <c:v>39860</c:v>
                </c:pt>
                <c:pt idx="283">
                  <c:v>39857</c:v>
                </c:pt>
                <c:pt idx="284">
                  <c:v>39856</c:v>
                </c:pt>
                <c:pt idx="285">
                  <c:v>39855</c:v>
                </c:pt>
                <c:pt idx="286">
                  <c:v>39854</c:v>
                </c:pt>
                <c:pt idx="287">
                  <c:v>39853</c:v>
                </c:pt>
                <c:pt idx="288">
                  <c:v>39850</c:v>
                </c:pt>
                <c:pt idx="289">
                  <c:v>39849</c:v>
                </c:pt>
                <c:pt idx="290">
                  <c:v>39848</c:v>
                </c:pt>
                <c:pt idx="291">
                  <c:v>39847</c:v>
                </c:pt>
                <c:pt idx="292">
                  <c:v>39846</c:v>
                </c:pt>
                <c:pt idx="293">
                  <c:v>39843</c:v>
                </c:pt>
                <c:pt idx="294">
                  <c:v>39842</c:v>
                </c:pt>
                <c:pt idx="295">
                  <c:v>39841</c:v>
                </c:pt>
                <c:pt idx="296">
                  <c:v>39840</c:v>
                </c:pt>
                <c:pt idx="297">
                  <c:v>39839</c:v>
                </c:pt>
                <c:pt idx="298">
                  <c:v>39836</c:v>
                </c:pt>
                <c:pt idx="299">
                  <c:v>39835</c:v>
                </c:pt>
                <c:pt idx="300">
                  <c:v>39834</c:v>
                </c:pt>
                <c:pt idx="301">
                  <c:v>39833</c:v>
                </c:pt>
                <c:pt idx="302">
                  <c:v>39832</c:v>
                </c:pt>
                <c:pt idx="303">
                  <c:v>39829</c:v>
                </c:pt>
                <c:pt idx="304">
                  <c:v>39828</c:v>
                </c:pt>
                <c:pt idx="305">
                  <c:v>39827</c:v>
                </c:pt>
                <c:pt idx="306">
                  <c:v>39826</c:v>
                </c:pt>
                <c:pt idx="307">
                  <c:v>39825</c:v>
                </c:pt>
                <c:pt idx="308">
                  <c:v>39822</c:v>
                </c:pt>
                <c:pt idx="309">
                  <c:v>39821</c:v>
                </c:pt>
                <c:pt idx="310">
                  <c:v>39820</c:v>
                </c:pt>
                <c:pt idx="311">
                  <c:v>39819</c:v>
                </c:pt>
                <c:pt idx="312">
                  <c:v>39818</c:v>
                </c:pt>
                <c:pt idx="313">
                  <c:v>39815</c:v>
                </c:pt>
              </c:numCache>
            </c:numRef>
          </c:cat>
          <c:val>
            <c:numRef>
              <c:f>SourceData!$F$210:$F$523</c:f>
              <c:numCache>
                <c:formatCode>#,##0_);[Red]\(#,##0\)</c:formatCode>
                <c:ptCount val="3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41E-4619-AFC8-120131C0C510}"/>
            </c:ext>
          </c:extLst>
        </c:ser>
        <c:ser>
          <c:idx val="2"/>
          <c:order val="2"/>
          <c:tx>
            <c:strRef>
              <c:f>SourceData!$D$1</c:f>
              <c:strCache>
                <c:ptCount val="1"/>
                <c:pt idx="0">
                  <c:v>Coverage Work Days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numRef>
              <c:f>[0]!X_Range</c:f>
              <c:numCache>
                <c:formatCode>dd/mm/yyyy;@</c:formatCode>
                <c:ptCount val="314"/>
                <c:pt idx="0">
                  <c:v>40268</c:v>
                </c:pt>
                <c:pt idx="1">
                  <c:v>40267</c:v>
                </c:pt>
                <c:pt idx="2">
                  <c:v>40266</c:v>
                </c:pt>
                <c:pt idx="3">
                  <c:v>40263</c:v>
                </c:pt>
                <c:pt idx="4">
                  <c:v>40262</c:v>
                </c:pt>
                <c:pt idx="5">
                  <c:v>40261</c:v>
                </c:pt>
                <c:pt idx="6">
                  <c:v>40260</c:v>
                </c:pt>
                <c:pt idx="7">
                  <c:v>40259</c:v>
                </c:pt>
                <c:pt idx="8">
                  <c:v>40256</c:v>
                </c:pt>
                <c:pt idx="9">
                  <c:v>40255</c:v>
                </c:pt>
                <c:pt idx="10">
                  <c:v>40254</c:v>
                </c:pt>
                <c:pt idx="11">
                  <c:v>40253</c:v>
                </c:pt>
                <c:pt idx="12">
                  <c:v>40252</c:v>
                </c:pt>
                <c:pt idx="13">
                  <c:v>40249</c:v>
                </c:pt>
                <c:pt idx="14">
                  <c:v>40248</c:v>
                </c:pt>
                <c:pt idx="15">
                  <c:v>40247</c:v>
                </c:pt>
                <c:pt idx="16">
                  <c:v>40246</c:v>
                </c:pt>
                <c:pt idx="17">
                  <c:v>40245</c:v>
                </c:pt>
                <c:pt idx="18">
                  <c:v>40242</c:v>
                </c:pt>
                <c:pt idx="19">
                  <c:v>40241</c:v>
                </c:pt>
                <c:pt idx="20">
                  <c:v>40240</c:v>
                </c:pt>
                <c:pt idx="21">
                  <c:v>40239</c:v>
                </c:pt>
                <c:pt idx="22">
                  <c:v>40238</c:v>
                </c:pt>
                <c:pt idx="23">
                  <c:v>40235</c:v>
                </c:pt>
                <c:pt idx="24">
                  <c:v>40234</c:v>
                </c:pt>
                <c:pt idx="25">
                  <c:v>40233</c:v>
                </c:pt>
                <c:pt idx="26">
                  <c:v>40232</c:v>
                </c:pt>
                <c:pt idx="27">
                  <c:v>40231</c:v>
                </c:pt>
                <c:pt idx="28">
                  <c:v>40228</c:v>
                </c:pt>
                <c:pt idx="29">
                  <c:v>40227</c:v>
                </c:pt>
                <c:pt idx="30">
                  <c:v>40226</c:v>
                </c:pt>
                <c:pt idx="31">
                  <c:v>40225</c:v>
                </c:pt>
                <c:pt idx="32">
                  <c:v>40224</c:v>
                </c:pt>
                <c:pt idx="33">
                  <c:v>40221</c:v>
                </c:pt>
                <c:pt idx="34">
                  <c:v>40220</c:v>
                </c:pt>
                <c:pt idx="35">
                  <c:v>40219</c:v>
                </c:pt>
                <c:pt idx="36">
                  <c:v>40218</c:v>
                </c:pt>
                <c:pt idx="37">
                  <c:v>40217</c:v>
                </c:pt>
                <c:pt idx="38">
                  <c:v>40214</c:v>
                </c:pt>
                <c:pt idx="39">
                  <c:v>40213</c:v>
                </c:pt>
                <c:pt idx="40">
                  <c:v>43497</c:v>
                </c:pt>
                <c:pt idx="41">
                  <c:v>40211</c:v>
                </c:pt>
                <c:pt idx="42">
                  <c:v>40210</c:v>
                </c:pt>
                <c:pt idx="43">
                  <c:v>40207</c:v>
                </c:pt>
                <c:pt idx="44">
                  <c:v>40206</c:v>
                </c:pt>
                <c:pt idx="45">
                  <c:v>40205</c:v>
                </c:pt>
                <c:pt idx="46">
                  <c:v>40204</c:v>
                </c:pt>
                <c:pt idx="47">
                  <c:v>40203</c:v>
                </c:pt>
                <c:pt idx="48">
                  <c:v>40200</c:v>
                </c:pt>
                <c:pt idx="49">
                  <c:v>40199</c:v>
                </c:pt>
                <c:pt idx="50">
                  <c:v>40198</c:v>
                </c:pt>
                <c:pt idx="51">
                  <c:v>40197</c:v>
                </c:pt>
                <c:pt idx="52">
                  <c:v>40196</c:v>
                </c:pt>
                <c:pt idx="53">
                  <c:v>40193</c:v>
                </c:pt>
                <c:pt idx="54">
                  <c:v>40192</c:v>
                </c:pt>
                <c:pt idx="55">
                  <c:v>40191</c:v>
                </c:pt>
                <c:pt idx="56">
                  <c:v>40190</c:v>
                </c:pt>
                <c:pt idx="57">
                  <c:v>40189</c:v>
                </c:pt>
                <c:pt idx="58">
                  <c:v>40186</c:v>
                </c:pt>
                <c:pt idx="59">
                  <c:v>40185</c:v>
                </c:pt>
                <c:pt idx="60">
                  <c:v>40184</c:v>
                </c:pt>
                <c:pt idx="61">
                  <c:v>40183</c:v>
                </c:pt>
                <c:pt idx="62">
                  <c:v>40182</c:v>
                </c:pt>
                <c:pt idx="63">
                  <c:v>40177</c:v>
                </c:pt>
                <c:pt idx="64">
                  <c:v>40176</c:v>
                </c:pt>
                <c:pt idx="65">
                  <c:v>40175</c:v>
                </c:pt>
                <c:pt idx="66">
                  <c:v>40170</c:v>
                </c:pt>
                <c:pt idx="67">
                  <c:v>40169</c:v>
                </c:pt>
                <c:pt idx="68">
                  <c:v>40168</c:v>
                </c:pt>
                <c:pt idx="69">
                  <c:v>40165</c:v>
                </c:pt>
                <c:pt idx="70">
                  <c:v>40164</c:v>
                </c:pt>
                <c:pt idx="71">
                  <c:v>40163</c:v>
                </c:pt>
                <c:pt idx="72">
                  <c:v>40162</c:v>
                </c:pt>
                <c:pt idx="73">
                  <c:v>40161</c:v>
                </c:pt>
                <c:pt idx="74">
                  <c:v>40158</c:v>
                </c:pt>
                <c:pt idx="75">
                  <c:v>40157</c:v>
                </c:pt>
                <c:pt idx="76">
                  <c:v>40156</c:v>
                </c:pt>
                <c:pt idx="77">
                  <c:v>40155</c:v>
                </c:pt>
                <c:pt idx="78">
                  <c:v>40154</c:v>
                </c:pt>
                <c:pt idx="79">
                  <c:v>40151</c:v>
                </c:pt>
                <c:pt idx="80">
                  <c:v>40150</c:v>
                </c:pt>
                <c:pt idx="81">
                  <c:v>40149</c:v>
                </c:pt>
                <c:pt idx="82">
                  <c:v>40148</c:v>
                </c:pt>
                <c:pt idx="83">
                  <c:v>40147</c:v>
                </c:pt>
                <c:pt idx="84">
                  <c:v>40144</c:v>
                </c:pt>
                <c:pt idx="85">
                  <c:v>40143</c:v>
                </c:pt>
                <c:pt idx="86">
                  <c:v>40142</c:v>
                </c:pt>
                <c:pt idx="87">
                  <c:v>40141</c:v>
                </c:pt>
                <c:pt idx="88">
                  <c:v>40140</c:v>
                </c:pt>
                <c:pt idx="89">
                  <c:v>40137</c:v>
                </c:pt>
                <c:pt idx="90">
                  <c:v>40136</c:v>
                </c:pt>
                <c:pt idx="91">
                  <c:v>40135</c:v>
                </c:pt>
                <c:pt idx="92">
                  <c:v>40134</c:v>
                </c:pt>
                <c:pt idx="93">
                  <c:v>40133</c:v>
                </c:pt>
                <c:pt idx="94">
                  <c:v>40130</c:v>
                </c:pt>
                <c:pt idx="95">
                  <c:v>40129</c:v>
                </c:pt>
                <c:pt idx="96">
                  <c:v>40128</c:v>
                </c:pt>
                <c:pt idx="97">
                  <c:v>40127</c:v>
                </c:pt>
                <c:pt idx="98">
                  <c:v>40126</c:v>
                </c:pt>
                <c:pt idx="99">
                  <c:v>40123</c:v>
                </c:pt>
                <c:pt idx="100">
                  <c:v>40122</c:v>
                </c:pt>
                <c:pt idx="101">
                  <c:v>40121</c:v>
                </c:pt>
                <c:pt idx="102">
                  <c:v>40120</c:v>
                </c:pt>
                <c:pt idx="103">
                  <c:v>40119</c:v>
                </c:pt>
                <c:pt idx="104">
                  <c:v>40116</c:v>
                </c:pt>
                <c:pt idx="105">
                  <c:v>40115</c:v>
                </c:pt>
                <c:pt idx="106">
                  <c:v>40114</c:v>
                </c:pt>
                <c:pt idx="107">
                  <c:v>40113</c:v>
                </c:pt>
                <c:pt idx="108">
                  <c:v>40112</c:v>
                </c:pt>
                <c:pt idx="109">
                  <c:v>40109</c:v>
                </c:pt>
                <c:pt idx="110">
                  <c:v>40108</c:v>
                </c:pt>
                <c:pt idx="111">
                  <c:v>40107</c:v>
                </c:pt>
                <c:pt idx="112">
                  <c:v>40106</c:v>
                </c:pt>
                <c:pt idx="113">
                  <c:v>40105</c:v>
                </c:pt>
                <c:pt idx="114">
                  <c:v>40102</c:v>
                </c:pt>
                <c:pt idx="115">
                  <c:v>40101</c:v>
                </c:pt>
                <c:pt idx="116">
                  <c:v>40100</c:v>
                </c:pt>
                <c:pt idx="117">
                  <c:v>40099</c:v>
                </c:pt>
                <c:pt idx="118">
                  <c:v>40098</c:v>
                </c:pt>
                <c:pt idx="119">
                  <c:v>40095</c:v>
                </c:pt>
                <c:pt idx="120">
                  <c:v>40094</c:v>
                </c:pt>
                <c:pt idx="121">
                  <c:v>40093</c:v>
                </c:pt>
                <c:pt idx="122">
                  <c:v>40092</c:v>
                </c:pt>
                <c:pt idx="123">
                  <c:v>40091</c:v>
                </c:pt>
                <c:pt idx="124">
                  <c:v>40088</c:v>
                </c:pt>
                <c:pt idx="125">
                  <c:v>40087</c:v>
                </c:pt>
                <c:pt idx="126">
                  <c:v>40086</c:v>
                </c:pt>
                <c:pt idx="127">
                  <c:v>40085</c:v>
                </c:pt>
                <c:pt idx="128">
                  <c:v>40084</c:v>
                </c:pt>
                <c:pt idx="129">
                  <c:v>40081</c:v>
                </c:pt>
                <c:pt idx="130">
                  <c:v>40080</c:v>
                </c:pt>
                <c:pt idx="131">
                  <c:v>40079</c:v>
                </c:pt>
                <c:pt idx="132">
                  <c:v>40078</c:v>
                </c:pt>
                <c:pt idx="133">
                  <c:v>40077</c:v>
                </c:pt>
                <c:pt idx="134">
                  <c:v>40074</c:v>
                </c:pt>
                <c:pt idx="135">
                  <c:v>40073</c:v>
                </c:pt>
                <c:pt idx="136">
                  <c:v>40072</c:v>
                </c:pt>
                <c:pt idx="137">
                  <c:v>40071</c:v>
                </c:pt>
                <c:pt idx="138">
                  <c:v>40070</c:v>
                </c:pt>
                <c:pt idx="139">
                  <c:v>40067</c:v>
                </c:pt>
                <c:pt idx="140">
                  <c:v>40066</c:v>
                </c:pt>
                <c:pt idx="141">
                  <c:v>40065</c:v>
                </c:pt>
                <c:pt idx="142">
                  <c:v>40064</c:v>
                </c:pt>
                <c:pt idx="143">
                  <c:v>40063</c:v>
                </c:pt>
                <c:pt idx="144">
                  <c:v>40060</c:v>
                </c:pt>
                <c:pt idx="145">
                  <c:v>40059</c:v>
                </c:pt>
                <c:pt idx="146">
                  <c:v>40058</c:v>
                </c:pt>
                <c:pt idx="147">
                  <c:v>40057</c:v>
                </c:pt>
                <c:pt idx="148">
                  <c:v>40056</c:v>
                </c:pt>
                <c:pt idx="149">
                  <c:v>40053</c:v>
                </c:pt>
                <c:pt idx="150">
                  <c:v>40052</c:v>
                </c:pt>
                <c:pt idx="151">
                  <c:v>40051</c:v>
                </c:pt>
                <c:pt idx="152">
                  <c:v>40050</c:v>
                </c:pt>
                <c:pt idx="153">
                  <c:v>40049</c:v>
                </c:pt>
                <c:pt idx="154">
                  <c:v>40046</c:v>
                </c:pt>
                <c:pt idx="155">
                  <c:v>40045</c:v>
                </c:pt>
                <c:pt idx="156">
                  <c:v>40044</c:v>
                </c:pt>
                <c:pt idx="157">
                  <c:v>40043</c:v>
                </c:pt>
                <c:pt idx="158">
                  <c:v>40042</c:v>
                </c:pt>
                <c:pt idx="159">
                  <c:v>40039</c:v>
                </c:pt>
                <c:pt idx="160">
                  <c:v>40038</c:v>
                </c:pt>
                <c:pt idx="161">
                  <c:v>40037</c:v>
                </c:pt>
                <c:pt idx="162">
                  <c:v>40036</c:v>
                </c:pt>
                <c:pt idx="163">
                  <c:v>40035</c:v>
                </c:pt>
                <c:pt idx="164">
                  <c:v>40032</c:v>
                </c:pt>
                <c:pt idx="165">
                  <c:v>40031</c:v>
                </c:pt>
                <c:pt idx="166">
                  <c:v>40030</c:v>
                </c:pt>
                <c:pt idx="167">
                  <c:v>40029</c:v>
                </c:pt>
                <c:pt idx="168">
                  <c:v>40028</c:v>
                </c:pt>
                <c:pt idx="169">
                  <c:v>40025</c:v>
                </c:pt>
                <c:pt idx="170">
                  <c:v>40024</c:v>
                </c:pt>
                <c:pt idx="171">
                  <c:v>40023</c:v>
                </c:pt>
                <c:pt idx="172">
                  <c:v>40022</c:v>
                </c:pt>
                <c:pt idx="173">
                  <c:v>40021</c:v>
                </c:pt>
                <c:pt idx="174">
                  <c:v>40018</c:v>
                </c:pt>
                <c:pt idx="175">
                  <c:v>40017</c:v>
                </c:pt>
                <c:pt idx="176">
                  <c:v>40016</c:v>
                </c:pt>
                <c:pt idx="177">
                  <c:v>40015</c:v>
                </c:pt>
                <c:pt idx="178">
                  <c:v>40014</c:v>
                </c:pt>
                <c:pt idx="179">
                  <c:v>40011</c:v>
                </c:pt>
                <c:pt idx="180">
                  <c:v>40010</c:v>
                </c:pt>
                <c:pt idx="181">
                  <c:v>40009</c:v>
                </c:pt>
                <c:pt idx="182">
                  <c:v>40008</c:v>
                </c:pt>
                <c:pt idx="183">
                  <c:v>40007</c:v>
                </c:pt>
                <c:pt idx="184">
                  <c:v>40004</c:v>
                </c:pt>
                <c:pt idx="185">
                  <c:v>40003</c:v>
                </c:pt>
                <c:pt idx="186">
                  <c:v>40002</c:v>
                </c:pt>
                <c:pt idx="187">
                  <c:v>40001</c:v>
                </c:pt>
                <c:pt idx="188">
                  <c:v>40000</c:v>
                </c:pt>
                <c:pt idx="189">
                  <c:v>39997</c:v>
                </c:pt>
                <c:pt idx="190">
                  <c:v>39996</c:v>
                </c:pt>
                <c:pt idx="191">
                  <c:v>39995</c:v>
                </c:pt>
                <c:pt idx="192">
                  <c:v>39994</c:v>
                </c:pt>
                <c:pt idx="193">
                  <c:v>39993</c:v>
                </c:pt>
                <c:pt idx="194">
                  <c:v>39990</c:v>
                </c:pt>
                <c:pt idx="195">
                  <c:v>39989</c:v>
                </c:pt>
                <c:pt idx="196">
                  <c:v>39988</c:v>
                </c:pt>
                <c:pt idx="197">
                  <c:v>39987</c:v>
                </c:pt>
                <c:pt idx="198">
                  <c:v>39986</c:v>
                </c:pt>
                <c:pt idx="199">
                  <c:v>39983</c:v>
                </c:pt>
                <c:pt idx="200">
                  <c:v>39982</c:v>
                </c:pt>
                <c:pt idx="201">
                  <c:v>39981</c:v>
                </c:pt>
                <c:pt idx="202">
                  <c:v>39980</c:v>
                </c:pt>
                <c:pt idx="203">
                  <c:v>39979</c:v>
                </c:pt>
                <c:pt idx="204">
                  <c:v>39976</c:v>
                </c:pt>
                <c:pt idx="205">
                  <c:v>39975</c:v>
                </c:pt>
                <c:pt idx="206">
                  <c:v>39974</c:v>
                </c:pt>
                <c:pt idx="207">
                  <c:v>39973</c:v>
                </c:pt>
                <c:pt idx="208">
                  <c:v>39972</c:v>
                </c:pt>
                <c:pt idx="209">
                  <c:v>39969</c:v>
                </c:pt>
                <c:pt idx="210">
                  <c:v>39968</c:v>
                </c:pt>
                <c:pt idx="211">
                  <c:v>39967</c:v>
                </c:pt>
                <c:pt idx="212">
                  <c:v>39966</c:v>
                </c:pt>
                <c:pt idx="213">
                  <c:v>39962</c:v>
                </c:pt>
                <c:pt idx="214">
                  <c:v>39961</c:v>
                </c:pt>
                <c:pt idx="215">
                  <c:v>39960</c:v>
                </c:pt>
                <c:pt idx="216">
                  <c:v>39959</c:v>
                </c:pt>
                <c:pt idx="217">
                  <c:v>39958</c:v>
                </c:pt>
                <c:pt idx="218">
                  <c:v>39955</c:v>
                </c:pt>
                <c:pt idx="219">
                  <c:v>39953</c:v>
                </c:pt>
                <c:pt idx="220">
                  <c:v>39952</c:v>
                </c:pt>
                <c:pt idx="221">
                  <c:v>39951</c:v>
                </c:pt>
                <c:pt idx="222">
                  <c:v>39948</c:v>
                </c:pt>
                <c:pt idx="223">
                  <c:v>39947</c:v>
                </c:pt>
                <c:pt idx="224">
                  <c:v>39946</c:v>
                </c:pt>
                <c:pt idx="225">
                  <c:v>39945</c:v>
                </c:pt>
                <c:pt idx="226">
                  <c:v>39944</c:v>
                </c:pt>
                <c:pt idx="227">
                  <c:v>39941</c:v>
                </c:pt>
                <c:pt idx="228">
                  <c:v>39940</c:v>
                </c:pt>
                <c:pt idx="229">
                  <c:v>39939</c:v>
                </c:pt>
                <c:pt idx="230">
                  <c:v>39938</c:v>
                </c:pt>
                <c:pt idx="231">
                  <c:v>39937</c:v>
                </c:pt>
                <c:pt idx="232">
                  <c:v>39933</c:v>
                </c:pt>
                <c:pt idx="233">
                  <c:v>39932</c:v>
                </c:pt>
                <c:pt idx="234">
                  <c:v>39931</c:v>
                </c:pt>
                <c:pt idx="235">
                  <c:v>39930</c:v>
                </c:pt>
                <c:pt idx="236">
                  <c:v>39927</c:v>
                </c:pt>
                <c:pt idx="237">
                  <c:v>39926</c:v>
                </c:pt>
                <c:pt idx="238">
                  <c:v>39925</c:v>
                </c:pt>
                <c:pt idx="239">
                  <c:v>39924</c:v>
                </c:pt>
                <c:pt idx="240">
                  <c:v>39923</c:v>
                </c:pt>
                <c:pt idx="241">
                  <c:v>39920</c:v>
                </c:pt>
                <c:pt idx="242">
                  <c:v>39919</c:v>
                </c:pt>
                <c:pt idx="243">
                  <c:v>39918</c:v>
                </c:pt>
                <c:pt idx="244">
                  <c:v>39917</c:v>
                </c:pt>
                <c:pt idx="245">
                  <c:v>39911</c:v>
                </c:pt>
                <c:pt idx="246">
                  <c:v>39910</c:v>
                </c:pt>
                <c:pt idx="247">
                  <c:v>39909</c:v>
                </c:pt>
                <c:pt idx="248">
                  <c:v>39906</c:v>
                </c:pt>
                <c:pt idx="249">
                  <c:v>39905</c:v>
                </c:pt>
                <c:pt idx="250">
                  <c:v>39904</c:v>
                </c:pt>
                <c:pt idx="251">
                  <c:v>39903</c:v>
                </c:pt>
                <c:pt idx="252">
                  <c:v>39902</c:v>
                </c:pt>
                <c:pt idx="253">
                  <c:v>39899</c:v>
                </c:pt>
                <c:pt idx="254">
                  <c:v>39898</c:v>
                </c:pt>
                <c:pt idx="255">
                  <c:v>39897</c:v>
                </c:pt>
                <c:pt idx="256">
                  <c:v>39896</c:v>
                </c:pt>
                <c:pt idx="257">
                  <c:v>39895</c:v>
                </c:pt>
                <c:pt idx="258">
                  <c:v>39892</c:v>
                </c:pt>
                <c:pt idx="259">
                  <c:v>39891</c:v>
                </c:pt>
                <c:pt idx="260">
                  <c:v>39890</c:v>
                </c:pt>
                <c:pt idx="261">
                  <c:v>39889</c:v>
                </c:pt>
                <c:pt idx="262">
                  <c:v>39888</c:v>
                </c:pt>
                <c:pt idx="263">
                  <c:v>39885</c:v>
                </c:pt>
                <c:pt idx="264">
                  <c:v>39884</c:v>
                </c:pt>
                <c:pt idx="265">
                  <c:v>39883</c:v>
                </c:pt>
                <c:pt idx="266">
                  <c:v>39882</c:v>
                </c:pt>
                <c:pt idx="267">
                  <c:v>39881</c:v>
                </c:pt>
                <c:pt idx="268">
                  <c:v>39878</c:v>
                </c:pt>
                <c:pt idx="269">
                  <c:v>39877</c:v>
                </c:pt>
                <c:pt idx="270">
                  <c:v>39876</c:v>
                </c:pt>
                <c:pt idx="271">
                  <c:v>39875</c:v>
                </c:pt>
                <c:pt idx="272">
                  <c:v>39874</c:v>
                </c:pt>
                <c:pt idx="273">
                  <c:v>39871</c:v>
                </c:pt>
                <c:pt idx="274">
                  <c:v>39870</c:v>
                </c:pt>
                <c:pt idx="275">
                  <c:v>39869</c:v>
                </c:pt>
                <c:pt idx="276">
                  <c:v>39868</c:v>
                </c:pt>
                <c:pt idx="277">
                  <c:v>39867</c:v>
                </c:pt>
                <c:pt idx="278">
                  <c:v>39864</c:v>
                </c:pt>
                <c:pt idx="279">
                  <c:v>39863</c:v>
                </c:pt>
                <c:pt idx="280">
                  <c:v>39862</c:v>
                </c:pt>
                <c:pt idx="281">
                  <c:v>39861</c:v>
                </c:pt>
                <c:pt idx="282">
                  <c:v>39860</c:v>
                </c:pt>
                <c:pt idx="283">
                  <c:v>39857</c:v>
                </c:pt>
                <c:pt idx="284">
                  <c:v>39856</c:v>
                </c:pt>
                <c:pt idx="285">
                  <c:v>39855</c:v>
                </c:pt>
                <c:pt idx="286">
                  <c:v>39854</c:v>
                </c:pt>
                <c:pt idx="287">
                  <c:v>39853</c:v>
                </c:pt>
                <c:pt idx="288">
                  <c:v>39850</c:v>
                </c:pt>
                <c:pt idx="289">
                  <c:v>39849</c:v>
                </c:pt>
                <c:pt idx="290">
                  <c:v>39848</c:v>
                </c:pt>
                <c:pt idx="291">
                  <c:v>39847</c:v>
                </c:pt>
                <c:pt idx="292">
                  <c:v>39846</c:v>
                </c:pt>
                <c:pt idx="293">
                  <c:v>39843</c:v>
                </c:pt>
                <c:pt idx="294">
                  <c:v>39842</c:v>
                </c:pt>
                <c:pt idx="295">
                  <c:v>39841</c:v>
                </c:pt>
                <c:pt idx="296">
                  <c:v>39840</c:v>
                </c:pt>
                <c:pt idx="297">
                  <c:v>39839</c:v>
                </c:pt>
                <c:pt idx="298">
                  <c:v>39836</c:v>
                </c:pt>
                <c:pt idx="299">
                  <c:v>39835</c:v>
                </c:pt>
                <c:pt idx="300">
                  <c:v>39834</c:v>
                </c:pt>
                <c:pt idx="301">
                  <c:v>39833</c:v>
                </c:pt>
                <c:pt idx="302">
                  <c:v>39832</c:v>
                </c:pt>
                <c:pt idx="303">
                  <c:v>39829</c:v>
                </c:pt>
                <c:pt idx="304">
                  <c:v>39828</c:v>
                </c:pt>
                <c:pt idx="305">
                  <c:v>39827</c:v>
                </c:pt>
                <c:pt idx="306">
                  <c:v>39826</c:v>
                </c:pt>
                <c:pt idx="307">
                  <c:v>39825</c:v>
                </c:pt>
                <c:pt idx="308">
                  <c:v>39822</c:v>
                </c:pt>
                <c:pt idx="309">
                  <c:v>39821</c:v>
                </c:pt>
                <c:pt idx="310">
                  <c:v>39820</c:v>
                </c:pt>
                <c:pt idx="311">
                  <c:v>39819</c:v>
                </c:pt>
                <c:pt idx="312">
                  <c:v>39818</c:v>
                </c:pt>
                <c:pt idx="313">
                  <c:v>39815</c:v>
                </c:pt>
              </c:numCache>
            </c:numRef>
          </c:cat>
          <c:val>
            <c:numRef>
              <c:f>SourceData!$D$210:$D$523</c:f>
              <c:numCache>
                <c:formatCode>General</c:formatCode>
                <c:ptCount val="31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41E-4619-AFC8-120131C0C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944152"/>
        <c:axId val="516695640"/>
      </c:lineChart>
      <c:dateAx>
        <c:axId val="212461688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459728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212459728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Stock in BUm</a:t>
                </a:r>
              </a:p>
            </c:rich>
          </c:tx>
          <c:layout>
            <c:manualLayout>
              <c:xMode val="edge"/>
              <c:yMode val="edge"/>
              <c:x val="1.9801980198019941E-2"/>
              <c:y val="0.37786259541985284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2461688"/>
        <c:crosses val="autoZero"/>
        <c:crossBetween val="between"/>
      </c:valAx>
      <c:dateAx>
        <c:axId val="210944152"/>
        <c:scaling>
          <c:orientation val="minMax"/>
        </c:scaling>
        <c:delete val="1"/>
        <c:axPos val="b"/>
        <c:numFmt formatCode="dd/mm/yyyy;@" sourceLinked="1"/>
        <c:majorTickMark val="out"/>
        <c:minorTickMark val="none"/>
        <c:tickLblPos val="none"/>
        <c:crossAx val="516695640"/>
        <c:crosses val="autoZero"/>
        <c:auto val="1"/>
        <c:lblOffset val="100"/>
        <c:baseTimeUnit val="days"/>
      </c:dateAx>
      <c:valAx>
        <c:axId val="516695640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Coverage in Work Days</a:t>
                </a:r>
              </a:p>
            </c:rich>
          </c:tx>
          <c:layout>
            <c:manualLayout>
              <c:xMode val="edge"/>
              <c:yMode val="edge"/>
              <c:x val="0.95297081676672024"/>
              <c:y val="0.3167938931297733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cross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0944152"/>
        <c:crosses val="max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0119335751435057"/>
          <c:y val="1.5771773909028324E-2"/>
          <c:w val="0.74577752085934534"/>
          <c:h val="6.26285219300658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b-NO"/>
              <a:t>Current Valuated Stock</a:t>
            </a:r>
          </a:p>
        </c:rich>
      </c:tx>
      <c:layout>
        <c:manualLayout>
          <c:xMode val="edge"/>
          <c:yMode val="edge"/>
          <c:x val="4.4164037854890245E-2"/>
          <c:y val="7.53138075313808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1.5772870662460751E-2"/>
          <c:y val="0.15899597831538814"/>
          <c:w val="0.50157728706624038"/>
          <c:h val="0.81171631034697633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Y084_StockData!$C$1</c:f>
              <c:strCache>
                <c:ptCount val="1"/>
                <c:pt idx="0">
                  <c:v>Unrestricted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Y084_StockData!$C$2</c:f>
              <c:numCache>
                <c:formatCode>#,##0</c:formatCode>
                <c:ptCount val="1"/>
                <c:pt idx="0">
                  <c:v>622660.6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82-447F-9D3C-29A44F59E176}"/>
            </c:ext>
          </c:extLst>
        </c:ser>
        <c:ser>
          <c:idx val="1"/>
          <c:order val="1"/>
          <c:tx>
            <c:strRef>
              <c:f>Y084_StockData!$D$1</c:f>
              <c:strCache>
                <c:ptCount val="1"/>
                <c:pt idx="0">
                  <c:v>Stock in tfr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Y084_StockData!$D$2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82-447F-9D3C-29A44F59E176}"/>
            </c:ext>
          </c:extLst>
        </c:ser>
        <c:ser>
          <c:idx val="2"/>
          <c:order val="2"/>
          <c:tx>
            <c:strRef>
              <c:f>Y084_StockData!$E$1</c:f>
              <c:strCache>
                <c:ptCount val="1"/>
                <c:pt idx="0">
                  <c:v>In Qual. Insp.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Y084_StockData!$E$2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82-447F-9D3C-29A44F59E176}"/>
            </c:ext>
          </c:extLst>
        </c:ser>
        <c:ser>
          <c:idx val="3"/>
          <c:order val="3"/>
          <c:tx>
            <c:strRef>
              <c:f>Y084_StockData!$F$1</c:f>
              <c:strCache>
                <c:ptCount val="1"/>
                <c:pt idx="0">
                  <c:v>Restricted-Use</c:v>
                </c:pt>
              </c:strCache>
            </c:strRef>
          </c:tx>
          <c:spPr>
            <a:solidFill>
              <a:srgbClr val="FFAA99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Y084_StockData!$F$2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82-447F-9D3C-29A44F59E176}"/>
            </c:ext>
          </c:extLst>
        </c:ser>
        <c:ser>
          <c:idx val="4"/>
          <c:order val="4"/>
          <c:tx>
            <c:strRef>
              <c:f>Y084_StockData!$G$1</c:f>
              <c:strCache>
                <c:ptCount val="1"/>
                <c:pt idx="0">
                  <c:v>Blocked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ABABAB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Y084_StockData!$G$2</c:f>
              <c:numCache>
                <c:formatCode>#,##0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82-447F-9D3C-29A44F59E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16688584"/>
        <c:axId val="516697992"/>
      </c:barChart>
      <c:catAx>
        <c:axId val="516688584"/>
        <c:scaling>
          <c:orientation val="minMax"/>
        </c:scaling>
        <c:delete val="1"/>
        <c:axPos val="b"/>
        <c:majorTickMark val="out"/>
        <c:minorTickMark val="none"/>
        <c:tickLblPos val="none"/>
        <c:crossAx val="516697992"/>
        <c:crosses val="autoZero"/>
        <c:auto val="1"/>
        <c:lblAlgn val="ctr"/>
        <c:lblOffset val="100"/>
        <c:noMultiLvlLbl val="0"/>
      </c:catAx>
      <c:valAx>
        <c:axId val="516697992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one"/>
        <c:crossAx val="51668858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4421328737377484"/>
          <c:y val="0.16215226160705618"/>
          <c:w val="0.36633866681127808"/>
          <c:h val="0.23349925671416275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[Lager Historikk.xlsm]Material Usage Req!Pivottabell1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'Material Usage Req'!$C$9:$C$10</c:f>
              <c:strCache>
                <c:ptCount val="1"/>
                <c:pt idx="0">
                  <c:v>History</c:v>
                </c:pt>
              </c:strCache>
            </c:strRef>
          </c:tx>
          <c:invertIfNegative val="0"/>
          <c:cat>
            <c:multiLvlStrRef>
              <c:f>'Material Usage Req'!$A$11:$B$45</c:f>
              <c:multiLvlStrCache>
                <c:ptCount val="26"/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</c:v>
                  </c:pt>
                  <c:pt idx="13">
                    <c:v>2</c:v>
                  </c:pt>
                  <c:pt idx="14">
                    <c:v>3</c:v>
                  </c:pt>
                  <c:pt idx="15">
                    <c:v>4</c:v>
                  </c:pt>
                  <c:pt idx="16">
                    <c:v>5</c:v>
                  </c:pt>
                  <c:pt idx="17">
                    <c:v>6</c:v>
                  </c:pt>
                  <c:pt idx="18">
                    <c:v>7</c:v>
                  </c:pt>
                  <c:pt idx="19">
                    <c:v>8</c:v>
                  </c:pt>
                  <c:pt idx="20">
                    <c:v>9</c:v>
                  </c:pt>
                  <c:pt idx="21">
                    <c:v>10</c:v>
                  </c:pt>
                  <c:pt idx="22">
                    <c:v>11</c:v>
                  </c:pt>
                  <c:pt idx="23">
                    <c:v>12</c:v>
                  </c:pt>
                  <c:pt idx="24">
                    <c:v>1</c:v>
                  </c:pt>
                  <c:pt idx="25">
                    <c:v>12</c:v>
                  </c:pt>
                </c:lvl>
                <c:lvl>
                  <c:pt idx="0">
                    <c:v>2009</c:v>
                  </c:pt>
                  <c:pt idx="12">
                    <c:v>2010</c:v>
                  </c:pt>
                  <c:pt idx="24">
                    <c:v>2011</c:v>
                  </c:pt>
                  <c:pt idx="25">
                    <c:v>2013</c:v>
                  </c:pt>
                </c:lvl>
              </c:multiLvlStrCache>
            </c:multiLvlStrRef>
          </c:cat>
          <c:val>
            <c:numRef>
              <c:f>'Material Usage Req'!$C$11:$C$45</c:f>
              <c:numCache>
                <c:formatCode>#,##0_);[Red]\(#,##0\)</c:formatCode>
                <c:ptCount val="26"/>
              </c:numCache>
            </c:numRef>
          </c:val>
          <c:extLst>
            <c:ext xmlns:c16="http://schemas.microsoft.com/office/drawing/2014/chart" uri="{C3380CC4-5D6E-409C-BE32-E72D297353CC}">
              <c16:uniqueId val="{00000000-A0C7-4FE6-A6A1-E0ACBC868A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16688192"/>
        <c:axId val="516693680"/>
      </c:barChart>
      <c:catAx>
        <c:axId val="51668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6936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516693680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68819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245374785614241"/>
          <c:y val="9.7328244274809197E-2"/>
          <c:w val="0.8643022515592097"/>
          <c:h val="0.74712035993792758"/>
        </c:manualLayout>
      </c:layout>
      <c:areaChart>
        <c:grouping val="standard"/>
        <c:varyColors val="0"/>
        <c:ser>
          <c:idx val="0"/>
          <c:order val="0"/>
          <c:tx>
            <c:strRef>
              <c:f>SourceData!$M$1</c:f>
              <c:strCache>
                <c:ptCount val="1"/>
                <c:pt idx="0">
                  <c:v>Roll Sales 3 days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9999FF"/>
              </a:solidFill>
              <a:prstDash val="solid"/>
            </a:ln>
          </c:spPr>
          <c:cat>
            <c:numRef>
              <c:f>[0]!X1_Range</c:f>
              <c:numCache>
                <c:formatCode>dd/mm/yyyy;@</c:formatCode>
                <c:ptCount val="274"/>
                <c:pt idx="0">
                  <c:v>43497</c:v>
                </c:pt>
                <c:pt idx="1">
                  <c:v>40211</c:v>
                </c:pt>
                <c:pt idx="2">
                  <c:v>40210</c:v>
                </c:pt>
                <c:pt idx="3">
                  <c:v>40207</c:v>
                </c:pt>
                <c:pt idx="4">
                  <c:v>40206</c:v>
                </c:pt>
                <c:pt idx="5">
                  <c:v>40205</c:v>
                </c:pt>
                <c:pt idx="6">
                  <c:v>40204</c:v>
                </c:pt>
                <c:pt idx="7">
                  <c:v>40203</c:v>
                </c:pt>
                <c:pt idx="8">
                  <c:v>40200</c:v>
                </c:pt>
                <c:pt idx="9">
                  <c:v>40199</c:v>
                </c:pt>
                <c:pt idx="10">
                  <c:v>40198</c:v>
                </c:pt>
                <c:pt idx="11">
                  <c:v>40197</c:v>
                </c:pt>
                <c:pt idx="12">
                  <c:v>40196</c:v>
                </c:pt>
                <c:pt idx="13">
                  <c:v>40193</c:v>
                </c:pt>
                <c:pt idx="14">
                  <c:v>40192</c:v>
                </c:pt>
                <c:pt idx="15">
                  <c:v>40191</c:v>
                </c:pt>
                <c:pt idx="16">
                  <c:v>40190</c:v>
                </c:pt>
                <c:pt idx="17">
                  <c:v>40189</c:v>
                </c:pt>
                <c:pt idx="18">
                  <c:v>40186</c:v>
                </c:pt>
                <c:pt idx="19">
                  <c:v>40185</c:v>
                </c:pt>
                <c:pt idx="20">
                  <c:v>40184</c:v>
                </c:pt>
                <c:pt idx="21">
                  <c:v>40183</c:v>
                </c:pt>
                <c:pt idx="22">
                  <c:v>40182</c:v>
                </c:pt>
                <c:pt idx="23">
                  <c:v>40177</c:v>
                </c:pt>
                <c:pt idx="24">
                  <c:v>40176</c:v>
                </c:pt>
                <c:pt idx="25">
                  <c:v>40175</c:v>
                </c:pt>
                <c:pt idx="26">
                  <c:v>40170</c:v>
                </c:pt>
                <c:pt idx="27">
                  <c:v>40169</c:v>
                </c:pt>
                <c:pt idx="28">
                  <c:v>40168</c:v>
                </c:pt>
                <c:pt idx="29">
                  <c:v>40165</c:v>
                </c:pt>
                <c:pt idx="30">
                  <c:v>40164</c:v>
                </c:pt>
                <c:pt idx="31">
                  <c:v>40163</c:v>
                </c:pt>
                <c:pt idx="32">
                  <c:v>40162</c:v>
                </c:pt>
                <c:pt idx="33">
                  <c:v>40161</c:v>
                </c:pt>
                <c:pt idx="34">
                  <c:v>40158</c:v>
                </c:pt>
                <c:pt idx="35">
                  <c:v>40157</c:v>
                </c:pt>
                <c:pt idx="36">
                  <c:v>40156</c:v>
                </c:pt>
                <c:pt idx="37">
                  <c:v>40155</c:v>
                </c:pt>
                <c:pt idx="38">
                  <c:v>40154</c:v>
                </c:pt>
                <c:pt idx="39">
                  <c:v>40151</c:v>
                </c:pt>
                <c:pt idx="40">
                  <c:v>40150</c:v>
                </c:pt>
                <c:pt idx="41">
                  <c:v>40149</c:v>
                </c:pt>
                <c:pt idx="42">
                  <c:v>40148</c:v>
                </c:pt>
                <c:pt idx="43">
                  <c:v>40147</c:v>
                </c:pt>
                <c:pt idx="44">
                  <c:v>40144</c:v>
                </c:pt>
                <c:pt idx="45">
                  <c:v>40143</c:v>
                </c:pt>
                <c:pt idx="46">
                  <c:v>40142</c:v>
                </c:pt>
                <c:pt idx="47">
                  <c:v>40141</c:v>
                </c:pt>
                <c:pt idx="48">
                  <c:v>40140</c:v>
                </c:pt>
                <c:pt idx="49">
                  <c:v>40137</c:v>
                </c:pt>
                <c:pt idx="50">
                  <c:v>40136</c:v>
                </c:pt>
                <c:pt idx="51">
                  <c:v>40135</c:v>
                </c:pt>
                <c:pt idx="52">
                  <c:v>40134</c:v>
                </c:pt>
                <c:pt idx="53">
                  <c:v>40133</c:v>
                </c:pt>
                <c:pt idx="54">
                  <c:v>40130</c:v>
                </c:pt>
                <c:pt idx="55">
                  <c:v>40129</c:v>
                </c:pt>
                <c:pt idx="56">
                  <c:v>40128</c:v>
                </c:pt>
                <c:pt idx="57">
                  <c:v>40127</c:v>
                </c:pt>
                <c:pt idx="58">
                  <c:v>40126</c:v>
                </c:pt>
                <c:pt idx="59">
                  <c:v>40123</c:v>
                </c:pt>
                <c:pt idx="60">
                  <c:v>40122</c:v>
                </c:pt>
                <c:pt idx="61">
                  <c:v>40121</c:v>
                </c:pt>
                <c:pt idx="62">
                  <c:v>40120</c:v>
                </c:pt>
                <c:pt idx="63">
                  <c:v>40119</c:v>
                </c:pt>
                <c:pt idx="64">
                  <c:v>40116</c:v>
                </c:pt>
                <c:pt idx="65">
                  <c:v>40115</c:v>
                </c:pt>
                <c:pt idx="66">
                  <c:v>40114</c:v>
                </c:pt>
                <c:pt idx="67">
                  <c:v>40113</c:v>
                </c:pt>
                <c:pt idx="68">
                  <c:v>40112</c:v>
                </c:pt>
                <c:pt idx="69">
                  <c:v>40109</c:v>
                </c:pt>
                <c:pt idx="70">
                  <c:v>40108</c:v>
                </c:pt>
                <c:pt idx="71">
                  <c:v>40107</c:v>
                </c:pt>
                <c:pt idx="72">
                  <c:v>40106</c:v>
                </c:pt>
                <c:pt idx="73">
                  <c:v>40105</c:v>
                </c:pt>
                <c:pt idx="74">
                  <c:v>40102</c:v>
                </c:pt>
                <c:pt idx="75">
                  <c:v>40101</c:v>
                </c:pt>
                <c:pt idx="76">
                  <c:v>40100</c:v>
                </c:pt>
                <c:pt idx="77">
                  <c:v>40099</c:v>
                </c:pt>
                <c:pt idx="78">
                  <c:v>40098</c:v>
                </c:pt>
                <c:pt idx="79">
                  <c:v>40095</c:v>
                </c:pt>
                <c:pt idx="80">
                  <c:v>40094</c:v>
                </c:pt>
                <c:pt idx="81">
                  <c:v>40093</c:v>
                </c:pt>
                <c:pt idx="82">
                  <c:v>40092</c:v>
                </c:pt>
                <c:pt idx="83">
                  <c:v>40091</c:v>
                </c:pt>
                <c:pt idx="84">
                  <c:v>40088</c:v>
                </c:pt>
                <c:pt idx="85">
                  <c:v>40087</c:v>
                </c:pt>
                <c:pt idx="86">
                  <c:v>40086</c:v>
                </c:pt>
                <c:pt idx="87">
                  <c:v>40085</c:v>
                </c:pt>
                <c:pt idx="88">
                  <c:v>40084</c:v>
                </c:pt>
                <c:pt idx="89">
                  <c:v>40081</c:v>
                </c:pt>
                <c:pt idx="90">
                  <c:v>40080</c:v>
                </c:pt>
                <c:pt idx="91">
                  <c:v>40079</c:v>
                </c:pt>
                <c:pt idx="92">
                  <c:v>40078</c:v>
                </c:pt>
                <c:pt idx="93">
                  <c:v>40077</c:v>
                </c:pt>
                <c:pt idx="94">
                  <c:v>40074</c:v>
                </c:pt>
                <c:pt idx="95">
                  <c:v>40073</c:v>
                </c:pt>
                <c:pt idx="96">
                  <c:v>40072</c:v>
                </c:pt>
                <c:pt idx="97">
                  <c:v>40071</c:v>
                </c:pt>
                <c:pt idx="98">
                  <c:v>40070</c:v>
                </c:pt>
                <c:pt idx="99">
                  <c:v>40067</c:v>
                </c:pt>
                <c:pt idx="100">
                  <c:v>40066</c:v>
                </c:pt>
                <c:pt idx="101">
                  <c:v>40065</c:v>
                </c:pt>
                <c:pt idx="102">
                  <c:v>40064</c:v>
                </c:pt>
                <c:pt idx="103">
                  <c:v>40063</c:v>
                </c:pt>
                <c:pt idx="104">
                  <c:v>40060</c:v>
                </c:pt>
                <c:pt idx="105">
                  <c:v>40059</c:v>
                </c:pt>
                <c:pt idx="106">
                  <c:v>40058</c:v>
                </c:pt>
                <c:pt idx="107">
                  <c:v>40057</c:v>
                </c:pt>
                <c:pt idx="108">
                  <c:v>40056</c:v>
                </c:pt>
                <c:pt idx="109">
                  <c:v>40053</c:v>
                </c:pt>
                <c:pt idx="110">
                  <c:v>40052</c:v>
                </c:pt>
                <c:pt idx="111">
                  <c:v>40051</c:v>
                </c:pt>
                <c:pt idx="112">
                  <c:v>40050</c:v>
                </c:pt>
                <c:pt idx="113">
                  <c:v>40049</c:v>
                </c:pt>
                <c:pt idx="114">
                  <c:v>40046</c:v>
                </c:pt>
                <c:pt idx="115">
                  <c:v>40045</c:v>
                </c:pt>
                <c:pt idx="116">
                  <c:v>40044</c:v>
                </c:pt>
                <c:pt idx="117">
                  <c:v>40043</c:v>
                </c:pt>
                <c:pt idx="118">
                  <c:v>40042</c:v>
                </c:pt>
                <c:pt idx="119">
                  <c:v>40039</c:v>
                </c:pt>
                <c:pt idx="120">
                  <c:v>40038</c:v>
                </c:pt>
                <c:pt idx="121">
                  <c:v>40037</c:v>
                </c:pt>
                <c:pt idx="122">
                  <c:v>40036</c:v>
                </c:pt>
                <c:pt idx="123">
                  <c:v>40035</c:v>
                </c:pt>
                <c:pt idx="124">
                  <c:v>40032</c:v>
                </c:pt>
                <c:pt idx="125">
                  <c:v>40031</c:v>
                </c:pt>
                <c:pt idx="126">
                  <c:v>40030</c:v>
                </c:pt>
                <c:pt idx="127">
                  <c:v>40029</c:v>
                </c:pt>
                <c:pt idx="128">
                  <c:v>40028</c:v>
                </c:pt>
                <c:pt idx="129">
                  <c:v>40025</c:v>
                </c:pt>
                <c:pt idx="130">
                  <c:v>40024</c:v>
                </c:pt>
                <c:pt idx="131">
                  <c:v>40023</c:v>
                </c:pt>
                <c:pt idx="132">
                  <c:v>40022</c:v>
                </c:pt>
                <c:pt idx="133">
                  <c:v>40021</c:v>
                </c:pt>
                <c:pt idx="134">
                  <c:v>40018</c:v>
                </c:pt>
                <c:pt idx="135">
                  <c:v>40017</c:v>
                </c:pt>
                <c:pt idx="136">
                  <c:v>40016</c:v>
                </c:pt>
                <c:pt idx="137">
                  <c:v>40015</c:v>
                </c:pt>
                <c:pt idx="138">
                  <c:v>40014</c:v>
                </c:pt>
                <c:pt idx="139">
                  <c:v>40011</c:v>
                </c:pt>
                <c:pt idx="140">
                  <c:v>40010</c:v>
                </c:pt>
                <c:pt idx="141">
                  <c:v>40009</c:v>
                </c:pt>
                <c:pt idx="142">
                  <c:v>40008</c:v>
                </c:pt>
                <c:pt idx="143">
                  <c:v>40007</c:v>
                </c:pt>
                <c:pt idx="144">
                  <c:v>40004</c:v>
                </c:pt>
                <c:pt idx="145">
                  <c:v>40003</c:v>
                </c:pt>
                <c:pt idx="146">
                  <c:v>40002</c:v>
                </c:pt>
                <c:pt idx="147">
                  <c:v>40001</c:v>
                </c:pt>
                <c:pt idx="148">
                  <c:v>40000</c:v>
                </c:pt>
                <c:pt idx="149">
                  <c:v>39997</c:v>
                </c:pt>
                <c:pt idx="150">
                  <c:v>39996</c:v>
                </c:pt>
                <c:pt idx="151">
                  <c:v>39995</c:v>
                </c:pt>
                <c:pt idx="152">
                  <c:v>39994</c:v>
                </c:pt>
                <c:pt idx="153">
                  <c:v>39993</c:v>
                </c:pt>
                <c:pt idx="154">
                  <c:v>39990</c:v>
                </c:pt>
                <c:pt idx="155">
                  <c:v>39989</c:v>
                </c:pt>
                <c:pt idx="156">
                  <c:v>39988</c:v>
                </c:pt>
                <c:pt idx="157">
                  <c:v>39987</c:v>
                </c:pt>
                <c:pt idx="158">
                  <c:v>39986</c:v>
                </c:pt>
                <c:pt idx="159">
                  <c:v>39983</c:v>
                </c:pt>
                <c:pt idx="160">
                  <c:v>39982</c:v>
                </c:pt>
                <c:pt idx="161">
                  <c:v>39981</c:v>
                </c:pt>
                <c:pt idx="162">
                  <c:v>39980</c:v>
                </c:pt>
                <c:pt idx="163">
                  <c:v>39979</c:v>
                </c:pt>
                <c:pt idx="164">
                  <c:v>39976</c:v>
                </c:pt>
                <c:pt idx="165">
                  <c:v>39975</c:v>
                </c:pt>
                <c:pt idx="166">
                  <c:v>39974</c:v>
                </c:pt>
                <c:pt idx="167">
                  <c:v>39973</c:v>
                </c:pt>
                <c:pt idx="168">
                  <c:v>39972</c:v>
                </c:pt>
                <c:pt idx="169">
                  <c:v>39969</c:v>
                </c:pt>
                <c:pt idx="170">
                  <c:v>39968</c:v>
                </c:pt>
                <c:pt idx="171">
                  <c:v>39967</c:v>
                </c:pt>
                <c:pt idx="172">
                  <c:v>39966</c:v>
                </c:pt>
                <c:pt idx="173">
                  <c:v>39962</c:v>
                </c:pt>
                <c:pt idx="174">
                  <c:v>39961</c:v>
                </c:pt>
                <c:pt idx="175">
                  <c:v>39960</c:v>
                </c:pt>
                <c:pt idx="176">
                  <c:v>39959</c:v>
                </c:pt>
                <c:pt idx="177">
                  <c:v>39958</c:v>
                </c:pt>
                <c:pt idx="178">
                  <c:v>39955</c:v>
                </c:pt>
                <c:pt idx="179">
                  <c:v>39953</c:v>
                </c:pt>
                <c:pt idx="180">
                  <c:v>39952</c:v>
                </c:pt>
                <c:pt idx="181">
                  <c:v>39951</c:v>
                </c:pt>
                <c:pt idx="182">
                  <c:v>39948</c:v>
                </c:pt>
                <c:pt idx="183">
                  <c:v>39947</c:v>
                </c:pt>
                <c:pt idx="184">
                  <c:v>39946</c:v>
                </c:pt>
                <c:pt idx="185">
                  <c:v>39945</c:v>
                </c:pt>
                <c:pt idx="186">
                  <c:v>39944</c:v>
                </c:pt>
                <c:pt idx="187">
                  <c:v>39941</c:v>
                </c:pt>
                <c:pt idx="188">
                  <c:v>39940</c:v>
                </c:pt>
                <c:pt idx="189">
                  <c:v>39939</c:v>
                </c:pt>
                <c:pt idx="190">
                  <c:v>39938</c:v>
                </c:pt>
                <c:pt idx="191">
                  <c:v>39937</c:v>
                </c:pt>
                <c:pt idx="192">
                  <c:v>39933</c:v>
                </c:pt>
                <c:pt idx="193">
                  <c:v>39932</c:v>
                </c:pt>
                <c:pt idx="194">
                  <c:v>39931</c:v>
                </c:pt>
                <c:pt idx="195">
                  <c:v>39930</c:v>
                </c:pt>
                <c:pt idx="196">
                  <c:v>39927</c:v>
                </c:pt>
                <c:pt idx="197">
                  <c:v>39926</c:v>
                </c:pt>
                <c:pt idx="198">
                  <c:v>39925</c:v>
                </c:pt>
                <c:pt idx="199">
                  <c:v>39924</c:v>
                </c:pt>
                <c:pt idx="200">
                  <c:v>39923</c:v>
                </c:pt>
                <c:pt idx="201">
                  <c:v>39920</c:v>
                </c:pt>
                <c:pt idx="202">
                  <c:v>39919</c:v>
                </c:pt>
                <c:pt idx="203">
                  <c:v>39918</c:v>
                </c:pt>
                <c:pt idx="204">
                  <c:v>39917</c:v>
                </c:pt>
                <c:pt idx="205">
                  <c:v>39911</c:v>
                </c:pt>
                <c:pt idx="206">
                  <c:v>39910</c:v>
                </c:pt>
                <c:pt idx="207">
                  <c:v>39909</c:v>
                </c:pt>
                <c:pt idx="208">
                  <c:v>39906</c:v>
                </c:pt>
                <c:pt idx="209">
                  <c:v>39905</c:v>
                </c:pt>
                <c:pt idx="210">
                  <c:v>39904</c:v>
                </c:pt>
                <c:pt idx="211">
                  <c:v>39903</c:v>
                </c:pt>
                <c:pt idx="212">
                  <c:v>39902</c:v>
                </c:pt>
                <c:pt idx="213">
                  <c:v>39899</c:v>
                </c:pt>
                <c:pt idx="214">
                  <c:v>39898</c:v>
                </c:pt>
                <c:pt idx="215">
                  <c:v>39897</c:v>
                </c:pt>
                <c:pt idx="216">
                  <c:v>39896</c:v>
                </c:pt>
                <c:pt idx="217">
                  <c:v>39895</c:v>
                </c:pt>
                <c:pt idx="218">
                  <c:v>39892</c:v>
                </c:pt>
                <c:pt idx="219">
                  <c:v>39891</c:v>
                </c:pt>
                <c:pt idx="220">
                  <c:v>39890</c:v>
                </c:pt>
                <c:pt idx="221">
                  <c:v>39889</c:v>
                </c:pt>
                <c:pt idx="222">
                  <c:v>39888</c:v>
                </c:pt>
                <c:pt idx="223">
                  <c:v>39885</c:v>
                </c:pt>
                <c:pt idx="224">
                  <c:v>39884</c:v>
                </c:pt>
                <c:pt idx="225">
                  <c:v>39883</c:v>
                </c:pt>
                <c:pt idx="226">
                  <c:v>39882</c:v>
                </c:pt>
                <c:pt idx="227">
                  <c:v>39881</c:v>
                </c:pt>
                <c:pt idx="228">
                  <c:v>39878</c:v>
                </c:pt>
                <c:pt idx="229">
                  <c:v>39877</c:v>
                </c:pt>
                <c:pt idx="230">
                  <c:v>39876</c:v>
                </c:pt>
                <c:pt idx="231">
                  <c:v>39875</c:v>
                </c:pt>
                <c:pt idx="232">
                  <c:v>39874</c:v>
                </c:pt>
                <c:pt idx="233">
                  <c:v>39871</c:v>
                </c:pt>
                <c:pt idx="234">
                  <c:v>39870</c:v>
                </c:pt>
                <c:pt idx="235">
                  <c:v>39869</c:v>
                </c:pt>
                <c:pt idx="236">
                  <c:v>39868</c:v>
                </c:pt>
                <c:pt idx="237">
                  <c:v>39867</c:v>
                </c:pt>
                <c:pt idx="238">
                  <c:v>39864</c:v>
                </c:pt>
                <c:pt idx="239">
                  <c:v>39863</c:v>
                </c:pt>
                <c:pt idx="240">
                  <c:v>39862</c:v>
                </c:pt>
                <c:pt idx="241">
                  <c:v>39861</c:v>
                </c:pt>
                <c:pt idx="242">
                  <c:v>39860</c:v>
                </c:pt>
                <c:pt idx="243">
                  <c:v>39857</c:v>
                </c:pt>
                <c:pt idx="244">
                  <c:v>39856</c:v>
                </c:pt>
                <c:pt idx="245">
                  <c:v>39855</c:v>
                </c:pt>
                <c:pt idx="246">
                  <c:v>39854</c:v>
                </c:pt>
                <c:pt idx="247">
                  <c:v>39853</c:v>
                </c:pt>
                <c:pt idx="248">
                  <c:v>39850</c:v>
                </c:pt>
                <c:pt idx="249">
                  <c:v>39849</c:v>
                </c:pt>
                <c:pt idx="250">
                  <c:v>39848</c:v>
                </c:pt>
                <c:pt idx="251">
                  <c:v>39847</c:v>
                </c:pt>
                <c:pt idx="252">
                  <c:v>39846</c:v>
                </c:pt>
                <c:pt idx="253">
                  <c:v>39843</c:v>
                </c:pt>
                <c:pt idx="254">
                  <c:v>39842</c:v>
                </c:pt>
                <c:pt idx="255">
                  <c:v>39841</c:v>
                </c:pt>
                <c:pt idx="256">
                  <c:v>39840</c:v>
                </c:pt>
                <c:pt idx="257">
                  <c:v>39839</c:v>
                </c:pt>
                <c:pt idx="258">
                  <c:v>39836</c:v>
                </c:pt>
                <c:pt idx="259">
                  <c:v>39835</c:v>
                </c:pt>
                <c:pt idx="260">
                  <c:v>39834</c:v>
                </c:pt>
                <c:pt idx="261">
                  <c:v>39833</c:v>
                </c:pt>
                <c:pt idx="262">
                  <c:v>39832</c:v>
                </c:pt>
                <c:pt idx="263">
                  <c:v>39829</c:v>
                </c:pt>
                <c:pt idx="264">
                  <c:v>39828</c:v>
                </c:pt>
                <c:pt idx="265">
                  <c:v>39827</c:v>
                </c:pt>
                <c:pt idx="266">
                  <c:v>39826</c:v>
                </c:pt>
                <c:pt idx="267">
                  <c:v>39825</c:v>
                </c:pt>
                <c:pt idx="268">
                  <c:v>39822</c:v>
                </c:pt>
                <c:pt idx="269">
                  <c:v>39821</c:v>
                </c:pt>
                <c:pt idx="270">
                  <c:v>39820</c:v>
                </c:pt>
                <c:pt idx="271">
                  <c:v>39819</c:v>
                </c:pt>
                <c:pt idx="272">
                  <c:v>39818</c:v>
                </c:pt>
                <c:pt idx="273">
                  <c:v>39815</c:v>
                </c:pt>
              </c:numCache>
            </c:numRef>
          </c:cat>
          <c:val>
            <c:numRef>
              <c:f>SourceData!$M$250:$M$523</c:f>
              <c:numCache>
                <c:formatCode>#,##0_);[Red]\(#,##0\)</c:formatCode>
                <c:ptCount val="2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A8-43C9-9C75-BC950520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94072"/>
        <c:axId val="516688976"/>
      </c:areaChart>
      <c:barChart>
        <c:barDir val="col"/>
        <c:grouping val="clustered"/>
        <c:varyColors val="0"/>
        <c:ser>
          <c:idx val="2"/>
          <c:order val="2"/>
          <c:tx>
            <c:strRef>
              <c:f>SourceData!$C$1</c:f>
              <c:strCache>
                <c:ptCount val="1"/>
                <c:pt idx="0">
                  <c:v>Usage</c:v>
                </c:pt>
              </c:strCache>
            </c:strRef>
          </c:tx>
          <c:spPr>
            <a:solidFill>
              <a:srgbClr val="00B050"/>
            </a:solidFill>
            <a:ln>
              <a:solidFill>
                <a:srgbClr val="00B050"/>
              </a:solidFill>
            </a:ln>
          </c:spPr>
          <c:invertIfNegative val="0"/>
          <c:cat>
            <c:numRef>
              <c:f>[0]!X1_Range</c:f>
              <c:numCache>
                <c:formatCode>dd/mm/yyyy;@</c:formatCode>
                <c:ptCount val="274"/>
                <c:pt idx="0">
                  <c:v>43497</c:v>
                </c:pt>
                <c:pt idx="1">
                  <c:v>40211</c:v>
                </c:pt>
                <c:pt idx="2">
                  <c:v>40210</c:v>
                </c:pt>
                <c:pt idx="3">
                  <c:v>40207</c:v>
                </c:pt>
                <c:pt idx="4">
                  <c:v>40206</c:v>
                </c:pt>
                <c:pt idx="5">
                  <c:v>40205</c:v>
                </c:pt>
                <c:pt idx="6">
                  <c:v>40204</c:v>
                </c:pt>
                <c:pt idx="7">
                  <c:v>40203</c:v>
                </c:pt>
                <c:pt idx="8">
                  <c:v>40200</c:v>
                </c:pt>
                <c:pt idx="9">
                  <c:v>40199</c:v>
                </c:pt>
                <c:pt idx="10">
                  <c:v>40198</c:v>
                </c:pt>
                <c:pt idx="11">
                  <c:v>40197</c:v>
                </c:pt>
                <c:pt idx="12">
                  <c:v>40196</c:v>
                </c:pt>
                <c:pt idx="13">
                  <c:v>40193</c:v>
                </c:pt>
                <c:pt idx="14">
                  <c:v>40192</c:v>
                </c:pt>
                <c:pt idx="15">
                  <c:v>40191</c:v>
                </c:pt>
                <c:pt idx="16">
                  <c:v>40190</c:v>
                </c:pt>
                <c:pt idx="17">
                  <c:v>40189</c:v>
                </c:pt>
                <c:pt idx="18">
                  <c:v>40186</c:v>
                </c:pt>
                <c:pt idx="19">
                  <c:v>40185</c:v>
                </c:pt>
                <c:pt idx="20">
                  <c:v>40184</c:v>
                </c:pt>
                <c:pt idx="21">
                  <c:v>40183</c:v>
                </c:pt>
                <c:pt idx="22">
                  <c:v>40182</c:v>
                </c:pt>
                <c:pt idx="23">
                  <c:v>40177</c:v>
                </c:pt>
                <c:pt idx="24">
                  <c:v>40176</c:v>
                </c:pt>
                <c:pt idx="25">
                  <c:v>40175</c:v>
                </c:pt>
                <c:pt idx="26">
                  <c:v>40170</c:v>
                </c:pt>
                <c:pt idx="27">
                  <c:v>40169</c:v>
                </c:pt>
                <c:pt idx="28">
                  <c:v>40168</c:v>
                </c:pt>
                <c:pt idx="29">
                  <c:v>40165</c:v>
                </c:pt>
                <c:pt idx="30">
                  <c:v>40164</c:v>
                </c:pt>
                <c:pt idx="31">
                  <c:v>40163</c:v>
                </c:pt>
                <c:pt idx="32">
                  <c:v>40162</c:v>
                </c:pt>
                <c:pt idx="33">
                  <c:v>40161</c:v>
                </c:pt>
                <c:pt idx="34">
                  <c:v>40158</c:v>
                </c:pt>
                <c:pt idx="35">
                  <c:v>40157</c:v>
                </c:pt>
                <c:pt idx="36">
                  <c:v>40156</c:v>
                </c:pt>
                <c:pt idx="37">
                  <c:v>40155</c:v>
                </c:pt>
                <c:pt idx="38">
                  <c:v>40154</c:v>
                </c:pt>
                <c:pt idx="39">
                  <c:v>40151</c:v>
                </c:pt>
                <c:pt idx="40">
                  <c:v>40150</c:v>
                </c:pt>
                <c:pt idx="41">
                  <c:v>40149</c:v>
                </c:pt>
                <c:pt idx="42">
                  <c:v>40148</c:v>
                </c:pt>
                <c:pt idx="43">
                  <c:v>40147</c:v>
                </c:pt>
                <c:pt idx="44">
                  <c:v>40144</c:v>
                </c:pt>
                <c:pt idx="45">
                  <c:v>40143</c:v>
                </c:pt>
                <c:pt idx="46">
                  <c:v>40142</c:v>
                </c:pt>
                <c:pt idx="47">
                  <c:v>40141</c:v>
                </c:pt>
                <c:pt idx="48">
                  <c:v>40140</c:v>
                </c:pt>
                <c:pt idx="49">
                  <c:v>40137</c:v>
                </c:pt>
                <c:pt idx="50">
                  <c:v>40136</c:v>
                </c:pt>
                <c:pt idx="51">
                  <c:v>40135</c:v>
                </c:pt>
                <c:pt idx="52">
                  <c:v>40134</c:v>
                </c:pt>
                <c:pt idx="53">
                  <c:v>40133</c:v>
                </c:pt>
                <c:pt idx="54">
                  <c:v>40130</c:v>
                </c:pt>
                <c:pt idx="55">
                  <c:v>40129</c:v>
                </c:pt>
                <c:pt idx="56">
                  <c:v>40128</c:v>
                </c:pt>
                <c:pt idx="57">
                  <c:v>40127</c:v>
                </c:pt>
                <c:pt idx="58">
                  <c:v>40126</c:v>
                </c:pt>
                <c:pt idx="59">
                  <c:v>40123</c:v>
                </c:pt>
                <c:pt idx="60">
                  <c:v>40122</c:v>
                </c:pt>
                <c:pt idx="61">
                  <c:v>40121</c:v>
                </c:pt>
                <c:pt idx="62">
                  <c:v>40120</c:v>
                </c:pt>
                <c:pt idx="63">
                  <c:v>40119</c:v>
                </c:pt>
                <c:pt idx="64">
                  <c:v>40116</c:v>
                </c:pt>
                <c:pt idx="65">
                  <c:v>40115</c:v>
                </c:pt>
                <c:pt idx="66">
                  <c:v>40114</c:v>
                </c:pt>
                <c:pt idx="67">
                  <c:v>40113</c:v>
                </c:pt>
                <c:pt idx="68">
                  <c:v>40112</c:v>
                </c:pt>
                <c:pt idx="69">
                  <c:v>40109</c:v>
                </c:pt>
                <c:pt idx="70">
                  <c:v>40108</c:v>
                </c:pt>
                <c:pt idx="71">
                  <c:v>40107</c:v>
                </c:pt>
                <c:pt idx="72">
                  <c:v>40106</c:v>
                </c:pt>
                <c:pt idx="73">
                  <c:v>40105</c:v>
                </c:pt>
                <c:pt idx="74">
                  <c:v>40102</c:v>
                </c:pt>
                <c:pt idx="75">
                  <c:v>40101</c:v>
                </c:pt>
                <c:pt idx="76">
                  <c:v>40100</c:v>
                </c:pt>
                <c:pt idx="77">
                  <c:v>40099</c:v>
                </c:pt>
                <c:pt idx="78">
                  <c:v>40098</c:v>
                </c:pt>
                <c:pt idx="79">
                  <c:v>40095</c:v>
                </c:pt>
                <c:pt idx="80">
                  <c:v>40094</c:v>
                </c:pt>
                <c:pt idx="81">
                  <c:v>40093</c:v>
                </c:pt>
                <c:pt idx="82">
                  <c:v>40092</c:v>
                </c:pt>
                <c:pt idx="83">
                  <c:v>40091</c:v>
                </c:pt>
                <c:pt idx="84">
                  <c:v>40088</c:v>
                </c:pt>
                <c:pt idx="85">
                  <c:v>40087</c:v>
                </c:pt>
                <c:pt idx="86">
                  <c:v>40086</c:v>
                </c:pt>
                <c:pt idx="87">
                  <c:v>40085</c:v>
                </c:pt>
                <c:pt idx="88">
                  <c:v>40084</c:v>
                </c:pt>
                <c:pt idx="89">
                  <c:v>40081</c:v>
                </c:pt>
                <c:pt idx="90">
                  <c:v>40080</c:v>
                </c:pt>
                <c:pt idx="91">
                  <c:v>40079</c:v>
                </c:pt>
                <c:pt idx="92">
                  <c:v>40078</c:v>
                </c:pt>
                <c:pt idx="93">
                  <c:v>40077</c:v>
                </c:pt>
                <c:pt idx="94">
                  <c:v>40074</c:v>
                </c:pt>
                <c:pt idx="95">
                  <c:v>40073</c:v>
                </c:pt>
                <c:pt idx="96">
                  <c:v>40072</c:v>
                </c:pt>
                <c:pt idx="97">
                  <c:v>40071</c:v>
                </c:pt>
                <c:pt idx="98">
                  <c:v>40070</c:v>
                </c:pt>
                <c:pt idx="99">
                  <c:v>40067</c:v>
                </c:pt>
                <c:pt idx="100">
                  <c:v>40066</c:v>
                </c:pt>
                <c:pt idx="101">
                  <c:v>40065</c:v>
                </c:pt>
                <c:pt idx="102">
                  <c:v>40064</c:v>
                </c:pt>
                <c:pt idx="103">
                  <c:v>40063</c:v>
                </c:pt>
                <c:pt idx="104">
                  <c:v>40060</c:v>
                </c:pt>
                <c:pt idx="105">
                  <c:v>40059</c:v>
                </c:pt>
                <c:pt idx="106">
                  <c:v>40058</c:v>
                </c:pt>
                <c:pt idx="107">
                  <c:v>40057</c:v>
                </c:pt>
                <c:pt idx="108">
                  <c:v>40056</c:v>
                </c:pt>
                <c:pt idx="109">
                  <c:v>40053</c:v>
                </c:pt>
                <c:pt idx="110">
                  <c:v>40052</c:v>
                </c:pt>
                <c:pt idx="111">
                  <c:v>40051</c:v>
                </c:pt>
                <c:pt idx="112">
                  <c:v>40050</c:v>
                </c:pt>
                <c:pt idx="113">
                  <c:v>40049</c:v>
                </c:pt>
                <c:pt idx="114">
                  <c:v>40046</c:v>
                </c:pt>
                <c:pt idx="115">
                  <c:v>40045</c:v>
                </c:pt>
                <c:pt idx="116">
                  <c:v>40044</c:v>
                </c:pt>
                <c:pt idx="117">
                  <c:v>40043</c:v>
                </c:pt>
                <c:pt idx="118">
                  <c:v>40042</c:v>
                </c:pt>
                <c:pt idx="119">
                  <c:v>40039</c:v>
                </c:pt>
                <c:pt idx="120">
                  <c:v>40038</c:v>
                </c:pt>
                <c:pt idx="121">
                  <c:v>40037</c:v>
                </c:pt>
                <c:pt idx="122">
                  <c:v>40036</c:v>
                </c:pt>
                <c:pt idx="123">
                  <c:v>40035</c:v>
                </c:pt>
                <c:pt idx="124">
                  <c:v>40032</c:v>
                </c:pt>
                <c:pt idx="125">
                  <c:v>40031</c:v>
                </c:pt>
                <c:pt idx="126">
                  <c:v>40030</c:v>
                </c:pt>
                <c:pt idx="127">
                  <c:v>40029</c:v>
                </c:pt>
                <c:pt idx="128">
                  <c:v>40028</c:v>
                </c:pt>
                <c:pt idx="129">
                  <c:v>40025</c:v>
                </c:pt>
                <c:pt idx="130">
                  <c:v>40024</c:v>
                </c:pt>
                <c:pt idx="131">
                  <c:v>40023</c:v>
                </c:pt>
                <c:pt idx="132">
                  <c:v>40022</c:v>
                </c:pt>
                <c:pt idx="133">
                  <c:v>40021</c:v>
                </c:pt>
                <c:pt idx="134">
                  <c:v>40018</c:v>
                </c:pt>
                <c:pt idx="135">
                  <c:v>40017</c:v>
                </c:pt>
                <c:pt idx="136">
                  <c:v>40016</c:v>
                </c:pt>
                <c:pt idx="137">
                  <c:v>40015</c:v>
                </c:pt>
                <c:pt idx="138">
                  <c:v>40014</c:v>
                </c:pt>
                <c:pt idx="139">
                  <c:v>40011</c:v>
                </c:pt>
                <c:pt idx="140">
                  <c:v>40010</c:v>
                </c:pt>
                <c:pt idx="141">
                  <c:v>40009</c:v>
                </c:pt>
                <c:pt idx="142">
                  <c:v>40008</c:v>
                </c:pt>
                <c:pt idx="143">
                  <c:v>40007</c:v>
                </c:pt>
                <c:pt idx="144">
                  <c:v>40004</c:v>
                </c:pt>
                <c:pt idx="145">
                  <c:v>40003</c:v>
                </c:pt>
                <c:pt idx="146">
                  <c:v>40002</c:v>
                </c:pt>
                <c:pt idx="147">
                  <c:v>40001</c:v>
                </c:pt>
                <c:pt idx="148">
                  <c:v>40000</c:v>
                </c:pt>
                <c:pt idx="149">
                  <c:v>39997</c:v>
                </c:pt>
                <c:pt idx="150">
                  <c:v>39996</c:v>
                </c:pt>
                <c:pt idx="151">
                  <c:v>39995</c:v>
                </c:pt>
                <c:pt idx="152">
                  <c:v>39994</c:v>
                </c:pt>
                <c:pt idx="153">
                  <c:v>39993</c:v>
                </c:pt>
                <c:pt idx="154">
                  <c:v>39990</c:v>
                </c:pt>
                <c:pt idx="155">
                  <c:v>39989</c:v>
                </c:pt>
                <c:pt idx="156">
                  <c:v>39988</c:v>
                </c:pt>
                <c:pt idx="157">
                  <c:v>39987</c:v>
                </c:pt>
                <c:pt idx="158">
                  <c:v>39986</c:v>
                </c:pt>
                <c:pt idx="159">
                  <c:v>39983</c:v>
                </c:pt>
                <c:pt idx="160">
                  <c:v>39982</c:v>
                </c:pt>
                <c:pt idx="161">
                  <c:v>39981</c:v>
                </c:pt>
                <c:pt idx="162">
                  <c:v>39980</c:v>
                </c:pt>
                <c:pt idx="163">
                  <c:v>39979</c:v>
                </c:pt>
                <c:pt idx="164">
                  <c:v>39976</c:v>
                </c:pt>
                <c:pt idx="165">
                  <c:v>39975</c:v>
                </c:pt>
                <c:pt idx="166">
                  <c:v>39974</c:v>
                </c:pt>
                <c:pt idx="167">
                  <c:v>39973</c:v>
                </c:pt>
                <c:pt idx="168">
                  <c:v>39972</c:v>
                </c:pt>
                <c:pt idx="169">
                  <c:v>39969</c:v>
                </c:pt>
                <c:pt idx="170">
                  <c:v>39968</c:v>
                </c:pt>
                <c:pt idx="171">
                  <c:v>39967</c:v>
                </c:pt>
                <c:pt idx="172">
                  <c:v>39966</c:v>
                </c:pt>
                <c:pt idx="173">
                  <c:v>39962</c:v>
                </c:pt>
                <c:pt idx="174">
                  <c:v>39961</c:v>
                </c:pt>
                <c:pt idx="175">
                  <c:v>39960</c:v>
                </c:pt>
                <c:pt idx="176">
                  <c:v>39959</c:v>
                </c:pt>
                <c:pt idx="177">
                  <c:v>39958</c:v>
                </c:pt>
                <c:pt idx="178">
                  <c:v>39955</c:v>
                </c:pt>
                <c:pt idx="179">
                  <c:v>39953</c:v>
                </c:pt>
                <c:pt idx="180">
                  <c:v>39952</c:v>
                </c:pt>
                <c:pt idx="181">
                  <c:v>39951</c:v>
                </c:pt>
                <c:pt idx="182">
                  <c:v>39948</c:v>
                </c:pt>
                <c:pt idx="183">
                  <c:v>39947</c:v>
                </c:pt>
                <c:pt idx="184">
                  <c:v>39946</c:v>
                </c:pt>
                <c:pt idx="185">
                  <c:v>39945</c:v>
                </c:pt>
                <c:pt idx="186">
                  <c:v>39944</c:v>
                </c:pt>
                <c:pt idx="187">
                  <c:v>39941</c:v>
                </c:pt>
                <c:pt idx="188">
                  <c:v>39940</c:v>
                </c:pt>
                <c:pt idx="189">
                  <c:v>39939</c:v>
                </c:pt>
                <c:pt idx="190">
                  <c:v>39938</c:v>
                </c:pt>
                <c:pt idx="191">
                  <c:v>39937</c:v>
                </c:pt>
                <c:pt idx="192">
                  <c:v>39933</c:v>
                </c:pt>
                <c:pt idx="193">
                  <c:v>39932</c:v>
                </c:pt>
                <c:pt idx="194">
                  <c:v>39931</c:v>
                </c:pt>
                <c:pt idx="195">
                  <c:v>39930</c:v>
                </c:pt>
                <c:pt idx="196">
                  <c:v>39927</c:v>
                </c:pt>
                <c:pt idx="197">
                  <c:v>39926</c:v>
                </c:pt>
                <c:pt idx="198">
                  <c:v>39925</c:v>
                </c:pt>
                <c:pt idx="199">
                  <c:v>39924</c:v>
                </c:pt>
                <c:pt idx="200">
                  <c:v>39923</c:v>
                </c:pt>
                <c:pt idx="201">
                  <c:v>39920</c:v>
                </c:pt>
                <c:pt idx="202">
                  <c:v>39919</c:v>
                </c:pt>
                <c:pt idx="203">
                  <c:v>39918</c:v>
                </c:pt>
                <c:pt idx="204">
                  <c:v>39917</c:v>
                </c:pt>
                <c:pt idx="205">
                  <c:v>39911</c:v>
                </c:pt>
                <c:pt idx="206">
                  <c:v>39910</c:v>
                </c:pt>
                <c:pt idx="207">
                  <c:v>39909</c:v>
                </c:pt>
                <c:pt idx="208">
                  <c:v>39906</c:v>
                </c:pt>
                <c:pt idx="209">
                  <c:v>39905</c:v>
                </c:pt>
                <c:pt idx="210">
                  <c:v>39904</c:v>
                </c:pt>
                <c:pt idx="211">
                  <c:v>39903</c:v>
                </c:pt>
                <c:pt idx="212">
                  <c:v>39902</c:v>
                </c:pt>
                <c:pt idx="213">
                  <c:v>39899</c:v>
                </c:pt>
                <c:pt idx="214">
                  <c:v>39898</c:v>
                </c:pt>
                <c:pt idx="215">
                  <c:v>39897</c:v>
                </c:pt>
                <c:pt idx="216">
                  <c:v>39896</c:v>
                </c:pt>
                <c:pt idx="217">
                  <c:v>39895</c:v>
                </c:pt>
                <c:pt idx="218">
                  <c:v>39892</c:v>
                </c:pt>
                <c:pt idx="219">
                  <c:v>39891</c:v>
                </c:pt>
                <c:pt idx="220">
                  <c:v>39890</c:v>
                </c:pt>
                <c:pt idx="221">
                  <c:v>39889</c:v>
                </c:pt>
                <c:pt idx="222">
                  <c:v>39888</c:v>
                </c:pt>
                <c:pt idx="223">
                  <c:v>39885</c:v>
                </c:pt>
                <c:pt idx="224">
                  <c:v>39884</c:v>
                </c:pt>
                <c:pt idx="225">
                  <c:v>39883</c:v>
                </c:pt>
                <c:pt idx="226">
                  <c:v>39882</c:v>
                </c:pt>
                <c:pt idx="227">
                  <c:v>39881</c:v>
                </c:pt>
                <c:pt idx="228">
                  <c:v>39878</c:v>
                </c:pt>
                <c:pt idx="229">
                  <c:v>39877</c:v>
                </c:pt>
                <c:pt idx="230">
                  <c:v>39876</c:v>
                </c:pt>
                <c:pt idx="231">
                  <c:v>39875</c:v>
                </c:pt>
                <c:pt idx="232">
                  <c:v>39874</c:v>
                </c:pt>
                <c:pt idx="233">
                  <c:v>39871</c:v>
                </c:pt>
                <c:pt idx="234">
                  <c:v>39870</c:v>
                </c:pt>
                <c:pt idx="235">
                  <c:v>39869</c:v>
                </c:pt>
                <c:pt idx="236">
                  <c:v>39868</c:v>
                </c:pt>
                <c:pt idx="237">
                  <c:v>39867</c:v>
                </c:pt>
                <c:pt idx="238">
                  <c:v>39864</c:v>
                </c:pt>
                <c:pt idx="239">
                  <c:v>39863</c:v>
                </c:pt>
                <c:pt idx="240">
                  <c:v>39862</c:v>
                </c:pt>
                <c:pt idx="241">
                  <c:v>39861</c:v>
                </c:pt>
                <c:pt idx="242">
                  <c:v>39860</c:v>
                </c:pt>
                <c:pt idx="243">
                  <c:v>39857</c:v>
                </c:pt>
                <c:pt idx="244">
                  <c:v>39856</c:v>
                </c:pt>
                <c:pt idx="245">
                  <c:v>39855</c:v>
                </c:pt>
                <c:pt idx="246">
                  <c:v>39854</c:v>
                </c:pt>
                <c:pt idx="247">
                  <c:v>39853</c:v>
                </c:pt>
                <c:pt idx="248">
                  <c:v>39850</c:v>
                </c:pt>
                <c:pt idx="249">
                  <c:v>39849</c:v>
                </c:pt>
                <c:pt idx="250">
                  <c:v>39848</c:v>
                </c:pt>
                <c:pt idx="251">
                  <c:v>39847</c:v>
                </c:pt>
                <c:pt idx="252">
                  <c:v>39846</c:v>
                </c:pt>
                <c:pt idx="253">
                  <c:v>39843</c:v>
                </c:pt>
                <c:pt idx="254">
                  <c:v>39842</c:v>
                </c:pt>
                <c:pt idx="255">
                  <c:v>39841</c:v>
                </c:pt>
                <c:pt idx="256">
                  <c:v>39840</c:v>
                </c:pt>
                <c:pt idx="257">
                  <c:v>39839</c:v>
                </c:pt>
                <c:pt idx="258">
                  <c:v>39836</c:v>
                </c:pt>
                <c:pt idx="259">
                  <c:v>39835</c:v>
                </c:pt>
                <c:pt idx="260">
                  <c:v>39834</c:v>
                </c:pt>
                <c:pt idx="261">
                  <c:v>39833</c:v>
                </c:pt>
                <c:pt idx="262">
                  <c:v>39832</c:v>
                </c:pt>
                <c:pt idx="263">
                  <c:v>39829</c:v>
                </c:pt>
                <c:pt idx="264">
                  <c:v>39828</c:v>
                </c:pt>
                <c:pt idx="265">
                  <c:v>39827</c:v>
                </c:pt>
                <c:pt idx="266">
                  <c:v>39826</c:v>
                </c:pt>
                <c:pt idx="267">
                  <c:v>39825</c:v>
                </c:pt>
                <c:pt idx="268">
                  <c:v>39822</c:v>
                </c:pt>
                <c:pt idx="269">
                  <c:v>39821</c:v>
                </c:pt>
                <c:pt idx="270">
                  <c:v>39820</c:v>
                </c:pt>
                <c:pt idx="271">
                  <c:v>39819</c:v>
                </c:pt>
                <c:pt idx="272">
                  <c:v>39818</c:v>
                </c:pt>
                <c:pt idx="273">
                  <c:v>39815</c:v>
                </c:pt>
              </c:numCache>
            </c:numRef>
          </c:cat>
          <c:val>
            <c:numRef>
              <c:f>SourceData!$C$250:$C$523</c:f>
              <c:numCache>
                <c:formatCode>#,##0_);[Red]\(#,##0\)</c:formatCode>
                <c:ptCount val="274"/>
              </c:numCache>
            </c:numRef>
          </c:val>
          <c:extLst>
            <c:ext xmlns:c16="http://schemas.microsoft.com/office/drawing/2014/chart" uri="{C3380CC4-5D6E-409C-BE32-E72D297353CC}">
              <c16:uniqueId val="{00000001-B3A8-43C9-9C75-BC950520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16694072"/>
        <c:axId val="516688976"/>
      </c:barChart>
      <c:lineChart>
        <c:grouping val="standard"/>
        <c:varyColors val="0"/>
        <c:ser>
          <c:idx val="1"/>
          <c:order val="1"/>
          <c:tx>
            <c:strRef>
              <c:f>SourceData!$N$1</c:f>
              <c:strCache>
                <c:ptCount val="1"/>
                <c:pt idx="0">
                  <c:v>Saf_Stock_PCE</c:v>
                </c:pt>
              </c:strCache>
            </c:strRef>
          </c:tx>
          <c:spPr>
            <a:ln w="25400">
              <a:solidFill>
                <a:srgbClr val="FF3300"/>
              </a:solidFill>
              <a:prstDash val="solid"/>
            </a:ln>
          </c:spPr>
          <c:marker>
            <c:symbol val="none"/>
          </c:marker>
          <c:cat>
            <c:numRef>
              <c:f>[0]!X1_Range</c:f>
              <c:numCache>
                <c:formatCode>dd/mm/yyyy;@</c:formatCode>
                <c:ptCount val="274"/>
                <c:pt idx="0">
                  <c:v>43497</c:v>
                </c:pt>
                <c:pt idx="1">
                  <c:v>40211</c:v>
                </c:pt>
                <c:pt idx="2">
                  <c:v>40210</c:v>
                </c:pt>
                <c:pt idx="3">
                  <c:v>40207</c:v>
                </c:pt>
                <c:pt idx="4">
                  <c:v>40206</c:v>
                </c:pt>
                <c:pt idx="5">
                  <c:v>40205</c:v>
                </c:pt>
                <c:pt idx="6">
                  <c:v>40204</c:v>
                </c:pt>
                <c:pt idx="7">
                  <c:v>40203</c:v>
                </c:pt>
                <c:pt idx="8">
                  <c:v>40200</c:v>
                </c:pt>
                <c:pt idx="9">
                  <c:v>40199</c:v>
                </c:pt>
                <c:pt idx="10">
                  <c:v>40198</c:v>
                </c:pt>
                <c:pt idx="11">
                  <c:v>40197</c:v>
                </c:pt>
                <c:pt idx="12">
                  <c:v>40196</c:v>
                </c:pt>
                <c:pt idx="13">
                  <c:v>40193</c:v>
                </c:pt>
                <c:pt idx="14">
                  <c:v>40192</c:v>
                </c:pt>
                <c:pt idx="15">
                  <c:v>40191</c:v>
                </c:pt>
                <c:pt idx="16">
                  <c:v>40190</c:v>
                </c:pt>
                <c:pt idx="17">
                  <c:v>40189</c:v>
                </c:pt>
                <c:pt idx="18">
                  <c:v>40186</c:v>
                </c:pt>
                <c:pt idx="19">
                  <c:v>40185</c:v>
                </c:pt>
                <c:pt idx="20">
                  <c:v>40184</c:v>
                </c:pt>
                <c:pt idx="21">
                  <c:v>40183</c:v>
                </c:pt>
                <c:pt idx="22">
                  <c:v>40182</c:v>
                </c:pt>
                <c:pt idx="23">
                  <c:v>40177</c:v>
                </c:pt>
                <c:pt idx="24">
                  <c:v>40176</c:v>
                </c:pt>
                <c:pt idx="25">
                  <c:v>40175</c:v>
                </c:pt>
                <c:pt idx="26">
                  <c:v>40170</c:v>
                </c:pt>
                <c:pt idx="27">
                  <c:v>40169</c:v>
                </c:pt>
                <c:pt idx="28">
                  <c:v>40168</c:v>
                </c:pt>
                <c:pt idx="29">
                  <c:v>40165</c:v>
                </c:pt>
                <c:pt idx="30">
                  <c:v>40164</c:v>
                </c:pt>
                <c:pt idx="31">
                  <c:v>40163</c:v>
                </c:pt>
                <c:pt idx="32">
                  <c:v>40162</c:v>
                </c:pt>
                <c:pt idx="33">
                  <c:v>40161</c:v>
                </c:pt>
                <c:pt idx="34">
                  <c:v>40158</c:v>
                </c:pt>
                <c:pt idx="35">
                  <c:v>40157</c:v>
                </c:pt>
                <c:pt idx="36">
                  <c:v>40156</c:v>
                </c:pt>
                <c:pt idx="37">
                  <c:v>40155</c:v>
                </c:pt>
                <c:pt idx="38">
                  <c:v>40154</c:v>
                </c:pt>
                <c:pt idx="39">
                  <c:v>40151</c:v>
                </c:pt>
                <c:pt idx="40">
                  <c:v>40150</c:v>
                </c:pt>
                <c:pt idx="41">
                  <c:v>40149</c:v>
                </c:pt>
                <c:pt idx="42">
                  <c:v>40148</c:v>
                </c:pt>
                <c:pt idx="43">
                  <c:v>40147</c:v>
                </c:pt>
                <c:pt idx="44">
                  <c:v>40144</c:v>
                </c:pt>
                <c:pt idx="45">
                  <c:v>40143</c:v>
                </c:pt>
                <c:pt idx="46">
                  <c:v>40142</c:v>
                </c:pt>
                <c:pt idx="47">
                  <c:v>40141</c:v>
                </c:pt>
                <c:pt idx="48">
                  <c:v>40140</c:v>
                </c:pt>
                <c:pt idx="49">
                  <c:v>40137</c:v>
                </c:pt>
                <c:pt idx="50">
                  <c:v>40136</c:v>
                </c:pt>
                <c:pt idx="51">
                  <c:v>40135</c:v>
                </c:pt>
                <c:pt idx="52">
                  <c:v>40134</c:v>
                </c:pt>
                <c:pt idx="53">
                  <c:v>40133</c:v>
                </c:pt>
                <c:pt idx="54">
                  <c:v>40130</c:v>
                </c:pt>
                <c:pt idx="55">
                  <c:v>40129</c:v>
                </c:pt>
                <c:pt idx="56">
                  <c:v>40128</c:v>
                </c:pt>
                <c:pt idx="57">
                  <c:v>40127</c:v>
                </c:pt>
                <c:pt idx="58">
                  <c:v>40126</c:v>
                </c:pt>
                <c:pt idx="59">
                  <c:v>40123</c:v>
                </c:pt>
                <c:pt idx="60">
                  <c:v>40122</c:v>
                </c:pt>
                <c:pt idx="61">
                  <c:v>40121</c:v>
                </c:pt>
                <c:pt idx="62">
                  <c:v>40120</c:v>
                </c:pt>
                <c:pt idx="63">
                  <c:v>40119</c:v>
                </c:pt>
                <c:pt idx="64">
                  <c:v>40116</c:v>
                </c:pt>
                <c:pt idx="65">
                  <c:v>40115</c:v>
                </c:pt>
                <c:pt idx="66">
                  <c:v>40114</c:v>
                </c:pt>
                <c:pt idx="67">
                  <c:v>40113</c:v>
                </c:pt>
                <c:pt idx="68">
                  <c:v>40112</c:v>
                </c:pt>
                <c:pt idx="69">
                  <c:v>40109</c:v>
                </c:pt>
                <c:pt idx="70">
                  <c:v>40108</c:v>
                </c:pt>
                <c:pt idx="71">
                  <c:v>40107</c:v>
                </c:pt>
                <c:pt idx="72">
                  <c:v>40106</c:v>
                </c:pt>
                <c:pt idx="73">
                  <c:v>40105</c:v>
                </c:pt>
                <c:pt idx="74">
                  <c:v>40102</c:v>
                </c:pt>
                <c:pt idx="75">
                  <c:v>40101</c:v>
                </c:pt>
                <c:pt idx="76">
                  <c:v>40100</c:v>
                </c:pt>
                <c:pt idx="77">
                  <c:v>40099</c:v>
                </c:pt>
                <c:pt idx="78">
                  <c:v>40098</c:v>
                </c:pt>
                <c:pt idx="79">
                  <c:v>40095</c:v>
                </c:pt>
                <c:pt idx="80">
                  <c:v>40094</c:v>
                </c:pt>
                <c:pt idx="81">
                  <c:v>40093</c:v>
                </c:pt>
                <c:pt idx="82">
                  <c:v>40092</c:v>
                </c:pt>
                <c:pt idx="83">
                  <c:v>40091</c:v>
                </c:pt>
                <c:pt idx="84">
                  <c:v>40088</c:v>
                </c:pt>
                <c:pt idx="85">
                  <c:v>40087</c:v>
                </c:pt>
                <c:pt idx="86">
                  <c:v>40086</c:v>
                </c:pt>
                <c:pt idx="87">
                  <c:v>40085</c:v>
                </c:pt>
                <c:pt idx="88">
                  <c:v>40084</c:v>
                </c:pt>
                <c:pt idx="89">
                  <c:v>40081</c:v>
                </c:pt>
                <c:pt idx="90">
                  <c:v>40080</c:v>
                </c:pt>
                <c:pt idx="91">
                  <c:v>40079</c:v>
                </c:pt>
                <c:pt idx="92">
                  <c:v>40078</c:v>
                </c:pt>
                <c:pt idx="93">
                  <c:v>40077</c:v>
                </c:pt>
                <c:pt idx="94">
                  <c:v>40074</c:v>
                </c:pt>
                <c:pt idx="95">
                  <c:v>40073</c:v>
                </c:pt>
                <c:pt idx="96">
                  <c:v>40072</c:v>
                </c:pt>
                <c:pt idx="97">
                  <c:v>40071</c:v>
                </c:pt>
                <c:pt idx="98">
                  <c:v>40070</c:v>
                </c:pt>
                <c:pt idx="99">
                  <c:v>40067</c:v>
                </c:pt>
                <c:pt idx="100">
                  <c:v>40066</c:v>
                </c:pt>
                <c:pt idx="101">
                  <c:v>40065</c:v>
                </c:pt>
                <c:pt idx="102">
                  <c:v>40064</c:v>
                </c:pt>
                <c:pt idx="103">
                  <c:v>40063</c:v>
                </c:pt>
                <c:pt idx="104">
                  <c:v>40060</c:v>
                </c:pt>
                <c:pt idx="105">
                  <c:v>40059</c:v>
                </c:pt>
                <c:pt idx="106">
                  <c:v>40058</c:v>
                </c:pt>
                <c:pt idx="107">
                  <c:v>40057</c:v>
                </c:pt>
                <c:pt idx="108">
                  <c:v>40056</c:v>
                </c:pt>
                <c:pt idx="109">
                  <c:v>40053</c:v>
                </c:pt>
                <c:pt idx="110">
                  <c:v>40052</c:v>
                </c:pt>
                <c:pt idx="111">
                  <c:v>40051</c:v>
                </c:pt>
                <c:pt idx="112">
                  <c:v>40050</c:v>
                </c:pt>
                <c:pt idx="113">
                  <c:v>40049</c:v>
                </c:pt>
                <c:pt idx="114">
                  <c:v>40046</c:v>
                </c:pt>
                <c:pt idx="115">
                  <c:v>40045</c:v>
                </c:pt>
                <c:pt idx="116">
                  <c:v>40044</c:v>
                </c:pt>
                <c:pt idx="117">
                  <c:v>40043</c:v>
                </c:pt>
                <c:pt idx="118">
                  <c:v>40042</c:v>
                </c:pt>
                <c:pt idx="119">
                  <c:v>40039</c:v>
                </c:pt>
                <c:pt idx="120">
                  <c:v>40038</c:v>
                </c:pt>
                <c:pt idx="121">
                  <c:v>40037</c:v>
                </c:pt>
                <c:pt idx="122">
                  <c:v>40036</c:v>
                </c:pt>
                <c:pt idx="123">
                  <c:v>40035</c:v>
                </c:pt>
                <c:pt idx="124">
                  <c:v>40032</c:v>
                </c:pt>
                <c:pt idx="125">
                  <c:v>40031</c:v>
                </c:pt>
                <c:pt idx="126">
                  <c:v>40030</c:v>
                </c:pt>
                <c:pt idx="127">
                  <c:v>40029</c:v>
                </c:pt>
                <c:pt idx="128">
                  <c:v>40028</c:v>
                </c:pt>
                <c:pt idx="129">
                  <c:v>40025</c:v>
                </c:pt>
                <c:pt idx="130">
                  <c:v>40024</c:v>
                </c:pt>
                <c:pt idx="131">
                  <c:v>40023</c:v>
                </c:pt>
                <c:pt idx="132">
                  <c:v>40022</c:v>
                </c:pt>
                <c:pt idx="133">
                  <c:v>40021</c:v>
                </c:pt>
                <c:pt idx="134">
                  <c:v>40018</c:v>
                </c:pt>
                <c:pt idx="135">
                  <c:v>40017</c:v>
                </c:pt>
                <c:pt idx="136">
                  <c:v>40016</c:v>
                </c:pt>
                <c:pt idx="137">
                  <c:v>40015</c:v>
                </c:pt>
                <c:pt idx="138">
                  <c:v>40014</c:v>
                </c:pt>
                <c:pt idx="139">
                  <c:v>40011</c:v>
                </c:pt>
                <c:pt idx="140">
                  <c:v>40010</c:v>
                </c:pt>
                <c:pt idx="141">
                  <c:v>40009</c:v>
                </c:pt>
                <c:pt idx="142">
                  <c:v>40008</c:v>
                </c:pt>
                <c:pt idx="143">
                  <c:v>40007</c:v>
                </c:pt>
                <c:pt idx="144">
                  <c:v>40004</c:v>
                </c:pt>
                <c:pt idx="145">
                  <c:v>40003</c:v>
                </c:pt>
                <c:pt idx="146">
                  <c:v>40002</c:v>
                </c:pt>
                <c:pt idx="147">
                  <c:v>40001</c:v>
                </c:pt>
                <c:pt idx="148">
                  <c:v>40000</c:v>
                </c:pt>
                <c:pt idx="149">
                  <c:v>39997</c:v>
                </c:pt>
                <c:pt idx="150">
                  <c:v>39996</c:v>
                </c:pt>
                <c:pt idx="151">
                  <c:v>39995</c:v>
                </c:pt>
                <c:pt idx="152">
                  <c:v>39994</c:v>
                </c:pt>
                <c:pt idx="153">
                  <c:v>39993</c:v>
                </c:pt>
                <c:pt idx="154">
                  <c:v>39990</c:v>
                </c:pt>
                <c:pt idx="155">
                  <c:v>39989</c:v>
                </c:pt>
                <c:pt idx="156">
                  <c:v>39988</c:v>
                </c:pt>
                <c:pt idx="157">
                  <c:v>39987</c:v>
                </c:pt>
                <c:pt idx="158">
                  <c:v>39986</c:v>
                </c:pt>
                <c:pt idx="159">
                  <c:v>39983</c:v>
                </c:pt>
                <c:pt idx="160">
                  <c:v>39982</c:v>
                </c:pt>
                <c:pt idx="161">
                  <c:v>39981</c:v>
                </c:pt>
                <c:pt idx="162">
                  <c:v>39980</c:v>
                </c:pt>
                <c:pt idx="163">
                  <c:v>39979</c:v>
                </c:pt>
                <c:pt idx="164">
                  <c:v>39976</c:v>
                </c:pt>
                <c:pt idx="165">
                  <c:v>39975</c:v>
                </c:pt>
                <c:pt idx="166">
                  <c:v>39974</c:v>
                </c:pt>
                <c:pt idx="167">
                  <c:v>39973</c:v>
                </c:pt>
                <c:pt idx="168">
                  <c:v>39972</c:v>
                </c:pt>
                <c:pt idx="169">
                  <c:v>39969</c:v>
                </c:pt>
                <c:pt idx="170">
                  <c:v>39968</c:v>
                </c:pt>
                <c:pt idx="171">
                  <c:v>39967</c:v>
                </c:pt>
                <c:pt idx="172">
                  <c:v>39966</c:v>
                </c:pt>
                <c:pt idx="173">
                  <c:v>39962</c:v>
                </c:pt>
                <c:pt idx="174">
                  <c:v>39961</c:v>
                </c:pt>
                <c:pt idx="175">
                  <c:v>39960</c:v>
                </c:pt>
                <c:pt idx="176">
                  <c:v>39959</c:v>
                </c:pt>
                <c:pt idx="177">
                  <c:v>39958</c:v>
                </c:pt>
                <c:pt idx="178">
                  <c:v>39955</c:v>
                </c:pt>
                <c:pt idx="179">
                  <c:v>39953</c:v>
                </c:pt>
                <c:pt idx="180">
                  <c:v>39952</c:v>
                </c:pt>
                <c:pt idx="181">
                  <c:v>39951</c:v>
                </c:pt>
                <c:pt idx="182">
                  <c:v>39948</c:v>
                </c:pt>
                <c:pt idx="183">
                  <c:v>39947</c:v>
                </c:pt>
                <c:pt idx="184">
                  <c:v>39946</c:v>
                </c:pt>
                <c:pt idx="185">
                  <c:v>39945</c:v>
                </c:pt>
                <c:pt idx="186">
                  <c:v>39944</c:v>
                </c:pt>
                <c:pt idx="187">
                  <c:v>39941</c:v>
                </c:pt>
                <c:pt idx="188">
                  <c:v>39940</c:v>
                </c:pt>
                <c:pt idx="189">
                  <c:v>39939</c:v>
                </c:pt>
                <c:pt idx="190">
                  <c:v>39938</c:v>
                </c:pt>
                <c:pt idx="191">
                  <c:v>39937</c:v>
                </c:pt>
                <c:pt idx="192">
                  <c:v>39933</c:v>
                </c:pt>
                <c:pt idx="193">
                  <c:v>39932</c:v>
                </c:pt>
                <c:pt idx="194">
                  <c:v>39931</c:v>
                </c:pt>
                <c:pt idx="195">
                  <c:v>39930</c:v>
                </c:pt>
                <c:pt idx="196">
                  <c:v>39927</c:v>
                </c:pt>
                <c:pt idx="197">
                  <c:v>39926</c:v>
                </c:pt>
                <c:pt idx="198">
                  <c:v>39925</c:v>
                </c:pt>
                <c:pt idx="199">
                  <c:v>39924</c:v>
                </c:pt>
                <c:pt idx="200">
                  <c:v>39923</c:v>
                </c:pt>
                <c:pt idx="201">
                  <c:v>39920</c:v>
                </c:pt>
                <c:pt idx="202">
                  <c:v>39919</c:v>
                </c:pt>
                <c:pt idx="203">
                  <c:v>39918</c:v>
                </c:pt>
                <c:pt idx="204">
                  <c:v>39917</c:v>
                </c:pt>
                <c:pt idx="205">
                  <c:v>39911</c:v>
                </c:pt>
                <c:pt idx="206">
                  <c:v>39910</c:v>
                </c:pt>
                <c:pt idx="207">
                  <c:v>39909</c:v>
                </c:pt>
                <c:pt idx="208">
                  <c:v>39906</c:v>
                </c:pt>
                <c:pt idx="209">
                  <c:v>39905</c:v>
                </c:pt>
                <c:pt idx="210">
                  <c:v>39904</c:v>
                </c:pt>
                <c:pt idx="211">
                  <c:v>39903</c:v>
                </c:pt>
                <c:pt idx="212">
                  <c:v>39902</c:v>
                </c:pt>
                <c:pt idx="213">
                  <c:v>39899</c:v>
                </c:pt>
                <c:pt idx="214">
                  <c:v>39898</c:v>
                </c:pt>
                <c:pt idx="215">
                  <c:v>39897</c:v>
                </c:pt>
                <c:pt idx="216">
                  <c:v>39896</c:v>
                </c:pt>
                <c:pt idx="217">
                  <c:v>39895</c:v>
                </c:pt>
                <c:pt idx="218">
                  <c:v>39892</c:v>
                </c:pt>
                <c:pt idx="219">
                  <c:v>39891</c:v>
                </c:pt>
                <c:pt idx="220">
                  <c:v>39890</c:v>
                </c:pt>
                <c:pt idx="221">
                  <c:v>39889</c:v>
                </c:pt>
                <c:pt idx="222">
                  <c:v>39888</c:v>
                </c:pt>
                <c:pt idx="223">
                  <c:v>39885</c:v>
                </c:pt>
                <c:pt idx="224">
                  <c:v>39884</c:v>
                </c:pt>
                <c:pt idx="225">
                  <c:v>39883</c:v>
                </c:pt>
                <c:pt idx="226">
                  <c:v>39882</c:v>
                </c:pt>
                <c:pt idx="227">
                  <c:v>39881</c:v>
                </c:pt>
                <c:pt idx="228">
                  <c:v>39878</c:v>
                </c:pt>
                <c:pt idx="229">
                  <c:v>39877</c:v>
                </c:pt>
                <c:pt idx="230">
                  <c:v>39876</c:v>
                </c:pt>
                <c:pt idx="231">
                  <c:v>39875</c:v>
                </c:pt>
                <c:pt idx="232">
                  <c:v>39874</c:v>
                </c:pt>
                <c:pt idx="233">
                  <c:v>39871</c:v>
                </c:pt>
                <c:pt idx="234">
                  <c:v>39870</c:v>
                </c:pt>
                <c:pt idx="235">
                  <c:v>39869</c:v>
                </c:pt>
                <c:pt idx="236">
                  <c:v>39868</c:v>
                </c:pt>
                <c:pt idx="237">
                  <c:v>39867</c:v>
                </c:pt>
                <c:pt idx="238">
                  <c:v>39864</c:v>
                </c:pt>
                <c:pt idx="239">
                  <c:v>39863</c:v>
                </c:pt>
                <c:pt idx="240">
                  <c:v>39862</c:v>
                </c:pt>
                <c:pt idx="241">
                  <c:v>39861</c:v>
                </c:pt>
                <c:pt idx="242">
                  <c:v>39860</c:v>
                </c:pt>
                <c:pt idx="243">
                  <c:v>39857</c:v>
                </c:pt>
                <c:pt idx="244">
                  <c:v>39856</c:v>
                </c:pt>
                <c:pt idx="245">
                  <c:v>39855</c:v>
                </c:pt>
                <c:pt idx="246">
                  <c:v>39854</c:v>
                </c:pt>
                <c:pt idx="247">
                  <c:v>39853</c:v>
                </c:pt>
                <c:pt idx="248">
                  <c:v>39850</c:v>
                </c:pt>
                <c:pt idx="249">
                  <c:v>39849</c:v>
                </c:pt>
                <c:pt idx="250">
                  <c:v>39848</c:v>
                </c:pt>
                <c:pt idx="251">
                  <c:v>39847</c:v>
                </c:pt>
                <c:pt idx="252">
                  <c:v>39846</c:v>
                </c:pt>
                <c:pt idx="253">
                  <c:v>39843</c:v>
                </c:pt>
                <c:pt idx="254">
                  <c:v>39842</c:v>
                </c:pt>
                <c:pt idx="255">
                  <c:v>39841</c:v>
                </c:pt>
                <c:pt idx="256">
                  <c:v>39840</c:v>
                </c:pt>
                <c:pt idx="257">
                  <c:v>39839</c:v>
                </c:pt>
                <c:pt idx="258">
                  <c:v>39836</c:v>
                </c:pt>
                <c:pt idx="259">
                  <c:v>39835</c:v>
                </c:pt>
                <c:pt idx="260">
                  <c:v>39834</c:v>
                </c:pt>
                <c:pt idx="261">
                  <c:v>39833</c:v>
                </c:pt>
                <c:pt idx="262">
                  <c:v>39832</c:v>
                </c:pt>
                <c:pt idx="263">
                  <c:v>39829</c:v>
                </c:pt>
                <c:pt idx="264">
                  <c:v>39828</c:v>
                </c:pt>
                <c:pt idx="265">
                  <c:v>39827</c:v>
                </c:pt>
                <c:pt idx="266">
                  <c:v>39826</c:v>
                </c:pt>
                <c:pt idx="267">
                  <c:v>39825</c:v>
                </c:pt>
                <c:pt idx="268">
                  <c:v>39822</c:v>
                </c:pt>
                <c:pt idx="269">
                  <c:v>39821</c:v>
                </c:pt>
                <c:pt idx="270">
                  <c:v>39820</c:v>
                </c:pt>
                <c:pt idx="271">
                  <c:v>39819</c:v>
                </c:pt>
                <c:pt idx="272">
                  <c:v>39818</c:v>
                </c:pt>
                <c:pt idx="273">
                  <c:v>39815</c:v>
                </c:pt>
              </c:numCache>
            </c:numRef>
          </c:cat>
          <c:val>
            <c:numRef>
              <c:f>SourceData!$N$250:$N$523</c:f>
              <c:numCache>
                <c:formatCode>#,##0_);[Red]\(#,##0\)</c:formatCode>
                <c:ptCount val="27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A8-43C9-9C75-BC950520C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694072"/>
        <c:axId val="516688976"/>
      </c:lineChart>
      <c:dateAx>
        <c:axId val="516694072"/>
        <c:scaling>
          <c:orientation val="minMax"/>
        </c:scaling>
        <c:delete val="0"/>
        <c:axPos val="b"/>
        <c:numFmt formatCode="dd/mm/yyyy" sourceLinked="0"/>
        <c:majorTickMark val="out"/>
        <c:minorTickMark val="none"/>
        <c:tickLblPos val="nextTo"/>
        <c:spPr>
          <a:ln w="3175">
            <a:solidFill>
              <a:srgbClr val="ABABAB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688976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516688976"/>
        <c:scaling>
          <c:orientation val="minMax"/>
        </c:scaling>
        <c:delete val="0"/>
        <c:axPos val="l"/>
        <c:majorGridlines>
          <c:spPr>
            <a:ln w="3175">
              <a:solidFill>
                <a:srgbClr val="D3D3D3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b-NO"/>
                  <a:t>Stock in BUm</a:t>
                </a:r>
              </a:p>
            </c:rich>
          </c:tx>
          <c:layout>
            <c:manualLayout>
              <c:xMode val="edge"/>
              <c:yMode val="edge"/>
              <c:x val="1.9801980198019948E-2"/>
              <c:y val="0.37786259541985318"/>
            </c:manualLayout>
          </c:layout>
          <c:overlay val="0"/>
          <c:spPr>
            <a:noFill/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669407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705822896700344"/>
          <c:y val="1.5771773909028324E-2"/>
          <c:w val="0.58653381760008061"/>
          <c:h val="5.29287636066061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5" footer="0.5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7" Type="http://schemas.microsoft.com/office/2007/relationships/hdphoto" Target="../media/hdphoto1.wdp"/><Relationship Id="rId2" Type="http://schemas.openxmlformats.org/officeDocument/2006/relationships/image" Target="../media/image3.png"/><Relationship Id="rId1" Type="http://schemas.openxmlformats.org/officeDocument/2006/relationships/image" Target="../media/image2.jpe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534818</xdr:colOff>
      <xdr:row>0</xdr:row>
      <xdr:rowOff>17253</xdr:rowOff>
    </xdr:from>
    <xdr:to>
      <xdr:col>13</xdr:col>
      <xdr:colOff>51739</xdr:colOff>
      <xdr:row>5</xdr:row>
      <xdr:rowOff>117847</xdr:rowOff>
    </xdr:to>
    <xdr:pic>
      <xdr:nvPicPr>
        <xdr:cNvPr id="8" name="rg_hi" descr="http://t3.gstatic.com/images?q=tbn:ANd9GcQtQRh3WNbHXelD8uBGAaob0YpZAxhzS2M51ZxoGfQPiYX8pc6WXw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clrChange>
            <a:clrFrom>
              <a:srgbClr val="F7F9F8"/>
            </a:clrFrom>
            <a:clrTo>
              <a:srgbClr val="F7F9F8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981"/>
        <a:stretch/>
      </xdr:blipFill>
      <xdr:spPr bwMode="auto">
        <a:xfrm>
          <a:off x="6909739" y="17253"/>
          <a:ext cx="2553419" cy="1161643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276045</xdr:colOff>
      <xdr:row>10</xdr:row>
      <xdr:rowOff>0</xdr:rowOff>
    </xdr:from>
    <xdr:to>
      <xdr:col>9</xdr:col>
      <xdr:colOff>69336</xdr:colOff>
      <xdr:row>22</xdr:row>
      <xdr:rowOff>172674</xdr:rowOff>
    </xdr:to>
    <xdr:pic macro="[0]!ShowDialog2">
      <xdr:nvPicPr>
        <xdr:cNvPr id="11" name="Dialog1" hidden="1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874"/>
        <a:stretch/>
      </xdr:blipFill>
      <xdr:spPr>
        <a:xfrm>
          <a:off x="577970" y="2001328"/>
          <a:ext cx="5866287" cy="2657081"/>
        </a:xfrm>
        <a:prstGeom prst="rect">
          <a:avLst/>
        </a:prstGeom>
      </xdr:spPr>
    </xdr:pic>
    <xdr:clientData/>
  </xdr:twoCellAnchor>
  <xdr:twoCellAnchor editAs="absolute">
    <xdr:from>
      <xdr:col>4</xdr:col>
      <xdr:colOff>34524</xdr:colOff>
      <xdr:row>1</xdr:row>
      <xdr:rowOff>103508</xdr:rowOff>
    </xdr:from>
    <xdr:to>
      <xdr:col>8</xdr:col>
      <xdr:colOff>672879</xdr:colOff>
      <xdr:row>4</xdr:row>
      <xdr:rowOff>25866</xdr:rowOff>
    </xdr:to>
    <xdr:sp macro="" textlink="SapExlReportName">
      <xdr:nvSpPr>
        <xdr:cNvPr id="6" name="Avrundet rektangel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2613822" y="310542"/>
          <a:ext cx="3674853" cy="569339"/>
        </a:xfrm>
        <a:prstGeom prst="roundRect">
          <a:avLst/>
        </a:prstGeom>
        <a:noFill/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CA6C1DD-5C5D-43ED-BE6D-08873DDC9305}" type="TxLink">
            <a:rPr lang="nb-NO" sz="2800" b="1">
              <a:solidFill>
                <a:sysClr val="windowText" lastClr="000000"/>
              </a:solidFill>
            </a:rPr>
            <a:pPr algn="l"/>
            <a:t>Lager Historikk</a:t>
          </a:fld>
          <a:endParaRPr lang="nb-NO" sz="2800" b="1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9</xdr:col>
      <xdr:colOff>629710</xdr:colOff>
      <xdr:row>12</xdr:row>
      <xdr:rowOff>146688</xdr:rowOff>
    </xdr:from>
    <xdr:to>
      <xdr:col>12</xdr:col>
      <xdr:colOff>250147</xdr:colOff>
      <xdr:row>20</xdr:row>
      <xdr:rowOff>41912</xdr:rowOff>
    </xdr:to>
    <xdr:pic>
      <xdr:nvPicPr>
        <xdr:cNvPr id="7" name="rg_hi" descr="http://t3.gstatic.com/images?q=tbn:ANd9GcRPfCwrdcK6Fv69l56iSLixO0g0ZmUqZbolC8jj5wXneiz7okam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04631" y="2717360"/>
          <a:ext cx="1897810" cy="15514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707367</xdr:colOff>
      <xdr:row>5</xdr:row>
      <xdr:rowOff>112126</xdr:rowOff>
    </xdr:from>
    <xdr:to>
      <xdr:col>9</xdr:col>
      <xdr:colOff>457395</xdr:colOff>
      <xdr:row>23</xdr:row>
      <xdr:rowOff>26065</xdr:rowOff>
    </xdr:to>
    <xdr:pic macro="[0]!HideDialog2">
      <xdr:nvPicPr>
        <xdr:cNvPr id="9" name="Dialog2" hidden="1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286665" y="1173175"/>
          <a:ext cx="3545651" cy="3700935"/>
        </a:xfrm>
        <a:prstGeom prst="rect">
          <a:avLst/>
        </a:prstGeom>
      </xdr:spPr>
    </xdr:pic>
    <xdr:clientData/>
  </xdr:twoCellAnchor>
  <xdr:twoCellAnchor editAs="oneCell">
    <xdr:from>
      <xdr:col>6</xdr:col>
      <xdr:colOff>8627</xdr:colOff>
      <xdr:row>7</xdr:row>
      <xdr:rowOff>103516</xdr:rowOff>
    </xdr:from>
    <xdr:to>
      <xdr:col>10</xdr:col>
      <xdr:colOff>457392</xdr:colOff>
      <xdr:row>23</xdr:row>
      <xdr:rowOff>26059</xdr:rowOff>
    </xdr:to>
    <xdr:pic macro="[0]!HideDialog3">
      <xdr:nvPicPr>
        <xdr:cNvPr id="10" name="Dialog3" hidden="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6174" y="1449237"/>
          <a:ext cx="3485263" cy="329547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134467</xdr:rowOff>
    </xdr:from>
    <xdr:to>
      <xdr:col>3</xdr:col>
      <xdr:colOff>488240</xdr:colOff>
      <xdr:row>6</xdr:row>
      <xdr:rowOff>1005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3765" y="134467"/>
          <a:ext cx="2027181" cy="106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9</xdr:row>
      <xdr:rowOff>76200</xdr:rowOff>
    </xdr:from>
    <xdr:to>
      <xdr:col>9</xdr:col>
      <xdr:colOff>515471</xdr:colOff>
      <xdr:row>40</xdr:row>
      <xdr:rowOff>47625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365311</xdr:colOff>
      <xdr:row>7</xdr:row>
      <xdr:rowOff>142875</xdr:rowOff>
    </xdr:from>
    <xdr:to>
      <xdr:col>13</xdr:col>
      <xdr:colOff>565336</xdr:colOff>
      <xdr:row>36</xdr:row>
      <xdr:rowOff>0</xdr:rowOff>
    </xdr:to>
    <xdr:graphicFrame macro="">
      <xdr:nvGraphicFramePr>
        <xdr:cNvPr id="3" name="CurrentStock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0</xdr:col>
      <xdr:colOff>22412</xdr:colOff>
      <xdr:row>0</xdr:row>
      <xdr:rowOff>56030</xdr:rowOff>
    </xdr:from>
    <xdr:ext cx="4533292" cy="277097"/>
    <xdr:sp macro="" textlink="ReportCaption">
      <xdr:nvSpPr>
        <xdr:cNvPr id="4" name="Avrundet rektangel 1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2412" y="56030"/>
          <a:ext cx="453329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History   - 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7</xdr:row>
      <xdr:rowOff>38100</xdr:rowOff>
    </xdr:from>
    <xdr:to>
      <xdr:col>17</xdr:col>
      <xdr:colOff>685800</xdr:colOff>
      <xdr:row>34</xdr:row>
      <xdr:rowOff>72839</xdr:rowOff>
    </xdr:to>
    <xdr:graphicFrame macro="">
      <xdr:nvGraphicFramePr>
        <xdr:cNvPr id="2" name="Chart 237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11206</xdr:colOff>
      <xdr:row>0</xdr:row>
      <xdr:rowOff>56030</xdr:rowOff>
    </xdr:from>
    <xdr:ext cx="4533292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11206" y="56030"/>
          <a:ext cx="453329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History   - 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7</xdr:row>
      <xdr:rowOff>56031</xdr:rowOff>
    </xdr:from>
    <xdr:to>
      <xdr:col>12</xdr:col>
      <xdr:colOff>56029</xdr:colOff>
      <xdr:row>44</xdr:row>
      <xdr:rowOff>44824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22412</xdr:colOff>
      <xdr:row>0</xdr:row>
      <xdr:rowOff>56030</xdr:rowOff>
    </xdr:from>
    <xdr:ext cx="4533292" cy="277097"/>
    <xdr:sp macro="" textlink="ReportCaption">
      <xdr:nvSpPr>
        <xdr:cNvPr id="3" name="Avrundet rektangel 1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2412" y="56030"/>
          <a:ext cx="4533292" cy="277097"/>
        </a:xfrm>
        <a:prstGeom prst="roundRect">
          <a:avLst/>
        </a:prstGeom>
        <a:gradFill flip="none" rotWithShape="1">
          <a:gsLst>
            <a:gs pos="0">
              <a:schemeClr val="bg1">
                <a:lumMod val="85000"/>
              </a:schemeClr>
            </a:gs>
            <a:gs pos="100000">
              <a:schemeClr val="bg1"/>
            </a:gs>
          </a:gsLst>
          <a:lin ang="2700000" scaled="1"/>
          <a:tileRect/>
        </a:gra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tIns="0" bIns="0" rtlCol="0" anchor="t">
          <a:spAutoFit/>
        </a:bodyPr>
        <a:lstStyle/>
        <a:p>
          <a:pPr algn="l"/>
          <a:fld id="{34B7FD16-6814-490C-A917-A48DE17D05C8}" type="TxLink">
            <a:rPr lang="nb-NO" sz="1600" b="1" i="0" u="none" strike="noStrike">
              <a:solidFill>
                <a:srgbClr val="C00000"/>
              </a:solidFill>
              <a:latin typeface="Calibri"/>
            </a:rPr>
            <a:pPr algn="l"/>
            <a:t>Stock History   -   Stabburet Bayersk postei 8x6x22g</a:t>
          </a:fld>
          <a:endParaRPr lang="nb-NO" sz="1600" b="1">
            <a:solidFill>
              <a:srgbClr val="C00000"/>
            </a:solidFill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1636.93979895833" createdVersion="4" refreshedVersion="4" minRefreshableVersion="3" recordCount="522" xr:uid="{00000000-000A-0000-FFFF-FFFF00000000}">
  <cacheSource type="worksheet">
    <worksheetSource name="dataperiod"/>
  </cacheSource>
  <cacheFields count="10">
    <cacheField name="Dates" numFmtId="14">
      <sharedItems containsSemiMixedTypes="0" containsNonDate="0" containsDate="1" containsString="0" minDate="2009-01-02T00:00:00" maxDate="2013-12-29T00:00:00" count="522">
        <d v="2011-01-27T00:00:00"/>
        <d v="2011-01-26T00:00:00"/>
        <d v="2011-01-25T00:00:00"/>
        <d v="2011-01-24T00:00:00"/>
        <d v="2011-01-21T00:00:00"/>
        <d v="2011-01-20T00:00:00"/>
        <d v="2011-01-19T00:00:00"/>
        <d v="2011-01-18T00:00:00"/>
        <d v="2011-01-17T00:00:00"/>
        <d v="2011-01-14T00:00:00"/>
        <d v="2011-01-13T00:00:00"/>
        <d v="2011-01-12T00:00:00"/>
        <d v="2011-01-11T00:00:00"/>
        <d v="2011-01-10T00:00:00"/>
        <d v="2011-01-07T00:00:00"/>
        <d v="2011-01-06T00:00:00"/>
        <d v="2011-01-05T00:00:00"/>
        <d v="2011-01-04T00:00:00"/>
        <d v="2011-01-03T00:00:00"/>
        <d v="2010-12-30T00:00:00"/>
        <d v="2010-12-29T00:00:00"/>
        <d v="2010-12-28T00:00:00"/>
        <d v="2010-12-27T00:00:00"/>
        <d v="2010-12-23T00:00:00"/>
        <d v="2010-12-22T00:00:00"/>
        <d v="2010-12-21T00:00:00"/>
        <d v="2010-12-20T00:00:00"/>
        <d v="2010-12-17T00:00:00"/>
        <d v="2010-12-16T00:00:00"/>
        <d v="2010-12-15T00:00:00"/>
        <d v="2010-12-14T00:00:00"/>
        <d v="2010-12-13T00:00:00"/>
        <d v="2010-12-10T00:00:00"/>
        <d v="2010-12-09T00:00:00"/>
        <d v="2010-12-08T00:00:00"/>
        <d v="2010-12-07T00:00:00"/>
        <d v="2010-12-06T00:00:00"/>
        <d v="2010-12-03T00:00:00"/>
        <d v="2010-12-02T00:00:00"/>
        <d v="2010-12-01T00:00:00"/>
        <d v="2010-11-30T00:00:00"/>
        <d v="2010-11-29T00:00:00"/>
        <d v="2010-11-26T00:00:00"/>
        <d v="2010-11-25T00:00:00"/>
        <d v="2010-11-24T00:00:00"/>
        <d v="2010-11-23T00:00:00"/>
        <d v="2010-11-22T00:00:00"/>
        <d v="2010-11-19T00:00:00"/>
        <d v="2010-11-18T00:00:00"/>
        <d v="2010-11-17T00:00:00"/>
        <d v="2010-11-16T00:00:00"/>
        <d v="2010-11-15T00:00:00"/>
        <d v="2010-11-12T00:00:00"/>
        <d v="2010-11-11T00:00:00"/>
        <d v="2010-11-10T00:00:00"/>
        <d v="2010-11-09T00:00:00"/>
        <d v="2010-11-08T00:00:00"/>
        <d v="2010-11-05T00:00:00"/>
        <d v="2010-11-04T00:00:00"/>
        <d v="2010-11-03T00:00:00"/>
        <d v="2010-11-02T00:00:00"/>
        <d v="2010-11-01T00:00:00"/>
        <d v="2010-10-29T00:00:00"/>
        <d v="2010-10-28T00:00:00"/>
        <d v="2010-10-27T00:00:00"/>
        <d v="2010-10-26T00:00:00"/>
        <d v="2010-10-25T00:00:00"/>
        <d v="2010-10-22T00:00:00"/>
        <d v="2010-10-21T00:00:00"/>
        <d v="2010-10-20T00:00:00"/>
        <d v="2010-10-19T00:00:00"/>
        <d v="2010-10-18T00:00:00"/>
        <d v="2010-10-15T00:00:00"/>
        <d v="2010-10-14T00:00:00"/>
        <d v="2010-10-13T00:00:00"/>
        <d v="2010-10-12T00:00:00"/>
        <d v="2010-10-11T00:00:00"/>
        <d v="2010-10-08T00:00:00"/>
        <d v="2010-10-07T00:00:00"/>
        <d v="2010-10-06T00:00:00"/>
        <d v="2010-10-05T00:00:00"/>
        <d v="2010-10-04T00:00:00"/>
        <d v="2010-10-01T00:00:00"/>
        <d v="2010-09-30T00:00:00"/>
        <d v="2010-09-29T00:00:00"/>
        <d v="2010-09-28T00:00:00"/>
        <d v="2010-09-27T00:00:00"/>
        <d v="2010-09-24T00:00:00"/>
        <d v="2010-09-23T00:00:00"/>
        <d v="2010-09-22T00:00:00"/>
        <d v="2010-09-21T00:00:00"/>
        <d v="2010-09-20T00:00:00"/>
        <d v="2010-09-17T00:00:00"/>
        <d v="2010-09-16T00:00:00"/>
        <d v="2010-09-15T00:00:00"/>
        <d v="2010-09-14T00:00:00"/>
        <d v="2010-09-13T00:00:00"/>
        <d v="2010-09-10T00:00:00"/>
        <d v="2010-09-09T00:00:00"/>
        <d v="2010-09-08T00:00:00"/>
        <d v="2010-09-07T00:00:00"/>
        <d v="2010-09-06T00:00:00"/>
        <d v="2010-09-03T00:00:00"/>
        <d v="2010-09-02T00:00:00"/>
        <d v="2010-09-01T00:00:00"/>
        <d v="2010-08-31T00:00:00"/>
        <d v="2010-08-30T00:00:00"/>
        <d v="2010-08-27T00:00:00"/>
        <d v="2010-08-26T00:00:00"/>
        <d v="2010-08-25T00:00:00"/>
        <d v="2010-08-24T00:00:00"/>
        <d v="2010-08-23T00:00:00"/>
        <d v="2010-08-20T00:00:00"/>
        <d v="2010-08-19T00:00:00"/>
        <d v="2010-08-18T00:00:00"/>
        <d v="2010-08-17T00:00:00"/>
        <d v="2010-08-16T00:00:00"/>
        <d v="2010-08-13T00:00:00"/>
        <d v="2010-08-12T00:00:00"/>
        <d v="2010-08-11T00:00:00"/>
        <d v="2010-08-10T00:00:00"/>
        <d v="2010-08-09T00:00:00"/>
        <d v="2010-08-06T00:00:00"/>
        <d v="2010-08-05T00:00:00"/>
        <d v="2010-08-04T00:00:00"/>
        <d v="2010-08-03T00:00:00"/>
        <d v="2010-08-02T00:00:00"/>
        <d v="2010-07-30T00:00:00"/>
        <d v="2010-07-29T00:00:00"/>
        <d v="2010-07-28T00:00:00"/>
        <d v="2010-07-27T00:00:00"/>
        <d v="2010-07-26T00:00:00"/>
        <d v="2010-07-23T00:00:00"/>
        <d v="2010-07-22T00:00:00"/>
        <d v="2010-07-21T00:00:00"/>
        <d v="2010-07-20T00:00:00"/>
        <d v="2010-07-19T00:00:00"/>
        <d v="2010-07-16T00:00:00"/>
        <d v="2010-07-15T00:00:00"/>
        <d v="2010-07-14T00:00:00"/>
        <d v="2010-07-13T00:00:00"/>
        <d v="2010-07-12T00:00:00"/>
        <d v="2010-07-09T00:00:00"/>
        <d v="2010-07-08T00:00:00"/>
        <d v="2010-07-07T00:00:00"/>
        <d v="2010-07-06T00:00:00"/>
        <d v="2010-07-05T00:00:00"/>
        <d v="2010-07-02T00:00:00"/>
        <d v="2010-07-01T00:00:00"/>
        <d v="2010-06-30T00:00:00"/>
        <d v="2010-06-29T00:00:00"/>
        <d v="2010-06-28T00:00:00"/>
        <d v="2010-06-25T00:00:00"/>
        <d v="2010-06-24T00:00:00"/>
        <d v="2010-06-23T00:00:00"/>
        <d v="2010-06-22T00:00:00"/>
        <d v="2010-06-21T00:00:00"/>
        <d v="2010-06-18T00:00:00"/>
        <d v="2010-06-17T00:00:00"/>
        <d v="2010-06-16T00:00:00"/>
        <d v="2010-06-15T00:00:00"/>
        <d v="2010-06-14T00:00:00"/>
        <d v="2010-06-11T00:00:00"/>
        <d v="2010-06-10T00:00:00"/>
        <d v="2010-06-09T00:00:00"/>
        <d v="2010-06-08T00:00:00"/>
        <d v="2010-06-07T00:00:00"/>
        <d v="2010-06-04T00:00:00"/>
        <d v="2010-06-03T00:00:00"/>
        <d v="2010-06-02T00:00:00"/>
        <d v="2010-06-01T00:00:00"/>
        <d v="2010-05-31T00:00:00"/>
        <d v="2010-05-28T00:00:00"/>
        <d v="2010-05-27T00:00:00"/>
        <d v="2010-05-26T00:00:00"/>
        <d v="2010-05-25T00:00:00"/>
        <d v="2010-05-21T00:00:00"/>
        <d v="2010-05-20T00:00:00"/>
        <d v="2010-05-19T00:00:00"/>
        <d v="2010-05-18T00:00:00"/>
        <d v="2010-05-14T00:00:00"/>
        <d v="2010-05-12T00:00:00"/>
        <d v="2010-05-11T00:00:00"/>
        <d v="2010-05-10T00:00:00"/>
        <d v="2010-05-07T00:00:00"/>
        <d v="2010-05-06T00:00:00"/>
        <d v="2010-05-05T00:00:00"/>
        <d v="2010-05-04T00:00:00"/>
        <d v="2010-05-03T00:00:00"/>
        <d v="2010-04-30T00:00:00"/>
        <d v="2010-04-29T00:00:00"/>
        <d v="2010-04-28T00:00:00"/>
        <d v="2010-04-27T00:00:00"/>
        <d v="2010-04-26T00:00:00"/>
        <d v="2010-04-23T00:00:00"/>
        <d v="2010-04-22T00:00:00"/>
        <d v="2010-04-21T00:00:00"/>
        <d v="2010-04-20T00:00:00"/>
        <d v="2010-04-19T00:00:00"/>
        <d v="2010-04-16T00:00:00"/>
        <d v="2010-04-15T00:00:00"/>
        <d v="2010-04-14T00:00:00"/>
        <d v="2010-04-13T00:00:00"/>
        <d v="2010-04-12T00:00:00"/>
        <d v="2010-04-09T00:00:00"/>
        <d v="2010-04-08T00:00:00"/>
        <d v="2010-04-07T00:00:00"/>
        <d v="2010-04-06T00:00:00"/>
        <d v="2010-03-31T00:00:00"/>
        <d v="2010-03-30T00:00:00"/>
        <d v="2010-03-29T00:00:00"/>
        <d v="2010-03-26T00:00:00"/>
        <d v="2010-03-25T00:00:00"/>
        <d v="2010-03-24T00:00:00"/>
        <d v="2010-03-23T00:00:00"/>
        <d v="2010-03-22T00:00:00"/>
        <d v="2010-03-19T00:00:00"/>
        <d v="2010-03-18T00:00:00"/>
        <d v="2010-03-17T00:00:00"/>
        <d v="2010-03-16T00:00:00"/>
        <d v="2010-03-15T00:00:00"/>
        <d v="2010-03-12T00:00:00"/>
        <d v="2010-03-11T00:00:00"/>
        <d v="2010-03-10T00:00:00"/>
        <d v="2010-03-09T00:00:00"/>
        <d v="2010-03-08T00:00:00"/>
        <d v="2010-03-05T00:00:00"/>
        <d v="2010-03-04T00:00:00"/>
        <d v="2010-03-03T00:00:00"/>
        <d v="2010-03-02T00:00:00"/>
        <d v="2010-03-01T00:00:00"/>
        <d v="2010-02-26T00:00:00"/>
        <d v="2010-02-25T00:00:00"/>
        <d v="2010-02-24T00:00:00"/>
        <d v="2010-02-23T00:00:00"/>
        <d v="2010-02-22T00:00:00"/>
        <d v="2010-02-19T00:00:00"/>
        <d v="2010-02-18T00:00:00"/>
        <d v="2010-02-17T00:00:00"/>
        <d v="2010-02-16T00:00:00"/>
        <d v="2010-02-15T00:00:00"/>
        <d v="2010-02-12T00:00:00"/>
        <d v="2010-02-11T00:00:00"/>
        <d v="2010-02-10T00:00:00"/>
        <d v="2010-02-09T00:00:00"/>
        <d v="2010-02-08T00:00:00"/>
        <d v="2010-02-05T00:00:00"/>
        <d v="2010-02-04T00:00:00"/>
        <d v="2013-12-28T00:00:00"/>
        <d v="2010-02-02T00:00:00"/>
        <d v="2010-02-01T00:00:00"/>
        <d v="2010-01-29T00:00:00"/>
        <d v="2010-01-28T00:00:00"/>
        <d v="2010-01-27T00:00:00"/>
        <d v="2010-01-26T00:00:00"/>
        <d v="2010-01-25T00:00:00"/>
        <d v="2010-01-22T00:00:00"/>
        <d v="2010-01-21T00:00:00"/>
        <d v="2010-01-20T00:00:00"/>
        <d v="2010-01-19T00:00:00"/>
        <d v="2010-01-18T00:00:00"/>
        <d v="2010-01-15T00:00:00"/>
        <d v="2010-01-14T00:00:00"/>
        <d v="2010-01-13T00:00:00"/>
        <d v="2010-01-12T00:00:00"/>
        <d v="2010-01-11T00:00:00"/>
        <d v="2010-01-08T00:00:00"/>
        <d v="2010-01-07T00:00:00"/>
        <d v="2010-01-06T00:00:00"/>
        <d v="2010-01-05T00:00:00"/>
        <d v="2010-01-04T00:00:00"/>
        <d v="2009-12-30T00:00:00"/>
        <d v="2009-12-29T00:00:00"/>
        <d v="2009-12-28T00:00:00"/>
        <d v="2009-12-23T00:00:00"/>
        <d v="2009-12-22T00:00:00"/>
        <d v="2009-12-21T00:00:00"/>
        <d v="2009-12-18T00:00:00"/>
        <d v="2009-12-17T00:00:00"/>
        <d v="2009-12-16T00:00:00"/>
        <d v="2009-12-15T00:00:00"/>
        <d v="2009-12-14T00:00:00"/>
        <d v="2009-12-11T00:00:00"/>
        <d v="2009-12-10T00:00:00"/>
        <d v="2009-12-09T00:00:00"/>
        <d v="2009-12-08T00:00:00"/>
        <d v="2009-12-07T00:00:00"/>
        <d v="2009-12-04T00:00:00"/>
        <d v="2009-12-03T00:00:00"/>
        <d v="2009-12-02T00:00:00"/>
        <d v="2009-12-01T00:00:00"/>
        <d v="2009-11-30T00:00:00"/>
        <d v="2009-11-27T00:00:00"/>
        <d v="2009-11-26T00:00:00"/>
        <d v="2009-11-25T00:00:00"/>
        <d v="2009-11-24T00:00:00"/>
        <d v="2009-11-23T00:00:00"/>
        <d v="2009-11-20T00:00:00"/>
        <d v="2009-11-19T00:00:00"/>
        <d v="2009-11-18T00:00:00"/>
        <d v="2009-11-17T00:00:00"/>
        <d v="2009-11-16T00:00:00"/>
        <d v="2009-11-13T00:00:00"/>
        <d v="2009-11-12T00:00:00"/>
        <d v="2009-11-11T00:00:00"/>
        <d v="2009-11-10T00:00:00"/>
        <d v="2009-11-09T00:00:00"/>
        <d v="2009-11-06T00:00:00"/>
        <d v="2009-11-05T00:00:00"/>
        <d v="2009-11-04T00:00:00"/>
        <d v="2009-11-03T00:00:00"/>
        <d v="2009-11-02T00:00:00"/>
        <d v="2009-10-30T00:00:00"/>
        <d v="2009-10-29T00:00:00"/>
        <d v="2009-10-28T00:00:00"/>
        <d v="2009-10-27T00:00:00"/>
        <d v="2009-10-26T00:00:00"/>
        <d v="2009-10-23T00:00:00"/>
        <d v="2009-10-22T00:00:00"/>
        <d v="2009-10-21T00:00:00"/>
        <d v="2009-10-20T00:00:00"/>
        <d v="2009-10-19T00:00:00"/>
        <d v="2009-10-16T00:00:00"/>
        <d v="2009-10-15T00:00:00"/>
        <d v="2009-10-14T00:00:00"/>
        <d v="2009-10-13T00:00:00"/>
        <d v="2009-10-12T00:00:00"/>
        <d v="2009-10-09T00:00:00"/>
        <d v="2009-10-08T00:00:00"/>
        <d v="2009-10-07T00:00:00"/>
        <d v="2009-10-06T00:00:00"/>
        <d v="2009-10-05T00:00:00"/>
        <d v="2009-10-02T00:00:00"/>
        <d v="2009-10-01T00:00:00"/>
        <d v="2009-09-30T00:00:00"/>
        <d v="2009-09-29T00:00:00"/>
        <d v="2009-09-28T00:00:00"/>
        <d v="2009-09-25T00:00:00"/>
        <d v="2009-09-24T00:00:00"/>
        <d v="2009-09-23T00:00:00"/>
        <d v="2009-09-22T00:00:00"/>
        <d v="2009-09-21T00:00:00"/>
        <d v="2009-09-18T00:00:00"/>
        <d v="2009-09-17T00:00:00"/>
        <d v="2009-09-16T00:00:00"/>
        <d v="2009-09-15T00:00:00"/>
        <d v="2009-09-14T00:00:00"/>
        <d v="2009-09-11T00:00:00"/>
        <d v="2009-09-10T00:00:00"/>
        <d v="2009-09-09T00:00:00"/>
        <d v="2009-09-08T00:00:00"/>
        <d v="2009-09-07T00:00:00"/>
        <d v="2009-09-04T00:00:00"/>
        <d v="2009-09-03T00:00:00"/>
        <d v="2009-09-02T00:00:00"/>
        <d v="2009-09-01T00:00:00"/>
        <d v="2009-08-31T00:00:00"/>
        <d v="2009-08-28T00:00:00"/>
        <d v="2009-08-27T00:00:00"/>
        <d v="2009-08-26T00:00:00"/>
        <d v="2009-08-25T00:00:00"/>
        <d v="2009-08-24T00:00:00"/>
        <d v="2009-08-21T00:00:00"/>
        <d v="2009-08-20T00:00:00"/>
        <d v="2009-08-19T00:00:00"/>
        <d v="2009-08-18T00:00:00"/>
        <d v="2009-08-17T00:00:00"/>
        <d v="2009-08-14T00:00:00"/>
        <d v="2009-08-13T00:00:00"/>
        <d v="2009-08-12T00:00:00"/>
        <d v="2009-08-11T00:00:00"/>
        <d v="2009-08-10T00:00:00"/>
        <d v="2009-08-07T00:00:00"/>
        <d v="2009-08-06T00:00:00"/>
        <d v="2009-08-05T00:00:00"/>
        <d v="2009-08-04T00:00:00"/>
        <d v="2009-08-03T00:00:00"/>
        <d v="2009-07-31T00:00:00"/>
        <d v="2009-07-30T00:00:00"/>
        <d v="2009-07-29T00:00:00"/>
        <d v="2009-07-28T00:00:00"/>
        <d v="2009-07-27T00:00:00"/>
        <d v="2009-07-24T00:00:00"/>
        <d v="2009-07-23T00:00:00"/>
        <d v="2009-07-22T00:00:00"/>
        <d v="2009-07-21T00:00:00"/>
        <d v="2009-07-20T00:00:00"/>
        <d v="2009-07-17T00:00:00"/>
        <d v="2009-07-16T00:00:00"/>
        <d v="2009-07-15T00:00:00"/>
        <d v="2009-07-14T00:00:00"/>
        <d v="2009-07-13T00:00:00"/>
        <d v="2009-07-10T00:00:00"/>
        <d v="2009-07-09T00:00:00"/>
        <d v="2009-07-08T00:00:00"/>
        <d v="2009-07-07T00:00:00"/>
        <d v="2009-07-06T00:00:00"/>
        <d v="2009-07-03T00:00:00"/>
        <d v="2009-07-02T00:00:00"/>
        <d v="2009-07-01T00:00:00"/>
        <d v="2009-06-30T00:00:00"/>
        <d v="2009-06-29T00:00:00"/>
        <d v="2009-06-26T00:00:00"/>
        <d v="2009-06-25T00:00:00"/>
        <d v="2009-06-24T00:00:00"/>
        <d v="2009-06-23T00:00:00"/>
        <d v="2009-06-22T00:00:00"/>
        <d v="2009-06-19T00:00:00"/>
        <d v="2009-06-18T00:00:00"/>
        <d v="2009-06-17T00:00:00"/>
        <d v="2009-06-16T00:00:00"/>
        <d v="2009-06-15T00:00:00"/>
        <d v="2009-06-12T00:00:00"/>
        <d v="2009-06-11T00:00:00"/>
        <d v="2009-06-10T00:00:00"/>
        <d v="2009-06-09T00:00:00"/>
        <d v="2009-06-08T00:00:00"/>
        <d v="2009-06-05T00:00:00"/>
        <d v="2009-06-04T00:00:00"/>
        <d v="2009-06-03T00:00:00"/>
        <d v="2009-06-02T00:00:00"/>
        <d v="2009-05-29T00:00:00"/>
        <d v="2009-05-28T00:00:00"/>
        <d v="2009-05-27T00:00:00"/>
        <d v="2009-05-26T00:00:00"/>
        <d v="2009-05-25T00:00:00"/>
        <d v="2009-05-22T00:00:00"/>
        <d v="2009-05-20T00:00:00"/>
        <d v="2009-05-19T00:00:00"/>
        <d v="2009-05-18T00:00:00"/>
        <d v="2009-05-15T00:00:00"/>
        <d v="2009-05-14T00:00:00"/>
        <d v="2009-05-13T00:00:00"/>
        <d v="2009-05-12T00:00:00"/>
        <d v="2009-05-11T00:00:00"/>
        <d v="2009-05-08T00:00:00"/>
        <d v="2009-05-07T00:00:00"/>
        <d v="2009-05-06T00:00:00"/>
        <d v="2009-05-05T00:00:00"/>
        <d v="2009-05-04T00:00:00"/>
        <d v="2009-04-30T00:00:00"/>
        <d v="2009-04-29T00:00:00"/>
        <d v="2009-04-28T00:00:00"/>
        <d v="2009-04-27T00:00:00"/>
        <d v="2009-04-24T00:00:00"/>
        <d v="2009-04-23T00:00:00"/>
        <d v="2009-04-22T00:00:00"/>
        <d v="2009-04-21T00:00:00"/>
        <d v="2009-04-20T00:00:00"/>
        <d v="2009-04-17T00:00:00"/>
        <d v="2009-04-16T00:00:00"/>
        <d v="2009-04-15T00:00:00"/>
        <d v="2009-04-14T00:00:00"/>
        <d v="2009-04-08T00:00:00"/>
        <d v="2009-04-07T00:00:00"/>
        <d v="2009-04-06T00:00:00"/>
        <d v="2009-04-03T00:00:00"/>
        <d v="2009-04-02T00:00:00"/>
        <d v="2009-04-01T00:00:00"/>
        <d v="2009-03-31T00:00:00"/>
        <d v="2009-03-30T00:00:00"/>
        <d v="2009-03-27T00:00:00"/>
        <d v="2009-03-26T00:00:00"/>
        <d v="2009-03-25T00:00:00"/>
        <d v="2009-03-24T00:00:00"/>
        <d v="2009-03-23T00:00:00"/>
        <d v="2009-03-20T00:00:00"/>
        <d v="2009-03-19T00:00:00"/>
        <d v="2009-03-18T00:00:00"/>
        <d v="2009-03-17T00:00:00"/>
        <d v="2009-03-16T00:00:00"/>
        <d v="2009-03-13T00:00:00"/>
        <d v="2009-03-12T00:00:00"/>
        <d v="2009-03-11T00:00:00"/>
        <d v="2009-03-10T00:00:00"/>
        <d v="2009-03-09T00:00:00"/>
        <d v="2009-03-06T00:00:00"/>
        <d v="2009-03-05T00:00:00"/>
        <d v="2009-03-04T00:00:00"/>
        <d v="2009-03-03T00:00:00"/>
        <d v="2009-03-02T00:00:00"/>
        <d v="2009-02-27T00:00:00"/>
        <d v="2009-02-26T00:00:00"/>
        <d v="2009-02-25T00:00:00"/>
        <d v="2009-02-24T00:00:00"/>
        <d v="2009-02-23T00:00:00"/>
        <d v="2009-02-20T00:00:00"/>
        <d v="2009-02-19T00:00:00"/>
        <d v="2009-02-18T00:00:00"/>
        <d v="2009-02-17T00:00:00"/>
        <d v="2009-02-16T00:00:00"/>
        <d v="2009-02-13T00:00:00"/>
        <d v="2009-02-12T00:00:00"/>
        <d v="2009-02-11T00:00:00"/>
        <d v="2009-02-10T00:00:00"/>
        <d v="2009-02-09T00:00:00"/>
        <d v="2009-02-06T00:00:00"/>
        <d v="2009-02-05T00:00:00"/>
        <d v="2009-02-04T00:00:00"/>
        <d v="2009-02-03T00:00:00"/>
        <d v="2009-02-02T00:00:00"/>
        <d v="2009-01-30T00:00:00"/>
        <d v="2009-01-29T00:00:00"/>
        <d v="2009-01-28T00:00:00"/>
        <d v="2009-01-27T00:00:00"/>
        <d v="2009-01-26T00:00:00"/>
        <d v="2009-01-23T00:00:00"/>
        <d v="2009-01-22T00:00:00"/>
        <d v="2009-01-21T00:00:00"/>
        <d v="2009-01-20T00:00:00"/>
        <d v="2009-01-19T00:00:00"/>
        <d v="2009-01-16T00:00:00"/>
        <d v="2009-01-15T00:00:00"/>
        <d v="2009-01-14T00:00:00"/>
        <d v="2009-01-13T00:00:00"/>
        <d v="2009-01-12T00:00:00"/>
        <d v="2009-01-09T00:00:00"/>
        <d v="2009-01-08T00:00:00"/>
        <d v="2009-01-07T00:00:00"/>
        <d v="2009-01-06T00:00:00"/>
        <d v="2009-01-05T00:00:00"/>
        <d v="2009-01-02T00:00:00"/>
      </sharedItems>
    </cacheField>
    <cacheField name="Stock in BUm" numFmtId="0">
      <sharedItems containsNonDate="0" containsString="0" containsBlank="1"/>
    </cacheField>
    <cacheField name="Usage" numFmtId="0">
      <sharedItems containsNonDate="0" containsString="0" containsBlank="1"/>
    </cacheField>
    <cacheField name="Coverage Work Days" numFmtId="0">
      <sharedItems containsNonDate="0" containsString="0" containsBlank="1"/>
    </cacheField>
    <cacheField name="Future" numFmtId="0">
      <sharedItems containsNonDate="0" containsString="0" containsBlank="1"/>
    </cacheField>
    <cacheField name="Avg. Coverage" numFmtId="38">
      <sharedItems containsSemiMixedTypes="0" containsString="0" containsNumber="1" containsInteger="1" minValue="0" maxValue="0"/>
    </cacheField>
    <cacheField name="Type" numFmtId="0">
      <sharedItems count="1">
        <s v="History"/>
      </sharedItems>
    </cacheField>
    <cacheField name="Year" numFmtId="0">
      <sharedItems containsSemiMixedTypes="0" containsString="0" containsNumber="1" containsInteger="1" minValue="2009" maxValue="2013" count="4">
        <n v="2011"/>
        <n v="2010"/>
        <n v="2013"/>
        <n v="2009"/>
      </sharedItems>
    </cacheField>
    <cacheField name="Month" numFmtId="0">
      <sharedItems containsSemiMixedTypes="0" containsString="0" containsNumber="1" containsInteger="1" minValue="1" maxValue="12" count="12">
        <n v="1"/>
        <n v="12"/>
        <n v="11"/>
        <n v="10"/>
        <n v="9"/>
        <n v="8"/>
        <n v="7"/>
        <n v="6"/>
        <n v="5"/>
        <n v="4"/>
        <n v="3"/>
        <n v="2"/>
      </sharedItems>
    </cacheField>
    <cacheField name="Week" numFmtId="0">
      <sharedItems containsSemiMixedTypes="0" containsString="0" containsNumber="1" containsInteger="1" minValue="1" maxValue="53" count="53">
        <n v="4"/>
        <n v="3"/>
        <n v="2"/>
        <n v="1"/>
        <n v="52"/>
        <n v="51"/>
        <n v="50"/>
        <n v="49"/>
        <n v="48"/>
        <n v="47"/>
        <n v="46"/>
        <n v="45"/>
        <n v="44"/>
        <n v="43"/>
        <n v="42"/>
        <n v="41"/>
        <n v="40"/>
        <n v="39"/>
        <n v="38"/>
        <n v="37"/>
        <n v="36"/>
        <n v="35"/>
        <n v="34"/>
        <n v="33"/>
        <n v="32"/>
        <n v="31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5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1636.947148495368" createdVersion="4" refreshedVersion="4" minRefreshableVersion="3" recordCount="27" xr:uid="{00000000-000A-0000-FFFF-FFFF01000000}">
  <cacheSource type="worksheet">
    <worksheetSource name="MD04_Data"/>
  </cacheSource>
  <cacheFields count="28">
    <cacheField name="PLAAB" numFmtId="0">
      <sharedItems containsSemiMixedTypes="0" containsString="0" containsNumber="1" containsInteger="1" minValue="2" maxValue="2"/>
    </cacheField>
    <cacheField name="SORT1" numFmtId="0">
      <sharedItems containsSemiMixedTypes="0" containsString="0" containsNumber="1" containsInteger="1" minValue="0" maxValue="2"/>
    </cacheField>
    <cacheField name="SORT2" numFmtId="0">
      <sharedItems containsSemiMixedTypes="0" containsString="0" containsNumber="1" containsInteger="1" minValue="1" maxValue="7"/>
    </cacheField>
    <cacheField name="DELKZ" numFmtId="0">
      <sharedItems/>
    </cacheField>
    <cacheField name="PLUMI" numFmtId="0">
      <sharedItems count="3">
        <s v="B"/>
        <s v="-"/>
        <s v="+"/>
      </sharedItems>
    </cacheField>
    <cacheField name="DAT00" numFmtId="14">
      <sharedItems containsSemiMixedTypes="0" containsNonDate="0" containsDate="1" containsString="0" minDate="2010-02-03T00:00:00" maxDate="2010-12-23T00:00:00" count="27">
        <d v="2010-02-03T00:00:00"/>
        <d v="2010-02-05T00:00:00"/>
        <d v="2010-02-22T00:00:00"/>
        <d v="2010-03-01T00:00:00"/>
        <d v="2010-03-19T00:00:00"/>
        <d v="2010-04-08T00:00:00"/>
        <d v="2010-04-22T00:00:00"/>
        <d v="2010-05-06T00:00:00"/>
        <d v="2010-05-26T00:00:00"/>
        <d v="2010-06-09T00:00:00"/>
        <d v="2010-06-23T00:00:00"/>
        <d v="2010-07-07T00:00:00"/>
        <d v="2010-07-15T00:00:00"/>
        <d v="2010-07-28T00:00:00"/>
        <d v="2010-08-04T00:00:00"/>
        <d v="2010-08-18T00:00:00"/>
        <d v="2010-09-01T00:00:00"/>
        <d v="2010-09-08T00:00:00"/>
        <d v="2010-09-15T00:00:00"/>
        <d v="2010-09-29T00:00:00"/>
        <d v="2010-10-13T00:00:00"/>
        <d v="2010-10-27T00:00:00"/>
        <d v="2010-11-03T00:00:00"/>
        <d v="2010-11-10T00:00:00"/>
        <d v="2010-11-24T00:00:00"/>
        <d v="2010-12-07T00:00:00"/>
        <d v="2010-12-22T00:00:00"/>
      </sharedItems>
    </cacheField>
    <cacheField name="DAT01" numFmtId="0">
      <sharedItems containsSemiMixedTypes="0" containsNonDate="0" containsDate="1" containsString="0" minDate="1899-12-30T00:00:00" maxDate="2010-12-02T00:00:00"/>
    </cacheField>
    <cacheField name="DELB0" numFmtId="0">
      <sharedItems count="4">
        <s v="Stock"/>
        <s v="OrdRes"/>
        <s v="DepReq"/>
        <s v="PurRqs"/>
      </sharedItems>
    </cacheField>
    <cacheField name="EXTRA" numFmtId="0">
      <sharedItems containsBlank="1" containsMixedTypes="1" containsNumber="1" containsInteger="1" minValue="1451" maxValue="1451" count="5">
        <m/>
        <n v="1451"/>
        <s v="0032643196/00010"/>
        <s v="0032643197/00010"/>
        <s v="0032643198/00010"/>
      </sharedItems>
    </cacheField>
    <cacheField name="AUSSL" numFmtId="0">
      <sharedItems containsNonDate="0" containsString="0" containsBlank="1"/>
    </cacheField>
    <cacheField name="AUSKT" numFmtId="0">
      <sharedItems containsNonDate="0" containsString="0" containsBlank="1"/>
    </cacheField>
    <cacheField name="MNG01" numFmtId="49">
      <sharedItems/>
    </cacheField>
    <cacheField name="DAT02" numFmtId="0">
      <sharedItems containsSemiMixedTypes="0" containsNonDate="0" containsDate="1" containsString="0" minDate="1899-12-30T00:00:00" maxDate="2010-12-02T00:00:00"/>
    </cacheField>
    <cacheField name="WRK01" numFmtId="0">
      <sharedItems containsNonDate="0" containsString="0" containsBlank="1"/>
    </cacheField>
    <cacheField name="WRK02" numFmtId="0">
      <sharedItems containsNonDate="0" containsString="0" containsBlank="1"/>
    </cacheField>
    <cacheField name="SLOC2" numFmtId="0">
      <sharedItems containsNonDate="0" containsString="0" containsBlank="1"/>
    </cacheField>
    <cacheField name="LGORT" numFmtId="0">
      <sharedItems containsBlank="1"/>
    </cacheField>
    <cacheField name="LIFNR" numFmtId="0">
      <sharedItems containsString="0" containsBlank="1" containsNumber="1" containsInteger="1" minValue="4055" maxValue="4055"/>
    </cacheField>
    <cacheField name="KUNNR" numFmtId="0">
      <sharedItems containsNonDate="0" containsString="0" containsBlank="1"/>
    </cacheField>
    <cacheField name="MD4KD" numFmtId="0">
      <sharedItems containsNonDate="0" containsString="0" containsBlank="1"/>
    </cacheField>
    <cacheField name="MD4LI" numFmtId="0">
      <sharedItems containsBlank="1"/>
    </cacheField>
    <cacheField name="Customer" numFmtId="0">
      <sharedItems count="1">
        <s v=""/>
      </sharedItems>
    </cacheField>
    <cacheField name="Vendor" numFmtId="0">
      <sharedItems count="2">
        <s v=""/>
        <s v="4055 HUHTAMAKI DEUTSHLAND GMBH &amp; CO.KG"/>
      </sharedItems>
    </cacheField>
    <cacheField name="Date" numFmtId="14">
      <sharedItems containsSemiMixedTypes="0" containsNonDate="0" containsDate="1" containsString="0" minDate="2013-12-28T00:00:00" maxDate="2013-12-29T00:00:00" count="1">
        <d v="2013-12-28T00:00:00"/>
      </sharedItems>
    </cacheField>
    <cacheField name="Week" numFmtId="0">
      <sharedItems containsSemiMixedTypes="0" containsString="0" containsNumber="1" containsInteger="1" minValue="5" maxValue="51" count="26">
        <n v="5"/>
        <n v="8"/>
        <n v="9"/>
        <n v="11"/>
        <n v="14"/>
        <n v="16"/>
        <n v="18"/>
        <n v="21"/>
        <n v="23"/>
        <n v="25"/>
        <n v="27"/>
        <n v="28"/>
        <n v="30"/>
        <n v="31"/>
        <n v="33"/>
        <n v="35"/>
        <n v="36"/>
        <n v="37"/>
        <n v="39"/>
        <n v="41"/>
        <n v="43"/>
        <n v="44"/>
        <n v="45"/>
        <n v="47"/>
        <n v="49"/>
        <n v="51"/>
      </sharedItems>
    </cacheField>
    <cacheField name="Month" numFmtId="0">
      <sharedItems containsSemiMixedTypes="0" containsString="0" containsNumber="1" containsInteger="1" minValue="2" maxValue="12" count="11">
        <n v="2"/>
        <n v="3"/>
        <n v="4"/>
        <n v="5"/>
        <n v="6"/>
        <n v="7"/>
        <n v="8"/>
        <n v="9"/>
        <n v="10"/>
        <n v="11"/>
        <n v="12"/>
      </sharedItems>
    </cacheField>
    <cacheField name="Year" numFmtId="0">
      <sharedItems containsSemiMixedTypes="0" containsString="0" containsNumber="1" containsInteger="1" minValue="2010" maxValue="2010"/>
    </cacheField>
    <cacheField name="NetQty" numFmtId="164">
      <sharedItems containsSemiMixedTypes="0" containsString="0" containsNumber="1" minValue="-75691" maxValue="622660.6" count="25">
        <n v="622660.6"/>
        <n v="-75691"/>
        <n v="-51383"/>
        <n v="-53513"/>
        <n v="-46879"/>
        <n v="-34767"/>
        <n v="-42464"/>
        <n v="-55623"/>
        <n v="-41493"/>
        <n v="-33258"/>
        <n v="-39012"/>
        <n v="-42805"/>
        <n v="-44815"/>
        <n v="165000"/>
        <n v="-50058"/>
        <n v="-49361"/>
        <n v="-45297"/>
        <n v="-44764"/>
        <n v="-44527"/>
        <n v="-43009"/>
        <n v="-42446"/>
        <n v="-48204"/>
        <n v="-47628"/>
        <n v="-58610"/>
        <n v="-33879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il Kumar Bottu" refreshedDate="42440.439100694442" createdVersion="4" refreshedVersion="5" minRefreshableVersion="3" recordCount="2" xr:uid="{00000000-000A-0000-FFFF-FFFF02000000}">
  <cacheSource type="worksheet">
    <worksheetSource name="_xlnm.Database"/>
  </cacheSource>
  <cacheFields count="46">
    <cacheField name="Cns" numFmtId="0">
      <sharedItems containsNonDate="0" containsString="0" containsBlank="1"/>
    </cacheField>
    <cacheField name="Order" numFmtId="0">
      <sharedItems containsSemiMixedTypes="0" containsString="0" containsNumber="1" containsInteger="1" minValue="1206296" maxValue="100265806" count="2">
        <n v="1206296"/>
        <n v="100265806" u="1"/>
      </sharedItems>
    </cacheField>
    <cacheField name="Time" numFmtId="21">
      <sharedItems containsSemiMixedTypes="0" containsNonDate="0" containsDate="1" containsString="0" minDate="1899-12-30T01:31:01" maxDate="1899-12-30T14:46:33" count="3">
        <d v="1899-12-30T01:31:01"/>
        <d v="1899-12-30T14:46:33" u="1"/>
        <d v="1899-12-30T14:43:54" u="1"/>
      </sharedItems>
    </cacheField>
    <cacheField name="D/C" numFmtId="0">
      <sharedItems count="2">
        <s v="H"/>
        <s v="S"/>
      </sharedItems>
    </cacheField>
    <cacheField name="Delivery" numFmtId="0">
      <sharedItems containsNonDate="0" containsString="0" containsBlank="1"/>
    </cacheField>
    <cacheField name="PO" numFmtId="0">
      <sharedItems containsNonDate="0" containsString="0" containsBlank="1" count="1">
        <m/>
      </sharedItems>
    </cacheField>
    <cacheField name="MatYr" numFmtId="0">
      <sharedItems containsSemiMixedTypes="0" containsString="0" containsNumber="1" containsInteger="1" minValue="2014" maxValue="2014"/>
    </cacheField>
    <cacheField name="Lang" numFmtId="0">
      <sharedItems/>
    </cacheField>
    <cacheField name="Material Description" numFmtId="0">
      <sharedItems/>
    </cacheField>
    <cacheField name="Materialtype Description" numFmtId="0">
      <sharedItems/>
    </cacheField>
    <cacheField name="Mat. Doc." numFmtId="0">
      <sharedItems containsSemiMixedTypes="0" containsString="0" containsNumber="1" containsInteger="1" minValue="4902081245" maxValue="4902095668" count="3">
        <n v="4902095668"/>
        <n v="4902081256" u="1"/>
        <n v="4902081245" u="1"/>
      </sharedItems>
    </cacheField>
    <cacheField name="Mvt" numFmtId="0">
      <sharedItems containsSemiMixedTypes="0" containsString="0" containsNumber="1" containsInteger="1" minValue="321" maxValue="321"/>
    </cacheField>
    <cacheField name="Material2" numFmtId="0">
      <sharedItems/>
    </cacheField>
    <cacheField name="Pstng Date" numFmtId="0">
      <sharedItems containsDate="1" containsMixedTypes="1" minDate="2010-01-28T00:00:00" maxDate="2010-01-29T00:00:00" count="2">
        <s v="09.06.2014"/>
        <d v="2010-01-28T00:00:00" u="1"/>
      </sharedItems>
    </cacheField>
    <cacheField name="R/S Plnt" numFmtId="0">
      <sharedItems/>
    </cacheField>
    <cacheField name="Plant Description" numFmtId="0">
      <sharedItems/>
    </cacheField>
    <cacheField name="Entry Dte" numFmtId="14">
      <sharedItems containsDate="1" containsMixedTypes="1" minDate="2010-01-28T00:00:00" maxDate="2010-01-29T00:00:00" count="2">
        <s v="09.06.2014"/>
        <d v="2010-01-28T00:00:00" u="1"/>
      </sharedItems>
    </cacheField>
    <cacheField name="Beh.kat." numFmtId="0">
      <sharedItems/>
    </cacheField>
    <cacheField name="Sloc" numFmtId="14">
      <sharedItems count="2">
        <s v="Ferdigvare tørr"/>
        <s v="SL01" u="1"/>
      </sharedItems>
    </cacheField>
    <cacheField name="User Name" numFmtId="21">
      <sharedItems count="2">
        <s v="BATCH"/>
        <s v="BBONES" u="1"/>
      </sharedItems>
    </cacheField>
    <cacheField name="Whr" numFmtId="0">
      <sharedItems/>
    </cacheField>
    <cacheField name="Batch" numFmtId="0">
      <sharedItems containsSemiMixedTypes="0" containsString="0" containsNumber="1" containsInteger="1" minValue="852112" maxValue="1206296" count="2">
        <n v="1206296"/>
        <n v="852112" u="1"/>
      </sharedItems>
    </cacheField>
    <cacheField name="Mty" numFmtId="0">
      <sharedItems/>
    </cacheField>
    <cacheField name="S" numFmtId="0">
      <sharedItems/>
    </cacheField>
    <cacheField name="StR" numFmtId="0">
      <sharedItems containsSemiMixedTypes="0" containsString="0" containsNumber="1" containsInteger="1" minValue="2" maxValue="3" count="2">
        <n v="2"/>
        <n v="3"/>
      </sharedItems>
    </cacheField>
    <cacheField name="Rec" numFmtId="0">
      <sharedItems/>
    </cacheField>
    <cacheField name="S2" numFmtId="0">
      <sharedItems/>
    </cacheField>
    <cacheField name="Movement Type Text" numFmtId="0">
      <sharedItems count="2">
        <s v="LO kval.Til fri disp"/>
        <s v="GI for order" u="1"/>
      </sharedItems>
    </cacheField>
    <cacheField name="Tfr" numFmtId="0">
      <sharedItems/>
    </cacheField>
    <cacheField name="W" numFmtId="0">
      <sharedItems/>
    </cacheField>
    <cacheField name="LangCode" numFmtId="0">
      <sharedItems/>
    </cacheField>
    <cacheField name="Material" numFmtId="0">
      <sharedItems containsSemiMixedTypes="0" containsString="0" containsNumber="1" containsInteger="1" minValue="1029" maxValue="1029"/>
    </cacheField>
    <cacheField name="Mtyp" numFmtId="0">
      <sharedItems/>
    </cacheField>
    <cacheField name="Plnt" numFmtId="14">
      <sharedItems/>
    </cacheField>
    <cacheField name="Quantity" numFmtId="38">
      <sharedItems containsSemiMixedTypes="0" containsString="0" containsNumber="1" containsInteger="1" minValue="306" maxValue="306"/>
    </cacheField>
    <cacheField name="Total valuated stock before th" numFmtId="38">
      <sharedItems containsSemiMixedTypes="0" containsString="0" containsNumber="1" containsInteger="1" minValue="1902" maxValue="1902"/>
    </cacheField>
    <cacheField name="Value of total valuated stock" numFmtId="38">
      <sharedItems containsSemiMixedTypes="0" containsString="0" containsNumber="1" minValue="145548.48000000001" maxValue="145548.48000000001"/>
    </cacheField>
    <cacheField name="UsageTest" numFmtId="38">
      <sharedItems containsSemiMixedTypes="0" containsString="0" containsNumber="1" containsInteger="1" minValue="0" maxValue="1" count="2">
        <n v="1"/>
        <n v="0"/>
      </sharedItems>
    </cacheField>
    <cacheField name="Test2" numFmtId="38">
      <sharedItems containsSemiMixedTypes="0" containsString="0" containsNumber="1" containsInteger="1" minValue="1" maxValue="1" count="1">
        <n v="1"/>
      </sharedItems>
    </cacheField>
    <cacheField name="StockIn" numFmtId="38">
      <sharedItems containsSemiMixedTypes="0" containsString="0" containsNumber="1" containsInteger="1" minValue="1902" maxValue="1902"/>
    </cacheField>
    <cacheField name="StockOut" numFmtId="38">
      <sharedItems containsSemiMixedTypes="0" containsString="0" containsNumber="1" containsInteger="1" minValue="1596" maxValue="1902"/>
    </cacheField>
    <cacheField name="NetQty" numFmtId="38">
      <sharedItems containsSemiMixedTypes="0" containsString="0" containsNumber="1" containsInteger="1" minValue="-306" maxValue="306"/>
    </cacheField>
    <cacheField name="Entry" numFmtId="170">
      <sharedItems containsSemiMixedTypes="0" containsNonDate="0" containsDate="1" containsString="0" minDate="2014-06-09T01:31:01" maxDate="2014-06-09T01:31:01"/>
    </cacheField>
    <cacheField name="NewDate" numFmtId="14">
      <sharedItems containsNonDate="0" containsDate="1" containsMixedTypes="1" minDate="2010-01-28T00:00:00" maxDate="2014-06-10T00:00:00" count="3">
        <d v="2014-06-09T00:00:00"/>
        <d v="2010-01-28T00:00:00" u="1"/>
        <s v="09.06.2014" u="1"/>
      </sharedItems>
    </cacheField>
    <cacheField name="StockOut1" numFmtId="0" formula="#NAME?+#NAME?" databaseField="0"/>
    <cacheField name="Stock Price" numFmtId="0" formula="'Value of total valuated stock'/'Total valuated stock before th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2">
  <r>
    <x v="0"/>
    <m/>
    <m/>
    <m/>
    <m/>
    <n v="0"/>
    <x v="0"/>
    <x v="0"/>
    <x v="0"/>
    <x v="0"/>
  </r>
  <r>
    <x v="1"/>
    <m/>
    <m/>
    <m/>
    <m/>
    <n v="0"/>
    <x v="0"/>
    <x v="0"/>
    <x v="0"/>
    <x v="0"/>
  </r>
  <r>
    <x v="2"/>
    <m/>
    <m/>
    <m/>
    <m/>
    <n v="0"/>
    <x v="0"/>
    <x v="0"/>
    <x v="0"/>
    <x v="0"/>
  </r>
  <r>
    <x v="3"/>
    <m/>
    <m/>
    <m/>
    <m/>
    <n v="0"/>
    <x v="0"/>
    <x v="0"/>
    <x v="0"/>
    <x v="0"/>
  </r>
  <r>
    <x v="4"/>
    <m/>
    <m/>
    <m/>
    <m/>
    <n v="0"/>
    <x v="0"/>
    <x v="0"/>
    <x v="0"/>
    <x v="1"/>
  </r>
  <r>
    <x v="5"/>
    <m/>
    <m/>
    <m/>
    <m/>
    <n v="0"/>
    <x v="0"/>
    <x v="0"/>
    <x v="0"/>
    <x v="1"/>
  </r>
  <r>
    <x v="6"/>
    <m/>
    <m/>
    <m/>
    <m/>
    <n v="0"/>
    <x v="0"/>
    <x v="0"/>
    <x v="0"/>
    <x v="1"/>
  </r>
  <r>
    <x v="7"/>
    <m/>
    <m/>
    <m/>
    <m/>
    <n v="0"/>
    <x v="0"/>
    <x v="0"/>
    <x v="0"/>
    <x v="1"/>
  </r>
  <r>
    <x v="8"/>
    <m/>
    <m/>
    <m/>
    <m/>
    <n v="0"/>
    <x v="0"/>
    <x v="0"/>
    <x v="0"/>
    <x v="1"/>
  </r>
  <r>
    <x v="9"/>
    <m/>
    <m/>
    <m/>
    <m/>
    <n v="0"/>
    <x v="0"/>
    <x v="0"/>
    <x v="0"/>
    <x v="2"/>
  </r>
  <r>
    <x v="10"/>
    <m/>
    <m/>
    <m/>
    <m/>
    <n v="0"/>
    <x v="0"/>
    <x v="0"/>
    <x v="0"/>
    <x v="2"/>
  </r>
  <r>
    <x v="11"/>
    <m/>
    <m/>
    <m/>
    <m/>
    <n v="0"/>
    <x v="0"/>
    <x v="0"/>
    <x v="0"/>
    <x v="2"/>
  </r>
  <r>
    <x v="12"/>
    <m/>
    <m/>
    <m/>
    <m/>
    <n v="0"/>
    <x v="0"/>
    <x v="0"/>
    <x v="0"/>
    <x v="2"/>
  </r>
  <r>
    <x v="13"/>
    <m/>
    <m/>
    <m/>
    <m/>
    <n v="0"/>
    <x v="0"/>
    <x v="0"/>
    <x v="0"/>
    <x v="2"/>
  </r>
  <r>
    <x v="14"/>
    <m/>
    <m/>
    <m/>
    <m/>
    <n v="0"/>
    <x v="0"/>
    <x v="0"/>
    <x v="0"/>
    <x v="3"/>
  </r>
  <r>
    <x v="15"/>
    <m/>
    <m/>
    <m/>
    <m/>
    <n v="0"/>
    <x v="0"/>
    <x v="0"/>
    <x v="0"/>
    <x v="3"/>
  </r>
  <r>
    <x v="16"/>
    <m/>
    <m/>
    <m/>
    <m/>
    <n v="0"/>
    <x v="0"/>
    <x v="0"/>
    <x v="0"/>
    <x v="3"/>
  </r>
  <r>
    <x v="17"/>
    <m/>
    <m/>
    <m/>
    <m/>
    <n v="0"/>
    <x v="0"/>
    <x v="0"/>
    <x v="0"/>
    <x v="3"/>
  </r>
  <r>
    <x v="18"/>
    <m/>
    <m/>
    <m/>
    <m/>
    <n v="0"/>
    <x v="0"/>
    <x v="0"/>
    <x v="0"/>
    <x v="3"/>
  </r>
  <r>
    <x v="19"/>
    <m/>
    <m/>
    <m/>
    <m/>
    <n v="0"/>
    <x v="0"/>
    <x v="1"/>
    <x v="1"/>
    <x v="4"/>
  </r>
  <r>
    <x v="20"/>
    <m/>
    <m/>
    <m/>
    <m/>
    <n v="0"/>
    <x v="0"/>
    <x v="1"/>
    <x v="1"/>
    <x v="4"/>
  </r>
  <r>
    <x v="21"/>
    <m/>
    <m/>
    <m/>
    <m/>
    <n v="0"/>
    <x v="0"/>
    <x v="1"/>
    <x v="1"/>
    <x v="4"/>
  </r>
  <r>
    <x v="22"/>
    <m/>
    <m/>
    <m/>
    <m/>
    <n v="0"/>
    <x v="0"/>
    <x v="1"/>
    <x v="1"/>
    <x v="4"/>
  </r>
  <r>
    <x v="23"/>
    <m/>
    <m/>
    <m/>
    <m/>
    <n v="0"/>
    <x v="0"/>
    <x v="1"/>
    <x v="1"/>
    <x v="5"/>
  </r>
  <r>
    <x v="24"/>
    <m/>
    <m/>
    <m/>
    <m/>
    <n v="0"/>
    <x v="0"/>
    <x v="1"/>
    <x v="1"/>
    <x v="5"/>
  </r>
  <r>
    <x v="25"/>
    <m/>
    <m/>
    <m/>
    <m/>
    <n v="0"/>
    <x v="0"/>
    <x v="1"/>
    <x v="1"/>
    <x v="5"/>
  </r>
  <r>
    <x v="26"/>
    <m/>
    <m/>
    <m/>
    <m/>
    <n v="0"/>
    <x v="0"/>
    <x v="1"/>
    <x v="1"/>
    <x v="5"/>
  </r>
  <r>
    <x v="27"/>
    <m/>
    <m/>
    <m/>
    <m/>
    <n v="0"/>
    <x v="0"/>
    <x v="1"/>
    <x v="1"/>
    <x v="6"/>
  </r>
  <r>
    <x v="28"/>
    <m/>
    <m/>
    <m/>
    <m/>
    <n v="0"/>
    <x v="0"/>
    <x v="1"/>
    <x v="1"/>
    <x v="6"/>
  </r>
  <r>
    <x v="29"/>
    <m/>
    <m/>
    <m/>
    <m/>
    <n v="0"/>
    <x v="0"/>
    <x v="1"/>
    <x v="1"/>
    <x v="6"/>
  </r>
  <r>
    <x v="30"/>
    <m/>
    <m/>
    <m/>
    <m/>
    <n v="0"/>
    <x v="0"/>
    <x v="1"/>
    <x v="1"/>
    <x v="6"/>
  </r>
  <r>
    <x v="31"/>
    <m/>
    <m/>
    <m/>
    <m/>
    <n v="0"/>
    <x v="0"/>
    <x v="1"/>
    <x v="1"/>
    <x v="6"/>
  </r>
  <r>
    <x v="32"/>
    <m/>
    <m/>
    <m/>
    <m/>
    <n v="0"/>
    <x v="0"/>
    <x v="1"/>
    <x v="1"/>
    <x v="7"/>
  </r>
  <r>
    <x v="33"/>
    <m/>
    <m/>
    <m/>
    <m/>
    <n v="0"/>
    <x v="0"/>
    <x v="1"/>
    <x v="1"/>
    <x v="7"/>
  </r>
  <r>
    <x v="34"/>
    <m/>
    <m/>
    <m/>
    <m/>
    <n v="0"/>
    <x v="0"/>
    <x v="1"/>
    <x v="1"/>
    <x v="7"/>
  </r>
  <r>
    <x v="35"/>
    <m/>
    <m/>
    <m/>
    <m/>
    <n v="0"/>
    <x v="0"/>
    <x v="1"/>
    <x v="1"/>
    <x v="7"/>
  </r>
  <r>
    <x v="36"/>
    <m/>
    <m/>
    <m/>
    <m/>
    <n v="0"/>
    <x v="0"/>
    <x v="1"/>
    <x v="1"/>
    <x v="7"/>
  </r>
  <r>
    <x v="37"/>
    <m/>
    <m/>
    <m/>
    <m/>
    <n v="0"/>
    <x v="0"/>
    <x v="1"/>
    <x v="1"/>
    <x v="8"/>
  </r>
  <r>
    <x v="38"/>
    <m/>
    <m/>
    <m/>
    <m/>
    <n v="0"/>
    <x v="0"/>
    <x v="1"/>
    <x v="1"/>
    <x v="8"/>
  </r>
  <r>
    <x v="39"/>
    <m/>
    <m/>
    <m/>
    <m/>
    <n v="0"/>
    <x v="0"/>
    <x v="1"/>
    <x v="1"/>
    <x v="8"/>
  </r>
  <r>
    <x v="40"/>
    <m/>
    <m/>
    <m/>
    <m/>
    <n v="0"/>
    <x v="0"/>
    <x v="1"/>
    <x v="2"/>
    <x v="8"/>
  </r>
  <r>
    <x v="41"/>
    <m/>
    <m/>
    <m/>
    <m/>
    <n v="0"/>
    <x v="0"/>
    <x v="1"/>
    <x v="2"/>
    <x v="8"/>
  </r>
  <r>
    <x v="42"/>
    <m/>
    <m/>
    <m/>
    <m/>
    <n v="0"/>
    <x v="0"/>
    <x v="1"/>
    <x v="2"/>
    <x v="9"/>
  </r>
  <r>
    <x v="43"/>
    <m/>
    <m/>
    <m/>
    <m/>
    <n v="0"/>
    <x v="0"/>
    <x v="1"/>
    <x v="2"/>
    <x v="9"/>
  </r>
  <r>
    <x v="44"/>
    <m/>
    <m/>
    <m/>
    <m/>
    <n v="0"/>
    <x v="0"/>
    <x v="1"/>
    <x v="2"/>
    <x v="9"/>
  </r>
  <r>
    <x v="45"/>
    <m/>
    <m/>
    <m/>
    <m/>
    <n v="0"/>
    <x v="0"/>
    <x v="1"/>
    <x v="2"/>
    <x v="9"/>
  </r>
  <r>
    <x v="46"/>
    <m/>
    <m/>
    <m/>
    <m/>
    <n v="0"/>
    <x v="0"/>
    <x v="1"/>
    <x v="2"/>
    <x v="9"/>
  </r>
  <r>
    <x v="47"/>
    <m/>
    <m/>
    <m/>
    <m/>
    <n v="0"/>
    <x v="0"/>
    <x v="1"/>
    <x v="2"/>
    <x v="10"/>
  </r>
  <r>
    <x v="48"/>
    <m/>
    <m/>
    <m/>
    <m/>
    <n v="0"/>
    <x v="0"/>
    <x v="1"/>
    <x v="2"/>
    <x v="10"/>
  </r>
  <r>
    <x v="49"/>
    <m/>
    <m/>
    <m/>
    <m/>
    <n v="0"/>
    <x v="0"/>
    <x v="1"/>
    <x v="2"/>
    <x v="10"/>
  </r>
  <r>
    <x v="50"/>
    <m/>
    <m/>
    <m/>
    <m/>
    <n v="0"/>
    <x v="0"/>
    <x v="1"/>
    <x v="2"/>
    <x v="10"/>
  </r>
  <r>
    <x v="51"/>
    <m/>
    <m/>
    <m/>
    <m/>
    <n v="0"/>
    <x v="0"/>
    <x v="1"/>
    <x v="2"/>
    <x v="10"/>
  </r>
  <r>
    <x v="52"/>
    <m/>
    <m/>
    <m/>
    <m/>
    <n v="0"/>
    <x v="0"/>
    <x v="1"/>
    <x v="2"/>
    <x v="11"/>
  </r>
  <r>
    <x v="53"/>
    <m/>
    <m/>
    <m/>
    <m/>
    <n v="0"/>
    <x v="0"/>
    <x v="1"/>
    <x v="2"/>
    <x v="11"/>
  </r>
  <r>
    <x v="54"/>
    <m/>
    <m/>
    <m/>
    <m/>
    <n v="0"/>
    <x v="0"/>
    <x v="1"/>
    <x v="2"/>
    <x v="11"/>
  </r>
  <r>
    <x v="55"/>
    <m/>
    <m/>
    <m/>
    <m/>
    <n v="0"/>
    <x v="0"/>
    <x v="1"/>
    <x v="2"/>
    <x v="11"/>
  </r>
  <r>
    <x v="56"/>
    <m/>
    <m/>
    <m/>
    <m/>
    <n v="0"/>
    <x v="0"/>
    <x v="1"/>
    <x v="2"/>
    <x v="11"/>
  </r>
  <r>
    <x v="57"/>
    <m/>
    <m/>
    <m/>
    <m/>
    <n v="0"/>
    <x v="0"/>
    <x v="1"/>
    <x v="2"/>
    <x v="12"/>
  </r>
  <r>
    <x v="58"/>
    <m/>
    <m/>
    <m/>
    <m/>
    <n v="0"/>
    <x v="0"/>
    <x v="1"/>
    <x v="2"/>
    <x v="12"/>
  </r>
  <r>
    <x v="59"/>
    <m/>
    <m/>
    <m/>
    <m/>
    <n v="0"/>
    <x v="0"/>
    <x v="1"/>
    <x v="2"/>
    <x v="12"/>
  </r>
  <r>
    <x v="60"/>
    <m/>
    <m/>
    <m/>
    <m/>
    <n v="0"/>
    <x v="0"/>
    <x v="1"/>
    <x v="2"/>
    <x v="12"/>
  </r>
  <r>
    <x v="61"/>
    <m/>
    <m/>
    <m/>
    <m/>
    <n v="0"/>
    <x v="0"/>
    <x v="1"/>
    <x v="2"/>
    <x v="12"/>
  </r>
  <r>
    <x v="62"/>
    <m/>
    <m/>
    <m/>
    <m/>
    <n v="0"/>
    <x v="0"/>
    <x v="1"/>
    <x v="3"/>
    <x v="13"/>
  </r>
  <r>
    <x v="63"/>
    <m/>
    <m/>
    <m/>
    <m/>
    <n v="0"/>
    <x v="0"/>
    <x v="1"/>
    <x v="3"/>
    <x v="13"/>
  </r>
  <r>
    <x v="64"/>
    <m/>
    <m/>
    <m/>
    <m/>
    <n v="0"/>
    <x v="0"/>
    <x v="1"/>
    <x v="3"/>
    <x v="13"/>
  </r>
  <r>
    <x v="65"/>
    <m/>
    <m/>
    <m/>
    <m/>
    <n v="0"/>
    <x v="0"/>
    <x v="1"/>
    <x v="3"/>
    <x v="13"/>
  </r>
  <r>
    <x v="66"/>
    <m/>
    <m/>
    <m/>
    <m/>
    <n v="0"/>
    <x v="0"/>
    <x v="1"/>
    <x v="3"/>
    <x v="13"/>
  </r>
  <r>
    <x v="67"/>
    <m/>
    <m/>
    <m/>
    <m/>
    <n v="0"/>
    <x v="0"/>
    <x v="1"/>
    <x v="3"/>
    <x v="14"/>
  </r>
  <r>
    <x v="68"/>
    <m/>
    <m/>
    <m/>
    <m/>
    <n v="0"/>
    <x v="0"/>
    <x v="1"/>
    <x v="3"/>
    <x v="14"/>
  </r>
  <r>
    <x v="69"/>
    <m/>
    <m/>
    <m/>
    <m/>
    <n v="0"/>
    <x v="0"/>
    <x v="1"/>
    <x v="3"/>
    <x v="14"/>
  </r>
  <r>
    <x v="70"/>
    <m/>
    <m/>
    <m/>
    <m/>
    <n v="0"/>
    <x v="0"/>
    <x v="1"/>
    <x v="3"/>
    <x v="14"/>
  </r>
  <r>
    <x v="71"/>
    <m/>
    <m/>
    <m/>
    <m/>
    <n v="0"/>
    <x v="0"/>
    <x v="1"/>
    <x v="3"/>
    <x v="14"/>
  </r>
  <r>
    <x v="72"/>
    <m/>
    <m/>
    <m/>
    <m/>
    <n v="0"/>
    <x v="0"/>
    <x v="1"/>
    <x v="3"/>
    <x v="15"/>
  </r>
  <r>
    <x v="73"/>
    <m/>
    <m/>
    <m/>
    <m/>
    <n v="0"/>
    <x v="0"/>
    <x v="1"/>
    <x v="3"/>
    <x v="15"/>
  </r>
  <r>
    <x v="74"/>
    <m/>
    <m/>
    <m/>
    <m/>
    <n v="0"/>
    <x v="0"/>
    <x v="1"/>
    <x v="3"/>
    <x v="15"/>
  </r>
  <r>
    <x v="75"/>
    <m/>
    <m/>
    <m/>
    <m/>
    <n v="0"/>
    <x v="0"/>
    <x v="1"/>
    <x v="3"/>
    <x v="15"/>
  </r>
  <r>
    <x v="76"/>
    <m/>
    <m/>
    <m/>
    <m/>
    <n v="0"/>
    <x v="0"/>
    <x v="1"/>
    <x v="3"/>
    <x v="15"/>
  </r>
  <r>
    <x v="77"/>
    <m/>
    <m/>
    <m/>
    <m/>
    <n v="0"/>
    <x v="0"/>
    <x v="1"/>
    <x v="3"/>
    <x v="16"/>
  </r>
  <r>
    <x v="78"/>
    <m/>
    <m/>
    <m/>
    <m/>
    <n v="0"/>
    <x v="0"/>
    <x v="1"/>
    <x v="3"/>
    <x v="16"/>
  </r>
  <r>
    <x v="79"/>
    <m/>
    <m/>
    <m/>
    <m/>
    <n v="0"/>
    <x v="0"/>
    <x v="1"/>
    <x v="3"/>
    <x v="16"/>
  </r>
  <r>
    <x v="80"/>
    <m/>
    <m/>
    <m/>
    <m/>
    <n v="0"/>
    <x v="0"/>
    <x v="1"/>
    <x v="3"/>
    <x v="16"/>
  </r>
  <r>
    <x v="81"/>
    <m/>
    <m/>
    <m/>
    <m/>
    <n v="0"/>
    <x v="0"/>
    <x v="1"/>
    <x v="3"/>
    <x v="16"/>
  </r>
  <r>
    <x v="82"/>
    <m/>
    <m/>
    <m/>
    <m/>
    <n v="0"/>
    <x v="0"/>
    <x v="1"/>
    <x v="3"/>
    <x v="17"/>
  </r>
  <r>
    <x v="83"/>
    <m/>
    <m/>
    <m/>
    <m/>
    <n v="0"/>
    <x v="0"/>
    <x v="1"/>
    <x v="4"/>
    <x v="17"/>
  </r>
  <r>
    <x v="84"/>
    <m/>
    <m/>
    <m/>
    <m/>
    <n v="0"/>
    <x v="0"/>
    <x v="1"/>
    <x v="4"/>
    <x v="17"/>
  </r>
  <r>
    <x v="85"/>
    <m/>
    <m/>
    <m/>
    <m/>
    <n v="0"/>
    <x v="0"/>
    <x v="1"/>
    <x v="4"/>
    <x v="17"/>
  </r>
  <r>
    <x v="86"/>
    <m/>
    <m/>
    <m/>
    <m/>
    <n v="0"/>
    <x v="0"/>
    <x v="1"/>
    <x v="4"/>
    <x v="17"/>
  </r>
  <r>
    <x v="87"/>
    <m/>
    <m/>
    <m/>
    <m/>
    <n v="0"/>
    <x v="0"/>
    <x v="1"/>
    <x v="4"/>
    <x v="18"/>
  </r>
  <r>
    <x v="88"/>
    <m/>
    <m/>
    <m/>
    <m/>
    <n v="0"/>
    <x v="0"/>
    <x v="1"/>
    <x v="4"/>
    <x v="18"/>
  </r>
  <r>
    <x v="89"/>
    <m/>
    <m/>
    <m/>
    <m/>
    <n v="0"/>
    <x v="0"/>
    <x v="1"/>
    <x v="4"/>
    <x v="18"/>
  </r>
  <r>
    <x v="90"/>
    <m/>
    <m/>
    <m/>
    <m/>
    <n v="0"/>
    <x v="0"/>
    <x v="1"/>
    <x v="4"/>
    <x v="18"/>
  </r>
  <r>
    <x v="91"/>
    <m/>
    <m/>
    <m/>
    <m/>
    <n v="0"/>
    <x v="0"/>
    <x v="1"/>
    <x v="4"/>
    <x v="18"/>
  </r>
  <r>
    <x v="92"/>
    <m/>
    <m/>
    <m/>
    <m/>
    <n v="0"/>
    <x v="0"/>
    <x v="1"/>
    <x v="4"/>
    <x v="19"/>
  </r>
  <r>
    <x v="93"/>
    <m/>
    <m/>
    <m/>
    <m/>
    <n v="0"/>
    <x v="0"/>
    <x v="1"/>
    <x v="4"/>
    <x v="19"/>
  </r>
  <r>
    <x v="94"/>
    <m/>
    <m/>
    <m/>
    <m/>
    <n v="0"/>
    <x v="0"/>
    <x v="1"/>
    <x v="4"/>
    <x v="19"/>
  </r>
  <r>
    <x v="95"/>
    <m/>
    <m/>
    <m/>
    <m/>
    <n v="0"/>
    <x v="0"/>
    <x v="1"/>
    <x v="4"/>
    <x v="19"/>
  </r>
  <r>
    <x v="96"/>
    <m/>
    <m/>
    <m/>
    <m/>
    <n v="0"/>
    <x v="0"/>
    <x v="1"/>
    <x v="4"/>
    <x v="19"/>
  </r>
  <r>
    <x v="97"/>
    <m/>
    <m/>
    <m/>
    <m/>
    <n v="0"/>
    <x v="0"/>
    <x v="1"/>
    <x v="4"/>
    <x v="20"/>
  </r>
  <r>
    <x v="98"/>
    <m/>
    <m/>
    <m/>
    <m/>
    <n v="0"/>
    <x v="0"/>
    <x v="1"/>
    <x v="4"/>
    <x v="20"/>
  </r>
  <r>
    <x v="99"/>
    <m/>
    <m/>
    <m/>
    <m/>
    <n v="0"/>
    <x v="0"/>
    <x v="1"/>
    <x v="4"/>
    <x v="20"/>
  </r>
  <r>
    <x v="100"/>
    <m/>
    <m/>
    <m/>
    <m/>
    <n v="0"/>
    <x v="0"/>
    <x v="1"/>
    <x v="4"/>
    <x v="20"/>
  </r>
  <r>
    <x v="101"/>
    <m/>
    <m/>
    <m/>
    <m/>
    <n v="0"/>
    <x v="0"/>
    <x v="1"/>
    <x v="4"/>
    <x v="20"/>
  </r>
  <r>
    <x v="102"/>
    <m/>
    <m/>
    <m/>
    <m/>
    <n v="0"/>
    <x v="0"/>
    <x v="1"/>
    <x v="4"/>
    <x v="21"/>
  </r>
  <r>
    <x v="103"/>
    <m/>
    <m/>
    <m/>
    <m/>
    <n v="0"/>
    <x v="0"/>
    <x v="1"/>
    <x v="4"/>
    <x v="21"/>
  </r>
  <r>
    <x v="104"/>
    <m/>
    <m/>
    <m/>
    <m/>
    <n v="0"/>
    <x v="0"/>
    <x v="1"/>
    <x v="4"/>
    <x v="21"/>
  </r>
  <r>
    <x v="105"/>
    <m/>
    <m/>
    <m/>
    <m/>
    <n v="0"/>
    <x v="0"/>
    <x v="1"/>
    <x v="5"/>
    <x v="21"/>
  </r>
  <r>
    <x v="106"/>
    <m/>
    <m/>
    <m/>
    <m/>
    <n v="0"/>
    <x v="0"/>
    <x v="1"/>
    <x v="5"/>
    <x v="21"/>
  </r>
  <r>
    <x v="107"/>
    <m/>
    <m/>
    <m/>
    <m/>
    <n v="0"/>
    <x v="0"/>
    <x v="1"/>
    <x v="5"/>
    <x v="22"/>
  </r>
  <r>
    <x v="108"/>
    <m/>
    <m/>
    <m/>
    <m/>
    <n v="0"/>
    <x v="0"/>
    <x v="1"/>
    <x v="5"/>
    <x v="22"/>
  </r>
  <r>
    <x v="109"/>
    <m/>
    <m/>
    <m/>
    <m/>
    <n v="0"/>
    <x v="0"/>
    <x v="1"/>
    <x v="5"/>
    <x v="22"/>
  </r>
  <r>
    <x v="110"/>
    <m/>
    <m/>
    <m/>
    <m/>
    <n v="0"/>
    <x v="0"/>
    <x v="1"/>
    <x v="5"/>
    <x v="22"/>
  </r>
  <r>
    <x v="111"/>
    <m/>
    <m/>
    <m/>
    <m/>
    <n v="0"/>
    <x v="0"/>
    <x v="1"/>
    <x v="5"/>
    <x v="22"/>
  </r>
  <r>
    <x v="112"/>
    <m/>
    <m/>
    <m/>
    <m/>
    <n v="0"/>
    <x v="0"/>
    <x v="1"/>
    <x v="5"/>
    <x v="23"/>
  </r>
  <r>
    <x v="113"/>
    <m/>
    <m/>
    <m/>
    <m/>
    <n v="0"/>
    <x v="0"/>
    <x v="1"/>
    <x v="5"/>
    <x v="23"/>
  </r>
  <r>
    <x v="114"/>
    <m/>
    <m/>
    <m/>
    <m/>
    <n v="0"/>
    <x v="0"/>
    <x v="1"/>
    <x v="5"/>
    <x v="23"/>
  </r>
  <r>
    <x v="115"/>
    <m/>
    <m/>
    <m/>
    <m/>
    <n v="0"/>
    <x v="0"/>
    <x v="1"/>
    <x v="5"/>
    <x v="23"/>
  </r>
  <r>
    <x v="116"/>
    <m/>
    <m/>
    <m/>
    <m/>
    <n v="0"/>
    <x v="0"/>
    <x v="1"/>
    <x v="5"/>
    <x v="23"/>
  </r>
  <r>
    <x v="117"/>
    <m/>
    <m/>
    <m/>
    <m/>
    <n v="0"/>
    <x v="0"/>
    <x v="1"/>
    <x v="5"/>
    <x v="24"/>
  </r>
  <r>
    <x v="118"/>
    <m/>
    <m/>
    <m/>
    <m/>
    <n v="0"/>
    <x v="0"/>
    <x v="1"/>
    <x v="5"/>
    <x v="24"/>
  </r>
  <r>
    <x v="119"/>
    <m/>
    <m/>
    <m/>
    <m/>
    <n v="0"/>
    <x v="0"/>
    <x v="1"/>
    <x v="5"/>
    <x v="24"/>
  </r>
  <r>
    <x v="120"/>
    <m/>
    <m/>
    <m/>
    <m/>
    <n v="0"/>
    <x v="0"/>
    <x v="1"/>
    <x v="5"/>
    <x v="24"/>
  </r>
  <r>
    <x v="121"/>
    <m/>
    <m/>
    <m/>
    <m/>
    <n v="0"/>
    <x v="0"/>
    <x v="1"/>
    <x v="5"/>
    <x v="24"/>
  </r>
  <r>
    <x v="122"/>
    <m/>
    <m/>
    <m/>
    <m/>
    <n v="0"/>
    <x v="0"/>
    <x v="1"/>
    <x v="5"/>
    <x v="25"/>
  </r>
  <r>
    <x v="123"/>
    <m/>
    <m/>
    <m/>
    <m/>
    <n v="0"/>
    <x v="0"/>
    <x v="1"/>
    <x v="5"/>
    <x v="25"/>
  </r>
  <r>
    <x v="124"/>
    <m/>
    <m/>
    <m/>
    <m/>
    <n v="0"/>
    <x v="0"/>
    <x v="1"/>
    <x v="5"/>
    <x v="25"/>
  </r>
  <r>
    <x v="125"/>
    <m/>
    <m/>
    <m/>
    <m/>
    <n v="0"/>
    <x v="0"/>
    <x v="1"/>
    <x v="5"/>
    <x v="25"/>
  </r>
  <r>
    <x v="126"/>
    <m/>
    <m/>
    <m/>
    <m/>
    <n v="0"/>
    <x v="0"/>
    <x v="1"/>
    <x v="5"/>
    <x v="25"/>
  </r>
  <r>
    <x v="127"/>
    <m/>
    <m/>
    <m/>
    <m/>
    <n v="0"/>
    <x v="0"/>
    <x v="1"/>
    <x v="6"/>
    <x v="26"/>
  </r>
  <r>
    <x v="128"/>
    <m/>
    <m/>
    <m/>
    <m/>
    <n v="0"/>
    <x v="0"/>
    <x v="1"/>
    <x v="6"/>
    <x v="26"/>
  </r>
  <r>
    <x v="129"/>
    <m/>
    <m/>
    <m/>
    <m/>
    <n v="0"/>
    <x v="0"/>
    <x v="1"/>
    <x v="6"/>
    <x v="26"/>
  </r>
  <r>
    <x v="130"/>
    <m/>
    <m/>
    <m/>
    <m/>
    <n v="0"/>
    <x v="0"/>
    <x v="1"/>
    <x v="6"/>
    <x v="26"/>
  </r>
  <r>
    <x v="131"/>
    <m/>
    <m/>
    <m/>
    <m/>
    <n v="0"/>
    <x v="0"/>
    <x v="1"/>
    <x v="6"/>
    <x v="26"/>
  </r>
  <r>
    <x v="132"/>
    <m/>
    <m/>
    <m/>
    <m/>
    <n v="0"/>
    <x v="0"/>
    <x v="1"/>
    <x v="6"/>
    <x v="27"/>
  </r>
  <r>
    <x v="133"/>
    <m/>
    <m/>
    <m/>
    <m/>
    <n v="0"/>
    <x v="0"/>
    <x v="1"/>
    <x v="6"/>
    <x v="27"/>
  </r>
  <r>
    <x v="134"/>
    <m/>
    <m/>
    <m/>
    <m/>
    <n v="0"/>
    <x v="0"/>
    <x v="1"/>
    <x v="6"/>
    <x v="27"/>
  </r>
  <r>
    <x v="135"/>
    <m/>
    <m/>
    <m/>
    <m/>
    <n v="0"/>
    <x v="0"/>
    <x v="1"/>
    <x v="6"/>
    <x v="27"/>
  </r>
  <r>
    <x v="136"/>
    <m/>
    <m/>
    <m/>
    <m/>
    <n v="0"/>
    <x v="0"/>
    <x v="1"/>
    <x v="6"/>
    <x v="27"/>
  </r>
  <r>
    <x v="137"/>
    <m/>
    <m/>
    <m/>
    <m/>
    <n v="0"/>
    <x v="0"/>
    <x v="1"/>
    <x v="6"/>
    <x v="28"/>
  </r>
  <r>
    <x v="138"/>
    <m/>
    <m/>
    <m/>
    <m/>
    <n v="0"/>
    <x v="0"/>
    <x v="1"/>
    <x v="6"/>
    <x v="28"/>
  </r>
  <r>
    <x v="139"/>
    <m/>
    <m/>
    <m/>
    <m/>
    <n v="0"/>
    <x v="0"/>
    <x v="1"/>
    <x v="6"/>
    <x v="28"/>
  </r>
  <r>
    <x v="140"/>
    <m/>
    <m/>
    <m/>
    <m/>
    <n v="0"/>
    <x v="0"/>
    <x v="1"/>
    <x v="6"/>
    <x v="28"/>
  </r>
  <r>
    <x v="141"/>
    <m/>
    <m/>
    <m/>
    <m/>
    <n v="0"/>
    <x v="0"/>
    <x v="1"/>
    <x v="6"/>
    <x v="28"/>
  </r>
  <r>
    <x v="142"/>
    <m/>
    <m/>
    <m/>
    <m/>
    <n v="0"/>
    <x v="0"/>
    <x v="1"/>
    <x v="6"/>
    <x v="29"/>
  </r>
  <r>
    <x v="143"/>
    <m/>
    <m/>
    <m/>
    <m/>
    <n v="0"/>
    <x v="0"/>
    <x v="1"/>
    <x v="6"/>
    <x v="29"/>
  </r>
  <r>
    <x v="144"/>
    <m/>
    <m/>
    <m/>
    <m/>
    <n v="0"/>
    <x v="0"/>
    <x v="1"/>
    <x v="6"/>
    <x v="29"/>
  </r>
  <r>
    <x v="145"/>
    <m/>
    <m/>
    <m/>
    <m/>
    <n v="0"/>
    <x v="0"/>
    <x v="1"/>
    <x v="6"/>
    <x v="29"/>
  </r>
  <r>
    <x v="146"/>
    <m/>
    <m/>
    <m/>
    <m/>
    <n v="0"/>
    <x v="0"/>
    <x v="1"/>
    <x v="6"/>
    <x v="29"/>
  </r>
  <r>
    <x v="147"/>
    <m/>
    <m/>
    <m/>
    <m/>
    <n v="0"/>
    <x v="0"/>
    <x v="1"/>
    <x v="6"/>
    <x v="30"/>
  </r>
  <r>
    <x v="148"/>
    <m/>
    <m/>
    <m/>
    <m/>
    <n v="0"/>
    <x v="0"/>
    <x v="1"/>
    <x v="6"/>
    <x v="30"/>
  </r>
  <r>
    <x v="149"/>
    <m/>
    <m/>
    <m/>
    <m/>
    <n v="0"/>
    <x v="0"/>
    <x v="1"/>
    <x v="7"/>
    <x v="30"/>
  </r>
  <r>
    <x v="150"/>
    <m/>
    <m/>
    <m/>
    <m/>
    <n v="0"/>
    <x v="0"/>
    <x v="1"/>
    <x v="7"/>
    <x v="30"/>
  </r>
  <r>
    <x v="151"/>
    <m/>
    <m/>
    <m/>
    <m/>
    <n v="0"/>
    <x v="0"/>
    <x v="1"/>
    <x v="7"/>
    <x v="30"/>
  </r>
  <r>
    <x v="152"/>
    <m/>
    <m/>
    <m/>
    <m/>
    <n v="0"/>
    <x v="0"/>
    <x v="1"/>
    <x v="7"/>
    <x v="31"/>
  </r>
  <r>
    <x v="153"/>
    <m/>
    <m/>
    <m/>
    <m/>
    <n v="0"/>
    <x v="0"/>
    <x v="1"/>
    <x v="7"/>
    <x v="31"/>
  </r>
  <r>
    <x v="154"/>
    <m/>
    <m/>
    <m/>
    <m/>
    <n v="0"/>
    <x v="0"/>
    <x v="1"/>
    <x v="7"/>
    <x v="31"/>
  </r>
  <r>
    <x v="155"/>
    <m/>
    <m/>
    <m/>
    <m/>
    <n v="0"/>
    <x v="0"/>
    <x v="1"/>
    <x v="7"/>
    <x v="31"/>
  </r>
  <r>
    <x v="156"/>
    <m/>
    <m/>
    <m/>
    <m/>
    <n v="0"/>
    <x v="0"/>
    <x v="1"/>
    <x v="7"/>
    <x v="31"/>
  </r>
  <r>
    <x v="157"/>
    <m/>
    <m/>
    <m/>
    <m/>
    <n v="0"/>
    <x v="0"/>
    <x v="1"/>
    <x v="7"/>
    <x v="32"/>
  </r>
  <r>
    <x v="158"/>
    <m/>
    <m/>
    <m/>
    <m/>
    <n v="0"/>
    <x v="0"/>
    <x v="1"/>
    <x v="7"/>
    <x v="32"/>
  </r>
  <r>
    <x v="159"/>
    <m/>
    <m/>
    <m/>
    <m/>
    <n v="0"/>
    <x v="0"/>
    <x v="1"/>
    <x v="7"/>
    <x v="32"/>
  </r>
  <r>
    <x v="160"/>
    <m/>
    <m/>
    <m/>
    <m/>
    <n v="0"/>
    <x v="0"/>
    <x v="1"/>
    <x v="7"/>
    <x v="32"/>
  </r>
  <r>
    <x v="161"/>
    <m/>
    <m/>
    <m/>
    <m/>
    <n v="0"/>
    <x v="0"/>
    <x v="1"/>
    <x v="7"/>
    <x v="32"/>
  </r>
  <r>
    <x v="162"/>
    <m/>
    <m/>
    <m/>
    <m/>
    <n v="0"/>
    <x v="0"/>
    <x v="1"/>
    <x v="7"/>
    <x v="33"/>
  </r>
  <r>
    <x v="163"/>
    <m/>
    <m/>
    <m/>
    <m/>
    <n v="0"/>
    <x v="0"/>
    <x v="1"/>
    <x v="7"/>
    <x v="33"/>
  </r>
  <r>
    <x v="164"/>
    <m/>
    <m/>
    <m/>
    <m/>
    <n v="0"/>
    <x v="0"/>
    <x v="1"/>
    <x v="7"/>
    <x v="33"/>
  </r>
  <r>
    <x v="165"/>
    <m/>
    <m/>
    <m/>
    <m/>
    <n v="0"/>
    <x v="0"/>
    <x v="1"/>
    <x v="7"/>
    <x v="33"/>
  </r>
  <r>
    <x v="166"/>
    <m/>
    <m/>
    <m/>
    <m/>
    <n v="0"/>
    <x v="0"/>
    <x v="1"/>
    <x v="7"/>
    <x v="33"/>
  </r>
  <r>
    <x v="167"/>
    <m/>
    <m/>
    <m/>
    <m/>
    <n v="0"/>
    <x v="0"/>
    <x v="1"/>
    <x v="7"/>
    <x v="34"/>
  </r>
  <r>
    <x v="168"/>
    <m/>
    <m/>
    <m/>
    <m/>
    <n v="0"/>
    <x v="0"/>
    <x v="1"/>
    <x v="7"/>
    <x v="34"/>
  </r>
  <r>
    <x v="169"/>
    <m/>
    <m/>
    <m/>
    <m/>
    <n v="0"/>
    <x v="0"/>
    <x v="1"/>
    <x v="7"/>
    <x v="34"/>
  </r>
  <r>
    <x v="170"/>
    <m/>
    <m/>
    <m/>
    <m/>
    <n v="0"/>
    <x v="0"/>
    <x v="1"/>
    <x v="7"/>
    <x v="34"/>
  </r>
  <r>
    <x v="171"/>
    <m/>
    <m/>
    <m/>
    <m/>
    <n v="0"/>
    <x v="0"/>
    <x v="1"/>
    <x v="8"/>
    <x v="34"/>
  </r>
  <r>
    <x v="172"/>
    <m/>
    <m/>
    <m/>
    <m/>
    <n v="0"/>
    <x v="0"/>
    <x v="1"/>
    <x v="8"/>
    <x v="35"/>
  </r>
  <r>
    <x v="173"/>
    <m/>
    <m/>
    <m/>
    <m/>
    <n v="0"/>
    <x v="0"/>
    <x v="1"/>
    <x v="8"/>
    <x v="35"/>
  </r>
  <r>
    <x v="174"/>
    <m/>
    <m/>
    <m/>
    <m/>
    <n v="0"/>
    <x v="0"/>
    <x v="1"/>
    <x v="8"/>
    <x v="35"/>
  </r>
  <r>
    <x v="175"/>
    <m/>
    <m/>
    <m/>
    <m/>
    <n v="0"/>
    <x v="0"/>
    <x v="1"/>
    <x v="8"/>
    <x v="35"/>
  </r>
  <r>
    <x v="176"/>
    <m/>
    <m/>
    <m/>
    <m/>
    <n v="0"/>
    <x v="0"/>
    <x v="1"/>
    <x v="8"/>
    <x v="36"/>
  </r>
  <r>
    <x v="177"/>
    <m/>
    <m/>
    <m/>
    <m/>
    <n v="0"/>
    <x v="0"/>
    <x v="1"/>
    <x v="8"/>
    <x v="36"/>
  </r>
  <r>
    <x v="178"/>
    <m/>
    <m/>
    <m/>
    <m/>
    <n v="0"/>
    <x v="0"/>
    <x v="1"/>
    <x v="8"/>
    <x v="36"/>
  </r>
  <r>
    <x v="179"/>
    <m/>
    <m/>
    <m/>
    <m/>
    <n v="0"/>
    <x v="0"/>
    <x v="1"/>
    <x v="8"/>
    <x v="36"/>
  </r>
  <r>
    <x v="180"/>
    <m/>
    <m/>
    <m/>
    <m/>
    <n v="0"/>
    <x v="0"/>
    <x v="1"/>
    <x v="8"/>
    <x v="37"/>
  </r>
  <r>
    <x v="181"/>
    <m/>
    <m/>
    <m/>
    <m/>
    <n v="0"/>
    <x v="0"/>
    <x v="1"/>
    <x v="8"/>
    <x v="37"/>
  </r>
  <r>
    <x v="182"/>
    <m/>
    <m/>
    <m/>
    <m/>
    <n v="0"/>
    <x v="0"/>
    <x v="1"/>
    <x v="8"/>
    <x v="37"/>
  </r>
  <r>
    <x v="183"/>
    <m/>
    <m/>
    <m/>
    <m/>
    <n v="0"/>
    <x v="0"/>
    <x v="1"/>
    <x v="8"/>
    <x v="37"/>
  </r>
  <r>
    <x v="184"/>
    <m/>
    <m/>
    <m/>
    <m/>
    <n v="0"/>
    <x v="0"/>
    <x v="1"/>
    <x v="8"/>
    <x v="38"/>
  </r>
  <r>
    <x v="185"/>
    <m/>
    <m/>
    <m/>
    <m/>
    <n v="0"/>
    <x v="0"/>
    <x v="1"/>
    <x v="8"/>
    <x v="38"/>
  </r>
  <r>
    <x v="186"/>
    <m/>
    <m/>
    <m/>
    <m/>
    <n v="0"/>
    <x v="0"/>
    <x v="1"/>
    <x v="8"/>
    <x v="38"/>
  </r>
  <r>
    <x v="187"/>
    <m/>
    <m/>
    <m/>
    <m/>
    <n v="0"/>
    <x v="0"/>
    <x v="1"/>
    <x v="8"/>
    <x v="38"/>
  </r>
  <r>
    <x v="188"/>
    <m/>
    <m/>
    <m/>
    <m/>
    <n v="0"/>
    <x v="0"/>
    <x v="1"/>
    <x v="8"/>
    <x v="38"/>
  </r>
  <r>
    <x v="189"/>
    <m/>
    <m/>
    <m/>
    <m/>
    <n v="0"/>
    <x v="0"/>
    <x v="1"/>
    <x v="9"/>
    <x v="39"/>
  </r>
  <r>
    <x v="190"/>
    <m/>
    <m/>
    <m/>
    <m/>
    <n v="0"/>
    <x v="0"/>
    <x v="1"/>
    <x v="9"/>
    <x v="39"/>
  </r>
  <r>
    <x v="191"/>
    <m/>
    <m/>
    <m/>
    <m/>
    <n v="0"/>
    <x v="0"/>
    <x v="1"/>
    <x v="9"/>
    <x v="39"/>
  </r>
  <r>
    <x v="192"/>
    <m/>
    <m/>
    <m/>
    <m/>
    <n v="0"/>
    <x v="0"/>
    <x v="1"/>
    <x v="9"/>
    <x v="39"/>
  </r>
  <r>
    <x v="193"/>
    <m/>
    <m/>
    <m/>
    <m/>
    <n v="0"/>
    <x v="0"/>
    <x v="1"/>
    <x v="9"/>
    <x v="39"/>
  </r>
  <r>
    <x v="194"/>
    <m/>
    <m/>
    <m/>
    <m/>
    <n v="0"/>
    <x v="0"/>
    <x v="1"/>
    <x v="9"/>
    <x v="40"/>
  </r>
  <r>
    <x v="195"/>
    <m/>
    <m/>
    <m/>
    <m/>
    <n v="0"/>
    <x v="0"/>
    <x v="1"/>
    <x v="9"/>
    <x v="40"/>
  </r>
  <r>
    <x v="196"/>
    <m/>
    <m/>
    <m/>
    <m/>
    <n v="0"/>
    <x v="0"/>
    <x v="1"/>
    <x v="9"/>
    <x v="40"/>
  </r>
  <r>
    <x v="197"/>
    <m/>
    <m/>
    <m/>
    <m/>
    <n v="0"/>
    <x v="0"/>
    <x v="1"/>
    <x v="9"/>
    <x v="40"/>
  </r>
  <r>
    <x v="198"/>
    <m/>
    <m/>
    <m/>
    <m/>
    <n v="0"/>
    <x v="0"/>
    <x v="1"/>
    <x v="9"/>
    <x v="40"/>
  </r>
  <r>
    <x v="199"/>
    <m/>
    <m/>
    <m/>
    <m/>
    <n v="0"/>
    <x v="0"/>
    <x v="1"/>
    <x v="9"/>
    <x v="41"/>
  </r>
  <r>
    <x v="200"/>
    <m/>
    <m/>
    <m/>
    <m/>
    <n v="0"/>
    <x v="0"/>
    <x v="1"/>
    <x v="9"/>
    <x v="41"/>
  </r>
  <r>
    <x v="201"/>
    <m/>
    <m/>
    <m/>
    <m/>
    <n v="0"/>
    <x v="0"/>
    <x v="1"/>
    <x v="9"/>
    <x v="41"/>
  </r>
  <r>
    <x v="202"/>
    <m/>
    <m/>
    <m/>
    <m/>
    <n v="0"/>
    <x v="0"/>
    <x v="1"/>
    <x v="9"/>
    <x v="41"/>
  </r>
  <r>
    <x v="203"/>
    <m/>
    <m/>
    <m/>
    <m/>
    <n v="0"/>
    <x v="0"/>
    <x v="1"/>
    <x v="9"/>
    <x v="41"/>
  </r>
  <r>
    <x v="204"/>
    <m/>
    <m/>
    <m/>
    <m/>
    <n v="0"/>
    <x v="0"/>
    <x v="1"/>
    <x v="9"/>
    <x v="42"/>
  </r>
  <r>
    <x v="205"/>
    <m/>
    <m/>
    <m/>
    <m/>
    <n v="0"/>
    <x v="0"/>
    <x v="1"/>
    <x v="9"/>
    <x v="42"/>
  </r>
  <r>
    <x v="206"/>
    <m/>
    <m/>
    <m/>
    <m/>
    <n v="0"/>
    <x v="0"/>
    <x v="1"/>
    <x v="9"/>
    <x v="42"/>
  </r>
  <r>
    <x v="207"/>
    <m/>
    <m/>
    <m/>
    <m/>
    <n v="0"/>
    <x v="0"/>
    <x v="1"/>
    <x v="9"/>
    <x v="42"/>
  </r>
  <r>
    <x v="208"/>
    <m/>
    <m/>
    <m/>
    <m/>
    <n v="0"/>
    <x v="0"/>
    <x v="1"/>
    <x v="10"/>
    <x v="43"/>
  </r>
  <r>
    <x v="209"/>
    <m/>
    <m/>
    <m/>
    <m/>
    <n v="0"/>
    <x v="0"/>
    <x v="1"/>
    <x v="10"/>
    <x v="43"/>
  </r>
  <r>
    <x v="210"/>
    <m/>
    <m/>
    <m/>
    <m/>
    <n v="0"/>
    <x v="0"/>
    <x v="1"/>
    <x v="10"/>
    <x v="43"/>
  </r>
  <r>
    <x v="211"/>
    <m/>
    <m/>
    <m/>
    <m/>
    <n v="0"/>
    <x v="0"/>
    <x v="1"/>
    <x v="10"/>
    <x v="44"/>
  </r>
  <r>
    <x v="212"/>
    <m/>
    <m/>
    <m/>
    <m/>
    <n v="0"/>
    <x v="0"/>
    <x v="1"/>
    <x v="10"/>
    <x v="44"/>
  </r>
  <r>
    <x v="213"/>
    <m/>
    <m/>
    <m/>
    <m/>
    <n v="0"/>
    <x v="0"/>
    <x v="1"/>
    <x v="10"/>
    <x v="44"/>
  </r>
  <r>
    <x v="214"/>
    <m/>
    <m/>
    <m/>
    <m/>
    <n v="0"/>
    <x v="0"/>
    <x v="1"/>
    <x v="10"/>
    <x v="44"/>
  </r>
  <r>
    <x v="215"/>
    <m/>
    <m/>
    <m/>
    <m/>
    <n v="0"/>
    <x v="0"/>
    <x v="1"/>
    <x v="10"/>
    <x v="44"/>
  </r>
  <r>
    <x v="216"/>
    <m/>
    <m/>
    <m/>
    <m/>
    <n v="0"/>
    <x v="0"/>
    <x v="1"/>
    <x v="10"/>
    <x v="45"/>
  </r>
  <r>
    <x v="217"/>
    <m/>
    <m/>
    <m/>
    <m/>
    <n v="0"/>
    <x v="0"/>
    <x v="1"/>
    <x v="10"/>
    <x v="45"/>
  </r>
  <r>
    <x v="218"/>
    <m/>
    <m/>
    <m/>
    <m/>
    <n v="0"/>
    <x v="0"/>
    <x v="1"/>
    <x v="10"/>
    <x v="45"/>
  </r>
  <r>
    <x v="219"/>
    <m/>
    <m/>
    <m/>
    <m/>
    <n v="0"/>
    <x v="0"/>
    <x v="1"/>
    <x v="10"/>
    <x v="45"/>
  </r>
  <r>
    <x v="220"/>
    <m/>
    <m/>
    <m/>
    <m/>
    <n v="0"/>
    <x v="0"/>
    <x v="1"/>
    <x v="10"/>
    <x v="45"/>
  </r>
  <r>
    <x v="221"/>
    <m/>
    <m/>
    <m/>
    <m/>
    <n v="0"/>
    <x v="0"/>
    <x v="1"/>
    <x v="10"/>
    <x v="46"/>
  </r>
  <r>
    <x v="222"/>
    <m/>
    <m/>
    <m/>
    <m/>
    <n v="0"/>
    <x v="0"/>
    <x v="1"/>
    <x v="10"/>
    <x v="46"/>
  </r>
  <r>
    <x v="223"/>
    <m/>
    <m/>
    <m/>
    <m/>
    <n v="0"/>
    <x v="0"/>
    <x v="1"/>
    <x v="10"/>
    <x v="46"/>
  </r>
  <r>
    <x v="224"/>
    <m/>
    <m/>
    <m/>
    <m/>
    <n v="0"/>
    <x v="0"/>
    <x v="1"/>
    <x v="10"/>
    <x v="46"/>
  </r>
  <r>
    <x v="225"/>
    <m/>
    <m/>
    <m/>
    <m/>
    <n v="0"/>
    <x v="0"/>
    <x v="1"/>
    <x v="10"/>
    <x v="46"/>
  </r>
  <r>
    <x v="226"/>
    <m/>
    <m/>
    <m/>
    <m/>
    <n v="0"/>
    <x v="0"/>
    <x v="1"/>
    <x v="10"/>
    <x v="47"/>
  </r>
  <r>
    <x v="227"/>
    <m/>
    <m/>
    <m/>
    <m/>
    <n v="0"/>
    <x v="0"/>
    <x v="1"/>
    <x v="10"/>
    <x v="47"/>
  </r>
  <r>
    <x v="228"/>
    <m/>
    <m/>
    <m/>
    <m/>
    <n v="0"/>
    <x v="0"/>
    <x v="1"/>
    <x v="10"/>
    <x v="47"/>
  </r>
  <r>
    <x v="229"/>
    <m/>
    <m/>
    <m/>
    <m/>
    <n v="0"/>
    <x v="0"/>
    <x v="1"/>
    <x v="10"/>
    <x v="47"/>
  </r>
  <r>
    <x v="230"/>
    <m/>
    <m/>
    <m/>
    <m/>
    <n v="0"/>
    <x v="0"/>
    <x v="1"/>
    <x v="10"/>
    <x v="47"/>
  </r>
  <r>
    <x v="231"/>
    <m/>
    <m/>
    <m/>
    <m/>
    <n v="0"/>
    <x v="0"/>
    <x v="1"/>
    <x v="11"/>
    <x v="48"/>
  </r>
  <r>
    <x v="232"/>
    <m/>
    <m/>
    <m/>
    <m/>
    <n v="0"/>
    <x v="0"/>
    <x v="1"/>
    <x v="11"/>
    <x v="48"/>
  </r>
  <r>
    <x v="233"/>
    <m/>
    <m/>
    <m/>
    <m/>
    <n v="0"/>
    <x v="0"/>
    <x v="1"/>
    <x v="11"/>
    <x v="48"/>
  </r>
  <r>
    <x v="234"/>
    <m/>
    <m/>
    <m/>
    <m/>
    <n v="0"/>
    <x v="0"/>
    <x v="1"/>
    <x v="11"/>
    <x v="48"/>
  </r>
  <r>
    <x v="235"/>
    <m/>
    <m/>
    <m/>
    <m/>
    <n v="0"/>
    <x v="0"/>
    <x v="1"/>
    <x v="11"/>
    <x v="48"/>
  </r>
  <r>
    <x v="236"/>
    <m/>
    <m/>
    <m/>
    <m/>
    <n v="0"/>
    <x v="0"/>
    <x v="1"/>
    <x v="11"/>
    <x v="49"/>
  </r>
  <r>
    <x v="237"/>
    <m/>
    <m/>
    <m/>
    <m/>
    <n v="0"/>
    <x v="0"/>
    <x v="1"/>
    <x v="11"/>
    <x v="49"/>
  </r>
  <r>
    <x v="238"/>
    <m/>
    <m/>
    <m/>
    <m/>
    <n v="0"/>
    <x v="0"/>
    <x v="1"/>
    <x v="11"/>
    <x v="49"/>
  </r>
  <r>
    <x v="239"/>
    <m/>
    <m/>
    <m/>
    <m/>
    <n v="0"/>
    <x v="0"/>
    <x v="1"/>
    <x v="11"/>
    <x v="49"/>
  </r>
  <r>
    <x v="240"/>
    <m/>
    <m/>
    <m/>
    <m/>
    <n v="0"/>
    <x v="0"/>
    <x v="1"/>
    <x v="11"/>
    <x v="49"/>
  </r>
  <r>
    <x v="241"/>
    <m/>
    <m/>
    <m/>
    <m/>
    <n v="0"/>
    <x v="0"/>
    <x v="1"/>
    <x v="11"/>
    <x v="50"/>
  </r>
  <r>
    <x v="242"/>
    <m/>
    <m/>
    <m/>
    <m/>
    <n v="0"/>
    <x v="0"/>
    <x v="1"/>
    <x v="11"/>
    <x v="50"/>
  </r>
  <r>
    <x v="243"/>
    <m/>
    <m/>
    <m/>
    <m/>
    <n v="0"/>
    <x v="0"/>
    <x v="1"/>
    <x v="11"/>
    <x v="50"/>
  </r>
  <r>
    <x v="244"/>
    <m/>
    <m/>
    <m/>
    <m/>
    <n v="0"/>
    <x v="0"/>
    <x v="1"/>
    <x v="11"/>
    <x v="50"/>
  </r>
  <r>
    <x v="245"/>
    <m/>
    <m/>
    <m/>
    <m/>
    <n v="0"/>
    <x v="0"/>
    <x v="1"/>
    <x v="11"/>
    <x v="50"/>
  </r>
  <r>
    <x v="246"/>
    <m/>
    <m/>
    <m/>
    <m/>
    <n v="0"/>
    <x v="0"/>
    <x v="1"/>
    <x v="11"/>
    <x v="51"/>
  </r>
  <r>
    <x v="247"/>
    <m/>
    <m/>
    <m/>
    <m/>
    <n v="0"/>
    <x v="0"/>
    <x v="1"/>
    <x v="11"/>
    <x v="51"/>
  </r>
  <r>
    <x v="248"/>
    <m/>
    <m/>
    <m/>
    <m/>
    <n v="0"/>
    <x v="0"/>
    <x v="2"/>
    <x v="1"/>
    <x v="4"/>
  </r>
  <r>
    <x v="249"/>
    <m/>
    <m/>
    <m/>
    <m/>
    <n v="0"/>
    <x v="0"/>
    <x v="1"/>
    <x v="11"/>
    <x v="51"/>
  </r>
  <r>
    <x v="250"/>
    <m/>
    <m/>
    <m/>
    <m/>
    <n v="0"/>
    <x v="0"/>
    <x v="1"/>
    <x v="11"/>
    <x v="51"/>
  </r>
  <r>
    <x v="251"/>
    <m/>
    <m/>
    <m/>
    <m/>
    <n v="0"/>
    <x v="0"/>
    <x v="1"/>
    <x v="0"/>
    <x v="0"/>
  </r>
  <r>
    <x v="252"/>
    <m/>
    <m/>
    <m/>
    <m/>
    <n v="0"/>
    <x v="0"/>
    <x v="1"/>
    <x v="0"/>
    <x v="0"/>
  </r>
  <r>
    <x v="253"/>
    <m/>
    <m/>
    <m/>
    <m/>
    <n v="0"/>
    <x v="0"/>
    <x v="1"/>
    <x v="0"/>
    <x v="0"/>
  </r>
  <r>
    <x v="254"/>
    <m/>
    <m/>
    <m/>
    <m/>
    <n v="0"/>
    <x v="0"/>
    <x v="1"/>
    <x v="0"/>
    <x v="0"/>
  </r>
  <r>
    <x v="255"/>
    <m/>
    <m/>
    <m/>
    <m/>
    <n v="0"/>
    <x v="0"/>
    <x v="1"/>
    <x v="0"/>
    <x v="0"/>
  </r>
  <r>
    <x v="256"/>
    <m/>
    <m/>
    <m/>
    <m/>
    <n v="0"/>
    <x v="0"/>
    <x v="1"/>
    <x v="0"/>
    <x v="1"/>
  </r>
  <r>
    <x v="257"/>
    <m/>
    <m/>
    <m/>
    <m/>
    <n v="0"/>
    <x v="0"/>
    <x v="1"/>
    <x v="0"/>
    <x v="1"/>
  </r>
  <r>
    <x v="258"/>
    <m/>
    <m/>
    <m/>
    <m/>
    <n v="0"/>
    <x v="0"/>
    <x v="1"/>
    <x v="0"/>
    <x v="1"/>
  </r>
  <r>
    <x v="259"/>
    <m/>
    <m/>
    <m/>
    <m/>
    <n v="0"/>
    <x v="0"/>
    <x v="1"/>
    <x v="0"/>
    <x v="1"/>
  </r>
  <r>
    <x v="260"/>
    <m/>
    <m/>
    <m/>
    <m/>
    <n v="0"/>
    <x v="0"/>
    <x v="1"/>
    <x v="0"/>
    <x v="1"/>
  </r>
  <r>
    <x v="261"/>
    <m/>
    <m/>
    <m/>
    <m/>
    <n v="0"/>
    <x v="0"/>
    <x v="1"/>
    <x v="0"/>
    <x v="2"/>
  </r>
  <r>
    <x v="262"/>
    <m/>
    <m/>
    <m/>
    <m/>
    <n v="0"/>
    <x v="0"/>
    <x v="1"/>
    <x v="0"/>
    <x v="2"/>
  </r>
  <r>
    <x v="263"/>
    <m/>
    <m/>
    <m/>
    <m/>
    <n v="0"/>
    <x v="0"/>
    <x v="1"/>
    <x v="0"/>
    <x v="2"/>
  </r>
  <r>
    <x v="264"/>
    <m/>
    <m/>
    <m/>
    <m/>
    <n v="0"/>
    <x v="0"/>
    <x v="1"/>
    <x v="0"/>
    <x v="2"/>
  </r>
  <r>
    <x v="265"/>
    <m/>
    <m/>
    <m/>
    <m/>
    <n v="0"/>
    <x v="0"/>
    <x v="1"/>
    <x v="0"/>
    <x v="2"/>
  </r>
  <r>
    <x v="266"/>
    <m/>
    <m/>
    <m/>
    <m/>
    <n v="0"/>
    <x v="0"/>
    <x v="1"/>
    <x v="0"/>
    <x v="3"/>
  </r>
  <r>
    <x v="267"/>
    <m/>
    <m/>
    <m/>
    <m/>
    <n v="0"/>
    <x v="0"/>
    <x v="1"/>
    <x v="0"/>
    <x v="3"/>
  </r>
  <r>
    <x v="268"/>
    <m/>
    <m/>
    <m/>
    <m/>
    <n v="0"/>
    <x v="0"/>
    <x v="1"/>
    <x v="0"/>
    <x v="3"/>
  </r>
  <r>
    <x v="269"/>
    <m/>
    <m/>
    <m/>
    <m/>
    <n v="0"/>
    <x v="0"/>
    <x v="1"/>
    <x v="0"/>
    <x v="3"/>
  </r>
  <r>
    <x v="270"/>
    <m/>
    <m/>
    <m/>
    <m/>
    <n v="0"/>
    <x v="0"/>
    <x v="1"/>
    <x v="0"/>
    <x v="3"/>
  </r>
  <r>
    <x v="271"/>
    <m/>
    <m/>
    <m/>
    <m/>
    <n v="0"/>
    <x v="0"/>
    <x v="3"/>
    <x v="1"/>
    <x v="52"/>
  </r>
  <r>
    <x v="272"/>
    <m/>
    <m/>
    <m/>
    <m/>
    <n v="0"/>
    <x v="0"/>
    <x v="3"/>
    <x v="1"/>
    <x v="52"/>
  </r>
  <r>
    <x v="273"/>
    <m/>
    <m/>
    <m/>
    <m/>
    <n v="0"/>
    <x v="0"/>
    <x v="3"/>
    <x v="1"/>
    <x v="52"/>
  </r>
  <r>
    <x v="274"/>
    <m/>
    <m/>
    <m/>
    <m/>
    <n v="0"/>
    <x v="0"/>
    <x v="3"/>
    <x v="1"/>
    <x v="4"/>
  </r>
  <r>
    <x v="275"/>
    <m/>
    <m/>
    <m/>
    <m/>
    <n v="0"/>
    <x v="0"/>
    <x v="3"/>
    <x v="1"/>
    <x v="4"/>
  </r>
  <r>
    <x v="276"/>
    <m/>
    <m/>
    <m/>
    <m/>
    <n v="0"/>
    <x v="0"/>
    <x v="3"/>
    <x v="1"/>
    <x v="4"/>
  </r>
  <r>
    <x v="277"/>
    <m/>
    <m/>
    <m/>
    <m/>
    <n v="0"/>
    <x v="0"/>
    <x v="3"/>
    <x v="1"/>
    <x v="5"/>
  </r>
  <r>
    <x v="278"/>
    <m/>
    <m/>
    <m/>
    <m/>
    <n v="0"/>
    <x v="0"/>
    <x v="3"/>
    <x v="1"/>
    <x v="5"/>
  </r>
  <r>
    <x v="279"/>
    <m/>
    <m/>
    <m/>
    <m/>
    <n v="0"/>
    <x v="0"/>
    <x v="3"/>
    <x v="1"/>
    <x v="5"/>
  </r>
  <r>
    <x v="280"/>
    <m/>
    <m/>
    <m/>
    <m/>
    <n v="0"/>
    <x v="0"/>
    <x v="3"/>
    <x v="1"/>
    <x v="5"/>
  </r>
  <r>
    <x v="281"/>
    <m/>
    <m/>
    <m/>
    <m/>
    <n v="0"/>
    <x v="0"/>
    <x v="3"/>
    <x v="1"/>
    <x v="5"/>
  </r>
  <r>
    <x v="282"/>
    <m/>
    <m/>
    <m/>
    <m/>
    <n v="0"/>
    <x v="0"/>
    <x v="3"/>
    <x v="1"/>
    <x v="6"/>
  </r>
  <r>
    <x v="283"/>
    <m/>
    <m/>
    <m/>
    <m/>
    <n v="0"/>
    <x v="0"/>
    <x v="3"/>
    <x v="1"/>
    <x v="6"/>
  </r>
  <r>
    <x v="284"/>
    <m/>
    <m/>
    <m/>
    <m/>
    <n v="0"/>
    <x v="0"/>
    <x v="3"/>
    <x v="1"/>
    <x v="6"/>
  </r>
  <r>
    <x v="285"/>
    <m/>
    <m/>
    <m/>
    <m/>
    <n v="0"/>
    <x v="0"/>
    <x v="3"/>
    <x v="1"/>
    <x v="6"/>
  </r>
  <r>
    <x v="286"/>
    <m/>
    <m/>
    <m/>
    <m/>
    <n v="0"/>
    <x v="0"/>
    <x v="3"/>
    <x v="1"/>
    <x v="6"/>
  </r>
  <r>
    <x v="287"/>
    <m/>
    <m/>
    <m/>
    <m/>
    <n v="0"/>
    <x v="0"/>
    <x v="3"/>
    <x v="1"/>
    <x v="7"/>
  </r>
  <r>
    <x v="288"/>
    <m/>
    <m/>
    <m/>
    <m/>
    <n v="0"/>
    <x v="0"/>
    <x v="3"/>
    <x v="1"/>
    <x v="7"/>
  </r>
  <r>
    <x v="289"/>
    <m/>
    <m/>
    <m/>
    <m/>
    <n v="0"/>
    <x v="0"/>
    <x v="3"/>
    <x v="1"/>
    <x v="7"/>
  </r>
  <r>
    <x v="290"/>
    <m/>
    <m/>
    <m/>
    <m/>
    <n v="0"/>
    <x v="0"/>
    <x v="3"/>
    <x v="1"/>
    <x v="7"/>
  </r>
  <r>
    <x v="291"/>
    <m/>
    <m/>
    <m/>
    <m/>
    <n v="0"/>
    <x v="0"/>
    <x v="3"/>
    <x v="2"/>
    <x v="7"/>
  </r>
  <r>
    <x v="292"/>
    <m/>
    <m/>
    <m/>
    <m/>
    <n v="0"/>
    <x v="0"/>
    <x v="3"/>
    <x v="2"/>
    <x v="8"/>
  </r>
  <r>
    <x v="293"/>
    <m/>
    <m/>
    <m/>
    <m/>
    <n v="0"/>
    <x v="0"/>
    <x v="3"/>
    <x v="2"/>
    <x v="8"/>
  </r>
  <r>
    <x v="294"/>
    <m/>
    <m/>
    <m/>
    <m/>
    <n v="0"/>
    <x v="0"/>
    <x v="3"/>
    <x v="2"/>
    <x v="8"/>
  </r>
  <r>
    <x v="295"/>
    <m/>
    <m/>
    <m/>
    <m/>
    <n v="0"/>
    <x v="0"/>
    <x v="3"/>
    <x v="2"/>
    <x v="8"/>
  </r>
  <r>
    <x v="296"/>
    <m/>
    <m/>
    <m/>
    <m/>
    <n v="0"/>
    <x v="0"/>
    <x v="3"/>
    <x v="2"/>
    <x v="8"/>
  </r>
  <r>
    <x v="297"/>
    <m/>
    <m/>
    <m/>
    <m/>
    <n v="0"/>
    <x v="0"/>
    <x v="3"/>
    <x v="2"/>
    <x v="9"/>
  </r>
  <r>
    <x v="298"/>
    <m/>
    <m/>
    <m/>
    <m/>
    <n v="0"/>
    <x v="0"/>
    <x v="3"/>
    <x v="2"/>
    <x v="9"/>
  </r>
  <r>
    <x v="299"/>
    <m/>
    <m/>
    <m/>
    <m/>
    <n v="0"/>
    <x v="0"/>
    <x v="3"/>
    <x v="2"/>
    <x v="9"/>
  </r>
  <r>
    <x v="300"/>
    <m/>
    <m/>
    <m/>
    <m/>
    <n v="0"/>
    <x v="0"/>
    <x v="3"/>
    <x v="2"/>
    <x v="9"/>
  </r>
  <r>
    <x v="301"/>
    <m/>
    <m/>
    <m/>
    <m/>
    <n v="0"/>
    <x v="0"/>
    <x v="3"/>
    <x v="2"/>
    <x v="9"/>
  </r>
  <r>
    <x v="302"/>
    <m/>
    <m/>
    <m/>
    <m/>
    <n v="0"/>
    <x v="0"/>
    <x v="3"/>
    <x v="2"/>
    <x v="10"/>
  </r>
  <r>
    <x v="303"/>
    <m/>
    <m/>
    <m/>
    <m/>
    <n v="0"/>
    <x v="0"/>
    <x v="3"/>
    <x v="2"/>
    <x v="10"/>
  </r>
  <r>
    <x v="304"/>
    <m/>
    <m/>
    <m/>
    <m/>
    <n v="0"/>
    <x v="0"/>
    <x v="3"/>
    <x v="2"/>
    <x v="10"/>
  </r>
  <r>
    <x v="305"/>
    <m/>
    <m/>
    <m/>
    <m/>
    <n v="0"/>
    <x v="0"/>
    <x v="3"/>
    <x v="2"/>
    <x v="10"/>
  </r>
  <r>
    <x v="306"/>
    <m/>
    <m/>
    <m/>
    <m/>
    <n v="0"/>
    <x v="0"/>
    <x v="3"/>
    <x v="2"/>
    <x v="10"/>
  </r>
  <r>
    <x v="307"/>
    <m/>
    <m/>
    <m/>
    <m/>
    <n v="0"/>
    <x v="0"/>
    <x v="3"/>
    <x v="2"/>
    <x v="11"/>
  </r>
  <r>
    <x v="308"/>
    <m/>
    <m/>
    <m/>
    <m/>
    <n v="0"/>
    <x v="0"/>
    <x v="3"/>
    <x v="2"/>
    <x v="11"/>
  </r>
  <r>
    <x v="309"/>
    <m/>
    <m/>
    <m/>
    <m/>
    <n v="0"/>
    <x v="0"/>
    <x v="3"/>
    <x v="2"/>
    <x v="11"/>
  </r>
  <r>
    <x v="310"/>
    <m/>
    <m/>
    <m/>
    <m/>
    <n v="0"/>
    <x v="0"/>
    <x v="3"/>
    <x v="2"/>
    <x v="11"/>
  </r>
  <r>
    <x v="311"/>
    <m/>
    <m/>
    <m/>
    <m/>
    <n v="0"/>
    <x v="0"/>
    <x v="3"/>
    <x v="2"/>
    <x v="11"/>
  </r>
  <r>
    <x v="312"/>
    <m/>
    <m/>
    <m/>
    <m/>
    <n v="0"/>
    <x v="0"/>
    <x v="3"/>
    <x v="3"/>
    <x v="12"/>
  </r>
  <r>
    <x v="313"/>
    <m/>
    <m/>
    <m/>
    <m/>
    <n v="0"/>
    <x v="0"/>
    <x v="3"/>
    <x v="3"/>
    <x v="12"/>
  </r>
  <r>
    <x v="314"/>
    <m/>
    <m/>
    <m/>
    <m/>
    <n v="0"/>
    <x v="0"/>
    <x v="3"/>
    <x v="3"/>
    <x v="12"/>
  </r>
  <r>
    <x v="315"/>
    <m/>
    <m/>
    <m/>
    <m/>
    <n v="0"/>
    <x v="0"/>
    <x v="3"/>
    <x v="3"/>
    <x v="12"/>
  </r>
  <r>
    <x v="316"/>
    <m/>
    <m/>
    <m/>
    <m/>
    <n v="0"/>
    <x v="0"/>
    <x v="3"/>
    <x v="3"/>
    <x v="12"/>
  </r>
  <r>
    <x v="317"/>
    <m/>
    <m/>
    <m/>
    <m/>
    <n v="0"/>
    <x v="0"/>
    <x v="3"/>
    <x v="3"/>
    <x v="13"/>
  </r>
  <r>
    <x v="318"/>
    <m/>
    <m/>
    <m/>
    <m/>
    <n v="0"/>
    <x v="0"/>
    <x v="3"/>
    <x v="3"/>
    <x v="13"/>
  </r>
  <r>
    <x v="319"/>
    <m/>
    <m/>
    <m/>
    <m/>
    <n v="0"/>
    <x v="0"/>
    <x v="3"/>
    <x v="3"/>
    <x v="13"/>
  </r>
  <r>
    <x v="320"/>
    <m/>
    <m/>
    <m/>
    <m/>
    <n v="0"/>
    <x v="0"/>
    <x v="3"/>
    <x v="3"/>
    <x v="13"/>
  </r>
  <r>
    <x v="321"/>
    <m/>
    <m/>
    <m/>
    <m/>
    <n v="0"/>
    <x v="0"/>
    <x v="3"/>
    <x v="3"/>
    <x v="13"/>
  </r>
  <r>
    <x v="322"/>
    <m/>
    <m/>
    <m/>
    <m/>
    <n v="0"/>
    <x v="0"/>
    <x v="3"/>
    <x v="3"/>
    <x v="14"/>
  </r>
  <r>
    <x v="323"/>
    <m/>
    <m/>
    <m/>
    <m/>
    <n v="0"/>
    <x v="0"/>
    <x v="3"/>
    <x v="3"/>
    <x v="14"/>
  </r>
  <r>
    <x v="324"/>
    <m/>
    <m/>
    <m/>
    <m/>
    <n v="0"/>
    <x v="0"/>
    <x v="3"/>
    <x v="3"/>
    <x v="14"/>
  </r>
  <r>
    <x v="325"/>
    <m/>
    <m/>
    <m/>
    <m/>
    <n v="0"/>
    <x v="0"/>
    <x v="3"/>
    <x v="3"/>
    <x v="14"/>
  </r>
  <r>
    <x v="326"/>
    <m/>
    <m/>
    <m/>
    <m/>
    <n v="0"/>
    <x v="0"/>
    <x v="3"/>
    <x v="3"/>
    <x v="14"/>
  </r>
  <r>
    <x v="327"/>
    <m/>
    <m/>
    <m/>
    <m/>
    <n v="0"/>
    <x v="0"/>
    <x v="3"/>
    <x v="3"/>
    <x v="15"/>
  </r>
  <r>
    <x v="328"/>
    <m/>
    <m/>
    <m/>
    <m/>
    <n v="0"/>
    <x v="0"/>
    <x v="3"/>
    <x v="3"/>
    <x v="15"/>
  </r>
  <r>
    <x v="329"/>
    <m/>
    <m/>
    <m/>
    <m/>
    <n v="0"/>
    <x v="0"/>
    <x v="3"/>
    <x v="3"/>
    <x v="15"/>
  </r>
  <r>
    <x v="330"/>
    <m/>
    <m/>
    <m/>
    <m/>
    <n v="0"/>
    <x v="0"/>
    <x v="3"/>
    <x v="3"/>
    <x v="15"/>
  </r>
  <r>
    <x v="331"/>
    <m/>
    <m/>
    <m/>
    <m/>
    <n v="0"/>
    <x v="0"/>
    <x v="3"/>
    <x v="3"/>
    <x v="15"/>
  </r>
  <r>
    <x v="332"/>
    <m/>
    <m/>
    <m/>
    <m/>
    <n v="0"/>
    <x v="0"/>
    <x v="3"/>
    <x v="3"/>
    <x v="16"/>
  </r>
  <r>
    <x v="333"/>
    <m/>
    <m/>
    <m/>
    <m/>
    <n v="0"/>
    <x v="0"/>
    <x v="3"/>
    <x v="3"/>
    <x v="16"/>
  </r>
  <r>
    <x v="334"/>
    <m/>
    <m/>
    <m/>
    <m/>
    <n v="0"/>
    <x v="0"/>
    <x v="3"/>
    <x v="4"/>
    <x v="16"/>
  </r>
  <r>
    <x v="335"/>
    <m/>
    <m/>
    <m/>
    <m/>
    <n v="0"/>
    <x v="0"/>
    <x v="3"/>
    <x v="4"/>
    <x v="16"/>
  </r>
  <r>
    <x v="336"/>
    <m/>
    <m/>
    <m/>
    <m/>
    <n v="0"/>
    <x v="0"/>
    <x v="3"/>
    <x v="4"/>
    <x v="16"/>
  </r>
  <r>
    <x v="337"/>
    <m/>
    <m/>
    <m/>
    <m/>
    <n v="0"/>
    <x v="0"/>
    <x v="3"/>
    <x v="4"/>
    <x v="17"/>
  </r>
  <r>
    <x v="338"/>
    <m/>
    <m/>
    <m/>
    <m/>
    <n v="0"/>
    <x v="0"/>
    <x v="3"/>
    <x v="4"/>
    <x v="17"/>
  </r>
  <r>
    <x v="339"/>
    <m/>
    <m/>
    <m/>
    <m/>
    <n v="0"/>
    <x v="0"/>
    <x v="3"/>
    <x v="4"/>
    <x v="17"/>
  </r>
  <r>
    <x v="340"/>
    <m/>
    <m/>
    <m/>
    <m/>
    <n v="0"/>
    <x v="0"/>
    <x v="3"/>
    <x v="4"/>
    <x v="17"/>
  </r>
  <r>
    <x v="341"/>
    <m/>
    <m/>
    <m/>
    <m/>
    <n v="0"/>
    <x v="0"/>
    <x v="3"/>
    <x v="4"/>
    <x v="17"/>
  </r>
  <r>
    <x v="342"/>
    <m/>
    <m/>
    <m/>
    <m/>
    <n v="0"/>
    <x v="0"/>
    <x v="3"/>
    <x v="4"/>
    <x v="18"/>
  </r>
  <r>
    <x v="343"/>
    <m/>
    <m/>
    <m/>
    <m/>
    <n v="0"/>
    <x v="0"/>
    <x v="3"/>
    <x v="4"/>
    <x v="18"/>
  </r>
  <r>
    <x v="344"/>
    <m/>
    <m/>
    <m/>
    <m/>
    <n v="0"/>
    <x v="0"/>
    <x v="3"/>
    <x v="4"/>
    <x v="18"/>
  </r>
  <r>
    <x v="345"/>
    <m/>
    <m/>
    <m/>
    <m/>
    <n v="0"/>
    <x v="0"/>
    <x v="3"/>
    <x v="4"/>
    <x v="18"/>
  </r>
  <r>
    <x v="346"/>
    <m/>
    <m/>
    <m/>
    <m/>
    <n v="0"/>
    <x v="0"/>
    <x v="3"/>
    <x v="4"/>
    <x v="18"/>
  </r>
  <r>
    <x v="347"/>
    <m/>
    <m/>
    <m/>
    <m/>
    <n v="0"/>
    <x v="0"/>
    <x v="3"/>
    <x v="4"/>
    <x v="19"/>
  </r>
  <r>
    <x v="348"/>
    <m/>
    <m/>
    <m/>
    <m/>
    <n v="0"/>
    <x v="0"/>
    <x v="3"/>
    <x v="4"/>
    <x v="19"/>
  </r>
  <r>
    <x v="349"/>
    <m/>
    <m/>
    <m/>
    <m/>
    <n v="0"/>
    <x v="0"/>
    <x v="3"/>
    <x v="4"/>
    <x v="19"/>
  </r>
  <r>
    <x v="350"/>
    <m/>
    <m/>
    <m/>
    <m/>
    <n v="0"/>
    <x v="0"/>
    <x v="3"/>
    <x v="4"/>
    <x v="19"/>
  </r>
  <r>
    <x v="351"/>
    <m/>
    <m/>
    <m/>
    <m/>
    <n v="0"/>
    <x v="0"/>
    <x v="3"/>
    <x v="4"/>
    <x v="19"/>
  </r>
  <r>
    <x v="352"/>
    <m/>
    <m/>
    <m/>
    <m/>
    <n v="0"/>
    <x v="0"/>
    <x v="3"/>
    <x v="4"/>
    <x v="20"/>
  </r>
  <r>
    <x v="353"/>
    <m/>
    <m/>
    <m/>
    <m/>
    <n v="0"/>
    <x v="0"/>
    <x v="3"/>
    <x v="4"/>
    <x v="20"/>
  </r>
  <r>
    <x v="354"/>
    <m/>
    <m/>
    <m/>
    <m/>
    <n v="0"/>
    <x v="0"/>
    <x v="3"/>
    <x v="4"/>
    <x v="20"/>
  </r>
  <r>
    <x v="355"/>
    <m/>
    <m/>
    <m/>
    <m/>
    <n v="0"/>
    <x v="0"/>
    <x v="3"/>
    <x v="4"/>
    <x v="20"/>
  </r>
  <r>
    <x v="356"/>
    <m/>
    <m/>
    <m/>
    <m/>
    <n v="0"/>
    <x v="0"/>
    <x v="3"/>
    <x v="5"/>
    <x v="20"/>
  </r>
  <r>
    <x v="357"/>
    <m/>
    <m/>
    <m/>
    <m/>
    <n v="0"/>
    <x v="0"/>
    <x v="3"/>
    <x v="5"/>
    <x v="21"/>
  </r>
  <r>
    <x v="358"/>
    <m/>
    <m/>
    <m/>
    <m/>
    <n v="0"/>
    <x v="0"/>
    <x v="3"/>
    <x v="5"/>
    <x v="21"/>
  </r>
  <r>
    <x v="359"/>
    <m/>
    <m/>
    <m/>
    <m/>
    <n v="0"/>
    <x v="0"/>
    <x v="3"/>
    <x v="5"/>
    <x v="21"/>
  </r>
  <r>
    <x v="360"/>
    <m/>
    <m/>
    <m/>
    <m/>
    <n v="0"/>
    <x v="0"/>
    <x v="3"/>
    <x v="5"/>
    <x v="21"/>
  </r>
  <r>
    <x v="361"/>
    <m/>
    <m/>
    <m/>
    <m/>
    <n v="0"/>
    <x v="0"/>
    <x v="3"/>
    <x v="5"/>
    <x v="21"/>
  </r>
  <r>
    <x v="362"/>
    <m/>
    <m/>
    <m/>
    <m/>
    <n v="0"/>
    <x v="0"/>
    <x v="3"/>
    <x v="5"/>
    <x v="22"/>
  </r>
  <r>
    <x v="363"/>
    <m/>
    <m/>
    <m/>
    <m/>
    <n v="0"/>
    <x v="0"/>
    <x v="3"/>
    <x v="5"/>
    <x v="22"/>
  </r>
  <r>
    <x v="364"/>
    <m/>
    <m/>
    <m/>
    <m/>
    <n v="0"/>
    <x v="0"/>
    <x v="3"/>
    <x v="5"/>
    <x v="22"/>
  </r>
  <r>
    <x v="365"/>
    <m/>
    <m/>
    <m/>
    <m/>
    <n v="0"/>
    <x v="0"/>
    <x v="3"/>
    <x v="5"/>
    <x v="22"/>
  </r>
  <r>
    <x v="366"/>
    <m/>
    <m/>
    <m/>
    <m/>
    <n v="0"/>
    <x v="0"/>
    <x v="3"/>
    <x v="5"/>
    <x v="22"/>
  </r>
  <r>
    <x v="367"/>
    <m/>
    <m/>
    <m/>
    <m/>
    <n v="0"/>
    <x v="0"/>
    <x v="3"/>
    <x v="5"/>
    <x v="23"/>
  </r>
  <r>
    <x v="368"/>
    <m/>
    <m/>
    <m/>
    <m/>
    <n v="0"/>
    <x v="0"/>
    <x v="3"/>
    <x v="5"/>
    <x v="23"/>
  </r>
  <r>
    <x v="369"/>
    <m/>
    <m/>
    <m/>
    <m/>
    <n v="0"/>
    <x v="0"/>
    <x v="3"/>
    <x v="5"/>
    <x v="23"/>
  </r>
  <r>
    <x v="370"/>
    <m/>
    <m/>
    <m/>
    <m/>
    <n v="0"/>
    <x v="0"/>
    <x v="3"/>
    <x v="5"/>
    <x v="23"/>
  </r>
  <r>
    <x v="371"/>
    <m/>
    <m/>
    <m/>
    <m/>
    <n v="0"/>
    <x v="0"/>
    <x v="3"/>
    <x v="5"/>
    <x v="23"/>
  </r>
  <r>
    <x v="372"/>
    <m/>
    <m/>
    <m/>
    <m/>
    <n v="0"/>
    <x v="0"/>
    <x v="3"/>
    <x v="5"/>
    <x v="24"/>
  </r>
  <r>
    <x v="373"/>
    <m/>
    <m/>
    <m/>
    <m/>
    <n v="0"/>
    <x v="0"/>
    <x v="3"/>
    <x v="5"/>
    <x v="24"/>
  </r>
  <r>
    <x v="374"/>
    <m/>
    <m/>
    <m/>
    <m/>
    <n v="0"/>
    <x v="0"/>
    <x v="3"/>
    <x v="5"/>
    <x v="24"/>
  </r>
  <r>
    <x v="375"/>
    <m/>
    <m/>
    <m/>
    <m/>
    <n v="0"/>
    <x v="0"/>
    <x v="3"/>
    <x v="5"/>
    <x v="24"/>
  </r>
  <r>
    <x v="376"/>
    <m/>
    <m/>
    <m/>
    <m/>
    <n v="0"/>
    <x v="0"/>
    <x v="3"/>
    <x v="5"/>
    <x v="24"/>
  </r>
  <r>
    <x v="377"/>
    <m/>
    <m/>
    <m/>
    <m/>
    <n v="0"/>
    <x v="0"/>
    <x v="3"/>
    <x v="6"/>
    <x v="25"/>
  </r>
  <r>
    <x v="378"/>
    <m/>
    <m/>
    <m/>
    <m/>
    <n v="0"/>
    <x v="0"/>
    <x v="3"/>
    <x v="6"/>
    <x v="25"/>
  </r>
  <r>
    <x v="379"/>
    <m/>
    <m/>
    <m/>
    <m/>
    <n v="0"/>
    <x v="0"/>
    <x v="3"/>
    <x v="6"/>
    <x v="25"/>
  </r>
  <r>
    <x v="380"/>
    <m/>
    <m/>
    <m/>
    <m/>
    <n v="0"/>
    <x v="0"/>
    <x v="3"/>
    <x v="6"/>
    <x v="25"/>
  </r>
  <r>
    <x v="381"/>
    <m/>
    <m/>
    <m/>
    <m/>
    <n v="0"/>
    <x v="0"/>
    <x v="3"/>
    <x v="6"/>
    <x v="25"/>
  </r>
  <r>
    <x v="382"/>
    <m/>
    <m/>
    <m/>
    <m/>
    <n v="0"/>
    <x v="0"/>
    <x v="3"/>
    <x v="6"/>
    <x v="26"/>
  </r>
  <r>
    <x v="383"/>
    <m/>
    <m/>
    <m/>
    <m/>
    <n v="0"/>
    <x v="0"/>
    <x v="3"/>
    <x v="6"/>
    <x v="26"/>
  </r>
  <r>
    <x v="384"/>
    <m/>
    <m/>
    <m/>
    <m/>
    <n v="0"/>
    <x v="0"/>
    <x v="3"/>
    <x v="6"/>
    <x v="26"/>
  </r>
  <r>
    <x v="385"/>
    <m/>
    <m/>
    <m/>
    <m/>
    <n v="0"/>
    <x v="0"/>
    <x v="3"/>
    <x v="6"/>
    <x v="26"/>
  </r>
  <r>
    <x v="386"/>
    <m/>
    <m/>
    <m/>
    <m/>
    <n v="0"/>
    <x v="0"/>
    <x v="3"/>
    <x v="6"/>
    <x v="26"/>
  </r>
  <r>
    <x v="387"/>
    <m/>
    <m/>
    <m/>
    <m/>
    <n v="0"/>
    <x v="0"/>
    <x v="3"/>
    <x v="6"/>
    <x v="27"/>
  </r>
  <r>
    <x v="388"/>
    <m/>
    <m/>
    <m/>
    <m/>
    <n v="0"/>
    <x v="0"/>
    <x v="3"/>
    <x v="6"/>
    <x v="27"/>
  </r>
  <r>
    <x v="389"/>
    <m/>
    <m/>
    <m/>
    <m/>
    <n v="0"/>
    <x v="0"/>
    <x v="3"/>
    <x v="6"/>
    <x v="27"/>
  </r>
  <r>
    <x v="390"/>
    <m/>
    <m/>
    <m/>
    <m/>
    <n v="0"/>
    <x v="0"/>
    <x v="3"/>
    <x v="6"/>
    <x v="27"/>
  </r>
  <r>
    <x v="391"/>
    <m/>
    <m/>
    <m/>
    <m/>
    <n v="0"/>
    <x v="0"/>
    <x v="3"/>
    <x v="6"/>
    <x v="27"/>
  </r>
  <r>
    <x v="392"/>
    <m/>
    <m/>
    <m/>
    <m/>
    <n v="0"/>
    <x v="0"/>
    <x v="3"/>
    <x v="6"/>
    <x v="28"/>
  </r>
  <r>
    <x v="393"/>
    <m/>
    <m/>
    <m/>
    <m/>
    <n v="0"/>
    <x v="0"/>
    <x v="3"/>
    <x v="6"/>
    <x v="28"/>
  </r>
  <r>
    <x v="394"/>
    <m/>
    <m/>
    <m/>
    <m/>
    <n v="0"/>
    <x v="0"/>
    <x v="3"/>
    <x v="6"/>
    <x v="28"/>
  </r>
  <r>
    <x v="395"/>
    <m/>
    <m/>
    <m/>
    <m/>
    <n v="0"/>
    <x v="0"/>
    <x v="3"/>
    <x v="6"/>
    <x v="28"/>
  </r>
  <r>
    <x v="396"/>
    <m/>
    <m/>
    <m/>
    <m/>
    <n v="0"/>
    <x v="0"/>
    <x v="3"/>
    <x v="6"/>
    <x v="28"/>
  </r>
  <r>
    <x v="397"/>
    <m/>
    <m/>
    <m/>
    <m/>
    <n v="0"/>
    <x v="0"/>
    <x v="3"/>
    <x v="6"/>
    <x v="29"/>
  </r>
  <r>
    <x v="398"/>
    <m/>
    <m/>
    <m/>
    <m/>
    <n v="0"/>
    <x v="0"/>
    <x v="3"/>
    <x v="6"/>
    <x v="29"/>
  </r>
  <r>
    <x v="399"/>
    <m/>
    <m/>
    <m/>
    <m/>
    <n v="0"/>
    <x v="0"/>
    <x v="3"/>
    <x v="6"/>
    <x v="29"/>
  </r>
  <r>
    <x v="400"/>
    <m/>
    <m/>
    <m/>
    <m/>
    <n v="0"/>
    <x v="0"/>
    <x v="3"/>
    <x v="7"/>
    <x v="29"/>
  </r>
  <r>
    <x v="401"/>
    <m/>
    <m/>
    <m/>
    <m/>
    <n v="0"/>
    <x v="0"/>
    <x v="3"/>
    <x v="7"/>
    <x v="29"/>
  </r>
  <r>
    <x v="402"/>
    <m/>
    <m/>
    <m/>
    <m/>
    <n v="0"/>
    <x v="0"/>
    <x v="3"/>
    <x v="7"/>
    <x v="30"/>
  </r>
  <r>
    <x v="403"/>
    <m/>
    <m/>
    <m/>
    <m/>
    <n v="0"/>
    <x v="0"/>
    <x v="3"/>
    <x v="7"/>
    <x v="30"/>
  </r>
  <r>
    <x v="404"/>
    <m/>
    <m/>
    <m/>
    <m/>
    <n v="0"/>
    <x v="0"/>
    <x v="3"/>
    <x v="7"/>
    <x v="30"/>
  </r>
  <r>
    <x v="405"/>
    <m/>
    <m/>
    <m/>
    <m/>
    <n v="0"/>
    <x v="0"/>
    <x v="3"/>
    <x v="7"/>
    <x v="30"/>
  </r>
  <r>
    <x v="406"/>
    <m/>
    <m/>
    <m/>
    <m/>
    <n v="0"/>
    <x v="0"/>
    <x v="3"/>
    <x v="7"/>
    <x v="30"/>
  </r>
  <r>
    <x v="407"/>
    <m/>
    <m/>
    <m/>
    <m/>
    <n v="0"/>
    <x v="0"/>
    <x v="3"/>
    <x v="7"/>
    <x v="31"/>
  </r>
  <r>
    <x v="408"/>
    <m/>
    <m/>
    <m/>
    <m/>
    <n v="0"/>
    <x v="0"/>
    <x v="3"/>
    <x v="7"/>
    <x v="31"/>
  </r>
  <r>
    <x v="409"/>
    <m/>
    <m/>
    <m/>
    <m/>
    <n v="0"/>
    <x v="0"/>
    <x v="3"/>
    <x v="7"/>
    <x v="31"/>
  </r>
  <r>
    <x v="410"/>
    <m/>
    <m/>
    <m/>
    <m/>
    <n v="0"/>
    <x v="0"/>
    <x v="3"/>
    <x v="7"/>
    <x v="31"/>
  </r>
  <r>
    <x v="411"/>
    <m/>
    <m/>
    <m/>
    <m/>
    <n v="0"/>
    <x v="0"/>
    <x v="3"/>
    <x v="7"/>
    <x v="31"/>
  </r>
  <r>
    <x v="412"/>
    <m/>
    <m/>
    <m/>
    <m/>
    <n v="0"/>
    <x v="0"/>
    <x v="3"/>
    <x v="7"/>
    <x v="32"/>
  </r>
  <r>
    <x v="413"/>
    <m/>
    <m/>
    <m/>
    <m/>
    <n v="0"/>
    <x v="0"/>
    <x v="3"/>
    <x v="7"/>
    <x v="32"/>
  </r>
  <r>
    <x v="414"/>
    <m/>
    <m/>
    <m/>
    <m/>
    <n v="0"/>
    <x v="0"/>
    <x v="3"/>
    <x v="7"/>
    <x v="32"/>
  </r>
  <r>
    <x v="415"/>
    <m/>
    <m/>
    <m/>
    <m/>
    <n v="0"/>
    <x v="0"/>
    <x v="3"/>
    <x v="7"/>
    <x v="32"/>
  </r>
  <r>
    <x v="416"/>
    <m/>
    <m/>
    <m/>
    <m/>
    <n v="0"/>
    <x v="0"/>
    <x v="3"/>
    <x v="7"/>
    <x v="32"/>
  </r>
  <r>
    <x v="417"/>
    <m/>
    <m/>
    <m/>
    <m/>
    <n v="0"/>
    <x v="0"/>
    <x v="3"/>
    <x v="7"/>
    <x v="33"/>
  </r>
  <r>
    <x v="418"/>
    <m/>
    <m/>
    <m/>
    <m/>
    <n v="0"/>
    <x v="0"/>
    <x v="3"/>
    <x v="7"/>
    <x v="33"/>
  </r>
  <r>
    <x v="419"/>
    <m/>
    <m/>
    <m/>
    <m/>
    <n v="0"/>
    <x v="0"/>
    <x v="3"/>
    <x v="7"/>
    <x v="33"/>
  </r>
  <r>
    <x v="420"/>
    <m/>
    <m/>
    <m/>
    <m/>
    <n v="0"/>
    <x v="0"/>
    <x v="3"/>
    <x v="7"/>
    <x v="33"/>
  </r>
  <r>
    <x v="421"/>
    <m/>
    <m/>
    <m/>
    <m/>
    <n v="0"/>
    <x v="0"/>
    <x v="3"/>
    <x v="8"/>
    <x v="34"/>
  </r>
  <r>
    <x v="422"/>
    <m/>
    <m/>
    <m/>
    <m/>
    <n v="0"/>
    <x v="0"/>
    <x v="3"/>
    <x v="8"/>
    <x v="34"/>
  </r>
  <r>
    <x v="423"/>
    <m/>
    <m/>
    <m/>
    <m/>
    <n v="0"/>
    <x v="0"/>
    <x v="3"/>
    <x v="8"/>
    <x v="34"/>
  </r>
  <r>
    <x v="424"/>
    <m/>
    <m/>
    <m/>
    <m/>
    <n v="0"/>
    <x v="0"/>
    <x v="3"/>
    <x v="8"/>
    <x v="34"/>
  </r>
  <r>
    <x v="425"/>
    <m/>
    <m/>
    <m/>
    <m/>
    <n v="0"/>
    <x v="0"/>
    <x v="3"/>
    <x v="8"/>
    <x v="34"/>
  </r>
  <r>
    <x v="426"/>
    <m/>
    <m/>
    <m/>
    <m/>
    <n v="0"/>
    <x v="0"/>
    <x v="3"/>
    <x v="8"/>
    <x v="35"/>
  </r>
  <r>
    <x v="427"/>
    <m/>
    <m/>
    <m/>
    <m/>
    <n v="0"/>
    <x v="0"/>
    <x v="3"/>
    <x v="8"/>
    <x v="35"/>
  </r>
  <r>
    <x v="428"/>
    <m/>
    <m/>
    <m/>
    <m/>
    <n v="0"/>
    <x v="0"/>
    <x v="3"/>
    <x v="8"/>
    <x v="35"/>
  </r>
  <r>
    <x v="429"/>
    <m/>
    <m/>
    <m/>
    <m/>
    <n v="0"/>
    <x v="0"/>
    <x v="3"/>
    <x v="8"/>
    <x v="35"/>
  </r>
  <r>
    <x v="430"/>
    <m/>
    <m/>
    <m/>
    <m/>
    <n v="0"/>
    <x v="0"/>
    <x v="3"/>
    <x v="8"/>
    <x v="36"/>
  </r>
  <r>
    <x v="431"/>
    <m/>
    <m/>
    <m/>
    <m/>
    <n v="0"/>
    <x v="0"/>
    <x v="3"/>
    <x v="8"/>
    <x v="36"/>
  </r>
  <r>
    <x v="432"/>
    <m/>
    <m/>
    <m/>
    <m/>
    <n v="0"/>
    <x v="0"/>
    <x v="3"/>
    <x v="8"/>
    <x v="36"/>
  </r>
  <r>
    <x v="433"/>
    <m/>
    <m/>
    <m/>
    <m/>
    <n v="0"/>
    <x v="0"/>
    <x v="3"/>
    <x v="8"/>
    <x v="36"/>
  </r>
  <r>
    <x v="434"/>
    <m/>
    <m/>
    <m/>
    <m/>
    <n v="0"/>
    <x v="0"/>
    <x v="3"/>
    <x v="8"/>
    <x v="36"/>
  </r>
  <r>
    <x v="435"/>
    <m/>
    <m/>
    <m/>
    <m/>
    <n v="0"/>
    <x v="0"/>
    <x v="3"/>
    <x v="8"/>
    <x v="37"/>
  </r>
  <r>
    <x v="436"/>
    <m/>
    <m/>
    <m/>
    <m/>
    <n v="0"/>
    <x v="0"/>
    <x v="3"/>
    <x v="8"/>
    <x v="37"/>
  </r>
  <r>
    <x v="437"/>
    <m/>
    <m/>
    <m/>
    <m/>
    <n v="0"/>
    <x v="0"/>
    <x v="3"/>
    <x v="8"/>
    <x v="37"/>
  </r>
  <r>
    <x v="438"/>
    <m/>
    <m/>
    <m/>
    <m/>
    <n v="0"/>
    <x v="0"/>
    <x v="3"/>
    <x v="8"/>
    <x v="37"/>
  </r>
  <r>
    <x v="439"/>
    <m/>
    <m/>
    <m/>
    <m/>
    <n v="0"/>
    <x v="0"/>
    <x v="3"/>
    <x v="8"/>
    <x v="37"/>
  </r>
  <r>
    <x v="440"/>
    <m/>
    <m/>
    <m/>
    <m/>
    <n v="0"/>
    <x v="0"/>
    <x v="3"/>
    <x v="9"/>
    <x v="38"/>
  </r>
  <r>
    <x v="441"/>
    <m/>
    <m/>
    <m/>
    <m/>
    <n v="0"/>
    <x v="0"/>
    <x v="3"/>
    <x v="9"/>
    <x v="38"/>
  </r>
  <r>
    <x v="442"/>
    <m/>
    <m/>
    <m/>
    <m/>
    <n v="0"/>
    <x v="0"/>
    <x v="3"/>
    <x v="9"/>
    <x v="38"/>
  </r>
  <r>
    <x v="443"/>
    <m/>
    <m/>
    <m/>
    <m/>
    <n v="0"/>
    <x v="0"/>
    <x v="3"/>
    <x v="9"/>
    <x v="38"/>
  </r>
  <r>
    <x v="444"/>
    <m/>
    <m/>
    <m/>
    <m/>
    <n v="0"/>
    <x v="0"/>
    <x v="3"/>
    <x v="9"/>
    <x v="39"/>
  </r>
  <r>
    <x v="445"/>
    <m/>
    <m/>
    <m/>
    <m/>
    <n v="0"/>
    <x v="0"/>
    <x v="3"/>
    <x v="9"/>
    <x v="39"/>
  </r>
  <r>
    <x v="446"/>
    <m/>
    <m/>
    <m/>
    <m/>
    <n v="0"/>
    <x v="0"/>
    <x v="3"/>
    <x v="9"/>
    <x v="39"/>
  </r>
  <r>
    <x v="447"/>
    <m/>
    <m/>
    <m/>
    <m/>
    <n v="0"/>
    <x v="0"/>
    <x v="3"/>
    <x v="9"/>
    <x v="39"/>
  </r>
  <r>
    <x v="448"/>
    <m/>
    <m/>
    <m/>
    <m/>
    <n v="0"/>
    <x v="0"/>
    <x v="3"/>
    <x v="9"/>
    <x v="39"/>
  </r>
  <r>
    <x v="449"/>
    <m/>
    <m/>
    <m/>
    <m/>
    <n v="0"/>
    <x v="0"/>
    <x v="3"/>
    <x v="9"/>
    <x v="40"/>
  </r>
  <r>
    <x v="450"/>
    <m/>
    <m/>
    <m/>
    <m/>
    <n v="0"/>
    <x v="0"/>
    <x v="3"/>
    <x v="9"/>
    <x v="40"/>
  </r>
  <r>
    <x v="451"/>
    <m/>
    <m/>
    <m/>
    <m/>
    <n v="0"/>
    <x v="0"/>
    <x v="3"/>
    <x v="9"/>
    <x v="40"/>
  </r>
  <r>
    <x v="452"/>
    <m/>
    <m/>
    <m/>
    <m/>
    <n v="0"/>
    <x v="0"/>
    <x v="3"/>
    <x v="9"/>
    <x v="40"/>
  </r>
  <r>
    <x v="453"/>
    <m/>
    <m/>
    <m/>
    <m/>
    <n v="0"/>
    <x v="0"/>
    <x v="3"/>
    <x v="9"/>
    <x v="41"/>
  </r>
  <r>
    <x v="454"/>
    <m/>
    <m/>
    <m/>
    <m/>
    <n v="0"/>
    <x v="0"/>
    <x v="3"/>
    <x v="9"/>
    <x v="41"/>
  </r>
  <r>
    <x v="455"/>
    <m/>
    <m/>
    <m/>
    <m/>
    <n v="0"/>
    <x v="0"/>
    <x v="3"/>
    <x v="9"/>
    <x v="41"/>
  </r>
  <r>
    <x v="456"/>
    <m/>
    <m/>
    <m/>
    <m/>
    <n v="0"/>
    <x v="0"/>
    <x v="3"/>
    <x v="9"/>
    <x v="42"/>
  </r>
  <r>
    <x v="457"/>
    <m/>
    <m/>
    <m/>
    <m/>
    <n v="0"/>
    <x v="0"/>
    <x v="3"/>
    <x v="9"/>
    <x v="42"/>
  </r>
  <r>
    <x v="458"/>
    <m/>
    <m/>
    <m/>
    <m/>
    <n v="0"/>
    <x v="0"/>
    <x v="3"/>
    <x v="9"/>
    <x v="42"/>
  </r>
  <r>
    <x v="459"/>
    <m/>
    <m/>
    <m/>
    <m/>
    <n v="0"/>
    <x v="0"/>
    <x v="3"/>
    <x v="10"/>
    <x v="42"/>
  </r>
  <r>
    <x v="460"/>
    <m/>
    <m/>
    <m/>
    <m/>
    <n v="0"/>
    <x v="0"/>
    <x v="3"/>
    <x v="10"/>
    <x v="42"/>
  </r>
  <r>
    <x v="461"/>
    <m/>
    <m/>
    <m/>
    <m/>
    <n v="0"/>
    <x v="0"/>
    <x v="3"/>
    <x v="10"/>
    <x v="43"/>
  </r>
  <r>
    <x v="462"/>
    <m/>
    <m/>
    <m/>
    <m/>
    <n v="0"/>
    <x v="0"/>
    <x v="3"/>
    <x v="10"/>
    <x v="43"/>
  </r>
  <r>
    <x v="463"/>
    <m/>
    <m/>
    <m/>
    <m/>
    <n v="0"/>
    <x v="0"/>
    <x v="3"/>
    <x v="10"/>
    <x v="43"/>
  </r>
  <r>
    <x v="464"/>
    <m/>
    <m/>
    <m/>
    <m/>
    <n v="0"/>
    <x v="0"/>
    <x v="3"/>
    <x v="10"/>
    <x v="43"/>
  </r>
  <r>
    <x v="465"/>
    <m/>
    <m/>
    <m/>
    <m/>
    <n v="0"/>
    <x v="0"/>
    <x v="3"/>
    <x v="10"/>
    <x v="43"/>
  </r>
  <r>
    <x v="466"/>
    <m/>
    <m/>
    <m/>
    <m/>
    <n v="0"/>
    <x v="0"/>
    <x v="3"/>
    <x v="10"/>
    <x v="44"/>
  </r>
  <r>
    <x v="467"/>
    <m/>
    <m/>
    <m/>
    <m/>
    <n v="0"/>
    <x v="0"/>
    <x v="3"/>
    <x v="10"/>
    <x v="44"/>
  </r>
  <r>
    <x v="468"/>
    <m/>
    <m/>
    <m/>
    <m/>
    <n v="0"/>
    <x v="0"/>
    <x v="3"/>
    <x v="10"/>
    <x v="44"/>
  </r>
  <r>
    <x v="469"/>
    <m/>
    <m/>
    <m/>
    <m/>
    <n v="0"/>
    <x v="0"/>
    <x v="3"/>
    <x v="10"/>
    <x v="44"/>
  </r>
  <r>
    <x v="470"/>
    <m/>
    <m/>
    <m/>
    <m/>
    <n v="0"/>
    <x v="0"/>
    <x v="3"/>
    <x v="10"/>
    <x v="44"/>
  </r>
  <r>
    <x v="471"/>
    <m/>
    <m/>
    <m/>
    <m/>
    <n v="0"/>
    <x v="0"/>
    <x v="3"/>
    <x v="10"/>
    <x v="45"/>
  </r>
  <r>
    <x v="472"/>
    <m/>
    <m/>
    <m/>
    <m/>
    <n v="0"/>
    <x v="0"/>
    <x v="3"/>
    <x v="10"/>
    <x v="45"/>
  </r>
  <r>
    <x v="473"/>
    <m/>
    <m/>
    <m/>
    <m/>
    <n v="0"/>
    <x v="0"/>
    <x v="3"/>
    <x v="10"/>
    <x v="45"/>
  </r>
  <r>
    <x v="474"/>
    <m/>
    <m/>
    <m/>
    <m/>
    <n v="0"/>
    <x v="0"/>
    <x v="3"/>
    <x v="10"/>
    <x v="45"/>
  </r>
  <r>
    <x v="475"/>
    <m/>
    <m/>
    <m/>
    <m/>
    <n v="0"/>
    <x v="0"/>
    <x v="3"/>
    <x v="10"/>
    <x v="45"/>
  </r>
  <r>
    <x v="476"/>
    <m/>
    <m/>
    <m/>
    <m/>
    <n v="0"/>
    <x v="0"/>
    <x v="3"/>
    <x v="10"/>
    <x v="46"/>
  </r>
  <r>
    <x v="477"/>
    <m/>
    <m/>
    <m/>
    <m/>
    <n v="0"/>
    <x v="0"/>
    <x v="3"/>
    <x v="10"/>
    <x v="46"/>
  </r>
  <r>
    <x v="478"/>
    <m/>
    <m/>
    <m/>
    <m/>
    <n v="0"/>
    <x v="0"/>
    <x v="3"/>
    <x v="10"/>
    <x v="46"/>
  </r>
  <r>
    <x v="479"/>
    <m/>
    <m/>
    <m/>
    <m/>
    <n v="0"/>
    <x v="0"/>
    <x v="3"/>
    <x v="10"/>
    <x v="46"/>
  </r>
  <r>
    <x v="480"/>
    <m/>
    <m/>
    <m/>
    <m/>
    <n v="0"/>
    <x v="0"/>
    <x v="3"/>
    <x v="10"/>
    <x v="46"/>
  </r>
  <r>
    <x v="481"/>
    <m/>
    <m/>
    <m/>
    <m/>
    <n v="0"/>
    <x v="0"/>
    <x v="3"/>
    <x v="11"/>
    <x v="47"/>
  </r>
  <r>
    <x v="482"/>
    <m/>
    <m/>
    <m/>
    <m/>
    <n v="0"/>
    <x v="0"/>
    <x v="3"/>
    <x v="11"/>
    <x v="47"/>
  </r>
  <r>
    <x v="483"/>
    <m/>
    <m/>
    <m/>
    <m/>
    <n v="0"/>
    <x v="0"/>
    <x v="3"/>
    <x v="11"/>
    <x v="47"/>
  </r>
  <r>
    <x v="484"/>
    <m/>
    <m/>
    <m/>
    <m/>
    <n v="0"/>
    <x v="0"/>
    <x v="3"/>
    <x v="11"/>
    <x v="47"/>
  </r>
  <r>
    <x v="485"/>
    <m/>
    <m/>
    <m/>
    <m/>
    <n v="0"/>
    <x v="0"/>
    <x v="3"/>
    <x v="11"/>
    <x v="47"/>
  </r>
  <r>
    <x v="486"/>
    <m/>
    <m/>
    <m/>
    <m/>
    <n v="0"/>
    <x v="0"/>
    <x v="3"/>
    <x v="11"/>
    <x v="48"/>
  </r>
  <r>
    <x v="487"/>
    <m/>
    <m/>
    <m/>
    <m/>
    <n v="0"/>
    <x v="0"/>
    <x v="3"/>
    <x v="11"/>
    <x v="48"/>
  </r>
  <r>
    <x v="488"/>
    <m/>
    <m/>
    <m/>
    <m/>
    <n v="0"/>
    <x v="0"/>
    <x v="3"/>
    <x v="11"/>
    <x v="48"/>
  </r>
  <r>
    <x v="489"/>
    <m/>
    <m/>
    <m/>
    <m/>
    <n v="0"/>
    <x v="0"/>
    <x v="3"/>
    <x v="11"/>
    <x v="48"/>
  </r>
  <r>
    <x v="490"/>
    <m/>
    <m/>
    <m/>
    <m/>
    <n v="0"/>
    <x v="0"/>
    <x v="3"/>
    <x v="11"/>
    <x v="48"/>
  </r>
  <r>
    <x v="491"/>
    <m/>
    <m/>
    <m/>
    <m/>
    <n v="0"/>
    <x v="0"/>
    <x v="3"/>
    <x v="11"/>
    <x v="49"/>
  </r>
  <r>
    <x v="492"/>
    <m/>
    <m/>
    <m/>
    <m/>
    <n v="0"/>
    <x v="0"/>
    <x v="3"/>
    <x v="11"/>
    <x v="49"/>
  </r>
  <r>
    <x v="493"/>
    <m/>
    <m/>
    <m/>
    <m/>
    <n v="0"/>
    <x v="0"/>
    <x v="3"/>
    <x v="11"/>
    <x v="49"/>
  </r>
  <r>
    <x v="494"/>
    <m/>
    <m/>
    <m/>
    <m/>
    <n v="0"/>
    <x v="0"/>
    <x v="3"/>
    <x v="11"/>
    <x v="49"/>
  </r>
  <r>
    <x v="495"/>
    <m/>
    <m/>
    <m/>
    <m/>
    <n v="0"/>
    <x v="0"/>
    <x v="3"/>
    <x v="11"/>
    <x v="49"/>
  </r>
  <r>
    <x v="496"/>
    <m/>
    <m/>
    <m/>
    <m/>
    <n v="0"/>
    <x v="0"/>
    <x v="3"/>
    <x v="11"/>
    <x v="50"/>
  </r>
  <r>
    <x v="497"/>
    <m/>
    <m/>
    <m/>
    <m/>
    <n v="0"/>
    <x v="0"/>
    <x v="3"/>
    <x v="11"/>
    <x v="50"/>
  </r>
  <r>
    <x v="498"/>
    <m/>
    <m/>
    <m/>
    <m/>
    <n v="0"/>
    <x v="0"/>
    <x v="3"/>
    <x v="11"/>
    <x v="50"/>
  </r>
  <r>
    <x v="499"/>
    <m/>
    <m/>
    <m/>
    <m/>
    <n v="0"/>
    <x v="0"/>
    <x v="3"/>
    <x v="11"/>
    <x v="50"/>
  </r>
  <r>
    <x v="500"/>
    <m/>
    <m/>
    <m/>
    <m/>
    <n v="0"/>
    <x v="0"/>
    <x v="3"/>
    <x v="11"/>
    <x v="50"/>
  </r>
  <r>
    <x v="501"/>
    <m/>
    <m/>
    <m/>
    <m/>
    <n v="0"/>
    <x v="0"/>
    <x v="3"/>
    <x v="0"/>
    <x v="51"/>
  </r>
  <r>
    <x v="502"/>
    <m/>
    <m/>
    <m/>
    <m/>
    <n v="0"/>
    <x v="0"/>
    <x v="3"/>
    <x v="0"/>
    <x v="51"/>
  </r>
  <r>
    <x v="503"/>
    <m/>
    <m/>
    <m/>
    <m/>
    <n v="0"/>
    <x v="0"/>
    <x v="3"/>
    <x v="0"/>
    <x v="51"/>
  </r>
  <r>
    <x v="504"/>
    <m/>
    <m/>
    <m/>
    <m/>
    <n v="0"/>
    <x v="0"/>
    <x v="3"/>
    <x v="0"/>
    <x v="51"/>
  </r>
  <r>
    <x v="505"/>
    <m/>
    <m/>
    <m/>
    <m/>
    <n v="0"/>
    <x v="0"/>
    <x v="3"/>
    <x v="0"/>
    <x v="51"/>
  </r>
  <r>
    <x v="506"/>
    <m/>
    <m/>
    <m/>
    <m/>
    <n v="0"/>
    <x v="0"/>
    <x v="3"/>
    <x v="0"/>
    <x v="0"/>
  </r>
  <r>
    <x v="507"/>
    <m/>
    <m/>
    <m/>
    <m/>
    <n v="0"/>
    <x v="0"/>
    <x v="3"/>
    <x v="0"/>
    <x v="0"/>
  </r>
  <r>
    <x v="508"/>
    <m/>
    <m/>
    <m/>
    <m/>
    <n v="0"/>
    <x v="0"/>
    <x v="3"/>
    <x v="0"/>
    <x v="0"/>
  </r>
  <r>
    <x v="509"/>
    <m/>
    <m/>
    <m/>
    <m/>
    <n v="0"/>
    <x v="0"/>
    <x v="3"/>
    <x v="0"/>
    <x v="0"/>
  </r>
  <r>
    <x v="510"/>
    <m/>
    <m/>
    <m/>
    <m/>
    <n v="0"/>
    <x v="0"/>
    <x v="3"/>
    <x v="0"/>
    <x v="0"/>
  </r>
  <r>
    <x v="511"/>
    <m/>
    <m/>
    <m/>
    <m/>
    <n v="0"/>
    <x v="0"/>
    <x v="3"/>
    <x v="0"/>
    <x v="1"/>
  </r>
  <r>
    <x v="512"/>
    <m/>
    <m/>
    <m/>
    <m/>
    <n v="0"/>
    <x v="0"/>
    <x v="3"/>
    <x v="0"/>
    <x v="1"/>
  </r>
  <r>
    <x v="513"/>
    <m/>
    <m/>
    <m/>
    <m/>
    <n v="0"/>
    <x v="0"/>
    <x v="3"/>
    <x v="0"/>
    <x v="1"/>
  </r>
  <r>
    <x v="514"/>
    <m/>
    <m/>
    <m/>
    <m/>
    <n v="0"/>
    <x v="0"/>
    <x v="3"/>
    <x v="0"/>
    <x v="1"/>
  </r>
  <r>
    <x v="515"/>
    <m/>
    <m/>
    <m/>
    <m/>
    <n v="0"/>
    <x v="0"/>
    <x v="3"/>
    <x v="0"/>
    <x v="1"/>
  </r>
  <r>
    <x v="516"/>
    <m/>
    <m/>
    <m/>
    <m/>
    <n v="0"/>
    <x v="0"/>
    <x v="3"/>
    <x v="0"/>
    <x v="2"/>
  </r>
  <r>
    <x v="517"/>
    <m/>
    <m/>
    <m/>
    <m/>
    <n v="0"/>
    <x v="0"/>
    <x v="3"/>
    <x v="0"/>
    <x v="2"/>
  </r>
  <r>
    <x v="518"/>
    <m/>
    <m/>
    <m/>
    <m/>
    <n v="0"/>
    <x v="0"/>
    <x v="3"/>
    <x v="0"/>
    <x v="2"/>
  </r>
  <r>
    <x v="519"/>
    <m/>
    <m/>
    <m/>
    <m/>
    <n v="0"/>
    <x v="0"/>
    <x v="3"/>
    <x v="0"/>
    <x v="2"/>
  </r>
  <r>
    <x v="520"/>
    <m/>
    <m/>
    <m/>
    <m/>
    <n v="0"/>
    <x v="0"/>
    <x v="3"/>
    <x v="0"/>
    <x v="2"/>
  </r>
  <r>
    <x v="521"/>
    <m/>
    <m/>
    <m/>
    <m/>
    <n v="0"/>
    <x v="0"/>
    <x v="3"/>
    <x v="0"/>
    <x v="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">
  <r>
    <n v="2"/>
    <n v="0"/>
    <n v="1"/>
    <s v="WB"/>
    <x v="0"/>
    <x v="0"/>
    <d v="1899-12-30T00:00:00"/>
    <x v="0"/>
    <x v="0"/>
    <m/>
    <m/>
    <s v="622660,600"/>
    <d v="1899-12-30T00:00:00"/>
    <m/>
    <m/>
    <m/>
    <m/>
    <m/>
    <m/>
    <m/>
    <m/>
    <x v="0"/>
    <x v="0"/>
    <x v="0"/>
    <x v="0"/>
    <x v="0"/>
    <n v="2010"/>
    <x v="0"/>
  </r>
  <r>
    <n v="2"/>
    <n v="2"/>
    <n v="4"/>
    <s v="AR"/>
    <x v="1"/>
    <x v="1"/>
    <d v="2010-01-15T00:00:00"/>
    <x v="1"/>
    <x v="1"/>
    <m/>
    <m/>
    <s v="-75691,000"/>
    <d v="2010-01-15T00:00:00"/>
    <m/>
    <m/>
    <m/>
    <s v="SL01"/>
    <m/>
    <m/>
    <m/>
    <m/>
    <x v="0"/>
    <x v="0"/>
    <x v="0"/>
    <x v="0"/>
    <x v="0"/>
    <n v="2010"/>
    <x v="1"/>
  </r>
  <r>
    <n v="2"/>
    <n v="2"/>
    <n v="7"/>
    <s v="SB"/>
    <x v="1"/>
    <x v="2"/>
    <d v="2010-02-01T00:00:00"/>
    <x v="2"/>
    <x v="1"/>
    <m/>
    <m/>
    <s v="-51383,000"/>
    <d v="2010-02-01T00:00:00"/>
    <m/>
    <m/>
    <m/>
    <s v="SLHA"/>
    <m/>
    <m/>
    <m/>
    <m/>
    <x v="0"/>
    <x v="0"/>
    <x v="0"/>
    <x v="1"/>
    <x v="0"/>
    <n v="2010"/>
    <x v="2"/>
  </r>
  <r>
    <n v="2"/>
    <n v="2"/>
    <n v="7"/>
    <s v="SB"/>
    <x v="1"/>
    <x v="3"/>
    <d v="2010-02-08T00:00:00"/>
    <x v="2"/>
    <x v="1"/>
    <m/>
    <m/>
    <s v="-53513,000"/>
    <d v="2010-02-08T00:00:00"/>
    <m/>
    <m/>
    <m/>
    <s v="SLHA"/>
    <m/>
    <m/>
    <m/>
    <m/>
    <x v="0"/>
    <x v="0"/>
    <x v="0"/>
    <x v="2"/>
    <x v="1"/>
    <n v="2010"/>
    <x v="3"/>
  </r>
  <r>
    <n v="2"/>
    <n v="2"/>
    <n v="7"/>
    <s v="SB"/>
    <x v="1"/>
    <x v="4"/>
    <d v="2010-02-26T00:00:00"/>
    <x v="2"/>
    <x v="1"/>
    <m/>
    <m/>
    <s v="-46879,000"/>
    <d v="2010-02-26T00:00:00"/>
    <m/>
    <m/>
    <m/>
    <s v="SLHA"/>
    <m/>
    <m/>
    <m/>
    <m/>
    <x v="0"/>
    <x v="0"/>
    <x v="0"/>
    <x v="3"/>
    <x v="1"/>
    <n v="2010"/>
    <x v="4"/>
  </r>
  <r>
    <n v="2"/>
    <n v="2"/>
    <n v="7"/>
    <s v="SB"/>
    <x v="1"/>
    <x v="5"/>
    <d v="2010-03-15T00:00:00"/>
    <x v="2"/>
    <x v="1"/>
    <m/>
    <m/>
    <s v="-34767,000"/>
    <d v="2010-03-15T00:00:00"/>
    <m/>
    <m/>
    <m/>
    <s v="SLHA"/>
    <m/>
    <m/>
    <m/>
    <m/>
    <x v="0"/>
    <x v="0"/>
    <x v="0"/>
    <x v="4"/>
    <x v="2"/>
    <n v="2010"/>
    <x v="5"/>
  </r>
  <r>
    <n v="2"/>
    <n v="2"/>
    <n v="7"/>
    <s v="SB"/>
    <x v="1"/>
    <x v="6"/>
    <d v="2010-03-29T00:00:00"/>
    <x v="2"/>
    <x v="1"/>
    <m/>
    <m/>
    <s v="-42464,000"/>
    <d v="2010-03-29T00:00:00"/>
    <m/>
    <m/>
    <m/>
    <s v="SLHA"/>
    <m/>
    <m/>
    <m/>
    <m/>
    <x v="0"/>
    <x v="0"/>
    <x v="0"/>
    <x v="5"/>
    <x v="2"/>
    <n v="2010"/>
    <x v="6"/>
  </r>
  <r>
    <n v="2"/>
    <n v="2"/>
    <n v="7"/>
    <s v="SB"/>
    <x v="1"/>
    <x v="7"/>
    <d v="2010-04-15T00:00:00"/>
    <x v="2"/>
    <x v="1"/>
    <m/>
    <m/>
    <s v="-55623,000"/>
    <d v="2010-04-15T00:00:00"/>
    <m/>
    <m/>
    <m/>
    <s v="SLHA"/>
    <m/>
    <m/>
    <m/>
    <m/>
    <x v="0"/>
    <x v="0"/>
    <x v="0"/>
    <x v="6"/>
    <x v="3"/>
    <n v="2010"/>
    <x v="7"/>
  </r>
  <r>
    <n v="2"/>
    <n v="2"/>
    <n v="7"/>
    <s v="SB"/>
    <x v="1"/>
    <x v="8"/>
    <d v="2010-04-30T00:00:00"/>
    <x v="2"/>
    <x v="1"/>
    <m/>
    <m/>
    <s v="-41493,000"/>
    <d v="2010-04-30T00:00:00"/>
    <m/>
    <m/>
    <m/>
    <s v="SLHA"/>
    <m/>
    <m/>
    <m/>
    <m/>
    <x v="0"/>
    <x v="0"/>
    <x v="0"/>
    <x v="7"/>
    <x v="3"/>
    <n v="2010"/>
    <x v="8"/>
  </r>
  <r>
    <n v="2"/>
    <n v="2"/>
    <n v="7"/>
    <s v="SB"/>
    <x v="1"/>
    <x v="9"/>
    <d v="2010-05-18T00:00:00"/>
    <x v="2"/>
    <x v="1"/>
    <m/>
    <m/>
    <s v="-33258,000"/>
    <d v="2010-05-18T00:00:00"/>
    <m/>
    <m/>
    <m/>
    <s v="SLHA"/>
    <m/>
    <m/>
    <m/>
    <m/>
    <x v="0"/>
    <x v="0"/>
    <x v="0"/>
    <x v="8"/>
    <x v="4"/>
    <n v="2010"/>
    <x v="9"/>
  </r>
  <r>
    <n v="2"/>
    <n v="2"/>
    <n v="7"/>
    <s v="SB"/>
    <x v="1"/>
    <x v="10"/>
    <d v="2010-06-02T00:00:00"/>
    <x v="2"/>
    <x v="1"/>
    <m/>
    <m/>
    <s v="-39012,000"/>
    <d v="2010-06-02T00:00:00"/>
    <m/>
    <m/>
    <m/>
    <s v="SLHA"/>
    <m/>
    <m/>
    <m/>
    <m/>
    <x v="0"/>
    <x v="0"/>
    <x v="0"/>
    <x v="9"/>
    <x v="4"/>
    <n v="2010"/>
    <x v="10"/>
  </r>
  <r>
    <n v="2"/>
    <n v="2"/>
    <n v="7"/>
    <s v="SB"/>
    <x v="1"/>
    <x v="11"/>
    <d v="2010-06-16T00:00:00"/>
    <x v="2"/>
    <x v="1"/>
    <m/>
    <m/>
    <s v="-42805,000"/>
    <d v="2010-06-16T00:00:00"/>
    <m/>
    <m/>
    <m/>
    <s v="SLHA"/>
    <m/>
    <m/>
    <m/>
    <m/>
    <x v="0"/>
    <x v="0"/>
    <x v="0"/>
    <x v="10"/>
    <x v="5"/>
    <n v="2010"/>
    <x v="11"/>
  </r>
  <r>
    <n v="2"/>
    <n v="2"/>
    <n v="7"/>
    <s v="SB"/>
    <x v="1"/>
    <x v="12"/>
    <d v="2010-06-24T00:00:00"/>
    <x v="2"/>
    <x v="1"/>
    <m/>
    <m/>
    <s v="-44815,000"/>
    <d v="2010-06-24T00:00:00"/>
    <m/>
    <m/>
    <m/>
    <s v="SLHA"/>
    <m/>
    <m/>
    <m/>
    <m/>
    <x v="0"/>
    <x v="0"/>
    <x v="0"/>
    <x v="11"/>
    <x v="5"/>
    <n v="2010"/>
    <x v="12"/>
  </r>
  <r>
    <n v="2"/>
    <n v="1"/>
    <n v="6"/>
    <s v="BA"/>
    <x v="2"/>
    <x v="13"/>
    <d v="2010-07-28T00:00:00"/>
    <x v="3"/>
    <x v="2"/>
    <m/>
    <m/>
    <s v="165000,000"/>
    <d v="2010-06-15T00:00:00"/>
    <m/>
    <m/>
    <m/>
    <s v="SL02"/>
    <n v="4055"/>
    <m/>
    <m/>
    <s v="HUHTAMAKI DEUTSHLAND GMBH &amp; CO.KG"/>
    <x v="0"/>
    <x v="1"/>
    <x v="0"/>
    <x v="12"/>
    <x v="5"/>
    <n v="2010"/>
    <x v="13"/>
  </r>
  <r>
    <n v="2"/>
    <n v="2"/>
    <n v="7"/>
    <s v="SB"/>
    <x v="1"/>
    <x v="14"/>
    <d v="2010-07-14T00:00:00"/>
    <x v="2"/>
    <x v="1"/>
    <m/>
    <m/>
    <s v="-50058,000"/>
    <d v="2010-07-14T00:00:00"/>
    <m/>
    <m/>
    <m/>
    <s v="SLHA"/>
    <m/>
    <m/>
    <m/>
    <m/>
    <x v="0"/>
    <x v="0"/>
    <x v="0"/>
    <x v="13"/>
    <x v="6"/>
    <n v="2010"/>
    <x v="14"/>
  </r>
  <r>
    <n v="2"/>
    <n v="2"/>
    <n v="7"/>
    <s v="SB"/>
    <x v="1"/>
    <x v="15"/>
    <d v="2010-07-28T00:00:00"/>
    <x v="2"/>
    <x v="1"/>
    <m/>
    <m/>
    <s v="-49361,000"/>
    <d v="2010-07-28T00:00:00"/>
    <m/>
    <m/>
    <m/>
    <s v="SLHA"/>
    <m/>
    <m/>
    <m/>
    <m/>
    <x v="0"/>
    <x v="0"/>
    <x v="0"/>
    <x v="14"/>
    <x v="6"/>
    <n v="2010"/>
    <x v="15"/>
  </r>
  <r>
    <n v="2"/>
    <n v="2"/>
    <n v="7"/>
    <s v="SB"/>
    <x v="1"/>
    <x v="16"/>
    <d v="2010-08-11T00:00:00"/>
    <x v="2"/>
    <x v="1"/>
    <m/>
    <m/>
    <s v="-45297,000"/>
    <d v="2010-08-11T00:00:00"/>
    <m/>
    <m/>
    <m/>
    <s v="SLHA"/>
    <m/>
    <m/>
    <m/>
    <m/>
    <x v="0"/>
    <x v="0"/>
    <x v="0"/>
    <x v="15"/>
    <x v="7"/>
    <n v="2010"/>
    <x v="16"/>
  </r>
  <r>
    <n v="2"/>
    <n v="1"/>
    <n v="6"/>
    <s v="BA"/>
    <x v="2"/>
    <x v="17"/>
    <d v="2010-09-08T00:00:00"/>
    <x v="3"/>
    <x v="3"/>
    <m/>
    <m/>
    <s v="165000,000"/>
    <d v="2010-07-27T00:00:00"/>
    <m/>
    <m/>
    <m/>
    <s v="SL02"/>
    <n v="4055"/>
    <m/>
    <m/>
    <s v="HUHTAMAKI DEUTSHLAND GMBH &amp; CO.KG"/>
    <x v="0"/>
    <x v="1"/>
    <x v="0"/>
    <x v="16"/>
    <x v="7"/>
    <n v="2010"/>
    <x v="13"/>
  </r>
  <r>
    <n v="2"/>
    <n v="2"/>
    <n v="7"/>
    <s v="SB"/>
    <x v="1"/>
    <x v="18"/>
    <d v="2010-08-25T00:00:00"/>
    <x v="2"/>
    <x v="1"/>
    <m/>
    <m/>
    <s v="-44764,000"/>
    <d v="2010-08-25T00:00:00"/>
    <m/>
    <m/>
    <m/>
    <s v="SLHA"/>
    <m/>
    <m/>
    <m/>
    <m/>
    <x v="0"/>
    <x v="0"/>
    <x v="0"/>
    <x v="17"/>
    <x v="7"/>
    <n v="2010"/>
    <x v="17"/>
  </r>
  <r>
    <n v="2"/>
    <n v="2"/>
    <n v="7"/>
    <s v="SB"/>
    <x v="1"/>
    <x v="19"/>
    <d v="2010-09-08T00:00:00"/>
    <x v="2"/>
    <x v="1"/>
    <m/>
    <m/>
    <s v="-44527,000"/>
    <d v="2010-09-08T00:00:00"/>
    <m/>
    <m/>
    <m/>
    <s v="SLHA"/>
    <m/>
    <m/>
    <m/>
    <m/>
    <x v="0"/>
    <x v="0"/>
    <x v="0"/>
    <x v="18"/>
    <x v="7"/>
    <n v="2010"/>
    <x v="18"/>
  </r>
  <r>
    <n v="2"/>
    <n v="2"/>
    <n v="7"/>
    <s v="SB"/>
    <x v="1"/>
    <x v="20"/>
    <d v="2010-09-22T00:00:00"/>
    <x v="2"/>
    <x v="1"/>
    <m/>
    <m/>
    <s v="-43009,000"/>
    <d v="2010-09-22T00:00:00"/>
    <m/>
    <m/>
    <m/>
    <s v="SLHA"/>
    <m/>
    <m/>
    <m/>
    <m/>
    <x v="0"/>
    <x v="0"/>
    <x v="0"/>
    <x v="19"/>
    <x v="8"/>
    <n v="2010"/>
    <x v="19"/>
  </r>
  <r>
    <n v="2"/>
    <n v="2"/>
    <n v="7"/>
    <s v="SB"/>
    <x v="1"/>
    <x v="21"/>
    <d v="2010-10-06T00:00:00"/>
    <x v="2"/>
    <x v="1"/>
    <m/>
    <m/>
    <s v="-42446,000"/>
    <d v="2010-10-06T00:00:00"/>
    <m/>
    <m/>
    <m/>
    <s v="SLHA"/>
    <m/>
    <m/>
    <m/>
    <m/>
    <x v="0"/>
    <x v="0"/>
    <x v="0"/>
    <x v="20"/>
    <x v="8"/>
    <n v="2010"/>
    <x v="20"/>
  </r>
  <r>
    <n v="2"/>
    <n v="1"/>
    <n v="6"/>
    <s v="BA"/>
    <x v="2"/>
    <x v="22"/>
    <d v="2010-11-03T00:00:00"/>
    <x v="3"/>
    <x v="4"/>
    <m/>
    <m/>
    <s v="165000,000"/>
    <d v="2010-09-21T00:00:00"/>
    <m/>
    <m/>
    <m/>
    <s v="SL02"/>
    <n v="4055"/>
    <m/>
    <m/>
    <s v="HUHTAMAKI DEUTSHLAND GMBH &amp; CO.KG"/>
    <x v="0"/>
    <x v="1"/>
    <x v="0"/>
    <x v="21"/>
    <x v="9"/>
    <n v="2010"/>
    <x v="13"/>
  </r>
  <r>
    <n v="2"/>
    <n v="2"/>
    <n v="7"/>
    <s v="SB"/>
    <x v="1"/>
    <x v="23"/>
    <d v="2010-10-20T00:00:00"/>
    <x v="2"/>
    <x v="1"/>
    <m/>
    <m/>
    <s v="-48204,000"/>
    <d v="2010-10-20T00:00:00"/>
    <m/>
    <m/>
    <m/>
    <s v="SLHA"/>
    <m/>
    <m/>
    <m/>
    <m/>
    <x v="0"/>
    <x v="0"/>
    <x v="0"/>
    <x v="22"/>
    <x v="9"/>
    <n v="2010"/>
    <x v="21"/>
  </r>
  <r>
    <n v="2"/>
    <n v="2"/>
    <n v="7"/>
    <s v="SB"/>
    <x v="1"/>
    <x v="24"/>
    <d v="2010-11-03T00:00:00"/>
    <x v="2"/>
    <x v="1"/>
    <m/>
    <m/>
    <s v="-47628,000"/>
    <d v="2010-11-03T00:00:00"/>
    <m/>
    <m/>
    <m/>
    <s v="SLHA"/>
    <m/>
    <m/>
    <m/>
    <m/>
    <x v="0"/>
    <x v="0"/>
    <x v="0"/>
    <x v="23"/>
    <x v="9"/>
    <n v="2010"/>
    <x v="22"/>
  </r>
  <r>
    <n v="2"/>
    <n v="2"/>
    <n v="7"/>
    <s v="SB"/>
    <x v="1"/>
    <x v="25"/>
    <d v="2010-11-16T00:00:00"/>
    <x v="2"/>
    <x v="1"/>
    <m/>
    <m/>
    <s v="-58610,000"/>
    <d v="2010-11-16T00:00:00"/>
    <m/>
    <m/>
    <m/>
    <s v="SLHA"/>
    <m/>
    <m/>
    <m/>
    <m/>
    <x v="0"/>
    <x v="0"/>
    <x v="0"/>
    <x v="24"/>
    <x v="10"/>
    <n v="2010"/>
    <x v="23"/>
  </r>
  <r>
    <n v="2"/>
    <n v="2"/>
    <n v="7"/>
    <s v="SB"/>
    <x v="1"/>
    <x v="26"/>
    <d v="2010-12-01T00:00:00"/>
    <x v="2"/>
    <x v="1"/>
    <m/>
    <m/>
    <s v="-33879,000"/>
    <d v="2010-12-01T00:00:00"/>
    <m/>
    <m/>
    <m/>
    <s v="SLHA"/>
    <m/>
    <m/>
    <m/>
    <m/>
    <x v="0"/>
    <x v="0"/>
    <x v="0"/>
    <x v="25"/>
    <x v="10"/>
    <n v="2010"/>
    <x v="2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m/>
    <x v="0"/>
    <x v="0"/>
    <x v="0"/>
    <m/>
    <x v="0"/>
    <n v="2014"/>
    <s v="Norsk"/>
    <s v="Stabburet Bayersk postei 8x6x22g"/>
    <s v="Ferdigvare OFN Pricat"/>
    <x v="0"/>
    <n v="321"/>
    <s v="Ikke tilordnet"/>
    <x v="0"/>
    <s v="FR00"/>
    <s v="Råbekken"/>
    <x v="0"/>
    <s v="Q"/>
    <x v="0"/>
    <x v="0"/>
    <s v="Ikke tilordnet"/>
    <x v="0"/>
    <s v="Ikke tilordnet/201"/>
    <s v="Ikke tilordnet"/>
    <x v="0"/>
    <s v="Ikke tilordnet"/>
    <s v="F"/>
    <x v="0"/>
    <s v="Ikke tilordnet"/>
    <s v="X"/>
    <s v="NO"/>
    <n v="1029"/>
    <s v="ZFER"/>
    <s v="FR00"/>
    <n v="306"/>
    <n v="1902"/>
    <n v="145548.48000000001"/>
    <x v="0"/>
    <x v="0"/>
    <n v="1902"/>
    <n v="1596"/>
    <n v="-306"/>
    <d v="2014-06-09T01:31:01"/>
    <x v="0"/>
  </r>
  <r>
    <m/>
    <x v="0"/>
    <x v="0"/>
    <x v="1"/>
    <m/>
    <x v="0"/>
    <n v="2014"/>
    <s v="Norsk"/>
    <s v="Stabburet Bayersk postei 8x6x22g"/>
    <s v="Ferdigvare OFN Pricat"/>
    <x v="0"/>
    <n v="321"/>
    <s v="Ikke tilordnet"/>
    <x v="0"/>
    <s v="FR00"/>
    <s v="Råbekken"/>
    <x v="0"/>
    <s v="Ikke tilordnet"/>
    <x v="0"/>
    <x v="0"/>
    <s v="Ikke tilordnet"/>
    <x v="0"/>
    <s v="Ikke tilordnet"/>
    <s v="Ikke tilordnet"/>
    <x v="1"/>
    <s v="Ikke tilordnet"/>
    <s v="F"/>
    <x v="0"/>
    <s v="Ikke tilordnet"/>
    <s v="Ikke tilordnet"/>
    <s v="NO"/>
    <n v="1029"/>
    <s v="ZFER"/>
    <s v="FR00"/>
    <n v="306"/>
    <n v="1902"/>
    <n v="145548.48000000001"/>
    <x v="1"/>
    <x v="0"/>
    <n v="1902"/>
    <n v="1902"/>
    <n v="306"/>
    <d v="2014-06-09T01:31:0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ell1" cacheId="1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rowGrandTotals="0" itemPrintTitles="1" createdVersion="3" indent="0" compact="0" compactData="0" gridDropZones="1">
  <location ref="A5:B7" firstHeaderRow="2" firstDataRow="2" firstDataCol="1" rowPageCount="1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4">
        <item x="1"/>
        <item h="1" x="2"/>
        <item h="1" x="0"/>
        <item t="default"/>
      </items>
    </pivotField>
    <pivotField compact="0" numFmtId="14" outline="0" subtotalTop="0" showAll="0" includeNewItemsInFilter="1">
      <items count="2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numFmtId="14" outline="0" subtotalTop="0" showAll="0" includeNewItemsInFilter="1" sortType="ascending">
      <items count="2"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164" outline="0" subtotalTop="0" showAll="0" includeNewItemsInFilter="1">
      <items count="26">
        <item x="1"/>
        <item x="23"/>
        <item x="7"/>
        <item x="3"/>
        <item x="2"/>
        <item x="14"/>
        <item x="15"/>
        <item x="21"/>
        <item x="22"/>
        <item x="4"/>
        <item x="16"/>
        <item x="12"/>
        <item x="17"/>
        <item x="18"/>
        <item x="19"/>
        <item x="11"/>
        <item x="6"/>
        <item x="20"/>
        <item x="8"/>
        <item x="10"/>
        <item x="5"/>
        <item x="24"/>
        <item x="9"/>
        <item x="13"/>
        <item x="0"/>
        <item t="default"/>
      </items>
    </pivotField>
  </pivotFields>
  <rowFields count="1">
    <field x="23"/>
  </rowFields>
  <rowItems count="1">
    <i>
      <x/>
    </i>
  </rowItems>
  <colItems count="1">
    <i/>
  </colItems>
  <pageFields count="1">
    <pageField fld="4" item="0" hier="0"/>
  </pageFields>
  <dataFields count="1">
    <dataField name="Sum of NetQty" fld="27" baseField="0" baseItem="0"/>
  </dataFields>
  <formats count="1">
    <format dxfId="64">
      <pivotArea outline="0" fieldPosition="0"/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Pivottabell1" cacheId="2" autoFormatId="4109" applyNumberFormats="1" applyBorderFormats="1" applyFontFormats="1" applyPatternFormats="1" applyAlignmentFormats="1" applyWidthHeightFormats="1" dataCaption="Data" updatedVersion="5" minRefreshableVersion="3" showMemberPropertyTips="0" useAutoFormatting="1" itemPrintTitles="1" createdVersion="3" indent="0" compact="0" compactData="0" gridDropZones="1">
  <location ref="A8:B10" firstHeaderRow="1" firstDataRow="1" firstDataCol="1" rowPageCount="3" colPageCount="1"/>
  <pivotFields count="46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sertBlankRow="1" includeNewItemsInFilter="1" sortType="ascending" rankBy="0"/>
    <pivotField compact="0" outline="0" showAll="0" defaultSubtotal="0"/>
    <pivotField compact="0" outline="0" showAll="0" defaultSubtotal="0"/>
    <pivotField compact="0" numFmtId="38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70" outline="0" showAll="0" defaultSubtotal="0"/>
    <pivotField axis="axisRow" compact="0" numFmtId="14" outline="0" showAll="0" sortType="ascending" defaultSubtotal="0">
      <items count="3">
        <item m="1" x="2"/>
        <item m="1" x="1"/>
        <item x="0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43"/>
  </rowFields>
  <rowItems count="2">
    <i>
      <x v="2"/>
    </i>
    <i t="grand">
      <x/>
    </i>
  </rowItems>
  <colItems count="1">
    <i/>
  </colItems>
  <pageFields count="3">
    <pageField fld="37" item="0" hier="0"/>
    <pageField fld="3" hier="0"/>
    <pageField fld="24" item="0" hier="0"/>
  </pageFields>
  <dataFields count="1">
    <dataField name="Sum av NetQty" fld="41" baseField="0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Pivottabell1" cacheId="2" autoFormatId="4109" applyNumberFormats="1" applyBorderFormats="1" applyFontFormats="1" applyPatternFormats="1" applyAlignmentFormats="1" applyWidthHeightFormats="1" dataCaption="Data" updatedVersion="6" minRefreshableVersion="3" asteriskTotals="1" showMemberPropertyTips="0" useAutoFormatting="1" rowGrandTotals="0" itemPrintTitles="1" createdVersion="3" indent="0" compact="0" compactData="0" gridDropZones="1">
  <location ref="A10:C11" firstHeaderRow="0" firstDataRow="1" firstDataCol="1" rowPageCount="4" colPageCount="1"/>
  <pivotFields count="46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 sortType="ascending" rankBy="0"/>
    <pivotField compact="0" outline="0" showAll="0" defaultSubtotal="0"/>
    <pivotField compact="0" outline="0" showAll="0" defaultSubtotal="0"/>
    <pivotField axis="axisPage" compact="0" numFmtId="14" outline="0" subtotalTop="0" showAll="0" includeNewItemsInFilter="1" sortType="descending" rankBy="0">
      <items count="3">
        <item m="1" x="1"/>
        <item x="0"/>
        <item t="default"/>
      </items>
    </pivotField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axis="axisPage" compact="0" numFmtId="38" outline="0" subtotalTop="0" showAll="0" includeNewItemsInFilter="1">
      <items count="2">
        <item x="0"/>
        <item t="default"/>
      </items>
    </pivotField>
    <pivotField dataField="1"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70" outline="0" showAll="0" defaultSubtotal="0"/>
    <pivotField axis="axisRow" compact="0" numFmtId="14" outline="0" showAll="0" sortType="ascending" defaultSubtotal="0">
      <items count="3">
        <item m="1" x="2"/>
        <item m="1" x="1"/>
        <item x="0"/>
      </items>
    </pivotField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43"/>
  </rowFields>
  <rowItems count="1">
    <i>
      <x v="2"/>
    </i>
  </rowItems>
  <colFields count="1">
    <field x="-2"/>
  </colFields>
  <colItems count="2">
    <i>
      <x/>
    </i>
    <i i="1">
      <x v="1"/>
    </i>
  </colItems>
  <pageFields count="4">
    <pageField fld="3" hier="0"/>
    <pageField fld="16" hier="0"/>
    <pageField fld="24" hier="0"/>
    <pageField fld="38" hier="-1"/>
  </pageFields>
  <dataFields count="2">
    <dataField name="Sum av StockIn" fld="39" baseField="0" baseItem="0"/>
    <dataField name="Sum av NetQty" fld="41" baseField="43" baseItem="2"/>
  </dataFields>
  <formats count="2">
    <format dxfId="1">
      <pivotArea outline="0" fieldPosition="0"/>
    </format>
    <format dxfId="0">
      <pivotArea dataOnly="0" labelOnly="1" outline="0" fieldPosition="0">
        <references count="1">
          <reference field="16" count="0"/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Pivottabell1" cacheId="0" dataPosition="0" autoFormatId="4109" applyNumberFormats="1" applyBorderFormats="1" applyFontFormats="1" applyPatternFormats="1" applyAlignmentFormats="1" applyWidthHeightFormats="1" dataCaption="Data" showError="1" updatedVersion="4" minRefreshableVersion="3" asteriskTotals="1" showMemberPropertyTips="0" useAutoFormatting="1" itemPrintTitles="1" createdVersion="3" indent="0" compact="0" compactData="0" gridDropZones="1" chartFormat="1">
  <location ref="A9:D45" firstHeaderRow="1" firstDataRow="2" firstDataCol="2" rowPageCount="2" colPageCount="1"/>
  <pivotFields count="10">
    <pivotField axis="axisPage" compact="0" numFmtId="14" outline="0" subtotalTop="0" showAll="0" includeNewItemsInFilter="1">
      <items count="523"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10"/>
        <item x="509"/>
        <item x="508"/>
        <item x="507"/>
        <item x="506"/>
        <item x="505"/>
        <item x="504"/>
        <item x="503"/>
        <item x="502"/>
        <item x="501"/>
        <item x="500"/>
        <item x="499"/>
        <item x="498"/>
        <item x="497"/>
        <item x="496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5"/>
        <item x="474"/>
        <item x="473"/>
        <item x="472"/>
        <item x="471"/>
        <item x="470"/>
        <item x="469"/>
        <item x="468"/>
        <item x="467"/>
        <item x="466"/>
        <item x="465"/>
        <item x="464"/>
        <item x="463"/>
        <item x="462"/>
        <item x="461"/>
        <item x="460"/>
        <item x="459"/>
        <item x="458"/>
        <item x="457"/>
        <item x="456"/>
        <item x="455"/>
        <item x="454"/>
        <item x="453"/>
        <item x="452"/>
        <item x="451"/>
        <item x="450"/>
        <item x="449"/>
        <item x="448"/>
        <item x="447"/>
        <item x="446"/>
        <item x="445"/>
        <item x="444"/>
        <item x="443"/>
        <item x="442"/>
        <item x="441"/>
        <item x="440"/>
        <item x="439"/>
        <item x="438"/>
        <item x="437"/>
        <item x="436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3"/>
        <item x="422"/>
        <item x="421"/>
        <item x="420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408"/>
        <item x="407"/>
        <item x="406"/>
        <item x="405"/>
        <item x="404"/>
        <item x="403"/>
        <item x="402"/>
        <item x="401"/>
        <item x="400"/>
        <item x="399"/>
        <item x="398"/>
        <item x="397"/>
        <item x="396"/>
        <item x="395"/>
        <item x="394"/>
        <item x="393"/>
        <item x="392"/>
        <item x="391"/>
        <item x="390"/>
        <item x="389"/>
        <item x="388"/>
        <item x="387"/>
        <item x="386"/>
        <item x="385"/>
        <item x="384"/>
        <item x="383"/>
        <item x="382"/>
        <item x="381"/>
        <item x="380"/>
        <item x="379"/>
        <item x="378"/>
        <item x="377"/>
        <item x="376"/>
        <item x="375"/>
        <item x="374"/>
        <item x="373"/>
        <item x="372"/>
        <item x="371"/>
        <item x="370"/>
        <item x="369"/>
        <item x="368"/>
        <item x="367"/>
        <item x="366"/>
        <item x="365"/>
        <item x="364"/>
        <item x="363"/>
        <item x="362"/>
        <item x="361"/>
        <item x="360"/>
        <item x="359"/>
        <item x="358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43"/>
        <item x="342"/>
        <item x="341"/>
        <item x="340"/>
        <item x="339"/>
        <item x="338"/>
        <item x="337"/>
        <item x="336"/>
        <item x="335"/>
        <item x="334"/>
        <item x="333"/>
        <item x="332"/>
        <item x="331"/>
        <item x="330"/>
        <item x="329"/>
        <item x="328"/>
        <item x="327"/>
        <item x="326"/>
        <item x="325"/>
        <item x="324"/>
        <item x="323"/>
        <item x="322"/>
        <item x="321"/>
        <item x="320"/>
        <item x="319"/>
        <item x="318"/>
        <item x="317"/>
        <item x="316"/>
        <item x="315"/>
        <item x="314"/>
        <item x="313"/>
        <item x="312"/>
        <item x="311"/>
        <item x="310"/>
        <item x="309"/>
        <item x="308"/>
        <item x="307"/>
        <item x="306"/>
        <item x="305"/>
        <item x="304"/>
        <item x="303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75"/>
        <item x="274"/>
        <item x="273"/>
        <item x="272"/>
        <item x="271"/>
        <item x="270"/>
        <item x="269"/>
        <item x="268"/>
        <item x="267"/>
        <item x="266"/>
        <item x="265"/>
        <item x="264"/>
        <item x="263"/>
        <item x="262"/>
        <item x="261"/>
        <item x="260"/>
        <item x="259"/>
        <item x="258"/>
        <item x="257"/>
        <item x="256"/>
        <item x="255"/>
        <item x="254"/>
        <item x="253"/>
        <item x="252"/>
        <item x="251"/>
        <item x="250"/>
        <item x="249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18"/>
        <item x="219"/>
        <item x="220"/>
        <item x="217"/>
        <item x="216"/>
        <item x="214"/>
        <item x="215"/>
        <item x="213"/>
        <item x="212"/>
        <item x="211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169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54"/>
        <item x="15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59"/>
        <item x="60"/>
        <item x="61"/>
        <item x="62"/>
        <item x="63"/>
        <item x="64"/>
        <item x="65"/>
        <item x="66"/>
        <item x="57"/>
        <item x="5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248"/>
        <item t="default"/>
      </items>
    </pivotField>
    <pivotField compact="0" outline="0" subtotalTop="0" showAll="0" includeNewItemsInFilter="1"/>
    <pivotField dataField="1" compact="0" numFmtId="38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name="Not in use" compact="0" outline="0" subtotalTop="0" showAll="0" includeNewItemsInFilter="1"/>
    <pivotField axis="axisCol" compact="0" outline="0" subtotalTop="0" showAll="0" includeNewItemsInFilter="1">
      <items count="2">
        <item x="0"/>
        <item t="default"/>
      </items>
    </pivotField>
    <pivotField axis="axisRow" compact="0" outline="0" subtotalTop="0" showAll="0" insertBlankRow="1" includeNewItemsInFilter="1">
      <items count="5">
        <item x="3"/>
        <item x="1"/>
        <item x="0"/>
        <item x="2"/>
        <item t="default"/>
      </items>
    </pivotField>
    <pivotField axis="axisRow" compact="0" outline="0" subtotalTop="0" showAll="0" includeNewItemsInFilter="1">
      <items count="13">
        <item x="0"/>
        <item x="11"/>
        <item x="10"/>
        <item x="9"/>
        <item x="8"/>
        <item x="7"/>
        <item x="6"/>
        <item x="5"/>
        <item x="4"/>
        <item x="3"/>
        <item x="2"/>
        <item x="1"/>
        <item t="default"/>
      </items>
    </pivotField>
    <pivotField axis="axisPage" compact="0" outline="0" subtotalTop="0" showAll="0" includeNewItemsInFilter="1">
      <items count="54">
        <item x="3"/>
        <item x="2"/>
        <item x="1"/>
        <item x="0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52"/>
        <item t="default"/>
      </items>
    </pivotField>
  </pivotFields>
  <rowFields count="2">
    <field x="7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 t="blank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blank">
      <x v="1"/>
    </i>
    <i>
      <x v="2"/>
      <x/>
    </i>
    <i t="default">
      <x v="2"/>
    </i>
    <i t="blank">
      <x v="2"/>
    </i>
    <i>
      <x v="3"/>
      <x v="11"/>
    </i>
    <i t="default">
      <x v="3"/>
    </i>
    <i t="blank">
      <x v="3"/>
    </i>
    <i t="grand">
      <x/>
    </i>
  </rowItems>
  <colFields count="1">
    <field x="6"/>
  </colFields>
  <colItems count="2">
    <i>
      <x/>
    </i>
    <i t="grand">
      <x/>
    </i>
  </colItems>
  <pageFields count="2">
    <pageField fld="0" hier="0"/>
    <pageField fld="9" hier="0"/>
  </pageFields>
  <dataFields count="1">
    <dataField name="Sum av Usage" fld="2" baseField="0" baseItem="0" numFmtId="38"/>
  </dataFields>
  <chartFormats count="1"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Pivottabell1" cacheId="2" autoFormatId="4109" applyNumberFormats="1" applyBorderFormats="1" applyFontFormats="1" applyPatternFormats="1" applyAlignmentFormats="1" applyWidthHeightFormats="1" dataCaption="Data" updatedVersion="5" minRefreshableVersion="3" showMemberPropertyTips="0" useAutoFormatting="1" itemPrintTitles="1" createdVersion="3" indent="0" compact="0" compactData="0" gridDropZones="1">
  <location ref="A12:C15" firstHeaderRow="1" firstDataRow="2" firstDataCol="1" rowPageCount="6" colPageCount="1"/>
  <pivotFields count="46">
    <pivotField compact="0" outline="0" subtotalTop="0" showAll="0" includeNewItemsInFilter="1"/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howAll="0" defaultSubtotal="0"/>
    <pivotField axis="axisPage" compact="0" outline="0" subtotalTop="0" showAll="0" insertBlankRow="1" includeNewItemsInFilter="1" sortType="ascending" rankBy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numFmtId="38" outline="0" subtotalTop="0" showAll="0" includeNewItemsInFilter="1"/>
    <pivotField compact="0" outline="0" showAll="0" defaultSubtotal="0"/>
    <pivotField axis="axisCol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howAll="0" defaultSubtotal="0"/>
    <pivotField axis="axisRow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70" outline="0" showAll="0" defaultSubtotal="0"/>
    <pivotField compact="0" numFmtId="14" outline="0" showAll="0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1">
    <field x="27"/>
  </rowFields>
  <rowItems count="2">
    <i>
      <x v="1"/>
    </i>
    <i t="grand">
      <x/>
    </i>
  </rowItems>
  <colFields count="1">
    <field x="18"/>
  </colFields>
  <colItems count="2">
    <i>
      <x v="1"/>
    </i>
    <i t="grand">
      <x/>
    </i>
  </colItems>
  <pageFields count="6">
    <pageField fld="5" hier="0"/>
    <pageField fld="24" hier="0"/>
    <pageField fld="1" hier="0"/>
    <pageField fld="13" hier="0"/>
    <pageField fld="3" hier="0"/>
    <pageField fld="10" hier="0"/>
  </pageFields>
  <dataFields count="1">
    <dataField name="Sum av NetQty" fld="41" baseField="0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Pivottabell1" cacheId="2" dataPosition="0" autoFormatId="4109" applyNumberFormats="1" applyBorderFormats="1" applyFontFormats="1" applyPatternFormats="1" applyAlignmentFormats="1" applyWidthHeightFormats="1" dataCaption="Data" showError="1" updatedVersion="5" minRefreshableVersion="3" showMemberPropertyTips="0" useAutoFormatting="1" rowGrandTotals="0" colGrandTotals="0" itemPrintTitles="1" createdVersion="3" indent="0" compact="0" compactData="0" gridDropZones="1">
  <location ref="A13:G16" firstHeaderRow="1" firstDataRow="2" firstDataCol="6" rowPageCount="4" colPageCount="1"/>
  <pivotFields count="46">
    <pivotField compact="0" outline="0" subtotalTop="0" showAll="0" includeNewItemsInFilter="1"/>
    <pivotField axis="axisRow" compact="0" outline="0" subtotalTop="0" showAll="0" insertBlankRow="1" includeNewItemsInFilter="1" defaultSubtotal="0">
      <items count="2">
        <item m="1" x="1"/>
        <item x="0"/>
      </items>
    </pivotField>
    <pivotField axis="axisRow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howAll="0" defaultSubtotal="0"/>
    <pivotField axis="axisPage" compact="0" outline="0" subtotalTop="0" showAll="0" insertBlankRow="1" includeNewItemsInFilter="1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Page" compact="0" numFmtId="14" outline="0" subtotalTop="0" showAll="0" includeNewItemsInFilter="1">
      <items count="3">
        <item m="1" x="1"/>
        <item x="0"/>
        <item t="default"/>
      </items>
    </pivotField>
    <pivotField compact="0" outline="0" showAll="0" defaultSubtotal="0"/>
    <pivotField axis="axisCol" compact="0" outline="0" subtotalTop="0" showAll="0" includeNewItemsInFilter="1">
      <items count="3">
        <item m="1" x="1"/>
        <item x="0"/>
        <item t="default"/>
      </items>
    </pivotField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howAll="0" defaultSubtotal="0"/>
    <pivotField axis="axisRow" compact="0" outline="0" subtotalTop="0" showAll="0" includeNewItemsInFilter="1" defaultSubtotal="0">
      <items count="2">
        <item m="1" x="1"/>
        <item x="0"/>
      </items>
    </pivotField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howAll="0" defaultSubtotal="0"/>
    <pivotField axis="axisRow" compact="0" outline="0" subtotalTop="0" showAll="0" includeNewItemsInFilter="1" defaultSubtotal="0">
      <items count="2">
        <item m="1" x="1"/>
        <item x="0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70" outline="0" showAll="0" defaultSubtotal="0"/>
    <pivotField compact="0" numFmtId="14" outline="0" showAll="0" defaultSubtotal="0"/>
    <pivotField compact="0" outline="0" subtotalTop="0" dragToRow="0" dragToCol="0" dragToPage="0" showAll="0" includeNewItemsInFilter="1" defaultSubtotal="0"/>
    <pivotField compact="0" outline="0" subtotalTop="0" dragToRow="0" dragToCol="0" dragToPage="0" showAll="0" includeNewItemsInFilter="1" defaultSubtotal="0"/>
  </pivotFields>
  <rowFields count="6">
    <field x="1"/>
    <field x="5"/>
    <field x="10"/>
    <field x="27"/>
    <field x="21"/>
    <field x="2"/>
  </rowFields>
  <rowItems count="2">
    <i>
      <x v="1"/>
      <x/>
      <x v="2"/>
      <x v="1"/>
      <x v="1"/>
      <x v="2"/>
    </i>
    <i t="blank">
      <x v="1"/>
    </i>
  </rowItems>
  <colFields count="1">
    <field x="18"/>
  </colFields>
  <colItems count="1">
    <i>
      <x v="1"/>
    </i>
  </colItems>
  <pageFields count="4">
    <pageField fld="13" item="1" hier="0"/>
    <pageField fld="16" hier="0"/>
    <pageField fld="19" hier="0"/>
    <pageField fld="24" hier="0"/>
  </pageFields>
  <dataFields count="1">
    <dataField name="Sum av NetQty" fld="41" baseField="0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200-000000000000}" name="Pivottabell1" cacheId="2" autoFormatId="4109" applyNumberFormats="1" applyBorderFormats="1" applyFontFormats="1" applyPatternFormats="1" applyAlignmentFormats="1" applyWidthHeightFormats="1" dataCaption="Data" showError="1" updatedVersion="5" minRefreshableVersion="3" asteriskTotals="1" showMemberPropertyTips="0" useAutoFormatting="1" itemPrintTitles="1" createdVersion="3" indent="0" compact="0" compactData="0" gridDropZones="1">
  <location ref="A12:G17" firstHeaderRow="1" firstDataRow="4" firstDataCol="1" rowPageCount="5" colPageCount="1"/>
  <pivotFields count="46">
    <pivotField compact="0" outline="0" subtotalTop="0" showAll="0" includeNewItemsInFilter="1"/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axis="axisCol" compact="0" outline="0" subtotalTop="0" showAll="0" includeNewItemsInFilter="1" defaultSubtotal="0">
      <items count="2">
        <item x="0"/>
        <item x="1"/>
      </items>
    </pivotField>
    <pivotField compact="0" outline="0" subtotalTop="0" showAll="0" includeNewItemsInFilter="1"/>
    <pivotField axis="axisPage" compact="0" outline="0" subtotalTop="0" showAll="0" includeNewItemsInFilter="1">
      <items count="2"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ubtotalTop="0" showAll="0" includeNewItemsInFilter="1" defaultSubtotal="0">
      <items count="3">
        <item m="1" x="1"/>
        <item m="1" x="2"/>
        <item x="0"/>
      </items>
    </pivotField>
    <pivotField compact="0" outline="0" subtotalTop="0" showAll="0" includeNewItemsInFilter="1"/>
    <pivotField compact="0" outline="0" showAll="0" defaultSubtotal="0"/>
    <pivotField axis="axisRow" compact="0" outline="0" subtotalTop="0" showAll="0" insertBlankRow="1" includeNewItemsInFilter="1" sortType="descending" rankBy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numFmtId="38" outline="0" subtotalTop="0" showAll="0" includeNewItemsInFilter="1"/>
    <pivotField compact="0" outline="0" showAll="0" defaultSubtotal="0"/>
    <pivotField axis="axisCol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howAll="0" defaultSubtotal="0"/>
    <pivotField compact="0" numFmtId="14" outline="0" subtotalTop="0" showAll="0" includeNewItemsInFilter="1"/>
    <pivotField compact="0" numFmtId="38" outline="0" subtotalTop="0" showAll="0" includeNewItemsInFilter="1"/>
    <pivotField compact="0" outline="0" subtotalTop="0" showAll="0" includeNewItemsInFilter="1"/>
    <pivotField axis="axisPage" compact="0" numFmtId="38" outline="0" subtotalTop="0" showAll="0" includeNewItemsInFilter="1">
      <items count="3">
        <item x="0"/>
        <item x="1"/>
        <item t="default"/>
      </items>
    </pivotField>
    <pivotField compact="0" outline="0" subtotalTop="0" showAll="0" includeNewItemsInFilter="1"/>
    <pivotField compact="0" outline="0" showAll="0" defaultSubtotal="0"/>
    <pivotField axis="axisPage" compact="0" outline="0" subtotalTop="0" showAll="0" includeNewItemsInFilter="1">
      <items count="3">
        <item m="1" x="1"/>
        <item x="0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howAll="0" defaultSubtotal="0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compact="0" numFmtId="38" outline="0" subtotalTop="0" showAll="0" includeNewItemsInFilter="1"/>
    <pivotField dataField="1" compact="0" outline="0" subtotalTop="0" showAll="0" includeNewItemsInFilter="1"/>
    <pivotField compact="0" numFmtId="170" outline="0" showAll="0" defaultSubtotal="0"/>
    <pivotField compact="0" numFmtId="14" outline="0" showAll="0" defaultSubtotal="0"/>
    <pivotField compact="0" outline="0" subtotalTop="0" dragToRow="0" dragToCol="0" dragToPage="0" showAll="0" includeNewItemsInFilter="1" defaultSubtotal="0"/>
    <pivotField dataField="1" compact="0" outline="0" subtotalTop="0" dragToRow="0" dragToCol="0" dragToPage="0" showAll="0" includeNewItemsInFilter="1" defaultSubtotal="0"/>
  </pivotFields>
  <rowFields count="1">
    <field x="13"/>
  </rowFields>
  <rowItems count="2">
    <i>
      <x v="1"/>
    </i>
    <i t="grand">
      <x/>
    </i>
  </rowItems>
  <colFields count="3">
    <field x="3"/>
    <field x="18"/>
    <field x="-2"/>
  </colFields>
  <colItems count="6">
    <i>
      <x/>
      <x v="1"/>
      <x/>
    </i>
    <i r="2" i="1">
      <x v="1"/>
    </i>
    <i>
      <x v="1"/>
      <x v="1"/>
      <x/>
    </i>
    <i r="2" i="1">
      <x v="1"/>
    </i>
    <i t="grand">
      <x/>
    </i>
    <i t="grand" i="1">
      <x/>
    </i>
  </colItems>
  <pageFields count="5">
    <pageField fld="27" hier="0"/>
    <pageField fld="5" hier="0"/>
    <pageField fld="24" hier="0"/>
    <pageField fld="1" hier="0"/>
    <pageField fld="10" hier="0"/>
  </pageFields>
  <dataFields count="2">
    <dataField name="Sum av NetQty" fld="41" baseField="0" baseItem="0" numFmtId="38"/>
    <dataField name="Sum av Stock Price" fld="45" baseField="0" baseItem="0" numFmtId="4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300-000000000000}" name="Pivottabell1" cacheId="1" dataOnRows="1" applyNumberFormats="0" applyBorderFormats="0" applyFontFormats="0" applyPatternFormats="0" applyAlignmentFormats="0" applyWidthHeightFormats="1" dataCaption="Data" updatedVersion="4" minRefreshableVersion="3" asteriskTotals="1" showMemberPropertyTips="0" useAutoFormatting="1" rowGrandTotals="0" colGrandTotals="0" itemPrintTitles="1" createdVersion="3" indent="0" compact="0" compactData="0" gridDropZones="1">
  <location ref="A11:H39" firstHeaderRow="1" firstDataRow="2" firstDataCol="5" rowPageCount="2" colPageCount="1"/>
  <pivotFields count="28"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4">
        <item x="1"/>
        <item x="2"/>
        <item x="0"/>
        <item t="default"/>
      </items>
    </pivotField>
    <pivotField axis="axisRow" compact="0" numFmtId="14" outline="0" subtotalTop="0" showAll="0" includeNewItemsInFilter="1" sortType="ascending" rankBy="0" defaultSubtota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compact="0" outline="0" subtotalTop="0" showAll="0" includeNewItemsInFilter="1"/>
    <pivotField axis="axisRow" compact="0" outline="0" subtotalTop="0" showAll="0" includeNewItemsInFilter="1" defaultSubtotal="0">
      <items count="4">
        <item x="0"/>
        <item x="3"/>
        <item x="1"/>
        <item x="2"/>
      </items>
    </pivotField>
    <pivotField axis="axisRow" compact="0" outline="0" subtotalTop="0" showAll="0" includeNewItemsInFilter="1" defaultSubtotal="0">
      <items count="5">
        <item x="0"/>
        <item x="1"/>
        <item x="2"/>
        <item x="3"/>
        <item x="4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Row" compact="0" outline="0" subtotalTop="0" showAll="0" includeNewItemsInFilter="1" defaultSubtotal="0">
      <items count="1">
        <item x="0"/>
      </items>
    </pivotField>
    <pivotField axis="axisRow" compact="0" outline="0" subtotalTop="0" showAll="0" includeNewItemsInFilter="1" defaultSubtotal="0">
      <items count="2">
        <item x="0"/>
        <item x="1"/>
      </items>
    </pivotField>
    <pivotField compact="0" numFmtId="14" outline="0" subtotalTop="0" showAll="0" includeNewItemsInFilter="1"/>
    <pivotField axis="axisPage" compact="0" outline="0" subtotalTop="0" showAll="0" includeNewItemsInFilter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Page" compact="0" outline="0" subtotalTop="0" showAll="0" includeNewItemsInFilter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compact="0" outline="0" subtotalTop="0" showAll="0" includeNewItemsInFilter="1"/>
    <pivotField dataField="1" compact="0" numFmtId="164" outline="0" subtotalTop="0" showAll="0" includeNewItemsInFilter="1"/>
  </pivotFields>
  <rowFields count="5">
    <field x="5"/>
    <field x="7"/>
    <field x="8"/>
    <field x="22"/>
    <field x="21"/>
  </rowFields>
  <rowItems count="27">
    <i>
      <x/>
      <x/>
      <x/>
      <x/>
      <x/>
    </i>
    <i>
      <x v="1"/>
      <x v="2"/>
      <x v="1"/>
      <x/>
      <x/>
    </i>
    <i>
      <x v="2"/>
      <x v="3"/>
      <x v="1"/>
      <x/>
      <x/>
    </i>
    <i>
      <x v="3"/>
      <x v="3"/>
      <x v="1"/>
      <x/>
      <x/>
    </i>
    <i>
      <x v="4"/>
      <x v="3"/>
      <x v="1"/>
      <x/>
      <x/>
    </i>
    <i>
      <x v="5"/>
      <x v="3"/>
      <x v="1"/>
      <x/>
      <x/>
    </i>
    <i>
      <x v="6"/>
      <x v="3"/>
      <x v="1"/>
      <x/>
      <x/>
    </i>
    <i>
      <x v="7"/>
      <x v="3"/>
      <x v="1"/>
      <x/>
      <x/>
    </i>
    <i>
      <x v="8"/>
      <x v="3"/>
      <x v="1"/>
      <x/>
      <x/>
    </i>
    <i>
      <x v="9"/>
      <x v="3"/>
      <x v="1"/>
      <x/>
      <x/>
    </i>
    <i>
      <x v="10"/>
      <x v="3"/>
      <x v="1"/>
      <x/>
      <x/>
    </i>
    <i>
      <x v="11"/>
      <x v="3"/>
      <x v="1"/>
      <x/>
      <x/>
    </i>
    <i>
      <x v="12"/>
      <x v="3"/>
      <x v="1"/>
      <x/>
      <x/>
    </i>
    <i>
      <x v="13"/>
      <x v="1"/>
      <x v="2"/>
      <x v="1"/>
      <x/>
    </i>
    <i>
      <x v="14"/>
      <x v="3"/>
      <x v="1"/>
      <x/>
      <x/>
    </i>
    <i>
      <x v="15"/>
      <x v="3"/>
      <x v="1"/>
      <x/>
      <x/>
    </i>
    <i>
      <x v="16"/>
      <x v="3"/>
      <x v="1"/>
      <x/>
      <x/>
    </i>
    <i>
      <x v="17"/>
      <x v="1"/>
      <x v="3"/>
      <x v="1"/>
      <x/>
    </i>
    <i>
      <x v="18"/>
      <x v="3"/>
      <x v="1"/>
      <x/>
      <x/>
    </i>
    <i>
      <x v="19"/>
      <x v="3"/>
      <x v="1"/>
      <x/>
      <x/>
    </i>
    <i>
      <x v="20"/>
      <x v="3"/>
      <x v="1"/>
      <x/>
      <x/>
    </i>
    <i>
      <x v="21"/>
      <x v="3"/>
      <x v="1"/>
      <x/>
      <x/>
    </i>
    <i>
      <x v="22"/>
      <x v="1"/>
      <x v="4"/>
      <x v="1"/>
      <x/>
    </i>
    <i>
      <x v="23"/>
      <x v="3"/>
      <x v="1"/>
      <x/>
      <x/>
    </i>
    <i>
      <x v="24"/>
      <x v="3"/>
      <x v="1"/>
      <x/>
      <x/>
    </i>
    <i>
      <x v="25"/>
      <x v="3"/>
      <x v="1"/>
      <x/>
      <x/>
    </i>
    <i>
      <x v="26"/>
      <x v="3"/>
      <x v="1"/>
      <x/>
      <x/>
    </i>
  </rowItems>
  <colFields count="1">
    <field x="4"/>
  </colFields>
  <colItems count="3">
    <i>
      <x/>
    </i>
    <i>
      <x v="1"/>
    </i>
    <i>
      <x v="2"/>
    </i>
  </colItems>
  <pageFields count="2">
    <pageField fld="25" hier="0"/>
    <pageField fld="24" hier="0"/>
  </pageFields>
  <dataFields count="1">
    <dataField name="Sum av NetQty" fld="27" baseField="0" baseItem="0" numFmtId="38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atData" displayName="MatData" ref="A1:AH2" totalsRowShown="0" headerRowDxfId="90" headerRowCellStyle="Normal 2" dataCellStyle="Normal 2">
  <autoFilter ref="A1:AH2" xr:uid="{00000000-0009-0000-0100-000001000000}"/>
  <tableColumns count="34">
    <tableColumn id="1" xr3:uid="{00000000-0010-0000-0000-000001000000}" name="Material" dataCellStyle="Normal 2"/>
    <tableColumn id="2" xr3:uid="{00000000-0010-0000-0000-000002000000}" name="Plant" dataCellStyle="Normal 2"/>
    <tableColumn id="3" xr3:uid="{00000000-0010-0000-0000-000003000000}" name="P-S matl status" dataCellStyle="Normal 2"/>
    <tableColumn id="4" xr3:uid="{00000000-0010-0000-0000-000004000000}" name="Valid from" dataCellStyle="Normal 2"/>
    <tableColumn id="5" xr3:uid="{00000000-0010-0000-0000-000005000000}" name="ABC Indicator" dataCellStyle="Normal 2"/>
    <tableColumn id="6" xr3:uid="{00000000-0010-0000-0000-000006000000}" name="Critical Part" dataCellStyle="Normal 2"/>
    <tableColumn id="7" xr3:uid="{00000000-0010-0000-0000-000007000000}" name="Purch. Group" dataCellStyle="Normal 2"/>
    <tableColumn id="8" xr3:uid="{00000000-0010-0000-0000-000008000000}" name="Unit of issue" dataCellStyle="Normal 2"/>
    <tableColumn id="9" xr3:uid="{00000000-0010-0000-0000-000009000000}" name="MRP profile" dataCellStyle="Normal 2"/>
    <tableColumn id="10" xr3:uid="{00000000-0010-0000-0000-00000A000000}" name="MRP Type" dataCellStyle="Normal 2"/>
    <tableColumn id="11" xr3:uid="{00000000-0010-0000-0000-00000B000000}" name="MRP Controller" dataCellStyle="Normal 2"/>
    <tableColumn id="12" xr3:uid="{00000000-0010-0000-0000-00000C000000}" name="Controller name" dataCellStyle="Normal 2"/>
    <tableColumn id="13" xr3:uid="{00000000-0010-0000-0000-00000D000000}" name="Pl. Deliv. Time" dataCellStyle="Normal 2"/>
    <tableColumn id="14" xr3:uid="{00000000-0010-0000-0000-00000E000000}" name="GR Proc. Time" dataCellStyle="Normal 2"/>
    <tableColumn id="15" xr3:uid="{00000000-0010-0000-0000-00000F000000}" name="Period Ind." dataCellStyle="Normal 2"/>
    <tableColumn id="16" xr3:uid="{00000000-0010-0000-0000-000010000000}" name="Lot size" dataCellStyle="Normal 2"/>
    <tableColumn id="17" xr3:uid="{00000000-0010-0000-0000-000011000000}" name="Procurement" dataCellStyle="Normal 2"/>
    <tableColumn id="18" xr3:uid="{00000000-0010-0000-0000-000012000000}" name="SpecProcurement" dataCellStyle="Normal 2"/>
    <tableColumn id="19" xr3:uid="{00000000-0010-0000-0000-000013000000}" name="Reorder Point" dataCellStyle="Normal 2"/>
    <tableColumn id="20" xr3:uid="{00000000-0010-0000-0000-000014000000}" name="Safety Stock" dataDxfId="89" dataCellStyle="Normal 2"/>
    <tableColumn id="21" xr3:uid="{00000000-0010-0000-0000-000015000000}" name="Min. Lot Size" dataDxfId="88" dataCellStyle="Normal 2"/>
    <tableColumn id="22" xr3:uid="{00000000-0010-0000-0000-000016000000}" name="Max. Lot Size" dataDxfId="87" dataCellStyle="Normal 2"/>
    <tableColumn id="23" xr3:uid="{00000000-0010-0000-0000-000017000000}" name="Fixed lot size" dataCellStyle="Normal 2"/>
    <tableColumn id="24" xr3:uid="{00000000-0010-0000-0000-000018000000}" name="Rounding value" dataDxfId="86" dataCellStyle="Normal 2"/>
    <tableColumn id="25" xr3:uid="{00000000-0010-0000-0000-000019000000}" name="Safety time ind" dataCellStyle="Normal 2"/>
    <tableColumn id="26" xr3:uid="{00000000-0010-0000-0000-00001A000000}" name="Safety time" dataCellStyle="Normal 2"/>
    <tableColumn id="27" xr3:uid="{00000000-0010-0000-0000-00001B000000}" name="Current period" dataCellStyle="Normal 2"/>
    <tableColumn id="28" xr3:uid="{00000000-0010-0000-0000-00001C000000}" name="Year cur.period" dataCellStyle="Normal 2"/>
    <tableColumn id="29" xr3:uid="{00000000-0010-0000-0000-00001D000000}" name="Min SafetyStock" dataCellStyle="Normal 2"/>
    <tableColumn id="30" xr3:uid="{00000000-0010-0000-0000-00001E000000}" name="Base Unit" dataCellStyle="Normal 2"/>
    <tableColumn id="31" xr3:uid="{00000000-0010-0000-0000-00001F000000}" name="Material Group" dataCellStyle="Normal 2"/>
    <tableColumn id="32" xr3:uid="{00000000-0010-0000-0000-000020000000}" name="Tot. shelf life" dataDxfId="85" dataCellStyle="Normal 2"/>
    <tableColumn id="33" xr3:uid="{00000000-0010-0000-0000-000021000000}" name="Rem. Shelf Life" dataCellStyle="Normal 2"/>
    <tableColumn id="34" xr3:uid="{00000000-0010-0000-0000-000022000000}" name="Description" dataCellStyle="Normal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1000000}" name="tStockData" displayName="tStockData" ref="A4:N5" totalsRowShown="0" headerRowDxfId="84" headerRowCellStyle="Normal 2" dataCellStyle="Normal 2">
  <autoFilter ref="A4:N5" xr:uid="{00000000-0009-0000-0100-00000F000000}"/>
  <tableColumns count="14">
    <tableColumn id="1" xr3:uid="{00000000-0010-0000-0100-000001000000}" name="Material" dataCellStyle="Normal 2"/>
    <tableColumn id="2" xr3:uid="{00000000-0010-0000-0100-000002000000}" name="Plant" dataCellStyle="Normal 2"/>
    <tableColumn id="3" xr3:uid="{00000000-0010-0000-0100-000003000000}" name="Unrestricted" dataDxfId="83" dataCellStyle="Normal 2"/>
    <tableColumn id="4" xr3:uid="{00000000-0010-0000-0100-000004000000}" name="Stock in tfr" dataDxfId="82" dataCellStyle="Normal 2"/>
    <tableColumn id="5" xr3:uid="{00000000-0010-0000-0100-000005000000}" name="In Qual. Insp." dataDxfId="81" dataCellStyle="Normal 2"/>
    <tableColumn id="6" xr3:uid="{00000000-0010-0000-0100-000006000000}" name="Restricted-Use" dataDxfId="80" dataCellStyle="Normal 2"/>
    <tableColumn id="7" xr3:uid="{00000000-0010-0000-0100-000007000000}" name="Blocked" dataDxfId="79" dataCellStyle="Normal 2"/>
    <tableColumn id="8" xr3:uid="{00000000-0010-0000-0100-000008000000}" name="Returns" dataDxfId="78" dataCellStyle="Normal 2"/>
    <tableColumn id="9" xr3:uid="{00000000-0010-0000-0100-000009000000}" name="Unrestr.-use" dataDxfId="77" dataCellStyle="Normal 2"/>
    <tableColumn id="10" xr3:uid="{00000000-0010-0000-0100-00000A000000}" name="In transfer" dataDxfId="76" dataCellStyle="Normal 2"/>
    <tableColumn id="11" xr3:uid="{00000000-0010-0000-0100-00000B000000}" name="In qual. insp.2" dataDxfId="75" dataCellStyle="Normal 2"/>
    <tableColumn id="12" xr3:uid="{00000000-0010-0000-0100-00000C000000}" name="Restr.-use PP" dataDxfId="74" dataCellStyle="Normal 2"/>
    <tableColumn id="13" xr3:uid="{00000000-0010-0000-0100-00000D000000}" name="Blocked3" dataDxfId="73" dataCellStyle="Normal 2"/>
    <tableColumn id="14" xr3:uid="{00000000-0010-0000-0100-00000E000000}" name="Returns4" dataDxfId="72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MD04Data" displayName="MD04Data" ref="A1:AB28" totalsRowShown="0" headerRowDxfId="71" headerRowCellStyle="Normal 2" dataCellStyle="Normal 2">
  <autoFilter ref="A1:AB28" xr:uid="{00000000-0009-0000-0100-00000D000000}"/>
  <tableColumns count="28">
    <tableColumn id="1" xr3:uid="{00000000-0010-0000-0200-000001000000}" name="PLAAB" dataCellStyle="Normal 2"/>
    <tableColumn id="2" xr3:uid="{00000000-0010-0000-0200-000002000000}" name="SORT1" dataCellStyle="Normal 2"/>
    <tableColumn id="3" xr3:uid="{00000000-0010-0000-0200-000003000000}" name="SORT2" dataCellStyle="Normal 2"/>
    <tableColumn id="4" xr3:uid="{00000000-0010-0000-0200-000004000000}" name="DELKZ" dataCellStyle="Normal 2"/>
    <tableColumn id="5" xr3:uid="{00000000-0010-0000-0200-000005000000}" name="PLUMI" dataCellStyle="Normal 2"/>
    <tableColumn id="6" xr3:uid="{00000000-0010-0000-0200-000006000000}" name="DAT00" dataDxfId="70" dataCellStyle="Normal 2"/>
    <tableColumn id="7" xr3:uid="{00000000-0010-0000-0200-000007000000}" name="DAT01" dataDxfId="69" dataCellStyle="Normal 2"/>
    <tableColumn id="8" xr3:uid="{00000000-0010-0000-0200-000008000000}" name="DELB0" dataCellStyle="Normal 2"/>
    <tableColumn id="9" xr3:uid="{00000000-0010-0000-0200-000009000000}" name="EXTRA" dataCellStyle="Normal 2"/>
    <tableColumn id="10" xr3:uid="{00000000-0010-0000-0200-00000A000000}" name="AUSSL" dataCellStyle="Normal 2"/>
    <tableColumn id="11" xr3:uid="{00000000-0010-0000-0200-00000B000000}" name="AUSKT" dataCellStyle="Normal 2"/>
    <tableColumn id="12" xr3:uid="{00000000-0010-0000-0200-00000C000000}" name="MNG01" dataDxfId="68" dataCellStyle="Normal 2"/>
    <tableColumn id="13" xr3:uid="{00000000-0010-0000-0200-00000D000000}" name="DAT02" dataDxfId="67" dataCellStyle="Normal 2"/>
    <tableColumn id="14" xr3:uid="{00000000-0010-0000-0200-00000E000000}" name="WRK01" dataCellStyle="Normal 2"/>
    <tableColumn id="15" xr3:uid="{00000000-0010-0000-0200-00000F000000}" name="WRK02" dataCellStyle="Normal 2"/>
    <tableColumn id="16" xr3:uid="{00000000-0010-0000-0200-000010000000}" name="SLOC2" dataCellStyle="Normal 2"/>
    <tableColumn id="17" xr3:uid="{00000000-0010-0000-0200-000011000000}" name="LGORT" dataCellStyle="Normal 2"/>
    <tableColumn id="18" xr3:uid="{00000000-0010-0000-0200-000012000000}" name="LIFNR" dataCellStyle="Normal 2"/>
    <tableColumn id="19" xr3:uid="{00000000-0010-0000-0200-000013000000}" name="KUNNR" dataCellStyle="Normal 2"/>
    <tableColumn id="20" xr3:uid="{00000000-0010-0000-0200-000014000000}" name="MD4KD" dataCellStyle="Normal 2"/>
    <tableColumn id="21" xr3:uid="{00000000-0010-0000-0200-000015000000}" name="MD4LI" dataCellStyle="Normal 2"/>
    <tableColumn id="22" xr3:uid="{00000000-0010-0000-0200-000016000000}" name="Customer" dataCellStyle="Normal 2">
      <calculatedColumnFormula>IF(S2&lt;&gt;"",TEXT(S2,"0000")&amp;" "&amp;T2,"")</calculatedColumnFormula>
    </tableColumn>
    <tableColumn id="23" xr3:uid="{00000000-0010-0000-0200-000017000000}" name="Vendor" dataCellStyle="Normal 2">
      <calculatedColumnFormula>IF(R2&lt;&gt;"",TEXT(R2,"0000")&amp;" "&amp;U2,"")</calculatedColumnFormula>
    </tableColumn>
    <tableColumn id="24" xr3:uid="{00000000-0010-0000-0200-000018000000}" name="Date" dataDxfId="66" dataCellStyle="Normal 2">
      <calculatedColumnFormula>IF(F2&lt;TODAY(),TODAY(),F2)</calculatedColumnFormula>
    </tableColumn>
    <tableColumn id="25" xr3:uid="{00000000-0010-0000-0200-000019000000}" name="Week" dataCellStyle="Normal 2">
      <calculatedColumnFormula>IF(WEEKDAY(DATE(YEAR(F2),1,1),2)&gt;4,WEEKNUM(F2,2)-1,WEEKNUM(F2,2))</calculatedColumnFormula>
    </tableColumn>
    <tableColumn id="26" xr3:uid="{00000000-0010-0000-0200-00001A000000}" name="Month" dataCellStyle="Normal 2">
      <calculatedColumnFormula>MONTH(F2)</calculatedColumnFormula>
    </tableColumn>
    <tableColumn id="27" xr3:uid="{00000000-0010-0000-0200-00001B000000}" name="Year" dataCellStyle="Normal 2">
      <calculatedColumnFormula>YEAR(F2)</calculatedColumnFormula>
    </tableColumn>
    <tableColumn id="28" xr3:uid="{00000000-0010-0000-0200-00001C000000}" name="NetQty" dataDxfId="65" dataCellStyle="Normal 2">
      <calculatedColumnFormula>_xlfn.NUMBERVALUE(L2,".")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SapExlData" displayName="SapExlData" ref="A1:AT3" totalsRowShown="0" headerRowDxfId="63" dataDxfId="62" headerRowCellStyle="Normal_Stock_History_M1" dataCellStyle="Normal_Stock_History_M1">
  <autoFilter ref="A1:AT3" xr:uid="{00000000-0009-0000-0100-00000E000000}"/>
  <sortState ref="A2:AT3">
    <sortCondition descending="1" ref="AS1"/>
  </sortState>
  <tableColumns count="46">
    <tableColumn id="1" xr3:uid="{00000000-0010-0000-0300-000001000000}" name="Cns" dataDxfId="61" dataCellStyle="Normal_Stock_History_M1"/>
    <tableColumn id="2" xr3:uid="{00000000-0010-0000-0300-000002000000}" name="Order" dataDxfId="60" dataCellStyle="Normal_Stock_History_M1"/>
    <tableColumn id="3" xr3:uid="{00000000-0010-0000-0300-000003000000}" name="Time" dataDxfId="59" dataCellStyle="Normal_Stock_History_M1"/>
    <tableColumn id="4" xr3:uid="{00000000-0010-0000-0300-000004000000}" name="D/C" dataDxfId="58" dataCellStyle="Normal_Stock_History_M1"/>
    <tableColumn id="5" xr3:uid="{00000000-0010-0000-0300-000005000000}" name="Delivery" dataDxfId="57" dataCellStyle="Normal_Stock_History_M1"/>
    <tableColumn id="43" xr3:uid="{00000000-0010-0000-0300-00002B000000}" name="PO" dataDxfId="56" dataCellStyle="Normal_Stock_History_M1"/>
    <tableColumn id="6" xr3:uid="{00000000-0010-0000-0300-000006000000}" name="MatYr" dataDxfId="55" dataCellStyle="Normal_Stock_History_M1"/>
    <tableColumn id="7" xr3:uid="{00000000-0010-0000-0300-000007000000}" name="Lang" dataDxfId="54" dataCellStyle="Normal_Stock_History_M1"/>
    <tableColumn id="8" xr3:uid="{00000000-0010-0000-0300-000008000000}" name="Material Description" dataDxfId="53" dataCellStyle="Normal_Stock_History_M1"/>
    <tableColumn id="9" xr3:uid="{00000000-0010-0000-0300-000009000000}" name="Materialtype Description" dataDxfId="52" dataCellStyle="Normal_Stock_History_M1"/>
    <tableColumn id="10" xr3:uid="{00000000-0010-0000-0300-00000A000000}" name="Mat. Doc." dataDxfId="51" dataCellStyle="Normal_Stock_History_M1"/>
    <tableColumn id="11" xr3:uid="{00000000-0010-0000-0300-00000B000000}" name="Mvt" dataDxfId="50" dataCellStyle="Normal_Stock_History_M1"/>
    <tableColumn id="12" xr3:uid="{00000000-0010-0000-0300-00000C000000}" name="Material2" dataDxfId="49" dataCellStyle="Normal_Stock_History_M1"/>
    <tableColumn id="13" xr3:uid="{00000000-0010-0000-0300-00000D000000}" name="Pstng Date" dataDxfId="48" dataCellStyle="Normal_Stock_History_M1"/>
    <tableColumn id="14" xr3:uid="{00000000-0010-0000-0300-00000E000000}" name="R/S Plnt" dataDxfId="47" dataCellStyle="Normal_Stock_History_M1"/>
    <tableColumn id="15" xr3:uid="{00000000-0010-0000-0300-00000F000000}" name="Plant Description" dataDxfId="46" dataCellStyle="Normal_Stock_History_M1"/>
    <tableColumn id="16" xr3:uid="{00000000-0010-0000-0300-000010000000}" name="Entry Dte" dataDxfId="45" dataCellStyle="Normal_Stock_History_M1"/>
    <tableColumn id="17" xr3:uid="{00000000-0010-0000-0300-000011000000}" name="Beh.kat." dataDxfId="44" dataCellStyle="Normal_Stock_History_M1"/>
    <tableColumn id="18" xr3:uid="{00000000-0010-0000-0300-000012000000}" name="Sloc" dataDxfId="43" dataCellStyle="Normal_Stock_History_M1"/>
    <tableColumn id="19" xr3:uid="{00000000-0010-0000-0300-000013000000}" name="User Name" dataDxfId="42" dataCellStyle="Normal_Stock_History_M1"/>
    <tableColumn id="20" xr3:uid="{00000000-0010-0000-0300-000014000000}" name="Whr" dataDxfId="41" dataCellStyle="Normal_Stock_History_M1"/>
    <tableColumn id="21" xr3:uid="{00000000-0010-0000-0300-000015000000}" name="Batch" dataDxfId="40" dataCellStyle="Normal_Stock_History_M1"/>
    <tableColumn id="22" xr3:uid="{00000000-0010-0000-0300-000016000000}" name="Mty" dataDxfId="39" dataCellStyle="Normal_Stock_History_M1"/>
    <tableColumn id="23" xr3:uid="{00000000-0010-0000-0300-000017000000}" name="S" dataDxfId="38" dataCellStyle="Normal_Stock_History_M1"/>
    <tableColumn id="24" xr3:uid="{00000000-0010-0000-0300-000018000000}" name="StR" dataDxfId="37" dataCellStyle="Normal_Stock_History_M1"/>
    <tableColumn id="25" xr3:uid="{00000000-0010-0000-0300-000019000000}" name="Rec" dataDxfId="36" dataCellStyle="Normal_Stock_History_M1"/>
    <tableColumn id="26" xr3:uid="{00000000-0010-0000-0300-00001A000000}" name="S2" dataDxfId="35" dataCellStyle="Normal_Stock_History_M1"/>
    <tableColumn id="46" xr3:uid="{31494E70-092A-453B-B962-E57AAEBE1ACD}" name="RecordCount" dataDxfId="34" dataCellStyle="Normal_Stock_History_M1"/>
    <tableColumn id="27" xr3:uid="{00000000-0010-0000-0300-00001B000000}" name="Movement Type Text" dataDxfId="33" dataCellStyle="Normal_Stock_History_M1"/>
    <tableColumn id="28" xr3:uid="{00000000-0010-0000-0300-00001C000000}" name="Tfr" dataDxfId="32" dataCellStyle="Normal_Stock_History_M1"/>
    <tableColumn id="29" xr3:uid="{00000000-0010-0000-0300-00001D000000}" name="W" dataDxfId="31" dataCellStyle="Normal_Stock_History_M1"/>
    <tableColumn id="30" xr3:uid="{00000000-0010-0000-0300-00001E000000}" name="LangCode" dataDxfId="30" dataCellStyle="Normal_Stock_History_M1"/>
    <tableColumn id="31" xr3:uid="{00000000-0010-0000-0300-00001F000000}" name="Material" dataDxfId="29" dataCellStyle="Normal_Stock_History_M1"/>
    <tableColumn id="32" xr3:uid="{00000000-0010-0000-0300-000020000000}" name="Mtyp" dataDxfId="28" dataCellStyle="Normal_Stock_History_M1"/>
    <tableColumn id="33" xr3:uid="{00000000-0010-0000-0300-000021000000}" name="Plnt" dataDxfId="27" dataCellStyle="Normal_Stock_History_M1"/>
    <tableColumn id="40" xr3:uid="{00000000-0010-0000-0300-000028000000}" name="Quantity" dataDxfId="26" dataCellStyle="Normal_Stock_History_M1"/>
    <tableColumn id="41" xr3:uid="{00000000-0010-0000-0300-000029000000}" name="Total valuated stock before th" dataDxfId="25" dataCellStyle="Normal_Stock_History_M1"/>
    <tableColumn id="42" xr3:uid="{00000000-0010-0000-0300-00002A000000}" name="Value of total valuated stock" dataDxfId="24" dataCellStyle="Normal_Stock_History_M1"/>
    <tableColumn id="34" xr3:uid="{00000000-0010-0000-0300-000022000000}" name="UsageTest" dataDxfId="23" dataCellStyle="Normal_Stock_History_M1">
      <calculatedColumnFormula>IF(OR(RIGHT(W2,3)="201",RIGHT(W2,3)="601",RIGHT(W2,3)="301",RIGHT(W2,3)="202",RIGHT(W2,3)="262",RIGHT(W2,3)="261",L2=601,L2="Y96"),1,0)</calculatedColumnFormula>
    </tableColumn>
    <tableColumn id="35" xr3:uid="{00000000-0010-0000-0300-000023000000}" name="Test2" dataDxfId="22" dataCellStyle="Normal_Stock_History_M1">
      <calculatedColumnFormula>IF(AS2&lt;&gt;OFFSET(AS2,1,0),1,0)</calculatedColumnFormula>
    </tableColumn>
    <tableColumn id="36" xr3:uid="{00000000-0010-0000-0300-000024000000}" name="StockIn" dataDxfId="21" dataCellStyle="Normal_Stock_History_M1">
      <calculatedColumnFormula>IF(OR(SapExlData[Mtyp]&lt;&gt;"ZFER",SapExlData[Mtyp]&lt;&gt;"ZHAW"),AK2*AN2,IF(ISERROR(VLOOKUP(SapExlData[Material],tblMARM[],3,FALSE)),1,IF(SapExlData[Quantity]&gt;=VLOOKUP(SapExlData[Material],tblMARM[],3,FALSE),(AK2/AT2),AK2))*AN2)</calculatedColumnFormula>
    </tableColumn>
    <tableColumn id="37" xr3:uid="{00000000-0010-0000-0300-000025000000}" name="StockOut" dataDxfId="20" dataCellStyle="Normal_Stock_History_M1">
      <calculatedColumnFormula>IF(OR(SapExlData[Mtyp]&lt;&gt;"ZFER",SapExlData[Mtyp]&lt;&gt;"ZHAW"),AK2+IF(Y2=2,AQ2,0),IF(ISERROR(VLOOKUP(SapExlData[Material],tblMARM[],3,FALSE)),1,IF(SapExlData[Quantity]&gt;=VLOOKUP(SapExlData[Material],tblMARM[],3,FALSE),AK2/AT2,AK2))+IF(Y2=2,AQ2,0))</calculatedColumnFormula>
    </tableColumn>
    <tableColumn id="38" xr3:uid="{00000000-0010-0000-0300-000026000000}" name="NetQty" dataDxfId="19" dataCellStyle="Normal_Stock_History_M1">
      <calculatedColumnFormula>IF(D2="H",IF(OR(SapExlData[Mtyp]&lt;&gt;"ZFER",SapExlData[Mtyp]&lt;&gt;"ZHAW"),-AJ2,IF(ISERROR(VLOOKUP(SapExlData[Material],tblMARM[],3,FALSE)),1,IF(SapExlData[Quantity]&gt;=VLOOKUP(SapExlData[Material],tblMARM[],3,FALSE),-AJ2/AT2,-AJ2))),IF(OR(SapExlData[Mtyp]&lt;&gt;"ZFER",SapExlData[Mtyp]&lt;&gt;"ZHAW"),AJ2,IF(ISERROR(VLOOKUP(SapExlData[Material],tblMARM[],3,FALSE)),1,IF(SapExlData[Quantity]&gt;=VLOOKUP(SapExlData[Material],tblMARM[],3,FALSE),AJ2/AT2,AJ2))))</calculatedColumnFormula>
    </tableColumn>
    <tableColumn id="44" xr3:uid="{00000000-0010-0000-0300-00002C000000}" name="Entry" dataDxfId="18" dataCellStyle="Normal_Stock_History_M1">
      <calculatedColumnFormula>DATEVALUE(Q2)+C2</calculatedColumnFormula>
    </tableColumn>
    <tableColumn id="39" xr3:uid="{00000000-0010-0000-0300-000027000000}" name="NewDate" dataDxfId="17" dataCellStyle="Normal_Stock_History_M1">
      <calculatedColumnFormula>DATEVALUE(N2)</calculatedColumnFormula>
    </tableColumn>
    <tableColumn id="45" xr3:uid="{47A2EC59-9D51-4F12-A462-8A47FD3E2364}" name="Counter" dataDxfId="16" dataCellStyle="Normal_Stock_History_M1">
      <calculatedColumnFormula>IF(ISERROR(VLOOKUP(SapExlData[Material],tblMARM[],3,FALSE)),1,IF(SapExlData[Quantity]&gt;=VLOOKUP(SapExlData[Material],tblMARM[],3,FALSE),SapExlData[Quantity]/VLOOKUP(SapExlData[Material],tblMARM[],3,FALSE),AJ2))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BA54B-5FF4-4041-AFBD-0D1685274D0D}" name="tblMARM" displayName="tblMARM" ref="A1:C9481" totalsRowShown="0" headerRowBorderDxfId="15">
  <autoFilter ref="A1:C9481" xr:uid="{A53160B7-A370-46FC-AC70-965D837E1434}"/>
  <tableColumns count="3">
    <tableColumn id="1" xr3:uid="{D3448EF3-DF78-4BAC-A8CC-0A6BCDEE8801}" name="Material" dataDxfId="14" dataCellStyle="Normal 6"/>
    <tableColumn id="2" xr3:uid="{341020F4-FD57-4736-AC74-A63F84DE9E91}" name="Alternative Unit" dataDxfId="13" dataCellStyle="Normal 5"/>
    <tableColumn id="3" xr3:uid="{169D9AB0-A23C-40B4-8F6C-C6DBA5B5FDC1}" name="Counter" dataDxfId="12" dataCellStyle="Normal 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Descriptions" displayName="Descriptions" ref="A1:B82" totalsRowShown="0" headerRowDxfId="11">
  <autoFilter ref="A1:B82" xr:uid="{00000000-0009-0000-0100-000003000000}"/>
  <tableColumns count="2">
    <tableColumn id="1" xr3:uid="{00000000-0010-0000-0400-000001000000}" name="FieldName"/>
    <tableColumn id="2" xr3:uid="{00000000-0010-0000-0400-000002000000}" name="Descrip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PvtTableDef" displayName="PvtTableDef" ref="A1:AG2" tableType="xml" insertRow="1" totalsRowShown="0" connectionId="1">
  <autoFilter ref="A1:AG2" xr:uid="{00000000-0009-0000-0100-000005000000}"/>
  <tableColumns count="33">
    <tableColumn id="1" xr3:uid="{00000000-0010-0000-0500-000001000000}" uniqueName="UserID" name="UserID" dataDxfId="10">
      <xmlColumnPr mapId="1" xpath="/XtraSerializer/@UserID" xmlDataType="integer"/>
    </tableColumn>
    <tableColumn id="2" xr3:uid="{00000000-0010-0000-0500-000002000000}" uniqueName="ReportID" name="ReportID">
      <xmlColumnPr mapId="1" xpath="/XtraSerializer/@ReportID" xmlDataType="integer"/>
    </tableColumn>
    <tableColumn id="3" xr3:uid="{00000000-0010-0000-0500-000003000000}" uniqueName="VariantID" name="VariantID" dataDxfId="9">
      <xmlColumnPr mapId="1" xpath="/XtraSerializer/@VariantID" xmlDataType="integer"/>
    </tableColumn>
    <tableColumn id="4" xr3:uid="{00000000-0010-0000-0500-000004000000}" uniqueName="SheetName" name="SheetName" dataDxfId="8">
      <xmlColumnPr mapId="1" xpath="/XtraSerializer/property/@SheetName" xmlDataType="string"/>
    </tableColumn>
    <tableColumn id="5" xr3:uid="{00000000-0010-0000-0500-000005000000}" uniqueName="TableName" name="TableName" dataDxfId="7">
      <xmlColumnPr mapId="1" xpath="/XtraSerializer/property/@TableName" xmlDataType="string"/>
    </tableColumn>
    <tableColumn id="6" xr3:uid="{00000000-0010-0000-0500-000006000000}" uniqueName="Seq" name="Seq" dataDxfId="6">
      <xmlColumnPr mapId="1" xpath="/XtraSerializer/property/property/@Seq" xmlDataType="integer"/>
    </tableColumn>
    <tableColumn id="7" xr3:uid="{00000000-0010-0000-0500-000007000000}" uniqueName="PivotElement" name="PivotElement">
      <xmlColumnPr mapId="1" xpath="/XtraSerializer/property/property/@PivotElement" xmlDataType="string"/>
    </tableColumn>
    <tableColumn id="8" xr3:uid="{00000000-0010-0000-0500-000008000000}" uniqueName="SourceName" name="SourceName">
      <xmlColumnPr mapId="1" xpath="/XtraSerializer/property/property/@SourceName" xmlDataType="string"/>
    </tableColumn>
    <tableColumn id="9" xr3:uid="{00000000-0010-0000-0500-000009000000}" uniqueName="ColumnGrand" name="ColumnGrand" dataDxfId="5">
      <xmlColumnPr mapId="1" xpath="/XtraSerializer/property/property/@ColumnGrand" xmlDataType="integer"/>
    </tableColumn>
    <tableColumn id="10" xr3:uid="{00000000-0010-0000-0500-00000A000000}" uniqueName="RowGrand" name="RowGrand">
      <xmlColumnPr mapId="1" xpath="/XtraSerializer/property/property/@RowGrand" xmlDataType="integer"/>
    </tableColumn>
    <tableColumn id="11" xr3:uid="{00000000-0010-0000-0500-00000B000000}" uniqueName="DisplayErrorString" name="DisplayErrorString">
      <xmlColumnPr mapId="1" xpath="/XtraSerializer/property/property/@DisplayErrorString" xmlDataType="integer"/>
    </tableColumn>
    <tableColumn id="12" xr3:uid="{00000000-0010-0000-0500-00000C000000}" uniqueName="TableStart" name="TableStart">
      <xmlColumnPr mapId="1" xpath="/XtraSerializer/property/property/@TableStart" xmlDataType="string"/>
    </tableColumn>
    <tableColumn id="13" xr3:uid="{00000000-0010-0000-0500-00000D000000}" uniqueName="FieldList" name="FieldList" dataDxfId="4">
      <xmlColumnPr mapId="1" xpath="/XtraSerializer/property/property/@FieldList" xmlDataType="integer"/>
    </tableColumn>
    <tableColumn id="14" xr3:uid="{00000000-0010-0000-0500-00000E000000}" uniqueName="MissingItems" name="MissingItems" dataDxfId="3">
      <xmlColumnPr mapId="1" xpath="/XtraSerializer/property/property/@MissingItems" xmlDataType="string"/>
    </tableColumn>
    <tableColumn id="15" xr3:uid="{00000000-0010-0000-0500-00000F000000}" uniqueName="SaveData" name="SaveData">
      <xmlColumnPr mapId="1" xpath="/XtraSerializer/property/property/@SaveData" xmlDataType="string"/>
    </tableColumn>
    <tableColumn id="16" xr3:uid="{00000000-0010-0000-0500-000010000000}" uniqueName="ShowDrillIndicators" name="ShowDrillIndicators">
      <xmlColumnPr mapId="1" xpath="/XtraSerializer/property/property/@ShowDrillIndicators" xmlDataType="string"/>
    </tableColumn>
    <tableColumn id="17" xr3:uid="{00000000-0010-0000-0500-000011000000}" uniqueName="Caption" name="Caption">
      <xmlColumnPr mapId="1" xpath="/XtraSerializer/property/property/@Caption" xmlDataType="string"/>
    </tableColumn>
    <tableColumn id="18" xr3:uid="{00000000-0010-0000-0500-000012000000}" uniqueName="Name" name="Name">
      <xmlColumnPr mapId="1" xpath="/XtraSerializer/property/property/@Name" xmlDataType="string"/>
    </tableColumn>
    <tableColumn id="19" xr3:uid="{00000000-0010-0000-0500-000013000000}" uniqueName="NumberFormat" name="NumberFormat">
      <xmlColumnPr mapId="1" xpath="/XtraSerializer/property/property/@NumberFormat" xmlDataType="string"/>
    </tableColumn>
    <tableColumn id="20" xr3:uid="{00000000-0010-0000-0500-000014000000}" uniqueName="Orientation" name="Orientation">
      <xmlColumnPr mapId="1" xpath="/XtraSerializer/property/property/@Orientation" xmlDataType="integer"/>
    </tableColumn>
    <tableColumn id="21" xr3:uid="{00000000-0010-0000-0500-000015000000}" uniqueName="Formula" name="Formula">
      <xmlColumnPr mapId="1" xpath="/XtraSerializer/property/property/@Formula" xmlDataType="string"/>
    </tableColumn>
    <tableColumn id="22" xr3:uid="{00000000-0010-0000-0500-000016000000}" uniqueName="CurrentPage" name="CurrentPage">
      <xmlColumnPr mapId="1" xpath="/XtraSerializer/property/property/@CurrentPage" xmlDataType="string"/>
    </tableColumn>
    <tableColumn id="23" xr3:uid="{00000000-0010-0000-0500-000017000000}" uniqueName="CpSourceName" name="CpSourceName">
      <xmlColumnPr mapId="1" xpath="/XtraSerializer/property/property/@CpSourceName" xmlDataType="string"/>
    </tableColumn>
    <tableColumn id="24" xr3:uid="{00000000-0010-0000-0500-000018000000}" uniqueName="PivotItems" name="PivotItems">
      <xmlColumnPr mapId="1" xpath="/XtraSerializer/property/property/@PivotItems" xmlDataType="string"/>
    </tableColumn>
    <tableColumn id="25" xr3:uid="{00000000-0010-0000-0500-000019000000}" uniqueName="Visible" name="Visible">
      <xmlColumnPr mapId="1" xpath="/XtraSerializer/property/property/@Visible" xmlDataType="integer"/>
    </tableColumn>
    <tableColumn id="26" xr3:uid="{00000000-0010-0000-0500-00001A000000}" uniqueName="AutoSortOrder" name="AutoSortOrder">
      <xmlColumnPr mapId="1" xpath="/XtraSerializer/property/property/@AutoSortOrder" xmlDataType="integer"/>
    </tableColumn>
    <tableColumn id="27" xr3:uid="{00000000-0010-0000-0500-00001B000000}" uniqueName="AutoSortField" name="AutoSortField">
      <xmlColumnPr mapId="1" xpath="/XtraSerializer/property/property/@AutoSortField" xmlDataType="string"/>
    </tableColumn>
    <tableColumn id="28" xr3:uid="{00000000-0010-0000-0500-00001C000000}" uniqueName="SubTotals" name="SubTotals">
      <xmlColumnPr mapId="1" xpath="/XtraSerializer/property/property/@SubTotals" xmlDataType="integer"/>
    </tableColumn>
    <tableColumn id="29" xr3:uid="{00000000-0010-0000-0500-00001D000000}" uniqueName="Function" name="Function">
      <xmlColumnPr mapId="1" xpath="/XtraSerializer/property/property/@Function" xmlDataType="integer"/>
    </tableColumn>
    <tableColumn id="30" xr3:uid="{00000000-0010-0000-0500-00001E000000}" uniqueName="Calculation" name="Calculation">
      <xmlColumnPr mapId="1" xpath="/XtraSerializer/property/property/@Calculation" xmlDataType="integer"/>
    </tableColumn>
    <tableColumn id="31" xr3:uid="{00000000-0010-0000-0500-00001F000000}" uniqueName="BaseField" name="BaseField">
      <xmlColumnPr mapId="1" xpath="/XtraSerializer/property/property/@BaseField" xmlDataType="string"/>
    </tableColumn>
    <tableColumn id="32" xr3:uid="{00000000-0010-0000-0500-000020000000}" uniqueName="BaseItem" name="BaseItem">
      <xmlColumnPr mapId="1" xpath="/XtraSerializer/property/property/@BaseItem" xmlDataType="string"/>
    </tableColumn>
    <tableColumn id="33" xr3:uid="{00000000-0010-0000-0500-000021000000}" uniqueName="Position" name="Position">
      <xmlColumnPr mapId="1" xpath="/XtraSerializer/property/property/@Position" xmlDataType="integer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OrderStatusCodes" displayName="tOrderStatusCodes" ref="A1:C5" totalsRowShown="0">
  <autoFilter ref="A1:C5" xr:uid="{00000000-0009-0000-0100-000008000000}"/>
  <tableColumns count="3">
    <tableColumn id="1" xr3:uid="{00000000-0010-0000-0600-000001000000}" name="DS1"/>
    <tableColumn id="2" xr3:uid="{00000000-0010-0000-0600-000002000000}" name="Text"/>
    <tableColumn id="3" xr3:uid="{00000000-0010-0000-06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7000000}" name="tSectors" displayName="tSectors" ref="E1:F6" totalsRowShown="0">
  <autoFilter ref="E1:F6" xr:uid="{00000000-0009-0000-0100-00000C000000}"/>
  <tableColumns count="2">
    <tableColumn id="1" xr3:uid="{00000000-0010-0000-0700-000001000000}" name="Profit Center"/>
    <tableColumn id="2" xr3:uid="{00000000-0010-0000-0700-000002000000}" name="Secto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MaterialPrice" displayName="tMaterialPrice" ref="E4:G7" totalsRowShown="0">
  <autoFilter ref="E4:G7" xr:uid="{00000000-0009-0000-0100-000009000000}"/>
  <tableColumns count="3">
    <tableColumn id="1" xr3:uid="{00000000-0010-0000-0800-000001000000}" name="Material Price" dataDxfId="2"/>
    <tableColumn id="2" xr3:uid="{00000000-0010-0000-0800-000002000000}" name="Value"/>
    <tableColumn id="3" xr3:uid="{00000000-0010-0000-0800-000003000000}" name="Description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CustomerLevel" displayName="tCustomerLevel" ref="I4:K8" totalsRowShown="0">
  <autoFilter ref="I4:K8" xr:uid="{00000000-0009-0000-0100-00000A000000}"/>
  <tableColumns count="3">
    <tableColumn id="1" xr3:uid="{00000000-0010-0000-0900-000001000000}" name="Level"/>
    <tableColumn id="3" xr3:uid="{00000000-0010-0000-0900-000003000000}" name="Column"/>
    <tableColumn id="2" xr3:uid="{00000000-0010-0000-0900-000002000000}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ProductHierarchyLevel" displayName="tProductHierarchyLevel" ref="M4:O8" totalsRowShown="0">
  <autoFilter ref="M4:O8" xr:uid="{00000000-0009-0000-0100-00000B000000}"/>
  <tableColumns count="3">
    <tableColumn id="1" xr3:uid="{00000000-0010-0000-0A00-000001000000}" name="Level"/>
    <tableColumn id="2" xr3:uid="{00000000-0010-0000-0A00-000002000000}" name="Characters"/>
    <tableColumn id="3" xr3:uid="{00000000-0010-0000-0A00-000003000000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3.bin"/><Relationship Id="rId4" Type="http://schemas.openxmlformats.org/officeDocument/2006/relationships/image" Target="../media/image1.png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22">
    <tabColor indexed="29"/>
  </sheetPr>
  <dimension ref="A1:AO2"/>
  <sheetViews>
    <sheetView showGridLines="0" zoomScale="85" workbookViewId="0"/>
  </sheetViews>
  <sheetFormatPr defaultColWidth="11.42578125" defaultRowHeight="12.75" x14ac:dyDescent="0.2"/>
  <cols>
    <col min="1" max="1" width="9.42578125" style="22" customWidth="1"/>
    <col min="2" max="2" width="7.140625" style="22" customWidth="1"/>
    <col min="3" max="3" width="15.7109375" style="22" customWidth="1"/>
    <col min="4" max="4" width="11.42578125" style="22" customWidth="1"/>
    <col min="5" max="5" width="14.5703125" style="22" customWidth="1"/>
    <col min="6" max="6" width="12.85546875" style="22" customWidth="1"/>
    <col min="7" max="7" width="14.42578125" style="22" customWidth="1"/>
    <col min="8" max="8" width="13.42578125" style="22" customWidth="1"/>
    <col min="9" max="9" width="12.5703125" style="22" customWidth="1"/>
    <col min="10" max="10" width="11.42578125" style="22" customWidth="1"/>
    <col min="11" max="11" width="15.7109375" style="22" customWidth="1"/>
    <col min="12" max="12" width="16.42578125" style="22" customWidth="1"/>
    <col min="13" max="13" width="14.5703125" style="22" customWidth="1"/>
    <col min="14" max="14" width="15.140625" style="22" customWidth="1"/>
    <col min="15" max="15" width="12" style="22" customWidth="1"/>
    <col min="16" max="16" width="9.5703125" style="22" customWidth="1"/>
    <col min="17" max="17" width="13.85546875" style="22" customWidth="1"/>
    <col min="18" max="18" width="18" style="22" customWidth="1"/>
    <col min="19" max="19" width="14.5703125" style="22" customWidth="1"/>
    <col min="20" max="20" width="13.42578125" style="22" customWidth="1"/>
    <col min="21" max="21" width="13.7109375" style="22" customWidth="1"/>
    <col min="22" max="22" width="14.140625" style="22" customWidth="1"/>
    <col min="23" max="23" width="13.85546875" style="22" customWidth="1"/>
    <col min="24" max="24" width="15.85546875" style="22" customWidth="1"/>
    <col min="25" max="25" width="15.28515625" style="22" customWidth="1"/>
    <col min="26" max="26" width="12.140625" style="22" customWidth="1"/>
    <col min="27" max="27" width="15.28515625" style="22" customWidth="1"/>
    <col min="28" max="28" width="15.85546875" style="22" customWidth="1"/>
    <col min="29" max="29" width="16.42578125" style="22" customWidth="1"/>
    <col min="30" max="30" width="11" style="22" customWidth="1"/>
    <col min="31" max="31" width="15.28515625" style="22" customWidth="1"/>
    <col min="32" max="32" width="13.5703125" style="22" customWidth="1"/>
    <col min="33" max="33" width="15.42578125" style="22" customWidth="1"/>
    <col min="34" max="34" width="17.28515625" style="22" bestFit="1" customWidth="1"/>
    <col min="35" max="35" width="12.28515625" style="22" bestFit="1" customWidth="1"/>
    <col min="36" max="36" width="13.5703125" style="22" customWidth="1"/>
    <col min="37" max="37" width="12" style="22" bestFit="1" customWidth="1"/>
    <col min="38" max="38" width="13.28515625" style="22" bestFit="1" customWidth="1"/>
    <col min="39" max="16384" width="11.42578125" style="22"/>
  </cols>
  <sheetData>
    <row r="1" spans="1:41" x14ac:dyDescent="0.2">
      <c r="A1" s="138" t="s">
        <v>3</v>
      </c>
      <c r="B1" s="138" t="s">
        <v>24</v>
      </c>
      <c r="C1" s="138" t="s">
        <v>235</v>
      </c>
      <c r="D1" s="138" t="s">
        <v>21</v>
      </c>
      <c r="E1" s="138" t="s">
        <v>236</v>
      </c>
      <c r="F1" s="138" t="s">
        <v>237</v>
      </c>
      <c r="G1" s="138" t="s">
        <v>238</v>
      </c>
      <c r="H1" s="138" t="s">
        <v>239</v>
      </c>
      <c r="I1" s="138" t="s">
        <v>240</v>
      </c>
      <c r="J1" s="138" t="s">
        <v>241</v>
      </c>
      <c r="K1" s="138" t="s">
        <v>242</v>
      </c>
      <c r="L1" s="138" t="s">
        <v>243</v>
      </c>
      <c r="M1" s="138" t="s">
        <v>244</v>
      </c>
      <c r="N1" s="138" t="s">
        <v>245</v>
      </c>
      <c r="O1" s="138" t="s">
        <v>246</v>
      </c>
      <c r="P1" s="138" t="s">
        <v>247</v>
      </c>
      <c r="Q1" s="138" t="s">
        <v>248</v>
      </c>
      <c r="R1" s="138" t="s">
        <v>249</v>
      </c>
      <c r="S1" s="138" t="s">
        <v>250</v>
      </c>
      <c r="T1" s="138" t="s">
        <v>251</v>
      </c>
      <c r="U1" s="138" t="s">
        <v>252</v>
      </c>
      <c r="V1" s="138" t="s">
        <v>253</v>
      </c>
      <c r="W1" s="138" t="s">
        <v>254</v>
      </c>
      <c r="X1" s="138" t="s">
        <v>255</v>
      </c>
      <c r="Y1" s="138" t="s">
        <v>256</v>
      </c>
      <c r="Z1" s="138" t="s">
        <v>257</v>
      </c>
      <c r="AA1" s="138" t="s">
        <v>258</v>
      </c>
      <c r="AB1" s="138" t="s">
        <v>259</v>
      </c>
      <c r="AC1" s="138" t="s">
        <v>260</v>
      </c>
      <c r="AD1" s="138" t="s">
        <v>261</v>
      </c>
      <c r="AE1" s="138" t="s">
        <v>262</v>
      </c>
      <c r="AF1" s="138" t="s">
        <v>263</v>
      </c>
      <c r="AG1" s="138" t="s">
        <v>264</v>
      </c>
      <c r="AH1" s="138" t="s">
        <v>11</v>
      </c>
      <c r="AI1" s="22" t="s">
        <v>265</v>
      </c>
      <c r="AJ1" s="22" t="s">
        <v>266</v>
      </c>
      <c r="AK1" s="22" t="s">
        <v>267</v>
      </c>
      <c r="AL1" s="22" t="s">
        <v>268</v>
      </c>
      <c r="AN1" s="22" t="s">
        <v>269</v>
      </c>
      <c r="AO1" s="23" t="str">
        <f ca="1">IF(OFFSET(Database!$D$1,1,0)=OFFSET(A1,1,0),TEXT(OFFSET(A1,1,0),"000000")&amp;" "&amp;OFFSET(AH1,1,0),"")</f>
        <v/>
      </c>
    </row>
    <row r="2" spans="1:41" x14ac:dyDescent="0.2">
      <c r="A2" s="22">
        <v>301454</v>
      </c>
      <c r="B2" s="22" t="s">
        <v>107</v>
      </c>
      <c r="D2" s="22" t="s">
        <v>270</v>
      </c>
      <c r="G2" s="22">
        <v>212</v>
      </c>
      <c r="J2" s="22" t="s">
        <v>271</v>
      </c>
      <c r="K2" s="22">
        <v>202</v>
      </c>
      <c r="L2" s="22" t="s">
        <v>272</v>
      </c>
      <c r="M2" s="22">
        <v>0</v>
      </c>
      <c r="N2" s="22">
        <v>0</v>
      </c>
      <c r="O2" s="22" t="s">
        <v>273</v>
      </c>
      <c r="P2" s="22">
        <v>10</v>
      </c>
      <c r="Q2" s="22" t="s">
        <v>274</v>
      </c>
      <c r="S2" s="22">
        <v>0</v>
      </c>
      <c r="T2" s="24">
        <v>0</v>
      </c>
      <c r="U2" s="24">
        <v>165000</v>
      </c>
      <c r="V2" s="24">
        <v>0</v>
      </c>
      <c r="W2" s="22">
        <v>0</v>
      </c>
      <c r="X2" s="24">
        <v>165000</v>
      </c>
      <c r="Y2" s="22">
        <v>2</v>
      </c>
      <c r="Z2" s="22">
        <v>15</v>
      </c>
      <c r="AA2" s="22">
        <v>10</v>
      </c>
      <c r="AB2" s="22">
        <v>2006</v>
      </c>
      <c r="AC2" s="22">
        <v>0</v>
      </c>
      <c r="AD2" s="22" t="s">
        <v>275</v>
      </c>
      <c r="AE2" s="22" t="s">
        <v>276</v>
      </c>
      <c r="AF2" s="25">
        <v>999</v>
      </c>
      <c r="AG2" s="22">
        <v>1</v>
      </c>
      <c r="AH2" s="22" t="s">
        <v>277</v>
      </c>
    </row>
  </sheetData>
  <pageMargins left="0.78740157499999996" right="0.78740157499999996" top="0.984251969" bottom="0.984251969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4">
    <tabColor indexed="29"/>
  </sheetPr>
  <dimension ref="A1:O6"/>
  <sheetViews>
    <sheetView showGridLines="0" zoomScale="85" workbookViewId="0"/>
  </sheetViews>
  <sheetFormatPr defaultColWidth="11.42578125" defaultRowHeight="12.75" x14ac:dyDescent="0.2"/>
  <cols>
    <col min="1" max="1" width="9.42578125" style="22" customWidth="1"/>
    <col min="2" max="2" width="7.140625" style="22" customWidth="1"/>
    <col min="3" max="3" width="13.42578125" style="22" customWidth="1"/>
    <col min="4" max="4" width="12.140625" style="22" customWidth="1"/>
    <col min="5" max="5" width="13.85546875" style="22" customWidth="1"/>
    <col min="6" max="6" width="15.42578125" style="22" customWidth="1"/>
    <col min="7" max="8" width="9.5703125" style="22" customWidth="1"/>
    <col min="9" max="9" width="13.42578125" style="22" customWidth="1"/>
    <col min="10" max="10" width="11.5703125" style="22" customWidth="1"/>
    <col min="11" max="12" width="14.5703125" style="22" customWidth="1"/>
    <col min="13" max="14" width="10.5703125" style="22" customWidth="1"/>
    <col min="15" max="15" width="10.42578125" style="22" bestFit="1" customWidth="1"/>
    <col min="16" max="16384" width="11.42578125" style="22"/>
  </cols>
  <sheetData>
    <row r="1" spans="1:15" x14ac:dyDescent="0.2">
      <c r="C1" s="22" t="s">
        <v>278</v>
      </c>
      <c r="D1" s="22" t="s">
        <v>279</v>
      </c>
      <c r="E1" s="22" t="s">
        <v>280</v>
      </c>
      <c r="F1" s="22" t="s">
        <v>281</v>
      </c>
      <c r="G1" s="22" t="s">
        <v>282</v>
      </c>
      <c r="H1" s="22" t="s">
        <v>283</v>
      </c>
    </row>
    <row r="2" spans="1:15" x14ac:dyDescent="0.2">
      <c r="B2" s="22" t="str">
        <f>tStockData[Plant]</f>
        <v>NOAR</v>
      </c>
      <c r="C2" s="25">
        <f>_xlfn.NUMBERVALUE(tStockData[Unrestricted],".")</f>
        <v>622660.6</v>
      </c>
      <c r="D2" s="25">
        <f>_xlfn.NUMBERVALUE(tStockData[Stock in tfr],".")</f>
        <v>0</v>
      </c>
      <c r="E2" s="25">
        <f>_xlfn.NUMBERVALUE(tStockData[In Qual. Insp.],".")</f>
        <v>0</v>
      </c>
      <c r="F2" s="25">
        <f>_xlfn.NUMBERVALUE(tStockData[Restricted-Use],".")</f>
        <v>0</v>
      </c>
      <c r="G2" s="25">
        <f>_xlfn.NUMBERVALUE(tStockData[Blocked],".")</f>
        <v>0</v>
      </c>
      <c r="H2" s="25">
        <f>C2+D2+E2+F2+G2</f>
        <v>622660.6</v>
      </c>
    </row>
    <row r="3" spans="1:15" x14ac:dyDescent="0.2">
      <c r="H3" s="25"/>
    </row>
    <row r="4" spans="1:15" x14ac:dyDescent="0.2">
      <c r="A4" s="138" t="s">
        <v>3</v>
      </c>
      <c r="B4" s="138" t="s">
        <v>24</v>
      </c>
      <c r="C4" s="138" t="s">
        <v>278</v>
      </c>
      <c r="D4" s="138" t="s">
        <v>279</v>
      </c>
      <c r="E4" s="138" t="s">
        <v>280</v>
      </c>
      <c r="F4" s="138" t="s">
        <v>281</v>
      </c>
      <c r="G4" s="138" t="s">
        <v>282</v>
      </c>
      <c r="H4" s="138" t="s">
        <v>284</v>
      </c>
      <c r="I4" s="138" t="s">
        <v>285</v>
      </c>
      <c r="J4" s="138" t="s">
        <v>286</v>
      </c>
      <c r="K4" s="138" t="s">
        <v>445</v>
      </c>
      <c r="L4" s="138" t="s">
        <v>287</v>
      </c>
      <c r="M4" s="138" t="s">
        <v>446</v>
      </c>
      <c r="N4" s="138" t="s">
        <v>447</v>
      </c>
    </row>
    <row r="5" spans="1:15" x14ac:dyDescent="0.2">
      <c r="A5" s="22">
        <v>301454</v>
      </c>
      <c r="B5" s="22" t="s">
        <v>107</v>
      </c>
      <c r="C5" s="25">
        <v>622660.6</v>
      </c>
      <c r="D5" s="25">
        <v>0</v>
      </c>
      <c r="E5" s="25">
        <v>0</v>
      </c>
      <c r="F5" s="25">
        <v>0</v>
      </c>
      <c r="G5" s="25">
        <v>0</v>
      </c>
      <c r="H5" s="26">
        <v>0</v>
      </c>
      <c r="I5" s="26">
        <v>0</v>
      </c>
      <c r="J5" s="26">
        <v>0</v>
      </c>
      <c r="K5" s="26">
        <v>0</v>
      </c>
      <c r="L5" s="26">
        <v>0</v>
      </c>
      <c r="M5" s="26">
        <v>0</v>
      </c>
      <c r="N5" s="26">
        <v>0</v>
      </c>
      <c r="O5" s="26"/>
    </row>
    <row r="6" spans="1:15" x14ac:dyDescent="0.2">
      <c r="C6" s="25"/>
      <c r="D6" s="25"/>
      <c r="E6" s="25"/>
      <c r="F6" s="25"/>
      <c r="G6" s="25"/>
      <c r="O6" s="26"/>
    </row>
  </sheetData>
  <pageMargins left="0.78740157499999996" right="0.78740157499999996" top="0.984251969" bottom="0.984251969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>
    <tabColor indexed="29"/>
  </sheetPr>
  <dimension ref="A1:AB2246"/>
  <sheetViews>
    <sheetView showGridLines="0" zoomScale="85" workbookViewId="0">
      <pane xSplit="12" ySplit="1" topLeftCell="M2" activePane="bottomRight" state="frozen"/>
      <selection pane="topRight"/>
      <selection pane="bottomLeft"/>
      <selection pane="bottomRight" activeCell="M2" sqref="M2"/>
    </sheetView>
  </sheetViews>
  <sheetFormatPr defaultColWidth="11.42578125" defaultRowHeight="12.75" x14ac:dyDescent="0.2"/>
  <cols>
    <col min="1" max="1" width="9.42578125" style="22" customWidth="1"/>
    <col min="2" max="3" width="9.140625" style="22" customWidth="1"/>
    <col min="4" max="5" width="8.85546875" style="22" customWidth="1"/>
    <col min="6" max="6" width="10.42578125" style="22" customWidth="1"/>
    <col min="7" max="7" width="11.5703125" style="22" bestFit="1" customWidth="1"/>
    <col min="8" max="8" width="8.7109375" style="22" customWidth="1"/>
    <col min="9" max="9" width="23.42578125" style="22" bestFit="1" customWidth="1"/>
    <col min="10" max="11" width="9.28515625" style="22" customWidth="1"/>
    <col min="12" max="12" width="9.42578125" style="22" customWidth="1"/>
    <col min="13" max="13" width="11.5703125" style="22" bestFit="1" customWidth="1"/>
    <col min="14" max="16" width="9.28515625" style="22" customWidth="1"/>
    <col min="17" max="17" width="9.42578125" style="22" customWidth="1"/>
    <col min="18" max="18" width="8.28515625" style="22" customWidth="1"/>
    <col min="19" max="19" width="9.140625" style="22" customWidth="1"/>
    <col min="20" max="21" width="10.7109375" style="22" customWidth="1"/>
    <col min="22" max="22" width="12.5703125" style="22" customWidth="1"/>
    <col min="23" max="23" width="11.42578125" style="22" customWidth="1"/>
    <col min="24" max="24" width="10.28515625" style="22" bestFit="1" customWidth="1"/>
    <col min="25" max="25" width="8.42578125" style="22" bestFit="1" customWidth="1"/>
    <col min="26" max="26" width="9.140625" style="22" customWidth="1"/>
    <col min="27" max="27" width="7.42578125" style="22" customWidth="1"/>
    <col min="28" max="28" width="11.28515625" style="22" bestFit="1" customWidth="1"/>
    <col min="29" max="16384" width="11.42578125" style="22"/>
  </cols>
  <sheetData>
    <row r="1" spans="1:28" x14ac:dyDescent="0.2">
      <c r="A1" s="37" t="s">
        <v>186</v>
      </c>
      <c r="B1" s="37" t="s">
        <v>188</v>
      </c>
      <c r="C1" s="37" t="s">
        <v>190</v>
      </c>
      <c r="D1" s="37" t="s">
        <v>192</v>
      </c>
      <c r="E1" s="37" t="s">
        <v>194</v>
      </c>
      <c r="F1" s="37" t="s">
        <v>196</v>
      </c>
      <c r="G1" s="37" t="s">
        <v>198</v>
      </c>
      <c r="H1" s="37" t="s">
        <v>200</v>
      </c>
      <c r="I1" s="37" t="s">
        <v>202</v>
      </c>
      <c r="J1" s="37" t="s">
        <v>204</v>
      </c>
      <c r="K1" s="37" t="s">
        <v>206</v>
      </c>
      <c r="L1" s="37" t="s">
        <v>208</v>
      </c>
      <c r="M1" s="37" t="s">
        <v>210</v>
      </c>
      <c r="N1" s="37" t="s">
        <v>212</v>
      </c>
      <c r="O1" s="37" t="s">
        <v>214</v>
      </c>
      <c r="P1" s="37" t="s">
        <v>215</v>
      </c>
      <c r="Q1" s="37" t="s">
        <v>217</v>
      </c>
      <c r="R1" s="37" t="s">
        <v>218</v>
      </c>
      <c r="S1" s="37" t="s">
        <v>220</v>
      </c>
      <c r="T1" s="37" t="s">
        <v>222</v>
      </c>
      <c r="U1" s="37" t="s">
        <v>224</v>
      </c>
      <c r="V1" s="38" t="s">
        <v>44</v>
      </c>
      <c r="W1" s="38" t="s">
        <v>227</v>
      </c>
      <c r="X1" s="38" t="s">
        <v>229</v>
      </c>
      <c r="Y1" s="38" t="s">
        <v>184</v>
      </c>
      <c r="Z1" s="38" t="s">
        <v>182</v>
      </c>
      <c r="AA1" s="38" t="s">
        <v>180</v>
      </c>
      <c r="AB1" s="38" t="s">
        <v>164</v>
      </c>
    </row>
    <row r="2" spans="1:28" x14ac:dyDescent="0.2">
      <c r="A2" s="22">
        <v>2</v>
      </c>
      <c r="B2" s="22">
        <v>0</v>
      </c>
      <c r="C2" s="22">
        <v>1</v>
      </c>
      <c r="D2" s="22" t="s">
        <v>288</v>
      </c>
      <c r="E2" s="22" t="s">
        <v>38</v>
      </c>
      <c r="F2" s="27">
        <v>40212</v>
      </c>
      <c r="G2" s="28">
        <v>0</v>
      </c>
      <c r="H2" s="22" t="s">
        <v>289</v>
      </c>
      <c r="L2" s="29" t="s">
        <v>290</v>
      </c>
      <c r="M2" s="28">
        <v>0</v>
      </c>
      <c r="V2" s="22" t="str">
        <f>IF(S2&lt;&gt;"",TEXT(S2,"0000")&amp;" "&amp;T2,"")</f>
        <v/>
      </c>
      <c r="W2" s="22" t="str">
        <f>IF(R2&lt;&gt;"",TEXT(R2,"0000")&amp;" "&amp;U2,"")</f>
        <v/>
      </c>
      <c r="X2" s="27">
        <f ca="1">IF(F2&lt;TODAY(),TODAY(),F2)</f>
        <v>43497</v>
      </c>
      <c r="Y2" s="22">
        <f>IF(WEEKDAY(DATE(YEAR(F2),1,1),2)&gt;4,WEEKNUM(F2,2)-1,WEEKNUM(F2,2))</f>
        <v>5</v>
      </c>
      <c r="Z2" s="22">
        <f>MONTH(F2)</f>
        <v>2</v>
      </c>
      <c r="AA2" s="22">
        <f>YEAR(F2)</f>
        <v>2010</v>
      </c>
      <c r="AB2" s="30">
        <f t="shared" ref="AB2:AB28" si="0">_xlfn.NUMBERVALUE(L2,".")</f>
        <v>622660.6</v>
      </c>
    </row>
    <row r="3" spans="1:28" x14ac:dyDescent="0.2">
      <c r="A3" s="22">
        <v>2</v>
      </c>
      <c r="B3" s="22">
        <v>2</v>
      </c>
      <c r="C3" s="22">
        <v>4</v>
      </c>
      <c r="D3" s="22" t="s">
        <v>291</v>
      </c>
      <c r="E3" s="22" t="s">
        <v>292</v>
      </c>
      <c r="F3" s="27">
        <v>40214</v>
      </c>
      <c r="G3" s="27">
        <v>40193</v>
      </c>
      <c r="H3" s="22" t="s">
        <v>293</v>
      </c>
      <c r="I3" s="22">
        <v>1451</v>
      </c>
      <c r="L3" s="29" t="s">
        <v>294</v>
      </c>
      <c r="M3" s="27">
        <v>40193</v>
      </c>
      <c r="Q3" s="22" t="s">
        <v>106</v>
      </c>
      <c r="V3" s="22" t="str">
        <f t="shared" ref="V3:V28" si="1">IF(S3&lt;&gt;"",TEXT(S3,"0000")&amp;" "&amp;T3,"")</f>
        <v/>
      </c>
      <c r="W3" s="22" t="str">
        <f t="shared" ref="W3:W28" si="2">IF(R3&lt;&gt;"",TEXT(R3,"0000")&amp;" "&amp;U3,"")</f>
        <v/>
      </c>
      <c r="X3" s="27">
        <f t="shared" ref="X3:X28" ca="1" si="3">IF(F3&lt;TODAY(),TODAY(),F3)</f>
        <v>43497</v>
      </c>
      <c r="Y3" s="22">
        <f t="shared" ref="Y3:Y28" si="4">IF(WEEKDAY(DATE(YEAR(F3),1,1),2)&gt;4,WEEKNUM(F3,2)-1,WEEKNUM(F3,2))</f>
        <v>5</v>
      </c>
      <c r="Z3" s="22">
        <f t="shared" ref="Z3:Z28" si="5">MONTH(F3)</f>
        <v>2</v>
      </c>
      <c r="AA3" s="22">
        <f t="shared" ref="AA3:AA28" si="6">YEAR(F3)</f>
        <v>2010</v>
      </c>
      <c r="AB3" s="30">
        <f t="shared" si="0"/>
        <v>-75691</v>
      </c>
    </row>
    <row r="4" spans="1:28" x14ac:dyDescent="0.2">
      <c r="A4" s="22">
        <v>2</v>
      </c>
      <c r="B4" s="22">
        <v>2</v>
      </c>
      <c r="C4" s="22">
        <v>7</v>
      </c>
      <c r="D4" s="22" t="s">
        <v>295</v>
      </c>
      <c r="E4" s="22" t="s">
        <v>292</v>
      </c>
      <c r="F4" s="27">
        <v>40231</v>
      </c>
      <c r="G4" s="27">
        <v>40210</v>
      </c>
      <c r="H4" s="22" t="s">
        <v>296</v>
      </c>
      <c r="I4" s="22">
        <v>1451</v>
      </c>
      <c r="L4" s="29" t="s">
        <v>297</v>
      </c>
      <c r="M4" s="27">
        <v>40210</v>
      </c>
      <c r="Q4" s="22" t="s">
        <v>108</v>
      </c>
      <c r="V4" s="22" t="str">
        <f t="shared" si="1"/>
        <v/>
      </c>
      <c r="W4" s="22" t="str">
        <f t="shared" si="2"/>
        <v/>
      </c>
      <c r="X4" s="27">
        <f t="shared" ca="1" si="3"/>
        <v>43497</v>
      </c>
      <c r="Y4" s="22">
        <f t="shared" si="4"/>
        <v>8</v>
      </c>
      <c r="Z4" s="22">
        <f t="shared" si="5"/>
        <v>2</v>
      </c>
      <c r="AA4" s="22">
        <f t="shared" si="6"/>
        <v>2010</v>
      </c>
      <c r="AB4" s="30">
        <f t="shared" si="0"/>
        <v>-51383</v>
      </c>
    </row>
    <row r="5" spans="1:28" x14ac:dyDescent="0.2">
      <c r="A5" s="22">
        <v>2</v>
      </c>
      <c r="B5" s="22">
        <v>2</v>
      </c>
      <c r="C5" s="22">
        <v>7</v>
      </c>
      <c r="D5" s="22" t="s">
        <v>295</v>
      </c>
      <c r="E5" s="22" t="s">
        <v>292</v>
      </c>
      <c r="F5" s="27">
        <v>40238</v>
      </c>
      <c r="G5" s="27">
        <v>40217</v>
      </c>
      <c r="H5" s="22" t="s">
        <v>296</v>
      </c>
      <c r="I5" s="22">
        <v>1451</v>
      </c>
      <c r="L5" s="29" t="s">
        <v>298</v>
      </c>
      <c r="M5" s="27">
        <v>40217</v>
      </c>
      <c r="Q5" s="22" t="s">
        <v>108</v>
      </c>
      <c r="V5" s="22" t="str">
        <f t="shared" si="1"/>
        <v/>
      </c>
      <c r="W5" s="22" t="str">
        <f t="shared" si="2"/>
        <v/>
      </c>
      <c r="X5" s="27">
        <f t="shared" ca="1" si="3"/>
        <v>43497</v>
      </c>
      <c r="Y5" s="22">
        <f t="shared" si="4"/>
        <v>9</v>
      </c>
      <c r="Z5" s="22">
        <f t="shared" si="5"/>
        <v>3</v>
      </c>
      <c r="AA5" s="22">
        <f t="shared" si="6"/>
        <v>2010</v>
      </c>
      <c r="AB5" s="30">
        <f t="shared" si="0"/>
        <v>-53513</v>
      </c>
    </row>
    <row r="6" spans="1:28" x14ac:dyDescent="0.2">
      <c r="A6" s="22">
        <v>2</v>
      </c>
      <c r="B6" s="22">
        <v>2</v>
      </c>
      <c r="C6" s="22">
        <v>7</v>
      </c>
      <c r="D6" s="22" t="s">
        <v>295</v>
      </c>
      <c r="E6" s="22" t="s">
        <v>292</v>
      </c>
      <c r="F6" s="27">
        <v>40256</v>
      </c>
      <c r="G6" s="27">
        <v>40235</v>
      </c>
      <c r="H6" s="22" t="s">
        <v>296</v>
      </c>
      <c r="I6" s="22">
        <v>1451</v>
      </c>
      <c r="L6" s="29" t="s">
        <v>299</v>
      </c>
      <c r="M6" s="27">
        <v>40235</v>
      </c>
      <c r="Q6" s="22" t="s">
        <v>108</v>
      </c>
      <c r="V6" s="22" t="str">
        <f t="shared" si="1"/>
        <v/>
      </c>
      <c r="W6" s="22" t="str">
        <f t="shared" si="2"/>
        <v/>
      </c>
      <c r="X6" s="27">
        <f t="shared" ca="1" si="3"/>
        <v>43497</v>
      </c>
      <c r="Y6" s="22">
        <f t="shared" si="4"/>
        <v>11</v>
      </c>
      <c r="Z6" s="22">
        <f t="shared" si="5"/>
        <v>3</v>
      </c>
      <c r="AA6" s="22">
        <f t="shared" si="6"/>
        <v>2010</v>
      </c>
      <c r="AB6" s="30">
        <f t="shared" si="0"/>
        <v>-46879</v>
      </c>
    </row>
    <row r="7" spans="1:28" x14ac:dyDescent="0.2">
      <c r="A7" s="22">
        <v>2</v>
      </c>
      <c r="B7" s="22">
        <v>2</v>
      </c>
      <c r="C7" s="22">
        <v>7</v>
      </c>
      <c r="D7" s="22" t="s">
        <v>295</v>
      </c>
      <c r="E7" s="22" t="s">
        <v>292</v>
      </c>
      <c r="F7" s="27">
        <v>40276</v>
      </c>
      <c r="G7" s="27">
        <v>40252</v>
      </c>
      <c r="H7" s="22" t="s">
        <v>296</v>
      </c>
      <c r="I7" s="22">
        <v>1451</v>
      </c>
      <c r="L7" s="29" t="s">
        <v>300</v>
      </c>
      <c r="M7" s="27">
        <v>40252</v>
      </c>
      <c r="Q7" s="22" t="s">
        <v>108</v>
      </c>
      <c r="V7" s="22" t="str">
        <f t="shared" si="1"/>
        <v/>
      </c>
      <c r="W7" s="22" t="str">
        <f t="shared" si="2"/>
        <v/>
      </c>
      <c r="X7" s="27">
        <f t="shared" ca="1" si="3"/>
        <v>43497</v>
      </c>
      <c r="Y7" s="22">
        <f t="shared" si="4"/>
        <v>14</v>
      </c>
      <c r="Z7" s="22">
        <f t="shared" si="5"/>
        <v>4</v>
      </c>
      <c r="AA7" s="22">
        <f t="shared" si="6"/>
        <v>2010</v>
      </c>
      <c r="AB7" s="30">
        <f t="shared" si="0"/>
        <v>-34767</v>
      </c>
    </row>
    <row r="8" spans="1:28" x14ac:dyDescent="0.2">
      <c r="A8" s="22">
        <v>2</v>
      </c>
      <c r="B8" s="22">
        <v>2</v>
      </c>
      <c r="C8" s="22">
        <v>7</v>
      </c>
      <c r="D8" s="22" t="s">
        <v>295</v>
      </c>
      <c r="E8" s="22" t="s">
        <v>292</v>
      </c>
      <c r="F8" s="27">
        <v>40290</v>
      </c>
      <c r="G8" s="27">
        <v>40266</v>
      </c>
      <c r="H8" s="22" t="s">
        <v>296</v>
      </c>
      <c r="I8" s="22">
        <v>1451</v>
      </c>
      <c r="L8" s="29" t="s">
        <v>301</v>
      </c>
      <c r="M8" s="27">
        <v>40266</v>
      </c>
      <c r="Q8" s="22" t="s">
        <v>108</v>
      </c>
      <c r="V8" s="22" t="str">
        <f t="shared" si="1"/>
        <v/>
      </c>
      <c r="W8" s="22" t="str">
        <f t="shared" si="2"/>
        <v/>
      </c>
      <c r="X8" s="27">
        <f t="shared" ca="1" si="3"/>
        <v>43497</v>
      </c>
      <c r="Y8" s="22">
        <f t="shared" si="4"/>
        <v>16</v>
      </c>
      <c r="Z8" s="22">
        <f t="shared" si="5"/>
        <v>4</v>
      </c>
      <c r="AA8" s="22">
        <f t="shared" si="6"/>
        <v>2010</v>
      </c>
      <c r="AB8" s="30">
        <f t="shared" si="0"/>
        <v>-42464</v>
      </c>
    </row>
    <row r="9" spans="1:28" x14ac:dyDescent="0.2">
      <c r="A9" s="22">
        <v>2</v>
      </c>
      <c r="B9" s="22">
        <v>2</v>
      </c>
      <c r="C9" s="22">
        <v>7</v>
      </c>
      <c r="D9" s="22" t="s">
        <v>295</v>
      </c>
      <c r="E9" s="22" t="s">
        <v>292</v>
      </c>
      <c r="F9" s="27">
        <v>40304</v>
      </c>
      <c r="G9" s="27">
        <v>40283</v>
      </c>
      <c r="H9" s="22" t="s">
        <v>296</v>
      </c>
      <c r="I9" s="22">
        <v>1451</v>
      </c>
      <c r="L9" s="29" t="s">
        <v>302</v>
      </c>
      <c r="M9" s="27">
        <v>40283</v>
      </c>
      <c r="Q9" s="22" t="s">
        <v>108</v>
      </c>
      <c r="V9" s="22" t="str">
        <f t="shared" si="1"/>
        <v/>
      </c>
      <c r="W9" s="22" t="str">
        <f t="shared" si="2"/>
        <v/>
      </c>
      <c r="X9" s="27">
        <f t="shared" ca="1" si="3"/>
        <v>43497</v>
      </c>
      <c r="Y9" s="22">
        <f t="shared" si="4"/>
        <v>18</v>
      </c>
      <c r="Z9" s="22">
        <f t="shared" si="5"/>
        <v>5</v>
      </c>
      <c r="AA9" s="22">
        <f t="shared" si="6"/>
        <v>2010</v>
      </c>
      <c r="AB9" s="30">
        <f t="shared" si="0"/>
        <v>-55623</v>
      </c>
    </row>
    <row r="10" spans="1:28" x14ac:dyDescent="0.2">
      <c r="A10" s="22">
        <v>2</v>
      </c>
      <c r="B10" s="22">
        <v>2</v>
      </c>
      <c r="C10" s="22">
        <v>7</v>
      </c>
      <c r="D10" s="22" t="s">
        <v>295</v>
      </c>
      <c r="E10" s="22" t="s">
        <v>292</v>
      </c>
      <c r="F10" s="27">
        <v>40324</v>
      </c>
      <c r="G10" s="27">
        <v>40298</v>
      </c>
      <c r="H10" s="22" t="s">
        <v>296</v>
      </c>
      <c r="I10" s="22">
        <v>1451</v>
      </c>
      <c r="L10" s="29" t="s">
        <v>303</v>
      </c>
      <c r="M10" s="27">
        <v>40298</v>
      </c>
      <c r="Q10" s="22" t="s">
        <v>108</v>
      </c>
      <c r="V10" s="22" t="str">
        <f t="shared" si="1"/>
        <v/>
      </c>
      <c r="W10" s="22" t="str">
        <f t="shared" si="2"/>
        <v/>
      </c>
      <c r="X10" s="27">
        <f t="shared" ca="1" si="3"/>
        <v>43497</v>
      </c>
      <c r="Y10" s="22">
        <f t="shared" si="4"/>
        <v>21</v>
      </c>
      <c r="Z10" s="22">
        <f t="shared" si="5"/>
        <v>5</v>
      </c>
      <c r="AA10" s="22">
        <f t="shared" si="6"/>
        <v>2010</v>
      </c>
      <c r="AB10" s="30">
        <f t="shared" si="0"/>
        <v>-41493</v>
      </c>
    </row>
    <row r="11" spans="1:28" x14ac:dyDescent="0.2">
      <c r="A11" s="22">
        <v>2</v>
      </c>
      <c r="B11" s="22">
        <v>2</v>
      </c>
      <c r="C11" s="22">
        <v>7</v>
      </c>
      <c r="D11" s="22" t="s">
        <v>295</v>
      </c>
      <c r="E11" s="22" t="s">
        <v>292</v>
      </c>
      <c r="F11" s="27">
        <v>40338</v>
      </c>
      <c r="G11" s="27">
        <v>40316</v>
      </c>
      <c r="H11" s="22" t="s">
        <v>296</v>
      </c>
      <c r="I11" s="22">
        <v>1451</v>
      </c>
      <c r="L11" s="29" t="s">
        <v>304</v>
      </c>
      <c r="M11" s="27">
        <v>40316</v>
      </c>
      <c r="Q11" s="22" t="s">
        <v>108</v>
      </c>
      <c r="V11" s="22" t="str">
        <f t="shared" si="1"/>
        <v/>
      </c>
      <c r="W11" s="22" t="str">
        <f t="shared" si="2"/>
        <v/>
      </c>
      <c r="X11" s="27">
        <f t="shared" ca="1" si="3"/>
        <v>43497</v>
      </c>
      <c r="Y11" s="22">
        <f t="shared" si="4"/>
        <v>23</v>
      </c>
      <c r="Z11" s="22">
        <f t="shared" si="5"/>
        <v>6</v>
      </c>
      <c r="AA11" s="22">
        <f t="shared" si="6"/>
        <v>2010</v>
      </c>
      <c r="AB11" s="30">
        <f t="shared" si="0"/>
        <v>-33258</v>
      </c>
    </row>
    <row r="12" spans="1:28" x14ac:dyDescent="0.2">
      <c r="A12" s="22">
        <v>2</v>
      </c>
      <c r="B12" s="22">
        <v>2</v>
      </c>
      <c r="C12" s="22">
        <v>7</v>
      </c>
      <c r="D12" s="22" t="s">
        <v>295</v>
      </c>
      <c r="E12" s="22" t="s">
        <v>292</v>
      </c>
      <c r="F12" s="27">
        <v>40352</v>
      </c>
      <c r="G12" s="27">
        <v>40331</v>
      </c>
      <c r="H12" s="22" t="s">
        <v>296</v>
      </c>
      <c r="I12" s="22">
        <v>1451</v>
      </c>
      <c r="L12" s="29" t="s">
        <v>305</v>
      </c>
      <c r="M12" s="27">
        <v>40331</v>
      </c>
      <c r="Q12" s="22" t="s">
        <v>108</v>
      </c>
      <c r="V12" s="22" t="str">
        <f t="shared" si="1"/>
        <v/>
      </c>
      <c r="W12" s="22" t="str">
        <f t="shared" si="2"/>
        <v/>
      </c>
      <c r="X12" s="27">
        <f t="shared" ca="1" si="3"/>
        <v>43497</v>
      </c>
      <c r="Y12" s="22">
        <f t="shared" si="4"/>
        <v>25</v>
      </c>
      <c r="Z12" s="22">
        <f t="shared" si="5"/>
        <v>6</v>
      </c>
      <c r="AA12" s="22">
        <f t="shared" si="6"/>
        <v>2010</v>
      </c>
      <c r="AB12" s="30">
        <f t="shared" si="0"/>
        <v>-39012</v>
      </c>
    </row>
    <row r="13" spans="1:28" x14ac:dyDescent="0.2">
      <c r="A13" s="22">
        <v>2</v>
      </c>
      <c r="B13" s="22">
        <v>2</v>
      </c>
      <c r="C13" s="22">
        <v>7</v>
      </c>
      <c r="D13" s="22" t="s">
        <v>295</v>
      </c>
      <c r="E13" s="22" t="s">
        <v>292</v>
      </c>
      <c r="F13" s="27">
        <v>40366</v>
      </c>
      <c r="G13" s="27">
        <v>40345</v>
      </c>
      <c r="H13" s="22" t="s">
        <v>296</v>
      </c>
      <c r="I13" s="22">
        <v>1451</v>
      </c>
      <c r="L13" s="29" t="s">
        <v>306</v>
      </c>
      <c r="M13" s="27">
        <v>40345</v>
      </c>
      <c r="Q13" s="22" t="s">
        <v>108</v>
      </c>
      <c r="V13" s="22" t="str">
        <f t="shared" si="1"/>
        <v/>
      </c>
      <c r="W13" s="22" t="str">
        <f t="shared" si="2"/>
        <v/>
      </c>
      <c r="X13" s="27">
        <f t="shared" ca="1" si="3"/>
        <v>43497</v>
      </c>
      <c r="Y13" s="22">
        <f t="shared" si="4"/>
        <v>27</v>
      </c>
      <c r="Z13" s="22">
        <f t="shared" si="5"/>
        <v>7</v>
      </c>
      <c r="AA13" s="22">
        <f t="shared" si="6"/>
        <v>2010</v>
      </c>
      <c r="AB13" s="30">
        <f t="shared" si="0"/>
        <v>-42805</v>
      </c>
    </row>
    <row r="14" spans="1:28" x14ac:dyDescent="0.2">
      <c r="A14" s="22">
        <v>2</v>
      </c>
      <c r="B14" s="22">
        <v>2</v>
      </c>
      <c r="C14" s="22">
        <v>7</v>
      </c>
      <c r="D14" s="22" t="s">
        <v>295</v>
      </c>
      <c r="E14" s="22" t="s">
        <v>292</v>
      </c>
      <c r="F14" s="27">
        <v>40374</v>
      </c>
      <c r="G14" s="27">
        <v>40353</v>
      </c>
      <c r="H14" s="22" t="s">
        <v>296</v>
      </c>
      <c r="I14" s="22">
        <v>1451</v>
      </c>
      <c r="L14" s="29" t="s">
        <v>307</v>
      </c>
      <c r="M14" s="27">
        <v>40353</v>
      </c>
      <c r="Q14" s="22" t="s">
        <v>108</v>
      </c>
      <c r="V14" s="22" t="str">
        <f t="shared" si="1"/>
        <v/>
      </c>
      <c r="W14" s="22" t="str">
        <f t="shared" si="2"/>
        <v/>
      </c>
      <c r="X14" s="27">
        <f t="shared" ca="1" si="3"/>
        <v>43497</v>
      </c>
      <c r="Y14" s="22">
        <f t="shared" si="4"/>
        <v>28</v>
      </c>
      <c r="Z14" s="22">
        <f t="shared" si="5"/>
        <v>7</v>
      </c>
      <c r="AA14" s="22">
        <f t="shared" si="6"/>
        <v>2010</v>
      </c>
      <c r="AB14" s="30">
        <f t="shared" si="0"/>
        <v>-44815</v>
      </c>
    </row>
    <row r="15" spans="1:28" x14ac:dyDescent="0.2">
      <c r="A15" s="22">
        <v>2</v>
      </c>
      <c r="B15" s="22">
        <v>1</v>
      </c>
      <c r="C15" s="22">
        <v>6</v>
      </c>
      <c r="D15" s="22" t="s">
        <v>308</v>
      </c>
      <c r="E15" s="22" t="s">
        <v>309</v>
      </c>
      <c r="F15" s="27">
        <v>40387</v>
      </c>
      <c r="G15" s="27">
        <v>40387</v>
      </c>
      <c r="H15" s="22" t="s">
        <v>310</v>
      </c>
      <c r="I15" s="22" t="s">
        <v>311</v>
      </c>
      <c r="L15" s="29" t="s">
        <v>312</v>
      </c>
      <c r="M15" s="27">
        <v>40344</v>
      </c>
      <c r="Q15" s="22" t="s">
        <v>313</v>
      </c>
      <c r="R15" s="22">
        <v>4055</v>
      </c>
      <c r="U15" s="22" t="s">
        <v>314</v>
      </c>
      <c r="V15" s="22" t="str">
        <f t="shared" si="1"/>
        <v/>
      </c>
      <c r="W15" s="22" t="str">
        <f t="shared" si="2"/>
        <v>4055 HUHTAMAKI DEUTSHLAND GMBH &amp; CO.KG</v>
      </c>
      <c r="X15" s="27">
        <f t="shared" ca="1" si="3"/>
        <v>43497</v>
      </c>
      <c r="Y15" s="22">
        <f t="shared" si="4"/>
        <v>30</v>
      </c>
      <c r="Z15" s="22">
        <f t="shared" si="5"/>
        <v>7</v>
      </c>
      <c r="AA15" s="22">
        <f t="shared" si="6"/>
        <v>2010</v>
      </c>
      <c r="AB15" s="30">
        <f t="shared" si="0"/>
        <v>165000</v>
      </c>
    </row>
    <row r="16" spans="1:28" x14ac:dyDescent="0.2">
      <c r="A16" s="22">
        <v>2</v>
      </c>
      <c r="B16" s="22">
        <v>2</v>
      </c>
      <c r="C16" s="22">
        <v>7</v>
      </c>
      <c r="D16" s="22" t="s">
        <v>295</v>
      </c>
      <c r="E16" s="22" t="s">
        <v>292</v>
      </c>
      <c r="F16" s="27">
        <v>40394</v>
      </c>
      <c r="G16" s="27">
        <v>40373</v>
      </c>
      <c r="H16" s="22" t="s">
        <v>296</v>
      </c>
      <c r="I16" s="22">
        <v>1451</v>
      </c>
      <c r="L16" s="29" t="s">
        <v>315</v>
      </c>
      <c r="M16" s="27">
        <v>40373</v>
      </c>
      <c r="Q16" s="22" t="s">
        <v>108</v>
      </c>
      <c r="V16" s="22" t="str">
        <f t="shared" si="1"/>
        <v/>
      </c>
      <c r="W16" s="22" t="str">
        <f t="shared" si="2"/>
        <v/>
      </c>
      <c r="X16" s="27">
        <f t="shared" ca="1" si="3"/>
        <v>43497</v>
      </c>
      <c r="Y16" s="22">
        <f t="shared" si="4"/>
        <v>31</v>
      </c>
      <c r="Z16" s="22">
        <f t="shared" si="5"/>
        <v>8</v>
      </c>
      <c r="AA16" s="22">
        <f t="shared" si="6"/>
        <v>2010</v>
      </c>
      <c r="AB16" s="30">
        <f t="shared" si="0"/>
        <v>-50058</v>
      </c>
    </row>
    <row r="17" spans="1:28" x14ac:dyDescent="0.2">
      <c r="A17" s="22">
        <v>2</v>
      </c>
      <c r="B17" s="22">
        <v>2</v>
      </c>
      <c r="C17" s="22">
        <v>7</v>
      </c>
      <c r="D17" s="22" t="s">
        <v>295</v>
      </c>
      <c r="E17" s="22" t="s">
        <v>292</v>
      </c>
      <c r="F17" s="27">
        <v>40408</v>
      </c>
      <c r="G17" s="27">
        <v>40387</v>
      </c>
      <c r="H17" s="22" t="s">
        <v>296</v>
      </c>
      <c r="I17" s="22">
        <v>1451</v>
      </c>
      <c r="L17" s="29" t="s">
        <v>316</v>
      </c>
      <c r="M17" s="27">
        <v>40387</v>
      </c>
      <c r="Q17" s="22" t="s">
        <v>108</v>
      </c>
      <c r="V17" s="22" t="str">
        <f t="shared" si="1"/>
        <v/>
      </c>
      <c r="W17" s="22" t="str">
        <f t="shared" si="2"/>
        <v/>
      </c>
      <c r="X17" s="27">
        <f t="shared" ca="1" si="3"/>
        <v>43497</v>
      </c>
      <c r="Y17" s="22">
        <f t="shared" si="4"/>
        <v>33</v>
      </c>
      <c r="Z17" s="22">
        <f t="shared" si="5"/>
        <v>8</v>
      </c>
      <c r="AA17" s="22">
        <f t="shared" si="6"/>
        <v>2010</v>
      </c>
      <c r="AB17" s="30">
        <f t="shared" si="0"/>
        <v>-49361</v>
      </c>
    </row>
    <row r="18" spans="1:28" x14ac:dyDescent="0.2">
      <c r="A18" s="22">
        <v>2</v>
      </c>
      <c r="B18" s="22">
        <v>2</v>
      </c>
      <c r="C18" s="22">
        <v>7</v>
      </c>
      <c r="D18" s="22" t="s">
        <v>295</v>
      </c>
      <c r="E18" s="22" t="s">
        <v>292</v>
      </c>
      <c r="F18" s="27">
        <v>40422</v>
      </c>
      <c r="G18" s="27">
        <v>40401</v>
      </c>
      <c r="H18" s="22" t="s">
        <v>296</v>
      </c>
      <c r="I18" s="22">
        <v>1451</v>
      </c>
      <c r="L18" s="29" t="s">
        <v>317</v>
      </c>
      <c r="M18" s="27">
        <v>40401</v>
      </c>
      <c r="Q18" s="22" t="s">
        <v>108</v>
      </c>
      <c r="V18" s="22" t="str">
        <f t="shared" si="1"/>
        <v/>
      </c>
      <c r="W18" s="22" t="str">
        <f t="shared" si="2"/>
        <v/>
      </c>
      <c r="X18" s="27">
        <f t="shared" ca="1" si="3"/>
        <v>43497</v>
      </c>
      <c r="Y18" s="22">
        <f t="shared" si="4"/>
        <v>35</v>
      </c>
      <c r="Z18" s="22">
        <f t="shared" si="5"/>
        <v>9</v>
      </c>
      <c r="AA18" s="22">
        <f t="shared" si="6"/>
        <v>2010</v>
      </c>
      <c r="AB18" s="30">
        <f t="shared" si="0"/>
        <v>-45297</v>
      </c>
    </row>
    <row r="19" spans="1:28" x14ac:dyDescent="0.2">
      <c r="A19" s="22">
        <v>2</v>
      </c>
      <c r="B19" s="22">
        <v>1</v>
      </c>
      <c r="C19" s="22">
        <v>6</v>
      </c>
      <c r="D19" s="22" t="s">
        <v>308</v>
      </c>
      <c r="E19" s="22" t="s">
        <v>309</v>
      </c>
      <c r="F19" s="27">
        <v>40429</v>
      </c>
      <c r="G19" s="27">
        <v>40429</v>
      </c>
      <c r="H19" s="22" t="s">
        <v>310</v>
      </c>
      <c r="I19" s="22" t="s">
        <v>318</v>
      </c>
      <c r="L19" s="29" t="s">
        <v>312</v>
      </c>
      <c r="M19" s="27">
        <v>40386</v>
      </c>
      <c r="Q19" s="22" t="s">
        <v>313</v>
      </c>
      <c r="R19" s="22">
        <v>4055</v>
      </c>
      <c r="U19" s="22" t="s">
        <v>314</v>
      </c>
      <c r="V19" s="22" t="str">
        <f t="shared" si="1"/>
        <v/>
      </c>
      <c r="W19" s="22" t="str">
        <f t="shared" si="2"/>
        <v>4055 HUHTAMAKI DEUTSHLAND GMBH &amp; CO.KG</v>
      </c>
      <c r="X19" s="27">
        <f t="shared" ca="1" si="3"/>
        <v>43497</v>
      </c>
      <c r="Y19" s="22">
        <f t="shared" si="4"/>
        <v>36</v>
      </c>
      <c r="Z19" s="22">
        <f t="shared" si="5"/>
        <v>9</v>
      </c>
      <c r="AA19" s="22">
        <f t="shared" si="6"/>
        <v>2010</v>
      </c>
      <c r="AB19" s="30">
        <f t="shared" si="0"/>
        <v>165000</v>
      </c>
    </row>
    <row r="20" spans="1:28" x14ac:dyDescent="0.2">
      <c r="A20" s="22">
        <v>2</v>
      </c>
      <c r="B20" s="22">
        <v>2</v>
      </c>
      <c r="C20" s="22">
        <v>7</v>
      </c>
      <c r="D20" s="22" t="s">
        <v>295</v>
      </c>
      <c r="E20" s="22" t="s">
        <v>292</v>
      </c>
      <c r="F20" s="27">
        <v>40436</v>
      </c>
      <c r="G20" s="27">
        <v>40415</v>
      </c>
      <c r="H20" s="22" t="s">
        <v>296</v>
      </c>
      <c r="I20" s="22">
        <v>1451</v>
      </c>
      <c r="L20" s="29" t="s">
        <v>319</v>
      </c>
      <c r="M20" s="27">
        <v>40415</v>
      </c>
      <c r="Q20" s="22" t="s">
        <v>108</v>
      </c>
      <c r="V20" s="22" t="str">
        <f t="shared" si="1"/>
        <v/>
      </c>
      <c r="W20" s="22" t="str">
        <f t="shared" si="2"/>
        <v/>
      </c>
      <c r="X20" s="27">
        <f t="shared" ca="1" si="3"/>
        <v>43497</v>
      </c>
      <c r="Y20" s="22">
        <f t="shared" si="4"/>
        <v>37</v>
      </c>
      <c r="Z20" s="22">
        <f t="shared" si="5"/>
        <v>9</v>
      </c>
      <c r="AA20" s="22">
        <f t="shared" si="6"/>
        <v>2010</v>
      </c>
      <c r="AB20" s="30">
        <f t="shared" si="0"/>
        <v>-44764</v>
      </c>
    </row>
    <row r="21" spans="1:28" x14ac:dyDescent="0.2">
      <c r="A21" s="22">
        <v>2</v>
      </c>
      <c r="B21" s="22">
        <v>2</v>
      </c>
      <c r="C21" s="22">
        <v>7</v>
      </c>
      <c r="D21" s="22" t="s">
        <v>295</v>
      </c>
      <c r="E21" s="22" t="s">
        <v>292</v>
      </c>
      <c r="F21" s="27">
        <v>40450</v>
      </c>
      <c r="G21" s="27">
        <v>40429</v>
      </c>
      <c r="H21" s="22" t="s">
        <v>296</v>
      </c>
      <c r="I21" s="22">
        <v>1451</v>
      </c>
      <c r="L21" s="29" t="s">
        <v>320</v>
      </c>
      <c r="M21" s="27">
        <v>40429</v>
      </c>
      <c r="Q21" s="22" t="s">
        <v>108</v>
      </c>
      <c r="V21" s="22" t="str">
        <f t="shared" si="1"/>
        <v/>
      </c>
      <c r="W21" s="22" t="str">
        <f t="shared" si="2"/>
        <v/>
      </c>
      <c r="X21" s="27">
        <f t="shared" ca="1" si="3"/>
        <v>43497</v>
      </c>
      <c r="Y21" s="22">
        <f t="shared" si="4"/>
        <v>39</v>
      </c>
      <c r="Z21" s="22">
        <f t="shared" si="5"/>
        <v>9</v>
      </c>
      <c r="AA21" s="22">
        <f t="shared" si="6"/>
        <v>2010</v>
      </c>
      <c r="AB21" s="30">
        <f t="shared" si="0"/>
        <v>-44527</v>
      </c>
    </row>
    <row r="22" spans="1:28" x14ac:dyDescent="0.2">
      <c r="A22" s="22">
        <v>2</v>
      </c>
      <c r="B22" s="22">
        <v>2</v>
      </c>
      <c r="C22" s="22">
        <v>7</v>
      </c>
      <c r="D22" s="22" t="s">
        <v>295</v>
      </c>
      <c r="E22" s="22" t="s">
        <v>292</v>
      </c>
      <c r="F22" s="27">
        <v>40464</v>
      </c>
      <c r="G22" s="27">
        <v>40443</v>
      </c>
      <c r="H22" s="22" t="s">
        <v>296</v>
      </c>
      <c r="I22" s="22">
        <v>1451</v>
      </c>
      <c r="L22" s="29" t="s">
        <v>321</v>
      </c>
      <c r="M22" s="27">
        <v>40443</v>
      </c>
      <c r="Q22" s="22" t="s">
        <v>108</v>
      </c>
      <c r="V22" s="22" t="str">
        <f t="shared" si="1"/>
        <v/>
      </c>
      <c r="W22" s="22" t="str">
        <f t="shared" si="2"/>
        <v/>
      </c>
      <c r="X22" s="27">
        <f t="shared" ca="1" si="3"/>
        <v>43497</v>
      </c>
      <c r="Y22" s="22">
        <f t="shared" si="4"/>
        <v>41</v>
      </c>
      <c r="Z22" s="22">
        <f t="shared" si="5"/>
        <v>10</v>
      </c>
      <c r="AA22" s="22">
        <f t="shared" si="6"/>
        <v>2010</v>
      </c>
      <c r="AB22" s="30">
        <f t="shared" si="0"/>
        <v>-43009</v>
      </c>
    </row>
    <row r="23" spans="1:28" x14ac:dyDescent="0.2">
      <c r="A23" s="22">
        <v>2</v>
      </c>
      <c r="B23" s="22">
        <v>2</v>
      </c>
      <c r="C23" s="22">
        <v>7</v>
      </c>
      <c r="D23" s="22" t="s">
        <v>295</v>
      </c>
      <c r="E23" s="22" t="s">
        <v>292</v>
      </c>
      <c r="F23" s="27">
        <v>40478</v>
      </c>
      <c r="G23" s="27">
        <v>40457</v>
      </c>
      <c r="H23" s="22" t="s">
        <v>296</v>
      </c>
      <c r="I23" s="22">
        <v>1451</v>
      </c>
      <c r="L23" s="29" t="s">
        <v>322</v>
      </c>
      <c r="M23" s="27">
        <v>40457</v>
      </c>
      <c r="Q23" s="22" t="s">
        <v>108</v>
      </c>
      <c r="V23" s="22" t="str">
        <f t="shared" si="1"/>
        <v/>
      </c>
      <c r="W23" s="22" t="str">
        <f t="shared" si="2"/>
        <v/>
      </c>
      <c r="X23" s="27">
        <f t="shared" ca="1" si="3"/>
        <v>43497</v>
      </c>
      <c r="Y23" s="22">
        <f t="shared" si="4"/>
        <v>43</v>
      </c>
      <c r="Z23" s="22">
        <f t="shared" si="5"/>
        <v>10</v>
      </c>
      <c r="AA23" s="22">
        <f t="shared" si="6"/>
        <v>2010</v>
      </c>
      <c r="AB23" s="30">
        <f t="shared" si="0"/>
        <v>-42446</v>
      </c>
    </row>
    <row r="24" spans="1:28" x14ac:dyDescent="0.2">
      <c r="A24" s="22">
        <v>2</v>
      </c>
      <c r="B24" s="22">
        <v>1</v>
      </c>
      <c r="C24" s="22">
        <v>6</v>
      </c>
      <c r="D24" s="22" t="s">
        <v>308</v>
      </c>
      <c r="E24" s="22" t="s">
        <v>309</v>
      </c>
      <c r="F24" s="27">
        <v>40485</v>
      </c>
      <c r="G24" s="27">
        <v>40485</v>
      </c>
      <c r="H24" s="22" t="s">
        <v>310</v>
      </c>
      <c r="I24" s="22" t="s">
        <v>323</v>
      </c>
      <c r="L24" s="29" t="s">
        <v>312</v>
      </c>
      <c r="M24" s="27">
        <v>40442</v>
      </c>
      <c r="Q24" s="22" t="s">
        <v>313</v>
      </c>
      <c r="R24" s="22">
        <v>4055</v>
      </c>
      <c r="U24" s="22" t="s">
        <v>314</v>
      </c>
      <c r="V24" s="22" t="str">
        <f t="shared" si="1"/>
        <v/>
      </c>
      <c r="W24" s="22" t="str">
        <f t="shared" si="2"/>
        <v>4055 HUHTAMAKI DEUTSHLAND GMBH &amp; CO.KG</v>
      </c>
      <c r="X24" s="27">
        <f t="shared" ca="1" si="3"/>
        <v>43497</v>
      </c>
      <c r="Y24" s="22">
        <f t="shared" si="4"/>
        <v>44</v>
      </c>
      <c r="Z24" s="22">
        <f t="shared" si="5"/>
        <v>11</v>
      </c>
      <c r="AA24" s="22">
        <f t="shared" si="6"/>
        <v>2010</v>
      </c>
      <c r="AB24" s="30">
        <f t="shared" si="0"/>
        <v>165000</v>
      </c>
    </row>
    <row r="25" spans="1:28" x14ac:dyDescent="0.2">
      <c r="A25" s="22">
        <v>2</v>
      </c>
      <c r="B25" s="22">
        <v>2</v>
      </c>
      <c r="C25" s="22">
        <v>7</v>
      </c>
      <c r="D25" s="22" t="s">
        <v>295</v>
      </c>
      <c r="E25" s="22" t="s">
        <v>292</v>
      </c>
      <c r="F25" s="27">
        <v>40492</v>
      </c>
      <c r="G25" s="27">
        <v>40471</v>
      </c>
      <c r="H25" s="22" t="s">
        <v>296</v>
      </c>
      <c r="I25" s="22">
        <v>1451</v>
      </c>
      <c r="L25" s="29" t="s">
        <v>324</v>
      </c>
      <c r="M25" s="27">
        <v>40471</v>
      </c>
      <c r="Q25" s="22" t="s">
        <v>108</v>
      </c>
      <c r="V25" s="22" t="str">
        <f t="shared" si="1"/>
        <v/>
      </c>
      <c r="W25" s="22" t="str">
        <f t="shared" si="2"/>
        <v/>
      </c>
      <c r="X25" s="27">
        <f t="shared" ca="1" si="3"/>
        <v>43497</v>
      </c>
      <c r="Y25" s="22">
        <f t="shared" si="4"/>
        <v>45</v>
      </c>
      <c r="Z25" s="22">
        <f t="shared" si="5"/>
        <v>11</v>
      </c>
      <c r="AA25" s="22">
        <f t="shared" si="6"/>
        <v>2010</v>
      </c>
      <c r="AB25" s="30">
        <f t="shared" si="0"/>
        <v>-48204</v>
      </c>
    </row>
    <row r="26" spans="1:28" x14ac:dyDescent="0.2">
      <c r="A26" s="22">
        <v>2</v>
      </c>
      <c r="B26" s="22">
        <v>2</v>
      </c>
      <c r="C26" s="22">
        <v>7</v>
      </c>
      <c r="D26" s="22" t="s">
        <v>295</v>
      </c>
      <c r="E26" s="22" t="s">
        <v>292</v>
      </c>
      <c r="F26" s="27">
        <v>40506</v>
      </c>
      <c r="G26" s="27">
        <v>40485</v>
      </c>
      <c r="H26" s="22" t="s">
        <v>296</v>
      </c>
      <c r="I26" s="22">
        <v>1451</v>
      </c>
      <c r="L26" s="29" t="s">
        <v>325</v>
      </c>
      <c r="M26" s="27">
        <v>40485</v>
      </c>
      <c r="Q26" s="22" t="s">
        <v>108</v>
      </c>
      <c r="V26" s="22" t="str">
        <f t="shared" si="1"/>
        <v/>
      </c>
      <c r="W26" s="22" t="str">
        <f t="shared" si="2"/>
        <v/>
      </c>
      <c r="X26" s="27">
        <f t="shared" ca="1" si="3"/>
        <v>43497</v>
      </c>
      <c r="Y26" s="22">
        <f t="shared" si="4"/>
        <v>47</v>
      </c>
      <c r="Z26" s="22">
        <f t="shared" si="5"/>
        <v>11</v>
      </c>
      <c r="AA26" s="22">
        <f t="shared" si="6"/>
        <v>2010</v>
      </c>
      <c r="AB26" s="30">
        <f t="shared" si="0"/>
        <v>-47628</v>
      </c>
    </row>
    <row r="27" spans="1:28" x14ac:dyDescent="0.2">
      <c r="A27" s="22">
        <v>2</v>
      </c>
      <c r="B27" s="22">
        <v>2</v>
      </c>
      <c r="C27" s="22">
        <v>7</v>
      </c>
      <c r="D27" s="22" t="s">
        <v>295</v>
      </c>
      <c r="E27" s="22" t="s">
        <v>292</v>
      </c>
      <c r="F27" s="27">
        <v>40519</v>
      </c>
      <c r="G27" s="27">
        <v>40498</v>
      </c>
      <c r="H27" s="22" t="s">
        <v>296</v>
      </c>
      <c r="I27" s="22">
        <v>1451</v>
      </c>
      <c r="L27" s="29" t="s">
        <v>326</v>
      </c>
      <c r="M27" s="27">
        <v>40498</v>
      </c>
      <c r="Q27" s="22" t="s">
        <v>108</v>
      </c>
      <c r="V27" s="22" t="str">
        <f t="shared" si="1"/>
        <v/>
      </c>
      <c r="W27" s="22" t="str">
        <f t="shared" si="2"/>
        <v/>
      </c>
      <c r="X27" s="27">
        <f t="shared" ca="1" si="3"/>
        <v>43497</v>
      </c>
      <c r="Y27" s="22">
        <f t="shared" si="4"/>
        <v>49</v>
      </c>
      <c r="Z27" s="22">
        <f t="shared" si="5"/>
        <v>12</v>
      </c>
      <c r="AA27" s="22">
        <f t="shared" si="6"/>
        <v>2010</v>
      </c>
      <c r="AB27" s="30">
        <f t="shared" si="0"/>
        <v>-58610</v>
      </c>
    </row>
    <row r="28" spans="1:28" x14ac:dyDescent="0.2">
      <c r="A28" s="22">
        <v>2</v>
      </c>
      <c r="B28" s="22">
        <v>2</v>
      </c>
      <c r="C28" s="22">
        <v>7</v>
      </c>
      <c r="D28" s="22" t="s">
        <v>295</v>
      </c>
      <c r="E28" s="22" t="s">
        <v>292</v>
      </c>
      <c r="F28" s="27">
        <v>40534</v>
      </c>
      <c r="G28" s="27">
        <v>40513</v>
      </c>
      <c r="H28" s="22" t="s">
        <v>296</v>
      </c>
      <c r="I28" s="22">
        <v>1451</v>
      </c>
      <c r="L28" s="29" t="s">
        <v>327</v>
      </c>
      <c r="M28" s="27">
        <v>40513</v>
      </c>
      <c r="Q28" s="22" t="s">
        <v>108</v>
      </c>
      <c r="V28" s="22" t="str">
        <f t="shared" si="1"/>
        <v/>
      </c>
      <c r="W28" s="22" t="str">
        <f t="shared" si="2"/>
        <v/>
      </c>
      <c r="X28" s="27">
        <f t="shared" ca="1" si="3"/>
        <v>43497</v>
      </c>
      <c r="Y28" s="22">
        <f t="shared" si="4"/>
        <v>51</v>
      </c>
      <c r="Z28" s="22">
        <f t="shared" si="5"/>
        <v>12</v>
      </c>
      <c r="AA28" s="22">
        <f t="shared" si="6"/>
        <v>2010</v>
      </c>
      <c r="AB28" s="30">
        <f t="shared" si="0"/>
        <v>-33879</v>
      </c>
    </row>
    <row r="29" spans="1:28" x14ac:dyDescent="0.2">
      <c r="X29" s="27"/>
      <c r="AB29" s="30"/>
    </row>
    <row r="30" spans="1:28" x14ac:dyDescent="0.2">
      <c r="X30" s="27"/>
      <c r="AB30" s="30"/>
    </row>
    <row r="31" spans="1:28" x14ac:dyDescent="0.2">
      <c r="X31" s="27"/>
      <c r="AB31" s="30"/>
    </row>
    <row r="32" spans="1:28" x14ac:dyDescent="0.2">
      <c r="X32" s="27"/>
      <c r="AB32" s="30"/>
    </row>
    <row r="33" spans="24:28" x14ac:dyDescent="0.2">
      <c r="X33" s="27"/>
      <c r="AB33" s="30"/>
    </row>
    <row r="34" spans="24:28" x14ac:dyDescent="0.2">
      <c r="X34" s="27"/>
      <c r="AB34" s="30"/>
    </row>
    <row r="35" spans="24:28" x14ac:dyDescent="0.2">
      <c r="X35" s="27"/>
      <c r="AB35" s="30"/>
    </row>
    <row r="36" spans="24:28" x14ac:dyDescent="0.2">
      <c r="X36" s="27"/>
      <c r="AB36" s="30"/>
    </row>
    <row r="37" spans="24:28" x14ac:dyDescent="0.2">
      <c r="X37" s="27"/>
      <c r="AB37" s="30"/>
    </row>
    <row r="38" spans="24:28" x14ac:dyDescent="0.2">
      <c r="X38" s="27"/>
      <c r="AB38" s="30"/>
    </row>
    <row r="39" spans="24:28" x14ac:dyDescent="0.2">
      <c r="X39" s="27"/>
      <c r="AB39" s="30"/>
    </row>
    <row r="40" spans="24:28" x14ac:dyDescent="0.2">
      <c r="X40" s="27"/>
      <c r="AB40" s="30"/>
    </row>
    <row r="41" spans="24:28" x14ac:dyDescent="0.2">
      <c r="X41" s="27"/>
      <c r="AB41" s="30"/>
    </row>
    <row r="42" spans="24:28" x14ac:dyDescent="0.2">
      <c r="X42" s="27"/>
      <c r="AB42" s="30"/>
    </row>
    <row r="43" spans="24:28" x14ac:dyDescent="0.2">
      <c r="X43" s="27"/>
      <c r="AB43" s="30"/>
    </row>
    <row r="44" spans="24:28" x14ac:dyDescent="0.2">
      <c r="X44" s="27"/>
      <c r="AB44" s="30"/>
    </row>
    <row r="45" spans="24:28" x14ac:dyDescent="0.2">
      <c r="X45" s="27"/>
      <c r="AB45" s="30"/>
    </row>
    <row r="46" spans="24:28" x14ac:dyDescent="0.2">
      <c r="X46" s="27"/>
      <c r="AB46" s="30"/>
    </row>
    <row r="47" spans="24:28" x14ac:dyDescent="0.2">
      <c r="X47" s="27"/>
      <c r="AB47" s="30"/>
    </row>
    <row r="48" spans="24:28" x14ac:dyDescent="0.2">
      <c r="X48" s="27"/>
      <c r="AB48" s="30"/>
    </row>
    <row r="49" spans="24:28" x14ac:dyDescent="0.2">
      <c r="X49" s="27"/>
      <c r="AB49" s="30"/>
    </row>
    <row r="50" spans="24:28" x14ac:dyDescent="0.2">
      <c r="X50" s="27"/>
      <c r="AB50" s="30"/>
    </row>
    <row r="51" spans="24:28" x14ac:dyDescent="0.2">
      <c r="X51" s="27"/>
      <c r="AB51" s="30"/>
    </row>
    <row r="52" spans="24:28" x14ac:dyDescent="0.2">
      <c r="X52" s="27"/>
      <c r="AB52" s="30"/>
    </row>
    <row r="53" spans="24:28" x14ac:dyDescent="0.2">
      <c r="X53" s="27"/>
      <c r="AB53" s="30"/>
    </row>
    <row r="54" spans="24:28" x14ac:dyDescent="0.2">
      <c r="X54" s="27"/>
      <c r="AB54" s="30"/>
    </row>
    <row r="55" spans="24:28" x14ac:dyDescent="0.2">
      <c r="X55" s="27"/>
      <c r="AB55" s="30"/>
    </row>
    <row r="56" spans="24:28" x14ac:dyDescent="0.2">
      <c r="X56" s="27"/>
      <c r="AB56" s="30"/>
    </row>
    <row r="57" spans="24:28" x14ac:dyDescent="0.2">
      <c r="X57" s="27"/>
      <c r="AB57" s="30"/>
    </row>
    <row r="58" spans="24:28" x14ac:dyDescent="0.2">
      <c r="X58" s="27"/>
      <c r="AB58" s="30"/>
    </row>
    <row r="59" spans="24:28" x14ac:dyDescent="0.2">
      <c r="X59" s="27"/>
      <c r="AB59" s="30"/>
    </row>
    <row r="60" spans="24:28" x14ac:dyDescent="0.2">
      <c r="X60" s="27"/>
      <c r="AB60" s="30"/>
    </row>
    <row r="61" spans="24:28" x14ac:dyDescent="0.2">
      <c r="X61" s="27"/>
      <c r="AB61" s="30"/>
    </row>
    <row r="62" spans="24:28" x14ac:dyDescent="0.2">
      <c r="X62" s="27"/>
      <c r="AB62" s="30"/>
    </row>
    <row r="63" spans="24:28" x14ac:dyDescent="0.2">
      <c r="X63" s="27"/>
      <c r="AB63" s="30"/>
    </row>
    <row r="64" spans="24:28" x14ac:dyDescent="0.2">
      <c r="X64" s="27"/>
      <c r="AB64" s="30"/>
    </row>
    <row r="65" spans="24:28" x14ac:dyDescent="0.2">
      <c r="X65" s="27"/>
      <c r="AB65" s="30"/>
    </row>
    <row r="66" spans="24:28" x14ac:dyDescent="0.2">
      <c r="X66" s="27"/>
      <c r="AB66" s="30"/>
    </row>
    <row r="67" spans="24:28" x14ac:dyDescent="0.2">
      <c r="X67" s="27"/>
      <c r="AB67" s="30"/>
    </row>
    <row r="68" spans="24:28" x14ac:dyDescent="0.2">
      <c r="X68" s="27"/>
      <c r="AB68" s="30"/>
    </row>
    <row r="69" spans="24:28" x14ac:dyDescent="0.2">
      <c r="X69" s="27"/>
      <c r="AB69" s="30"/>
    </row>
    <row r="70" spans="24:28" x14ac:dyDescent="0.2">
      <c r="X70" s="27"/>
      <c r="AB70" s="30"/>
    </row>
    <row r="71" spans="24:28" x14ac:dyDescent="0.2">
      <c r="X71" s="27"/>
      <c r="AB71" s="30"/>
    </row>
    <row r="72" spans="24:28" x14ac:dyDescent="0.2">
      <c r="X72" s="27"/>
      <c r="AB72" s="30"/>
    </row>
    <row r="73" spans="24:28" x14ac:dyDescent="0.2">
      <c r="X73" s="27"/>
      <c r="AB73" s="30"/>
    </row>
    <row r="74" spans="24:28" x14ac:dyDescent="0.2">
      <c r="X74" s="27"/>
      <c r="AB74" s="30"/>
    </row>
    <row r="75" spans="24:28" x14ac:dyDescent="0.2">
      <c r="X75" s="27"/>
      <c r="AB75" s="30"/>
    </row>
    <row r="76" spans="24:28" x14ac:dyDescent="0.2">
      <c r="X76" s="27"/>
      <c r="AB76" s="30"/>
    </row>
    <row r="77" spans="24:28" x14ac:dyDescent="0.2">
      <c r="X77" s="27"/>
      <c r="AB77" s="30"/>
    </row>
    <row r="78" spans="24:28" x14ac:dyDescent="0.2">
      <c r="X78" s="27"/>
      <c r="AB78" s="30"/>
    </row>
    <row r="79" spans="24:28" x14ac:dyDescent="0.2">
      <c r="X79" s="27"/>
      <c r="AB79" s="30"/>
    </row>
    <row r="80" spans="24:28" x14ac:dyDescent="0.2">
      <c r="X80" s="27"/>
      <c r="AB80" s="30"/>
    </row>
    <row r="81" spans="24:28" x14ac:dyDescent="0.2">
      <c r="X81" s="27"/>
      <c r="AB81" s="30"/>
    </row>
    <row r="82" spans="24:28" x14ac:dyDescent="0.2">
      <c r="X82" s="27"/>
      <c r="AB82" s="30"/>
    </row>
    <row r="83" spans="24:28" x14ac:dyDescent="0.2">
      <c r="X83" s="27"/>
      <c r="AB83" s="30"/>
    </row>
    <row r="84" spans="24:28" x14ac:dyDescent="0.2">
      <c r="X84" s="27"/>
      <c r="AB84" s="30"/>
    </row>
    <row r="85" spans="24:28" x14ac:dyDescent="0.2">
      <c r="X85" s="27"/>
      <c r="AB85" s="30"/>
    </row>
    <row r="86" spans="24:28" x14ac:dyDescent="0.2">
      <c r="X86" s="27"/>
      <c r="AB86" s="30"/>
    </row>
    <row r="87" spans="24:28" x14ac:dyDescent="0.2">
      <c r="X87" s="27"/>
      <c r="AB87" s="30"/>
    </row>
    <row r="88" spans="24:28" x14ac:dyDescent="0.2">
      <c r="X88" s="27"/>
      <c r="AB88" s="30"/>
    </row>
    <row r="89" spans="24:28" x14ac:dyDescent="0.2">
      <c r="X89" s="27"/>
      <c r="AB89" s="30"/>
    </row>
    <row r="90" spans="24:28" x14ac:dyDescent="0.2">
      <c r="X90" s="27"/>
      <c r="AB90" s="30"/>
    </row>
    <row r="91" spans="24:28" x14ac:dyDescent="0.2">
      <c r="X91" s="27"/>
      <c r="AB91" s="30"/>
    </row>
    <row r="92" spans="24:28" x14ac:dyDescent="0.2">
      <c r="X92" s="27"/>
      <c r="AB92" s="30"/>
    </row>
    <row r="93" spans="24:28" x14ac:dyDescent="0.2">
      <c r="X93" s="27"/>
      <c r="AB93" s="30"/>
    </row>
    <row r="94" spans="24:28" x14ac:dyDescent="0.2">
      <c r="X94" s="27"/>
      <c r="AB94" s="30"/>
    </row>
    <row r="95" spans="24:28" x14ac:dyDescent="0.2">
      <c r="X95" s="27"/>
      <c r="AB95" s="30"/>
    </row>
    <row r="96" spans="24:28" x14ac:dyDescent="0.2">
      <c r="X96" s="27"/>
      <c r="AB96" s="30"/>
    </row>
    <row r="97" spans="24:28" x14ac:dyDescent="0.2">
      <c r="X97" s="27"/>
      <c r="AB97" s="30"/>
    </row>
    <row r="98" spans="24:28" x14ac:dyDescent="0.2">
      <c r="X98" s="27"/>
      <c r="AB98" s="30"/>
    </row>
    <row r="99" spans="24:28" x14ac:dyDescent="0.2">
      <c r="X99" s="27"/>
      <c r="AB99" s="30"/>
    </row>
    <row r="100" spans="24:28" x14ac:dyDescent="0.2">
      <c r="X100" s="27"/>
      <c r="AB100" s="30"/>
    </row>
    <row r="101" spans="24:28" x14ac:dyDescent="0.2">
      <c r="X101" s="27"/>
      <c r="AB101" s="30"/>
    </row>
    <row r="102" spans="24:28" x14ac:dyDescent="0.2">
      <c r="X102" s="27"/>
      <c r="AB102" s="30"/>
    </row>
    <row r="103" spans="24:28" x14ac:dyDescent="0.2">
      <c r="X103" s="27"/>
      <c r="AB103" s="30"/>
    </row>
    <row r="104" spans="24:28" x14ac:dyDescent="0.2">
      <c r="X104" s="27"/>
      <c r="AB104" s="30"/>
    </row>
    <row r="105" spans="24:28" x14ac:dyDescent="0.2">
      <c r="X105" s="27"/>
      <c r="AB105" s="30"/>
    </row>
    <row r="106" spans="24:28" x14ac:dyDescent="0.2">
      <c r="X106" s="27"/>
      <c r="AB106" s="30"/>
    </row>
    <row r="107" spans="24:28" x14ac:dyDescent="0.2">
      <c r="X107" s="27"/>
      <c r="AB107" s="30"/>
    </row>
    <row r="108" spans="24:28" x14ac:dyDescent="0.2">
      <c r="X108" s="27"/>
      <c r="AB108" s="30"/>
    </row>
    <row r="109" spans="24:28" x14ac:dyDescent="0.2">
      <c r="X109" s="27"/>
      <c r="AB109" s="30"/>
    </row>
    <row r="110" spans="24:28" x14ac:dyDescent="0.2">
      <c r="X110" s="27"/>
      <c r="AB110" s="30"/>
    </row>
    <row r="111" spans="24:28" x14ac:dyDescent="0.2">
      <c r="X111" s="27"/>
      <c r="AB111" s="30"/>
    </row>
    <row r="112" spans="24:28" x14ac:dyDescent="0.2">
      <c r="X112" s="27"/>
      <c r="AB112" s="30"/>
    </row>
    <row r="113" spans="24:28" x14ac:dyDescent="0.2">
      <c r="X113" s="27"/>
      <c r="AB113" s="30"/>
    </row>
    <row r="114" spans="24:28" x14ac:dyDescent="0.2">
      <c r="X114" s="27"/>
      <c r="AB114" s="30"/>
    </row>
    <row r="115" spans="24:28" x14ac:dyDescent="0.2">
      <c r="X115" s="27"/>
      <c r="AB115" s="30"/>
    </row>
    <row r="116" spans="24:28" x14ac:dyDescent="0.2">
      <c r="X116" s="27"/>
      <c r="AB116" s="30"/>
    </row>
    <row r="117" spans="24:28" x14ac:dyDescent="0.2">
      <c r="X117" s="27"/>
      <c r="AB117" s="30"/>
    </row>
    <row r="118" spans="24:28" x14ac:dyDescent="0.2">
      <c r="X118" s="27"/>
      <c r="AB118" s="30"/>
    </row>
    <row r="119" spans="24:28" x14ac:dyDescent="0.2">
      <c r="X119" s="27"/>
      <c r="AB119" s="30"/>
    </row>
    <row r="120" spans="24:28" x14ac:dyDescent="0.2">
      <c r="X120" s="27"/>
      <c r="AB120" s="30"/>
    </row>
    <row r="121" spans="24:28" x14ac:dyDescent="0.2">
      <c r="X121" s="27"/>
      <c r="AB121" s="30"/>
    </row>
    <row r="122" spans="24:28" x14ac:dyDescent="0.2">
      <c r="X122" s="27"/>
      <c r="AB122" s="30"/>
    </row>
    <row r="123" spans="24:28" x14ac:dyDescent="0.2">
      <c r="X123" s="27"/>
      <c r="AB123" s="30"/>
    </row>
    <row r="124" spans="24:28" x14ac:dyDescent="0.2">
      <c r="X124" s="27"/>
      <c r="AB124" s="30"/>
    </row>
    <row r="125" spans="24:28" x14ac:dyDescent="0.2">
      <c r="X125" s="27"/>
      <c r="AB125" s="30"/>
    </row>
    <row r="126" spans="24:28" x14ac:dyDescent="0.2">
      <c r="X126" s="27"/>
      <c r="AB126" s="30"/>
    </row>
    <row r="127" spans="24:28" x14ac:dyDescent="0.2">
      <c r="X127" s="27"/>
      <c r="AB127" s="30"/>
    </row>
    <row r="128" spans="24:28" x14ac:dyDescent="0.2">
      <c r="X128" s="27"/>
      <c r="AB128" s="30"/>
    </row>
    <row r="129" spans="24:28" x14ac:dyDescent="0.2">
      <c r="X129" s="27"/>
      <c r="AB129" s="30"/>
    </row>
    <row r="130" spans="24:28" x14ac:dyDescent="0.2">
      <c r="X130" s="27"/>
      <c r="AB130" s="30"/>
    </row>
    <row r="131" spans="24:28" x14ac:dyDescent="0.2">
      <c r="X131" s="27"/>
      <c r="AB131" s="30"/>
    </row>
    <row r="132" spans="24:28" x14ac:dyDescent="0.2">
      <c r="X132" s="27"/>
      <c r="AB132" s="30"/>
    </row>
    <row r="133" spans="24:28" x14ac:dyDescent="0.2">
      <c r="X133" s="27"/>
      <c r="AB133" s="30"/>
    </row>
    <row r="134" spans="24:28" x14ac:dyDescent="0.2">
      <c r="X134" s="27"/>
      <c r="AB134" s="30"/>
    </row>
    <row r="135" spans="24:28" x14ac:dyDescent="0.2">
      <c r="X135" s="27"/>
      <c r="AB135" s="30"/>
    </row>
    <row r="136" spans="24:28" x14ac:dyDescent="0.2">
      <c r="X136" s="27"/>
      <c r="AB136" s="30"/>
    </row>
    <row r="137" spans="24:28" x14ac:dyDescent="0.2">
      <c r="X137" s="27"/>
      <c r="AB137" s="30"/>
    </row>
    <row r="138" spans="24:28" x14ac:dyDescent="0.2">
      <c r="X138" s="27"/>
      <c r="AB138" s="30"/>
    </row>
    <row r="139" spans="24:28" x14ac:dyDescent="0.2">
      <c r="X139" s="27"/>
      <c r="AB139" s="30"/>
    </row>
    <row r="140" spans="24:28" x14ac:dyDescent="0.2">
      <c r="X140" s="27"/>
      <c r="AB140" s="30"/>
    </row>
    <row r="141" spans="24:28" x14ac:dyDescent="0.2">
      <c r="X141" s="27"/>
      <c r="AB141" s="30"/>
    </row>
    <row r="142" spans="24:28" x14ac:dyDescent="0.2">
      <c r="X142" s="27"/>
      <c r="AB142" s="30"/>
    </row>
    <row r="143" spans="24:28" x14ac:dyDescent="0.2">
      <c r="X143" s="27"/>
      <c r="AB143" s="30"/>
    </row>
    <row r="144" spans="24:28" x14ac:dyDescent="0.2">
      <c r="X144" s="27"/>
      <c r="AB144" s="30"/>
    </row>
    <row r="145" spans="24:28" x14ac:dyDescent="0.2">
      <c r="X145" s="27"/>
      <c r="AB145" s="30"/>
    </row>
    <row r="146" spans="24:28" x14ac:dyDescent="0.2">
      <c r="X146" s="27"/>
      <c r="AB146" s="30"/>
    </row>
    <row r="147" spans="24:28" x14ac:dyDescent="0.2">
      <c r="X147" s="27"/>
      <c r="AB147" s="30"/>
    </row>
    <row r="148" spans="24:28" x14ac:dyDescent="0.2">
      <c r="X148" s="27"/>
      <c r="AB148" s="30"/>
    </row>
    <row r="149" spans="24:28" x14ac:dyDescent="0.2">
      <c r="X149" s="27"/>
      <c r="AB149" s="30"/>
    </row>
    <row r="150" spans="24:28" x14ac:dyDescent="0.2">
      <c r="X150" s="27"/>
      <c r="AB150" s="30"/>
    </row>
    <row r="151" spans="24:28" x14ac:dyDescent="0.2">
      <c r="X151" s="27"/>
      <c r="AB151" s="30"/>
    </row>
    <row r="152" spans="24:28" x14ac:dyDescent="0.2">
      <c r="X152" s="27"/>
      <c r="AB152" s="30"/>
    </row>
    <row r="153" spans="24:28" x14ac:dyDescent="0.2">
      <c r="X153" s="27"/>
      <c r="AB153" s="30"/>
    </row>
    <row r="154" spans="24:28" x14ac:dyDescent="0.2">
      <c r="X154" s="27"/>
      <c r="AB154" s="30"/>
    </row>
    <row r="155" spans="24:28" x14ac:dyDescent="0.2">
      <c r="X155" s="27"/>
      <c r="AB155" s="30"/>
    </row>
    <row r="156" spans="24:28" x14ac:dyDescent="0.2">
      <c r="X156" s="27"/>
      <c r="AB156" s="30"/>
    </row>
    <row r="157" spans="24:28" x14ac:dyDescent="0.2">
      <c r="X157" s="27"/>
      <c r="AB157" s="30"/>
    </row>
    <row r="158" spans="24:28" x14ac:dyDescent="0.2">
      <c r="X158" s="27"/>
      <c r="AB158" s="30"/>
    </row>
    <row r="159" spans="24:28" x14ac:dyDescent="0.2">
      <c r="X159" s="27"/>
      <c r="AB159" s="30"/>
    </row>
    <row r="160" spans="24:28" x14ac:dyDescent="0.2">
      <c r="X160" s="27"/>
      <c r="AB160" s="30"/>
    </row>
    <row r="161" spans="24:28" x14ac:dyDescent="0.2">
      <c r="X161" s="27"/>
      <c r="AB161" s="30"/>
    </row>
    <row r="162" spans="24:28" x14ac:dyDescent="0.2">
      <c r="X162" s="27"/>
      <c r="AB162" s="30"/>
    </row>
    <row r="163" spans="24:28" x14ac:dyDescent="0.2">
      <c r="X163" s="27"/>
      <c r="AB163" s="30"/>
    </row>
    <row r="164" spans="24:28" x14ac:dyDescent="0.2">
      <c r="X164" s="27"/>
      <c r="AB164" s="30"/>
    </row>
    <row r="165" spans="24:28" x14ac:dyDescent="0.2">
      <c r="X165" s="27"/>
      <c r="AB165" s="30"/>
    </row>
    <row r="166" spans="24:28" x14ac:dyDescent="0.2">
      <c r="X166" s="27"/>
      <c r="AB166" s="30"/>
    </row>
    <row r="167" spans="24:28" x14ac:dyDescent="0.2">
      <c r="X167" s="27"/>
      <c r="AB167" s="30"/>
    </row>
    <row r="168" spans="24:28" x14ac:dyDescent="0.2">
      <c r="X168" s="27"/>
      <c r="AB168" s="30"/>
    </row>
    <row r="169" spans="24:28" x14ac:dyDescent="0.2">
      <c r="X169" s="27"/>
      <c r="AB169" s="30"/>
    </row>
    <row r="170" spans="24:28" x14ac:dyDescent="0.2">
      <c r="X170" s="27"/>
      <c r="AB170" s="30"/>
    </row>
    <row r="171" spans="24:28" x14ac:dyDescent="0.2">
      <c r="X171" s="27"/>
      <c r="AB171" s="30"/>
    </row>
    <row r="172" spans="24:28" x14ac:dyDescent="0.2">
      <c r="X172" s="27"/>
      <c r="AB172" s="30"/>
    </row>
    <row r="173" spans="24:28" x14ac:dyDescent="0.2">
      <c r="X173" s="27"/>
      <c r="AB173" s="30"/>
    </row>
    <row r="174" spans="24:28" x14ac:dyDescent="0.2">
      <c r="X174" s="27"/>
      <c r="AB174" s="30"/>
    </row>
    <row r="175" spans="24:28" x14ac:dyDescent="0.2">
      <c r="X175" s="27"/>
      <c r="AB175" s="30"/>
    </row>
    <row r="176" spans="24:28" x14ac:dyDescent="0.2">
      <c r="X176" s="27"/>
      <c r="AB176" s="30"/>
    </row>
    <row r="177" spans="24:28" x14ac:dyDescent="0.2">
      <c r="X177" s="27"/>
      <c r="AB177" s="30"/>
    </row>
    <row r="178" spans="24:28" x14ac:dyDescent="0.2">
      <c r="X178" s="27"/>
      <c r="AB178" s="30"/>
    </row>
    <row r="179" spans="24:28" x14ac:dyDescent="0.2">
      <c r="X179" s="27"/>
      <c r="AB179" s="30"/>
    </row>
    <row r="180" spans="24:28" x14ac:dyDescent="0.2">
      <c r="X180" s="27"/>
      <c r="AB180" s="30"/>
    </row>
    <row r="181" spans="24:28" x14ac:dyDescent="0.2">
      <c r="X181" s="27"/>
      <c r="AB181" s="30"/>
    </row>
    <row r="182" spans="24:28" x14ac:dyDescent="0.2">
      <c r="X182" s="27"/>
      <c r="AB182" s="30"/>
    </row>
    <row r="183" spans="24:28" x14ac:dyDescent="0.2">
      <c r="X183" s="27"/>
      <c r="AB183" s="30"/>
    </row>
    <row r="184" spans="24:28" x14ac:dyDescent="0.2">
      <c r="X184" s="27"/>
      <c r="AB184" s="30"/>
    </row>
    <row r="185" spans="24:28" x14ac:dyDescent="0.2">
      <c r="X185" s="27"/>
      <c r="AB185" s="30"/>
    </row>
    <row r="186" spans="24:28" x14ac:dyDescent="0.2">
      <c r="X186" s="27"/>
      <c r="AB186" s="30"/>
    </row>
    <row r="187" spans="24:28" x14ac:dyDescent="0.2">
      <c r="X187" s="27"/>
      <c r="AB187" s="30"/>
    </row>
    <row r="188" spans="24:28" x14ac:dyDescent="0.2">
      <c r="X188" s="27"/>
      <c r="AB188" s="30"/>
    </row>
    <row r="189" spans="24:28" x14ac:dyDescent="0.2">
      <c r="X189" s="27"/>
      <c r="AB189" s="30"/>
    </row>
    <row r="190" spans="24:28" x14ac:dyDescent="0.2">
      <c r="X190" s="27"/>
      <c r="AB190" s="30"/>
    </row>
    <row r="191" spans="24:28" x14ac:dyDescent="0.2">
      <c r="X191" s="27"/>
      <c r="AB191" s="30"/>
    </row>
    <row r="192" spans="24:28" x14ac:dyDescent="0.2">
      <c r="X192" s="27"/>
      <c r="AB192" s="30"/>
    </row>
    <row r="193" spans="24:28" x14ac:dyDescent="0.2">
      <c r="X193" s="27"/>
      <c r="AB193" s="30"/>
    </row>
    <row r="194" spans="24:28" x14ac:dyDescent="0.2">
      <c r="X194" s="27"/>
      <c r="AB194" s="30"/>
    </row>
    <row r="195" spans="24:28" x14ac:dyDescent="0.2">
      <c r="X195" s="27"/>
      <c r="AB195" s="30"/>
    </row>
    <row r="196" spans="24:28" x14ac:dyDescent="0.2">
      <c r="X196" s="27"/>
      <c r="AB196" s="30"/>
    </row>
    <row r="197" spans="24:28" x14ac:dyDescent="0.2">
      <c r="X197" s="27"/>
      <c r="AB197" s="30"/>
    </row>
    <row r="198" spans="24:28" x14ac:dyDescent="0.2">
      <c r="X198" s="27"/>
      <c r="AB198" s="30"/>
    </row>
    <row r="199" spans="24:28" x14ac:dyDescent="0.2">
      <c r="X199" s="27"/>
      <c r="AB199" s="30"/>
    </row>
    <row r="200" spans="24:28" x14ac:dyDescent="0.2">
      <c r="X200" s="27"/>
      <c r="AB200" s="30"/>
    </row>
    <row r="201" spans="24:28" x14ac:dyDescent="0.2">
      <c r="X201" s="27"/>
      <c r="AB201" s="30"/>
    </row>
    <row r="202" spans="24:28" x14ac:dyDescent="0.2">
      <c r="X202" s="27"/>
      <c r="AB202" s="30"/>
    </row>
    <row r="203" spans="24:28" x14ac:dyDescent="0.2">
      <c r="X203" s="27"/>
      <c r="AB203" s="30"/>
    </row>
    <row r="204" spans="24:28" x14ac:dyDescent="0.2">
      <c r="X204" s="27"/>
      <c r="AB204" s="30"/>
    </row>
    <row r="205" spans="24:28" x14ac:dyDescent="0.2">
      <c r="X205" s="27"/>
      <c r="AB205" s="30"/>
    </row>
    <row r="206" spans="24:28" x14ac:dyDescent="0.2">
      <c r="X206" s="27"/>
      <c r="AB206" s="30"/>
    </row>
    <row r="207" spans="24:28" x14ac:dyDescent="0.2">
      <c r="X207" s="27"/>
      <c r="AB207" s="30"/>
    </row>
    <row r="208" spans="24:28" x14ac:dyDescent="0.2">
      <c r="X208" s="27"/>
      <c r="AB208" s="30"/>
    </row>
    <row r="209" spans="24:28" x14ac:dyDescent="0.2">
      <c r="X209" s="27"/>
      <c r="AB209" s="30"/>
    </row>
    <row r="210" spans="24:28" x14ac:dyDescent="0.2">
      <c r="X210" s="27"/>
      <c r="AB210" s="30"/>
    </row>
    <row r="211" spans="24:28" x14ac:dyDescent="0.2">
      <c r="X211" s="27"/>
      <c r="AB211" s="30"/>
    </row>
    <row r="212" spans="24:28" x14ac:dyDescent="0.2">
      <c r="X212" s="27"/>
      <c r="AB212" s="30"/>
    </row>
    <row r="213" spans="24:28" x14ac:dyDescent="0.2">
      <c r="X213" s="27"/>
      <c r="AB213" s="30"/>
    </row>
    <row r="214" spans="24:28" x14ac:dyDescent="0.2">
      <c r="X214" s="27"/>
      <c r="AB214" s="30"/>
    </row>
    <row r="215" spans="24:28" x14ac:dyDescent="0.2">
      <c r="X215" s="27"/>
      <c r="AB215" s="30"/>
    </row>
    <row r="216" spans="24:28" x14ac:dyDescent="0.2">
      <c r="X216" s="27"/>
      <c r="AB216" s="30"/>
    </row>
    <row r="217" spans="24:28" x14ac:dyDescent="0.2">
      <c r="X217" s="27"/>
      <c r="AB217" s="30"/>
    </row>
    <row r="218" spans="24:28" x14ac:dyDescent="0.2">
      <c r="X218" s="27"/>
      <c r="AB218" s="30"/>
    </row>
    <row r="219" spans="24:28" x14ac:dyDescent="0.2">
      <c r="X219" s="27"/>
      <c r="AB219" s="30"/>
    </row>
    <row r="220" spans="24:28" x14ac:dyDescent="0.2">
      <c r="X220" s="27"/>
      <c r="AB220" s="30"/>
    </row>
    <row r="221" spans="24:28" x14ac:dyDescent="0.2">
      <c r="X221" s="27"/>
      <c r="AB221" s="30"/>
    </row>
    <row r="222" spans="24:28" x14ac:dyDescent="0.2">
      <c r="X222" s="27"/>
      <c r="AB222" s="30"/>
    </row>
    <row r="223" spans="24:28" x14ac:dyDescent="0.2">
      <c r="X223" s="27"/>
      <c r="AB223" s="30"/>
    </row>
    <row r="224" spans="24:28" x14ac:dyDescent="0.2">
      <c r="X224" s="27"/>
      <c r="AB224" s="30"/>
    </row>
    <row r="225" spans="24:28" x14ac:dyDescent="0.2">
      <c r="X225" s="27"/>
      <c r="AB225" s="30"/>
    </row>
    <row r="226" spans="24:28" x14ac:dyDescent="0.2">
      <c r="X226" s="27"/>
      <c r="AB226" s="30"/>
    </row>
    <row r="227" spans="24:28" x14ac:dyDescent="0.2">
      <c r="X227" s="27"/>
      <c r="AB227" s="30"/>
    </row>
    <row r="228" spans="24:28" x14ac:dyDescent="0.2">
      <c r="X228" s="27"/>
      <c r="AB228" s="30"/>
    </row>
    <row r="229" spans="24:28" x14ac:dyDescent="0.2">
      <c r="X229" s="27"/>
      <c r="AB229" s="30"/>
    </row>
    <row r="230" spans="24:28" x14ac:dyDescent="0.2">
      <c r="X230" s="27"/>
      <c r="AB230" s="30"/>
    </row>
    <row r="231" spans="24:28" x14ac:dyDescent="0.2">
      <c r="X231" s="27"/>
      <c r="AB231" s="30"/>
    </row>
    <row r="232" spans="24:28" x14ac:dyDescent="0.2">
      <c r="X232" s="27"/>
      <c r="AB232" s="30"/>
    </row>
    <row r="233" spans="24:28" x14ac:dyDescent="0.2">
      <c r="X233" s="27"/>
      <c r="AB233" s="30"/>
    </row>
    <row r="234" spans="24:28" x14ac:dyDescent="0.2">
      <c r="X234" s="27"/>
      <c r="AB234" s="30"/>
    </row>
    <row r="235" spans="24:28" x14ac:dyDescent="0.2">
      <c r="X235" s="27"/>
      <c r="AB235" s="30"/>
    </row>
    <row r="236" spans="24:28" x14ac:dyDescent="0.2">
      <c r="X236" s="27"/>
      <c r="AB236" s="30"/>
    </row>
    <row r="237" spans="24:28" x14ac:dyDescent="0.2">
      <c r="X237" s="27"/>
      <c r="AB237" s="30"/>
    </row>
    <row r="238" spans="24:28" x14ac:dyDescent="0.2">
      <c r="X238" s="27"/>
      <c r="AB238" s="30"/>
    </row>
    <row r="239" spans="24:28" x14ac:dyDescent="0.2">
      <c r="X239" s="27"/>
      <c r="AB239" s="30"/>
    </row>
    <row r="240" spans="24:28" x14ac:dyDescent="0.2">
      <c r="X240" s="27"/>
      <c r="AB240" s="30"/>
    </row>
    <row r="241" spans="24:28" x14ac:dyDescent="0.2">
      <c r="X241" s="27"/>
      <c r="AB241" s="30"/>
    </row>
    <row r="242" spans="24:28" x14ac:dyDescent="0.2">
      <c r="X242" s="27"/>
      <c r="AB242" s="30"/>
    </row>
    <row r="243" spans="24:28" x14ac:dyDescent="0.2">
      <c r="X243" s="27"/>
      <c r="AB243" s="30"/>
    </row>
    <row r="244" spans="24:28" x14ac:dyDescent="0.2">
      <c r="X244" s="27"/>
      <c r="AB244" s="30"/>
    </row>
    <row r="245" spans="24:28" x14ac:dyDescent="0.2">
      <c r="X245" s="27"/>
      <c r="AB245" s="30"/>
    </row>
    <row r="246" spans="24:28" x14ac:dyDescent="0.2">
      <c r="X246" s="27"/>
      <c r="AB246" s="30"/>
    </row>
    <row r="247" spans="24:28" x14ac:dyDescent="0.2">
      <c r="X247" s="27"/>
      <c r="AB247" s="30"/>
    </row>
    <row r="248" spans="24:28" x14ac:dyDescent="0.2">
      <c r="X248" s="27"/>
      <c r="AB248" s="30"/>
    </row>
    <row r="249" spans="24:28" x14ac:dyDescent="0.2">
      <c r="X249" s="27"/>
      <c r="AB249" s="30"/>
    </row>
    <row r="250" spans="24:28" x14ac:dyDescent="0.2">
      <c r="X250" s="27"/>
      <c r="AB250" s="30"/>
    </row>
    <row r="251" spans="24:28" x14ac:dyDescent="0.2">
      <c r="X251" s="27"/>
      <c r="AB251" s="30"/>
    </row>
    <row r="252" spans="24:28" x14ac:dyDescent="0.2">
      <c r="X252" s="27"/>
      <c r="AB252" s="30"/>
    </row>
    <row r="253" spans="24:28" x14ac:dyDescent="0.2">
      <c r="X253" s="27"/>
      <c r="AB253" s="30"/>
    </row>
    <row r="254" spans="24:28" x14ac:dyDescent="0.2">
      <c r="X254" s="27"/>
      <c r="AB254" s="30"/>
    </row>
    <row r="255" spans="24:28" x14ac:dyDescent="0.2">
      <c r="X255" s="27"/>
      <c r="AB255" s="30"/>
    </row>
    <row r="256" spans="24:28" x14ac:dyDescent="0.2">
      <c r="X256" s="27"/>
      <c r="AB256" s="30"/>
    </row>
    <row r="257" spans="24:28" x14ac:dyDescent="0.2">
      <c r="X257" s="27"/>
      <c r="AB257" s="30"/>
    </row>
    <row r="258" spans="24:28" x14ac:dyDescent="0.2">
      <c r="X258" s="27"/>
      <c r="AB258" s="30"/>
    </row>
    <row r="259" spans="24:28" x14ac:dyDescent="0.2">
      <c r="X259" s="27"/>
      <c r="AB259" s="30"/>
    </row>
    <row r="260" spans="24:28" x14ac:dyDescent="0.2">
      <c r="X260" s="27"/>
      <c r="AB260" s="30"/>
    </row>
    <row r="261" spans="24:28" x14ac:dyDescent="0.2">
      <c r="X261" s="27"/>
      <c r="AB261" s="30"/>
    </row>
    <row r="262" spans="24:28" x14ac:dyDescent="0.2">
      <c r="X262" s="27"/>
      <c r="AB262" s="30"/>
    </row>
    <row r="263" spans="24:28" x14ac:dyDescent="0.2">
      <c r="X263" s="27"/>
      <c r="AB263" s="30"/>
    </row>
    <row r="264" spans="24:28" x14ac:dyDescent="0.2">
      <c r="X264" s="27"/>
      <c r="AB264" s="30"/>
    </row>
    <row r="265" spans="24:28" x14ac:dyDescent="0.2">
      <c r="X265" s="27"/>
      <c r="AB265" s="30"/>
    </row>
    <row r="266" spans="24:28" x14ac:dyDescent="0.2">
      <c r="X266" s="27"/>
      <c r="AB266" s="30"/>
    </row>
    <row r="267" spans="24:28" x14ac:dyDescent="0.2">
      <c r="X267" s="27"/>
      <c r="AB267" s="30"/>
    </row>
    <row r="268" spans="24:28" x14ac:dyDescent="0.2">
      <c r="X268" s="27"/>
      <c r="AB268" s="30"/>
    </row>
    <row r="269" spans="24:28" x14ac:dyDescent="0.2">
      <c r="X269" s="27"/>
      <c r="AB269" s="30"/>
    </row>
    <row r="270" spans="24:28" x14ac:dyDescent="0.2">
      <c r="X270" s="27"/>
      <c r="AB270" s="30"/>
    </row>
    <row r="271" spans="24:28" x14ac:dyDescent="0.2">
      <c r="X271" s="27"/>
      <c r="AB271" s="30"/>
    </row>
    <row r="272" spans="24:28" x14ac:dyDescent="0.2">
      <c r="X272" s="27"/>
      <c r="AB272" s="30"/>
    </row>
    <row r="273" spans="24:28" x14ac:dyDescent="0.2">
      <c r="X273" s="27"/>
      <c r="AB273" s="30"/>
    </row>
    <row r="274" spans="24:28" x14ac:dyDescent="0.2">
      <c r="X274" s="27"/>
      <c r="AB274" s="30"/>
    </row>
    <row r="275" spans="24:28" x14ac:dyDescent="0.2">
      <c r="X275" s="27"/>
      <c r="AB275" s="30"/>
    </row>
    <row r="276" spans="24:28" x14ac:dyDescent="0.2">
      <c r="X276" s="27"/>
      <c r="AB276" s="30"/>
    </row>
    <row r="277" spans="24:28" x14ac:dyDescent="0.2">
      <c r="X277" s="27"/>
      <c r="AB277" s="30"/>
    </row>
    <row r="278" spans="24:28" x14ac:dyDescent="0.2">
      <c r="X278" s="27"/>
      <c r="AB278" s="30"/>
    </row>
    <row r="279" spans="24:28" x14ac:dyDescent="0.2">
      <c r="X279" s="27"/>
      <c r="AB279" s="30"/>
    </row>
    <row r="280" spans="24:28" x14ac:dyDescent="0.2">
      <c r="X280" s="27"/>
      <c r="AB280" s="30"/>
    </row>
    <row r="281" spans="24:28" x14ac:dyDescent="0.2">
      <c r="X281" s="27"/>
      <c r="AB281" s="30"/>
    </row>
    <row r="282" spans="24:28" x14ac:dyDescent="0.2">
      <c r="X282" s="27"/>
      <c r="AB282" s="30"/>
    </row>
    <row r="283" spans="24:28" x14ac:dyDescent="0.2">
      <c r="X283" s="27"/>
      <c r="AB283" s="30"/>
    </row>
    <row r="284" spans="24:28" x14ac:dyDescent="0.2">
      <c r="X284" s="27"/>
      <c r="AB284" s="30"/>
    </row>
    <row r="285" spans="24:28" x14ac:dyDescent="0.2">
      <c r="X285" s="27"/>
      <c r="AB285" s="30"/>
    </row>
    <row r="286" spans="24:28" x14ac:dyDescent="0.2">
      <c r="X286" s="27"/>
      <c r="AB286" s="30"/>
    </row>
    <row r="287" spans="24:28" x14ac:dyDescent="0.2">
      <c r="X287" s="27"/>
      <c r="AB287" s="30"/>
    </row>
    <row r="288" spans="24:28" x14ac:dyDescent="0.2">
      <c r="X288" s="27"/>
      <c r="AB288" s="30"/>
    </row>
    <row r="289" spans="24:28" x14ac:dyDescent="0.2">
      <c r="X289" s="27"/>
      <c r="AB289" s="30"/>
    </row>
    <row r="290" spans="24:28" x14ac:dyDescent="0.2">
      <c r="X290" s="27"/>
      <c r="AB290" s="30"/>
    </row>
    <row r="291" spans="24:28" x14ac:dyDescent="0.2">
      <c r="X291" s="27"/>
      <c r="AB291" s="30"/>
    </row>
    <row r="292" spans="24:28" x14ac:dyDescent="0.2">
      <c r="X292" s="27"/>
      <c r="AB292" s="30"/>
    </row>
    <row r="293" spans="24:28" x14ac:dyDescent="0.2">
      <c r="X293" s="27"/>
      <c r="AB293" s="30"/>
    </row>
    <row r="294" spans="24:28" x14ac:dyDescent="0.2">
      <c r="X294" s="27"/>
      <c r="AB294" s="30"/>
    </row>
    <row r="295" spans="24:28" x14ac:dyDescent="0.2">
      <c r="X295" s="27"/>
      <c r="AB295" s="30"/>
    </row>
    <row r="296" spans="24:28" x14ac:dyDescent="0.2">
      <c r="X296" s="27"/>
      <c r="AB296" s="30"/>
    </row>
    <row r="297" spans="24:28" x14ac:dyDescent="0.2">
      <c r="X297" s="27"/>
      <c r="AB297" s="30"/>
    </row>
    <row r="298" spans="24:28" x14ac:dyDescent="0.2">
      <c r="X298" s="27"/>
      <c r="AB298" s="30"/>
    </row>
    <row r="299" spans="24:28" x14ac:dyDescent="0.2">
      <c r="X299" s="27"/>
      <c r="AB299" s="30"/>
    </row>
    <row r="300" spans="24:28" x14ac:dyDescent="0.2">
      <c r="X300" s="27"/>
      <c r="AB300" s="30"/>
    </row>
    <row r="301" spans="24:28" x14ac:dyDescent="0.2">
      <c r="X301" s="27"/>
      <c r="AB301" s="30"/>
    </row>
    <row r="302" spans="24:28" x14ac:dyDescent="0.2">
      <c r="X302" s="27"/>
      <c r="AB302" s="30"/>
    </row>
    <row r="303" spans="24:28" x14ac:dyDescent="0.2">
      <c r="X303" s="27"/>
      <c r="AB303" s="30"/>
    </row>
    <row r="304" spans="24:28" x14ac:dyDescent="0.2">
      <c r="X304" s="27"/>
      <c r="AB304" s="30"/>
    </row>
    <row r="305" spans="24:28" x14ac:dyDescent="0.2">
      <c r="X305" s="27"/>
      <c r="AB305" s="30"/>
    </row>
    <row r="306" spans="24:28" x14ac:dyDescent="0.2">
      <c r="X306" s="27"/>
      <c r="AB306" s="30"/>
    </row>
    <row r="307" spans="24:28" x14ac:dyDescent="0.2">
      <c r="X307" s="27"/>
      <c r="AB307" s="30"/>
    </row>
    <row r="308" spans="24:28" x14ac:dyDescent="0.2">
      <c r="X308" s="27"/>
      <c r="AB308" s="30"/>
    </row>
    <row r="309" spans="24:28" x14ac:dyDescent="0.2">
      <c r="X309" s="27"/>
      <c r="AB309" s="30"/>
    </row>
    <row r="310" spans="24:28" x14ac:dyDescent="0.2">
      <c r="X310" s="27"/>
      <c r="AB310" s="30"/>
    </row>
    <row r="311" spans="24:28" x14ac:dyDescent="0.2">
      <c r="X311" s="27"/>
      <c r="AB311" s="30"/>
    </row>
    <row r="312" spans="24:28" x14ac:dyDescent="0.2">
      <c r="X312" s="27"/>
      <c r="AB312" s="30"/>
    </row>
    <row r="313" spans="24:28" x14ac:dyDescent="0.2">
      <c r="X313" s="27"/>
      <c r="AB313" s="30"/>
    </row>
    <row r="314" spans="24:28" x14ac:dyDescent="0.2">
      <c r="X314" s="27"/>
      <c r="AB314" s="30"/>
    </row>
    <row r="315" spans="24:28" x14ac:dyDescent="0.2">
      <c r="X315" s="27"/>
      <c r="AB315" s="30"/>
    </row>
    <row r="316" spans="24:28" x14ac:dyDescent="0.2">
      <c r="X316" s="27"/>
      <c r="AB316" s="30"/>
    </row>
    <row r="317" spans="24:28" x14ac:dyDescent="0.2">
      <c r="X317" s="27"/>
      <c r="AB317" s="30"/>
    </row>
    <row r="318" spans="24:28" x14ac:dyDescent="0.2">
      <c r="X318" s="27"/>
      <c r="AB318" s="30"/>
    </row>
    <row r="319" spans="24:28" x14ac:dyDescent="0.2">
      <c r="X319" s="27"/>
      <c r="AB319" s="30"/>
    </row>
    <row r="320" spans="24:28" x14ac:dyDescent="0.2">
      <c r="X320" s="27"/>
      <c r="AB320" s="30"/>
    </row>
    <row r="321" spans="24:28" x14ac:dyDescent="0.2">
      <c r="X321" s="27"/>
      <c r="AB321" s="30"/>
    </row>
    <row r="322" spans="24:28" x14ac:dyDescent="0.2">
      <c r="X322" s="27"/>
      <c r="AB322" s="30"/>
    </row>
    <row r="323" spans="24:28" x14ac:dyDescent="0.2">
      <c r="X323" s="27"/>
      <c r="AB323" s="30"/>
    </row>
    <row r="324" spans="24:28" x14ac:dyDescent="0.2">
      <c r="X324" s="27"/>
      <c r="AB324" s="30"/>
    </row>
    <row r="325" spans="24:28" x14ac:dyDescent="0.2">
      <c r="X325" s="27"/>
      <c r="AB325" s="30"/>
    </row>
    <row r="326" spans="24:28" x14ac:dyDescent="0.2">
      <c r="X326" s="27"/>
      <c r="AB326" s="30"/>
    </row>
    <row r="327" spans="24:28" x14ac:dyDescent="0.2">
      <c r="X327" s="27"/>
      <c r="AB327" s="30"/>
    </row>
    <row r="328" spans="24:28" x14ac:dyDescent="0.2">
      <c r="X328" s="27"/>
      <c r="AB328" s="30"/>
    </row>
    <row r="329" spans="24:28" x14ac:dyDescent="0.2">
      <c r="X329" s="27"/>
      <c r="AB329" s="30"/>
    </row>
    <row r="330" spans="24:28" x14ac:dyDescent="0.2">
      <c r="X330" s="27"/>
      <c r="AB330" s="30"/>
    </row>
    <row r="331" spans="24:28" x14ac:dyDescent="0.2">
      <c r="X331" s="27"/>
      <c r="AB331" s="30"/>
    </row>
    <row r="332" spans="24:28" x14ac:dyDescent="0.2">
      <c r="X332" s="27"/>
      <c r="AB332" s="30"/>
    </row>
    <row r="333" spans="24:28" x14ac:dyDescent="0.2">
      <c r="X333" s="27"/>
      <c r="AB333" s="30"/>
    </row>
    <row r="334" spans="24:28" x14ac:dyDescent="0.2">
      <c r="X334" s="27"/>
      <c r="AB334" s="30"/>
    </row>
    <row r="335" spans="24:28" x14ac:dyDescent="0.2">
      <c r="X335" s="27"/>
      <c r="AB335" s="30"/>
    </row>
    <row r="336" spans="24:28" x14ac:dyDescent="0.2">
      <c r="X336" s="27"/>
      <c r="AB336" s="30"/>
    </row>
    <row r="337" spans="24:28" x14ac:dyDescent="0.2">
      <c r="X337" s="27"/>
      <c r="AB337" s="30"/>
    </row>
    <row r="338" spans="24:28" x14ac:dyDescent="0.2">
      <c r="X338" s="27"/>
      <c r="AB338" s="30"/>
    </row>
    <row r="339" spans="24:28" x14ac:dyDescent="0.2">
      <c r="X339" s="27"/>
      <c r="AB339" s="30"/>
    </row>
    <row r="340" spans="24:28" x14ac:dyDescent="0.2">
      <c r="X340" s="27"/>
      <c r="AB340" s="30"/>
    </row>
    <row r="341" spans="24:28" x14ac:dyDescent="0.2">
      <c r="X341" s="27"/>
      <c r="AB341" s="30"/>
    </row>
    <row r="342" spans="24:28" x14ac:dyDescent="0.2">
      <c r="X342" s="27"/>
      <c r="AB342" s="30"/>
    </row>
    <row r="343" spans="24:28" x14ac:dyDescent="0.2">
      <c r="X343" s="27"/>
      <c r="AB343" s="30"/>
    </row>
    <row r="344" spans="24:28" x14ac:dyDescent="0.2">
      <c r="X344" s="27"/>
      <c r="AB344" s="30"/>
    </row>
    <row r="345" spans="24:28" x14ac:dyDescent="0.2">
      <c r="X345" s="27"/>
      <c r="AB345" s="30"/>
    </row>
    <row r="346" spans="24:28" x14ac:dyDescent="0.2">
      <c r="X346" s="27"/>
      <c r="AB346" s="30"/>
    </row>
    <row r="347" spans="24:28" x14ac:dyDescent="0.2">
      <c r="X347" s="27"/>
      <c r="AB347" s="30"/>
    </row>
    <row r="348" spans="24:28" x14ac:dyDescent="0.2">
      <c r="X348" s="27"/>
      <c r="AB348" s="30"/>
    </row>
    <row r="349" spans="24:28" x14ac:dyDescent="0.2">
      <c r="X349" s="27"/>
      <c r="AB349" s="30"/>
    </row>
    <row r="350" spans="24:28" x14ac:dyDescent="0.2">
      <c r="X350" s="27"/>
      <c r="AB350" s="30"/>
    </row>
    <row r="351" spans="24:28" x14ac:dyDescent="0.2">
      <c r="X351" s="27"/>
      <c r="AB351" s="30"/>
    </row>
    <row r="352" spans="24:28" x14ac:dyDescent="0.2">
      <c r="X352" s="27"/>
      <c r="AB352" s="30"/>
    </row>
    <row r="353" spans="24:28" x14ac:dyDescent="0.2">
      <c r="X353" s="27"/>
      <c r="AB353" s="30"/>
    </row>
    <row r="354" spans="24:28" x14ac:dyDescent="0.2">
      <c r="X354" s="27"/>
      <c r="AB354" s="30"/>
    </row>
    <row r="355" spans="24:28" x14ac:dyDescent="0.2">
      <c r="X355" s="27"/>
      <c r="AB355" s="30"/>
    </row>
    <row r="356" spans="24:28" x14ac:dyDescent="0.2">
      <c r="X356" s="27"/>
      <c r="AB356" s="30"/>
    </row>
    <row r="357" spans="24:28" x14ac:dyDescent="0.2">
      <c r="X357" s="27"/>
      <c r="AB357" s="30"/>
    </row>
    <row r="358" spans="24:28" x14ac:dyDescent="0.2">
      <c r="X358" s="27"/>
      <c r="AB358" s="30"/>
    </row>
    <row r="359" spans="24:28" x14ac:dyDescent="0.2">
      <c r="X359" s="27"/>
      <c r="AB359" s="30"/>
    </row>
    <row r="360" spans="24:28" x14ac:dyDescent="0.2">
      <c r="X360" s="27"/>
      <c r="AB360" s="30"/>
    </row>
    <row r="361" spans="24:28" x14ac:dyDescent="0.2">
      <c r="X361" s="27"/>
      <c r="AB361" s="30"/>
    </row>
    <row r="362" spans="24:28" x14ac:dyDescent="0.2">
      <c r="X362" s="27"/>
      <c r="AB362" s="30"/>
    </row>
    <row r="363" spans="24:28" x14ac:dyDescent="0.2">
      <c r="X363" s="27"/>
      <c r="AB363" s="30"/>
    </row>
    <row r="364" spans="24:28" x14ac:dyDescent="0.2">
      <c r="X364" s="27"/>
      <c r="AB364" s="30"/>
    </row>
    <row r="365" spans="24:28" x14ac:dyDescent="0.2">
      <c r="X365" s="27"/>
      <c r="AB365" s="30"/>
    </row>
    <row r="366" spans="24:28" x14ac:dyDescent="0.2">
      <c r="X366" s="27"/>
      <c r="AB366" s="30"/>
    </row>
    <row r="367" spans="24:28" x14ac:dyDescent="0.2">
      <c r="X367" s="27"/>
      <c r="AB367" s="30"/>
    </row>
    <row r="368" spans="24:28" x14ac:dyDescent="0.2">
      <c r="X368" s="27"/>
      <c r="AB368" s="30"/>
    </row>
    <row r="369" spans="24:28" x14ac:dyDescent="0.2">
      <c r="X369" s="27"/>
      <c r="AB369" s="30"/>
    </row>
    <row r="370" spans="24:28" x14ac:dyDescent="0.2">
      <c r="X370" s="27"/>
      <c r="AB370" s="30"/>
    </row>
    <row r="371" spans="24:28" x14ac:dyDescent="0.2">
      <c r="X371" s="27"/>
      <c r="AB371" s="30"/>
    </row>
    <row r="372" spans="24:28" x14ac:dyDescent="0.2">
      <c r="X372" s="27"/>
      <c r="AB372" s="30"/>
    </row>
    <row r="373" spans="24:28" x14ac:dyDescent="0.2">
      <c r="X373" s="27"/>
      <c r="AB373" s="30"/>
    </row>
    <row r="374" spans="24:28" x14ac:dyDescent="0.2">
      <c r="X374" s="27"/>
      <c r="AB374" s="30"/>
    </row>
    <row r="375" spans="24:28" x14ac:dyDescent="0.2">
      <c r="X375" s="27"/>
      <c r="AB375" s="30"/>
    </row>
    <row r="376" spans="24:28" x14ac:dyDescent="0.2">
      <c r="X376" s="27"/>
      <c r="AB376" s="30"/>
    </row>
    <row r="377" spans="24:28" x14ac:dyDescent="0.2">
      <c r="X377" s="27"/>
      <c r="AB377" s="30"/>
    </row>
    <row r="378" spans="24:28" x14ac:dyDescent="0.2">
      <c r="X378" s="27"/>
      <c r="AB378" s="30"/>
    </row>
    <row r="379" spans="24:28" x14ac:dyDescent="0.2">
      <c r="X379" s="27"/>
      <c r="AB379" s="30"/>
    </row>
    <row r="380" spans="24:28" x14ac:dyDescent="0.2">
      <c r="X380" s="27"/>
      <c r="AB380" s="30"/>
    </row>
    <row r="381" spans="24:28" x14ac:dyDescent="0.2">
      <c r="X381" s="27"/>
      <c r="AB381" s="30"/>
    </row>
    <row r="382" spans="24:28" x14ac:dyDescent="0.2">
      <c r="X382" s="27"/>
      <c r="AB382" s="30"/>
    </row>
    <row r="383" spans="24:28" x14ac:dyDescent="0.2">
      <c r="X383" s="27"/>
      <c r="AB383" s="30"/>
    </row>
    <row r="384" spans="24:28" x14ac:dyDescent="0.2">
      <c r="X384" s="27"/>
      <c r="AB384" s="30"/>
    </row>
    <row r="385" spans="24:28" x14ac:dyDescent="0.2">
      <c r="X385" s="27"/>
      <c r="AB385" s="30"/>
    </row>
    <row r="386" spans="24:28" x14ac:dyDescent="0.2">
      <c r="X386" s="27"/>
      <c r="AB386" s="30"/>
    </row>
    <row r="387" spans="24:28" x14ac:dyDescent="0.2">
      <c r="X387" s="27"/>
      <c r="AB387" s="30"/>
    </row>
    <row r="388" spans="24:28" x14ac:dyDescent="0.2">
      <c r="X388" s="27"/>
      <c r="AB388" s="30"/>
    </row>
    <row r="389" spans="24:28" x14ac:dyDescent="0.2">
      <c r="X389" s="27"/>
      <c r="AB389" s="30"/>
    </row>
    <row r="390" spans="24:28" x14ac:dyDescent="0.2">
      <c r="X390" s="27"/>
      <c r="AB390" s="30"/>
    </row>
    <row r="391" spans="24:28" x14ac:dyDescent="0.2">
      <c r="X391" s="27"/>
      <c r="AB391" s="30"/>
    </row>
    <row r="392" spans="24:28" x14ac:dyDescent="0.2">
      <c r="X392" s="27"/>
      <c r="AB392" s="30"/>
    </row>
    <row r="393" spans="24:28" x14ac:dyDescent="0.2">
      <c r="X393" s="27"/>
      <c r="AB393" s="30"/>
    </row>
    <row r="394" spans="24:28" x14ac:dyDescent="0.2">
      <c r="X394" s="27"/>
      <c r="AB394" s="30"/>
    </row>
    <row r="395" spans="24:28" x14ac:dyDescent="0.2">
      <c r="X395" s="27"/>
      <c r="AB395" s="30"/>
    </row>
    <row r="396" spans="24:28" x14ac:dyDescent="0.2">
      <c r="X396" s="27"/>
      <c r="AB396" s="30"/>
    </row>
    <row r="397" spans="24:28" x14ac:dyDescent="0.2">
      <c r="X397" s="27"/>
      <c r="AB397" s="30"/>
    </row>
    <row r="398" spans="24:28" x14ac:dyDescent="0.2">
      <c r="X398" s="27"/>
      <c r="AB398" s="30"/>
    </row>
    <row r="399" spans="24:28" x14ac:dyDescent="0.2">
      <c r="X399" s="27"/>
      <c r="AB399" s="30"/>
    </row>
    <row r="400" spans="24:28" x14ac:dyDescent="0.2">
      <c r="X400" s="27"/>
      <c r="AB400" s="30"/>
    </row>
    <row r="401" spans="24:28" x14ac:dyDescent="0.2">
      <c r="X401" s="27"/>
      <c r="AB401" s="30"/>
    </row>
    <row r="402" spans="24:28" x14ac:dyDescent="0.2">
      <c r="X402" s="27"/>
      <c r="AB402" s="30"/>
    </row>
    <row r="403" spans="24:28" x14ac:dyDescent="0.2">
      <c r="X403" s="27"/>
      <c r="AB403" s="30"/>
    </row>
    <row r="404" spans="24:28" x14ac:dyDescent="0.2">
      <c r="X404" s="27"/>
      <c r="AB404" s="30"/>
    </row>
    <row r="405" spans="24:28" x14ac:dyDescent="0.2">
      <c r="X405" s="27"/>
      <c r="AB405" s="30"/>
    </row>
    <row r="406" spans="24:28" x14ac:dyDescent="0.2">
      <c r="X406" s="27"/>
      <c r="AB406" s="30"/>
    </row>
    <row r="407" spans="24:28" x14ac:dyDescent="0.2">
      <c r="X407" s="27"/>
      <c r="AB407" s="30"/>
    </row>
    <row r="408" spans="24:28" x14ac:dyDescent="0.2">
      <c r="X408" s="27"/>
      <c r="AB408" s="30"/>
    </row>
    <row r="409" spans="24:28" x14ac:dyDescent="0.2">
      <c r="X409" s="27"/>
      <c r="AB409" s="30"/>
    </row>
    <row r="410" spans="24:28" x14ac:dyDescent="0.2">
      <c r="X410" s="27"/>
      <c r="AB410" s="30"/>
    </row>
    <row r="411" spans="24:28" x14ac:dyDescent="0.2">
      <c r="X411" s="27"/>
      <c r="AB411" s="30"/>
    </row>
    <row r="412" spans="24:28" x14ac:dyDescent="0.2">
      <c r="X412" s="27"/>
      <c r="AB412" s="30"/>
    </row>
    <row r="413" spans="24:28" x14ac:dyDescent="0.2">
      <c r="X413" s="27"/>
      <c r="AB413" s="30"/>
    </row>
    <row r="414" spans="24:28" x14ac:dyDescent="0.2">
      <c r="X414" s="27"/>
      <c r="AB414" s="30"/>
    </row>
    <row r="415" spans="24:28" x14ac:dyDescent="0.2">
      <c r="X415" s="27"/>
      <c r="AB415" s="30"/>
    </row>
    <row r="416" spans="24:28" x14ac:dyDescent="0.2">
      <c r="X416" s="27"/>
      <c r="AB416" s="30"/>
    </row>
    <row r="417" spans="24:28" x14ac:dyDescent="0.2">
      <c r="X417" s="27"/>
      <c r="AB417" s="30"/>
    </row>
    <row r="418" spans="24:28" x14ac:dyDescent="0.2">
      <c r="X418" s="27"/>
      <c r="AB418" s="30"/>
    </row>
    <row r="419" spans="24:28" x14ac:dyDescent="0.2">
      <c r="X419" s="27"/>
      <c r="AB419" s="30"/>
    </row>
    <row r="420" spans="24:28" x14ac:dyDescent="0.2">
      <c r="X420" s="27"/>
      <c r="AB420" s="30"/>
    </row>
    <row r="421" spans="24:28" x14ac:dyDescent="0.2">
      <c r="X421" s="27"/>
      <c r="AB421" s="30"/>
    </row>
    <row r="422" spans="24:28" x14ac:dyDescent="0.2">
      <c r="X422" s="27"/>
      <c r="AB422" s="30"/>
    </row>
    <row r="423" spans="24:28" x14ac:dyDescent="0.2">
      <c r="X423" s="27"/>
      <c r="AB423" s="30"/>
    </row>
    <row r="424" spans="24:28" x14ac:dyDescent="0.2">
      <c r="X424" s="27"/>
      <c r="AB424" s="30"/>
    </row>
    <row r="425" spans="24:28" x14ac:dyDescent="0.2">
      <c r="X425" s="27"/>
      <c r="AB425" s="30"/>
    </row>
    <row r="426" spans="24:28" x14ac:dyDescent="0.2">
      <c r="X426" s="27"/>
      <c r="AB426" s="30"/>
    </row>
    <row r="427" spans="24:28" x14ac:dyDescent="0.2">
      <c r="X427" s="27"/>
      <c r="AB427" s="30"/>
    </row>
    <row r="428" spans="24:28" x14ac:dyDescent="0.2">
      <c r="X428" s="27"/>
      <c r="AB428" s="30"/>
    </row>
    <row r="429" spans="24:28" x14ac:dyDescent="0.2">
      <c r="X429" s="27"/>
      <c r="AB429" s="30"/>
    </row>
    <row r="430" spans="24:28" x14ac:dyDescent="0.2">
      <c r="X430" s="27"/>
      <c r="AB430" s="30"/>
    </row>
    <row r="431" spans="24:28" x14ac:dyDescent="0.2">
      <c r="X431" s="27"/>
      <c r="AB431" s="30"/>
    </row>
    <row r="432" spans="24:28" x14ac:dyDescent="0.2">
      <c r="X432" s="27"/>
      <c r="AB432" s="30"/>
    </row>
    <row r="433" spans="24:28" x14ac:dyDescent="0.2">
      <c r="X433" s="27"/>
      <c r="AB433" s="30"/>
    </row>
    <row r="434" spans="24:28" x14ac:dyDescent="0.2">
      <c r="X434" s="27"/>
      <c r="AB434" s="30"/>
    </row>
    <row r="435" spans="24:28" x14ac:dyDescent="0.2">
      <c r="X435" s="27"/>
      <c r="AB435" s="30"/>
    </row>
    <row r="436" spans="24:28" x14ac:dyDescent="0.2">
      <c r="X436" s="27"/>
      <c r="AB436" s="30"/>
    </row>
    <row r="437" spans="24:28" x14ac:dyDescent="0.2">
      <c r="X437" s="27"/>
      <c r="AB437" s="30"/>
    </row>
    <row r="438" spans="24:28" x14ac:dyDescent="0.2">
      <c r="X438" s="27"/>
      <c r="AB438" s="30"/>
    </row>
    <row r="439" spans="24:28" x14ac:dyDescent="0.2">
      <c r="X439" s="27"/>
      <c r="AB439" s="30"/>
    </row>
    <row r="440" spans="24:28" x14ac:dyDescent="0.2">
      <c r="X440" s="27"/>
      <c r="AB440" s="30"/>
    </row>
    <row r="441" spans="24:28" x14ac:dyDescent="0.2">
      <c r="X441" s="27"/>
      <c r="AB441" s="30"/>
    </row>
    <row r="442" spans="24:28" x14ac:dyDescent="0.2">
      <c r="X442" s="27"/>
      <c r="AB442" s="30"/>
    </row>
    <row r="443" spans="24:28" x14ac:dyDescent="0.2">
      <c r="X443" s="27"/>
      <c r="AB443" s="30"/>
    </row>
    <row r="444" spans="24:28" x14ac:dyDescent="0.2">
      <c r="X444" s="27"/>
      <c r="AB444" s="30"/>
    </row>
    <row r="445" spans="24:28" x14ac:dyDescent="0.2">
      <c r="X445" s="27"/>
      <c r="AB445" s="30"/>
    </row>
    <row r="446" spans="24:28" x14ac:dyDescent="0.2">
      <c r="X446" s="27"/>
      <c r="AB446" s="30"/>
    </row>
    <row r="447" spans="24:28" x14ac:dyDescent="0.2">
      <c r="X447" s="27"/>
      <c r="AB447" s="30"/>
    </row>
    <row r="448" spans="24:28" x14ac:dyDescent="0.2">
      <c r="X448" s="27"/>
      <c r="AB448" s="30"/>
    </row>
    <row r="449" spans="24:28" x14ac:dyDescent="0.2">
      <c r="X449" s="27"/>
      <c r="AB449" s="30"/>
    </row>
    <row r="450" spans="24:28" x14ac:dyDescent="0.2">
      <c r="X450" s="27"/>
      <c r="AB450" s="30"/>
    </row>
    <row r="451" spans="24:28" x14ac:dyDescent="0.2">
      <c r="X451" s="27"/>
      <c r="AB451" s="30"/>
    </row>
    <row r="452" spans="24:28" x14ac:dyDescent="0.2">
      <c r="X452" s="27"/>
      <c r="AB452" s="30"/>
    </row>
    <row r="453" spans="24:28" x14ac:dyDescent="0.2">
      <c r="X453" s="27"/>
      <c r="AB453" s="30"/>
    </row>
    <row r="454" spans="24:28" x14ac:dyDescent="0.2">
      <c r="X454" s="27"/>
      <c r="AB454" s="30"/>
    </row>
    <row r="455" spans="24:28" x14ac:dyDescent="0.2">
      <c r="X455" s="27"/>
      <c r="AB455" s="30"/>
    </row>
    <row r="456" spans="24:28" x14ac:dyDescent="0.2">
      <c r="X456" s="27"/>
      <c r="AB456" s="30"/>
    </row>
    <row r="457" spans="24:28" x14ac:dyDescent="0.2">
      <c r="X457" s="27"/>
      <c r="AB457" s="30"/>
    </row>
    <row r="458" spans="24:28" x14ac:dyDescent="0.2">
      <c r="X458" s="27"/>
      <c r="AB458" s="30"/>
    </row>
    <row r="459" spans="24:28" x14ac:dyDescent="0.2">
      <c r="X459" s="27"/>
      <c r="AB459" s="30"/>
    </row>
    <row r="460" spans="24:28" x14ac:dyDescent="0.2">
      <c r="X460" s="27"/>
      <c r="AB460" s="30"/>
    </row>
    <row r="461" spans="24:28" x14ac:dyDescent="0.2">
      <c r="X461" s="27"/>
      <c r="AB461" s="30"/>
    </row>
    <row r="462" spans="24:28" x14ac:dyDescent="0.2">
      <c r="X462" s="27"/>
      <c r="AB462" s="30"/>
    </row>
    <row r="463" spans="24:28" x14ac:dyDescent="0.2">
      <c r="X463" s="27"/>
      <c r="AB463" s="30"/>
    </row>
    <row r="464" spans="24:28" x14ac:dyDescent="0.2">
      <c r="X464" s="27"/>
      <c r="AB464" s="30"/>
    </row>
    <row r="465" spans="24:28" x14ac:dyDescent="0.2">
      <c r="X465" s="27"/>
      <c r="AB465" s="30"/>
    </row>
    <row r="466" spans="24:28" x14ac:dyDescent="0.2">
      <c r="X466" s="27"/>
      <c r="AB466" s="30"/>
    </row>
    <row r="467" spans="24:28" x14ac:dyDescent="0.2">
      <c r="X467" s="27"/>
      <c r="AB467" s="30"/>
    </row>
    <row r="468" spans="24:28" x14ac:dyDescent="0.2">
      <c r="X468" s="27"/>
      <c r="AB468" s="30"/>
    </row>
    <row r="469" spans="24:28" x14ac:dyDescent="0.2">
      <c r="X469" s="27"/>
      <c r="AB469" s="30"/>
    </row>
    <row r="470" spans="24:28" x14ac:dyDescent="0.2">
      <c r="X470" s="27"/>
      <c r="AB470" s="30"/>
    </row>
    <row r="471" spans="24:28" x14ac:dyDescent="0.2">
      <c r="X471" s="27"/>
      <c r="AB471" s="30"/>
    </row>
    <row r="472" spans="24:28" x14ac:dyDescent="0.2">
      <c r="X472" s="27"/>
      <c r="AB472" s="30"/>
    </row>
    <row r="473" spans="24:28" x14ac:dyDescent="0.2">
      <c r="X473" s="27"/>
      <c r="AB473" s="30"/>
    </row>
    <row r="474" spans="24:28" x14ac:dyDescent="0.2">
      <c r="X474" s="27"/>
      <c r="AB474" s="30"/>
    </row>
    <row r="475" spans="24:28" x14ac:dyDescent="0.2">
      <c r="X475" s="27"/>
      <c r="AB475" s="30"/>
    </row>
    <row r="476" spans="24:28" x14ac:dyDescent="0.2">
      <c r="X476" s="27"/>
      <c r="AB476" s="30"/>
    </row>
    <row r="477" spans="24:28" x14ac:dyDescent="0.2">
      <c r="X477" s="27"/>
      <c r="AB477" s="30"/>
    </row>
    <row r="478" spans="24:28" x14ac:dyDescent="0.2">
      <c r="X478" s="27"/>
      <c r="AB478" s="30"/>
    </row>
    <row r="479" spans="24:28" x14ac:dyDescent="0.2">
      <c r="X479" s="27"/>
      <c r="AB479" s="30"/>
    </row>
    <row r="480" spans="24:28" x14ac:dyDescent="0.2">
      <c r="X480" s="27"/>
      <c r="AB480" s="30"/>
    </row>
    <row r="481" spans="24:28" x14ac:dyDescent="0.2">
      <c r="X481" s="27"/>
      <c r="AB481" s="30"/>
    </row>
    <row r="482" spans="24:28" x14ac:dyDescent="0.2">
      <c r="X482" s="27"/>
      <c r="AB482" s="30"/>
    </row>
    <row r="483" spans="24:28" x14ac:dyDescent="0.2">
      <c r="X483" s="27"/>
      <c r="AB483" s="30"/>
    </row>
    <row r="484" spans="24:28" x14ac:dyDescent="0.2">
      <c r="X484" s="27"/>
      <c r="AB484" s="30"/>
    </row>
    <row r="485" spans="24:28" x14ac:dyDescent="0.2">
      <c r="X485" s="27"/>
      <c r="AB485" s="30"/>
    </row>
    <row r="486" spans="24:28" x14ac:dyDescent="0.2">
      <c r="X486" s="27"/>
      <c r="AB486" s="30"/>
    </row>
    <row r="487" spans="24:28" x14ac:dyDescent="0.2">
      <c r="X487" s="27"/>
      <c r="AB487" s="30"/>
    </row>
    <row r="488" spans="24:28" x14ac:dyDescent="0.2">
      <c r="X488" s="27"/>
      <c r="AB488" s="30"/>
    </row>
    <row r="489" spans="24:28" x14ac:dyDescent="0.2">
      <c r="X489" s="27"/>
      <c r="AB489" s="30"/>
    </row>
    <row r="490" spans="24:28" x14ac:dyDescent="0.2">
      <c r="X490" s="27"/>
      <c r="AB490" s="30"/>
    </row>
    <row r="491" spans="24:28" x14ac:dyDescent="0.2">
      <c r="X491" s="27"/>
      <c r="AB491" s="30"/>
    </row>
    <row r="492" spans="24:28" x14ac:dyDescent="0.2">
      <c r="X492" s="27"/>
      <c r="AB492" s="30"/>
    </row>
    <row r="493" spans="24:28" x14ac:dyDescent="0.2">
      <c r="X493" s="27"/>
      <c r="AB493" s="30"/>
    </row>
    <row r="494" spans="24:28" x14ac:dyDescent="0.2">
      <c r="X494" s="27"/>
      <c r="AB494" s="30"/>
    </row>
    <row r="495" spans="24:28" x14ac:dyDescent="0.2">
      <c r="X495" s="27"/>
      <c r="AB495" s="30"/>
    </row>
    <row r="496" spans="24:28" x14ac:dyDescent="0.2">
      <c r="X496" s="27"/>
      <c r="AB496" s="30"/>
    </row>
    <row r="497" spans="24:28" x14ac:dyDescent="0.2">
      <c r="X497" s="27"/>
      <c r="AB497" s="30"/>
    </row>
    <row r="498" spans="24:28" x14ac:dyDescent="0.2">
      <c r="X498" s="27"/>
      <c r="AB498" s="30"/>
    </row>
    <row r="499" spans="24:28" x14ac:dyDescent="0.2">
      <c r="X499" s="27"/>
      <c r="AB499" s="30"/>
    </row>
    <row r="500" spans="24:28" x14ac:dyDescent="0.2">
      <c r="X500" s="27"/>
      <c r="AB500" s="30"/>
    </row>
    <row r="501" spans="24:28" x14ac:dyDescent="0.2">
      <c r="X501" s="27"/>
      <c r="AB501" s="30"/>
    </row>
    <row r="502" spans="24:28" x14ac:dyDescent="0.2">
      <c r="X502" s="27"/>
      <c r="AB502" s="30"/>
    </row>
    <row r="503" spans="24:28" x14ac:dyDescent="0.2">
      <c r="X503" s="27"/>
      <c r="AB503" s="30"/>
    </row>
    <row r="504" spans="24:28" x14ac:dyDescent="0.2">
      <c r="X504" s="27"/>
      <c r="AB504" s="30"/>
    </row>
    <row r="505" spans="24:28" x14ac:dyDescent="0.2">
      <c r="X505" s="27"/>
      <c r="AB505" s="30"/>
    </row>
    <row r="506" spans="24:28" x14ac:dyDescent="0.2">
      <c r="X506" s="27"/>
      <c r="AB506" s="30"/>
    </row>
    <row r="507" spans="24:28" x14ac:dyDescent="0.2">
      <c r="X507" s="27"/>
      <c r="AB507" s="30"/>
    </row>
    <row r="508" spans="24:28" x14ac:dyDescent="0.2">
      <c r="X508" s="27"/>
      <c r="AB508" s="30"/>
    </row>
    <row r="509" spans="24:28" x14ac:dyDescent="0.2">
      <c r="X509" s="27"/>
      <c r="AB509" s="30"/>
    </row>
    <row r="510" spans="24:28" x14ac:dyDescent="0.2">
      <c r="X510" s="27"/>
      <c r="AB510" s="30"/>
    </row>
    <row r="511" spans="24:28" x14ac:dyDescent="0.2">
      <c r="X511" s="27"/>
      <c r="AB511" s="30"/>
    </row>
    <row r="512" spans="24:28" x14ac:dyDescent="0.2">
      <c r="X512" s="27"/>
      <c r="AB512" s="30"/>
    </row>
    <row r="513" spans="24:28" x14ac:dyDescent="0.2">
      <c r="X513" s="27"/>
      <c r="AB513" s="30"/>
    </row>
    <row r="514" spans="24:28" x14ac:dyDescent="0.2">
      <c r="X514" s="27"/>
      <c r="AB514" s="30"/>
    </row>
    <row r="515" spans="24:28" x14ac:dyDescent="0.2">
      <c r="X515" s="27"/>
      <c r="AB515" s="30"/>
    </row>
    <row r="516" spans="24:28" x14ac:dyDescent="0.2">
      <c r="X516" s="27"/>
      <c r="AB516" s="30"/>
    </row>
    <row r="517" spans="24:28" x14ac:dyDescent="0.2">
      <c r="X517" s="27"/>
      <c r="AB517" s="30"/>
    </row>
    <row r="518" spans="24:28" x14ac:dyDescent="0.2">
      <c r="X518" s="27"/>
      <c r="AB518" s="30"/>
    </row>
    <row r="519" spans="24:28" x14ac:dyDescent="0.2">
      <c r="X519" s="27"/>
      <c r="AB519" s="30"/>
    </row>
    <row r="520" spans="24:28" x14ac:dyDescent="0.2">
      <c r="X520" s="27"/>
      <c r="AB520" s="30"/>
    </row>
    <row r="521" spans="24:28" x14ac:dyDescent="0.2">
      <c r="X521" s="27"/>
      <c r="AB521" s="30"/>
    </row>
    <row r="522" spans="24:28" x14ac:dyDescent="0.2">
      <c r="X522" s="27"/>
      <c r="AB522" s="30"/>
    </row>
    <row r="523" spans="24:28" x14ac:dyDescent="0.2">
      <c r="X523" s="27"/>
      <c r="AB523" s="30"/>
    </row>
    <row r="524" spans="24:28" x14ac:dyDescent="0.2">
      <c r="X524" s="27"/>
      <c r="AB524" s="30"/>
    </row>
    <row r="525" spans="24:28" x14ac:dyDescent="0.2">
      <c r="X525" s="27"/>
      <c r="AB525" s="30"/>
    </row>
    <row r="526" spans="24:28" x14ac:dyDescent="0.2">
      <c r="X526" s="27"/>
      <c r="AB526" s="30"/>
    </row>
    <row r="527" spans="24:28" x14ac:dyDescent="0.2">
      <c r="X527" s="27"/>
      <c r="AB527" s="30"/>
    </row>
    <row r="528" spans="24:28" x14ac:dyDescent="0.2">
      <c r="X528" s="27"/>
      <c r="AB528" s="30"/>
    </row>
    <row r="529" spans="24:28" x14ac:dyDescent="0.2">
      <c r="X529" s="27"/>
      <c r="AB529" s="30"/>
    </row>
    <row r="530" spans="24:28" x14ac:dyDescent="0.2">
      <c r="X530" s="27"/>
      <c r="AB530" s="30"/>
    </row>
    <row r="531" spans="24:28" x14ac:dyDescent="0.2">
      <c r="X531" s="27"/>
      <c r="AB531" s="30"/>
    </row>
    <row r="532" spans="24:28" x14ac:dyDescent="0.2">
      <c r="X532" s="27"/>
      <c r="AB532" s="30"/>
    </row>
    <row r="533" spans="24:28" x14ac:dyDescent="0.2">
      <c r="X533" s="27"/>
      <c r="AB533" s="30"/>
    </row>
    <row r="534" spans="24:28" x14ac:dyDescent="0.2">
      <c r="X534" s="27"/>
      <c r="AB534" s="30"/>
    </row>
    <row r="535" spans="24:28" x14ac:dyDescent="0.2">
      <c r="X535" s="27"/>
      <c r="AB535" s="30"/>
    </row>
    <row r="536" spans="24:28" x14ac:dyDescent="0.2">
      <c r="X536" s="27"/>
      <c r="AB536" s="30"/>
    </row>
    <row r="537" spans="24:28" x14ac:dyDescent="0.2">
      <c r="X537" s="27"/>
      <c r="AB537" s="30"/>
    </row>
    <row r="538" spans="24:28" x14ac:dyDescent="0.2">
      <c r="X538" s="27"/>
      <c r="AB538" s="30"/>
    </row>
    <row r="539" spans="24:28" x14ac:dyDescent="0.2">
      <c r="X539" s="27"/>
      <c r="AB539" s="30"/>
    </row>
    <row r="540" spans="24:28" x14ac:dyDescent="0.2">
      <c r="X540" s="27"/>
      <c r="AB540" s="30"/>
    </row>
    <row r="541" spans="24:28" x14ac:dyDescent="0.2">
      <c r="X541" s="27"/>
      <c r="AB541" s="30"/>
    </row>
    <row r="542" spans="24:28" x14ac:dyDescent="0.2">
      <c r="X542" s="27"/>
      <c r="AB542" s="30"/>
    </row>
    <row r="543" spans="24:28" x14ac:dyDescent="0.2">
      <c r="X543" s="27"/>
      <c r="AB543" s="30"/>
    </row>
    <row r="544" spans="24:28" x14ac:dyDescent="0.2">
      <c r="X544" s="27"/>
      <c r="AB544" s="30"/>
    </row>
    <row r="545" spans="24:28" x14ac:dyDescent="0.2">
      <c r="X545" s="27"/>
      <c r="AB545" s="30"/>
    </row>
    <row r="546" spans="24:28" x14ac:dyDescent="0.2">
      <c r="X546" s="27"/>
      <c r="AB546" s="30"/>
    </row>
    <row r="547" spans="24:28" x14ac:dyDescent="0.2">
      <c r="X547" s="27"/>
      <c r="AB547" s="30"/>
    </row>
    <row r="548" spans="24:28" x14ac:dyDescent="0.2">
      <c r="X548" s="27"/>
      <c r="AB548" s="30"/>
    </row>
    <row r="549" spans="24:28" x14ac:dyDescent="0.2">
      <c r="X549" s="27"/>
      <c r="AB549" s="30"/>
    </row>
    <row r="550" spans="24:28" x14ac:dyDescent="0.2">
      <c r="X550" s="27"/>
      <c r="AB550" s="30"/>
    </row>
    <row r="551" spans="24:28" x14ac:dyDescent="0.2">
      <c r="X551" s="27"/>
      <c r="AB551" s="30"/>
    </row>
    <row r="552" spans="24:28" x14ac:dyDescent="0.2">
      <c r="X552" s="27"/>
      <c r="AB552" s="30"/>
    </row>
    <row r="553" spans="24:28" x14ac:dyDescent="0.2">
      <c r="X553" s="27"/>
      <c r="AB553" s="30"/>
    </row>
    <row r="554" spans="24:28" x14ac:dyDescent="0.2">
      <c r="X554" s="27"/>
      <c r="AB554" s="30"/>
    </row>
    <row r="555" spans="24:28" x14ac:dyDescent="0.2">
      <c r="X555" s="27"/>
      <c r="AB555" s="30"/>
    </row>
    <row r="556" spans="24:28" x14ac:dyDescent="0.2">
      <c r="X556" s="27"/>
      <c r="AB556" s="30"/>
    </row>
    <row r="557" spans="24:28" x14ac:dyDescent="0.2">
      <c r="X557" s="27"/>
      <c r="AB557" s="30"/>
    </row>
    <row r="558" spans="24:28" x14ac:dyDescent="0.2">
      <c r="X558" s="27"/>
      <c r="AB558" s="30"/>
    </row>
    <row r="559" spans="24:28" x14ac:dyDescent="0.2">
      <c r="X559" s="27"/>
      <c r="AB559" s="30"/>
    </row>
    <row r="560" spans="24:28" x14ac:dyDescent="0.2">
      <c r="X560" s="27"/>
      <c r="AB560" s="30"/>
    </row>
    <row r="561" spans="24:28" x14ac:dyDescent="0.2">
      <c r="X561" s="27"/>
      <c r="AB561" s="30"/>
    </row>
    <row r="562" spans="24:28" x14ac:dyDescent="0.2">
      <c r="X562" s="27"/>
      <c r="AB562" s="30"/>
    </row>
    <row r="563" spans="24:28" x14ac:dyDescent="0.2">
      <c r="X563" s="27"/>
      <c r="AB563" s="30"/>
    </row>
    <row r="564" spans="24:28" x14ac:dyDescent="0.2">
      <c r="X564" s="27"/>
      <c r="AB564" s="30"/>
    </row>
    <row r="565" spans="24:28" x14ac:dyDescent="0.2">
      <c r="X565" s="27"/>
      <c r="AB565" s="30"/>
    </row>
    <row r="566" spans="24:28" x14ac:dyDescent="0.2">
      <c r="X566" s="27"/>
      <c r="AB566" s="30"/>
    </row>
    <row r="567" spans="24:28" x14ac:dyDescent="0.2">
      <c r="X567" s="27"/>
      <c r="AB567" s="30"/>
    </row>
    <row r="568" spans="24:28" x14ac:dyDescent="0.2">
      <c r="X568" s="27"/>
      <c r="AB568" s="30"/>
    </row>
    <row r="569" spans="24:28" x14ac:dyDescent="0.2">
      <c r="X569" s="27"/>
      <c r="AB569" s="30"/>
    </row>
    <row r="570" spans="24:28" x14ac:dyDescent="0.2">
      <c r="X570" s="27"/>
      <c r="AB570" s="30"/>
    </row>
    <row r="571" spans="24:28" x14ac:dyDescent="0.2">
      <c r="X571" s="27"/>
      <c r="AB571" s="30"/>
    </row>
    <row r="572" spans="24:28" x14ac:dyDescent="0.2">
      <c r="X572" s="27"/>
      <c r="AB572" s="30"/>
    </row>
    <row r="573" spans="24:28" x14ac:dyDescent="0.2">
      <c r="X573" s="27"/>
      <c r="AB573" s="30"/>
    </row>
    <row r="574" spans="24:28" x14ac:dyDescent="0.2">
      <c r="X574" s="27"/>
      <c r="AB574" s="30"/>
    </row>
    <row r="575" spans="24:28" x14ac:dyDescent="0.2">
      <c r="X575" s="27"/>
      <c r="AB575" s="30"/>
    </row>
    <row r="576" spans="24:28" x14ac:dyDescent="0.2">
      <c r="X576" s="27"/>
      <c r="AB576" s="30"/>
    </row>
    <row r="577" spans="24:28" x14ac:dyDescent="0.2">
      <c r="X577" s="27"/>
      <c r="AB577" s="30"/>
    </row>
    <row r="578" spans="24:28" x14ac:dyDescent="0.2">
      <c r="X578" s="27"/>
      <c r="AB578" s="30"/>
    </row>
    <row r="579" spans="24:28" x14ac:dyDescent="0.2">
      <c r="X579" s="27"/>
      <c r="AB579" s="30"/>
    </row>
    <row r="580" spans="24:28" x14ac:dyDescent="0.2">
      <c r="X580" s="27"/>
      <c r="AB580" s="30"/>
    </row>
    <row r="581" spans="24:28" x14ac:dyDescent="0.2">
      <c r="X581" s="27"/>
      <c r="AB581" s="30"/>
    </row>
    <row r="582" spans="24:28" x14ac:dyDescent="0.2">
      <c r="X582" s="27"/>
      <c r="AB582" s="30"/>
    </row>
    <row r="583" spans="24:28" x14ac:dyDescent="0.2">
      <c r="X583" s="27"/>
      <c r="AB583" s="30"/>
    </row>
    <row r="584" spans="24:28" x14ac:dyDescent="0.2">
      <c r="X584" s="27"/>
      <c r="AB584" s="30"/>
    </row>
    <row r="585" spans="24:28" x14ac:dyDescent="0.2">
      <c r="X585" s="27"/>
      <c r="AB585" s="30"/>
    </row>
    <row r="586" spans="24:28" x14ac:dyDescent="0.2">
      <c r="X586" s="27"/>
      <c r="AB586" s="30"/>
    </row>
    <row r="587" spans="24:28" x14ac:dyDescent="0.2">
      <c r="X587" s="27"/>
      <c r="AB587" s="30"/>
    </row>
    <row r="588" spans="24:28" x14ac:dyDescent="0.2">
      <c r="X588" s="27"/>
      <c r="AB588" s="30"/>
    </row>
    <row r="589" spans="24:28" x14ac:dyDescent="0.2">
      <c r="X589" s="27"/>
      <c r="AB589" s="30"/>
    </row>
    <row r="590" spans="24:28" x14ac:dyDescent="0.2">
      <c r="X590" s="27"/>
      <c r="AB590" s="30"/>
    </row>
    <row r="591" spans="24:28" x14ac:dyDescent="0.2">
      <c r="X591" s="27"/>
      <c r="AB591" s="30"/>
    </row>
    <row r="592" spans="24:28" x14ac:dyDescent="0.2">
      <c r="X592" s="27"/>
      <c r="AB592" s="30"/>
    </row>
    <row r="593" spans="24:28" x14ac:dyDescent="0.2">
      <c r="X593" s="27"/>
      <c r="AB593" s="30"/>
    </row>
    <row r="594" spans="24:28" x14ac:dyDescent="0.2">
      <c r="X594" s="27"/>
      <c r="AB594" s="30"/>
    </row>
    <row r="595" spans="24:28" x14ac:dyDescent="0.2">
      <c r="X595" s="27"/>
      <c r="AB595" s="30"/>
    </row>
    <row r="596" spans="24:28" x14ac:dyDescent="0.2">
      <c r="X596" s="27"/>
      <c r="AB596" s="30"/>
    </row>
    <row r="597" spans="24:28" x14ac:dyDescent="0.2">
      <c r="X597" s="27"/>
      <c r="AB597" s="30"/>
    </row>
    <row r="598" spans="24:28" x14ac:dyDescent="0.2">
      <c r="X598" s="27"/>
      <c r="AB598" s="30"/>
    </row>
    <row r="599" spans="24:28" x14ac:dyDescent="0.2">
      <c r="X599" s="27"/>
      <c r="AB599" s="30"/>
    </row>
    <row r="600" spans="24:28" x14ac:dyDescent="0.2">
      <c r="X600" s="27"/>
      <c r="AB600" s="30"/>
    </row>
    <row r="601" spans="24:28" x14ac:dyDescent="0.2">
      <c r="X601" s="27"/>
      <c r="AB601" s="30"/>
    </row>
    <row r="602" spans="24:28" x14ac:dyDescent="0.2">
      <c r="X602" s="27"/>
      <c r="AB602" s="30"/>
    </row>
    <row r="603" spans="24:28" x14ac:dyDescent="0.2">
      <c r="X603" s="27"/>
      <c r="AB603" s="30"/>
    </row>
    <row r="604" spans="24:28" x14ac:dyDescent="0.2">
      <c r="X604" s="27"/>
      <c r="AB604" s="30"/>
    </row>
    <row r="605" spans="24:28" x14ac:dyDescent="0.2">
      <c r="X605" s="27"/>
      <c r="AB605" s="30"/>
    </row>
    <row r="606" spans="24:28" x14ac:dyDescent="0.2">
      <c r="X606" s="27"/>
      <c r="AB606" s="30"/>
    </row>
    <row r="607" spans="24:28" x14ac:dyDescent="0.2">
      <c r="X607" s="27"/>
      <c r="AB607" s="30"/>
    </row>
    <row r="608" spans="24:28" x14ac:dyDescent="0.2">
      <c r="X608" s="27"/>
      <c r="AB608" s="30"/>
    </row>
    <row r="609" spans="24:28" x14ac:dyDescent="0.2">
      <c r="X609" s="27"/>
      <c r="AB609" s="30"/>
    </row>
    <row r="610" spans="24:28" x14ac:dyDescent="0.2">
      <c r="X610" s="27"/>
      <c r="AB610" s="30"/>
    </row>
    <row r="611" spans="24:28" x14ac:dyDescent="0.2">
      <c r="X611" s="27"/>
      <c r="AB611" s="30"/>
    </row>
    <row r="612" spans="24:28" x14ac:dyDescent="0.2">
      <c r="X612" s="27"/>
      <c r="AB612" s="30"/>
    </row>
    <row r="613" spans="24:28" x14ac:dyDescent="0.2">
      <c r="X613" s="27"/>
      <c r="AB613" s="30"/>
    </row>
    <row r="614" spans="24:28" x14ac:dyDescent="0.2">
      <c r="X614" s="27"/>
      <c r="AB614" s="30"/>
    </row>
    <row r="615" spans="24:28" x14ac:dyDescent="0.2">
      <c r="X615" s="27"/>
      <c r="AB615" s="30"/>
    </row>
    <row r="616" spans="24:28" x14ac:dyDescent="0.2">
      <c r="X616" s="27"/>
      <c r="AB616" s="30"/>
    </row>
    <row r="617" spans="24:28" x14ac:dyDescent="0.2">
      <c r="X617" s="27"/>
      <c r="AB617" s="30"/>
    </row>
    <row r="618" spans="24:28" x14ac:dyDescent="0.2">
      <c r="X618" s="27"/>
      <c r="AB618" s="30"/>
    </row>
    <row r="619" spans="24:28" x14ac:dyDescent="0.2">
      <c r="X619" s="27"/>
      <c r="AB619" s="30"/>
    </row>
    <row r="620" spans="24:28" x14ac:dyDescent="0.2">
      <c r="X620" s="27"/>
      <c r="AB620" s="30"/>
    </row>
    <row r="621" spans="24:28" x14ac:dyDescent="0.2">
      <c r="X621" s="27"/>
      <c r="AB621" s="30"/>
    </row>
    <row r="622" spans="24:28" x14ac:dyDescent="0.2">
      <c r="X622" s="27"/>
      <c r="AB622" s="30"/>
    </row>
    <row r="623" spans="24:28" x14ac:dyDescent="0.2">
      <c r="X623" s="27"/>
      <c r="AB623" s="30"/>
    </row>
    <row r="624" spans="24:28" x14ac:dyDescent="0.2">
      <c r="X624" s="27"/>
      <c r="AB624" s="30"/>
    </row>
    <row r="625" spans="24:28" x14ac:dyDescent="0.2">
      <c r="X625" s="27"/>
      <c r="AB625" s="30"/>
    </row>
    <row r="626" spans="24:28" x14ac:dyDescent="0.2">
      <c r="X626" s="27"/>
      <c r="AB626" s="30"/>
    </row>
    <row r="627" spans="24:28" x14ac:dyDescent="0.2">
      <c r="X627" s="27"/>
      <c r="AB627" s="30"/>
    </row>
    <row r="628" spans="24:28" x14ac:dyDescent="0.2">
      <c r="X628" s="27"/>
      <c r="AB628" s="30"/>
    </row>
    <row r="629" spans="24:28" x14ac:dyDescent="0.2">
      <c r="X629" s="27"/>
      <c r="AB629" s="30"/>
    </row>
    <row r="630" spans="24:28" x14ac:dyDescent="0.2">
      <c r="X630" s="27"/>
      <c r="AB630" s="30"/>
    </row>
    <row r="631" spans="24:28" x14ac:dyDescent="0.2">
      <c r="X631" s="27"/>
      <c r="AB631" s="30"/>
    </row>
    <row r="632" spans="24:28" x14ac:dyDescent="0.2">
      <c r="X632" s="27"/>
      <c r="AB632" s="30"/>
    </row>
    <row r="633" spans="24:28" x14ac:dyDescent="0.2">
      <c r="X633" s="27"/>
      <c r="AB633" s="30"/>
    </row>
    <row r="634" spans="24:28" x14ac:dyDescent="0.2">
      <c r="X634" s="27"/>
      <c r="AB634" s="30"/>
    </row>
    <row r="635" spans="24:28" x14ac:dyDescent="0.2">
      <c r="X635" s="27"/>
      <c r="AB635" s="30"/>
    </row>
    <row r="636" spans="24:28" x14ac:dyDescent="0.2">
      <c r="X636" s="27"/>
      <c r="AB636" s="30"/>
    </row>
    <row r="637" spans="24:28" x14ac:dyDescent="0.2">
      <c r="X637" s="27"/>
      <c r="AB637" s="30"/>
    </row>
    <row r="638" spans="24:28" x14ac:dyDescent="0.2">
      <c r="X638" s="27"/>
      <c r="AB638" s="30"/>
    </row>
    <row r="639" spans="24:28" x14ac:dyDescent="0.2">
      <c r="X639" s="27"/>
      <c r="AB639" s="30"/>
    </row>
    <row r="640" spans="24:28" x14ac:dyDescent="0.2">
      <c r="X640" s="27"/>
      <c r="AB640" s="30"/>
    </row>
    <row r="641" spans="24:28" x14ac:dyDescent="0.2">
      <c r="X641" s="27"/>
      <c r="AB641" s="30"/>
    </row>
    <row r="642" spans="24:28" x14ac:dyDescent="0.2">
      <c r="X642" s="27"/>
      <c r="AB642" s="30"/>
    </row>
    <row r="643" spans="24:28" x14ac:dyDescent="0.2">
      <c r="X643" s="27"/>
      <c r="AB643" s="30"/>
    </row>
    <row r="644" spans="24:28" x14ac:dyDescent="0.2">
      <c r="X644" s="27"/>
      <c r="AB644" s="30"/>
    </row>
    <row r="645" spans="24:28" x14ac:dyDescent="0.2">
      <c r="X645" s="27"/>
      <c r="AB645" s="30"/>
    </row>
    <row r="646" spans="24:28" x14ac:dyDescent="0.2">
      <c r="X646" s="27"/>
      <c r="AB646" s="30"/>
    </row>
    <row r="647" spans="24:28" x14ac:dyDescent="0.2">
      <c r="X647" s="27"/>
      <c r="AB647" s="30"/>
    </row>
    <row r="648" spans="24:28" x14ac:dyDescent="0.2">
      <c r="X648" s="27"/>
      <c r="AB648" s="30"/>
    </row>
    <row r="649" spans="24:28" x14ac:dyDescent="0.2">
      <c r="X649" s="27"/>
      <c r="AB649" s="30"/>
    </row>
    <row r="650" spans="24:28" x14ac:dyDescent="0.2">
      <c r="X650" s="27"/>
      <c r="AB650" s="30"/>
    </row>
    <row r="651" spans="24:28" x14ac:dyDescent="0.2">
      <c r="X651" s="27"/>
      <c r="AB651" s="30"/>
    </row>
    <row r="652" spans="24:28" x14ac:dyDescent="0.2">
      <c r="X652" s="27"/>
      <c r="AB652" s="30"/>
    </row>
    <row r="653" spans="24:28" x14ac:dyDescent="0.2">
      <c r="X653" s="27"/>
      <c r="AB653" s="30"/>
    </row>
    <row r="654" spans="24:28" x14ac:dyDescent="0.2">
      <c r="X654" s="27"/>
      <c r="AB654" s="30"/>
    </row>
    <row r="655" spans="24:28" x14ac:dyDescent="0.2">
      <c r="X655" s="27"/>
      <c r="AB655" s="30"/>
    </row>
    <row r="656" spans="24:28" x14ac:dyDescent="0.2">
      <c r="X656" s="27"/>
      <c r="AB656" s="30"/>
    </row>
    <row r="657" spans="24:28" x14ac:dyDescent="0.2">
      <c r="X657" s="27"/>
      <c r="AB657" s="30"/>
    </row>
    <row r="658" spans="24:28" x14ac:dyDescent="0.2">
      <c r="X658" s="27"/>
      <c r="AB658" s="30"/>
    </row>
    <row r="659" spans="24:28" x14ac:dyDescent="0.2">
      <c r="X659" s="27"/>
      <c r="AB659" s="30"/>
    </row>
    <row r="660" spans="24:28" x14ac:dyDescent="0.2">
      <c r="X660" s="27"/>
      <c r="AB660" s="30"/>
    </row>
    <row r="661" spans="24:28" x14ac:dyDescent="0.2">
      <c r="X661" s="27"/>
      <c r="AB661" s="30"/>
    </row>
    <row r="662" spans="24:28" x14ac:dyDescent="0.2">
      <c r="X662" s="27"/>
      <c r="AB662" s="30"/>
    </row>
    <row r="663" spans="24:28" x14ac:dyDescent="0.2">
      <c r="X663" s="27"/>
      <c r="AB663" s="30"/>
    </row>
    <row r="664" spans="24:28" x14ac:dyDescent="0.2">
      <c r="X664" s="27"/>
      <c r="AB664" s="30"/>
    </row>
    <row r="665" spans="24:28" x14ac:dyDescent="0.2">
      <c r="X665" s="27"/>
      <c r="AB665" s="30"/>
    </row>
    <row r="666" spans="24:28" x14ac:dyDescent="0.2">
      <c r="X666" s="27"/>
      <c r="AB666" s="30"/>
    </row>
    <row r="667" spans="24:28" x14ac:dyDescent="0.2">
      <c r="X667" s="27"/>
      <c r="AB667" s="30"/>
    </row>
    <row r="668" spans="24:28" x14ac:dyDescent="0.2">
      <c r="X668" s="27"/>
      <c r="AB668" s="30"/>
    </row>
    <row r="669" spans="24:28" x14ac:dyDescent="0.2">
      <c r="X669" s="27"/>
      <c r="AB669" s="30"/>
    </row>
    <row r="670" spans="24:28" x14ac:dyDescent="0.2">
      <c r="X670" s="27"/>
      <c r="AB670" s="30"/>
    </row>
    <row r="671" spans="24:28" x14ac:dyDescent="0.2">
      <c r="X671" s="27"/>
      <c r="AB671" s="30"/>
    </row>
    <row r="672" spans="24:28" x14ac:dyDescent="0.2">
      <c r="X672" s="27"/>
      <c r="AB672" s="30"/>
    </row>
    <row r="673" spans="24:28" x14ac:dyDescent="0.2">
      <c r="X673" s="27"/>
      <c r="AB673" s="30"/>
    </row>
    <row r="674" spans="24:28" x14ac:dyDescent="0.2">
      <c r="X674" s="27"/>
      <c r="AB674" s="30"/>
    </row>
    <row r="675" spans="24:28" x14ac:dyDescent="0.2">
      <c r="X675" s="27"/>
      <c r="AB675" s="30"/>
    </row>
    <row r="676" spans="24:28" x14ac:dyDescent="0.2">
      <c r="X676" s="27"/>
      <c r="AB676" s="30"/>
    </row>
    <row r="677" spans="24:28" x14ac:dyDescent="0.2">
      <c r="X677" s="27"/>
      <c r="AB677" s="30"/>
    </row>
    <row r="678" spans="24:28" x14ac:dyDescent="0.2">
      <c r="X678" s="27"/>
      <c r="AB678" s="30"/>
    </row>
    <row r="679" spans="24:28" x14ac:dyDescent="0.2">
      <c r="X679" s="27"/>
      <c r="AB679" s="30"/>
    </row>
    <row r="680" spans="24:28" x14ac:dyDescent="0.2">
      <c r="X680" s="27"/>
      <c r="AB680" s="30"/>
    </row>
    <row r="681" spans="24:28" x14ac:dyDescent="0.2">
      <c r="X681" s="27"/>
      <c r="AB681" s="30"/>
    </row>
    <row r="682" spans="24:28" x14ac:dyDescent="0.2">
      <c r="X682" s="27"/>
      <c r="AB682" s="30"/>
    </row>
    <row r="683" spans="24:28" x14ac:dyDescent="0.2">
      <c r="X683" s="27"/>
      <c r="AB683" s="30"/>
    </row>
    <row r="684" spans="24:28" x14ac:dyDescent="0.2">
      <c r="X684" s="27"/>
      <c r="AB684" s="30"/>
    </row>
    <row r="685" spans="24:28" x14ac:dyDescent="0.2">
      <c r="X685" s="27"/>
      <c r="AB685" s="30"/>
    </row>
    <row r="686" spans="24:28" x14ac:dyDescent="0.2">
      <c r="X686" s="27"/>
      <c r="AB686" s="30"/>
    </row>
    <row r="687" spans="24:28" x14ac:dyDescent="0.2">
      <c r="X687" s="27"/>
      <c r="AB687" s="30"/>
    </row>
    <row r="688" spans="24:28" x14ac:dyDescent="0.2">
      <c r="X688" s="27"/>
      <c r="AB688" s="30"/>
    </row>
    <row r="689" spans="24:28" x14ac:dyDescent="0.2">
      <c r="X689" s="27"/>
      <c r="AB689" s="30"/>
    </row>
    <row r="690" spans="24:28" x14ac:dyDescent="0.2">
      <c r="X690" s="27"/>
      <c r="AB690" s="30"/>
    </row>
    <row r="691" spans="24:28" x14ac:dyDescent="0.2">
      <c r="X691" s="27"/>
      <c r="AB691" s="30"/>
    </row>
    <row r="692" spans="24:28" x14ac:dyDescent="0.2">
      <c r="X692" s="27"/>
      <c r="AB692" s="30"/>
    </row>
    <row r="693" spans="24:28" x14ac:dyDescent="0.2">
      <c r="X693" s="27"/>
      <c r="AB693" s="30"/>
    </row>
    <row r="694" spans="24:28" x14ac:dyDescent="0.2">
      <c r="X694" s="27"/>
      <c r="AB694" s="30"/>
    </row>
    <row r="695" spans="24:28" x14ac:dyDescent="0.2">
      <c r="X695" s="27"/>
      <c r="AB695" s="30"/>
    </row>
    <row r="696" spans="24:28" x14ac:dyDescent="0.2">
      <c r="X696" s="27"/>
      <c r="AB696" s="30"/>
    </row>
    <row r="697" spans="24:28" x14ac:dyDescent="0.2">
      <c r="X697" s="27"/>
      <c r="AB697" s="30"/>
    </row>
    <row r="698" spans="24:28" x14ac:dyDescent="0.2">
      <c r="X698" s="27"/>
      <c r="AB698" s="30"/>
    </row>
    <row r="699" spans="24:28" x14ac:dyDescent="0.2">
      <c r="X699" s="27"/>
      <c r="AB699" s="30"/>
    </row>
    <row r="700" spans="24:28" x14ac:dyDescent="0.2">
      <c r="X700" s="27"/>
      <c r="AB700" s="30"/>
    </row>
    <row r="701" spans="24:28" x14ac:dyDescent="0.2">
      <c r="X701" s="27"/>
      <c r="AB701" s="30"/>
    </row>
    <row r="702" spans="24:28" x14ac:dyDescent="0.2">
      <c r="X702" s="27"/>
      <c r="AB702" s="30"/>
    </row>
    <row r="703" spans="24:28" x14ac:dyDescent="0.2">
      <c r="X703" s="27"/>
      <c r="AB703" s="30"/>
    </row>
    <row r="704" spans="24:28" x14ac:dyDescent="0.2">
      <c r="X704" s="27"/>
      <c r="AB704" s="30"/>
    </row>
    <row r="705" spans="24:28" x14ac:dyDescent="0.2">
      <c r="X705" s="27"/>
      <c r="AB705" s="30"/>
    </row>
    <row r="706" spans="24:28" x14ac:dyDescent="0.2">
      <c r="X706" s="27"/>
      <c r="AB706" s="30"/>
    </row>
    <row r="707" spans="24:28" x14ac:dyDescent="0.2">
      <c r="X707" s="27"/>
      <c r="AB707" s="30"/>
    </row>
    <row r="708" spans="24:28" x14ac:dyDescent="0.2">
      <c r="X708" s="27"/>
      <c r="AB708" s="30"/>
    </row>
    <row r="709" spans="24:28" x14ac:dyDescent="0.2">
      <c r="X709" s="27"/>
      <c r="AB709" s="30"/>
    </row>
    <row r="710" spans="24:28" x14ac:dyDescent="0.2">
      <c r="X710" s="27"/>
      <c r="AB710" s="30"/>
    </row>
    <row r="711" spans="24:28" x14ac:dyDescent="0.2">
      <c r="X711" s="27"/>
      <c r="AB711" s="30"/>
    </row>
    <row r="712" spans="24:28" x14ac:dyDescent="0.2">
      <c r="X712" s="27"/>
      <c r="AB712" s="30"/>
    </row>
    <row r="713" spans="24:28" x14ac:dyDescent="0.2">
      <c r="X713" s="27"/>
      <c r="AB713" s="30"/>
    </row>
    <row r="714" spans="24:28" x14ac:dyDescent="0.2">
      <c r="X714" s="27"/>
      <c r="AB714" s="30"/>
    </row>
    <row r="715" spans="24:28" x14ac:dyDescent="0.2">
      <c r="X715" s="27"/>
      <c r="AB715" s="30"/>
    </row>
    <row r="716" spans="24:28" x14ac:dyDescent="0.2">
      <c r="X716" s="27"/>
      <c r="AB716" s="30"/>
    </row>
    <row r="717" spans="24:28" x14ac:dyDescent="0.2">
      <c r="X717" s="27"/>
      <c r="AB717" s="30"/>
    </row>
    <row r="718" spans="24:28" x14ac:dyDescent="0.2">
      <c r="X718" s="27"/>
      <c r="AB718" s="30"/>
    </row>
    <row r="719" spans="24:28" x14ac:dyDescent="0.2">
      <c r="X719" s="27"/>
      <c r="AB719" s="30"/>
    </row>
    <row r="720" spans="24:28" x14ac:dyDescent="0.2">
      <c r="X720" s="27"/>
      <c r="AB720" s="30"/>
    </row>
    <row r="721" spans="24:28" x14ac:dyDescent="0.2">
      <c r="X721" s="27"/>
      <c r="AB721" s="30"/>
    </row>
    <row r="722" spans="24:28" x14ac:dyDescent="0.2">
      <c r="X722" s="27"/>
      <c r="AB722" s="30"/>
    </row>
    <row r="723" spans="24:28" x14ac:dyDescent="0.2">
      <c r="X723" s="27"/>
      <c r="AB723" s="30"/>
    </row>
    <row r="724" spans="24:28" x14ac:dyDescent="0.2">
      <c r="X724" s="27"/>
      <c r="AB724" s="30"/>
    </row>
    <row r="725" spans="24:28" x14ac:dyDescent="0.2">
      <c r="X725" s="27"/>
      <c r="AB725" s="30"/>
    </row>
    <row r="726" spans="24:28" x14ac:dyDescent="0.2">
      <c r="X726" s="27"/>
      <c r="AB726" s="30"/>
    </row>
    <row r="727" spans="24:28" x14ac:dyDescent="0.2">
      <c r="X727" s="27"/>
      <c r="AB727" s="30"/>
    </row>
    <row r="728" spans="24:28" x14ac:dyDescent="0.2">
      <c r="X728" s="27"/>
      <c r="AB728" s="30"/>
    </row>
    <row r="729" spans="24:28" x14ac:dyDescent="0.2">
      <c r="X729" s="27"/>
      <c r="AB729" s="30"/>
    </row>
    <row r="730" spans="24:28" x14ac:dyDescent="0.2">
      <c r="X730" s="27"/>
      <c r="AB730" s="30"/>
    </row>
    <row r="731" spans="24:28" x14ac:dyDescent="0.2">
      <c r="X731" s="27"/>
      <c r="AB731" s="30"/>
    </row>
    <row r="732" spans="24:28" x14ac:dyDescent="0.2">
      <c r="X732" s="27"/>
      <c r="AB732" s="30"/>
    </row>
    <row r="733" spans="24:28" x14ac:dyDescent="0.2">
      <c r="X733" s="27"/>
      <c r="AB733" s="30"/>
    </row>
    <row r="734" spans="24:28" x14ac:dyDescent="0.2">
      <c r="X734" s="27"/>
      <c r="AB734" s="30"/>
    </row>
    <row r="735" spans="24:28" x14ac:dyDescent="0.2">
      <c r="X735" s="27"/>
      <c r="AB735" s="30"/>
    </row>
    <row r="736" spans="24:28" x14ac:dyDescent="0.2">
      <c r="X736" s="27"/>
      <c r="AB736" s="30"/>
    </row>
    <row r="737" spans="24:28" x14ac:dyDescent="0.2">
      <c r="X737" s="27"/>
      <c r="AB737" s="30"/>
    </row>
    <row r="738" spans="24:28" x14ac:dyDescent="0.2">
      <c r="X738" s="27"/>
      <c r="AB738" s="30"/>
    </row>
    <row r="739" spans="24:28" x14ac:dyDescent="0.2">
      <c r="X739" s="27"/>
      <c r="AB739" s="30"/>
    </row>
    <row r="740" spans="24:28" x14ac:dyDescent="0.2">
      <c r="X740" s="27"/>
      <c r="AB740" s="30"/>
    </row>
    <row r="741" spans="24:28" x14ac:dyDescent="0.2">
      <c r="X741" s="27"/>
      <c r="AB741" s="30"/>
    </row>
    <row r="742" spans="24:28" x14ac:dyDescent="0.2">
      <c r="X742" s="27"/>
      <c r="AB742" s="30"/>
    </row>
    <row r="743" spans="24:28" x14ac:dyDescent="0.2">
      <c r="X743" s="27"/>
      <c r="AB743" s="30"/>
    </row>
    <row r="744" spans="24:28" x14ac:dyDescent="0.2">
      <c r="X744" s="27"/>
      <c r="AB744" s="30"/>
    </row>
    <row r="745" spans="24:28" x14ac:dyDescent="0.2">
      <c r="X745" s="27"/>
      <c r="AB745" s="30"/>
    </row>
    <row r="746" spans="24:28" x14ac:dyDescent="0.2">
      <c r="X746" s="27"/>
      <c r="AB746" s="30"/>
    </row>
    <row r="747" spans="24:28" x14ac:dyDescent="0.2">
      <c r="X747" s="27"/>
      <c r="AB747" s="30"/>
    </row>
    <row r="748" spans="24:28" x14ac:dyDescent="0.2">
      <c r="X748" s="27"/>
      <c r="AB748" s="30"/>
    </row>
    <row r="749" spans="24:28" x14ac:dyDescent="0.2">
      <c r="X749" s="27"/>
      <c r="AB749" s="30"/>
    </row>
    <row r="750" spans="24:28" x14ac:dyDescent="0.2">
      <c r="X750" s="27"/>
      <c r="AB750" s="30"/>
    </row>
    <row r="751" spans="24:28" x14ac:dyDescent="0.2">
      <c r="X751" s="27"/>
      <c r="AB751" s="30"/>
    </row>
    <row r="752" spans="24:28" x14ac:dyDescent="0.2">
      <c r="X752" s="27"/>
      <c r="AB752" s="30"/>
    </row>
    <row r="753" spans="24:28" x14ac:dyDescent="0.2">
      <c r="X753" s="27"/>
      <c r="AB753" s="30"/>
    </row>
    <row r="754" spans="24:28" x14ac:dyDescent="0.2">
      <c r="X754" s="27"/>
      <c r="AB754" s="30"/>
    </row>
    <row r="755" spans="24:28" x14ac:dyDescent="0.2">
      <c r="X755" s="27"/>
      <c r="AB755" s="30"/>
    </row>
    <row r="756" spans="24:28" x14ac:dyDescent="0.2">
      <c r="X756" s="27"/>
      <c r="AB756" s="30"/>
    </row>
    <row r="757" spans="24:28" x14ac:dyDescent="0.2">
      <c r="X757" s="27"/>
      <c r="AB757" s="30"/>
    </row>
    <row r="758" spans="24:28" x14ac:dyDescent="0.2">
      <c r="X758" s="27"/>
      <c r="AB758" s="30"/>
    </row>
    <row r="759" spans="24:28" x14ac:dyDescent="0.2">
      <c r="X759" s="27"/>
      <c r="AB759" s="30"/>
    </row>
    <row r="760" spans="24:28" x14ac:dyDescent="0.2">
      <c r="X760" s="27"/>
      <c r="AB760" s="30"/>
    </row>
    <row r="761" spans="24:28" x14ac:dyDescent="0.2">
      <c r="X761" s="27"/>
      <c r="AB761" s="30"/>
    </row>
    <row r="762" spans="24:28" x14ac:dyDescent="0.2">
      <c r="X762" s="27"/>
      <c r="AB762" s="30"/>
    </row>
    <row r="763" spans="24:28" x14ac:dyDescent="0.2">
      <c r="X763" s="27"/>
      <c r="AB763" s="30"/>
    </row>
    <row r="764" spans="24:28" x14ac:dyDescent="0.2">
      <c r="X764" s="27"/>
      <c r="AB764" s="30"/>
    </row>
    <row r="765" spans="24:28" x14ac:dyDescent="0.2">
      <c r="X765" s="27"/>
      <c r="AB765" s="30"/>
    </row>
    <row r="766" spans="24:28" x14ac:dyDescent="0.2">
      <c r="X766" s="27"/>
      <c r="AB766" s="30"/>
    </row>
    <row r="767" spans="24:28" x14ac:dyDescent="0.2">
      <c r="X767" s="27"/>
      <c r="AB767" s="30"/>
    </row>
    <row r="768" spans="24:28" x14ac:dyDescent="0.2">
      <c r="X768" s="27"/>
      <c r="AB768" s="30"/>
    </row>
    <row r="769" spans="24:28" x14ac:dyDescent="0.2">
      <c r="X769" s="27"/>
      <c r="AB769" s="30"/>
    </row>
    <row r="770" spans="24:28" x14ac:dyDescent="0.2">
      <c r="X770" s="27"/>
      <c r="AB770" s="30"/>
    </row>
    <row r="771" spans="24:28" x14ac:dyDescent="0.2">
      <c r="X771" s="27"/>
      <c r="AB771" s="30"/>
    </row>
    <row r="772" spans="24:28" x14ac:dyDescent="0.2">
      <c r="X772" s="27"/>
      <c r="AB772" s="30"/>
    </row>
    <row r="773" spans="24:28" x14ac:dyDescent="0.2">
      <c r="X773" s="27"/>
      <c r="AB773" s="30"/>
    </row>
    <row r="774" spans="24:28" x14ac:dyDescent="0.2">
      <c r="X774" s="27"/>
      <c r="AB774" s="30"/>
    </row>
    <row r="775" spans="24:28" x14ac:dyDescent="0.2">
      <c r="X775" s="27"/>
      <c r="AB775" s="30"/>
    </row>
    <row r="776" spans="24:28" x14ac:dyDescent="0.2">
      <c r="X776" s="27"/>
      <c r="AB776" s="30"/>
    </row>
    <row r="777" spans="24:28" x14ac:dyDescent="0.2">
      <c r="X777" s="27"/>
      <c r="AB777" s="30"/>
    </row>
    <row r="778" spans="24:28" x14ac:dyDescent="0.2">
      <c r="X778" s="27"/>
      <c r="AB778" s="30"/>
    </row>
    <row r="779" spans="24:28" x14ac:dyDescent="0.2">
      <c r="X779" s="27"/>
      <c r="AB779" s="30"/>
    </row>
    <row r="780" spans="24:28" x14ac:dyDescent="0.2">
      <c r="X780" s="27"/>
      <c r="AB780" s="30"/>
    </row>
    <row r="781" spans="24:28" x14ac:dyDescent="0.2">
      <c r="X781" s="27"/>
      <c r="AB781" s="30"/>
    </row>
    <row r="782" spans="24:28" x14ac:dyDescent="0.2">
      <c r="X782" s="27"/>
      <c r="AB782" s="30"/>
    </row>
    <row r="783" spans="24:28" x14ac:dyDescent="0.2">
      <c r="X783" s="27"/>
      <c r="AB783" s="30"/>
    </row>
    <row r="784" spans="24:28" x14ac:dyDescent="0.2">
      <c r="X784" s="27"/>
      <c r="AB784" s="30"/>
    </row>
    <row r="785" spans="24:28" x14ac:dyDescent="0.2">
      <c r="X785" s="27"/>
      <c r="AB785" s="30"/>
    </row>
    <row r="786" spans="24:28" x14ac:dyDescent="0.2">
      <c r="X786" s="27"/>
      <c r="AB786" s="30"/>
    </row>
    <row r="787" spans="24:28" x14ac:dyDescent="0.2">
      <c r="X787" s="27"/>
      <c r="AB787" s="30"/>
    </row>
    <row r="788" spans="24:28" x14ac:dyDescent="0.2">
      <c r="X788" s="27"/>
      <c r="AB788" s="30"/>
    </row>
    <row r="789" spans="24:28" x14ac:dyDescent="0.2">
      <c r="X789" s="27"/>
      <c r="AB789" s="30"/>
    </row>
    <row r="790" spans="24:28" x14ac:dyDescent="0.2">
      <c r="X790" s="27"/>
      <c r="AB790" s="30"/>
    </row>
    <row r="791" spans="24:28" x14ac:dyDescent="0.2">
      <c r="X791" s="27"/>
      <c r="AB791" s="30"/>
    </row>
    <row r="792" spans="24:28" x14ac:dyDescent="0.2">
      <c r="X792" s="27"/>
      <c r="AB792" s="30"/>
    </row>
    <row r="793" spans="24:28" x14ac:dyDescent="0.2">
      <c r="X793" s="27"/>
      <c r="AB793" s="30"/>
    </row>
    <row r="794" spans="24:28" x14ac:dyDescent="0.2">
      <c r="X794" s="27"/>
      <c r="AB794" s="30"/>
    </row>
    <row r="795" spans="24:28" x14ac:dyDescent="0.2">
      <c r="X795" s="27"/>
      <c r="AB795" s="30"/>
    </row>
    <row r="796" spans="24:28" x14ac:dyDescent="0.2">
      <c r="X796" s="27"/>
      <c r="AB796" s="30"/>
    </row>
    <row r="797" spans="24:28" x14ac:dyDescent="0.2">
      <c r="X797" s="27"/>
      <c r="AB797" s="30"/>
    </row>
    <row r="798" spans="24:28" x14ac:dyDescent="0.2">
      <c r="X798" s="27"/>
      <c r="AB798" s="30"/>
    </row>
    <row r="799" spans="24:28" x14ac:dyDescent="0.2">
      <c r="X799" s="27"/>
      <c r="AB799" s="30"/>
    </row>
    <row r="800" spans="24:28" x14ac:dyDescent="0.2">
      <c r="X800" s="27"/>
      <c r="AB800" s="30"/>
    </row>
    <row r="801" spans="24:28" x14ac:dyDescent="0.2">
      <c r="X801" s="27"/>
      <c r="AB801" s="30"/>
    </row>
    <row r="802" spans="24:28" x14ac:dyDescent="0.2">
      <c r="X802" s="27"/>
      <c r="AB802" s="30"/>
    </row>
    <row r="803" spans="24:28" x14ac:dyDescent="0.2">
      <c r="X803" s="27"/>
      <c r="AB803" s="30"/>
    </row>
    <row r="804" spans="24:28" x14ac:dyDescent="0.2">
      <c r="X804" s="27"/>
      <c r="AB804" s="30"/>
    </row>
    <row r="805" spans="24:28" x14ac:dyDescent="0.2">
      <c r="X805" s="27"/>
      <c r="AB805" s="30"/>
    </row>
    <row r="806" spans="24:28" x14ac:dyDescent="0.2">
      <c r="X806" s="27"/>
      <c r="AB806" s="30"/>
    </row>
    <row r="807" spans="24:28" x14ac:dyDescent="0.2">
      <c r="X807" s="27"/>
      <c r="AB807" s="30"/>
    </row>
    <row r="808" spans="24:28" x14ac:dyDescent="0.2">
      <c r="X808" s="27"/>
      <c r="AB808" s="30"/>
    </row>
    <row r="809" spans="24:28" x14ac:dyDescent="0.2">
      <c r="X809" s="27"/>
      <c r="AB809" s="30"/>
    </row>
    <row r="810" spans="24:28" x14ac:dyDescent="0.2">
      <c r="X810" s="27"/>
      <c r="AB810" s="30"/>
    </row>
    <row r="811" spans="24:28" x14ac:dyDescent="0.2">
      <c r="X811" s="27"/>
      <c r="AB811" s="30"/>
    </row>
    <row r="812" spans="24:28" x14ac:dyDescent="0.2">
      <c r="X812" s="27"/>
      <c r="AB812" s="30"/>
    </row>
    <row r="813" spans="24:28" x14ac:dyDescent="0.2">
      <c r="X813" s="27"/>
      <c r="AB813" s="30"/>
    </row>
    <row r="814" spans="24:28" x14ac:dyDescent="0.2">
      <c r="X814" s="27"/>
      <c r="AB814" s="30"/>
    </row>
    <row r="815" spans="24:28" x14ac:dyDescent="0.2">
      <c r="X815" s="27"/>
      <c r="AB815" s="30"/>
    </row>
    <row r="816" spans="24:28" x14ac:dyDescent="0.2">
      <c r="X816" s="27"/>
      <c r="AB816" s="30"/>
    </row>
    <row r="817" spans="24:28" x14ac:dyDescent="0.2">
      <c r="X817" s="27"/>
      <c r="AB817" s="30"/>
    </row>
    <row r="818" spans="24:28" x14ac:dyDescent="0.2">
      <c r="X818" s="27"/>
      <c r="AB818" s="30"/>
    </row>
    <row r="819" spans="24:28" x14ac:dyDescent="0.2">
      <c r="X819" s="27"/>
      <c r="AB819" s="30"/>
    </row>
    <row r="820" spans="24:28" x14ac:dyDescent="0.2">
      <c r="X820" s="27"/>
      <c r="AB820" s="30"/>
    </row>
    <row r="821" spans="24:28" x14ac:dyDescent="0.2">
      <c r="X821" s="27"/>
      <c r="AB821" s="30"/>
    </row>
    <row r="822" spans="24:28" x14ac:dyDescent="0.2">
      <c r="X822" s="27"/>
      <c r="AB822" s="30"/>
    </row>
    <row r="823" spans="24:28" x14ac:dyDescent="0.2">
      <c r="X823" s="27"/>
      <c r="AB823" s="30"/>
    </row>
    <row r="824" spans="24:28" x14ac:dyDescent="0.2">
      <c r="X824" s="27"/>
      <c r="AB824" s="30"/>
    </row>
    <row r="825" spans="24:28" x14ac:dyDescent="0.2">
      <c r="X825" s="27"/>
      <c r="AB825" s="30"/>
    </row>
    <row r="826" spans="24:28" x14ac:dyDescent="0.2">
      <c r="X826" s="27"/>
      <c r="AB826" s="30"/>
    </row>
    <row r="827" spans="24:28" x14ac:dyDescent="0.2">
      <c r="X827" s="27"/>
      <c r="AB827" s="30"/>
    </row>
    <row r="828" spans="24:28" x14ac:dyDescent="0.2">
      <c r="X828" s="27"/>
      <c r="AB828" s="30"/>
    </row>
    <row r="829" spans="24:28" x14ac:dyDescent="0.2">
      <c r="X829" s="27"/>
      <c r="AB829" s="30"/>
    </row>
    <row r="830" spans="24:28" x14ac:dyDescent="0.2">
      <c r="X830" s="27"/>
      <c r="AB830" s="30"/>
    </row>
    <row r="831" spans="24:28" x14ac:dyDescent="0.2">
      <c r="X831" s="27"/>
      <c r="AB831" s="30"/>
    </row>
    <row r="832" spans="24:28" x14ac:dyDescent="0.2">
      <c r="X832" s="27"/>
      <c r="AB832" s="30"/>
    </row>
    <row r="833" spans="24:28" x14ac:dyDescent="0.2">
      <c r="X833" s="27"/>
      <c r="AB833" s="30"/>
    </row>
    <row r="834" spans="24:28" x14ac:dyDescent="0.2">
      <c r="X834" s="27"/>
      <c r="AB834" s="30"/>
    </row>
    <row r="835" spans="24:28" x14ac:dyDescent="0.2">
      <c r="X835" s="27"/>
      <c r="AB835" s="30"/>
    </row>
    <row r="836" spans="24:28" x14ac:dyDescent="0.2">
      <c r="X836" s="27"/>
      <c r="AB836" s="30"/>
    </row>
    <row r="837" spans="24:28" x14ac:dyDescent="0.2">
      <c r="X837" s="27"/>
      <c r="AB837" s="30"/>
    </row>
    <row r="838" spans="24:28" x14ac:dyDescent="0.2">
      <c r="X838" s="27"/>
      <c r="AB838" s="30"/>
    </row>
    <row r="839" spans="24:28" x14ac:dyDescent="0.2">
      <c r="X839" s="27"/>
      <c r="AB839" s="30"/>
    </row>
    <row r="840" spans="24:28" x14ac:dyDescent="0.2">
      <c r="X840" s="27"/>
      <c r="AB840" s="30"/>
    </row>
    <row r="841" spans="24:28" x14ac:dyDescent="0.2">
      <c r="X841" s="27"/>
      <c r="AB841" s="30"/>
    </row>
    <row r="842" spans="24:28" x14ac:dyDescent="0.2">
      <c r="X842" s="27"/>
      <c r="AB842" s="30"/>
    </row>
    <row r="843" spans="24:28" x14ac:dyDescent="0.2">
      <c r="X843" s="27"/>
      <c r="AB843" s="30"/>
    </row>
    <row r="844" spans="24:28" x14ac:dyDescent="0.2">
      <c r="X844" s="27"/>
      <c r="AB844" s="30"/>
    </row>
    <row r="845" spans="24:28" x14ac:dyDescent="0.2">
      <c r="X845" s="27"/>
      <c r="AB845" s="30"/>
    </row>
    <row r="846" spans="24:28" x14ac:dyDescent="0.2">
      <c r="X846" s="27"/>
      <c r="AB846" s="30"/>
    </row>
    <row r="847" spans="24:28" x14ac:dyDescent="0.2">
      <c r="X847" s="27"/>
      <c r="AB847" s="30"/>
    </row>
    <row r="848" spans="24:28" x14ac:dyDescent="0.2">
      <c r="X848" s="27"/>
      <c r="AB848" s="30"/>
    </row>
    <row r="849" spans="24:28" x14ac:dyDescent="0.2">
      <c r="X849" s="27"/>
      <c r="AB849" s="30"/>
    </row>
    <row r="850" spans="24:28" x14ac:dyDescent="0.2">
      <c r="X850" s="27"/>
      <c r="AB850" s="30"/>
    </row>
    <row r="851" spans="24:28" x14ac:dyDescent="0.2">
      <c r="X851" s="27"/>
      <c r="AB851" s="30"/>
    </row>
    <row r="852" spans="24:28" x14ac:dyDescent="0.2">
      <c r="X852" s="27"/>
      <c r="AB852" s="30"/>
    </row>
    <row r="853" spans="24:28" x14ac:dyDescent="0.2">
      <c r="X853" s="27"/>
      <c r="AB853" s="30"/>
    </row>
    <row r="854" spans="24:28" x14ac:dyDescent="0.2">
      <c r="X854" s="27"/>
      <c r="AB854" s="30"/>
    </row>
    <row r="855" spans="24:28" x14ac:dyDescent="0.2">
      <c r="X855" s="27"/>
      <c r="AB855" s="30"/>
    </row>
    <row r="856" spans="24:28" x14ac:dyDescent="0.2">
      <c r="X856" s="27"/>
      <c r="AB856" s="30"/>
    </row>
    <row r="857" spans="24:28" x14ac:dyDescent="0.2">
      <c r="X857" s="27"/>
      <c r="AB857" s="30"/>
    </row>
    <row r="858" spans="24:28" x14ac:dyDescent="0.2">
      <c r="X858" s="27"/>
      <c r="AB858" s="30"/>
    </row>
    <row r="859" spans="24:28" x14ac:dyDescent="0.2">
      <c r="X859" s="27"/>
      <c r="AB859" s="30"/>
    </row>
    <row r="860" spans="24:28" x14ac:dyDescent="0.2">
      <c r="X860" s="27"/>
      <c r="AB860" s="30"/>
    </row>
    <row r="861" spans="24:28" x14ac:dyDescent="0.2">
      <c r="X861" s="27"/>
      <c r="AB861" s="30"/>
    </row>
    <row r="862" spans="24:28" x14ac:dyDescent="0.2">
      <c r="X862" s="27"/>
      <c r="AB862" s="30"/>
    </row>
    <row r="863" spans="24:28" x14ac:dyDescent="0.2">
      <c r="X863" s="27"/>
      <c r="AB863" s="30"/>
    </row>
    <row r="864" spans="24:28" x14ac:dyDescent="0.2">
      <c r="X864" s="27"/>
      <c r="AB864" s="30"/>
    </row>
    <row r="865" spans="24:28" x14ac:dyDescent="0.2">
      <c r="X865" s="27"/>
      <c r="AB865" s="30"/>
    </row>
    <row r="866" spans="24:28" x14ac:dyDescent="0.2">
      <c r="X866" s="27"/>
      <c r="AB866" s="30"/>
    </row>
    <row r="867" spans="24:28" x14ac:dyDescent="0.2">
      <c r="X867" s="27"/>
      <c r="AB867" s="30"/>
    </row>
    <row r="868" spans="24:28" x14ac:dyDescent="0.2">
      <c r="X868" s="27"/>
      <c r="AB868" s="30"/>
    </row>
    <row r="869" spans="24:28" x14ac:dyDescent="0.2">
      <c r="X869" s="27"/>
      <c r="AB869" s="30"/>
    </row>
    <row r="870" spans="24:28" x14ac:dyDescent="0.2">
      <c r="X870" s="27"/>
      <c r="AB870" s="30"/>
    </row>
    <row r="871" spans="24:28" x14ac:dyDescent="0.2">
      <c r="X871" s="27"/>
      <c r="AB871" s="30"/>
    </row>
    <row r="872" spans="24:28" x14ac:dyDescent="0.2">
      <c r="X872" s="27"/>
      <c r="AB872" s="30"/>
    </row>
    <row r="873" spans="24:28" x14ac:dyDescent="0.2">
      <c r="X873" s="27"/>
      <c r="AB873" s="30"/>
    </row>
    <row r="874" spans="24:28" x14ac:dyDescent="0.2">
      <c r="X874" s="27"/>
      <c r="AB874" s="30"/>
    </row>
    <row r="875" spans="24:28" x14ac:dyDescent="0.2">
      <c r="X875" s="27"/>
      <c r="AB875" s="30"/>
    </row>
    <row r="876" spans="24:28" x14ac:dyDescent="0.2">
      <c r="X876" s="27"/>
      <c r="AB876" s="30"/>
    </row>
    <row r="877" spans="24:28" x14ac:dyDescent="0.2">
      <c r="X877" s="27"/>
      <c r="AB877" s="30"/>
    </row>
    <row r="878" spans="24:28" x14ac:dyDescent="0.2">
      <c r="X878" s="27"/>
      <c r="AB878" s="30"/>
    </row>
    <row r="879" spans="24:28" x14ac:dyDescent="0.2">
      <c r="X879" s="27"/>
      <c r="AB879" s="30"/>
    </row>
    <row r="880" spans="24:28" x14ac:dyDescent="0.2">
      <c r="X880" s="27"/>
      <c r="AB880" s="30"/>
    </row>
    <row r="881" spans="24:28" x14ac:dyDescent="0.2">
      <c r="X881" s="27"/>
      <c r="AB881" s="30"/>
    </row>
    <row r="882" spans="24:28" x14ac:dyDescent="0.2">
      <c r="X882" s="27"/>
      <c r="AB882" s="30"/>
    </row>
    <row r="883" spans="24:28" x14ac:dyDescent="0.2">
      <c r="X883" s="27"/>
      <c r="AB883" s="30"/>
    </row>
    <row r="884" spans="24:28" x14ac:dyDescent="0.2">
      <c r="X884" s="27"/>
      <c r="AB884" s="30"/>
    </row>
    <row r="885" spans="24:28" x14ac:dyDescent="0.2">
      <c r="X885" s="27"/>
      <c r="AB885" s="30"/>
    </row>
    <row r="886" spans="24:28" x14ac:dyDescent="0.2">
      <c r="X886" s="27"/>
      <c r="AB886" s="30"/>
    </row>
    <row r="887" spans="24:28" x14ac:dyDescent="0.2">
      <c r="X887" s="27"/>
      <c r="AB887" s="30"/>
    </row>
    <row r="888" spans="24:28" x14ac:dyDescent="0.2">
      <c r="X888" s="27"/>
      <c r="AB888" s="30"/>
    </row>
    <row r="889" spans="24:28" x14ac:dyDescent="0.2">
      <c r="X889" s="27"/>
      <c r="AB889" s="30"/>
    </row>
    <row r="890" spans="24:28" x14ac:dyDescent="0.2">
      <c r="X890" s="27"/>
      <c r="AB890" s="30"/>
    </row>
    <row r="891" spans="24:28" x14ac:dyDescent="0.2">
      <c r="X891" s="27"/>
      <c r="AB891" s="30"/>
    </row>
    <row r="892" spans="24:28" x14ac:dyDescent="0.2">
      <c r="X892" s="27"/>
      <c r="AB892" s="30"/>
    </row>
    <row r="893" spans="24:28" x14ac:dyDescent="0.2">
      <c r="X893" s="27"/>
      <c r="AB893" s="30"/>
    </row>
    <row r="894" spans="24:28" x14ac:dyDescent="0.2">
      <c r="X894" s="27"/>
      <c r="AB894" s="30"/>
    </row>
    <row r="895" spans="24:28" x14ac:dyDescent="0.2">
      <c r="X895" s="27"/>
      <c r="AB895" s="30"/>
    </row>
    <row r="896" spans="24:28" x14ac:dyDescent="0.2">
      <c r="X896" s="27"/>
      <c r="AB896" s="30"/>
    </row>
    <row r="897" spans="24:28" x14ac:dyDescent="0.2">
      <c r="X897" s="27"/>
      <c r="AB897" s="30"/>
    </row>
    <row r="898" spans="24:28" x14ac:dyDescent="0.2">
      <c r="X898" s="27"/>
      <c r="AB898" s="30"/>
    </row>
    <row r="899" spans="24:28" x14ac:dyDescent="0.2">
      <c r="X899" s="27"/>
      <c r="AB899" s="30"/>
    </row>
    <row r="900" spans="24:28" x14ac:dyDescent="0.2">
      <c r="X900" s="27"/>
      <c r="AB900" s="30"/>
    </row>
    <row r="901" spans="24:28" x14ac:dyDescent="0.2">
      <c r="X901" s="27"/>
      <c r="AB901" s="30"/>
    </row>
    <row r="902" spans="24:28" x14ac:dyDescent="0.2">
      <c r="X902" s="27"/>
      <c r="AB902" s="30"/>
    </row>
    <row r="903" spans="24:28" x14ac:dyDescent="0.2">
      <c r="X903" s="27"/>
      <c r="AB903" s="30"/>
    </row>
    <row r="904" spans="24:28" x14ac:dyDescent="0.2">
      <c r="X904" s="27"/>
      <c r="AB904" s="30"/>
    </row>
    <row r="905" spans="24:28" x14ac:dyDescent="0.2">
      <c r="X905" s="27"/>
      <c r="AB905" s="30"/>
    </row>
    <row r="906" spans="24:28" x14ac:dyDescent="0.2">
      <c r="X906" s="27"/>
      <c r="AB906" s="30"/>
    </row>
    <row r="907" spans="24:28" x14ac:dyDescent="0.2">
      <c r="X907" s="27"/>
      <c r="AB907" s="30"/>
    </row>
    <row r="908" spans="24:28" x14ac:dyDescent="0.2">
      <c r="X908" s="27"/>
      <c r="AB908" s="30"/>
    </row>
    <row r="909" spans="24:28" x14ac:dyDescent="0.2">
      <c r="X909" s="27"/>
      <c r="AB909" s="30"/>
    </row>
    <row r="910" spans="24:28" x14ac:dyDescent="0.2">
      <c r="X910" s="27"/>
      <c r="AB910" s="30"/>
    </row>
    <row r="911" spans="24:28" x14ac:dyDescent="0.2">
      <c r="X911" s="27"/>
      <c r="AB911" s="30"/>
    </row>
    <row r="912" spans="24:28" x14ac:dyDescent="0.2">
      <c r="X912" s="27"/>
      <c r="AB912" s="30"/>
    </row>
    <row r="913" spans="24:28" x14ac:dyDescent="0.2">
      <c r="X913" s="27"/>
      <c r="AB913" s="30"/>
    </row>
    <row r="914" spans="24:28" x14ac:dyDescent="0.2">
      <c r="X914" s="27"/>
      <c r="AB914" s="30"/>
    </row>
    <row r="915" spans="24:28" x14ac:dyDescent="0.2">
      <c r="X915" s="27"/>
      <c r="AB915" s="30"/>
    </row>
    <row r="916" spans="24:28" x14ac:dyDescent="0.2">
      <c r="X916" s="27"/>
      <c r="AB916" s="30"/>
    </row>
    <row r="917" spans="24:28" x14ac:dyDescent="0.2">
      <c r="X917" s="27"/>
      <c r="AB917" s="30"/>
    </row>
    <row r="918" spans="24:28" x14ac:dyDescent="0.2">
      <c r="X918" s="27"/>
      <c r="AB918" s="30"/>
    </row>
    <row r="919" spans="24:28" x14ac:dyDescent="0.2">
      <c r="X919" s="27"/>
      <c r="AB919" s="30"/>
    </row>
    <row r="920" spans="24:28" x14ac:dyDescent="0.2">
      <c r="X920" s="27"/>
      <c r="AB920" s="30"/>
    </row>
    <row r="921" spans="24:28" x14ac:dyDescent="0.2">
      <c r="X921" s="27"/>
      <c r="AB921" s="30"/>
    </row>
    <row r="922" spans="24:28" x14ac:dyDescent="0.2">
      <c r="X922" s="27"/>
      <c r="AB922" s="30"/>
    </row>
    <row r="923" spans="24:28" x14ac:dyDescent="0.2">
      <c r="X923" s="27"/>
      <c r="AB923" s="30"/>
    </row>
    <row r="924" spans="24:28" x14ac:dyDescent="0.2">
      <c r="X924" s="27"/>
      <c r="AB924" s="30"/>
    </row>
    <row r="925" spans="24:28" x14ac:dyDescent="0.2">
      <c r="X925" s="27"/>
      <c r="AB925" s="30"/>
    </row>
    <row r="926" spans="24:28" x14ac:dyDescent="0.2">
      <c r="X926" s="27"/>
      <c r="AB926" s="30"/>
    </row>
    <row r="927" spans="24:28" x14ac:dyDescent="0.2">
      <c r="X927" s="27"/>
      <c r="AB927" s="30"/>
    </row>
    <row r="928" spans="24:28" x14ac:dyDescent="0.2">
      <c r="X928" s="27"/>
      <c r="AB928" s="30"/>
    </row>
    <row r="929" spans="24:28" x14ac:dyDescent="0.2">
      <c r="X929" s="27"/>
      <c r="AB929" s="30"/>
    </row>
    <row r="930" spans="24:28" x14ac:dyDescent="0.2">
      <c r="X930" s="27"/>
      <c r="AB930" s="30"/>
    </row>
    <row r="931" spans="24:28" x14ac:dyDescent="0.2">
      <c r="X931" s="27"/>
      <c r="AB931" s="30"/>
    </row>
    <row r="932" spans="24:28" x14ac:dyDescent="0.2">
      <c r="X932" s="27"/>
      <c r="AB932" s="30"/>
    </row>
    <row r="933" spans="24:28" x14ac:dyDescent="0.2">
      <c r="X933" s="27"/>
      <c r="AB933" s="30"/>
    </row>
    <row r="934" spans="24:28" x14ac:dyDescent="0.2">
      <c r="X934" s="27"/>
      <c r="AB934" s="30"/>
    </row>
    <row r="935" spans="24:28" x14ac:dyDescent="0.2">
      <c r="X935" s="27"/>
      <c r="AB935" s="30"/>
    </row>
    <row r="936" spans="24:28" x14ac:dyDescent="0.2">
      <c r="X936" s="27"/>
      <c r="AB936" s="30"/>
    </row>
    <row r="937" spans="24:28" x14ac:dyDescent="0.2">
      <c r="X937" s="27"/>
      <c r="AB937" s="30"/>
    </row>
    <row r="938" spans="24:28" x14ac:dyDescent="0.2">
      <c r="X938" s="27"/>
      <c r="AB938" s="30"/>
    </row>
    <row r="939" spans="24:28" x14ac:dyDescent="0.2">
      <c r="X939" s="27"/>
      <c r="AB939" s="30"/>
    </row>
    <row r="940" spans="24:28" x14ac:dyDescent="0.2">
      <c r="X940" s="27"/>
      <c r="AB940" s="30"/>
    </row>
    <row r="941" spans="24:28" x14ac:dyDescent="0.2">
      <c r="X941" s="27"/>
      <c r="AB941" s="30"/>
    </row>
    <row r="942" spans="24:28" x14ac:dyDescent="0.2">
      <c r="X942" s="27"/>
      <c r="AB942" s="30"/>
    </row>
    <row r="943" spans="24:28" x14ac:dyDescent="0.2">
      <c r="X943" s="27"/>
      <c r="AB943" s="30"/>
    </row>
    <row r="944" spans="24:28" x14ac:dyDescent="0.2">
      <c r="X944" s="27"/>
      <c r="AB944" s="30"/>
    </row>
    <row r="945" spans="24:28" x14ac:dyDescent="0.2">
      <c r="X945" s="27"/>
      <c r="AB945" s="30"/>
    </row>
    <row r="946" spans="24:28" x14ac:dyDescent="0.2">
      <c r="X946" s="27"/>
      <c r="AB946" s="30"/>
    </row>
    <row r="947" spans="24:28" x14ac:dyDescent="0.2">
      <c r="X947" s="27"/>
      <c r="AB947" s="30"/>
    </row>
    <row r="948" spans="24:28" x14ac:dyDescent="0.2">
      <c r="X948" s="27"/>
      <c r="AB948" s="30"/>
    </row>
    <row r="949" spans="24:28" x14ac:dyDescent="0.2">
      <c r="X949" s="27"/>
      <c r="AB949" s="30"/>
    </row>
    <row r="950" spans="24:28" x14ac:dyDescent="0.2">
      <c r="X950" s="27"/>
      <c r="AB950" s="30"/>
    </row>
    <row r="951" spans="24:28" x14ac:dyDescent="0.2">
      <c r="X951" s="27"/>
      <c r="AB951" s="30"/>
    </row>
    <row r="952" spans="24:28" x14ac:dyDescent="0.2">
      <c r="X952" s="27"/>
      <c r="AB952" s="30"/>
    </row>
    <row r="953" spans="24:28" x14ac:dyDescent="0.2">
      <c r="X953" s="27"/>
      <c r="AB953" s="30"/>
    </row>
    <row r="954" spans="24:28" x14ac:dyDescent="0.2">
      <c r="X954" s="27"/>
      <c r="AB954" s="30"/>
    </row>
    <row r="955" spans="24:28" x14ac:dyDescent="0.2">
      <c r="X955" s="27"/>
      <c r="AB955" s="30"/>
    </row>
    <row r="956" spans="24:28" x14ac:dyDescent="0.2">
      <c r="X956" s="27"/>
      <c r="AB956" s="30"/>
    </row>
    <row r="957" spans="24:28" x14ac:dyDescent="0.2">
      <c r="X957" s="27"/>
      <c r="AB957" s="30"/>
    </row>
    <row r="958" spans="24:28" x14ac:dyDescent="0.2">
      <c r="X958" s="27"/>
      <c r="AB958" s="30"/>
    </row>
    <row r="959" spans="24:28" x14ac:dyDescent="0.2">
      <c r="X959" s="27"/>
      <c r="AB959" s="30"/>
    </row>
    <row r="960" spans="24:28" x14ac:dyDescent="0.2">
      <c r="X960" s="27"/>
      <c r="AB960" s="30"/>
    </row>
    <row r="961" spans="24:28" x14ac:dyDescent="0.2">
      <c r="X961" s="27"/>
      <c r="AB961" s="30"/>
    </row>
    <row r="962" spans="24:28" x14ac:dyDescent="0.2">
      <c r="X962" s="27"/>
      <c r="AB962" s="30"/>
    </row>
    <row r="963" spans="24:28" x14ac:dyDescent="0.2">
      <c r="X963" s="27"/>
      <c r="AB963" s="30"/>
    </row>
    <row r="964" spans="24:28" x14ac:dyDescent="0.2">
      <c r="X964" s="27"/>
      <c r="AB964" s="30"/>
    </row>
    <row r="965" spans="24:28" x14ac:dyDescent="0.2">
      <c r="X965" s="27"/>
      <c r="AB965" s="30"/>
    </row>
    <row r="966" spans="24:28" x14ac:dyDescent="0.2">
      <c r="X966" s="27"/>
      <c r="AB966" s="30"/>
    </row>
    <row r="967" spans="24:28" x14ac:dyDescent="0.2">
      <c r="X967" s="27"/>
      <c r="AB967" s="30"/>
    </row>
    <row r="968" spans="24:28" x14ac:dyDescent="0.2">
      <c r="X968" s="27"/>
      <c r="AB968" s="30"/>
    </row>
    <row r="969" spans="24:28" x14ac:dyDescent="0.2">
      <c r="X969" s="27"/>
      <c r="AB969" s="30"/>
    </row>
    <row r="970" spans="24:28" x14ac:dyDescent="0.2">
      <c r="X970" s="27"/>
      <c r="AB970" s="30"/>
    </row>
    <row r="971" spans="24:28" x14ac:dyDescent="0.2">
      <c r="X971" s="27"/>
      <c r="AB971" s="30"/>
    </row>
    <row r="972" spans="24:28" x14ac:dyDescent="0.2">
      <c r="X972" s="27"/>
      <c r="AB972" s="30"/>
    </row>
    <row r="973" spans="24:28" x14ac:dyDescent="0.2">
      <c r="X973" s="27"/>
      <c r="AB973" s="30"/>
    </row>
    <row r="974" spans="24:28" x14ac:dyDescent="0.2">
      <c r="X974" s="27"/>
      <c r="AB974" s="30"/>
    </row>
    <row r="975" spans="24:28" x14ac:dyDescent="0.2">
      <c r="X975" s="27"/>
      <c r="AB975" s="30"/>
    </row>
    <row r="976" spans="24:28" x14ac:dyDescent="0.2">
      <c r="X976" s="27"/>
      <c r="AB976" s="30"/>
    </row>
    <row r="977" spans="24:28" x14ac:dyDescent="0.2">
      <c r="X977" s="27"/>
      <c r="AB977" s="30"/>
    </row>
    <row r="978" spans="24:28" x14ac:dyDescent="0.2">
      <c r="X978" s="27"/>
      <c r="AB978" s="30"/>
    </row>
    <row r="979" spans="24:28" x14ac:dyDescent="0.2">
      <c r="X979" s="27"/>
      <c r="AB979" s="30"/>
    </row>
    <row r="980" spans="24:28" x14ac:dyDescent="0.2">
      <c r="X980" s="27"/>
      <c r="AB980" s="30"/>
    </row>
    <row r="981" spans="24:28" x14ac:dyDescent="0.2">
      <c r="X981" s="27"/>
      <c r="AB981" s="30"/>
    </row>
    <row r="982" spans="24:28" x14ac:dyDescent="0.2">
      <c r="X982" s="27"/>
      <c r="AB982" s="30"/>
    </row>
    <row r="983" spans="24:28" x14ac:dyDescent="0.2">
      <c r="X983" s="27"/>
      <c r="AB983" s="30"/>
    </row>
    <row r="984" spans="24:28" x14ac:dyDescent="0.2">
      <c r="X984" s="27"/>
      <c r="AB984" s="30"/>
    </row>
    <row r="985" spans="24:28" x14ac:dyDescent="0.2">
      <c r="X985" s="27"/>
      <c r="AB985" s="30"/>
    </row>
    <row r="986" spans="24:28" x14ac:dyDescent="0.2">
      <c r="X986" s="27"/>
      <c r="AB986" s="30"/>
    </row>
    <row r="987" spans="24:28" x14ac:dyDescent="0.2">
      <c r="X987" s="27"/>
      <c r="AB987" s="30"/>
    </row>
    <row r="988" spans="24:28" x14ac:dyDescent="0.2">
      <c r="X988" s="27"/>
      <c r="AB988" s="30"/>
    </row>
    <row r="989" spans="24:28" x14ac:dyDescent="0.2">
      <c r="X989" s="27"/>
      <c r="AB989" s="30"/>
    </row>
    <row r="990" spans="24:28" x14ac:dyDescent="0.2">
      <c r="X990" s="27"/>
      <c r="AB990" s="30"/>
    </row>
    <row r="991" spans="24:28" x14ac:dyDescent="0.2">
      <c r="X991" s="27"/>
      <c r="AB991" s="30"/>
    </row>
    <row r="992" spans="24:28" x14ac:dyDescent="0.2">
      <c r="X992" s="27"/>
      <c r="AB992" s="30"/>
    </row>
    <row r="993" spans="24:28" x14ac:dyDescent="0.2">
      <c r="X993" s="27"/>
      <c r="AB993" s="30"/>
    </row>
    <row r="994" spans="24:28" x14ac:dyDescent="0.2">
      <c r="X994" s="27"/>
      <c r="AB994" s="30"/>
    </row>
    <row r="995" spans="24:28" x14ac:dyDescent="0.2">
      <c r="X995" s="27"/>
      <c r="AB995" s="30"/>
    </row>
    <row r="996" spans="24:28" x14ac:dyDescent="0.2">
      <c r="X996" s="27"/>
      <c r="AB996" s="30"/>
    </row>
    <row r="997" spans="24:28" x14ac:dyDescent="0.2">
      <c r="X997" s="27"/>
      <c r="AB997" s="30"/>
    </row>
    <row r="998" spans="24:28" x14ac:dyDescent="0.2">
      <c r="X998" s="27"/>
      <c r="AB998" s="30"/>
    </row>
    <row r="999" spans="24:28" x14ac:dyDescent="0.2">
      <c r="X999" s="27"/>
      <c r="AB999" s="30"/>
    </row>
    <row r="1000" spans="24:28" x14ac:dyDescent="0.2">
      <c r="X1000" s="27"/>
      <c r="AB1000" s="30"/>
    </row>
    <row r="1001" spans="24:28" x14ac:dyDescent="0.2">
      <c r="X1001" s="27"/>
      <c r="AB1001" s="30"/>
    </row>
    <row r="1002" spans="24:28" x14ac:dyDescent="0.2">
      <c r="X1002" s="27"/>
      <c r="AB1002" s="30"/>
    </row>
    <row r="1003" spans="24:28" x14ac:dyDescent="0.2">
      <c r="X1003" s="27"/>
      <c r="AB1003" s="30"/>
    </row>
    <row r="1004" spans="24:28" x14ac:dyDescent="0.2">
      <c r="X1004" s="27"/>
      <c r="AB1004" s="30"/>
    </row>
    <row r="1005" spans="24:28" x14ac:dyDescent="0.2">
      <c r="X1005" s="27"/>
      <c r="AB1005" s="30"/>
    </row>
    <row r="1006" spans="24:28" x14ac:dyDescent="0.2">
      <c r="X1006" s="27"/>
      <c r="AB1006" s="30"/>
    </row>
    <row r="1007" spans="24:28" x14ac:dyDescent="0.2">
      <c r="X1007" s="27"/>
      <c r="AB1007" s="30"/>
    </row>
    <row r="1008" spans="24:28" x14ac:dyDescent="0.2">
      <c r="X1008" s="27"/>
      <c r="AB1008" s="30"/>
    </row>
    <row r="1009" spans="24:28" x14ac:dyDescent="0.2">
      <c r="X1009" s="27"/>
      <c r="AB1009" s="30"/>
    </row>
    <row r="1010" spans="24:28" x14ac:dyDescent="0.2">
      <c r="X1010" s="27"/>
      <c r="AB1010" s="30"/>
    </row>
    <row r="1011" spans="24:28" x14ac:dyDescent="0.2">
      <c r="X1011" s="27"/>
      <c r="AB1011" s="30"/>
    </row>
    <row r="1012" spans="24:28" x14ac:dyDescent="0.2">
      <c r="X1012" s="27"/>
      <c r="AB1012" s="30"/>
    </row>
    <row r="1013" spans="24:28" x14ac:dyDescent="0.2">
      <c r="X1013" s="27"/>
      <c r="AB1013" s="30"/>
    </row>
    <row r="1014" spans="24:28" x14ac:dyDescent="0.2">
      <c r="X1014" s="27"/>
      <c r="AB1014" s="30"/>
    </row>
    <row r="1015" spans="24:28" x14ac:dyDescent="0.2">
      <c r="X1015" s="27"/>
      <c r="AB1015" s="30"/>
    </row>
    <row r="1016" spans="24:28" x14ac:dyDescent="0.2">
      <c r="X1016" s="27"/>
      <c r="AB1016" s="30"/>
    </row>
    <row r="1017" spans="24:28" x14ac:dyDescent="0.2">
      <c r="X1017" s="27"/>
      <c r="AB1017" s="30"/>
    </row>
    <row r="1018" spans="24:28" x14ac:dyDescent="0.2">
      <c r="X1018" s="27"/>
      <c r="AB1018" s="30"/>
    </row>
    <row r="1019" spans="24:28" x14ac:dyDescent="0.2">
      <c r="X1019" s="27"/>
      <c r="AB1019" s="30"/>
    </row>
    <row r="1020" spans="24:28" x14ac:dyDescent="0.2">
      <c r="X1020" s="27"/>
      <c r="AB1020" s="30"/>
    </row>
    <row r="1021" spans="24:28" x14ac:dyDescent="0.2">
      <c r="X1021" s="27"/>
      <c r="AB1021" s="30"/>
    </row>
    <row r="1022" spans="24:28" x14ac:dyDescent="0.2">
      <c r="X1022" s="27"/>
      <c r="AB1022" s="30"/>
    </row>
    <row r="1023" spans="24:28" x14ac:dyDescent="0.2">
      <c r="X1023" s="27"/>
      <c r="AB1023" s="30"/>
    </row>
    <row r="1024" spans="24:28" x14ac:dyDescent="0.2">
      <c r="X1024" s="27"/>
      <c r="AB1024" s="30"/>
    </row>
    <row r="1025" spans="24:28" x14ac:dyDescent="0.2">
      <c r="X1025" s="27"/>
      <c r="AB1025" s="30"/>
    </row>
    <row r="1026" spans="24:28" x14ac:dyDescent="0.2">
      <c r="X1026" s="27"/>
      <c r="AB1026" s="30"/>
    </row>
    <row r="1027" spans="24:28" x14ac:dyDescent="0.2">
      <c r="X1027" s="27"/>
      <c r="AB1027" s="30"/>
    </row>
    <row r="1028" spans="24:28" x14ac:dyDescent="0.2">
      <c r="X1028" s="27"/>
      <c r="AB1028" s="30"/>
    </row>
    <row r="1029" spans="24:28" x14ac:dyDescent="0.2">
      <c r="X1029" s="27"/>
      <c r="AB1029" s="30"/>
    </row>
    <row r="1030" spans="24:28" x14ac:dyDescent="0.2">
      <c r="X1030" s="27"/>
      <c r="AB1030" s="30"/>
    </row>
    <row r="1031" spans="24:28" x14ac:dyDescent="0.2">
      <c r="X1031" s="27"/>
      <c r="AB1031" s="30"/>
    </row>
    <row r="1032" spans="24:28" x14ac:dyDescent="0.2">
      <c r="X1032" s="27"/>
      <c r="AB1032" s="30"/>
    </row>
    <row r="1033" spans="24:28" x14ac:dyDescent="0.2">
      <c r="X1033" s="27"/>
      <c r="AB1033" s="30"/>
    </row>
    <row r="1034" spans="24:28" x14ac:dyDescent="0.2">
      <c r="X1034" s="27"/>
      <c r="AB1034" s="30"/>
    </row>
    <row r="1035" spans="24:28" x14ac:dyDescent="0.2">
      <c r="X1035" s="27"/>
      <c r="AB1035" s="30"/>
    </row>
    <row r="1036" spans="24:28" x14ac:dyDescent="0.2">
      <c r="X1036" s="27"/>
      <c r="AB1036" s="30"/>
    </row>
    <row r="1037" spans="24:28" x14ac:dyDescent="0.2">
      <c r="X1037" s="27"/>
      <c r="AB1037" s="30"/>
    </row>
    <row r="1038" spans="24:28" x14ac:dyDescent="0.2">
      <c r="X1038" s="27"/>
      <c r="AB1038" s="30"/>
    </row>
    <row r="1039" spans="24:28" x14ac:dyDescent="0.2">
      <c r="X1039" s="27"/>
      <c r="AB1039" s="30"/>
    </row>
    <row r="1040" spans="24:28" x14ac:dyDescent="0.2">
      <c r="X1040" s="27"/>
      <c r="AB1040" s="30"/>
    </row>
    <row r="1041" spans="24:28" x14ac:dyDescent="0.2">
      <c r="X1041" s="27"/>
      <c r="AB1041" s="30"/>
    </row>
    <row r="1042" spans="24:28" x14ac:dyDescent="0.2">
      <c r="X1042" s="27"/>
      <c r="AB1042" s="30"/>
    </row>
    <row r="1043" spans="24:28" x14ac:dyDescent="0.2">
      <c r="X1043" s="27"/>
      <c r="AB1043" s="30"/>
    </row>
    <row r="1044" spans="24:28" x14ac:dyDescent="0.2">
      <c r="X1044" s="27"/>
      <c r="AB1044" s="30"/>
    </row>
    <row r="1045" spans="24:28" x14ac:dyDescent="0.2">
      <c r="X1045" s="27"/>
      <c r="AB1045" s="30"/>
    </row>
    <row r="1046" spans="24:28" x14ac:dyDescent="0.2">
      <c r="X1046" s="27"/>
      <c r="AB1046" s="30"/>
    </row>
    <row r="1047" spans="24:28" x14ac:dyDescent="0.2">
      <c r="X1047" s="27"/>
      <c r="AB1047" s="30"/>
    </row>
    <row r="1048" spans="24:28" x14ac:dyDescent="0.2">
      <c r="X1048" s="27"/>
      <c r="AB1048" s="30"/>
    </row>
    <row r="1049" spans="24:28" x14ac:dyDescent="0.2">
      <c r="X1049" s="27"/>
      <c r="AB1049" s="30"/>
    </row>
    <row r="1050" spans="24:28" x14ac:dyDescent="0.2">
      <c r="X1050" s="27"/>
      <c r="AB1050" s="30"/>
    </row>
    <row r="1051" spans="24:28" x14ac:dyDescent="0.2">
      <c r="X1051" s="27"/>
      <c r="AB1051" s="30"/>
    </row>
    <row r="1052" spans="24:28" x14ac:dyDescent="0.2">
      <c r="X1052" s="27"/>
      <c r="AB1052" s="30"/>
    </row>
    <row r="1053" spans="24:28" x14ac:dyDescent="0.2">
      <c r="X1053" s="27"/>
      <c r="AB1053" s="30"/>
    </row>
    <row r="1054" spans="24:28" x14ac:dyDescent="0.2">
      <c r="X1054" s="27"/>
      <c r="AB1054" s="30"/>
    </row>
    <row r="1055" spans="24:28" x14ac:dyDescent="0.2">
      <c r="X1055" s="27"/>
      <c r="AB1055" s="30"/>
    </row>
    <row r="1056" spans="24:28" x14ac:dyDescent="0.2">
      <c r="X1056" s="27"/>
      <c r="AB1056" s="30"/>
    </row>
    <row r="1057" spans="24:28" x14ac:dyDescent="0.2">
      <c r="X1057" s="27"/>
      <c r="AB1057" s="30"/>
    </row>
    <row r="1058" spans="24:28" x14ac:dyDescent="0.2">
      <c r="X1058" s="27"/>
      <c r="AB1058" s="30"/>
    </row>
    <row r="1059" spans="24:28" x14ac:dyDescent="0.2">
      <c r="X1059" s="27"/>
      <c r="AB1059" s="30"/>
    </row>
    <row r="1060" spans="24:28" x14ac:dyDescent="0.2">
      <c r="X1060" s="27"/>
      <c r="AB1060" s="30"/>
    </row>
    <row r="1061" spans="24:28" x14ac:dyDescent="0.2">
      <c r="X1061" s="27"/>
      <c r="AB1061" s="30"/>
    </row>
    <row r="1062" spans="24:28" x14ac:dyDescent="0.2">
      <c r="X1062" s="27"/>
      <c r="AB1062" s="30"/>
    </row>
    <row r="1063" spans="24:28" x14ac:dyDescent="0.2">
      <c r="X1063" s="27"/>
      <c r="AB1063" s="30"/>
    </row>
    <row r="1064" spans="24:28" x14ac:dyDescent="0.2">
      <c r="X1064" s="27"/>
      <c r="AB1064" s="30"/>
    </row>
    <row r="1065" spans="24:28" x14ac:dyDescent="0.2">
      <c r="X1065" s="27"/>
      <c r="AB1065" s="30"/>
    </row>
    <row r="1066" spans="24:28" x14ac:dyDescent="0.2">
      <c r="X1066" s="27"/>
      <c r="AB1066" s="30"/>
    </row>
    <row r="1067" spans="24:28" x14ac:dyDescent="0.2">
      <c r="X1067" s="27"/>
      <c r="AB1067" s="30"/>
    </row>
    <row r="1068" spans="24:28" x14ac:dyDescent="0.2">
      <c r="X1068" s="27"/>
      <c r="AB1068" s="30"/>
    </row>
    <row r="1069" spans="24:28" x14ac:dyDescent="0.2">
      <c r="X1069" s="27"/>
      <c r="AB1069" s="30"/>
    </row>
    <row r="1070" spans="24:28" x14ac:dyDescent="0.2">
      <c r="X1070" s="27"/>
      <c r="AB1070" s="30"/>
    </row>
    <row r="1071" spans="24:28" x14ac:dyDescent="0.2">
      <c r="X1071" s="27"/>
      <c r="AB1071" s="30"/>
    </row>
    <row r="1072" spans="24:28" x14ac:dyDescent="0.2">
      <c r="X1072" s="27"/>
      <c r="AB1072" s="30"/>
    </row>
    <row r="1073" spans="24:28" x14ac:dyDescent="0.2">
      <c r="X1073" s="27"/>
      <c r="AB1073" s="30"/>
    </row>
    <row r="1074" spans="24:28" x14ac:dyDescent="0.2">
      <c r="X1074" s="27"/>
      <c r="AB1074" s="30"/>
    </row>
    <row r="1075" spans="24:28" x14ac:dyDescent="0.2">
      <c r="X1075" s="27"/>
      <c r="AB1075" s="30"/>
    </row>
    <row r="1076" spans="24:28" x14ac:dyDescent="0.2">
      <c r="X1076" s="27"/>
      <c r="AB1076" s="30"/>
    </row>
    <row r="1077" spans="24:28" x14ac:dyDescent="0.2">
      <c r="X1077" s="27"/>
      <c r="AB1077" s="30"/>
    </row>
    <row r="1078" spans="24:28" x14ac:dyDescent="0.2">
      <c r="X1078" s="27"/>
      <c r="AB1078" s="30"/>
    </row>
    <row r="1079" spans="24:28" x14ac:dyDescent="0.2">
      <c r="X1079" s="27"/>
      <c r="AB1079" s="30"/>
    </row>
    <row r="1080" spans="24:28" x14ac:dyDescent="0.2">
      <c r="X1080" s="27"/>
      <c r="AB1080" s="30"/>
    </row>
    <row r="1081" spans="24:28" x14ac:dyDescent="0.2">
      <c r="X1081" s="27"/>
      <c r="AB1081" s="30"/>
    </row>
    <row r="1082" spans="24:28" x14ac:dyDescent="0.2">
      <c r="X1082" s="27"/>
      <c r="AB1082" s="30"/>
    </row>
    <row r="1083" spans="24:28" x14ac:dyDescent="0.2">
      <c r="X1083" s="27"/>
      <c r="AB1083" s="30"/>
    </row>
    <row r="1084" spans="24:28" x14ac:dyDescent="0.2">
      <c r="X1084" s="27"/>
      <c r="AB1084" s="30"/>
    </row>
    <row r="1085" spans="24:28" x14ac:dyDescent="0.2">
      <c r="X1085" s="27"/>
      <c r="AB1085" s="30"/>
    </row>
    <row r="1086" spans="24:28" x14ac:dyDescent="0.2">
      <c r="X1086" s="27"/>
      <c r="AB1086" s="30"/>
    </row>
    <row r="1087" spans="24:28" x14ac:dyDescent="0.2">
      <c r="X1087" s="27"/>
      <c r="AB1087" s="30"/>
    </row>
    <row r="1088" spans="24:28" x14ac:dyDescent="0.2">
      <c r="X1088" s="27"/>
      <c r="AB1088" s="30"/>
    </row>
    <row r="1089" spans="24:28" x14ac:dyDescent="0.2">
      <c r="X1089" s="27"/>
      <c r="AB1089" s="30"/>
    </row>
    <row r="1090" spans="24:28" x14ac:dyDescent="0.2">
      <c r="X1090" s="27"/>
      <c r="AB1090" s="30"/>
    </row>
    <row r="1091" spans="24:28" x14ac:dyDescent="0.2">
      <c r="X1091" s="27"/>
      <c r="AB1091" s="30"/>
    </row>
    <row r="1092" spans="24:28" x14ac:dyDescent="0.2">
      <c r="X1092" s="27"/>
      <c r="AB1092" s="30"/>
    </row>
    <row r="1093" spans="24:28" x14ac:dyDescent="0.2">
      <c r="X1093" s="27"/>
      <c r="AB1093" s="30"/>
    </row>
    <row r="1094" spans="24:28" x14ac:dyDescent="0.2">
      <c r="X1094" s="27"/>
      <c r="AB1094" s="30"/>
    </row>
    <row r="1095" spans="24:28" x14ac:dyDescent="0.2">
      <c r="X1095" s="27"/>
      <c r="AB1095" s="30"/>
    </row>
    <row r="1096" spans="24:28" x14ac:dyDescent="0.2">
      <c r="X1096" s="27"/>
      <c r="AB1096" s="30"/>
    </row>
    <row r="1097" spans="24:28" x14ac:dyDescent="0.2">
      <c r="X1097" s="27"/>
      <c r="AB1097" s="30"/>
    </row>
    <row r="1098" spans="24:28" x14ac:dyDescent="0.2">
      <c r="X1098" s="27"/>
      <c r="AB1098" s="30"/>
    </row>
    <row r="1099" spans="24:28" x14ac:dyDescent="0.2">
      <c r="X1099" s="27"/>
      <c r="AB1099" s="30"/>
    </row>
    <row r="1100" spans="24:28" x14ac:dyDescent="0.2">
      <c r="X1100" s="27"/>
      <c r="AB1100" s="30"/>
    </row>
    <row r="1101" spans="24:28" x14ac:dyDescent="0.2">
      <c r="X1101" s="27"/>
      <c r="AB1101" s="30"/>
    </row>
    <row r="1102" spans="24:28" x14ac:dyDescent="0.2">
      <c r="X1102" s="27"/>
      <c r="AB1102" s="30"/>
    </row>
    <row r="1103" spans="24:28" x14ac:dyDescent="0.2">
      <c r="X1103" s="27"/>
      <c r="AB1103" s="30"/>
    </row>
    <row r="1104" spans="24:28" x14ac:dyDescent="0.2">
      <c r="X1104" s="27"/>
      <c r="AB1104" s="30"/>
    </row>
    <row r="1105" spans="24:28" x14ac:dyDescent="0.2">
      <c r="X1105" s="27"/>
      <c r="AB1105" s="30"/>
    </row>
    <row r="1106" spans="24:28" x14ac:dyDescent="0.2">
      <c r="X1106" s="27"/>
      <c r="AB1106" s="30"/>
    </row>
    <row r="1107" spans="24:28" x14ac:dyDescent="0.2">
      <c r="X1107" s="27"/>
      <c r="AB1107" s="30"/>
    </row>
    <row r="1108" spans="24:28" x14ac:dyDescent="0.2">
      <c r="X1108" s="27"/>
      <c r="AB1108" s="30"/>
    </row>
    <row r="1109" spans="24:28" x14ac:dyDescent="0.2">
      <c r="X1109" s="27"/>
      <c r="AB1109" s="30"/>
    </row>
    <row r="1110" spans="24:28" x14ac:dyDescent="0.2">
      <c r="X1110" s="27"/>
      <c r="AB1110" s="30"/>
    </row>
    <row r="1111" spans="24:28" x14ac:dyDescent="0.2">
      <c r="X1111" s="27"/>
      <c r="AB1111" s="30"/>
    </row>
    <row r="1112" spans="24:28" x14ac:dyDescent="0.2">
      <c r="X1112" s="27"/>
      <c r="AB1112" s="30"/>
    </row>
    <row r="1113" spans="24:28" x14ac:dyDescent="0.2">
      <c r="X1113" s="27"/>
      <c r="AB1113" s="30"/>
    </row>
    <row r="1114" spans="24:28" x14ac:dyDescent="0.2">
      <c r="X1114" s="27"/>
      <c r="AB1114" s="30"/>
    </row>
    <row r="1115" spans="24:28" x14ac:dyDescent="0.2">
      <c r="X1115" s="27"/>
      <c r="AB1115" s="30"/>
    </row>
    <row r="1116" spans="24:28" x14ac:dyDescent="0.2">
      <c r="X1116" s="27"/>
      <c r="AB1116" s="30"/>
    </row>
    <row r="1117" spans="24:28" x14ac:dyDescent="0.2">
      <c r="X1117" s="27"/>
      <c r="AB1117" s="30"/>
    </row>
    <row r="1118" spans="24:28" x14ac:dyDescent="0.2">
      <c r="X1118" s="27"/>
      <c r="AB1118" s="30"/>
    </row>
    <row r="1119" spans="24:28" x14ac:dyDescent="0.2">
      <c r="X1119" s="27"/>
      <c r="AB1119" s="30"/>
    </row>
    <row r="1120" spans="24:28" x14ac:dyDescent="0.2">
      <c r="X1120" s="27"/>
      <c r="AB1120" s="30"/>
    </row>
    <row r="1121" spans="24:28" x14ac:dyDescent="0.2">
      <c r="X1121" s="27"/>
      <c r="AB1121" s="30"/>
    </row>
    <row r="1122" spans="24:28" x14ac:dyDescent="0.2">
      <c r="X1122" s="27"/>
      <c r="AB1122" s="30"/>
    </row>
    <row r="1123" spans="24:28" x14ac:dyDescent="0.2">
      <c r="X1123" s="27"/>
      <c r="AB1123" s="30"/>
    </row>
    <row r="1124" spans="24:28" x14ac:dyDescent="0.2">
      <c r="X1124" s="27"/>
      <c r="AB1124" s="30"/>
    </row>
    <row r="1125" spans="24:28" x14ac:dyDescent="0.2">
      <c r="X1125" s="27"/>
      <c r="AB1125" s="30"/>
    </row>
    <row r="1126" spans="24:28" x14ac:dyDescent="0.2">
      <c r="X1126" s="27"/>
      <c r="AB1126" s="30"/>
    </row>
    <row r="1127" spans="24:28" x14ac:dyDescent="0.2">
      <c r="X1127" s="27"/>
      <c r="AB1127" s="30"/>
    </row>
    <row r="1128" spans="24:28" x14ac:dyDescent="0.2">
      <c r="X1128" s="27"/>
      <c r="AB1128" s="30"/>
    </row>
    <row r="1129" spans="24:28" x14ac:dyDescent="0.2">
      <c r="X1129" s="27"/>
      <c r="AB1129" s="30"/>
    </row>
    <row r="1130" spans="24:28" x14ac:dyDescent="0.2">
      <c r="X1130" s="27"/>
      <c r="AB1130" s="30"/>
    </row>
    <row r="1131" spans="24:28" x14ac:dyDescent="0.2">
      <c r="X1131" s="27"/>
      <c r="AB1131" s="30"/>
    </row>
    <row r="1132" spans="24:28" x14ac:dyDescent="0.2">
      <c r="X1132" s="27"/>
      <c r="AB1132" s="30"/>
    </row>
    <row r="1133" spans="24:28" x14ac:dyDescent="0.2">
      <c r="X1133" s="27"/>
      <c r="AB1133" s="30"/>
    </row>
    <row r="1134" spans="24:28" x14ac:dyDescent="0.2">
      <c r="X1134" s="27"/>
      <c r="AB1134" s="30"/>
    </row>
    <row r="1135" spans="24:28" x14ac:dyDescent="0.2">
      <c r="X1135" s="27"/>
      <c r="AB1135" s="30"/>
    </row>
    <row r="1136" spans="24:28" x14ac:dyDescent="0.2">
      <c r="X1136" s="27"/>
      <c r="AB1136" s="30"/>
    </row>
    <row r="1137" spans="24:28" x14ac:dyDescent="0.2">
      <c r="X1137" s="27"/>
      <c r="AB1137" s="30"/>
    </row>
    <row r="1138" spans="24:28" x14ac:dyDescent="0.2">
      <c r="X1138" s="27"/>
      <c r="AB1138" s="30"/>
    </row>
    <row r="1139" spans="24:28" x14ac:dyDescent="0.2">
      <c r="X1139" s="27"/>
      <c r="AB1139" s="30"/>
    </row>
    <row r="1140" spans="24:28" x14ac:dyDescent="0.2">
      <c r="X1140" s="27"/>
      <c r="AB1140" s="30"/>
    </row>
    <row r="1141" spans="24:28" x14ac:dyDescent="0.2">
      <c r="X1141" s="27"/>
      <c r="AB1141" s="30"/>
    </row>
    <row r="1142" spans="24:28" x14ac:dyDescent="0.2">
      <c r="X1142" s="27"/>
      <c r="AB1142" s="30"/>
    </row>
    <row r="1143" spans="24:28" x14ac:dyDescent="0.2">
      <c r="X1143" s="27"/>
      <c r="AB1143" s="30"/>
    </row>
    <row r="1144" spans="24:28" x14ac:dyDescent="0.2">
      <c r="X1144" s="27"/>
      <c r="AB1144" s="30"/>
    </row>
    <row r="1145" spans="24:28" x14ac:dyDescent="0.2">
      <c r="X1145" s="27"/>
      <c r="AB1145" s="30"/>
    </row>
    <row r="1146" spans="24:28" x14ac:dyDescent="0.2">
      <c r="X1146" s="27"/>
      <c r="AB1146" s="30"/>
    </row>
    <row r="1147" spans="24:28" x14ac:dyDescent="0.2">
      <c r="X1147" s="27"/>
      <c r="AB1147" s="30"/>
    </row>
    <row r="1148" spans="24:28" x14ac:dyDescent="0.2">
      <c r="X1148" s="27"/>
      <c r="AB1148" s="30"/>
    </row>
    <row r="1149" spans="24:28" x14ac:dyDescent="0.2">
      <c r="X1149" s="27"/>
      <c r="AB1149" s="30"/>
    </row>
    <row r="1150" spans="24:28" x14ac:dyDescent="0.2">
      <c r="X1150" s="27"/>
      <c r="AB1150" s="30"/>
    </row>
    <row r="1151" spans="24:28" x14ac:dyDescent="0.2">
      <c r="X1151" s="27"/>
      <c r="AB1151" s="30"/>
    </row>
    <row r="1152" spans="24:28" x14ac:dyDescent="0.2">
      <c r="X1152" s="27"/>
      <c r="AB1152" s="30"/>
    </row>
    <row r="1153" spans="24:28" x14ac:dyDescent="0.2">
      <c r="X1153" s="27"/>
      <c r="AB1153" s="30"/>
    </row>
    <row r="1154" spans="24:28" x14ac:dyDescent="0.2">
      <c r="X1154" s="27"/>
      <c r="AB1154" s="30"/>
    </row>
    <row r="1155" spans="24:28" x14ac:dyDescent="0.2">
      <c r="X1155" s="27"/>
      <c r="AB1155" s="30"/>
    </row>
    <row r="1156" spans="24:28" x14ac:dyDescent="0.2">
      <c r="X1156" s="27"/>
      <c r="AB1156" s="30"/>
    </row>
    <row r="1157" spans="24:28" x14ac:dyDescent="0.2">
      <c r="X1157" s="27"/>
      <c r="AB1157" s="30"/>
    </row>
    <row r="1158" spans="24:28" x14ac:dyDescent="0.2">
      <c r="X1158" s="27"/>
      <c r="AB1158" s="30"/>
    </row>
    <row r="1159" spans="24:28" x14ac:dyDescent="0.2">
      <c r="X1159" s="27"/>
      <c r="AB1159" s="30"/>
    </row>
    <row r="1160" spans="24:28" x14ac:dyDescent="0.2">
      <c r="X1160" s="27"/>
      <c r="AB1160" s="30"/>
    </row>
    <row r="1161" spans="24:28" x14ac:dyDescent="0.2">
      <c r="X1161" s="27"/>
      <c r="AB1161" s="30"/>
    </row>
    <row r="1162" spans="24:28" x14ac:dyDescent="0.2">
      <c r="X1162" s="27"/>
      <c r="AB1162" s="30"/>
    </row>
    <row r="1163" spans="24:28" x14ac:dyDescent="0.2">
      <c r="X1163" s="27"/>
      <c r="AB1163" s="30"/>
    </row>
    <row r="1164" spans="24:28" x14ac:dyDescent="0.2">
      <c r="X1164" s="27"/>
      <c r="AB1164" s="30"/>
    </row>
    <row r="1165" spans="24:28" x14ac:dyDescent="0.2">
      <c r="X1165" s="27"/>
      <c r="AB1165" s="30"/>
    </row>
    <row r="1166" spans="24:28" x14ac:dyDescent="0.2">
      <c r="X1166" s="27"/>
      <c r="AB1166" s="30"/>
    </row>
    <row r="1167" spans="24:28" x14ac:dyDescent="0.2">
      <c r="X1167" s="27"/>
      <c r="AB1167" s="30"/>
    </row>
    <row r="1168" spans="24:28" x14ac:dyDescent="0.2">
      <c r="X1168" s="27"/>
      <c r="AB1168" s="30"/>
    </row>
    <row r="1169" spans="24:28" x14ac:dyDescent="0.2">
      <c r="X1169" s="27"/>
      <c r="AB1169" s="30"/>
    </row>
    <row r="1170" spans="24:28" x14ac:dyDescent="0.2">
      <c r="X1170" s="27"/>
      <c r="AB1170" s="30"/>
    </row>
    <row r="1171" spans="24:28" x14ac:dyDescent="0.2">
      <c r="X1171" s="27"/>
      <c r="AB1171" s="30"/>
    </row>
    <row r="1172" spans="24:28" x14ac:dyDescent="0.2">
      <c r="X1172" s="27"/>
      <c r="AB1172" s="30"/>
    </row>
    <row r="1173" spans="24:28" x14ac:dyDescent="0.2">
      <c r="X1173" s="27"/>
      <c r="AB1173" s="30"/>
    </row>
    <row r="1174" spans="24:28" x14ac:dyDescent="0.2">
      <c r="X1174" s="27"/>
      <c r="AB1174" s="30"/>
    </row>
    <row r="1175" spans="24:28" x14ac:dyDescent="0.2">
      <c r="X1175" s="27"/>
      <c r="AB1175" s="30"/>
    </row>
    <row r="1176" spans="24:28" x14ac:dyDescent="0.2">
      <c r="X1176" s="27"/>
      <c r="AB1176" s="30"/>
    </row>
    <row r="1177" spans="24:28" x14ac:dyDescent="0.2">
      <c r="X1177" s="27"/>
      <c r="AB1177" s="30"/>
    </row>
    <row r="1178" spans="24:28" x14ac:dyDescent="0.2">
      <c r="X1178" s="27"/>
      <c r="AB1178" s="30"/>
    </row>
    <row r="1179" spans="24:28" x14ac:dyDescent="0.2">
      <c r="X1179" s="27"/>
      <c r="AB1179" s="30"/>
    </row>
    <row r="1180" spans="24:28" x14ac:dyDescent="0.2">
      <c r="X1180" s="27"/>
      <c r="AB1180" s="30"/>
    </row>
    <row r="1181" spans="24:28" x14ac:dyDescent="0.2">
      <c r="X1181" s="27"/>
      <c r="AB1181" s="30"/>
    </row>
    <row r="1182" spans="24:28" x14ac:dyDescent="0.2">
      <c r="X1182" s="27"/>
      <c r="AB1182" s="30"/>
    </row>
    <row r="1183" spans="24:28" x14ac:dyDescent="0.2">
      <c r="X1183" s="27"/>
      <c r="AB1183" s="30"/>
    </row>
    <row r="1184" spans="24:28" x14ac:dyDescent="0.2">
      <c r="X1184" s="27"/>
      <c r="AB1184" s="30"/>
    </row>
    <row r="1185" spans="24:28" x14ac:dyDescent="0.2">
      <c r="X1185" s="27"/>
      <c r="AB1185" s="30"/>
    </row>
    <row r="1186" spans="24:28" x14ac:dyDescent="0.2">
      <c r="X1186" s="27"/>
      <c r="AB1186" s="30"/>
    </row>
    <row r="1187" spans="24:28" x14ac:dyDescent="0.2">
      <c r="X1187" s="27"/>
      <c r="AB1187" s="30"/>
    </row>
    <row r="1188" spans="24:28" x14ac:dyDescent="0.2">
      <c r="X1188" s="27"/>
      <c r="AB1188" s="30"/>
    </row>
    <row r="1189" spans="24:28" x14ac:dyDescent="0.2">
      <c r="X1189" s="27"/>
      <c r="AB1189" s="30"/>
    </row>
    <row r="1190" spans="24:28" x14ac:dyDescent="0.2">
      <c r="X1190" s="27"/>
      <c r="AB1190" s="30"/>
    </row>
    <row r="1191" spans="24:28" x14ac:dyDescent="0.2">
      <c r="X1191" s="27"/>
      <c r="AB1191" s="30"/>
    </row>
    <row r="1192" spans="24:28" x14ac:dyDescent="0.2">
      <c r="X1192" s="27"/>
      <c r="AB1192" s="30"/>
    </row>
    <row r="1193" spans="24:28" x14ac:dyDescent="0.2">
      <c r="X1193" s="27"/>
      <c r="AB1193" s="30"/>
    </row>
    <row r="1194" spans="24:28" x14ac:dyDescent="0.2">
      <c r="X1194" s="27"/>
      <c r="AB1194" s="30"/>
    </row>
    <row r="1195" spans="24:28" x14ac:dyDescent="0.2">
      <c r="X1195" s="27"/>
      <c r="AB1195" s="30"/>
    </row>
    <row r="1196" spans="24:28" x14ac:dyDescent="0.2">
      <c r="X1196" s="27"/>
      <c r="AB1196" s="30"/>
    </row>
    <row r="1197" spans="24:28" x14ac:dyDescent="0.2">
      <c r="X1197" s="27"/>
      <c r="AB1197" s="30"/>
    </row>
    <row r="1198" spans="24:28" x14ac:dyDescent="0.2">
      <c r="X1198" s="27"/>
      <c r="AB1198" s="30"/>
    </row>
    <row r="1199" spans="24:28" x14ac:dyDescent="0.2">
      <c r="X1199" s="27"/>
      <c r="AB1199" s="30"/>
    </row>
    <row r="1200" spans="24:28" x14ac:dyDescent="0.2">
      <c r="X1200" s="27"/>
      <c r="AB1200" s="30"/>
    </row>
    <row r="1201" spans="24:28" x14ac:dyDescent="0.2">
      <c r="X1201" s="27"/>
      <c r="AB1201" s="30"/>
    </row>
    <row r="1202" spans="24:28" x14ac:dyDescent="0.2">
      <c r="X1202" s="27"/>
      <c r="AB1202" s="30"/>
    </row>
    <row r="1203" spans="24:28" x14ac:dyDescent="0.2">
      <c r="X1203" s="27"/>
      <c r="AB1203" s="30"/>
    </row>
    <row r="1204" spans="24:28" x14ac:dyDescent="0.2">
      <c r="X1204" s="27"/>
      <c r="AB1204" s="30"/>
    </row>
    <row r="1205" spans="24:28" x14ac:dyDescent="0.2">
      <c r="X1205" s="27"/>
      <c r="AB1205" s="30"/>
    </row>
    <row r="1206" spans="24:28" x14ac:dyDescent="0.2">
      <c r="X1206" s="27"/>
      <c r="AB1206" s="30"/>
    </row>
    <row r="1207" spans="24:28" x14ac:dyDescent="0.2">
      <c r="X1207" s="27"/>
      <c r="AB1207" s="30"/>
    </row>
    <row r="1208" spans="24:28" x14ac:dyDescent="0.2">
      <c r="X1208" s="27"/>
      <c r="AB1208" s="30"/>
    </row>
    <row r="1209" spans="24:28" x14ac:dyDescent="0.2">
      <c r="X1209" s="27"/>
      <c r="AB1209" s="30"/>
    </row>
    <row r="1210" spans="24:28" x14ac:dyDescent="0.2">
      <c r="X1210" s="27"/>
      <c r="AB1210" s="30"/>
    </row>
    <row r="1211" spans="24:28" x14ac:dyDescent="0.2">
      <c r="X1211" s="27"/>
      <c r="AB1211" s="30"/>
    </row>
    <row r="1212" spans="24:28" x14ac:dyDescent="0.2">
      <c r="X1212" s="27"/>
      <c r="AB1212" s="30"/>
    </row>
    <row r="1213" spans="24:28" x14ac:dyDescent="0.2">
      <c r="X1213" s="27"/>
      <c r="AB1213" s="30"/>
    </row>
    <row r="1214" spans="24:28" x14ac:dyDescent="0.2">
      <c r="X1214" s="27"/>
      <c r="AB1214" s="30"/>
    </row>
    <row r="1215" spans="24:28" x14ac:dyDescent="0.2">
      <c r="X1215" s="27"/>
      <c r="AB1215" s="30"/>
    </row>
    <row r="1216" spans="24:28" x14ac:dyDescent="0.2">
      <c r="X1216" s="27"/>
      <c r="AB1216" s="30"/>
    </row>
    <row r="1217" spans="24:28" x14ac:dyDescent="0.2">
      <c r="X1217" s="27"/>
      <c r="AB1217" s="30"/>
    </row>
    <row r="1218" spans="24:28" x14ac:dyDescent="0.2">
      <c r="X1218" s="27"/>
      <c r="AB1218" s="30"/>
    </row>
    <row r="1219" spans="24:28" x14ac:dyDescent="0.2">
      <c r="X1219" s="27"/>
      <c r="AB1219" s="30"/>
    </row>
    <row r="1220" spans="24:28" x14ac:dyDescent="0.2">
      <c r="X1220" s="27"/>
      <c r="AB1220" s="30"/>
    </row>
    <row r="1221" spans="24:28" x14ac:dyDescent="0.2">
      <c r="X1221" s="27"/>
      <c r="AB1221" s="30"/>
    </row>
    <row r="1222" spans="24:28" x14ac:dyDescent="0.2">
      <c r="X1222" s="27"/>
      <c r="AB1222" s="30"/>
    </row>
    <row r="1223" spans="24:28" x14ac:dyDescent="0.2">
      <c r="X1223" s="27"/>
      <c r="AB1223" s="30"/>
    </row>
    <row r="1224" spans="24:28" x14ac:dyDescent="0.2">
      <c r="X1224" s="27"/>
      <c r="AB1224" s="30"/>
    </row>
    <row r="1225" spans="24:28" x14ac:dyDescent="0.2">
      <c r="X1225" s="27"/>
      <c r="AB1225" s="30"/>
    </row>
    <row r="1226" spans="24:28" x14ac:dyDescent="0.2">
      <c r="X1226" s="27"/>
      <c r="AB1226" s="30"/>
    </row>
    <row r="1227" spans="24:28" x14ac:dyDescent="0.2">
      <c r="X1227" s="27"/>
      <c r="AB1227" s="30"/>
    </row>
    <row r="1228" spans="24:28" x14ac:dyDescent="0.2">
      <c r="X1228" s="27"/>
      <c r="AB1228" s="30"/>
    </row>
    <row r="1229" spans="24:28" x14ac:dyDescent="0.2">
      <c r="X1229" s="27"/>
      <c r="AB1229" s="30"/>
    </row>
    <row r="1230" spans="24:28" x14ac:dyDescent="0.2">
      <c r="X1230" s="27"/>
      <c r="AB1230" s="30"/>
    </row>
    <row r="1231" spans="24:28" x14ac:dyDescent="0.2">
      <c r="X1231" s="27"/>
      <c r="AB1231" s="30"/>
    </row>
    <row r="1232" spans="24:28" x14ac:dyDescent="0.2">
      <c r="X1232" s="27"/>
      <c r="AB1232" s="30"/>
    </row>
    <row r="1233" spans="24:28" x14ac:dyDescent="0.2">
      <c r="X1233" s="27"/>
      <c r="AB1233" s="30"/>
    </row>
    <row r="1234" spans="24:28" x14ac:dyDescent="0.2">
      <c r="X1234" s="27"/>
      <c r="AB1234" s="30"/>
    </row>
    <row r="1235" spans="24:28" x14ac:dyDescent="0.2">
      <c r="X1235" s="27"/>
      <c r="AB1235" s="30"/>
    </row>
    <row r="1236" spans="24:28" x14ac:dyDescent="0.2">
      <c r="X1236" s="27"/>
      <c r="AB1236" s="30"/>
    </row>
    <row r="1237" spans="24:28" x14ac:dyDescent="0.2">
      <c r="X1237" s="27"/>
      <c r="AB1237" s="30"/>
    </row>
    <row r="1238" spans="24:28" x14ac:dyDescent="0.2">
      <c r="X1238" s="27"/>
      <c r="AB1238" s="30"/>
    </row>
    <row r="1239" spans="24:28" x14ac:dyDescent="0.2">
      <c r="X1239" s="27"/>
      <c r="AB1239" s="30"/>
    </row>
    <row r="1240" spans="24:28" x14ac:dyDescent="0.2">
      <c r="X1240" s="27"/>
      <c r="AB1240" s="30"/>
    </row>
    <row r="1241" spans="24:28" x14ac:dyDescent="0.2">
      <c r="X1241" s="27"/>
      <c r="AB1241" s="30"/>
    </row>
    <row r="1242" spans="24:28" x14ac:dyDescent="0.2">
      <c r="X1242" s="27"/>
      <c r="AB1242" s="30"/>
    </row>
    <row r="1243" spans="24:28" x14ac:dyDescent="0.2">
      <c r="X1243" s="27"/>
      <c r="AB1243" s="30"/>
    </row>
    <row r="1244" spans="24:28" x14ac:dyDescent="0.2">
      <c r="X1244" s="27"/>
      <c r="AB1244" s="30"/>
    </row>
    <row r="1245" spans="24:28" x14ac:dyDescent="0.2">
      <c r="X1245" s="27"/>
      <c r="AB1245" s="30"/>
    </row>
    <row r="1246" spans="24:28" x14ac:dyDescent="0.2">
      <c r="X1246" s="27"/>
      <c r="AB1246" s="30"/>
    </row>
    <row r="1247" spans="24:28" x14ac:dyDescent="0.2">
      <c r="X1247" s="27"/>
      <c r="AB1247" s="30"/>
    </row>
    <row r="1248" spans="24:28" x14ac:dyDescent="0.2">
      <c r="X1248" s="27"/>
      <c r="AB1248" s="30"/>
    </row>
    <row r="1249" spans="24:28" x14ac:dyDescent="0.2">
      <c r="X1249" s="27"/>
      <c r="AB1249" s="30"/>
    </row>
    <row r="1250" spans="24:28" x14ac:dyDescent="0.2">
      <c r="X1250" s="27"/>
      <c r="AB1250" s="30"/>
    </row>
    <row r="1251" spans="24:28" x14ac:dyDescent="0.2">
      <c r="X1251" s="27"/>
      <c r="AB1251" s="30"/>
    </row>
    <row r="1252" spans="24:28" x14ac:dyDescent="0.2">
      <c r="X1252" s="27"/>
      <c r="AB1252" s="30"/>
    </row>
    <row r="1253" spans="24:28" x14ac:dyDescent="0.2">
      <c r="X1253" s="27"/>
      <c r="AB1253" s="30"/>
    </row>
    <row r="1254" spans="24:28" x14ac:dyDescent="0.2">
      <c r="X1254" s="27"/>
      <c r="AB1254" s="30"/>
    </row>
    <row r="1255" spans="24:28" x14ac:dyDescent="0.2">
      <c r="X1255" s="27"/>
      <c r="AB1255" s="30"/>
    </row>
    <row r="1256" spans="24:28" x14ac:dyDescent="0.2">
      <c r="X1256" s="27"/>
      <c r="AB1256" s="30"/>
    </row>
    <row r="1257" spans="24:28" x14ac:dyDescent="0.2">
      <c r="X1257" s="27"/>
      <c r="AB1257" s="30"/>
    </row>
    <row r="1258" spans="24:28" x14ac:dyDescent="0.2">
      <c r="X1258" s="27"/>
      <c r="AB1258" s="30"/>
    </row>
    <row r="1259" spans="24:28" x14ac:dyDescent="0.2">
      <c r="X1259" s="27"/>
      <c r="AB1259" s="30"/>
    </row>
    <row r="1260" spans="24:28" x14ac:dyDescent="0.2">
      <c r="X1260" s="27"/>
      <c r="AB1260" s="30"/>
    </row>
    <row r="1261" spans="24:28" x14ac:dyDescent="0.2">
      <c r="X1261" s="27"/>
      <c r="AB1261" s="30"/>
    </row>
    <row r="1262" spans="24:28" x14ac:dyDescent="0.2">
      <c r="X1262" s="27"/>
      <c r="AB1262" s="30"/>
    </row>
    <row r="1263" spans="24:28" x14ac:dyDescent="0.2">
      <c r="X1263" s="27"/>
      <c r="AB1263" s="30"/>
    </row>
    <row r="1264" spans="24:28" x14ac:dyDescent="0.2">
      <c r="X1264" s="27"/>
      <c r="AB1264" s="30"/>
    </row>
    <row r="1265" spans="24:28" x14ac:dyDescent="0.2">
      <c r="X1265" s="27"/>
      <c r="AB1265" s="30"/>
    </row>
    <row r="1266" spans="24:28" x14ac:dyDescent="0.2">
      <c r="X1266" s="27"/>
      <c r="AB1266" s="30"/>
    </row>
    <row r="1267" spans="24:28" x14ac:dyDescent="0.2">
      <c r="X1267" s="27"/>
      <c r="AB1267" s="30"/>
    </row>
    <row r="1268" spans="24:28" x14ac:dyDescent="0.2">
      <c r="X1268" s="27"/>
      <c r="AB1268" s="30"/>
    </row>
    <row r="1269" spans="24:28" x14ac:dyDescent="0.2">
      <c r="X1269" s="27"/>
      <c r="AB1269" s="30"/>
    </row>
    <row r="1270" spans="24:28" x14ac:dyDescent="0.2">
      <c r="X1270" s="27"/>
      <c r="AB1270" s="30"/>
    </row>
    <row r="1271" spans="24:28" x14ac:dyDescent="0.2">
      <c r="X1271" s="27"/>
      <c r="AB1271" s="30"/>
    </row>
    <row r="1272" spans="24:28" x14ac:dyDescent="0.2">
      <c r="X1272" s="27"/>
      <c r="AB1272" s="30"/>
    </row>
    <row r="1273" spans="24:28" x14ac:dyDescent="0.2">
      <c r="X1273" s="27"/>
      <c r="AB1273" s="30"/>
    </row>
    <row r="1274" spans="24:28" x14ac:dyDescent="0.2">
      <c r="X1274" s="27"/>
      <c r="AB1274" s="30"/>
    </row>
    <row r="1275" spans="24:28" x14ac:dyDescent="0.2">
      <c r="X1275" s="27"/>
      <c r="AB1275" s="30"/>
    </row>
    <row r="1276" spans="24:28" x14ac:dyDescent="0.2">
      <c r="X1276" s="27"/>
      <c r="AB1276" s="30"/>
    </row>
    <row r="1277" spans="24:28" x14ac:dyDescent="0.2">
      <c r="X1277" s="27"/>
      <c r="AB1277" s="30"/>
    </row>
    <row r="1278" spans="24:28" x14ac:dyDescent="0.2">
      <c r="X1278" s="27"/>
      <c r="AB1278" s="30"/>
    </row>
    <row r="1279" spans="24:28" x14ac:dyDescent="0.2">
      <c r="X1279" s="27"/>
      <c r="AB1279" s="30"/>
    </row>
    <row r="1280" spans="24:28" x14ac:dyDescent="0.2">
      <c r="X1280" s="27"/>
      <c r="AB1280" s="30"/>
    </row>
    <row r="1281" spans="24:28" x14ac:dyDescent="0.2">
      <c r="X1281" s="27"/>
      <c r="AB1281" s="30"/>
    </row>
    <row r="1282" spans="24:28" x14ac:dyDescent="0.2">
      <c r="X1282" s="27"/>
      <c r="AB1282" s="30"/>
    </row>
    <row r="1283" spans="24:28" x14ac:dyDescent="0.2">
      <c r="X1283" s="27"/>
      <c r="AB1283" s="30"/>
    </row>
    <row r="1284" spans="24:28" x14ac:dyDescent="0.2">
      <c r="X1284" s="27"/>
      <c r="AB1284" s="30"/>
    </row>
    <row r="1285" spans="24:28" x14ac:dyDescent="0.2">
      <c r="X1285" s="27"/>
      <c r="AB1285" s="30"/>
    </row>
    <row r="1286" spans="24:28" x14ac:dyDescent="0.2">
      <c r="X1286" s="27"/>
      <c r="AB1286" s="30"/>
    </row>
    <row r="1287" spans="24:28" x14ac:dyDescent="0.2">
      <c r="X1287" s="27"/>
      <c r="AB1287" s="30"/>
    </row>
    <row r="1288" spans="24:28" x14ac:dyDescent="0.2">
      <c r="X1288" s="27"/>
      <c r="AB1288" s="30"/>
    </row>
    <row r="1289" spans="24:28" x14ac:dyDescent="0.2">
      <c r="X1289" s="27"/>
      <c r="AB1289" s="30"/>
    </row>
    <row r="1290" spans="24:28" x14ac:dyDescent="0.2">
      <c r="X1290" s="27"/>
      <c r="AB1290" s="30"/>
    </row>
    <row r="1291" spans="24:28" x14ac:dyDescent="0.2">
      <c r="X1291" s="27"/>
      <c r="AB1291" s="30"/>
    </row>
    <row r="1292" spans="24:28" x14ac:dyDescent="0.2">
      <c r="X1292" s="27"/>
      <c r="AB1292" s="30"/>
    </row>
    <row r="1293" spans="24:28" x14ac:dyDescent="0.2">
      <c r="X1293" s="27"/>
      <c r="AB1293" s="30"/>
    </row>
    <row r="1294" spans="24:28" x14ac:dyDescent="0.2">
      <c r="X1294" s="27"/>
      <c r="AB1294" s="30"/>
    </row>
    <row r="1295" spans="24:28" x14ac:dyDescent="0.2">
      <c r="X1295" s="27"/>
      <c r="AB1295" s="30"/>
    </row>
    <row r="1296" spans="24:28" x14ac:dyDescent="0.2">
      <c r="X1296" s="27"/>
      <c r="AB1296" s="30"/>
    </row>
    <row r="1297" spans="24:28" x14ac:dyDescent="0.2">
      <c r="X1297" s="27"/>
      <c r="AB1297" s="30"/>
    </row>
    <row r="1298" spans="24:28" x14ac:dyDescent="0.2">
      <c r="X1298" s="27"/>
      <c r="AB1298" s="30"/>
    </row>
    <row r="1299" spans="24:28" x14ac:dyDescent="0.2">
      <c r="X1299" s="27"/>
      <c r="AB1299" s="30"/>
    </row>
    <row r="1300" spans="24:28" x14ac:dyDescent="0.2">
      <c r="X1300" s="27"/>
      <c r="AB1300" s="30"/>
    </row>
    <row r="1301" spans="24:28" x14ac:dyDescent="0.2">
      <c r="X1301" s="27"/>
      <c r="AB1301" s="30"/>
    </row>
    <row r="1302" spans="24:28" x14ac:dyDescent="0.2">
      <c r="X1302" s="27"/>
      <c r="AB1302" s="30"/>
    </row>
    <row r="1303" spans="24:28" x14ac:dyDescent="0.2">
      <c r="X1303" s="27"/>
      <c r="AB1303" s="30"/>
    </row>
    <row r="1304" spans="24:28" x14ac:dyDescent="0.2">
      <c r="X1304" s="27"/>
      <c r="AB1304" s="30"/>
    </row>
    <row r="1305" spans="24:28" x14ac:dyDescent="0.2">
      <c r="X1305" s="27"/>
      <c r="AB1305" s="30"/>
    </row>
    <row r="1306" spans="24:28" x14ac:dyDescent="0.2">
      <c r="X1306" s="27"/>
      <c r="AB1306" s="30"/>
    </row>
    <row r="1307" spans="24:28" x14ac:dyDescent="0.2">
      <c r="X1307" s="27"/>
      <c r="AB1307" s="30"/>
    </row>
    <row r="1308" spans="24:28" x14ac:dyDescent="0.2">
      <c r="X1308" s="27"/>
      <c r="AB1308" s="30"/>
    </row>
    <row r="1309" spans="24:28" x14ac:dyDescent="0.2">
      <c r="X1309" s="27"/>
      <c r="AB1309" s="30"/>
    </row>
    <row r="1310" spans="24:28" x14ac:dyDescent="0.2">
      <c r="X1310" s="27"/>
      <c r="AB1310" s="30"/>
    </row>
    <row r="1311" spans="24:28" x14ac:dyDescent="0.2">
      <c r="X1311" s="27"/>
      <c r="AB1311" s="30"/>
    </row>
    <row r="1312" spans="24:28" x14ac:dyDescent="0.2">
      <c r="X1312" s="27"/>
      <c r="AB1312" s="30"/>
    </row>
    <row r="1313" spans="24:28" x14ac:dyDescent="0.2">
      <c r="X1313" s="27"/>
      <c r="AB1313" s="30"/>
    </row>
    <row r="1314" spans="24:28" x14ac:dyDescent="0.2">
      <c r="X1314" s="27"/>
      <c r="AB1314" s="30"/>
    </row>
    <row r="1315" spans="24:28" x14ac:dyDescent="0.2">
      <c r="X1315" s="27"/>
      <c r="AB1315" s="30"/>
    </row>
    <row r="1316" spans="24:28" x14ac:dyDescent="0.2">
      <c r="X1316" s="27"/>
      <c r="AB1316" s="30"/>
    </row>
    <row r="1317" spans="24:28" x14ac:dyDescent="0.2">
      <c r="X1317" s="27"/>
      <c r="AB1317" s="30"/>
    </row>
    <row r="1318" spans="24:28" x14ac:dyDescent="0.2">
      <c r="X1318" s="27"/>
      <c r="AB1318" s="30"/>
    </row>
    <row r="1319" spans="24:28" x14ac:dyDescent="0.2">
      <c r="X1319" s="27"/>
      <c r="AB1319" s="30"/>
    </row>
    <row r="1320" spans="24:28" x14ac:dyDescent="0.2">
      <c r="X1320" s="27"/>
      <c r="AB1320" s="30"/>
    </row>
    <row r="1321" spans="24:28" x14ac:dyDescent="0.2">
      <c r="X1321" s="27"/>
      <c r="AB1321" s="30"/>
    </row>
    <row r="1322" spans="24:28" x14ac:dyDescent="0.2">
      <c r="X1322" s="27"/>
      <c r="AB1322" s="30"/>
    </row>
    <row r="1323" spans="24:28" x14ac:dyDescent="0.2">
      <c r="X1323" s="27"/>
      <c r="AB1323" s="30"/>
    </row>
    <row r="1324" spans="24:28" x14ac:dyDescent="0.2">
      <c r="X1324" s="27"/>
      <c r="AB1324" s="30"/>
    </row>
    <row r="1325" spans="24:28" x14ac:dyDescent="0.2">
      <c r="X1325" s="27"/>
      <c r="AB1325" s="30"/>
    </row>
    <row r="1326" spans="24:28" x14ac:dyDescent="0.2">
      <c r="X1326" s="27"/>
      <c r="AB1326" s="30"/>
    </row>
    <row r="1327" spans="24:28" x14ac:dyDescent="0.2">
      <c r="X1327" s="27"/>
      <c r="AB1327" s="30"/>
    </row>
    <row r="1328" spans="24:28" x14ac:dyDescent="0.2">
      <c r="X1328" s="27"/>
      <c r="AB1328" s="30"/>
    </row>
    <row r="1329" spans="24:28" x14ac:dyDescent="0.2">
      <c r="X1329" s="27"/>
      <c r="AB1329" s="30"/>
    </row>
    <row r="1330" spans="24:28" x14ac:dyDescent="0.2">
      <c r="X1330" s="27"/>
      <c r="AB1330" s="30"/>
    </row>
    <row r="1331" spans="24:28" x14ac:dyDescent="0.2">
      <c r="X1331" s="27"/>
      <c r="AB1331" s="30"/>
    </row>
    <row r="1332" spans="24:28" x14ac:dyDescent="0.2">
      <c r="X1332" s="27"/>
      <c r="AB1332" s="30"/>
    </row>
    <row r="1333" spans="24:28" x14ac:dyDescent="0.2">
      <c r="X1333" s="27"/>
      <c r="AB1333" s="30"/>
    </row>
    <row r="1334" spans="24:28" x14ac:dyDescent="0.2">
      <c r="X1334" s="27"/>
      <c r="AB1334" s="30"/>
    </row>
    <row r="1335" spans="24:28" x14ac:dyDescent="0.2">
      <c r="X1335" s="27"/>
      <c r="AB1335" s="30"/>
    </row>
    <row r="1336" spans="24:28" x14ac:dyDescent="0.2">
      <c r="X1336" s="27"/>
      <c r="AB1336" s="30"/>
    </row>
    <row r="1337" spans="24:28" x14ac:dyDescent="0.2">
      <c r="X1337" s="27"/>
      <c r="AB1337" s="30"/>
    </row>
    <row r="1338" spans="24:28" x14ac:dyDescent="0.2">
      <c r="X1338" s="27"/>
      <c r="AB1338" s="30"/>
    </row>
    <row r="1339" spans="24:28" x14ac:dyDescent="0.2">
      <c r="X1339" s="27"/>
      <c r="AB1339" s="30"/>
    </row>
    <row r="1340" spans="24:28" x14ac:dyDescent="0.2">
      <c r="X1340" s="27"/>
      <c r="AB1340" s="30"/>
    </row>
    <row r="1341" spans="24:28" x14ac:dyDescent="0.2">
      <c r="X1341" s="27"/>
      <c r="AB1341" s="30"/>
    </row>
    <row r="1342" spans="24:28" x14ac:dyDescent="0.2">
      <c r="X1342" s="27"/>
      <c r="AB1342" s="30"/>
    </row>
    <row r="1343" spans="24:28" x14ac:dyDescent="0.2">
      <c r="X1343" s="27"/>
      <c r="AB1343" s="30"/>
    </row>
    <row r="1344" spans="24:28" x14ac:dyDescent="0.2">
      <c r="X1344" s="27"/>
      <c r="AB1344" s="30"/>
    </row>
    <row r="1345" spans="24:28" x14ac:dyDescent="0.2">
      <c r="X1345" s="27"/>
      <c r="AB1345" s="30"/>
    </row>
    <row r="1346" spans="24:28" x14ac:dyDescent="0.2">
      <c r="X1346" s="27"/>
      <c r="AB1346" s="30"/>
    </row>
    <row r="1347" spans="24:28" x14ac:dyDescent="0.2">
      <c r="X1347" s="27"/>
      <c r="AB1347" s="30"/>
    </row>
    <row r="1348" spans="24:28" x14ac:dyDescent="0.2">
      <c r="X1348" s="27"/>
      <c r="AB1348" s="30"/>
    </row>
    <row r="1349" spans="24:28" x14ac:dyDescent="0.2">
      <c r="X1349" s="27"/>
      <c r="AB1349" s="30"/>
    </row>
    <row r="1350" spans="24:28" x14ac:dyDescent="0.2">
      <c r="X1350" s="27"/>
      <c r="AB1350" s="30"/>
    </row>
    <row r="1351" spans="24:28" x14ac:dyDescent="0.2">
      <c r="X1351" s="27"/>
      <c r="AB1351" s="30"/>
    </row>
    <row r="1352" spans="24:28" x14ac:dyDescent="0.2">
      <c r="X1352" s="27"/>
      <c r="AB1352" s="30"/>
    </row>
    <row r="1353" spans="24:28" x14ac:dyDescent="0.2">
      <c r="X1353" s="27"/>
      <c r="AB1353" s="30"/>
    </row>
    <row r="1354" spans="24:28" x14ac:dyDescent="0.2">
      <c r="X1354" s="27"/>
      <c r="AB1354" s="30"/>
    </row>
    <row r="1355" spans="24:28" x14ac:dyDescent="0.2">
      <c r="X1355" s="27"/>
      <c r="AB1355" s="30"/>
    </row>
    <row r="1356" spans="24:28" x14ac:dyDescent="0.2">
      <c r="X1356" s="27"/>
      <c r="AB1356" s="30"/>
    </row>
    <row r="1357" spans="24:28" x14ac:dyDescent="0.2">
      <c r="X1357" s="27"/>
      <c r="AB1357" s="30"/>
    </row>
    <row r="1358" spans="24:28" x14ac:dyDescent="0.2">
      <c r="X1358" s="27"/>
      <c r="AB1358" s="30"/>
    </row>
    <row r="1359" spans="24:28" x14ac:dyDescent="0.2">
      <c r="X1359" s="27"/>
      <c r="AB1359" s="30"/>
    </row>
    <row r="1360" spans="24:28" x14ac:dyDescent="0.2">
      <c r="X1360" s="27"/>
      <c r="AB1360" s="30"/>
    </row>
    <row r="1361" spans="24:28" x14ac:dyDescent="0.2">
      <c r="X1361" s="27"/>
      <c r="AB1361" s="30"/>
    </row>
    <row r="1362" spans="24:28" x14ac:dyDescent="0.2">
      <c r="X1362" s="27"/>
      <c r="AB1362" s="30"/>
    </row>
    <row r="1363" spans="24:28" x14ac:dyDescent="0.2">
      <c r="X1363" s="27"/>
      <c r="AB1363" s="30"/>
    </row>
    <row r="1364" spans="24:28" x14ac:dyDescent="0.2">
      <c r="X1364" s="27"/>
      <c r="AB1364" s="30"/>
    </row>
    <row r="1365" spans="24:28" x14ac:dyDescent="0.2">
      <c r="X1365" s="27"/>
      <c r="AB1365" s="30"/>
    </row>
    <row r="1366" spans="24:28" x14ac:dyDescent="0.2">
      <c r="X1366" s="27"/>
      <c r="AB1366" s="30"/>
    </row>
    <row r="1367" spans="24:28" x14ac:dyDescent="0.2">
      <c r="X1367" s="27"/>
      <c r="AB1367" s="30"/>
    </row>
    <row r="1368" spans="24:28" x14ac:dyDescent="0.2">
      <c r="X1368" s="27"/>
      <c r="AB1368" s="30"/>
    </row>
    <row r="1369" spans="24:28" x14ac:dyDescent="0.2">
      <c r="X1369" s="27"/>
      <c r="AB1369" s="30"/>
    </row>
    <row r="1370" spans="24:28" x14ac:dyDescent="0.2">
      <c r="X1370" s="27"/>
      <c r="AB1370" s="30"/>
    </row>
    <row r="1371" spans="24:28" x14ac:dyDescent="0.2">
      <c r="X1371" s="27"/>
      <c r="AB1371" s="30"/>
    </row>
    <row r="1372" spans="24:28" x14ac:dyDescent="0.2">
      <c r="X1372" s="27"/>
      <c r="AB1372" s="30"/>
    </row>
    <row r="1373" spans="24:28" x14ac:dyDescent="0.2">
      <c r="X1373" s="27"/>
      <c r="AB1373" s="30"/>
    </row>
    <row r="1374" spans="24:28" x14ac:dyDescent="0.2">
      <c r="X1374" s="27"/>
      <c r="AB1374" s="30"/>
    </row>
    <row r="1375" spans="24:28" x14ac:dyDescent="0.2">
      <c r="X1375" s="27"/>
      <c r="AB1375" s="30"/>
    </row>
    <row r="1376" spans="24:28" x14ac:dyDescent="0.2">
      <c r="X1376" s="27"/>
      <c r="AB1376" s="30"/>
    </row>
    <row r="1377" spans="24:28" x14ac:dyDescent="0.2">
      <c r="X1377" s="27"/>
      <c r="AB1377" s="30"/>
    </row>
    <row r="1378" spans="24:28" x14ac:dyDescent="0.2">
      <c r="X1378" s="27"/>
      <c r="AB1378" s="30"/>
    </row>
    <row r="1379" spans="24:28" x14ac:dyDescent="0.2">
      <c r="X1379" s="27"/>
      <c r="AB1379" s="30"/>
    </row>
    <row r="1380" spans="24:28" x14ac:dyDescent="0.2">
      <c r="X1380" s="27"/>
      <c r="AB1380" s="30"/>
    </row>
    <row r="1381" spans="24:28" x14ac:dyDescent="0.2">
      <c r="X1381" s="27"/>
      <c r="AB1381" s="30"/>
    </row>
    <row r="1382" spans="24:28" x14ac:dyDescent="0.2">
      <c r="X1382" s="27"/>
      <c r="AB1382" s="30"/>
    </row>
    <row r="1383" spans="24:28" x14ac:dyDescent="0.2">
      <c r="X1383" s="27"/>
      <c r="AB1383" s="30"/>
    </row>
    <row r="1384" spans="24:28" x14ac:dyDescent="0.2">
      <c r="X1384" s="27"/>
      <c r="AB1384" s="30"/>
    </row>
    <row r="1385" spans="24:28" x14ac:dyDescent="0.2">
      <c r="X1385" s="27"/>
      <c r="AB1385" s="30"/>
    </row>
    <row r="1386" spans="24:28" x14ac:dyDescent="0.2">
      <c r="X1386" s="27"/>
      <c r="AB1386" s="30"/>
    </row>
    <row r="1387" spans="24:28" x14ac:dyDescent="0.2">
      <c r="X1387" s="27"/>
      <c r="AB1387" s="30"/>
    </row>
    <row r="1388" spans="24:28" x14ac:dyDescent="0.2">
      <c r="X1388" s="27"/>
      <c r="AB1388" s="30"/>
    </row>
    <row r="1389" spans="24:28" x14ac:dyDescent="0.2">
      <c r="X1389" s="27"/>
      <c r="AB1389" s="30"/>
    </row>
    <row r="1390" spans="24:28" x14ac:dyDescent="0.2">
      <c r="X1390" s="27"/>
      <c r="AB1390" s="30"/>
    </row>
    <row r="1391" spans="24:28" x14ac:dyDescent="0.2">
      <c r="X1391" s="27"/>
      <c r="AB1391" s="30"/>
    </row>
    <row r="1392" spans="24:28" x14ac:dyDescent="0.2">
      <c r="X1392" s="27"/>
      <c r="AB1392" s="30"/>
    </row>
    <row r="1393" spans="24:28" x14ac:dyDescent="0.2">
      <c r="X1393" s="27"/>
      <c r="AB1393" s="30"/>
    </row>
    <row r="1394" spans="24:28" x14ac:dyDescent="0.2">
      <c r="X1394" s="27"/>
      <c r="AB1394" s="30"/>
    </row>
    <row r="1395" spans="24:28" x14ac:dyDescent="0.2">
      <c r="X1395" s="27"/>
      <c r="AB1395" s="30"/>
    </row>
    <row r="1396" spans="24:28" x14ac:dyDescent="0.2">
      <c r="X1396" s="27"/>
      <c r="AB1396" s="30"/>
    </row>
    <row r="1397" spans="24:28" x14ac:dyDescent="0.2">
      <c r="X1397" s="27"/>
      <c r="AB1397" s="30"/>
    </row>
    <row r="1398" spans="24:28" x14ac:dyDescent="0.2">
      <c r="X1398" s="27"/>
      <c r="AB1398" s="30"/>
    </row>
    <row r="1399" spans="24:28" x14ac:dyDescent="0.2">
      <c r="X1399" s="27"/>
      <c r="AB1399" s="30"/>
    </row>
    <row r="1400" spans="24:28" x14ac:dyDescent="0.2">
      <c r="X1400" s="27"/>
      <c r="AB1400" s="30"/>
    </row>
    <row r="1401" spans="24:28" x14ac:dyDescent="0.2">
      <c r="X1401" s="27"/>
      <c r="AB1401" s="30"/>
    </row>
    <row r="1402" spans="24:28" x14ac:dyDescent="0.2">
      <c r="X1402" s="27"/>
      <c r="AB1402" s="30"/>
    </row>
    <row r="1403" spans="24:28" x14ac:dyDescent="0.2">
      <c r="X1403" s="27"/>
      <c r="AB1403" s="30"/>
    </row>
    <row r="1404" spans="24:28" x14ac:dyDescent="0.2">
      <c r="X1404" s="27"/>
      <c r="AB1404" s="30"/>
    </row>
    <row r="1405" spans="24:28" x14ac:dyDescent="0.2">
      <c r="X1405" s="27"/>
      <c r="AB1405" s="30"/>
    </row>
    <row r="1406" spans="24:28" x14ac:dyDescent="0.2">
      <c r="X1406" s="27"/>
      <c r="AB1406" s="30"/>
    </row>
    <row r="1407" spans="24:28" x14ac:dyDescent="0.2">
      <c r="X1407" s="27"/>
      <c r="AB1407" s="30"/>
    </row>
    <row r="1408" spans="24:28" x14ac:dyDescent="0.2">
      <c r="X1408" s="27"/>
      <c r="AB1408" s="30"/>
    </row>
    <row r="1409" spans="24:28" x14ac:dyDescent="0.2">
      <c r="X1409" s="27"/>
      <c r="AB1409" s="30"/>
    </row>
    <row r="1410" spans="24:28" x14ac:dyDescent="0.2">
      <c r="X1410" s="27"/>
      <c r="AB1410" s="30"/>
    </row>
    <row r="1411" spans="24:28" x14ac:dyDescent="0.2">
      <c r="X1411" s="27"/>
      <c r="AB1411" s="30"/>
    </row>
    <row r="1412" spans="24:28" x14ac:dyDescent="0.2">
      <c r="X1412" s="27"/>
      <c r="AB1412" s="30"/>
    </row>
    <row r="1413" spans="24:28" x14ac:dyDescent="0.2">
      <c r="X1413" s="27"/>
      <c r="AB1413" s="30"/>
    </row>
    <row r="1414" spans="24:28" x14ac:dyDescent="0.2">
      <c r="X1414" s="27"/>
      <c r="AB1414" s="30"/>
    </row>
    <row r="1415" spans="24:28" x14ac:dyDescent="0.2">
      <c r="X1415" s="27"/>
      <c r="AB1415" s="30"/>
    </row>
    <row r="1416" spans="24:28" x14ac:dyDescent="0.2">
      <c r="X1416" s="27"/>
      <c r="AB1416" s="30"/>
    </row>
    <row r="1417" spans="24:28" x14ac:dyDescent="0.2">
      <c r="X1417" s="27"/>
      <c r="AB1417" s="30"/>
    </row>
    <row r="1418" spans="24:28" x14ac:dyDescent="0.2">
      <c r="X1418" s="27"/>
      <c r="AB1418" s="30"/>
    </row>
    <row r="1419" spans="24:28" x14ac:dyDescent="0.2">
      <c r="X1419" s="27"/>
      <c r="AB1419" s="30"/>
    </row>
    <row r="1420" spans="24:28" x14ac:dyDescent="0.2">
      <c r="X1420" s="27"/>
      <c r="AB1420" s="30"/>
    </row>
    <row r="1421" spans="24:28" x14ac:dyDescent="0.2">
      <c r="X1421" s="27"/>
      <c r="AB1421" s="30"/>
    </row>
    <row r="1422" spans="24:28" x14ac:dyDescent="0.2">
      <c r="X1422" s="27"/>
      <c r="AB1422" s="30"/>
    </row>
    <row r="1423" spans="24:28" x14ac:dyDescent="0.2">
      <c r="X1423" s="27"/>
      <c r="AB1423" s="30"/>
    </row>
    <row r="1424" spans="24:28" x14ac:dyDescent="0.2">
      <c r="X1424" s="27"/>
      <c r="AB1424" s="30"/>
    </row>
    <row r="1425" spans="24:28" x14ac:dyDescent="0.2">
      <c r="X1425" s="27"/>
      <c r="AB1425" s="30"/>
    </row>
    <row r="1426" spans="24:28" x14ac:dyDescent="0.2">
      <c r="X1426" s="27"/>
      <c r="AB1426" s="30"/>
    </row>
    <row r="1427" spans="24:28" x14ac:dyDescent="0.2">
      <c r="X1427" s="27"/>
      <c r="AB1427" s="30"/>
    </row>
    <row r="1428" spans="24:28" x14ac:dyDescent="0.2">
      <c r="X1428" s="27"/>
      <c r="AB1428" s="30"/>
    </row>
    <row r="1429" spans="24:28" x14ac:dyDescent="0.2">
      <c r="X1429" s="27"/>
      <c r="AB1429" s="30"/>
    </row>
    <row r="1430" spans="24:28" x14ac:dyDescent="0.2">
      <c r="X1430" s="27"/>
      <c r="AB1430" s="30"/>
    </row>
    <row r="1431" spans="24:28" x14ac:dyDescent="0.2">
      <c r="X1431" s="27"/>
      <c r="AB1431" s="30"/>
    </row>
    <row r="1432" spans="24:28" x14ac:dyDescent="0.2">
      <c r="X1432" s="27"/>
      <c r="AB1432" s="30"/>
    </row>
    <row r="1433" spans="24:28" x14ac:dyDescent="0.2">
      <c r="X1433" s="27"/>
      <c r="AB1433" s="30"/>
    </row>
    <row r="1434" spans="24:28" x14ac:dyDescent="0.2">
      <c r="X1434" s="27"/>
      <c r="AB1434" s="30"/>
    </row>
    <row r="1435" spans="24:28" x14ac:dyDescent="0.2">
      <c r="X1435" s="27"/>
      <c r="AB1435" s="30"/>
    </row>
    <row r="1436" spans="24:28" x14ac:dyDescent="0.2">
      <c r="X1436" s="27"/>
      <c r="AB1436" s="30"/>
    </row>
    <row r="1437" spans="24:28" x14ac:dyDescent="0.2">
      <c r="X1437" s="27"/>
      <c r="AB1437" s="30"/>
    </row>
    <row r="1438" spans="24:28" x14ac:dyDescent="0.2">
      <c r="X1438" s="27"/>
      <c r="AB1438" s="30"/>
    </row>
    <row r="1439" spans="24:28" x14ac:dyDescent="0.2">
      <c r="X1439" s="27"/>
      <c r="AB1439" s="30"/>
    </row>
    <row r="1440" spans="24:28" x14ac:dyDescent="0.2">
      <c r="X1440" s="27"/>
      <c r="AB1440" s="30"/>
    </row>
    <row r="1441" spans="24:28" x14ac:dyDescent="0.2">
      <c r="X1441" s="27"/>
      <c r="AB1441" s="30"/>
    </row>
    <row r="1442" spans="24:28" x14ac:dyDescent="0.2">
      <c r="X1442" s="27"/>
      <c r="AB1442" s="30"/>
    </row>
    <row r="1443" spans="24:28" x14ac:dyDescent="0.2">
      <c r="X1443" s="27"/>
      <c r="AB1443" s="30"/>
    </row>
    <row r="1444" spans="24:28" x14ac:dyDescent="0.2">
      <c r="X1444" s="27"/>
      <c r="AB1444" s="30"/>
    </row>
    <row r="1445" spans="24:28" x14ac:dyDescent="0.2">
      <c r="X1445" s="27"/>
      <c r="AB1445" s="30"/>
    </row>
    <row r="1446" spans="24:28" x14ac:dyDescent="0.2">
      <c r="X1446" s="27"/>
      <c r="AB1446" s="30"/>
    </row>
    <row r="1447" spans="24:28" x14ac:dyDescent="0.2">
      <c r="X1447" s="27"/>
      <c r="AB1447" s="30"/>
    </row>
    <row r="1448" spans="24:28" x14ac:dyDescent="0.2">
      <c r="X1448" s="27"/>
      <c r="AB1448" s="30"/>
    </row>
    <row r="1449" spans="24:28" x14ac:dyDescent="0.2">
      <c r="X1449" s="27"/>
      <c r="AB1449" s="30"/>
    </row>
    <row r="1450" spans="24:28" x14ac:dyDescent="0.2">
      <c r="X1450" s="27"/>
      <c r="AB1450" s="30"/>
    </row>
    <row r="1451" spans="24:28" x14ac:dyDescent="0.2">
      <c r="X1451" s="27"/>
      <c r="AB1451" s="30"/>
    </row>
    <row r="1452" spans="24:28" x14ac:dyDescent="0.2">
      <c r="X1452" s="27"/>
      <c r="AB1452" s="30"/>
    </row>
    <row r="1453" spans="24:28" x14ac:dyDescent="0.2">
      <c r="X1453" s="27"/>
      <c r="AB1453" s="30"/>
    </row>
    <row r="1454" spans="24:28" x14ac:dyDescent="0.2">
      <c r="X1454" s="27"/>
      <c r="AB1454" s="30"/>
    </row>
    <row r="1455" spans="24:28" x14ac:dyDescent="0.2">
      <c r="X1455" s="27"/>
      <c r="AB1455" s="30"/>
    </row>
    <row r="1456" spans="24:28" x14ac:dyDescent="0.2">
      <c r="X1456" s="27"/>
      <c r="AB1456" s="30"/>
    </row>
    <row r="1457" spans="24:28" x14ac:dyDescent="0.2">
      <c r="X1457" s="27"/>
      <c r="AB1457" s="30"/>
    </row>
    <row r="1458" spans="24:28" x14ac:dyDescent="0.2">
      <c r="X1458" s="27"/>
      <c r="AB1458" s="30"/>
    </row>
    <row r="1459" spans="24:28" x14ac:dyDescent="0.2">
      <c r="X1459" s="27"/>
      <c r="AB1459" s="30"/>
    </row>
    <row r="1460" spans="24:28" x14ac:dyDescent="0.2">
      <c r="X1460" s="27"/>
      <c r="AB1460" s="30"/>
    </row>
    <row r="1461" spans="24:28" x14ac:dyDescent="0.2">
      <c r="X1461" s="27"/>
      <c r="AB1461" s="30"/>
    </row>
    <row r="1462" spans="24:28" x14ac:dyDescent="0.2">
      <c r="X1462" s="27"/>
      <c r="AB1462" s="30"/>
    </row>
    <row r="1463" spans="24:28" x14ac:dyDescent="0.2">
      <c r="X1463" s="27"/>
      <c r="AB1463" s="30"/>
    </row>
    <row r="1464" spans="24:28" x14ac:dyDescent="0.2">
      <c r="X1464" s="27"/>
      <c r="AB1464" s="30"/>
    </row>
    <row r="1465" spans="24:28" x14ac:dyDescent="0.2">
      <c r="X1465" s="27"/>
      <c r="AB1465" s="30"/>
    </row>
    <row r="1466" spans="24:28" x14ac:dyDescent="0.2">
      <c r="X1466" s="27"/>
      <c r="AB1466" s="30"/>
    </row>
    <row r="1467" spans="24:28" x14ac:dyDescent="0.2">
      <c r="X1467" s="27"/>
      <c r="AB1467" s="30"/>
    </row>
    <row r="1468" spans="24:28" x14ac:dyDescent="0.2">
      <c r="X1468" s="27"/>
      <c r="AB1468" s="30"/>
    </row>
    <row r="1469" spans="24:28" x14ac:dyDescent="0.2">
      <c r="X1469" s="27"/>
      <c r="AB1469" s="30"/>
    </row>
    <row r="1470" spans="24:28" x14ac:dyDescent="0.2">
      <c r="X1470" s="27"/>
      <c r="AB1470" s="30"/>
    </row>
    <row r="1471" spans="24:28" x14ac:dyDescent="0.2">
      <c r="X1471" s="27"/>
      <c r="AB1471" s="30"/>
    </row>
    <row r="1472" spans="24:28" x14ac:dyDescent="0.2">
      <c r="X1472" s="27"/>
      <c r="AB1472" s="30"/>
    </row>
    <row r="1473" spans="24:28" x14ac:dyDescent="0.2">
      <c r="X1473" s="27"/>
      <c r="AB1473" s="30"/>
    </row>
    <row r="1474" spans="24:28" x14ac:dyDescent="0.2">
      <c r="X1474" s="27"/>
      <c r="AB1474" s="30"/>
    </row>
    <row r="1475" spans="24:28" x14ac:dyDescent="0.2">
      <c r="X1475" s="27"/>
      <c r="AB1475" s="30"/>
    </row>
    <row r="1476" spans="24:28" x14ac:dyDescent="0.2">
      <c r="X1476" s="27"/>
      <c r="AB1476" s="30"/>
    </row>
    <row r="1477" spans="24:28" x14ac:dyDescent="0.2">
      <c r="X1477" s="27"/>
      <c r="AB1477" s="30"/>
    </row>
    <row r="1478" spans="24:28" x14ac:dyDescent="0.2">
      <c r="X1478" s="27"/>
      <c r="AB1478" s="30"/>
    </row>
    <row r="1479" spans="24:28" x14ac:dyDescent="0.2">
      <c r="X1479" s="27"/>
      <c r="AB1479" s="30"/>
    </row>
    <row r="1480" spans="24:28" x14ac:dyDescent="0.2">
      <c r="X1480" s="27"/>
      <c r="AB1480" s="30"/>
    </row>
    <row r="1481" spans="24:28" x14ac:dyDescent="0.2">
      <c r="X1481" s="27"/>
      <c r="AB1481" s="30"/>
    </row>
    <row r="1482" spans="24:28" x14ac:dyDescent="0.2">
      <c r="X1482" s="27"/>
      <c r="AB1482" s="30"/>
    </row>
    <row r="1483" spans="24:28" x14ac:dyDescent="0.2">
      <c r="X1483" s="27"/>
      <c r="AB1483" s="30"/>
    </row>
    <row r="1484" spans="24:28" x14ac:dyDescent="0.2">
      <c r="X1484" s="27"/>
      <c r="AB1484" s="30"/>
    </row>
    <row r="1485" spans="24:28" x14ac:dyDescent="0.2">
      <c r="X1485" s="27"/>
      <c r="AB1485" s="30"/>
    </row>
    <row r="1486" spans="24:28" x14ac:dyDescent="0.2">
      <c r="X1486" s="27"/>
      <c r="AB1486" s="30"/>
    </row>
    <row r="1487" spans="24:28" x14ac:dyDescent="0.2">
      <c r="X1487" s="27"/>
      <c r="AB1487" s="30"/>
    </row>
    <row r="1488" spans="24:28" x14ac:dyDescent="0.2">
      <c r="X1488" s="27"/>
      <c r="AB1488" s="30"/>
    </row>
    <row r="1489" spans="24:28" x14ac:dyDescent="0.2">
      <c r="X1489" s="27"/>
      <c r="AB1489" s="30"/>
    </row>
    <row r="1490" spans="24:28" x14ac:dyDescent="0.2">
      <c r="X1490" s="27"/>
      <c r="AB1490" s="30"/>
    </row>
    <row r="1491" spans="24:28" x14ac:dyDescent="0.2">
      <c r="X1491" s="27"/>
      <c r="AB1491" s="30"/>
    </row>
    <row r="1492" spans="24:28" x14ac:dyDescent="0.2">
      <c r="X1492" s="27"/>
      <c r="AB1492" s="30"/>
    </row>
    <row r="1493" spans="24:28" x14ac:dyDescent="0.2">
      <c r="X1493" s="27"/>
      <c r="AB1493" s="30"/>
    </row>
    <row r="1494" spans="24:28" x14ac:dyDescent="0.2">
      <c r="X1494" s="27"/>
      <c r="AB1494" s="30"/>
    </row>
    <row r="1495" spans="24:28" x14ac:dyDescent="0.2">
      <c r="X1495" s="27"/>
      <c r="AB1495" s="30"/>
    </row>
    <row r="1496" spans="24:28" x14ac:dyDescent="0.2">
      <c r="X1496" s="27"/>
      <c r="AB1496" s="30"/>
    </row>
    <row r="1497" spans="24:28" x14ac:dyDescent="0.2">
      <c r="X1497" s="27"/>
      <c r="AB1497" s="30"/>
    </row>
    <row r="1498" spans="24:28" x14ac:dyDescent="0.2">
      <c r="X1498" s="27"/>
      <c r="AB1498" s="30"/>
    </row>
    <row r="1499" spans="24:28" x14ac:dyDescent="0.2">
      <c r="X1499" s="27"/>
      <c r="AB1499" s="30"/>
    </row>
    <row r="1500" spans="24:28" x14ac:dyDescent="0.2">
      <c r="X1500" s="27"/>
      <c r="AB1500" s="30"/>
    </row>
    <row r="1501" spans="24:28" x14ac:dyDescent="0.2">
      <c r="X1501" s="27"/>
      <c r="AB1501" s="30"/>
    </row>
    <row r="1502" spans="24:28" x14ac:dyDescent="0.2">
      <c r="X1502" s="27"/>
      <c r="AB1502" s="30"/>
    </row>
    <row r="1503" spans="24:28" x14ac:dyDescent="0.2">
      <c r="X1503" s="27"/>
      <c r="AB1503" s="30"/>
    </row>
    <row r="1504" spans="24:28" x14ac:dyDescent="0.2">
      <c r="X1504" s="27"/>
      <c r="AB1504" s="30"/>
    </row>
    <row r="1505" spans="24:28" x14ac:dyDescent="0.2">
      <c r="X1505" s="27"/>
      <c r="AB1505" s="30"/>
    </row>
    <row r="1506" spans="24:28" x14ac:dyDescent="0.2">
      <c r="X1506" s="27"/>
      <c r="AB1506" s="30"/>
    </row>
    <row r="1507" spans="24:28" x14ac:dyDescent="0.2">
      <c r="X1507" s="27"/>
      <c r="AB1507" s="30"/>
    </row>
    <row r="1508" spans="24:28" x14ac:dyDescent="0.2">
      <c r="X1508" s="27"/>
      <c r="AB1508" s="30"/>
    </row>
    <row r="1509" spans="24:28" x14ac:dyDescent="0.2">
      <c r="X1509" s="27"/>
      <c r="AB1509" s="30"/>
    </row>
    <row r="1510" spans="24:28" x14ac:dyDescent="0.2">
      <c r="X1510" s="27"/>
      <c r="AB1510" s="30"/>
    </row>
    <row r="1511" spans="24:28" x14ac:dyDescent="0.2">
      <c r="X1511" s="27"/>
      <c r="AB1511" s="30"/>
    </row>
    <row r="1512" spans="24:28" x14ac:dyDescent="0.2">
      <c r="X1512" s="27"/>
      <c r="AB1512" s="30"/>
    </row>
    <row r="1513" spans="24:28" x14ac:dyDescent="0.2">
      <c r="X1513" s="27"/>
      <c r="AB1513" s="30"/>
    </row>
    <row r="1514" spans="24:28" x14ac:dyDescent="0.2">
      <c r="X1514" s="27"/>
      <c r="AB1514" s="30"/>
    </row>
    <row r="1515" spans="24:28" x14ac:dyDescent="0.2">
      <c r="X1515" s="27"/>
      <c r="AB1515" s="30"/>
    </row>
    <row r="1516" spans="24:28" x14ac:dyDescent="0.2">
      <c r="X1516" s="27"/>
      <c r="AB1516" s="30"/>
    </row>
    <row r="1517" spans="24:28" x14ac:dyDescent="0.2">
      <c r="X1517" s="27"/>
      <c r="AB1517" s="30"/>
    </row>
    <row r="1518" spans="24:28" x14ac:dyDescent="0.2">
      <c r="X1518" s="27"/>
      <c r="AB1518" s="30"/>
    </row>
    <row r="1519" spans="24:28" x14ac:dyDescent="0.2">
      <c r="X1519" s="27"/>
      <c r="AB1519" s="30"/>
    </row>
    <row r="1520" spans="24:28" x14ac:dyDescent="0.2">
      <c r="X1520" s="27"/>
      <c r="AB1520" s="30"/>
    </row>
    <row r="1521" spans="24:28" x14ac:dyDescent="0.2">
      <c r="X1521" s="27"/>
      <c r="AB1521" s="30"/>
    </row>
    <row r="1522" spans="24:28" x14ac:dyDescent="0.2">
      <c r="X1522" s="27"/>
      <c r="AB1522" s="30"/>
    </row>
    <row r="1523" spans="24:28" x14ac:dyDescent="0.2">
      <c r="X1523" s="27"/>
      <c r="AB1523" s="30"/>
    </row>
    <row r="1524" spans="24:28" x14ac:dyDescent="0.2">
      <c r="X1524" s="27"/>
      <c r="AB1524" s="30"/>
    </row>
    <row r="1525" spans="24:28" x14ac:dyDescent="0.2">
      <c r="X1525" s="27"/>
      <c r="AB1525" s="30"/>
    </row>
    <row r="1526" spans="24:28" x14ac:dyDescent="0.2">
      <c r="X1526" s="27"/>
      <c r="AB1526" s="30"/>
    </row>
    <row r="1527" spans="24:28" x14ac:dyDescent="0.2">
      <c r="X1527" s="27"/>
      <c r="AB1527" s="30"/>
    </row>
    <row r="1528" spans="24:28" x14ac:dyDescent="0.2">
      <c r="X1528" s="27"/>
      <c r="AB1528" s="30"/>
    </row>
    <row r="1529" spans="24:28" x14ac:dyDescent="0.2">
      <c r="X1529" s="27"/>
      <c r="AB1529" s="30"/>
    </row>
    <row r="1530" spans="24:28" x14ac:dyDescent="0.2">
      <c r="X1530" s="27"/>
      <c r="AB1530" s="30"/>
    </row>
    <row r="1531" spans="24:28" x14ac:dyDescent="0.2">
      <c r="X1531" s="27"/>
      <c r="AB1531" s="30"/>
    </row>
    <row r="1532" spans="24:28" x14ac:dyDescent="0.2">
      <c r="X1532" s="27"/>
      <c r="AB1532" s="30"/>
    </row>
    <row r="1533" spans="24:28" x14ac:dyDescent="0.2">
      <c r="X1533" s="27"/>
      <c r="AB1533" s="30"/>
    </row>
    <row r="1534" spans="24:28" x14ac:dyDescent="0.2">
      <c r="X1534" s="27"/>
      <c r="AB1534" s="30"/>
    </row>
    <row r="1535" spans="24:28" x14ac:dyDescent="0.2">
      <c r="X1535" s="27"/>
      <c r="AB1535" s="30"/>
    </row>
    <row r="1536" spans="24:28" x14ac:dyDescent="0.2">
      <c r="X1536" s="27"/>
      <c r="AB1536" s="30"/>
    </row>
    <row r="1537" spans="24:28" x14ac:dyDescent="0.2">
      <c r="X1537" s="27"/>
      <c r="AB1537" s="30"/>
    </row>
    <row r="1538" spans="24:28" x14ac:dyDescent="0.2">
      <c r="X1538" s="27"/>
      <c r="AB1538" s="30"/>
    </row>
    <row r="1539" spans="24:28" x14ac:dyDescent="0.2">
      <c r="X1539" s="27"/>
      <c r="AB1539" s="30"/>
    </row>
    <row r="1540" spans="24:28" x14ac:dyDescent="0.2">
      <c r="X1540" s="27"/>
      <c r="AB1540" s="30"/>
    </row>
    <row r="1541" spans="24:28" x14ac:dyDescent="0.2">
      <c r="X1541" s="27"/>
      <c r="AB1541" s="30"/>
    </row>
    <row r="1542" spans="24:28" x14ac:dyDescent="0.2">
      <c r="X1542" s="27"/>
      <c r="AB1542" s="30"/>
    </row>
    <row r="1543" spans="24:28" x14ac:dyDescent="0.2">
      <c r="X1543" s="27"/>
      <c r="AB1543" s="30"/>
    </row>
    <row r="1544" spans="24:28" x14ac:dyDescent="0.2">
      <c r="X1544" s="27"/>
      <c r="AB1544" s="30"/>
    </row>
    <row r="1545" spans="24:28" x14ac:dyDescent="0.2">
      <c r="X1545" s="27"/>
      <c r="AB1545" s="30"/>
    </row>
    <row r="1546" spans="24:28" x14ac:dyDescent="0.2">
      <c r="X1546" s="27"/>
      <c r="AB1546" s="30"/>
    </row>
    <row r="1547" spans="24:28" x14ac:dyDescent="0.2">
      <c r="X1547" s="27"/>
      <c r="AB1547" s="30"/>
    </row>
    <row r="1548" spans="24:28" x14ac:dyDescent="0.2">
      <c r="X1548" s="27"/>
      <c r="AB1548" s="30"/>
    </row>
    <row r="1549" spans="24:28" x14ac:dyDescent="0.2">
      <c r="X1549" s="27"/>
      <c r="AB1549" s="30"/>
    </row>
    <row r="1550" spans="24:28" x14ac:dyDescent="0.2">
      <c r="X1550" s="27"/>
      <c r="AB1550" s="30"/>
    </row>
    <row r="1551" spans="24:28" x14ac:dyDescent="0.2">
      <c r="X1551" s="27"/>
      <c r="AB1551" s="30"/>
    </row>
    <row r="1552" spans="24:28" x14ac:dyDescent="0.2">
      <c r="X1552" s="27"/>
      <c r="AB1552" s="30"/>
    </row>
    <row r="1553" spans="24:28" x14ac:dyDescent="0.2">
      <c r="X1553" s="27"/>
      <c r="AB1553" s="30"/>
    </row>
    <row r="1554" spans="24:28" x14ac:dyDescent="0.2">
      <c r="X1554" s="27"/>
      <c r="AB1554" s="30"/>
    </row>
    <row r="1555" spans="24:28" x14ac:dyDescent="0.2">
      <c r="X1555" s="27"/>
      <c r="AB1555" s="30"/>
    </row>
    <row r="1556" spans="24:28" x14ac:dyDescent="0.2">
      <c r="X1556" s="27"/>
      <c r="AB1556" s="30"/>
    </row>
    <row r="1557" spans="24:28" x14ac:dyDescent="0.2">
      <c r="X1557" s="27"/>
      <c r="AB1557" s="30"/>
    </row>
    <row r="1558" spans="24:28" x14ac:dyDescent="0.2">
      <c r="X1558" s="27"/>
      <c r="AB1558" s="30"/>
    </row>
    <row r="1559" spans="24:28" x14ac:dyDescent="0.2">
      <c r="X1559" s="27"/>
      <c r="AB1559" s="30"/>
    </row>
    <row r="1560" spans="24:28" x14ac:dyDescent="0.2">
      <c r="X1560" s="27"/>
      <c r="AB1560" s="30"/>
    </row>
    <row r="1561" spans="24:28" x14ac:dyDescent="0.2">
      <c r="X1561" s="27"/>
      <c r="AB1561" s="30"/>
    </row>
    <row r="1562" spans="24:28" x14ac:dyDescent="0.2">
      <c r="X1562" s="27"/>
      <c r="AB1562" s="30"/>
    </row>
    <row r="1563" spans="24:28" x14ac:dyDescent="0.2">
      <c r="X1563" s="27"/>
      <c r="AB1563" s="30"/>
    </row>
    <row r="1564" spans="24:28" x14ac:dyDescent="0.2">
      <c r="X1564" s="27"/>
      <c r="AB1564" s="30"/>
    </row>
    <row r="1565" spans="24:28" x14ac:dyDescent="0.2">
      <c r="X1565" s="27"/>
      <c r="AB1565" s="30"/>
    </row>
    <row r="1566" spans="24:28" x14ac:dyDescent="0.2">
      <c r="X1566" s="27"/>
      <c r="AB1566" s="30"/>
    </row>
    <row r="1567" spans="24:28" x14ac:dyDescent="0.2">
      <c r="X1567" s="27"/>
      <c r="AB1567" s="30"/>
    </row>
    <row r="1568" spans="24:28" x14ac:dyDescent="0.2">
      <c r="X1568" s="27"/>
      <c r="AB1568" s="30"/>
    </row>
    <row r="1569" spans="24:28" x14ac:dyDescent="0.2">
      <c r="X1569" s="27"/>
      <c r="AB1569" s="30"/>
    </row>
    <row r="1570" spans="24:28" x14ac:dyDescent="0.2">
      <c r="X1570" s="27"/>
      <c r="AB1570" s="30"/>
    </row>
    <row r="1571" spans="24:28" x14ac:dyDescent="0.2">
      <c r="X1571" s="27"/>
      <c r="AB1571" s="30"/>
    </row>
    <row r="1572" spans="24:28" x14ac:dyDescent="0.2">
      <c r="X1572" s="27"/>
      <c r="AB1572" s="30"/>
    </row>
    <row r="1573" spans="24:28" x14ac:dyDescent="0.2">
      <c r="X1573" s="27"/>
      <c r="AB1573" s="30"/>
    </row>
    <row r="1574" spans="24:28" x14ac:dyDescent="0.2">
      <c r="X1574" s="27"/>
      <c r="AB1574" s="30"/>
    </row>
    <row r="1575" spans="24:28" x14ac:dyDescent="0.2">
      <c r="X1575" s="27"/>
      <c r="AB1575" s="30"/>
    </row>
    <row r="1576" spans="24:28" x14ac:dyDescent="0.2">
      <c r="X1576" s="27"/>
      <c r="AB1576" s="30"/>
    </row>
    <row r="1577" spans="24:28" x14ac:dyDescent="0.2">
      <c r="X1577" s="27"/>
      <c r="AB1577" s="30"/>
    </row>
    <row r="1578" spans="24:28" x14ac:dyDescent="0.2">
      <c r="X1578" s="27"/>
      <c r="AB1578" s="30"/>
    </row>
    <row r="1579" spans="24:28" x14ac:dyDescent="0.2">
      <c r="X1579" s="27"/>
      <c r="AB1579" s="30"/>
    </row>
    <row r="1580" spans="24:28" x14ac:dyDescent="0.2">
      <c r="X1580" s="27"/>
      <c r="AB1580" s="30"/>
    </row>
    <row r="1581" spans="24:28" x14ac:dyDescent="0.2">
      <c r="X1581" s="27"/>
      <c r="AB1581" s="30"/>
    </row>
    <row r="1582" spans="24:28" x14ac:dyDescent="0.2">
      <c r="X1582" s="27"/>
      <c r="AB1582" s="30"/>
    </row>
    <row r="1583" spans="24:28" x14ac:dyDescent="0.2">
      <c r="X1583" s="27"/>
      <c r="AB1583" s="30"/>
    </row>
    <row r="1584" spans="24:28" x14ac:dyDescent="0.2">
      <c r="X1584" s="27"/>
      <c r="AB1584" s="30"/>
    </row>
    <row r="1585" spans="24:28" x14ac:dyDescent="0.2">
      <c r="X1585" s="27"/>
      <c r="AB1585" s="30"/>
    </row>
    <row r="1586" spans="24:28" x14ac:dyDescent="0.2">
      <c r="X1586" s="27"/>
      <c r="AB1586" s="30"/>
    </row>
    <row r="1587" spans="24:28" x14ac:dyDescent="0.2">
      <c r="X1587" s="27"/>
      <c r="AB1587" s="30"/>
    </row>
    <row r="1588" spans="24:28" x14ac:dyDescent="0.2">
      <c r="X1588" s="27"/>
      <c r="AB1588" s="30"/>
    </row>
    <row r="1589" spans="24:28" x14ac:dyDescent="0.2">
      <c r="X1589" s="27"/>
      <c r="AB1589" s="30"/>
    </row>
    <row r="1590" spans="24:28" x14ac:dyDescent="0.2">
      <c r="X1590" s="27"/>
      <c r="AB1590" s="30"/>
    </row>
    <row r="1591" spans="24:28" x14ac:dyDescent="0.2">
      <c r="X1591" s="27"/>
      <c r="AB1591" s="30"/>
    </row>
    <row r="1592" spans="24:28" x14ac:dyDescent="0.2">
      <c r="X1592" s="27"/>
      <c r="AB1592" s="30"/>
    </row>
    <row r="1593" spans="24:28" x14ac:dyDescent="0.2">
      <c r="X1593" s="27"/>
      <c r="AB1593" s="30"/>
    </row>
    <row r="1594" spans="24:28" x14ac:dyDescent="0.2">
      <c r="X1594" s="27"/>
      <c r="AB1594" s="30"/>
    </row>
    <row r="1595" spans="24:28" x14ac:dyDescent="0.2">
      <c r="X1595" s="27"/>
      <c r="AB1595" s="30"/>
    </row>
    <row r="1596" spans="24:28" x14ac:dyDescent="0.2">
      <c r="X1596" s="27"/>
      <c r="AB1596" s="30"/>
    </row>
    <row r="1597" spans="24:28" x14ac:dyDescent="0.2">
      <c r="X1597" s="27"/>
      <c r="AB1597" s="30"/>
    </row>
    <row r="1598" spans="24:28" x14ac:dyDescent="0.2">
      <c r="X1598" s="27"/>
      <c r="AB1598" s="30"/>
    </row>
    <row r="1599" spans="24:28" x14ac:dyDescent="0.2">
      <c r="X1599" s="27"/>
      <c r="AB1599" s="30"/>
    </row>
    <row r="1600" spans="24:28" x14ac:dyDescent="0.2">
      <c r="X1600" s="27"/>
      <c r="AB1600" s="30"/>
    </row>
    <row r="1601" spans="24:28" x14ac:dyDescent="0.2">
      <c r="X1601" s="27"/>
      <c r="AB1601" s="30"/>
    </row>
    <row r="1602" spans="24:28" x14ac:dyDescent="0.2">
      <c r="X1602" s="27"/>
      <c r="AB1602" s="30"/>
    </row>
    <row r="1603" spans="24:28" x14ac:dyDescent="0.2">
      <c r="X1603" s="27"/>
      <c r="AB1603" s="30"/>
    </row>
    <row r="1604" spans="24:28" x14ac:dyDescent="0.2">
      <c r="X1604" s="27"/>
      <c r="AB1604" s="30"/>
    </row>
    <row r="1605" spans="24:28" x14ac:dyDescent="0.2">
      <c r="X1605" s="27"/>
      <c r="AB1605" s="30"/>
    </row>
    <row r="1606" spans="24:28" x14ac:dyDescent="0.2">
      <c r="X1606" s="27"/>
      <c r="AB1606" s="30"/>
    </row>
    <row r="1607" spans="24:28" x14ac:dyDescent="0.2">
      <c r="X1607" s="27"/>
      <c r="AB1607" s="30"/>
    </row>
    <row r="1608" spans="24:28" x14ac:dyDescent="0.2">
      <c r="X1608" s="27"/>
      <c r="AB1608" s="30"/>
    </row>
    <row r="1609" spans="24:28" x14ac:dyDescent="0.2">
      <c r="X1609" s="27"/>
      <c r="AB1609" s="30"/>
    </row>
    <row r="1610" spans="24:28" x14ac:dyDescent="0.2">
      <c r="X1610" s="27"/>
      <c r="AB1610" s="30"/>
    </row>
    <row r="1611" spans="24:28" x14ac:dyDescent="0.2">
      <c r="X1611" s="27"/>
      <c r="AB1611" s="30"/>
    </row>
    <row r="1612" spans="24:28" x14ac:dyDescent="0.2">
      <c r="X1612" s="27"/>
      <c r="AB1612" s="30"/>
    </row>
    <row r="1613" spans="24:28" x14ac:dyDescent="0.2">
      <c r="X1613" s="27"/>
      <c r="AB1613" s="30"/>
    </row>
    <row r="1614" spans="24:28" x14ac:dyDescent="0.2">
      <c r="X1614" s="27"/>
      <c r="AB1614" s="30"/>
    </row>
    <row r="1615" spans="24:28" x14ac:dyDescent="0.2">
      <c r="X1615" s="27"/>
      <c r="AB1615" s="30"/>
    </row>
    <row r="1616" spans="24:28" x14ac:dyDescent="0.2">
      <c r="X1616" s="27"/>
      <c r="AB1616" s="30"/>
    </row>
    <row r="1617" spans="24:28" x14ac:dyDescent="0.2">
      <c r="X1617" s="27"/>
      <c r="AB1617" s="30"/>
    </row>
    <row r="1618" spans="24:28" x14ac:dyDescent="0.2">
      <c r="X1618" s="27"/>
      <c r="AB1618" s="30"/>
    </row>
    <row r="1619" spans="24:28" x14ac:dyDescent="0.2">
      <c r="X1619" s="27"/>
      <c r="AB1619" s="30"/>
    </row>
    <row r="1620" spans="24:28" x14ac:dyDescent="0.2">
      <c r="X1620" s="27"/>
      <c r="AB1620" s="30"/>
    </row>
    <row r="1621" spans="24:28" x14ac:dyDescent="0.2">
      <c r="X1621" s="27"/>
      <c r="AB1621" s="30"/>
    </row>
    <row r="1622" spans="24:28" x14ac:dyDescent="0.2">
      <c r="X1622" s="27"/>
      <c r="AB1622" s="30"/>
    </row>
    <row r="1623" spans="24:28" x14ac:dyDescent="0.2">
      <c r="X1623" s="27"/>
      <c r="AB1623" s="30"/>
    </row>
    <row r="1624" spans="24:28" x14ac:dyDescent="0.2">
      <c r="X1624" s="27"/>
      <c r="AB1624" s="30"/>
    </row>
    <row r="1625" spans="24:28" x14ac:dyDescent="0.2">
      <c r="X1625" s="27"/>
      <c r="AB1625" s="30"/>
    </row>
    <row r="1626" spans="24:28" x14ac:dyDescent="0.2">
      <c r="X1626" s="27"/>
      <c r="AB1626" s="30"/>
    </row>
    <row r="1627" spans="24:28" x14ac:dyDescent="0.2">
      <c r="X1627" s="27"/>
      <c r="AB1627" s="30"/>
    </row>
    <row r="1628" spans="24:28" x14ac:dyDescent="0.2">
      <c r="X1628" s="27"/>
      <c r="AB1628" s="30"/>
    </row>
    <row r="1629" spans="24:28" x14ac:dyDescent="0.2">
      <c r="X1629" s="27"/>
      <c r="AB1629" s="30"/>
    </row>
    <row r="1630" spans="24:28" x14ac:dyDescent="0.2">
      <c r="X1630" s="27"/>
      <c r="AB1630" s="30"/>
    </row>
    <row r="1631" spans="24:28" x14ac:dyDescent="0.2">
      <c r="X1631" s="27"/>
      <c r="AB1631" s="30"/>
    </row>
    <row r="1632" spans="24:28" x14ac:dyDescent="0.2">
      <c r="X1632" s="27"/>
      <c r="AB1632" s="30"/>
    </row>
    <row r="1633" spans="24:28" x14ac:dyDescent="0.2">
      <c r="X1633" s="27"/>
      <c r="AB1633" s="30"/>
    </row>
    <row r="1634" spans="24:28" x14ac:dyDescent="0.2">
      <c r="X1634" s="27"/>
      <c r="AB1634" s="30"/>
    </row>
    <row r="1635" spans="24:28" x14ac:dyDescent="0.2">
      <c r="X1635" s="27"/>
      <c r="AB1635" s="30"/>
    </row>
    <row r="1636" spans="24:28" x14ac:dyDescent="0.2">
      <c r="X1636" s="27"/>
      <c r="AB1636" s="30"/>
    </row>
    <row r="1637" spans="24:28" x14ac:dyDescent="0.2">
      <c r="X1637" s="27"/>
      <c r="AB1637" s="30"/>
    </row>
    <row r="1638" spans="24:28" x14ac:dyDescent="0.2">
      <c r="X1638" s="27"/>
      <c r="AB1638" s="30"/>
    </row>
    <row r="1639" spans="24:28" x14ac:dyDescent="0.2">
      <c r="X1639" s="27"/>
      <c r="AB1639" s="30"/>
    </row>
    <row r="1640" spans="24:28" x14ac:dyDescent="0.2">
      <c r="X1640" s="27"/>
      <c r="AB1640" s="30"/>
    </row>
    <row r="1641" spans="24:28" x14ac:dyDescent="0.2">
      <c r="X1641" s="27"/>
      <c r="AB1641" s="30"/>
    </row>
    <row r="1642" spans="24:28" x14ac:dyDescent="0.2">
      <c r="X1642" s="27"/>
      <c r="AB1642" s="30"/>
    </row>
    <row r="1643" spans="24:28" x14ac:dyDescent="0.2">
      <c r="X1643" s="27"/>
      <c r="AB1643" s="30"/>
    </row>
    <row r="1644" spans="24:28" x14ac:dyDescent="0.2">
      <c r="X1644" s="27"/>
      <c r="AB1644" s="30"/>
    </row>
    <row r="1645" spans="24:28" x14ac:dyDescent="0.2">
      <c r="X1645" s="27"/>
      <c r="AB1645" s="30"/>
    </row>
    <row r="1646" spans="24:28" x14ac:dyDescent="0.2">
      <c r="X1646" s="27"/>
      <c r="AB1646" s="30"/>
    </row>
    <row r="1647" spans="24:28" x14ac:dyDescent="0.2">
      <c r="X1647" s="27"/>
      <c r="AB1647" s="30"/>
    </row>
    <row r="1648" spans="24:28" x14ac:dyDescent="0.2">
      <c r="X1648" s="27"/>
      <c r="AB1648" s="30"/>
    </row>
    <row r="1649" spans="24:28" x14ac:dyDescent="0.2">
      <c r="X1649" s="27"/>
      <c r="AB1649" s="30"/>
    </row>
    <row r="1650" spans="24:28" x14ac:dyDescent="0.2">
      <c r="X1650" s="27"/>
      <c r="AB1650" s="30"/>
    </row>
    <row r="1651" spans="24:28" x14ac:dyDescent="0.2">
      <c r="X1651" s="27"/>
      <c r="AB1651" s="30"/>
    </row>
    <row r="1652" spans="24:28" x14ac:dyDescent="0.2">
      <c r="X1652" s="27"/>
      <c r="AB1652" s="30"/>
    </row>
    <row r="1653" spans="24:28" x14ac:dyDescent="0.2">
      <c r="X1653" s="27"/>
      <c r="AB1653" s="30"/>
    </row>
    <row r="1654" spans="24:28" x14ac:dyDescent="0.2">
      <c r="X1654" s="27"/>
      <c r="AB1654" s="30"/>
    </row>
    <row r="1655" spans="24:28" x14ac:dyDescent="0.2">
      <c r="X1655" s="27"/>
      <c r="AB1655" s="30"/>
    </row>
    <row r="1656" spans="24:28" x14ac:dyDescent="0.2">
      <c r="X1656" s="27"/>
      <c r="AB1656" s="30"/>
    </row>
    <row r="1657" spans="24:28" x14ac:dyDescent="0.2">
      <c r="X1657" s="27"/>
      <c r="AB1657" s="30"/>
    </row>
    <row r="1658" spans="24:28" x14ac:dyDescent="0.2">
      <c r="X1658" s="27"/>
      <c r="AB1658" s="30"/>
    </row>
    <row r="1659" spans="24:28" x14ac:dyDescent="0.2">
      <c r="X1659" s="27"/>
      <c r="AB1659" s="30"/>
    </row>
    <row r="1660" spans="24:28" x14ac:dyDescent="0.2">
      <c r="X1660" s="27"/>
      <c r="AB1660" s="30"/>
    </row>
    <row r="1661" spans="24:28" x14ac:dyDescent="0.2">
      <c r="X1661" s="27"/>
      <c r="AB1661" s="30"/>
    </row>
    <row r="1662" spans="24:28" x14ac:dyDescent="0.2">
      <c r="X1662" s="27"/>
      <c r="AB1662" s="30"/>
    </row>
    <row r="1663" spans="24:28" x14ac:dyDescent="0.2">
      <c r="X1663" s="27"/>
      <c r="AB1663" s="30"/>
    </row>
    <row r="1664" spans="24:28" x14ac:dyDescent="0.2">
      <c r="X1664" s="27"/>
      <c r="AB1664" s="30"/>
    </row>
    <row r="1665" spans="24:28" x14ac:dyDescent="0.2">
      <c r="X1665" s="27"/>
      <c r="AB1665" s="30"/>
    </row>
    <row r="1666" spans="24:28" x14ac:dyDescent="0.2">
      <c r="X1666" s="27"/>
      <c r="AB1666" s="30"/>
    </row>
    <row r="1667" spans="24:28" x14ac:dyDescent="0.2">
      <c r="X1667" s="27"/>
      <c r="AB1667" s="30"/>
    </row>
    <row r="1668" spans="24:28" x14ac:dyDescent="0.2">
      <c r="X1668" s="27"/>
      <c r="AB1668" s="30"/>
    </row>
    <row r="1669" spans="24:28" x14ac:dyDescent="0.2">
      <c r="X1669" s="27"/>
      <c r="AB1669" s="30"/>
    </row>
    <row r="1670" spans="24:28" x14ac:dyDescent="0.2">
      <c r="X1670" s="27"/>
      <c r="AB1670" s="30"/>
    </row>
    <row r="1671" spans="24:28" x14ac:dyDescent="0.2">
      <c r="X1671" s="27"/>
      <c r="AB1671" s="30"/>
    </row>
    <row r="1672" spans="24:28" x14ac:dyDescent="0.2">
      <c r="X1672" s="27"/>
      <c r="AB1672" s="30"/>
    </row>
    <row r="1673" spans="24:28" x14ac:dyDescent="0.2">
      <c r="X1673" s="27"/>
      <c r="AB1673" s="30"/>
    </row>
    <row r="1674" spans="24:28" x14ac:dyDescent="0.2">
      <c r="X1674" s="27"/>
      <c r="AB1674" s="30"/>
    </row>
    <row r="1675" spans="24:28" x14ac:dyDescent="0.2">
      <c r="X1675" s="27"/>
      <c r="AB1675" s="30"/>
    </row>
    <row r="1676" spans="24:28" x14ac:dyDescent="0.2">
      <c r="X1676" s="27"/>
      <c r="AB1676" s="30"/>
    </row>
    <row r="1677" spans="24:28" x14ac:dyDescent="0.2">
      <c r="X1677" s="27"/>
      <c r="AB1677" s="30"/>
    </row>
    <row r="1678" spans="24:28" x14ac:dyDescent="0.2">
      <c r="X1678" s="27"/>
      <c r="AB1678" s="30"/>
    </row>
    <row r="1679" spans="24:28" x14ac:dyDescent="0.2">
      <c r="X1679" s="27"/>
      <c r="AB1679" s="30"/>
    </row>
    <row r="1680" spans="24:28" x14ac:dyDescent="0.2">
      <c r="X1680" s="27"/>
      <c r="AB1680" s="30"/>
    </row>
    <row r="1681" spans="24:28" x14ac:dyDescent="0.2">
      <c r="X1681" s="27"/>
      <c r="AB1681" s="30"/>
    </row>
    <row r="1682" spans="24:28" x14ac:dyDescent="0.2">
      <c r="X1682" s="27"/>
      <c r="AB1682" s="30"/>
    </row>
    <row r="1683" spans="24:28" x14ac:dyDescent="0.2">
      <c r="X1683" s="27"/>
      <c r="AB1683" s="30"/>
    </row>
    <row r="1684" spans="24:28" x14ac:dyDescent="0.2">
      <c r="X1684" s="27"/>
      <c r="AB1684" s="30"/>
    </row>
    <row r="1685" spans="24:28" x14ac:dyDescent="0.2">
      <c r="X1685" s="27"/>
      <c r="AB1685" s="30"/>
    </row>
    <row r="1686" spans="24:28" x14ac:dyDescent="0.2">
      <c r="X1686" s="27"/>
      <c r="AB1686" s="30"/>
    </row>
    <row r="1687" spans="24:28" x14ac:dyDescent="0.2">
      <c r="X1687" s="27"/>
      <c r="AB1687" s="30"/>
    </row>
    <row r="1688" spans="24:28" x14ac:dyDescent="0.2">
      <c r="X1688" s="27"/>
      <c r="AB1688" s="30"/>
    </row>
    <row r="1689" spans="24:28" x14ac:dyDescent="0.2">
      <c r="X1689" s="27"/>
      <c r="AB1689" s="30"/>
    </row>
    <row r="1690" spans="24:28" x14ac:dyDescent="0.2">
      <c r="X1690" s="27"/>
      <c r="AB1690" s="30"/>
    </row>
    <row r="1691" spans="24:28" x14ac:dyDescent="0.2">
      <c r="X1691" s="27"/>
      <c r="AB1691" s="30"/>
    </row>
    <row r="1692" spans="24:28" x14ac:dyDescent="0.2">
      <c r="X1692" s="27"/>
      <c r="AB1692" s="30"/>
    </row>
    <row r="1693" spans="24:28" x14ac:dyDescent="0.2">
      <c r="X1693" s="27"/>
      <c r="AB1693" s="30"/>
    </row>
    <row r="1694" spans="24:28" x14ac:dyDescent="0.2">
      <c r="X1694" s="27"/>
      <c r="AB1694" s="30"/>
    </row>
    <row r="1695" spans="24:28" x14ac:dyDescent="0.2">
      <c r="X1695" s="27"/>
      <c r="AB1695" s="30"/>
    </row>
    <row r="1696" spans="24:28" x14ac:dyDescent="0.2">
      <c r="X1696" s="27"/>
      <c r="AB1696" s="30"/>
    </row>
    <row r="1697" spans="24:28" x14ac:dyDescent="0.2">
      <c r="X1697" s="27"/>
      <c r="AB1697" s="30"/>
    </row>
    <row r="1698" spans="24:28" x14ac:dyDescent="0.2">
      <c r="X1698" s="27"/>
      <c r="AB1698" s="30"/>
    </row>
    <row r="1699" spans="24:28" x14ac:dyDescent="0.2">
      <c r="X1699" s="27"/>
      <c r="AB1699" s="30"/>
    </row>
    <row r="1700" spans="24:28" x14ac:dyDescent="0.2">
      <c r="X1700" s="27"/>
      <c r="AB1700" s="30"/>
    </row>
    <row r="1701" spans="24:28" x14ac:dyDescent="0.2">
      <c r="X1701" s="27"/>
      <c r="AB1701" s="30"/>
    </row>
    <row r="1702" spans="24:28" x14ac:dyDescent="0.2">
      <c r="X1702" s="27"/>
      <c r="AB1702" s="30"/>
    </row>
    <row r="1703" spans="24:28" x14ac:dyDescent="0.2">
      <c r="X1703" s="27"/>
      <c r="AB1703" s="30"/>
    </row>
    <row r="1704" spans="24:28" x14ac:dyDescent="0.2">
      <c r="X1704" s="27"/>
      <c r="AB1704" s="30"/>
    </row>
    <row r="1705" spans="24:28" x14ac:dyDescent="0.2">
      <c r="X1705" s="27"/>
      <c r="AB1705" s="30"/>
    </row>
    <row r="1706" spans="24:28" x14ac:dyDescent="0.2">
      <c r="X1706" s="27"/>
      <c r="AB1706" s="30"/>
    </row>
    <row r="1707" spans="24:28" x14ac:dyDescent="0.2">
      <c r="X1707" s="27"/>
      <c r="AB1707" s="30"/>
    </row>
    <row r="1708" spans="24:28" x14ac:dyDescent="0.2">
      <c r="X1708" s="27"/>
      <c r="AB1708" s="30"/>
    </row>
    <row r="1709" spans="24:28" x14ac:dyDescent="0.2">
      <c r="X1709" s="27"/>
      <c r="AB1709" s="30"/>
    </row>
    <row r="1710" spans="24:28" x14ac:dyDescent="0.2">
      <c r="X1710" s="27"/>
      <c r="AB1710" s="30"/>
    </row>
    <row r="1711" spans="24:28" x14ac:dyDescent="0.2">
      <c r="X1711" s="27"/>
      <c r="AB1711" s="30"/>
    </row>
    <row r="1712" spans="24:28" x14ac:dyDescent="0.2">
      <c r="X1712" s="27"/>
      <c r="AB1712" s="30"/>
    </row>
    <row r="1713" spans="24:28" x14ac:dyDescent="0.2">
      <c r="X1713" s="27"/>
      <c r="AB1713" s="30"/>
    </row>
    <row r="1714" spans="24:28" x14ac:dyDescent="0.2">
      <c r="X1714" s="27"/>
      <c r="AB1714" s="30"/>
    </row>
    <row r="1715" spans="24:28" x14ac:dyDescent="0.2">
      <c r="X1715" s="27"/>
      <c r="AB1715" s="30"/>
    </row>
    <row r="1716" spans="24:28" x14ac:dyDescent="0.2">
      <c r="X1716" s="27"/>
      <c r="AB1716" s="30"/>
    </row>
    <row r="1717" spans="24:28" x14ac:dyDescent="0.2">
      <c r="X1717" s="27"/>
      <c r="AB1717" s="30"/>
    </row>
    <row r="1718" spans="24:28" x14ac:dyDescent="0.2">
      <c r="X1718" s="27"/>
      <c r="AB1718" s="30"/>
    </row>
    <row r="1719" spans="24:28" x14ac:dyDescent="0.2">
      <c r="X1719" s="27"/>
      <c r="AB1719" s="30"/>
    </row>
    <row r="1720" spans="24:28" x14ac:dyDescent="0.2">
      <c r="X1720" s="27"/>
      <c r="AB1720" s="30"/>
    </row>
    <row r="1721" spans="24:28" x14ac:dyDescent="0.2">
      <c r="X1721" s="27"/>
      <c r="AB1721" s="30"/>
    </row>
    <row r="1722" spans="24:28" x14ac:dyDescent="0.2">
      <c r="X1722" s="27"/>
      <c r="AB1722" s="30"/>
    </row>
    <row r="1723" spans="24:28" x14ac:dyDescent="0.2">
      <c r="X1723" s="27"/>
      <c r="AB1723" s="30"/>
    </row>
    <row r="1724" spans="24:28" x14ac:dyDescent="0.2">
      <c r="X1724" s="27"/>
      <c r="AB1724" s="30"/>
    </row>
    <row r="1725" spans="24:28" x14ac:dyDescent="0.2">
      <c r="X1725" s="27"/>
      <c r="AB1725" s="30"/>
    </row>
    <row r="1726" spans="24:28" x14ac:dyDescent="0.2">
      <c r="X1726" s="27"/>
      <c r="AB1726" s="30"/>
    </row>
    <row r="1727" spans="24:28" x14ac:dyDescent="0.2">
      <c r="X1727" s="27"/>
      <c r="AB1727" s="30"/>
    </row>
    <row r="1728" spans="24:28" x14ac:dyDescent="0.2">
      <c r="X1728" s="27"/>
      <c r="AB1728" s="30"/>
    </row>
    <row r="1729" spans="24:28" x14ac:dyDescent="0.2">
      <c r="X1729" s="27"/>
      <c r="AB1729" s="30"/>
    </row>
    <row r="1730" spans="24:28" x14ac:dyDescent="0.2">
      <c r="X1730" s="27"/>
      <c r="AB1730" s="30"/>
    </row>
    <row r="1731" spans="24:28" x14ac:dyDescent="0.2">
      <c r="X1731" s="27"/>
      <c r="AB1731" s="30"/>
    </row>
    <row r="1732" spans="24:28" x14ac:dyDescent="0.2">
      <c r="X1732" s="27"/>
      <c r="AB1732" s="30"/>
    </row>
    <row r="1733" spans="24:28" x14ac:dyDescent="0.2">
      <c r="X1733" s="27"/>
      <c r="AB1733" s="30"/>
    </row>
    <row r="1734" spans="24:28" x14ac:dyDescent="0.2">
      <c r="X1734" s="27"/>
      <c r="AB1734" s="30"/>
    </row>
    <row r="1735" spans="24:28" x14ac:dyDescent="0.2">
      <c r="X1735" s="27"/>
      <c r="AB1735" s="30"/>
    </row>
    <row r="1736" spans="24:28" x14ac:dyDescent="0.2">
      <c r="X1736" s="27"/>
      <c r="AB1736" s="30"/>
    </row>
    <row r="1737" spans="24:28" x14ac:dyDescent="0.2">
      <c r="X1737" s="27"/>
      <c r="AB1737" s="30"/>
    </row>
    <row r="1738" spans="24:28" x14ac:dyDescent="0.2">
      <c r="X1738" s="27"/>
      <c r="AB1738" s="30"/>
    </row>
    <row r="1739" spans="24:28" x14ac:dyDescent="0.2">
      <c r="X1739" s="27"/>
      <c r="AB1739" s="30"/>
    </row>
    <row r="1740" spans="24:28" x14ac:dyDescent="0.2">
      <c r="X1740" s="27"/>
      <c r="AB1740" s="30"/>
    </row>
    <row r="1741" spans="24:28" x14ac:dyDescent="0.2">
      <c r="X1741" s="27"/>
      <c r="AB1741" s="30"/>
    </row>
    <row r="1742" spans="24:28" x14ac:dyDescent="0.2">
      <c r="X1742" s="27"/>
      <c r="AB1742" s="30"/>
    </row>
    <row r="1743" spans="24:28" x14ac:dyDescent="0.2">
      <c r="X1743" s="27"/>
      <c r="AB1743" s="30"/>
    </row>
    <row r="1744" spans="24:28" x14ac:dyDescent="0.2">
      <c r="X1744" s="27"/>
      <c r="AB1744" s="30"/>
    </row>
    <row r="1745" spans="24:28" x14ac:dyDescent="0.2">
      <c r="X1745" s="27"/>
      <c r="AB1745" s="30"/>
    </row>
    <row r="1746" spans="24:28" x14ac:dyDescent="0.2">
      <c r="X1746" s="27"/>
      <c r="AB1746" s="30"/>
    </row>
    <row r="1747" spans="24:28" x14ac:dyDescent="0.2">
      <c r="X1747" s="27"/>
      <c r="AB1747" s="30"/>
    </row>
    <row r="1748" spans="24:28" x14ac:dyDescent="0.2">
      <c r="X1748" s="27"/>
      <c r="AB1748" s="30"/>
    </row>
    <row r="1749" spans="24:28" x14ac:dyDescent="0.2">
      <c r="X1749" s="27"/>
      <c r="AB1749" s="30"/>
    </row>
    <row r="1750" spans="24:28" x14ac:dyDescent="0.2">
      <c r="X1750" s="27"/>
      <c r="AB1750" s="30"/>
    </row>
    <row r="1751" spans="24:28" x14ac:dyDescent="0.2">
      <c r="X1751" s="27"/>
      <c r="AB1751" s="30"/>
    </row>
    <row r="1752" spans="24:28" x14ac:dyDescent="0.2">
      <c r="X1752" s="27"/>
      <c r="AB1752" s="30"/>
    </row>
    <row r="1753" spans="24:28" x14ac:dyDescent="0.2">
      <c r="X1753" s="27"/>
      <c r="AB1753" s="30"/>
    </row>
    <row r="1754" spans="24:28" x14ac:dyDescent="0.2">
      <c r="X1754" s="27"/>
      <c r="AB1754" s="30"/>
    </row>
    <row r="1755" spans="24:28" x14ac:dyDescent="0.2">
      <c r="X1755" s="27"/>
      <c r="AB1755" s="30"/>
    </row>
    <row r="1756" spans="24:28" x14ac:dyDescent="0.2">
      <c r="X1756" s="27"/>
      <c r="AB1756" s="30"/>
    </row>
    <row r="1757" spans="24:28" x14ac:dyDescent="0.2">
      <c r="X1757" s="27"/>
      <c r="AB1757" s="30"/>
    </row>
    <row r="1758" spans="24:28" x14ac:dyDescent="0.2">
      <c r="X1758" s="27"/>
      <c r="AB1758" s="30"/>
    </row>
    <row r="1759" spans="24:28" x14ac:dyDescent="0.2">
      <c r="X1759" s="27"/>
      <c r="AB1759" s="30"/>
    </row>
    <row r="1760" spans="24:28" x14ac:dyDescent="0.2">
      <c r="X1760" s="27"/>
      <c r="AB1760" s="30"/>
    </row>
    <row r="1761" spans="24:28" x14ac:dyDescent="0.2">
      <c r="X1761" s="27"/>
      <c r="AB1761" s="30"/>
    </row>
    <row r="1762" spans="24:28" x14ac:dyDescent="0.2">
      <c r="X1762" s="27"/>
      <c r="AB1762" s="30"/>
    </row>
    <row r="1763" spans="24:28" x14ac:dyDescent="0.2">
      <c r="X1763" s="27"/>
      <c r="AB1763" s="30"/>
    </row>
    <row r="1764" spans="24:28" x14ac:dyDescent="0.2">
      <c r="X1764" s="27"/>
      <c r="AB1764" s="30"/>
    </row>
    <row r="1765" spans="24:28" x14ac:dyDescent="0.2">
      <c r="X1765" s="27"/>
      <c r="AB1765" s="30"/>
    </row>
    <row r="1766" spans="24:28" x14ac:dyDescent="0.2">
      <c r="X1766" s="27"/>
      <c r="AB1766" s="30"/>
    </row>
    <row r="1767" spans="24:28" x14ac:dyDescent="0.2">
      <c r="X1767" s="27"/>
      <c r="AB1767" s="30"/>
    </row>
    <row r="1768" spans="24:28" x14ac:dyDescent="0.2">
      <c r="X1768" s="27"/>
      <c r="AB1768" s="30"/>
    </row>
    <row r="1769" spans="24:28" x14ac:dyDescent="0.2">
      <c r="X1769" s="27"/>
      <c r="AB1769" s="30"/>
    </row>
    <row r="1770" spans="24:28" x14ac:dyDescent="0.2">
      <c r="X1770" s="27"/>
      <c r="AB1770" s="30"/>
    </row>
    <row r="1771" spans="24:28" x14ac:dyDescent="0.2">
      <c r="X1771" s="27"/>
      <c r="AB1771" s="30"/>
    </row>
    <row r="1772" spans="24:28" x14ac:dyDescent="0.2">
      <c r="X1772" s="27"/>
      <c r="AB1772" s="30"/>
    </row>
    <row r="1773" spans="24:28" x14ac:dyDescent="0.2">
      <c r="X1773" s="27"/>
      <c r="AB1773" s="30"/>
    </row>
    <row r="1774" spans="24:28" x14ac:dyDescent="0.2">
      <c r="X1774" s="27"/>
      <c r="AB1774" s="30"/>
    </row>
    <row r="1775" spans="24:28" x14ac:dyDescent="0.2">
      <c r="X1775" s="27"/>
      <c r="AB1775" s="30"/>
    </row>
    <row r="1776" spans="24:28" x14ac:dyDescent="0.2">
      <c r="X1776" s="27"/>
      <c r="AB1776" s="30"/>
    </row>
    <row r="1777" spans="24:28" x14ac:dyDescent="0.2">
      <c r="X1777" s="27"/>
      <c r="AB1777" s="30"/>
    </row>
    <row r="1778" spans="24:28" x14ac:dyDescent="0.2">
      <c r="X1778" s="27"/>
      <c r="AB1778" s="30"/>
    </row>
    <row r="1779" spans="24:28" x14ac:dyDescent="0.2">
      <c r="X1779" s="27"/>
      <c r="AB1779" s="30"/>
    </row>
    <row r="1780" spans="24:28" x14ac:dyDescent="0.2">
      <c r="X1780" s="27"/>
      <c r="AB1780" s="30"/>
    </row>
    <row r="1781" spans="24:28" x14ac:dyDescent="0.2">
      <c r="X1781" s="27"/>
      <c r="AB1781" s="30"/>
    </row>
    <row r="1782" spans="24:28" x14ac:dyDescent="0.2">
      <c r="X1782" s="27"/>
      <c r="AB1782" s="30"/>
    </row>
    <row r="1783" spans="24:28" x14ac:dyDescent="0.2">
      <c r="X1783" s="27"/>
      <c r="AB1783" s="30"/>
    </row>
    <row r="1784" spans="24:28" x14ac:dyDescent="0.2">
      <c r="X1784" s="27"/>
      <c r="AB1784" s="30"/>
    </row>
    <row r="1785" spans="24:28" x14ac:dyDescent="0.2">
      <c r="X1785" s="27"/>
      <c r="AB1785" s="30"/>
    </row>
    <row r="1786" spans="24:28" x14ac:dyDescent="0.2">
      <c r="X1786" s="27"/>
      <c r="AB1786" s="30"/>
    </row>
    <row r="1787" spans="24:28" x14ac:dyDescent="0.2">
      <c r="X1787" s="27"/>
      <c r="AB1787" s="30"/>
    </row>
    <row r="1788" spans="24:28" x14ac:dyDescent="0.2">
      <c r="X1788" s="27"/>
      <c r="AB1788" s="30"/>
    </row>
    <row r="1789" spans="24:28" x14ac:dyDescent="0.2">
      <c r="X1789" s="27"/>
      <c r="AB1789" s="30"/>
    </row>
    <row r="1790" spans="24:28" x14ac:dyDescent="0.2">
      <c r="X1790" s="27"/>
      <c r="AB1790" s="30"/>
    </row>
    <row r="1791" spans="24:28" x14ac:dyDescent="0.2">
      <c r="X1791" s="27"/>
      <c r="AB1791" s="30"/>
    </row>
    <row r="1792" spans="24:28" x14ac:dyDescent="0.2">
      <c r="X1792" s="27"/>
      <c r="AB1792" s="30"/>
    </row>
    <row r="1793" spans="24:28" x14ac:dyDescent="0.2">
      <c r="X1793" s="27"/>
      <c r="AB1793" s="30"/>
    </row>
    <row r="1794" spans="24:28" x14ac:dyDescent="0.2">
      <c r="X1794" s="27"/>
      <c r="AB1794" s="30"/>
    </row>
    <row r="1795" spans="24:28" x14ac:dyDescent="0.2">
      <c r="X1795" s="27"/>
      <c r="AB1795" s="30"/>
    </row>
    <row r="1796" spans="24:28" x14ac:dyDescent="0.2">
      <c r="X1796" s="27"/>
      <c r="AB1796" s="30"/>
    </row>
    <row r="1797" spans="24:28" x14ac:dyDescent="0.2">
      <c r="X1797" s="27"/>
      <c r="AB1797" s="30"/>
    </row>
    <row r="1798" spans="24:28" x14ac:dyDescent="0.2">
      <c r="X1798" s="27"/>
      <c r="AB1798" s="30"/>
    </row>
    <row r="1799" spans="24:28" x14ac:dyDescent="0.2">
      <c r="X1799" s="27"/>
      <c r="AB1799" s="30"/>
    </row>
    <row r="1800" spans="24:28" x14ac:dyDescent="0.2">
      <c r="X1800" s="27"/>
      <c r="AB1800" s="30"/>
    </row>
    <row r="1801" spans="24:28" x14ac:dyDescent="0.2">
      <c r="X1801" s="27"/>
      <c r="AB1801" s="30"/>
    </row>
    <row r="1802" spans="24:28" x14ac:dyDescent="0.2">
      <c r="X1802" s="27"/>
      <c r="AB1802" s="30"/>
    </row>
    <row r="1803" spans="24:28" x14ac:dyDescent="0.2">
      <c r="X1803" s="27"/>
      <c r="AB1803" s="30"/>
    </row>
    <row r="1804" spans="24:28" x14ac:dyDescent="0.2">
      <c r="X1804" s="27"/>
      <c r="AB1804" s="30"/>
    </row>
    <row r="1805" spans="24:28" x14ac:dyDescent="0.2">
      <c r="X1805" s="27"/>
      <c r="AB1805" s="30"/>
    </row>
    <row r="1806" spans="24:28" x14ac:dyDescent="0.2">
      <c r="X1806" s="27"/>
      <c r="AB1806" s="30"/>
    </row>
    <row r="1807" spans="24:28" x14ac:dyDescent="0.2">
      <c r="X1807" s="27"/>
      <c r="AB1807" s="30"/>
    </row>
    <row r="1808" spans="24:28" x14ac:dyDescent="0.2">
      <c r="X1808" s="27"/>
      <c r="AB1808" s="30"/>
    </row>
    <row r="1809" spans="24:28" x14ac:dyDescent="0.2">
      <c r="X1809" s="27"/>
      <c r="AB1809" s="30"/>
    </row>
    <row r="1810" spans="24:28" x14ac:dyDescent="0.2">
      <c r="X1810" s="27"/>
      <c r="AB1810" s="30"/>
    </row>
    <row r="1811" spans="24:28" x14ac:dyDescent="0.2">
      <c r="X1811" s="27"/>
      <c r="AB1811" s="30"/>
    </row>
    <row r="1812" spans="24:28" x14ac:dyDescent="0.2">
      <c r="X1812" s="27"/>
      <c r="AB1812" s="30"/>
    </row>
    <row r="1813" spans="24:28" x14ac:dyDescent="0.2">
      <c r="X1813" s="27"/>
      <c r="AB1813" s="30"/>
    </row>
    <row r="1814" spans="24:28" x14ac:dyDescent="0.2">
      <c r="X1814" s="27"/>
      <c r="AB1814" s="30"/>
    </row>
    <row r="1815" spans="24:28" x14ac:dyDescent="0.2">
      <c r="X1815" s="27"/>
      <c r="AB1815" s="30"/>
    </row>
    <row r="1816" spans="24:28" x14ac:dyDescent="0.2">
      <c r="X1816" s="27"/>
      <c r="AB1816" s="30"/>
    </row>
    <row r="1817" spans="24:28" x14ac:dyDescent="0.2">
      <c r="X1817" s="27"/>
      <c r="AB1817" s="30"/>
    </row>
    <row r="1818" spans="24:28" x14ac:dyDescent="0.2">
      <c r="X1818" s="27"/>
      <c r="AB1818" s="30"/>
    </row>
    <row r="1819" spans="24:28" x14ac:dyDescent="0.2">
      <c r="X1819" s="27"/>
      <c r="AB1819" s="30"/>
    </row>
    <row r="1820" spans="24:28" x14ac:dyDescent="0.2">
      <c r="X1820" s="27"/>
      <c r="AB1820" s="30"/>
    </row>
    <row r="1821" spans="24:28" x14ac:dyDescent="0.2">
      <c r="X1821" s="27"/>
      <c r="AB1821" s="30"/>
    </row>
    <row r="1822" spans="24:28" x14ac:dyDescent="0.2">
      <c r="X1822" s="27"/>
      <c r="AB1822" s="30"/>
    </row>
    <row r="1823" spans="24:28" x14ac:dyDescent="0.2">
      <c r="X1823" s="27"/>
      <c r="AB1823" s="30"/>
    </row>
    <row r="1824" spans="24:28" x14ac:dyDescent="0.2">
      <c r="X1824" s="27"/>
      <c r="AB1824" s="30"/>
    </row>
    <row r="1825" spans="24:28" x14ac:dyDescent="0.2">
      <c r="X1825" s="27"/>
      <c r="AB1825" s="30"/>
    </row>
    <row r="1826" spans="24:28" x14ac:dyDescent="0.2">
      <c r="X1826" s="27"/>
      <c r="AB1826" s="30"/>
    </row>
    <row r="1827" spans="24:28" x14ac:dyDescent="0.2">
      <c r="X1827" s="27"/>
      <c r="AB1827" s="30"/>
    </row>
    <row r="1828" spans="24:28" x14ac:dyDescent="0.2">
      <c r="X1828" s="27"/>
      <c r="AB1828" s="30"/>
    </row>
    <row r="1829" spans="24:28" x14ac:dyDescent="0.2">
      <c r="X1829" s="27"/>
      <c r="AB1829" s="30"/>
    </row>
    <row r="1830" spans="24:28" x14ac:dyDescent="0.2">
      <c r="X1830" s="27"/>
      <c r="AB1830" s="30"/>
    </row>
    <row r="1831" spans="24:28" x14ac:dyDescent="0.2">
      <c r="X1831" s="27"/>
      <c r="AB1831" s="30"/>
    </row>
    <row r="1832" spans="24:28" x14ac:dyDescent="0.2">
      <c r="X1832" s="27"/>
      <c r="AB1832" s="30"/>
    </row>
    <row r="1833" spans="24:28" x14ac:dyDescent="0.2">
      <c r="X1833" s="27"/>
      <c r="AB1833" s="30"/>
    </row>
    <row r="1834" spans="24:28" x14ac:dyDescent="0.2">
      <c r="X1834" s="27"/>
      <c r="AB1834" s="30"/>
    </row>
    <row r="1835" spans="24:28" x14ac:dyDescent="0.2">
      <c r="X1835" s="27"/>
      <c r="AB1835" s="30"/>
    </row>
    <row r="1836" spans="24:28" x14ac:dyDescent="0.2">
      <c r="X1836" s="27"/>
      <c r="AB1836" s="30"/>
    </row>
    <row r="1837" spans="24:28" x14ac:dyDescent="0.2">
      <c r="X1837" s="27"/>
      <c r="AB1837" s="30"/>
    </row>
    <row r="1838" spans="24:28" x14ac:dyDescent="0.2">
      <c r="X1838" s="27"/>
      <c r="AB1838" s="30"/>
    </row>
    <row r="1839" spans="24:28" x14ac:dyDescent="0.2">
      <c r="X1839" s="27"/>
      <c r="AB1839" s="30"/>
    </row>
    <row r="1840" spans="24:28" x14ac:dyDescent="0.2">
      <c r="X1840" s="27"/>
      <c r="AB1840" s="30"/>
    </row>
    <row r="1841" spans="24:28" x14ac:dyDescent="0.2">
      <c r="X1841" s="27"/>
      <c r="AB1841" s="30"/>
    </row>
    <row r="1842" spans="24:28" x14ac:dyDescent="0.2">
      <c r="X1842" s="27"/>
      <c r="AB1842" s="30"/>
    </row>
    <row r="1843" spans="24:28" x14ac:dyDescent="0.2">
      <c r="X1843" s="27"/>
      <c r="AB1843" s="30"/>
    </row>
    <row r="1844" spans="24:28" x14ac:dyDescent="0.2">
      <c r="X1844" s="27"/>
      <c r="AB1844" s="30"/>
    </row>
    <row r="1845" spans="24:28" x14ac:dyDescent="0.2">
      <c r="X1845" s="27"/>
      <c r="AB1845" s="30"/>
    </row>
    <row r="1846" spans="24:28" x14ac:dyDescent="0.2">
      <c r="X1846" s="27"/>
      <c r="AB1846" s="30"/>
    </row>
    <row r="1847" spans="24:28" x14ac:dyDescent="0.2">
      <c r="X1847" s="27"/>
      <c r="AB1847" s="30"/>
    </row>
    <row r="1848" spans="24:28" x14ac:dyDescent="0.2">
      <c r="X1848" s="27"/>
      <c r="AB1848" s="30"/>
    </row>
    <row r="1849" spans="24:28" x14ac:dyDescent="0.2">
      <c r="X1849" s="27"/>
      <c r="AB1849" s="30"/>
    </row>
    <row r="1850" spans="24:28" x14ac:dyDescent="0.2">
      <c r="X1850" s="27"/>
      <c r="AB1850" s="30"/>
    </row>
    <row r="1851" spans="24:28" x14ac:dyDescent="0.2">
      <c r="X1851" s="27"/>
      <c r="AB1851" s="30"/>
    </row>
    <row r="1852" spans="24:28" x14ac:dyDescent="0.2">
      <c r="X1852" s="27"/>
      <c r="AB1852" s="30"/>
    </row>
    <row r="1853" spans="24:28" x14ac:dyDescent="0.2">
      <c r="X1853" s="27"/>
      <c r="AB1853" s="30"/>
    </row>
    <row r="1854" spans="24:28" x14ac:dyDescent="0.2">
      <c r="X1854" s="27"/>
      <c r="AB1854" s="30"/>
    </row>
    <row r="1855" spans="24:28" x14ac:dyDescent="0.2">
      <c r="X1855" s="27"/>
      <c r="AB1855" s="30"/>
    </row>
    <row r="1856" spans="24:28" x14ac:dyDescent="0.2">
      <c r="X1856" s="27"/>
      <c r="AB1856" s="30"/>
    </row>
    <row r="1857" spans="24:28" x14ac:dyDescent="0.2">
      <c r="X1857" s="27"/>
      <c r="AB1857" s="30"/>
    </row>
    <row r="1858" spans="24:28" x14ac:dyDescent="0.2">
      <c r="X1858" s="27"/>
      <c r="AB1858" s="30"/>
    </row>
    <row r="1859" spans="24:28" x14ac:dyDescent="0.2">
      <c r="X1859" s="27"/>
      <c r="AB1859" s="30"/>
    </row>
    <row r="1860" spans="24:28" x14ac:dyDescent="0.2">
      <c r="X1860" s="27"/>
      <c r="AB1860" s="30"/>
    </row>
    <row r="1861" spans="24:28" x14ac:dyDescent="0.2">
      <c r="X1861" s="27"/>
      <c r="AB1861" s="30"/>
    </row>
    <row r="1862" spans="24:28" x14ac:dyDescent="0.2">
      <c r="X1862" s="27"/>
      <c r="AB1862" s="30"/>
    </row>
    <row r="1863" spans="24:28" x14ac:dyDescent="0.2">
      <c r="X1863" s="27"/>
      <c r="AB1863" s="30"/>
    </row>
    <row r="1864" spans="24:28" x14ac:dyDescent="0.2">
      <c r="X1864" s="27"/>
      <c r="AB1864" s="30"/>
    </row>
    <row r="1865" spans="24:28" x14ac:dyDescent="0.2">
      <c r="X1865" s="27"/>
      <c r="AB1865" s="30"/>
    </row>
    <row r="1866" spans="24:28" x14ac:dyDescent="0.2">
      <c r="X1866" s="27"/>
      <c r="AB1866" s="30"/>
    </row>
    <row r="1867" spans="24:28" x14ac:dyDescent="0.2">
      <c r="X1867" s="27"/>
      <c r="AB1867" s="30"/>
    </row>
    <row r="1868" spans="24:28" x14ac:dyDescent="0.2">
      <c r="X1868" s="27"/>
      <c r="AB1868" s="30"/>
    </row>
    <row r="1869" spans="24:28" x14ac:dyDescent="0.2">
      <c r="X1869" s="27"/>
      <c r="AB1869" s="30"/>
    </row>
    <row r="1870" spans="24:28" x14ac:dyDescent="0.2">
      <c r="X1870" s="27"/>
      <c r="AB1870" s="30"/>
    </row>
    <row r="1871" spans="24:28" x14ac:dyDescent="0.2">
      <c r="X1871" s="27"/>
      <c r="AB1871" s="30"/>
    </row>
    <row r="1872" spans="24:28" x14ac:dyDescent="0.2">
      <c r="X1872" s="27"/>
      <c r="AB1872" s="30"/>
    </row>
    <row r="1873" spans="24:28" x14ac:dyDescent="0.2">
      <c r="X1873" s="27"/>
      <c r="AB1873" s="30"/>
    </row>
    <row r="1874" spans="24:28" x14ac:dyDescent="0.2">
      <c r="X1874" s="27"/>
      <c r="AB1874" s="30"/>
    </row>
    <row r="1875" spans="24:28" x14ac:dyDescent="0.2">
      <c r="X1875" s="27"/>
      <c r="AB1875" s="30"/>
    </row>
    <row r="1876" spans="24:28" x14ac:dyDescent="0.2">
      <c r="X1876" s="27"/>
      <c r="AB1876" s="30"/>
    </row>
    <row r="1877" spans="24:28" x14ac:dyDescent="0.2">
      <c r="X1877" s="27"/>
      <c r="AB1877" s="30"/>
    </row>
    <row r="1878" spans="24:28" x14ac:dyDescent="0.2">
      <c r="X1878" s="27"/>
      <c r="AB1878" s="30"/>
    </row>
    <row r="1879" spans="24:28" x14ac:dyDescent="0.2">
      <c r="X1879" s="27"/>
      <c r="AB1879" s="30"/>
    </row>
    <row r="1880" spans="24:28" x14ac:dyDescent="0.2">
      <c r="X1880" s="27"/>
      <c r="AB1880" s="30"/>
    </row>
    <row r="1881" spans="24:28" x14ac:dyDescent="0.2">
      <c r="X1881" s="27"/>
      <c r="AB1881" s="30"/>
    </row>
    <row r="1882" spans="24:28" x14ac:dyDescent="0.2">
      <c r="X1882" s="27"/>
      <c r="AB1882" s="30"/>
    </row>
    <row r="1883" spans="24:28" x14ac:dyDescent="0.2">
      <c r="X1883" s="27"/>
      <c r="AB1883" s="30"/>
    </row>
    <row r="1884" spans="24:28" x14ac:dyDescent="0.2">
      <c r="X1884" s="27"/>
      <c r="AB1884" s="30"/>
    </row>
    <row r="1885" spans="24:28" x14ac:dyDescent="0.2">
      <c r="X1885" s="27"/>
      <c r="AB1885" s="30"/>
    </row>
    <row r="1886" spans="24:28" x14ac:dyDescent="0.2">
      <c r="X1886" s="27"/>
      <c r="AB1886" s="30"/>
    </row>
    <row r="1887" spans="24:28" x14ac:dyDescent="0.2">
      <c r="X1887" s="27"/>
      <c r="AB1887" s="30"/>
    </row>
    <row r="1888" spans="24:28" x14ac:dyDescent="0.2">
      <c r="X1888" s="27"/>
      <c r="AB1888" s="30"/>
    </row>
    <row r="1889" spans="24:28" x14ac:dyDescent="0.2">
      <c r="X1889" s="27"/>
      <c r="AB1889" s="30"/>
    </row>
    <row r="1890" spans="24:28" x14ac:dyDescent="0.2">
      <c r="X1890" s="27"/>
      <c r="AB1890" s="30"/>
    </row>
    <row r="1891" spans="24:28" x14ac:dyDescent="0.2">
      <c r="X1891" s="27"/>
      <c r="AB1891" s="30"/>
    </row>
    <row r="1892" spans="24:28" x14ac:dyDescent="0.2">
      <c r="X1892" s="27"/>
      <c r="AB1892" s="30"/>
    </row>
    <row r="1893" spans="24:28" x14ac:dyDescent="0.2">
      <c r="X1893" s="27"/>
      <c r="AB1893" s="30"/>
    </row>
    <row r="1894" spans="24:28" x14ac:dyDescent="0.2">
      <c r="X1894" s="27"/>
      <c r="AB1894" s="30"/>
    </row>
    <row r="1895" spans="24:28" x14ac:dyDescent="0.2">
      <c r="X1895" s="27"/>
      <c r="AB1895" s="30"/>
    </row>
    <row r="1896" spans="24:28" x14ac:dyDescent="0.2">
      <c r="X1896" s="27"/>
      <c r="AB1896" s="30"/>
    </row>
    <row r="1897" spans="24:28" x14ac:dyDescent="0.2">
      <c r="X1897" s="27"/>
      <c r="AB1897" s="30"/>
    </row>
    <row r="1898" spans="24:28" x14ac:dyDescent="0.2">
      <c r="X1898" s="27"/>
      <c r="AB1898" s="30"/>
    </row>
    <row r="1899" spans="24:28" x14ac:dyDescent="0.2">
      <c r="X1899" s="27"/>
      <c r="AB1899" s="30"/>
    </row>
    <row r="1900" spans="24:28" x14ac:dyDescent="0.2">
      <c r="X1900" s="27"/>
      <c r="AB1900" s="30"/>
    </row>
    <row r="1901" spans="24:28" x14ac:dyDescent="0.2">
      <c r="X1901" s="27"/>
      <c r="AB1901" s="30"/>
    </row>
    <row r="1902" spans="24:28" x14ac:dyDescent="0.2">
      <c r="X1902" s="27"/>
      <c r="AB1902" s="30"/>
    </row>
    <row r="1903" spans="24:28" x14ac:dyDescent="0.2">
      <c r="X1903" s="27"/>
      <c r="AB1903" s="30"/>
    </row>
    <row r="1904" spans="24:28" x14ac:dyDescent="0.2">
      <c r="X1904" s="27"/>
      <c r="AB1904" s="30"/>
    </row>
    <row r="1905" spans="24:28" x14ac:dyDescent="0.2">
      <c r="X1905" s="27"/>
      <c r="AB1905" s="30"/>
    </row>
    <row r="1906" spans="24:28" x14ac:dyDescent="0.2">
      <c r="X1906" s="27"/>
      <c r="AB1906" s="30"/>
    </row>
    <row r="1907" spans="24:28" x14ac:dyDescent="0.2">
      <c r="X1907" s="27"/>
      <c r="AB1907" s="30"/>
    </row>
    <row r="1908" spans="24:28" x14ac:dyDescent="0.2">
      <c r="X1908" s="27"/>
      <c r="AB1908" s="30"/>
    </row>
    <row r="1909" spans="24:28" x14ac:dyDescent="0.2">
      <c r="X1909" s="27"/>
      <c r="AB1909" s="30"/>
    </row>
    <row r="1910" spans="24:28" x14ac:dyDescent="0.2">
      <c r="X1910" s="27"/>
      <c r="AB1910" s="30"/>
    </row>
    <row r="1911" spans="24:28" x14ac:dyDescent="0.2">
      <c r="X1911" s="27"/>
      <c r="AB1911" s="30"/>
    </row>
    <row r="1912" spans="24:28" x14ac:dyDescent="0.2">
      <c r="X1912" s="27"/>
      <c r="AB1912" s="30"/>
    </row>
    <row r="1913" spans="24:28" x14ac:dyDescent="0.2">
      <c r="X1913" s="27"/>
      <c r="AB1913" s="30"/>
    </row>
    <row r="1914" spans="24:28" x14ac:dyDescent="0.2">
      <c r="X1914" s="27"/>
      <c r="AB1914" s="30"/>
    </row>
    <row r="1915" spans="24:28" x14ac:dyDescent="0.2">
      <c r="X1915" s="27"/>
      <c r="AB1915" s="30"/>
    </row>
    <row r="1916" spans="24:28" x14ac:dyDescent="0.2">
      <c r="X1916" s="27"/>
      <c r="AB1916" s="30"/>
    </row>
    <row r="1917" spans="24:28" x14ac:dyDescent="0.2">
      <c r="X1917" s="27"/>
      <c r="AB1917" s="30"/>
    </row>
    <row r="1918" spans="24:28" x14ac:dyDescent="0.2">
      <c r="X1918" s="27"/>
      <c r="AB1918" s="30"/>
    </row>
    <row r="1919" spans="24:28" x14ac:dyDescent="0.2">
      <c r="X1919" s="27"/>
      <c r="AB1919" s="30"/>
    </row>
    <row r="1920" spans="24:28" x14ac:dyDescent="0.2">
      <c r="X1920" s="27"/>
      <c r="AB1920" s="30"/>
    </row>
    <row r="1921" spans="24:28" x14ac:dyDescent="0.2">
      <c r="X1921" s="27"/>
      <c r="AB1921" s="30"/>
    </row>
    <row r="1922" spans="24:28" x14ac:dyDescent="0.2">
      <c r="X1922" s="27"/>
      <c r="AB1922" s="30"/>
    </row>
    <row r="1923" spans="24:28" x14ac:dyDescent="0.2">
      <c r="X1923" s="27"/>
      <c r="AB1923" s="30"/>
    </row>
    <row r="1924" spans="24:28" x14ac:dyDescent="0.2">
      <c r="X1924" s="27"/>
      <c r="AB1924" s="30"/>
    </row>
    <row r="1925" spans="24:28" x14ac:dyDescent="0.2">
      <c r="X1925" s="27"/>
      <c r="AB1925" s="30"/>
    </row>
    <row r="1926" spans="24:28" x14ac:dyDescent="0.2">
      <c r="X1926" s="27"/>
      <c r="AB1926" s="30"/>
    </row>
    <row r="1927" spans="24:28" x14ac:dyDescent="0.2">
      <c r="X1927" s="27"/>
      <c r="AB1927" s="30"/>
    </row>
    <row r="1928" spans="24:28" x14ac:dyDescent="0.2">
      <c r="X1928" s="27"/>
      <c r="AB1928" s="30"/>
    </row>
    <row r="1929" spans="24:28" x14ac:dyDescent="0.2">
      <c r="X1929" s="27"/>
      <c r="AB1929" s="30"/>
    </row>
    <row r="1930" spans="24:28" x14ac:dyDescent="0.2">
      <c r="X1930" s="27"/>
      <c r="AB1930" s="30"/>
    </row>
    <row r="1931" spans="24:28" x14ac:dyDescent="0.2">
      <c r="X1931" s="27"/>
      <c r="AB1931" s="30"/>
    </row>
    <row r="1932" spans="24:28" x14ac:dyDescent="0.2">
      <c r="X1932" s="27"/>
      <c r="AB1932" s="30"/>
    </row>
    <row r="1933" spans="24:28" x14ac:dyDescent="0.2">
      <c r="X1933" s="27"/>
      <c r="AB1933" s="30"/>
    </row>
    <row r="1934" spans="24:28" x14ac:dyDescent="0.2">
      <c r="X1934" s="27"/>
      <c r="AB1934" s="30"/>
    </row>
    <row r="1935" spans="24:28" x14ac:dyDescent="0.2">
      <c r="X1935" s="27"/>
      <c r="AB1935" s="30"/>
    </row>
    <row r="1936" spans="24:28" x14ac:dyDescent="0.2">
      <c r="X1936" s="27"/>
      <c r="AB1936" s="30"/>
    </row>
    <row r="1937" spans="24:28" x14ac:dyDescent="0.2">
      <c r="X1937" s="27"/>
      <c r="AB1937" s="30"/>
    </row>
    <row r="1938" spans="24:28" x14ac:dyDescent="0.2">
      <c r="X1938" s="27"/>
      <c r="AB1938" s="30"/>
    </row>
    <row r="1939" spans="24:28" x14ac:dyDescent="0.2">
      <c r="X1939" s="27"/>
      <c r="AB1939" s="30"/>
    </row>
    <row r="1940" spans="24:28" x14ac:dyDescent="0.2">
      <c r="X1940" s="27"/>
      <c r="AB1940" s="30"/>
    </row>
    <row r="1941" spans="24:28" x14ac:dyDescent="0.2">
      <c r="X1941" s="27"/>
      <c r="AB1941" s="30"/>
    </row>
    <row r="1942" spans="24:28" x14ac:dyDescent="0.2">
      <c r="X1942" s="27"/>
      <c r="AB1942" s="30"/>
    </row>
    <row r="1943" spans="24:28" x14ac:dyDescent="0.2">
      <c r="X1943" s="27"/>
      <c r="AB1943" s="30"/>
    </row>
    <row r="1944" spans="24:28" x14ac:dyDescent="0.2">
      <c r="X1944" s="27"/>
      <c r="AB1944" s="30"/>
    </row>
    <row r="1945" spans="24:28" x14ac:dyDescent="0.2">
      <c r="X1945" s="27"/>
      <c r="AB1945" s="30"/>
    </row>
    <row r="1946" spans="24:28" x14ac:dyDescent="0.2">
      <c r="X1946" s="27"/>
      <c r="AB1946" s="30"/>
    </row>
    <row r="1947" spans="24:28" x14ac:dyDescent="0.2">
      <c r="X1947" s="27"/>
      <c r="AB1947" s="30"/>
    </row>
    <row r="1948" spans="24:28" x14ac:dyDescent="0.2">
      <c r="X1948" s="27"/>
      <c r="AB1948" s="30"/>
    </row>
    <row r="1949" spans="24:28" x14ac:dyDescent="0.2">
      <c r="X1949" s="27"/>
      <c r="AB1949" s="30"/>
    </row>
    <row r="1950" spans="24:28" x14ac:dyDescent="0.2">
      <c r="X1950" s="27"/>
      <c r="AB1950" s="30"/>
    </row>
    <row r="1951" spans="24:28" x14ac:dyDescent="0.2">
      <c r="X1951" s="27"/>
      <c r="AB1951" s="30"/>
    </row>
    <row r="1952" spans="24:28" x14ac:dyDescent="0.2">
      <c r="X1952" s="27"/>
      <c r="AB1952" s="30"/>
    </row>
    <row r="1953" spans="24:28" x14ac:dyDescent="0.2">
      <c r="X1953" s="27"/>
      <c r="AB1953" s="30"/>
    </row>
    <row r="1954" spans="24:28" x14ac:dyDescent="0.2">
      <c r="X1954" s="27"/>
      <c r="AB1954" s="30"/>
    </row>
    <row r="1955" spans="24:28" x14ac:dyDescent="0.2">
      <c r="X1955" s="27"/>
      <c r="AB1955" s="30"/>
    </row>
    <row r="1956" spans="24:28" x14ac:dyDescent="0.2">
      <c r="X1956" s="27"/>
      <c r="AB1956" s="30"/>
    </row>
    <row r="1957" spans="24:28" x14ac:dyDescent="0.2">
      <c r="X1957" s="27"/>
      <c r="AB1957" s="30"/>
    </row>
    <row r="1958" spans="24:28" x14ac:dyDescent="0.2">
      <c r="X1958" s="27"/>
      <c r="AB1958" s="30"/>
    </row>
    <row r="1959" spans="24:28" x14ac:dyDescent="0.2">
      <c r="X1959" s="27"/>
      <c r="AB1959" s="30"/>
    </row>
    <row r="1960" spans="24:28" x14ac:dyDescent="0.2">
      <c r="X1960" s="27"/>
      <c r="AB1960" s="30"/>
    </row>
    <row r="1961" spans="24:28" x14ac:dyDescent="0.2">
      <c r="X1961" s="27"/>
      <c r="AB1961" s="30"/>
    </row>
    <row r="1962" spans="24:28" x14ac:dyDescent="0.2">
      <c r="X1962" s="27"/>
      <c r="AB1962" s="30"/>
    </row>
    <row r="1963" spans="24:28" x14ac:dyDescent="0.2">
      <c r="X1963" s="27"/>
      <c r="AB1963" s="30"/>
    </row>
    <row r="1964" spans="24:28" x14ac:dyDescent="0.2">
      <c r="X1964" s="27"/>
      <c r="AB1964" s="30"/>
    </row>
    <row r="1965" spans="24:28" x14ac:dyDescent="0.2">
      <c r="X1965" s="27"/>
      <c r="AB1965" s="30"/>
    </row>
    <row r="1966" spans="24:28" x14ac:dyDescent="0.2">
      <c r="X1966" s="27"/>
      <c r="AB1966" s="30"/>
    </row>
    <row r="1967" spans="24:28" x14ac:dyDescent="0.2">
      <c r="X1967" s="27"/>
      <c r="AB1967" s="30"/>
    </row>
    <row r="1968" spans="24:28" x14ac:dyDescent="0.2">
      <c r="X1968" s="27"/>
      <c r="AB1968" s="30"/>
    </row>
    <row r="1969" spans="24:28" x14ac:dyDescent="0.2">
      <c r="X1969" s="27"/>
      <c r="AB1969" s="30"/>
    </row>
    <row r="1970" spans="24:28" x14ac:dyDescent="0.2">
      <c r="X1970" s="27"/>
      <c r="AB1970" s="30"/>
    </row>
    <row r="1971" spans="24:28" x14ac:dyDescent="0.2">
      <c r="X1971" s="27"/>
      <c r="AB1971" s="30"/>
    </row>
    <row r="1972" spans="24:28" x14ac:dyDescent="0.2">
      <c r="X1972" s="27"/>
      <c r="AB1972" s="30"/>
    </row>
    <row r="1973" spans="24:28" x14ac:dyDescent="0.2">
      <c r="X1973" s="27"/>
      <c r="AB1973" s="30"/>
    </row>
    <row r="1974" spans="24:28" x14ac:dyDescent="0.2">
      <c r="X1974" s="27"/>
      <c r="AB1974" s="30"/>
    </row>
    <row r="1975" spans="24:28" x14ac:dyDescent="0.2">
      <c r="X1975" s="27"/>
      <c r="AB1975" s="30"/>
    </row>
    <row r="1976" spans="24:28" x14ac:dyDescent="0.2">
      <c r="X1976" s="27"/>
      <c r="AB1976" s="30"/>
    </row>
    <row r="1977" spans="24:28" x14ac:dyDescent="0.2">
      <c r="X1977" s="27"/>
      <c r="AB1977" s="30"/>
    </row>
    <row r="1978" spans="24:28" x14ac:dyDescent="0.2">
      <c r="X1978" s="27"/>
      <c r="AB1978" s="30"/>
    </row>
    <row r="1979" spans="24:28" x14ac:dyDescent="0.2">
      <c r="X1979" s="27"/>
      <c r="AB1979" s="30"/>
    </row>
    <row r="1980" spans="24:28" x14ac:dyDescent="0.2">
      <c r="X1980" s="27"/>
      <c r="AB1980" s="30"/>
    </row>
    <row r="1981" spans="24:28" x14ac:dyDescent="0.2">
      <c r="X1981" s="27"/>
      <c r="AB1981" s="30"/>
    </row>
    <row r="1982" spans="24:28" x14ac:dyDescent="0.2">
      <c r="X1982" s="27"/>
      <c r="AB1982" s="30"/>
    </row>
    <row r="1983" spans="24:28" x14ac:dyDescent="0.2">
      <c r="X1983" s="27"/>
      <c r="AB1983" s="30"/>
    </row>
    <row r="1984" spans="24:28" x14ac:dyDescent="0.2">
      <c r="X1984" s="27"/>
      <c r="AB1984" s="30"/>
    </row>
    <row r="1985" spans="24:28" x14ac:dyDescent="0.2">
      <c r="X1985" s="27"/>
      <c r="AB1985" s="30"/>
    </row>
    <row r="1986" spans="24:28" x14ac:dyDescent="0.2">
      <c r="X1986" s="27"/>
      <c r="AB1986" s="30"/>
    </row>
    <row r="1987" spans="24:28" x14ac:dyDescent="0.2">
      <c r="X1987" s="27"/>
      <c r="AB1987" s="30"/>
    </row>
    <row r="1988" spans="24:28" x14ac:dyDescent="0.2">
      <c r="X1988" s="27"/>
      <c r="AB1988" s="30"/>
    </row>
    <row r="1989" spans="24:28" x14ac:dyDescent="0.2">
      <c r="X1989" s="27"/>
      <c r="AB1989" s="30"/>
    </row>
    <row r="1990" spans="24:28" x14ac:dyDescent="0.2">
      <c r="X1990" s="27"/>
      <c r="AB1990" s="30"/>
    </row>
    <row r="1991" spans="24:28" x14ac:dyDescent="0.2">
      <c r="X1991" s="27"/>
      <c r="AB1991" s="30"/>
    </row>
    <row r="1992" spans="24:28" x14ac:dyDescent="0.2">
      <c r="X1992" s="27"/>
      <c r="AB1992" s="30"/>
    </row>
    <row r="1993" spans="24:28" x14ac:dyDescent="0.2">
      <c r="X1993" s="27"/>
      <c r="AB1993" s="30"/>
    </row>
    <row r="1994" spans="24:28" x14ac:dyDescent="0.2">
      <c r="X1994" s="27"/>
      <c r="AB1994" s="30"/>
    </row>
    <row r="1995" spans="24:28" x14ac:dyDescent="0.2">
      <c r="X1995" s="27"/>
      <c r="AB1995" s="30"/>
    </row>
    <row r="1996" spans="24:28" x14ac:dyDescent="0.2">
      <c r="X1996" s="27"/>
      <c r="AB1996" s="30"/>
    </row>
    <row r="1997" spans="24:28" x14ac:dyDescent="0.2">
      <c r="X1997" s="27"/>
      <c r="AB1997" s="30"/>
    </row>
    <row r="1998" spans="24:28" x14ac:dyDescent="0.2">
      <c r="X1998" s="27"/>
      <c r="AB1998" s="30"/>
    </row>
    <row r="1999" spans="24:28" x14ac:dyDescent="0.2">
      <c r="X1999" s="27"/>
      <c r="AB1999" s="30"/>
    </row>
    <row r="2000" spans="24:28" x14ac:dyDescent="0.2">
      <c r="X2000" s="27"/>
      <c r="AB2000" s="30"/>
    </row>
    <row r="2001" spans="24:28" x14ac:dyDescent="0.2">
      <c r="X2001" s="27"/>
      <c r="AB2001" s="30"/>
    </row>
    <row r="2002" spans="24:28" x14ac:dyDescent="0.2">
      <c r="X2002" s="27"/>
      <c r="AB2002" s="30"/>
    </row>
    <row r="2003" spans="24:28" x14ac:dyDescent="0.2">
      <c r="X2003" s="27"/>
      <c r="AB2003" s="30"/>
    </row>
    <row r="2004" spans="24:28" x14ac:dyDescent="0.2">
      <c r="X2004" s="27"/>
      <c r="AB2004" s="30"/>
    </row>
    <row r="2005" spans="24:28" x14ac:dyDescent="0.2">
      <c r="X2005" s="27"/>
      <c r="AB2005" s="30"/>
    </row>
    <row r="2006" spans="24:28" x14ac:dyDescent="0.2">
      <c r="X2006" s="27"/>
      <c r="AB2006" s="30"/>
    </row>
    <row r="2007" spans="24:28" x14ac:dyDescent="0.2">
      <c r="X2007" s="27"/>
      <c r="AB2007" s="30"/>
    </row>
    <row r="2008" spans="24:28" x14ac:dyDescent="0.2">
      <c r="X2008" s="27"/>
      <c r="AB2008" s="30"/>
    </row>
    <row r="2009" spans="24:28" x14ac:dyDescent="0.2">
      <c r="X2009" s="27"/>
      <c r="AB2009" s="30"/>
    </row>
    <row r="2010" spans="24:28" x14ac:dyDescent="0.2">
      <c r="X2010" s="27"/>
      <c r="AB2010" s="30"/>
    </row>
    <row r="2011" spans="24:28" x14ac:dyDescent="0.2">
      <c r="X2011" s="27"/>
      <c r="AB2011" s="30"/>
    </row>
    <row r="2012" spans="24:28" x14ac:dyDescent="0.2">
      <c r="X2012" s="27"/>
      <c r="AB2012" s="30"/>
    </row>
    <row r="2013" spans="24:28" x14ac:dyDescent="0.2">
      <c r="X2013" s="27"/>
      <c r="AB2013" s="30"/>
    </row>
    <row r="2014" spans="24:28" x14ac:dyDescent="0.2">
      <c r="X2014" s="27"/>
      <c r="AB2014" s="30"/>
    </row>
    <row r="2015" spans="24:28" x14ac:dyDescent="0.2">
      <c r="X2015" s="27"/>
      <c r="AB2015" s="30"/>
    </row>
    <row r="2016" spans="24:28" x14ac:dyDescent="0.2">
      <c r="X2016" s="27"/>
      <c r="AB2016" s="30"/>
    </row>
    <row r="2017" spans="24:28" x14ac:dyDescent="0.2">
      <c r="X2017" s="27"/>
      <c r="AB2017" s="30"/>
    </row>
    <row r="2018" spans="24:28" x14ac:dyDescent="0.2">
      <c r="X2018" s="27"/>
      <c r="AB2018" s="30"/>
    </row>
    <row r="2019" spans="24:28" x14ac:dyDescent="0.2">
      <c r="X2019" s="27"/>
      <c r="AB2019" s="30"/>
    </row>
    <row r="2020" spans="24:28" x14ac:dyDescent="0.2">
      <c r="X2020" s="27"/>
      <c r="AB2020" s="30"/>
    </row>
    <row r="2021" spans="24:28" x14ac:dyDescent="0.2">
      <c r="X2021" s="27"/>
      <c r="AB2021" s="30"/>
    </row>
    <row r="2022" spans="24:28" x14ac:dyDescent="0.2">
      <c r="X2022" s="27"/>
      <c r="AB2022" s="30"/>
    </row>
    <row r="2023" spans="24:28" x14ac:dyDescent="0.2">
      <c r="X2023" s="27"/>
      <c r="AB2023" s="30"/>
    </row>
    <row r="2024" spans="24:28" x14ac:dyDescent="0.2">
      <c r="X2024" s="27"/>
      <c r="AB2024" s="30"/>
    </row>
    <row r="2025" spans="24:28" x14ac:dyDescent="0.2">
      <c r="X2025" s="27"/>
      <c r="AB2025" s="30"/>
    </row>
    <row r="2026" spans="24:28" x14ac:dyDescent="0.2">
      <c r="X2026" s="27"/>
      <c r="AB2026" s="30"/>
    </row>
    <row r="2027" spans="24:28" x14ac:dyDescent="0.2">
      <c r="X2027" s="27"/>
      <c r="AB2027" s="30"/>
    </row>
    <row r="2028" spans="24:28" x14ac:dyDescent="0.2">
      <c r="X2028" s="27"/>
      <c r="AB2028" s="30"/>
    </row>
    <row r="2029" spans="24:28" x14ac:dyDescent="0.2">
      <c r="X2029" s="27"/>
      <c r="AB2029" s="30"/>
    </row>
    <row r="2030" spans="24:28" x14ac:dyDescent="0.2">
      <c r="X2030" s="27"/>
      <c r="AB2030" s="30"/>
    </row>
    <row r="2031" spans="24:28" x14ac:dyDescent="0.2">
      <c r="X2031" s="27"/>
      <c r="AB2031" s="30"/>
    </row>
    <row r="2032" spans="24:28" x14ac:dyDescent="0.2">
      <c r="X2032" s="27"/>
      <c r="AB2032" s="30"/>
    </row>
    <row r="2033" spans="24:28" x14ac:dyDescent="0.2">
      <c r="X2033" s="27"/>
      <c r="AB2033" s="30"/>
    </row>
    <row r="2034" spans="24:28" x14ac:dyDescent="0.2">
      <c r="X2034" s="27"/>
      <c r="AB2034" s="30"/>
    </row>
    <row r="2035" spans="24:28" x14ac:dyDescent="0.2">
      <c r="X2035" s="27"/>
      <c r="AB2035" s="30"/>
    </row>
    <row r="2036" spans="24:28" x14ac:dyDescent="0.2">
      <c r="X2036" s="27"/>
      <c r="AB2036" s="30"/>
    </row>
    <row r="2037" spans="24:28" x14ac:dyDescent="0.2">
      <c r="X2037" s="27"/>
      <c r="AB2037" s="30"/>
    </row>
    <row r="2038" spans="24:28" x14ac:dyDescent="0.2">
      <c r="X2038" s="27"/>
      <c r="AB2038" s="30"/>
    </row>
    <row r="2039" spans="24:28" x14ac:dyDescent="0.2">
      <c r="X2039" s="27"/>
      <c r="AB2039" s="30"/>
    </row>
    <row r="2040" spans="24:28" x14ac:dyDescent="0.2">
      <c r="X2040" s="27"/>
      <c r="AB2040" s="30"/>
    </row>
    <row r="2041" spans="24:28" x14ac:dyDescent="0.2">
      <c r="X2041" s="27"/>
      <c r="AB2041" s="30"/>
    </row>
    <row r="2042" spans="24:28" x14ac:dyDescent="0.2">
      <c r="X2042" s="27"/>
      <c r="AB2042" s="30"/>
    </row>
    <row r="2043" spans="24:28" x14ac:dyDescent="0.2">
      <c r="X2043" s="27"/>
      <c r="AB2043" s="30"/>
    </row>
    <row r="2044" spans="24:28" x14ac:dyDescent="0.2">
      <c r="X2044" s="27"/>
      <c r="AB2044" s="30"/>
    </row>
    <row r="2045" spans="24:28" x14ac:dyDescent="0.2">
      <c r="X2045" s="27"/>
      <c r="AB2045" s="30"/>
    </row>
    <row r="2046" spans="24:28" x14ac:dyDescent="0.2">
      <c r="X2046" s="27"/>
      <c r="AB2046" s="30"/>
    </row>
    <row r="2047" spans="24:28" x14ac:dyDescent="0.2">
      <c r="X2047" s="27"/>
      <c r="AB2047" s="30"/>
    </row>
    <row r="2048" spans="24:28" x14ac:dyDescent="0.2">
      <c r="X2048" s="27"/>
      <c r="AB2048" s="30"/>
    </row>
    <row r="2049" spans="24:28" x14ac:dyDescent="0.2">
      <c r="X2049" s="27"/>
      <c r="AB2049" s="30"/>
    </row>
    <row r="2050" spans="24:28" x14ac:dyDescent="0.2">
      <c r="X2050" s="27"/>
      <c r="AB2050" s="30"/>
    </row>
    <row r="2051" spans="24:28" x14ac:dyDescent="0.2">
      <c r="X2051" s="27"/>
      <c r="AB2051" s="30"/>
    </row>
    <row r="2052" spans="24:28" x14ac:dyDescent="0.2">
      <c r="X2052" s="27"/>
      <c r="AB2052" s="30"/>
    </row>
    <row r="2053" spans="24:28" x14ac:dyDescent="0.2">
      <c r="X2053" s="27"/>
      <c r="AB2053" s="30"/>
    </row>
    <row r="2054" spans="24:28" x14ac:dyDescent="0.2">
      <c r="X2054" s="27"/>
      <c r="AB2054" s="30"/>
    </row>
    <row r="2055" spans="24:28" x14ac:dyDescent="0.2">
      <c r="X2055" s="27"/>
      <c r="AB2055" s="30"/>
    </row>
    <row r="2056" spans="24:28" x14ac:dyDescent="0.2">
      <c r="X2056" s="27"/>
      <c r="AB2056" s="30"/>
    </row>
    <row r="2057" spans="24:28" x14ac:dyDescent="0.2">
      <c r="X2057" s="27"/>
      <c r="AB2057" s="30"/>
    </row>
    <row r="2058" spans="24:28" x14ac:dyDescent="0.2">
      <c r="X2058" s="27"/>
      <c r="AB2058" s="30"/>
    </row>
    <row r="2059" spans="24:28" x14ac:dyDescent="0.2">
      <c r="X2059" s="27"/>
      <c r="AB2059" s="30"/>
    </row>
    <row r="2060" spans="24:28" x14ac:dyDescent="0.2">
      <c r="X2060" s="27"/>
      <c r="AB2060" s="30"/>
    </row>
    <row r="2061" spans="24:28" x14ac:dyDescent="0.2">
      <c r="X2061" s="27"/>
      <c r="AB2061" s="30"/>
    </row>
    <row r="2062" spans="24:28" x14ac:dyDescent="0.2">
      <c r="X2062" s="27"/>
      <c r="AB2062" s="30"/>
    </row>
    <row r="2063" spans="24:28" x14ac:dyDescent="0.2">
      <c r="X2063" s="27"/>
      <c r="AB2063" s="30"/>
    </row>
    <row r="2064" spans="24:28" x14ac:dyDescent="0.2">
      <c r="X2064" s="27"/>
      <c r="AB2064" s="30"/>
    </row>
    <row r="2065" spans="24:28" x14ac:dyDescent="0.2">
      <c r="X2065" s="27"/>
      <c r="AB2065" s="30"/>
    </row>
    <row r="2066" spans="24:28" x14ac:dyDescent="0.2">
      <c r="X2066" s="27"/>
      <c r="AB2066" s="30"/>
    </row>
    <row r="2067" spans="24:28" x14ac:dyDescent="0.2">
      <c r="X2067" s="27"/>
      <c r="AB2067" s="30"/>
    </row>
    <row r="2068" spans="24:28" x14ac:dyDescent="0.2">
      <c r="X2068" s="27"/>
      <c r="AB2068" s="30"/>
    </row>
    <row r="2069" spans="24:28" x14ac:dyDescent="0.2">
      <c r="X2069" s="27"/>
      <c r="AB2069" s="30"/>
    </row>
    <row r="2070" spans="24:28" x14ac:dyDescent="0.2">
      <c r="X2070" s="27"/>
      <c r="AB2070" s="30"/>
    </row>
    <row r="2071" spans="24:28" x14ac:dyDescent="0.2">
      <c r="X2071" s="27"/>
      <c r="AB2071" s="30"/>
    </row>
    <row r="2072" spans="24:28" x14ac:dyDescent="0.2">
      <c r="X2072" s="27"/>
      <c r="AB2072" s="30"/>
    </row>
    <row r="2073" spans="24:28" x14ac:dyDescent="0.2">
      <c r="X2073" s="27"/>
      <c r="AB2073" s="30"/>
    </row>
    <row r="2074" spans="24:28" x14ac:dyDescent="0.2">
      <c r="X2074" s="27"/>
      <c r="AB2074" s="30"/>
    </row>
    <row r="2075" spans="24:28" x14ac:dyDescent="0.2">
      <c r="X2075" s="27"/>
      <c r="AB2075" s="30"/>
    </row>
    <row r="2076" spans="24:28" x14ac:dyDescent="0.2">
      <c r="X2076" s="27"/>
      <c r="AB2076" s="30"/>
    </row>
    <row r="2077" spans="24:28" x14ac:dyDescent="0.2">
      <c r="X2077" s="27"/>
      <c r="AB2077" s="30"/>
    </row>
    <row r="2078" spans="24:28" x14ac:dyDescent="0.2">
      <c r="X2078" s="27"/>
      <c r="AB2078" s="30"/>
    </row>
    <row r="2079" spans="24:28" x14ac:dyDescent="0.2">
      <c r="X2079" s="27"/>
      <c r="AB2079" s="30"/>
    </row>
    <row r="2080" spans="24:28" x14ac:dyDescent="0.2">
      <c r="X2080" s="27"/>
      <c r="AB2080" s="30"/>
    </row>
    <row r="2081" spans="24:28" x14ac:dyDescent="0.2">
      <c r="X2081" s="27"/>
      <c r="AB2081" s="30"/>
    </row>
    <row r="2082" spans="24:28" x14ac:dyDescent="0.2">
      <c r="X2082" s="27"/>
      <c r="AB2082" s="30"/>
    </row>
    <row r="2083" spans="24:28" x14ac:dyDescent="0.2">
      <c r="X2083" s="27"/>
      <c r="AB2083" s="30"/>
    </row>
    <row r="2084" spans="24:28" x14ac:dyDescent="0.2">
      <c r="X2084" s="27"/>
      <c r="AB2084" s="30"/>
    </row>
    <row r="2085" spans="24:28" x14ac:dyDescent="0.2">
      <c r="X2085" s="27"/>
      <c r="AB2085" s="30"/>
    </row>
    <row r="2086" spans="24:28" x14ac:dyDescent="0.2">
      <c r="X2086" s="27"/>
      <c r="AB2086" s="30"/>
    </row>
    <row r="2087" spans="24:28" x14ac:dyDescent="0.2">
      <c r="X2087" s="27"/>
      <c r="AB2087" s="30"/>
    </row>
    <row r="2088" spans="24:28" x14ac:dyDescent="0.2">
      <c r="X2088" s="27"/>
      <c r="AB2088" s="30"/>
    </row>
    <row r="2089" spans="24:28" x14ac:dyDescent="0.2">
      <c r="X2089" s="27"/>
      <c r="AB2089" s="30"/>
    </row>
    <row r="2090" spans="24:28" x14ac:dyDescent="0.2">
      <c r="X2090" s="27"/>
      <c r="AB2090" s="30"/>
    </row>
    <row r="2091" spans="24:28" x14ac:dyDescent="0.2">
      <c r="X2091" s="27"/>
      <c r="AB2091" s="30"/>
    </row>
    <row r="2092" spans="24:28" x14ac:dyDescent="0.2">
      <c r="X2092" s="27"/>
      <c r="AB2092" s="30"/>
    </row>
    <row r="2093" spans="24:28" x14ac:dyDescent="0.2">
      <c r="X2093" s="27"/>
      <c r="AB2093" s="30"/>
    </row>
    <row r="2094" spans="24:28" x14ac:dyDescent="0.2">
      <c r="X2094" s="27"/>
      <c r="AB2094" s="30"/>
    </row>
    <row r="2095" spans="24:28" x14ac:dyDescent="0.2">
      <c r="X2095" s="27"/>
      <c r="AB2095" s="30"/>
    </row>
    <row r="2096" spans="24:28" x14ac:dyDescent="0.2">
      <c r="X2096" s="27"/>
      <c r="AB2096" s="30"/>
    </row>
    <row r="2097" spans="24:28" x14ac:dyDescent="0.2">
      <c r="X2097" s="27"/>
      <c r="AB2097" s="30"/>
    </row>
    <row r="2098" spans="24:28" x14ac:dyDescent="0.2">
      <c r="X2098" s="27"/>
      <c r="AB2098" s="30"/>
    </row>
    <row r="2099" spans="24:28" x14ac:dyDescent="0.2">
      <c r="X2099" s="27"/>
      <c r="AB2099" s="30"/>
    </row>
    <row r="2100" spans="24:28" x14ac:dyDescent="0.2">
      <c r="X2100" s="27"/>
      <c r="AB2100" s="30"/>
    </row>
    <row r="2101" spans="24:28" x14ac:dyDescent="0.2">
      <c r="X2101" s="27"/>
      <c r="AB2101" s="30"/>
    </row>
    <row r="2102" spans="24:28" x14ac:dyDescent="0.2">
      <c r="X2102" s="27"/>
      <c r="AB2102" s="30"/>
    </row>
    <row r="2103" spans="24:28" x14ac:dyDescent="0.2">
      <c r="X2103" s="27"/>
      <c r="AB2103" s="30"/>
    </row>
    <row r="2104" spans="24:28" x14ac:dyDescent="0.2">
      <c r="X2104" s="27"/>
      <c r="AB2104" s="30"/>
    </row>
    <row r="2105" spans="24:28" x14ac:dyDescent="0.2">
      <c r="X2105" s="27"/>
      <c r="AB2105" s="30"/>
    </row>
    <row r="2106" spans="24:28" x14ac:dyDescent="0.2">
      <c r="X2106" s="27"/>
      <c r="AB2106" s="30"/>
    </row>
    <row r="2107" spans="24:28" x14ac:dyDescent="0.2">
      <c r="X2107" s="27"/>
      <c r="AB2107" s="30"/>
    </row>
    <row r="2108" spans="24:28" x14ac:dyDescent="0.2">
      <c r="X2108" s="27"/>
      <c r="AB2108" s="30"/>
    </row>
    <row r="2109" spans="24:28" x14ac:dyDescent="0.2">
      <c r="X2109" s="27"/>
      <c r="AB2109" s="30"/>
    </row>
    <row r="2110" spans="24:28" x14ac:dyDescent="0.2">
      <c r="X2110" s="27"/>
      <c r="AB2110" s="30"/>
    </row>
    <row r="2111" spans="24:28" x14ac:dyDescent="0.2">
      <c r="X2111" s="27"/>
      <c r="AB2111" s="30"/>
    </row>
    <row r="2112" spans="24:28" x14ac:dyDescent="0.2">
      <c r="X2112" s="27"/>
      <c r="AB2112" s="30"/>
    </row>
    <row r="2113" spans="24:28" x14ac:dyDescent="0.2">
      <c r="X2113" s="27"/>
      <c r="AB2113" s="30"/>
    </row>
    <row r="2114" spans="24:28" x14ac:dyDescent="0.2">
      <c r="X2114" s="27"/>
      <c r="AB2114" s="30"/>
    </row>
    <row r="2115" spans="24:28" x14ac:dyDescent="0.2">
      <c r="X2115" s="27"/>
      <c r="AB2115" s="30"/>
    </row>
    <row r="2116" spans="24:28" x14ac:dyDescent="0.2">
      <c r="X2116" s="27"/>
      <c r="AB2116" s="30"/>
    </row>
    <row r="2117" spans="24:28" x14ac:dyDescent="0.2">
      <c r="X2117" s="27"/>
      <c r="AB2117" s="30"/>
    </row>
    <row r="2118" spans="24:28" x14ac:dyDescent="0.2">
      <c r="X2118" s="27"/>
      <c r="AB2118" s="30"/>
    </row>
    <row r="2119" spans="24:28" x14ac:dyDescent="0.2">
      <c r="X2119" s="27"/>
      <c r="AB2119" s="30"/>
    </row>
    <row r="2120" spans="24:28" x14ac:dyDescent="0.2">
      <c r="X2120" s="27"/>
      <c r="AB2120" s="30"/>
    </row>
    <row r="2121" spans="24:28" x14ac:dyDescent="0.2">
      <c r="X2121" s="27"/>
      <c r="AB2121" s="30"/>
    </row>
    <row r="2122" spans="24:28" x14ac:dyDescent="0.2">
      <c r="X2122" s="27"/>
      <c r="AB2122" s="30"/>
    </row>
    <row r="2123" spans="24:28" x14ac:dyDescent="0.2">
      <c r="X2123" s="27"/>
      <c r="AB2123" s="30"/>
    </row>
    <row r="2124" spans="24:28" x14ac:dyDescent="0.2">
      <c r="X2124" s="27"/>
      <c r="AB2124" s="30"/>
    </row>
    <row r="2125" spans="24:28" x14ac:dyDescent="0.2">
      <c r="X2125" s="27"/>
      <c r="AB2125" s="30"/>
    </row>
    <row r="2126" spans="24:28" x14ac:dyDescent="0.2">
      <c r="X2126" s="27"/>
      <c r="AB2126" s="30"/>
    </row>
    <row r="2127" spans="24:28" x14ac:dyDescent="0.2">
      <c r="X2127" s="27"/>
      <c r="AB2127" s="30"/>
    </row>
    <row r="2128" spans="24:28" x14ac:dyDescent="0.2">
      <c r="X2128" s="27"/>
      <c r="AB2128" s="30"/>
    </row>
    <row r="2129" spans="24:28" x14ac:dyDescent="0.2">
      <c r="X2129" s="27"/>
      <c r="AB2129" s="30"/>
    </row>
    <row r="2130" spans="24:28" x14ac:dyDescent="0.2">
      <c r="X2130" s="27"/>
      <c r="AB2130" s="30"/>
    </row>
    <row r="2131" spans="24:28" x14ac:dyDescent="0.2">
      <c r="X2131" s="27"/>
      <c r="AB2131" s="30"/>
    </row>
    <row r="2132" spans="24:28" x14ac:dyDescent="0.2">
      <c r="X2132" s="27"/>
      <c r="AB2132" s="30"/>
    </row>
    <row r="2133" spans="24:28" x14ac:dyDescent="0.2">
      <c r="X2133" s="27"/>
      <c r="AB2133" s="30"/>
    </row>
    <row r="2134" spans="24:28" x14ac:dyDescent="0.2">
      <c r="X2134" s="27"/>
      <c r="AB2134" s="30"/>
    </row>
    <row r="2135" spans="24:28" x14ac:dyDescent="0.2">
      <c r="X2135" s="27"/>
      <c r="AB2135" s="30"/>
    </row>
    <row r="2136" spans="24:28" x14ac:dyDescent="0.2">
      <c r="X2136" s="27"/>
      <c r="AB2136" s="30"/>
    </row>
    <row r="2137" spans="24:28" x14ac:dyDescent="0.2">
      <c r="X2137" s="27"/>
      <c r="AB2137" s="30"/>
    </row>
    <row r="2138" spans="24:28" x14ac:dyDescent="0.2">
      <c r="X2138" s="27"/>
      <c r="AB2138" s="30"/>
    </row>
    <row r="2139" spans="24:28" x14ac:dyDescent="0.2">
      <c r="X2139" s="27"/>
      <c r="AB2139" s="30"/>
    </row>
    <row r="2140" spans="24:28" x14ac:dyDescent="0.2">
      <c r="X2140" s="27"/>
      <c r="AB2140" s="30"/>
    </row>
    <row r="2141" spans="24:28" x14ac:dyDescent="0.2">
      <c r="X2141" s="27"/>
      <c r="AB2141" s="30"/>
    </row>
    <row r="2142" spans="24:28" x14ac:dyDescent="0.2">
      <c r="X2142" s="27"/>
      <c r="AB2142" s="30"/>
    </row>
    <row r="2143" spans="24:28" x14ac:dyDescent="0.2">
      <c r="X2143" s="27"/>
      <c r="AB2143" s="30"/>
    </row>
    <row r="2144" spans="24:28" x14ac:dyDescent="0.2">
      <c r="X2144" s="27"/>
      <c r="AB2144" s="30"/>
    </row>
    <row r="2145" spans="24:28" x14ac:dyDescent="0.2">
      <c r="X2145" s="27"/>
      <c r="AB2145" s="30"/>
    </row>
    <row r="2146" spans="24:28" x14ac:dyDescent="0.2">
      <c r="X2146" s="27"/>
      <c r="AB2146" s="30"/>
    </row>
    <row r="2147" spans="24:28" x14ac:dyDescent="0.2">
      <c r="X2147" s="27"/>
      <c r="AB2147" s="30"/>
    </row>
    <row r="2148" spans="24:28" x14ac:dyDescent="0.2">
      <c r="X2148" s="27"/>
      <c r="AB2148" s="30"/>
    </row>
    <row r="2149" spans="24:28" x14ac:dyDescent="0.2">
      <c r="X2149" s="27"/>
      <c r="AB2149" s="30"/>
    </row>
    <row r="2150" spans="24:28" x14ac:dyDescent="0.2">
      <c r="X2150" s="27"/>
      <c r="AB2150" s="30"/>
    </row>
    <row r="2151" spans="24:28" x14ac:dyDescent="0.2">
      <c r="X2151" s="27"/>
      <c r="AB2151" s="30"/>
    </row>
    <row r="2152" spans="24:28" x14ac:dyDescent="0.2">
      <c r="X2152" s="27"/>
      <c r="AB2152" s="30"/>
    </row>
    <row r="2153" spans="24:28" x14ac:dyDescent="0.2">
      <c r="X2153" s="27"/>
      <c r="AB2153" s="30"/>
    </row>
    <row r="2154" spans="24:28" x14ac:dyDescent="0.2">
      <c r="X2154" s="27"/>
      <c r="AB2154" s="30"/>
    </row>
    <row r="2155" spans="24:28" x14ac:dyDescent="0.2">
      <c r="X2155" s="27"/>
      <c r="AB2155" s="30"/>
    </row>
    <row r="2156" spans="24:28" x14ac:dyDescent="0.2">
      <c r="X2156" s="27"/>
      <c r="AB2156" s="30"/>
    </row>
    <row r="2157" spans="24:28" x14ac:dyDescent="0.2">
      <c r="X2157" s="27"/>
      <c r="AB2157" s="30"/>
    </row>
    <row r="2158" spans="24:28" x14ac:dyDescent="0.2">
      <c r="X2158" s="27"/>
      <c r="AB2158" s="30"/>
    </row>
    <row r="2159" spans="24:28" x14ac:dyDescent="0.2">
      <c r="X2159" s="27"/>
      <c r="AB2159" s="30"/>
    </row>
    <row r="2160" spans="24:28" x14ac:dyDescent="0.2">
      <c r="X2160" s="27"/>
      <c r="AB2160" s="30"/>
    </row>
    <row r="2161" spans="24:28" x14ac:dyDescent="0.2">
      <c r="X2161" s="27"/>
      <c r="AB2161" s="30"/>
    </row>
    <row r="2162" spans="24:28" x14ac:dyDescent="0.2">
      <c r="X2162" s="27"/>
      <c r="AB2162" s="30"/>
    </row>
    <row r="2163" spans="24:28" x14ac:dyDescent="0.2">
      <c r="X2163" s="27"/>
      <c r="AB2163" s="30"/>
    </row>
    <row r="2164" spans="24:28" x14ac:dyDescent="0.2">
      <c r="X2164" s="27"/>
      <c r="AB2164" s="30"/>
    </row>
    <row r="2165" spans="24:28" x14ac:dyDescent="0.2">
      <c r="X2165" s="27"/>
      <c r="AB2165" s="30"/>
    </row>
    <row r="2166" spans="24:28" x14ac:dyDescent="0.2">
      <c r="X2166" s="27"/>
      <c r="AB2166" s="30"/>
    </row>
    <row r="2167" spans="24:28" x14ac:dyDescent="0.2">
      <c r="X2167" s="27"/>
      <c r="AB2167" s="30"/>
    </row>
    <row r="2168" spans="24:28" x14ac:dyDescent="0.2">
      <c r="X2168" s="27"/>
      <c r="AB2168" s="30"/>
    </row>
    <row r="2169" spans="24:28" x14ac:dyDescent="0.2">
      <c r="X2169" s="27"/>
      <c r="AB2169" s="30"/>
    </row>
    <row r="2170" spans="24:28" x14ac:dyDescent="0.2">
      <c r="X2170" s="27"/>
      <c r="AB2170" s="30"/>
    </row>
    <row r="2171" spans="24:28" x14ac:dyDescent="0.2">
      <c r="X2171" s="27"/>
      <c r="AB2171" s="30"/>
    </row>
    <row r="2172" spans="24:28" x14ac:dyDescent="0.2">
      <c r="X2172" s="27"/>
      <c r="AB2172" s="30"/>
    </row>
    <row r="2173" spans="24:28" x14ac:dyDescent="0.2">
      <c r="X2173" s="27"/>
      <c r="AB2173" s="30"/>
    </row>
    <row r="2174" spans="24:28" x14ac:dyDescent="0.2">
      <c r="X2174" s="27"/>
      <c r="AB2174" s="30"/>
    </row>
    <row r="2175" spans="24:28" x14ac:dyDescent="0.2">
      <c r="X2175" s="27"/>
      <c r="AB2175" s="30"/>
    </row>
    <row r="2176" spans="24:28" x14ac:dyDescent="0.2">
      <c r="X2176" s="27"/>
      <c r="AB2176" s="30"/>
    </row>
    <row r="2177" spans="24:28" x14ac:dyDescent="0.2">
      <c r="X2177" s="27"/>
      <c r="AB2177" s="30"/>
    </row>
    <row r="2178" spans="24:28" x14ac:dyDescent="0.2">
      <c r="X2178" s="27"/>
      <c r="AB2178" s="30"/>
    </row>
    <row r="2179" spans="24:28" x14ac:dyDescent="0.2">
      <c r="X2179" s="27"/>
      <c r="AB2179" s="30"/>
    </row>
    <row r="2180" spans="24:28" x14ac:dyDescent="0.2">
      <c r="X2180" s="27"/>
      <c r="AB2180" s="30"/>
    </row>
    <row r="2181" spans="24:28" x14ac:dyDescent="0.2">
      <c r="X2181" s="27"/>
      <c r="AB2181" s="30"/>
    </row>
    <row r="2182" spans="24:28" x14ac:dyDescent="0.2">
      <c r="X2182" s="27"/>
      <c r="AB2182" s="30"/>
    </row>
    <row r="2183" spans="24:28" x14ac:dyDescent="0.2">
      <c r="X2183" s="27"/>
      <c r="AB2183" s="30"/>
    </row>
    <row r="2184" spans="24:28" x14ac:dyDescent="0.2">
      <c r="X2184" s="27"/>
      <c r="AB2184" s="30"/>
    </row>
    <row r="2185" spans="24:28" x14ac:dyDescent="0.2">
      <c r="X2185" s="27"/>
      <c r="AB2185" s="30"/>
    </row>
    <row r="2186" spans="24:28" x14ac:dyDescent="0.2">
      <c r="X2186" s="27"/>
      <c r="AB2186" s="30"/>
    </row>
    <row r="2187" spans="24:28" x14ac:dyDescent="0.2">
      <c r="X2187" s="27"/>
      <c r="AB2187" s="30"/>
    </row>
    <row r="2188" spans="24:28" x14ac:dyDescent="0.2">
      <c r="X2188" s="27"/>
      <c r="AB2188" s="30"/>
    </row>
    <row r="2189" spans="24:28" x14ac:dyDescent="0.2">
      <c r="X2189" s="27"/>
      <c r="AB2189" s="30"/>
    </row>
    <row r="2190" spans="24:28" x14ac:dyDescent="0.2">
      <c r="X2190" s="27"/>
      <c r="AB2190" s="30"/>
    </row>
    <row r="2191" spans="24:28" x14ac:dyDescent="0.2">
      <c r="X2191" s="27"/>
      <c r="AB2191" s="30"/>
    </row>
    <row r="2192" spans="24:28" x14ac:dyDescent="0.2">
      <c r="X2192" s="27"/>
      <c r="AB2192" s="30"/>
    </row>
    <row r="2193" spans="24:28" x14ac:dyDescent="0.2">
      <c r="X2193" s="27"/>
      <c r="AB2193" s="30"/>
    </row>
    <row r="2194" spans="24:28" x14ac:dyDescent="0.2">
      <c r="X2194" s="27"/>
      <c r="AB2194" s="30"/>
    </row>
    <row r="2195" spans="24:28" x14ac:dyDescent="0.2">
      <c r="X2195" s="27"/>
      <c r="AB2195" s="30"/>
    </row>
    <row r="2196" spans="24:28" x14ac:dyDescent="0.2">
      <c r="X2196" s="27"/>
      <c r="AB2196" s="30"/>
    </row>
    <row r="2197" spans="24:28" x14ac:dyDescent="0.2">
      <c r="X2197" s="27"/>
      <c r="AB2197" s="30"/>
    </row>
    <row r="2198" spans="24:28" x14ac:dyDescent="0.2">
      <c r="X2198" s="27"/>
      <c r="AB2198" s="30"/>
    </row>
    <row r="2199" spans="24:28" x14ac:dyDescent="0.2">
      <c r="X2199" s="27"/>
      <c r="AB2199" s="30"/>
    </row>
    <row r="2200" spans="24:28" x14ac:dyDescent="0.2">
      <c r="X2200" s="27"/>
      <c r="AB2200" s="30"/>
    </row>
    <row r="2201" spans="24:28" x14ac:dyDescent="0.2">
      <c r="X2201" s="27"/>
      <c r="AB2201" s="30"/>
    </row>
    <row r="2202" spans="24:28" x14ac:dyDescent="0.2">
      <c r="X2202" s="27"/>
      <c r="AB2202" s="30"/>
    </row>
    <row r="2203" spans="24:28" x14ac:dyDescent="0.2">
      <c r="X2203" s="27"/>
      <c r="AB2203" s="30"/>
    </row>
    <row r="2204" spans="24:28" x14ac:dyDescent="0.2">
      <c r="X2204" s="27"/>
      <c r="AB2204" s="30"/>
    </row>
    <row r="2205" spans="24:28" x14ac:dyDescent="0.2">
      <c r="X2205" s="27"/>
      <c r="AB2205" s="30"/>
    </row>
    <row r="2206" spans="24:28" x14ac:dyDescent="0.2">
      <c r="X2206" s="27"/>
      <c r="AB2206" s="30"/>
    </row>
    <row r="2207" spans="24:28" x14ac:dyDescent="0.2">
      <c r="X2207" s="27"/>
      <c r="AB2207" s="30"/>
    </row>
    <row r="2208" spans="24:28" x14ac:dyDescent="0.2">
      <c r="X2208" s="27"/>
      <c r="AB2208" s="30"/>
    </row>
    <row r="2209" spans="24:28" x14ac:dyDescent="0.2">
      <c r="X2209" s="27"/>
      <c r="AB2209" s="30"/>
    </row>
    <row r="2210" spans="24:28" x14ac:dyDescent="0.2">
      <c r="X2210" s="27"/>
      <c r="AB2210" s="30"/>
    </row>
    <row r="2211" spans="24:28" x14ac:dyDescent="0.2">
      <c r="X2211" s="27"/>
      <c r="AB2211" s="30"/>
    </row>
    <row r="2212" spans="24:28" x14ac:dyDescent="0.2">
      <c r="X2212" s="27"/>
      <c r="AB2212" s="30"/>
    </row>
    <row r="2213" spans="24:28" x14ac:dyDescent="0.2">
      <c r="X2213" s="27"/>
      <c r="AB2213" s="30"/>
    </row>
    <row r="2214" spans="24:28" x14ac:dyDescent="0.2">
      <c r="X2214" s="27"/>
      <c r="AB2214" s="30"/>
    </row>
    <row r="2215" spans="24:28" x14ac:dyDescent="0.2">
      <c r="X2215" s="27"/>
      <c r="AB2215" s="30"/>
    </row>
    <row r="2216" spans="24:28" x14ac:dyDescent="0.2">
      <c r="X2216" s="27"/>
      <c r="AB2216" s="30"/>
    </row>
    <row r="2217" spans="24:28" x14ac:dyDescent="0.2">
      <c r="X2217" s="27"/>
      <c r="AB2217" s="30"/>
    </row>
    <row r="2218" spans="24:28" x14ac:dyDescent="0.2">
      <c r="X2218" s="27"/>
      <c r="AB2218" s="30"/>
    </row>
    <row r="2219" spans="24:28" x14ac:dyDescent="0.2">
      <c r="X2219" s="27"/>
      <c r="AB2219" s="30"/>
    </row>
    <row r="2220" spans="24:28" x14ac:dyDescent="0.2">
      <c r="X2220" s="27"/>
      <c r="AB2220" s="30"/>
    </row>
    <row r="2221" spans="24:28" x14ac:dyDescent="0.2">
      <c r="X2221" s="27"/>
      <c r="AB2221" s="30"/>
    </row>
    <row r="2222" spans="24:28" x14ac:dyDescent="0.2">
      <c r="X2222" s="27"/>
      <c r="AB2222" s="30"/>
    </row>
    <row r="2223" spans="24:28" x14ac:dyDescent="0.2">
      <c r="X2223" s="27"/>
      <c r="AB2223" s="30"/>
    </row>
    <row r="2224" spans="24:28" x14ac:dyDescent="0.2">
      <c r="X2224" s="27"/>
      <c r="AB2224" s="30"/>
    </row>
    <row r="2225" spans="24:28" x14ac:dyDescent="0.2">
      <c r="X2225" s="27"/>
      <c r="AB2225" s="30"/>
    </row>
    <row r="2226" spans="24:28" x14ac:dyDescent="0.2">
      <c r="X2226" s="27"/>
      <c r="AB2226" s="30"/>
    </row>
    <row r="2227" spans="24:28" x14ac:dyDescent="0.2">
      <c r="X2227" s="27"/>
      <c r="AB2227" s="30"/>
    </row>
    <row r="2228" spans="24:28" x14ac:dyDescent="0.2">
      <c r="X2228" s="27"/>
      <c r="AB2228" s="30"/>
    </row>
    <row r="2229" spans="24:28" x14ac:dyDescent="0.2">
      <c r="X2229" s="27"/>
      <c r="AB2229" s="30"/>
    </row>
    <row r="2230" spans="24:28" x14ac:dyDescent="0.2">
      <c r="X2230" s="27"/>
      <c r="AB2230" s="30"/>
    </row>
    <row r="2231" spans="24:28" x14ac:dyDescent="0.2">
      <c r="X2231" s="27"/>
      <c r="AB2231" s="30"/>
    </row>
    <row r="2232" spans="24:28" x14ac:dyDescent="0.2">
      <c r="X2232" s="27"/>
      <c r="AB2232" s="30"/>
    </row>
    <row r="2233" spans="24:28" x14ac:dyDescent="0.2">
      <c r="X2233" s="27"/>
      <c r="AB2233" s="30"/>
    </row>
    <row r="2234" spans="24:28" x14ac:dyDescent="0.2">
      <c r="X2234" s="27"/>
      <c r="AB2234" s="30"/>
    </row>
    <row r="2235" spans="24:28" x14ac:dyDescent="0.2">
      <c r="X2235" s="27"/>
      <c r="AB2235" s="30"/>
    </row>
    <row r="2236" spans="24:28" x14ac:dyDescent="0.2">
      <c r="X2236" s="27"/>
      <c r="AB2236" s="30"/>
    </row>
    <row r="2237" spans="24:28" x14ac:dyDescent="0.2">
      <c r="X2237" s="27"/>
      <c r="AB2237" s="30"/>
    </row>
    <row r="2238" spans="24:28" x14ac:dyDescent="0.2">
      <c r="X2238" s="27"/>
      <c r="AB2238" s="30"/>
    </row>
    <row r="2239" spans="24:28" x14ac:dyDescent="0.2">
      <c r="X2239" s="27"/>
      <c r="AB2239" s="30"/>
    </row>
    <row r="2240" spans="24:28" x14ac:dyDescent="0.2">
      <c r="X2240" s="27"/>
      <c r="AB2240" s="30"/>
    </row>
    <row r="2241" spans="24:28" x14ac:dyDescent="0.2">
      <c r="X2241" s="27"/>
      <c r="AB2241" s="30"/>
    </row>
    <row r="2242" spans="24:28" x14ac:dyDescent="0.2">
      <c r="X2242" s="27"/>
      <c r="AB2242" s="30"/>
    </row>
    <row r="2243" spans="24:28" x14ac:dyDescent="0.2">
      <c r="X2243" s="27"/>
      <c r="AB2243" s="30"/>
    </row>
    <row r="2244" spans="24:28" x14ac:dyDescent="0.2">
      <c r="X2244" s="27"/>
      <c r="AB2244" s="30"/>
    </row>
    <row r="2245" spans="24:28" x14ac:dyDescent="0.2">
      <c r="X2245" s="27"/>
      <c r="AB2245" s="30"/>
    </row>
    <row r="2246" spans="24:28" x14ac:dyDescent="0.2">
      <c r="X2246" s="27"/>
      <c r="AB2246" s="30"/>
    </row>
  </sheetData>
  <pageMargins left="0.78740157499999996" right="0.78740157499999996" top="0.984251969" bottom="0.984251969" header="0.5" footer="0.5"/>
  <headerFooter alignWithMargins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4">
    <tabColor indexed="29"/>
  </sheetPr>
  <dimension ref="A3:Y52"/>
  <sheetViews>
    <sheetView showGridLines="0" zoomScale="85" workbookViewId="0">
      <pane xSplit="1" ySplit="6" topLeftCell="B7" activePane="bottomRight" state="frozen"/>
      <selection pane="topRight"/>
      <selection pane="bottomLeft"/>
      <selection pane="bottomRight" activeCell="B7" sqref="B7"/>
    </sheetView>
  </sheetViews>
  <sheetFormatPr defaultColWidth="11.42578125" defaultRowHeight="12.75" x14ac:dyDescent="0.2"/>
  <cols>
    <col min="1" max="1" width="14.140625" style="22" customWidth="1"/>
    <col min="2" max="2" width="9.85546875" style="22" customWidth="1"/>
    <col min="3" max="3" width="9.85546875" style="22" bestFit="1" customWidth="1"/>
    <col min="4" max="24" width="10.85546875" style="22" customWidth="1"/>
    <col min="25" max="25" width="11.85546875" style="22" bestFit="1" customWidth="1"/>
    <col min="26" max="16384" width="11.42578125" style="22"/>
  </cols>
  <sheetData>
    <row r="3" spans="1:25" ht="15" x14ac:dyDescent="0.25">
      <c r="A3" s="2" t="s">
        <v>194</v>
      </c>
      <c r="B3" s="1" t="s">
        <v>292</v>
      </c>
    </row>
    <row r="5" spans="1:25" ht="15" x14ac:dyDescent="0.25">
      <c r="A5" s="42" t="s">
        <v>419</v>
      </c>
      <c r="B5" s="43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</row>
    <row r="6" spans="1:25" ht="15" x14ac:dyDescent="0.25">
      <c r="A6" s="42" t="s">
        <v>229</v>
      </c>
      <c r="B6" s="43" t="s">
        <v>335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</row>
    <row r="7" spans="1:25" ht="15" x14ac:dyDescent="0.25">
      <c r="A7" s="44">
        <v>41636</v>
      </c>
      <c r="B7" s="131">
        <v>-1069486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</row>
    <row r="8" spans="1:25" ht="15" x14ac:dyDescent="0.25">
      <c r="A8"/>
      <c r="B8"/>
      <c r="C8"/>
    </row>
    <row r="9" spans="1:25" ht="15" x14ac:dyDescent="0.25">
      <c r="A9"/>
      <c r="B9"/>
      <c r="C9"/>
    </row>
    <row r="10" spans="1:25" ht="15" x14ac:dyDescent="0.25">
      <c r="A10"/>
      <c r="B10"/>
      <c r="C10"/>
    </row>
    <row r="11" spans="1:25" ht="15" x14ac:dyDescent="0.25">
      <c r="A11"/>
      <c r="B11"/>
      <c r="C11"/>
    </row>
    <row r="12" spans="1:25" ht="15" x14ac:dyDescent="0.25">
      <c r="A12"/>
      <c r="B12"/>
      <c r="C12"/>
    </row>
    <row r="13" spans="1:25" ht="15" x14ac:dyDescent="0.25">
      <c r="A13"/>
      <c r="B13"/>
      <c r="C13"/>
    </row>
    <row r="14" spans="1:25" ht="15" x14ac:dyDescent="0.25">
      <c r="A14"/>
      <c r="B14"/>
      <c r="C14"/>
    </row>
    <row r="15" spans="1:25" ht="15" x14ac:dyDescent="0.25">
      <c r="A15"/>
      <c r="B15"/>
      <c r="C15"/>
    </row>
    <row r="16" spans="1:25" ht="15" x14ac:dyDescent="0.25">
      <c r="A16"/>
      <c r="B16"/>
      <c r="C16"/>
    </row>
    <row r="17" spans="1:3" ht="15" x14ac:dyDescent="0.25">
      <c r="A17"/>
      <c r="B17"/>
      <c r="C17"/>
    </row>
    <row r="18" spans="1:3" ht="15" x14ac:dyDescent="0.25">
      <c r="A18"/>
      <c r="B18"/>
      <c r="C18"/>
    </row>
    <row r="19" spans="1:3" ht="15" x14ac:dyDescent="0.25">
      <c r="A19"/>
      <c r="B19"/>
      <c r="C19"/>
    </row>
    <row r="20" spans="1:3" ht="15" x14ac:dyDescent="0.25">
      <c r="A20"/>
      <c r="B20"/>
      <c r="C20"/>
    </row>
    <row r="21" spans="1:3" ht="15" x14ac:dyDescent="0.25">
      <c r="A21"/>
      <c r="B21"/>
      <c r="C21"/>
    </row>
    <row r="22" spans="1:3" ht="15" x14ac:dyDescent="0.25">
      <c r="A22"/>
      <c r="B22"/>
      <c r="C22"/>
    </row>
    <row r="23" spans="1:3" ht="15" x14ac:dyDescent="0.25">
      <c r="A23"/>
      <c r="B23"/>
      <c r="C23"/>
    </row>
    <row r="24" spans="1:3" ht="15" x14ac:dyDescent="0.25">
      <c r="A24"/>
      <c r="B24"/>
      <c r="C24"/>
    </row>
    <row r="25" spans="1:3" ht="15" x14ac:dyDescent="0.25">
      <c r="A25"/>
      <c r="B25"/>
      <c r="C25"/>
    </row>
    <row r="26" spans="1:3" ht="15" x14ac:dyDescent="0.25">
      <c r="A26"/>
      <c r="B26"/>
      <c r="C26"/>
    </row>
    <row r="27" spans="1:3" ht="15" x14ac:dyDescent="0.25">
      <c r="A27"/>
      <c r="B27"/>
      <c r="C27"/>
    </row>
    <row r="28" spans="1:3" ht="15" x14ac:dyDescent="0.25">
      <c r="A28"/>
      <c r="B28"/>
      <c r="C28"/>
    </row>
    <row r="29" spans="1:3" ht="15" x14ac:dyDescent="0.25">
      <c r="A29"/>
      <c r="B29"/>
      <c r="C29"/>
    </row>
    <row r="30" spans="1:3" ht="15" x14ac:dyDescent="0.25">
      <c r="A30"/>
      <c r="B30"/>
      <c r="C30"/>
    </row>
    <row r="31" spans="1:3" ht="15" x14ac:dyDescent="0.25">
      <c r="A31"/>
      <c r="B31"/>
      <c r="C31"/>
    </row>
    <row r="32" spans="1:3" ht="15" x14ac:dyDescent="0.25">
      <c r="A32"/>
      <c r="B32"/>
      <c r="C32"/>
    </row>
    <row r="33" spans="1:3" ht="15" x14ac:dyDescent="0.25">
      <c r="A33"/>
      <c r="B33"/>
      <c r="C33"/>
    </row>
    <row r="34" spans="1:3" ht="15" x14ac:dyDescent="0.25">
      <c r="A34"/>
      <c r="B34"/>
      <c r="C34"/>
    </row>
    <row r="35" spans="1:3" ht="15" x14ac:dyDescent="0.25">
      <c r="A35"/>
      <c r="B35"/>
      <c r="C35"/>
    </row>
    <row r="36" spans="1:3" ht="15" x14ac:dyDescent="0.25">
      <c r="A36"/>
      <c r="B36"/>
      <c r="C36"/>
    </row>
    <row r="37" spans="1:3" ht="15" x14ac:dyDescent="0.25">
      <c r="A37"/>
      <c r="B37"/>
      <c r="C37"/>
    </row>
    <row r="38" spans="1:3" ht="15" x14ac:dyDescent="0.25">
      <c r="A38"/>
      <c r="B38"/>
      <c r="C38"/>
    </row>
    <row r="39" spans="1:3" ht="15" x14ac:dyDescent="0.25">
      <c r="A39"/>
      <c r="B39"/>
      <c r="C39"/>
    </row>
    <row r="40" spans="1:3" ht="15" x14ac:dyDescent="0.25">
      <c r="A40"/>
      <c r="B40"/>
      <c r="C40"/>
    </row>
    <row r="41" spans="1:3" ht="15" x14ac:dyDescent="0.25">
      <c r="A41"/>
      <c r="B41"/>
      <c r="C41"/>
    </row>
    <row r="42" spans="1:3" ht="15" x14ac:dyDescent="0.25">
      <c r="A42"/>
      <c r="B42"/>
      <c r="C42"/>
    </row>
    <row r="43" spans="1:3" ht="15" x14ac:dyDescent="0.25">
      <c r="A43"/>
      <c r="B43"/>
      <c r="C43"/>
    </row>
    <row r="44" spans="1:3" ht="15" x14ac:dyDescent="0.25">
      <c r="A44"/>
      <c r="B44"/>
      <c r="C44"/>
    </row>
    <row r="45" spans="1:3" ht="15" x14ac:dyDescent="0.25">
      <c r="A45"/>
      <c r="B45"/>
      <c r="C45"/>
    </row>
    <row r="46" spans="1:3" ht="15" x14ac:dyDescent="0.25">
      <c r="A46"/>
      <c r="B46"/>
      <c r="C46"/>
    </row>
    <row r="47" spans="1:3" ht="15" x14ac:dyDescent="0.25">
      <c r="A47"/>
      <c r="B47"/>
      <c r="C47"/>
    </row>
    <row r="48" spans="1:3" ht="15" x14ac:dyDescent="0.25">
      <c r="A48"/>
      <c r="B48"/>
      <c r="C48"/>
    </row>
    <row r="49" spans="1:3" ht="15" x14ac:dyDescent="0.25">
      <c r="A49"/>
      <c r="B49"/>
      <c r="C49"/>
    </row>
    <row r="50" spans="1:3" ht="15" x14ac:dyDescent="0.25">
      <c r="A50"/>
      <c r="B50"/>
      <c r="C50"/>
    </row>
    <row r="51" spans="1:3" ht="15" x14ac:dyDescent="0.25">
      <c r="A51"/>
      <c r="B51"/>
      <c r="C51"/>
    </row>
    <row r="52" spans="1:3" ht="15" x14ac:dyDescent="0.25">
      <c r="A52"/>
      <c r="B52"/>
      <c r="C52"/>
    </row>
  </sheetData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6">
    <tabColor indexed="29"/>
  </sheetPr>
  <dimension ref="A1:BL3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11.42578125" defaultRowHeight="12.75" x14ac:dyDescent="0.2"/>
  <cols>
    <col min="1" max="1" width="7.5703125" style="31" bestFit="1" customWidth="1"/>
    <col min="2" max="2" width="9.28515625" style="31" bestFit="1" customWidth="1"/>
    <col min="3" max="3" width="8.5703125" style="31" bestFit="1" customWidth="1"/>
    <col min="4" max="4" width="6.85546875" style="31" bestFit="1" customWidth="1"/>
    <col min="5" max="5" width="11.28515625" style="31" bestFit="1" customWidth="1"/>
    <col min="6" max="6" width="11.28515625" style="31" customWidth="1"/>
    <col min="7" max="7" width="9.28515625" style="31" bestFit="1" customWidth="1"/>
    <col min="8" max="8" width="8.42578125" style="31" bestFit="1" customWidth="1"/>
    <col min="9" max="9" width="30.28515625" style="31" bestFit="1" customWidth="1"/>
    <col min="10" max="10" width="26.85546875" style="31" bestFit="1" customWidth="1"/>
    <col min="11" max="11" width="12.140625" style="31" bestFit="1" customWidth="1"/>
    <col min="12" max="12" width="7.140625" style="32" bestFit="1" customWidth="1"/>
    <col min="13" max="13" width="16.5703125" style="32" bestFit="1" customWidth="1"/>
    <col min="14" max="14" width="13.7109375" style="32" bestFit="1" customWidth="1"/>
    <col min="15" max="15" width="14.5703125" style="32" bestFit="1" customWidth="1"/>
    <col min="16" max="16" width="19.5703125" style="32" bestFit="1" customWidth="1"/>
    <col min="17" max="17" width="12.140625" style="32" bestFit="1" customWidth="1"/>
    <col min="18" max="18" width="15" style="32" bestFit="1" customWidth="1"/>
    <col min="19" max="19" width="13.42578125" style="32" bestFit="1" customWidth="1"/>
    <col min="20" max="20" width="13.85546875" style="32" bestFit="1" customWidth="1"/>
    <col min="21" max="21" width="15" style="32" bestFit="1" customWidth="1"/>
    <col min="22" max="22" width="8.85546875" style="32" bestFit="1" customWidth="1"/>
    <col min="23" max="23" width="15.28515625" style="32" bestFit="1" customWidth="1"/>
    <col min="24" max="24" width="11.5703125" style="32" bestFit="1" customWidth="1"/>
    <col min="25" max="25" width="6.85546875" style="32" bestFit="1" customWidth="1"/>
    <col min="26" max="26" width="11.5703125" style="32" bestFit="1" customWidth="1"/>
    <col min="27" max="27" width="14.28515625" style="32" bestFit="1" customWidth="1"/>
    <col min="28" max="28" width="14.28515625" style="32" customWidth="1"/>
    <col min="29" max="29" width="23.7109375" style="32" bestFit="1" customWidth="1"/>
    <col min="30" max="31" width="11.5703125" style="32" bestFit="1" customWidth="1"/>
    <col min="32" max="32" width="13.28515625" style="32" bestFit="1" customWidth="1"/>
    <col min="33" max="33" width="11.28515625" style="32" bestFit="1" customWidth="1"/>
    <col min="34" max="34" width="8.42578125" style="32" bestFit="1" customWidth="1"/>
    <col min="35" max="35" width="7.42578125" style="32" bestFit="1" customWidth="1"/>
    <col min="36" max="36" width="11.42578125" style="32" bestFit="1" customWidth="1"/>
    <col min="37" max="37" width="32.140625" style="32" bestFit="1" customWidth="1"/>
    <col min="38" max="38" width="30.5703125" style="32" bestFit="1" customWidth="1"/>
    <col min="39" max="39" width="13.140625" style="32" customWidth="1"/>
    <col min="40" max="41" width="10.5703125" style="32" customWidth="1"/>
    <col min="42" max="42" width="11.5703125" style="32" customWidth="1"/>
    <col min="43" max="43" width="9.5703125" style="32" customWidth="1"/>
    <col min="44" max="44" width="17.7109375" style="166" bestFit="1" customWidth="1"/>
    <col min="45" max="45" width="11.28515625" style="32" customWidth="1"/>
    <col min="46" max="46" width="12.140625" style="32" bestFit="1" customWidth="1"/>
    <col min="47" max="47" width="2.28515625" style="32" customWidth="1"/>
    <col min="48" max="49" width="10.28515625" style="32" customWidth="1"/>
    <col min="50" max="50" width="14" style="32" customWidth="1"/>
    <col min="51" max="51" width="8.85546875" style="32" customWidth="1"/>
    <col min="52" max="52" width="5" style="32" customWidth="1"/>
    <col min="53" max="53" width="4.140625" style="32" customWidth="1"/>
    <col min="54" max="54" width="4.28515625" style="32" customWidth="1"/>
    <col min="55" max="55" width="19.140625" style="32" customWidth="1"/>
    <col min="56" max="56" width="11.28515625" style="32" customWidth="1"/>
    <col min="57" max="57" width="12.7109375" style="32" customWidth="1"/>
    <col min="58" max="58" width="2.28515625" style="32" customWidth="1"/>
    <col min="59" max="59" width="5.85546875" style="32" customWidth="1"/>
    <col min="60" max="60" width="25.5703125" style="32" customWidth="1"/>
    <col min="61" max="61" width="4.5703125" style="32" customWidth="1"/>
    <col min="62" max="62" width="2.85546875" style="32" customWidth="1"/>
    <col min="63" max="63" width="11.28515625" style="32" customWidth="1"/>
    <col min="64" max="64" width="7.42578125" style="32" customWidth="1"/>
    <col min="65" max="16384" width="11.42578125" style="31"/>
  </cols>
  <sheetData>
    <row r="1" spans="1:63" x14ac:dyDescent="0.2">
      <c r="A1" s="39" t="s">
        <v>125</v>
      </c>
      <c r="B1" s="39" t="s">
        <v>144</v>
      </c>
      <c r="C1" s="39" t="s">
        <v>138</v>
      </c>
      <c r="D1" s="39" t="s">
        <v>140</v>
      </c>
      <c r="E1" s="39" t="s">
        <v>30</v>
      </c>
      <c r="F1" s="39" t="s">
        <v>146</v>
      </c>
      <c r="G1" s="39" t="s">
        <v>111</v>
      </c>
      <c r="H1" s="39" t="s">
        <v>420</v>
      </c>
      <c r="I1" s="39" t="s">
        <v>421</v>
      </c>
      <c r="J1" s="39" t="s">
        <v>422</v>
      </c>
      <c r="K1" s="39" t="s">
        <v>109</v>
      </c>
      <c r="L1" s="39" t="s">
        <v>124</v>
      </c>
      <c r="M1" s="39" t="s">
        <v>444</v>
      </c>
      <c r="N1" s="39" t="s">
        <v>133</v>
      </c>
      <c r="O1" s="39" t="s">
        <v>442</v>
      </c>
      <c r="P1" s="39" t="s">
        <v>423</v>
      </c>
      <c r="Q1" s="39" t="s">
        <v>136</v>
      </c>
      <c r="R1" s="39" t="s">
        <v>441</v>
      </c>
      <c r="S1" s="39" t="s">
        <v>424</v>
      </c>
      <c r="T1" s="39" t="s">
        <v>135</v>
      </c>
      <c r="U1" s="39" t="s">
        <v>440</v>
      </c>
      <c r="V1" s="39" t="s">
        <v>117</v>
      </c>
      <c r="W1" s="39" t="s">
        <v>425</v>
      </c>
      <c r="X1" s="39" t="s">
        <v>131</v>
      </c>
      <c r="Y1" s="39" t="s">
        <v>154</v>
      </c>
      <c r="Z1" s="39" t="s">
        <v>127</v>
      </c>
      <c r="AA1" s="39" t="s">
        <v>443</v>
      </c>
      <c r="AB1" s="39" t="s">
        <v>457</v>
      </c>
      <c r="AC1" s="39" t="s">
        <v>142</v>
      </c>
      <c r="AD1" s="39" t="s">
        <v>122</v>
      </c>
      <c r="AE1" s="39" t="s">
        <v>152</v>
      </c>
      <c r="AF1" s="39" t="s">
        <v>426</v>
      </c>
      <c r="AG1" s="39" t="s">
        <v>3</v>
      </c>
      <c r="AH1" s="39" t="s">
        <v>427</v>
      </c>
      <c r="AI1" s="39" t="s">
        <v>2</v>
      </c>
      <c r="AJ1" s="137" t="s">
        <v>119</v>
      </c>
      <c r="AK1" s="137" t="s">
        <v>150</v>
      </c>
      <c r="AL1" s="137" t="s">
        <v>156</v>
      </c>
      <c r="AM1" s="40" t="s">
        <v>329</v>
      </c>
      <c r="AN1" s="40" t="s">
        <v>330</v>
      </c>
      <c r="AO1" s="40" t="s">
        <v>331</v>
      </c>
      <c r="AP1" s="41" t="s">
        <v>161</v>
      </c>
      <c r="AQ1" s="40" t="s">
        <v>164</v>
      </c>
      <c r="AR1" s="165" t="s">
        <v>452</v>
      </c>
      <c r="AS1" s="40" t="s">
        <v>332</v>
      </c>
      <c r="AT1" s="182" t="s">
        <v>455</v>
      </c>
      <c r="AU1" s="23"/>
      <c r="AV1" s="31" t="s">
        <v>333</v>
      </c>
      <c r="AW1" s="23">
        <f ca="1">OFFSET(AP1,ROWS(_xlnm.Database)-1,0)</f>
        <v>1902</v>
      </c>
      <c r="AX1" s="23"/>
      <c r="AY1" s="23"/>
      <c r="AZ1" s="23"/>
      <c r="BA1" s="23"/>
      <c r="BB1" s="23"/>
      <c r="BC1" s="23"/>
      <c r="BD1" s="23"/>
      <c r="BE1" s="23"/>
      <c r="BF1" s="23"/>
      <c r="BG1" s="23"/>
      <c r="BH1" s="23"/>
      <c r="BI1" s="23"/>
      <c r="BJ1" s="23"/>
      <c r="BK1" s="23"/>
    </row>
    <row r="2" spans="1:63" x14ac:dyDescent="0.2">
      <c r="A2" s="33"/>
      <c r="B2" s="33">
        <v>1206296</v>
      </c>
      <c r="C2" s="35">
        <v>6.3206018518518522E-2</v>
      </c>
      <c r="D2" s="33" t="s">
        <v>334</v>
      </c>
      <c r="E2" s="33"/>
      <c r="F2" s="33"/>
      <c r="G2" s="33">
        <v>2014</v>
      </c>
      <c r="H2" s="33" t="s">
        <v>428</v>
      </c>
      <c r="I2" s="33" t="s">
        <v>429</v>
      </c>
      <c r="J2" s="33" t="s">
        <v>430</v>
      </c>
      <c r="K2" s="33">
        <v>4902095668</v>
      </c>
      <c r="L2" s="33">
        <v>321</v>
      </c>
      <c r="M2" s="33" t="s">
        <v>431</v>
      </c>
      <c r="N2" s="33" t="s">
        <v>432</v>
      </c>
      <c r="O2" s="33" t="s">
        <v>433</v>
      </c>
      <c r="P2" s="33" t="s">
        <v>434</v>
      </c>
      <c r="Q2" s="34" t="s">
        <v>432</v>
      </c>
      <c r="R2" s="33" t="s">
        <v>435</v>
      </c>
      <c r="S2" s="34" t="s">
        <v>436</v>
      </c>
      <c r="T2" s="35" t="s">
        <v>437</v>
      </c>
      <c r="U2" s="33" t="s">
        <v>431</v>
      </c>
      <c r="V2" s="33">
        <v>1206296</v>
      </c>
      <c r="W2" s="33" t="s">
        <v>453</v>
      </c>
      <c r="X2" s="33" t="s">
        <v>431</v>
      </c>
      <c r="Y2" s="33">
        <v>2</v>
      </c>
      <c r="Z2" s="33" t="s">
        <v>431</v>
      </c>
      <c r="AA2" s="33" t="s">
        <v>274</v>
      </c>
      <c r="AB2" s="33">
        <v>1</v>
      </c>
      <c r="AC2" s="33" t="s">
        <v>438</v>
      </c>
      <c r="AD2" s="33" t="s">
        <v>431</v>
      </c>
      <c r="AE2" s="33" t="s">
        <v>71</v>
      </c>
      <c r="AF2" s="33" t="s">
        <v>45</v>
      </c>
      <c r="AG2" s="33">
        <v>1029</v>
      </c>
      <c r="AH2" s="33" t="s">
        <v>439</v>
      </c>
      <c r="AI2" s="34" t="s">
        <v>433</v>
      </c>
      <c r="AJ2" s="32">
        <v>306</v>
      </c>
      <c r="AK2" s="32">
        <v>1902</v>
      </c>
      <c r="AL2" s="32">
        <v>145548.48000000001</v>
      </c>
      <c r="AM2" s="32">
        <f>IF(OR(RIGHT(W2,3)="201",RIGHT(W2,3)="601",RIGHT(W2,3)="301",RIGHT(W2,3)="202",RIGHT(W2,3)="262",RIGHT(W2,3)="261",L2=601,L2="Y96"),1,0)</f>
        <v>1</v>
      </c>
      <c r="AN2" s="32">
        <f ca="1">IF(AS2&lt;&gt;OFFSET(AS2,1,0),1,0)</f>
        <v>0</v>
      </c>
      <c r="AO2" s="32">
        <f ca="1">IF(OR(SapExlData[Mtyp]&lt;&gt;"ZFER",SapExlData[Mtyp]&lt;&gt;"ZHAW"),AK2*AN2,IF(ISERROR(VLOOKUP(SapExlData[Material],tblMARM[],3,FALSE)),1,IF(SapExlData[Quantity]&gt;=VLOOKUP(SapExlData[Material],tblMARM[],3,FALSE),(AK2/AT2),AK2))*AN2)</f>
        <v>0</v>
      </c>
      <c r="AP2" s="32">
        <f>IF(OR(SapExlData[Mtyp]&lt;&gt;"ZFER",SapExlData[Mtyp]&lt;&gt;"ZHAW"),AK2+IF(Y2=2,AQ2,0),IF(ISERROR(VLOOKUP(SapExlData[Material],tblMARM[],3,FALSE)),1,IF(SapExlData[Quantity]&gt;=VLOOKUP(SapExlData[Material],tblMARM[],3,FALSE),AK2/AT2,AK2))+IF(Y2=2,AQ2,0))</f>
        <v>1596</v>
      </c>
      <c r="AQ2" s="32">
        <f>IF(D2="H",IF(OR(SapExlData[Mtyp]&lt;&gt;"ZFER",SapExlData[Mtyp]&lt;&gt;"ZHAW"),-AJ2,IF(ISERROR(VLOOKUP(SapExlData[Material],tblMARM[],3,FALSE)),1,IF(SapExlData[Quantity]&gt;=VLOOKUP(SapExlData[Material],tblMARM[],3,FALSE),-AJ2/AT2,-AJ2))),IF(OR(SapExlData[Mtyp]&lt;&gt;"ZFER",SapExlData[Mtyp]&lt;&gt;"ZHAW"),AJ2,IF(ISERROR(VLOOKUP(SapExlData[Material],tblMARM[],3,FALSE)),1,IF(SapExlData[Quantity]&gt;=VLOOKUP(SapExlData[Material],tblMARM[],3,FALSE),AJ2/AT2,AJ2))))</f>
        <v>-306</v>
      </c>
      <c r="AR2" s="166">
        <f>DATEVALUE(Q2)+C2</f>
        <v>41799.063206018516</v>
      </c>
      <c r="AS2" s="34">
        <f>DATEVALUE(N2)</f>
        <v>41799</v>
      </c>
      <c r="AT2" s="181">
        <f>IF(ISERROR(VLOOKUP(SapExlData[Material],tblMARM[],3,FALSE)),1,IF(SapExlData[Quantity]&gt;=VLOOKUP(SapExlData[Material],tblMARM[],3,FALSE),SapExlData[Quantity]/VLOOKUP(SapExlData[Material],tblMARM[],3,FALSE),AJ2))</f>
        <v>1</v>
      </c>
      <c r="AU2" s="23"/>
      <c r="AW2" s="36"/>
      <c r="AX2" s="36"/>
      <c r="AY2" s="23"/>
      <c r="AZ2" s="23"/>
      <c r="BA2" s="23"/>
      <c r="BB2" s="23"/>
      <c r="BC2" s="23"/>
      <c r="BD2" s="23"/>
      <c r="BE2" s="23"/>
      <c r="BF2" s="23"/>
      <c r="BG2" s="23"/>
      <c r="BH2" s="23"/>
      <c r="BI2" s="23"/>
      <c r="BJ2" s="23"/>
      <c r="BK2" s="23"/>
    </row>
    <row r="3" spans="1:63" x14ac:dyDescent="0.2">
      <c r="A3" s="33"/>
      <c r="B3" s="33">
        <v>1206296</v>
      </c>
      <c r="C3" s="35">
        <v>6.3206018518518522E-2</v>
      </c>
      <c r="D3" s="33" t="s">
        <v>131</v>
      </c>
      <c r="E3" s="33"/>
      <c r="F3" s="33"/>
      <c r="G3" s="33">
        <v>2014</v>
      </c>
      <c r="H3" s="33" t="s">
        <v>428</v>
      </c>
      <c r="I3" s="33" t="s">
        <v>429</v>
      </c>
      <c r="J3" s="33" t="s">
        <v>430</v>
      </c>
      <c r="K3" s="33">
        <v>4902095668</v>
      </c>
      <c r="L3" s="33">
        <v>321</v>
      </c>
      <c r="M3" s="33" t="s">
        <v>431</v>
      </c>
      <c r="N3" s="33" t="s">
        <v>432</v>
      </c>
      <c r="O3" s="33" t="s">
        <v>433</v>
      </c>
      <c r="P3" s="33" t="s">
        <v>434</v>
      </c>
      <c r="Q3" s="34" t="s">
        <v>432</v>
      </c>
      <c r="R3" s="33" t="s">
        <v>431</v>
      </c>
      <c r="S3" s="34" t="s">
        <v>436</v>
      </c>
      <c r="T3" s="35" t="s">
        <v>437</v>
      </c>
      <c r="U3" s="33" t="s">
        <v>431</v>
      </c>
      <c r="V3" s="33">
        <v>1206296</v>
      </c>
      <c r="W3" s="33" t="s">
        <v>431</v>
      </c>
      <c r="X3" s="33" t="s">
        <v>431</v>
      </c>
      <c r="Y3" s="33">
        <v>3</v>
      </c>
      <c r="Z3" s="33" t="s">
        <v>431</v>
      </c>
      <c r="AA3" s="33" t="s">
        <v>274</v>
      </c>
      <c r="AB3" s="33">
        <v>2</v>
      </c>
      <c r="AC3" s="33" t="s">
        <v>438</v>
      </c>
      <c r="AD3" s="33" t="s">
        <v>431</v>
      </c>
      <c r="AE3" s="33" t="s">
        <v>431</v>
      </c>
      <c r="AF3" s="33" t="s">
        <v>45</v>
      </c>
      <c r="AG3" s="33">
        <v>1029</v>
      </c>
      <c r="AH3" s="33" t="s">
        <v>439</v>
      </c>
      <c r="AI3" s="34" t="s">
        <v>433</v>
      </c>
      <c r="AJ3" s="32">
        <v>306</v>
      </c>
      <c r="AK3" s="32">
        <v>1902</v>
      </c>
      <c r="AL3" s="32">
        <v>145548.48000000001</v>
      </c>
      <c r="AM3" s="32">
        <f>IF(OR(RIGHT(W3,3)="201",RIGHT(W3,3)="601",RIGHT(W3,3)="301",RIGHT(W3,3)="202",RIGHT(W3,3)="262",RIGHT(W3,3)="261",L3=601,L3="Y96"),1,0)</f>
        <v>0</v>
      </c>
      <c r="AN3" s="32">
        <f ca="1">IF(AS3&lt;&gt;OFFSET(AS3,1,0),1,0)</f>
        <v>1</v>
      </c>
      <c r="AO3" s="32">
        <f ca="1">IF(OR(SapExlData[Mtyp]&lt;&gt;"ZFER",SapExlData[Mtyp]&lt;&gt;"ZHAW"),AK3*AN3,IF(ISERROR(VLOOKUP(SapExlData[Material],tblMARM[],3,FALSE)),1,IF(SapExlData[Quantity]&gt;=VLOOKUP(SapExlData[Material],tblMARM[],3,FALSE),(AK3/AT3),AK3))*AN3)</f>
        <v>1902</v>
      </c>
      <c r="AP3" s="32">
        <f>IF(OR(SapExlData[Mtyp]&lt;&gt;"ZFER",SapExlData[Mtyp]&lt;&gt;"ZHAW"),AK3+IF(Y3=2,AQ3,0),IF(ISERROR(VLOOKUP(SapExlData[Material],tblMARM[],3,FALSE)),1,IF(SapExlData[Quantity]&gt;=VLOOKUP(SapExlData[Material],tblMARM[],3,FALSE),AK3/AT3,AK3))+IF(Y3=2,AQ3,0))</f>
        <v>1902</v>
      </c>
      <c r="AQ3" s="32">
        <f>IF(D3="H",IF(OR(SapExlData[Mtyp]&lt;&gt;"ZFER",SapExlData[Mtyp]&lt;&gt;"ZHAW"),-AJ3,IF(ISERROR(VLOOKUP(SapExlData[Material],tblMARM[],3,FALSE)),1,IF(SapExlData[Quantity]&gt;=VLOOKUP(SapExlData[Material],tblMARM[],3,FALSE),-AJ3/AT3,-AJ3))),IF(OR(SapExlData[Mtyp]&lt;&gt;"ZFER",SapExlData[Mtyp]&lt;&gt;"ZHAW"),AJ3,IF(ISERROR(VLOOKUP(SapExlData[Material],tblMARM[],3,FALSE)),1,IF(SapExlData[Quantity]&gt;=VLOOKUP(SapExlData[Material],tblMARM[],3,FALSE),AJ3/AT3,AJ3))))</f>
        <v>306</v>
      </c>
      <c r="AR3" s="166">
        <f>DATEVALUE(Q3)+C3</f>
        <v>41799.063206018516</v>
      </c>
      <c r="AS3" s="34">
        <f>DATEVALUE(N3)</f>
        <v>41799</v>
      </c>
      <c r="AT3" s="181">
        <f>IF(ISERROR(VLOOKUP(SapExlData[Material],tblMARM[],3,FALSE)),1,IF(SapExlData[Quantity]&gt;=VLOOKUP(SapExlData[Material],tblMARM[],3,FALSE),SapExlData[Quantity]/VLOOKUP(SapExlData[Material],tblMARM[],3,FALSE),AJ3))</f>
        <v>1</v>
      </c>
      <c r="AU3" s="23"/>
      <c r="AV3" s="23"/>
      <c r="AW3" s="36"/>
      <c r="AY3" s="23"/>
      <c r="AZ3" s="23"/>
      <c r="BA3" s="23"/>
      <c r="BB3" s="23"/>
      <c r="BC3" s="23"/>
      <c r="BD3" s="23"/>
      <c r="BE3" s="23"/>
      <c r="BF3" s="23"/>
      <c r="BG3" s="23"/>
      <c r="BH3" s="23"/>
      <c r="BI3" s="23"/>
      <c r="BJ3" s="23"/>
      <c r="BK3" s="23"/>
    </row>
  </sheetData>
  <pageMargins left="0.7" right="0.7" top="0.78740157499999996" bottom="0.78740157499999996" header="0.3" footer="0.3"/>
  <pageSetup paperSize="9" orientation="portrait" r:id="rId1"/>
  <headerFooter alignWithMargins="0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AED0D-13BB-465C-A234-5B86936F03BA}">
  <sheetPr>
    <tabColor indexed="29"/>
  </sheetPr>
  <dimension ref="A1:C9481"/>
  <sheetViews>
    <sheetView workbookViewId="0"/>
  </sheetViews>
  <sheetFormatPr defaultRowHeight="15" x14ac:dyDescent="0.25"/>
  <cols>
    <col min="1" max="1" width="10.5703125" customWidth="1"/>
    <col min="2" max="2" width="17.140625" customWidth="1"/>
    <col min="3" max="3" width="10.28515625" customWidth="1"/>
  </cols>
  <sheetData>
    <row r="1" spans="1:3" x14ac:dyDescent="0.25">
      <c r="A1" s="176" t="s">
        <v>3</v>
      </c>
      <c r="B1" s="177" t="s">
        <v>454</v>
      </c>
      <c r="C1" s="176" t="s">
        <v>455</v>
      </c>
    </row>
    <row r="2" spans="1:3" x14ac:dyDescent="0.25">
      <c r="A2" s="178">
        <v>1020</v>
      </c>
      <c r="B2" s="179" t="s">
        <v>456</v>
      </c>
      <c r="C2" s="180">
        <v>3</v>
      </c>
    </row>
    <row r="3" spans="1:3" x14ac:dyDescent="0.25">
      <c r="A3" s="178">
        <v>1021</v>
      </c>
      <c r="B3" s="179" t="s">
        <v>456</v>
      </c>
      <c r="C3" s="180">
        <v>64</v>
      </c>
    </row>
    <row r="4" spans="1:3" x14ac:dyDescent="0.25">
      <c r="A4" s="178">
        <v>1022</v>
      </c>
      <c r="B4" s="179" t="s">
        <v>456</v>
      </c>
      <c r="C4" s="180">
        <v>80</v>
      </c>
    </row>
    <row r="5" spans="1:3" x14ac:dyDescent="0.25">
      <c r="A5" s="178">
        <v>1023</v>
      </c>
      <c r="B5" s="179" t="s">
        <v>456</v>
      </c>
      <c r="C5" s="180">
        <v>3</v>
      </c>
    </row>
    <row r="6" spans="1:3" x14ac:dyDescent="0.25">
      <c r="A6" s="178">
        <v>1024</v>
      </c>
      <c r="B6" s="179" t="s">
        <v>456</v>
      </c>
      <c r="C6" s="180">
        <v>3</v>
      </c>
    </row>
    <row r="7" spans="1:3" x14ac:dyDescent="0.25">
      <c r="A7" s="178">
        <v>1025</v>
      </c>
      <c r="B7" s="179" t="s">
        <v>456</v>
      </c>
      <c r="C7" s="180">
        <v>72</v>
      </c>
    </row>
    <row r="8" spans="1:3" x14ac:dyDescent="0.25">
      <c r="A8" s="178">
        <v>1026</v>
      </c>
      <c r="B8" s="179" t="s">
        <v>456</v>
      </c>
      <c r="C8" s="180">
        <v>315</v>
      </c>
    </row>
    <row r="9" spans="1:3" x14ac:dyDescent="0.25">
      <c r="A9" s="178">
        <v>1027</v>
      </c>
      <c r="B9" s="179" t="s">
        <v>456</v>
      </c>
      <c r="C9" s="180">
        <v>338</v>
      </c>
    </row>
    <row r="10" spans="1:3" x14ac:dyDescent="0.25">
      <c r="A10" s="178">
        <v>1028</v>
      </c>
      <c r="B10" s="179" t="s">
        <v>456</v>
      </c>
      <c r="C10" s="180">
        <v>140</v>
      </c>
    </row>
    <row r="11" spans="1:3" x14ac:dyDescent="0.25">
      <c r="A11" s="178">
        <v>1029</v>
      </c>
      <c r="B11" s="179" t="s">
        <v>456</v>
      </c>
      <c r="C11" s="180">
        <v>306</v>
      </c>
    </row>
    <row r="12" spans="1:3" x14ac:dyDescent="0.25">
      <c r="A12" s="178">
        <v>1030</v>
      </c>
      <c r="B12" s="179" t="s">
        <v>456</v>
      </c>
      <c r="C12" s="180">
        <v>312</v>
      </c>
    </row>
    <row r="13" spans="1:3" x14ac:dyDescent="0.25">
      <c r="A13" s="178">
        <v>1031</v>
      </c>
      <c r="B13" s="179" t="s">
        <v>456</v>
      </c>
      <c r="C13" s="180">
        <v>3</v>
      </c>
    </row>
    <row r="14" spans="1:3" x14ac:dyDescent="0.25">
      <c r="A14" s="178">
        <v>1032</v>
      </c>
      <c r="B14" s="179" t="s">
        <v>456</v>
      </c>
      <c r="C14" s="180">
        <v>200</v>
      </c>
    </row>
    <row r="15" spans="1:3" x14ac:dyDescent="0.25">
      <c r="A15" s="178">
        <v>1033</v>
      </c>
      <c r="B15" s="179" t="s">
        <v>456</v>
      </c>
      <c r="C15" s="180">
        <v>135</v>
      </c>
    </row>
    <row r="16" spans="1:3" x14ac:dyDescent="0.25">
      <c r="A16" s="178">
        <v>1034</v>
      </c>
      <c r="B16" s="179" t="s">
        <v>456</v>
      </c>
      <c r="C16" s="180">
        <v>3</v>
      </c>
    </row>
    <row r="17" spans="1:3" x14ac:dyDescent="0.25">
      <c r="A17" s="178">
        <v>1035</v>
      </c>
      <c r="B17" s="179" t="s">
        <v>456</v>
      </c>
      <c r="C17" s="180">
        <v>200</v>
      </c>
    </row>
    <row r="18" spans="1:3" x14ac:dyDescent="0.25">
      <c r="A18" s="178">
        <v>1036</v>
      </c>
      <c r="B18" s="179" t="s">
        <v>456</v>
      </c>
      <c r="C18" s="180">
        <v>273</v>
      </c>
    </row>
    <row r="19" spans="1:3" x14ac:dyDescent="0.25">
      <c r="A19" s="178">
        <v>1037</v>
      </c>
      <c r="B19" s="179" t="s">
        <v>456</v>
      </c>
      <c r="C19" s="180">
        <v>30</v>
      </c>
    </row>
    <row r="20" spans="1:3" x14ac:dyDescent="0.25">
      <c r="A20" s="178">
        <v>1038</v>
      </c>
      <c r="B20" s="179" t="s">
        <v>456</v>
      </c>
      <c r="C20" s="180">
        <v>135</v>
      </c>
    </row>
    <row r="21" spans="1:3" x14ac:dyDescent="0.25">
      <c r="A21" s="178">
        <v>1039</v>
      </c>
      <c r="B21" s="179" t="s">
        <v>456</v>
      </c>
      <c r="C21" s="180">
        <v>135</v>
      </c>
    </row>
    <row r="22" spans="1:3" x14ac:dyDescent="0.25">
      <c r="A22" s="178">
        <v>1040</v>
      </c>
      <c r="B22" s="179" t="s">
        <v>456</v>
      </c>
      <c r="C22" s="180">
        <v>135</v>
      </c>
    </row>
    <row r="23" spans="1:3" x14ac:dyDescent="0.25">
      <c r="A23" s="178">
        <v>1041</v>
      </c>
      <c r="B23" s="179" t="s">
        <v>456</v>
      </c>
      <c r="C23" s="180">
        <v>2</v>
      </c>
    </row>
    <row r="24" spans="1:3" x14ac:dyDescent="0.25">
      <c r="A24" s="178">
        <v>1042</v>
      </c>
      <c r="B24" s="179" t="s">
        <v>456</v>
      </c>
      <c r="C24" s="180">
        <v>3</v>
      </c>
    </row>
    <row r="25" spans="1:3" x14ac:dyDescent="0.25">
      <c r="A25" s="178">
        <v>1043</v>
      </c>
      <c r="B25" s="179" t="s">
        <v>456</v>
      </c>
      <c r="C25" s="180">
        <v>168</v>
      </c>
    </row>
    <row r="26" spans="1:3" x14ac:dyDescent="0.25">
      <c r="A26" s="178">
        <v>1044</v>
      </c>
      <c r="B26" s="179" t="s">
        <v>456</v>
      </c>
      <c r="C26" s="180">
        <v>168</v>
      </c>
    </row>
    <row r="27" spans="1:3" x14ac:dyDescent="0.25">
      <c r="A27" s="178">
        <v>1045</v>
      </c>
      <c r="B27" s="179" t="s">
        <v>456</v>
      </c>
      <c r="C27" s="180">
        <v>312</v>
      </c>
    </row>
    <row r="28" spans="1:3" x14ac:dyDescent="0.25">
      <c r="A28" s="178">
        <v>1046</v>
      </c>
      <c r="B28" s="179" t="s">
        <v>456</v>
      </c>
      <c r="C28" s="180">
        <v>315</v>
      </c>
    </row>
    <row r="29" spans="1:3" x14ac:dyDescent="0.25">
      <c r="A29" s="178">
        <v>1047</v>
      </c>
      <c r="B29" s="179" t="s">
        <v>456</v>
      </c>
      <c r="C29" s="180">
        <v>168</v>
      </c>
    </row>
    <row r="30" spans="1:3" x14ac:dyDescent="0.25">
      <c r="A30" s="178">
        <v>1048</v>
      </c>
      <c r="B30" s="179" t="s">
        <v>456</v>
      </c>
      <c r="C30" s="180">
        <v>3</v>
      </c>
    </row>
    <row r="31" spans="1:3" x14ac:dyDescent="0.25">
      <c r="A31" s="178">
        <v>1049</v>
      </c>
      <c r="B31" s="179" t="s">
        <v>456</v>
      </c>
      <c r="C31" s="180">
        <v>200</v>
      </c>
    </row>
    <row r="32" spans="1:3" x14ac:dyDescent="0.25">
      <c r="A32" s="178">
        <v>1083</v>
      </c>
      <c r="B32" s="179" t="s">
        <v>456</v>
      </c>
      <c r="C32" s="180">
        <v>72</v>
      </c>
    </row>
    <row r="33" spans="1:3" x14ac:dyDescent="0.25">
      <c r="A33" s="178">
        <v>1087</v>
      </c>
      <c r="B33" s="179" t="s">
        <v>456</v>
      </c>
      <c r="C33" s="180">
        <v>96</v>
      </c>
    </row>
    <row r="34" spans="1:3" x14ac:dyDescent="0.25">
      <c r="A34" s="178">
        <v>1090</v>
      </c>
      <c r="B34" s="179" t="s">
        <v>456</v>
      </c>
      <c r="C34" s="180">
        <v>4</v>
      </c>
    </row>
    <row r="35" spans="1:3" x14ac:dyDescent="0.25">
      <c r="A35" s="178">
        <v>1091</v>
      </c>
      <c r="B35" s="179" t="s">
        <v>456</v>
      </c>
      <c r="C35" s="180">
        <v>3</v>
      </c>
    </row>
    <row r="36" spans="1:3" x14ac:dyDescent="0.25">
      <c r="A36" s="178">
        <v>1092</v>
      </c>
      <c r="B36" s="179" t="s">
        <v>456</v>
      </c>
      <c r="C36" s="180">
        <v>3</v>
      </c>
    </row>
    <row r="37" spans="1:3" x14ac:dyDescent="0.25">
      <c r="A37" s="178">
        <v>1093</v>
      </c>
      <c r="B37" s="179" t="s">
        <v>456</v>
      </c>
      <c r="C37" s="180">
        <v>3</v>
      </c>
    </row>
    <row r="38" spans="1:3" x14ac:dyDescent="0.25">
      <c r="A38" s="178">
        <v>1094</v>
      </c>
      <c r="B38" s="179" t="s">
        <v>456</v>
      </c>
      <c r="C38" s="180">
        <v>3</v>
      </c>
    </row>
    <row r="39" spans="1:3" x14ac:dyDescent="0.25">
      <c r="A39" s="178">
        <v>1095</v>
      </c>
      <c r="B39" s="179" t="s">
        <v>456</v>
      </c>
      <c r="C39" s="180">
        <v>56</v>
      </c>
    </row>
    <row r="40" spans="1:3" x14ac:dyDescent="0.25">
      <c r="A40" s="178">
        <v>1096</v>
      </c>
      <c r="B40" s="179" t="s">
        <v>456</v>
      </c>
      <c r="C40" s="180">
        <v>56</v>
      </c>
    </row>
    <row r="41" spans="1:3" x14ac:dyDescent="0.25">
      <c r="A41" s="178">
        <v>1097</v>
      </c>
      <c r="B41" s="179" t="s">
        <v>456</v>
      </c>
      <c r="C41" s="180">
        <v>56</v>
      </c>
    </row>
    <row r="42" spans="1:3" x14ac:dyDescent="0.25">
      <c r="A42" s="178">
        <v>1098</v>
      </c>
      <c r="B42" s="179" t="s">
        <v>456</v>
      </c>
      <c r="C42" s="180">
        <v>56</v>
      </c>
    </row>
    <row r="43" spans="1:3" x14ac:dyDescent="0.25">
      <c r="A43" s="178">
        <v>1099</v>
      </c>
      <c r="B43" s="179" t="s">
        <v>456</v>
      </c>
      <c r="C43" s="180">
        <v>56</v>
      </c>
    </row>
    <row r="44" spans="1:3" x14ac:dyDescent="0.25">
      <c r="A44" s="178">
        <v>1100</v>
      </c>
      <c r="B44" s="179" t="s">
        <v>456</v>
      </c>
      <c r="C44" s="180">
        <v>56</v>
      </c>
    </row>
    <row r="45" spans="1:3" x14ac:dyDescent="0.25">
      <c r="A45" s="178">
        <v>1101</v>
      </c>
      <c r="B45" s="179" t="s">
        <v>456</v>
      </c>
      <c r="C45" s="180">
        <v>3</v>
      </c>
    </row>
    <row r="46" spans="1:3" x14ac:dyDescent="0.25">
      <c r="A46" s="178">
        <v>1102</v>
      </c>
      <c r="B46" s="179" t="s">
        <v>456</v>
      </c>
      <c r="C46" s="180">
        <v>56</v>
      </c>
    </row>
    <row r="47" spans="1:3" x14ac:dyDescent="0.25">
      <c r="A47" s="178">
        <v>1107</v>
      </c>
      <c r="B47" s="179" t="s">
        <v>456</v>
      </c>
      <c r="C47" s="180">
        <v>3</v>
      </c>
    </row>
    <row r="48" spans="1:3" x14ac:dyDescent="0.25">
      <c r="A48" s="178">
        <v>1108</v>
      </c>
      <c r="B48" s="179" t="s">
        <v>456</v>
      </c>
      <c r="C48" s="180">
        <v>56</v>
      </c>
    </row>
    <row r="49" spans="1:3" x14ac:dyDescent="0.25">
      <c r="A49" s="178">
        <v>1109</v>
      </c>
      <c r="B49" s="179" t="s">
        <v>456</v>
      </c>
      <c r="C49" s="180">
        <v>140</v>
      </c>
    </row>
    <row r="50" spans="1:3" x14ac:dyDescent="0.25">
      <c r="A50" s="178">
        <v>1110</v>
      </c>
      <c r="B50" s="179" t="s">
        <v>456</v>
      </c>
      <c r="C50" s="180">
        <v>126</v>
      </c>
    </row>
    <row r="51" spans="1:3" x14ac:dyDescent="0.25">
      <c r="A51" s="178">
        <v>1111</v>
      </c>
      <c r="B51" s="179" t="s">
        <v>456</v>
      </c>
      <c r="C51" s="180">
        <v>140</v>
      </c>
    </row>
    <row r="52" spans="1:3" x14ac:dyDescent="0.25">
      <c r="A52" s="178">
        <v>1112</v>
      </c>
      <c r="B52" s="179" t="s">
        <v>456</v>
      </c>
      <c r="C52" s="180">
        <v>312</v>
      </c>
    </row>
    <row r="53" spans="1:3" x14ac:dyDescent="0.25">
      <c r="A53" s="178">
        <v>1113</v>
      </c>
      <c r="B53" s="179" t="s">
        <v>456</v>
      </c>
      <c r="C53" s="180">
        <v>3</v>
      </c>
    </row>
    <row r="54" spans="1:3" x14ac:dyDescent="0.25">
      <c r="A54" s="178">
        <v>1114</v>
      </c>
      <c r="B54" s="179" t="s">
        <v>456</v>
      </c>
      <c r="C54" s="180">
        <v>3</v>
      </c>
    </row>
    <row r="55" spans="1:3" x14ac:dyDescent="0.25">
      <c r="A55" s="178">
        <v>1115</v>
      </c>
      <c r="B55" s="179" t="s">
        <v>456</v>
      </c>
      <c r="C55" s="180">
        <v>140</v>
      </c>
    </row>
    <row r="56" spans="1:3" x14ac:dyDescent="0.25">
      <c r="A56" s="178">
        <v>1116</v>
      </c>
      <c r="B56" s="179" t="s">
        <v>456</v>
      </c>
      <c r="C56" s="180">
        <v>140</v>
      </c>
    </row>
    <row r="57" spans="1:3" x14ac:dyDescent="0.25">
      <c r="A57" s="178">
        <v>1117</v>
      </c>
      <c r="B57" s="179" t="s">
        <v>456</v>
      </c>
      <c r="C57" s="180">
        <v>2</v>
      </c>
    </row>
    <row r="58" spans="1:3" x14ac:dyDescent="0.25">
      <c r="A58" s="178">
        <v>1118</v>
      </c>
      <c r="B58" s="179" t="s">
        <v>456</v>
      </c>
      <c r="C58" s="180">
        <v>2</v>
      </c>
    </row>
    <row r="59" spans="1:3" x14ac:dyDescent="0.25">
      <c r="A59" s="178">
        <v>1119</v>
      </c>
      <c r="B59" s="179" t="s">
        <v>456</v>
      </c>
      <c r="C59" s="180">
        <v>3</v>
      </c>
    </row>
    <row r="60" spans="1:3" x14ac:dyDescent="0.25">
      <c r="A60" s="178">
        <v>1120</v>
      </c>
      <c r="B60" s="179" t="s">
        <v>456</v>
      </c>
      <c r="C60" s="180">
        <v>48</v>
      </c>
    </row>
    <row r="61" spans="1:3" x14ac:dyDescent="0.25">
      <c r="A61" s="178">
        <v>1121</v>
      </c>
      <c r="B61" s="179" t="s">
        <v>456</v>
      </c>
      <c r="C61" s="180">
        <v>56</v>
      </c>
    </row>
    <row r="62" spans="1:3" x14ac:dyDescent="0.25">
      <c r="A62" s="178">
        <v>1122</v>
      </c>
      <c r="B62" s="179" t="s">
        <v>456</v>
      </c>
      <c r="C62" s="180">
        <v>56</v>
      </c>
    </row>
    <row r="63" spans="1:3" x14ac:dyDescent="0.25">
      <c r="A63" s="178">
        <v>1123</v>
      </c>
      <c r="B63" s="179" t="s">
        <v>456</v>
      </c>
      <c r="C63" s="180">
        <v>56</v>
      </c>
    </row>
    <row r="64" spans="1:3" x14ac:dyDescent="0.25">
      <c r="A64" s="178">
        <v>1124</v>
      </c>
      <c r="B64" s="179" t="s">
        <v>456</v>
      </c>
      <c r="C64" s="180">
        <v>56</v>
      </c>
    </row>
    <row r="65" spans="1:3" x14ac:dyDescent="0.25">
      <c r="A65" s="178">
        <v>1125</v>
      </c>
      <c r="B65" s="179" t="s">
        <v>456</v>
      </c>
      <c r="C65" s="180">
        <v>56</v>
      </c>
    </row>
    <row r="66" spans="1:3" x14ac:dyDescent="0.25">
      <c r="A66" s="178">
        <v>1126</v>
      </c>
      <c r="B66" s="179" t="s">
        <v>456</v>
      </c>
      <c r="C66" s="180">
        <v>56</v>
      </c>
    </row>
    <row r="67" spans="1:3" x14ac:dyDescent="0.25">
      <c r="A67" s="178">
        <v>1127</v>
      </c>
      <c r="B67" s="179" t="s">
        <v>456</v>
      </c>
      <c r="C67" s="180">
        <v>56</v>
      </c>
    </row>
    <row r="68" spans="1:3" x14ac:dyDescent="0.25">
      <c r="A68" s="178">
        <v>1128</v>
      </c>
      <c r="B68" s="179" t="s">
        <v>456</v>
      </c>
      <c r="C68" s="180">
        <v>48</v>
      </c>
    </row>
    <row r="69" spans="1:3" x14ac:dyDescent="0.25">
      <c r="A69" s="178">
        <v>1129</v>
      </c>
      <c r="B69" s="179" t="s">
        <v>456</v>
      </c>
      <c r="C69" s="180">
        <v>48</v>
      </c>
    </row>
    <row r="70" spans="1:3" x14ac:dyDescent="0.25">
      <c r="A70" s="178">
        <v>1130</v>
      </c>
      <c r="B70" s="179" t="s">
        <v>456</v>
      </c>
      <c r="C70" s="180">
        <v>60</v>
      </c>
    </row>
    <row r="71" spans="1:3" x14ac:dyDescent="0.25">
      <c r="A71" s="178">
        <v>1131</v>
      </c>
      <c r="B71" s="179" t="s">
        <v>456</v>
      </c>
      <c r="C71" s="180">
        <v>3</v>
      </c>
    </row>
    <row r="72" spans="1:3" x14ac:dyDescent="0.25">
      <c r="A72" s="178">
        <v>1132</v>
      </c>
      <c r="B72" s="179" t="s">
        <v>456</v>
      </c>
      <c r="C72" s="180">
        <v>48</v>
      </c>
    </row>
    <row r="73" spans="1:3" x14ac:dyDescent="0.25">
      <c r="A73" s="178">
        <v>1133</v>
      </c>
      <c r="B73" s="179" t="s">
        <v>456</v>
      </c>
      <c r="C73" s="180">
        <v>2</v>
      </c>
    </row>
    <row r="74" spans="1:3" x14ac:dyDescent="0.25">
      <c r="A74" s="178">
        <v>1134</v>
      </c>
      <c r="B74" s="179" t="s">
        <v>456</v>
      </c>
      <c r="C74" s="180">
        <v>2</v>
      </c>
    </row>
    <row r="75" spans="1:3" x14ac:dyDescent="0.25">
      <c r="A75" s="178">
        <v>1135</v>
      </c>
      <c r="B75" s="179" t="s">
        <v>456</v>
      </c>
      <c r="C75" s="180">
        <v>2</v>
      </c>
    </row>
    <row r="76" spans="1:3" x14ac:dyDescent="0.25">
      <c r="A76" s="178">
        <v>1136</v>
      </c>
      <c r="B76" s="179" t="s">
        <v>456</v>
      </c>
      <c r="C76" s="180">
        <v>48</v>
      </c>
    </row>
    <row r="77" spans="1:3" x14ac:dyDescent="0.25">
      <c r="A77" s="178">
        <v>1137</v>
      </c>
      <c r="B77" s="179" t="s">
        <v>456</v>
      </c>
      <c r="C77" s="180">
        <v>56</v>
      </c>
    </row>
    <row r="78" spans="1:3" x14ac:dyDescent="0.25">
      <c r="A78" s="178">
        <v>1138</v>
      </c>
      <c r="B78" s="179" t="s">
        <v>456</v>
      </c>
      <c r="C78" s="180">
        <v>56</v>
      </c>
    </row>
    <row r="79" spans="1:3" x14ac:dyDescent="0.25">
      <c r="A79" s="178">
        <v>1139</v>
      </c>
      <c r="B79" s="179" t="s">
        <v>456</v>
      </c>
      <c r="C79" s="180">
        <v>56</v>
      </c>
    </row>
    <row r="80" spans="1:3" x14ac:dyDescent="0.25">
      <c r="A80" s="178">
        <v>1140</v>
      </c>
      <c r="B80" s="179" t="s">
        <v>456</v>
      </c>
      <c r="C80" s="180">
        <v>56</v>
      </c>
    </row>
    <row r="81" spans="1:3" x14ac:dyDescent="0.25">
      <c r="A81" s="178">
        <v>1141</v>
      </c>
      <c r="B81" s="179" t="s">
        <v>456</v>
      </c>
      <c r="C81" s="180">
        <v>56</v>
      </c>
    </row>
    <row r="82" spans="1:3" x14ac:dyDescent="0.25">
      <c r="A82" s="178">
        <v>1142</v>
      </c>
      <c r="B82" s="179" t="s">
        <v>456</v>
      </c>
      <c r="C82" s="180">
        <v>56</v>
      </c>
    </row>
    <row r="83" spans="1:3" x14ac:dyDescent="0.25">
      <c r="A83" s="178">
        <v>1143</v>
      </c>
      <c r="B83" s="179" t="s">
        <v>456</v>
      </c>
      <c r="C83" s="180">
        <v>3</v>
      </c>
    </row>
    <row r="84" spans="1:3" x14ac:dyDescent="0.25">
      <c r="A84" s="178">
        <v>1144</v>
      </c>
      <c r="B84" s="179" t="s">
        <v>456</v>
      </c>
      <c r="C84" s="180">
        <v>3</v>
      </c>
    </row>
    <row r="85" spans="1:3" x14ac:dyDescent="0.25">
      <c r="A85" s="178">
        <v>1145</v>
      </c>
      <c r="B85" s="179" t="s">
        <v>456</v>
      </c>
      <c r="C85" s="180">
        <v>3</v>
      </c>
    </row>
    <row r="86" spans="1:3" x14ac:dyDescent="0.25">
      <c r="A86" s="178">
        <v>1146</v>
      </c>
      <c r="B86" s="179" t="s">
        <v>456</v>
      </c>
      <c r="C86" s="180">
        <v>56</v>
      </c>
    </row>
    <row r="87" spans="1:3" x14ac:dyDescent="0.25">
      <c r="A87" s="178">
        <v>1147</v>
      </c>
      <c r="B87" s="179" t="s">
        <v>456</v>
      </c>
      <c r="C87" s="180">
        <v>56</v>
      </c>
    </row>
    <row r="88" spans="1:3" x14ac:dyDescent="0.25">
      <c r="A88" s="178">
        <v>1148</v>
      </c>
      <c r="B88" s="179" t="s">
        <v>456</v>
      </c>
      <c r="C88" s="180">
        <v>56</v>
      </c>
    </row>
    <row r="89" spans="1:3" x14ac:dyDescent="0.25">
      <c r="A89" s="178">
        <v>1149</v>
      </c>
      <c r="B89" s="179" t="s">
        <v>456</v>
      </c>
      <c r="C89" s="180">
        <v>56</v>
      </c>
    </row>
    <row r="90" spans="1:3" x14ac:dyDescent="0.25">
      <c r="A90" s="178">
        <v>1150</v>
      </c>
      <c r="B90" s="179" t="s">
        <v>456</v>
      </c>
      <c r="C90" s="180">
        <v>56</v>
      </c>
    </row>
    <row r="91" spans="1:3" x14ac:dyDescent="0.25">
      <c r="A91" s="178">
        <v>1151</v>
      </c>
      <c r="B91" s="179" t="s">
        <v>456</v>
      </c>
      <c r="C91" s="180">
        <v>3</v>
      </c>
    </row>
    <row r="92" spans="1:3" x14ac:dyDescent="0.25">
      <c r="A92" s="178">
        <v>1152</v>
      </c>
      <c r="B92" s="179" t="s">
        <v>456</v>
      </c>
      <c r="C92" s="180">
        <v>2</v>
      </c>
    </row>
    <row r="93" spans="1:3" x14ac:dyDescent="0.25">
      <c r="A93" s="178">
        <v>1153</v>
      </c>
      <c r="B93" s="179" t="s">
        <v>456</v>
      </c>
      <c r="C93" s="180">
        <v>2</v>
      </c>
    </row>
    <row r="94" spans="1:3" x14ac:dyDescent="0.25">
      <c r="A94" s="178">
        <v>1154</v>
      </c>
      <c r="B94" s="179" t="s">
        <v>456</v>
      </c>
      <c r="C94" s="180">
        <v>1</v>
      </c>
    </row>
    <row r="95" spans="1:3" x14ac:dyDescent="0.25">
      <c r="A95" s="178">
        <v>1156</v>
      </c>
      <c r="B95" s="179" t="s">
        <v>456</v>
      </c>
      <c r="C95" s="180">
        <v>3</v>
      </c>
    </row>
    <row r="96" spans="1:3" x14ac:dyDescent="0.25">
      <c r="A96" s="178">
        <v>1157</v>
      </c>
      <c r="B96" s="179" t="s">
        <v>456</v>
      </c>
      <c r="C96" s="180">
        <v>112</v>
      </c>
    </row>
    <row r="97" spans="1:3" x14ac:dyDescent="0.25">
      <c r="A97" s="178">
        <v>1158</v>
      </c>
      <c r="B97" s="179" t="s">
        <v>456</v>
      </c>
      <c r="C97" s="180">
        <v>112</v>
      </c>
    </row>
    <row r="98" spans="1:3" x14ac:dyDescent="0.25">
      <c r="A98" s="178">
        <v>1159</v>
      </c>
      <c r="B98" s="179" t="s">
        <v>456</v>
      </c>
      <c r="C98" s="180">
        <v>112</v>
      </c>
    </row>
    <row r="99" spans="1:3" x14ac:dyDescent="0.25">
      <c r="A99" s="178">
        <v>1160</v>
      </c>
      <c r="B99" s="179" t="s">
        <v>456</v>
      </c>
      <c r="C99" s="180">
        <v>3</v>
      </c>
    </row>
    <row r="100" spans="1:3" x14ac:dyDescent="0.25">
      <c r="A100" s="178">
        <v>1161</v>
      </c>
      <c r="B100" s="179" t="s">
        <v>456</v>
      </c>
      <c r="C100" s="180">
        <v>3</v>
      </c>
    </row>
    <row r="101" spans="1:3" x14ac:dyDescent="0.25">
      <c r="A101" s="178">
        <v>1162</v>
      </c>
      <c r="B101" s="179" t="s">
        <v>456</v>
      </c>
      <c r="C101" s="180">
        <v>3</v>
      </c>
    </row>
    <row r="102" spans="1:3" x14ac:dyDescent="0.25">
      <c r="A102" s="178">
        <v>1163</v>
      </c>
      <c r="B102" s="179" t="s">
        <v>456</v>
      </c>
      <c r="C102" s="180">
        <v>3</v>
      </c>
    </row>
    <row r="103" spans="1:3" x14ac:dyDescent="0.25">
      <c r="A103" s="178">
        <v>1164</v>
      </c>
      <c r="B103" s="179" t="s">
        <v>456</v>
      </c>
      <c r="C103" s="180">
        <v>3</v>
      </c>
    </row>
    <row r="104" spans="1:3" x14ac:dyDescent="0.25">
      <c r="A104" s="178">
        <v>1165</v>
      </c>
      <c r="B104" s="179" t="s">
        <v>456</v>
      </c>
      <c r="C104" s="180">
        <v>56</v>
      </c>
    </row>
    <row r="105" spans="1:3" x14ac:dyDescent="0.25">
      <c r="A105" s="178">
        <v>1166</v>
      </c>
      <c r="B105" s="179" t="s">
        <v>456</v>
      </c>
      <c r="C105" s="180">
        <v>56</v>
      </c>
    </row>
    <row r="106" spans="1:3" x14ac:dyDescent="0.25">
      <c r="A106" s="178">
        <v>1167</v>
      </c>
      <c r="B106" s="179" t="s">
        <v>456</v>
      </c>
      <c r="C106" s="180">
        <v>140</v>
      </c>
    </row>
    <row r="107" spans="1:3" x14ac:dyDescent="0.25">
      <c r="A107" s="178">
        <v>1168</v>
      </c>
      <c r="B107" s="179" t="s">
        <v>456</v>
      </c>
      <c r="C107" s="180">
        <v>140</v>
      </c>
    </row>
    <row r="108" spans="1:3" x14ac:dyDescent="0.25">
      <c r="A108" s="178">
        <v>1169</v>
      </c>
      <c r="B108" s="179" t="s">
        <v>456</v>
      </c>
      <c r="C108" s="180">
        <v>140</v>
      </c>
    </row>
    <row r="109" spans="1:3" x14ac:dyDescent="0.25">
      <c r="A109" s="178">
        <v>1170</v>
      </c>
      <c r="B109" s="179" t="s">
        <v>456</v>
      </c>
      <c r="C109" s="180">
        <v>140</v>
      </c>
    </row>
    <row r="110" spans="1:3" x14ac:dyDescent="0.25">
      <c r="A110" s="178">
        <v>1171</v>
      </c>
      <c r="B110" s="179" t="s">
        <v>456</v>
      </c>
      <c r="C110" s="180">
        <v>140</v>
      </c>
    </row>
    <row r="111" spans="1:3" x14ac:dyDescent="0.25">
      <c r="A111" s="178">
        <v>1172</v>
      </c>
      <c r="B111" s="179" t="s">
        <v>456</v>
      </c>
      <c r="C111" s="180">
        <v>72</v>
      </c>
    </row>
    <row r="112" spans="1:3" x14ac:dyDescent="0.25">
      <c r="A112" s="178">
        <v>1173</v>
      </c>
      <c r="B112" s="179" t="s">
        <v>456</v>
      </c>
      <c r="C112" s="180">
        <v>72</v>
      </c>
    </row>
    <row r="113" spans="1:3" x14ac:dyDescent="0.25">
      <c r="A113" s="178">
        <v>1174</v>
      </c>
      <c r="B113" s="179" t="s">
        <v>456</v>
      </c>
      <c r="C113" s="180">
        <v>72</v>
      </c>
    </row>
    <row r="114" spans="1:3" x14ac:dyDescent="0.25">
      <c r="A114" s="178">
        <v>1176</v>
      </c>
      <c r="B114" s="179" t="s">
        <v>456</v>
      </c>
      <c r="C114" s="180">
        <v>84</v>
      </c>
    </row>
    <row r="115" spans="1:3" x14ac:dyDescent="0.25">
      <c r="A115" s="178">
        <v>1177</v>
      </c>
      <c r="B115" s="179" t="s">
        <v>456</v>
      </c>
      <c r="C115" s="180">
        <v>84</v>
      </c>
    </row>
    <row r="116" spans="1:3" x14ac:dyDescent="0.25">
      <c r="A116" s="178">
        <v>1178</v>
      </c>
      <c r="B116" s="179" t="s">
        <v>456</v>
      </c>
      <c r="C116" s="180">
        <v>3</v>
      </c>
    </row>
    <row r="117" spans="1:3" x14ac:dyDescent="0.25">
      <c r="A117" s="178">
        <v>1179</v>
      </c>
      <c r="B117" s="179" t="s">
        <v>456</v>
      </c>
      <c r="C117" s="180">
        <v>3</v>
      </c>
    </row>
    <row r="118" spans="1:3" x14ac:dyDescent="0.25">
      <c r="A118" s="178">
        <v>1180</v>
      </c>
      <c r="B118" s="179" t="s">
        <v>456</v>
      </c>
      <c r="C118" s="180">
        <v>120</v>
      </c>
    </row>
    <row r="119" spans="1:3" x14ac:dyDescent="0.25">
      <c r="A119" s="178">
        <v>1181</v>
      </c>
      <c r="B119" s="179" t="s">
        <v>456</v>
      </c>
      <c r="C119" s="180">
        <v>120</v>
      </c>
    </row>
    <row r="120" spans="1:3" x14ac:dyDescent="0.25">
      <c r="A120" s="178">
        <v>1182</v>
      </c>
      <c r="B120" s="179" t="s">
        <v>456</v>
      </c>
      <c r="C120" s="180">
        <v>120</v>
      </c>
    </row>
    <row r="121" spans="1:3" x14ac:dyDescent="0.25">
      <c r="A121" s="178">
        <v>1183</v>
      </c>
      <c r="B121" s="179" t="s">
        <v>456</v>
      </c>
      <c r="C121" s="180">
        <v>120</v>
      </c>
    </row>
    <row r="122" spans="1:3" x14ac:dyDescent="0.25">
      <c r="A122" s="178">
        <v>1184</v>
      </c>
      <c r="B122" s="179" t="s">
        <v>456</v>
      </c>
      <c r="C122" s="180">
        <v>120</v>
      </c>
    </row>
    <row r="123" spans="1:3" x14ac:dyDescent="0.25">
      <c r="A123" s="178">
        <v>1185</v>
      </c>
      <c r="B123" s="179" t="s">
        <v>456</v>
      </c>
      <c r="C123" s="180">
        <v>120</v>
      </c>
    </row>
    <row r="124" spans="1:3" x14ac:dyDescent="0.25">
      <c r="A124" s="178">
        <v>1186</v>
      </c>
      <c r="B124" s="179" t="s">
        <v>456</v>
      </c>
      <c r="C124" s="180">
        <v>120</v>
      </c>
    </row>
    <row r="125" spans="1:3" x14ac:dyDescent="0.25">
      <c r="A125" s="178">
        <v>1187</v>
      </c>
      <c r="B125" s="179" t="s">
        <v>456</v>
      </c>
      <c r="C125" s="180">
        <v>120</v>
      </c>
    </row>
    <row r="126" spans="1:3" x14ac:dyDescent="0.25">
      <c r="A126" s="178">
        <v>1188</v>
      </c>
      <c r="B126" s="179" t="s">
        <v>456</v>
      </c>
      <c r="C126" s="180">
        <v>120</v>
      </c>
    </row>
    <row r="127" spans="1:3" x14ac:dyDescent="0.25">
      <c r="A127" s="178">
        <v>1189</v>
      </c>
      <c r="B127" s="179" t="s">
        <v>456</v>
      </c>
      <c r="C127" s="180">
        <v>120</v>
      </c>
    </row>
    <row r="128" spans="1:3" x14ac:dyDescent="0.25">
      <c r="A128" s="178">
        <v>1190</v>
      </c>
      <c r="B128" s="179" t="s">
        <v>456</v>
      </c>
      <c r="C128" s="180">
        <v>120</v>
      </c>
    </row>
    <row r="129" spans="1:3" x14ac:dyDescent="0.25">
      <c r="A129" s="178">
        <v>1191</v>
      </c>
      <c r="B129" s="179" t="s">
        <v>456</v>
      </c>
      <c r="C129" s="180">
        <v>3</v>
      </c>
    </row>
    <row r="130" spans="1:3" x14ac:dyDescent="0.25">
      <c r="A130" s="178">
        <v>1192</v>
      </c>
      <c r="B130" s="179" t="s">
        <v>456</v>
      </c>
      <c r="C130" s="180">
        <v>70</v>
      </c>
    </row>
    <row r="131" spans="1:3" x14ac:dyDescent="0.25">
      <c r="A131" s="178">
        <v>1193</v>
      </c>
      <c r="B131" s="179" t="s">
        <v>456</v>
      </c>
      <c r="C131" s="180">
        <v>70</v>
      </c>
    </row>
    <row r="132" spans="1:3" x14ac:dyDescent="0.25">
      <c r="A132" s="178">
        <v>1194</v>
      </c>
      <c r="B132" s="179" t="s">
        <v>456</v>
      </c>
      <c r="C132" s="180">
        <v>70</v>
      </c>
    </row>
    <row r="133" spans="1:3" x14ac:dyDescent="0.25">
      <c r="A133" s="178">
        <v>1195</v>
      </c>
      <c r="B133" s="179" t="s">
        <v>456</v>
      </c>
      <c r="C133" s="180">
        <v>70</v>
      </c>
    </row>
    <row r="134" spans="1:3" x14ac:dyDescent="0.25">
      <c r="A134" s="178">
        <v>1196</v>
      </c>
      <c r="B134" s="179" t="s">
        <v>456</v>
      </c>
      <c r="C134" s="180">
        <v>306</v>
      </c>
    </row>
    <row r="135" spans="1:3" x14ac:dyDescent="0.25">
      <c r="A135" s="178">
        <v>1197</v>
      </c>
      <c r="B135" s="179" t="s">
        <v>456</v>
      </c>
      <c r="C135" s="180">
        <v>306</v>
      </c>
    </row>
    <row r="136" spans="1:3" x14ac:dyDescent="0.25">
      <c r="A136" s="178">
        <v>1198</v>
      </c>
      <c r="B136" s="179" t="s">
        <v>456</v>
      </c>
      <c r="C136" s="180">
        <v>195</v>
      </c>
    </row>
    <row r="137" spans="1:3" x14ac:dyDescent="0.25">
      <c r="A137" s="178">
        <v>1199</v>
      </c>
      <c r="B137" s="179" t="s">
        <v>456</v>
      </c>
      <c r="C137" s="180">
        <v>195</v>
      </c>
    </row>
    <row r="138" spans="1:3" x14ac:dyDescent="0.25">
      <c r="A138" s="178">
        <v>1200</v>
      </c>
      <c r="B138" s="179" t="s">
        <v>456</v>
      </c>
      <c r="C138" s="180">
        <v>3</v>
      </c>
    </row>
    <row r="139" spans="1:3" x14ac:dyDescent="0.25">
      <c r="A139" s="178">
        <v>1202</v>
      </c>
      <c r="B139" s="179" t="s">
        <v>456</v>
      </c>
      <c r="C139" s="180">
        <v>70</v>
      </c>
    </row>
    <row r="140" spans="1:3" x14ac:dyDescent="0.25">
      <c r="A140" s="178">
        <v>1203</v>
      </c>
      <c r="B140" s="179" t="s">
        <v>456</v>
      </c>
      <c r="C140" s="180">
        <v>70</v>
      </c>
    </row>
    <row r="141" spans="1:3" x14ac:dyDescent="0.25">
      <c r="A141" s="178">
        <v>1207</v>
      </c>
      <c r="B141" s="179" t="s">
        <v>456</v>
      </c>
      <c r="C141" s="180">
        <v>152</v>
      </c>
    </row>
    <row r="142" spans="1:3" x14ac:dyDescent="0.25">
      <c r="A142" s="178">
        <v>1208</v>
      </c>
      <c r="B142" s="179" t="s">
        <v>456</v>
      </c>
      <c r="C142" s="180">
        <v>152</v>
      </c>
    </row>
    <row r="143" spans="1:3" x14ac:dyDescent="0.25">
      <c r="A143" s="178">
        <v>1209</v>
      </c>
      <c r="B143" s="179" t="s">
        <v>456</v>
      </c>
      <c r="C143" s="180">
        <v>152</v>
      </c>
    </row>
    <row r="144" spans="1:3" x14ac:dyDescent="0.25">
      <c r="A144" s="178">
        <v>1210</v>
      </c>
      <c r="B144" s="179" t="s">
        <v>456</v>
      </c>
      <c r="C144" s="180">
        <v>152</v>
      </c>
    </row>
    <row r="145" spans="1:3" x14ac:dyDescent="0.25">
      <c r="A145" s="178">
        <v>1218</v>
      </c>
      <c r="B145" s="179" t="s">
        <v>456</v>
      </c>
      <c r="C145" s="180">
        <v>3</v>
      </c>
    </row>
    <row r="146" spans="1:3" x14ac:dyDescent="0.25">
      <c r="A146" s="178">
        <v>1222</v>
      </c>
      <c r="B146" s="179" t="s">
        <v>456</v>
      </c>
      <c r="C146" s="180">
        <v>36</v>
      </c>
    </row>
    <row r="147" spans="1:3" x14ac:dyDescent="0.25">
      <c r="A147" s="178">
        <v>1223</v>
      </c>
      <c r="B147" s="179" t="s">
        <v>456</v>
      </c>
      <c r="C147" s="180">
        <v>126</v>
      </c>
    </row>
    <row r="148" spans="1:3" x14ac:dyDescent="0.25">
      <c r="A148" s="178">
        <v>1224</v>
      </c>
      <c r="B148" s="179" t="s">
        <v>456</v>
      </c>
      <c r="C148" s="180">
        <v>36</v>
      </c>
    </row>
    <row r="149" spans="1:3" x14ac:dyDescent="0.25">
      <c r="A149" s="178">
        <v>1225</v>
      </c>
      <c r="B149" s="179" t="s">
        <v>456</v>
      </c>
      <c r="C149" s="180">
        <v>98</v>
      </c>
    </row>
    <row r="150" spans="1:3" x14ac:dyDescent="0.25">
      <c r="A150" s="178">
        <v>1226</v>
      </c>
      <c r="B150" s="179" t="s">
        <v>456</v>
      </c>
      <c r="C150" s="180">
        <v>84</v>
      </c>
    </row>
    <row r="151" spans="1:3" x14ac:dyDescent="0.25">
      <c r="A151" s="178">
        <v>1227</v>
      </c>
      <c r="B151" s="179" t="s">
        <v>456</v>
      </c>
      <c r="C151" s="180">
        <v>84</v>
      </c>
    </row>
    <row r="152" spans="1:3" x14ac:dyDescent="0.25">
      <c r="A152" s="178">
        <v>1228</v>
      </c>
      <c r="B152" s="179" t="s">
        <v>456</v>
      </c>
      <c r="C152" s="180">
        <v>36</v>
      </c>
    </row>
    <row r="153" spans="1:3" x14ac:dyDescent="0.25">
      <c r="A153" s="178">
        <v>1229</v>
      </c>
      <c r="B153" s="179" t="s">
        <v>456</v>
      </c>
      <c r="C153" s="180">
        <v>36</v>
      </c>
    </row>
    <row r="154" spans="1:3" x14ac:dyDescent="0.25">
      <c r="A154" s="178">
        <v>1230</v>
      </c>
      <c r="B154" s="179" t="s">
        <v>456</v>
      </c>
      <c r="C154" s="180">
        <v>36</v>
      </c>
    </row>
    <row r="155" spans="1:3" x14ac:dyDescent="0.25">
      <c r="A155" s="178">
        <v>1231</v>
      </c>
      <c r="B155" s="179" t="s">
        <v>456</v>
      </c>
      <c r="C155" s="180">
        <v>36</v>
      </c>
    </row>
    <row r="156" spans="1:3" x14ac:dyDescent="0.25">
      <c r="A156" s="178">
        <v>1233</v>
      </c>
      <c r="B156" s="179" t="s">
        <v>456</v>
      </c>
      <c r="C156" s="180">
        <v>36</v>
      </c>
    </row>
    <row r="157" spans="1:3" x14ac:dyDescent="0.25">
      <c r="A157" s="178">
        <v>1234</v>
      </c>
      <c r="B157" s="179" t="s">
        <v>456</v>
      </c>
      <c r="C157" s="180">
        <v>36</v>
      </c>
    </row>
    <row r="158" spans="1:3" x14ac:dyDescent="0.25">
      <c r="A158" s="178">
        <v>1235</v>
      </c>
      <c r="B158" s="179" t="s">
        <v>456</v>
      </c>
      <c r="C158" s="180">
        <v>36</v>
      </c>
    </row>
    <row r="159" spans="1:3" x14ac:dyDescent="0.25">
      <c r="A159" s="178">
        <v>1236</v>
      </c>
      <c r="B159" s="179" t="s">
        <v>456</v>
      </c>
      <c r="C159" s="180">
        <v>36</v>
      </c>
    </row>
    <row r="160" spans="1:3" x14ac:dyDescent="0.25">
      <c r="A160" s="178">
        <v>1237</v>
      </c>
      <c r="B160" s="179" t="s">
        <v>456</v>
      </c>
      <c r="C160" s="180">
        <v>36</v>
      </c>
    </row>
    <row r="161" spans="1:3" x14ac:dyDescent="0.25">
      <c r="A161" s="178">
        <v>1238</v>
      </c>
      <c r="B161" s="179" t="s">
        <v>456</v>
      </c>
      <c r="C161" s="180">
        <v>36</v>
      </c>
    </row>
    <row r="162" spans="1:3" x14ac:dyDescent="0.25">
      <c r="A162" s="178">
        <v>1239</v>
      </c>
      <c r="B162" s="179" t="s">
        <v>456</v>
      </c>
      <c r="C162" s="180">
        <v>24</v>
      </c>
    </row>
    <row r="163" spans="1:3" x14ac:dyDescent="0.25">
      <c r="A163" s="178">
        <v>1240</v>
      </c>
      <c r="B163" s="179" t="s">
        <v>456</v>
      </c>
      <c r="C163" s="180">
        <v>36</v>
      </c>
    </row>
    <row r="164" spans="1:3" x14ac:dyDescent="0.25">
      <c r="A164" s="178">
        <v>1241</v>
      </c>
      <c r="B164" s="179" t="s">
        <v>456</v>
      </c>
      <c r="C164" s="180">
        <v>36</v>
      </c>
    </row>
    <row r="165" spans="1:3" x14ac:dyDescent="0.25">
      <c r="A165" s="178">
        <v>1244</v>
      </c>
      <c r="B165" s="179" t="s">
        <v>456</v>
      </c>
      <c r="C165" s="180">
        <v>24</v>
      </c>
    </row>
    <row r="166" spans="1:3" x14ac:dyDescent="0.25">
      <c r="A166" s="178">
        <v>1245</v>
      </c>
      <c r="B166" s="179" t="s">
        <v>456</v>
      </c>
      <c r="C166" s="180">
        <v>36</v>
      </c>
    </row>
    <row r="167" spans="1:3" x14ac:dyDescent="0.25">
      <c r="A167" s="178">
        <v>1246</v>
      </c>
      <c r="B167" s="179" t="s">
        <v>456</v>
      </c>
      <c r="C167" s="180">
        <v>1</v>
      </c>
    </row>
    <row r="168" spans="1:3" x14ac:dyDescent="0.25">
      <c r="A168" s="178">
        <v>1247</v>
      </c>
      <c r="B168" s="179" t="s">
        <v>456</v>
      </c>
      <c r="C168" s="180">
        <v>60</v>
      </c>
    </row>
    <row r="169" spans="1:3" x14ac:dyDescent="0.25">
      <c r="A169" s="178">
        <v>1248</v>
      </c>
      <c r="B169" s="179" t="s">
        <v>456</v>
      </c>
      <c r="C169" s="180">
        <v>60</v>
      </c>
    </row>
    <row r="170" spans="1:3" x14ac:dyDescent="0.25">
      <c r="A170" s="178">
        <v>1249</v>
      </c>
      <c r="B170" s="179" t="s">
        <v>456</v>
      </c>
      <c r="C170" s="180">
        <v>60</v>
      </c>
    </row>
    <row r="171" spans="1:3" x14ac:dyDescent="0.25">
      <c r="A171" s="178">
        <v>1250</v>
      </c>
      <c r="B171" s="179" t="s">
        <v>456</v>
      </c>
      <c r="C171" s="180">
        <v>60</v>
      </c>
    </row>
    <row r="172" spans="1:3" x14ac:dyDescent="0.25">
      <c r="A172" s="178">
        <v>1251</v>
      </c>
      <c r="B172" s="179" t="s">
        <v>456</v>
      </c>
      <c r="C172" s="180">
        <v>1</v>
      </c>
    </row>
    <row r="173" spans="1:3" x14ac:dyDescent="0.25">
      <c r="A173" s="178">
        <v>1252</v>
      </c>
      <c r="B173" s="179" t="s">
        <v>456</v>
      </c>
      <c r="C173" s="180">
        <v>36</v>
      </c>
    </row>
    <row r="174" spans="1:3" x14ac:dyDescent="0.25">
      <c r="A174" s="178">
        <v>1253</v>
      </c>
      <c r="B174" s="179" t="s">
        <v>456</v>
      </c>
      <c r="C174" s="180">
        <v>24</v>
      </c>
    </row>
    <row r="175" spans="1:3" x14ac:dyDescent="0.25">
      <c r="A175" s="178">
        <v>1254</v>
      </c>
      <c r="B175" s="179" t="s">
        <v>456</v>
      </c>
      <c r="C175" s="180">
        <v>36</v>
      </c>
    </row>
    <row r="176" spans="1:3" x14ac:dyDescent="0.25">
      <c r="A176" s="178">
        <v>1255</v>
      </c>
      <c r="B176" s="179" t="s">
        <v>456</v>
      </c>
      <c r="C176" s="180">
        <v>36</v>
      </c>
    </row>
    <row r="177" spans="1:3" x14ac:dyDescent="0.25">
      <c r="A177" s="178">
        <v>1256</v>
      </c>
      <c r="B177" s="179" t="s">
        <v>456</v>
      </c>
      <c r="C177" s="180">
        <v>36</v>
      </c>
    </row>
    <row r="178" spans="1:3" x14ac:dyDescent="0.25">
      <c r="A178" s="178">
        <v>1257</v>
      </c>
      <c r="B178" s="179" t="s">
        <v>456</v>
      </c>
      <c r="C178" s="180">
        <v>36</v>
      </c>
    </row>
    <row r="179" spans="1:3" x14ac:dyDescent="0.25">
      <c r="A179" s="178">
        <v>1258</v>
      </c>
      <c r="B179" s="179" t="s">
        <v>456</v>
      </c>
      <c r="C179" s="180">
        <v>36</v>
      </c>
    </row>
    <row r="180" spans="1:3" x14ac:dyDescent="0.25">
      <c r="A180" s="178">
        <v>1259</v>
      </c>
      <c r="B180" s="179" t="s">
        <v>456</v>
      </c>
      <c r="C180" s="180">
        <v>36</v>
      </c>
    </row>
    <row r="181" spans="1:3" x14ac:dyDescent="0.25">
      <c r="A181" s="178">
        <v>1260</v>
      </c>
      <c r="B181" s="179" t="s">
        <v>456</v>
      </c>
      <c r="C181" s="180">
        <v>70</v>
      </c>
    </row>
    <row r="182" spans="1:3" x14ac:dyDescent="0.25">
      <c r="A182" s="178">
        <v>1261</v>
      </c>
      <c r="B182" s="179" t="s">
        <v>456</v>
      </c>
      <c r="C182" s="180">
        <v>72</v>
      </c>
    </row>
    <row r="183" spans="1:3" x14ac:dyDescent="0.25">
      <c r="A183" s="178">
        <v>1262</v>
      </c>
      <c r="B183" s="179" t="s">
        <v>456</v>
      </c>
      <c r="C183" s="180">
        <v>70</v>
      </c>
    </row>
    <row r="184" spans="1:3" x14ac:dyDescent="0.25">
      <c r="A184" s="178">
        <v>1263</v>
      </c>
      <c r="B184" s="179" t="s">
        <v>456</v>
      </c>
      <c r="C184" s="180">
        <v>70</v>
      </c>
    </row>
    <row r="185" spans="1:3" x14ac:dyDescent="0.25">
      <c r="A185" s="178">
        <v>1264</v>
      </c>
      <c r="B185" s="179" t="s">
        <v>456</v>
      </c>
      <c r="C185" s="180">
        <v>70</v>
      </c>
    </row>
    <row r="186" spans="1:3" x14ac:dyDescent="0.25">
      <c r="A186" s="178">
        <v>1265</v>
      </c>
      <c r="B186" s="179" t="s">
        <v>456</v>
      </c>
      <c r="C186" s="180">
        <v>70</v>
      </c>
    </row>
    <row r="187" spans="1:3" x14ac:dyDescent="0.25">
      <c r="A187" s="178">
        <v>1266</v>
      </c>
      <c r="B187" s="179" t="s">
        <v>456</v>
      </c>
      <c r="C187" s="180">
        <v>70</v>
      </c>
    </row>
    <row r="188" spans="1:3" x14ac:dyDescent="0.25">
      <c r="A188" s="178">
        <v>1267</v>
      </c>
      <c r="B188" s="179" t="s">
        <v>456</v>
      </c>
      <c r="C188" s="180">
        <v>70</v>
      </c>
    </row>
    <row r="189" spans="1:3" x14ac:dyDescent="0.25">
      <c r="A189" s="178">
        <v>1268</v>
      </c>
      <c r="B189" s="179" t="s">
        <v>456</v>
      </c>
      <c r="C189" s="180">
        <v>3</v>
      </c>
    </row>
    <row r="190" spans="1:3" x14ac:dyDescent="0.25">
      <c r="A190" s="178">
        <v>1269</v>
      </c>
      <c r="B190" s="179" t="s">
        <v>456</v>
      </c>
      <c r="C190" s="180">
        <v>3</v>
      </c>
    </row>
    <row r="191" spans="1:3" x14ac:dyDescent="0.25">
      <c r="A191" s="178">
        <v>1270</v>
      </c>
      <c r="B191" s="179" t="s">
        <v>456</v>
      </c>
      <c r="C191" s="180">
        <v>3</v>
      </c>
    </row>
    <row r="192" spans="1:3" x14ac:dyDescent="0.25">
      <c r="A192" s="178">
        <v>1271</v>
      </c>
      <c r="B192" s="179" t="s">
        <v>456</v>
      </c>
      <c r="C192" s="180">
        <v>24</v>
      </c>
    </row>
    <row r="193" spans="1:3" x14ac:dyDescent="0.25">
      <c r="A193" s="178">
        <v>1272</v>
      </c>
      <c r="B193" s="179" t="s">
        <v>456</v>
      </c>
      <c r="C193" s="180">
        <v>24</v>
      </c>
    </row>
    <row r="194" spans="1:3" x14ac:dyDescent="0.25">
      <c r="A194" s="178">
        <v>1273</v>
      </c>
      <c r="B194" s="179" t="s">
        <v>456</v>
      </c>
      <c r="C194" s="180">
        <v>36</v>
      </c>
    </row>
    <row r="195" spans="1:3" x14ac:dyDescent="0.25">
      <c r="A195" s="178">
        <v>1274</v>
      </c>
      <c r="B195" s="179" t="s">
        <v>456</v>
      </c>
      <c r="C195" s="180">
        <v>36</v>
      </c>
    </row>
    <row r="196" spans="1:3" x14ac:dyDescent="0.25">
      <c r="A196" s="178">
        <v>1275</v>
      </c>
      <c r="B196" s="179" t="s">
        <v>456</v>
      </c>
      <c r="C196" s="180">
        <v>36</v>
      </c>
    </row>
    <row r="197" spans="1:3" x14ac:dyDescent="0.25">
      <c r="A197" s="178">
        <v>1276</v>
      </c>
      <c r="B197" s="179" t="s">
        <v>456</v>
      </c>
      <c r="C197" s="180">
        <v>36</v>
      </c>
    </row>
    <row r="198" spans="1:3" x14ac:dyDescent="0.25">
      <c r="A198" s="178">
        <v>1277</v>
      </c>
      <c r="B198" s="179" t="s">
        <v>456</v>
      </c>
      <c r="C198" s="180">
        <v>60</v>
      </c>
    </row>
    <row r="199" spans="1:3" x14ac:dyDescent="0.25">
      <c r="A199" s="178">
        <v>1278</v>
      </c>
      <c r="B199" s="179" t="s">
        <v>456</v>
      </c>
      <c r="C199" s="180">
        <v>60</v>
      </c>
    </row>
    <row r="200" spans="1:3" x14ac:dyDescent="0.25">
      <c r="A200" s="178">
        <v>1279</v>
      </c>
      <c r="B200" s="179" t="s">
        <v>456</v>
      </c>
      <c r="C200" s="180">
        <v>60</v>
      </c>
    </row>
    <row r="201" spans="1:3" x14ac:dyDescent="0.25">
      <c r="A201" s="178">
        <v>1280</v>
      </c>
      <c r="B201" s="179" t="s">
        <v>456</v>
      </c>
      <c r="C201" s="180">
        <v>36</v>
      </c>
    </row>
    <row r="202" spans="1:3" x14ac:dyDescent="0.25">
      <c r="A202" s="178">
        <v>1281</v>
      </c>
      <c r="B202" s="179" t="s">
        <v>456</v>
      </c>
      <c r="C202" s="180">
        <v>24</v>
      </c>
    </row>
    <row r="203" spans="1:3" x14ac:dyDescent="0.25">
      <c r="A203" s="178">
        <v>1282</v>
      </c>
      <c r="B203" s="179" t="s">
        <v>456</v>
      </c>
      <c r="C203" s="180">
        <v>120</v>
      </c>
    </row>
    <row r="204" spans="1:3" x14ac:dyDescent="0.25">
      <c r="A204" s="178">
        <v>1283</v>
      </c>
      <c r="B204" s="179" t="s">
        <v>456</v>
      </c>
      <c r="C204" s="180">
        <v>120</v>
      </c>
    </row>
    <row r="205" spans="1:3" x14ac:dyDescent="0.25">
      <c r="A205" s="178">
        <v>1284</v>
      </c>
      <c r="B205" s="179" t="s">
        <v>456</v>
      </c>
      <c r="C205" s="180">
        <v>120</v>
      </c>
    </row>
    <row r="206" spans="1:3" x14ac:dyDescent="0.25">
      <c r="A206" s="178">
        <v>1285</v>
      </c>
      <c r="B206" s="179" t="s">
        <v>456</v>
      </c>
      <c r="C206" s="180">
        <v>120</v>
      </c>
    </row>
    <row r="207" spans="1:3" x14ac:dyDescent="0.25">
      <c r="A207" s="178">
        <v>1286</v>
      </c>
      <c r="B207" s="179" t="s">
        <v>456</v>
      </c>
      <c r="C207" s="180">
        <v>42</v>
      </c>
    </row>
    <row r="208" spans="1:3" x14ac:dyDescent="0.25">
      <c r="A208" s="178">
        <v>1287</v>
      </c>
      <c r="B208" s="179" t="s">
        <v>456</v>
      </c>
      <c r="C208" s="180">
        <v>120</v>
      </c>
    </row>
    <row r="209" spans="1:3" x14ac:dyDescent="0.25">
      <c r="A209" s="178">
        <v>1288</v>
      </c>
      <c r="B209" s="179" t="s">
        <v>456</v>
      </c>
      <c r="C209" s="180">
        <v>3</v>
      </c>
    </row>
    <row r="210" spans="1:3" x14ac:dyDescent="0.25">
      <c r="A210" s="178">
        <v>1289</v>
      </c>
      <c r="B210" s="179" t="s">
        <v>456</v>
      </c>
      <c r="C210" s="180">
        <v>42</v>
      </c>
    </row>
    <row r="211" spans="1:3" x14ac:dyDescent="0.25">
      <c r="A211" s="178">
        <v>1290</v>
      </c>
      <c r="B211" s="179" t="s">
        <v>456</v>
      </c>
      <c r="C211" s="180">
        <v>96</v>
      </c>
    </row>
    <row r="212" spans="1:3" x14ac:dyDescent="0.25">
      <c r="A212" s="178">
        <v>1291</v>
      </c>
      <c r="B212" s="179" t="s">
        <v>456</v>
      </c>
      <c r="C212" s="180">
        <v>96</v>
      </c>
    </row>
    <row r="213" spans="1:3" x14ac:dyDescent="0.25">
      <c r="A213" s="178">
        <v>1292</v>
      </c>
      <c r="B213" s="179" t="s">
        <v>456</v>
      </c>
      <c r="C213" s="180">
        <v>96</v>
      </c>
    </row>
    <row r="214" spans="1:3" x14ac:dyDescent="0.25">
      <c r="A214" s="178">
        <v>1298</v>
      </c>
      <c r="B214" s="179" t="s">
        <v>456</v>
      </c>
      <c r="C214" s="180">
        <v>48</v>
      </c>
    </row>
    <row r="215" spans="1:3" x14ac:dyDescent="0.25">
      <c r="A215" s="178">
        <v>1301</v>
      </c>
      <c r="B215" s="179" t="s">
        <v>456</v>
      </c>
      <c r="C215" s="180">
        <v>84</v>
      </c>
    </row>
    <row r="216" spans="1:3" x14ac:dyDescent="0.25">
      <c r="A216" s="178">
        <v>1302</v>
      </c>
      <c r="B216" s="179" t="s">
        <v>456</v>
      </c>
      <c r="C216" s="180">
        <v>36</v>
      </c>
    </row>
    <row r="217" spans="1:3" x14ac:dyDescent="0.25">
      <c r="A217" s="178">
        <v>1307</v>
      </c>
      <c r="B217" s="179" t="s">
        <v>456</v>
      </c>
      <c r="C217" s="180">
        <v>128</v>
      </c>
    </row>
    <row r="218" spans="1:3" x14ac:dyDescent="0.25">
      <c r="A218" s="178">
        <v>1308</v>
      </c>
      <c r="B218" s="179" t="s">
        <v>456</v>
      </c>
      <c r="C218" s="180">
        <v>128</v>
      </c>
    </row>
    <row r="219" spans="1:3" x14ac:dyDescent="0.25">
      <c r="A219" s="178">
        <v>1309</v>
      </c>
      <c r="B219" s="179" t="s">
        <v>456</v>
      </c>
      <c r="C219" s="180">
        <v>128</v>
      </c>
    </row>
    <row r="220" spans="1:3" x14ac:dyDescent="0.25">
      <c r="A220" s="178">
        <v>1310</v>
      </c>
      <c r="B220" s="179" t="s">
        <v>456</v>
      </c>
      <c r="C220" s="180">
        <v>56</v>
      </c>
    </row>
    <row r="221" spans="1:3" x14ac:dyDescent="0.25">
      <c r="A221" s="178">
        <v>1313</v>
      </c>
      <c r="B221" s="179" t="s">
        <v>456</v>
      </c>
      <c r="C221" s="180">
        <v>80</v>
      </c>
    </row>
    <row r="222" spans="1:3" x14ac:dyDescent="0.25">
      <c r="A222" s="178">
        <v>1314</v>
      </c>
      <c r="B222" s="179" t="s">
        <v>456</v>
      </c>
      <c r="C222" s="180">
        <v>54</v>
      </c>
    </row>
    <row r="223" spans="1:3" x14ac:dyDescent="0.25">
      <c r="A223" s="178">
        <v>1317</v>
      </c>
      <c r="B223" s="179" t="s">
        <v>456</v>
      </c>
      <c r="C223" s="180">
        <v>120</v>
      </c>
    </row>
    <row r="224" spans="1:3" x14ac:dyDescent="0.25">
      <c r="A224" s="178">
        <v>1318</v>
      </c>
      <c r="B224" s="179" t="s">
        <v>456</v>
      </c>
      <c r="C224" s="180">
        <v>120</v>
      </c>
    </row>
    <row r="225" spans="1:3" x14ac:dyDescent="0.25">
      <c r="A225" s="178">
        <v>1319</v>
      </c>
      <c r="B225" s="179" t="s">
        <v>456</v>
      </c>
      <c r="C225" s="180">
        <v>120</v>
      </c>
    </row>
    <row r="226" spans="1:3" x14ac:dyDescent="0.25">
      <c r="A226" s="178">
        <v>1320</v>
      </c>
      <c r="B226" s="179" t="s">
        <v>456</v>
      </c>
      <c r="C226" s="180">
        <v>120</v>
      </c>
    </row>
    <row r="227" spans="1:3" x14ac:dyDescent="0.25">
      <c r="A227" s="178">
        <v>1321</v>
      </c>
      <c r="B227" s="179" t="s">
        <v>456</v>
      </c>
      <c r="C227" s="180">
        <v>120</v>
      </c>
    </row>
    <row r="228" spans="1:3" x14ac:dyDescent="0.25">
      <c r="A228" s="178">
        <v>1322</v>
      </c>
      <c r="B228" s="179" t="s">
        <v>456</v>
      </c>
      <c r="C228" s="180">
        <v>120</v>
      </c>
    </row>
    <row r="229" spans="1:3" x14ac:dyDescent="0.25">
      <c r="A229" s="178">
        <v>1323</v>
      </c>
      <c r="B229" s="179" t="s">
        <v>456</v>
      </c>
      <c r="C229" s="180">
        <v>120</v>
      </c>
    </row>
    <row r="230" spans="1:3" x14ac:dyDescent="0.25">
      <c r="A230" s="178">
        <v>1324</v>
      </c>
      <c r="B230" s="179" t="s">
        <v>456</v>
      </c>
      <c r="C230" s="180">
        <v>120</v>
      </c>
    </row>
    <row r="231" spans="1:3" x14ac:dyDescent="0.25">
      <c r="A231" s="178">
        <v>1325</v>
      </c>
      <c r="B231" s="179" t="s">
        <v>456</v>
      </c>
      <c r="C231" s="180">
        <v>120</v>
      </c>
    </row>
    <row r="232" spans="1:3" x14ac:dyDescent="0.25">
      <c r="A232" s="178">
        <v>1326</v>
      </c>
      <c r="B232" s="179" t="s">
        <v>456</v>
      </c>
      <c r="C232" s="180">
        <v>120</v>
      </c>
    </row>
    <row r="233" spans="1:3" x14ac:dyDescent="0.25">
      <c r="A233" s="178">
        <v>1327</v>
      </c>
      <c r="B233" s="179" t="s">
        <v>456</v>
      </c>
      <c r="C233" s="180">
        <v>120</v>
      </c>
    </row>
    <row r="234" spans="1:3" x14ac:dyDescent="0.25">
      <c r="A234" s="178">
        <v>1328</v>
      </c>
      <c r="B234" s="179" t="s">
        <v>456</v>
      </c>
      <c r="C234" s="180">
        <v>120</v>
      </c>
    </row>
    <row r="235" spans="1:3" x14ac:dyDescent="0.25">
      <c r="A235" s="178">
        <v>1329</v>
      </c>
      <c r="B235" s="179" t="s">
        <v>456</v>
      </c>
      <c r="C235" s="180">
        <v>120</v>
      </c>
    </row>
    <row r="236" spans="1:3" x14ac:dyDescent="0.25">
      <c r="A236" s="178">
        <v>1330</v>
      </c>
      <c r="B236" s="179" t="s">
        <v>456</v>
      </c>
      <c r="C236" s="180">
        <v>120</v>
      </c>
    </row>
    <row r="237" spans="1:3" x14ac:dyDescent="0.25">
      <c r="A237" s="178">
        <v>1331</v>
      </c>
      <c r="B237" s="179" t="s">
        <v>456</v>
      </c>
      <c r="C237" s="180">
        <v>120</v>
      </c>
    </row>
    <row r="238" spans="1:3" x14ac:dyDescent="0.25">
      <c r="A238" s="178">
        <v>1332</v>
      </c>
      <c r="B238" s="179" t="s">
        <v>456</v>
      </c>
      <c r="C238" s="180">
        <v>120</v>
      </c>
    </row>
    <row r="239" spans="1:3" x14ac:dyDescent="0.25">
      <c r="A239" s="178">
        <v>1333</v>
      </c>
      <c r="B239" s="179" t="s">
        <v>456</v>
      </c>
      <c r="C239" s="180">
        <v>120</v>
      </c>
    </row>
    <row r="240" spans="1:3" x14ac:dyDescent="0.25">
      <c r="A240" s="178">
        <v>1334</v>
      </c>
      <c r="B240" s="179" t="s">
        <v>456</v>
      </c>
      <c r="C240" s="180">
        <v>120</v>
      </c>
    </row>
    <row r="241" spans="1:3" x14ac:dyDescent="0.25">
      <c r="A241" s="178">
        <v>1335</v>
      </c>
      <c r="B241" s="179" t="s">
        <v>456</v>
      </c>
      <c r="C241" s="180">
        <v>120</v>
      </c>
    </row>
    <row r="242" spans="1:3" x14ac:dyDescent="0.25">
      <c r="A242" s="178">
        <v>1336</v>
      </c>
      <c r="B242" s="179" t="s">
        <v>456</v>
      </c>
      <c r="C242" s="180">
        <v>3</v>
      </c>
    </row>
    <row r="243" spans="1:3" x14ac:dyDescent="0.25">
      <c r="A243" s="178">
        <v>1337</v>
      </c>
      <c r="B243" s="179" t="s">
        <v>456</v>
      </c>
      <c r="C243" s="180">
        <v>3</v>
      </c>
    </row>
    <row r="244" spans="1:3" x14ac:dyDescent="0.25">
      <c r="A244" s="178">
        <v>1338</v>
      </c>
      <c r="B244" s="179" t="s">
        <v>456</v>
      </c>
      <c r="C244" s="180">
        <v>84</v>
      </c>
    </row>
    <row r="245" spans="1:3" x14ac:dyDescent="0.25">
      <c r="A245" s="178">
        <v>1339</v>
      </c>
      <c r="B245" s="179" t="s">
        <v>456</v>
      </c>
      <c r="C245" s="180">
        <v>84</v>
      </c>
    </row>
    <row r="246" spans="1:3" x14ac:dyDescent="0.25">
      <c r="A246" s="178">
        <v>1340</v>
      </c>
      <c r="B246" s="179" t="s">
        <v>456</v>
      </c>
      <c r="C246" s="180">
        <v>84</v>
      </c>
    </row>
    <row r="247" spans="1:3" x14ac:dyDescent="0.25">
      <c r="A247" s="178">
        <v>1341</v>
      </c>
      <c r="B247" s="179" t="s">
        <v>456</v>
      </c>
      <c r="C247" s="180">
        <v>84</v>
      </c>
    </row>
    <row r="248" spans="1:3" x14ac:dyDescent="0.25">
      <c r="A248" s="178">
        <v>1342</v>
      </c>
      <c r="B248" s="179" t="s">
        <v>456</v>
      </c>
      <c r="C248" s="180">
        <v>70</v>
      </c>
    </row>
    <row r="249" spans="1:3" x14ac:dyDescent="0.25">
      <c r="A249" s="178">
        <v>1343</v>
      </c>
      <c r="B249" s="179" t="s">
        <v>456</v>
      </c>
      <c r="C249" s="180">
        <v>84</v>
      </c>
    </row>
    <row r="250" spans="1:3" x14ac:dyDescent="0.25">
      <c r="A250" s="178">
        <v>1344</v>
      </c>
      <c r="B250" s="179" t="s">
        <v>456</v>
      </c>
      <c r="C250" s="180">
        <v>84</v>
      </c>
    </row>
    <row r="251" spans="1:3" x14ac:dyDescent="0.25">
      <c r="A251" s="178">
        <v>1345</v>
      </c>
      <c r="B251" s="179" t="s">
        <v>456</v>
      </c>
      <c r="C251" s="180">
        <v>84</v>
      </c>
    </row>
    <row r="252" spans="1:3" x14ac:dyDescent="0.25">
      <c r="A252" s="178">
        <v>1346</v>
      </c>
      <c r="B252" s="179" t="s">
        <v>456</v>
      </c>
      <c r="C252" s="180">
        <v>70</v>
      </c>
    </row>
    <row r="253" spans="1:3" x14ac:dyDescent="0.25">
      <c r="A253" s="178">
        <v>1347</v>
      </c>
      <c r="B253" s="179" t="s">
        <v>456</v>
      </c>
      <c r="C253" s="180">
        <v>84</v>
      </c>
    </row>
    <row r="254" spans="1:3" x14ac:dyDescent="0.25">
      <c r="A254" s="178">
        <v>1348</v>
      </c>
      <c r="B254" s="179" t="s">
        <v>456</v>
      </c>
      <c r="C254" s="180">
        <v>84</v>
      </c>
    </row>
    <row r="255" spans="1:3" x14ac:dyDescent="0.25">
      <c r="A255" s="178">
        <v>1349</v>
      </c>
      <c r="B255" s="179" t="s">
        <v>456</v>
      </c>
      <c r="C255" s="180">
        <v>84</v>
      </c>
    </row>
    <row r="256" spans="1:3" x14ac:dyDescent="0.25">
      <c r="A256" s="178">
        <v>1350</v>
      </c>
      <c r="B256" s="179" t="s">
        <v>456</v>
      </c>
      <c r="C256" s="180">
        <v>3</v>
      </c>
    </row>
    <row r="257" spans="1:3" x14ac:dyDescent="0.25">
      <c r="A257" s="178">
        <v>1351</v>
      </c>
      <c r="B257" s="179" t="s">
        <v>456</v>
      </c>
      <c r="C257" s="180">
        <v>84</v>
      </c>
    </row>
    <row r="258" spans="1:3" x14ac:dyDescent="0.25">
      <c r="A258" s="178">
        <v>1352</v>
      </c>
      <c r="B258" s="179" t="s">
        <v>456</v>
      </c>
      <c r="C258" s="180">
        <v>84</v>
      </c>
    </row>
    <row r="259" spans="1:3" x14ac:dyDescent="0.25">
      <c r="A259" s="178">
        <v>1353</v>
      </c>
      <c r="B259" s="179" t="s">
        <v>456</v>
      </c>
      <c r="C259" s="180">
        <v>84</v>
      </c>
    </row>
    <row r="260" spans="1:3" x14ac:dyDescent="0.25">
      <c r="A260" s="178">
        <v>1354</v>
      </c>
      <c r="B260" s="179" t="s">
        <v>456</v>
      </c>
      <c r="C260" s="180">
        <v>84</v>
      </c>
    </row>
    <row r="261" spans="1:3" x14ac:dyDescent="0.25">
      <c r="A261" s="178">
        <v>1355</v>
      </c>
      <c r="B261" s="179" t="s">
        <v>456</v>
      </c>
      <c r="C261" s="180">
        <v>84</v>
      </c>
    </row>
    <row r="262" spans="1:3" x14ac:dyDescent="0.25">
      <c r="A262" s="178">
        <v>1356</v>
      </c>
      <c r="B262" s="179" t="s">
        <v>456</v>
      </c>
      <c r="C262" s="180">
        <v>84</v>
      </c>
    </row>
    <row r="263" spans="1:3" x14ac:dyDescent="0.25">
      <c r="A263" s="178">
        <v>1357</v>
      </c>
      <c r="B263" s="179" t="s">
        <v>456</v>
      </c>
      <c r="C263" s="180">
        <v>84</v>
      </c>
    </row>
    <row r="264" spans="1:3" x14ac:dyDescent="0.25">
      <c r="A264" s="178">
        <v>1358</v>
      </c>
      <c r="B264" s="179" t="s">
        <v>456</v>
      </c>
      <c r="C264" s="180">
        <v>3</v>
      </c>
    </row>
    <row r="265" spans="1:3" x14ac:dyDescent="0.25">
      <c r="A265" s="178">
        <v>1359</v>
      </c>
      <c r="B265" s="179" t="s">
        <v>456</v>
      </c>
      <c r="C265" s="180">
        <v>3</v>
      </c>
    </row>
    <row r="266" spans="1:3" x14ac:dyDescent="0.25">
      <c r="A266" s="178">
        <v>1360</v>
      </c>
      <c r="B266" s="179" t="s">
        <v>456</v>
      </c>
      <c r="C266" s="180">
        <v>36</v>
      </c>
    </row>
    <row r="267" spans="1:3" x14ac:dyDescent="0.25">
      <c r="A267" s="178">
        <v>1361</v>
      </c>
      <c r="B267" s="179" t="s">
        <v>456</v>
      </c>
      <c r="C267" s="180">
        <v>36</v>
      </c>
    </row>
    <row r="268" spans="1:3" x14ac:dyDescent="0.25">
      <c r="A268" s="178">
        <v>1362</v>
      </c>
      <c r="B268" s="179" t="s">
        <v>456</v>
      </c>
      <c r="C268" s="180">
        <v>36</v>
      </c>
    </row>
    <row r="269" spans="1:3" x14ac:dyDescent="0.25">
      <c r="A269" s="178">
        <v>1363</v>
      </c>
      <c r="B269" s="179" t="s">
        <v>456</v>
      </c>
      <c r="C269" s="180">
        <v>42</v>
      </c>
    </row>
    <row r="270" spans="1:3" x14ac:dyDescent="0.25">
      <c r="A270" s="178">
        <v>1365</v>
      </c>
      <c r="B270" s="179" t="s">
        <v>456</v>
      </c>
      <c r="C270" s="180">
        <v>76</v>
      </c>
    </row>
    <row r="271" spans="1:3" x14ac:dyDescent="0.25">
      <c r="A271" s="178">
        <v>1366</v>
      </c>
      <c r="B271" s="179" t="s">
        <v>456</v>
      </c>
      <c r="C271" s="180">
        <v>76</v>
      </c>
    </row>
    <row r="272" spans="1:3" x14ac:dyDescent="0.25">
      <c r="A272" s="178">
        <v>1367</v>
      </c>
      <c r="B272" s="179" t="s">
        <v>456</v>
      </c>
      <c r="C272" s="180">
        <v>1</v>
      </c>
    </row>
    <row r="273" spans="1:3" x14ac:dyDescent="0.25">
      <c r="A273" s="178">
        <v>1368</v>
      </c>
      <c r="B273" s="179" t="s">
        <v>456</v>
      </c>
      <c r="C273" s="180">
        <v>1</v>
      </c>
    </row>
    <row r="274" spans="1:3" x14ac:dyDescent="0.25">
      <c r="A274" s="178">
        <v>1369</v>
      </c>
      <c r="B274" s="179" t="s">
        <v>456</v>
      </c>
      <c r="C274" s="180">
        <v>1</v>
      </c>
    </row>
    <row r="275" spans="1:3" x14ac:dyDescent="0.25">
      <c r="A275" s="178">
        <v>1370</v>
      </c>
      <c r="B275" s="179" t="s">
        <v>456</v>
      </c>
      <c r="C275" s="180">
        <v>36</v>
      </c>
    </row>
    <row r="276" spans="1:3" x14ac:dyDescent="0.25">
      <c r="A276" s="178">
        <v>1371</v>
      </c>
      <c r="B276" s="179" t="s">
        <v>456</v>
      </c>
      <c r="C276" s="180">
        <v>36</v>
      </c>
    </row>
    <row r="277" spans="1:3" x14ac:dyDescent="0.25">
      <c r="A277" s="178">
        <v>1372</v>
      </c>
      <c r="B277" s="179" t="s">
        <v>456</v>
      </c>
      <c r="C277" s="180">
        <v>36</v>
      </c>
    </row>
    <row r="278" spans="1:3" x14ac:dyDescent="0.25">
      <c r="A278" s="178">
        <v>1373</v>
      </c>
      <c r="B278" s="179" t="s">
        <v>456</v>
      </c>
      <c r="C278" s="180">
        <v>36</v>
      </c>
    </row>
    <row r="279" spans="1:3" x14ac:dyDescent="0.25">
      <c r="A279" s="178">
        <v>1374</v>
      </c>
      <c r="B279" s="179" t="s">
        <v>456</v>
      </c>
      <c r="C279" s="180">
        <v>36</v>
      </c>
    </row>
    <row r="280" spans="1:3" x14ac:dyDescent="0.25">
      <c r="A280" s="178">
        <v>1375</v>
      </c>
      <c r="B280" s="179" t="s">
        <v>456</v>
      </c>
      <c r="C280" s="180">
        <v>36</v>
      </c>
    </row>
    <row r="281" spans="1:3" x14ac:dyDescent="0.25">
      <c r="A281" s="178">
        <v>1376</v>
      </c>
      <c r="B281" s="179" t="s">
        <v>456</v>
      </c>
      <c r="C281" s="180">
        <v>36</v>
      </c>
    </row>
    <row r="282" spans="1:3" x14ac:dyDescent="0.25">
      <c r="A282" s="178">
        <v>1377</v>
      </c>
      <c r="B282" s="179" t="s">
        <v>456</v>
      </c>
      <c r="C282" s="180">
        <v>24</v>
      </c>
    </row>
    <row r="283" spans="1:3" x14ac:dyDescent="0.25">
      <c r="A283" s="178">
        <v>1378</v>
      </c>
      <c r="B283" s="179" t="s">
        <v>456</v>
      </c>
      <c r="C283" s="180">
        <v>24</v>
      </c>
    </row>
    <row r="284" spans="1:3" x14ac:dyDescent="0.25">
      <c r="A284" s="178">
        <v>1379</v>
      </c>
      <c r="B284" s="179" t="s">
        <v>456</v>
      </c>
      <c r="C284" s="180">
        <v>24</v>
      </c>
    </row>
    <row r="285" spans="1:3" x14ac:dyDescent="0.25">
      <c r="A285" s="178">
        <v>1380</v>
      </c>
      <c r="B285" s="179" t="s">
        <v>456</v>
      </c>
      <c r="C285" s="180">
        <v>24</v>
      </c>
    </row>
    <row r="286" spans="1:3" x14ac:dyDescent="0.25">
      <c r="A286" s="178">
        <v>1381</v>
      </c>
      <c r="B286" s="179" t="s">
        <v>456</v>
      </c>
      <c r="C286" s="180">
        <v>24</v>
      </c>
    </row>
    <row r="287" spans="1:3" x14ac:dyDescent="0.25">
      <c r="A287" s="178">
        <v>1382</v>
      </c>
      <c r="B287" s="179" t="s">
        <v>456</v>
      </c>
      <c r="C287" s="180">
        <v>24</v>
      </c>
    </row>
    <row r="288" spans="1:3" x14ac:dyDescent="0.25">
      <c r="A288" s="178">
        <v>1383</v>
      </c>
      <c r="B288" s="179" t="s">
        <v>456</v>
      </c>
      <c r="C288" s="180">
        <v>24</v>
      </c>
    </row>
    <row r="289" spans="1:3" x14ac:dyDescent="0.25">
      <c r="A289" s="178">
        <v>1385</v>
      </c>
      <c r="B289" s="179" t="s">
        <v>456</v>
      </c>
      <c r="C289" s="180">
        <v>24</v>
      </c>
    </row>
    <row r="290" spans="1:3" x14ac:dyDescent="0.25">
      <c r="A290" s="178">
        <v>1386</v>
      </c>
      <c r="B290" s="179" t="s">
        <v>456</v>
      </c>
      <c r="C290" s="180">
        <v>24</v>
      </c>
    </row>
    <row r="291" spans="1:3" x14ac:dyDescent="0.25">
      <c r="A291" s="178">
        <v>1387</v>
      </c>
      <c r="B291" s="179" t="s">
        <v>456</v>
      </c>
      <c r="C291" s="180">
        <v>24</v>
      </c>
    </row>
    <row r="292" spans="1:3" x14ac:dyDescent="0.25">
      <c r="A292" s="178">
        <v>1388</v>
      </c>
      <c r="B292" s="179" t="s">
        <v>456</v>
      </c>
      <c r="C292" s="180">
        <v>36</v>
      </c>
    </row>
    <row r="293" spans="1:3" x14ac:dyDescent="0.25">
      <c r="A293" s="178">
        <v>1389</v>
      </c>
      <c r="B293" s="179" t="s">
        <v>456</v>
      </c>
      <c r="C293" s="180">
        <v>24</v>
      </c>
    </row>
    <row r="294" spans="1:3" x14ac:dyDescent="0.25">
      <c r="A294" s="178">
        <v>1390</v>
      </c>
      <c r="B294" s="179" t="s">
        <v>456</v>
      </c>
      <c r="C294" s="180">
        <v>36</v>
      </c>
    </row>
    <row r="295" spans="1:3" x14ac:dyDescent="0.25">
      <c r="A295" s="178">
        <v>1391</v>
      </c>
      <c r="B295" s="179" t="s">
        <v>456</v>
      </c>
      <c r="C295" s="180">
        <v>36</v>
      </c>
    </row>
    <row r="296" spans="1:3" x14ac:dyDescent="0.25">
      <c r="A296" s="178">
        <v>1392</v>
      </c>
      <c r="B296" s="179" t="s">
        <v>456</v>
      </c>
      <c r="C296" s="180">
        <v>27</v>
      </c>
    </row>
    <row r="297" spans="1:3" x14ac:dyDescent="0.25">
      <c r="A297" s="178">
        <v>1393</v>
      </c>
      <c r="B297" s="179" t="s">
        <v>456</v>
      </c>
      <c r="C297" s="180">
        <v>36</v>
      </c>
    </row>
    <row r="298" spans="1:3" x14ac:dyDescent="0.25">
      <c r="A298" s="178">
        <v>1394</v>
      </c>
      <c r="B298" s="179" t="s">
        <v>456</v>
      </c>
      <c r="C298" s="180">
        <v>36</v>
      </c>
    </row>
    <row r="299" spans="1:3" x14ac:dyDescent="0.25">
      <c r="A299" s="178">
        <v>1395</v>
      </c>
      <c r="B299" s="179" t="s">
        <v>456</v>
      </c>
      <c r="C299" s="180">
        <v>36</v>
      </c>
    </row>
    <row r="300" spans="1:3" x14ac:dyDescent="0.25">
      <c r="A300" s="178">
        <v>1396</v>
      </c>
      <c r="B300" s="179" t="s">
        <v>456</v>
      </c>
      <c r="C300" s="180">
        <v>24</v>
      </c>
    </row>
    <row r="301" spans="1:3" x14ac:dyDescent="0.25">
      <c r="A301" s="178">
        <v>1397</v>
      </c>
      <c r="B301" s="179" t="s">
        <v>456</v>
      </c>
      <c r="C301" s="180">
        <v>24</v>
      </c>
    </row>
    <row r="302" spans="1:3" x14ac:dyDescent="0.25">
      <c r="A302" s="178">
        <v>1398</v>
      </c>
      <c r="B302" s="179" t="s">
        <v>456</v>
      </c>
      <c r="C302" s="180">
        <v>24</v>
      </c>
    </row>
    <row r="303" spans="1:3" x14ac:dyDescent="0.25">
      <c r="A303" s="178">
        <v>1399</v>
      </c>
      <c r="B303" s="179" t="s">
        <v>456</v>
      </c>
      <c r="C303" s="180">
        <v>36</v>
      </c>
    </row>
    <row r="304" spans="1:3" x14ac:dyDescent="0.25">
      <c r="A304" s="178">
        <v>1400</v>
      </c>
      <c r="B304" s="179" t="s">
        <v>456</v>
      </c>
      <c r="C304" s="180">
        <v>30</v>
      </c>
    </row>
    <row r="305" spans="1:3" x14ac:dyDescent="0.25">
      <c r="A305" s="178">
        <v>1401</v>
      </c>
      <c r="B305" s="179" t="s">
        <v>456</v>
      </c>
      <c r="C305" s="180">
        <v>30</v>
      </c>
    </row>
    <row r="306" spans="1:3" x14ac:dyDescent="0.25">
      <c r="A306" s="178">
        <v>1402</v>
      </c>
      <c r="B306" s="179" t="s">
        <v>456</v>
      </c>
      <c r="C306" s="180">
        <v>36</v>
      </c>
    </row>
    <row r="307" spans="1:3" x14ac:dyDescent="0.25">
      <c r="A307" s="178">
        <v>1403</v>
      </c>
      <c r="B307" s="179" t="s">
        <v>456</v>
      </c>
      <c r="C307" s="180">
        <v>36</v>
      </c>
    </row>
    <row r="308" spans="1:3" x14ac:dyDescent="0.25">
      <c r="A308" s="178">
        <v>1404</v>
      </c>
      <c r="B308" s="179" t="s">
        <v>456</v>
      </c>
      <c r="C308" s="180">
        <v>36</v>
      </c>
    </row>
    <row r="309" spans="1:3" x14ac:dyDescent="0.25">
      <c r="A309" s="178">
        <v>1405</v>
      </c>
      <c r="B309" s="179" t="s">
        <v>456</v>
      </c>
      <c r="C309" s="180">
        <v>36</v>
      </c>
    </row>
    <row r="310" spans="1:3" x14ac:dyDescent="0.25">
      <c r="A310" s="178">
        <v>1406</v>
      </c>
      <c r="B310" s="179" t="s">
        <v>456</v>
      </c>
      <c r="C310" s="180">
        <v>36</v>
      </c>
    </row>
    <row r="311" spans="1:3" x14ac:dyDescent="0.25">
      <c r="A311" s="178">
        <v>1407</v>
      </c>
      <c r="B311" s="179" t="s">
        <v>456</v>
      </c>
      <c r="C311" s="180">
        <v>36</v>
      </c>
    </row>
    <row r="312" spans="1:3" x14ac:dyDescent="0.25">
      <c r="A312" s="178">
        <v>1408</v>
      </c>
      <c r="B312" s="179" t="s">
        <v>456</v>
      </c>
      <c r="C312" s="180">
        <v>36</v>
      </c>
    </row>
    <row r="313" spans="1:3" x14ac:dyDescent="0.25">
      <c r="A313" s="178">
        <v>1409</v>
      </c>
      <c r="B313" s="179" t="s">
        <v>456</v>
      </c>
      <c r="C313" s="180">
        <v>36</v>
      </c>
    </row>
    <row r="314" spans="1:3" x14ac:dyDescent="0.25">
      <c r="A314" s="178">
        <v>1410</v>
      </c>
      <c r="B314" s="179" t="s">
        <v>456</v>
      </c>
      <c r="C314" s="180">
        <v>30</v>
      </c>
    </row>
    <row r="315" spans="1:3" x14ac:dyDescent="0.25">
      <c r="A315" s="178">
        <v>1411</v>
      </c>
      <c r="B315" s="179" t="s">
        <v>456</v>
      </c>
      <c r="C315" s="180">
        <v>30</v>
      </c>
    </row>
    <row r="316" spans="1:3" x14ac:dyDescent="0.25">
      <c r="A316" s="178">
        <v>1413</v>
      </c>
      <c r="B316" s="179" t="s">
        <v>456</v>
      </c>
      <c r="C316" s="180">
        <v>30</v>
      </c>
    </row>
    <row r="317" spans="1:3" x14ac:dyDescent="0.25">
      <c r="A317" s="178">
        <v>1414</v>
      </c>
      <c r="B317" s="179" t="s">
        <v>456</v>
      </c>
      <c r="C317" s="180">
        <v>36</v>
      </c>
    </row>
    <row r="318" spans="1:3" x14ac:dyDescent="0.25">
      <c r="A318" s="178">
        <v>1415</v>
      </c>
      <c r="B318" s="179" t="s">
        <v>456</v>
      </c>
      <c r="C318" s="180">
        <v>36</v>
      </c>
    </row>
    <row r="319" spans="1:3" x14ac:dyDescent="0.25">
      <c r="A319" s="178">
        <v>1416</v>
      </c>
      <c r="B319" s="179" t="s">
        <v>456</v>
      </c>
      <c r="C319" s="180">
        <v>36</v>
      </c>
    </row>
    <row r="320" spans="1:3" x14ac:dyDescent="0.25">
      <c r="A320" s="178">
        <v>1417</v>
      </c>
      <c r="B320" s="179" t="s">
        <v>456</v>
      </c>
      <c r="C320" s="180">
        <v>30</v>
      </c>
    </row>
    <row r="321" spans="1:3" x14ac:dyDescent="0.25">
      <c r="A321" s="178">
        <v>1418</v>
      </c>
      <c r="B321" s="179" t="s">
        <v>456</v>
      </c>
      <c r="C321" s="180">
        <v>2</v>
      </c>
    </row>
    <row r="322" spans="1:3" x14ac:dyDescent="0.25">
      <c r="A322" s="178">
        <v>1419</v>
      </c>
      <c r="B322" s="179" t="s">
        <v>456</v>
      </c>
      <c r="C322" s="180">
        <v>45</v>
      </c>
    </row>
    <row r="323" spans="1:3" x14ac:dyDescent="0.25">
      <c r="A323" s="178">
        <v>1420</v>
      </c>
      <c r="B323" s="179" t="s">
        <v>456</v>
      </c>
      <c r="C323" s="180">
        <v>45</v>
      </c>
    </row>
    <row r="324" spans="1:3" x14ac:dyDescent="0.25">
      <c r="A324" s="178">
        <v>1421</v>
      </c>
      <c r="B324" s="179" t="s">
        <v>456</v>
      </c>
      <c r="C324" s="180">
        <v>72</v>
      </c>
    </row>
    <row r="325" spans="1:3" x14ac:dyDescent="0.25">
      <c r="A325" s="178">
        <v>1422</v>
      </c>
      <c r="B325" s="179" t="s">
        <v>456</v>
      </c>
      <c r="C325" s="180">
        <v>70</v>
      </c>
    </row>
    <row r="326" spans="1:3" x14ac:dyDescent="0.25">
      <c r="A326" s="178">
        <v>1423</v>
      </c>
      <c r="B326" s="179" t="s">
        <v>456</v>
      </c>
      <c r="C326" s="180">
        <v>70</v>
      </c>
    </row>
    <row r="327" spans="1:3" x14ac:dyDescent="0.25">
      <c r="A327" s="178">
        <v>1424</v>
      </c>
      <c r="B327" s="179" t="s">
        <v>456</v>
      </c>
      <c r="C327" s="180">
        <v>2</v>
      </c>
    </row>
    <row r="328" spans="1:3" x14ac:dyDescent="0.25">
      <c r="A328" s="178">
        <v>1425</v>
      </c>
      <c r="B328" s="179" t="s">
        <v>456</v>
      </c>
      <c r="C328" s="180">
        <v>2</v>
      </c>
    </row>
    <row r="329" spans="1:3" x14ac:dyDescent="0.25">
      <c r="A329" s="178">
        <v>1426</v>
      </c>
      <c r="B329" s="179" t="s">
        <v>456</v>
      </c>
      <c r="C329" s="180">
        <v>2</v>
      </c>
    </row>
    <row r="330" spans="1:3" x14ac:dyDescent="0.25">
      <c r="A330" s="178">
        <v>1427</v>
      </c>
      <c r="B330" s="179" t="s">
        <v>456</v>
      </c>
      <c r="C330" s="180">
        <v>2</v>
      </c>
    </row>
    <row r="331" spans="1:3" x14ac:dyDescent="0.25">
      <c r="A331" s="178">
        <v>1428</v>
      </c>
      <c r="B331" s="179" t="s">
        <v>456</v>
      </c>
      <c r="C331" s="180">
        <v>2</v>
      </c>
    </row>
    <row r="332" spans="1:3" x14ac:dyDescent="0.25">
      <c r="A332" s="178">
        <v>1429</v>
      </c>
      <c r="B332" s="179" t="s">
        <v>456</v>
      </c>
      <c r="C332" s="180">
        <v>45</v>
      </c>
    </row>
    <row r="333" spans="1:3" x14ac:dyDescent="0.25">
      <c r="A333" s="178">
        <v>1433</v>
      </c>
      <c r="B333" s="179" t="s">
        <v>456</v>
      </c>
      <c r="C333" s="180">
        <v>60</v>
      </c>
    </row>
    <row r="334" spans="1:3" x14ac:dyDescent="0.25">
      <c r="A334" s="178">
        <v>1435</v>
      </c>
      <c r="B334" s="179" t="s">
        <v>456</v>
      </c>
      <c r="C334" s="180">
        <v>2</v>
      </c>
    </row>
    <row r="335" spans="1:3" x14ac:dyDescent="0.25">
      <c r="A335" s="178">
        <v>1439</v>
      </c>
      <c r="B335" s="179" t="s">
        <v>456</v>
      </c>
      <c r="C335" s="180">
        <v>60</v>
      </c>
    </row>
    <row r="336" spans="1:3" x14ac:dyDescent="0.25">
      <c r="A336" s="178">
        <v>1440</v>
      </c>
      <c r="B336" s="179" t="s">
        <v>456</v>
      </c>
      <c r="C336" s="180">
        <v>60</v>
      </c>
    </row>
    <row r="337" spans="1:3" x14ac:dyDescent="0.25">
      <c r="A337" s="178">
        <v>1441</v>
      </c>
      <c r="B337" s="179" t="s">
        <v>456</v>
      </c>
      <c r="C337" s="180">
        <v>60</v>
      </c>
    </row>
    <row r="338" spans="1:3" x14ac:dyDescent="0.25">
      <c r="A338" s="178">
        <v>1442</v>
      </c>
      <c r="B338" s="179" t="s">
        <v>456</v>
      </c>
      <c r="C338" s="180">
        <v>60</v>
      </c>
    </row>
    <row r="339" spans="1:3" x14ac:dyDescent="0.25">
      <c r="A339" s="178">
        <v>1443</v>
      </c>
      <c r="B339" s="179" t="s">
        <v>456</v>
      </c>
      <c r="C339" s="180">
        <v>60</v>
      </c>
    </row>
    <row r="340" spans="1:3" x14ac:dyDescent="0.25">
      <c r="A340" s="178">
        <v>1445</v>
      </c>
      <c r="B340" s="179" t="s">
        <v>456</v>
      </c>
      <c r="C340" s="180">
        <v>60</v>
      </c>
    </row>
    <row r="341" spans="1:3" x14ac:dyDescent="0.25">
      <c r="A341" s="178">
        <v>1446</v>
      </c>
      <c r="B341" s="179" t="s">
        <v>456</v>
      </c>
      <c r="C341" s="180">
        <v>60</v>
      </c>
    </row>
    <row r="342" spans="1:3" x14ac:dyDescent="0.25">
      <c r="A342" s="178">
        <v>1448</v>
      </c>
      <c r="B342" s="179" t="s">
        <v>456</v>
      </c>
      <c r="C342" s="180">
        <v>60</v>
      </c>
    </row>
    <row r="343" spans="1:3" x14ac:dyDescent="0.25">
      <c r="A343" s="178">
        <v>1449</v>
      </c>
      <c r="B343" s="179" t="s">
        <v>456</v>
      </c>
      <c r="C343" s="180">
        <v>80</v>
      </c>
    </row>
    <row r="344" spans="1:3" x14ac:dyDescent="0.25">
      <c r="A344" s="178">
        <v>1450</v>
      </c>
      <c r="B344" s="179" t="s">
        <v>456</v>
      </c>
      <c r="C344" s="180">
        <v>80</v>
      </c>
    </row>
    <row r="345" spans="1:3" x14ac:dyDescent="0.25">
      <c r="A345" s="178">
        <v>1451</v>
      </c>
      <c r="B345" s="179" t="s">
        <v>456</v>
      </c>
      <c r="C345" s="180">
        <v>80</v>
      </c>
    </row>
    <row r="346" spans="1:3" x14ac:dyDescent="0.25">
      <c r="A346" s="178">
        <v>1452</v>
      </c>
      <c r="B346" s="179" t="s">
        <v>456</v>
      </c>
      <c r="C346" s="180">
        <v>80</v>
      </c>
    </row>
    <row r="347" spans="1:3" x14ac:dyDescent="0.25">
      <c r="A347" s="178">
        <v>1454</v>
      </c>
      <c r="B347" s="179" t="s">
        <v>456</v>
      </c>
      <c r="C347" s="180">
        <v>3</v>
      </c>
    </row>
    <row r="348" spans="1:3" x14ac:dyDescent="0.25">
      <c r="A348" s="178">
        <v>1455</v>
      </c>
      <c r="B348" s="179" t="s">
        <v>456</v>
      </c>
      <c r="C348" s="180">
        <v>120</v>
      </c>
    </row>
    <row r="349" spans="1:3" x14ac:dyDescent="0.25">
      <c r="A349" s="178">
        <v>1456</v>
      </c>
      <c r="B349" s="179" t="s">
        <v>456</v>
      </c>
      <c r="C349" s="180">
        <v>120</v>
      </c>
    </row>
    <row r="350" spans="1:3" x14ac:dyDescent="0.25">
      <c r="A350" s="178">
        <v>1457</v>
      </c>
      <c r="B350" s="179" t="s">
        <v>456</v>
      </c>
      <c r="C350" s="180">
        <v>120</v>
      </c>
    </row>
    <row r="351" spans="1:3" x14ac:dyDescent="0.25">
      <c r="A351" s="178">
        <v>1458</v>
      </c>
      <c r="B351" s="179" t="s">
        <v>456</v>
      </c>
      <c r="C351" s="180">
        <v>120</v>
      </c>
    </row>
    <row r="352" spans="1:3" x14ac:dyDescent="0.25">
      <c r="A352" s="178">
        <v>1460</v>
      </c>
      <c r="B352" s="179" t="s">
        <v>456</v>
      </c>
      <c r="C352" s="180">
        <v>120</v>
      </c>
    </row>
    <row r="353" spans="1:3" x14ac:dyDescent="0.25">
      <c r="A353" s="178">
        <v>1462</v>
      </c>
      <c r="B353" s="179" t="s">
        <v>456</v>
      </c>
      <c r="C353" s="180">
        <v>120</v>
      </c>
    </row>
    <row r="354" spans="1:3" x14ac:dyDescent="0.25">
      <c r="A354" s="178">
        <v>1463</v>
      </c>
      <c r="B354" s="179" t="s">
        <v>456</v>
      </c>
      <c r="C354" s="180">
        <v>80</v>
      </c>
    </row>
    <row r="355" spans="1:3" x14ac:dyDescent="0.25">
      <c r="A355" s="178">
        <v>1464</v>
      </c>
      <c r="B355" s="179" t="s">
        <v>456</v>
      </c>
      <c r="C355" s="180">
        <v>120</v>
      </c>
    </row>
    <row r="356" spans="1:3" x14ac:dyDescent="0.25">
      <c r="A356" s="178">
        <v>1466</v>
      </c>
      <c r="B356" s="179" t="s">
        <v>456</v>
      </c>
      <c r="C356" s="180">
        <v>120</v>
      </c>
    </row>
    <row r="357" spans="1:3" x14ac:dyDescent="0.25">
      <c r="A357" s="178">
        <v>1467</v>
      </c>
      <c r="B357" s="179" t="s">
        <v>456</v>
      </c>
      <c r="C357" s="180">
        <v>120</v>
      </c>
    </row>
    <row r="358" spans="1:3" x14ac:dyDescent="0.25">
      <c r="A358" s="178">
        <v>1468</v>
      </c>
      <c r="B358" s="179" t="s">
        <v>456</v>
      </c>
      <c r="C358" s="180">
        <v>120</v>
      </c>
    </row>
    <row r="359" spans="1:3" x14ac:dyDescent="0.25">
      <c r="A359" s="178">
        <v>1470</v>
      </c>
      <c r="B359" s="179" t="s">
        <v>456</v>
      </c>
      <c r="C359" s="180">
        <v>126</v>
      </c>
    </row>
    <row r="360" spans="1:3" x14ac:dyDescent="0.25">
      <c r="A360" s="178">
        <v>1471</v>
      </c>
      <c r="B360" s="179" t="s">
        <v>456</v>
      </c>
      <c r="C360" s="180">
        <v>126</v>
      </c>
    </row>
    <row r="361" spans="1:3" x14ac:dyDescent="0.25">
      <c r="A361" s="178">
        <v>1472</v>
      </c>
      <c r="B361" s="179" t="s">
        <v>456</v>
      </c>
      <c r="C361" s="180">
        <v>120</v>
      </c>
    </row>
    <row r="362" spans="1:3" x14ac:dyDescent="0.25">
      <c r="A362" s="178">
        <v>1473</v>
      </c>
      <c r="B362" s="179" t="s">
        <v>456</v>
      </c>
      <c r="C362" s="180">
        <v>120</v>
      </c>
    </row>
    <row r="363" spans="1:3" x14ac:dyDescent="0.25">
      <c r="A363" s="178">
        <v>1474</v>
      </c>
      <c r="B363" s="179" t="s">
        <v>456</v>
      </c>
      <c r="C363" s="180">
        <v>120</v>
      </c>
    </row>
    <row r="364" spans="1:3" x14ac:dyDescent="0.25">
      <c r="A364" s="178">
        <v>1475</v>
      </c>
      <c r="B364" s="179" t="s">
        <v>456</v>
      </c>
      <c r="C364" s="180">
        <v>120</v>
      </c>
    </row>
    <row r="365" spans="1:3" x14ac:dyDescent="0.25">
      <c r="A365" s="178">
        <v>1476</v>
      </c>
      <c r="B365" s="179" t="s">
        <v>456</v>
      </c>
      <c r="C365" s="180">
        <v>243</v>
      </c>
    </row>
    <row r="366" spans="1:3" x14ac:dyDescent="0.25">
      <c r="A366" s="178">
        <v>1478</v>
      </c>
      <c r="B366" s="179" t="s">
        <v>456</v>
      </c>
      <c r="C366" s="180">
        <v>243</v>
      </c>
    </row>
    <row r="367" spans="1:3" x14ac:dyDescent="0.25">
      <c r="A367" s="178">
        <v>1481</v>
      </c>
      <c r="B367" s="179" t="s">
        <v>456</v>
      </c>
      <c r="C367" s="180">
        <v>60</v>
      </c>
    </row>
    <row r="368" spans="1:3" x14ac:dyDescent="0.25">
      <c r="A368" s="178">
        <v>1482</v>
      </c>
      <c r="B368" s="179" t="s">
        <v>456</v>
      </c>
      <c r="C368" s="180">
        <v>60</v>
      </c>
    </row>
    <row r="369" spans="1:3" x14ac:dyDescent="0.25">
      <c r="A369" s="178">
        <v>1483</v>
      </c>
      <c r="B369" s="179" t="s">
        <v>456</v>
      </c>
      <c r="C369" s="180">
        <v>60</v>
      </c>
    </row>
    <row r="370" spans="1:3" x14ac:dyDescent="0.25">
      <c r="A370" s="178">
        <v>1484</v>
      </c>
      <c r="B370" s="179" t="s">
        <v>456</v>
      </c>
      <c r="C370" s="180">
        <v>60</v>
      </c>
    </row>
    <row r="371" spans="1:3" x14ac:dyDescent="0.25">
      <c r="A371" s="178">
        <v>1486</v>
      </c>
      <c r="B371" s="179" t="s">
        <v>456</v>
      </c>
      <c r="C371" s="180">
        <v>80</v>
      </c>
    </row>
    <row r="372" spans="1:3" x14ac:dyDescent="0.25">
      <c r="A372" s="178">
        <v>1487</v>
      </c>
      <c r="B372" s="179" t="s">
        <v>456</v>
      </c>
      <c r="C372" s="180">
        <v>80</v>
      </c>
    </row>
    <row r="373" spans="1:3" x14ac:dyDescent="0.25">
      <c r="A373" s="178">
        <v>1488</v>
      </c>
      <c r="B373" s="179" t="s">
        <v>456</v>
      </c>
      <c r="C373" s="180">
        <v>80</v>
      </c>
    </row>
    <row r="374" spans="1:3" x14ac:dyDescent="0.25">
      <c r="A374" s="178">
        <v>1491</v>
      </c>
      <c r="B374" s="179" t="s">
        <v>456</v>
      </c>
      <c r="C374" s="180">
        <v>120</v>
      </c>
    </row>
    <row r="375" spans="1:3" x14ac:dyDescent="0.25">
      <c r="A375" s="178">
        <v>1492</v>
      </c>
      <c r="B375" s="179" t="s">
        <v>456</v>
      </c>
      <c r="C375" s="180">
        <v>160</v>
      </c>
    </row>
    <row r="376" spans="1:3" x14ac:dyDescent="0.25">
      <c r="A376" s="178">
        <v>1493</v>
      </c>
      <c r="B376" s="179" t="s">
        <v>456</v>
      </c>
      <c r="C376" s="180">
        <v>160</v>
      </c>
    </row>
    <row r="377" spans="1:3" x14ac:dyDescent="0.25">
      <c r="A377" s="178">
        <v>1494</v>
      </c>
      <c r="B377" s="179" t="s">
        <v>456</v>
      </c>
      <c r="C377" s="180">
        <v>160</v>
      </c>
    </row>
    <row r="378" spans="1:3" x14ac:dyDescent="0.25">
      <c r="A378" s="178">
        <v>1495</v>
      </c>
      <c r="B378" s="179" t="s">
        <v>456</v>
      </c>
      <c r="C378" s="180">
        <v>1</v>
      </c>
    </row>
    <row r="379" spans="1:3" x14ac:dyDescent="0.25">
      <c r="A379" s="178">
        <v>1496</v>
      </c>
      <c r="B379" s="179" t="s">
        <v>456</v>
      </c>
      <c r="C379" s="180">
        <v>160</v>
      </c>
    </row>
    <row r="380" spans="1:3" x14ac:dyDescent="0.25">
      <c r="A380" s="178">
        <v>1497</v>
      </c>
      <c r="B380" s="179" t="s">
        <v>456</v>
      </c>
      <c r="C380" s="180">
        <v>160</v>
      </c>
    </row>
    <row r="381" spans="1:3" x14ac:dyDescent="0.25">
      <c r="A381" s="178">
        <v>1498</v>
      </c>
      <c r="B381" s="179" t="s">
        <v>456</v>
      </c>
      <c r="C381" s="180">
        <v>160</v>
      </c>
    </row>
    <row r="382" spans="1:3" x14ac:dyDescent="0.25">
      <c r="A382" s="178">
        <v>1499</v>
      </c>
      <c r="B382" s="179" t="s">
        <v>456</v>
      </c>
      <c r="C382" s="180">
        <v>84</v>
      </c>
    </row>
    <row r="383" spans="1:3" x14ac:dyDescent="0.25">
      <c r="A383" s="178">
        <v>1500</v>
      </c>
      <c r="B383" s="179" t="s">
        <v>456</v>
      </c>
      <c r="C383" s="180">
        <v>84</v>
      </c>
    </row>
    <row r="384" spans="1:3" x14ac:dyDescent="0.25">
      <c r="A384" s="178">
        <v>1501</v>
      </c>
      <c r="B384" s="179" t="s">
        <v>456</v>
      </c>
      <c r="C384" s="180">
        <v>160</v>
      </c>
    </row>
    <row r="385" spans="1:3" x14ac:dyDescent="0.25">
      <c r="A385" s="178">
        <v>1502</v>
      </c>
      <c r="B385" s="179" t="s">
        <v>456</v>
      </c>
      <c r="C385" s="180">
        <v>160</v>
      </c>
    </row>
    <row r="386" spans="1:3" x14ac:dyDescent="0.25">
      <c r="A386" s="178">
        <v>1503</v>
      </c>
      <c r="B386" s="179" t="s">
        <v>456</v>
      </c>
      <c r="C386" s="180">
        <v>160</v>
      </c>
    </row>
    <row r="387" spans="1:3" x14ac:dyDescent="0.25">
      <c r="A387" s="178">
        <v>1504</v>
      </c>
      <c r="B387" s="179" t="s">
        <v>456</v>
      </c>
      <c r="C387" s="180">
        <v>152</v>
      </c>
    </row>
    <row r="388" spans="1:3" x14ac:dyDescent="0.25">
      <c r="A388" s="178">
        <v>1505</v>
      </c>
      <c r="B388" s="179" t="s">
        <v>456</v>
      </c>
      <c r="C388" s="180">
        <v>152</v>
      </c>
    </row>
    <row r="389" spans="1:3" x14ac:dyDescent="0.25">
      <c r="A389" s="178">
        <v>1506</v>
      </c>
      <c r="B389" s="179" t="s">
        <v>456</v>
      </c>
      <c r="C389" s="180">
        <v>152</v>
      </c>
    </row>
    <row r="390" spans="1:3" x14ac:dyDescent="0.25">
      <c r="A390" s="178">
        <v>1507</v>
      </c>
      <c r="B390" s="179" t="s">
        <v>456</v>
      </c>
      <c r="C390" s="180">
        <v>152</v>
      </c>
    </row>
    <row r="391" spans="1:3" x14ac:dyDescent="0.25">
      <c r="A391" s="178">
        <v>1508</v>
      </c>
      <c r="B391" s="179" t="s">
        <v>456</v>
      </c>
      <c r="C391" s="180">
        <v>84</v>
      </c>
    </row>
    <row r="392" spans="1:3" x14ac:dyDescent="0.25">
      <c r="A392" s="178">
        <v>1509</v>
      </c>
      <c r="B392" s="179" t="s">
        <v>456</v>
      </c>
      <c r="C392" s="180">
        <v>84</v>
      </c>
    </row>
    <row r="393" spans="1:3" x14ac:dyDescent="0.25">
      <c r="A393" s="178">
        <v>1510</v>
      </c>
      <c r="B393" s="179" t="s">
        <v>456</v>
      </c>
      <c r="C393" s="180">
        <v>84</v>
      </c>
    </row>
    <row r="394" spans="1:3" x14ac:dyDescent="0.25">
      <c r="A394" s="178">
        <v>1511</v>
      </c>
      <c r="B394" s="179" t="s">
        <v>456</v>
      </c>
      <c r="C394" s="180">
        <v>84</v>
      </c>
    </row>
    <row r="395" spans="1:3" x14ac:dyDescent="0.25">
      <c r="A395" s="178">
        <v>1512</v>
      </c>
      <c r="B395" s="179" t="s">
        <v>456</v>
      </c>
      <c r="C395" s="180">
        <v>3</v>
      </c>
    </row>
    <row r="396" spans="1:3" x14ac:dyDescent="0.25">
      <c r="A396" s="178">
        <v>1513</v>
      </c>
      <c r="B396" s="179" t="s">
        <v>456</v>
      </c>
      <c r="C396" s="180">
        <v>3</v>
      </c>
    </row>
    <row r="397" spans="1:3" x14ac:dyDescent="0.25">
      <c r="A397" s="178">
        <v>1514</v>
      </c>
      <c r="B397" s="179" t="s">
        <v>456</v>
      </c>
      <c r="C397" s="180">
        <v>152</v>
      </c>
    </row>
    <row r="398" spans="1:3" x14ac:dyDescent="0.25">
      <c r="A398" s="178">
        <v>1515</v>
      </c>
      <c r="B398" s="179" t="s">
        <v>456</v>
      </c>
      <c r="C398" s="180">
        <v>96</v>
      </c>
    </row>
    <row r="399" spans="1:3" x14ac:dyDescent="0.25">
      <c r="A399" s="178">
        <v>1516</v>
      </c>
      <c r="B399" s="179" t="s">
        <v>456</v>
      </c>
      <c r="C399" s="180">
        <v>36</v>
      </c>
    </row>
    <row r="400" spans="1:3" x14ac:dyDescent="0.25">
      <c r="A400" s="178">
        <v>1517</v>
      </c>
      <c r="B400" s="179" t="s">
        <v>456</v>
      </c>
      <c r="C400" s="180">
        <v>36</v>
      </c>
    </row>
    <row r="401" spans="1:3" x14ac:dyDescent="0.25">
      <c r="A401" s="178">
        <v>1518</v>
      </c>
      <c r="B401" s="179" t="s">
        <v>456</v>
      </c>
      <c r="C401" s="180">
        <v>195</v>
      </c>
    </row>
    <row r="402" spans="1:3" x14ac:dyDescent="0.25">
      <c r="A402" s="178">
        <v>1519</v>
      </c>
      <c r="B402" s="179" t="s">
        <v>456</v>
      </c>
      <c r="C402" s="180">
        <v>76</v>
      </c>
    </row>
    <row r="403" spans="1:3" x14ac:dyDescent="0.25">
      <c r="A403" s="178">
        <v>1520</v>
      </c>
      <c r="B403" s="179" t="s">
        <v>456</v>
      </c>
      <c r="C403" s="180">
        <v>45</v>
      </c>
    </row>
    <row r="404" spans="1:3" x14ac:dyDescent="0.25">
      <c r="A404" s="178">
        <v>1521</v>
      </c>
      <c r="B404" s="179" t="s">
        <v>456</v>
      </c>
      <c r="C404" s="180">
        <v>45</v>
      </c>
    </row>
    <row r="405" spans="1:3" x14ac:dyDescent="0.25">
      <c r="A405" s="178">
        <v>1522</v>
      </c>
      <c r="B405" s="179" t="s">
        <v>456</v>
      </c>
      <c r="C405" s="180">
        <v>63</v>
      </c>
    </row>
    <row r="406" spans="1:3" x14ac:dyDescent="0.25">
      <c r="A406" s="178">
        <v>1523</v>
      </c>
      <c r="B406" s="179" t="s">
        <v>456</v>
      </c>
      <c r="C406" s="180">
        <v>108</v>
      </c>
    </row>
    <row r="407" spans="1:3" x14ac:dyDescent="0.25">
      <c r="A407" s="178">
        <v>1524</v>
      </c>
      <c r="B407" s="179" t="s">
        <v>456</v>
      </c>
      <c r="C407" s="180">
        <v>60</v>
      </c>
    </row>
    <row r="408" spans="1:3" x14ac:dyDescent="0.25">
      <c r="A408" s="178">
        <v>1525</v>
      </c>
      <c r="B408" s="179" t="s">
        <v>456</v>
      </c>
      <c r="C408" s="180">
        <v>60</v>
      </c>
    </row>
    <row r="409" spans="1:3" x14ac:dyDescent="0.25">
      <c r="A409" s="178">
        <v>1526</v>
      </c>
      <c r="B409" s="179" t="s">
        <v>456</v>
      </c>
      <c r="C409" s="180">
        <v>60</v>
      </c>
    </row>
    <row r="410" spans="1:3" x14ac:dyDescent="0.25">
      <c r="A410" s="178">
        <v>1528</v>
      </c>
      <c r="B410" s="179" t="s">
        <v>456</v>
      </c>
      <c r="C410" s="180">
        <v>60</v>
      </c>
    </row>
    <row r="411" spans="1:3" x14ac:dyDescent="0.25">
      <c r="A411" s="178">
        <v>1529</v>
      </c>
      <c r="B411" s="179" t="s">
        <v>456</v>
      </c>
      <c r="C411" s="180">
        <v>3</v>
      </c>
    </row>
    <row r="412" spans="1:3" x14ac:dyDescent="0.25">
      <c r="A412" s="178">
        <v>1530</v>
      </c>
      <c r="B412" s="179" t="s">
        <v>456</v>
      </c>
      <c r="C412" s="180">
        <v>3</v>
      </c>
    </row>
    <row r="413" spans="1:3" x14ac:dyDescent="0.25">
      <c r="A413" s="178">
        <v>1531</v>
      </c>
      <c r="B413" s="179" t="s">
        <v>456</v>
      </c>
      <c r="C413" s="180">
        <v>3</v>
      </c>
    </row>
    <row r="414" spans="1:3" x14ac:dyDescent="0.25">
      <c r="A414" s="178">
        <v>1532</v>
      </c>
      <c r="B414" s="179" t="s">
        <v>456</v>
      </c>
      <c r="C414" s="180">
        <v>3</v>
      </c>
    </row>
    <row r="415" spans="1:3" x14ac:dyDescent="0.25">
      <c r="A415" s="178">
        <v>1533</v>
      </c>
      <c r="B415" s="179" t="s">
        <v>456</v>
      </c>
      <c r="C415" s="180">
        <v>3</v>
      </c>
    </row>
    <row r="416" spans="1:3" x14ac:dyDescent="0.25">
      <c r="A416" s="178">
        <v>1535</v>
      </c>
      <c r="B416" s="179" t="s">
        <v>456</v>
      </c>
      <c r="C416" s="180">
        <v>116</v>
      </c>
    </row>
    <row r="417" spans="1:3" x14ac:dyDescent="0.25">
      <c r="A417" s="178">
        <v>1536</v>
      </c>
      <c r="B417" s="179" t="s">
        <v>456</v>
      </c>
      <c r="C417" s="180">
        <v>116</v>
      </c>
    </row>
    <row r="418" spans="1:3" x14ac:dyDescent="0.25">
      <c r="A418" s="178">
        <v>1537</v>
      </c>
      <c r="B418" s="179" t="s">
        <v>456</v>
      </c>
      <c r="C418" s="180">
        <v>116</v>
      </c>
    </row>
    <row r="419" spans="1:3" x14ac:dyDescent="0.25">
      <c r="A419" s="178">
        <v>1538</v>
      </c>
      <c r="B419" s="179" t="s">
        <v>456</v>
      </c>
      <c r="C419" s="180">
        <v>116</v>
      </c>
    </row>
    <row r="420" spans="1:3" x14ac:dyDescent="0.25">
      <c r="A420" s="178">
        <v>1539</v>
      </c>
      <c r="B420" s="179" t="s">
        <v>456</v>
      </c>
      <c r="C420" s="180">
        <v>120</v>
      </c>
    </row>
    <row r="421" spans="1:3" x14ac:dyDescent="0.25">
      <c r="A421" s="178">
        <v>1540</v>
      </c>
      <c r="B421" s="179" t="s">
        <v>456</v>
      </c>
      <c r="C421" s="180">
        <v>120</v>
      </c>
    </row>
    <row r="422" spans="1:3" x14ac:dyDescent="0.25">
      <c r="A422" s="178">
        <v>1541</v>
      </c>
      <c r="B422" s="179" t="s">
        <v>456</v>
      </c>
      <c r="C422" s="180">
        <v>72</v>
      </c>
    </row>
    <row r="423" spans="1:3" x14ac:dyDescent="0.25">
      <c r="A423" s="178">
        <v>1542</v>
      </c>
      <c r="B423" s="179" t="s">
        <v>456</v>
      </c>
      <c r="C423" s="180">
        <v>72</v>
      </c>
    </row>
    <row r="424" spans="1:3" x14ac:dyDescent="0.25">
      <c r="A424" s="178">
        <v>1543</v>
      </c>
      <c r="B424" s="179" t="s">
        <v>456</v>
      </c>
      <c r="C424" s="180">
        <v>72</v>
      </c>
    </row>
    <row r="425" spans="1:3" x14ac:dyDescent="0.25">
      <c r="A425" s="178">
        <v>1544</v>
      </c>
      <c r="B425" s="179" t="s">
        <v>456</v>
      </c>
      <c r="C425" s="180">
        <v>192</v>
      </c>
    </row>
    <row r="426" spans="1:3" x14ac:dyDescent="0.25">
      <c r="A426" s="178">
        <v>1545</v>
      </c>
      <c r="B426" s="179" t="s">
        <v>456</v>
      </c>
      <c r="C426" s="180">
        <v>192</v>
      </c>
    </row>
    <row r="427" spans="1:3" x14ac:dyDescent="0.25">
      <c r="A427" s="178">
        <v>1546</v>
      </c>
      <c r="B427" s="179" t="s">
        <v>456</v>
      </c>
      <c r="C427" s="180">
        <v>56</v>
      </c>
    </row>
    <row r="428" spans="1:3" x14ac:dyDescent="0.25">
      <c r="A428" s="178">
        <v>1547</v>
      </c>
      <c r="B428" s="179" t="s">
        <v>456</v>
      </c>
      <c r="C428" s="180">
        <v>56</v>
      </c>
    </row>
    <row r="429" spans="1:3" x14ac:dyDescent="0.25">
      <c r="A429" s="178">
        <v>1548</v>
      </c>
      <c r="B429" s="179" t="s">
        <v>456</v>
      </c>
      <c r="C429" s="180">
        <v>56</v>
      </c>
    </row>
    <row r="430" spans="1:3" x14ac:dyDescent="0.25">
      <c r="A430" s="178">
        <v>1549</v>
      </c>
      <c r="B430" s="179" t="s">
        <v>456</v>
      </c>
      <c r="C430" s="180">
        <v>3</v>
      </c>
    </row>
    <row r="431" spans="1:3" x14ac:dyDescent="0.25">
      <c r="A431" s="178">
        <v>1550</v>
      </c>
      <c r="B431" s="179" t="s">
        <v>456</v>
      </c>
      <c r="C431" s="180">
        <v>60</v>
      </c>
    </row>
    <row r="432" spans="1:3" x14ac:dyDescent="0.25">
      <c r="A432" s="178">
        <v>1551</v>
      </c>
      <c r="B432" s="179" t="s">
        <v>456</v>
      </c>
      <c r="C432" s="180">
        <v>60</v>
      </c>
    </row>
    <row r="433" spans="1:3" x14ac:dyDescent="0.25">
      <c r="A433" s="178">
        <v>1552</v>
      </c>
      <c r="B433" s="179" t="s">
        <v>456</v>
      </c>
      <c r="C433" s="180">
        <v>56</v>
      </c>
    </row>
    <row r="434" spans="1:3" x14ac:dyDescent="0.25">
      <c r="A434" s="178">
        <v>1553</v>
      </c>
      <c r="B434" s="179" t="s">
        <v>456</v>
      </c>
      <c r="C434" s="180">
        <v>56</v>
      </c>
    </row>
    <row r="435" spans="1:3" x14ac:dyDescent="0.25">
      <c r="A435" s="178">
        <v>1554</v>
      </c>
      <c r="B435" s="179" t="s">
        <v>456</v>
      </c>
      <c r="C435" s="180">
        <v>72</v>
      </c>
    </row>
    <row r="436" spans="1:3" x14ac:dyDescent="0.25">
      <c r="A436" s="178">
        <v>1555</v>
      </c>
      <c r="B436" s="179" t="s">
        <v>456</v>
      </c>
      <c r="C436" s="180">
        <v>112</v>
      </c>
    </row>
    <row r="437" spans="1:3" x14ac:dyDescent="0.25">
      <c r="A437" s="178">
        <v>1556</v>
      </c>
      <c r="B437" s="179" t="s">
        <v>456</v>
      </c>
      <c r="C437" s="180">
        <v>3</v>
      </c>
    </row>
    <row r="438" spans="1:3" x14ac:dyDescent="0.25">
      <c r="A438" s="178">
        <v>1557</v>
      </c>
      <c r="B438" s="179" t="s">
        <v>456</v>
      </c>
      <c r="C438" s="180">
        <v>96</v>
      </c>
    </row>
    <row r="439" spans="1:3" x14ac:dyDescent="0.25">
      <c r="A439" s="178">
        <v>1558</v>
      </c>
      <c r="B439" s="179" t="s">
        <v>456</v>
      </c>
      <c r="C439" s="180">
        <v>195</v>
      </c>
    </row>
    <row r="440" spans="1:3" x14ac:dyDescent="0.25">
      <c r="A440" s="178">
        <v>1559</v>
      </c>
      <c r="B440" s="179" t="s">
        <v>456</v>
      </c>
      <c r="C440" s="180">
        <v>195</v>
      </c>
    </row>
    <row r="441" spans="1:3" x14ac:dyDescent="0.25">
      <c r="A441" s="178">
        <v>1560</v>
      </c>
      <c r="B441" s="179" t="s">
        <v>456</v>
      </c>
      <c r="C441" s="180">
        <v>96</v>
      </c>
    </row>
    <row r="442" spans="1:3" x14ac:dyDescent="0.25">
      <c r="A442" s="178">
        <v>1561</v>
      </c>
      <c r="B442" s="179" t="s">
        <v>456</v>
      </c>
      <c r="C442" s="180">
        <v>72</v>
      </c>
    </row>
    <row r="443" spans="1:3" x14ac:dyDescent="0.25">
      <c r="A443" s="178">
        <v>1562</v>
      </c>
      <c r="B443" s="179" t="s">
        <v>456</v>
      </c>
      <c r="C443" s="180">
        <v>96</v>
      </c>
    </row>
    <row r="444" spans="1:3" x14ac:dyDescent="0.25">
      <c r="A444" s="178">
        <v>1563</v>
      </c>
      <c r="B444" s="179" t="s">
        <v>456</v>
      </c>
      <c r="C444" s="180">
        <v>80</v>
      </c>
    </row>
    <row r="445" spans="1:3" x14ac:dyDescent="0.25">
      <c r="A445" s="178">
        <v>1564</v>
      </c>
      <c r="B445" s="179" t="s">
        <v>456</v>
      </c>
      <c r="C445" s="180">
        <v>80</v>
      </c>
    </row>
    <row r="446" spans="1:3" x14ac:dyDescent="0.25">
      <c r="A446" s="178">
        <v>1565</v>
      </c>
      <c r="B446" s="179" t="s">
        <v>456</v>
      </c>
      <c r="C446" s="180">
        <v>105</v>
      </c>
    </row>
    <row r="447" spans="1:3" x14ac:dyDescent="0.25">
      <c r="A447" s="178">
        <v>1566</v>
      </c>
      <c r="B447" s="179" t="s">
        <v>456</v>
      </c>
      <c r="C447" s="180">
        <v>105</v>
      </c>
    </row>
    <row r="448" spans="1:3" x14ac:dyDescent="0.25">
      <c r="A448" s="178">
        <v>1567</v>
      </c>
      <c r="B448" s="179" t="s">
        <v>456</v>
      </c>
      <c r="C448" s="180">
        <v>60</v>
      </c>
    </row>
    <row r="449" spans="1:3" x14ac:dyDescent="0.25">
      <c r="A449" s="178">
        <v>1568</v>
      </c>
      <c r="B449" s="179" t="s">
        <v>456</v>
      </c>
      <c r="C449" s="180">
        <v>96</v>
      </c>
    </row>
    <row r="450" spans="1:3" x14ac:dyDescent="0.25">
      <c r="A450" s="178">
        <v>1569</v>
      </c>
      <c r="B450" s="179" t="s">
        <v>456</v>
      </c>
      <c r="C450" s="180">
        <v>96</v>
      </c>
    </row>
    <row r="451" spans="1:3" x14ac:dyDescent="0.25">
      <c r="A451" s="178">
        <v>1570</v>
      </c>
      <c r="B451" s="179" t="s">
        <v>456</v>
      </c>
      <c r="C451" s="180">
        <v>96</v>
      </c>
    </row>
    <row r="452" spans="1:3" x14ac:dyDescent="0.25">
      <c r="A452" s="178">
        <v>1571</v>
      </c>
      <c r="B452" s="179" t="s">
        <v>456</v>
      </c>
      <c r="C452" s="180">
        <v>96</v>
      </c>
    </row>
    <row r="453" spans="1:3" x14ac:dyDescent="0.25">
      <c r="A453" s="178">
        <v>1572</v>
      </c>
      <c r="B453" s="179" t="s">
        <v>456</v>
      </c>
      <c r="C453" s="180">
        <v>96</v>
      </c>
    </row>
    <row r="454" spans="1:3" x14ac:dyDescent="0.25">
      <c r="A454" s="178">
        <v>1573</v>
      </c>
      <c r="B454" s="179" t="s">
        <v>456</v>
      </c>
      <c r="C454" s="180">
        <v>96</v>
      </c>
    </row>
    <row r="455" spans="1:3" x14ac:dyDescent="0.25">
      <c r="A455" s="178">
        <v>1574</v>
      </c>
      <c r="B455" s="179" t="s">
        <v>456</v>
      </c>
      <c r="C455" s="180">
        <v>315</v>
      </c>
    </row>
    <row r="456" spans="1:3" x14ac:dyDescent="0.25">
      <c r="A456" s="178">
        <v>1575</v>
      </c>
      <c r="B456" s="179" t="s">
        <v>456</v>
      </c>
      <c r="C456" s="180">
        <v>315</v>
      </c>
    </row>
    <row r="457" spans="1:3" x14ac:dyDescent="0.25">
      <c r="A457" s="178">
        <v>1576</v>
      </c>
      <c r="B457" s="179" t="s">
        <v>456</v>
      </c>
      <c r="C457" s="180">
        <v>315</v>
      </c>
    </row>
    <row r="458" spans="1:3" x14ac:dyDescent="0.25">
      <c r="A458" s="178">
        <v>1577</v>
      </c>
      <c r="B458" s="179" t="s">
        <v>456</v>
      </c>
      <c r="C458" s="180">
        <v>96</v>
      </c>
    </row>
    <row r="459" spans="1:3" x14ac:dyDescent="0.25">
      <c r="A459" s="178">
        <v>1578</v>
      </c>
      <c r="B459" s="179" t="s">
        <v>456</v>
      </c>
      <c r="C459" s="180">
        <v>96</v>
      </c>
    </row>
    <row r="460" spans="1:3" x14ac:dyDescent="0.25">
      <c r="A460" s="178">
        <v>1579</v>
      </c>
      <c r="B460" s="179" t="s">
        <v>456</v>
      </c>
      <c r="C460" s="180">
        <v>96</v>
      </c>
    </row>
    <row r="461" spans="1:3" x14ac:dyDescent="0.25">
      <c r="A461" s="178">
        <v>1580</v>
      </c>
      <c r="B461" s="179" t="s">
        <v>456</v>
      </c>
      <c r="C461" s="180">
        <v>80</v>
      </c>
    </row>
    <row r="462" spans="1:3" x14ac:dyDescent="0.25">
      <c r="A462" s="178">
        <v>1581</v>
      </c>
      <c r="B462" s="179" t="s">
        <v>456</v>
      </c>
      <c r="C462" s="180">
        <v>80</v>
      </c>
    </row>
    <row r="463" spans="1:3" x14ac:dyDescent="0.25">
      <c r="A463" s="178">
        <v>1582</v>
      </c>
      <c r="B463" s="179" t="s">
        <v>456</v>
      </c>
      <c r="C463" s="180">
        <v>306</v>
      </c>
    </row>
    <row r="464" spans="1:3" x14ac:dyDescent="0.25">
      <c r="A464" s="178">
        <v>1583</v>
      </c>
      <c r="B464" s="179" t="s">
        <v>456</v>
      </c>
      <c r="C464" s="180">
        <v>306</v>
      </c>
    </row>
    <row r="465" spans="1:3" x14ac:dyDescent="0.25">
      <c r="A465" s="178">
        <v>1584</v>
      </c>
      <c r="B465" s="179" t="s">
        <v>456</v>
      </c>
      <c r="C465" s="180">
        <v>2</v>
      </c>
    </row>
    <row r="466" spans="1:3" x14ac:dyDescent="0.25">
      <c r="A466" s="178">
        <v>1585</v>
      </c>
      <c r="B466" s="179" t="s">
        <v>456</v>
      </c>
      <c r="C466" s="180">
        <v>140</v>
      </c>
    </row>
    <row r="467" spans="1:3" x14ac:dyDescent="0.25">
      <c r="A467" s="178">
        <v>1586</v>
      </c>
      <c r="B467" s="179" t="s">
        <v>456</v>
      </c>
      <c r="C467" s="180">
        <v>140</v>
      </c>
    </row>
    <row r="468" spans="1:3" x14ac:dyDescent="0.25">
      <c r="A468" s="178">
        <v>1587</v>
      </c>
      <c r="B468" s="179" t="s">
        <v>456</v>
      </c>
      <c r="C468" s="180">
        <v>140</v>
      </c>
    </row>
    <row r="469" spans="1:3" x14ac:dyDescent="0.25">
      <c r="A469" s="178">
        <v>1588</v>
      </c>
      <c r="B469" s="179" t="s">
        <v>456</v>
      </c>
      <c r="C469" s="180">
        <v>3</v>
      </c>
    </row>
    <row r="470" spans="1:3" x14ac:dyDescent="0.25">
      <c r="A470" s="178">
        <v>1589</v>
      </c>
      <c r="B470" s="179" t="s">
        <v>456</v>
      </c>
      <c r="C470" s="180">
        <v>3</v>
      </c>
    </row>
    <row r="471" spans="1:3" x14ac:dyDescent="0.25">
      <c r="A471" s="178">
        <v>1590</v>
      </c>
      <c r="B471" s="179" t="s">
        <v>456</v>
      </c>
      <c r="C471" s="180">
        <v>3</v>
      </c>
    </row>
    <row r="472" spans="1:3" x14ac:dyDescent="0.25">
      <c r="A472" s="178">
        <v>1591</v>
      </c>
      <c r="B472" s="179" t="s">
        <v>456</v>
      </c>
      <c r="C472" s="180">
        <v>3</v>
      </c>
    </row>
    <row r="473" spans="1:3" x14ac:dyDescent="0.25">
      <c r="A473" s="178">
        <v>1592</v>
      </c>
      <c r="B473" s="179" t="s">
        <v>456</v>
      </c>
      <c r="C473" s="180">
        <v>3</v>
      </c>
    </row>
    <row r="474" spans="1:3" x14ac:dyDescent="0.25">
      <c r="A474" s="178">
        <v>1593</v>
      </c>
      <c r="B474" s="179" t="s">
        <v>456</v>
      </c>
      <c r="C474" s="180">
        <v>3</v>
      </c>
    </row>
    <row r="475" spans="1:3" x14ac:dyDescent="0.25">
      <c r="A475" s="178">
        <v>1594</v>
      </c>
      <c r="B475" s="179" t="s">
        <v>456</v>
      </c>
      <c r="C475" s="180">
        <v>3</v>
      </c>
    </row>
    <row r="476" spans="1:3" x14ac:dyDescent="0.25">
      <c r="A476" s="178">
        <v>1595</v>
      </c>
      <c r="B476" s="179" t="s">
        <v>456</v>
      </c>
      <c r="C476" s="180">
        <v>3</v>
      </c>
    </row>
    <row r="477" spans="1:3" x14ac:dyDescent="0.25">
      <c r="A477" s="178">
        <v>1596</v>
      </c>
      <c r="B477" s="179" t="s">
        <v>456</v>
      </c>
      <c r="C477" s="180">
        <v>3</v>
      </c>
    </row>
    <row r="478" spans="1:3" x14ac:dyDescent="0.25">
      <c r="A478" s="178">
        <v>1597</v>
      </c>
      <c r="B478" s="179" t="s">
        <v>456</v>
      </c>
      <c r="C478" s="180">
        <v>140</v>
      </c>
    </row>
    <row r="479" spans="1:3" x14ac:dyDescent="0.25">
      <c r="A479" s="178">
        <v>1598</v>
      </c>
      <c r="B479" s="179" t="s">
        <v>456</v>
      </c>
      <c r="C479" s="180">
        <v>140</v>
      </c>
    </row>
    <row r="480" spans="1:3" x14ac:dyDescent="0.25">
      <c r="A480" s="178">
        <v>1599</v>
      </c>
      <c r="B480" s="179" t="s">
        <v>456</v>
      </c>
      <c r="C480" s="180">
        <v>140</v>
      </c>
    </row>
    <row r="481" spans="1:3" x14ac:dyDescent="0.25">
      <c r="A481" s="178">
        <v>1602</v>
      </c>
      <c r="B481" s="179" t="s">
        <v>456</v>
      </c>
      <c r="C481" s="180">
        <v>48</v>
      </c>
    </row>
    <row r="482" spans="1:3" x14ac:dyDescent="0.25">
      <c r="A482" s="178">
        <v>1606</v>
      </c>
      <c r="B482" s="179" t="s">
        <v>456</v>
      </c>
      <c r="C482" s="180">
        <v>54</v>
      </c>
    </row>
    <row r="483" spans="1:3" x14ac:dyDescent="0.25">
      <c r="A483" s="178">
        <v>1607</v>
      </c>
      <c r="B483" s="179" t="s">
        <v>456</v>
      </c>
      <c r="C483" s="180">
        <v>3</v>
      </c>
    </row>
    <row r="484" spans="1:3" x14ac:dyDescent="0.25">
      <c r="A484" s="178">
        <v>1608</v>
      </c>
      <c r="B484" s="179" t="s">
        <v>456</v>
      </c>
      <c r="C484" s="180">
        <v>48</v>
      </c>
    </row>
    <row r="485" spans="1:3" x14ac:dyDescent="0.25">
      <c r="A485" s="178">
        <v>1609</v>
      </c>
      <c r="B485" s="179" t="s">
        <v>456</v>
      </c>
      <c r="C485" s="180">
        <v>96</v>
      </c>
    </row>
    <row r="486" spans="1:3" x14ac:dyDescent="0.25">
      <c r="A486" s="178">
        <v>1610</v>
      </c>
      <c r="B486" s="179" t="s">
        <v>456</v>
      </c>
      <c r="C486" s="180">
        <v>96</v>
      </c>
    </row>
    <row r="487" spans="1:3" x14ac:dyDescent="0.25">
      <c r="A487" s="178">
        <v>1611</v>
      </c>
      <c r="B487" s="179" t="s">
        <v>456</v>
      </c>
      <c r="C487" s="180">
        <v>3</v>
      </c>
    </row>
    <row r="488" spans="1:3" x14ac:dyDescent="0.25">
      <c r="A488" s="178">
        <v>1612</v>
      </c>
      <c r="B488" s="179" t="s">
        <v>456</v>
      </c>
      <c r="C488" s="180">
        <v>180</v>
      </c>
    </row>
    <row r="489" spans="1:3" x14ac:dyDescent="0.25">
      <c r="A489" s="178">
        <v>1613</v>
      </c>
      <c r="B489" s="179" t="s">
        <v>456</v>
      </c>
      <c r="C489" s="180">
        <v>96</v>
      </c>
    </row>
    <row r="490" spans="1:3" x14ac:dyDescent="0.25">
      <c r="A490" s="178">
        <v>1614</v>
      </c>
      <c r="B490" s="179" t="s">
        <v>456</v>
      </c>
      <c r="C490" s="180">
        <v>156</v>
      </c>
    </row>
    <row r="491" spans="1:3" x14ac:dyDescent="0.25">
      <c r="A491" s="178">
        <v>1615</v>
      </c>
      <c r="B491" s="179" t="s">
        <v>456</v>
      </c>
      <c r="C491" s="180">
        <v>96</v>
      </c>
    </row>
    <row r="492" spans="1:3" x14ac:dyDescent="0.25">
      <c r="A492" s="178">
        <v>1616</v>
      </c>
      <c r="B492" s="179" t="s">
        <v>456</v>
      </c>
      <c r="C492" s="180">
        <v>54</v>
      </c>
    </row>
    <row r="493" spans="1:3" x14ac:dyDescent="0.25">
      <c r="A493" s="178">
        <v>1617</v>
      </c>
      <c r="B493" s="179" t="s">
        <v>456</v>
      </c>
      <c r="C493" s="180">
        <v>3</v>
      </c>
    </row>
    <row r="494" spans="1:3" x14ac:dyDescent="0.25">
      <c r="A494" s="178">
        <v>1618</v>
      </c>
      <c r="B494" s="179" t="s">
        <v>456</v>
      </c>
      <c r="C494" s="180">
        <v>195</v>
      </c>
    </row>
    <row r="495" spans="1:3" x14ac:dyDescent="0.25">
      <c r="A495" s="178">
        <v>1619</v>
      </c>
      <c r="B495" s="179" t="s">
        <v>456</v>
      </c>
      <c r="C495" s="180">
        <v>195</v>
      </c>
    </row>
    <row r="496" spans="1:3" x14ac:dyDescent="0.25">
      <c r="A496" s="178">
        <v>1620</v>
      </c>
      <c r="B496" s="179" t="s">
        <v>456</v>
      </c>
      <c r="C496" s="180">
        <v>3</v>
      </c>
    </row>
    <row r="497" spans="1:3" x14ac:dyDescent="0.25">
      <c r="A497" s="178">
        <v>1621</v>
      </c>
      <c r="B497" s="179" t="s">
        <v>456</v>
      </c>
      <c r="C497" s="180">
        <v>195</v>
      </c>
    </row>
    <row r="498" spans="1:3" x14ac:dyDescent="0.25">
      <c r="A498" s="178">
        <v>1622</v>
      </c>
      <c r="B498" s="179" t="s">
        <v>456</v>
      </c>
      <c r="C498" s="180">
        <v>3</v>
      </c>
    </row>
    <row r="499" spans="1:3" x14ac:dyDescent="0.25">
      <c r="A499" s="178">
        <v>1623</v>
      </c>
      <c r="B499" s="179" t="s">
        <v>456</v>
      </c>
      <c r="C499" s="180">
        <v>126</v>
      </c>
    </row>
    <row r="500" spans="1:3" x14ac:dyDescent="0.25">
      <c r="A500" s="178">
        <v>1624</v>
      </c>
      <c r="B500" s="179" t="s">
        <v>456</v>
      </c>
      <c r="C500" s="180">
        <v>195</v>
      </c>
    </row>
    <row r="501" spans="1:3" x14ac:dyDescent="0.25">
      <c r="A501" s="178">
        <v>1625</v>
      </c>
      <c r="B501" s="179" t="s">
        <v>456</v>
      </c>
      <c r="C501" s="180">
        <v>54</v>
      </c>
    </row>
    <row r="502" spans="1:3" x14ac:dyDescent="0.25">
      <c r="A502" s="178">
        <v>1626</v>
      </c>
      <c r="B502" s="179" t="s">
        <v>456</v>
      </c>
      <c r="C502" s="180">
        <v>3</v>
      </c>
    </row>
    <row r="503" spans="1:3" x14ac:dyDescent="0.25">
      <c r="A503" s="178">
        <v>1627</v>
      </c>
      <c r="B503" s="179" t="s">
        <v>456</v>
      </c>
      <c r="C503" s="180">
        <v>3</v>
      </c>
    </row>
    <row r="504" spans="1:3" x14ac:dyDescent="0.25">
      <c r="A504" s="178">
        <v>1628</v>
      </c>
      <c r="B504" s="179" t="s">
        <v>456</v>
      </c>
      <c r="C504" s="180">
        <v>224</v>
      </c>
    </row>
    <row r="505" spans="1:3" x14ac:dyDescent="0.25">
      <c r="A505" s="178">
        <v>1629</v>
      </c>
      <c r="B505" s="179" t="s">
        <v>456</v>
      </c>
      <c r="C505" s="180">
        <v>66</v>
      </c>
    </row>
    <row r="506" spans="1:3" x14ac:dyDescent="0.25">
      <c r="A506" s="178">
        <v>1630</v>
      </c>
      <c r="B506" s="179" t="s">
        <v>456</v>
      </c>
      <c r="C506" s="180">
        <v>224</v>
      </c>
    </row>
    <row r="507" spans="1:3" x14ac:dyDescent="0.25">
      <c r="A507" s="178">
        <v>1631</v>
      </c>
      <c r="B507" s="179" t="s">
        <v>456</v>
      </c>
      <c r="C507" s="180">
        <v>120</v>
      </c>
    </row>
    <row r="508" spans="1:3" x14ac:dyDescent="0.25">
      <c r="A508" s="178">
        <v>1632</v>
      </c>
      <c r="B508" s="179" t="s">
        <v>456</v>
      </c>
      <c r="C508" s="180">
        <v>224</v>
      </c>
    </row>
    <row r="509" spans="1:3" x14ac:dyDescent="0.25">
      <c r="A509" s="178">
        <v>1633</v>
      </c>
      <c r="B509" s="179" t="s">
        <v>456</v>
      </c>
      <c r="C509" s="180">
        <v>224</v>
      </c>
    </row>
    <row r="510" spans="1:3" x14ac:dyDescent="0.25">
      <c r="A510" s="178">
        <v>1634</v>
      </c>
      <c r="B510" s="179" t="s">
        <v>456</v>
      </c>
      <c r="C510" s="180">
        <v>306</v>
      </c>
    </row>
    <row r="511" spans="1:3" x14ac:dyDescent="0.25">
      <c r="A511" s="178">
        <v>1635</v>
      </c>
      <c r="B511" s="179" t="s">
        <v>456</v>
      </c>
      <c r="C511" s="180">
        <v>3</v>
      </c>
    </row>
    <row r="512" spans="1:3" x14ac:dyDescent="0.25">
      <c r="A512" s="178">
        <v>1636</v>
      </c>
      <c r="B512" s="179" t="s">
        <v>456</v>
      </c>
      <c r="C512" s="180">
        <v>121</v>
      </c>
    </row>
    <row r="513" spans="1:3" x14ac:dyDescent="0.25">
      <c r="A513" s="178">
        <v>1637</v>
      </c>
      <c r="B513" s="179" t="s">
        <v>456</v>
      </c>
      <c r="C513" s="180">
        <v>3</v>
      </c>
    </row>
    <row r="514" spans="1:3" x14ac:dyDescent="0.25">
      <c r="A514" s="178">
        <v>1638</v>
      </c>
      <c r="B514" s="179" t="s">
        <v>456</v>
      </c>
      <c r="C514" s="180">
        <v>247</v>
      </c>
    </row>
    <row r="515" spans="1:3" x14ac:dyDescent="0.25">
      <c r="A515" s="178">
        <v>1639</v>
      </c>
      <c r="B515" s="179" t="s">
        <v>456</v>
      </c>
      <c r="C515" s="180">
        <v>121</v>
      </c>
    </row>
    <row r="516" spans="1:3" x14ac:dyDescent="0.25">
      <c r="A516" s="178">
        <v>1640</v>
      </c>
      <c r="B516" s="179" t="s">
        <v>456</v>
      </c>
      <c r="C516" s="180">
        <v>1</v>
      </c>
    </row>
    <row r="517" spans="1:3" x14ac:dyDescent="0.25">
      <c r="A517" s="178">
        <v>1641</v>
      </c>
      <c r="B517" s="179" t="s">
        <v>456</v>
      </c>
      <c r="C517" s="180">
        <v>12</v>
      </c>
    </row>
    <row r="518" spans="1:3" x14ac:dyDescent="0.25">
      <c r="A518" s="178">
        <v>1642</v>
      </c>
      <c r="B518" s="179" t="s">
        <v>456</v>
      </c>
      <c r="C518" s="180">
        <v>224</v>
      </c>
    </row>
    <row r="519" spans="1:3" x14ac:dyDescent="0.25">
      <c r="A519" s="178">
        <v>1643</v>
      </c>
      <c r="B519" s="179" t="s">
        <v>456</v>
      </c>
      <c r="C519" s="180">
        <v>3</v>
      </c>
    </row>
    <row r="520" spans="1:3" x14ac:dyDescent="0.25">
      <c r="A520" s="178">
        <v>1644</v>
      </c>
      <c r="B520" s="179" t="s">
        <v>456</v>
      </c>
      <c r="C520" s="180">
        <v>12</v>
      </c>
    </row>
    <row r="521" spans="1:3" x14ac:dyDescent="0.25">
      <c r="A521" s="178">
        <v>1645</v>
      </c>
      <c r="B521" s="179" t="s">
        <v>456</v>
      </c>
      <c r="C521" s="180">
        <v>200</v>
      </c>
    </row>
    <row r="522" spans="1:3" x14ac:dyDescent="0.25">
      <c r="A522" s="178">
        <v>1646</v>
      </c>
      <c r="B522" s="179" t="s">
        <v>456</v>
      </c>
      <c r="C522" s="180">
        <v>121</v>
      </c>
    </row>
    <row r="523" spans="1:3" x14ac:dyDescent="0.25">
      <c r="A523" s="178">
        <v>1647</v>
      </c>
      <c r="B523" s="179" t="s">
        <v>456</v>
      </c>
      <c r="C523" s="180">
        <v>180</v>
      </c>
    </row>
    <row r="524" spans="1:3" x14ac:dyDescent="0.25">
      <c r="A524" s="178">
        <v>1648</v>
      </c>
      <c r="B524" s="179" t="s">
        <v>456</v>
      </c>
      <c r="C524" s="180">
        <v>306</v>
      </c>
    </row>
    <row r="525" spans="1:3" x14ac:dyDescent="0.25">
      <c r="A525" s="178">
        <v>1649</v>
      </c>
      <c r="B525" s="179" t="s">
        <v>456</v>
      </c>
      <c r="C525" s="180">
        <v>121</v>
      </c>
    </row>
    <row r="526" spans="1:3" x14ac:dyDescent="0.25">
      <c r="A526" s="178">
        <v>1650</v>
      </c>
      <c r="B526" s="179" t="s">
        <v>456</v>
      </c>
      <c r="C526" s="180">
        <v>121</v>
      </c>
    </row>
    <row r="527" spans="1:3" x14ac:dyDescent="0.25">
      <c r="A527" s="178">
        <v>1651</v>
      </c>
      <c r="B527" s="179" t="s">
        <v>456</v>
      </c>
      <c r="C527" s="180">
        <v>360</v>
      </c>
    </row>
    <row r="528" spans="1:3" x14ac:dyDescent="0.25">
      <c r="A528" s="178">
        <v>1652</v>
      </c>
      <c r="B528" s="179" t="s">
        <v>456</v>
      </c>
      <c r="C528" s="180">
        <v>121</v>
      </c>
    </row>
    <row r="529" spans="1:3" x14ac:dyDescent="0.25">
      <c r="A529" s="178">
        <v>1653</v>
      </c>
      <c r="B529" s="179" t="s">
        <v>456</v>
      </c>
      <c r="C529" s="180">
        <v>18</v>
      </c>
    </row>
    <row r="530" spans="1:3" x14ac:dyDescent="0.25">
      <c r="A530" s="178">
        <v>1654</v>
      </c>
      <c r="B530" s="179" t="s">
        <v>456</v>
      </c>
      <c r="C530" s="180">
        <v>306</v>
      </c>
    </row>
    <row r="531" spans="1:3" x14ac:dyDescent="0.25">
      <c r="A531" s="178">
        <v>1655</v>
      </c>
      <c r="B531" s="179" t="s">
        <v>456</v>
      </c>
      <c r="C531" s="180">
        <v>24</v>
      </c>
    </row>
    <row r="532" spans="1:3" x14ac:dyDescent="0.25">
      <c r="A532" s="178">
        <v>1656</v>
      </c>
      <c r="B532" s="179" t="s">
        <v>456</v>
      </c>
      <c r="C532" s="180">
        <v>10</v>
      </c>
    </row>
    <row r="533" spans="1:3" x14ac:dyDescent="0.25">
      <c r="A533" s="178">
        <v>1657</v>
      </c>
      <c r="B533" s="179" t="s">
        <v>456</v>
      </c>
      <c r="C533" s="180">
        <v>224</v>
      </c>
    </row>
    <row r="534" spans="1:3" x14ac:dyDescent="0.25">
      <c r="A534" s="178">
        <v>1658</v>
      </c>
      <c r="B534" s="179" t="s">
        <v>456</v>
      </c>
      <c r="C534" s="180">
        <v>1</v>
      </c>
    </row>
    <row r="535" spans="1:3" x14ac:dyDescent="0.25">
      <c r="A535" s="178">
        <v>1659</v>
      </c>
      <c r="B535" s="179" t="s">
        <v>456</v>
      </c>
      <c r="C535" s="180">
        <v>224</v>
      </c>
    </row>
    <row r="536" spans="1:3" x14ac:dyDescent="0.25">
      <c r="A536" s="178">
        <v>1660</v>
      </c>
      <c r="B536" s="179" t="s">
        <v>456</v>
      </c>
      <c r="C536" s="180">
        <v>63</v>
      </c>
    </row>
    <row r="537" spans="1:3" x14ac:dyDescent="0.25">
      <c r="A537" s="178">
        <v>1661</v>
      </c>
      <c r="B537" s="179" t="s">
        <v>456</v>
      </c>
      <c r="C537" s="180">
        <v>63</v>
      </c>
    </row>
    <row r="538" spans="1:3" x14ac:dyDescent="0.25">
      <c r="A538" s="178">
        <v>1662</v>
      </c>
      <c r="B538" s="179" t="s">
        <v>456</v>
      </c>
      <c r="C538" s="180">
        <v>63</v>
      </c>
    </row>
    <row r="539" spans="1:3" x14ac:dyDescent="0.25">
      <c r="A539" s="178">
        <v>1663</v>
      </c>
      <c r="B539" s="179" t="s">
        <v>456</v>
      </c>
      <c r="C539" s="180">
        <v>63</v>
      </c>
    </row>
    <row r="540" spans="1:3" x14ac:dyDescent="0.25">
      <c r="A540" s="178">
        <v>1664</v>
      </c>
      <c r="B540" s="179" t="s">
        <v>456</v>
      </c>
      <c r="C540" s="180">
        <v>63</v>
      </c>
    </row>
    <row r="541" spans="1:3" x14ac:dyDescent="0.25">
      <c r="A541" s="178">
        <v>1665</v>
      </c>
      <c r="B541" s="179" t="s">
        <v>456</v>
      </c>
      <c r="C541" s="180">
        <v>63</v>
      </c>
    </row>
    <row r="542" spans="1:3" x14ac:dyDescent="0.25">
      <c r="A542" s="178">
        <v>1666</v>
      </c>
      <c r="B542" s="179" t="s">
        <v>456</v>
      </c>
      <c r="C542" s="180">
        <v>63</v>
      </c>
    </row>
    <row r="543" spans="1:3" x14ac:dyDescent="0.25">
      <c r="A543" s="178">
        <v>1667</v>
      </c>
      <c r="B543" s="179" t="s">
        <v>456</v>
      </c>
      <c r="C543" s="180">
        <v>63</v>
      </c>
    </row>
    <row r="544" spans="1:3" x14ac:dyDescent="0.25">
      <c r="A544" s="178">
        <v>1668</v>
      </c>
      <c r="B544" s="179" t="s">
        <v>456</v>
      </c>
      <c r="C544" s="180">
        <v>72</v>
      </c>
    </row>
    <row r="545" spans="1:3" x14ac:dyDescent="0.25">
      <c r="A545" s="178">
        <v>1669</v>
      </c>
      <c r="B545" s="179" t="s">
        <v>456</v>
      </c>
      <c r="C545" s="180">
        <v>72</v>
      </c>
    </row>
    <row r="546" spans="1:3" x14ac:dyDescent="0.25">
      <c r="A546" s="178">
        <v>1670</v>
      </c>
      <c r="B546" s="179" t="s">
        <v>456</v>
      </c>
      <c r="C546" s="180">
        <v>72</v>
      </c>
    </row>
    <row r="547" spans="1:3" x14ac:dyDescent="0.25">
      <c r="A547" s="178">
        <v>1671</v>
      </c>
      <c r="B547" s="179" t="s">
        <v>456</v>
      </c>
      <c r="C547" s="180">
        <v>72</v>
      </c>
    </row>
    <row r="548" spans="1:3" x14ac:dyDescent="0.25">
      <c r="A548" s="178">
        <v>1672</v>
      </c>
      <c r="B548" s="179" t="s">
        <v>456</v>
      </c>
      <c r="C548" s="180">
        <v>36</v>
      </c>
    </row>
    <row r="549" spans="1:3" x14ac:dyDescent="0.25">
      <c r="A549" s="178">
        <v>1673</v>
      </c>
      <c r="B549" s="179" t="s">
        <v>456</v>
      </c>
      <c r="C549" s="180">
        <v>120</v>
      </c>
    </row>
    <row r="550" spans="1:3" x14ac:dyDescent="0.25">
      <c r="A550" s="178">
        <v>1674</v>
      </c>
      <c r="B550" s="179" t="s">
        <v>456</v>
      </c>
      <c r="C550" s="180">
        <v>50</v>
      </c>
    </row>
    <row r="551" spans="1:3" x14ac:dyDescent="0.25">
      <c r="A551" s="178">
        <v>1675</v>
      </c>
      <c r="B551" s="179" t="s">
        <v>456</v>
      </c>
      <c r="C551" s="180">
        <v>2</v>
      </c>
    </row>
    <row r="552" spans="1:3" x14ac:dyDescent="0.25">
      <c r="A552" s="178">
        <v>1676</v>
      </c>
      <c r="B552" s="179" t="s">
        <v>456</v>
      </c>
      <c r="C552" s="180">
        <v>64</v>
      </c>
    </row>
    <row r="553" spans="1:3" x14ac:dyDescent="0.25">
      <c r="A553" s="178">
        <v>1677</v>
      </c>
      <c r="B553" s="179" t="s">
        <v>456</v>
      </c>
      <c r="C553" s="180">
        <v>2</v>
      </c>
    </row>
    <row r="554" spans="1:3" x14ac:dyDescent="0.25">
      <c r="A554" s="178">
        <v>1678</v>
      </c>
      <c r="B554" s="179" t="s">
        <v>456</v>
      </c>
      <c r="C554" s="180">
        <v>64</v>
      </c>
    </row>
    <row r="555" spans="1:3" x14ac:dyDescent="0.25">
      <c r="A555" s="178">
        <v>1679</v>
      </c>
      <c r="B555" s="179" t="s">
        <v>456</v>
      </c>
      <c r="C555" s="180">
        <v>2</v>
      </c>
    </row>
    <row r="556" spans="1:3" x14ac:dyDescent="0.25">
      <c r="A556" s="178">
        <v>1680</v>
      </c>
      <c r="B556" s="179" t="s">
        <v>456</v>
      </c>
      <c r="C556" s="180">
        <v>48</v>
      </c>
    </row>
    <row r="557" spans="1:3" x14ac:dyDescent="0.25">
      <c r="A557" s="178">
        <v>1681</v>
      </c>
      <c r="B557" s="179" t="s">
        <v>456</v>
      </c>
      <c r="C557" s="180">
        <v>27</v>
      </c>
    </row>
    <row r="558" spans="1:3" x14ac:dyDescent="0.25">
      <c r="A558" s="178">
        <v>1682</v>
      </c>
      <c r="B558" s="179" t="s">
        <v>456</v>
      </c>
      <c r="C558" s="180">
        <v>48</v>
      </c>
    </row>
    <row r="559" spans="1:3" x14ac:dyDescent="0.25">
      <c r="A559" s="178">
        <v>1683</v>
      </c>
      <c r="B559" s="179" t="s">
        <v>456</v>
      </c>
      <c r="C559" s="180">
        <v>80</v>
      </c>
    </row>
    <row r="560" spans="1:3" x14ac:dyDescent="0.25">
      <c r="A560" s="178">
        <v>1684</v>
      </c>
      <c r="B560" s="179" t="s">
        <v>456</v>
      </c>
      <c r="C560" s="180">
        <v>20</v>
      </c>
    </row>
    <row r="561" spans="1:3" x14ac:dyDescent="0.25">
      <c r="A561" s="178">
        <v>1685</v>
      </c>
      <c r="B561" s="179" t="s">
        <v>456</v>
      </c>
      <c r="C561" s="180">
        <v>48</v>
      </c>
    </row>
    <row r="562" spans="1:3" x14ac:dyDescent="0.25">
      <c r="A562" s="178">
        <v>1686</v>
      </c>
      <c r="B562" s="179" t="s">
        <v>456</v>
      </c>
      <c r="C562" s="180">
        <v>2</v>
      </c>
    </row>
    <row r="563" spans="1:3" x14ac:dyDescent="0.25">
      <c r="A563" s="178">
        <v>1687</v>
      </c>
      <c r="B563" s="179" t="s">
        <v>456</v>
      </c>
      <c r="C563" s="180">
        <v>50</v>
      </c>
    </row>
    <row r="564" spans="1:3" x14ac:dyDescent="0.25">
      <c r="A564" s="178">
        <v>1688</v>
      </c>
      <c r="B564" s="179" t="s">
        <v>456</v>
      </c>
      <c r="C564" s="180">
        <v>54</v>
      </c>
    </row>
    <row r="565" spans="1:3" x14ac:dyDescent="0.25">
      <c r="A565" s="178">
        <v>1700</v>
      </c>
      <c r="B565" s="179" t="s">
        <v>456</v>
      </c>
      <c r="C565" s="180">
        <v>63</v>
      </c>
    </row>
    <row r="566" spans="1:3" x14ac:dyDescent="0.25">
      <c r="A566" s="178">
        <v>1701</v>
      </c>
      <c r="B566" s="179" t="s">
        <v>456</v>
      </c>
      <c r="C566" s="180">
        <v>63</v>
      </c>
    </row>
    <row r="567" spans="1:3" x14ac:dyDescent="0.25">
      <c r="A567" s="178">
        <v>1702</v>
      </c>
      <c r="B567" s="179" t="s">
        <v>456</v>
      </c>
      <c r="C567" s="180">
        <v>63</v>
      </c>
    </row>
    <row r="568" spans="1:3" x14ac:dyDescent="0.25">
      <c r="A568" s="178">
        <v>1703</v>
      </c>
      <c r="B568" s="179" t="s">
        <v>456</v>
      </c>
      <c r="C568" s="180">
        <v>63</v>
      </c>
    </row>
    <row r="569" spans="1:3" x14ac:dyDescent="0.25">
      <c r="A569" s="178">
        <v>1704</v>
      </c>
      <c r="B569" s="179" t="s">
        <v>456</v>
      </c>
      <c r="C569" s="180">
        <v>63</v>
      </c>
    </row>
    <row r="570" spans="1:3" x14ac:dyDescent="0.25">
      <c r="A570" s="178">
        <v>1705</v>
      </c>
      <c r="B570" s="179" t="s">
        <v>456</v>
      </c>
      <c r="C570" s="180">
        <v>2</v>
      </c>
    </row>
    <row r="571" spans="1:3" x14ac:dyDescent="0.25">
      <c r="A571" s="178">
        <v>1706</v>
      </c>
      <c r="B571" s="179" t="s">
        <v>456</v>
      </c>
      <c r="C571" s="180">
        <v>63</v>
      </c>
    </row>
    <row r="572" spans="1:3" x14ac:dyDescent="0.25">
      <c r="A572" s="178">
        <v>1707</v>
      </c>
      <c r="B572" s="179" t="s">
        <v>456</v>
      </c>
      <c r="C572" s="180">
        <v>2</v>
      </c>
    </row>
    <row r="573" spans="1:3" x14ac:dyDescent="0.25">
      <c r="A573" s="178">
        <v>1708</v>
      </c>
      <c r="B573" s="179" t="s">
        <v>456</v>
      </c>
      <c r="C573" s="180">
        <v>45</v>
      </c>
    </row>
    <row r="574" spans="1:3" x14ac:dyDescent="0.25">
      <c r="A574" s="178">
        <v>1709</v>
      </c>
      <c r="B574" s="179" t="s">
        <v>456</v>
      </c>
      <c r="C574" s="180">
        <v>45</v>
      </c>
    </row>
    <row r="575" spans="1:3" x14ac:dyDescent="0.25">
      <c r="A575" s="178">
        <v>1710</v>
      </c>
      <c r="B575" s="179" t="s">
        <v>456</v>
      </c>
      <c r="C575" s="180">
        <v>2</v>
      </c>
    </row>
    <row r="576" spans="1:3" x14ac:dyDescent="0.25">
      <c r="A576" s="178">
        <v>1711</v>
      </c>
      <c r="B576" s="179" t="s">
        <v>456</v>
      </c>
      <c r="C576" s="180">
        <v>63</v>
      </c>
    </row>
    <row r="577" spans="1:3" x14ac:dyDescent="0.25">
      <c r="A577" s="178">
        <v>1712</v>
      </c>
      <c r="B577" s="179" t="s">
        <v>456</v>
      </c>
      <c r="C577" s="180">
        <v>63</v>
      </c>
    </row>
    <row r="578" spans="1:3" x14ac:dyDescent="0.25">
      <c r="A578" s="178">
        <v>1713</v>
      </c>
      <c r="B578" s="179" t="s">
        <v>456</v>
      </c>
      <c r="C578" s="180">
        <v>2</v>
      </c>
    </row>
    <row r="579" spans="1:3" x14ac:dyDescent="0.25">
      <c r="A579" s="178">
        <v>1714</v>
      </c>
      <c r="B579" s="179" t="s">
        <v>456</v>
      </c>
      <c r="C579" s="180">
        <v>2</v>
      </c>
    </row>
    <row r="580" spans="1:3" x14ac:dyDescent="0.25">
      <c r="A580" s="178">
        <v>1715</v>
      </c>
      <c r="B580" s="179" t="s">
        <v>456</v>
      </c>
      <c r="C580" s="180">
        <v>2</v>
      </c>
    </row>
    <row r="581" spans="1:3" x14ac:dyDescent="0.25">
      <c r="A581" s="178">
        <v>1718</v>
      </c>
      <c r="B581" s="179" t="s">
        <v>456</v>
      </c>
      <c r="C581" s="180">
        <v>2</v>
      </c>
    </row>
    <row r="582" spans="1:3" x14ac:dyDescent="0.25">
      <c r="A582" s="178">
        <v>1719</v>
      </c>
      <c r="B582" s="179" t="s">
        <v>456</v>
      </c>
      <c r="C582" s="180">
        <v>2</v>
      </c>
    </row>
    <row r="583" spans="1:3" x14ac:dyDescent="0.25">
      <c r="A583" s="178">
        <v>1720</v>
      </c>
      <c r="B583" s="179" t="s">
        <v>456</v>
      </c>
      <c r="C583" s="180">
        <v>2</v>
      </c>
    </row>
    <row r="584" spans="1:3" x14ac:dyDescent="0.25">
      <c r="A584" s="178">
        <v>1721</v>
      </c>
      <c r="B584" s="179" t="s">
        <v>456</v>
      </c>
      <c r="C584" s="180">
        <v>72</v>
      </c>
    </row>
    <row r="585" spans="1:3" x14ac:dyDescent="0.25">
      <c r="A585" s="178">
        <v>1722</v>
      </c>
      <c r="B585" s="179" t="s">
        <v>456</v>
      </c>
      <c r="C585" s="180">
        <v>72</v>
      </c>
    </row>
    <row r="586" spans="1:3" x14ac:dyDescent="0.25">
      <c r="A586" s="178">
        <v>1723</v>
      </c>
      <c r="B586" s="179" t="s">
        <v>456</v>
      </c>
      <c r="C586" s="180">
        <v>72</v>
      </c>
    </row>
    <row r="587" spans="1:3" x14ac:dyDescent="0.25">
      <c r="A587" s="178">
        <v>1724</v>
      </c>
      <c r="B587" s="179" t="s">
        <v>456</v>
      </c>
      <c r="C587" s="180">
        <v>72</v>
      </c>
    </row>
    <row r="588" spans="1:3" x14ac:dyDescent="0.25">
      <c r="A588" s="178">
        <v>1726</v>
      </c>
      <c r="B588" s="179" t="s">
        <v>456</v>
      </c>
      <c r="C588" s="180">
        <v>72</v>
      </c>
    </row>
    <row r="589" spans="1:3" x14ac:dyDescent="0.25">
      <c r="A589" s="178">
        <v>1727</v>
      </c>
      <c r="B589" s="179" t="s">
        <v>456</v>
      </c>
      <c r="C589" s="180">
        <v>45</v>
      </c>
    </row>
    <row r="590" spans="1:3" x14ac:dyDescent="0.25">
      <c r="A590" s="178">
        <v>1728</v>
      </c>
      <c r="B590" s="179" t="s">
        <v>456</v>
      </c>
      <c r="C590" s="180">
        <v>45</v>
      </c>
    </row>
    <row r="591" spans="1:3" x14ac:dyDescent="0.25">
      <c r="A591" s="178">
        <v>1734</v>
      </c>
      <c r="B591" s="179" t="s">
        <v>456</v>
      </c>
      <c r="C591" s="180">
        <v>36</v>
      </c>
    </row>
    <row r="592" spans="1:3" x14ac:dyDescent="0.25">
      <c r="A592" s="178">
        <v>1738</v>
      </c>
      <c r="B592" s="179" t="s">
        <v>456</v>
      </c>
      <c r="C592" s="180">
        <v>45</v>
      </c>
    </row>
    <row r="593" spans="1:3" x14ac:dyDescent="0.25">
      <c r="A593" s="178">
        <v>1740</v>
      </c>
      <c r="B593" s="179" t="s">
        <v>456</v>
      </c>
      <c r="C593" s="180">
        <v>45</v>
      </c>
    </row>
    <row r="594" spans="1:3" x14ac:dyDescent="0.25">
      <c r="A594" s="178">
        <v>1741</v>
      </c>
      <c r="B594" s="179" t="s">
        <v>456</v>
      </c>
      <c r="C594" s="180">
        <v>36</v>
      </c>
    </row>
    <row r="595" spans="1:3" x14ac:dyDescent="0.25">
      <c r="A595" s="178">
        <v>1742</v>
      </c>
      <c r="B595" s="179" t="s">
        <v>456</v>
      </c>
      <c r="C595" s="180">
        <v>48</v>
      </c>
    </row>
    <row r="596" spans="1:3" x14ac:dyDescent="0.25">
      <c r="A596" s="178">
        <v>1743</v>
      </c>
      <c r="B596" s="179" t="s">
        <v>456</v>
      </c>
      <c r="C596" s="180">
        <v>48</v>
      </c>
    </row>
    <row r="597" spans="1:3" x14ac:dyDescent="0.25">
      <c r="A597" s="178">
        <v>1744</v>
      </c>
      <c r="B597" s="179" t="s">
        <v>456</v>
      </c>
      <c r="C597" s="180">
        <v>48</v>
      </c>
    </row>
    <row r="598" spans="1:3" x14ac:dyDescent="0.25">
      <c r="A598" s="178">
        <v>1745</v>
      </c>
      <c r="B598" s="179" t="s">
        <v>456</v>
      </c>
      <c r="C598" s="180">
        <v>48</v>
      </c>
    </row>
    <row r="599" spans="1:3" x14ac:dyDescent="0.25">
      <c r="A599" s="178">
        <v>1746</v>
      </c>
      <c r="B599" s="179" t="s">
        <v>456</v>
      </c>
      <c r="C599" s="180">
        <v>76</v>
      </c>
    </row>
    <row r="600" spans="1:3" x14ac:dyDescent="0.25">
      <c r="A600" s="178">
        <v>1747</v>
      </c>
      <c r="B600" s="179" t="s">
        <v>456</v>
      </c>
      <c r="C600" s="180">
        <v>65</v>
      </c>
    </row>
    <row r="601" spans="1:3" x14ac:dyDescent="0.25">
      <c r="A601" s="178">
        <v>1748</v>
      </c>
      <c r="B601" s="179" t="s">
        <v>456</v>
      </c>
      <c r="C601" s="180">
        <v>120</v>
      </c>
    </row>
    <row r="602" spans="1:3" x14ac:dyDescent="0.25">
      <c r="A602" s="178">
        <v>1749</v>
      </c>
      <c r="B602" s="179" t="s">
        <v>456</v>
      </c>
      <c r="C602" s="180">
        <v>135</v>
      </c>
    </row>
    <row r="603" spans="1:3" x14ac:dyDescent="0.25">
      <c r="A603" s="178">
        <v>1750</v>
      </c>
      <c r="B603" s="179" t="s">
        <v>456</v>
      </c>
      <c r="C603" s="180">
        <v>1</v>
      </c>
    </row>
    <row r="604" spans="1:3" x14ac:dyDescent="0.25">
      <c r="A604" s="178">
        <v>1751</v>
      </c>
      <c r="B604" s="179" t="s">
        <v>456</v>
      </c>
      <c r="C604" s="180">
        <v>1</v>
      </c>
    </row>
    <row r="605" spans="1:3" x14ac:dyDescent="0.25">
      <c r="A605" s="178">
        <v>1754</v>
      </c>
      <c r="B605" s="179" t="s">
        <v>456</v>
      </c>
      <c r="C605" s="180">
        <v>2</v>
      </c>
    </row>
    <row r="606" spans="1:3" x14ac:dyDescent="0.25">
      <c r="A606" s="178">
        <v>1755</v>
      </c>
      <c r="B606" s="179" t="s">
        <v>456</v>
      </c>
      <c r="C606" s="180">
        <v>63</v>
      </c>
    </row>
    <row r="607" spans="1:3" x14ac:dyDescent="0.25">
      <c r="A607" s="178">
        <v>1756</v>
      </c>
      <c r="B607" s="179" t="s">
        <v>456</v>
      </c>
      <c r="C607" s="180">
        <v>39</v>
      </c>
    </row>
    <row r="608" spans="1:3" x14ac:dyDescent="0.25">
      <c r="A608" s="178">
        <v>1757</v>
      </c>
      <c r="B608" s="179" t="s">
        <v>456</v>
      </c>
      <c r="C608" s="180">
        <v>63</v>
      </c>
    </row>
    <row r="609" spans="1:3" x14ac:dyDescent="0.25">
      <c r="A609" s="178">
        <v>1758</v>
      </c>
      <c r="B609" s="179" t="s">
        <v>456</v>
      </c>
      <c r="C609" s="180">
        <v>2</v>
      </c>
    </row>
    <row r="610" spans="1:3" x14ac:dyDescent="0.25">
      <c r="A610" s="178">
        <v>1759</v>
      </c>
      <c r="B610" s="179" t="s">
        <v>456</v>
      </c>
      <c r="C610" s="180">
        <v>63</v>
      </c>
    </row>
    <row r="611" spans="1:3" x14ac:dyDescent="0.25">
      <c r="A611" s="178">
        <v>1760</v>
      </c>
      <c r="B611" s="179" t="s">
        <v>456</v>
      </c>
      <c r="C611" s="180">
        <v>63</v>
      </c>
    </row>
    <row r="612" spans="1:3" x14ac:dyDescent="0.25">
      <c r="A612" s="178">
        <v>1761</v>
      </c>
      <c r="B612" s="179" t="s">
        <v>456</v>
      </c>
      <c r="C612" s="180">
        <v>2</v>
      </c>
    </row>
    <row r="613" spans="1:3" x14ac:dyDescent="0.25">
      <c r="A613" s="178">
        <v>1762</v>
      </c>
      <c r="B613" s="179" t="s">
        <v>456</v>
      </c>
      <c r="C613" s="180">
        <v>2</v>
      </c>
    </row>
    <row r="614" spans="1:3" x14ac:dyDescent="0.25">
      <c r="A614" s="178">
        <v>1763</v>
      </c>
      <c r="B614" s="179" t="s">
        <v>456</v>
      </c>
      <c r="C614" s="180">
        <v>4</v>
      </c>
    </row>
    <row r="615" spans="1:3" x14ac:dyDescent="0.25">
      <c r="A615" s="178">
        <v>1764</v>
      </c>
      <c r="B615" s="179" t="s">
        <v>456</v>
      </c>
      <c r="C615" s="180">
        <v>63</v>
      </c>
    </row>
    <row r="616" spans="1:3" x14ac:dyDescent="0.25">
      <c r="A616" s="178">
        <v>1765</v>
      </c>
      <c r="B616" s="179" t="s">
        <v>456</v>
      </c>
      <c r="C616" s="180">
        <v>63</v>
      </c>
    </row>
    <row r="617" spans="1:3" x14ac:dyDescent="0.25">
      <c r="A617" s="178">
        <v>1766</v>
      </c>
      <c r="B617" s="179" t="s">
        <v>456</v>
      </c>
      <c r="C617" s="180">
        <v>56</v>
      </c>
    </row>
    <row r="618" spans="1:3" x14ac:dyDescent="0.25">
      <c r="A618" s="178">
        <v>1767</v>
      </c>
      <c r="B618" s="179" t="s">
        <v>456</v>
      </c>
      <c r="C618" s="180">
        <v>56</v>
      </c>
    </row>
    <row r="619" spans="1:3" x14ac:dyDescent="0.25">
      <c r="A619" s="178">
        <v>1768</v>
      </c>
      <c r="B619" s="179" t="s">
        <v>456</v>
      </c>
      <c r="C619" s="180">
        <v>56</v>
      </c>
    </row>
    <row r="620" spans="1:3" x14ac:dyDescent="0.25">
      <c r="A620" s="178">
        <v>1769</v>
      </c>
      <c r="B620" s="179" t="s">
        <v>456</v>
      </c>
      <c r="C620" s="180">
        <v>56</v>
      </c>
    </row>
    <row r="621" spans="1:3" x14ac:dyDescent="0.25">
      <c r="A621" s="178">
        <v>1770</v>
      </c>
      <c r="B621" s="179" t="s">
        <v>456</v>
      </c>
      <c r="C621" s="180">
        <v>63</v>
      </c>
    </row>
    <row r="622" spans="1:3" x14ac:dyDescent="0.25">
      <c r="A622" s="178">
        <v>1771</v>
      </c>
      <c r="B622" s="179" t="s">
        <v>456</v>
      </c>
      <c r="C622" s="180">
        <v>63</v>
      </c>
    </row>
    <row r="623" spans="1:3" x14ac:dyDescent="0.25">
      <c r="A623" s="178">
        <v>1772</v>
      </c>
      <c r="B623" s="179" t="s">
        <v>456</v>
      </c>
      <c r="C623" s="180">
        <v>63</v>
      </c>
    </row>
    <row r="624" spans="1:3" x14ac:dyDescent="0.25">
      <c r="A624" s="178">
        <v>1773</v>
      </c>
      <c r="B624" s="179" t="s">
        <v>456</v>
      </c>
      <c r="C624" s="180">
        <v>63</v>
      </c>
    </row>
    <row r="625" spans="1:3" x14ac:dyDescent="0.25">
      <c r="A625" s="178">
        <v>1774</v>
      </c>
      <c r="B625" s="179" t="s">
        <v>456</v>
      </c>
      <c r="C625" s="180">
        <v>63</v>
      </c>
    </row>
    <row r="626" spans="1:3" x14ac:dyDescent="0.25">
      <c r="A626" s="178">
        <v>1775</v>
      </c>
      <c r="B626" s="179" t="s">
        <v>456</v>
      </c>
      <c r="C626" s="180">
        <v>4</v>
      </c>
    </row>
    <row r="627" spans="1:3" x14ac:dyDescent="0.25">
      <c r="A627" s="178">
        <v>1776</v>
      </c>
      <c r="B627" s="179" t="s">
        <v>456</v>
      </c>
      <c r="C627" s="180">
        <v>2</v>
      </c>
    </row>
    <row r="628" spans="1:3" x14ac:dyDescent="0.25">
      <c r="A628" s="178">
        <v>1777</v>
      </c>
      <c r="B628" s="179" t="s">
        <v>456</v>
      </c>
      <c r="C628" s="180">
        <v>56</v>
      </c>
    </row>
    <row r="629" spans="1:3" x14ac:dyDescent="0.25">
      <c r="A629" s="178">
        <v>1778</v>
      </c>
      <c r="B629" s="179" t="s">
        <v>456</v>
      </c>
      <c r="C629" s="180">
        <v>2</v>
      </c>
    </row>
    <row r="630" spans="1:3" x14ac:dyDescent="0.25">
      <c r="A630" s="178">
        <v>1779</v>
      </c>
      <c r="B630" s="179" t="s">
        <v>456</v>
      </c>
      <c r="C630" s="180">
        <v>2</v>
      </c>
    </row>
    <row r="631" spans="1:3" x14ac:dyDescent="0.25">
      <c r="A631" s="178">
        <v>1780</v>
      </c>
      <c r="B631" s="179" t="s">
        <v>456</v>
      </c>
      <c r="C631" s="180">
        <v>56</v>
      </c>
    </row>
    <row r="632" spans="1:3" x14ac:dyDescent="0.25">
      <c r="A632" s="178">
        <v>1781</v>
      </c>
      <c r="B632" s="179" t="s">
        <v>456</v>
      </c>
      <c r="C632" s="180">
        <v>56</v>
      </c>
    </row>
    <row r="633" spans="1:3" x14ac:dyDescent="0.25">
      <c r="A633" s="178">
        <v>1782</v>
      </c>
      <c r="B633" s="179" t="s">
        <v>456</v>
      </c>
      <c r="C633" s="180">
        <v>65</v>
      </c>
    </row>
    <row r="634" spans="1:3" x14ac:dyDescent="0.25">
      <c r="A634" s="178">
        <v>1783</v>
      </c>
      <c r="B634" s="179" t="s">
        <v>456</v>
      </c>
      <c r="C634" s="180">
        <v>56</v>
      </c>
    </row>
    <row r="635" spans="1:3" x14ac:dyDescent="0.25">
      <c r="A635" s="178">
        <v>1784</v>
      </c>
      <c r="B635" s="179" t="s">
        <v>456</v>
      </c>
      <c r="C635" s="180">
        <v>65</v>
      </c>
    </row>
    <row r="636" spans="1:3" x14ac:dyDescent="0.25">
      <c r="A636" s="178">
        <v>1786</v>
      </c>
      <c r="B636" s="179" t="s">
        <v>456</v>
      </c>
      <c r="C636" s="180">
        <v>65</v>
      </c>
    </row>
    <row r="637" spans="1:3" x14ac:dyDescent="0.25">
      <c r="A637" s="178">
        <v>1787</v>
      </c>
      <c r="B637" s="179" t="s">
        <v>456</v>
      </c>
      <c r="C637" s="180">
        <v>40</v>
      </c>
    </row>
    <row r="638" spans="1:3" x14ac:dyDescent="0.25">
      <c r="A638" s="178">
        <v>1788</v>
      </c>
      <c r="B638" s="179" t="s">
        <v>456</v>
      </c>
      <c r="C638" s="180">
        <v>40</v>
      </c>
    </row>
    <row r="639" spans="1:3" x14ac:dyDescent="0.25">
      <c r="A639" s="178">
        <v>1789</v>
      </c>
      <c r="B639" s="179" t="s">
        <v>456</v>
      </c>
      <c r="C639" s="180">
        <v>40</v>
      </c>
    </row>
    <row r="640" spans="1:3" x14ac:dyDescent="0.25">
      <c r="A640" s="178">
        <v>1790</v>
      </c>
      <c r="B640" s="179" t="s">
        <v>456</v>
      </c>
      <c r="C640" s="180">
        <v>40</v>
      </c>
    </row>
    <row r="641" spans="1:3" x14ac:dyDescent="0.25">
      <c r="A641" s="178">
        <v>1791</v>
      </c>
      <c r="B641" s="179" t="s">
        <v>456</v>
      </c>
      <c r="C641" s="180">
        <v>40</v>
      </c>
    </row>
    <row r="642" spans="1:3" x14ac:dyDescent="0.25">
      <c r="A642" s="178">
        <v>1792</v>
      </c>
      <c r="B642" s="179" t="s">
        <v>456</v>
      </c>
      <c r="C642" s="180">
        <v>40</v>
      </c>
    </row>
    <row r="643" spans="1:3" x14ac:dyDescent="0.25">
      <c r="A643" s="178">
        <v>1794</v>
      </c>
      <c r="B643" s="179" t="s">
        <v>456</v>
      </c>
      <c r="C643" s="180">
        <v>100</v>
      </c>
    </row>
    <row r="644" spans="1:3" x14ac:dyDescent="0.25">
      <c r="A644" s="178">
        <v>1795</v>
      </c>
      <c r="B644" s="179" t="s">
        <v>456</v>
      </c>
      <c r="C644" s="180">
        <v>100</v>
      </c>
    </row>
    <row r="645" spans="1:3" x14ac:dyDescent="0.25">
      <c r="A645" s="178">
        <v>1796</v>
      </c>
      <c r="B645" s="179" t="s">
        <v>456</v>
      </c>
      <c r="C645" s="180">
        <v>100</v>
      </c>
    </row>
    <row r="646" spans="1:3" x14ac:dyDescent="0.25">
      <c r="A646" s="178">
        <v>1797</v>
      </c>
      <c r="B646" s="179" t="s">
        <v>456</v>
      </c>
      <c r="C646" s="180">
        <v>3</v>
      </c>
    </row>
    <row r="647" spans="1:3" x14ac:dyDescent="0.25">
      <c r="A647" s="178">
        <v>1798</v>
      </c>
      <c r="B647" s="179" t="s">
        <v>456</v>
      </c>
      <c r="C647" s="180">
        <v>3</v>
      </c>
    </row>
    <row r="648" spans="1:3" x14ac:dyDescent="0.25">
      <c r="A648" s="178">
        <v>1799</v>
      </c>
      <c r="B648" s="179" t="s">
        <v>456</v>
      </c>
      <c r="C648" s="180">
        <v>3</v>
      </c>
    </row>
    <row r="649" spans="1:3" x14ac:dyDescent="0.25">
      <c r="A649" s="178">
        <v>1800</v>
      </c>
      <c r="B649" s="179" t="s">
        <v>456</v>
      </c>
      <c r="C649" s="180">
        <v>84</v>
      </c>
    </row>
    <row r="650" spans="1:3" x14ac:dyDescent="0.25">
      <c r="A650" s="178">
        <v>1801</v>
      </c>
      <c r="B650" s="179" t="s">
        <v>456</v>
      </c>
      <c r="C650" s="180">
        <v>84</v>
      </c>
    </row>
    <row r="651" spans="1:3" x14ac:dyDescent="0.25">
      <c r="A651" s="178">
        <v>1802</v>
      </c>
      <c r="B651" s="179" t="s">
        <v>456</v>
      </c>
      <c r="C651" s="180">
        <v>84</v>
      </c>
    </row>
    <row r="652" spans="1:3" x14ac:dyDescent="0.25">
      <c r="A652" s="178">
        <v>1803</v>
      </c>
      <c r="B652" s="179" t="s">
        <v>456</v>
      </c>
      <c r="C652" s="180">
        <v>84</v>
      </c>
    </row>
    <row r="653" spans="1:3" x14ac:dyDescent="0.25">
      <c r="A653" s="178">
        <v>1804</v>
      </c>
      <c r="B653" s="179" t="s">
        <v>456</v>
      </c>
      <c r="C653" s="180">
        <v>84</v>
      </c>
    </row>
    <row r="654" spans="1:3" x14ac:dyDescent="0.25">
      <c r="A654" s="178">
        <v>1805</v>
      </c>
      <c r="B654" s="179" t="s">
        <v>456</v>
      </c>
      <c r="C654" s="180">
        <v>84</v>
      </c>
    </row>
    <row r="655" spans="1:3" x14ac:dyDescent="0.25">
      <c r="A655" s="178">
        <v>1806</v>
      </c>
      <c r="B655" s="179" t="s">
        <v>456</v>
      </c>
      <c r="C655" s="180">
        <v>84</v>
      </c>
    </row>
    <row r="656" spans="1:3" x14ac:dyDescent="0.25">
      <c r="A656" s="178">
        <v>1808</v>
      </c>
      <c r="B656" s="179" t="s">
        <v>456</v>
      </c>
      <c r="C656" s="180">
        <v>84</v>
      </c>
    </row>
    <row r="657" spans="1:3" x14ac:dyDescent="0.25">
      <c r="A657" s="178">
        <v>1810</v>
      </c>
      <c r="B657" s="179" t="s">
        <v>456</v>
      </c>
      <c r="C657" s="180">
        <v>198</v>
      </c>
    </row>
    <row r="658" spans="1:3" x14ac:dyDescent="0.25">
      <c r="A658" s="178">
        <v>1811</v>
      </c>
      <c r="B658" s="179" t="s">
        <v>456</v>
      </c>
      <c r="C658" s="180">
        <v>119</v>
      </c>
    </row>
    <row r="659" spans="1:3" x14ac:dyDescent="0.25">
      <c r="A659" s="178">
        <v>1812</v>
      </c>
      <c r="B659" s="179" t="s">
        <v>456</v>
      </c>
      <c r="C659" s="180">
        <v>160</v>
      </c>
    </row>
    <row r="660" spans="1:3" x14ac:dyDescent="0.25">
      <c r="A660" s="178">
        <v>1814</v>
      </c>
      <c r="B660" s="179" t="s">
        <v>456</v>
      </c>
      <c r="C660" s="180">
        <v>84</v>
      </c>
    </row>
    <row r="661" spans="1:3" x14ac:dyDescent="0.25">
      <c r="A661" s="178">
        <v>1815</v>
      </c>
      <c r="B661" s="179" t="s">
        <v>456</v>
      </c>
      <c r="C661" s="180">
        <v>84</v>
      </c>
    </row>
    <row r="662" spans="1:3" x14ac:dyDescent="0.25">
      <c r="A662" s="178">
        <v>1816</v>
      </c>
      <c r="B662" s="179" t="s">
        <v>456</v>
      </c>
      <c r="C662" s="180">
        <v>42</v>
      </c>
    </row>
    <row r="663" spans="1:3" x14ac:dyDescent="0.25">
      <c r="A663" s="178">
        <v>1817</v>
      </c>
      <c r="B663" s="179" t="s">
        <v>456</v>
      </c>
      <c r="C663" s="180">
        <v>40</v>
      </c>
    </row>
    <row r="664" spans="1:3" x14ac:dyDescent="0.25">
      <c r="A664" s="178">
        <v>1818</v>
      </c>
      <c r="B664" s="179" t="s">
        <v>456</v>
      </c>
      <c r="C664" s="180">
        <v>96</v>
      </c>
    </row>
    <row r="665" spans="1:3" x14ac:dyDescent="0.25">
      <c r="A665" s="178">
        <v>1820</v>
      </c>
      <c r="B665" s="179" t="s">
        <v>456</v>
      </c>
      <c r="C665" s="180">
        <v>96</v>
      </c>
    </row>
    <row r="666" spans="1:3" x14ac:dyDescent="0.25">
      <c r="A666" s="178">
        <v>1823</v>
      </c>
      <c r="B666" s="179" t="s">
        <v>456</v>
      </c>
      <c r="C666" s="180">
        <v>2</v>
      </c>
    </row>
    <row r="667" spans="1:3" x14ac:dyDescent="0.25">
      <c r="A667" s="178">
        <v>1824</v>
      </c>
      <c r="B667" s="179" t="s">
        <v>456</v>
      </c>
      <c r="C667" s="180">
        <v>2</v>
      </c>
    </row>
    <row r="668" spans="1:3" x14ac:dyDescent="0.25">
      <c r="A668" s="178">
        <v>1825</v>
      </c>
      <c r="B668" s="179" t="s">
        <v>456</v>
      </c>
      <c r="C668" s="180">
        <v>2</v>
      </c>
    </row>
    <row r="669" spans="1:3" x14ac:dyDescent="0.25">
      <c r="A669" s="178">
        <v>1826</v>
      </c>
      <c r="B669" s="179" t="s">
        <v>456</v>
      </c>
      <c r="C669" s="180">
        <v>48</v>
      </c>
    </row>
    <row r="670" spans="1:3" x14ac:dyDescent="0.25">
      <c r="A670" s="178">
        <v>1827</v>
      </c>
      <c r="B670" s="179" t="s">
        <v>456</v>
      </c>
      <c r="C670" s="180">
        <v>2</v>
      </c>
    </row>
    <row r="671" spans="1:3" x14ac:dyDescent="0.25">
      <c r="A671" s="178">
        <v>1828</v>
      </c>
      <c r="B671" s="179" t="s">
        <v>456</v>
      </c>
      <c r="C671" s="180">
        <v>48</v>
      </c>
    </row>
    <row r="672" spans="1:3" x14ac:dyDescent="0.25">
      <c r="A672" s="178">
        <v>1829</v>
      </c>
      <c r="B672" s="179" t="s">
        <v>456</v>
      </c>
      <c r="C672" s="180">
        <v>48</v>
      </c>
    </row>
    <row r="673" spans="1:3" x14ac:dyDescent="0.25">
      <c r="A673" s="178">
        <v>1830</v>
      </c>
      <c r="B673" s="179" t="s">
        <v>456</v>
      </c>
      <c r="C673" s="180">
        <v>63</v>
      </c>
    </row>
    <row r="674" spans="1:3" x14ac:dyDescent="0.25">
      <c r="A674" s="178">
        <v>1831</v>
      </c>
      <c r="B674" s="179" t="s">
        <v>456</v>
      </c>
      <c r="C674" s="180">
        <v>63</v>
      </c>
    </row>
    <row r="675" spans="1:3" x14ac:dyDescent="0.25">
      <c r="A675" s="178">
        <v>1832</v>
      </c>
      <c r="B675" s="179" t="s">
        <v>456</v>
      </c>
      <c r="C675" s="180">
        <v>63</v>
      </c>
    </row>
    <row r="676" spans="1:3" x14ac:dyDescent="0.25">
      <c r="A676" s="178">
        <v>1833</v>
      </c>
      <c r="B676" s="179" t="s">
        <v>456</v>
      </c>
      <c r="C676" s="180">
        <v>63</v>
      </c>
    </row>
    <row r="677" spans="1:3" x14ac:dyDescent="0.25">
      <c r="A677" s="178">
        <v>1834</v>
      </c>
      <c r="B677" s="179" t="s">
        <v>456</v>
      </c>
      <c r="C677" s="180">
        <v>2</v>
      </c>
    </row>
    <row r="678" spans="1:3" x14ac:dyDescent="0.25">
      <c r="A678" s="178">
        <v>1835</v>
      </c>
      <c r="B678" s="179" t="s">
        <v>456</v>
      </c>
      <c r="C678" s="180">
        <v>2</v>
      </c>
    </row>
    <row r="679" spans="1:3" x14ac:dyDescent="0.25">
      <c r="A679" s="178">
        <v>1836</v>
      </c>
      <c r="B679" s="179" t="s">
        <v>456</v>
      </c>
      <c r="C679" s="180">
        <v>2</v>
      </c>
    </row>
    <row r="680" spans="1:3" x14ac:dyDescent="0.25">
      <c r="A680" s="178">
        <v>1837</v>
      </c>
      <c r="B680" s="179" t="s">
        <v>456</v>
      </c>
      <c r="C680" s="180">
        <v>2</v>
      </c>
    </row>
    <row r="681" spans="1:3" x14ac:dyDescent="0.25">
      <c r="A681" s="178">
        <v>1838</v>
      </c>
      <c r="B681" s="179" t="s">
        <v>456</v>
      </c>
      <c r="C681" s="180">
        <v>2</v>
      </c>
    </row>
    <row r="682" spans="1:3" x14ac:dyDescent="0.25">
      <c r="A682" s="178">
        <v>1839</v>
      </c>
      <c r="B682" s="179" t="s">
        <v>456</v>
      </c>
      <c r="C682" s="180">
        <v>2</v>
      </c>
    </row>
    <row r="683" spans="1:3" x14ac:dyDescent="0.25">
      <c r="A683" s="178">
        <v>1840</v>
      </c>
      <c r="B683" s="179" t="s">
        <v>456</v>
      </c>
      <c r="C683" s="180">
        <v>2</v>
      </c>
    </row>
    <row r="684" spans="1:3" x14ac:dyDescent="0.25">
      <c r="A684" s="178">
        <v>1841</v>
      </c>
      <c r="B684" s="179" t="s">
        <v>456</v>
      </c>
      <c r="C684" s="180">
        <v>63</v>
      </c>
    </row>
    <row r="685" spans="1:3" x14ac:dyDescent="0.25">
      <c r="A685" s="178">
        <v>1842</v>
      </c>
      <c r="B685" s="179" t="s">
        <v>456</v>
      </c>
      <c r="C685" s="180">
        <v>2</v>
      </c>
    </row>
    <row r="686" spans="1:3" x14ac:dyDescent="0.25">
      <c r="A686" s="178">
        <v>1843</v>
      </c>
      <c r="B686" s="179" t="s">
        <v>456</v>
      </c>
      <c r="C686" s="180">
        <v>1</v>
      </c>
    </row>
    <row r="687" spans="1:3" x14ac:dyDescent="0.25">
      <c r="A687" s="178">
        <v>1844</v>
      </c>
      <c r="B687" s="179" t="s">
        <v>456</v>
      </c>
      <c r="C687" s="180">
        <v>66</v>
      </c>
    </row>
    <row r="688" spans="1:3" x14ac:dyDescent="0.25">
      <c r="A688" s="178">
        <v>1845</v>
      </c>
      <c r="B688" s="179" t="s">
        <v>456</v>
      </c>
      <c r="C688" s="180">
        <v>2</v>
      </c>
    </row>
    <row r="689" spans="1:3" x14ac:dyDescent="0.25">
      <c r="A689" s="178">
        <v>1846</v>
      </c>
      <c r="B689" s="179" t="s">
        <v>456</v>
      </c>
      <c r="C689" s="180">
        <v>64</v>
      </c>
    </row>
    <row r="690" spans="1:3" x14ac:dyDescent="0.25">
      <c r="A690" s="178">
        <v>1847</v>
      </c>
      <c r="B690" s="179" t="s">
        <v>456</v>
      </c>
      <c r="C690" s="180">
        <v>1</v>
      </c>
    </row>
    <row r="691" spans="1:3" x14ac:dyDescent="0.25">
      <c r="A691" s="178">
        <v>1848</v>
      </c>
      <c r="B691" s="179" t="s">
        <v>456</v>
      </c>
      <c r="C691" s="180">
        <v>40</v>
      </c>
    </row>
    <row r="692" spans="1:3" x14ac:dyDescent="0.25">
      <c r="A692" s="178">
        <v>1849</v>
      </c>
      <c r="B692" s="179" t="s">
        <v>456</v>
      </c>
      <c r="C692" s="180">
        <v>2</v>
      </c>
    </row>
    <row r="693" spans="1:3" x14ac:dyDescent="0.25">
      <c r="A693" s="178">
        <v>1850</v>
      </c>
      <c r="B693" s="179" t="s">
        <v>456</v>
      </c>
      <c r="C693" s="180">
        <v>64</v>
      </c>
    </row>
    <row r="694" spans="1:3" x14ac:dyDescent="0.25">
      <c r="A694" s="178">
        <v>1851</v>
      </c>
      <c r="B694" s="179" t="s">
        <v>456</v>
      </c>
      <c r="C694" s="180">
        <v>1</v>
      </c>
    </row>
    <row r="695" spans="1:3" x14ac:dyDescent="0.25">
      <c r="A695" s="178">
        <v>1852</v>
      </c>
      <c r="B695" s="179" t="s">
        <v>456</v>
      </c>
      <c r="C695" s="180">
        <v>1</v>
      </c>
    </row>
    <row r="696" spans="1:3" x14ac:dyDescent="0.25">
      <c r="A696" s="178">
        <v>1854</v>
      </c>
      <c r="B696" s="179" t="s">
        <v>456</v>
      </c>
      <c r="C696" s="180">
        <v>50</v>
      </c>
    </row>
    <row r="697" spans="1:3" x14ac:dyDescent="0.25">
      <c r="A697" s="178">
        <v>1855</v>
      </c>
      <c r="B697" s="179" t="s">
        <v>456</v>
      </c>
      <c r="C697" s="180">
        <v>2</v>
      </c>
    </row>
    <row r="698" spans="1:3" x14ac:dyDescent="0.25">
      <c r="A698" s="178">
        <v>1856</v>
      </c>
      <c r="B698" s="179" t="s">
        <v>456</v>
      </c>
      <c r="C698" s="180">
        <v>36</v>
      </c>
    </row>
    <row r="699" spans="1:3" x14ac:dyDescent="0.25">
      <c r="A699" s="178">
        <v>1860</v>
      </c>
      <c r="B699" s="179" t="s">
        <v>456</v>
      </c>
      <c r="C699" s="180">
        <v>153</v>
      </c>
    </row>
    <row r="700" spans="1:3" x14ac:dyDescent="0.25">
      <c r="A700" s="178">
        <v>1861</v>
      </c>
      <c r="B700" s="179" t="s">
        <v>456</v>
      </c>
      <c r="C700" s="180">
        <v>153</v>
      </c>
    </row>
    <row r="701" spans="1:3" x14ac:dyDescent="0.25">
      <c r="A701" s="178">
        <v>1862</v>
      </c>
      <c r="B701" s="179" t="s">
        <v>456</v>
      </c>
      <c r="C701" s="180">
        <v>153</v>
      </c>
    </row>
    <row r="702" spans="1:3" x14ac:dyDescent="0.25">
      <c r="A702" s="178">
        <v>1863</v>
      </c>
      <c r="B702" s="179" t="s">
        <v>456</v>
      </c>
      <c r="C702" s="180">
        <v>153</v>
      </c>
    </row>
    <row r="703" spans="1:3" x14ac:dyDescent="0.25">
      <c r="A703" s="178">
        <v>1864</v>
      </c>
      <c r="B703" s="179" t="s">
        <v>456</v>
      </c>
      <c r="C703" s="180">
        <v>153</v>
      </c>
    </row>
    <row r="704" spans="1:3" x14ac:dyDescent="0.25">
      <c r="A704" s="178">
        <v>1865</v>
      </c>
      <c r="B704" s="179" t="s">
        <v>456</v>
      </c>
      <c r="C704" s="180">
        <v>153</v>
      </c>
    </row>
    <row r="705" spans="1:3" x14ac:dyDescent="0.25">
      <c r="A705" s="178">
        <v>1866</v>
      </c>
      <c r="B705" s="179" t="s">
        <v>456</v>
      </c>
      <c r="C705" s="180">
        <v>153</v>
      </c>
    </row>
    <row r="706" spans="1:3" x14ac:dyDescent="0.25">
      <c r="A706" s="178">
        <v>1867</v>
      </c>
      <c r="B706" s="179" t="s">
        <v>456</v>
      </c>
      <c r="C706" s="180">
        <v>153</v>
      </c>
    </row>
    <row r="707" spans="1:3" x14ac:dyDescent="0.25">
      <c r="A707" s="178">
        <v>1868</v>
      </c>
      <c r="B707" s="179" t="s">
        <v>456</v>
      </c>
      <c r="C707" s="180">
        <v>153</v>
      </c>
    </row>
    <row r="708" spans="1:3" x14ac:dyDescent="0.25">
      <c r="A708" s="178">
        <v>1869</v>
      </c>
      <c r="B708" s="179" t="s">
        <v>456</v>
      </c>
      <c r="C708" s="180">
        <v>153</v>
      </c>
    </row>
    <row r="709" spans="1:3" x14ac:dyDescent="0.25">
      <c r="A709" s="178">
        <v>1870</v>
      </c>
      <c r="B709" s="179" t="s">
        <v>456</v>
      </c>
      <c r="C709" s="180">
        <v>153</v>
      </c>
    </row>
    <row r="710" spans="1:3" x14ac:dyDescent="0.25">
      <c r="A710" s="178">
        <v>1871</v>
      </c>
      <c r="B710" s="179" t="s">
        <v>456</v>
      </c>
      <c r="C710" s="180">
        <v>153</v>
      </c>
    </row>
    <row r="711" spans="1:3" x14ac:dyDescent="0.25">
      <c r="A711" s="178">
        <v>1872</v>
      </c>
      <c r="B711" s="179" t="s">
        <v>456</v>
      </c>
      <c r="C711" s="180">
        <v>153</v>
      </c>
    </row>
    <row r="712" spans="1:3" x14ac:dyDescent="0.25">
      <c r="A712" s="178">
        <v>1873</v>
      </c>
      <c r="B712" s="179" t="s">
        <v>456</v>
      </c>
      <c r="C712" s="180">
        <v>153</v>
      </c>
    </row>
    <row r="713" spans="1:3" x14ac:dyDescent="0.25">
      <c r="A713" s="178">
        <v>1901</v>
      </c>
      <c r="B713" s="179" t="s">
        <v>456</v>
      </c>
      <c r="C713" s="180">
        <v>24</v>
      </c>
    </row>
    <row r="714" spans="1:3" x14ac:dyDescent="0.25">
      <c r="A714" s="178">
        <v>1902</v>
      </c>
      <c r="B714" s="179" t="s">
        <v>456</v>
      </c>
      <c r="C714" s="180">
        <v>24</v>
      </c>
    </row>
    <row r="715" spans="1:3" x14ac:dyDescent="0.25">
      <c r="A715" s="178">
        <v>1903</v>
      </c>
      <c r="B715" s="179" t="s">
        <v>456</v>
      </c>
      <c r="C715" s="180">
        <v>24</v>
      </c>
    </row>
    <row r="716" spans="1:3" x14ac:dyDescent="0.25">
      <c r="A716" s="178">
        <v>1905</v>
      </c>
      <c r="B716" s="179" t="s">
        <v>456</v>
      </c>
      <c r="C716" s="180">
        <v>36</v>
      </c>
    </row>
    <row r="717" spans="1:3" x14ac:dyDescent="0.25">
      <c r="A717" s="178">
        <v>1906</v>
      </c>
      <c r="B717" s="179" t="s">
        <v>456</v>
      </c>
      <c r="C717" s="180">
        <v>36</v>
      </c>
    </row>
    <row r="718" spans="1:3" x14ac:dyDescent="0.25">
      <c r="A718" s="178">
        <v>1907</v>
      </c>
      <c r="B718" s="179" t="s">
        <v>456</v>
      </c>
      <c r="C718" s="180">
        <v>36</v>
      </c>
    </row>
    <row r="719" spans="1:3" x14ac:dyDescent="0.25">
      <c r="A719" s="178">
        <v>1908</v>
      </c>
      <c r="B719" s="179" t="s">
        <v>456</v>
      </c>
      <c r="C719" s="180">
        <v>36</v>
      </c>
    </row>
    <row r="720" spans="1:3" x14ac:dyDescent="0.25">
      <c r="A720" s="178">
        <v>1909</v>
      </c>
      <c r="B720" s="179" t="s">
        <v>456</v>
      </c>
      <c r="C720" s="180">
        <v>18</v>
      </c>
    </row>
    <row r="721" spans="1:3" x14ac:dyDescent="0.25">
      <c r="A721" s="178">
        <v>1910</v>
      </c>
      <c r="B721" s="179" t="s">
        <v>456</v>
      </c>
      <c r="C721" s="180">
        <v>18</v>
      </c>
    </row>
    <row r="722" spans="1:3" x14ac:dyDescent="0.25">
      <c r="A722" s="178">
        <v>1911</v>
      </c>
      <c r="B722" s="179" t="s">
        <v>456</v>
      </c>
      <c r="C722" s="180">
        <v>36</v>
      </c>
    </row>
    <row r="723" spans="1:3" x14ac:dyDescent="0.25">
      <c r="A723" s="178">
        <v>1912</v>
      </c>
      <c r="B723" s="179" t="s">
        <v>456</v>
      </c>
      <c r="C723" s="180">
        <v>36</v>
      </c>
    </row>
    <row r="724" spans="1:3" x14ac:dyDescent="0.25">
      <c r="A724" s="178">
        <v>1915</v>
      </c>
      <c r="B724" s="179" t="s">
        <v>456</v>
      </c>
      <c r="C724" s="180">
        <v>36</v>
      </c>
    </row>
    <row r="725" spans="1:3" x14ac:dyDescent="0.25">
      <c r="A725" s="178">
        <v>1920</v>
      </c>
      <c r="B725" s="179" t="s">
        <v>456</v>
      </c>
      <c r="C725" s="180">
        <v>24</v>
      </c>
    </row>
    <row r="726" spans="1:3" x14ac:dyDescent="0.25">
      <c r="A726" s="178">
        <v>1922</v>
      </c>
      <c r="B726" s="179" t="s">
        <v>456</v>
      </c>
      <c r="C726" s="180">
        <v>24</v>
      </c>
    </row>
    <row r="727" spans="1:3" x14ac:dyDescent="0.25">
      <c r="A727" s="178">
        <v>1924</v>
      </c>
      <c r="B727" s="179" t="s">
        <v>456</v>
      </c>
      <c r="C727" s="180">
        <v>60</v>
      </c>
    </row>
    <row r="728" spans="1:3" x14ac:dyDescent="0.25">
      <c r="A728" s="178">
        <v>1925</v>
      </c>
      <c r="B728" s="179" t="s">
        <v>456</v>
      </c>
      <c r="C728" s="180">
        <v>60</v>
      </c>
    </row>
    <row r="729" spans="1:3" x14ac:dyDescent="0.25">
      <c r="A729" s="178">
        <v>1926</v>
      </c>
      <c r="B729" s="179" t="s">
        <v>456</v>
      </c>
      <c r="C729" s="180">
        <v>72</v>
      </c>
    </row>
    <row r="730" spans="1:3" x14ac:dyDescent="0.25">
      <c r="A730" s="178">
        <v>1927</v>
      </c>
      <c r="B730" s="179" t="s">
        <v>456</v>
      </c>
      <c r="C730" s="180">
        <v>40</v>
      </c>
    </row>
    <row r="731" spans="1:3" x14ac:dyDescent="0.25">
      <c r="A731" s="178">
        <v>1928</v>
      </c>
      <c r="B731" s="179" t="s">
        <v>456</v>
      </c>
      <c r="C731" s="180">
        <v>24</v>
      </c>
    </row>
    <row r="732" spans="1:3" x14ac:dyDescent="0.25">
      <c r="A732" s="178">
        <v>1958</v>
      </c>
      <c r="B732" s="179" t="s">
        <v>456</v>
      </c>
      <c r="C732" s="180">
        <v>33</v>
      </c>
    </row>
    <row r="733" spans="1:3" x14ac:dyDescent="0.25">
      <c r="A733" s="178">
        <v>1959</v>
      </c>
      <c r="B733" s="179" t="s">
        <v>456</v>
      </c>
      <c r="C733" s="180">
        <v>33</v>
      </c>
    </row>
    <row r="734" spans="1:3" x14ac:dyDescent="0.25">
      <c r="A734" s="178">
        <v>1960</v>
      </c>
      <c r="B734" s="179" t="s">
        <v>456</v>
      </c>
      <c r="C734" s="180">
        <v>60</v>
      </c>
    </row>
    <row r="735" spans="1:3" x14ac:dyDescent="0.25">
      <c r="A735" s="178">
        <v>1961</v>
      </c>
      <c r="B735" s="179" t="s">
        <v>456</v>
      </c>
      <c r="C735" s="180">
        <v>60</v>
      </c>
    </row>
    <row r="736" spans="1:3" x14ac:dyDescent="0.25">
      <c r="A736" s="178">
        <v>1962</v>
      </c>
      <c r="B736" s="179" t="s">
        <v>456</v>
      </c>
      <c r="C736" s="180">
        <v>36</v>
      </c>
    </row>
    <row r="737" spans="1:3" x14ac:dyDescent="0.25">
      <c r="A737" s="178">
        <v>1963</v>
      </c>
      <c r="B737" s="179" t="s">
        <v>456</v>
      </c>
      <c r="C737" s="180">
        <v>36</v>
      </c>
    </row>
    <row r="738" spans="1:3" x14ac:dyDescent="0.25">
      <c r="A738" s="178">
        <v>1964</v>
      </c>
      <c r="B738" s="179" t="s">
        <v>456</v>
      </c>
      <c r="C738" s="180">
        <v>36</v>
      </c>
    </row>
    <row r="739" spans="1:3" x14ac:dyDescent="0.25">
      <c r="A739" s="178">
        <v>1965</v>
      </c>
      <c r="B739" s="179" t="s">
        <v>456</v>
      </c>
      <c r="C739" s="180">
        <v>36</v>
      </c>
    </row>
    <row r="740" spans="1:3" x14ac:dyDescent="0.25">
      <c r="A740" s="178">
        <v>1966</v>
      </c>
      <c r="B740" s="179" t="s">
        <v>456</v>
      </c>
      <c r="C740" s="180">
        <v>60</v>
      </c>
    </row>
    <row r="741" spans="1:3" x14ac:dyDescent="0.25">
      <c r="A741" s="178">
        <v>1967</v>
      </c>
      <c r="B741" s="179" t="s">
        <v>456</v>
      </c>
      <c r="C741" s="180">
        <v>30</v>
      </c>
    </row>
    <row r="742" spans="1:3" x14ac:dyDescent="0.25">
      <c r="A742" s="178">
        <v>1968</v>
      </c>
      <c r="B742" s="179" t="s">
        <v>456</v>
      </c>
      <c r="C742" s="180">
        <v>30</v>
      </c>
    </row>
    <row r="743" spans="1:3" x14ac:dyDescent="0.25">
      <c r="A743" s="178">
        <v>1969</v>
      </c>
      <c r="B743" s="179" t="s">
        <v>456</v>
      </c>
      <c r="C743" s="180">
        <v>27</v>
      </c>
    </row>
    <row r="744" spans="1:3" x14ac:dyDescent="0.25">
      <c r="A744" s="178">
        <v>1970</v>
      </c>
      <c r="B744" s="179" t="s">
        <v>456</v>
      </c>
      <c r="C744" s="180">
        <v>33</v>
      </c>
    </row>
    <row r="745" spans="1:3" x14ac:dyDescent="0.25">
      <c r="A745" s="178">
        <v>1971</v>
      </c>
      <c r="B745" s="179" t="s">
        <v>456</v>
      </c>
      <c r="C745" s="180">
        <v>33</v>
      </c>
    </row>
    <row r="746" spans="1:3" x14ac:dyDescent="0.25">
      <c r="A746" s="178">
        <v>1972</v>
      </c>
      <c r="B746" s="179" t="s">
        <v>456</v>
      </c>
      <c r="C746" s="180">
        <v>30</v>
      </c>
    </row>
    <row r="747" spans="1:3" x14ac:dyDescent="0.25">
      <c r="A747" s="178">
        <v>1973</v>
      </c>
      <c r="B747" s="179" t="s">
        <v>456</v>
      </c>
      <c r="C747" s="180">
        <v>30</v>
      </c>
    </row>
    <row r="748" spans="1:3" x14ac:dyDescent="0.25">
      <c r="A748" s="178">
        <v>1974</v>
      </c>
      <c r="B748" s="179" t="s">
        <v>456</v>
      </c>
      <c r="C748" s="180">
        <v>36</v>
      </c>
    </row>
    <row r="749" spans="1:3" x14ac:dyDescent="0.25">
      <c r="A749" s="178">
        <v>1975</v>
      </c>
      <c r="B749" s="179" t="s">
        <v>456</v>
      </c>
      <c r="C749" s="180">
        <v>36</v>
      </c>
    </row>
    <row r="750" spans="1:3" x14ac:dyDescent="0.25">
      <c r="A750" s="178">
        <v>1976</v>
      </c>
      <c r="B750" s="179" t="s">
        <v>456</v>
      </c>
      <c r="C750" s="180">
        <v>36</v>
      </c>
    </row>
    <row r="751" spans="1:3" x14ac:dyDescent="0.25">
      <c r="A751" s="178">
        <v>1977</v>
      </c>
      <c r="B751" s="179" t="s">
        <v>456</v>
      </c>
      <c r="C751" s="180">
        <v>36</v>
      </c>
    </row>
    <row r="752" spans="1:3" x14ac:dyDescent="0.25">
      <c r="A752" s="178">
        <v>1978</v>
      </c>
      <c r="B752" s="179" t="s">
        <v>456</v>
      </c>
      <c r="C752" s="180">
        <v>36</v>
      </c>
    </row>
    <row r="753" spans="1:3" x14ac:dyDescent="0.25">
      <c r="A753" s="178">
        <v>1979</v>
      </c>
      <c r="B753" s="179" t="s">
        <v>456</v>
      </c>
      <c r="C753" s="180">
        <v>36</v>
      </c>
    </row>
    <row r="754" spans="1:3" x14ac:dyDescent="0.25">
      <c r="A754" s="178">
        <v>1980</v>
      </c>
      <c r="B754" s="179" t="s">
        <v>456</v>
      </c>
      <c r="C754" s="180">
        <v>36</v>
      </c>
    </row>
    <row r="755" spans="1:3" x14ac:dyDescent="0.25">
      <c r="A755" s="178">
        <v>1981</v>
      </c>
      <c r="B755" s="179" t="s">
        <v>456</v>
      </c>
      <c r="C755" s="180">
        <v>36</v>
      </c>
    </row>
    <row r="756" spans="1:3" x14ac:dyDescent="0.25">
      <c r="A756" s="178">
        <v>1982</v>
      </c>
      <c r="B756" s="179" t="s">
        <v>456</v>
      </c>
      <c r="C756" s="180">
        <v>36</v>
      </c>
    </row>
    <row r="757" spans="1:3" x14ac:dyDescent="0.25">
      <c r="A757" s="178">
        <v>1983</v>
      </c>
      <c r="B757" s="179" t="s">
        <v>456</v>
      </c>
      <c r="C757" s="180">
        <v>36</v>
      </c>
    </row>
    <row r="758" spans="1:3" x14ac:dyDescent="0.25">
      <c r="A758" s="178">
        <v>1984</v>
      </c>
      <c r="B758" s="179" t="s">
        <v>456</v>
      </c>
      <c r="C758" s="180">
        <v>36</v>
      </c>
    </row>
    <row r="759" spans="1:3" x14ac:dyDescent="0.25">
      <c r="A759" s="178">
        <v>1985</v>
      </c>
      <c r="B759" s="179" t="s">
        <v>456</v>
      </c>
      <c r="C759" s="180">
        <v>36</v>
      </c>
    </row>
    <row r="760" spans="1:3" x14ac:dyDescent="0.25">
      <c r="A760" s="178">
        <v>1986</v>
      </c>
      <c r="B760" s="179" t="s">
        <v>456</v>
      </c>
      <c r="C760" s="180">
        <v>36</v>
      </c>
    </row>
    <row r="761" spans="1:3" x14ac:dyDescent="0.25">
      <c r="A761" s="178">
        <v>1987</v>
      </c>
      <c r="B761" s="179" t="s">
        <v>456</v>
      </c>
      <c r="C761" s="180">
        <v>36</v>
      </c>
    </row>
    <row r="762" spans="1:3" x14ac:dyDescent="0.25">
      <c r="A762" s="178">
        <v>1988</v>
      </c>
      <c r="B762" s="179" t="s">
        <v>456</v>
      </c>
      <c r="C762" s="180">
        <v>36</v>
      </c>
    </row>
    <row r="763" spans="1:3" x14ac:dyDescent="0.25">
      <c r="A763" s="178">
        <v>1989</v>
      </c>
      <c r="B763" s="179" t="s">
        <v>456</v>
      </c>
      <c r="C763" s="180">
        <v>36</v>
      </c>
    </row>
    <row r="764" spans="1:3" x14ac:dyDescent="0.25">
      <c r="A764" s="178">
        <v>1990</v>
      </c>
      <c r="B764" s="179" t="s">
        <v>456</v>
      </c>
      <c r="C764" s="180">
        <v>36</v>
      </c>
    </row>
    <row r="765" spans="1:3" x14ac:dyDescent="0.25">
      <c r="A765" s="178">
        <v>1991</v>
      </c>
      <c r="B765" s="179" t="s">
        <v>456</v>
      </c>
      <c r="C765" s="180">
        <v>36</v>
      </c>
    </row>
    <row r="766" spans="1:3" x14ac:dyDescent="0.25">
      <c r="A766" s="178">
        <v>1992</v>
      </c>
      <c r="B766" s="179" t="s">
        <v>456</v>
      </c>
      <c r="C766" s="180">
        <v>36</v>
      </c>
    </row>
    <row r="767" spans="1:3" x14ac:dyDescent="0.25">
      <c r="A767" s="178">
        <v>1994</v>
      </c>
      <c r="B767" s="179" t="s">
        <v>456</v>
      </c>
      <c r="C767" s="180">
        <v>36</v>
      </c>
    </row>
    <row r="768" spans="1:3" x14ac:dyDescent="0.25">
      <c r="A768" s="178">
        <v>1995</v>
      </c>
      <c r="B768" s="179" t="s">
        <v>456</v>
      </c>
      <c r="C768" s="180">
        <v>36</v>
      </c>
    </row>
    <row r="769" spans="1:3" x14ac:dyDescent="0.25">
      <c r="A769" s="178">
        <v>1996</v>
      </c>
      <c r="B769" s="179" t="s">
        <v>456</v>
      </c>
      <c r="C769" s="180">
        <v>36</v>
      </c>
    </row>
    <row r="770" spans="1:3" x14ac:dyDescent="0.25">
      <c r="A770" s="178">
        <v>1997</v>
      </c>
      <c r="B770" s="179" t="s">
        <v>456</v>
      </c>
      <c r="C770" s="180">
        <v>36</v>
      </c>
    </row>
    <row r="771" spans="1:3" x14ac:dyDescent="0.25">
      <c r="A771" s="178">
        <v>1998</v>
      </c>
      <c r="B771" s="179" t="s">
        <v>456</v>
      </c>
      <c r="C771" s="180">
        <v>36</v>
      </c>
    </row>
    <row r="772" spans="1:3" x14ac:dyDescent="0.25">
      <c r="A772" s="178">
        <v>1999</v>
      </c>
      <c r="B772" s="179" t="s">
        <v>456</v>
      </c>
      <c r="C772" s="180">
        <v>27</v>
      </c>
    </row>
    <row r="773" spans="1:3" x14ac:dyDescent="0.25">
      <c r="A773" s="178">
        <v>2000</v>
      </c>
      <c r="B773" s="179" t="s">
        <v>456</v>
      </c>
      <c r="C773" s="180">
        <v>2</v>
      </c>
    </row>
    <row r="774" spans="1:3" x14ac:dyDescent="0.25">
      <c r="A774" s="178">
        <v>2001</v>
      </c>
      <c r="B774" s="179" t="s">
        <v>456</v>
      </c>
      <c r="C774" s="180">
        <v>2</v>
      </c>
    </row>
    <row r="775" spans="1:3" x14ac:dyDescent="0.25">
      <c r="A775" s="178">
        <v>2002</v>
      </c>
      <c r="B775" s="179" t="s">
        <v>456</v>
      </c>
      <c r="C775" s="180">
        <v>48</v>
      </c>
    </row>
    <row r="776" spans="1:3" x14ac:dyDescent="0.25">
      <c r="A776" s="178">
        <v>2003</v>
      </c>
      <c r="B776" s="179" t="s">
        <v>456</v>
      </c>
      <c r="C776" s="180">
        <v>63</v>
      </c>
    </row>
    <row r="777" spans="1:3" x14ac:dyDescent="0.25">
      <c r="A777" s="178">
        <v>2004</v>
      </c>
      <c r="B777" s="179" t="s">
        <v>456</v>
      </c>
      <c r="C777" s="180">
        <v>63</v>
      </c>
    </row>
    <row r="778" spans="1:3" x14ac:dyDescent="0.25">
      <c r="A778" s="178">
        <v>2005</v>
      </c>
      <c r="B778" s="179" t="s">
        <v>456</v>
      </c>
      <c r="C778" s="180">
        <v>2</v>
      </c>
    </row>
    <row r="779" spans="1:3" x14ac:dyDescent="0.25">
      <c r="A779" s="178">
        <v>2006</v>
      </c>
      <c r="B779" s="179" t="s">
        <v>456</v>
      </c>
      <c r="C779" s="180">
        <v>2</v>
      </c>
    </row>
    <row r="780" spans="1:3" x14ac:dyDescent="0.25">
      <c r="A780" s="178">
        <v>2007</v>
      </c>
      <c r="B780" s="179" t="s">
        <v>456</v>
      </c>
      <c r="C780" s="180">
        <v>2</v>
      </c>
    </row>
    <row r="781" spans="1:3" x14ac:dyDescent="0.25">
      <c r="A781" s="178">
        <v>2008</v>
      </c>
      <c r="B781" s="179" t="s">
        <v>456</v>
      </c>
      <c r="C781" s="180">
        <v>124</v>
      </c>
    </row>
    <row r="782" spans="1:3" x14ac:dyDescent="0.25">
      <c r="A782" s="178">
        <v>2009</v>
      </c>
      <c r="B782" s="179" t="s">
        <v>456</v>
      </c>
      <c r="C782" s="180">
        <v>124</v>
      </c>
    </row>
    <row r="783" spans="1:3" x14ac:dyDescent="0.25">
      <c r="A783" s="178">
        <v>2010</v>
      </c>
      <c r="B783" s="179" t="s">
        <v>456</v>
      </c>
      <c r="C783" s="180">
        <v>3</v>
      </c>
    </row>
    <row r="784" spans="1:3" x14ac:dyDescent="0.25">
      <c r="A784" s="178">
        <v>2011</v>
      </c>
      <c r="B784" s="179" t="s">
        <v>456</v>
      </c>
      <c r="C784" s="180">
        <v>440</v>
      </c>
    </row>
    <row r="785" spans="1:3" x14ac:dyDescent="0.25">
      <c r="A785" s="178">
        <v>2012</v>
      </c>
      <c r="B785" s="179" t="s">
        <v>456</v>
      </c>
      <c r="C785" s="180">
        <v>440</v>
      </c>
    </row>
    <row r="786" spans="1:3" x14ac:dyDescent="0.25">
      <c r="A786" s="178">
        <v>2013</v>
      </c>
      <c r="B786" s="179" t="s">
        <v>456</v>
      </c>
      <c r="C786" s="180">
        <v>2</v>
      </c>
    </row>
    <row r="787" spans="1:3" x14ac:dyDescent="0.25">
      <c r="A787" s="178">
        <v>2014</v>
      </c>
      <c r="B787" s="179" t="s">
        <v>456</v>
      </c>
      <c r="C787" s="180">
        <v>220</v>
      </c>
    </row>
    <row r="788" spans="1:3" x14ac:dyDescent="0.25">
      <c r="A788" s="178">
        <v>2015</v>
      </c>
      <c r="B788" s="179" t="s">
        <v>456</v>
      </c>
      <c r="C788" s="180">
        <v>220</v>
      </c>
    </row>
    <row r="789" spans="1:3" x14ac:dyDescent="0.25">
      <c r="A789" s="178">
        <v>2016</v>
      </c>
      <c r="B789" s="179" t="s">
        <v>456</v>
      </c>
      <c r="C789" s="180">
        <v>100</v>
      </c>
    </row>
    <row r="790" spans="1:3" x14ac:dyDescent="0.25">
      <c r="A790" s="178">
        <v>2017</v>
      </c>
      <c r="B790" s="179" t="s">
        <v>456</v>
      </c>
      <c r="C790" s="180">
        <v>100</v>
      </c>
    </row>
    <row r="791" spans="1:3" x14ac:dyDescent="0.25">
      <c r="A791" s="178">
        <v>2018</v>
      </c>
      <c r="B791" s="179" t="s">
        <v>456</v>
      </c>
      <c r="C791" s="180">
        <v>100</v>
      </c>
    </row>
    <row r="792" spans="1:3" x14ac:dyDescent="0.25">
      <c r="A792" s="178">
        <v>2019</v>
      </c>
      <c r="B792" s="179" t="s">
        <v>456</v>
      </c>
      <c r="C792" s="180">
        <v>100</v>
      </c>
    </row>
    <row r="793" spans="1:3" x14ac:dyDescent="0.25">
      <c r="A793" s="178">
        <v>2020</v>
      </c>
      <c r="B793" s="179" t="s">
        <v>456</v>
      </c>
      <c r="C793" s="180">
        <v>100</v>
      </c>
    </row>
    <row r="794" spans="1:3" x14ac:dyDescent="0.25">
      <c r="A794" s="178">
        <v>2021</v>
      </c>
      <c r="B794" s="179" t="s">
        <v>456</v>
      </c>
      <c r="C794" s="180">
        <v>100</v>
      </c>
    </row>
    <row r="795" spans="1:3" x14ac:dyDescent="0.25">
      <c r="A795" s="178">
        <v>2022</v>
      </c>
      <c r="B795" s="179" t="s">
        <v>456</v>
      </c>
      <c r="C795" s="180">
        <v>100</v>
      </c>
    </row>
    <row r="796" spans="1:3" x14ac:dyDescent="0.25">
      <c r="A796" s="178">
        <v>2023</v>
      </c>
      <c r="B796" s="179" t="s">
        <v>456</v>
      </c>
      <c r="C796" s="180">
        <v>100</v>
      </c>
    </row>
    <row r="797" spans="1:3" x14ac:dyDescent="0.25">
      <c r="A797" s="178">
        <v>2024</v>
      </c>
      <c r="B797" s="179" t="s">
        <v>456</v>
      </c>
      <c r="C797" s="180">
        <v>100</v>
      </c>
    </row>
    <row r="798" spans="1:3" x14ac:dyDescent="0.25">
      <c r="A798" s="178">
        <v>2025</v>
      </c>
      <c r="B798" s="179" t="s">
        <v>456</v>
      </c>
      <c r="C798" s="180">
        <v>100</v>
      </c>
    </row>
    <row r="799" spans="1:3" x14ac:dyDescent="0.25">
      <c r="A799" s="178">
        <v>2026</v>
      </c>
      <c r="B799" s="179" t="s">
        <v>456</v>
      </c>
      <c r="C799" s="180">
        <v>100</v>
      </c>
    </row>
    <row r="800" spans="1:3" x14ac:dyDescent="0.25">
      <c r="A800" s="178">
        <v>2027</v>
      </c>
      <c r="B800" s="179" t="s">
        <v>456</v>
      </c>
      <c r="C800" s="180">
        <v>3</v>
      </c>
    </row>
    <row r="801" spans="1:3" x14ac:dyDescent="0.25">
      <c r="A801" s="178">
        <v>2028</v>
      </c>
      <c r="B801" s="179" t="s">
        <v>456</v>
      </c>
      <c r="C801" s="180">
        <v>3</v>
      </c>
    </row>
    <row r="802" spans="1:3" x14ac:dyDescent="0.25">
      <c r="A802" s="178">
        <v>2029</v>
      </c>
      <c r="B802" s="179" t="s">
        <v>456</v>
      </c>
      <c r="C802" s="180">
        <v>3</v>
      </c>
    </row>
    <row r="803" spans="1:3" x14ac:dyDescent="0.25">
      <c r="A803" s="178">
        <v>2030</v>
      </c>
      <c r="B803" s="179" t="s">
        <v>456</v>
      </c>
      <c r="C803" s="180">
        <v>3</v>
      </c>
    </row>
    <row r="804" spans="1:3" x14ac:dyDescent="0.25">
      <c r="A804" s="178">
        <v>2031</v>
      </c>
      <c r="B804" s="179" t="s">
        <v>456</v>
      </c>
      <c r="C804" s="180">
        <v>100</v>
      </c>
    </row>
    <row r="805" spans="1:3" x14ac:dyDescent="0.25">
      <c r="A805" s="178">
        <v>2032</v>
      </c>
      <c r="B805" s="179" t="s">
        <v>456</v>
      </c>
      <c r="C805" s="180">
        <v>3</v>
      </c>
    </row>
    <row r="806" spans="1:3" x14ac:dyDescent="0.25">
      <c r="A806" s="178">
        <v>2033</v>
      </c>
      <c r="B806" s="179" t="s">
        <v>456</v>
      </c>
      <c r="C806" s="180">
        <v>3</v>
      </c>
    </row>
    <row r="807" spans="1:3" x14ac:dyDescent="0.25">
      <c r="A807" s="178">
        <v>2034</v>
      </c>
      <c r="B807" s="179" t="s">
        <v>456</v>
      </c>
      <c r="C807" s="180">
        <v>3</v>
      </c>
    </row>
    <row r="808" spans="1:3" x14ac:dyDescent="0.25">
      <c r="A808" s="178">
        <v>2035</v>
      </c>
      <c r="B808" s="179" t="s">
        <v>456</v>
      </c>
      <c r="C808" s="180">
        <v>3</v>
      </c>
    </row>
    <row r="809" spans="1:3" x14ac:dyDescent="0.25">
      <c r="A809" s="178">
        <v>2036</v>
      </c>
      <c r="B809" s="179" t="s">
        <v>456</v>
      </c>
      <c r="C809" s="180">
        <v>3</v>
      </c>
    </row>
    <row r="810" spans="1:3" x14ac:dyDescent="0.25">
      <c r="A810" s="178">
        <v>2037</v>
      </c>
      <c r="B810" s="179" t="s">
        <v>456</v>
      </c>
      <c r="C810" s="180">
        <v>3</v>
      </c>
    </row>
    <row r="811" spans="1:3" x14ac:dyDescent="0.25">
      <c r="A811" s="178">
        <v>2038</v>
      </c>
      <c r="B811" s="179" t="s">
        <v>456</v>
      </c>
      <c r="C811" s="180">
        <v>100</v>
      </c>
    </row>
    <row r="812" spans="1:3" x14ac:dyDescent="0.25">
      <c r="A812" s="178">
        <v>2039</v>
      </c>
      <c r="B812" s="179" t="s">
        <v>456</v>
      </c>
      <c r="C812" s="180">
        <v>3</v>
      </c>
    </row>
    <row r="813" spans="1:3" x14ac:dyDescent="0.25">
      <c r="A813" s="178">
        <v>2058</v>
      </c>
      <c r="B813" s="179" t="s">
        <v>456</v>
      </c>
      <c r="C813" s="180">
        <v>16</v>
      </c>
    </row>
    <row r="814" spans="1:3" x14ac:dyDescent="0.25">
      <c r="A814" s="178">
        <v>2059</v>
      </c>
      <c r="B814" s="179" t="s">
        <v>456</v>
      </c>
      <c r="C814" s="180">
        <v>64</v>
      </c>
    </row>
    <row r="815" spans="1:3" x14ac:dyDescent="0.25">
      <c r="A815" s="178">
        <v>2060</v>
      </c>
      <c r="B815" s="179" t="s">
        <v>456</v>
      </c>
      <c r="C815" s="180">
        <v>16</v>
      </c>
    </row>
    <row r="816" spans="1:3" x14ac:dyDescent="0.25">
      <c r="A816" s="178">
        <v>2061</v>
      </c>
      <c r="B816" s="179" t="s">
        <v>456</v>
      </c>
      <c r="C816" s="180">
        <v>2</v>
      </c>
    </row>
    <row r="817" spans="1:3" x14ac:dyDescent="0.25">
      <c r="A817" s="178">
        <v>2062</v>
      </c>
      <c r="B817" s="179" t="s">
        <v>456</v>
      </c>
      <c r="C817" s="180">
        <v>96</v>
      </c>
    </row>
    <row r="818" spans="1:3" x14ac:dyDescent="0.25">
      <c r="A818" s="178">
        <v>2063</v>
      </c>
      <c r="B818" s="179" t="s">
        <v>456</v>
      </c>
      <c r="C818" s="180">
        <v>32</v>
      </c>
    </row>
    <row r="819" spans="1:3" x14ac:dyDescent="0.25">
      <c r="A819" s="178">
        <v>2064</v>
      </c>
      <c r="B819" s="179" t="s">
        <v>456</v>
      </c>
      <c r="C819" s="180">
        <v>15</v>
      </c>
    </row>
    <row r="820" spans="1:3" x14ac:dyDescent="0.25">
      <c r="A820" s="178">
        <v>2110</v>
      </c>
      <c r="B820" s="179" t="s">
        <v>456</v>
      </c>
      <c r="C820" s="180">
        <v>36</v>
      </c>
    </row>
    <row r="821" spans="1:3" x14ac:dyDescent="0.25">
      <c r="A821" s="178">
        <v>2111</v>
      </c>
      <c r="B821" s="179" t="s">
        <v>456</v>
      </c>
      <c r="C821" s="180">
        <v>36</v>
      </c>
    </row>
    <row r="822" spans="1:3" x14ac:dyDescent="0.25">
      <c r="A822" s="178">
        <v>2112</v>
      </c>
      <c r="B822" s="179" t="s">
        <v>456</v>
      </c>
      <c r="C822" s="180">
        <v>36</v>
      </c>
    </row>
    <row r="823" spans="1:3" x14ac:dyDescent="0.25">
      <c r="A823" s="178">
        <v>2113</v>
      </c>
      <c r="B823" s="179" t="s">
        <v>456</v>
      </c>
      <c r="C823" s="180">
        <v>36</v>
      </c>
    </row>
    <row r="824" spans="1:3" x14ac:dyDescent="0.25">
      <c r="A824" s="178">
        <v>2114</v>
      </c>
      <c r="B824" s="179" t="s">
        <v>456</v>
      </c>
      <c r="C824" s="180">
        <v>36</v>
      </c>
    </row>
    <row r="825" spans="1:3" x14ac:dyDescent="0.25">
      <c r="A825" s="178">
        <v>2115</v>
      </c>
      <c r="B825" s="179" t="s">
        <v>456</v>
      </c>
      <c r="C825" s="180">
        <v>36</v>
      </c>
    </row>
    <row r="826" spans="1:3" x14ac:dyDescent="0.25">
      <c r="A826" s="178">
        <v>2116</v>
      </c>
      <c r="B826" s="179" t="s">
        <v>456</v>
      </c>
      <c r="C826" s="180">
        <v>36</v>
      </c>
    </row>
    <row r="827" spans="1:3" x14ac:dyDescent="0.25">
      <c r="A827" s="178">
        <v>2117</v>
      </c>
      <c r="B827" s="179" t="s">
        <v>456</v>
      </c>
      <c r="C827" s="180">
        <v>36</v>
      </c>
    </row>
    <row r="828" spans="1:3" x14ac:dyDescent="0.25">
      <c r="A828" s="178">
        <v>2118</v>
      </c>
      <c r="B828" s="179" t="s">
        <v>456</v>
      </c>
      <c r="C828" s="180">
        <v>36</v>
      </c>
    </row>
    <row r="829" spans="1:3" x14ac:dyDescent="0.25">
      <c r="A829" s="178">
        <v>2119</v>
      </c>
      <c r="B829" s="179" t="s">
        <v>456</v>
      </c>
      <c r="C829" s="180">
        <v>36</v>
      </c>
    </row>
    <row r="830" spans="1:3" x14ac:dyDescent="0.25">
      <c r="A830" s="178">
        <v>2615</v>
      </c>
      <c r="B830" s="179" t="s">
        <v>456</v>
      </c>
      <c r="C830" s="180">
        <v>190</v>
      </c>
    </row>
    <row r="831" spans="1:3" x14ac:dyDescent="0.25">
      <c r="A831" s="178">
        <v>2616</v>
      </c>
      <c r="B831" s="179" t="s">
        <v>456</v>
      </c>
      <c r="C831" s="180">
        <v>190</v>
      </c>
    </row>
    <row r="832" spans="1:3" x14ac:dyDescent="0.25">
      <c r="A832" s="178">
        <v>2653</v>
      </c>
      <c r="B832" s="179" t="s">
        <v>456</v>
      </c>
      <c r="C832" s="180">
        <v>64</v>
      </c>
    </row>
    <row r="833" spans="1:3" x14ac:dyDescent="0.25">
      <c r="A833" s="178">
        <v>2654</v>
      </c>
      <c r="B833" s="179" t="s">
        <v>456</v>
      </c>
      <c r="C833" s="180">
        <v>72</v>
      </c>
    </row>
    <row r="834" spans="1:3" x14ac:dyDescent="0.25">
      <c r="A834" s="178">
        <v>2655</v>
      </c>
      <c r="B834" s="179" t="s">
        <v>456</v>
      </c>
      <c r="C834" s="180">
        <v>64</v>
      </c>
    </row>
    <row r="835" spans="1:3" x14ac:dyDescent="0.25">
      <c r="A835" s="178">
        <v>3150</v>
      </c>
      <c r="B835" s="179" t="s">
        <v>456</v>
      </c>
      <c r="C835" s="180">
        <v>100</v>
      </c>
    </row>
    <row r="836" spans="1:3" x14ac:dyDescent="0.25">
      <c r="A836" s="178">
        <v>3260</v>
      </c>
      <c r="B836" s="179" t="s">
        <v>456</v>
      </c>
      <c r="C836" s="180">
        <v>100</v>
      </c>
    </row>
    <row r="837" spans="1:3" x14ac:dyDescent="0.25">
      <c r="A837" s="178">
        <v>3261</v>
      </c>
      <c r="B837" s="179" t="s">
        <v>456</v>
      </c>
      <c r="C837" s="180">
        <v>100</v>
      </c>
    </row>
    <row r="838" spans="1:3" x14ac:dyDescent="0.25">
      <c r="A838" s="178">
        <v>3991</v>
      </c>
      <c r="B838" s="179" t="s">
        <v>456</v>
      </c>
      <c r="C838" s="180">
        <v>15</v>
      </c>
    </row>
    <row r="839" spans="1:3" x14ac:dyDescent="0.25">
      <c r="A839" s="178">
        <v>4000</v>
      </c>
      <c r="B839" s="179" t="s">
        <v>456</v>
      </c>
      <c r="C839" s="180">
        <v>64</v>
      </c>
    </row>
    <row r="840" spans="1:3" x14ac:dyDescent="0.25">
      <c r="A840" s="178">
        <v>4001</v>
      </c>
      <c r="B840" s="179" t="s">
        <v>456</v>
      </c>
      <c r="C840" s="180">
        <v>64</v>
      </c>
    </row>
    <row r="841" spans="1:3" x14ac:dyDescent="0.25">
      <c r="A841" s="178">
        <v>4002</v>
      </c>
      <c r="B841" s="179" t="s">
        <v>456</v>
      </c>
      <c r="C841" s="180">
        <v>64</v>
      </c>
    </row>
    <row r="842" spans="1:3" x14ac:dyDescent="0.25">
      <c r="A842" s="178">
        <v>4003</v>
      </c>
      <c r="B842" s="179" t="s">
        <v>456</v>
      </c>
      <c r="C842" s="180">
        <v>64</v>
      </c>
    </row>
    <row r="843" spans="1:3" x14ac:dyDescent="0.25">
      <c r="A843" s="178">
        <v>4004</v>
      </c>
      <c r="B843" s="179" t="s">
        <v>456</v>
      </c>
      <c r="C843" s="180">
        <v>64</v>
      </c>
    </row>
    <row r="844" spans="1:3" x14ac:dyDescent="0.25">
      <c r="A844" s="178">
        <v>4005</v>
      </c>
      <c r="B844" s="179" t="s">
        <v>456</v>
      </c>
      <c r="C844" s="180">
        <v>64</v>
      </c>
    </row>
    <row r="845" spans="1:3" x14ac:dyDescent="0.25">
      <c r="A845" s="178">
        <v>4006</v>
      </c>
      <c r="B845" s="179" t="s">
        <v>456</v>
      </c>
      <c r="C845" s="180">
        <v>63</v>
      </c>
    </row>
    <row r="846" spans="1:3" x14ac:dyDescent="0.25">
      <c r="A846" s="178">
        <v>4007</v>
      </c>
      <c r="B846" s="179" t="s">
        <v>456</v>
      </c>
      <c r="C846" s="180">
        <v>64</v>
      </c>
    </row>
    <row r="847" spans="1:3" x14ac:dyDescent="0.25">
      <c r="A847" s="178">
        <v>4008</v>
      </c>
      <c r="B847" s="179" t="s">
        <v>456</v>
      </c>
      <c r="C847" s="180">
        <v>64</v>
      </c>
    </row>
    <row r="848" spans="1:3" x14ac:dyDescent="0.25">
      <c r="A848" s="178">
        <v>4009</v>
      </c>
      <c r="B848" s="179" t="s">
        <v>456</v>
      </c>
      <c r="C848" s="180">
        <v>64</v>
      </c>
    </row>
    <row r="849" spans="1:3" x14ac:dyDescent="0.25">
      <c r="A849" s="178">
        <v>4010</v>
      </c>
      <c r="B849" s="179" t="s">
        <v>456</v>
      </c>
      <c r="C849" s="180">
        <v>63</v>
      </c>
    </row>
    <row r="850" spans="1:3" x14ac:dyDescent="0.25">
      <c r="A850" s="178">
        <v>4011</v>
      </c>
      <c r="B850" s="179" t="s">
        <v>456</v>
      </c>
      <c r="C850" s="180">
        <v>63</v>
      </c>
    </row>
    <row r="851" spans="1:3" x14ac:dyDescent="0.25">
      <c r="A851" s="178">
        <v>4012</v>
      </c>
      <c r="B851" s="179" t="s">
        <v>456</v>
      </c>
      <c r="C851" s="180">
        <v>64</v>
      </c>
    </row>
    <row r="852" spans="1:3" x14ac:dyDescent="0.25">
      <c r="A852" s="178">
        <v>4013</v>
      </c>
      <c r="B852" s="179" t="s">
        <v>456</v>
      </c>
      <c r="C852" s="180">
        <v>64</v>
      </c>
    </row>
    <row r="853" spans="1:3" x14ac:dyDescent="0.25">
      <c r="A853" s="178">
        <v>4014</v>
      </c>
      <c r="B853" s="179" t="s">
        <v>456</v>
      </c>
      <c r="C853" s="180">
        <v>64</v>
      </c>
    </row>
    <row r="854" spans="1:3" x14ac:dyDescent="0.25">
      <c r="A854" s="178">
        <v>4015</v>
      </c>
      <c r="B854" s="179" t="s">
        <v>456</v>
      </c>
      <c r="C854" s="180">
        <v>64</v>
      </c>
    </row>
    <row r="855" spans="1:3" x14ac:dyDescent="0.25">
      <c r="A855" s="178">
        <v>4016</v>
      </c>
      <c r="B855" s="179" t="s">
        <v>456</v>
      </c>
      <c r="C855" s="180">
        <v>64</v>
      </c>
    </row>
    <row r="856" spans="1:3" x14ac:dyDescent="0.25">
      <c r="A856" s="178">
        <v>4017</v>
      </c>
      <c r="B856" s="179" t="s">
        <v>456</v>
      </c>
      <c r="C856" s="180">
        <v>64</v>
      </c>
    </row>
    <row r="857" spans="1:3" x14ac:dyDescent="0.25">
      <c r="A857" s="178">
        <v>4018</v>
      </c>
      <c r="B857" s="179" t="s">
        <v>456</v>
      </c>
      <c r="C857" s="180">
        <v>64</v>
      </c>
    </row>
    <row r="858" spans="1:3" x14ac:dyDescent="0.25">
      <c r="A858" s="178">
        <v>4019</v>
      </c>
      <c r="B858" s="179" t="s">
        <v>456</v>
      </c>
      <c r="C858" s="180">
        <v>64</v>
      </c>
    </row>
    <row r="859" spans="1:3" x14ac:dyDescent="0.25">
      <c r="A859" s="178">
        <v>4020</v>
      </c>
      <c r="B859" s="179" t="s">
        <v>456</v>
      </c>
      <c r="C859" s="180">
        <v>56</v>
      </c>
    </row>
    <row r="860" spans="1:3" x14ac:dyDescent="0.25">
      <c r="A860" s="178">
        <v>4021</v>
      </c>
      <c r="B860" s="179" t="s">
        <v>456</v>
      </c>
      <c r="C860" s="180">
        <v>63</v>
      </c>
    </row>
    <row r="861" spans="1:3" x14ac:dyDescent="0.25">
      <c r="A861" s="178">
        <v>4022</v>
      </c>
      <c r="B861" s="179" t="s">
        <v>456</v>
      </c>
      <c r="C861" s="180">
        <v>63</v>
      </c>
    </row>
    <row r="862" spans="1:3" x14ac:dyDescent="0.25">
      <c r="A862" s="178">
        <v>4023</v>
      </c>
      <c r="B862" s="179" t="s">
        <v>456</v>
      </c>
      <c r="C862" s="180">
        <v>63</v>
      </c>
    </row>
    <row r="863" spans="1:3" x14ac:dyDescent="0.25">
      <c r="A863" s="178">
        <v>4024</v>
      </c>
      <c r="B863" s="179" t="s">
        <v>456</v>
      </c>
      <c r="C863" s="180">
        <v>63</v>
      </c>
    </row>
    <row r="864" spans="1:3" x14ac:dyDescent="0.25">
      <c r="A864" s="178">
        <v>4025</v>
      </c>
      <c r="B864" s="179" t="s">
        <v>456</v>
      </c>
      <c r="C864" s="180">
        <v>63</v>
      </c>
    </row>
    <row r="865" spans="1:3" x14ac:dyDescent="0.25">
      <c r="A865" s="178">
        <v>4026</v>
      </c>
      <c r="B865" s="179" t="s">
        <v>456</v>
      </c>
      <c r="C865" s="180">
        <v>63</v>
      </c>
    </row>
    <row r="866" spans="1:3" x14ac:dyDescent="0.25">
      <c r="A866" s="178">
        <v>4027</v>
      </c>
      <c r="B866" s="179" t="s">
        <v>456</v>
      </c>
      <c r="C866" s="180">
        <v>63</v>
      </c>
    </row>
    <row r="867" spans="1:3" x14ac:dyDescent="0.25">
      <c r="A867" s="178">
        <v>4028</v>
      </c>
      <c r="B867" s="179" t="s">
        <v>456</v>
      </c>
      <c r="C867" s="180">
        <v>63</v>
      </c>
    </row>
    <row r="868" spans="1:3" x14ac:dyDescent="0.25">
      <c r="A868" s="178">
        <v>4029</v>
      </c>
      <c r="B868" s="179" t="s">
        <v>456</v>
      </c>
      <c r="C868" s="180">
        <v>63</v>
      </c>
    </row>
    <row r="869" spans="1:3" x14ac:dyDescent="0.25">
      <c r="A869" s="178">
        <v>4030</v>
      </c>
      <c r="B869" s="179" t="s">
        <v>456</v>
      </c>
      <c r="C869" s="180">
        <v>63</v>
      </c>
    </row>
    <row r="870" spans="1:3" x14ac:dyDescent="0.25">
      <c r="A870" s="178">
        <v>4031</v>
      </c>
      <c r="B870" s="179" t="s">
        <v>456</v>
      </c>
      <c r="C870" s="180">
        <v>63</v>
      </c>
    </row>
    <row r="871" spans="1:3" x14ac:dyDescent="0.25">
      <c r="A871" s="178">
        <v>4032</v>
      </c>
      <c r="B871" s="179" t="s">
        <v>456</v>
      </c>
      <c r="C871" s="180">
        <v>56</v>
      </c>
    </row>
    <row r="872" spans="1:3" x14ac:dyDescent="0.25">
      <c r="A872" s="178">
        <v>4033</v>
      </c>
      <c r="B872" s="179" t="s">
        <v>456</v>
      </c>
      <c r="C872" s="180">
        <v>56</v>
      </c>
    </row>
    <row r="873" spans="1:3" x14ac:dyDescent="0.25">
      <c r="A873" s="178">
        <v>4034</v>
      </c>
      <c r="B873" s="179" t="s">
        <v>456</v>
      </c>
      <c r="C873" s="180">
        <v>56</v>
      </c>
    </row>
    <row r="874" spans="1:3" x14ac:dyDescent="0.25">
      <c r="A874" s="178">
        <v>4035</v>
      </c>
      <c r="B874" s="179" t="s">
        <v>456</v>
      </c>
      <c r="C874" s="180">
        <v>56</v>
      </c>
    </row>
    <row r="875" spans="1:3" x14ac:dyDescent="0.25">
      <c r="A875" s="178">
        <v>4036</v>
      </c>
      <c r="B875" s="179" t="s">
        <v>456</v>
      </c>
      <c r="C875" s="180">
        <v>63</v>
      </c>
    </row>
    <row r="876" spans="1:3" x14ac:dyDescent="0.25">
      <c r="A876" s="178">
        <v>4037</v>
      </c>
      <c r="B876" s="179" t="s">
        <v>456</v>
      </c>
      <c r="C876" s="180">
        <v>56</v>
      </c>
    </row>
    <row r="877" spans="1:3" x14ac:dyDescent="0.25">
      <c r="A877" s="178">
        <v>4038</v>
      </c>
      <c r="B877" s="179" t="s">
        <v>456</v>
      </c>
      <c r="C877" s="180">
        <v>56</v>
      </c>
    </row>
    <row r="878" spans="1:3" x14ac:dyDescent="0.25">
      <c r="A878" s="178">
        <v>4039</v>
      </c>
      <c r="B878" s="179" t="s">
        <v>456</v>
      </c>
      <c r="C878" s="180">
        <v>56</v>
      </c>
    </row>
    <row r="879" spans="1:3" x14ac:dyDescent="0.25">
      <c r="A879" s="178">
        <v>4040</v>
      </c>
      <c r="B879" s="179" t="s">
        <v>456</v>
      </c>
      <c r="C879" s="180">
        <v>56</v>
      </c>
    </row>
    <row r="880" spans="1:3" x14ac:dyDescent="0.25">
      <c r="A880" s="178">
        <v>4041</v>
      </c>
      <c r="B880" s="179" t="s">
        <v>456</v>
      </c>
      <c r="C880" s="180">
        <v>250</v>
      </c>
    </row>
    <row r="881" spans="1:3" x14ac:dyDescent="0.25">
      <c r="A881" s="178">
        <v>4042</v>
      </c>
      <c r="B881" s="179" t="s">
        <v>456</v>
      </c>
      <c r="C881" s="180">
        <v>63</v>
      </c>
    </row>
    <row r="882" spans="1:3" x14ac:dyDescent="0.25">
      <c r="A882" s="178">
        <v>4043</v>
      </c>
      <c r="B882" s="179" t="s">
        <v>456</v>
      </c>
      <c r="C882" s="180">
        <v>64</v>
      </c>
    </row>
    <row r="883" spans="1:3" x14ac:dyDescent="0.25">
      <c r="A883" s="178">
        <v>4044</v>
      </c>
      <c r="B883" s="179" t="s">
        <v>456</v>
      </c>
      <c r="C883" s="180">
        <v>64</v>
      </c>
    </row>
    <row r="884" spans="1:3" x14ac:dyDescent="0.25">
      <c r="A884" s="178">
        <v>4045</v>
      </c>
      <c r="B884" s="179" t="s">
        <v>456</v>
      </c>
      <c r="C884" s="180">
        <v>64</v>
      </c>
    </row>
    <row r="885" spans="1:3" x14ac:dyDescent="0.25">
      <c r="A885" s="178">
        <v>4046</v>
      </c>
      <c r="B885" s="179" t="s">
        <v>456</v>
      </c>
      <c r="C885" s="180">
        <v>64</v>
      </c>
    </row>
    <row r="886" spans="1:3" x14ac:dyDescent="0.25">
      <c r="A886" s="178">
        <v>4047</v>
      </c>
      <c r="B886" s="179" t="s">
        <v>456</v>
      </c>
      <c r="C886" s="180">
        <v>64</v>
      </c>
    </row>
    <row r="887" spans="1:3" x14ac:dyDescent="0.25">
      <c r="A887" s="178">
        <v>4048</v>
      </c>
      <c r="B887" s="179" t="s">
        <v>456</v>
      </c>
      <c r="C887" s="180">
        <v>64</v>
      </c>
    </row>
    <row r="888" spans="1:3" x14ac:dyDescent="0.25">
      <c r="A888" s="178">
        <v>4049</v>
      </c>
      <c r="B888" s="179" t="s">
        <v>456</v>
      </c>
      <c r="C888" s="180">
        <v>64</v>
      </c>
    </row>
    <row r="889" spans="1:3" x14ac:dyDescent="0.25">
      <c r="A889" s="178">
        <v>4050</v>
      </c>
      <c r="B889" s="179" t="s">
        <v>456</v>
      </c>
      <c r="C889" s="180">
        <v>64</v>
      </c>
    </row>
    <row r="890" spans="1:3" x14ac:dyDescent="0.25">
      <c r="A890" s="178">
        <v>4051</v>
      </c>
      <c r="B890" s="179" t="s">
        <v>456</v>
      </c>
      <c r="C890" s="180">
        <v>64</v>
      </c>
    </row>
    <row r="891" spans="1:3" x14ac:dyDescent="0.25">
      <c r="A891" s="178">
        <v>4052</v>
      </c>
      <c r="B891" s="179" t="s">
        <v>456</v>
      </c>
      <c r="C891" s="180">
        <v>64</v>
      </c>
    </row>
    <row r="892" spans="1:3" x14ac:dyDescent="0.25">
      <c r="A892" s="178">
        <v>4053</v>
      </c>
      <c r="B892" s="179" t="s">
        <v>456</v>
      </c>
      <c r="C892" s="180">
        <v>64</v>
      </c>
    </row>
    <row r="893" spans="1:3" x14ac:dyDescent="0.25">
      <c r="A893" s="178">
        <v>4054</v>
      </c>
      <c r="B893" s="179" t="s">
        <v>456</v>
      </c>
      <c r="C893" s="180">
        <v>64</v>
      </c>
    </row>
    <row r="894" spans="1:3" x14ac:dyDescent="0.25">
      <c r="A894" s="178">
        <v>4055</v>
      </c>
      <c r="B894" s="179" t="s">
        <v>456</v>
      </c>
      <c r="C894" s="180">
        <v>64</v>
      </c>
    </row>
    <row r="895" spans="1:3" x14ac:dyDescent="0.25">
      <c r="A895" s="178">
        <v>4056</v>
      </c>
      <c r="B895" s="179" t="s">
        <v>456</v>
      </c>
      <c r="C895" s="180">
        <v>64</v>
      </c>
    </row>
    <row r="896" spans="1:3" x14ac:dyDescent="0.25">
      <c r="A896" s="178">
        <v>4057</v>
      </c>
      <c r="B896" s="179" t="s">
        <v>456</v>
      </c>
      <c r="C896" s="180">
        <v>42</v>
      </c>
    </row>
    <row r="897" spans="1:3" x14ac:dyDescent="0.25">
      <c r="A897" s="178">
        <v>4058</v>
      </c>
      <c r="B897" s="179" t="s">
        <v>456</v>
      </c>
      <c r="C897" s="180">
        <v>64</v>
      </c>
    </row>
    <row r="898" spans="1:3" x14ac:dyDescent="0.25">
      <c r="A898" s="178">
        <v>4059</v>
      </c>
      <c r="B898" s="179" t="s">
        <v>456</v>
      </c>
      <c r="C898" s="180">
        <v>64</v>
      </c>
    </row>
    <row r="899" spans="1:3" x14ac:dyDescent="0.25">
      <c r="A899" s="178">
        <v>4060</v>
      </c>
      <c r="B899" s="179" t="s">
        <v>456</v>
      </c>
      <c r="C899" s="180">
        <v>64</v>
      </c>
    </row>
    <row r="900" spans="1:3" x14ac:dyDescent="0.25">
      <c r="A900" s="178">
        <v>4061</v>
      </c>
      <c r="B900" s="179" t="s">
        <v>456</v>
      </c>
      <c r="C900" s="180">
        <v>56</v>
      </c>
    </row>
    <row r="901" spans="1:3" x14ac:dyDescent="0.25">
      <c r="A901" s="178">
        <v>4062</v>
      </c>
      <c r="B901" s="179" t="s">
        <v>456</v>
      </c>
      <c r="C901" s="180">
        <v>56</v>
      </c>
    </row>
    <row r="902" spans="1:3" x14ac:dyDescent="0.25">
      <c r="A902" s="178">
        <v>4063</v>
      </c>
      <c r="B902" s="179" t="s">
        <v>456</v>
      </c>
      <c r="C902" s="180">
        <v>63</v>
      </c>
    </row>
    <row r="903" spans="1:3" x14ac:dyDescent="0.25">
      <c r="A903" s="178">
        <v>4064</v>
      </c>
      <c r="B903" s="179" t="s">
        <v>456</v>
      </c>
      <c r="C903" s="180">
        <v>63</v>
      </c>
    </row>
    <row r="904" spans="1:3" x14ac:dyDescent="0.25">
      <c r="A904" s="178">
        <v>4065</v>
      </c>
      <c r="B904" s="179" t="s">
        <v>456</v>
      </c>
      <c r="C904" s="180">
        <v>63</v>
      </c>
    </row>
    <row r="905" spans="1:3" x14ac:dyDescent="0.25">
      <c r="A905" s="178">
        <v>4066</v>
      </c>
      <c r="B905" s="179" t="s">
        <v>456</v>
      </c>
      <c r="C905" s="180">
        <v>63</v>
      </c>
    </row>
    <row r="906" spans="1:3" x14ac:dyDescent="0.25">
      <c r="A906" s="178">
        <v>4067</v>
      </c>
      <c r="B906" s="179" t="s">
        <v>456</v>
      </c>
      <c r="C906" s="180">
        <v>63</v>
      </c>
    </row>
    <row r="907" spans="1:3" x14ac:dyDescent="0.25">
      <c r="A907" s="178">
        <v>4068</v>
      </c>
      <c r="B907" s="179" t="s">
        <v>456</v>
      </c>
      <c r="C907" s="180">
        <v>63</v>
      </c>
    </row>
    <row r="908" spans="1:3" x14ac:dyDescent="0.25">
      <c r="A908" s="178">
        <v>4070</v>
      </c>
      <c r="B908" s="179" t="s">
        <v>456</v>
      </c>
      <c r="C908" s="180">
        <v>63</v>
      </c>
    </row>
    <row r="909" spans="1:3" x14ac:dyDescent="0.25">
      <c r="A909" s="178">
        <v>4071</v>
      </c>
      <c r="B909" s="179" t="s">
        <v>456</v>
      </c>
      <c r="C909" s="180">
        <v>63</v>
      </c>
    </row>
    <row r="910" spans="1:3" x14ac:dyDescent="0.25">
      <c r="A910" s="178">
        <v>4072</v>
      </c>
      <c r="B910" s="179" t="s">
        <v>456</v>
      </c>
      <c r="C910" s="180">
        <v>63</v>
      </c>
    </row>
    <row r="911" spans="1:3" x14ac:dyDescent="0.25">
      <c r="A911" s="178">
        <v>4073</v>
      </c>
      <c r="B911" s="179" t="s">
        <v>456</v>
      </c>
      <c r="C911" s="180">
        <v>63</v>
      </c>
    </row>
    <row r="912" spans="1:3" x14ac:dyDescent="0.25">
      <c r="A912" s="178">
        <v>4074</v>
      </c>
      <c r="B912" s="179" t="s">
        <v>456</v>
      </c>
      <c r="C912" s="180">
        <v>63</v>
      </c>
    </row>
    <row r="913" spans="1:3" x14ac:dyDescent="0.25">
      <c r="A913" s="178">
        <v>4075</v>
      </c>
      <c r="B913" s="179" t="s">
        <v>456</v>
      </c>
      <c r="C913" s="180">
        <v>63</v>
      </c>
    </row>
    <row r="914" spans="1:3" x14ac:dyDescent="0.25">
      <c r="A914" s="178">
        <v>4076</v>
      </c>
      <c r="B914" s="179" t="s">
        <v>456</v>
      </c>
      <c r="C914" s="180">
        <v>63</v>
      </c>
    </row>
    <row r="915" spans="1:3" x14ac:dyDescent="0.25">
      <c r="A915" s="178">
        <v>4077</v>
      </c>
      <c r="B915" s="179" t="s">
        <v>456</v>
      </c>
      <c r="C915" s="180">
        <v>63</v>
      </c>
    </row>
    <row r="916" spans="1:3" x14ac:dyDescent="0.25">
      <c r="A916" s="178">
        <v>4078</v>
      </c>
      <c r="B916" s="179" t="s">
        <v>456</v>
      </c>
      <c r="C916" s="180">
        <v>63</v>
      </c>
    </row>
    <row r="917" spans="1:3" x14ac:dyDescent="0.25">
      <c r="A917" s="178">
        <v>4079</v>
      </c>
      <c r="B917" s="179" t="s">
        <v>456</v>
      </c>
      <c r="C917" s="180">
        <v>63</v>
      </c>
    </row>
    <row r="918" spans="1:3" x14ac:dyDescent="0.25">
      <c r="A918" s="178">
        <v>4080</v>
      </c>
      <c r="B918" s="179" t="s">
        <v>456</v>
      </c>
      <c r="C918" s="180">
        <v>56</v>
      </c>
    </row>
    <row r="919" spans="1:3" x14ac:dyDescent="0.25">
      <c r="A919" s="178">
        <v>4081</v>
      </c>
      <c r="B919" s="179" t="s">
        <v>456</v>
      </c>
      <c r="C919" s="180">
        <v>63</v>
      </c>
    </row>
    <row r="920" spans="1:3" x14ac:dyDescent="0.25">
      <c r="A920" s="178">
        <v>4082</v>
      </c>
      <c r="B920" s="179" t="s">
        <v>456</v>
      </c>
      <c r="C920" s="180">
        <v>63</v>
      </c>
    </row>
    <row r="921" spans="1:3" x14ac:dyDescent="0.25">
      <c r="A921" s="178">
        <v>4083</v>
      </c>
      <c r="B921" s="179" t="s">
        <v>456</v>
      </c>
      <c r="C921" s="180">
        <v>63</v>
      </c>
    </row>
    <row r="922" spans="1:3" x14ac:dyDescent="0.25">
      <c r="A922" s="178">
        <v>4084</v>
      </c>
      <c r="B922" s="179" t="s">
        <v>456</v>
      </c>
      <c r="C922" s="180">
        <v>63</v>
      </c>
    </row>
    <row r="923" spans="1:3" x14ac:dyDescent="0.25">
      <c r="A923" s="178">
        <v>4085</v>
      </c>
      <c r="B923" s="179" t="s">
        <v>456</v>
      </c>
      <c r="C923" s="180">
        <v>72</v>
      </c>
    </row>
    <row r="924" spans="1:3" x14ac:dyDescent="0.25">
      <c r="A924" s="178">
        <v>4086</v>
      </c>
      <c r="B924" s="179" t="s">
        <v>456</v>
      </c>
      <c r="C924" s="180">
        <v>63</v>
      </c>
    </row>
    <row r="925" spans="1:3" x14ac:dyDescent="0.25">
      <c r="A925" s="178">
        <v>4087</v>
      </c>
      <c r="B925" s="179" t="s">
        <v>456</v>
      </c>
      <c r="C925" s="180">
        <v>63</v>
      </c>
    </row>
    <row r="926" spans="1:3" x14ac:dyDescent="0.25">
      <c r="A926" s="178">
        <v>4088</v>
      </c>
      <c r="B926" s="179" t="s">
        <v>456</v>
      </c>
      <c r="C926" s="180">
        <v>63</v>
      </c>
    </row>
    <row r="927" spans="1:3" x14ac:dyDescent="0.25">
      <c r="A927" s="178">
        <v>4089</v>
      </c>
      <c r="B927" s="179" t="s">
        <v>456</v>
      </c>
      <c r="C927" s="180">
        <v>63</v>
      </c>
    </row>
    <row r="928" spans="1:3" x14ac:dyDescent="0.25">
      <c r="A928" s="178">
        <v>4090</v>
      </c>
      <c r="B928" s="179" t="s">
        <v>456</v>
      </c>
      <c r="C928" s="180">
        <v>63</v>
      </c>
    </row>
    <row r="929" spans="1:3" x14ac:dyDescent="0.25">
      <c r="A929" s="178">
        <v>4091</v>
      </c>
      <c r="B929" s="179" t="s">
        <v>456</v>
      </c>
      <c r="C929" s="180">
        <v>200</v>
      </c>
    </row>
    <row r="930" spans="1:3" x14ac:dyDescent="0.25">
      <c r="A930" s="178">
        <v>4096</v>
      </c>
      <c r="B930" s="179" t="s">
        <v>456</v>
      </c>
      <c r="C930" s="180">
        <v>195</v>
      </c>
    </row>
    <row r="931" spans="1:3" x14ac:dyDescent="0.25">
      <c r="A931" s="178">
        <v>4097</v>
      </c>
      <c r="B931" s="179" t="s">
        <v>456</v>
      </c>
      <c r="C931" s="180">
        <v>76</v>
      </c>
    </row>
    <row r="932" spans="1:3" x14ac:dyDescent="0.25">
      <c r="A932" s="178">
        <v>4098</v>
      </c>
      <c r="B932" s="179" t="s">
        <v>456</v>
      </c>
      <c r="C932" s="180">
        <v>76</v>
      </c>
    </row>
    <row r="933" spans="1:3" x14ac:dyDescent="0.25">
      <c r="A933" s="178">
        <v>4099</v>
      </c>
      <c r="B933" s="179" t="s">
        <v>456</v>
      </c>
      <c r="C933" s="180">
        <v>76</v>
      </c>
    </row>
    <row r="934" spans="1:3" x14ac:dyDescent="0.25">
      <c r="A934" s="178">
        <v>4101</v>
      </c>
      <c r="B934" s="179" t="s">
        <v>456</v>
      </c>
      <c r="C934" s="180">
        <v>56</v>
      </c>
    </row>
    <row r="935" spans="1:3" x14ac:dyDescent="0.25">
      <c r="A935" s="178">
        <v>4102</v>
      </c>
      <c r="B935" s="179" t="s">
        <v>456</v>
      </c>
      <c r="C935" s="180">
        <v>63</v>
      </c>
    </row>
    <row r="936" spans="1:3" x14ac:dyDescent="0.25">
      <c r="A936" s="178">
        <v>4103</v>
      </c>
      <c r="B936" s="179" t="s">
        <v>456</v>
      </c>
      <c r="C936" s="180">
        <v>63</v>
      </c>
    </row>
    <row r="937" spans="1:3" x14ac:dyDescent="0.25">
      <c r="A937" s="178">
        <v>4104</v>
      </c>
      <c r="B937" s="179" t="s">
        <v>456</v>
      </c>
      <c r="C937" s="180">
        <v>63</v>
      </c>
    </row>
    <row r="938" spans="1:3" x14ac:dyDescent="0.25">
      <c r="A938" s="178">
        <v>4105</v>
      </c>
      <c r="B938" s="179" t="s">
        <v>456</v>
      </c>
      <c r="C938" s="180">
        <v>63</v>
      </c>
    </row>
    <row r="939" spans="1:3" x14ac:dyDescent="0.25">
      <c r="A939" s="178">
        <v>4106</v>
      </c>
      <c r="B939" s="179" t="s">
        <v>456</v>
      </c>
      <c r="C939" s="180">
        <v>63</v>
      </c>
    </row>
    <row r="940" spans="1:3" x14ac:dyDescent="0.25">
      <c r="A940" s="178">
        <v>4107</v>
      </c>
      <c r="B940" s="179" t="s">
        <v>456</v>
      </c>
      <c r="C940" s="180">
        <v>63</v>
      </c>
    </row>
    <row r="941" spans="1:3" x14ac:dyDescent="0.25">
      <c r="A941" s="178">
        <v>4108</v>
      </c>
      <c r="B941" s="179" t="s">
        <v>456</v>
      </c>
      <c r="C941" s="180">
        <v>63</v>
      </c>
    </row>
    <row r="942" spans="1:3" x14ac:dyDescent="0.25">
      <c r="A942" s="178">
        <v>4109</v>
      </c>
      <c r="B942" s="179" t="s">
        <v>456</v>
      </c>
      <c r="C942" s="180">
        <v>63</v>
      </c>
    </row>
    <row r="943" spans="1:3" x14ac:dyDescent="0.25">
      <c r="A943" s="178">
        <v>4110</v>
      </c>
      <c r="B943" s="179" t="s">
        <v>456</v>
      </c>
      <c r="C943" s="180">
        <v>63</v>
      </c>
    </row>
    <row r="944" spans="1:3" x14ac:dyDescent="0.25">
      <c r="A944" s="178">
        <v>4111</v>
      </c>
      <c r="B944" s="179" t="s">
        <v>456</v>
      </c>
      <c r="C944" s="180">
        <v>63</v>
      </c>
    </row>
    <row r="945" spans="1:3" x14ac:dyDescent="0.25">
      <c r="A945" s="178">
        <v>4112</v>
      </c>
      <c r="B945" s="179" t="s">
        <v>456</v>
      </c>
      <c r="C945" s="180">
        <v>63</v>
      </c>
    </row>
    <row r="946" spans="1:3" x14ac:dyDescent="0.25">
      <c r="A946" s="178">
        <v>4113</v>
      </c>
      <c r="B946" s="179" t="s">
        <v>456</v>
      </c>
      <c r="C946" s="180">
        <v>63</v>
      </c>
    </row>
    <row r="947" spans="1:3" x14ac:dyDescent="0.25">
      <c r="A947" s="178">
        <v>4114</v>
      </c>
      <c r="B947" s="179" t="s">
        <v>456</v>
      </c>
      <c r="C947" s="180">
        <v>63</v>
      </c>
    </row>
    <row r="948" spans="1:3" x14ac:dyDescent="0.25">
      <c r="A948" s="178">
        <v>4115</v>
      </c>
      <c r="B948" s="179" t="s">
        <v>456</v>
      </c>
      <c r="C948" s="180">
        <v>30</v>
      </c>
    </row>
    <row r="949" spans="1:3" x14ac:dyDescent="0.25">
      <c r="A949" s="178">
        <v>4116</v>
      </c>
      <c r="B949" s="179" t="s">
        <v>456</v>
      </c>
      <c r="C949" s="180">
        <v>200</v>
      </c>
    </row>
    <row r="950" spans="1:3" x14ac:dyDescent="0.25">
      <c r="A950" s="178">
        <v>4117</v>
      </c>
      <c r="B950" s="179" t="s">
        <v>456</v>
      </c>
      <c r="C950" s="180">
        <v>24</v>
      </c>
    </row>
    <row r="951" spans="1:3" x14ac:dyDescent="0.25">
      <c r="A951" s="178">
        <v>4118</v>
      </c>
      <c r="B951" s="179" t="s">
        <v>456</v>
      </c>
      <c r="C951" s="180">
        <v>51</v>
      </c>
    </row>
    <row r="952" spans="1:3" x14ac:dyDescent="0.25">
      <c r="A952" s="178">
        <v>4119</v>
      </c>
      <c r="B952" s="179" t="s">
        <v>456</v>
      </c>
      <c r="C952" s="180">
        <v>36</v>
      </c>
    </row>
    <row r="953" spans="1:3" x14ac:dyDescent="0.25">
      <c r="A953" s="178">
        <v>4120</v>
      </c>
      <c r="B953" s="179" t="s">
        <v>456</v>
      </c>
      <c r="C953" s="180">
        <v>36</v>
      </c>
    </row>
    <row r="954" spans="1:3" x14ac:dyDescent="0.25">
      <c r="A954" s="178">
        <v>4121</v>
      </c>
      <c r="B954" s="179" t="s">
        <v>456</v>
      </c>
      <c r="C954" s="180">
        <v>63</v>
      </c>
    </row>
    <row r="955" spans="1:3" x14ac:dyDescent="0.25">
      <c r="A955" s="178">
        <v>4122</v>
      </c>
      <c r="B955" s="179" t="s">
        <v>456</v>
      </c>
      <c r="C955" s="180">
        <v>63</v>
      </c>
    </row>
    <row r="956" spans="1:3" x14ac:dyDescent="0.25">
      <c r="A956" s="178">
        <v>4123</v>
      </c>
      <c r="B956" s="179" t="s">
        <v>456</v>
      </c>
      <c r="C956" s="180">
        <v>24</v>
      </c>
    </row>
    <row r="957" spans="1:3" x14ac:dyDescent="0.25">
      <c r="A957" s="178">
        <v>4124</v>
      </c>
      <c r="B957" s="179" t="s">
        <v>456</v>
      </c>
      <c r="C957" s="180">
        <v>24</v>
      </c>
    </row>
    <row r="958" spans="1:3" x14ac:dyDescent="0.25">
      <c r="A958" s="178">
        <v>4125</v>
      </c>
      <c r="B958" s="179" t="s">
        <v>456</v>
      </c>
      <c r="C958" s="180">
        <v>24</v>
      </c>
    </row>
    <row r="959" spans="1:3" x14ac:dyDescent="0.25">
      <c r="A959" s="178">
        <v>4126</v>
      </c>
      <c r="B959" s="179" t="s">
        <v>456</v>
      </c>
      <c r="C959" s="180">
        <v>57</v>
      </c>
    </row>
    <row r="960" spans="1:3" x14ac:dyDescent="0.25">
      <c r="A960" s="178">
        <v>4127</v>
      </c>
      <c r="B960" s="179" t="s">
        <v>456</v>
      </c>
      <c r="C960" s="180">
        <v>57</v>
      </c>
    </row>
    <row r="961" spans="1:3" x14ac:dyDescent="0.25">
      <c r="A961" s="178">
        <v>4128</v>
      </c>
      <c r="B961" s="179" t="s">
        <v>456</v>
      </c>
      <c r="C961" s="180">
        <v>30</v>
      </c>
    </row>
    <row r="962" spans="1:3" x14ac:dyDescent="0.25">
      <c r="A962" s="178">
        <v>4129</v>
      </c>
      <c r="B962" s="179" t="s">
        <v>456</v>
      </c>
      <c r="C962" s="180">
        <v>30</v>
      </c>
    </row>
    <row r="963" spans="1:3" x14ac:dyDescent="0.25">
      <c r="A963" s="178">
        <v>4130</v>
      </c>
      <c r="B963" s="179" t="s">
        <v>456</v>
      </c>
      <c r="C963" s="180">
        <v>30</v>
      </c>
    </row>
    <row r="964" spans="1:3" x14ac:dyDescent="0.25">
      <c r="A964" s="178">
        <v>4131</v>
      </c>
      <c r="B964" s="179" t="s">
        <v>456</v>
      </c>
      <c r="C964" s="180">
        <v>36</v>
      </c>
    </row>
    <row r="965" spans="1:3" x14ac:dyDescent="0.25">
      <c r="A965" s="178">
        <v>4132</v>
      </c>
      <c r="B965" s="179" t="s">
        <v>456</v>
      </c>
      <c r="C965" s="180">
        <v>36</v>
      </c>
    </row>
    <row r="966" spans="1:3" x14ac:dyDescent="0.25">
      <c r="A966" s="178">
        <v>4133</v>
      </c>
      <c r="B966" s="179" t="s">
        <v>456</v>
      </c>
      <c r="C966" s="180">
        <v>36</v>
      </c>
    </row>
    <row r="967" spans="1:3" x14ac:dyDescent="0.25">
      <c r="A967" s="178">
        <v>4134</v>
      </c>
      <c r="B967" s="179" t="s">
        <v>456</v>
      </c>
      <c r="C967" s="180">
        <v>36</v>
      </c>
    </row>
    <row r="968" spans="1:3" x14ac:dyDescent="0.25">
      <c r="A968" s="178">
        <v>4135</v>
      </c>
      <c r="B968" s="179" t="s">
        <v>456</v>
      </c>
      <c r="C968" s="180">
        <v>30</v>
      </c>
    </row>
    <row r="969" spans="1:3" x14ac:dyDescent="0.25">
      <c r="A969" s="178">
        <v>4136</v>
      </c>
      <c r="B969" s="179" t="s">
        <v>456</v>
      </c>
      <c r="C969" s="180">
        <v>30</v>
      </c>
    </row>
    <row r="970" spans="1:3" x14ac:dyDescent="0.25">
      <c r="A970" s="178">
        <v>4137</v>
      </c>
      <c r="B970" s="179" t="s">
        <v>456</v>
      </c>
      <c r="C970" s="180">
        <v>30</v>
      </c>
    </row>
    <row r="971" spans="1:3" x14ac:dyDescent="0.25">
      <c r="A971" s="178">
        <v>4138</v>
      </c>
      <c r="B971" s="179" t="s">
        <v>456</v>
      </c>
      <c r="C971" s="180">
        <v>24</v>
      </c>
    </row>
    <row r="972" spans="1:3" x14ac:dyDescent="0.25">
      <c r="A972" s="178">
        <v>4139</v>
      </c>
      <c r="B972" s="179" t="s">
        <v>456</v>
      </c>
      <c r="C972" s="180">
        <v>30</v>
      </c>
    </row>
    <row r="973" spans="1:3" x14ac:dyDescent="0.25">
      <c r="A973" s="178">
        <v>4140</v>
      </c>
      <c r="B973" s="179" t="s">
        <v>456</v>
      </c>
      <c r="C973" s="180">
        <v>24</v>
      </c>
    </row>
    <row r="974" spans="1:3" x14ac:dyDescent="0.25">
      <c r="A974" s="178">
        <v>4141</v>
      </c>
      <c r="B974" s="179" t="s">
        <v>456</v>
      </c>
      <c r="C974" s="180">
        <v>24</v>
      </c>
    </row>
    <row r="975" spans="1:3" x14ac:dyDescent="0.25">
      <c r="A975" s="178">
        <v>4142</v>
      </c>
      <c r="B975" s="179" t="s">
        <v>456</v>
      </c>
      <c r="C975" s="180">
        <v>36</v>
      </c>
    </row>
    <row r="976" spans="1:3" x14ac:dyDescent="0.25">
      <c r="A976" s="178">
        <v>4143</v>
      </c>
      <c r="B976" s="179" t="s">
        <v>456</v>
      </c>
      <c r="C976" s="180">
        <v>60</v>
      </c>
    </row>
    <row r="977" spans="1:3" x14ac:dyDescent="0.25">
      <c r="A977" s="178">
        <v>4144</v>
      </c>
      <c r="B977" s="179" t="s">
        <v>456</v>
      </c>
      <c r="C977" s="180">
        <v>56</v>
      </c>
    </row>
    <row r="978" spans="1:3" x14ac:dyDescent="0.25">
      <c r="A978" s="178">
        <v>4145</v>
      </c>
      <c r="B978" s="179" t="s">
        <v>456</v>
      </c>
      <c r="C978" s="180">
        <v>60</v>
      </c>
    </row>
    <row r="979" spans="1:3" x14ac:dyDescent="0.25">
      <c r="A979" s="178">
        <v>4147</v>
      </c>
      <c r="B979" s="179" t="s">
        <v>456</v>
      </c>
      <c r="C979" s="180">
        <v>30</v>
      </c>
    </row>
    <row r="980" spans="1:3" x14ac:dyDescent="0.25">
      <c r="A980" s="178">
        <v>4148</v>
      </c>
      <c r="B980" s="179" t="s">
        <v>456</v>
      </c>
      <c r="C980" s="180">
        <v>18</v>
      </c>
    </row>
    <row r="981" spans="1:3" x14ac:dyDescent="0.25">
      <c r="A981" s="178">
        <v>4149</v>
      </c>
      <c r="B981" s="179" t="s">
        <v>456</v>
      </c>
      <c r="C981" s="180">
        <v>72</v>
      </c>
    </row>
    <row r="982" spans="1:3" x14ac:dyDescent="0.25">
      <c r="A982" s="178">
        <v>4150</v>
      </c>
      <c r="B982" s="179" t="s">
        <v>456</v>
      </c>
      <c r="C982" s="180">
        <v>60</v>
      </c>
    </row>
    <row r="983" spans="1:3" x14ac:dyDescent="0.25">
      <c r="A983" s="178">
        <v>4151</v>
      </c>
      <c r="B983" s="179" t="s">
        <v>456</v>
      </c>
      <c r="C983" s="180">
        <v>27</v>
      </c>
    </row>
    <row r="984" spans="1:3" x14ac:dyDescent="0.25">
      <c r="A984" s="178">
        <v>4152</v>
      </c>
      <c r="B984" s="179" t="s">
        <v>456</v>
      </c>
      <c r="C984" s="180">
        <v>24</v>
      </c>
    </row>
    <row r="985" spans="1:3" x14ac:dyDescent="0.25">
      <c r="A985" s="178">
        <v>4153</v>
      </c>
      <c r="B985" s="179" t="s">
        <v>456</v>
      </c>
      <c r="C985" s="180">
        <v>48</v>
      </c>
    </row>
    <row r="986" spans="1:3" x14ac:dyDescent="0.25">
      <c r="A986" s="178">
        <v>4154</v>
      </c>
      <c r="B986" s="179" t="s">
        <v>456</v>
      </c>
      <c r="C986" s="180">
        <v>30</v>
      </c>
    </row>
    <row r="987" spans="1:3" x14ac:dyDescent="0.25">
      <c r="A987" s="178">
        <v>4155</v>
      </c>
      <c r="B987" s="179" t="s">
        <v>456</v>
      </c>
      <c r="C987" s="180">
        <v>48</v>
      </c>
    </row>
    <row r="988" spans="1:3" x14ac:dyDescent="0.25">
      <c r="A988" s="178">
        <v>4156</v>
      </c>
      <c r="B988" s="179" t="s">
        <v>456</v>
      </c>
      <c r="C988" s="180">
        <v>30</v>
      </c>
    </row>
    <row r="989" spans="1:3" x14ac:dyDescent="0.25">
      <c r="A989" s="178">
        <v>4157</v>
      </c>
      <c r="B989" s="179" t="s">
        <v>456</v>
      </c>
      <c r="C989" s="180">
        <v>51</v>
      </c>
    </row>
    <row r="990" spans="1:3" x14ac:dyDescent="0.25">
      <c r="A990" s="178">
        <v>4158</v>
      </c>
      <c r="B990" s="179" t="s">
        <v>456</v>
      </c>
      <c r="C990" s="180">
        <v>24</v>
      </c>
    </row>
    <row r="991" spans="1:3" x14ac:dyDescent="0.25">
      <c r="A991" s="178">
        <v>4159</v>
      </c>
      <c r="B991" s="179" t="s">
        <v>456</v>
      </c>
      <c r="C991" s="180">
        <v>36</v>
      </c>
    </row>
    <row r="992" spans="1:3" x14ac:dyDescent="0.25">
      <c r="A992" s="178">
        <v>4160</v>
      </c>
      <c r="B992" s="179" t="s">
        <v>456</v>
      </c>
      <c r="C992" s="180">
        <v>63</v>
      </c>
    </row>
    <row r="993" spans="1:3" x14ac:dyDescent="0.25">
      <c r="A993" s="178">
        <v>4161</v>
      </c>
      <c r="B993" s="179" t="s">
        <v>456</v>
      </c>
      <c r="C993" s="180">
        <v>24</v>
      </c>
    </row>
    <row r="994" spans="1:3" x14ac:dyDescent="0.25">
      <c r="A994" s="178">
        <v>4162</v>
      </c>
      <c r="B994" s="179" t="s">
        <v>456</v>
      </c>
      <c r="C994" s="180">
        <v>39</v>
      </c>
    </row>
    <row r="995" spans="1:3" x14ac:dyDescent="0.25">
      <c r="A995" s="178">
        <v>4163</v>
      </c>
      <c r="B995" s="179" t="s">
        <v>456</v>
      </c>
      <c r="C995" s="180">
        <v>24</v>
      </c>
    </row>
    <row r="996" spans="1:3" x14ac:dyDescent="0.25">
      <c r="A996" s="178">
        <v>4164</v>
      </c>
      <c r="B996" s="179" t="s">
        <v>456</v>
      </c>
      <c r="C996" s="180">
        <v>24</v>
      </c>
    </row>
    <row r="997" spans="1:3" x14ac:dyDescent="0.25">
      <c r="A997" s="178">
        <v>4165</v>
      </c>
      <c r="B997" s="179" t="s">
        <v>456</v>
      </c>
      <c r="C997" s="180">
        <v>24</v>
      </c>
    </row>
    <row r="998" spans="1:3" x14ac:dyDescent="0.25">
      <c r="A998" s="178">
        <v>4166</v>
      </c>
      <c r="B998" s="179" t="s">
        <v>456</v>
      </c>
      <c r="C998" s="180">
        <v>30</v>
      </c>
    </row>
    <row r="999" spans="1:3" x14ac:dyDescent="0.25">
      <c r="A999" s="178">
        <v>4167</v>
      </c>
      <c r="B999" s="179" t="s">
        <v>456</v>
      </c>
      <c r="C999" s="180">
        <v>30</v>
      </c>
    </row>
    <row r="1000" spans="1:3" x14ac:dyDescent="0.25">
      <c r="A1000" s="178">
        <v>4168</v>
      </c>
      <c r="B1000" s="179" t="s">
        <v>456</v>
      </c>
      <c r="C1000" s="180">
        <v>56</v>
      </c>
    </row>
    <row r="1001" spans="1:3" x14ac:dyDescent="0.25">
      <c r="A1001" s="178">
        <v>4169</v>
      </c>
      <c r="B1001" s="179" t="s">
        <v>456</v>
      </c>
      <c r="C1001" s="180">
        <v>63</v>
      </c>
    </row>
    <row r="1002" spans="1:3" x14ac:dyDescent="0.25">
      <c r="A1002" s="178">
        <v>4170</v>
      </c>
      <c r="B1002" s="179" t="s">
        <v>456</v>
      </c>
      <c r="C1002" s="180">
        <v>39</v>
      </c>
    </row>
    <row r="1003" spans="1:3" x14ac:dyDescent="0.25">
      <c r="A1003" s="178">
        <v>4171</v>
      </c>
      <c r="B1003" s="179" t="s">
        <v>456</v>
      </c>
      <c r="C1003" s="180">
        <v>39</v>
      </c>
    </row>
    <row r="1004" spans="1:3" x14ac:dyDescent="0.25">
      <c r="A1004" s="178">
        <v>4173</v>
      </c>
      <c r="B1004" s="179" t="s">
        <v>456</v>
      </c>
      <c r="C1004" s="180">
        <v>24</v>
      </c>
    </row>
    <row r="1005" spans="1:3" x14ac:dyDescent="0.25">
      <c r="A1005" s="178">
        <v>4174</v>
      </c>
      <c r="B1005" s="179" t="s">
        <v>456</v>
      </c>
      <c r="C1005" s="180">
        <v>24</v>
      </c>
    </row>
    <row r="1006" spans="1:3" x14ac:dyDescent="0.25">
      <c r="A1006" s="178">
        <v>4175</v>
      </c>
      <c r="B1006" s="179" t="s">
        <v>456</v>
      </c>
      <c r="C1006" s="180">
        <v>40</v>
      </c>
    </row>
    <row r="1007" spans="1:3" x14ac:dyDescent="0.25">
      <c r="A1007" s="178">
        <v>4176</v>
      </c>
      <c r="B1007" s="179" t="s">
        <v>456</v>
      </c>
      <c r="C1007" s="180">
        <v>40</v>
      </c>
    </row>
    <row r="1008" spans="1:3" x14ac:dyDescent="0.25">
      <c r="A1008" s="178">
        <v>4177</v>
      </c>
      <c r="B1008" s="179" t="s">
        <v>456</v>
      </c>
      <c r="C1008" s="180">
        <v>40</v>
      </c>
    </row>
    <row r="1009" spans="1:3" x14ac:dyDescent="0.25">
      <c r="A1009" s="178">
        <v>4178</v>
      </c>
      <c r="B1009" s="179" t="s">
        <v>456</v>
      </c>
      <c r="C1009" s="180">
        <v>40</v>
      </c>
    </row>
    <row r="1010" spans="1:3" x14ac:dyDescent="0.25">
      <c r="A1010" s="178">
        <v>4179</v>
      </c>
      <c r="B1010" s="179" t="s">
        <v>456</v>
      </c>
      <c r="C1010" s="180">
        <v>24</v>
      </c>
    </row>
    <row r="1011" spans="1:3" x14ac:dyDescent="0.25">
      <c r="A1011" s="178">
        <v>4180</v>
      </c>
      <c r="B1011" s="179" t="s">
        <v>456</v>
      </c>
      <c r="C1011" s="180">
        <v>54</v>
      </c>
    </row>
    <row r="1012" spans="1:3" x14ac:dyDescent="0.25">
      <c r="A1012" s="178">
        <v>4181</v>
      </c>
      <c r="B1012" s="179" t="s">
        <v>456</v>
      </c>
      <c r="C1012" s="180">
        <v>63</v>
      </c>
    </row>
    <row r="1013" spans="1:3" x14ac:dyDescent="0.25">
      <c r="A1013" s="178">
        <v>4182</v>
      </c>
      <c r="B1013" s="179" t="s">
        <v>456</v>
      </c>
      <c r="C1013" s="180">
        <v>63</v>
      </c>
    </row>
    <row r="1014" spans="1:3" x14ac:dyDescent="0.25">
      <c r="A1014" s="178">
        <v>4184</v>
      </c>
      <c r="B1014" s="179" t="s">
        <v>456</v>
      </c>
      <c r="C1014" s="180">
        <v>63</v>
      </c>
    </row>
    <row r="1015" spans="1:3" x14ac:dyDescent="0.25">
      <c r="A1015" s="178">
        <v>4188</v>
      </c>
      <c r="B1015" s="179" t="s">
        <v>456</v>
      </c>
      <c r="C1015" s="180">
        <v>63</v>
      </c>
    </row>
    <row r="1016" spans="1:3" x14ac:dyDescent="0.25">
      <c r="A1016" s="178">
        <v>4189</v>
      </c>
      <c r="B1016" s="179" t="s">
        <v>456</v>
      </c>
      <c r="C1016" s="180">
        <v>63</v>
      </c>
    </row>
    <row r="1017" spans="1:3" x14ac:dyDescent="0.25">
      <c r="A1017" s="178">
        <v>4190</v>
      </c>
      <c r="B1017" s="179" t="s">
        <v>456</v>
      </c>
      <c r="C1017" s="180">
        <v>63</v>
      </c>
    </row>
    <row r="1018" spans="1:3" x14ac:dyDescent="0.25">
      <c r="A1018" s="178">
        <v>4191</v>
      </c>
      <c r="B1018" s="179" t="s">
        <v>456</v>
      </c>
      <c r="C1018" s="180">
        <v>63</v>
      </c>
    </row>
    <row r="1019" spans="1:3" x14ac:dyDescent="0.25">
      <c r="A1019" s="178">
        <v>4192</v>
      </c>
      <c r="B1019" s="179" t="s">
        <v>456</v>
      </c>
      <c r="C1019" s="180">
        <v>56</v>
      </c>
    </row>
    <row r="1020" spans="1:3" x14ac:dyDescent="0.25">
      <c r="A1020" s="178">
        <v>4193</v>
      </c>
      <c r="B1020" s="179" t="s">
        <v>456</v>
      </c>
      <c r="C1020" s="180">
        <v>30</v>
      </c>
    </row>
    <row r="1021" spans="1:3" x14ac:dyDescent="0.25">
      <c r="A1021" s="178">
        <v>4194</v>
      </c>
      <c r="B1021" s="179" t="s">
        <v>456</v>
      </c>
      <c r="C1021" s="180">
        <v>30</v>
      </c>
    </row>
    <row r="1022" spans="1:3" x14ac:dyDescent="0.25">
      <c r="A1022" s="178">
        <v>4195</v>
      </c>
      <c r="B1022" s="179" t="s">
        <v>456</v>
      </c>
      <c r="C1022" s="180">
        <v>30</v>
      </c>
    </row>
    <row r="1023" spans="1:3" x14ac:dyDescent="0.25">
      <c r="A1023" s="178">
        <v>4196</v>
      </c>
      <c r="B1023" s="179" t="s">
        <v>456</v>
      </c>
      <c r="C1023" s="180">
        <v>30</v>
      </c>
    </row>
    <row r="1024" spans="1:3" x14ac:dyDescent="0.25">
      <c r="A1024" s="178">
        <v>4207</v>
      </c>
      <c r="B1024" s="179" t="s">
        <v>456</v>
      </c>
      <c r="C1024" s="180">
        <v>42</v>
      </c>
    </row>
    <row r="1025" spans="1:3" x14ac:dyDescent="0.25">
      <c r="A1025" s="178">
        <v>4209</v>
      </c>
      <c r="B1025" s="179" t="s">
        <v>456</v>
      </c>
      <c r="C1025" s="180">
        <v>300</v>
      </c>
    </row>
    <row r="1026" spans="1:3" x14ac:dyDescent="0.25">
      <c r="A1026" s="178">
        <v>4212</v>
      </c>
      <c r="B1026" s="179" t="s">
        <v>456</v>
      </c>
      <c r="C1026" s="180">
        <v>50</v>
      </c>
    </row>
    <row r="1027" spans="1:3" x14ac:dyDescent="0.25">
      <c r="A1027" s="178">
        <v>4213</v>
      </c>
      <c r="B1027" s="179" t="s">
        <v>456</v>
      </c>
      <c r="C1027" s="180">
        <v>50</v>
      </c>
    </row>
    <row r="1028" spans="1:3" x14ac:dyDescent="0.25">
      <c r="A1028" s="178">
        <v>4214</v>
      </c>
      <c r="B1028" s="179" t="s">
        <v>456</v>
      </c>
      <c r="C1028" s="180">
        <v>50</v>
      </c>
    </row>
    <row r="1029" spans="1:3" x14ac:dyDescent="0.25">
      <c r="A1029" s="178">
        <v>4215</v>
      </c>
      <c r="B1029" s="179" t="s">
        <v>456</v>
      </c>
      <c r="C1029" s="180">
        <v>54</v>
      </c>
    </row>
    <row r="1030" spans="1:3" x14ac:dyDescent="0.25">
      <c r="A1030" s="178">
        <v>4216</v>
      </c>
      <c r="B1030" s="179" t="s">
        <v>456</v>
      </c>
      <c r="C1030" s="180">
        <v>54</v>
      </c>
    </row>
    <row r="1031" spans="1:3" x14ac:dyDescent="0.25">
      <c r="A1031" s="178">
        <v>4218</v>
      </c>
      <c r="B1031" s="179" t="s">
        <v>456</v>
      </c>
      <c r="C1031" s="180">
        <v>63</v>
      </c>
    </row>
    <row r="1032" spans="1:3" x14ac:dyDescent="0.25">
      <c r="A1032" s="178">
        <v>4219</v>
      </c>
      <c r="B1032" s="179" t="s">
        <v>456</v>
      </c>
      <c r="C1032" s="180">
        <v>48</v>
      </c>
    </row>
    <row r="1033" spans="1:3" x14ac:dyDescent="0.25">
      <c r="A1033" s="178">
        <v>4220</v>
      </c>
      <c r="B1033" s="179" t="s">
        <v>456</v>
      </c>
      <c r="C1033" s="180">
        <v>48</v>
      </c>
    </row>
    <row r="1034" spans="1:3" x14ac:dyDescent="0.25">
      <c r="A1034" s="178">
        <v>4221</v>
      </c>
      <c r="B1034" s="179" t="s">
        <v>456</v>
      </c>
      <c r="C1034" s="180">
        <v>48</v>
      </c>
    </row>
    <row r="1035" spans="1:3" x14ac:dyDescent="0.25">
      <c r="A1035" s="178">
        <v>4222</v>
      </c>
      <c r="B1035" s="179" t="s">
        <v>456</v>
      </c>
      <c r="C1035" s="180">
        <v>48</v>
      </c>
    </row>
    <row r="1036" spans="1:3" x14ac:dyDescent="0.25">
      <c r="A1036" s="178">
        <v>4223</v>
      </c>
      <c r="B1036" s="179" t="s">
        <v>456</v>
      </c>
      <c r="C1036" s="180">
        <v>30</v>
      </c>
    </row>
    <row r="1037" spans="1:3" x14ac:dyDescent="0.25">
      <c r="A1037" s="178">
        <v>4224</v>
      </c>
      <c r="B1037" s="179" t="s">
        <v>456</v>
      </c>
      <c r="C1037" s="180">
        <v>36</v>
      </c>
    </row>
    <row r="1038" spans="1:3" x14ac:dyDescent="0.25">
      <c r="A1038" s="178">
        <v>4225</v>
      </c>
      <c r="B1038" s="179" t="s">
        <v>456</v>
      </c>
      <c r="C1038" s="180">
        <v>36</v>
      </c>
    </row>
    <row r="1039" spans="1:3" x14ac:dyDescent="0.25">
      <c r="A1039" s="178">
        <v>4226</v>
      </c>
      <c r="B1039" s="179" t="s">
        <v>456</v>
      </c>
      <c r="C1039" s="180">
        <v>30</v>
      </c>
    </row>
    <row r="1040" spans="1:3" x14ac:dyDescent="0.25">
      <c r="A1040" s="178">
        <v>4230</v>
      </c>
      <c r="B1040" s="179" t="s">
        <v>456</v>
      </c>
      <c r="C1040" s="180">
        <v>56</v>
      </c>
    </row>
    <row r="1041" spans="1:3" x14ac:dyDescent="0.25">
      <c r="A1041" s="178">
        <v>4231</v>
      </c>
      <c r="B1041" s="179" t="s">
        <v>456</v>
      </c>
      <c r="C1041" s="180">
        <v>56</v>
      </c>
    </row>
    <row r="1042" spans="1:3" x14ac:dyDescent="0.25">
      <c r="A1042" s="178">
        <v>4232</v>
      </c>
      <c r="B1042" s="179" t="s">
        <v>456</v>
      </c>
      <c r="C1042" s="180">
        <v>56</v>
      </c>
    </row>
    <row r="1043" spans="1:3" x14ac:dyDescent="0.25">
      <c r="A1043" s="178">
        <v>4233</v>
      </c>
      <c r="B1043" s="179" t="s">
        <v>456</v>
      </c>
      <c r="C1043" s="180">
        <v>56</v>
      </c>
    </row>
    <row r="1044" spans="1:3" x14ac:dyDescent="0.25">
      <c r="A1044" s="178">
        <v>4234</v>
      </c>
      <c r="B1044" s="179" t="s">
        <v>456</v>
      </c>
      <c r="C1044" s="180">
        <v>56</v>
      </c>
    </row>
    <row r="1045" spans="1:3" x14ac:dyDescent="0.25">
      <c r="A1045" s="178">
        <v>4246</v>
      </c>
      <c r="B1045" s="179" t="s">
        <v>456</v>
      </c>
      <c r="C1045" s="180">
        <v>240</v>
      </c>
    </row>
    <row r="1046" spans="1:3" x14ac:dyDescent="0.25">
      <c r="A1046" s="178">
        <v>4249</v>
      </c>
      <c r="B1046" s="179" t="s">
        <v>456</v>
      </c>
      <c r="C1046" s="180">
        <v>200</v>
      </c>
    </row>
    <row r="1047" spans="1:3" x14ac:dyDescent="0.25">
      <c r="A1047" s="178">
        <v>4256</v>
      </c>
      <c r="B1047" s="179" t="s">
        <v>456</v>
      </c>
      <c r="C1047" s="180">
        <v>56</v>
      </c>
    </row>
    <row r="1048" spans="1:3" x14ac:dyDescent="0.25">
      <c r="A1048" s="178">
        <v>4257</v>
      </c>
      <c r="B1048" s="179" t="s">
        <v>456</v>
      </c>
      <c r="C1048" s="180">
        <v>300</v>
      </c>
    </row>
    <row r="1049" spans="1:3" x14ac:dyDescent="0.25">
      <c r="A1049" s="178">
        <v>4258</v>
      </c>
      <c r="B1049" s="179" t="s">
        <v>456</v>
      </c>
      <c r="C1049" s="180">
        <v>300</v>
      </c>
    </row>
    <row r="1050" spans="1:3" x14ac:dyDescent="0.25">
      <c r="A1050" s="178">
        <v>4259</v>
      </c>
      <c r="B1050" s="179" t="s">
        <v>456</v>
      </c>
      <c r="C1050" s="180">
        <v>56</v>
      </c>
    </row>
    <row r="1051" spans="1:3" x14ac:dyDescent="0.25">
      <c r="A1051" s="178">
        <v>4260</v>
      </c>
      <c r="B1051" s="179" t="s">
        <v>456</v>
      </c>
      <c r="C1051" s="180">
        <v>56</v>
      </c>
    </row>
    <row r="1052" spans="1:3" x14ac:dyDescent="0.25">
      <c r="A1052" s="178">
        <v>4261</v>
      </c>
      <c r="B1052" s="179" t="s">
        <v>456</v>
      </c>
      <c r="C1052" s="180">
        <v>56</v>
      </c>
    </row>
    <row r="1053" spans="1:3" x14ac:dyDescent="0.25">
      <c r="A1053" s="178">
        <v>4262</v>
      </c>
      <c r="B1053" s="179" t="s">
        <v>456</v>
      </c>
      <c r="C1053" s="180">
        <v>56</v>
      </c>
    </row>
    <row r="1054" spans="1:3" x14ac:dyDescent="0.25">
      <c r="A1054" s="178">
        <v>4263</v>
      </c>
      <c r="B1054" s="179" t="s">
        <v>456</v>
      </c>
      <c r="C1054" s="180">
        <v>300</v>
      </c>
    </row>
    <row r="1055" spans="1:3" x14ac:dyDescent="0.25">
      <c r="A1055" s="178">
        <v>4264</v>
      </c>
      <c r="B1055" s="179" t="s">
        <v>456</v>
      </c>
      <c r="C1055" s="180">
        <v>300</v>
      </c>
    </row>
    <row r="1056" spans="1:3" x14ac:dyDescent="0.25">
      <c r="A1056" s="178">
        <v>4265</v>
      </c>
      <c r="B1056" s="179" t="s">
        <v>456</v>
      </c>
      <c r="C1056" s="180">
        <v>56</v>
      </c>
    </row>
    <row r="1057" spans="1:3" x14ac:dyDescent="0.25">
      <c r="A1057" s="178">
        <v>4266</v>
      </c>
      <c r="B1057" s="179" t="s">
        <v>456</v>
      </c>
      <c r="C1057" s="180">
        <v>56</v>
      </c>
    </row>
    <row r="1058" spans="1:3" x14ac:dyDescent="0.25">
      <c r="A1058" s="178">
        <v>4267</v>
      </c>
      <c r="B1058" s="179" t="s">
        <v>456</v>
      </c>
      <c r="C1058" s="180">
        <v>56</v>
      </c>
    </row>
    <row r="1059" spans="1:3" x14ac:dyDescent="0.25">
      <c r="A1059" s="178">
        <v>4268</v>
      </c>
      <c r="B1059" s="179" t="s">
        <v>456</v>
      </c>
      <c r="C1059" s="180">
        <v>56</v>
      </c>
    </row>
    <row r="1060" spans="1:3" x14ac:dyDescent="0.25">
      <c r="A1060" s="178">
        <v>4269</v>
      </c>
      <c r="B1060" s="179" t="s">
        <v>456</v>
      </c>
      <c r="C1060" s="180">
        <v>56</v>
      </c>
    </row>
    <row r="1061" spans="1:3" x14ac:dyDescent="0.25">
      <c r="A1061" s="178">
        <v>4270</v>
      </c>
      <c r="B1061" s="179" t="s">
        <v>456</v>
      </c>
      <c r="C1061" s="180">
        <v>56</v>
      </c>
    </row>
    <row r="1062" spans="1:3" x14ac:dyDescent="0.25">
      <c r="A1062" s="178">
        <v>4271</v>
      </c>
      <c r="B1062" s="179" t="s">
        <v>456</v>
      </c>
      <c r="C1062" s="180">
        <v>56</v>
      </c>
    </row>
    <row r="1063" spans="1:3" x14ac:dyDescent="0.25">
      <c r="A1063" s="178">
        <v>4272</v>
      </c>
      <c r="B1063" s="179" t="s">
        <v>456</v>
      </c>
      <c r="C1063" s="180">
        <v>56</v>
      </c>
    </row>
    <row r="1064" spans="1:3" x14ac:dyDescent="0.25">
      <c r="A1064" s="178">
        <v>4273</v>
      </c>
      <c r="B1064" s="179" t="s">
        <v>456</v>
      </c>
      <c r="C1064" s="180">
        <v>56</v>
      </c>
    </row>
    <row r="1065" spans="1:3" x14ac:dyDescent="0.25">
      <c r="A1065" s="178">
        <v>4274</v>
      </c>
      <c r="B1065" s="179" t="s">
        <v>456</v>
      </c>
      <c r="C1065" s="180">
        <v>56</v>
      </c>
    </row>
    <row r="1066" spans="1:3" x14ac:dyDescent="0.25">
      <c r="A1066" s="178">
        <v>4275</v>
      </c>
      <c r="B1066" s="179" t="s">
        <v>456</v>
      </c>
      <c r="C1066" s="180">
        <v>56</v>
      </c>
    </row>
    <row r="1067" spans="1:3" x14ac:dyDescent="0.25">
      <c r="A1067" s="178">
        <v>4276</v>
      </c>
      <c r="B1067" s="179" t="s">
        <v>456</v>
      </c>
      <c r="C1067" s="180">
        <v>56</v>
      </c>
    </row>
    <row r="1068" spans="1:3" x14ac:dyDescent="0.25">
      <c r="A1068" s="178">
        <v>4277</v>
      </c>
      <c r="B1068" s="179" t="s">
        <v>456</v>
      </c>
      <c r="C1068" s="180">
        <v>56</v>
      </c>
    </row>
    <row r="1069" spans="1:3" x14ac:dyDescent="0.25">
      <c r="A1069" s="178">
        <v>4278</v>
      </c>
      <c r="B1069" s="179" t="s">
        <v>456</v>
      </c>
      <c r="C1069" s="180">
        <v>56</v>
      </c>
    </row>
    <row r="1070" spans="1:3" x14ac:dyDescent="0.25">
      <c r="A1070" s="178">
        <v>4279</v>
      </c>
      <c r="B1070" s="179" t="s">
        <v>456</v>
      </c>
      <c r="C1070" s="180">
        <v>56</v>
      </c>
    </row>
    <row r="1071" spans="1:3" x14ac:dyDescent="0.25">
      <c r="A1071" s="178">
        <v>4280</v>
      </c>
      <c r="B1071" s="179" t="s">
        <v>456</v>
      </c>
      <c r="C1071" s="180">
        <v>56</v>
      </c>
    </row>
    <row r="1072" spans="1:3" x14ac:dyDescent="0.25">
      <c r="A1072" s="178">
        <v>4281</v>
      </c>
      <c r="B1072" s="179" t="s">
        <v>456</v>
      </c>
      <c r="C1072" s="180">
        <v>56</v>
      </c>
    </row>
    <row r="1073" spans="1:3" x14ac:dyDescent="0.25">
      <c r="A1073" s="178">
        <v>4282</v>
      </c>
      <c r="B1073" s="179" t="s">
        <v>456</v>
      </c>
      <c r="C1073" s="180">
        <v>56</v>
      </c>
    </row>
    <row r="1074" spans="1:3" x14ac:dyDescent="0.25">
      <c r="A1074" s="178">
        <v>4283</v>
      </c>
      <c r="B1074" s="179" t="s">
        <v>456</v>
      </c>
      <c r="C1074" s="180">
        <v>56</v>
      </c>
    </row>
    <row r="1075" spans="1:3" x14ac:dyDescent="0.25">
      <c r="A1075" s="178">
        <v>4284</v>
      </c>
      <c r="B1075" s="179" t="s">
        <v>456</v>
      </c>
      <c r="C1075" s="180">
        <v>56</v>
      </c>
    </row>
    <row r="1076" spans="1:3" x14ac:dyDescent="0.25">
      <c r="A1076" s="178">
        <v>4285</v>
      </c>
      <c r="B1076" s="179" t="s">
        <v>456</v>
      </c>
      <c r="C1076" s="180">
        <v>56</v>
      </c>
    </row>
    <row r="1077" spans="1:3" x14ac:dyDescent="0.25">
      <c r="A1077" s="178">
        <v>4286</v>
      </c>
      <c r="B1077" s="179" t="s">
        <v>456</v>
      </c>
      <c r="C1077" s="180">
        <v>56</v>
      </c>
    </row>
    <row r="1078" spans="1:3" x14ac:dyDescent="0.25">
      <c r="A1078" s="178">
        <v>4287</v>
      </c>
      <c r="B1078" s="179" t="s">
        <v>456</v>
      </c>
      <c r="C1078" s="180">
        <v>56</v>
      </c>
    </row>
    <row r="1079" spans="1:3" x14ac:dyDescent="0.25">
      <c r="A1079" s="178">
        <v>4288</v>
      </c>
      <c r="B1079" s="179" t="s">
        <v>456</v>
      </c>
      <c r="C1079" s="180">
        <v>56</v>
      </c>
    </row>
    <row r="1080" spans="1:3" x14ac:dyDescent="0.25">
      <c r="A1080" s="178">
        <v>4289</v>
      </c>
      <c r="B1080" s="179" t="s">
        <v>456</v>
      </c>
      <c r="C1080" s="180">
        <v>56</v>
      </c>
    </row>
    <row r="1081" spans="1:3" x14ac:dyDescent="0.25">
      <c r="A1081" s="178">
        <v>4290</v>
      </c>
      <c r="B1081" s="179" t="s">
        <v>456</v>
      </c>
      <c r="C1081" s="180">
        <v>56</v>
      </c>
    </row>
    <row r="1082" spans="1:3" x14ac:dyDescent="0.25">
      <c r="A1082" s="178">
        <v>4291</v>
      </c>
      <c r="B1082" s="179" t="s">
        <v>456</v>
      </c>
      <c r="C1082" s="180">
        <v>56</v>
      </c>
    </row>
    <row r="1083" spans="1:3" x14ac:dyDescent="0.25">
      <c r="A1083" s="178">
        <v>4292</v>
      </c>
      <c r="B1083" s="179" t="s">
        <v>456</v>
      </c>
      <c r="C1083" s="180">
        <v>56</v>
      </c>
    </row>
    <row r="1084" spans="1:3" x14ac:dyDescent="0.25">
      <c r="A1084" s="178">
        <v>4293</v>
      </c>
      <c r="B1084" s="179" t="s">
        <v>456</v>
      </c>
      <c r="C1084" s="180">
        <v>56</v>
      </c>
    </row>
    <row r="1085" spans="1:3" x14ac:dyDescent="0.25">
      <c r="A1085" s="178">
        <v>4294</v>
      </c>
      <c r="B1085" s="179" t="s">
        <v>456</v>
      </c>
      <c r="C1085" s="180">
        <v>56</v>
      </c>
    </row>
    <row r="1086" spans="1:3" x14ac:dyDescent="0.25">
      <c r="A1086" s="178">
        <v>4295</v>
      </c>
      <c r="B1086" s="179" t="s">
        <v>456</v>
      </c>
      <c r="C1086" s="180">
        <v>56</v>
      </c>
    </row>
    <row r="1087" spans="1:3" x14ac:dyDescent="0.25">
      <c r="A1087" s="178">
        <v>4296</v>
      </c>
      <c r="B1087" s="179" t="s">
        <v>456</v>
      </c>
      <c r="C1087" s="180">
        <v>300</v>
      </c>
    </row>
    <row r="1088" spans="1:3" x14ac:dyDescent="0.25">
      <c r="A1088" s="178">
        <v>4297</v>
      </c>
      <c r="B1088" s="179" t="s">
        <v>456</v>
      </c>
      <c r="C1088" s="180">
        <v>56</v>
      </c>
    </row>
    <row r="1089" spans="1:3" x14ac:dyDescent="0.25">
      <c r="A1089" s="178">
        <v>4298</v>
      </c>
      <c r="B1089" s="179" t="s">
        <v>456</v>
      </c>
      <c r="C1089" s="180">
        <v>56</v>
      </c>
    </row>
    <row r="1090" spans="1:3" x14ac:dyDescent="0.25">
      <c r="A1090" s="178">
        <v>4299</v>
      </c>
      <c r="B1090" s="179" t="s">
        <v>456</v>
      </c>
      <c r="C1090" s="180">
        <v>56</v>
      </c>
    </row>
    <row r="1091" spans="1:3" x14ac:dyDescent="0.25">
      <c r="A1091" s="178">
        <v>4300</v>
      </c>
      <c r="B1091" s="179" t="s">
        <v>456</v>
      </c>
      <c r="C1091" s="180">
        <v>56</v>
      </c>
    </row>
    <row r="1092" spans="1:3" x14ac:dyDescent="0.25">
      <c r="A1092" s="178">
        <v>4304</v>
      </c>
      <c r="B1092" s="179" t="s">
        <v>456</v>
      </c>
      <c r="C1092" s="180">
        <v>72</v>
      </c>
    </row>
    <row r="1093" spans="1:3" x14ac:dyDescent="0.25">
      <c r="A1093" s="178">
        <v>4305</v>
      </c>
      <c r="B1093" s="179" t="s">
        <v>456</v>
      </c>
      <c r="C1093" s="180">
        <v>72</v>
      </c>
    </row>
    <row r="1094" spans="1:3" x14ac:dyDescent="0.25">
      <c r="A1094" s="178">
        <v>4307</v>
      </c>
      <c r="B1094" s="179" t="s">
        <v>456</v>
      </c>
      <c r="C1094" s="180">
        <v>198</v>
      </c>
    </row>
    <row r="1095" spans="1:3" x14ac:dyDescent="0.25">
      <c r="A1095" s="178">
        <v>4308</v>
      </c>
      <c r="B1095" s="179" t="s">
        <v>456</v>
      </c>
      <c r="C1095" s="180">
        <v>72</v>
      </c>
    </row>
    <row r="1096" spans="1:3" x14ac:dyDescent="0.25">
      <c r="A1096" s="178">
        <v>4309</v>
      </c>
      <c r="B1096" s="179" t="s">
        <v>456</v>
      </c>
      <c r="C1096" s="180">
        <v>64</v>
      </c>
    </row>
    <row r="1097" spans="1:3" x14ac:dyDescent="0.25">
      <c r="A1097" s="178">
        <v>4310</v>
      </c>
      <c r="B1097" s="179" t="s">
        <v>456</v>
      </c>
      <c r="C1097" s="180">
        <v>84</v>
      </c>
    </row>
    <row r="1098" spans="1:3" x14ac:dyDescent="0.25">
      <c r="A1098" s="178">
        <v>4311</v>
      </c>
      <c r="B1098" s="179" t="s">
        <v>456</v>
      </c>
      <c r="C1098" s="180">
        <v>48</v>
      </c>
    </row>
    <row r="1099" spans="1:3" x14ac:dyDescent="0.25">
      <c r="A1099" s="178">
        <v>4312</v>
      </c>
      <c r="B1099" s="179" t="s">
        <v>456</v>
      </c>
      <c r="C1099" s="180">
        <v>300</v>
      </c>
    </row>
    <row r="1100" spans="1:3" x14ac:dyDescent="0.25">
      <c r="A1100" s="178">
        <v>4313</v>
      </c>
      <c r="B1100" s="179" t="s">
        <v>456</v>
      </c>
      <c r="C1100" s="180">
        <v>48</v>
      </c>
    </row>
    <row r="1101" spans="1:3" x14ac:dyDescent="0.25">
      <c r="A1101" s="178">
        <v>4314</v>
      </c>
      <c r="B1101" s="179" t="s">
        <v>456</v>
      </c>
      <c r="C1101" s="180">
        <v>96</v>
      </c>
    </row>
    <row r="1102" spans="1:3" x14ac:dyDescent="0.25">
      <c r="A1102" s="178">
        <v>4315</v>
      </c>
      <c r="B1102" s="179" t="s">
        <v>456</v>
      </c>
      <c r="C1102" s="180">
        <v>96</v>
      </c>
    </row>
    <row r="1103" spans="1:3" x14ac:dyDescent="0.25">
      <c r="A1103" s="178">
        <v>4318</v>
      </c>
      <c r="B1103" s="179" t="s">
        <v>456</v>
      </c>
      <c r="C1103" s="180">
        <v>63</v>
      </c>
    </row>
    <row r="1104" spans="1:3" x14ac:dyDescent="0.25">
      <c r="A1104" s="178">
        <v>4319</v>
      </c>
      <c r="B1104" s="179" t="s">
        <v>456</v>
      </c>
      <c r="C1104" s="180">
        <v>56</v>
      </c>
    </row>
    <row r="1105" spans="1:3" x14ac:dyDescent="0.25">
      <c r="A1105" s="178">
        <v>4320</v>
      </c>
      <c r="B1105" s="179" t="s">
        <v>456</v>
      </c>
      <c r="C1105" s="180">
        <v>64</v>
      </c>
    </row>
    <row r="1106" spans="1:3" x14ac:dyDescent="0.25">
      <c r="A1106" s="178">
        <v>4321</v>
      </c>
      <c r="B1106" s="179" t="s">
        <v>456</v>
      </c>
      <c r="C1106" s="180">
        <v>64</v>
      </c>
    </row>
    <row r="1107" spans="1:3" x14ac:dyDescent="0.25">
      <c r="A1107" s="178">
        <v>4322</v>
      </c>
      <c r="B1107" s="179" t="s">
        <v>456</v>
      </c>
      <c r="C1107" s="180">
        <v>64</v>
      </c>
    </row>
    <row r="1108" spans="1:3" x14ac:dyDescent="0.25">
      <c r="A1108" s="178">
        <v>4323</v>
      </c>
      <c r="B1108" s="179" t="s">
        <v>456</v>
      </c>
      <c r="C1108" s="180">
        <v>64</v>
      </c>
    </row>
    <row r="1109" spans="1:3" x14ac:dyDescent="0.25">
      <c r="A1109" s="178">
        <v>4324</v>
      </c>
      <c r="B1109" s="179" t="s">
        <v>456</v>
      </c>
      <c r="C1109" s="180">
        <v>64</v>
      </c>
    </row>
    <row r="1110" spans="1:3" x14ac:dyDescent="0.25">
      <c r="A1110" s="178">
        <v>4325</v>
      </c>
      <c r="B1110" s="179" t="s">
        <v>456</v>
      </c>
      <c r="C1110" s="180">
        <v>56</v>
      </c>
    </row>
    <row r="1111" spans="1:3" x14ac:dyDescent="0.25">
      <c r="A1111" s="178">
        <v>4332</v>
      </c>
      <c r="B1111" s="179" t="s">
        <v>456</v>
      </c>
      <c r="C1111" s="180">
        <v>84</v>
      </c>
    </row>
    <row r="1112" spans="1:3" x14ac:dyDescent="0.25">
      <c r="A1112" s="178">
        <v>4335</v>
      </c>
      <c r="B1112" s="179" t="s">
        <v>456</v>
      </c>
      <c r="C1112" s="180">
        <v>63</v>
      </c>
    </row>
    <row r="1113" spans="1:3" x14ac:dyDescent="0.25">
      <c r="A1113" s="178">
        <v>4336</v>
      </c>
      <c r="B1113" s="179" t="s">
        <v>456</v>
      </c>
      <c r="C1113" s="180">
        <v>64</v>
      </c>
    </row>
    <row r="1114" spans="1:3" x14ac:dyDescent="0.25">
      <c r="A1114" s="178">
        <v>4337</v>
      </c>
      <c r="B1114" s="179" t="s">
        <v>456</v>
      </c>
      <c r="C1114" s="180">
        <v>56</v>
      </c>
    </row>
    <row r="1115" spans="1:3" x14ac:dyDescent="0.25">
      <c r="A1115" s="178">
        <v>4338</v>
      </c>
      <c r="B1115" s="179" t="s">
        <v>456</v>
      </c>
      <c r="C1115" s="180">
        <v>64</v>
      </c>
    </row>
    <row r="1116" spans="1:3" x14ac:dyDescent="0.25">
      <c r="A1116" s="178">
        <v>4339</v>
      </c>
      <c r="B1116" s="179" t="s">
        <v>456</v>
      </c>
      <c r="C1116" s="180">
        <v>64</v>
      </c>
    </row>
    <row r="1117" spans="1:3" x14ac:dyDescent="0.25">
      <c r="A1117" s="178">
        <v>4340</v>
      </c>
      <c r="B1117" s="179" t="s">
        <v>456</v>
      </c>
      <c r="C1117" s="180">
        <v>64</v>
      </c>
    </row>
    <row r="1118" spans="1:3" x14ac:dyDescent="0.25">
      <c r="A1118" s="178">
        <v>4341</v>
      </c>
      <c r="B1118" s="179" t="s">
        <v>456</v>
      </c>
      <c r="C1118" s="180">
        <v>56</v>
      </c>
    </row>
    <row r="1119" spans="1:3" x14ac:dyDescent="0.25">
      <c r="A1119" s="178">
        <v>4342</v>
      </c>
      <c r="B1119" s="179" t="s">
        <v>456</v>
      </c>
      <c r="C1119" s="180">
        <v>56</v>
      </c>
    </row>
    <row r="1120" spans="1:3" x14ac:dyDescent="0.25">
      <c r="A1120" s="178">
        <v>4343</v>
      </c>
      <c r="B1120" s="179" t="s">
        <v>456</v>
      </c>
      <c r="C1120" s="180">
        <v>63</v>
      </c>
    </row>
    <row r="1121" spans="1:3" x14ac:dyDescent="0.25">
      <c r="A1121" s="178">
        <v>4344</v>
      </c>
      <c r="B1121" s="179" t="s">
        <v>456</v>
      </c>
      <c r="C1121" s="180">
        <v>63</v>
      </c>
    </row>
    <row r="1122" spans="1:3" x14ac:dyDescent="0.25">
      <c r="A1122" s="178">
        <v>4345</v>
      </c>
      <c r="B1122" s="179" t="s">
        <v>456</v>
      </c>
      <c r="C1122" s="180">
        <v>63</v>
      </c>
    </row>
    <row r="1123" spans="1:3" x14ac:dyDescent="0.25">
      <c r="A1123" s="178">
        <v>4346</v>
      </c>
      <c r="B1123" s="179" t="s">
        <v>456</v>
      </c>
      <c r="C1123" s="180">
        <v>56</v>
      </c>
    </row>
    <row r="1124" spans="1:3" x14ac:dyDescent="0.25">
      <c r="A1124" s="178">
        <v>4347</v>
      </c>
      <c r="B1124" s="179" t="s">
        <v>456</v>
      </c>
      <c r="C1124" s="180">
        <v>56</v>
      </c>
    </row>
    <row r="1125" spans="1:3" x14ac:dyDescent="0.25">
      <c r="A1125" s="178">
        <v>4355</v>
      </c>
      <c r="B1125" s="179" t="s">
        <v>456</v>
      </c>
      <c r="C1125" s="180">
        <v>36</v>
      </c>
    </row>
    <row r="1126" spans="1:3" x14ac:dyDescent="0.25">
      <c r="A1126" s="178">
        <v>4360</v>
      </c>
      <c r="B1126" s="179" t="s">
        <v>456</v>
      </c>
      <c r="C1126" s="180">
        <v>54</v>
      </c>
    </row>
    <row r="1127" spans="1:3" x14ac:dyDescent="0.25">
      <c r="A1127" s="178">
        <v>4361</v>
      </c>
      <c r="B1127" s="179" t="s">
        <v>456</v>
      </c>
      <c r="C1127" s="180">
        <v>54</v>
      </c>
    </row>
    <row r="1128" spans="1:3" x14ac:dyDescent="0.25">
      <c r="A1128" s="178">
        <v>4369</v>
      </c>
      <c r="B1128" s="179" t="s">
        <v>456</v>
      </c>
      <c r="C1128" s="180">
        <v>20</v>
      </c>
    </row>
    <row r="1129" spans="1:3" x14ac:dyDescent="0.25">
      <c r="A1129" s="178">
        <v>4407</v>
      </c>
      <c r="B1129" s="179" t="s">
        <v>456</v>
      </c>
      <c r="C1129" s="180">
        <v>96</v>
      </c>
    </row>
    <row r="1130" spans="1:3" x14ac:dyDescent="0.25">
      <c r="A1130" s="178">
        <v>4409</v>
      </c>
      <c r="B1130" s="179" t="s">
        <v>456</v>
      </c>
      <c r="C1130" s="180">
        <v>56</v>
      </c>
    </row>
    <row r="1131" spans="1:3" x14ac:dyDescent="0.25">
      <c r="A1131" s="178">
        <v>4438</v>
      </c>
      <c r="B1131" s="179" t="s">
        <v>456</v>
      </c>
      <c r="C1131" s="180">
        <v>60</v>
      </c>
    </row>
    <row r="1132" spans="1:3" x14ac:dyDescent="0.25">
      <c r="A1132" s="178">
        <v>4446</v>
      </c>
      <c r="B1132" s="179" t="s">
        <v>456</v>
      </c>
      <c r="C1132" s="180">
        <v>66</v>
      </c>
    </row>
    <row r="1133" spans="1:3" x14ac:dyDescent="0.25">
      <c r="A1133" s="178">
        <v>4469</v>
      </c>
      <c r="B1133" s="179" t="s">
        <v>456</v>
      </c>
      <c r="C1133" s="180">
        <v>36</v>
      </c>
    </row>
    <row r="1134" spans="1:3" x14ac:dyDescent="0.25">
      <c r="A1134" s="178">
        <v>4471</v>
      </c>
      <c r="B1134" s="179" t="s">
        <v>456</v>
      </c>
      <c r="C1134" s="180">
        <v>54</v>
      </c>
    </row>
    <row r="1135" spans="1:3" x14ac:dyDescent="0.25">
      <c r="A1135" s="178">
        <v>4475</v>
      </c>
      <c r="B1135" s="179" t="s">
        <v>456</v>
      </c>
      <c r="C1135" s="180">
        <v>300</v>
      </c>
    </row>
    <row r="1136" spans="1:3" x14ac:dyDescent="0.25">
      <c r="A1136" s="178">
        <v>4479</v>
      </c>
      <c r="B1136" s="179" t="s">
        <v>456</v>
      </c>
      <c r="C1136" s="180">
        <v>42</v>
      </c>
    </row>
    <row r="1137" spans="1:3" x14ac:dyDescent="0.25">
      <c r="A1137" s="178">
        <v>4480</v>
      </c>
      <c r="B1137" s="179" t="s">
        <v>456</v>
      </c>
      <c r="C1137" s="180">
        <v>56</v>
      </c>
    </row>
    <row r="1138" spans="1:3" x14ac:dyDescent="0.25">
      <c r="A1138" s="178">
        <v>4482</v>
      </c>
      <c r="B1138" s="179" t="s">
        <v>456</v>
      </c>
      <c r="C1138" s="180">
        <v>56</v>
      </c>
    </row>
    <row r="1139" spans="1:3" x14ac:dyDescent="0.25">
      <c r="A1139" s="178">
        <v>4486</v>
      </c>
      <c r="B1139" s="179" t="s">
        <v>456</v>
      </c>
      <c r="C1139" s="180">
        <v>48</v>
      </c>
    </row>
    <row r="1140" spans="1:3" x14ac:dyDescent="0.25">
      <c r="A1140" s="178">
        <v>4489</v>
      </c>
      <c r="B1140" s="179" t="s">
        <v>456</v>
      </c>
      <c r="C1140" s="180">
        <v>48</v>
      </c>
    </row>
    <row r="1141" spans="1:3" x14ac:dyDescent="0.25">
      <c r="A1141" s="178">
        <v>4494</v>
      </c>
      <c r="B1141" s="179" t="s">
        <v>456</v>
      </c>
      <c r="C1141" s="180">
        <v>48</v>
      </c>
    </row>
    <row r="1142" spans="1:3" x14ac:dyDescent="0.25">
      <c r="A1142" s="178">
        <v>4501</v>
      </c>
      <c r="B1142" s="179" t="s">
        <v>456</v>
      </c>
      <c r="C1142" s="180">
        <v>300</v>
      </c>
    </row>
    <row r="1143" spans="1:3" x14ac:dyDescent="0.25">
      <c r="A1143" s="178">
        <v>4502</v>
      </c>
      <c r="B1143" s="179" t="s">
        <v>456</v>
      </c>
      <c r="C1143" s="180">
        <v>300</v>
      </c>
    </row>
    <row r="1144" spans="1:3" x14ac:dyDescent="0.25">
      <c r="A1144" s="178">
        <v>4508</v>
      </c>
      <c r="B1144" s="179" t="s">
        <v>456</v>
      </c>
      <c r="C1144" s="180">
        <v>81</v>
      </c>
    </row>
    <row r="1145" spans="1:3" x14ac:dyDescent="0.25">
      <c r="A1145" s="178">
        <v>4509</v>
      </c>
      <c r="B1145" s="179" t="s">
        <v>456</v>
      </c>
      <c r="C1145" s="180">
        <v>81</v>
      </c>
    </row>
    <row r="1146" spans="1:3" x14ac:dyDescent="0.25">
      <c r="A1146" s="178">
        <v>4510</v>
      </c>
      <c r="B1146" s="179" t="s">
        <v>456</v>
      </c>
      <c r="C1146" s="180">
        <v>30</v>
      </c>
    </row>
    <row r="1147" spans="1:3" x14ac:dyDescent="0.25">
      <c r="A1147" s="178">
        <v>4511</v>
      </c>
      <c r="B1147" s="179" t="s">
        <v>456</v>
      </c>
      <c r="C1147" s="180">
        <v>81</v>
      </c>
    </row>
    <row r="1148" spans="1:3" x14ac:dyDescent="0.25">
      <c r="A1148" s="178">
        <v>4512</v>
      </c>
      <c r="B1148" s="179" t="s">
        <v>456</v>
      </c>
      <c r="C1148" s="180">
        <v>81</v>
      </c>
    </row>
    <row r="1149" spans="1:3" x14ac:dyDescent="0.25">
      <c r="A1149" s="178">
        <v>4513</v>
      </c>
      <c r="B1149" s="179" t="s">
        <v>456</v>
      </c>
      <c r="C1149" s="180">
        <v>81</v>
      </c>
    </row>
    <row r="1150" spans="1:3" x14ac:dyDescent="0.25">
      <c r="A1150" s="178">
        <v>4514</v>
      </c>
      <c r="B1150" s="179" t="s">
        <v>456</v>
      </c>
      <c r="C1150" s="180">
        <v>81</v>
      </c>
    </row>
    <row r="1151" spans="1:3" x14ac:dyDescent="0.25">
      <c r="A1151" s="178">
        <v>4515</v>
      </c>
      <c r="B1151" s="179" t="s">
        <v>456</v>
      </c>
      <c r="C1151" s="180">
        <v>81</v>
      </c>
    </row>
    <row r="1152" spans="1:3" x14ac:dyDescent="0.25">
      <c r="A1152" s="178">
        <v>4516</v>
      </c>
      <c r="B1152" s="179" t="s">
        <v>456</v>
      </c>
      <c r="C1152" s="180">
        <v>81</v>
      </c>
    </row>
    <row r="1153" spans="1:3" x14ac:dyDescent="0.25">
      <c r="A1153" s="178">
        <v>4517</v>
      </c>
      <c r="B1153" s="179" t="s">
        <v>456</v>
      </c>
      <c r="C1153" s="180">
        <v>81</v>
      </c>
    </row>
    <row r="1154" spans="1:3" x14ac:dyDescent="0.25">
      <c r="A1154" s="178">
        <v>4518</v>
      </c>
      <c r="B1154" s="179" t="s">
        <v>456</v>
      </c>
      <c r="C1154" s="180">
        <v>48</v>
      </c>
    </row>
    <row r="1155" spans="1:3" x14ac:dyDescent="0.25">
      <c r="A1155" s="178">
        <v>4519</v>
      </c>
      <c r="B1155" s="179" t="s">
        <v>456</v>
      </c>
      <c r="C1155" s="180">
        <v>36</v>
      </c>
    </row>
    <row r="1156" spans="1:3" x14ac:dyDescent="0.25">
      <c r="A1156" s="178">
        <v>4520</v>
      </c>
      <c r="B1156" s="179" t="s">
        <v>456</v>
      </c>
      <c r="C1156" s="180">
        <v>36</v>
      </c>
    </row>
    <row r="1157" spans="1:3" x14ac:dyDescent="0.25">
      <c r="A1157" s="178">
        <v>4521</v>
      </c>
      <c r="B1157" s="179" t="s">
        <v>456</v>
      </c>
      <c r="C1157" s="180">
        <v>36</v>
      </c>
    </row>
    <row r="1158" spans="1:3" x14ac:dyDescent="0.25">
      <c r="A1158" s="178">
        <v>4522</v>
      </c>
      <c r="B1158" s="179" t="s">
        <v>456</v>
      </c>
      <c r="C1158" s="180">
        <v>36</v>
      </c>
    </row>
    <row r="1159" spans="1:3" x14ac:dyDescent="0.25">
      <c r="A1159" s="178">
        <v>4523</v>
      </c>
      <c r="B1159" s="179" t="s">
        <v>456</v>
      </c>
      <c r="C1159" s="180">
        <v>36</v>
      </c>
    </row>
    <row r="1160" spans="1:3" x14ac:dyDescent="0.25">
      <c r="A1160" s="178">
        <v>4524</v>
      </c>
      <c r="B1160" s="179" t="s">
        <v>456</v>
      </c>
      <c r="C1160" s="180">
        <v>36</v>
      </c>
    </row>
    <row r="1161" spans="1:3" x14ac:dyDescent="0.25">
      <c r="A1161" s="178">
        <v>4535</v>
      </c>
      <c r="B1161" s="179" t="s">
        <v>456</v>
      </c>
      <c r="C1161" s="180">
        <v>63</v>
      </c>
    </row>
    <row r="1162" spans="1:3" x14ac:dyDescent="0.25">
      <c r="A1162" s="178">
        <v>4536</v>
      </c>
      <c r="B1162" s="179" t="s">
        <v>456</v>
      </c>
      <c r="C1162" s="180">
        <v>63</v>
      </c>
    </row>
    <row r="1163" spans="1:3" x14ac:dyDescent="0.25">
      <c r="A1163" s="178">
        <v>4540</v>
      </c>
      <c r="B1163" s="179" t="s">
        <v>456</v>
      </c>
      <c r="C1163" s="180">
        <v>90</v>
      </c>
    </row>
    <row r="1164" spans="1:3" x14ac:dyDescent="0.25">
      <c r="A1164" s="178">
        <v>4541</v>
      </c>
      <c r="B1164" s="179" t="s">
        <v>456</v>
      </c>
      <c r="C1164" s="180">
        <v>90</v>
      </c>
    </row>
    <row r="1165" spans="1:3" x14ac:dyDescent="0.25">
      <c r="A1165" s="178">
        <v>4542</v>
      </c>
      <c r="B1165" s="179" t="s">
        <v>456</v>
      </c>
      <c r="C1165" s="180">
        <v>90</v>
      </c>
    </row>
    <row r="1166" spans="1:3" x14ac:dyDescent="0.25">
      <c r="A1166" s="178">
        <v>4543</v>
      </c>
      <c r="B1166" s="179" t="s">
        <v>456</v>
      </c>
      <c r="C1166" s="180">
        <v>90</v>
      </c>
    </row>
    <row r="1167" spans="1:3" x14ac:dyDescent="0.25">
      <c r="A1167" s="178">
        <v>4544</v>
      </c>
      <c r="B1167" s="179" t="s">
        <v>456</v>
      </c>
      <c r="C1167" s="180">
        <v>90</v>
      </c>
    </row>
    <row r="1168" spans="1:3" x14ac:dyDescent="0.25">
      <c r="A1168" s="178">
        <v>4545</v>
      </c>
      <c r="B1168" s="179" t="s">
        <v>456</v>
      </c>
      <c r="C1168" s="180">
        <v>90</v>
      </c>
    </row>
    <row r="1169" spans="1:3" x14ac:dyDescent="0.25">
      <c r="A1169" s="178">
        <v>4550</v>
      </c>
      <c r="B1169" s="179" t="s">
        <v>456</v>
      </c>
      <c r="C1169" s="180">
        <v>48</v>
      </c>
    </row>
    <row r="1170" spans="1:3" x14ac:dyDescent="0.25">
      <c r="A1170" s="178">
        <v>4553</v>
      </c>
      <c r="B1170" s="179" t="s">
        <v>456</v>
      </c>
      <c r="C1170" s="180">
        <v>76</v>
      </c>
    </row>
    <row r="1171" spans="1:3" x14ac:dyDescent="0.25">
      <c r="A1171" s="178">
        <v>4564</v>
      </c>
      <c r="B1171" s="179" t="s">
        <v>456</v>
      </c>
      <c r="C1171" s="180">
        <v>24</v>
      </c>
    </row>
    <row r="1172" spans="1:3" x14ac:dyDescent="0.25">
      <c r="A1172" s="178">
        <v>4568</v>
      </c>
      <c r="B1172" s="179" t="s">
        <v>456</v>
      </c>
      <c r="C1172" s="180">
        <v>72</v>
      </c>
    </row>
    <row r="1173" spans="1:3" x14ac:dyDescent="0.25">
      <c r="A1173" s="178">
        <v>4569</v>
      </c>
      <c r="B1173" s="179" t="s">
        <v>456</v>
      </c>
      <c r="C1173" s="180">
        <v>64</v>
      </c>
    </row>
    <row r="1174" spans="1:3" x14ac:dyDescent="0.25">
      <c r="A1174" s="178">
        <v>4570</v>
      </c>
      <c r="B1174" s="179" t="s">
        <v>456</v>
      </c>
      <c r="C1174" s="180">
        <v>72</v>
      </c>
    </row>
    <row r="1175" spans="1:3" x14ac:dyDescent="0.25">
      <c r="A1175" s="178">
        <v>4572</v>
      </c>
      <c r="B1175" s="179" t="s">
        <v>456</v>
      </c>
      <c r="C1175" s="180">
        <v>72</v>
      </c>
    </row>
    <row r="1176" spans="1:3" x14ac:dyDescent="0.25">
      <c r="A1176" s="178">
        <v>4576</v>
      </c>
      <c r="B1176" s="179" t="s">
        <v>456</v>
      </c>
      <c r="C1176" s="180">
        <v>72</v>
      </c>
    </row>
    <row r="1177" spans="1:3" x14ac:dyDescent="0.25">
      <c r="A1177" s="178">
        <v>4578</v>
      </c>
      <c r="B1177" s="179" t="s">
        <v>456</v>
      </c>
      <c r="C1177" s="180">
        <v>72</v>
      </c>
    </row>
    <row r="1178" spans="1:3" x14ac:dyDescent="0.25">
      <c r="A1178" s="178">
        <v>4584</v>
      </c>
      <c r="B1178" s="179" t="s">
        <v>456</v>
      </c>
      <c r="C1178" s="180">
        <v>60</v>
      </c>
    </row>
    <row r="1179" spans="1:3" x14ac:dyDescent="0.25">
      <c r="A1179" s="178">
        <v>4585</v>
      </c>
      <c r="B1179" s="179" t="s">
        <v>456</v>
      </c>
      <c r="C1179" s="180">
        <v>60</v>
      </c>
    </row>
    <row r="1180" spans="1:3" x14ac:dyDescent="0.25">
      <c r="A1180" s="178">
        <v>4586</v>
      </c>
      <c r="B1180" s="179" t="s">
        <v>456</v>
      </c>
      <c r="C1180" s="180">
        <v>60</v>
      </c>
    </row>
    <row r="1181" spans="1:3" x14ac:dyDescent="0.25">
      <c r="A1181" s="178">
        <v>4587</v>
      </c>
      <c r="B1181" s="179" t="s">
        <v>456</v>
      </c>
      <c r="C1181" s="180">
        <v>60</v>
      </c>
    </row>
    <row r="1182" spans="1:3" x14ac:dyDescent="0.25">
      <c r="A1182" s="178">
        <v>4588</v>
      </c>
      <c r="B1182" s="179" t="s">
        <v>456</v>
      </c>
      <c r="C1182" s="180">
        <v>60</v>
      </c>
    </row>
    <row r="1183" spans="1:3" x14ac:dyDescent="0.25">
      <c r="A1183" s="178">
        <v>4589</v>
      </c>
      <c r="B1183" s="179" t="s">
        <v>456</v>
      </c>
      <c r="C1183" s="180">
        <v>60</v>
      </c>
    </row>
    <row r="1184" spans="1:3" x14ac:dyDescent="0.25">
      <c r="A1184" s="178">
        <v>4590</v>
      </c>
      <c r="B1184" s="179" t="s">
        <v>456</v>
      </c>
      <c r="C1184" s="180">
        <v>60</v>
      </c>
    </row>
    <row r="1185" spans="1:3" x14ac:dyDescent="0.25">
      <c r="A1185" s="178">
        <v>4591</v>
      </c>
      <c r="B1185" s="179" t="s">
        <v>456</v>
      </c>
      <c r="C1185" s="180">
        <v>60</v>
      </c>
    </row>
    <row r="1186" spans="1:3" x14ac:dyDescent="0.25">
      <c r="A1186" s="178">
        <v>4592</v>
      </c>
      <c r="B1186" s="179" t="s">
        <v>456</v>
      </c>
      <c r="C1186" s="180">
        <v>60</v>
      </c>
    </row>
    <row r="1187" spans="1:3" x14ac:dyDescent="0.25">
      <c r="A1187" s="178">
        <v>4593</v>
      </c>
      <c r="B1187" s="179" t="s">
        <v>456</v>
      </c>
      <c r="C1187" s="180">
        <v>60</v>
      </c>
    </row>
    <row r="1188" spans="1:3" x14ac:dyDescent="0.25">
      <c r="A1188" s="178">
        <v>4594</v>
      </c>
      <c r="B1188" s="179" t="s">
        <v>456</v>
      </c>
      <c r="C1188" s="180">
        <v>96</v>
      </c>
    </row>
    <row r="1189" spans="1:3" x14ac:dyDescent="0.25">
      <c r="A1189" s="178">
        <v>4595</v>
      </c>
      <c r="B1189" s="179" t="s">
        <v>456</v>
      </c>
      <c r="C1189" s="180">
        <v>96</v>
      </c>
    </row>
    <row r="1190" spans="1:3" x14ac:dyDescent="0.25">
      <c r="A1190" s="178">
        <v>4597</v>
      </c>
      <c r="B1190" s="179" t="s">
        <v>456</v>
      </c>
      <c r="C1190" s="180">
        <v>60</v>
      </c>
    </row>
    <row r="1191" spans="1:3" x14ac:dyDescent="0.25">
      <c r="A1191" s="178">
        <v>4598</v>
      </c>
      <c r="B1191" s="179" t="s">
        <v>456</v>
      </c>
      <c r="C1191" s="180">
        <v>96</v>
      </c>
    </row>
    <row r="1192" spans="1:3" x14ac:dyDescent="0.25">
      <c r="A1192" s="178">
        <v>4599</v>
      </c>
      <c r="B1192" s="179" t="s">
        <v>456</v>
      </c>
      <c r="C1192" s="180">
        <v>96</v>
      </c>
    </row>
    <row r="1193" spans="1:3" x14ac:dyDescent="0.25">
      <c r="A1193" s="178">
        <v>4600</v>
      </c>
      <c r="B1193" s="179" t="s">
        <v>456</v>
      </c>
      <c r="C1193" s="180">
        <v>96</v>
      </c>
    </row>
    <row r="1194" spans="1:3" x14ac:dyDescent="0.25">
      <c r="A1194" s="178">
        <v>4601</v>
      </c>
      <c r="B1194" s="179" t="s">
        <v>456</v>
      </c>
      <c r="C1194" s="180">
        <v>160</v>
      </c>
    </row>
    <row r="1195" spans="1:3" x14ac:dyDescent="0.25">
      <c r="A1195" s="178">
        <v>4602</v>
      </c>
      <c r="B1195" s="179" t="s">
        <v>456</v>
      </c>
      <c r="C1195" s="180">
        <v>160</v>
      </c>
    </row>
    <row r="1196" spans="1:3" x14ac:dyDescent="0.25">
      <c r="A1196" s="178">
        <v>4604</v>
      </c>
      <c r="B1196" s="179" t="s">
        <v>456</v>
      </c>
      <c r="C1196" s="180">
        <v>54</v>
      </c>
    </row>
    <row r="1197" spans="1:3" x14ac:dyDescent="0.25">
      <c r="A1197" s="178">
        <v>4607</v>
      </c>
      <c r="B1197" s="179" t="s">
        <v>456</v>
      </c>
      <c r="C1197" s="180">
        <v>54</v>
      </c>
    </row>
    <row r="1198" spans="1:3" x14ac:dyDescent="0.25">
      <c r="A1198" s="178">
        <v>4611</v>
      </c>
      <c r="B1198" s="179" t="s">
        <v>456</v>
      </c>
      <c r="C1198" s="180">
        <v>54</v>
      </c>
    </row>
    <row r="1199" spans="1:3" x14ac:dyDescent="0.25">
      <c r="A1199" s="178">
        <v>4625</v>
      </c>
      <c r="B1199" s="179" t="s">
        <v>456</v>
      </c>
      <c r="C1199" s="180">
        <v>66</v>
      </c>
    </row>
    <row r="1200" spans="1:3" x14ac:dyDescent="0.25">
      <c r="A1200" s="178">
        <v>4627</v>
      </c>
      <c r="B1200" s="179" t="s">
        <v>456</v>
      </c>
      <c r="C1200" s="180">
        <v>66</v>
      </c>
    </row>
    <row r="1201" spans="1:3" x14ac:dyDescent="0.25">
      <c r="A1201" s="178">
        <v>4629</v>
      </c>
      <c r="B1201" s="179" t="s">
        <v>456</v>
      </c>
      <c r="C1201" s="180">
        <v>66</v>
      </c>
    </row>
    <row r="1202" spans="1:3" x14ac:dyDescent="0.25">
      <c r="A1202" s="178">
        <v>4633</v>
      </c>
      <c r="B1202" s="179" t="s">
        <v>456</v>
      </c>
      <c r="C1202" s="180">
        <v>66</v>
      </c>
    </row>
    <row r="1203" spans="1:3" x14ac:dyDescent="0.25">
      <c r="A1203" s="178">
        <v>4697</v>
      </c>
      <c r="B1203" s="179" t="s">
        <v>456</v>
      </c>
      <c r="C1203" s="180">
        <v>54</v>
      </c>
    </row>
    <row r="1204" spans="1:3" x14ac:dyDescent="0.25">
      <c r="A1204" s="178">
        <v>4727</v>
      </c>
      <c r="B1204" s="179" t="s">
        <v>456</v>
      </c>
      <c r="C1204" s="180">
        <v>63</v>
      </c>
    </row>
    <row r="1205" spans="1:3" x14ac:dyDescent="0.25">
      <c r="A1205" s="178">
        <v>4730</v>
      </c>
      <c r="B1205" s="179" t="s">
        <v>456</v>
      </c>
      <c r="C1205" s="180">
        <v>300</v>
      </c>
    </row>
    <row r="1206" spans="1:3" x14ac:dyDescent="0.25">
      <c r="A1206" s="178">
        <v>4731</v>
      </c>
      <c r="B1206" s="179" t="s">
        <v>456</v>
      </c>
      <c r="C1206" s="180">
        <v>300</v>
      </c>
    </row>
    <row r="1207" spans="1:3" x14ac:dyDescent="0.25">
      <c r="A1207" s="178">
        <v>4739</v>
      </c>
      <c r="B1207" s="179" t="s">
        <v>456</v>
      </c>
      <c r="C1207" s="180">
        <v>56</v>
      </c>
    </row>
    <row r="1208" spans="1:3" x14ac:dyDescent="0.25">
      <c r="A1208" s="178">
        <v>4740</v>
      </c>
      <c r="B1208" s="179" t="s">
        <v>456</v>
      </c>
      <c r="C1208" s="180">
        <v>56</v>
      </c>
    </row>
    <row r="1209" spans="1:3" x14ac:dyDescent="0.25">
      <c r="A1209" s="178">
        <v>4742</v>
      </c>
      <c r="B1209" s="179" t="s">
        <v>456</v>
      </c>
      <c r="C1209" s="180">
        <v>63</v>
      </c>
    </row>
    <row r="1210" spans="1:3" x14ac:dyDescent="0.25">
      <c r="A1210" s="178">
        <v>4747</v>
      </c>
      <c r="B1210" s="179" t="s">
        <v>456</v>
      </c>
      <c r="C1210" s="180">
        <v>63</v>
      </c>
    </row>
    <row r="1211" spans="1:3" x14ac:dyDescent="0.25">
      <c r="A1211" s="178">
        <v>4749</v>
      </c>
      <c r="B1211" s="179" t="s">
        <v>456</v>
      </c>
      <c r="C1211" s="180">
        <v>63</v>
      </c>
    </row>
    <row r="1212" spans="1:3" x14ac:dyDescent="0.25">
      <c r="A1212" s="178">
        <v>4750</v>
      </c>
      <c r="B1212" s="179" t="s">
        <v>456</v>
      </c>
      <c r="C1212" s="180">
        <v>63</v>
      </c>
    </row>
    <row r="1213" spans="1:3" x14ac:dyDescent="0.25">
      <c r="A1213" s="178">
        <v>4757</v>
      </c>
      <c r="B1213" s="179" t="s">
        <v>456</v>
      </c>
      <c r="C1213" s="180">
        <v>63</v>
      </c>
    </row>
    <row r="1214" spans="1:3" x14ac:dyDescent="0.25">
      <c r="A1214" s="178">
        <v>4764</v>
      </c>
      <c r="B1214" s="179" t="s">
        <v>456</v>
      </c>
      <c r="C1214" s="180">
        <v>63</v>
      </c>
    </row>
    <row r="1215" spans="1:3" x14ac:dyDescent="0.25">
      <c r="A1215" s="178">
        <v>4766</v>
      </c>
      <c r="B1215" s="179" t="s">
        <v>456</v>
      </c>
      <c r="C1215" s="180">
        <v>63</v>
      </c>
    </row>
    <row r="1216" spans="1:3" x14ac:dyDescent="0.25">
      <c r="A1216" s="178">
        <v>4767</v>
      </c>
      <c r="B1216" s="179" t="s">
        <v>456</v>
      </c>
      <c r="C1216" s="180">
        <v>63</v>
      </c>
    </row>
    <row r="1217" spans="1:3" x14ac:dyDescent="0.25">
      <c r="A1217" s="178">
        <v>4773</v>
      </c>
      <c r="B1217" s="179" t="s">
        <v>456</v>
      </c>
      <c r="C1217" s="180">
        <v>64</v>
      </c>
    </row>
    <row r="1218" spans="1:3" x14ac:dyDescent="0.25">
      <c r="A1218" s="178">
        <v>4824</v>
      </c>
      <c r="B1218" s="179" t="s">
        <v>456</v>
      </c>
      <c r="C1218" s="180">
        <v>250</v>
      </c>
    </row>
    <row r="1219" spans="1:3" x14ac:dyDescent="0.25">
      <c r="A1219" s="178">
        <v>4825</v>
      </c>
      <c r="B1219" s="179" t="s">
        <v>456</v>
      </c>
      <c r="C1219" s="180">
        <v>110</v>
      </c>
    </row>
    <row r="1220" spans="1:3" x14ac:dyDescent="0.25">
      <c r="A1220" s="178">
        <v>4828</v>
      </c>
      <c r="B1220" s="179" t="s">
        <v>456</v>
      </c>
      <c r="C1220" s="180">
        <v>60</v>
      </c>
    </row>
    <row r="1221" spans="1:3" x14ac:dyDescent="0.25">
      <c r="A1221" s="178">
        <v>4847</v>
      </c>
      <c r="B1221" s="179" t="s">
        <v>456</v>
      </c>
      <c r="C1221" s="180">
        <v>250</v>
      </c>
    </row>
    <row r="1222" spans="1:3" x14ac:dyDescent="0.25">
      <c r="A1222" s="178">
        <v>4850</v>
      </c>
      <c r="B1222" s="179" t="s">
        <v>456</v>
      </c>
      <c r="C1222" s="180">
        <v>280</v>
      </c>
    </row>
    <row r="1223" spans="1:3" x14ac:dyDescent="0.25">
      <c r="A1223" s="178">
        <v>4868</v>
      </c>
      <c r="B1223" s="179" t="s">
        <v>456</v>
      </c>
      <c r="C1223" s="180">
        <v>48</v>
      </c>
    </row>
    <row r="1224" spans="1:3" x14ac:dyDescent="0.25">
      <c r="A1224" s="178">
        <v>4869</v>
      </c>
      <c r="B1224" s="179" t="s">
        <v>456</v>
      </c>
      <c r="C1224" s="180">
        <v>48</v>
      </c>
    </row>
    <row r="1225" spans="1:3" x14ac:dyDescent="0.25">
      <c r="A1225" s="178">
        <v>4870</v>
      </c>
      <c r="B1225" s="179" t="s">
        <v>456</v>
      </c>
      <c r="C1225" s="180">
        <v>48</v>
      </c>
    </row>
    <row r="1226" spans="1:3" x14ac:dyDescent="0.25">
      <c r="A1226" s="178">
        <v>4888</v>
      </c>
      <c r="B1226" s="179" t="s">
        <v>456</v>
      </c>
      <c r="C1226" s="180">
        <v>300</v>
      </c>
    </row>
    <row r="1227" spans="1:3" x14ac:dyDescent="0.25">
      <c r="A1227" s="178">
        <v>4889</v>
      </c>
      <c r="B1227" s="179" t="s">
        <v>456</v>
      </c>
      <c r="C1227" s="180">
        <v>63</v>
      </c>
    </row>
    <row r="1228" spans="1:3" x14ac:dyDescent="0.25">
      <c r="A1228" s="178">
        <v>4900</v>
      </c>
      <c r="B1228" s="179" t="s">
        <v>456</v>
      </c>
      <c r="C1228" s="180">
        <v>300</v>
      </c>
    </row>
    <row r="1229" spans="1:3" x14ac:dyDescent="0.25">
      <c r="A1229" s="178">
        <v>4915</v>
      </c>
      <c r="B1229" s="179" t="s">
        <v>456</v>
      </c>
      <c r="C1229" s="180">
        <v>1</v>
      </c>
    </row>
    <row r="1230" spans="1:3" x14ac:dyDescent="0.25">
      <c r="A1230" s="178">
        <v>4922</v>
      </c>
      <c r="B1230" s="179" t="s">
        <v>456</v>
      </c>
      <c r="C1230" s="180">
        <v>1</v>
      </c>
    </row>
    <row r="1231" spans="1:3" x14ac:dyDescent="0.25">
      <c r="A1231" s="178">
        <v>4931</v>
      </c>
      <c r="B1231" s="179" t="s">
        <v>456</v>
      </c>
      <c r="C1231" s="180">
        <v>15</v>
      </c>
    </row>
    <row r="1232" spans="1:3" x14ac:dyDescent="0.25">
      <c r="A1232" s="178">
        <v>4940</v>
      </c>
      <c r="B1232" s="179" t="s">
        <v>456</v>
      </c>
      <c r="C1232" s="180">
        <v>216</v>
      </c>
    </row>
    <row r="1233" spans="1:3" x14ac:dyDescent="0.25">
      <c r="A1233" s="178">
        <v>4941</v>
      </c>
      <c r="B1233" s="179" t="s">
        <v>456</v>
      </c>
      <c r="C1233" s="180">
        <v>216</v>
      </c>
    </row>
    <row r="1234" spans="1:3" x14ac:dyDescent="0.25">
      <c r="A1234" s="178">
        <v>4942</v>
      </c>
      <c r="B1234" s="179" t="s">
        <v>456</v>
      </c>
      <c r="C1234" s="180">
        <v>216</v>
      </c>
    </row>
    <row r="1235" spans="1:3" x14ac:dyDescent="0.25">
      <c r="A1235" s="178">
        <v>4943</v>
      </c>
      <c r="B1235" s="179" t="s">
        <v>456</v>
      </c>
      <c r="C1235" s="180">
        <v>216</v>
      </c>
    </row>
    <row r="1236" spans="1:3" x14ac:dyDescent="0.25">
      <c r="A1236" s="178">
        <v>4944</v>
      </c>
      <c r="B1236" s="179" t="s">
        <v>456</v>
      </c>
      <c r="C1236" s="180">
        <v>216</v>
      </c>
    </row>
    <row r="1237" spans="1:3" x14ac:dyDescent="0.25">
      <c r="A1237" s="178">
        <v>4952</v>
      </c>
      <c r="B1237" s="179" t="s">
        <v>456</v>
      </c>
      <c r="C1237" s="180">
        <v>216</v>
      </c>
    </row>
    <row r="1238" spans="1:3" x14ac:dyDescent="0.25">
      <c r="A1238" s="178">
        <v>4953</v>
      </c>
      <c r="B1238" s="179" t="s">
        <v>456</v>
      </c>
      <c r="C1238" s="180">
        <v>216</v>
      </c>
    </row>
    <row r="1239" spans="1:3" x14ac:dyDescent="0.25">
      <c r="A1239" s="178">
        <v>4954</v>
      </c>
      <c r="B1239" s="179" t="s">
        <v>456</v>
      </c>
      <c r="C1239" s="180">
        <v>216</v>
      </c>
    </row>
    <row r="1240" spans="1:3" x14ac:dyDescent="0.25">
      <c r="A1240" s="178">
        <v>4955</v>
      </c>
      <c r="B1240" s="179" t="s">
        <v>456</v>
      </c>
      <c r="C1240" s="180">
        <v>216</v>
      </c>
    </row>
    <row r="1241" spans="1:3" x14ac:dyDescent="0.25">
      <c r="A1241" s="178">
        <v>4956</v>
      </c>
      <c r="B1241" s="179" t="s">
        <v>456</v>
      </c>
      <c r="C1241" s="180">
        <v>216</v>
      </c>
    </row>
    <row r="1242" spans="1:3" x14ac:dyDescent="0.25">
      <c r="A1242" s="178">
        <v>4957</v>
      </c>
      <c r="B1242" s="179" t="s">
        <v>456</v>
      </c>
      <c r="C1242" s="180">
        <v>216</v>
      </c>
    </row>
    <row r="1243" spans="1:3" x14ac:dyDescent="0.25">
      <c r="A1243" s="178">
        <v>4958</v>
      </c>
      <c r="B1243" s="179" t="s">
        <v>456</v>
      </c>
      <c r="C1243" s="180">
        <v>64</v>
      </c>
    </row>
    <row r="1244" spans="1:3" x14ac:dyDescent="0.25">
      <c r="A1244" s="178">
        <v>4959</v>
      </c>
      <c r="B1244" s="179" t="s">
        <v>456</v>
      </c>
      <c r="C1244" s="180">
        <v>64</v>
      </c>
    </row>
    <row r="1245" spans="1:3" x14ac:dyDescent="0.25">
      <c r="A1245" s="178">
        <v>4960</v>
      </c>
      <c r="B1245" s="179" t="s">
        <v>456</v>
      </c>
      <c r="C1245" s="180">
        <v>64</v>
      </c>
    </row>
    <row r="1246" spans="1:3" x14ac:dyDescent="0.25">
      <c r="A1246" s="178">
        <v>4961</v>
      </c>
      <c r="B1246" s="179" t="s">
        <v>456</v>
      </c>
      <c r="C1246" s="180">
        <v>64</v>
      </c>
    </row>
    <row r="1247" spans="1:3" x14ac:dyDescent="0.25">
      <c r="A1247" s="178">
        <v>4962</v>
      </c>
      <c r="B1247" s="179" t="s">
        <v>456</v>
      </c>
      <c r="C1247" s="180">
        <v>64</v>
      </c>
    </row>
    <row r="1248" spans="1:3" x14ac:dyDescent="0.25">
      <c r="A1248" s="178">
        <v>4963</v>
      </c>
      <c r="B1248" s="179" t="s">
        <v>456</v>
      </c>
      <c r="C1248" s="180">
        <v>64</v>
      </c>
    </row>
    <row r="1249" spans="1:3" x14ac:dyDescent="0.25">
      <c r="A1249" s="178">
        <v>4964</v>
      </c>
      <c r="B1249" s="179" t="s">
        <v>456</v>
      </c>
      <c r="C1249" s="180">
        <v>64</v>
      </c>
    </row>
    <row r="1250" spans="1:3" x14ac:dyDescent="0.25">
      <c r="A1250" s="178">
        <v>4965</v>
      </c>
      <c r="B1250" s="179" t="s">
        <v>456</v>
      </c>
      <c r="C1250" s="180">
        <v>108</v>
      </c>
    </row>
    <row r="1251" spans="1:3" x14ac:dyDescent="0.25">
      <c r="A1251" s="178">
        <v>4966</v>
      </c>
      <c r="B1251" s="179" t="s">
        <v>456</v>
      </c>
      <c r="C1251" s="180">
        <v>108</v>
      </c>
    </row>
    <row r="1252" spans="1:3" x14ac:dyDescent="0.25">
      <c r="A1252" s="178">
        <v>4967</v>
      </c>
      <c r="B1252" s="179" t="s">
        <v>456</v>
      </c>
      <c r="C1252" s="180">
        <v>108</v>
      </c>
    </row>
    <row r="1253" spans="1:3" x14ac:dyDescent="0.25">
      <c r="A1253" s="178">
        <v>4968</v>
      </c>
      <c r="B1253" s="179" t="s">
        <v>456</v>
      </c>
      <c r="C1253" s="180">
        <v>108</v>
      </c>
    </row>
    <row r="1254" spans="1:3" x14ac:dyDescent="0.25">
      <c r="A1254" s="178">
        <v>4969</v>
      </c>
      <c r="B1254" s="179" t="s">
        <v>456</v>
      </c>
      <c r="C1254" s="180">
        <v>108</v>
      </c>
    </row>
    <row r="1255" spans="1:3" x14ac:dyDescent="0.25">
      <c r="A1255" s="178">
        <v>4970</v>
      </c>
      <c r="B1255" s="179" t="s">
        <v>456</v>
      </c>
      <c r="C1255" s="180">
        <v>108</v>
      </c>
    </row>
    <row r="1256" spans="1:3" x14ac:dyDescent="0.25">
      <c r="A1256" s="178">
        <v>4976</v>
      </c>
      <c r="B1256" s="179" t="s">
        <v>456</v>
      </c>
      <c r="C1256" s="180">
        <v>63</v>
      </c>
    </row>
    <row r="1257" spans="1:3" x14ac:dyDescent="0.25">
      <c r="A1257" s="178">
        <v>4980</v>
      </c>
      <c r="B1257" s="179" t="s">
        <v>456</v>
      </c>
      <c r="C1257" s="180">
        <v>195</v>
      </c>
    </row>
    <row r="1258" spans="1:3" x14ac:dyDescent="0.25">
      <c r="A1258" s="178">
        <v>4981</v>
      </c>
      <c r="B1258" s="179" t="s">
        <v>456</v>
      </c>
      <c r="C1258" s="180">
        <v>195</v>
      </c>
    </row>
    <row r="1259" spans="1:3" x14ac:dyDescent="0.25">
      <c r="A1259" s="178">
        <v>4982</v>
      </c>
      <c r="B1259" s="179" t="s">
        <v>456</v>
      </c>
      <c r="C1259" s="180">
        <v>108</v>
      </c>
    </row>
    <row r="1260" spans="1:3" x14ac:dyDescent="0.25">
      <c r="A1260" s="178">
        <v>4983</v>
      </c>
      <c r="B1260" s="179" t="s">
        <v>456</v>
      </c>
      <c r="C1260" s="180">
        <v>108</v>
      </c>
    </row>
    <row r="1261" spans="1:3" x14ac:dyDescent="0.25">
      <c r="A1261" s="178">
        <v>4984</v>
      </c>
      <c r="B1261" s="179" t="s">
        <v>456</v>
      </c>
      <c r="C1261" s="180">
        <v>108</v>
      </c>
    </row>
    <row r="1262" spans="1:3" x14ac:dyDescent="0.25">
      <c r="A1262" s="178">
        <v>4985</v>
      </c>
      <c r="B1262" s="179" t="s">
        <v>456</v>
      </c>
      <c r="C1262" s="180">
        <v>108</v>
      </c>
    </row>
    <row r="1263" spans="1:3" x14ac:dyDescent="0.25">
      <c r="A1263" s="178">
        <v>4986</v>
      </c>
      <c r="B1263" s="179" t="s">
        <v>456</v>
      </c>
      <c r="C1263" s="180">
        <v>108</v>
      </c>
    </row>
    <row r="1264" spans="1:3" x14ac:dyDescent="0.25">
      <c r="A1264" s="178">
        <v>4987</v>
      </c>
      <c r="B1264" s="179" t="s">
        <v>456</v>
      </c>
      <c r="C1264" s="180">
        <v>108</v>
      </c>
    </row>
    <row r="1265" spans="1:3" x14ac:dyDescent="0.25">
      <c r="A1265" s="178">
        <v>4988</v>
      </c>
      <c r="B1265" s="179" t="s">
        <v>456</v>
      </c>
      <c r="C1265" s="180">
        <v>108</v>
      </c>
    </row>
    <row r="1266" spans="1:3" x14ac:dyDescent="0.25">
      <c r="A1266" s="178">
        <v>4989</v>
      </c>
      <c r="B1266" s="179" t="s">
        <v>456</v>
      </c>
      <c r="C1266" s="180">
        <v>90</v>
      </c>
    </row>
    <row r="1267" spans="1:3" x14ac:dyDescent="0.25">
      <c r="A1267" s="178">
        <v>4990</v>
      </c>
      <c r="B1267" s="179" t="s">
        <v>456</v>
      </c>
      <c r="C1267" s="180">
        <v>90</v>
      </c>
    </row>
    <row r="1268" spans="1:3" x14ac:dyDescent="0.25">
      <c r="A1268" s="178">
        <v>4992</v>
      </c>
      <c r="B1268" s="179" t="s">
        <v>456</v>
      </c>
      <c r="C1268" s="180">
        <v>90</v>
      </c>
    </row>
    <row r="1269" spans="1:3" x14ac:dyDescent="0.25">
      <c r="A1269" s="178">
        <v>4993</v>
      </c>
      <c r="B1269" s="179" t="s">
        <v>456</v>
      </c>
      <c r="C1269" s="180">
        <v>90</v>
      </c>
    </row>
    <row r="1270" spans="1:3" x14ac:dyDescent="0.25">
      <c r="A1270" s="178">
        <v>4994</v>
      </c>
      <c r="B1270" s="179" t="s">
        <v>456</v>
      </c>
      <c r="C1270" s="180">
        <v>90</v>
      </c>
    </row>
    <row r="1271" spans="1:3" x14ac:dyDescent="0.25">
      <c r="A1271" s="178">
        <v>4995</v>
      </c>
      <c r="B1271" s="179" t="s">
        <v>456</v>
      </c>
      <c r="C1271" s="180">
        <v>90</v>
      </c>
    </row>
    <row r="1272" spans="1:3" x14ac:dyDescent="0.25">
      <c r="A1272" s="178">
        <v>4997</v>
      </c>
      <c r="B1272" s="179" t="s">
        <v>456</v>
      </c>
      <c r="C1272" s="180">
        <v>48</v>
      </c>
    </row>
    <row r="1273" spans="1:3" x14ac:dyDescent="0.25">
      <c r="A1273" s="178">
        <v>4998</v>
      </c>
      <c r="B1273" s="179" t="s">
        <v>456</v>
      </c>
      <c r="C1273" s="180">
        <v>48</v>
      </c>
    </row>
    <row r="1274" spans="1:3" x14ac:dyDescent="0.25">
      <c r="A1274" s="178">
        <v>4999</v>
      </c>
      <c r="B1274" s="179" t="s">
        <v>456</v>
      </c>
      <c r="C1274" s="180">
        <v>48</v>
      </c>
    </row>
    <row r="1275" spans="1:3" x14ac:dyDescent="0.25">
      <c r="A1275" s="178">
        <v>5001</v>
      </c>
      <c r="B1275" s="179" t="s">
        <v>456</v>
      </c>
      <c r="C1275" s="180">
        <v>63</v>
      </c>
    </row>
    <row r="1276" spans="1:3" x14ac:dyDescent="0.25">
      <c r="A1276" s="178">
        <v>5002</v>
      </c>
      <c r="B1276" s="179" t="s">
        <v>456</v>
      </c>
      <c r="C1276" s="180">
        <v>63</v>
      </c>
    </row>
    <row r="1277" spans="1:3" x14ac:dyDescent="0.25">
      <c r="A1277" s="178">
        <v>5009</v>
      </c>
      <c r="B1277" s="179" t="s">
        <v>456</v>
      </c>
      <c r="C1277" s="180">
        <v>90</v>
      </c>
    </row>
    <row r="1278" spans="1:3" x14ac:dyDescent="0.25">
      <c r="A1278" s="178">
        <v>5011</v>
      </c>
      <c r="B1278" s="179" t="s">
        <v>456</v>
      </c>
      <c r="C1278" s="180">
        <v>90</v>
      </c>
    </row>
    <row r="1279" spans="1:3" x14ac:dyDescent="0.25">
      <c r="A1279" s="178">
        <v>5027</v>
      </c>
      <c r="B1279" s="179" t="s">
        <v>456</v>
      </c>
      <c r="C1279" s="180">
        <v>42</v>
      </c>
    </row>
    <row r="1280" spans="1:3" x14ac:dyDescent="0.25">
      <c r="A1280" s="178">
        <v>5028</v>
      </c>
      <c r="B1280" s="179" t="s">
        <v>456</v>
      </c>
      <c r="C1280" s="180">
        <v>42</v>
      </c>
    </row>
    <row r="1281" spans="1:3" x14ac:dyDescent="0.25">
      <c r="A1281" s="178">
        <v>5029</v>
      </c>
      <c r="B1281" s="179" t="s">
        <v>456</v>
      </c>
      <c r="C1281" s="180">
        <v>1</v>
      </c>
    </row>
    <row r="1282" spans="1:3" x14ac:dyDescent="0.25">
      <c r="A1282" s="178">
        <v>5033</v>
      </c>
      <c r="B1282" s="179" t="s">
        <v>456</v>
      </c>
      <c r="C1282" s="180">
        <v>1</v>
      </c>
    </row>
    <row r="1283" spans="1:3" x14ac:dyDescent="0.25">
      <c r="A1283" s="178">
        <v>5036</v>
      </c>
      <c r="B1283" s="179" t="s">
        <v>456</v>
      </c>
      <c r="C1283" s="180">
        <v>24</v>
      </c>
    </row>
    <row r="1284" spans="1:3" x14ac:dyDescent="0.25">
      <c r="A1284" s="178">
        <v>5038</v>
      </c>
      <c r="B1284" s="179" t="s">
        <v>456</v>
      </c>
      <c r="C1284" s="180">
        <v>36</v>
      </c>
    </row>
    <row r="1285" spans="1:3" x14ac:dyDescent="0.25">
      <c r="A1285" s="178">
        <v>5071</v>
      </c>
      <c r="B1285" s="179" t="s">
        <v>456</v>
      </c>
      <c r="C1285" s="180">
        <v>56</v>
      </c>
    </row>
    <row r="1286" spans="1:3" x14ac:dyDescent="0.25">
      <c r="A1286" s="178">
        <v>5072</v>
      </c>
      <c r="B1286" s="179" t="s">
        <v>456</v>
      </c>
      <c r="C1286" s="180">
        <v>56</v>
      </c>
    </row>
    <row r="1287" spans="1:3" x14ac:dyDescent="0.25">
      <c r="A1287" s="178">
        <v>5073</v>
      </c>
      <c r="B1287" s="179" t="s">
        <v>456</v>
      </c>
      <c r="C1287" s="180">
        <v>48</v>
      </c>
    </row>
    <row r="1288" spans="1:3" x14ac:dyDescent="0.25">
      <c r="A1288" s="178">
        <v>5075</v>
      </c>
      <c r="B1288" s="179" t="s">
        <v>456</v>
      </c>
      <c r="C1288" s="180">
        <v>48</v>
      </c>
    </row>
    <row r="1289" spans="1:3" x14ac:dyDescent="0.25">
      <c r="A1289" s="178">
        <v>5076</v>
      </c>
      <c r="B1289" s="179" t="s">
        <v>456</v>
      </c>
      <c r="C1289" s="180">
        <v>56</v>
      </c>
    </row>
    <row r="1290" spans="1:3" x14ac:dyDescent="0.25">
      <c r="A1290" s="178">
        <v>5078</v>
      </c>
      <c r="B1290" s="179" t="s">
        <v>456</v>
      </c>
      <c r="C1290" s="180">
        <v>56</v>
      </c>
    </row>
    <row r="1291" spans="1:3" x14ac:dyDescent="0.25">
      <c r="A1291" s="178">
        <v>5081</v>
      </c>
      <c r="B1291" s="179" t="s">
        <v>456</v>
      </c>
      <c r="C1291" s="180">
        <v>56</v>
      </c>
    </row>
    <row r="1292" spans="1:3" x14ac:dyDescent="0.25">
      <c r="A1292" s="178">
        <v>5084</v>
      </c>
      <c r="B1292" s="179" t="s">
        <v>456</v>
      </c>
      <c r="C1292" s="180">
        <v>56</v>
      </c>
    </row>
    <row r="1293" spans="1:3" x14ac:dyDescent="0.25">
      <c r="A1293" s="178">
        <v>5085</v>
      </c>
      <c r="B1293" s="179" t="s">
        <v>456</v>
      </c>
      <c r="C1293" s="180">
        <v>56</v>
      </c>
    </row>
    <row r="1294" spans="1:3" x14ac:dyDescent="0.25">
      <c r="A1294" s="178">
        <v>5087</v>
      </c>
      <c r="B1294" s="179" t="s">
        <v>456</v>
      </c>
      <c r="C1294" s="180">
        <v>1</v>
      </c>
    </row>
    <row r="1295" spans="1:3" x14ac:dyDescent="0.25">
      <c r="A1295" s="178">
        <v>5088</v>
      </c>
      <c r="B1295" s="179" t="s">
        <v>456</v>
      </c>
      <c r="C1295" s="180">
        <v>56</v>
      </c>
    </row>
    <row r="1296" spans="1:3" x14ac:dyDescent="0.25">
      <c r="A1296" s="178">
        <v>5091</v>
      </c>
      <c r="B1296" s="179" t="s">
        <v>456</v>
      </c>
      <c r="C1296" s="180">
        <v>56</v>
      </c>
    </row>
    <row r="1297" spans="1:3" x14ac:dyDescent="0.25">
      <c r="A1297" s="178">
        <v>5094</v>
      </c>
      <c r="B1297" s="179" t="s">
        <v>456</v>
      </c>
      <c r="C1297" s="180">
        <v>56</v>
      </c>
    </row>
    <row r="1298" spans="1:3" x14ac:dyDescent="0.25">
      <c r="A1298" s="178">
        <v>5096</v>
      </c>
      <c r="B1298" s="179" t="s">
        <v>456</v>
      </c>
      <c r="C1298" s="180">
        <v>56</v>
      </c>
    </row>
    <row r="1299" spans="1:3" x14ac:dyDescent="0.25">
      <c r="A1299" s="178">
        <v>5101</v>
      </c>
      <c r="B1299" s="179" t="s">
        <v>456</v>
      </c>
      <c r="C1299" s="180">
        <v>1</v>
      </c>
    </row>
    <row r="1300" spans="1:3" x14ac:dyDescent="0.25">
      <c r="A1300" s="178">
        <v>5102</v>
      </c>
      <c r="B1300" s="179" t="s">
        <v>456</v>
      </c>
      <c r="C1300" s="180">
        <v>1</v>
      </c>
    </row>
    <row r="1301" spans="1:3" x14ac:dyDescent="0.25">
      <c r="A1301" s="178">
        <v>5103</v>
      </c>
      <c r="B1301" s="179" t="s">
        <v>456</v>
      </c>
      <c r="C1301" s="180">
        <v>72</v>
      </c>
    </row>
    <row r="1302" spans="1:3" x14ac:dyDescent="0.25">
      <c r="A1302" s="178">
        <v>5104</v>
      </c>
      <c r="B1302" s="179" t="s">
        <v>456</v>
      </c>
      <c r="C1302" s="180">
        <v>1</v>
      </c>
    </row>
    <row r="1303" spans="1:3" x14ac:dyDescent="0.25">
      <c r="A1303" s="178">
        <v>5105</v>
      </c>
      <c r="B1303" s="179" t="s">
        <v>456</v>
      </c>
      <c r="C1303" s="180">
        <v>1</v>
      </c>
    </row>
    <row r="1304" spans="1:3" x14ac:dyDescent="0.25">
      <c r="A1304" s="178">
        <v>5106</v>
      </c>
      <c r="B1304" s="179" t="s">
        <v>456</v>
      </c>
      <c r="C1304" s="180">
        <v>1</v>
      </c>
    </row>
    <row r="1305" spans="1:3" x14ac:dyDescent="0.25">
      <c r="A1305" s="178">
        <v>5107</v>
      </c>
      <c r="B1305" s="179" t="s">
        <v>456</v>
      </c>
      <c r="C1305" s="180">
        <v>1</v>
      </c>
    </row>
    <row r="1306" spans="1:3" x14ac:dyDescent="0.25">
      <c r="A1306" s="178">
        <v>5108</v>
      </c>
      <c r="B1306" s="179" t="s">
        <v>456</v>
      </c>
      <c r="C1306" s="180">
        <v>1</v>
      </c>
    </row>
    <row r="1307" spans="1:3" x14ac:dyDescent="0.25">
      <c r="A1307" s="178">
        <v>5109</v>
      </c>
      <c r="B1307" s="179" t="s">
        <v>456</v>
      </c>
      <c r="C1307" s="180">
        <v>1</v>
      </c>
    </row>
    <row r="1308" spans="1:3" x14ac:dyDescent="0.25">
      <c r="A1308" s="178">
        <v>5112</v>
      </c>
      <c r="B1308" s="179" t="s">
        <v>456</v>
      </c>
      <c r="C1308" s="180">
        <v>1</v>
      </c>
    </row>
    <row r="1309" spans="1:3" x14ac:dyDescent="0.25">
      <c r="A1309" s="178">
        <v>5113</v>
      </c>
      <c r="B1309" s="179" t="s">
        <v>456</v>
      </c>
      <c r="C1309" s="180">
        <v>1</v>
      </c>
    </row>
    <row r="1310" spans="1:3" x14ac:dyDescent="0.25">
      <c r="A1310" s="178">
        <v>5114</v>
      </c>
      <c r="B1310" s="179" t="s">
        <v>456</v>
      </c>
      <c r="C1310" s="180">
        <v>1</v>
      </c>
    </row>
    <row r="1311" spans="1:3" x14ac:dyDescent="0.25">
      <c r="A1311" s="178">
        <v>5115</v>
      </c>
      <c r="B1311" s="179" t="s">
        <v>456</v>
      </c>
      <c r="C1311" s="180">
        <v>1</v>
      </c>
    </row>
    <row r="1312" spans="1:3" x14ac:dyDescent="0.25">
      <c r="A1312" s="178">
        <v>5116</v>
      </c>
      <c r="B1312" s="179" t="s">
        <v>456</v>
      </c>
      <c r="C1312" s="180">
        <v>1</v>
      </c>
    </row>
    <row r="1313" spans="1:3" x14ac:dyDescent="0.25">
      <c r="A1313" s="178">
        <v>5118</v>
      </c>
      <c r="B1313" s="179" t="s">
        <v>456</v>
      </c>
      <c r="C1313" s="180">
        <v>1</v>
      </c>
    </row>
    <row r="1314" spans="1:3" x14ac:dyDescent="0.25">
      <c r="A1314" s="178">
        <v>5120</v>
      </c>
      <c r="B1314" s="179" t="s">
        <v>456</v>
      </c>
      <c r="C1314" s="180">
        <v>1</v>
      </c>
    </row>
    <row r="1315" spans="1:3" x14ac:dyDescent="0.25">
      <c r="A1315" s="178">
        <v>5121</v>
      </c>
      <c r="B1315" s="179" t="s">
        <v>456</v>
      </c>
      <c r="C1315" s="180">
        <v>36</v>
      </c>
    </row>
    <row r="1316" spans="1:3" x14ac:dyDescent="0.25">
      <c r="A1316" s="178">
        <v>5123</v>
      </c>
      <c r="B1316" s="179" t="s">
        <v>456</v>
      </c>
      <c r="C1316" s="180">
        <v>36</v>
      </c>
    </row>
    <row r="1317" spans="1:3" x14ac:dyDescent="0.25">
      <c r="A1317" s="178">
        <v>5127</v>
      </c>
      <c r="B1317" s="179" t="s">
        <v>456</v>
      </c>
      <c r="C1317" s="180">
        <v>48</v>
      </c>
    </row>
    <row r="1318" spans="1:3" x14ac:dyDescent="0.25">
      <c r="A1318" s="178">
        <v>5128</v>
      </c>
      <c r="B1318" s="179" t="s">
        <v>456</v>
      </c>
      <c r="C1318" s="180">
        <v>24</v>
      </c>
    </row>
    <row r="1319" spans="1:3" x14ac:dyDescent="0.25">
      <c r="A1319" s="178">
        <v>5130</v>
      </c>
      <c r="B1319" s="179" t="s">
        <v>456</v>
      </c>
      <c r="C1319" s="180">
        <v>24</v>
      </c>
    </row>
    <row r="1320" spans="1:3" x14ac:dyDescent="0.25">
      <c r="A1320" s="178">
        <v>5133</v>
      </c>
      <c r="B1320" s="179" t="s">
        <v>456</v>
      </c>
      <c r="C1320" s="180">
        <v>48</v>
      </c>
    </row>
    <row r="1321" spans="1:3" x14ac:dyDescent="0.25">
      <c r="A1321" s="178">
        <v>5137</v>
      </c>
      <c r="B1321" s="179" t="s">
        <v>456</v>
      </c>
      <c r="C1321" s="180">
        <v>48</v>
      </c>
    </row>
    <row r="1322" spans="1:3" x14ac:dyDescent="0.25">
      <c r="A1322" s="178">
        <v>5138</v>
      </c>
      <c r="B1322" s="179" t="s">
        <v>456</v>
      </c>
      <c r="C1322" s="180">
        <v>56</v>
      </c>
    </row>
    <row r="1323" spans="1:3" x14ac:dyDescent="0.25">
      <c r="A1323" s="178">
        <v>5139</v>
      </c>
      <c r="B1323" s="179" t="s">
        <v>456</v>
      </c>
      <c r="C1323" s="180">
        <v>56</v>
      </c>
    </row>
    <row r="1324" spans="1:3" x14ac:dyDescent="0.25">
      <c r="A1324" s="178">
        <v>5140</v>
      </c>
      <c r="B1324" s="179" t="s">
        <v>456</v>
      </c>
      <c r="C1324" s="180">
        <v>48</v>
      </c>
    </row>
    <row r="1325" spans="1:3" x14ac:dyDescent="0.25">
      <c r="A1325" s="178">
        <v>5141</v>
      </c>
      <c r="B1325" s="179" t="s">
        <v>456</v>
      </c>
      <c r="C1325" s="180">
        <v>24</v>
      </c>
    </row>
    <row r="1326" spans="1:3" x14ac:dyDescent="0.25">
      <c r="A1326" s="178">
        <v>5142</v>
      </c>
      <c r="B1326" s="179" t="s">
        <v>456</v>
      </c>
      <c r="C1326" s="180">
        <v>56</v>
      </c>
    </row>
    <row r="1327" spans="1:3" x14ac:dyDescent="0.25">
      <c r="A1327" s="178">
        <v>5144</v>
      </c>
      <c r="B1327" s="179" t="s">
        <v>456</v>
      </c>
      <c r="C1327" s="180">
        <v>24</v>
      </c>
    </row>
    <row r="1328" spans="1:3" x14ac:dyDescent="0.25">
      <c r="A1328" s="178">
        <v>5145</v>
      </c>
      <c r="B1328" s="179" t="s">
        <v>456</v>
      </c>
      <c r="C1328" s="180">
        <v>24</v>
      </c>
    </row>
    <row r="1329" spans="1:3" x14ac:dyDescent="0.25">
      <c r="A1329" s="178">
        <v>5146</v>
      </c>
      <c r="B1329" s="179" t="s">
        <v>456</v>
      </c>
      <c r="C1329" s="180">
        <v>56</v>
      </c>
    </row>
    <row r="1330" spans="1:3" x14ac:dyDescent="0.25">
      <c r="A1330" s="178">
        <v>5147</v>
      </c>
      <c r="B1330" s="179" t="s">
        <v>456</v>
      </c>
      <c r="C1330" s="180">
        <v>56</v>
      </c>
    </row>
    <row r="1331" spans="1:3" x14ac:dyDescent="0.25">
      <c r="A1331" s="178">
        <v>5149</v>
      </c>
      <c r="B1331" s="179" t="s">
        <v>456</v>
      </c>
      <c r="C1331" s="180">
        <v>24</v>
      </c>
    </row>
    <row r="1332" spans="1:3" x14ac:dyDescent="0.25">
      <c r="A1332" s="178">
        <v>5151</v>
      </c>
      <c r="B1332" s="179" t="s">
        <v>456</v>
      </c>
      <c r="C1332" s="180">
        <v>77</v>
      </c>
    </row>
    <row r="1333" spans="1:3" x14ac:dyDescent="0.25">
      <c r="A1333" s="178">
        <v>5154</v>
      </c>
      <c r="B1333" s="179" t="s">
        <v>456</v>
      </c>
      <c r="C1333" s="180">
        <v>24</v>
      </c>
    </row>
    <row r="1334" spans="1:3" x14ac:dyDescent="0.25">
      <c r="A1334" s="178">
        <v>5157</v>
      </c>
      <c r="B1334" s="179" t="s">
        <v>456</v>
      </c>
      <c r="C1334" s="180">
        <v>500</v>
      </c>
    </row>
    <row r="1335" spans="1:3" x14ac:dyDescent="0.25">
      <c r="A1335" s="178">
        <v>5171</v>
      </c>
      <c r="B1335" s="179" t="s">
        <v>456</v>
      </c>
      <c r="C1335" s="180">
        <v>24</v>
      </c>
    </row>
    <row r="1336" spans="1:3" x14ac:dyDescent="0.25">
      <c r="A1336" s="178">
        <v>5177</v>
      </c>
      <c r="B1336" s="179" t="s">
        <v>456</v>
      </c>
      <c r="C1336" s="180">
        <v>500</v>
      </c>
    </row>
    <row r="1337" spans="1:3" x14ac:dyDescent="0.25">
      <c r="A1337" s="178">
        <v>5180</v>
      </c>
      <c r="B1337" s="179" t="s">
        <v>456</v>
      </c>
      <c r="C1337" s="180">
        <v>24</v>
      </c>
    </row>
    <row r="1338" spans="1:3" x14ac:dyDescent="0.25">
      <c r="A1338" s="178">
        <v>5183</v>
      </c>
      <c r="B1338" s="179" t="s">
        <v>456</v>
      </c>
      <c r="C1338" s="180">
        <v>1</v>
      </c>
    </row>
    <row r="1339" spans="1:3" x14ac:dyDescent="0.25">
      <c r="A1339" s="178">
        <v>5184</v>
      </c>
      <c r="B1339" s="179" t="s">
        <v>456</v>
      </c>
      <c r="C1339" s="180">
        <v>24</v>
      </c>
    </row>
    <row r="1340" spans="1:3" x14ac:dyDescent="0.25">
      <c r="A1340" s="178">
        <v>5191</v>
      </c>
      <c r="B1340" s="179" t="s">
        <v>456</v>
      </c>
      <c r="C1340" s="180">
        <v>24</v>
      </c>
    </row>
    <row r="1341" spans="1:3" x14ac:dyDescent="0.25">
      <c r="A1341" s="178">
        <v>5192</v>
      </c>
      <c r="B1341" s="179" t="s">
        <v>456</v>
      </c>
      <c r="C1341" s="180">
        <v>24</v>
      </c>
    </row>
    <row r="1342" spans="1:3" x14ac:dyDescent="0.25">
      <c r="A1342" s="178">
        <v>5197</v>
      </c>
      <c r="B1342" s="179" t="s">
        <v>456</v>
      </c>
      <c r="C1342" s="180">
        <v>24</v>
      </c>
    </row>
    <row r="1343" spans="1:3" x14ac:dyDescent="0.25">
      <c r="A1343" s="178">
        <v>5198</v>
      </c>
      <c r="B1343" s="179" t="s">
        <v>456</v>
      </c>
      <c r="C1343" s="180">
        <v>24</v>
      </c>
    </row>
    <row r="1344" spans="1:3" x14ac:dyDescent="0.25">
      <c r="A1344" s="178">
        <v>5201</v>
      </c>
      <c r="B1344" s="179" t="s">
        <v>456</v>
      </c>
      <c r="C1344" s="180">
        <v>24</v>
      </c>
    </row>
    <row r="1345" spans="1:3" x14ac:dyDescent="0.25">
      <c r="A1345" s="178">
        <v>5202</v>
      </c>
      <c r="B1345" s="179" t="s">
        <v>456</v>
      </c>
      <c r="C1345" s="180">
        <v>1</v>
      </c>
    </row>
    <row r="1346" spans="1:3" x14ac:dyDescent="0.25">
      <c r="A1346" s="178">
        <v>5204</v>
      </c>
      <c r="B1346" s="179" t="s">
        <v>456</v>
      </c>
      <c r="C1346" s="180">
        <v>24</v>
      </c>
    </row>
    <row r="1347" spans="1:3" x14ac:dyDescent="0.25">
      <c r="A1347" s="178">
        <v>5214</v>
      </c>
      <c r="B1347" s="179" t="s">
        <v>456</v>
      </c>
      <c r="C1347" s="180">
        <v>24</v>
      </c>
    </row>
    <row r="1348" spans="1:3" x14ac:dyDescent="0.25">
      <c r="A1348" s="178">
        <v>5223</v>
      </c>
      <c r="B1348" s="179" t="s">
        <v>456</v>
      </c>
      <c r="C1348" s="180">
        <v>24</v>
      </c>
    </row>
    <row r="1349" spans="1:3" x14ac:dyDescent="0.25">
      <c r="A1349" s="178">
        <v>5225</v>
      </c>
      <c r="B1349" s="179" t="s">
        <v>456</v>
      </c>
      <c r="C1349" s="180">
        <v>1</v>
      </c>
    </row>
    <row r="1350" spans="1:3" x14ac:dyDescent="0.25">
      <c r="A1350" s="178">
        <v>5229</v>
      </c>
      <c r="B1350" s="179" t="s">
        <v>456</v>
      </c>
      <c r="C1350" s="180">
        <v>480</v>
      </c>
    </row>
    <row r="1351" spans="1:3" x14ac:dyDescent="0.25">
      <c r="A1351" s="178">
        <v>5230</v>
      </c>
      <c r="B1351" s="179" t="s">
        <v>456</v>
      </c>
      <c r="C1351" s="180">
        <v>1</v>
      </c>
    </row>
    <row r="1352" spans="1:3" x14ac:dyDescent="0.25">
      <c r="A1352" s="178">
        <v>5235</v>
      </c>
      <c r="B1352" s="179" t="s">
        <v>456</v>
      </c>
      <c r="C1352" s="180">
        <v>24</v>
      </c>
    </row>
    <row r="1353" spans="1:3" x14ac:dyDescent="0.25">
      <c r="A1353" s="178">
        <v>5239</v>
      </c>
      <c r="B1353" s="179" t="s">
        <v>456</v>
      </c>
      <c r="C1353" s="180">
        <v>24</v>
      </c>
    </row>
    <row r="1354" spans="1:3" x14ac:dyDescent="0.25">
      <c r="A1354" s="178">
        <v>5240</v>
      </c>
      <c r="B1354" s="179" t="s">
        <v>456</v>
      </c>
      <c r="C1354" s="180">
        <v>24</v>
      </c>
    </row>
    <row r="1355" spans="1:3" x14ac:dyDescent="0.25">
      <c r="A1355" s="178">
        <v>5242</v>
      </c>
      <c r="B1355" s="179" t="s">
        <v>456</v>
      </c>
      <c r="C1355" s="180">
        <v>36</v>
      </c>
    </row>
    <row r="1356" spans="1:3" x14ac:dyDescent="0.25">
      <c r="A1356" s="178">
        <v>5245</v>
      </c>
      <c r="B1356" s="179" t="s">
        <v>456</v>
      </c>
      <c r="C1356" s="180">
        <v>24</v>
      </c>
    </row>
    <row r="1357" spans="1:3" x14ac:dyDescent="0.25">
      <c r="A1357" s="178">
        <v>5248</v>
      </c>
      <c r="B1357" s="179" t="s">
        <v>456</v>
      </c>
      <c r="C1357" s="180">
        <v>40</v>
      </c>
    </row>
    <row r="1358" spans="1:3" x14ac:dyDescent="0.25">
      <c r="A1358" s="178">
        <v>5255</v>
      </c>
      <c r="B1358" s="179" t="s">
        <v>456</v>
      </c>
      <c r="C1358" s="180">
        <v>56</v>
      </c>
    </row>
    <row r="1359" spans="1:3" x14ac:dyDescent="0.25">
      <c r="A1359" s="178">
        <v>5257</v>
      </c>
      <c r="B1359" s="179" t="s">
        <v>456</v>
      </c>
      <c r="C1359" s="180">
        <v>24</v>
      </c>
    </row>
    <row r="1360" spans="1:3" x14ac:dyDescent="0.25">
      <c r="A1360" s="178">
        <v>5264</v>
      </c>
      <c r="B1360" s="179" t="s">
        <v>456</v>
      </c>
      <c r="C1360" s="180">
        <v>40</v>
      </c>
    </row>
    <row r="1361" spans="1:3" x14ac:dyDescent="0.25">
      <c r="A1361" s="178">
        <v>5269</v>
      </c>
      <c r="B1361" s="179" t="s">
        <v>456</v>
      </c>
      <c r="C1361" s="180">
        <v>40</v>
      </c>
    </row>
    <row r="1362" spans="1:3" x14ac:dyDescent="0.25">
      <c r="A1362" s="178">
        <v>5270</v>
      </c>
      <c r="B1362" s="179" t="s">
        <v>456</v>
      </c>
      <c r="C1362" s="180">
        <v>56</v>
      </c>
    </row>
    <row r="1363" spans="1:3" x14ac:dyDescent="0.25">
      <c r="A1363" s="178">
        <v>5271</v>
      </c>
      <c r="B1363" s="179" t="s">
        <v>456</v>
      </c>
      <c r="C1363" s="180">
        <v>48</v>
      </c>
    </row>
    <row r="1364" spans="1:3" x14ac:dyDescent="0.25">
      <c r="A1364" s="178">
        <v>5272</v>
      </c>
      <c r="B1364" s="179" t="s">
        <v>456</v>
      </c>
      <c r="C1364" s="180">
        <v>56</v>
      </c>
    </row>
    <row r="1365" spans="1:3" x14ac:dyDescent="0.25">
      <c r="A1365" s="178">
        <v>5273</v>
      </c>
      <c r="B1365" s="179" t="s">
        <v>456</v>
      </c>
      <c r="C1365" s="180">
        <v>63</v>
      </c>
    </row>
    <row r="1366" spans="1:3" x14ac:dyDescent="0.25">
      <c r="A1366" s="178">
        <v>5274</v>
      </c>
      <c r="B1366" s="179" t="s">
        <v>456</v>
      </c>
      <c r="C1366" s="180">
        <v>63</v>
      </c>
    </row>
    <row r="1367" spans="1:3" x14ac:dyDescent="0.25">
      <c r="A1367" s="178">
        <v>5275</v>
      </c>
      <c r="B1367" s="179" t="s">
        <v>456</v>
      </c>
      <c r="C1367" s="180">
        <v>63</v>
      </c>
    </row>
    <row r="1368" spans="1:3" x14ac:dyDescent="0.25">
      <c r="A1368" s="178">
        <v>5281</v>
      </c>
      <c r="B1368" s="179" t="s">
        <v>456</v>
      </c>
      <c r="C1368" s="180">
        <v>56</v>
      </c>
    </row>
    <row r="1369" spans="1:3" x14ac:dyDescent="0.25">
      <c r="A1369" s="178">
        <v>5290</v>
      </c>
      <c r="B1369" s="179" t="s">
        <v>456</v>
      </c>
      <c r="C1369" s="180">
        <v>1</v>
      </c>
    </row>
    <row r="1370" spans="1:3" x14ac:dyDescent="0.25">
      <c r="A1370" s="178">
        <v>5294</v>
      </c>
      <c r="B1370" s="179" t="s">
        <v>456</v>
      </c>
      <c r="C1370" s="180">
        <v>1</v>
      </c>
    </row>
    <row r="1371" spans="1:3" x14ac:dyDescent="0.25">
      <c r="A1371" s="178">
        <v>5306</v>
      </c>
      <c r="B1371" s="179" t="s">
        <v>456</v>
      </c>
      <c r="C1371" s="180">
        <v>1</v>
      </c>
    </row>
    <row r="1372" spans="1:3" x14ac:dyDescent="0.25">
      <c r="A1372" s="178">
        <v>5321</v>
      </c>
      <c r="B1372" s="179" t="s">
        <v>456</v>
      </c>
      <c r="C1372" s="180">
        <v>56</v>
      </c>
    </row>
    <row r="1373" spans="1:3" x14ac:dyDescent="0.25">
      <c r="A1373" s="178">
        <v>5324</v>
      </c>
      <c r="B1373" s="179" t="s">
        <v>456</v>
      </c>
      <c r="C1373" s="180">
        <v>56</v>
      </c>
    </row>
    <row r="1374" spans="1:3" x14ac:dyDescent="0.25">
      <c r="A1374" s="178">
        <v>5325</v>
      </c>
      <c r="B1374" s="179" t="s">
        <v>456</v>
      </c>
      <c r="C1374" s="180">
        <v>1</v>
      </c>
    </row>
    <row r="1375" spans="1:3" x14ac:dyDescent="0.25">
      <c r="A1375" s="178">
        <v>5327</v>
      </c>
      <c r="B1375" s="179" t="s">
        <v>456</v>
      </c>
      <c r="C1375" s="180">
        <v>1</v>
      </c>
    </row>
    <row r="1376" spans="1:3" x14ac:dyDescent="0.25">
      <c r="A1376" s="178">
        <v>5328</v>
      </c>
      <c r="B1376" s="179" t="s">
        <v>456</v>
      </c>
      <c r="C1376" s="180">
        <v>1</v>
      </c>
    </row>
    <row r="1377" spans="1:3" x14ac:dyDescent="0.25">
      <c r="A1377" s="178">
        <v>5329</v>
      </c>
      <c r="B1377" s="179" t="s">
        <v>456</v>
      </c>
      <c r="C1377" s="180">
        <v>20</v>
      </c>
    </row>
    <row r="1378" spans="1:3" x14ac:dyDescent="0.25">
      <c r="A1378" s="178">
        <v>5340</v>
      </c>
      <c r="B1378" s="179" t="s">
        <v>456</v>
      </c>
      <c r="C1378" s="180">
        <v>1</v>
      </c>
    </row>
    <row r="1379" spans="1:3" x14ac:dyDescent="0.25">
      <c r="A1379" s="178">
        <v>5341</v>
      </c>
      <c r="B1379" s="179" t="s">
        <v>456</v>
      </c>
      <c r="C1379" s="180">
        <v>90</v>
      </c>
    </row>
    <row r="1380" spans="1:3" x14ac:dyDescent="0.25">
      <c r="A1380" s="178">
        <v>5343</v>
      </c>
      <c r="B1380" s="179" t="s">
        <v>456</v>
      </c>
      <c r="C1380" s="180">
        <v>48</v>
      </c>
    </row>
    <row r="1381" spans="1:3" x14ac:dyDescent="0.25">
      <c r="A1381" s="178">
        <v>5355</v>
      </c>
      <c r="B1381" s="179" t="s">
        <v>456</v>
      </c>
      <c r="C1381" s="180">
        <v>56</v>
      </c>
    </row>
    <row r="1382" spans="1:3" x14ac:dyDescent="0.25">
      <c r="A1382" s="178">
        <v>5356</v>
      </c>
      <c r="B1382" s="179" t="s">
        <v>456</v>
      </c>
      <c r="C1382" s="180">
        <v>56</v>
      </c>
    </row>
    <row r="1383" spans="1:3" x14ac:dyDescent="0.25">
      <c r="A1383" s="178">
        <v>5359</v>
      </c>
      <c r="B1383" s="179" t="s">
        <v>456</v>
      </c>
      <c r="C1383" s="180">
        <v>56</v>
      </c>
    </row>
    <row r="1384" spans="1:3" x14ac:dyDescent="0.25">
      <c r="A1384" s="178">
        <v>5383</v>
      </c>
      <c r="B1384" s="179" t="s">
        <v>456</v>
      </c>
      <c r="C1384" s="180">
        <v>36</v>
      </c>
    </row>
    <row r="1385" spans="1:3" x14ac:dyDescent="0.25">
      <c r="A1385" s="178">
        <v>5387</v>
      </c>
      <c r="B1385" s="179" t="s">
        <v>456</v>
      </c>
      <c r="C1385" s="180">
        <v>56</v>
      </c>
    </row>
    <row r="1386" spans="1:3" x14ac:dyDescent="0.25">
      <c r="A1386" s="178">
        <v>5388</v>
      </c>
      <c r="B1386" s="179" t="s">
        <v>456</v>
      </c>
      <c r="C1386" s="180">
        <v>56</v>
      </c>
    </row>
    <row r="1387" spans="1:3" x14ac:dyDescent="0.25">
      <c r="A1387" s="178">
        <v>5390</v>
      </c>
      <c r="B1387" s="179" t="s">
        <v>456</v>
      </c>
      <c r="C1387" s="180">
        <v>56</v>
      </c>
    </row>
    <row r="1388" spans="1:3" x14ac:dyDescent="0.25">
      <c r="A1388" s="178">
        <v>5417</v>
      </c>
      <c r="B1388" s="179" t="s">
        <v>456</v>
      </c>
      <c r="C1388" s="180">
        <v>500</v>
      </c>
    </row>
    <row r="1389" spans="1:3" x14ac:dyDescent="0.25">
      <c r="A1389" s="178">
        <v>5418</v>
      </c>
      <c r="B1389" s="179" t="s">
        <v>456</v>
      </c>
      <c r="C1389" s="180">
        <v>36</v>
      </c>
    </row>
    <row r="1390" spans="1:3" x14ac:dyDescent="0.25">
      <c r="A1390" s="178">
        <v>5420</v>
      </c>
      <c r="B1390" s="179" t="s">
        <v>456</v>
      </c>
      <c r="C1390" s="180">
        <v>24</v>
      </c>
    </row>
    <row r="1391" spans="1:3" x14ac:dyDescent="0.25">
      <c r="A1391" s="178">
        <v>5421</v>
      </c>
      <c r="B1391" s="179" t="s">
        <v>456</v>
      </c>
      <c r="C1391" s="180">
        <v>56</v>
      </c>
    </row>
    <row r="1392" spans="1:3" x14ac:dyDescent="0.25">
      <c r="A1392" s="178">
        <v>5422</v>
      </c>
      <c r="B1392" s="179" t="s">
        <v>456</v>
      </c>
      <c r="C1392" s="180">
        <v>36</v>
      </c>
    </row>
    <row r="1393" spans="1:3" x14ac:dyDescent="0.25">
      <c r="A1393" s="178">
        <v>5423</v>
      </c>
      <c r="B1393" s="179" t="s">
        <v>456</v>
      </c>
      <c r="C1393" s="180">
        <v>56</v>
      </c>
    </row>
    <row r="1394" spans="1:3" x14ac:dyDescent="0.25">
      <c r="A1394" s="178">
        <v>5427</v>
      </c>
      <c r="B1394" s="179" t="s">
        <v>456</v>
      </c>
      <c r="C1394" s="180">
        <v>48</v>
      </c>
    </row>
    <row r="1395" spans="1:3" x14ac:dyDescent="0.25">
      <c r="A1395" s="178">
        <v>5428</v>
      </c>
      <c r="B1395" s="179" t="s">
        <v>456</v>
      </c>
      <c r="C1395" s="180">
        <v>48</v>
      </c>
    </row>
    <row r="1396" spans="1:3" x14ac:dyDescent="0.25">
      <c r="A1396" s="178">
        <v>5433</v>
      </c>
      <c r="B1396" s="179" t="s">
        <v>456</v>
      </c>
      <c r="C1396" s="180">
        <v>105</v>
      </c>
    </row>
    <row r="1397" spans="1:3" x14ac:dyDescent="0.25">
      <c r="A1397" s="178">
        <v>5434</v>
      </c>
      <c r="B1397" s="179" t="s">
        <v>456</v>
      </c>
      <c r="C1397" s="180">
        <v>105</v>
      </c>
    </row>
    <row r="1398" spans="1:3" x14ac:dyDescent="0.25">
      <c r="A1398" s="178">
        <v>5435</v>
      </c>
      <c r="B1398" s="179" t="s">
        <v>456</v>
      </c>
      <c r="C1398" s="180">
        <v>77</v>
      </c>
    </row>
    <row r="1399" spans="1:3" x14ac:dyDescent="0.25">
      <c r="A1399" s="178">
        <v>5440</v>
      </c>
      <c r="B1399" s="179" t="s">
        <v>456</v>
      </c>
      <c r="C1399" s="180">
        <v>35</v>
      </c>
    </row>
    <row r="1400" spans="1:3" x14ac:dyDescent="0.25">
      <c r="A1400" s="178">
        <v>5442</v>
      </c>
      <c r="B1400" s="179" t="s">
        <v>456</v>
      </c>
      <c r="C1400" s="180">
        <v>66</v>
      </c>
    </row>
    <row r="1401" spans="1:3" x14ac:dyDescent="0.25">
      <c r="A1401" s="178">
        <v>5445</v>
      </c>
      <c r="B1401" s="179" t="s">
        <v>456</v>
      </c>
      <c r="C1401" s="180">
        <v>320</v>
      </c>
    </row>
    <row r="1402" spans="1:3" x14ac:dyDescent="0.25">
      <c r="A1402" s="178">
        <v>5446</v>
      </c>
      <c r="B1402" s="179" t="s">
        <v>456</v>
      </c>
      <c r="C1402" s="180">
        <v>315</v>
      </c>
    </row>
    <row r="1403" spans="1:3" x14ac:dyDescent="0.25">
      <c r="A1403" s="178">
        <v>5447</v>
      </c>
      <c r="B1403" s="179" t="s">
        <v>456</v>
      </c>
      <c r="C1403" s="180">
        <v>315</v>
      </c>
    </row>
    <row r="1404" spans="1:3" x14ac:dyDescent="0.25">
      <c r="A1404" s="178">
        <v>5448</v>
      </c>
      <c r="B1404" s="179" t="s">
        <v>456</v>
      </c>
      <c r="C1404" s="180">
        <v>315</v>
      </c>
    </row>
    <row r="1405" spans="1:3" x14ac:dyDescent="0.25">
      <c r="A1405" s="178">
        <v>5449</v>
      </c>
      <c r="B1405" s="179" t="s">
        <v>456</v>
      </c>
      <c r="C1405" s="180">
        <v>260</v>
      </c>
    </row>
    <row r="1406" spans="1:3" x14ac:dyDescent="0.25">
      <c r="A1406" s="178">
        <v>5450</v>
      </c>
      <c r="B1406" s="179" t="s">
        <v>456</v>
      </c>
      <c r="C1406" s="180">
        <v>25</v>
      </c>
    </row>
    <row r="1407" spans="1:3" x14ac:dyDescent="0.25">
      <c r="A1407" s="178">
        <v>5460</v>
      </c>
      <c r="B1407" s="179" t="s">
        <v>456</v>
      </c>
      <c r="C1407" s="180">
        <v>24</v>
      </c>
    </row>
    <row r="1408" spans="1:3" x14ac:dyDescent="0.25">
      <c r="A1408" s="178">
        <v>5461</v>
      </c>
      <c r="B1408" s="179" t="s">
        <v>456</v>
      </c>
      <c r="C1408" s="180">
        <v>30</v>
      </c>
    </row>
    <row r="1409" spans="1:3" x14ac:dyDescent="0.25">
      <c r="A1409" s="178">
        <v>5462</v>
      </c>
      <c r="B1409" s="179" t="s">
        <v>456</v>
      </c>
      <c r="C1409" s="180">
        <v>24</v>
      </c>
    </row>
    <row r="1410" spans="1:3" x14ac:dyDescent="0.25">
      <c r="A1410" s="178">
        <v>5463</v>
      </c>
      <c r="B1410" s="179" t="s">
        <v>456</v>
      </c>
      <c r="C1410" s="180">
        <v>24</v>
      </c>
    </row>
    <row r="1411" spans="1:3" x14ac:dyDescent="0.25">
      <c r="A1411" s="178">
        <v>5464</v>
      </c>
      <c r="B1411" s="179" t="s">
        <v>456</v>
      </c>
      <c r="C1411" s="180">
        <v>24</v>
      </c>
    </row>
    <row r="1412" spans="1:3" x14ac:dyDescent="0.25">
      <c r="A1412" s="178">
        <v>5466</v>
      </c>
      <c r="B1412" s="179" t="s">
        <v>456</v>
      </c>
      <c r="C1412" s="180">
        <v>315</v>
      </c>
    </row>
    <row r="1413" spans="1:3" x14ac:dyDescent="0.25">
      <c r="A1413" s="178">
        <v>5599</v>
      </c>
      <c r="B1413" s="179" t="s">
        <v>456</v>
      </c>
      <c r="C1413" s="180">
        <v>32</v>
      </c>
    </row>
    <row r="1414" spans="1:3" x14ac:dyDescent="0.25">
      <c r="A1414" s="178">
        <v>5600</v>
      </c>
      <c r="B1414" s="179" t="s">
        <v>456</v>
      </c>
      <c r="C1414" s="180">
        <v>32</v>
      </c>
    </row>
    <row r="1415" spans="1:3" x14ac:dyDescent="0.25">
      <c r="A1415" s="178">
        <v>5601</v>
      </c>
      <c r="B1415" s="179" t="s">
        <v>456</v>
      </c>
      <c r="C1415" s="180">
        <v>72</v>
      </c>
    </row>
    <row r="1416" spans="1:3" x14ac:dyDescent="0.25">
      <c r="A1416" s="178">
        <v>5602</v>
      </c>
      <c r="B1416" s="179" t="s">
        <v>456</v>
      </c>
      <c r="C1416" s="180">
        <v>60</v>
      </c>
    </row>
    <row r="1417" spans="1:3" x14ac:dyDescent="0.25">
      <c r="A1417" s="178">
        <v>5603</v>
      </c>
      <c r="B1417" s="179" t="s">
        <v>456</v>
      </c>
      <c r="C1417" s="180">
        <v>60</v>
      </c>
    </row>
    <row r="1418" spans="1:3" x14ac:dyDescent="0.25">
      <c r="A1418" s="178">
        <v>5604</v>
      </c>
      <c r="B1418" s="179" t="s">
        <v>456</v>
      </c>
      <c r="C1418" s="180">
        <v>48</v>
      </c>
    </row>
    <row r="1419" spans="1:3" x14ac:dyDescent="0.25">
      <c r="A1419" s="178">
        <v>5709</v>
      </c>
      <c r="B1419" s="179" t="s">
        <v>456</v>
      </c>
      <c r="C1419" s="180">
        <v>40</v>
      </c>
    </row>
    <row r="1420" spans="1:3" x14ac:dyDescent="0.25">
      <c r="A1420" s="178">
        <v>5711</v>
      </c>
      <c r="B1420" s="179" t="s">
        <v>456</v>
      </c>
      <c r="C1420" s="180">
        <v>96</v>
      </c>
    </row>
    <row r="1421" spans="1:3" x14ac:dyDescent="0.25">
      <c r="A1421" s="178">
        <v>5717</v>
      </c>
      <c r="B1421" s="179" t="s">
        <v>456</v>
      </c>
      <c r="C1421" s="180">
        <v>180</v>
      </c>
    </row>
    <row r="1422" spans="1:3" x14ac:dyDescent="0.25">
      <c r="A1422" s="178">
        <v>5718</v>
      </c>
      <c r="B1422" s="179" t="s">
        <v>456</v>
      </c>
      <c r="C1422" s="180">
        <v>60</v>
      </c>
    </row>
    <row r="1423" spans="1:3" x14ac:dyDescent="0.25">
      <c r="A1423" s="178">
        <v>5719</v>
      </c>
      <c r="B1423" s="179" t="s">
        <v>456</v>
      </c>
      <c r="C1423" s="180">
        <v>56</v>
      </c>
    </row>
    <row r="1424" spans="1:3" x14ac:dyDescent="0.25">
      <c r="A1424" s="178">
        <v>5720</v>
      </c>
      <c r="B1424" s="179" t="s">
        <v>456</v>
      </c>
      <c r="C1424" s="180">
        <v>48</v>
      </c>
    </row>
    <row r="1425" spans="1:3" x14ac:dyDescent="0.25">
      <c r="A1425" s="178">
        <v>5721</v>
      </c>
      <c r="B1425" s="179" t="s">
        <v>456</v>
      </c>
      <c r="C1425" s="180">
        <v>48</v>
      </c>
    </row>
    <row r="1426" spans="1:3" x14ac:dyDescent="0.25">
      <c r="A1426" s="178">
        <v>5722</v>
      </c>
      <c r="B1426" s="179" t="s">
        <v>456</v>
      </c>
      <c r="C1426" s="180">
        <v>40</v>
      </c>
    </row>
    <row r="1427" spans="1:3" x14ac:dyDescent="0.25">
      <c r="A1427" s="178">
        <v>5732</v>
      </c>
      <c r="B1427" s="179" t="s">
        <v>456</v>
      </c>
      <c r="C1427" s="180">
        <v>60</v>
      </c>
    </row>
    <row r="1428" spans="1:3" x14ac:dyDescent="0.25">
      <c r="A1428" s="178">
        <v>5733</v>
      </c>
      <c r="B1428" s="179" t="s">
        <v>456</v>
      </c>
      <c r="C1428" s="180">
        <v>42</v>
      </c>
    </row>
    <row r="1429" spans="1:3" x14ac:dyDescent="0.25">
      <c r="A1429" s="178">
        <v>5734</v>
      </c>
      <c r="B1429" s="179" t="s">
        <v>456</v>
      </c>
      <c r="C1429" s="180">
        <v>42</v>
      </c>
    </row>
    <row r="1430" spans="1:3" x14ac:dyDescent="0.25">
      <c r="A1430" s="178">
        <v>5735</v>
      </c>
      <c r="B1430" s="179" t="s">
        <v>456</v>
      </c>
      <c r="C1430" s="180">
        <v>30</v>
      </c>
    </row>
    <row r="1431" spans="1:3" x14ac:dyDescent="0.25">
      <c r="A1431" s="178">
        <v>5736</v>
      </c>
      <c r="B1431" s="179" t="s">
        <v>456</v>
      </c>
      <c r="C1431" s="180">
        <v>30</v>
      </c>
    </row>
    <row r="1432" spans="1:3" x14ac:dyDescent="0.25">
      <c r="A1432" s="178">
        <v>5737</v>
      </c>
      <c r="B1432" s="179" t="s">
        <v>456</v>
      </c>
      <c r="C1432" s="180">
        <v>30</v>
      </c>
    </row>
    <row r="1433" spans="1:3" x14ac:dyDescent="0.25">
      <c r="A1433" s="178">
        <v>5738</v>
      </c>
      <c r="B1433" s="179" t="s">
        <v>456</v>
      </c>
      <c r="C1433" s="180">
        <v>30</v>
      </c>
    </row>
    <row r="1434" spans="1:3" x14ac:dyDescent="0.25">
      <c r="A1434" s="178">
        <v>5744</v>
      </c>
      <c r="B1434" s="179" t="s">
        <v>456</v>
      </c>
      <c r="C1434" s="180">
        <v>28</v>
      </c>
    </row>
    <row r="1435" spans="1:3" x14ac:dyDescent="0.25">
      <c r="A1435" s="178">
        <v>5746</v>
      </c>
      <c r="B1435" s="179" t="s">
        <v>456</v>
      </c>
      <c r="C1435" s="180">
        <v>24</v>
      </c>
    </row>
    <row r="1436" spans="1:3" x14ac:dyDescent="0.25">
      <c r="A1436" s="178">
        <v>5747</v>
      </c>
      <c r="B1436" s="179" t="s">
        <v>456</v>
      </c>
      <c r="C1436" s="180">
        <v>20</v>
      </c>
    </row>
    <row r="1437" spans="1:3" x14ac:dyDescent="0.25">
      <c r="A1437" s="178">
        <v>5753</v>
      </c>
      <c r="B1437" s="179" t="s">
        <v>456</v>
      </c>
      <c r="C1437" s="180">
        <v>54</v>
      </c>
    </row>
    <row r="1438" spans="1:3" x14ac:dyDescent="0.25">
      <c r="A1438" s="178">
        <v>5754</v>
      </c>
      <c r="B1438" s="179" t="s">
        <v>456</v>
      </c>
      <c r="C1438" s="180">
        <v>63</v>
      </c>
    </row>
    <row r="1439" spans="1:3" x14ac:dyDescent="0.25">
      <c r="A1439" s="178">
        <v>5755</v>
      </c>
      <c r="B1439" s="179" t="s">
        <v>456</v>
      </c>
      <c r="C1439" s="180">
        <v>63</v>
      </c>
    </row>
    <row r="1440" spans="1:3" x14ac:dyDescent="0.25">
      <c r="A1440" s="178">
        <v>5758</v>
      </c>
      <c r="B1440" s="179" t="s">
        <v>456</v>
      </c>
      <c r="C1440" s="180">
        <v>33</v>
      </c>
    </row>
    <row r="1441" spans="1:3" x14ac:dyDescent="0.25">
      <c r="A1441" s="178">
        <v>5761</v>
      </c>
      <c r="B1441" s="179" t="s">
        <v>456</v>
      </c>
      <c r="C1441" s="180">
        <v>42</v>
      </c>
    </row>
    <row r="1442" spans="1:3" x14ac:dyDescent="0.25">
      <c r="A1442" s="178">
        <v>5762</v>
      </c>
      <c r="B1442" s="179" t="s">
        <v>456</v>
      </c>
      <c r="C1442" s="180">
        <v>84</v>
      </c>
    </row>
    <row r="1443" spans="1:3" x14ac:dyDescent="0.25">
      <c r="A1443" s="178">
        <v>5763</v>
      </c>
      <c r="B1443" s="179" t="s">
        <v>456</v>
      </c>
      <c r="C1443" s="180">
        <v>84</v>
      </c>
    </row>
    <row r="1444" spans="1:3" x14ac:dyDescent="0.25">
      <c r="A1444" s="178">
        <v>5764</v>
      </c>
      <c r="B1444" s="179" t="s">
        <v>456</v>
      </c>
      <c r="C1444" s="180">
        <v>54</v>
      </c>
    </row>
    <row r="1445" spans="1:3" x14ac:dyDescent="0.25">
      <c r="A1445" s="178">
        <v>5765</v>
      </c>
      <c r="B1445" s="179" t="s">
        <v>456</v>
      </c>
      <c r="C1445" s="180">
        <v>54</v>
      </c>
    </row>
    <row r="1446" spans="1:3" x14ac:dyDescent="0.25">
      <c r="A1446" s="178">
        <v>5768</v>
      </c>
      <c r="B1446" s="179" t="s">
        <v>456</v>
      </c>
      <c r="C1446" s="180">
        <v>116</v>
      </c>
    </row>
    <row r="1447" spans="1:3" x14ac:dyDescent="0.25">
      <c r="A1447" s="178">
        <v>5769</v>
      </c>
      <c r="B1447" s="179" t="s">
        <v>456</v>
      </c>
      <c r="C1447" s="180">
        <v>116</v>
      </c>
    </row>
    <row r="1448" spans="1:3" x14ac:dyDescent="0.25">
      <c r="A1448" s="178">
        <v>5777</v>
      </c>
      <c r="B1448" s="179" t="s">
        <v>456</v>
      </c>
      <c r="C1448" s="180">
        <v>36</v>
      </c>
    </row>
    <row r="1449" spans="1:3" x14ac:dyDescent="0.25">
      <c r="A1449" s="178">
        <v>5778</v>
      </c>
      <c r="B1449" s="179" t="s">
        <v>456</v>
      </c>
      <c r="C1449" s="180">
        <v>60</v>
      </c>
    </row>
    <row r="1450" spans="1:3" x14ac:dyDescent="0.25">
      <c r="A1450" s="178">
        <v>5779</v>
      </c>
      <c r="B1450" s="179" t="s">
        <v>456</v>
      </c>
      <c r="C1450" s="180">
        <v>60</v>
      </c>
    </row>
    <row r="1451" spans="1:3" x14ac:dyDescent="0.25">
      <c r="A1451" s="178">
        <v>5780</v>
      </c>
      <c r="B1451" s="179" t="s">
        <v>456</v>
      </c>
      <c r="C1451" s="180">
        <v>60</v>
      </c>
    </row>
    <row r="1452" spans="1:3" x14ac:dyDescent="0.25">
      <c r="A1452" s="178">
        <v>5781</v>
      </c>
      <c r="B1452" s="179" t="s">
        <v>456</v>
      </c>
      <c r="C1452" s="180">
        <v>51</v>
      </c>
    </row>
    <row r="1453" spans="1:3" x14ac:dyDescent="0.25">
      <c r="A1453" s="178">
        <v>5789</v>
      </c>
      <c r="B1453" s="179" t="s">
        <v>456</v>
      </c>
      <c r="C1453" s="180">
        <v>72</v>
      </c>
    </row>
    <row r="1454" spans="1:3" x14ac:dyDescent="0.25">
      <c r="A1454" s="178">
        <v>5793</v>
      </c>
      <c r="B1454" s="179" t="s">
        <v>456</v>
      </c>
      <c r="C1454" s="180">
        <v>2</v>
      </c>
    </row>
    <row r="1455" spans="1:3" x14ac:dyDescent="0.25">
      <c r="A1455" s="178">
        <v>5799</v>
      </c>
      <c r="B1455" s="179" t="s">
        <v>456</v>
      </c>
      <c r="C1455" s="180">
        <v>90</v>
      </c>
    </row>
    <row r="1456" spans="1:3" x14ac:dyDescent="0.25">
      <c r="A1456" s="178">
        <v>5800</v>
      </c>
      <c r="B1456" s="179" t="s">
        <v>456</v>
      </c>
      <c r="C1456" s="180">
        <v>90</v>
      </c>
    </row>
    <row r="1457" spans="1:3" x14ac:dyDescent="0.25">
      <c r="A1457" s="178">
        <v>5802</v>
      </c>
      <c r="B1457" s="179" t="s">
        <v>456</v>
      </c>
      <c r="C1457" s="180">
        <v>90</v>
      </c>
    </row>
    <row r="1458" spans="1:3" x14ac:dyDescent="0.25">
      <c r="A1458" s="178">
        <v>5803</v>
      </c>
      <c r="B1458" s="179" t="s">
        <v>456</v>
      </c>
      <c r="C1458" s="180">
        <v>90</v>
      </c>
    </row>
    <row r="1459" spans="1:3" x14ac:dyDescent="0.25">
      <c r="A1459" s="178">
        <v>5806</v>
      </c>
      <c r="B1459" s="179" t="s">
        <v>456</v>
      </c>
      <c r="C1459" s="180">
        <v>90</v>
      </c>
    </row>
    <row r="1460" spans="1:3" x14ac:dyDescent="0.25">
      <c r="A1460" s="178">
        <v>5807</v>
      </c>
      <c r="B1460" s="179" t="s">
        <v>456</v>
      </c>
      <c r="C1460" s="180">
        <v>3</v>
      </c>
    </row>
    <row r="1461" spans="1:3" x14ac:dyDescent="0.25">
      <c r="A1461" s="178">
        <v>5809</v>
      </c>
      <c r="B1461" s="179" t="s">
        <v>456</v>
      </c>
      <c r="C1461" s="180">
        <v>3</v>
      </c>
    </row>
    <row r="1462" spans="1:3" x14ac:dyDescent="0.25">
      <c r="A1462" s="178">
        <v>5810</v>
      </c>
      <c r="B1462" s="179" t="s">
        <v>456</v>
      </c>
      <c r="C1462" s="180">
        <v>80</v>
      </c>
    </row>
    <row r="1463" spans="1:3" x14ac:dyDescent="0.25">
      <c r="A1463" s="178">
        <v>5811</v>
      </c>
      <c r="B1463" s="179" t="s">
        <v>456</v>
      </c>
      <c r="C1463" s="180">
        <v>80</v>
      </c>
    </row>
    <row r="1464" spans="1:3" x14ac:dyDescent="0.25">
      <c r="A1464" s="178">
        <v>5812</v>
      </c>
      <c r="B1464" s="179" t="s">
        <v>456</v>
      </c>
      <c r="C1464" s="180">
        <v>80</v>
      </c>
    </row>
    <row r="1465" spans="1:3" x14ac:dyDescent="0.25">
      <c r="A1465" s="178">
        <v>5813</v>
      </c>
      <c r="B1465" s="179" t="s">
        <v>456</v>
      </c>
      <c r="C1465" s="180">
        <v>80</v>
      </c>
    </row>
    <row r="1466" spans="1:3" x14ac:dyDescent="0.25">
      <c r="A1466" s="178">
        <v>5814</v>
      </c>
      <c r="B1466" s="179" t="s">
        <v>456</v>
      </c>
      <c r="C1466" s="180">
        <v>80</v>
      </c>
    </row>
    <row r="1467" spans="1:3" x14ac:dyDescent="0.25">
      <c r="A1467" s="178">
        <v>5815</v>
      </c>
      <c r="B1467" s="179" t="s">
        <v>456</v>
      </c>
      <c r="C1467" s="180">
        <v>4</v>
      </c>
    </row>
    <row r="1468" spans="1:3" x14ac:dyDescent="0.25">
      <c r="A1468" s="178">
        <v>5816</v>
      </c>
      <c r="B1468" s="179" t="s">
        <v>456</v>
      </c>
      <c r="C1468" s="180">
        <v>80</v>
      </c>
    </row>
    <row r="1469" spans="1:3" x14ac:dyDescent="0.25">
      <c r="A1469" s="178">
        <v>5817</v>
      </c>
      <c r="B1469" s="179" t="s">
        <v>456</v>
      </c>
      <c r="C1469" s="180">
        <v>80</v>
      </c>
    </row>
    <row r="1470" spans="1:3" x14ac:dyDescent="0.25">
      <c r="A1470" s="178">
        <v>5818</v>
      </c>
      <c r="B1470" s="179" t="s">
        <v>456</v>
      </c>
      <c r="C1470" s="180">
        <v>80</v>
      </c>
    </row>
    <row r="1471" spans="1:3" x14ac:dyDescent="0.25">
      <c r="A1471" s="178">
        <v>5819</v>
      </c>
      <c r="B1471" s="179" t="s">
        <v>456</v>
      </c>
      <c r="C1471" s="180">
        <v>80</v>
      </c>
    </row>
    <row r="1472" spans="1:3" x14ac:dyDescent="0.25">
      <c r="A1472" s="178">
        <v>5820</v>
      </c>
      <c r="B1472" s="179" t="s">
        <v>456</v>
      </c>
      <c r="C1472" s="180">
        <v>54</v>
      </c>
    </row>
    <row r="1473" spans="1:3" x14ac:dyDescent="0.25">
      <c r="A1473" s="178">
        <v>5821</v>
      </c>
      <c r="B1473" s="179" t="s">
        <v>456</v>
      </c>
      <c r="C1473" s="180">
        <v>4</v>
      </c>
    </row>
    <row r="1474" spans="1:3" x14ac:dyDescent="0.25">
      <c r="A1474" s="178">
        <v>5822</v>
      </c>
      <c r="B1474" s="179" t="s">
        <v>456</v>
      </c>
      <c r="C1474" s="180">
        <v>4</v>
      </c>
    </row>
    <row r="1475" spans="1:3" x14ac:dyDescent="0.25">
      <c r="A1475" s="178">
        <v>5823</v>
      </c>
      <c r="B1475" s="179" t="s">
        <v>456</v>
      </c>
      <c r="C1475" s="180">
        <v>4</v>
      </c>
    </row>
    <row r="1476" spans="1:3" x14ac:dyDescent="0.25">
      <c r="A1476" s="178">
        <v>5824</v>
      </c>
      <c r="B1476" s="179" t="s">
        <v>456</v>
      </c>
      <c r="C1476" s="180">
        <v>54</v>
      </c>
    </row>
    <row r="1477" spans="1:3" x14ac:dyDescent="0.25">
      <c r="A1477" s="178">
        <v>5825</v>
      </c>
      <c r="B1477" s="179" t="s">
        <v>456</v>
      </c>
      <c r="C1477" s="180">
        <v>64</v>
      </c>
    </row>
    <row r="1478" spans="1:3" x14ac:dyDescent="0.25">
      <c r="A1478" s="178">
        <v>5826</v>
      </c>
      <c r="B1478" s="179" t="s">
        <v>456</v>
      </c>
      <c r="C1478" s="180">
        <v>54</v>
      </c>
    </row>
    <row r="1479" spans="1:3" x14ac:dyDescent="0.25">
      <c r="A1479" s="178">
        <v>5829</v>
      </c>
      <c r="B1479" s="179" t="s">
        <v>456</v>
      </c>
      <c r="C1479" s="180">
        <v>56</v>
      </c>
    </row>
    <row r="1480" spans="1:3" x14ac:dyDescent="0.25">
      <c r="A1480" s="178">
        <v>5830</v>
      </c>
      <c r="B1480" s="179" t="s">
        <v>456</v>
      </c>
      <c r="C1480" s="180">
        <v>56</v>
      </c>
    </row>
    <row r="1481" spans="1:3" x14ac:dyDescent="0.25">
      <c r="A1481" s="178">
        <v>5831</v>
      </c>
      <c r="B1481" s="179" t="s">
        <v>456</v>
      </c>
      <c r="C1481" s="180">
        <v>56</v>
      </c>
    </row>
    <row r="1482" spans="1:3" x14ac:dyDescent="0.25">
      <c r="A1482" s="178">
        <v>5832</v>
      </c>
      <c r="B1482" s="179" t="s">
        <v>456</v>
      </c>
      <c r="C1482" s="180">
        <v>56</v>
      </c>
    </row>
    <row r="1483" spans="1:3" x14ac:dyDescent="0.25">
      <c r="A1483" s="178">
        <v>5833</v>
      </c>
      <c r="B1483" s="179" t="s">
        <v>456</v>
      </c>
      <c r="C1483" s="180">
        <v>56</v>
      </c>
    </row>
    <row r="1484" spans="1:3" x14ac:dyDescent="0.25">
      <c r="A1484" s="178">
        <v>5834</v>
      </c>
      <c r="B1484" s="179" t="s">
        <v>456</v>
      </c>
      <c r="C1484" s="180">
        <v>54</v>
      </c>
    </row>
    <row r="1485" spans="1:3" x14ac:dyDescent="0.25">
      <c r="A1485" s="178">
        <v>5835</v>
      </c>
      <c r="B1485" s="179" t="s">
        <v>456</v>
      </c>
      <c r="C1485" s="180">
        <v>54</v>
      </c>
    </row>
    <row r="1486" spans="1:3" x14ac:dyDescent="0.25">
      <c r="A1486" s="178">
        <v>5836</v>
      </c>
      <c r="B1486" s="179" t="s">
        <v>456</v>
      </c>
      <c r="C1486" s="180">
        <v>54</v>
      </c>
    </row>
    <row r="1487" spans="1:3" x14ac:dyDescent="0.25">
      <c r="A1487" s="178">
        <v>5837</v>
      </c>
      <c r="B1487" s="179" t="s">
        <v>456</v>
      </c>
      <c r="C1487" s="180">
        <v>76</v>
      </c>
    </row>
    <row r="1488" spans="1:3" x14ac:dyDescent="0.25">
      <c r="A1488" s="178">
        <v>5838</v>
      </c>
      <c r="B1488" s="179" t="s">
        <v>456</v>
      </c>
      <c r="C1488" s="180">
        <v>51</v>
      </c>
    </row>
    <row r="1489" spans="1:3" x14ac:dyDescent="0.25">
      <c r="A1489" s="178">
        <v>5839</v>
      </c>
      <c r="B1489" s="179" t="s">
        <v>456</v>
      </c>
      <c r="C1489" s="180">
        <v>51</v>
      </c>
    </row>
    <row r="1490" spans="1:3" x14ac:dyDescent="0.25">
      <c r="A1490" s="178">
        <v>5840</v>
      </c>
      <c r="B1490" s="179" t="s">
        <v>456</v>
      </c>
      <c r="C1490" s="180">
        <v>66</v>
      </c>
    </row>
    <row r="1491" spans="1:3" x14ac:dyDescent="0.25">
      <c r="A1491" s="178">
        <v>5841</v>
      </c>
      <c r="B1491" s="179" t="s">
        <v>456</v>
      </c>
      <c r="C1491" s="180">
        <v>51</v>
      </c>
    </row>
    <row r="1492" spans="1:3" x14ac:dyDescent="0.25">
      <c r="A1492" s="178">
        <v>5843</v>
      </c>
      <c r="B1492" s="179" t="s">
        <v>456</v>
      </c>
      <c r="C1492" s="180">
        <v>66</v>
      </c>
    </row>
    <row r="1493" spans="1:3" x14ac:dyDescent="0.25">
      <c r="A1493" s="178">
        <v>5844</v>
      </c>
      <c r="B1493" s="179" t="s">
        <v>456</v>
      </c>
      <c r="C1493" s="180">
        <v>48</v>
      </c>
    </row>
    <row r="1494" spans="1:3" x14ac:dyDescent="0.25">
      <c r="A1494" s="178">
        <v>5845</v>
      </c>
      <c r="B1494" s="179" t="s">
        <v>456</v>
      </c>
      <c r="C1494" s="180">
        <v>36</v>
      </c>
    </row>
    <row r="1495" spans="1:3" x14ac:dyDescent="0.25">
      <c r="A1495" s="178">
        <v>5846</v>
      </c>
      <c r="B1495" s="179" t="s">
        <v>456</v>
      </c>
      <c r="C1495" s="180">
        <v>36</v>
      </c>
    </row>
    <row r="1496" spans="1:3" x14ac:dyDescent="0.25">
      <c r="A1496" s="178">
        <v>5847</v>
      </c>
      <c r="B1496" s="179" t="s">
        <v>456</v>
      </c>
      <c r="C1496" s="180">
        <v>48</v>
      </c>
    </row>
    <row r="1497" spans="1:3" x14ac:dyDescent="0.25">
      <c r="A1497" s="178">
        <v>5848</v>
      </c>
      <c r="B1497" s="179" t="s">
        <v>456</v>
      </c>
      <c r="C1497" s="180">
        <v>48</v>
      </c>
    </row>
    <row r="1498" spans="1:3" x14ac:dyDescent="0.25">
      <c r="A1498" s="178">
        <v>5849</v>
      </c>
      <c r="B1498" s="179" t="s">
        <v>456</v>
      </c>
      <c r="C1498" s="180">
        <v>36</v>
      </c>
    </row>
    <row r="1499" spans="1:3" x14ac:dyDescent="0.25">
      <c r="A1499" s="178">
        <v>5850</v>
      </c>
      <c r="B1499" s="179" t="s">
        <v>456</v>
      </c>
      <c r="C1499" s="180">
        <v>36</v>
      </c>
    </row>
    <row r="1500" spans="1:3" x14ac:dyDescent="0.25">
      <c r="A1500" s="178">
        <v>5851</v>
      </c>
      <c r="B1500" s="179" t="s">
        <v>456</v>
      </c>
      <c r="C1500" s="180">
        <v>36</v>
      </c>
    </row>
    <row r="1501" spans="1:3" x14ac:dyDescent="0.25">
      <c r="A1501" s="178">
        <v>5852</v>
      </c>
      <c r="B1501" s="179" t="s">
        <v>456</v>
      </c>
      <c r="C1501" s="180">
        <v>36</v>
      </c>
    </row>
    <row r="1502" spans="1:3" x14ac:dyDescent="0.25">
      <c r="A1502" s="178">
        <v>5853</v>
      </c>
      <c r="B1502" s="179" t="s">
        <v>456</v>
      </c>
      <c r="C1502" s="180">
        <v>36</v>
      </c>
    </row>
    <row r="1503" spans="1:3" x14ac:dyDescent="0.25">
      <c r="A1503" s="178">
        <v>5854</v>
      </c>
      <c r="B1503" s="179" t="s">
        <v>456</v>
      </c>
      <c r="C1503" s="180">
        <v>45</v>
      </c>
    </row>
    <row r="1504" spans="1:3" x14ac:dyDescent="0.25">
      <c r="A1504" s="178">
        <v>5855</v>
      </c>
      <c r="B1504" s="179" t="s">
        <v>456</v>
      </c>
      <c r="C1504" s="180">
        <v>24</v>
      </c>
    </row>
    <row r="1505" spans="1:3" x14ac:dyDescent="0.25">
      <c r="A1505" s="178">
        <v>5856</v>
      </c>
      <c r="B1505" s="179" t="s">
        <v>456</v>
      </c>
      <c r="C1505" s="180">
        <v>45</v>
      </c>
    </row>
    <row r="1506" spans="1:3" x14ac:dyDescent="0.25">
      <c r="A1506" s="178">
        <v>5857</v>
      </c>
      <c r="B1506" s="179" t="s">
        <v>456</v>
      </c>
      <c r="C1506" s="180">
        <v>45</v>
      </c>
    </row>
    <row r="1507" spans="1:3" x14ac:dyDescent="0.25">
      <c r="A1507" s="178">
        <v>5858</v>
      </c>
      <c r="B1507" s="179" t="s">
        <v>456</v>
      </c>
      <c r="C1507" s="180">
        <v>45</v>
      </c>
    </row>
    <row r="1508" spans="1:3" x14ac:dyDescent="0.25">
      <c r="A1508" s="178">
        <v>5860</v>
      </c>
      <c r="B1508" s="179" t="s">
        <v>456</v>
      </c>
      <c r="C1508" s="180">
        <v>36</v>
      </c>
    </row>
    <row r="1509" spans="1:3" x14ac:dyDescent="0.25">
      <c r="A1509" s="178">
        <v>5861</v>
      </c>
      <c r="B1509" s="179" t="s">
        <v>456</v>
      </c>
      <c r="C1509" s="180">
        <v>36</v>
      </c>
    </row>
    <row r="1510" spans="1:3" x14ac:dyDescent="0.25">
      <c r="A1510" s="178">
        <v>5862</v>
      </c>
      <c r="B1510" s="179" t="s">
        <v>456</v>
      </c>
      <c r="C1510" s="180">
        <v>36</v>
      </c>
    </row>
    <row r="1511" spans="1:3" x14ac:dyDescent="0.25">
      <c r="A1511" s="178">
        <v>5863</v>
      </c>
      <c r="B1511" s="179" t="s">
        <v>456</v>
      </c>
      <c r="C1511" s="180">
        <v>36</v>
      </c>
    </row>
    <row r="1512" spans="1:3" x14ac:dyDescent="0.25">
      <c r="A1512" s="178">
        <v>5864</v>
      </c>
      <c r="B1512" s="179" t="s">
        <v>456</v>
      </c>
      <c r="C1512" s="180">
        <v>119</v>
      </c>
    </row>
    <row r="1513" spans="1:3" x14ac:dyDescent="0.25">
      <c r="A1513" s="178">
        <v>5865</v>
      </c>
      <c r="B1513" s="179" t="s">
        <v>456</v>
      </c>
      <c r="C1513" s="180">
        <v>119</v>
      </c>
    </row>
    <row r="1514" spans="1:3" x14ac:dyDescent="0.25">
      <c r="A1514" s="178">
        <v>5866</v>
      </c>
      <c r="B1514" s="179" t="s">
        <v>456</v>
      </c>
      <c r="C1514" s="180">
        <v>119</v>
      </c>
    </row>
    <row r="1515" spans="1:3" x14ac:dyDescent="0.25">
      <c r="A1515" s="178">
        <v>5868</v>
      </c>
      <c r="B1515" s="179" t="s">
        <v>456</v>
      </c>
      <c r="C1515" s="180">
        <v>119</v>
      </c>
    </row>
    <row r="1516" spans="1:3" x14ac:dyDescent="0.25">
      <c r="A1516" s="178">
        <v>5869</v>
      </c>
      <c r="B1516" s="179" t="s">
        <v>456</v>
      </c>
      <c r="C1516" s="180">
        <v>42</v>
      </c>
    </row>
    <row r="1517" spans="1:3" x14ac:dyDescent="0.25">
      <c r="A1517" s="178">
        <v>5870</v>
      </c>
      <c r="B1517" s="179" t="s">
        <v>456</v>
      </c>
      <c r="C1517" s="180">
        <v>119</v>
      </c>
    </row>
    <row r="1518" spans="1:3" x14ac:dyDescent="0.25">
      <c r="A1518" s="178">
        <v>5871</v>
      </c>
      <c r="B1518" s="179" t="s">
        <v>456</v>
      </c>
      <c r="C1518" s="180">
        <v>30</v>
      </c>
    </row>
    <row r="1519" spans="1:3" x14ac:dyDescent="0.25">
      <c r="A1519" s="178">
        <v>5872</v>
      </c>
      <c r="B1519" s="179" t="s">
        <v>456</v>
      </c>
      <c r="C1519" s="180">
        <v>30</v>
      </c>
    </row>
    <row r="1520" spans="1:3" x14ac:dyDescent="0.25">
      <c r="A1520" s="178">
        <v>5876</v>
      </c>
      <c r="B1520" s="179" t="s">
        <v>456</v>
      </c>
      <c r="C1520" s="180">
        <v>42</v>
      </c>
    </row>
    <row r="1521" spans="1:3" x14ac:dyDescent="0.25">
      <c r="A1521" s="178">
        <v>5877</v>
      </c>
      <c r="B1521" s="179" t="s">
        <v>456</v>
      </c>
      <c r="C1521" s="180">
        <v>42</v>
      </c>
    </row>
    <row r="1522" spans="1:3" x14ac:dyDescent="0.25">
      <c r="A1522" s="178">
        <v>5878</v>
      </c>
      <c r="B1522" s="179" t="s">
        <v>456</v>
      </c>
      <c r="C1522" s="180">
        <v>119</v>
      </c>
    </row>
    <row r="1523" spans="1:3" x14ac:dyDescent="0.25">
      <c r="A1523" s="178">
        <v>5879</v>
      </c>
      <c r="B1523" s="179" t="s">
        <v>456</v>
      </c>
      <c r="C1523" s="180">
        <v>84</v>
      </c>
    </row>
    <row r="1524" spans="1:3" x14ac:dyDescent="0.25">
      <c r="A1524" s="178">
        <v>5880</v>
      </c>
      <c r="B1524" s="179" t="s">
        <v>456</v>
      </c>
      <c r="C1524" s="180">
        <v>119</v>
      </c>
    </row>
    <row r="1525" spans="1:3" x14ac:dyDescent="0.25">
      <c r="A1525" s="178">
        <v>5881</v>
      </c>
      <c r="B1525" s="179" t="s">
        <v>456</v>
      </c>
      <c r="C1525" s="180">
        <v>119</v>
      </c>
    </row>
    <row r="1526" spans="1:3" x14ac:dyDescent="0.25">
      <c r="A1526" s="178">
        <v>5882</v>
      </c>
      <c r="B1526" s="179" t="s">
        <v>456</v>
      </c>
      <c r="C1526" s="180">
        <v>42</v>
      </c>
    </row>
    <row r="1527" spans="1:3" x14ac:dyDescent="0.25">
      <c r="A1527" s="178">
        <v>5883</v>
      </c>
      <c r="B1527" s="179" t="s">
        <v>456</v>
      </c>
      <c r="C1527" s="180">
        <v>36</v>
      </c>
    </row>
    <row r="1528" spans="1:3" x14ac:dyDescent="0.25">
      <c r="A1528" s="178">
        <v>5884</v>
      </c>
      <c r="B1528" s="179" t="s">
        <v>456</v>
      </c>
      <c r="C1528" s="180">
        <v>119</v>
      </c>
    </row>
    <row r="1529" spans="1:3" x14ac:dyDescent="0.25">
      <c r="A1529" s="178">
        <v>5885</v>
      </c>
      <c r="B1529" s="179" t="s">
        <v>456</v>
      </c>
      <c r="C1529" s="180">
        <v>42</v>
      </c>
    </row>
    <row r="1530" spans="1:3" x14ac:dyDescent="0.25">
      <c r="A1530" s="178">
        <v>5886</v>
      </c>
      <c r="B1530" s="179" t="s">
        <v>456</v>
      </c>
      <c r="C1530" s="180">
        <v>51</v>
      </c>
    </row>
    <row r="1531" spans="1:3" x14ac:dyDescent="0.25">
      <c r="A1531" s="178">
        <v>5887</v>
      </c>
      <c r="B1531" s="179" t="s">
        <v>456</v>
      </c>
      <c r="C1531" s="180">
        <v>51</v>
      </c>
    </row>
    <row r="1532" spans="1:3" x14ac:dyDescent="0.25">
      <c r="A1532" s="178">
        <v>5888</v>
      </c>
      <c r="B1532" s="179" t="s">
        <v>456</v>
      </c>
      <c r="C1532" s="180">
        <v>51</v>
      </c>
    </row>
    <row r="1533" spans="1:3" x14ac:dyDescent="0.25">
      <c r="A1533" s="178">
        <v>5889</v>
      </c>
      <c r="B1533" s="179" t="s">
        <v>456</v>
      </c>
      <c r="C1533" s="180">
        <v>51</v>
      </c>
    </row>
    <row r="1534" spans="1:3" x14ac:dyDescent="0.25">
      <c r="A1534" s="178">
        <v>5890</v>
      </c>
      <c r="B1534" s="179" t="s">
        <v>456</v>
      </c>
      <c r="C1534" s="180">
        <v>52</v>
      </c>
    </row>
    <row r="1535" spans="1:3" x14ac:dyDescent="0.25">
      <c r="A1535" s="178">
        <v>5891</v>
      </c>
      <c r="B1535" s="179" t="s">
        <v>456</v>
      </c>
      <c r="C1535" s="180">
        <v>52</v>
      </c>
    </row>
    <row r="1536" spans="1:3" x14ac:dyDescent="0.25">
      <c r="A1536" s="178">
        <v>5892</v>
      </c>
      <c r="B1536" s="179" t="s">
        <v>456</v>
      </c>
      <c r="C1536" s="180">
        <v>60</v>
      </c>
    </row>
    <row r="1537" spans="1:3" x14ac:dyDescent="0.25">
      <c r="A1537" s="178">
        <v>5893</v>
      </c>
      <c r="B1537" s="179" t="s">
        <v>456</v>
      </c>
      <c r="C1537" s="180">
        <v>60</v>
      </c>
    </row>
    <row r="1538" spans="1:3" x14ac:dyDescent="0.25">
      <c r="A1538" s="178">
        <v>5894</v>
      </c>
      <c r="B1538" s="179" t="s">
        <v>456</v>
      </c>
      <c r="C1538" s="180">
        <v>60</v>
      </c>
    </row>
    <row r="1539" spans="1:3" x14ac:dyDescent="0.25">
      <c r="A1539" s="178">
        <v>5895</v>
      </c>
      <c r="B1539" s="179" t="s">
        <v>456</v>
      </c>
      <c r="C1539" s="180">
        <v>119</v>
      </c>
    </row>
    <row r="1540" spans="1:3" x14ac:dyDescent="0.25">
      <c r="A1540" s="178">
        <v>5896</v>
      </c>
      <c r="B1540" s="179" t="s">
        <v>456</v>
      </c>
      <c r="C1540" s="180">
        <v>42</v>
      </c>
    </row>
    <row r="1541" spans="1:3" x14ac:dyDescent="0.25">
      <c r="A1541" s="178">
        <v>5897</v>
      </c>
      <c r="B1541" s="179" t="s">
        <v>456</v>
      </c>
      <c r="C1541" s="180">
        <v>84</v>
      </c>
    </row>
    <row r="1542" spans="1:3" x14ac:dyDescent="0.25">
      <c r="A1542" s="178">
        <v>5898</v>
      </c>
      <c r="B1542" s="179" t="s">
        <v>456</v>
      </c>
      <c r="C1542" s="180">
        <v>119</v>
      </c>
    </row>
    <row r="1543" spans="1:3" x14ac:dyDescent="0.25">
      <c r="A1543" s="178">
        <v>5899</v>
      </c>
      <c r="B1543" s="179" t="s">
        <v>456</v>
      </c>
      <c r="C1543" s="180">
        <v>119</v>
      </c>
    </row>
    <row r="1544" spans="1:3" x14ac:dyDescent="0.25">
      <c r="A1544" s="178">
        <v>5900</v>
      </c>
      <c r="B1544" s="179" t="s">
        <v>456</v>
      </c>
      <c r="C1544" s="180">
        <v>60</v>
      </c>
    </row>
    <row r="1545" spans="1:3" x14ac:dyDescent="0.25">
      <c r="A1545" s="178">
        <v>5901</v>
      </c>
      <c r="B1545" s="179" t="s">
        <v>456</v>
      </c>
      <c r="C1545" s="180">
        <v>60</v>
      </c>
    </row>
    <row r="1546" spans="1:3" x14ac:dyDescent="0.25">
      <c r="A1546" s="178">
        <v>5902</v>
      </c>
      <c r="B1546" s="179" t="s">
        <v>456</v>
      </c>
      <c r="C1546" s="180">
        <v>60</v>
      </c>
    </row>
    <row r="1547" spans="1:3" x14ac:dyDescent="0.25">
      <c r="A1547" s="178">
        <v>5903</v>
      </c>
      <c r="B1547" s="179" t="s">
        <v>456</v>
      </c>
      <c r="C1547" s="180">
        <v>48</v>
      </c>
    </row>
    <row r="1548" spans="1:3" x14ac:dyDescent="0.25">
      <c r="A1548" s="178">
        <v>5904</v>
      </c>
      <c r="B1548" s="179" t="s">
        <v>456</v>
      </c>
      <c r="C1548" s="180">
        <v>48</v>
      </c>
    </row>
    <row r="1549" spans="1:3" x14ac:dyDescent="0.25">
      <c r="A1549" s="178">
        <v>5905</v>
      </c>
      <c r="B1549" s="179" t="s">
        <v>456</v>
      </c>
      <c r="C1549" s="180">
        <v>48</v>
      </c>
    </row>
    <row r="1550" spans="1:3" x14ac:dyDescent="0.25">
      <c r="A1550" s="178">
        <v>5906</v>
      </c>
      <c r="B1550" s="179" t="s">
        <v>456</v>
      </c>
      <c r="C1550" s="180">
        <v>48</v>
      </c>
    </row>
    <row r="1551" spans="1:3" x14ac:dyDescent="0.25">
      <c r="A1551" s="178">
        <v>5907</v>
      </c>
      <c r="B1551" s="179" t="s">
        <v>456</v>
      </c>
      <c r="C1551" s="180">
        <v>36</v>
      </c>
    </row>
    <row r="1552" spans="1:3" x14ac:dyDescent="0.25">
      <c r="A1552" s="178">
        <v>5908</v>
      </c>
      <c r="B1552" s="179" t="s">
        <v>456</v>
      </c>
      <c r="C1552" s="180">
        <v>36</v>
      </c>
    </row>
    <row r="1553" spans="1:3" x14ac:dyDescent="0.25">
      <c r="A1553" s="178">
        <v>5909</v>
      </c>
      <c r="B1553" s="179" t="s">
        <v>456</v>
      </c>
      <c r="C1553" s="180">
        <v>36</v>
      </c>
    </row>
    <row r="1554" spans="1:3" x14ac:dyDescent="0.25">
      <c r="A1554" s="178">
        <v>5910</v>
      </c>
      <c r="B1554" s="179" t="s">
        <v>456</v>
      </c>
      <c r="C1554" s="180">
        <v>36</v>
      </c>
    </row>
    <row r="1555" spans="1:3" x14ac:dyDescent="0.25">
      <c r="A1555" s="178">
        <v>5911</v>
      </c>
      <c r="B1555" s="179" t="s">
        <v>456</v>
      </c>
      <c r="C1555" s="180">
        <v>36</v>
      </c>
    </row>
    <row r="1556" spans="1:3" x14ac:dyDescent="0.25">
      <c r="A1556" s="178">
        <v>5912</v>
      </c>
      <c r="B1556" s="179" t="s">
        <v>456</v>
      </c>
      <c r="C1556" s="180">
        <v>48</v>
      </c>
    </row>
    <row r="1557" spans="1:3" x14ac:dyDescent="0.25">
      <c r="A1557" s="178">
        <v>5913</v>
      </c>
      <c r="B1557" s="179" t="s">
        <v>456</v>
      </c>
      <c r="C1557" s="180">
        <v>48</v>
      </c>
    </row>
    <row r="1558" spans="1:3" x14ac:dyDescent="0.25">
      <c r="A1558" s="178">
        <v>5915</v>
      </c>
      <c r="B1558" s="179" t="s">
        <v>456</v>
      </c>
      <c r="C1558" s="180">
        <v>48</v>
      </c>
    </row>
    <row r="1559" spans="1:3" x14ac:dyDescent="0.25">
      <c r="A1559" s="178">
        <v>5916</v>
      </c>
      <c r="B1559" s="179" t="s">
        <v>456</v>
      </c>
      <c r="C1559" s="180">
        <v>48</v>
      </c>
    </row>
    <row r="1560" spans="1:3" x14ac:dyDescent="0.25">
      <c r="A1560" s="178">
        <v>5917</v>
      </c>
      <c r="B1560" s="179" t="s">
        <v>456</v>
      </c>
      <c r="C1560" s="180">
        <v>48</v>
      </c>
    </row>
    <row r="1561" spans="1:3" x14ac:dyDescent="0.25">
      <c r="A1561" s="178">
        <v>5918</v>
      </c>
      <c r="B1561" s="179" t="s">
        <v>456</v>
      </c>
      <c r="C1561" s="180">
        <v>24</v>
      </c>
    </row>
    <row r="1562" spans="1:3" x14ac:dyDescent="0.25">
      <c r="A1562" s="178">
        <v>5919</v>
      </c>
      <c r="B1562" s="179" t="s">
        <v>456</v>
      </c>
      <c r="C1562" s="180">
        <v>21</v>
      </c>
    </row>
    <row r="1563" spans="1:3" x14ac:dyDescent="0.25">
      <c r="A1563" s="178">
        <v>5920</v>
      </c>
      <c r="B1563" s="179" t="s">
        <v>456</v>
      </c>
      <c r="C1563" s="180">
        <v>84</v>
      </c>
    </row>
    <row r="1564" spans="1:3" x14ac:dyDescent="0.25">
      <c r="A1564" s="178">
        <v>5921</v>
      </c>
      <c r="B1564" s="179" t="s">
        <v>456</v>
      </c>
      <c r="C1564" s="180">
        <v>24</v>
      </c>
    </row>
    <row r="1565" spans="1:3" x14ac:dyDescent="0.25">
      <c r="A1565" s="178">
        <v>5922</v>
      </c>
      <c r="B1565" s="179" t="s">
        <v>456</v>
      </c>
      <c r="C1565" s="180">
        <v>24</v>
      </c>
    </row>
    <row r="1566" spans="1:3" x14ac:dyDescent="0.25">
      <c r="A1566" s="178">
        <v>5923</v>
      </c>
      <c r="B1566" s="179" t="s">
        <v>456</v>
      </c>
      <c r="C1566" s="180">
        <v>18</v>
      </c>
    </row>
    <row r="1567" spans="1:3" x14ac:dyDescent="0.25">
      <c r="A1567" s="178">
        <v>5924</v>
      </c>
      <c r="B1567" s="179" t="s">
        <v>456</v>
      </c>
      <c r="C1567" s="180">
        <v>18</v>
      </c>
    </row>
    <row r="1568" spans="1:3" x14ac:dyDescent="0.25">
      <c r="A1568" s="178">
        <v>5925</v>
      </c>
      <c r="B1568" s="179" t="s">
        <v>456</v>
      </c>
      <c r="C1568" s="180">
        <v>18</v>
      </c>
    </row>
    <row r="1569" spans="1:3" x14ac:dyDescent="0.25">
      <c r="A1569" s="178">
        <v>5926</v>
      </c>
      <c r="B1569" s="179" t="s">
        <v>456</v>
      </c>
      <c r="C1569" s="180">
        <v>18</v>
      </c>
    </row>
    <row r="1570" spans="1:3" x14ac:dyDescent="0.25">
      <c r="A1570" s="178">
        <v>5927</v>
      </c>
      <c r="B1570" s="179" t="s">
        <v>456</v>
      </c>
      <c r="C1570" s="180">
        <v>18</v>
      </c>
    </row>
    <row r="1571" spans="1:3" x14ac:dyDescent="0.25">
      <c r="A1571" s="178">
        <v>5928</v>
      </c>
      <c r="B1571" s="179" t="s">
        <v>456</v>
      </c>
      <c r="C1571" s="180">
        <v>14</v>
      </c>
    </row>
    <row r="1572" spans="1:3" x14ac:dyDescent="0.25">
      <c r="A1572" s="178">
        <v>5929</v>
      </c>
      <c r="B1572" s="179" t="s">
        <v>456</v>
      </c>
      <c r="C1572" s="180">
        <v>18</v>
      </c>
    </row>
    <row r="1573" spans="1:3" x14ac:dyDescent="0.25">
      <c r="A1573" s="178">
        <v>5930</v>
      </c>
      <c r="B1573" s="179" t="s">
        <v>456</v>
      </c>
      <c r="C1573" s="180">
        <v>30</v>
      </c>
    </row>
    <row r="1574" spans="1:3" x14ac:dyDescent="0.25">
      <c r="A1574" s="178">
        <v>5931</v>
      </c>
      <c r="B1574" s="179" t="s">
        <v>456</v>
      </c>
      <c r="C1574" s="180">
        <v>30</v>
      </c>
    </row>
    <row r="1575" spans="1:3" x14ac:dyDescent="0.25">
      <c r="A1575" s="178">
        <v>5932</v>
      </c>
      <c r="B1575" s="179" t="s">
        <v>456</v>
      </c>
      <c r="C1575" s="180">
        <v>30</v>
      </c>
    </row>
    <row r="1576" spans="1:3" x14ac:dyDescent="0.25">
      <c r="A1576" s="178">
        <v>5933</v>
      </c>
      <c r="B1576" s="179" t="s">
        <v>456</v>
      </c>
      <c r="C1576" s="180">
        <v>24</v>
      </c>
    </row>
    <row r="1577" spans="1:3" x14ac:dyDescent="0.25">
      <c r="A1577" s="178">
        <v>5934</v>
      </c>
      <c r="B1577" s="179" t="s">
        <v>456</v>
      </c>
      <c r="C1577" s="180">
        <v>30</v>
      </c>
    </row>
    <row r="1578" spans="1:3" x14ac:dyDescent="0.25">
      <c r="A1578" s="178">
        <v>5935</v>
      </c>
      <c r="B1578" s="179" t="s">
        <v>456</v>
      </c>
      <c r="C1578" s="180">
        <v>30</v>
      </c>
    </row>
    <row r="1579" spans="1:3" x14ac:dyDescent="0.25">
      <c r="A1579" s="178">
        <v>5936</v>
      </c>
      <c r="B1579" s="179" t="s">
        <v>456</v>
      </c>
      <c r="C1579" s="180">
        <v>30</v>
      </c>
    </row>
    <row r="1580" spans="1:3" x14ac:dyDescent="0.25">
      <c r="A1580" s="178">
        <v>5937</v>
      </c>
      <c r="B1580" s="179" t="s">
        <v>456</v>
      </c>
      <c r="C1580" s="180">
        <v>1</v>
      </c>
    </row>
    <row r="1581" spans="1:3" x14ac:dyDescent="0.25">
      <c r="A1581" s="178">
        <v>5938</v>
      </c>
      <c r="B1581" s="179" t="s">
        <v>456</v>
      </c>
      <c r="C1581" s="180">
        <v>30</v>
      </c>
    </row>
    <row r="1582" spans="1:3" x14ac:dyDescent="0.25">
      <c r="A1582" s="178">
        <v>5939</v>
      </c>
      <c r="B1582" s="179" t="s">
        <v>456</v>
      </c>
      <c r="C1582" s="180">
        <v>32</v>
      </c>
    </row>
    <row r="1583" spans="1:3" x14ac:dyDescent="0.25">
      <c r="A1583" s="178">
        <v>5940</v>
      </c>
      <c r="B1583" s="179" t="s">
        <v>456</v>
      </c>
      <c r="C1583" s="180">
        <v>48</v>
      </c>
    </row>
    <row r="1584" spans="1:3" x14ac:dyDescent="0.25">
      <c r="A1584" s="178">
        <v>5941</v>
      </c>
      <c r="B1584" s="179" t="s">
        <v>456</v>
      </c>
      <c r="C1584" s="180">
        <v>48</v>
      </c>
    </row>
    <row r="1585" spans="1:3" x14ac:dyDescent="0.25">
      <c r="A1585" s="178">
        <v>5942</v>
      </c>
      <c r="B1585" s="179" t="s">
        <v>456</v>
      </c>
      <c r="C1585" s="180">
        <v>48</v>
      </c>
    </row>
    <row r="1586" spans="1:3" x14ac:dyDescent="0.25">
      <c r="A1586" s="178">
        <v>5943</v>
      </c>
      <c r="B1586" s="179" t="s">
        <v>456</v>
      </c>
      <c r="C1586" s="180">
        <v>48</v>
      </c>
    </row>
    <row r="1587" spans="1:3" x14ac:dyDescent="0.25">
      <c r="A1587" s="178">
        <v>5944</v>
      </c>
      <c r="B1587" s="179" t="s">
        <v>456</v>
      </c>
      <c r="C1587" s="180">
        <v>48</v>
      </c>
    </row>
    <row r="1588" spans="1:3" x14ac:dyDescent="0.25">
      <c r="A1588" s="178">
        <v>5945</v>
      </c>
      <c r="B1588" s="179" t="s">
        <v>456</v>
      </c>
      <c r="C1588" s="180">
        <v>108</v>
      </c>
    </row>
    <row r="1589" spans="1:3" x14ac:dyDescent="0.25">
      <c r="A1589" s="178">
        <v>5946</v>
      </c>
      <c r="B1589" s="179" t="s">
        <v>456</v>
      </c>
      <c r="C1589" s="180">
        <v>48</v>
      </c>
    </row>
    <row r="1590" spans="1:3" x14ac:dyDescent="0.25">
      <c r="A1590" s="178">
        <v>5947</v>
      </c>
      <c r="B1590" s="179" t="s">
        <v>456</v>
      </c>
      <c r="C1590" s="180">
        <v>100</v>
      </c>
    </row>
    <row r="1591" spans="1:3" x14ac:dyDescent="0.25">
      <c r="A1591" s="178">
        <v>5948</v>
      </c>
      <c r="B1591" s="179" t="s">
        <v>456</v>
      </c>
      <c r="C1591" s="180">
        <v>48</v>
      </c>
    </row>
    <row r="1592" spans="1:3" x14ac:dyDescent="0.25">
      <c r="A1592" s="178">
        <v>5950</v>
      </c>
      <c r="B1592" s="179" t="s">
        <v>456</v>
      </c>
      <c r="C1592" s="180">
        <v>108</v>
      </c>
    </row>
    <row r="1593" spans="1:3" x14ac:dyDescent="0.25">
      <c r="A1593" s="178">
        <v>5951</v>
      </c>
      <c r="B1593" s="179" t="s">
        <v>456</v>
      </c>
      <c r="C1593" s="180">
        <v>48</v>
      </c>
    </row>
    <row r="1594" spans="1:3" x14ac:dyDescent="0.25">
      <c r="A1594" s="178">
        <v>5952</v>
      </c>
      <c r="B1594" s="179" t="s">
        <v>456</v>
      </c>
      <c r="C1594" s="180">
        <v>48</v>
      </c>
    </row>
    <row r="1595" spans="1:3" x14ac:dyDescent="0.25">
      <c r="A1595" s="178">
        <v>5953</v>
      </c>
      <c r="B1595" s="179" t="s">
        <v>456</v>
      </c>
      <c r="C1595" s="180">
        <v>48</v>
      </c>
    </row>
    <row r="1596" spans="1:3" x14ac:dyDescent="0.25">
      <c r="A1596" s="178">
        <v>5954</v>
      </c>
      <c r="B1596" s="179" t="s">
        <v>456</v>
      </c>
      <c r="C1596" s="180">
        <v>48</v>
      </c>
    </row>
    <row r="1597" spans="1:3" x14ac:dyDescent="0.25">
      <c r="A1597" s="178">
        <v>5955</v>
      </c>
      <c r="B1597" s="179" t="s">
        <v>456</v>
      </c>
      <c r="C1597" s="180">
        <v>48</v>
      </c>
    </row>
    <row r="1598" spans="1:3" x14ac:dyDescent="0.25">
      <c r="A1598" s="178">
        <v>5956</v>
      </c>
      <c r="B1598" s="179" t="s">
        <v>456</v>
      </c>
      <c r="C1598" s="180">
        <v>324</v>
      </c>
    </row>
    <row r="1599" spans="1:3" x14ac:dyDescent="0.25">
      <c r="A1599" s="178">
        <v>5957</v>
      </c>
      <c r="B1599" s="179" t="s">
        <v>456</v>
      </c>
      <c r="C1599" s="180">
        <v>48</v>
      </c>
    </row>
    <row r="1600" spans="1:3" x14ac:dyDescent="0.25">
      <c r="A1600" s="178">
        <v>5958</v>
      </c>
      <c r="B1600" s="179" t="s">
        <v>456</v>
      </c>
      <c r="C1600" s="180">
        <v>72</v>
      </c>
    </row>
    <row r="1601" spans="1:3" x14ac:dyDescent="0.25">
      <c r="A1601" s="178">
        <v>5959</v>
      </c>
      <c r="B1601" s="179" t="s">
        <v>456</v>
      </c>
      <c r="C1601" s="180">
        <v>72</v>
      </c>
    </row>
    <row r="1602" spans="1:3" x14ac:dyDescent="0.25">
      <c r="A1602" s="178">
        <v>5960</v>
      </c>
      <c r="B1602" s="179" t="s">
        <v>456</v>
      </c>
      <c r="C1602" s="180">
        <v>72</v>
      </c>
    </row>
    <row r="1603" spans="1:3" x14ac:dyDescent="0.25">
      <c r="A1603" s="178">
        <v>5961</v>
      </c>
      <c r="B1603" s="179" t="s">
        <v>456</v>
      </c>
      <c r="C1603" s="180">
        <v>72</v>
      </c>
    </row>
    <row r="1604" spans="1:3" x14ac:dyDescent="0.25">
      <c r="A1604" s="178">
        <v>5962</v>
      </c>
      <c r="B1604" s="179" t="s">
        <v>456</v>
      </c>
      <c r="C1604" s="180">
        <v>63</v>
      </c>
    </row>
    <row r="1605" spans="1:3" x14ac:dyDescent="0.25">
      <c r="A1605" s="178">
        <v>5963</v>
      </c>
      <c r="B1605" s="179" t="s">
        <v>456</v>
      </c>
      <c r="C1605" s="180">
        <v>48</v>
      </c>
    </row>
    <row r="1606" spans="1:3" x14ac:dyDescent="0.25">
      <c r="A1606" s="178">
        <v>5964</v>
      </c>
      <c r="B1606" s="179" t="s">
        <v>456</v>
      </c>
      <c r="C1606" s="180">
        <v>72</v>
      </c>
    </row>
    <row r="1607" spans="1:3" x14ac:dyDescent="0.25">
      <c r="A1607" s="178">
        <v>5965</v>
      </c>
      <c r="B1607" s="179" t="s">
        <v>456</v>
      </c>
      <c r="C1607" s="180">
        <v>48</v>
      </c>
    </row>
    <row r="1608" spans="1:3" x14ac:dyDescent="0.25">
      <c r="A1608" s="178">
        <v>5966</v>
      </c>
      <c r="B1608" s="179" t="s">
        <v>456</v>
      </c>
      <c r="C1608" s="180">
        <v>48</v>
      </c>
    </row>
    <row r="1609" spans="1:3" x14ac:dyDescent="0.25">
      <c r="A1609" s="178">
        <v>5967</v>
      </c>
      <c r="B1609" s="179" t="s">
        <v>456</v>
      </c>
      <c r="C1609" s="180">
        <v>72</v>
      </c>
    </row>
    <row r="1610" spans="1:3" x14ac:dyDescent="0.25">
      <c r="A1610" s="178">
        <v>5968</v>
      </c>
      <c r="B1610" s="179" t="s">
        <v>456</v>
      </c>
      <c r="C1610" s="180">
        <v>63</v>
      </c>
    </row>
    <row r="1611" spans="1:3" x14ac:dyDescent="0.25">
      <c r="A1611" s="178">
        <v>5969</v>
      </c>
      <c r="B1611" s="179" t="s">
        <v>456</v>
      </c>
      <c r="C1611" s="180">
        <v>72</v>
      </c>
    </row>
    <row r="1612" spans="1:3" x14ac:dyDescent="0.25">
      <c r="A1612" s="178">
        <v>5970</v>
      </c>
      <c r="B1612" s="179" t="s">
        <v>456</v>
      </c>
      <c r="C1612" s="180">
        <v>300</v>
      </c>
    </row>
    <row r="1613" spans="1:3" x14ac:dyDescent="0.25">
      <c r="A1613" s="178">
        <v>5971</v>
      </c>
      <c r="B1613" s="179" t="s">
        <v>456</v>
      </c>
      <c r="C1613" s="180">
        <v>45</v>
      </c>
    </row>
    <row r="1614" spans="1:3" x14ac:dyDescent="0.25">
      <c r="A1614" s="178">
        <v>5972</v>
      </c>
      <c r="B1614" s="179" t="s">
        <v>456</v>
      </c>
      <c r="C1614" s="180">
        <v>45</v>
      </c>
    </row>
    <row r="1615" spans="1:3" x14ac:dyDescent="0.25">
      <c r="A1615" s="178">
        <v>5973</v>
      </c>
      <c r="B1615" s="179" t="s">
        <v>456</v>
      </c>
      <c r="C1615" s="180">
        <v>45</v>
      </c>
    </row>
    <row r="1616" spans="1:3" x14ac:dyDescent="0.25">
      <c r="A1616" s="178">
        <v>5974</v>
      </c>
      <c r="B1616" s="179" t="s">
        <v>456</v>
      </c>
      <c r="C1616" s="180">
        <v>48</v>
      </c>
    </row>
    <row r="1617" spans="1:3" x14ac:dyDescent="0.25">
      <c r="A1617" s="178">
        <v>5975</v>
      </c>
      <c r="B1617" s="179" t="s">
        <v>456</v>
      </c>
      <c r="C1617" s="180">
        <v>48</v>
      </c>
    </row>
    <row r="1618" spans="1:3" x14ac:dyDescent="0.25">
      <c r="A1618" s="178">
        <v>5976</v>
      </c>
      <c r="B1618" s="179" t="s">
        <v>456</v>
      </c>
      <c r="C1618" s="180">
        <v>48</v>
      </c>
    </row>
    <row r="1619" spans="1:3" x14ac:dyDescent="0.25">
      <c r="A1619" s="178">
        <v>5977</v>
      </c>
      <c r="B1619" s="179" t="s">
        <v>456</v>
      </c>
      <c r="C1619" s="180">
        <v>240</v>
      </c>
    </row>
    <row r="1620" spans="1:3" x14ac:dyDescent="0.25">
      <c r="A1620" s="178">
        <v>5979</v>
      </c>
      <c r="B1620" s="179" t="s">
        <v>456</v>
      </c>
      <c r="C1620" s="180">
        <v>80</v>
      </c>
    </row>
    <row r="1621" spans="1:3" x14ac:dyDescent="0.25">
      <c r="A1621" s="178">
        <v>5980</v>
      </c>
      <c r="B1621" s="179" t="s">
        <v>456</v>
      </c>
      <c r="C1621" s="180">
        <v>80</v>
      </c>
    </row>
    <row r="1622" spans="1:3" x14ac:dyDescent="0.25">
      <c r="A1622" s="178">
        <v>5981</v>
      </c>
      <c r="B1622" s="179" t="s">
        <v>456</v>
      </c>
      <c r="C1622" s="180">
        <v>48</v>
      </c>
    </row>
    <row r="1623" spans="1:3" x14ac:dyDescent="0.25">
      <c r="A1623" s="178">
        <v>5982</v>
      </c>
      <c r="B1623" s="179" t="s">
        <v>456</v>
      </c>
      <c r="C1623" s="180">
        <v>63</v>
      </c>
    </row>
    <row r="1624" spans="1:3" x14ac:dyDescent="0.25">
      <c r="A1624" s="178">
        <v>5984</v>
      </c>
      <c r="B1624" s="179" t="s">
        <v>456</v>
      </c>
      <c r="C1624" s="180">
        <v>63</v>
      </c>
    </row>
    <row r="1625" spans="1:3" x14ac:dyDescent="0.25">
      <c r="A1625" s="178">
        <v>5985</v>
      </c>
      <c r="B1625" s="179" t="s">
        <v>456</v>
      </c>
      <c r="C1625" s="180">
        <v>63</v>
      </c>
    </row>
    <row r="1626" spans="1:3" x14ac:dyDescent="0.25">
      <c r="A1626" s="178">
        <v>5986</v>
      </c>
      <c r="B1626" s="179" t="s">
        <v>456</v>
      </c>
      <c r="C1626" s="180">
        <v>48</v>
      </c>
    </row>
    <row r="1627" spans="1:3" x14ac:dyDescent="0.25">
      <c r="A1627" s="178">
        <v>5987</v>
      </c>
      <c r="B1627" s="179" t="s">
        <v>456</v>
      </c>
      <c r="C1627" s="180">
        <v>48</v>
      </c>
    </row>
    <row r="1628" spans="1:3" x14ac:dyDescent="0.25">
      <c r="A1628" s="178">
        <v>5989</v>
      </c>
      <c r="B1628" s="179" t="s">
        <v>456</v>
      </c>
      <c r="C1628" s="180">
        <v>48</v>
      </c>
    </row>
    <row r="1629" spans="1:3" x14ac:dyDescent="0.25">
      <c r="A1629" s="178">
        <v>5991</v>
      </c>
      <c r="B1629" s="179" t="s">
        <v>456</v>
      </c>
      <c r="C1629" s="180">
        <v>24</v>
      </c>
    </row>
    <row r="1630" spans="1:3" x14ac:dyDescent="0.25">
      <c r="A1630" s="178">
        <v>5992</v>
      </c>
      <c r="B1630" s="179" t="s">
        <v>456</v>
      </c>
      <c r="C1630" s="180">
        <v>30</v>
      </c>
    </row>
    <row r="1631" spans="1:3" x14ac:dyDescent="0.25">
      <c r="A1631" s="178">
        <v>5993</v>
      </c>
      <c r="B1631" s="179" t="s">
        <v>456</v>
      </c>
      <c r="C1631" s="180">
        <v>48</v>
      </c>
    </row>
    <row r="1632" spans="1:3" x14ac:dyDescent="0.25">
      <c r="A1632" s="178">
        <v>5994</v>
      </c>
      <c r="B1632" s="179" t="s">
        <v>456</v>
      </c>
      <c r="C1632" s="180">
        <v>56</v>
      </c>
    </row>
    <row r="1633" spans="1:3" x14ac:dyDescent="0.25">
      <c r="A1633" s="178">
        <v>5995</v>
      </c>
      <c r="B1633" s="179" t="s">
        <v>456</v>
      </c>
      <c r="C1633" s="180">
        <v>48</v>
      </c>
    </row>
    <row r="1634" spans="1:3" x14ac:dyDescent="0.25">
      <c r="A1634" s="178">
        <v>5996</v>
      </c>
      <c r="B1634" s="179" t="s">
        <v>456</v>
      </c>
      <c r="C1634" s="180">
        <v>24</v>
      </c>
    </row>
    <row r="1635" spans="1:3" x14ac:dyDescent="0.25">
      <c r="A1635" s="178">
        <v>5997</v>
      </c>
      <c r="B1635" s="179" t="s">
        <v>456</v>
      </c>
      <c r="C1635" s="180">
        <v>24</v>
      </c>
    </row>
    <row r="1636" spans="1:3" x14ac:dyDescent="0.25">
      <c r="A1636" s="178">
        <v>6004</v>
      </c>
      <c r="B1636" s="179" t="s">
        <v>456</v>
      </c>
      <c r="C1636" s="180">
        <v>20</v>
      </c>
    </row>
    <row r="1637" spans="1:3" x14ac:dyDescent="0.25">
      <c r="A1637" s="178">
        <v>6005</v>
      </c>
      <c r="B1637" s="179" t="s">
        <v>456</v>
      </c>
      <c r="C1637" s="180">
        <v>20</v>
      </c>
    </row>
    <row r="1638" spans="1:3" x14ac:dyDescent="0.25">
      <c r="A1638" s="178">
        <v>6008</v>
      </c>
      <c r="B1638" s="179" t="s">
        <v>456</v>
      </c>
      <c r="C1638" s="180">
        <v>120</v>
      </c>
    </row>
    <row r="1639" spans="1:3" x14ac:dyDescent="0.25">
      <c r="A1639" s="178">
        <v>6009</v>
      </c>
      <c r="B1639" s="179" t="s">
        <v>456</v>
      </c>
      <c r="C1639" s="180">
        <v>80</v>
      </c>
    </row>
    <row r="1640" spans="1:3" x14ac:dyDescent="0.25">
      <c r="A1640" s="178">
        <v>6010</v>
      </c>
      <c r="B1640" s="179" t="s">
        <v>456</v>
      </c>
      <c r="C1640" s="180">
        <v>70</v>
      </c>
    </row>
    <row r="1641" spans="1:3" x14ac:dyDescent="0.25">
      <c r="A1641" s="178">
        <v>6011</v>
      </c>
      <c r="B1641" s="179" t="s">
        <v>456</v>
      </c>
      <c r="C1641" s="180">
        <v>70</v>
      </c>
    </row>
    <row r="1642" spans="1:3" x14ac:dyDescent="0.25">
      <c r="A1642" s="178">
        <v>6018</v>
      </c>
      <c r="B1642" s="179" t="s">
        <v>456</v>
      </c>
      <c r="C1642" s="180">
        <v>20</v>
      </c>
    </row>
    <row r="1643" spans="1:3" x14ac:dyDescent="0.25">
      <c r="A1643" s="178">
        <v>6019</v>
      </c>
      <c r="B1643" s="179" t="s">
        <v>456</v>
      </c>
      <c r="C1643" s="180">
        <v>120</v>
      </c>
    </row>
    <row r="1644" spans="1:3" x14ac:dyDescent="0.25">
      <c r="A1644" s="178">
        <v>6052</v>
      </c>
      <c r="B1644" s="179" t="s">
        <v>456</v>
      </c>
      <c r="C1644" s="180">
        <v>49</v>
      </c>
    </row>
    <row r="1645" spans="1:3" x14ac:dyDescent="0.25">
      <c r="A1645" s="178">
        <v>6053</v>
      </c>
      <c r="B1645" s="179" t="s">
        <v>456</v>
      </c>
      <c r="C1645" s="180">
        <v>49</v>
      </c>
    </row>
    <row r="1646" spans="1:3" x14ac:dyDescent="0.25">
      <c r="A1646" s="178">
        <v>6154</v>
      </c>
      <c r="B1646" s="179" t="s">
        <v>456</v>
      </c>
      <c r="C1646" s="180">
        <v>90</v>
      </c>
    </row>
    <row r="1647" spans="1:3" x14ac:dyDescent="0.25">
      <c r="A1647" s="178">
        <v>6157</v>
      </c>
      <c r="B1647" s="179" t="s">
        <v>456</v>
      </c>
      <c r="C1647" s="180">
        <v>120</v>
      </c>
    </row>
    <row r="1648" spans="1:3" x14ac:dyDescent="0.25">
      <c r="A1648" s="178">
        <v>6165</v>
      </c>
      <c r="B1648" s="179" t="s">
        <v>456</v>
      </c>
      <c r="C1648" s="180">
        <v>90</v>
      </c>
    </row>
    <row r="1649" spans="1:3" x14ac:dyDescent="0.25">
      <c r="A1649" s="178">
        <v>6178</v>
      </c>
      <c r="B1649" s="179" t="s">
        <v>456</v>
      </c>
      <c r="C1649" s="180">
        <v>1</v>
      </c>
    </row>
    <row r="1650" spans="1:3" x14ac:dyDescent="0.25">
      <c r="A1650" s="178">
        <v>6181</v>
      </c>
      <c r="B1650" s="179" t="s">
        <v>456</v>
      </c>
      <c r="C1650" s="180">
        <v>1</v>
      </c>
    </row>
    <row r="1651" spans="1:3" x14ac:dyDescent="0.25">
      <c r="A1651" s="178">
        <v>6213</v>
      </c>
      <c r="B1651" s="179" t="s">
        <v>456</v>
      </c>
      <c r="C1651" s="180">
        <v>64</v>
      </c>
    </row>
    <row r="1652" spans="1:3" x14ac:dyDescent="0.25">
      <c r="A1652" s="178">
        <v>6214</v>
      </c>
      <c r="B1652" s="179" t="s">
        <v>456</v>
      </c>
      <c r="C1652" s="180">
        <v>64</v>
      </c>
    </row>
    <row r="1653" spans="1:3" x14ac:dyDescent="0.25">
      <c r="A1653" s="178">
        <v>6215</v>
      </c>
      <c r="B1653" s="179" t="s">
        <v>456</v>
      </c>
      <c r="C1653" s="180">
        <v>64</v>
      </c>
    </row>
    <row r="1654" spans="1:3" x14ac:dyDescent="0.25">
      <c r="A1654" s="178">
        <v>6280</v>
      </c>
      <c r="B1654" s="179" t="s">
        <v>456</v>
      </c>
      <c r="C1654" s="180">
        <v>1</v>
      </c>
    </row>
    <row r="1655" spans="1:3" x14ac:dyDescent="0.25">
      <c r="A1655" s="178">
        <v>6283</v>
      </c>
      <c r="B1655" s="179" t="s">
        <v>456</v>
      </c>
      <c r="C1655" s="180">
        <v>120</v>
      </c>
    </row>
    <row r="1656" spans="1:3" x14ac:dyDescent="0.25">
      <c r="A1656" s="178">
        <v>6285</v>
      </c>
      <c r="B1656" s="179" t="s">
        <v>456</v>
      </c>
      <c r="C1656" s="180">
        <v>90</v>
      </c>
    </row>
    <row r="1657" spans="1:3" x14ac:dyDescent="0.25">
      <c r="A1657" s="178">
        <v>6294</v>
      </c>
      <c r="B1657" s="179" t="s">
        <v>456</v>
      </c>
      <c r="C1657" s="180">
        <v>90</v>
      </c>
    </row>
    <row r="1658" spans="1:3" x14ac:dyDescent="0.25">
      <c r="A1658" s="178">
        <v>6331</v>
      </c>
      <c r="B1658" s="179" t="s">
        <v>456</v>
      </c>
      <c r="C1658" s="180">
        <v>63</v>
      </c>
    </row>
    <row r="1659" spans="1:3" x14ac:dyDescent="0.25">
      <c r="A1659" s="178">
        <v>6332</v>
      </c>
      <c r="B1659" s="179" t="s">
        <v>456</v>
      </c>
      <c r="C1659" s="180">
        <v>63</v>
      </c>
    </row>
    <row r="1660" spans="1:3" x14ac:dyDescent="0.25">
      <c r="A1660" s="178">
        <v>6333</v>
      </c>
      <c r="B1660" s="179" t="s">
        <v>456</v>
      </c>
      <c r="C1660" s="180">
        <v>63</v>
      </c>
    </row>
    <row r="1661" spans="1:3" x14ac:dyDescent="0.25">
      <c r="A1661" s="178">
        <v>6334</v>
      </c>
      <c r="B1661" s="179" t="s">
        <v>456</v>
      </c>
      <c r="C1661" s="180">
        <v>63</v>
      </c>
    </row>
    <row r="1662" spans="1:3" x14ac:dyDescent="0.25">
      <c r="A1662" s="178">
        <v>6335</v>
      </c>
      <c r="B1662" s="179" t="s">
        <v>456</v>
      </c>
      <c r="C1662" s="180">
        <v>60</v>
      </c>
    </row>
    <row r="1663" spans="1:3" x14ac:dyDescent="0.25">
      <c r="A1663" s="178">
        <v>6336</v>
      </c>
      <c r="B1663" s="179" t="s">
        <v>456</v>
      </c>
      <c r="C1663" s="180">
        <v>63</v>
      </c>
    </row>
    <row r="1664" spans="1:3" x14ac:dyDescent="0.25">
      <c r="A1664" s="178">
        <v>6337</v>
      </c>
      <c r="B1664" s="179" t="s">
        <v>456</v>
      </c>
      <c r="C1664" s="180">
        <v>80</v>
      </c>
    </row>
    <row r="1665" spans="1:3" x14ac:dyDescent="0.25">
      <c r="A1665" s="178">
        <v>6338</v>
      </c>
      <c r="B1665" s="179" t="s">
        <v>456</v>
      </c>
      <c r="C1665" s="180">
        <v>63</v>
      </c>
    </row>
    <row r="1666" spans="1:3" x14ac:dyDescent="0.25">
      <c r="A1666" s="178">
        <v>6339</v>
      </c>
      <c r="B1666" s="179" t="s">
        <v>456</v>
      </c>
      <c r="C1666" s="180">
        <v>63</v>
      </c>
    </row>
    <row r="1667" spans="1:3" x14ac:dyDescent="0.25">
      <c r="A1667" s="178">
        <v>6340</v>
      </c>
      <c r="B1667" s="179" t="s">
        <v>456</v>
      </c>
      <c r="C1667" s="180">
        <v>63</v>
      </c>
    </row>
    <row r="1668" spans="1:3" x14ac:dyDescent="0.25">
      <c r="A1668" s="178">
        <v>6341</v>
      </c>
      <c r="B1668" s="179" t="s">
        <v>456</v>
      </c>
      <c r="C1668" s="180">
        <v>63</v>
      </c>
    </row>
    <row r="1669" spans="1:3" x14ac:dyDescent="0.25">
      <c r="A1669" s="178">
        <v>6342</v>
      </c>
      <c r="B1669" s="179" t="s">
        <v>456</v>
      </c>
      <c r="C1669" s="180">
        <v>63</v>
      </c>
    </row>
    <row r="1670" spans="1:3" x14ac:dyDescent="0.25">
      <c r="A1670" s="178">
        <v>6343</v>
      </c>
      <c r="B1670" s="179" t="s">
        <v>456</v>
      </c>
      <c r="C1670" s="180">
        <v>63</v>
      </c>
    </row>
    <row r="1671" spans="1:3" x14ac:dyDescent="0.25">
      <c r="A1671" s="178">
        <v>6344</v>
      </c>
      <c r="B1671" s="179" t="s">
        <v>456</v>
      </c>
      <c r="C1671" s="180">
        <v>63</v>
      </c>
    </row>
    <row r="1672" spans="1:3" x14ac:dyDescent="0.25">
      <c r="A1672" s="178">
        <v>6345</v>
      </c>
      <c r="B1672" s="179" t="s">
        <v>456</v>
      </c>
      <c r="C1672" s="180">
        <v>63</v>
      </c>
    </row>
    <row r="1673" spans="1:3" x14ac:dyDescent="0.25">
      <c r="A1673" s="178">
        <v>6346</v>
      </c>
      <c r="B1673" s="179" t="s">
        <v>456</v>
      </c>
      <c r="C1673" s="180">
        <v>63</v>
      </c>
    </row>
    <row r="1674" spans="1:3" x14ac:dyDescent="0.25">
      <c r="A1674" s="178">
        <v>6347</v>
      </c>
      <c r="B1674" s="179" t="s">
        <v>456</v>
      </c>
      <c r="C1674" s="180">
        <v>63</v>
      </c>
    </row>
    <row r="1675" spans="1:3" x14ac:dyDescent="0.25">
      <c r="A1675" s="178">
        <v>6348</v>
      </c>
      <c r="B1675" s="179" t="s">
        <v>456</v>
      </c>
      <c r="C1675" s="180">
        <v>63</v>
      </c>
    </row>
    <row r="1676" spans="1:3" x14ac:dyDescent="0.25">
      <c r="A1676" s="178">
        <v>6349</v>
      </c>
      <c r="B1676" s="179" t="s">
        <v>456</v>
      </c>
      <c r="C1676" s="180">
        <v>63</v>
      </c>
    </row>
    <row r="1677" spans="1:3" x14ac:dyDescent="0.25">
      <c r="A1677" s="178">
        <v>6350</v>
      </c>
      <c r="B1677" s="179" t="s">
        <v>456</v>
      </c>
      <c r="C1677" s="180">
        <v>63</v>
      </c>
    </row>
    <row r="1678" spans="1:3" x14ac:dyDescent="0.25">
      <c r="A1678" s="178">
        <v>6351</v>
      </c>
      <c r="B1678" s="179" t="s">
        <v>456</v>
      </c>
      <c r="C1678" s="180">
        <v>63</v>
      </c>
    </row>
    <row r="1679" spans="1:3" x14ac:dyDescent="0.25">
      <c r="A1679" s="178">
        <v>6352</v>
      </c>
      <c r="B1679" s="179" t="s">
        <v>456</v>
      </c>
      <c r="C1679" s="180">
        <v>63</v>
      </c>
    </row>
    <row r="1680" spans="1:3" x14ac:dyDescent="0.25">
      <c r="A1680" s="178">
        <v>6353</v>
      </c>
      <c r="B1680" s="179" t="s">
        <v>456</v>
      </c>
      <c r="C1680" s="180">
        <v>63</v>
      </c>
    </row>
    <row r="1681" spans="1:3" x14ac:dyDescent="0.25">
      <c r="A1681" s="178">
        <v>6354</v>
      </c>
      <c r="B1681" s="179" t="s">
        <v>456</v>
      </c>
      <c r="C1681" s="180">
        <v>63</v>
      </c>
    </row>
    <row r="1682" spans="1:3" x14ac:dyDescent="0.25">
      <c r="A1682" s="178">
        <v>6355</v>
      </c>
      <c r="B1682" s="179" t="s">
        <v>456</v>
      </c>
      <c r="C1682" s="180">
        <v>63</v>
      </c>
    </row>
    <row r="1683" spans="1:3" x14ac:dyDescent="0.25">
      <c r="A1683" s="178">
        <v>6356</v>
      </c>
      <c r="B1683" s="179" t="s">
        <v>456</v>
      </c>
      <c r="C1683" s="180">
        <v>63</v>
      </c>
    </row>
    <row r="1684" spans="1:3" x14ac:dyDescent="0.25">
      <c r="A1684" s="178">
        <v>6357</v>
      </c>
      <c r="B1684" s="179" t="s">
        <v>456</v>
      </c>
      <c r="C1684" s="180">
        <v>63</v>
      </c>
    </row>
    <row r="1685" spans="1:3" x14ac:dyDescent="0.25">
      <c r="A1685" s="178">
        <v>6358</v>
      </c>
      <c r="B1685" s="179" t="s">
        <v>456</v>
      </c>
      <c r="C1685" s="180">
        <v>63</v>
      </c>
    </row>
    <row r="1686" spans="1:3" x14ac:dyDescent="0.25">
      <c r="A1686" s="178">
        <v>6359</v>
      </c>
      <c r="B1686" s="179" t="s">
        <v>456</v>
      </c>
      <c r="C1686" s="180">
        <v>63</v>
      </c>
    </row>
    <row r="1687" spans="1:3" x14ac:dyDescent="0.25">
      <c r="A1687" s="178">
        <v>6360</v>
      </c>
      <c r="B1687" s="179" t="s">
        <v>456</v>
      </c>
      <c r="C1687" s="180">
        <v>63</v>
      </c>
    </row>
    <row r="1688" spans="1:3" x14ac:dyDescent="0.25">
      <c r="A1688" s="178">
        <v>6361</v>
      </c>
      <c r="B1688" s="179" t="s">
        <v>456</v>
      </c>
      <c r="C1688" s="180">
        <v>63</v>
      </c>
    </row>
    <row r="1689" spans="1:3" x14ac:dyDescent="0.25">
      <c r="A1689" s="178">
        <v>6363</v>
      </c>
      <c r="B1689" s="179" t="s">
        <v>456</v>
      </c>
      <c r="C1689" s="180">
        <v>300</v>
      </c>
    </row>
    <row r="1690" spans="1:3" x14ac:dyDescent="0.25">
      <c r="A1690" s="178">
        <v>6364</v>
      </c>
      <c r="B1690" s="179" t="s">
        <v>456</v>
      </c>
      <c r="C1690" s="180">
        <v>33</v>
      </c>
    </row>
    <row r="1691" spans="1:3" x14ac:dyDescent="0.25">
      <c r="A1691" s="178">
        <v>6365</v>
      </c>
      <c r="B1691" s="179" t="s">
        <v>456</v>
      </c>
      <c r="C1691" s="180">
        <v>280</v>
      </c>
    </row>
    <row r="1692" spans="1:3" x14ac:dyDescent="0.25">
      <c r="A1692" s="178">
        <v>6366</v>
      </c>
      <c r="B1692" s="179" t="s">
        <v>456</v>
      </c>
      <c r="C1692" s="180">
        <v>63</v>
      </c>
    </row>
    <row r="1693" spans="1:3" x14ac:dyDescent="0.25">
      <c r="A1693" s="178">
        <v>6367</v>
      </c>
      <c r="B1693" s="179" t="s">
        <v>456</v>
      </c>
      <c r="C1693" s="180">
        <v>120</v>
      </c>
    </row>
    <row r="1694" spans="1:3" x14ac:dyDescent="0.25">
      <c r="A1694" s="178">
        <v>6368</v>
      </c>
      <c r="B1694" s="179" t="s">
        <v>456</v>
      </c>
      <c r="C1694" s="180">
        <v>63</v>
      </c>
    </row>
    <row r="1695" spans="1:3" x14ac:dyDescent="0.25">
      <c r="A1695" s="178">
        <v>6369</v>
      </c>
      <c r="B1695" s="179" t="s">
        <v>456</v>
      </c>
      <c r="C1695" s="180">
        <v>15</v>
      </c>
    </row>
    <row r="1696" spans="1:3" x14ac:dyDescent="0.25">
      <c r="A1696" s="178">
        <v>6370</v>
      </c>
      <c r="B1696" s="179" t="s">
        <v>456</v>
      </c>
      <c r="C1696" s="180">
        <v>33</v>
      </c>
    </row>
    <row r="1697" spans="1:3" x14ac:dyDescent="0.25">
      <c r="A1697" s="178">
        <v>6371</v>
      </c>
      <c r="B1697" s="179" t="s">
        <v>456</v>
      </c>
      <c r="C1697" s="180">
        <v>15</v>
      </c>
    </row>
    <row r="1698" spans="1:3" x14ac:dyDescent="0.25">
      <c r="A1698" s="178">
        <v>6372</v>
      </c>
      <c r="B1698" s="179" t="s">
        <v>456</v>
      </c>
      <c r="C1698" s="180">
        <v>60</v>
      </c>
    </row>
    <row r="1699" spans="1:3" x14ac:dyDescent="0.25">
      <c r="A1699" s="178">
        <v>6373</v>
      </c>
      <c r="B1699" s="179" t="s">
        <v>456</v>
      </c>
      <c r="C1699" s="180">
        <v>60</v>
      </c>
    </row>
    <row r="1700" spans="1:3" x14ac:dyDescent="0.25">
      <c r="A1700" s="178">
        <v>6374</v>
      </c>
      <c r="B1700" s="179" t="s">
        <v>456</v>
      </c>
      <c r="C1700" s="180">
        <v>63</v>
      </c>
    </row>
    <row r="1701" spans="1:3" x14ac:dyDescent="0.25">
      <c r="A1701" s="178">
        <v>6375</v>
      </c>
      <c r="B1701" s="179" t="s">
        <v>456</v>
      </c>
      <c r="C1701" s="180">
        <v>33</v>
      </c>
    </row>
    <row r="1702" spans="1:3" x14ac:dyDescent="0.25">
      <c r="A1702" s="178">
        <v>6376</v>
      </c>
      <c r="B1702" s="179" t="s">
        <v>456</v>
      </c>
      <c r="C1702" s="180">
        <v>63</v>
      </c>
    </row>
    <row r="1703" spans="1:3" x14ac:dyDescent="0.25">
      <c r="A1703" s="178">
        <v>6377</v>
      </c>
      <c r="B1703" s="179" t="s">
        <v>456</v>
      </c>
      <c r="C1703" s="180">
        <v>63</v>
      </c>
    </row>
    <row r="1704" spans="1:3" x14ac:dyDescent="0.25">
      <c r="A1704" s="178">
        <v>6378</v>
      </c>
      <c r="B1704" s="179" t="s">
        <v>456</v>
      </c>
      <c r="C1704" s="180">
        <v>63</v>
      </c>
    </row>
    <row r="1705" spans="1:3" x14ac:dyDescent="0.25">
      <c r="A1705" s="178">
        <v>6379</v>
      </c>
      <c r="B1705" s="179" t="s">
        <v>456</v>
      </c>
      <c r="C1705" s="180">
        <v>63</v>
      </c>
    </row>
    <row r="1706" spans="1:3" x14ac:dyDescent="0.25">
      <c r="A1706" s="178">
        <v>6381</v>
      </c>
      <c r="B1706" s="179" t="s">
        <v>456</v>
      </c>
      <c r="C1706" s="180">
        <v>63</v>
      </c>
    </row>
    <row r="1707" spans="1:3" x14ac:dyDescent="0.25">
      <c r="A1707" s="178">
        <v>6382</v>
      </c>
      <c r="B1707" s="179" t="s">
        <v>456</v>
      </c>
      <c r="C1707" s="180">
        <v>100</v>
      </c>
    </row>
    <row r="1708" spans="1:3" x14ac:dyDescent="0.25">
      <c r="A1708" s="178">
        <v>6383</v>
      </c>
      <c r="B1708" s="179" t="s">
        <v>456</v>
      </c>
      <c r="C1708" s="180">
        <v>100</v>
      </c>
    </row>
    <row r="1709" spans="1:3" x14ac:dyDescent="0.25">
      <c r="A1709" s="178">
        <v>6384</v>
      </c>
      <c r="B1709" s="179" t="s">
        <v>456</v>
      </c>
      <c r="C1709" s="180">
        <v>48</v>
      </c>
    </row>
    <row r="1710" spans="1:3" x14ac:dyDescent="0.25">
      <c r="A1710" s="178">
        <v>6385</v>
      </c>
      <c r="B1710" s="179" t="s">
        <v>456</v>
      </c>
      <c r="C1710" s="180">
        <v>100</v>
      </c>
    </row>
    <row r="1711" spans="1:3" x14ac:dyDescent="0.25">
      <c r="A1711" s="178">
        <v>6386</v>
      </c>
      <c r="B1711" s="179" t="s">
        <v>456</v>
      </c>
      <c r="C1711" s="180">
        <v>100</v>
      </c>
    </row>
    <row r="1712" spans="1:3" x14ac:dyDescent="0.25">
      <c r="A1712" s="178">
        <v>6387</v>
      </c>
      <c r="B1712" s="179" t="s">
        <v>456</v>
      </c>
      <c r="C1712" s="180">
        <v>33</v>
      </c>
    </row>
    <row r="1713" spans="1:3" x14ac:dyDescent="0.25">
      <c r="A1713" s="178">
        <v>6388</v>
      </c>
      <c r="B1713" s="179" t="s">
        <v>456</v>
      </c>
      <c r="C1713" s="180">
        <v>15</v>
      </c>
    </row>
    <row r="1714" spans="1:3" x14ac:dyDescent="0.25">
      <c r="A1714" s="178">
        <v>6390</v>
      </c>
      <c r="B1714" s="179" t="s">
        <v>456</v>
      </c>
      <c r="C1714" s="180">
        <v>63</v>
      </c>
    </row>
    <row r="1715" spans="1:3" x14ac:dyDescent="0.25">
      <c r="A1715" s="178">
        <v>6391</v>
      </c>
      <c r="B1715" s="179" t="s">
        <v>456</v>
      </c>
      <c r="C1715" s="180">
        <v>63</v>
      </c>
    </row>
    <row r="1716" spans="1:3" x14ac:dyDescent="0.25">
      <c r="A1716" s="178">
        <v>6394</v>
      </c>
      <c r="B1716" s="179" t="s">
        <v>456</v>
      </c>
      <c r="C1716" s="180">
        <v>63</v>
      </c>
    </row>
    <row r="1717" spans="1:3" x14ac:dyDescent="0.25">
      <c r="A1717" s="178">
        <v>6395</v>
      </c>
      <c r="B1717" s="179" t="s">
        <v>456</v>
      </c>
      <c r="C1717" s="180">
        <v>48</v>
      </c>
    </row>
    <row r="1718" spans="1:3" x14ac:dyDescent="0.25">
      <c r="A1718" s="178">
        <v>6396</v>
      </c>
      <c r="B1718" s="179" t="s">
        <v>456</v>
      </c>
      <c r="C1718" s="180">
        <v>48</v>
      </c>
    </row>
    <row r="1719" spans="1:3" x14ac:dyDescent="0.25">
      <c r="A1719" s="178">
        <v>6397</v>
      </c>
      <c r="B1719" s="179" t="s">
        <v>456</v>
      </c>
      <c r="C1719" s="180">
        <v>72</v>
      </c>
    </row>
    <row r="1720" spans="1:3" x14ac:dyDescent="0.25">
      <c r="A1720" s="178">
        <v>6398</v>
      </c>
      <c r="B1720" s="179" t="s">
        <v>456</v>
      </c>
      <c r="C1720" s="180">
        <v>72</v>
      </c>
    </row>
    <row r="1721" spans="1:3" x14ac:dyDescent="0.25">
      <c r="A1721" s="178">
        <v>6400</v>
      </c>
      <c r="B1721" s="179" t="s">
        <v>456</v>
      </c>
      <c r="C1721" s="180">
        <v>48</v>
      </c>
    </row>
    <row r="1722" spans="1:3" x14ac:dyDescent="0.25">
      <c r="A1722" s="178">
        <v>6401</v>
      </c>
      <c r="B1722" s="179" t="s">
        <v>456</v>
      </c>
      <c r="C1722" s="180">
        <v>63</v>
      </c>
    </row>
    <row r="1723" spans="1:3" x14ac:dyDescent="0.25">
      <c r="A1723" s="178">
        <v>6402</v>
      </c>
      <c r="B1723" s="179" t="s">
        <v>456</v>
      </c>
      <c r="C1723" s="180">
        <v>64</v>
      </c>
    </row>
    <row r="1724" spans="1:3" x14ac:dyDescent="0.25">
      <c r="A1724" s="178">
        <v>6403</v>
      </c>
      <c r="B1724" s="179" t="s">
        <v>456</v>
      </c>
      <c r="C1724" s="180">
        <v>1</v>
      </c>
    </row>
    <row r="1725" spans="1:3" x14ac:dyDescent="0.25">
      <c r="A1725" s="178">
        <v>6404</v>
      </c>
      <c r="B1725" s="179" t="s">
        <v>456</v>
      </c>
      <c r="C1725" s="180">
        <v>63</v>
      </c>
    </row>
    <row r="1726" spans="1:3" x14ac:dyDescent="0.25">
      <c r="A1726" s="178">
        <v>6405</v>
      </c>
      <c r="B1726" s="179" t="s">
        <v>456</v>
      </c>
      <c r="C1726" s="180">
        <v>63</v>
      </c>
    </row>
    <row r="1727" spans="1:3" x14ac:dyDescent="0.25">
      <c r="A1727" s="178">
        <v>6406</v>
      </c>
      <c r="B1727" s="179" t="s">
        <v>456</v>
      </c>
      <c r="C1727" s="180">
        <v>63</v>
      </c>
    </row>
    <row r="1728" spans="1:3" x14ac:dyDescent="0.25">
      <c r="A1728" s="178">
        <v>6407</v>
      </c>
      <c r="B1728" s="179" t="s">
        <v>456</v>
      </c>
      <c r="C1728" s="180">
        <v>96</v>
      </c>
    </row>
    <row r="1729" spans="1:3" x14ac:dyDescent="0.25">
      <c r="A1729" s="178">
        <v>6408</v>
      </c>
      <c r="B1729" s="179" t="s">
        <v>456</v>
      </c>
      <c r="C1729" s="180">
        <v>1</v>
      </c>
    </row>
    <row r="1730" spans="1:3" x14ac:dyDescent="0.25">
      <c r="A1730" s="178">
        <v>6409</v>
      </c>
      <c r="B1730" s="179" t="s">
        <v>456</v>
      </c>
      <c r="C1730" s="180">
        <v>24</v>
      </c>
    </row>
    <row r="1731" spans="1:3" x14ac:dyDescent="0.25">
      <c r="A1731" s="178">
        <v>6410</v>
      </c>
      <c r="B1731" s="179" t="s">
        <v>456</v>
      </c>
      <c r="C1731" s="180">
        <v>63</v>
      </c>
    </row>
    <row r="1732" spans="1:3" x14ac:dyDescent="0.25">
      <c r="A1732" s="178">
        <v>6411</v>
      </c>
      <c r="B1732" s="179" t="s">
        <v>456</v>
      </c>
      <c r="C1732" s="180">
        <v>63</v>
      </c>
    </row>
    <row r="1733" spans="1:3" x14ac:dyDescent="0.25">
      <c r="A1733" s="178">
        <v>6412</v>
      </c>
      <c r="B1733" s="179" t="s">
        <v>456</v>
      </c>
      <c r="C1733" s="180">
        <v>63</v>
      </c>
    </row>
    <row r="1734" spans="1:3" x14ac:dyDescent="0.25">
      <c r="A1734" s="178">
        <v>6413</v>
      </c>
      <c r="B1734" s="179" t="s">
        <v>456</v>
      </c>
      <c r="C1734" s="180">
        <v>63</v>
      </c>
    </row>
    <row r="1735" spans="1:3" x14ac:dyDescent="0.25">
      <c r="A1735" s="178">
        <v>6414</v>
      </c>
      <c r="B1735" s="179" t="s">
        <v>456</v>
      </c>
      <c r="C1735" s="180">
        <v>63</v>
      </c>
    </row>
    <row r="1736" spans="1:3" x14ac:dyDescent="0.25">
      <c r="A1736" s="178">
        <v>6415</v>
      </c>
      <c r="B1736" s="179" t="s">
        <v>456</v>
      </c>
      <c r="C1736" s="180">
        <v>63</v>
      </c>
    </row>
    <row r="1737" spans="1:3" x14ac:dyDescent="0.25">
      <c r="A1737" s="178">
        <v>6416</v>
      </c>
      <c r="B1737" s="179" t="s">
        <v>456</v>
      </c>
      <c r="C1737" s="180">
        <v>63</v>
      </c>
    </row>
    <row r="1738" spans="1:3" x14ac:dyDescent="0.25">
      <c r="A1738" s="178">
        <v>6417</v>
      </c>
      <c r="B1738" s="179" t="s">
        <v>456</v>
      </c>
      <c r="C1738" s="180">
        <v>63</v>
      </c>
    </row>
    <row r="1739" spans="1:3" x14ac:dyDescent="0.25">
      <c r="A1739" s="178">
        <v>6418</v>
      </c>
      <c r="B1739" s="179" t="s">
        <v>456</v>
      </c>
      <c r="C1739" s="180">
        <v>63</v>
      </c>
    </row>
    <row r="1740" spans="1:3" x14ac:dyDescent="0.25">
      <c r="A1740" s="178">
        <v>6419</v>
      </c>
      <c r="B1740" s="179" t="s">
        <v>456</v>
      </c>
      <c r="C1740" s="180">
        <v>63</v>
      </c>
    </row>
    <row r="1741" spans="1:3" x14ac:dyDescent="0.25">
      <c r="A1741" s="178">
        <v>6420</v>
      </c>
      <c r="B1741" s="179" t="s">
        <v>456</v>
      </c>
      <c r="C1741" s="180">
        <v>63</v>
      </c>
    </row>
    <row r="1742" spans="1:3" x14ac:dyDescent="0.25">
      <c r="A1742" s="178">
        <v>6421</v>
      </c>
      <c r="B1742" s="179" t="s">
        <v>456</v>
      </c>
      <c r="C1742" s="180">
        <v>63</v>
      </c>
    </row>
    <row r="1743" spans="1:3" x14ac:dyDescent="0.25">
      <c r="A1743" s="178">
        <v>6422</v>
      </c>
      <c r="B1743" s="179" t="s">
        <v>456</v>
      </c>
      <c r="C1743" s="180">
        <v>63</v>
      </c>
    </row>
    <row r="1744" spans="1:3" x14ac:dyDescent="0.25">
      <c r="A1744" s="178">
        <v>6423</v>
      </c>
      <c r="B1744" s="179" t="s">
        <v>456</v>
      </c>
      <c r="C1744" s="180">
        <v>63</v>
      </c>
    </row>
    <row r="1745" spans="1:3" x14ac:dyDescent="0.25">
      <c r="A1745" s="178">
        <v>6424</v>
      </c>
      <c r="B1745" s="179" t="s">
        <v>456</v>
      </c>
      <c r="C1745" s="180">
        <v>63</v>
      </c>
    </row>
    <row r="1746" spans="1:3" x14ac:dyDescent="0.25">
      <c r="A1746" s="178">
        <v>6425</v>
      </c>
      <c r="B1746" s="179" t="s">
        <v>456</v>
      </c>
      <c r="C1746" s="180">
        <v>63</v>
      </c>
    </row>
    <row r="1747" spans="1:3" x14ac:dyDescent="0.25">
      <c r="A1747" s="178">
        <v>6426</v>
      </c>
      <c r="B1747" s="179" t="s">
        <v>456</v>
      </c>
      <c r="C1747" s="180">
        <v>63</v>
      </c>
    </row>
    <row r="1748" spans="1:3" x14ac:dyDescent="0.25">
      <c r="A1748" s="178">
        <v>6427</v>
      </c>
      <c r="B1748" s="179" t="s">
        <v>456</v>
      </c>
      <c r="C1748" s="180">
        <v>63</v>
      </c>
    </row>
    <row r="1749" spans="1:3" x14ac:dyDescent="0.25">
      <c r="A1749" s="178">
        <v>6428</v>
      </c>
      <c r="B1749" s="179" t="s">
        <v>456</v>
      </c>
      <c r="C1749" s="180">
        <v>63</v>
      </c>
    </row>
    <row r="1750" spans="1:3" x14ac:dyDescent="0.25">
      <c r="A1750" s="178">
        <v>6429</v>
      </c>
      <c r="B1750" s="179" t="s">
        <v>456</v>
      </c>
      <c r="C1750" s="180">
        <v>63</v>
      </c>
    </row>
    <row r="1751" spans="1:3" x14ac:dyDescent="0.25">
      <c r="A1751" s="178">
        <v>6430</v>
      </c>
      <c r="B1751" s="179" t="s">
        <v>456</v>
      </c>
      <c r="C1751" s="180">
        <v>84</v>
      </c>
    </row>
    <row r="1752" spans="1:3" x14ac:dyDescent="0.25">
      <c r="A1752" s="178">
        <v>6431</v>
      </c>
      <c r="B1752" s="179" t="s">
        <v>456</v>
      </c>
      <c r="C1752" s="180">
        <v>63</v>
      </c>
    </row>
    <row r="1753" spans="1:3" x14ac:dyDescent="0.25">
      <c r="A1753" s="178">
        <v>6432</v>
      </c>
      <c r="B1753" s="179" t="s">
        <v>456</v>
      </c>
      <c r="C1753" s="180">
        <v>63</v>
      </c>
    </row>
    <row r="1754" spans="1:3" x14ac:dyDescent="0.25">
      <c r="A1754" s="178">
        <v>6433</v>
      </c>
      <c r="B1754" s="179" t="s">
        <v>456</v>
      </c>
      <c r="C1754" s="180">
        <v>63</v>
      </c>
    </row>
    <row r="1755" spans="1:3" x14ac:dyDescent="0.25">
      <c r="A1755" s="178">
        <v>6434</v>
      </c>
      <c r="B1755" s="179" t="s">
        <v>456</v>
      </c>
      <c r="C1755" s="180">
        <v>63</v>
      </c>
    </row>
    <row r="1756" spans="1:3" x14ac:dyDescent="0.25">
      <c r="A1756" s="178">
        <v>6435</v>
      </c>
      <c r="B1756" s="179" t="s">
        <v>456</v>
      </c>
      <c r="C1756" s="180">
        <v>63</v>
      </c>
    </row>
    <row r="1757" spans="1:3" x14ac:dyDescent="0.25">
      <c r="A1757" s="178">
        <v>6436</v>
      </c>
      <c r="B1757" s="179" t="s">
        <v>456</v>
      </c>
      <c r="C1757" s="180">
        <v>63</v>
      </c>
    </row>
    <row r="1758" spans="1:3" x14ac:dyDescent="0.25">
      <c r="A1758" s="178">
        <v>6437</v>
      </c>
      <c r="B1758" s="179" t="s">
        <v>456</v>
      </c>
      <c r="C1758" s="180">
        <v>64</v>
      </c>
    </row>
    <row r="1759" spans="1:3" x14ac:dyDescent="0.25">
      <c r="A1759" s="178">
        <v>6438</v>
      </c>
      <c r="B1759" s="179" t="s">
        <v>456</v>
      </c>
      <c r="C1759" s="180">
        <v>30</v>
      </c>
    </row>
    <row r="1760" spans="1:3" x14ac:dyDescent="0.25">
      <c r="A1760" s="178">
        <v>6439</v>
      </c>
      <c r="B1760" s="179" t="s">
        <v>456</v>
      </c>
      <c r="C1760" s="180">
        <v>30</v>
      </c>
    </row>
    <row r="1761" spans="1:3" x14ac:dyDescent="0.25">
      <c r="A1761" s="178">
        <v>6441</v>
      </c>
      <c r="B1761" s="179" t="s">
        <v>456</v>
      </c>
      <c r="C1761" s="180">
        <v>36</v>
      </c>
    </row>
    <row r="1762" spans="1:3" x14ac:dyDescent="0.25">
      <c r="A1762" s="178">
        <v>6446</v>
      </c>
      <c r="B1762" s="179" t="s">
        <v>456</v>
      </c>
      <c r="C1762" s="180">
        <v>36</v>
      </c>
    </row>
    <row r="1763" spans="1:3" x14ac:dyDescent="0.25">
      <c r="A1763" s="178">
        <v>6447</v>
      </c>
      <c r="B1763" s="179" t="s">
        <v>456</v>
      </c>
      <c r="C1763" s="180">
        <v>36</v>
      </c>
    </row>
    <row r="1764" spans="1:3" x14ac:dyDescent="0.25">
      <c r="A1764" s="178">
        <v>6448</v>
      </c>
      <c r="B1764" s="179" t="s">
        <v>456</v>
      </c>
      <c r="C1764" s="180">
        <v>50</v>
      </c>
    </row>
    <row r="1765" spans="1:3" x14ac:dyDescent="0.25">
      <c r="A1765" s="178">
        <v>6449</v>
      </c>
      <c r="B1765" s="179" t="s">
        <v>456</v>
      </c>
      <c r="C1765" s="180">
        <v>50</v>
      </c>
    </row>
    <row r="1766" spans="1:3" x14ac:dyDescent="0.25">
      <c r="A1766" s="178">
        <v>6450</v>
      </c>
      <c r="B1766" s="179" t="s">
        <v>456</v>
      </c>
      <c r="C1766" s="180">
        <v>36</v>
      </c>
    </row>
    <row r="1767" spans="1:3" x14ac:dyDescent="0.25">
      <c r="A1767" s="178">
        <v>6451</v>
      </c>
      <c r="B1767" s="179" t="s">
        <v>456</v>
      </c>
      <c r="C1767" s="180">
        <v>50</v>
      </c>
    </row>
    <row r="1768" spans="1:3" x14ac:dyDescent="0.25">
      <c r="A1768" s="178">
        <v>6453</v>
      </c>
      <c r="B1768" s="179" t="s">
        <v>456</v>
      </c>
      <c r="C1768" s="180">
        <v>36</v>
      </c>
    </row>
    <row r="1769" spans="1:3" x14ac:dyDescent="0.25">
      <c r="A1769" s="178">
        <v>6455</v>
      </c>
      <c r="B1769" s="179" t="s">
        <v>456</v>
      </c>
      <c r="C1769" s="180">
        <v>36</v>
      </c>
    </row>
    <row r="1770" spans="1:3" x14ac:dyDescent="0.25">
      <c r="A1770" s="178">
        <v>6456</v>
      </c>
      <c r="B1770" s="179" t="s">
        <v>456</v>
      </c>
      <c r="C1770" s="180">
        <v>1</v>
      </c>
    </row>
    <row r="1771" spans="1:3" x14ac:dyDescent="0.25">
      <c r="A1771" s="178">
        <v>6457</v>
      </c>
      <c r="B1771" s="179" t="s">
        <v>456</v>
      </c>
      <c r="C1771" s="180">
        <v>36</v>
      </c>
    </row>
    <row r="1772" spans="1:3" x14ac:dyDescent="0.25">
      <c r="A1772" s="178">
        <v>6458</v>
      </c>
      <c r="B1772" s="179" t="s">
        <v>456</v>
      </c>
      <c r="C1772" s="180">
        <v>36</v>
      </c>
    </row>
    <row r="1773" spans="1:3" x14ac:dyDescent="0.25">
      <c r="A1773" s="178">
        <v>6459</v>
      </c>
      <c r="B1773" s="179" t="s">
        <v>456</v>
      </c>
      <c r="C1773" s="180">
        <v>36</v>
      </c>
    </row>
    <row r="1774" spans="1:3" x14ac:dyDescent="0.25">
      <c r="A1774" s="178">
        <v>6460</v>
      </c>
      <c r="B1774" s="179" t="s">
        <v>456</v>
      </c>
      <c r="C1774" s="180">
        <v>36</v>
      </c>
    </row>
    <row r="1775" spans="1:3" x14ac:dyDescent="0.25">
      <c r="A1775" s="178">
        <v>6461</v>
      </c>
      <c r="B1775" s="179" t="s">
        <v>456</v>
      </c>
      <c r="C1775" s="180">
        <v>152</v>
      </c>
    </row>
    <row r="1776" spans="1:3" x14ac:dyDescent="0.25">
      <c r="A1776" s="178">
        <v>6462</v>
      </c>
      <c r="B1776" s="179" t="s">
        <v>456</v>
      </c>
      <c r="C1776" s="180">
        <v>152</v>
      </c>
    </row>
    <row r="1777" spans="1:3" x14ac:dyDescent="0.25">
      <c r="A1777" s="178">
        <v>6463</v>
      </c>
      <c r="B1777" s="179" t="s">
        <v>456</v>
      </c>
      <c r="C1777" s="180">
        <v>152</v>
      </c>
    </row>
    <row r="1778" spans="1:3" x14ac:dyDescent="0.25">
      <c r="A1778" s="178">
        <v>6464</v>
      </c>
      <c r="B1778" s="179" t="s">
        <v>456</v>
      </c>
      <c r="C1778" s="180">
        <v>152</v>
      </c>
    </row>
    <row r="1779" spans="1:3" x14ac:dyDescent="0.25">
      <c r="A1779" s="178">
        <v>6465</v>
      </c>
      <c r="B1779" s="179" t="s">
        <v>456</v>
      </c>
      <c r="C1779" s="180">
        <v>152</v>
      </c>
    </row>
    <row r="1780" spans="1:3" x14ac:dyDescent="0.25">
      <c r="A1780" s="178">
        <v>6466</v>
      </c>
      <c r="B1780" s="179" t="s">
        <v>456</v>
      </c>
      <c r="C1780" s="180">
        <v>231</v>
      </c>
    </row>
    <row r="1781" spans="1:3" x14ac:dyDescent="0.25">
      <c r="A1781" s="178">
        <v>6467</v>
      </c>
      <c r="B1781" s="179" t="s">
        <v>456</v>
      </c>
      <c r="C1781" s="180">
        <v>231</v>
      </c>
    </row>
    <row r="1782" spans="1:3" x14ac:dyDescent="0.25">
      <c r="A1782" s="178">
        <v>6468</v>
      </c>
      <c r="B1782" s="179" t="s">
        <v>456</v>
      </c>
      <c r="C1782" s="180">
        <v>231</v>
      </c>
    </row>
    <row r="1783" spans="1:3" x14ac:dyDescent="0.25">
      <c r="A1783" s="178">
        <v>6469</v>
      </c>
      <c r="B1783" s="179" t="s">
        <v>456</v>
      </c>
      <c r="C1783" s="180">
        <v>195</v>
      </c>
    </row>
    <row r="1784" spans="1:3" x14ac:dyDescent="0.25">
      <c r="A1784" s="178">
        <v>6470</v>
      </c>
      <c r="B1784" s="179" t="s">
        <v>456</v>
      </c>
      <c r="C1784" s="180">
        <v>195</v>
      </c>
    </row>
    <row r="1785" spans="1:3" x14ac:dyDescent="0.25">
      <c r="A1785" s="178">
        <v>6471</v>
      </c>
      <c r="B1785" s="179" t="s">
        <v>456</v>
      </c>
      <c r="C1785" s="180">
        <v>195</v>
      </c>
    </row>
    <row r="1786" spans="1:3" x14ac:dyDescent="0.25">
      <c r="A1786" s="178">
        <v>6472</v>
      </c>
      <c r="B1786" s="179" t="s">
        <v>456</v>
      </c>
      <c r="C1786" s="180">
        <v>195</v>
      </c>
    </row>
    <row r="1787" spans="1:3" x14ac:dyDescent="0.25">
      <c r="A1787" s="178">
        <v>6473</v>
      </c>
      <c r="B1787" s="179" t="s">
        <v>456</v>
      </c>
      <c r="C1787" s="180">
        <v>195</v>
      </c>
    </row>
    <row r="1788" spans="1:3" x14ac:dyDescent="0.25">
      <c r="A1788" s="178">
        <v>6481</v>
      </c>
      <c r="B1788" s="179" t="s">
        <v>456</v>
      </c>
      <c r="C1788" s="180">
        <v>36</v>
      </c>
    </row>
    <row r="1789" spans="1:3" x14ac:dyDescent="0.25">
      <c r="A1789" s="178">
        <v>6483</v>
      </c>
      <c r="B1789" s="179" t="s">
        <v>456</v>
      </c>
      <c r="C1789" s="180">
        <v>27</v>
      </c>
    </row>
    <row r="1790" spans="1:3" x14ac:dyDescent="0.25">
      <c r="A1790" s="178">
        <v>6484</v>
      </c>
      <c r="B1790" s="179" t="s">
        <v>456</v>
      </c>
      <c r="C1790" s="180">
        <v>36</v>
      </c>
    </row>
    <row r="1791" spans="1:3" x14ac:dyDescent="0.25">
      <c r="A1791" s="178">
        <v>6485</v>
      </c>
      <c r="B1791" s="179" t="s">
        <v>456</v>
      </c>
      <c r="C1791" s="180">
        <v>36</v>
      </c>
    </row>
    <row r="1792" spans="1:3" x14ac:dyDescent="0.25">
      <c r="A1792" s="178">
        <v>6486</v>
      </c>
      <c r="B1792" s="179" t="s">
        <v>456</v>
      </c>
      <c r="C1792" s="180">
        <v>36</v>
      </c>
    </row>
    <row r="1793" spans="1:3" x14ac:dyDescent="0.25">
      <c r="A1793" s="178">
        <v>6487</v>
      </c>
      <c r="B1793" s="179" t="s">
        <v>456</v>
      </c>
      <c r="C1793" s="180">
        <v>36</v>
      </c>
    </row>
    <row r="1794" spans="1:3" x14ac:dyDescent="0.25">
      <c r="A1794" s="178">
        <v>6488</v>
      </c>
      <c r="B1794" s="179" t="s">
        <v>456</v>
      </c>
      <c r="C1794" s="180">
        <v>36</v>
      </c>
    </row>
    <row r="1795" spans="1:3" x14ac:dyDescent="0.25">
      <c r="A1795" s="178">
        <v>6489</v>
      </c>
      <c r="B1795" s="179" t="s">
        <v>456</v>
      </c>
      <c r="C1795" s="180">
        <v>36</v>
      </c>
    </row>
    <row r="1796" spans="1:3" x14ac:dyDescent="0.25">
      <c r="A1796" s="178">
        <v>6490</v>
      </c>
      <c r="B1796" s="179" t="s">
        <v>456</v>
      </c>
      <c r="C1796" s="180">
        <v>36</v>
      </c>
    </row>
    <row r="1797" spans="1:3" x14ac:dyDescent="0.25">
      <c r="A1797" s="178">
        <v>6491</v>
      </c>
      <c r="B1797" s="179" t="s">
        <v>456</v>
      </c>
      <c r="C1797" s="180">
        <v>36</v>
      </c>
    </row>
    <row r="1798" spans="1:3" x14ac:dyDescent="0.25">
      <c r="A1798" s="178">
        <v>6492</v>
      </c>
      <c r="B1798" s="179" t="s">
        <v>456</v>
      </c>
      <c r="C1798" s="180">
        <v>36</v>
      </c>
    </row>
    <row r="1799" spans="1:3" x14ac:dyDescent="0.25">
      <c r="A1799" s="178">
        <v>6494</v>
      </c>
      <c r="B1799" s="179" t="s">
        <v>456</v>
      </c>
      <c r="C1799" s="180">
        <v>36</v>
      </c>
    </row>
    <row r="1800" spans="1:3" x14ac:dyDescent="0.25">
      <c r="A1800" s="178">
        <v>6495</v>
      </c>
      <c r="B1800" s="179" t="s">
        <v>456</v>
      </c>
      <c r="C1800" s="180">
        <v>36</v>
      </c>
    </row>
    <row r="1801" spans="1:3" x14ac:dyDescent="0.25">
      <c r="A1801" s="178">
        <v>6496</v>
      </c>
      <c r="B1801" s="179" t="s">
        <v>456</v>
      </c>
      <c r="C1801" s="180">
        <v>36</v>
      </c>
    </row>
    <row r="1802" spans="1:3" x14ac:dyDescent="0.25">
      <c r="A1802" s="178">
        <v>6497</v>
      </c>
      <c r="B1802" s="179" t="s">
        <v>456</v>
      </c>
      <c r="C1802" s="180">
        <v>36</v>
      </c>
    </row>
    <row r="1803" spans="1:3" x14ac:dyDescent="0.25">
      <c r="A1803" s="178">
        <v>6498</v>
      </c>
      <c r="B1803" s="179" t="s">
        <v>456</v>
      </c>
      <c r="C1803" s="180">
        <v>36</v>
      </c>
    </row>
    <row r="1804" spans="1:3" x14ac:dyDescent="0.25">
      <c r="A1804" s="178">
        <v>6499</v>
      </c>
      <c r="B1804" s="179" t="s">
        <v>456</v>
      </c>
      <c r="C1804" s="180">
        <v>36</v>
      </c>
    </row>
    <row r="1805" spans="1:3" x14ac:dyDescent="0.25">
      <c r="A1805" s="178">
        <v>6500</v>
      </c>
      <c r="B1805" s="179" t="s">
        <v>456</v>
      </c>
      <c r="C1805" s="180">
        <v>36</v>
      </c>
    </row>
    <row r="1806" spans="1:3" x14ac:dyDescent="0.25">
      <c r="A1806" s="178">
        <v>6501</v>
      </c>
      <c r="B1806" s="179" t="s">
        <v>456</v>
      </c>
      <c r="C1806" s="180">
        <v>36</v>
      </c>
    </row>
    <row r="1807" spans="1:3" x14ac:dyDescent="0.25">
      <c r="A1807" s="178">
        <v>6502</v>
      </c>
      <c r="B1807" s="179" t="s">
        <v>456</v>
      </c>
      <c r="C1807" s="180">
        <v>36</v>
      </c>
    </row>
    <row r="1808" spans="1:3" x14ac:dyDescent="0.25">
      <c r="A1808" s="178">
        <v>6503</v>
      </c>
      <c r="B1808" s="179" t="s">
        <v>456</v>
      </c>
      <c r="C1808" s="180">
        <v>36</v>
      </c>
    </row>
    <row r="1809" spans="1:3" x14ac:dyDescent="0.25">
      <c r="A1809" s="178">
        <v>6504</v>
      </c>
      <c r="B1809" s="179" t="s">
        <v>456</v>
      </c>
      <c r="C1809" s="180">
        <v>36</v>
      </c>
    </row>
    <row r="1810" spans="1:3" x14ac:dyDescent="0.25">
      <c r="A1810" s="178">
        <v>6505</v>
      </c>
      <c r="B1810" s="179" t="s">
        <v>456</v>
      </c>
      <c r="C1810" s="180">
        <v>36</v>
      </c>
    </row>
    <row r="1811" spans="1:3" x14ac:dyDescent="0.25">
      <c r="A1811" s="178">
        <v>6506</v>
      </c>
      <c r="B1811" s="179" t="s">
        <v>456</v>
      </c>
      <c r="C1811" s="180">
        <v>36</v>
      </c>
    </row>
    <row r="1812" spans="1:3" x14ac:dyDescent="0.25">
      <c r="A1812" s="178">
        <v>6508</v>
      </c>
      <c r="B1812" s="179" t="s">
        <v>456</v>
      </c>
      <c r="C1812" s="180">
        <v>36</v>
      </c>
    </row>
    <row r="1813" spans="1:3" x14ac:dyDescent="0.25">
      <c r="A1813" s="178">
        <v>6509</v>
      </c>
      <c r="B1813" s="179" t="s">
        <v>456</v>
      </c>
      <c r="C1813" s="180">
        <v>36</v>
      </c>
    </row>
    <row r="1814" spans="1:3" x14ac:dyDescent="0.25">
      <c r="A1814" s="178">
        <v>6510</v>
      </c>
      <c r="B1814" s="179" t="s">
        <v>456</v>
      </c>
      <c r="C1814" s="180">
        <v>36</v>
      </c>
    </row>
    <row r="1815" spans="1:3" x14ac:dyDescent="0.25">
      <c r="A1815" s="178">
        <v>6511</v>
      </c>
      <c r="B1815" s="179" t="s">
        <v>456</v>
      </c>
      <c r="C1815" s="180">
        <v>36</v>
      </c>
    </row>
    <row r="1816" spans="1:3" x14ac:dyDescent="0.25">
      <c r="A1816" s="178">
        <v>6512</v>
      </c>
      <c r="B1816" s="179" t="s">
        <v>456</v>
      </c>
      <c r="C1816" s="180">
        <v>10</v>
      </c>
    </row>
    <row r="1817" spans="1:3" x14ac:dyDescent="0.25">
      <c r="A1817" s="178">
        <v>6513</v>
      </c>
      <c r="B1817" s="179" t="s">
        <v>456</v>
      </c>
      <c r="C1817" s="180">
        <v>36</v>
      </c>
    </row>
    <row r="1818" spans="1:3" x14ac:dyDescent="0.25">
      <c r="A1818" s="178">
        <v>6514</v>
      </c>
      <c r="B1818" s="179" t="s">
        <v>456</v>
      </c>
      <c r="C1818" s="180">
        <v>36</v>
      </c>
    </row>
    <row r="1819" spans="1:3" x14ac:dyDescent="0.25">
      <c r="A1819" s="178">
        <v>6515</v>
      </c>
      <c r="B1819" s="179" t="s">
        <v>456</v>
      </c>
      <c r="C1819" s="180">
        <v>63</v>
      </c>
    </row>
    <row r="1820" spans="1:3" x14ac:dyDescent="0.25">
      <c r="A1820" s="178">
        <v>6516</v>
      </c>
      <c r="B1820" s="179" t="s">
        <v>456</v>
      </c>
      <c r="C1820" s="180">
        <v>63</v>
      </c>
    </row>
    <row r="1821" spans="1:3" x14ac:dyDescent="0.25">
      <c r="A1821" s="178">
        <v>6517</v>
      </c>
      <c r="B1821" s="179" t="s">
        <v>456</v>
      </c>
      <c r="C1821" s="180">
        <v>10</v>
      </c>
    </row>
    <row r="1822" spans="1:3" x14ac:dyDescent="0.25">
      <c r="A1822" s="178">
        <v>6518</v>
      </c>
      <c r="B1822" s="179" t="s">
        <v>456</v>
      </c>
      <c r="C1822" s="180">
        <v>10</v>
      </c>
    </row>
    <row r="1823" spans="1:3" x14ac:dyDescent="0.25">
      <c r="A1823" s="178">
        <v>6519</v>
      </c>
      <c r="B1823" s="179" t="s">
        <v>456</v>
      </c>
      <c r="C1823" s="180">
        <v>63</v>
      </c>
    </row>
    <row r="1824" spans="1:3" x14ac:dyDescent="0.25">
      <c r="A1824" s="178">
        <v>6520</v>
      </c>
      <c r="B1824" s="179" t="s">
        <v>456</v>
      </c>
      <c r="C1824" s="180">
        <v>63</v>
      </c>
    </row>
    <row r="1825" spans="1:3" x14ac:dyDescent="0.25">
      <c r="A1825" s="178">
        <v>6521</v>
      </c>
      <c r="B1825" s="179" t="s">
        <v>456</v>
      </c>
      <c r="C1825" s="180">
        <v>63</v>
      </c>
    </row>
    <row r="1826" spans="1:3" x14ac:dyDescent="0.25">
      <c r="A1826" s="178">
        <v>6522</v>
      </c>
      <c r="B1826" s="179" t="s">
        <v>456</v>
      </c>
      <c r="C1826" s="180">
        <v>84</v>
      </c>
    </row>
    <row r="1827" spans="1:3" x14ac:dyDescent="0.25">
      <c r="A1827" s="178">
        <v>6523</v>
      </c>
      <c r="B1827" s="179" t="s">
        <v>456</v>
      </c>
      <c r="C1827" s="180">
        <v>84</v>
      </c>
    </row>
    <row r="1828" spans="1:3" x14ac:dyDescent="0.25">
      <c r="A1828" s="178">
        <v>6524</v>
      </c>
      <c r="B1828" s="179" t="s">
        <v>456</v>
      </c>
      <c r="C1828" s="180">
        <v>84</v>
      </c>
    </row>
    <row r="1829" spans="1:3" x14ac:dyDescent="0.25">
      <c r="A1829" s="178">
        <v>6525</v>
      </c>
      <c r="B1829" s="179" t="s">
        <v>456</v>
      </c>
      <c r="C1829" s="180">
        <v>36</v>
      </c>
    </row>
    <row r="1830" spans="1:3" x14ac:dyDescent="0.25">
      <c r="A1830" s="178">
        <v>6526</v>
      </c>
      <c r="B1830" s="179" t="s">
        <v>456</v>
      </c>
      <c r="C1830" s="180">
        <v>84</v>
      </c>
    </row>
    <row r="1831" spans="1:3" x14ac:dyDescent="0.25">
      <c r="A1831" s="178">
        <v>6527</v>
      </c>
      <c r="B1831" s="179" t="s">
        <v>456</v>
      </c>
      <c r="C1831" s="180">
        <v>84</v>
      </c>
    </row>
    <row r="1832" spans="1:3" x14ac:dyDescent="0.25">
      <c r="A1832" s="178">
        <v>6528</v>
      </c>
      <c r="B1832" s="179" t="s">
        <v>456</v>
      </c>
      <c r="C1832" s="180">
        <v>84</v>
      </c>
    </row>
    <row r="1833" spans="1:3" x14ac:dyDescent="0.25">
      <c r="A1833" s="178">
        <v>6529</v>
      </c>
      <c r="B1833" s="179" t="s">
        <v>456</v>
      </c>
      <c r="C1833" s="180">
        <v>63</v>
      </c>
    </row>
    <row r="1834" spans="1:3" x14ac:dyDescent="0.25">
      <c r="A1834" s="178">
        <v>6530</v>
      </c>
      <c r="B1834" s="179" t="s">
        <v>456</v>
      </c>
      <c r="C1834" s="180">
        <v>63</v>
      </c>
    </row>
    <row r="1835" spans="1:3" x14ac:dyDescent="0.25">
      <c r="A1835" s="178">
        <v>6531</v>
      </c>
      <c r="B1835" s="179" t="s">
        <v>456</v>
      </c>
      <c r="C1835" s="180">
        <v>63</v>
      </c>
    </row>
    <row r="1836" spans="1:3" x14ac:dyDescent="0.25">
      <c r="A1836" s="178">
        <v>6532</v>
      </c>
      <c r="B1836" s="179" t="s">
        <v>456</v>
      </c>
      <c r="C1836" s="180">
        <v>63</v>
      </c>
    </row>
    <row r="1837" spans="1:3" x14ac:dyDescent="0.25">
      <c r="A1837" s="178">
        <v>6533</v>
      </c>
      <c r="B1837" s="179" t="s">
        <v>456</v>
      </c>
      <c r="C1837" s="180">
        <v>63</v>
      </c>
    </row>
    <row r="1838" spans="1:3" x14ac:dyDescent="0.25">
      <c r="A1838" s="178">
        <v>6534</v>
      </c>
      <c r="B1838" s="179" t="s">
        <v>456</v>
      </c>
      <c r="C1838" s="180">
        <v>63</v>
      </c>
    </row>
    <row r="1839" spans="1:3" x14ac:dyDescent="0.25">
      <c r="A1839" s="178">
        <v>6535</v>
      </c>
      <c r="B1839" s="179" t="s">
        <v>456</v>
      </c>
      <c r="C1839" s="180">
        <v>63</v>
      </c>
    </row>
    <row r="1840" spans="1:3" x14ac:dyDescent="0.25">
      <c r="A1840" s="178">
        <v>6536</v>
      </c>
      <c r="B1840" s="179" t="s">
        <v>456</v>
      </c>
      <c r="C1840" s="180">
        <v>63</v>
      </c>
    </row>
    <row r="1841" spans="1:3" x14ac:dyDescent="0.25">
      <c r="A1841" s="178">
        <v>6537</v>
      </c>
      <c r="B1841" s="179" t="s">
        <v>456</v>
      </c>
      <c r="C1841" s="180">
        <v>45</v>
      </c>
    </row>
    <row r="1842" spans="1:3" x14ac:dyDescent="0.25">
      <c r="A1842" s="178">
        <v>6539</v>
      </c>
      <c r="B1842" s="179" t="s">
        <v>456</v>
      </c>
      <c r="C1842" s="180">
        <v>36</v>
      </c>
    </row>
    <row r="1843" spans="1:3" x14ac:dyDescent="0.25">
      <c r="A1843" s="178">
        <v>6540</v>
      </c>
      <c r="B1843" s="179" t="s">
        <v>456</v>
      </c>
      <c r="C1843" s="180">
        <v>36</v>
      </c>
    </row>
    <row r="1844" spans="1:3" x14ac:dyDescent="0.25">
      <c r="A1844" s="178">
        <v>6542</v>
      </c>
      <c r="B1844" s="179" t="s">
        <v>456</v>
      </c>
      <c r="C1844" s="180">
        <v>48</v>
      </c>
    </row>
    <row r="1845" spans="1:3" x14ac:dyDescent="0.25">
      <c r="A1845" s="178">
        <v>6543</v>
      </c>
      <c r="B1845" s="179" t="s">
        <v>456</v>
      </c>
      <c r="C1845" s="180">
        <v>240</v>
      </c>
    </row>
    <row r="1846" spans="1:3" x14ac:dyDescent="0.25">
      <c r="A1846" s="178">
        <v>6545</v>
      </c>
      <c r="B1846" s="179" t="s">
        <v>456</v>
      </c>
      <c r="C1846" s="180">
        <v>1</v>
      </c>
    </row>
    <row r="1847" spans="1:3" x14ac:dyDescent="0.25">
      <c r="A1847" s="178">
        <v>6546</v>
      </c>
      <c r="B1847" s="179" t="s">
        <v>456</v>
      </c>
      <c r="C1847" s="180">
        <v>1</v>
      </c>
    </row>
    <row r="1848" spans="1:3" x14ac:dyDescent="0.25">
      <c r="A1848" s="178">
        <v>6547</v>
      </c>
      <c r="B1848" s="179" t="s">
        <v>456</v>
      </c>
      <c r="C1848" s="180">
        <v>1</v>
      </c>
    </row>
    <row r="1849" spans="1:3" x14ac:dyDescent="0.25">
      <c r="A1849" s="178">
        <v>6548</v>
      </c>
      <c r="B1849" s="179" t="s">
        <v>456</v>
      </c>
      <c r="C1849" s="180">
        <v>63</v>
      </c>
    </row>
    <row r="1850" spans="1:3" x14ac:dyDescent="0.25">
      <c r="A1850" s="178">
        <v>6549</v>
      </c>
      <c r="B1850" s="179" t="s">
        <v>456</v>
      </c>
      <c r="C1850" s="180">
        <v>63</v>
      </c>
    </row>
    <row r="1851" spans="1:3" x14ac:dyDescent="0.25">
      <c r="A1851" s="178">
        <v>6550</v>
      </c>
      <c r="B1851" s="179" t="s">
        <v>456</v>
      </c>
      <c r="C1851" s="180">
        <v>36</v>
      </c>
    </row>
    <row r="1852" spans="1:3" x14ac:dyDescent="0.25">
      <c r="A1852" s="178">
        <v>6551</v>
      </c>
      <c r="B1852" s="179" t="s">
        <v>456</v>
      </c>
      <c r="C1852" s="180">
        <v>250</v>
      </c>
    </row>
    <row r="1853" spans="1:3" x14ac:dyDescent="0.25">
      <c r="A1853" s="178">
        <v>6552</v>
      </c>
      <c r="B1853" s="179" t="s">
        <v>456</v>
      </c>
      <c r="C1853" s="180">
        <v>300</v>
      </c>
    </row>
    <row r="1854" spans="1:3" x14ac:dyDescent="0.25">
      <c r="A1854" s="178">
        <v>6553</v>
      </c>
      <c r="B1854" s="179" t="s">
        <v>456</v>
      </c>
      <c r="C1854" s="180">
        <v>300</v>
      </c>
    </row>
    <row r="1855" spans="1:3" x14ac:dyDescent="0.25">
      <c r="A1855" s="178">
        <v>6557</v>
      </c>
      <c r="B1855" s="179" t="s">
        <v>456</v>
      </c>
      <c r="C1855" s="180">
        <v>75</v>
      </c>
    </row>
    <row r="1856" spans="1:3" x14ac:dyDescent="0.25">
      <c r="A1856" s="178">
        <v>6558</v>
      </c>
      <c r="B1856" s="179" t="s">
        <v>456</v>
      </c>
      <c r="C1856" s="180">
        <v>75</v>
      </c>
    </row>
    <row r="1857" spans="1:3" x14ac:dyDescent="0.25">
      <c r="A1857" s="178">
        <v>6559</v>
      </c>
      <c r="B1857" s="179" t="s">
        <v>456</v>
      </c>
      <c r="C1857" s="180">
        <v>63</v>
      </c>
    </row>
    <row r="1858" spans="1:3" x14ac:dyDescent="0.25">
      <c r="A1858" s="178">
        <v>6560</v>
      </c>
      <c r="B1858" s="179" t="s">
        <v>456</v>
      </c>
      <c r="C1858" s="180">
        <v>56</v>
      </c>
    </row>
    <row r="1859" spans="1:3" x14ac:dyDescent="0.25">
      <c r="A1859" s="178">
        <v>6562</v>
      </c>
      <c r="B1859" s="179" t="s">
        <v>456</v>
      </c>
      <c r="C1859" s="180">
        <v>120</v>
      </c>
    </row>
    <row r="1860" spans="1:3" x14ac:dyDescent="0.25">
      <c r="A1860" s="178">
        <v>6563</v>
      </c>
      <c r="B1860" s="179" t="s">
        <v>456</v>
      </c>
      <c r="C1860" s="180">
        <v>54</v>
      </c>
    </row>
    <row r="1861" spans="1:3" x14ac:dyDescent="0.25">
      <c r="A1861" s="178">
        <v>6564</v>
      </c>
      <c r="B1861" s="179" t="s">
        <v>456</v>
      </c>
      <c r="C1861" s="180">
        <v>54</v>
      </c>
    </row>
    <row r="1862" spans="1:3" x14ac:dyDescent="0.25">
      <c r="A1862" s="178">
        <v>6565</v>
      </c>
      <c r="B1862" s="179" t="s">
        <v>456</v>
      </c>
      <c r="C1862" s="180">
        <v>63</v>
      </c>
    </row>
    <row r="1863" spans="1:3" x14ac:dyDescent="0.25">
      <c r="A1863" s="178">
        <v>6566</v>
      </c>
      <c r="B1863" s="179" t="s">
        <v>456</v>
      </c>
      <c r="C1863" s="180">
        <v>48</v>
      </c>
    </row>
    <row r="1864" spans="1:3" x14ac:dyDescent="0.25">
      <c r="A1864" s="178">
        <v>6567</v>
      </c>
      <c r="B1864" s="179" t="s">
        <v>456</v>
      </c>
      <c r="C1864" s="180">
        <v>48</v>
      </c>
    </row>
    <row r="1865" spans="1:3" x14ac:dyDescent="0.25">
      <c r="A1865" s="178">
        <v>6568</v>
      </c>
      <c r="B1865" s="179" t="s">
        <v>456</v>
      </c>
      <c r="C1865" s="180">
        <v>56</v>
      </c>
    </row>
    <row r="1866" spans="1:3" x14ac:dyDescent="0.25">
      <c r="A1866" s="178">
        <v>6569</v>
      </c>
      <c r="B1866" s="179" t="s">
        <v>456</v>
      </c>
      <c r="C1866" s="180">
        <v>56</v>
      </c>
    </row>
    <row r="1867" spans="1:3" x14ac:dyDescent="0.25">
      <c r="A1867" s="178">
        <v>6570</v>
      </c>
      <c r="B1867" s="179" t="s">
        <v>456</v>
      </c>
      <c r="C1867" s="180">
        <v>63</v>
      </c>
    </row>
    <row r="1868" spans="1:3" x14ac:dyDescent="0.25">
      <c r="A1868" s="178">
        <v>6571</v>
      </c>
      <c r="B1868" s="179" t="s">
        <v>456</v>
      </c>
      <c r="C1868" s="180">
        <v>80</v>
      </c>
    </row>
    <row r="1869" spans="1:3" x14ac:dyDescent="0.25">
      <c r="A1869" s="178">
        <v>6572</v>
      </c>
      <c r="B1869" s="179" t="s">
        <v>456</v>
      </c>
      <c r="C1869" s="180">
        <v>63</v>
      </c>
    </row>
    <row r="1870" spans="1:3" x14ac:dyDescent="0.25">
      <c r="A1870" s="178">
        <v>6573</v>
      </c>
      <c r="B1870" s="179" t="s">
        <v>456</v>
      </c>
      <c r="C1870" s="180">
        <v>250</v>
      </c>
    </row>
    <row r="1871" spans="1:3" x14ac:dyDescent="0.25">
      <c r="A1871" s="178">
        <v>6574</v>
      </c>
      <c r="B1871" s="179" t="s">
        <v>456</v>
      </c>
      <c r="C1871" s="180">
        <v>333</v>
      </c>
    </row>
    <row r="1872" spans="1:3" x14ac:dyDescent="0.25">
      <c r="A1872" s="178">
        <v>6575</v>
      </c>
      <c r="B1872" s="179" t="s">
        <v>456</v>
      </c>
      <c r="C1872" s="180">
        <v>360</v>
      </c>
    </row>
    <row r="1873" spans="1:3" x14ac:dyDescent="0.25">
      <c r="A1873" s="178">
        <v>6576</v>
      </c>
      <c r="B1873" s="179" t="s">
        <v>456</v>
      </c>
      <c r="C1873" s="180">
        <v>315</v>
      </c>
    </row>
    <row r="1874" spans="1:3" x14ac:dyDescent="0.25">
      <c r="A1874" s="178">
        <v>6577</v>
      </c>
      <c r="B1874" s="179" t="s">
        <v>456</v>
      </c>
      <c r="C1874" s="180">
        <v>333</v>
      </c>
    </row>
    <row r="1875" spans="1:3" x14ac:dyDescent="0.25">
      <c r="A1875" s="178">
        <v>6578</v>
      </c>
      <c r="B1875" s="179" t="s">
        <v>456</v>
      </c>
      <c r="C1875" s="180">
        <v>20</v>
      </c>
    </row>
    <row r="1876" spans="1:3" x14ac:dyDescent="0.25">
      <c r="A1876" s="178">
        <v>6579</v>
      </c>
      <c r="B1876" s="179" t="s">
        <v>456</v>
      </c>
      <c r="C1876" s="180">
        <v>80</v>
      </c>
    </row>
    <row r="1877" spans="1:3" x14ac:dyDescent="0.25">
      <c r="A1877" s="178">
        <v>6580</v>
      </c>
      <c r="B1877" s="179" t="s">
        <v>456</v>
      </c>
      <c r="C1877" s="180">
        <v>250</v>
      </c>
    </row>
    <row r="1878" spans="1:3" x14ac:dyDescent="0.25">
      <c r="A1878" s="178">
        <v>6581</v>
      </c>
      <c r="B1878" s="179" t="s">
        <v>456</v>
      </c>
      <c r="C1878" s="180">
        <v>80</v>
      </c>
    </row>
    <row r="1879" spans="1:3" x14ac:dyDescent="0.25">
      <c r="A1879" s="178">
        <v>6582</v>
      </c>
      <c r="B1879" s="179" t="s">
        <v>456</v>
      </c>
      <c r="C1879" s="180">
        <v>80</v>
      </c>
    </row>
    <row r="1880" spans="1:3" x14ac:dyDescent="0.25">
      <c r="A1880" s="178">
        <v>6583</v>
      </c>
      <c r="B1880" s="179" t="s">
        <v>456</v>
      </c>
      <c r="C1880" s="180">
        <v>80</v>
      </c>
    </row>
    <row r="1881" spans="1:3" x14ac:dyDescent="0.25">
      <c r="A1881" s="178">
        <v>6584</v>
      </c>
      <c r="B1881" s="179" t="s">
        <v>456</v>
      </c>
      <c r="C1881" s="180">
        <v>48</v>
      </c>
    </row>
    <row r="1882" spans="1:3" x14ac:dyDescent="0.25">
      <c r="A1882" s="178">
        <v>6585</v>
      </c>
      <c r="B1882" s="179" t="s">
        <v>456</v>
      </c>
      <c r="C1882" s="180">
        <v>80</v>
      </c>
    </row>
    <row r="1883" spans="1:3" x14ac:dyDescent="0.25">
      <c r="A1883" s="178">
        <v>6586</v>
      </c>
      <c r="B1883" s="179" t="s">
        <v>456</v>
      </c>
      <c r="C1883" s="180">
        <v>63</v>
      </c>
    </row>
    <row r="1884" spans="1:3" x14ac:dyDescent="0.25">
      <c r="A1884" s="178">
        <v>6587</v>
      </c>
      <c r="B1884" s="179" t="s">
        <v>456</v>
      </c>
      <c r="C1884" s="180">
        <v>63</v>
      </c>
    </row>
    <row r="1885" spans="1:3" x14ac:dyDescent="0.25">
      <c r="A1885" s="178">
        <v>6588</v>
      </c>
      <c r="B1885" s="179" t="s">
        <v>456</v>
      </c>
      <c r="C1885" s="180">
        <v>63</v>
      </c>
    </row>
    <row r="1886" spans="1:3" x14ac:dyDescent="0.25">
      <c r="A1886" s="178">
        <v>6590</v>
      </c>
      <c r="B1886" s="179" t="s">
        <v>456</v>
      </c>
      <c r="C1886" s="180">
        <v>300</v>
      </c>
    </row>
    <row r="1887" spans="1:3" x14ac:dyDescent="0.25">
      <c r="A1887" s="178">
        <v>6591</v>
      </c>
      <c r="B1887" s="179" t="s">
        <v>456</v>
      </c>
      <c r="C1887" s="180">
        <v>120</v>
      </c>
    </row>
    <row r="1888" spans="1:3" x14ac:dyDescent="0.25">
      <c r="A1888" s="178">
        <v>6592</v>
      </c>
      <c r="B1888" s="179" t="s">
        <v>456</v>
      </c>
      <c r="C1888" s="180">
        <v>120</v>
      </c>
    </row>
    <row r="1889" spans="1:3" x14ac:dyDescent="0.25">
      <c r="A1889" s="178">
        <v>6593</v>
      </c>
      <c r="B1889" s="179" t="s">
        <v>456</v>
      </c>
      <c r="C1889" s="180">
        <v>120</v>
      </c>
    </row>
    <row r="1890" spans="1:3" x14ac:dyDescent="0.25">
      <c r="A1890" s="178">
        <v>6594</v>
      </c>
      <c r="B1890" s="179" t="s">
        <v>456</v>
      </c>
      <c r="C1890" s="180">
        <v>120</v>
      </c>
    </row>
    <row r="1891" spans="1:3" x14ac:dyDescent="0.25">
      <c r="A1891" s="178">
        <v>6595</v>
      </c>
      <c r="B1891" s="179" t="s">
        <v>456</v>
      </c>
      <c r="C1891" s="180">
        <v>90</v>
      </c>
    </row>
    <row r="1892" spans="1:3" x14ac:dyDescent="0.25">
      <c r="A1892" s="178">
        <v>6596</v>
      </c>
      <c r="B1892" s="179" t="s">
        <v>456</v>
      </c>
      <c r="C1892" s="180">
        <v>72</v>
      </c>
    </row>
    <row r="1893" spans="1:3" x14ac:dyDescent="0.25">
      <c r="A1893" s="178">
        <v>6597</v>
      </c>
      <c r="B1893" s="179" t="s">
        <v>456</v>
      </c>
      <c r="C1893" s="180">
        <v>56</v>
      </c>
    </row>
    <row r="1894" spans="1:3" x14ac:dyDescent="0.25">
      <c r="A1894" s="178">
        <v>6599</v>
      </c>
      <c r="B1894" s="179" t="s">
        <v>456</v>
      </c>
      <c r="C1894" s="180">
        <v>63</v>
      </c>
    </row>
    <row r="1895" spans="1:3" x14ac:dyDescent="0.25">
      <c r="A1895" s="178">
        <v>6601</v>
      </c>
      <c r="B1895" s="179" t="s">
        <v>456</v>
      </c>
      <c r="C1895" s="180">
        <v>35</v>
      </c>
    </row>
    <row r="1896" spans="1:3" x14ac:dyDescent="0.25">
      <c r="A1896" s="178">
        <v>6602</v>
      </c>
      <c r="B1896" s="179" t="s">
        <v>456</v>
      </c>
      <c r="C1896" s="180">
        <v>35</v>
      </c>
    </row>
    <row r="1897" spans="1:3" x14ac:dyDescent="0.25">
      <c r="A1897" s="178">
        <v>6603</v>
      </c>
      <c r="B1897" s="179" t="s">
        <v>456</v>
      </c>
      <c r="C1897" s="180">
        <v>35</v>
      </c>
    </row>
    <row r="1898" spans="1:3" x14ac:dyDescent="0.25">
      <c r="A1898" s="178">
        <v>6604</v>
      </c>
      <c r="B1898" s="179" t="s">
        <v>456</v>
      </c>
      <c r="C1898" s="180">
        <v>100</v>
      </c>
    </row>
    <row r="1899" spans="1:3" x14ac:dyDescent="0.25">
      <c r="A1899" s="178">
        <v>6612</v>
      </c>
      <c r="B1899" s="179" t="s">
        <v>456</v>
      </c>
      <c r="C1899" s="180">
        <v>66</v>
      </c>
    </row>
    <row r="1900" spans="1:3" x14ac:dyDescent="0.25">
      <c r="A1900" s="178">
        <v>6614</v>
      </c>
      <c r="B1900" s="179" t="s">
        <v>456</v>
      </c>
      <c r="C1900" s="180">
        <v>66</v>
      </c>
    </row>
    <row r="1901" spans="1:3" x14ac:dyDescent="0.25">
      <c r="A1901" s="178">
        <v>6629</v>
      </c>
      <c r="B1901" s="179" t="s">
        <v>456</v>
      </c>
      <c r="C1901" s="180">
        <v>66</v>
      </c>
    </row>
    <row r="1902" spans="1:3" x14ac:dyDescent="0.25">
      <c r="A1902" s="178">
        <v>6631</v>
      </c>
      <c r="B1902" s="179" t="s">
        <v>456</v>
      </c>
      <c r="C1902" s="180">
        <v>8</v>
      </c>
    </row>
    <row r="1903" spans="1:3" x14ac:dyDescent="0.25">
      <c r="A1903" s="178">
        <v>6632</v>
      </c>
      <c r="B1903" s="179" t="s">
        <v>456</v>
      </c>
      <c r="C1903" s="180">
        <v>280</v>
      </c>
    </row>
    <row r="1904" spans="1:3" x14ac:dyDescent="0.25">
      <c r="A1904" s="178">
        <v>6633</v>
      </c>
      <c r="B1904" s="179" t="s">
        <v>456</v>
      </c>
      <c r="C1904" s="180">
        <v>300</v>
      </c>
    </row>
    <row r="1905" spans="1:3" x14ac:dyDescent="0.25">
      <c r="A1905" s="178">
        <v>6634</v>
      </c>
      <c r="B1905" s="179" t="s">
        <v>456</v>
      </c>
      <c r="C1905" s="180">
        <v>280</v>
      </c>
    </row>
    <row r="1906" spans="1:3" x14ac:dyDescent="0.25">
      <c r="A1906" s="178">
        <v>6635</v>
      </c>
      <c r="B1906" s="179" t="s">
        <v>456</v>
      </c>
      <c r="C1906" s="180">
        <v>24</v>
      </c>
    </row>
    <row r="1907" spans="1:3" x14ac:dyDescent="0.25">
      <c r="A1907" s="178">
        <v>6636</v>
      </c>
      <c r="B1907" s="179" t="s">
        <v>456</v>
      </c>
      <c r="C1907" s="180">
        <v>1</v>
      </c>
    </row>
    <row r="1908" spans="1:3" x14ac:dyDescent="0.25">
      <c r="A1908" s="178">
        <v>6637</v>
      </c>
      <c r="B1908" s="179" t="s">
        <v>456</v>
      </c>
      <c r="C1908" s="180">
        <v>450</v>
      </c>
    </row>
    <row r="1909" spans="1:3" x14ac:dyDescent="0.25">
      <c r="A1909" s="178">
        <v>6638</v>
      </c>
      <c r="B1909" s="179" t="s">
        <v>456</v>
      </c>
      <c r="C1909" s="180">
        <v>280</v>
      </c>
    </row>
    <row r="1910" spans="1:3" x14ac:dyDescent="0.25">
      <c r="A1910" s="178">
        <v>6639</v>
      </c>
      <c r="B1910" s="179" t="s">
        <v>456</v>
      </c>
      <c r="C1910" s="180">
        <v>56</v>
      </c>
    </row>
    <row r="1911" spans="1:3" x14ac:dyDescent="0.25">
      <c r="A1911" s="178">
        <v>6640</v>
      </c>
      <c r="B1911" s="179" t="s">
        <v>456</v>
      </c>
      <c r="C1911" s="180">
        <v>63</v>
      </c>
    </row>
    <row r="1912" spans="1:3" x14ac:dyDescent="0.25">
      <c r="A1912" s="178">
        <v>6641</v>
      </c>
      <c r="B1912" s="179" t="s">
        <v>456</v>
      </c>
      <c r="C1912" s="180">
        <v>63</v>
      </c>
    </row>
    <row r="1913" spans="1:3" x14ac:dyDescent="0.25">
      <c r="A1913" s="178">
        <v>6642</v>
      </c>
      <c r="B1913" s="179" t="s">
        <v>456</v>
      </c>
      <c r="C1913" s="180">
        <v>63</v>
      </c>
    </row>
    <row r="1914" spans="1:3" x14ac:dyDescent="0.25">
      <c r="A1914" s="178">
        <v>6643</v>
      </c>
      <c r="B1914" s="179" t="s">
        <v>456</v>
      </c>
      <c r="C1914" s="180">
        <v>63</v>
      </c>
    </row>
    <row r="1915" spans="1:3" x14ac:dyDescent="0.25">
      <c r="A1915" s="178">
        <v>6644</v>
      </c>
      <c r="B1915" s="179" t="s">
        <v>456</v>
      </c>
      <c r="C1915" s="180">
        <v>63</v>
      </c>
    </row>
    <row r="1916" spans="1:3" x14ac:dyDescent="0.25">
      <c r="A1916" s="178">
        <v>6645</v>
      </c>
      <c r="B1916" s="179" t="s">
        <v>456</v>
      </c>
      <c r="C1916" s="180">
        <v>63</v>
      </c>
    </row>
    <row r="1917" spans="1:3" x14ac:dyDescent="0.25">
      <c r="A1917" s="178">
        <v>6646</v>
      </c>
      <c r="B1917" s="179" t="s">
        <v>456</v>
      </c>
      <c r="C1917" s="180">
        <v>63</v>
      </c>
    </row>
    <row r="1918" spans="1:3" x14ac:dyDescent="0.25">
      <c r="A1918" s="178">
        <v>6654</v>
      </c>
      <c r="B1918" s="179" t="s">
        <v>456</v>
      </c>
      <c r="C1918" s="180">
        <v>56</v>
      </c>
    </row>
    <row r="1919" spans="1:3" x14ac:dyDescent="0.25">
      <c r="A1919" s="178">
        <v>6660</v>
      </c>
      <c r="B1919" s="179" t="s">
        <v>456</v>
      </c>
      <c r="C1919" s="180">
        <v>25</v>
      </c>
    </row>
    <row r="1920" spans="1:3" x14ac:dyDescent="0.25">
      <c r="A1920" s="178">
        <v>6661</v>
      </c>
      <c r="B1920" s="179" t="s">
        <v>456</v>
      </c>
      <c r="C1920" s="180">
        <v>63</v>
      </c>
    </row>
    <row r="1921" spans="1:3" x14ac:dyDescent="0.25">
      <c r="A1921" s="178">
        <v>6662</v>
      </c>
      <c r="B1921" s="179" t="s">
        <v>456</v>
      </c>
      <c r="C1921" s="180">
        <v>63</v>
      </c>
    </row>
    <row r="1922" spans="1:3" x14ac:dyDescent="0.25">
      <c r="A1922" s="178">
        <v>6663</v>
      </c>
      <c r="B1922" s="179" t="s">
        <v>456</v>
      </c>
      <c r="C1922" s="180">
        <v>63</v>
      </c>
    </row>
    <row r="1923" spans="1:3" x14ac:dyDescent="0.25">
      <c r="A1923" s="178">
        <v>6664</v>
      </c>
      <c r="B1923" s="179" t="s">
        <v>456</v>
      </c>
      <c r="C1923" s="180">
        <v>63</v>
      </c>
    </row>
    <row r="1924" spans="1:3" x14ac:dyDescent="0.25">
      <c r="A1924" s="178">
        <v>6665</v>
      </c>
      <c r="B1924" s="179" t="s">
        <v>456</v>
      </c>
      <c r="C1924" s="180">
        <v>63</v>
      </c>
    </row>
    <row r="1925" spans="1:3" x14ac:dyDescent="0.25">
      <c r="A1925" s="178">
        <v>6666</v>
      </c>
      <c r="B1925" s="179" t="s">
        <v>456</v>
      </c>
      <c r="C1925" s="180">
        <v>63</v>
      </c>
    </row>
    <row r="1926" spans="1:3" x14ac:dyDescent="0.25">
      <c r="A1926" s="178">
        <v>6667</v>
      </c>
      <c r="B1926" s="179" t="s">
        <v>456</v>
      </c>
      <c r="C1926" s="180">
        <v>63</v>
      </c>
    </row>
    <row r="1927" spans="1:3" x14ac:dyDescent="0.25">
      <c r="A1927" s="178">
        <v>6668</v>
      </c>
      <c r="B1927" s="179" t="s">
        <v>456</v>
      </c>
      <c r="C1927" s="180">
        <v>56</v>
      </c>
    </row>
    <row r="1928" spans="1:3" x14ac:dyDescent="0.25">
      <c r="A1928" s="178">
        <v>6669</v>
      </c>
      <c r="B1928" s="179" t="s">
        <v>456</v>
      </c>
      <c r="C1928" s="180">
        <v>63</v>
      </c>
    </row>
    <row r="1929" spans="1:3" x14ac:dyDescent="0.25">
      <c r="A1929" s="178">
        <v>6671</v>
      </c>
      <c r="B1929" s="179" t="s">
        <v>456</v>
      </c>
      <c r="C1929" s="180">
        <v>63</v>
      </c>
    </row>
    <row r="1930" spans="1:3" x14ac:dyDescent="0.25">
      <c r="A1930" s="178">
        <v>6672</v>
      </c>
      <c r="B1930" s="179" t="s">
        <v>456</v>
      </c>
      <c r="C1930" s="180">
        <v>56</v>
      </c>
    </row>
    <row r="1931" spans="1:3" x14ac:dyDescent="0.25">
      <c r="A1931" s="178">
        <v>6673</v>
      </c>
      <c r="B1931" s="179" t="s">
        <v>456</v>
      </c>
      <c r="C1931" s="180">
        <v>63</v>
      </c>
    </row>
    <row r="1932" spans="1:3" x14ac:dyDescent="0.25">
      <c r="A1932" s="178">
        <v>6674</v>
      </c>
      <c r="B1932" s="179" t="s">
        <v>456</v>
      </c>
      <c r="C1932" s="180">
        <v>40</v>
      </c>
    </row>
    <row r="1933" spans="1:3" x14ac:dyDescent="0.25">
      <c r="A1933" s="178">
        <v>6675</v>
      </c>
      <c r="B1933" s="179" t="s">
        <v>456</v>
      </c>
      <c r="C1933" s="180">
        <v>72</v>
      </c>
    </row>
    <row r="1934" spans="1:3" x14ac:dyDescent="0.25">
      <c r="A1934" s="178">
        <v>6677</v>
      </c>
      <c r="B1934" s="179" t="s">
        <v>456</v>
      </c>
      <c r="C1934" s="180">
        <v>198</v>
      </c>
    </row>
    <row r="1935" spans="1:3" x14ac:dyDescent="0.25">
      <c r="A1935" s="178">
        <v>6678</v>
      </c>
      <c r="B1935" s="179" t="s">
        <v>456</v>
      </c>
      <c r="C1935" s="180">
        <v>198</v>
      </c>
    </row>
    <row r="1936" spans="1:3" x14ac:dyDescent="0.25">
      <c r="A1936" s="178">
        <v>6679</v>
      </c>
      <c r="B1936" s="179" t="s">
        <v>456</v>
      </c>
      <c r="C1936" s="180">
        <v>198</v>
      </c>
    </row>
    <row r="1937" spans="1:3" x14ac:dyDescent="0.25">
      <c r="A1937" s="178">
        <v>6680</v>
      </c>
      <c r="B1937" s="179" t="s">
        <v>456</v>
      </c>
      <c r="C1937" s="180">
        <v>198</v>
      </c>
    </row>
    <row r="1938" spans="1:3" x14ac:dyDescent="0.25">
      <c r="A1938" s="178">
        <v>6681</v>
      </c>
      <c r="B1938" s="179" t="s">
        <v>456</v>
      </c>
      <c r="C1938" s="180">
        <v>198</v>
      </c>
    </row>
    <row r="1939" spans="1:3" x14ac:dyDescent="0.25">
      <c r="A1939" s="178">
        <v>6682</v>
      </c>
      <c r="B1939" s="179" t="s">
        <v>456</v>
      </c>
      <c r="C1939" s="180">
        <v>198</v>
      </c>
    </row>
    <row r="1940" spans="1:3" x14ac:dyDescent="0.25">
      <c r="A1940" s="178">
        <v>6683</v>
      </c>
      <c r="B1940" s="179" t="s">
        <v>456</v>
      </c>
      <c r="C1940" s="180">
        <v>80</v>
      </c>
    </row>
    <row r="1941" spans="1:3" x14ac:dyDescent="0.25">
      <c r="A1941" s="178">
        <v>6684</v>
      </c>
      <c r="B1941" s="179" t="s">
        <v>456</v>
      </c>
      <c r="C1941" s="180">
        <v>80</v>
      </c>
    </row>
    <row r="1942" spans="1:3" x14ac:dyDescent="0.25">
      <c r="A1942" s="178">
        <v>6685</v>
      </c>
      <c r="B1942" s="179" t="s">
        <v>456</v>
      </c>
      <c r="C1942" s="180">
        <v>80</v>
      </c>
    </row>
    <row r="1943" spans="1:3" x14ac:dyDescent="0.25">
      <c r="A1943" s="178">
        <v>6687</v>
      </c>
      <c r="B1943" s="179" t="s">
        <v>456</v>
      </c>
      <c r="C1943" s="180">
        <v>63</v>
      </c>
    </row>
    <row r="1944" spans="1:3" x14ac:dyDescent="0.25">
      <c r="A1944" s="178">
        <v>6688</v>
      </c>
      <c r="B1944" s="179" t="s">
        <v>456</v>
      </c>
      <c r="C1944" s="180">
        <v>63</v>
      </c>
    </row>
    <row r="1945" spans="1:3" x14ac:dyDescent="0.25">
      <c r="A1945" s="178">
        <v>6689</v>
      </c>
      <c r="B1945" s="179" t="s">
        <v>456</v>
      </c>
      <c r="C1945" s="180">
        <v>63</v>
      </c>
    </row>
    <row r="1946" spans="1:3" x14ac:dyDescent="0.25">
      <c r="A1946" s="178">
        <v>6690</v>
      </c>
      <c r="B1946" s="179" t="s">
        <v>456</v>
      </c>
      <c r="C1946" s="180">
        <v>63</v>
      </c>
    </row>
    <row r="1947" spans="1:3" x14ac:dyDescent="0.25">
      <c r="A1947" s="178">
        <v>6694</v>
      </c>
      <c r="B1947" s="179" t="s">
        <v>456</v>
      </c>
      <c r="C1947" s="180">
        <v>63</v>
      </c>
    </row>
    <row r="1948" spans="1:3" x14ac:dyDescent="0.25">
      <c r="A1948" s="178">
        <v>6695</v>
      </c>
      <c r="B1948" s="179" t="s">
        <v>456</v>
      </c>
      <c r="C1948" s="180">
        <v>40</v>
      </c>
    </row>
    <row r="1949" spans="1:3" x14ac:dyDescent="0.25">
      <c r="A1949" s="178">
        <v>6696</v>
      </c>
      <c r="B1949" s="179" t="s">
        <v>456</v>
      </c>
      <c r="C1949" s="180">
        <v>40</v>
      </c>
    </row>
    <row r="1950" spans="1:3" x14ac:dyDescent="0.25">
      <c r="A1950" s="178">
        <v>6697</v>
      </c>
      <c r="B1950" s="179" t="s">
        <v>456</v>
      </c>
      <c r="C1950" s="180">
        <v>70</v>
      </c>
    </row>
    <row r="1951" spans="1:3" x14ac:dyDescent="0.25">
      <c r="A1951" s="178">
        <v>6698</v>
      </c>
      <c r="B1951" s="179" t="s">
        <v>456</v>
      </c>
      <c r="C1951" s="180">
        <v>40</v>
      </c>
    </row>
    <row r="1952" spans="1:3" x14ac:dyDescent="0.25">
      <c r="A1952" s="178">
        <v>6700</v>
      </c>
      <c r="B1952" s="179" t="s">
        <v>456</v>
      </c>
      <c r="C1952" s="180">
        <v>3</v>
      </c>
    </row>
    <row r="1953" spans="1:3" x14ac:dyDescent="0.25">
      <c r="A1953" s="178">
        <v>6701</v>
      </c>
      <c r="B1953" s="179" t="s">
        <v>456</v>
      </c>
      <c r="C1953" s="180">
        <v>96</v>
      </c>
    </row>
    <row r="1954" spans="1:3" x14ac:dyDescent="0.25">
      <c r="A1954" s="178">
        <v>6702</v>
      </c>
      <c r="B1954" s="179" t="s">
        <v>456</v>
      </c>
      <c r="C1954" s="180">
        <v>2</v>
      </c>
    </row>
    <row r="1955" spans="1:3" x14ac:dyDescent="0.25">
      <c r="A1955" s="178">
        <v>6703</v>
      </c>
      <c r="B1955" s="179" t="s">
        <v>456</v>
      </c>
      <c r="C1955" s="180">
        <v>3</v>
      </c>
    </row>
    <row r="1956" spans="1:3" x14ac:dyDescent="0.25">
      <c r="A1956" s="178">
        <v>6704</v>
      </c>
      <c r="B1956" s="179" t="s">
        <v>456</v>
      </c>
      <c r="C1956" s="180">
        <v>3</v>
      </c>
    </row>
    <row r="1957" spans="1:3" x14ac:dyDescent="0.25">
      <c r="A1957" s="178">
        <v>6705</v>
      </c>
      <c r="B1957" s="179" t="s">
        <v>456</v>
      </c>
      <c r="C1957" s="180">
        <v>70</v>
      </c>
    </row>
    <row r="1958" spans="1:3" x14ac:dyDescent="0.25">
      <c r="A1958" s="178">
        <v>6706</v>
      </c>
      <c r="B1958" s="179" t="s">
        <v>456</v>
      </c>
      <c r="C1958" s="180">
        <v>3</v>
      </c>
    </row>
    <row r="1959" spans="1:3" x14ac:dyDescent="0.25">
      <c r="A1959" s="178">
        <v>6707</v>
      </c>
      <c r="B1959" s="179" t="s">
        <v>456</v>
      </c>
      <c r="C1959" s="180">
        <v>192</v>
      </c>
    </row>
    <row r="1960" spans="1:3" x14ac:dyDescent="0.25">
      <c r="A1960" s="178">
        <v>6708</v>
      </c>
      <c r="B1960" s="179" t="s">
        <v>456</v>
      </c>
      <c r="C1960" s="180">
        <v>192</v>
      </c>
    </row>
    <row r="1961" spans="1:3" x14ac:dyDescent="0.25">
      <c r="A1961" s="178">
        <v>6709</v>
      </c>
      <c r="B1961" s="179" t="s">
        <v>456</v>
      </c>
      <c r="C1961" s="180">
        <v>192</v>
      </c>
    </row>
    <row r="1962" spans="1:3" x14ac:dyDescent="0.25">
      <c r="A1962" s="178">
        <v>6710</v>
      </c>
      <c r="B1962" s="179" t="s">
        <v>456</v>
      </c>
      <c r="C1962" s="180">
        <v>192</v>
      </c>
    </row>
    <row r="1963" spans="1:3" x14ac:dyDescent="0.25">
      <c r="A1963" s="178">
        <v>6711</v>
      </c>
      <c r="B1963" s="179" t="s">
        <v>456</v>
      </c>
      <c r="C1963" s="180">
        <v>3</v>
      </c>
    </row>
    <row r="1964" spans="1:3" x14ac:dyDescent="0.25">
      <c r="A1964" s="178">
        <v>6712</v>
      </c>
      <c r="B1964" s="179" t="s">
        <v>456</v>
      </c>
      <c r="C1964" s="180">
        <v>3</v>
      </c>
    </row>
    <row r="1965" spans="1:3" x14ac:dyDescent="0.25">
      <c r="A1965" s="178">
        <v>6713</v>
      </c>
      <c r="B1965" s="179" t="s">
        <v>456</v>
      </c>
      <c r="C1965" s="180">
        <v>140</v>
      </c>
    </row>
    <row r="1966" spans="1:3" x14ac:dyDescent="0.25">
      <c r="A1966" s="178">
        <v>6714</v>
      </c>
      <c r="B1966" s="179" t="s">
        <v>456</v>
      </c>
      <c r="C1966" s="180">
        <v>140</v>
      </c>
    </row>
    <row r="1967" spans="1:3" x14ac:dyDescent="0.25">
      <c r="A1967" s="178">
        <v>6715</v>
      </c>
      <c r="B1967" s="179" t="s">
        <v>456</v>
      </c>
      <c r="C1967" s="180">
        <v>140</v>
      </c>
    </row>
    <row r="1968" spans="1:3" x14ac:dyDescent="0.25">
      <c r="A1968" s="178">
        <v>6716</v>
      </c>
      <c r="B1968" s="179" t="s">
        <v>456</v>
      </c>
      <c r="C1968" s="180">
        <v>3</v>
      </c>
    </row>
    <row r="1969" spans="1:3" x14ac:dyDescent="0.25">
      <c r="A1969" s="178">
        <v>6717</v>
      </c>
      <c r="B1969" s="179" t="s">
        <v>456</v>
      </c>
      <c r="C1969" s="180">
        <v>140</v>
      </c>
    </row>
    <row r="1970" spans="1:3" x14ac:dyDescent="0.25">
      <c r="A1970" s="178">
        <v>6718</v>
      </c>
      <c r="B1970" s="179" t="s">
        <v>456</v>
      </c>
      <c r="C1970" s="180">
        <v>140</v>
      </c>
    </row>
    <row r="1971" spans="1:3" x14ac:dyDescent="0.25">
      <c r="A1971" s="178">
        <v>6719</v>
      </c>
      <c r="B1971" s="179" t="s">
        <v>456</v>
      </c>
      <c r="C1971" s="180">
        <v>140</v>
      </c>
    </row>
    <row r="1972" spans="1:3" x14ac:dyDescent="0.25">
      <c r="A1972" s="178">
        <v>6720</v>
      </c>
      <c r="B1972" s="179" t="s">
        <v>456</v>
      </c>
      <c r="C1972" s="180">
        <v>140</v>
      </c>
    </row>
    <row r="1973" spans="1:3" x14ac:dyDescent="0.25">
      <c r="A1973" s="178">
        <v>6721</v>
      </c>
      <c r="B1973" s="179" t="s">
        <v>456</v>
      </c>
      <c r="C1973" s="180">
        <v>140</v>
      </c>
    </row>
    <row r="1974" spans="1:3" x14ac:dyDescent="0.25">
      <c r="A1974" s="178">
        <v>6722</v>
      </c>
      <c r="B1974" s="179" t="s">
        <v>456</v>
      </c>
      <c r="C1974" s="180">
        <v>140</v>
      </c>
    </row>
    <row r="1975" spans="1:3" x14ac:dyDescent="0.25">
      <c r="A1975" s="178">
        <v>6723</v>
      </c>
      <c r="B1975" s="179" t="s">
        <v>456</v>
      </c>
      <c r="C1975" s="180">
        <v>96</v>
      </c>
    </row>
    <row r="1976" spans="1:3" x14ac:dyDescent="0.25">
      <c r="A1976" s="178">
        <v>6724</v>
      </c>
      <c r="B1976" s="179" t="s">
        <v>456</v>
      </c>
      <c r="C1976" s="180">
        <v>140</v>
      </c>
    </row>
    <row r="1977" spans="1:3" x14ac:dyDescent="0.25">
      <c r="A1977" s="178">
        <v>6725</v>
      </c>
      <c r="B1977" s="179" t="s">
        <v>456</v>
      </c>
      <c r="C1977" s="180">
        <v>140</v>
      </c>
    </row>
    <row r="1978" spans="1:3" x14ac:dyDescent="0.25">
      <c r="A1978" s="178">
        <v>6726</v>
      </c>
      <c r="B1978" s="179" t="s">
        <v>456</v>
      </c>
      <c r="C1978" s="180">
        <v>140</v>
      </c>
    </row>
    <row r="1979" spans="1:3" x14ac:dyDescent="0.25">
      <c r="A1979" s="178">
        <v>6727</v>
      </c>
      <c r="B1979" s="179" t="s">
        <v>456</v>
      </c>
      <c r="C1979" s="180">
        <v>64</v>
      </c>
    </row>
    <row r="1980" spans="1:3" x14ac:dyDescent="0.25">
      <c r="A1980" s="178">
        <v>6728</v>
      </c>
      <c r="B1980" s="179" t="s">
        <v>456</v>
      </c>
      <c r="C1980" s="180">
        <v>63</v>
      </c>
    </row>
    <row r="1981" spans="1:3" x14ac:dyDescent="0.25">
      <c r="A1981" s="178">
        <v>6729</v>
      </c>
      <c r="B1981" s="179" t="s">
        <v>456</v>
      </c>
      <c r="C1981" s="180">
        <v>63</v>
      </c>
    </row>
    <row r="1982" spans="1:3" x14ac:dyDescent="0.25">
      <c r="A1982" s="178">
        <v>6733</v>
      </c>
      <c r="B1982" s="179" t="s">
        <v>456</v>
      </c>
      <c r="C1982" s="180">
        <v>64</v>
      </c>
    </row>
    <row r="1983" spans="1:3" x14ac:dyDescent="0.25">
      <c r="A1983" s="178">
        <v>6734</v>
      </c>
      <c r="B1983" s="179" t="s">
        <v>456</v>
      </c>
      <c r="C1983" s="180">
        <v>64</v>
      </c>
    </row>
    <row r="1984" spans="1:3" x14ac:dyDescent="0.25">
      <c r="A1984" s="178">
        <v>6735</v>
      </c>
      <c r="B1984" s="179" t="s">
        <v>456</v>
      </c>
      <c r="C1984" s="180">
        <v>64</v>
      </c>
    </row>
    <row r="1985" spans="1:3" x14ac:dyDescent="0.25">
      <c r="A1985" s="178">
        <v>6736</v>
      </c>
      <c r="B1985" s="179" t="s">
        <v>456</v>
      </c>
      <c r="C1985" s="180">
        <v>64</v>
      </c>
    </row>
    <row r="1986" spans="1:3" x14ac:dyDescent="0.25">
      <c r="A1986" s="178">
        <v>6737</v>
      </c>
      <c r="B1986" s="179" t="s">
        <v>456</v>
      </c>
      <c r="C1986" s="180">
        <v>64</v>
      </c>
    </row>
    <row r="1987" spans="1:3" x14ac:dyDescent="0.25">
      <c r="A1987" s="178">
        <v>6738</v>
      </c>
      <c r="B1987" s="179" t="s">
        <v>456</v>
      </c>
      <c r="C1987" s="180">
        <v>64</v>
      </c>
    </row>
    <row r="1988" spans="1:3" x14ac:dyDescent="0.25">
      <c r="A1988" s="178">
        <v>6741</v>
      </c>
      <c r="B1988" s="179" t="s">
        <v>456</v>
      </c>
      <c r="C1988" s="180">
        <v>64</v>
      </c>
    </row>
    <row r="1989" spans="1:3" x14ac:dyDescent="0.25">
      <c r="A1989" s="178">
        <v>6745</v>
      </c>
      <c r="B1989" s="179" t="s">
        <v>456</v>
      </c>
      <c r="C1989" s="180">
        <v>132</v>
      </c>
    </row>
    <row r="1990" spans="1:3" x14ac:dyDescent="0.25">
      <c r="A1990" s="178">
        <v>6746</v>
      </c>
      <c r="B1990" s="179" t="s">
        <v>456</v>
      </c>
      <c r="C1990" s="180">
        <v>187</v>
      </c>
    </row>
    <row r="1991" spans="1:3" x14ac:dyDescent="0.25">
      <c r="A1991" s="178">
        <v>6747</v>
      </c>
      <c r="B1991" s="179" t="s">
        <v>456</v>
      </c>
      <c r="C1991" s="180">
        <v>3</v>
      </c>
    </row>
    <row r="1992" spans="1:3" x14ac:dyDescent="0.25">
      <c r="A1992" s="178">
        <v>6748</v>
      </c>
      <c r="B1992" s="179" t="s">
        <v>456</v>
      </c>
      <c r="C1992" s="180">
        <v>10</v>
      </c>
    </row>
    <row r="1993" spans="1:3" x14ac:dyDescent="0.25">
      <c r="A1993" s="178">
        <v>6749</v>
      </c>
      <c r="B1993" s="179" t="s">
        <v>456</v>
      </c>
      <c r="C1993" s="180">
        <v>2</v>
      </c>
    </row>
    <row r="1994" spans="1:3" x14ac:dyDescent="0.25">
      <c r="A1994" s="178">
        <v>6750</v>
      </c>
      <c r="B1994" s="179" t="s">
        <v>456</v>
      </c>
      <c r="C1994" s="180">
        <v>96</v>
      </c>
    </row>
    <row r="1995" spans="1:3" x14ac:dyDescent="0.25">
      <c r="A1995" s="178">
        <v>6751</v>
      </c>
      <c r="B1995" s="179" t="s">
        <v>456</v>
      </c>
      <c r="C1995" s="180">
        <v>3</v>
      </c>
    </row>
    <row r="1996" spans="1:3" x14ac:dyDescent="0.25">
      <c r="A1996" s="178">
        <v>6752</v>
      </c>
      <c r="B1996" s="179" t="s">
        <v>456</v>
      </c>
      <c r="C1996" s="180">
        <v>3</v>
      </c>
    </row>
    <row r="1997" spans="1:3" x14ac:dyDescent="0.25">
      <c r="A1997" s="178">
        <v>6753</v>
      </c>
      <c r="B1997" s="179" t="s">
        <v>456</v>
      </c>
      <c r="C1997" s="180">
        <v>3</v>
      </c>
    </row>
    <row r="1998" spans="1:3" x14ac:dyDescent="0.25">
      <c r="A1998" s="178">
        <v>6754</v>
      </c>
      <c r="B1998" s="179" t="s">
        <v>456</v>
      </c>
      <c r="C1998" s="180">
        <v>3</v>
      </c>
    </row>
    <row r="1999" spans="1:3" x14ac:dyDescent="0.25">
      <c r="A1999" s="178">
        <v>6755</v>
      </c>
      <c r="B1999" s="179" t="s">
        <v>456</v>
      </c>
      <c r="C1999" s="180">
        <v>3</v>
      </c>
    </row>
    <row r="2000" spans="1:3" x14ac:dyDescent="0.25">
      <c r="A2000" s="178">
        <v>6756</v>
      </c>
      <c r="B2000" s="179" t="s">
        <v>456</v>
      </c>
      <c r="C2000" s="180">
        <v>3</v>
      </c>
    </row>
    <row r="2001" spans="1:3" x14ac:dyDescent="0.25">
      <c r="A2001" s="178">
        <v>6757</v>
      </c>
      <c r="B2001" s="179" t="s">
        <v>456</v>
      </c>
      <c r="C2001" s="180">
        <v>132</v>
      </c>
    </row>
    <row r="2002" spans="1:3" x14ac:dyDescent="0.25">
      <c r="A2002" s="178">
        <v>6758</v>
      </c>
      <c r="B2002" s="179" t="s">
        <v>456</v>
      </c>
      <c r="C2002" s="180">
        <v>192</v>
      </c>
    </row>
    <row r="2003" spans="1:3" x14ac:dyDescent="0.25">
      <c r="A2003" s="178">
        <v>6759</v>
      </c>
      <c r="B2003" s="179" t="s">
        <v>456</v>
      </c>
      <c r="C2003" s="180">
        <v>192</v>
      </c>
    </row>
    <row r="2004" spans="1:3" x14ac:dyDescent="0.25">
      <c r="A2004" s="178">
        <v>6760</v>
      </c>
      <c r="B2004" s="179" t="s">
        <v>456</v>
      </c>
      <c r="C2004" s="180">
        <v>192</v>
      </c>
    </row>
    <row r="2005" spans="1:3" x14ac:dyDescent="0.25">
      <c r="A2005" s="178">
        <v>6761</v>
      </c>
      <c r="B2005" s="179" t="s">
        <v>456</v>
      </c>
      <c r="C2005" s="180">
        <v>192</v>
      </c>
    </row>
    <row r="2006" spans="1:3" x14ac:dyDescent="0.25">
      <c r="A2006" s="178">
        <v>6762</v>
      </c>
      <c r="B2006" s="179" t="s">
        <v>456</v>
      </c>
      <c r="C2006" s="180">
        <v>192</v>
      </c>
    </row>
    <row r="2007" spans="1:3" x14ac:dyDescent="0.25">
      <c r="A2007" s="178">
        <v>6763</v>
      </c>
      <c r="B2007" s="179" t="s">
        <v>456</v>
      </c>
      <c r="C2007" s="180">
        <v>2</v>
      </c>
    </row>
    <row r="2008" spans="1:3" x14ac:dyDescent="0.25">
      <c r="A2008" s="178">
        <v>6764</v>
      </c>
      <c r="B2008" s="179" t="s">
        <v>456</v>
      </c>
      <c r="C2008" s="180">
        <v>3</v>
      </c>
    </row>
    <row r="2009" spans="1:3" x14ac:dyDescent="0.25">
      <c r="A2009" s="178">
        <v>6765</v>
      </c>
      <c r="B2009" s="179" t="s">
        <v>456</v>
      </c>
      <c r="C2009" s="180">
        <v>192</v>
      </c>
    </row>
    <row r="2010" spans="1:3" x14ac:dyDescent="0.25">
      <c r="A2010" s="178">
        <v>6766</v>
      </c>
      <c r="B2010" s="179" t="s">
        <v>456</v>
      </c>
      <c r="C2010" s="180">
        <v>192</v>
      </c>
    </row>
    <row r="2011" spans="1:3" x14ac:dyDescent="0.25">
      <c r="A2011" s="178">
        <v>6767</v>
      </c>
      <c r="B2011" s="179" t="s">
        <v>456</v>
      </c>
      <c r="C2011" s="180">
        <v>112</v>
      </c>
    </row>
    <row r="2012" spans="1:3" x14ac:dyDescent="0.25">
      <c r="A2012" s="178">
        <v>6768</v>
      </c>
      <c r="B2012" s="179" t="s">
        <v>456</v>
      </c>
      <c r="C2012" s="180">
        <v>112</v>
      </c>
    </row>
    <row r="2013" spans="1:3" x14ac:dyDescent="0.25">
      <c r="A2013" s="178">
        <v>6769</v>
      </c>
      <c r="B2013" s="179" t="s">
        <v>456</v>
      </c>
      <c r="C2013" s="180">
        <v>112</v>
      </c>
    </row>
    <row r="2014" spans="1:3" x14ac:dyDescent="0.25">
      <c r="A2014" s="178">
        <v>6770</v>
      </c>
      <c r="B2014" s="179" t="s">
        <v>456</v>
      </c>
      <c r="C2014" s="180">
        <v>112</v>
      </c>
    </row>
    <row r="2015" spans="1:3" x14ac:dyDescent="0.25">
      <c r="A2015" s="178">
        <v>6771</v>
      </c>
      <c r="B2015" s="179" t="s">
        <v>456</v>
      </c>
      <c r="C2015" s="180">
        <v>256</v>
      </c>
    </row>
    <row r="2016" spans="1:3" x14ac:dyDescent="0.25">
      <c r="A2016" s="178">
        <v>6772</v>
      </c>
      <c r="B2016" s="179" t="s">
        <v>456</v>
      </c>
      <c r="C2016" s="180">
        <v>256</v>
      </c>
    </row>
    <row r="2017" spans="1:3" x14ac:dyDescent="0.25">
      <c r="A2017" s="178">
        <v>6773</v>
      </c>
      <c r="B2017" s="179" t="s">
        <v>456</v>
      </c>
      <c r="C2017" s="180">
        <v>192</v>
      </c>
    </row>
    <row r="2018" spans="1:3" x14ac:dyDescent="0.25">
      <c r="A2018" s="178">
        <v>6774</v>
      </c>
      <c r="B2018" s="179" t="s">
        <v>456</v>
      </c>
      <c r="C2018" s="180">
        <v>192</v>
      </c>
    </row>
    <row r="2019" spans="1:3" x14ac:dyDescent="0.25">
      <c r="A2019" s="178">
        <v>6775</v>
      </c>
      <c r="B2019" s="179" t="s">
        <v>456</v>
      </c>
      <c r="C2019" s="180">
        <v>192</v>
      </c>
    </row>
    <row r="2020" spans="1:3" x14ac:dyDescent="0.25">
      <c r="A2020" s="178">
        <v>6777</v>
      </c>
      <c r="B2020" s="179" t="s">
        <v>456</v>
      </c>
      <c r="C2020" s="180">
        <v>3</v>
      </c>
    </row>
    <row r="2021" spans="1:3" x14ac:dyDescent="0.25">
      <c r="A2021" s="178">
        <v>6778</v>
      </c>
      <c r="B2021" s="179" t="s">
        <v>456</v>
      </c>
      <c r="C2021" s="180">
        <v>112</v>
      </c>
    </row>
    <row r="2022" spans="1:3" x14ac:dyDescent="0.25">
      <c r="A2022" s="178">
        <v>6779</v>
      </c>
      <c r="B2022" s="179" t="s">
        <v>456</v>
      </c>
      <c r="C2022" s="180">
        <v>2</v>
      </c>
    </row>
    <row r="2023" spans="1:3" x14ac:dyDescent="0.25">
      <c r="A2023" s="178">
        <v>6780</v>
      </c>
      <c r="B2023" s="179" t="s">
        <v>456</v>
      </c>
      <c r="C2023" s="180">
        <v>3</v>
      </c>
    </row>
    <row r="2024" spans="1:3" x14ac:dyDescent="0.25">
      <c r="A2024" s="178">
        <v>6781</v>
      </c>
      <c r="B2024" s="179" t="s">
        <v>456</v>
      </c>
      <c r="C2024" s="180">
        <v>3</v>
      </c>
    </row>
    <row r="2025" spans="1:3" x14ac:dyDescent="0.25">
      <c r="A2025" s="178">
        <v>6782</v>
      </c>
      <c r="B2025" s="179" t="s">
        <v>456</v>
      </c>
      <c r="C2025" s="180">
        <v>2</v>
      </c>
    </row>
    <row r="2026" spans="1:3" x14ac:dyDescent="0.25">
      <c r="A2026" s="178">
        <v>6783</v>
      </c>
      <c r="B2026" s="179" t="s">
        <v>456</v>
      </c>
      <c r="C2026" s="180">
        <v>96</v>
      </c>
    </row>
    <row r="2027" spans="1:3" x14ac:dyDescent="0.25">
      <c r="A2027" s="178">
        <v>6784</v>
      </c>
      <c r="B2027" s="179" t="s">
        <v>456</v>
      </c>
      <c r="C2027" s="180">
        <v>3</v>
      </c>
    </row>
    <row r="2028" spans="1:3" x14ac:dyDescent="0.25">
      <c r="A2028" s="178">
        <v>6785</v>
      </c>
      <c r="B2028" s="179" t="s">
        <v>456</v>
      </c>
      <c r="C2028" s="180">
        <v>3</v>
      </c>
    </row>
    <row r="2029" spans="1:3" x14ac:dyDescent="0.25">
      <c r="A2029" s="178">
        <v>6786</v>
      </c>
      <c r="B2029" s="179" t="s">
        <v>456</v>
      </c>
      <c r="C2029" s="180">
        <v>3</v>
      </c>
    </row>
    <row r="2030" spans="1:3" x14ac:dyDescent="0.25">
      <c r="A2030" s="178">
        <v>6787</v>
      </c>
      <c r="B2030" s="179" t="s">
        <v>456</v>
      </c>
      <c r="C2030" s="180">
        <v>96</v>
      </c>
    </row>
    <row r="2031" spans="1:3" x14ac:dyDescent="0.25">
      <c r="A2031" s="178">
        <v>6788</v>
      </c>
      <c r="B2031" s="179" t="s">
        <v>456</v>
      </c>
      <c r="C2031" s="180">
        <v>3</v>
      </c>
    </row>
    <row r="2032" spans="1:3" x14ac:dyDescent="0.25">
      <c r="A2032" s="178">
        <v>6789</v>
      </c>
      <c r="B2032" s="179" t="s">
        <v>456</v>
      </c>
      <c r="C2032" s="180">
        <v>3</v>
      </c>
    </row>
    <row r="2033" spans="1:3" x14ac:dyDescent="0.25">
      <c r="A2033" s="178">
        <v>6790</v>
      </c>
      <c r="B2033" s="179" t="s">
        <v>456</v>
      </c>
      <c r="C2033" s="180">
        <v>96</v>
      </c>
    </row>
    <row r="2034" spans="1:3" x14ac:dyDescent="0.25">
      <c r="A2034" s="178">
        <v>6791</v>
      </c>
      <c r="B2034" s="179" t="s">
        <v>456</v>
      </c>
      <c r="C2034" s="180">
        <v>54</v>
      </c>
    </row>
    <row r="2035" spans="1:3" x14ac:dyDescent="0.25">
      <c r="A2035" s="178">
        <v>6792</v>
      </c>
      <c r="B2035" s="179" t="s">
        <v>456</v>
      </c>
      <c r="C2035" s="180">
        <v>54</v>
      </c>
    </row>
    <row r="2036" spans="1:3" x14ac:dyDescent="0.25">
      <c r="A2036" s="178">
        <v>6793</v>
      </c>
      <c r="B2036" s="179" t="s">
        <v>456</v>
      </c>
      <c r="C2036" s="180">
        <v>2</v>
      </c>
    </row>
    <row r="2037" spans="1:3" x14ac:dyDescent="0.25">
      <c r="A2037" s="178">
        <v>6794</v>
      </c>
      <c r="B2037" s="179" t="s">
        <v>456</v>
      </c>
      <c r="C2037" s="180">
        <v>3</v>
      </c>
    </row>
    <row r="2038" spans="1:3" x14ac:dyDescent="0.25">
      <c r="A2038" s="178">
        <v>6795</v>
      </c>
      <c r="B2038" s="179" t="s">
        <v>456</v>
      </c>
      <c r="C2038" s="180">
        <v>3</v>
      </c>
    </row>
    <row r="2039" spans="1:3" x14ac:dyDescent="0.25">
      <c r="A2039" s="178">
        <v>6796</v>
      </c>
      <c r="B2039" s="179" t="s">
        <v>456</v>
      </c>
      <c r="C2039" s="180">
        <v>192</v>
      </c>
    </row>
    <row r="2040" spans="1:3" x14ac:dyDescent="0.25">
      <c r="A2040" s="178">
        <v>6797</v>
      </c>
      <c r="B2040" s="179" t="s">
        <v>456</v>
      </c>
      <c r="C2040" s="180">
        <v>2</v>
      </c>
    </row>
    <row r="2041" spans="1:3" x14ac:dyDescent="0.25">
      <c r="A2041" s="178">
        <v>6798</v>
      </c>
      <c r="B2041" s="179" t="s">
        <v>456</v>
      </c>
      <c r="C2041" s="180">
        <v>3</v>
      </c>
    </row>
    <row r="2042" spans="1:3" x14ac:dyDescent="0.25">
      <c r="A2042" s="178">
        <v>6799</v>
      </c>
      <c r="B2042" s="179" t="s">
        <v>456</v>
      </c>
      <c r="C2042" s="180">
        <v>3</v>
      </c>
    </row>
    <row r="2043" spans="1:3" x14ac:dyDescent="0.25">
      <c r="A2043" s="178">
        <v>6800</v>
      </c>
      <c r="B2043" s="179" t="s">
        <v>456</v>
      </c>
      <c r="C2043" s="180">
        <v>120</v>
      </c>
    </row>
    <row r="2044" spans="1:3" x14ac:dyDescent="0.25">
      <c r="A2044" s="178">
        <v>6801</v>
      </c>
      <c r="B2044" s="179" t="s">
        <v>456</v>
      </c>
      <c r="C2044" s="180">
        <v>80</v>
      </c>
    </row>
    <row r="2045" spans="1:3" x14ac:dyDescent="0.25">
      <c r="A2045" s="178">
        <v>6802</v>
      </c>
      <c r="B2045" s="179" t="s">
        <v>456</v>
      </c>
      <c r="C2045" s="180">
        <v>40</v>
      </c>
    </row>
    <row r="2046" spans="1:3" x14ac:dyDescent="0.25">
      <c r="A2046" s="178">
        <v>6803</v>
      </c>
      <c r="B2046" s="179" t="s">
        <v>456</v>
      </c>
      <c r="C2046" s="180">
        <v>24</v>
      </c>
    </row>
    <row r="2047" spans="1:3" x14ac:dyDescent="0.25">
      <c r="A2047" s="178">
        <v>6804</v>
      </c>
      <c r="B2047" s="179" t="s">
        <v>456</v>
      </c>
      <c r="C2047" s="180">
        <v>24</v>
      </c>
    </row>
    <row r="2048" spans="1:3" x14ac:dyDescent="0.25">
      <c r="A2048" s="178">
        <v>6805</v>
      </c>
      <c r="B2048" s="179" t="s">
        <v>456</v>
      </c>
      <c r="C2048" s="180">
        <v>24</v>
      </c>
    </row>
    <row r="2049" spans="1:3" x14ac:dyDescent="0.25">
      <c r="A2049" s="178">
        <v>6806</v>
      </c>
      <c r="B2049" s="179" t="s">
        <v>456</v>
      </c>
      <c r="C2049" s="180">
        <v>24</v>
      </c>
    </row>
    <row r="2050" spans="1:3" x14ac:dyDescent="0.25">
      <c r="A2050" s="178">
        <v>6807</v>
      </c>
      <c r="B2050" s="179" t="s">
        <v>456</v>
      </c>
      <c r="C2050" s="180">
        <v>24</v>
      </c>
    </row>
    <row r="2051" spans="1:3" x14ac:dyDescent="0.25">
      <c r="A2051" s="178">
        <v>6808</v>
      </c>
      <c r="B2051" s="179" t="s">
        <v>456</v>
      </c>
      <c r="C2051" s="180">
        <v>24</v>
      </c>
    </row>
    <row r="2052" spans="1:3" x14ac:dyDescent="0.25">
      <c r="A2052" s="178">
        <v>6809</v>
      </c>
      <c r="B2052" s="179" t="s">
        <v>456</v>
      </c>
      <c r="C2052" s="180">
        <v>4</v>
      </c>
    </row>
    <row r="2053" spans="1:3" x14ac:dyDescent="0.25">
      <c r="A2053" s="178">
        <v>6810</v>
      </c>
      <c r="B2053" s="179" t="s">
        <v>456</v>
      </c>
      <c r="C2053" s="180">
        <v>105</v>
      </c>
    </row>
    <row r="2054" spans="1:3" x14ac:dyDescent="0.25">
      <c r="A2054" s="178">
        <v>6811</v>
      </c>
      <c r="B2054" s="179" t="s">
        <v>456</v>
      </c>
      <c r="C2054" s="180">
        <v>105</v>
      </c>
    </row>
    <row r="2055" spans="1:3" x14ac:dyDescent="0.25">
      <c r="A2055" s="178">
        <v>6812</v>
      </c>
      <c r="B2055" s="179" t="s">
        <v>456</v>
      </c>
      <c r="C2055" s="180">
        <v>105</v>
      </c>
    </row>
    <row r="2056" spans="1:3" x14ac:dyDescent="0.25">
      <c r="A2056" s="178">
        <v>6821</v>
      </c>
      <c r="B2056" s="179" t="s">
        <v>456</v>
      </c>
      <c r="C2056" s="180">
        <v>126</v>
      </c>
    </row>
    <row r="2057" spans="1:3" x14ac:dyDescent="0.25">
      <c r="A2057" s="178">
        <v>6822</v>
      </c>
      <c r="B2057" s="179" t="s">
        <v>456</v>
      </c>
      <c r="C2057" s="180">
        <v>64</v>
      </c>
    </row>
    <row r="2058" spans="1:3" x14ac:dyDescent="0.25">
      <c r="A2058" s="178">
        <v>6825</v>
      </c>
      <c r="B2058" s="179" t="s">
        <v>456</v>
      </c>
      <c r="C2058" s="180">
        <v>40</v>
      </c>
    </row>
    <row r="2059" spans="1:3" x14ac:dyDescent="0.25">
      <c r="A2059" s="178">
        <v>6826</v>
      </c>
      <c r="B2059" s="179" t="s">
        <v>456</v>
      </c>
      <c r="C2059" s="180">
        <v>40</v>
      </c>
    </row>
    <row r="2060" spans="1:3" x14ac:dyDescent="0.25">
      <c r="A2060" s="178">
        <v>6827</v>
      </c>
      <c r="B2060" s="179" t="s">
        <v>456</v>
      </c>
      <c r="C2060" s="180">
        <v>4</v>
      </c>
    </row>
    <row r="2061" spans="1:3" x14ac:dyDescent="0.25">
      <c r="A2061" s="178">
        <v>6828</v>
      </c>
      <c r="B2061" s="179" t="s">
        <v>456</v>
      </c>
      <c r="C2061" s="180">
        <v>4</v>
      </c>
    </row>
    <row r="2062" spans="1:3" x14ac:dyDescent="0.25">
      <c r="A2062" s="178">
        <v>6829</v>
      </c>
      <c r="B2062" s="179" t="s">
        <v>456</v>
      </c>
      <c r="C2062" s="180">
        <v>80</v>
      </c>
    </row>
    <row r="2063" spans="1:3" x14ac:dyDescent="0.25">
      <c r="A2063" s="178">
        <v>6830</v>
      </c>
      <c r="B2063" s="179" t="s">
        <v>456</v>
      </c>
      <c r="C2063" s="180">
        <v>96</v>
      </c>
    </row>
    <row r="2064" spans="1:3" x14ac:dyDescent="0.25">
      <c r="A2064" s="178">
        <v>6831</v>
      </c>
      <c r="B2064" s="179" t="s">
        <v>456</v>
      </c>
      <c r="C2064" s="180">
        <v>48</v>
      </c>
    </row>
    <row r="2065" spans="1:3" x14ac:dyDescent="0.25">
      <c r="A2065" s="178">
        <v>6832</v>
      </c>
      <c r="B2065" s="179" t="s">
        <v>456</v>
      </c>
      <c r="C2065" s="180">
        <v>4</v>
      </c>
    </row>
    <row r="2066" spans="1:3" x14ac:dyDescent="0.25">
      <c r="A2066" s="178">
        <v>6833</v>
      </c>
      <c r="B2066" s="179" t="s">
        <v>456</v>
      </c>
      <c r="C2066" s="180">
        <v>4</v>
      </c>
    </row>
    <row r="2067" spans="1:3" x14ac:dyDescent="0.25">
      <c r="A2067" s="178">
        <v>6834</v>
      </c>
      <c r="B2067" s="179" t="s">
        <v>456</v>
      </c>
      <c r="C2067" s="180">
        <v>80</v>
      </c>
    </row>
    <row r="2068" spans="1:3" x14ac:dyDescent="0.25">
      <c r="A2068" s="178">
        <v>6835</v>
      </c>
      <c r="B2068" s="179" t="s">
        <v>456</v>
      </c>
      <c r="C2068" s="180">
        <v>4</v>
      </c>
    </row>
    <row r="2069" spans="1:3" x14ac:dyDescent="0.25">
      <c r="A2069" s="178">
        <v>6836</v>
      </c>
      <c r="B2069" s="179" t="s">
        <v>456</v>
      </c>
      <c r="C2069" s="180">
        <v>80</v>
      </c>
    </row>
    <row r="2070" spans="1:3" x14ac:dyDescent="0.25">
      <c r="A2070" s="178">
        <v>6837</v>
      </c>
      <c r="B2070" s="179" t="s">
        <v>456</v>
      </c>
      <c r="C2070" s="180">
        <v>4</v>
      </c>
    </row>
    <row r="2071" spans="1:3" x14ac:dyDescent="0.25">
      <c r="A2071" s="178">
        <v>6839</v>
      </c>
      <c r="B2071" s="179" t="s">
        <v>456</v>
      </c>
      <c r="C2071" s="180">
        <v>84</v>
      </c>
    </row>
    <row r="2072" spans="1:3" x14ac:dyDescent="0.25">
      <c r="A2072" s="178">
        <v>6840</v>
      </c>
      <c r="B2072" s="179" t="s">
        <v>456</v>
      </c>
      <c r="C2072" s="180">
        <v>180</v>
      </c>
    </row>
    <row r="2073" spans="1:3" x14ac:dyDescent="0.25">
      <c r="A2073" s="178">
        <v>6841</v>
      </c>
      <c r="B2073" s="179" t="s">
        <v>456</v>
      </c>
      <c r="C2073" s="180">
        <v>18</v>
      </c>
    </row>
    <row r="2074" spans="1:3" x14ac:dyDescent="0.25">
      <c r="A2074" s="178">
        <v>6842</v>
      </c>
      <c r="B2074" s="179" t="s">
        <v>456</v>
      </c>
      <c r="C2074" s="180">
        <v>4</v>
      </c>
    </row>
    <row r="2075" spans="1:3" x14ac:dyDescent="0.25">
      <c r="A2075" s="178">
        <v>6843</v>
      </c>
      <c r="B2075" s="179" t="s">
        <v>456</v>
      </c>
      <c r="C2075" s="180">
        <v>80</v>
      </c>
    </row>
    <row r="2076" spans="1:3" x14ac:dyDescent="0.25">
      <c r="A2076" s="178">
        <v>6844</v>
      </c>
      <c r="B2076" s="179" t="s">
        <v>456</v>
      </c>
      <c r="C2076" s="180">
        <v>4</v>
      </c>
    </row>
    <row r="2077" spans="1:3" x14ac:dyDescent="0.25">
      <c r="A2077" s="178">
        <v>6845</v>
      </c>
      <c r="B2077" s="179" t="s">
        <v>456</v>
      </c>
      <c r="C2077" s="180">
        <v>80</v>
      </c>
    </row>
    <row r="2078" spans="1:3" x14ac:dyDescent="0.25">
      <c r="A2078" s="178">
        <v>6846</v>
      </c>
      <c r="B2078" s="179" t="s">
        <v>456</v>
      </c>
      <c r="C2078" s="180">
        <v>4</v>
      </c>
    </row>
    <row r="2079" spans="1:3" x14ac:dyDescent="0.25">
      <c r="A2079" s="178">
        <v>6847</v>
      </c>
      <c r="B2079" s="179" t="s">
        <v>456</v>
      </c>
      <c r="C2079" s="180">
        <v>80</v>
      </c>
    </row>
    <row r="2080" spans="1:3" x14ac:dyDescent="0.25">
      <c r="A2080" s="178">
        <v>6848</v>
      </c>
      <c r="B2080" s="179" t="s">
        <v>456</v>
      </c>
      <c r="C2080" s="180">
        <v>4</v>
      </c>
    </row>
    <row r="2081" spans="1:3" x14ac:dyDescent="0.25">
      <c r="A2081" s="178">
        <v>6850</v>
      </c>
      <c r="B2081" s="179" t="s">
        <v>456</v>
      </c>
      <c r="C2081" s="180">
        <v>4</v>
      </c>
    </row>
    <row r="2082" spans="1:3" x14ac:dyDescent="0.25">
      <c r="A2082" s="178">
        <v>6851</v>
      </c>
      <c r="B2082" s="179" t="s">
        <v>456</v>
      </c>
      <c r="C2082" s="180">
        <v>4</v>
      </c>
    </row>
    <row r="2083" spans="1:3" x14ac:dyDescent="0.25">
      <c r="A2083" s="178">
        <v>6854</v>
      </c>
      <c r="B2083" s="179" t="s">
        <v>456</v>
      </c>
      <c r="C2083" s="180">
        <v>20</v>
      </c>
    </row>
    <row r="2084" spans="1:3" x14ac:dyDescent="0.25">
      <c r="A2084" s="178">
        <v>6855</v>
      </c>
      <c r="B2084" s="179" t="s">
        <v>456</v>
      </c>
      <c r="C2084" s="180">
        <v>64</v>
      </c>
    </row>
    <row r="2085" spans="1:3" x14ac:dyDescent="0.25">
      <c r="A2085" s="178">
        <v>6856</v>
      </c>
      <c r="B2085" s="179" t="s">
        <v>456</v>
      </c>
      <c r="C2085" s="180">
        <v>64</v>
      </c>
    </row>
    <row r="2086" spans="1:3" x14ac:dyDescent="0.25">
      <c r="A2086" s="178">
        <v>6857</v>
      </c>
      <c r="B2086" s="179" t="s">
        <v>456</v>
      </c>
      <c r="C2086" s="180">
        <v>64</v>
      </c>
    </row>
    <row r="2087" spans="1:3" x14ac:dyDescent="0.25">
      <c r="A2087" s="178">
        <v>6858</v>
      </c>
      <c r="B2087" s="179" t="s">
        <v>456</v>
      </c>
      <c r="C2087" s="180">
        <v>64</v>
      </c>
    </row>
    <row r="2088" spans="1:3" x14ac:dyDescent="0.25">
      <c r="A2088" s="178">
        <v>6859</v>
      </c>
      <c r="B2088" s="179" t="s">
        <v>456</v>
      </c>
      <c r="C2088" s="180">
        <v>64</v>
      </c>
    </row>
    <row r="2089" spans="1:3" x14ac:dyDescent="0.25">
      <c r="A2089" s="178">
        <v>6860</v>
      </c>
      <c r="B2089" s="179" t="s">
        <v>456</v>
      </c>
      <c r="C2089" s="180">
        <v>64</v>
      </c>
    </row>
    <row r="2090" spans="1:3" x14ac:dyDescent="0.25">
      <c r="A2090" s="178">
        <v>6862</v>
      </c>
      <c r="B2090" s="179" t="s">
        <v>456</v>
      </c>
      <c r="C2090" s="180">
        <v>116</v>
      </c>
    </row>
    <row r="2091" spans="1:3" x14ac:dyDescent="0.25">
      <c r="A2091" s="178">
        <v>6863</v>
      </c>
      <c r="B2091" s="179" t="s">
        <v>456</v>
      </c>
      <c r="C2091" s="180">
        <v>116</v>
      </c>
    </row>
    <row r="2092" spans="1:3" x14ac:dyDescent="0.25">
      <c r="A2092" s="178">
        <v>6865</v>
      </c>
      <c r="B2092" s="179" t="s">
        <v>456</v>
      </c>
      <c r="C2092" s="180">
        <v>116</v>
      </c>
    </row>
    <row r="2093" spans="1:3" x14ac:dyDescent="0.25">
      <c r="A2093" s="178">
        <v>6866</v>
      </c>
      <c r="B2093" s="179" t="s">
        <v>456</v>
      </c>
      <c r="C2093" s="180">
        <v>116</v>
      </c>
    </row>
    <row r="2094" spans="1:3" x14ac:dyDescent="0.25">
      <c r="A2094" s="178">
        <v>6867</v>
      </c>
      <c r="B2094" s="179" t="s">
        <v>456</v>
      </c>
      <c r="C2094" s="180">
        <v>116</v>
      </c>
    </row>
    <row r="2095" spans="1:3" x14ac:dyDescent="0.25">
      <c r="A2095" s="178">
        <v>6868</v>
      </c>
      <c r="B2095" s="179" t="s">
        <v>456</v>
      </c>
      <c r="C2095" s="180">
        <v>116</v>
      </c>
    </row>
    <row r="2096" spans="1:3" x14ac:dyDescent="0.25">
      <c r="A2096" s="178">
        <v>6870</v>
      </c>
      <c r="B2096" s="179" t="s">
        <v>456</v>
      </c>
      <c r="C2096" s="180">
        <v>384</v>
      </c>
    </row>
    <row r="2097" spans="1:3" x14ac:dyDescent="0.25">
      <c r="A2097" s="178">
        <v>6871</v>
      </c>
      <c r="B2097" s="179" t="s">
        <v>456</v>
      </c>
      <c r="C2097" s="180">
        <v>384</v>
      </c>
    </row>
    <row r="2098" spans="1:3" x14ac:dyDescent="0.25">
      <c r="A2098" s="178">
        <v>6872</v>
      </c>
      <c r="B2098" s="179" t="s">
        <v>456</v>
      </c>
      <c r="C2098" s="180">
        <v>384</v>
      </c>
    </row>
    <row r="2099" spans="1:3" x14ac:dyDescent="0.25">
      <c r="A2099" s="178">
        <v>6873</v>
      </c>
      <c r="B2099" s="179" t="s">
        <v>456</v>
      </c>
      <c r="C2099" s="180">
        <v>384</v>
      </c>
    </row>
    <row r="2100" spans="1:3" x14ac:dyDescent="0.25">
      <c r="A2100" s="178">
        <v>6874</v>
      </c>
      <c r="B2100" s="179" t="s">
        <v>456</v>
      </c>
      <c r="C2100" s="180">
        <v>384</v>
      </c>
    </row>
    <row r="2101" spans="1:3" x14ac:dyDescent="0.25">
      <c r="A2101" s="178">
        <v>6875</v>
      </c>
      <c r="B2101" s="179" t="s">
        <v>456</v>
      </c>
      <c r="C2101" s="180">
        <v>384</v>
      </c>
    </row>
    <row r="2102" spans="1:3" x14ac:dyDescent="0.25">
      <c r="A2102" s="178">
        <v>6876</v>
      </c>
      <c r="B2102" s="179" t="s">
        <v>456</v>
      </c>
      <c r="C2102" s="180">
        <v>384</v>
      </c>
    </row>
    <row r="2103" spans="1:3" x14ac:dyDescent="0.25">
      <c r="A2103" s="178">
        <v>6877</v>
      </c>
      <c r="B2103" s="179" t="s">
        <v>456</v>
      </c>
      <c r="C2103" s="180">
        <v>384</v>
      </c>
    </row>
    <row r="2104" spans="1:3" x14ac:dyDescent="0.25">
      <c r="A2104" s="178">
        <v>6880</v>
      </c>
      <c r="B2104" s="179" t="s">
        <v>456</v>
      </c>
      <c r="C2104" s="180">
        <v>72</v>
      </c>
    </row>
    <row r="2105" spans="1:3" x14ac:dyDescent="0.25">
      <c r="A2105" s="178">
        <v>6881</v>
      </c>
      <c r="B2105" s="179" t="s">
        <v>456</v>
      </c>
      <c r="C2105" s="180">
        <v>72</v>
      </c>
    </row>
    <row r="2106" spans="1:3" x14ac:dyDescent="0.25">
      <c r="A2106" s="178">
        <v>6882</v>
      </c>
      <c r="B2106" s="179" t="s">
        <v>456</v>
      </c>
      <c r="C2106" s="180">
        <v>72</v>
      </c>
    </row>
    <row r="2107" spans="1:3" x14ac:dyDescent="0.25">
      <c r="A2107" s="178">
        <v>6884</v>
      </c>
      <c r="B2107" s="179" t="s">
        <v>456</v>
      </c>
      <c r="C2107" s="180">
        <v>48</v>
      </c>
    </row>
    <row r="2108" spans="1:3" x14ac:dyDescent="0.25">
      <c r="A2108" s="178">
        <v>6885</v>
      </c>
      <c r="B2108" s="179" t="s">
        <v>456</v>
      </c>
      <c r="C2108" s="180">
        <v>48</v>
      </c>
    </row>
    <row r="2109" spans="1:3" x14ac:dyDescent="0.25">
      <c r="A2109" s="178">
        <v>6887</v>
      </c>
      <c r="B2109" s="179" t="s">
        <v>456</v>
      </c>
      <c r="C2109" s="180">
        <v>48</v>
      </c>
    </row>
    <row r="2110" spans="1:3" x14ac:dyDescent="0.25">
      <c r="A2110" s="178">
        <v>6888</v>
      </c>
      <c r="B2110" s="179" t="s">
        <v>456</v>
      </c>
      <c r="C2110" s="180">
        <v>48</v>
      </c>
    </row>
    <row r="2111" spans="1:3" x14ac:dyDescent="0.25">
      <c r="A2111" s="178">
        <v>6889</v>
      </c>
      <c r="B2111" s="179" t="s">
        <v>456</v>
      </c>
      <c r="C2111" s="180">
        <v>3</v>
      </c>
    </row>
    <row r="2112" spans="1:3" x14ac:dyDescent="0.25">
      <c r="A2112" s="178">
        <v>6894</v>
      </c>
      <c r="B2112" s="179" t="s">
        <v>456</v>
      </c>
      <c r="C2112" s="180">
        <v>98</v>
      </c>
    </row>
    <row r="2113" spans="1:3" x14ac:dyDescent="0.25">
      <c r="A2113" s="178">
        <v>6895</v>
      </c>
      <c r="B2113" s="179" t="s">
        <v>456</v>
      </c>
      <c r="C2113" s="180">
        <v>36</v>
      </c>
    </row>
    <row r="2114" spans="1:3" x14ac:dyDescent="0.25">
      <c r="A2114" s="178">
        <v>6897</v>
      </c>
      <c r="B2114" s="179" t="s">
        <v>456</v>
      </c>
      <c r="C2114" s="180">
        <v>52</v>
      </c>
    </row>
    <row r="2115" spans="1:3" x14ac:dyDescent="0.25">
      <c r="A2115" s="178">
        <v>6898</v>
      </c>
      <c r="B2115" s="179" t="s">
        <v>456</v>
      </c>
      <c r="C2115" s="180">
        <v>72</v>
      </c>
    </row>
    <row r="2116" spans="1:3" x14ac:dyDescent="0.25">
      <c r="A2116" s="178">
        <v>6899</v>
      </c>
      <c r="B2116" s="179" t="s">
        <v>456</v>
      </c>
      <c r="C2116" s="180">
        <v>98</v>
      </c>
    </row>
    <row r="2117" spans="1:3" x14ac:dyDescent="0.25">
      <c r="A2117" s="178">
        <v>6900</v>
      </c>
      <c r="B2117" s="179" t="s">
        <v>456</v>
      </c>
      <c r="C2117" s="180">
        <v>63</v>
      </c>
    </row>
    <row r="2118" spans="1:3" x14ac:dyDescent="0.25">
      <c r="A2118" s="178">
        <v>6901</v>
      </c>
      <c r="B2118" s="179" t="s">
        <v>456</v>
      </c>
      <c r="C2118" s="180">
        <v>64</v>
      </c>
    </row>
    <row r="2119" spans="1:3" x14ac:dyDescent="0.25">
      <c r="A2119" s="178">
        <v>6902</v>
      </c>
      <c r="B2119" s="179" t="s">
        <v>456</v>
      </c>
      <c r="C2119" s="180">
        <v>64</v>
      </c>
    </row>
    <row r="2120" spans="1:3" x14ac:dyDescent="0.25">
      <c r="A2120" s="178">
        <v>6903</v>
      </c>
      <c r="B2120" s="179" t="s">
        <v>456</v>
      </c>
      <c r="C2120" s="180">
        <v>64</v>
      </c>
    </row>
    <row r="2121" spans="1:3" x14ac:dyDescent="0.25">
      <c r="A2121" s="178">
        <v>6904</v>
      </c>
      <c r="B2121" s="179" t="s">
        <v>456</v>
      </c>
      <c r="C2121" s="180">
        <v>64</v>
      </c>
    </row>
    <row r="2122" spans="1:3" x14ac:dyDescent="0.25">
      <c r="A2122" s="178">
        <v>6905</v>
      </c>
      <c r="B2122" s="179" t="s">
        <v>456</v>
      </c>
      <c r="C2122" s="180">
        <v>64</v>
      </c>
    </row>
    <row r="2123" spans="1:3" x14ac:dyDescent="0.25">
      <c r="A2123" s="178">
        <v>6906</v>
      </c>
      <c r="B2123" s="179" t="s">
        <v>456</v>
      </c>
      <c r="C2123" s="180">
        <v>64</v>
      </c>
    </row>
    <row r="2124" spans="1:3" x14ac:dyDescent="0.25">
      <c r="A2124" s="178">
        <v>6907</v>
      </c>
      <c r="B2124" s="179" t="s">
        <v>456</v>
      </c>
      <c r="C2124" s="180">
        <v>64</v>
      </c>
    </row>
    <row r="2125" spans="1:3" x14ac:dyDescent="0.25">
      <c r="A2125" s="178">
        <v>6909</v>
      </c>
      <c r="B2125" s="179" t="s">
        <v>456</v>
      </c>
      <c r="C2125" s="180">
        <v>64</v>
      </c>
    </row>
    <row r="2126" spans="1:3" x14ac:dyDescent="0.25">
      <c r="A2126" s="178">
        <v>6910</v>
      </c>
      <c r="B2126" s="179" t="s">
        <v>456</v>
      </c>
      <c r="C2126" s="180">
        <v>64</v>
      </c>
    </row>
    <row r="2127" spans="1:3" x14ac:dyDescent="0.25">
      <c r="A2127" s="178">
        <v>6912</v>
      </c>
      <c r="B2127" s="179" t="s">
        <v>456</v>
      </c>
      <c r="C2127" s="180">
        <v>64</v>
      </c>
    </row>
    <row r="2128" spans="1:3" x14ac:dyDescent="0.25">
      <c r="A2128" s="178">
        <v>6913</v>
      </c>
      <c r="B2128" s="179" t="s">
        <v>456</v>
      </c>
      <c r="C2128" s="180">
        <v>64</v>
      </c>
    </row>
    <row r="2129" spans="1:3" x14ac:dyDescent="0.25">
      <c r="A2129" s="178">
        <v>6914</v>
      </c>
      <c r="B2129" s="179" t="s">
        <v>456</v>
      </c>
      <c r="C2129" s="180">
        <v>64</v>
      </c>
    </row>
    <row r="2130" spans="1:3" x14ac:dyDescent="0.25">
      <c r="A2130" s="178">
        <v>6915</v>
      </c>
      <c r="B2130" s="179" t="s">
        <v>456</v>
      </c>
      <c r="C2130" s="180">
        <v>64</v>
      </c>
    </row>
    <row r="2131" spans="1:3" x14ac:dyDescent="0.25">
      <c r="A2131" s="178">
        <v>6916</v>
      </c>
      <c r="B2131" s="179" t="s">
        <v>456</v>
      </c>
      <c r="C2131" s="180">
        <v>64</v>
      </c>
    </row>
    <row r="2132" spans="1:3" x14ac:dyDescent="0.25">
      <c r="A2132" s="178">
        <v>6917</v>
      </c>
      <c r="B2132" s="179" t="s">
        <v>456</v>
      </c>
      <c r="C2132" s="180">
        <v>64</v>
      </c>
    </row>
    <row r="2133" spans="1:3" x14ac:dyDescent="0.25">
      <c r="A2133" s="178">
        <v>6918</v>
      </c>
      <c r="B2133" s="179" t="s">
        <v>456</v>
      </c>
      <c r="C2133" s="180">
        <v>64</v>
      </c>
    </row>
    <row r="2134" spans="1:3" x14ac:dyDescent="0.25">
      <c r="A2134" s="178">
        <v>6919</v>
      </c>
      <c r="B2134" s="179" t="s">
        <v>456</v>
      </c>
      <c r="C2134" s="180">
        <v>90</v>
      </c>
    </row>
    <row r="2135" spans="1:3" x14ac:dyDescent="0.25">
      <c r="A2135" s="178">
        <v>6920</v>
      </c>
      <c r="B2135" s="179" t="s">
        <v>456</v>
      </c>
      <c r="C2135" s="180">
        <v>108</v>
      </c>
    </row>
    <row r="2136" spans="1:3" x14ac:dyDescent="0.25">
      <c r="A2136" s="178">
        <v>6921</v>
      </c>
      <c r="B2136" s="179" t="s">
        <v>456</v>
      </c>
      <c r="C2136" s="180">
        <v>64</v>
      </c>
    </row>
    <row r="2137" spans="1:3" x14ac:dyDescent="0.25">
      <c r="A2137" s="178">
        <v>6922</v>
      </c>
      <c r="B2137" s="179" t="s">
        <v>456</v>
      </c>
      <c r="C2137" s="180">
        <v>63</v>
      </c>
    </row>
    <row r="2138" spans="1:3" x14ac:dyDescent="0.25">
      <c r="A2138" s="178">
        <v>6923</v>
      </c>
      <c r="B2138" s="179" t="s">
        <v>456</v>
      </c>
      <c r="C2138" s="180">
        <v>64</v>
      </c>
    </row>
    <row r="2139" spans="1:3" x14ac:dyDescent="0.25">
      <c r="A2139" s="178">
        <v>6924</v>
      </c>
      <c r="B2139" s="179" t="s">
        <v>456</v>
      </c>
      <c r="C2139" s="180">
        <v>64</v>
      </c>
    </row>
    <row r="2140" spans="1:3" x14ac:dyDescent="0.25">
      <c r="A2140" s="178">
        <v>6926</v>
      </c>
      <c r="B2140" s="179" t="s">
        <v>456</v>
      </c>
      <c r="C2140" s="180">
        <v>64</v>
      </c>
    </row>
    <row r="2141" spans="1:3" x14ac:dyDescent="0.25">
      <c r="A2141" s="178">
        <v>6927</v>
      </c>
      <c r="B2141" s="179" t="s">
        <v>456</v>
      </c>
      <c r="C2141" s="180">
        <v>64</v>
      </c>
    </row>
    <row r="2142" spans="1:3" x14ac:dyDescent="0.25">
      <c r="A2142" s="178">
        <v>6928</v>
      </c>
      <c r="B2142" s="179" t="s">
        <v>456</v>
      </c>
      <c r="C2142" s="180">
        <v>63</v>
      </c>
    </row>
    <row r="2143" spans="1:3" x14ac:dyDescent="0.25">
      <c r="A2143" s="178">
        <v>6929</v>
      </c>
      <c r="B2143" s="179" t="s">
        <v>456</v>
      </c>
      <c r="C2143" s="180">
        <v>66</v>
      </c>
    </row>
    <row r="2144" spans="1:3" x14ac:dyDescent="0.25">
      <c r="A2144" s="178">
        <v>6930</v>
      </c>
      <c r="B2144" s="179" t="s">
        <v>456</v>
      </c>
      <c r="C2144" s="180">
        <v>63</v>
      </c>
    </row>
    <row r="2145" spans="1:3" x14ac:dyDescent="0.25">
      <c r="A2145" s="178">
        <v>6931</v>
      </c>
      <c r="B2145" s="179" t="s">
        <v>456</v>
      </c>
      <c r="C2145" s="180">
        <v>280</v>
      </c>
    </row>
    <row r="2146" spans="1:3" x14ac:dyDescent="0.25">
      <c r="A2146" s="178">
        <v>6932</v>
      </c>
      <c r="B2146" s="179" t="s">
        <v>456</v>
      </c>
      <c r="C2146" s="180">
        <v>4</v>
      </c>
    </row>
    <row r="2147" spans="1:3" x14ac:dyDescent="0.25">
      <c r="A2147" s="178">
        <v>6935</v>
      </c>
      <c r="B2147" s="179" t="s">
        <v>456</v>
      </c>
      <c r="C2147" s="180">
        <v>66</v>
      </c>
    </row>
    <row r="2148" spans="1:3" x14ac:dyDescent="0.25">
      <c r="A2148" s="178">
        <v>6936</v>
      </c>
      <c r="B2148" s="179" t="s">
        <v>456</v>
      </c>
      <c r="C2148" s="180">
        <v>60</v>
      </c>
    </row>
    <row r="2149" spans="1:3" x14ac:dyDescent="0.25">
      <c r="A2149" s="178">
        <v>6938</v>
      </c>
      <c r="B2149" s="179" t="s">
        <v>456</v>
      </c>
      <c r="C2149" s="180">
        <v>54</v>
      </c>
    </row>
    <row r="2150" spans="1:3" x14ac:dyDescent="0.25">
      <c r="A2150" s="178">
        <v>6940</v>
      </c>
      <c r="B2150" s="179" t="s">
        <v>456</v>
      </c>
      <c r="C2150" s="180">
        <v>63</v>
      </c>
    </row>
    <row r="2151" spans="1:3" x14ac:dyDescent="0.25">
      <c r="A2151" s="178">
        <v>6941</v>
      </c>
      <c r="B2151" s="179" t="s">
        <v>456</v>
      </c>
      <c r="C2151" s="180">
        <v>56</v>
      </c>
    </row>
    <row r="2152" spans="1:3" x14ac:dyDescent="0.25">
      <c r="A2152" s="178">
        <v>6942</v>
      </c>
      <c r="B2152" s="179" t="s">
        <v>456</v>
      </c>
      <c r="C2152" s="180">
        <v>90</v>
      </c>
    </row>
    <row r="2153" spans="1:3" x14ac:dyDescent="0.25">
      <c r="A2153" s="178">
        <v>6943</v>
      </c>
      <c r="B2153" s="179" t="s">
        <v>456</v>
      </c>
      <c r="C2153" s="180">
        <v>63</v>
      </c>
    </row>
    <row r="2154" spans="1:3" x14ac:dyDescent="0.25">
      <c r="A2154" s="178">
        <v>6944</v>
      </c>
      <c r="B2154" s="179" t="s">
        <v>456</v>
      </c>
      <c r="C2154" s="180">
        <v>63</v>
      </c>
    </row>
    <row r="2155" spans="1:3" x14ac:dyDescent="0.25">
      <c r="A2155" s="178">
        <v>6945</v>
      </c>
      <c r="B2155" s="179" t="s">
        <v>456</v>
      </c>
      <c r="C2155" s="180">
        <v>64</v>
      </c>
    </row>
    <row r="2156" spans="1:3" x14ac:dyDescent="0.25">
      <c r="A2156" s="178">
        <v>6946</v>
      </c>
      <c r="B2156" s="179" t="s">
        <v>456</v>
      </c>
      <c r="C2156" s="180">
        <v>64</v>
      </c>
    </row>
    <row r="2157" spans="1:3" x14ac:dyDescent="0.25">
      <c r="A2157" s="178">
        <v>6947</v>
      </c>
      <c r="B2157" s="179" t="s">
        <v>456</v>
      </c>
      <c r="C2157" s="180">
        <v>63</v>
      </c>
    </row>
    <row r="2158" spans="1:3" x14ac:dyDescent="0.25">
      <c r="A2158" s="178">
        <v>6948</v>
      </c>
      <c r="B2158" s="179" t="s">
        <v>456</v>
      </c>
      <c r="C2158" s="180">
        <v>64</v>
      </c>
    </row>
    <row r="2159" spans="1:3" x14ac:dyDescent="0.25">
      <c r="A2159" s="178">
        <v>6949</v>
      </c>
      <c r="B2159" s="179" t="s">
        <v>456</v>
      </c>
      <c r="C2159" s="180">
        <v>63</v>
      </c>
    </row>
    <row r="2160" spans="1:3" x14ac:dyDescent="0.25">
      <c r="A2160" s="178">
        <v>6951</v>
      </c>
      <c r="B2160" s="179" t="s">
        <v>456</v>
      </c>
      <c r="C2160" s="180">
        <v>56</v>
      </c>
    </row>
    <row r="2161" spans="1:3" x14ac:dyDescent="0.25">
      <c r="A2161" s="178">
        <v>6952</v>
      </c>
      <c r="B2161" s="179" t="s">
        <v>456</v>
      </c>
      <c r="C2161" s="180">
        <v>96</v>
      </c>
    </row>
    <row r="2162" spans="1:3" x14ac:dyDescent="0.25">
      <c r="A2162" s="178">
        <v>6953</v>
      </c>
      <c r="B2162" s="179" t="s">
        <v>456</v>
      </c>
      <c r="C2162" s="180">
        <v>3</v>
      </c>
    </row>
    <row r="2163" spans="1:3" x14ac:dyDescent="0.25">
      <c r="A2163" s="178">
        <v>6954</v>
      </c>
      <c r="B2163" s="179" t="s">
        <v>456</v>
      </c>
      <c r="C2163" s="180">
        <v>112</v>
      </c>
    </row>
    <row r="2164" spans="1:3" x14ac:dyDescent="0.25">
      <c r="A2164" s="178">
        <v>6955</v>
      </c>
      <c r="B2164" s="179" t="s">
        <v>456</v>
      </c>
      <c r="C2164" s="180">
        <v>112</v>
      </c>
    </row>
    <row r="2165" spans="1:3" x14ac:dyDescent="0.25">
      <c r="A2165" s="178">
        <v>6956</v>
      </c>
      <c r="B2165" s="179" t="s">
        <v>456</v>
      </c>
      <c r="C2165" s="180">
        <v>112</v>
      </c>
    </row>
    <row r="2166" spans="1:3" x14ac:dyDescent="0.25">
      <c r="A2166" s="178">
        <v>6957</v>
      </c>
      <c r="B2166" s="179" t="s">
        <v>456</v>
      </c>
      <c r="C2166" s="180">
        <v>3</v>
      </c>
    </row>
    <row r="2167" spans="1:3" x14ac:dyDescent="0.25">
      <c r="A2167" s="178">
        <v>6958</v>
      </c>
      <c r="B2167" s="179" t="s">
        <v>456</v>
      </c>
      <c r="C2167" s="180">
        <v>112</v>
      </c>
    </row>
    <row r="2168" spans="1:3" x14ac:dyDescent="0.25">
      <c r="A2168" s="178">
        <v>6959</v>
      </c>
      <c r="B2168" s="179" t="s">
        <v>456</v>
      </c>
      <c r="C2168" s="180">
        <v>3</v>
      </c>
    </row>
    <row r="2169" spans="1:3" x14ac:dyDescent="0.25">
      <c r="A2169" s="178">
        <v>6961</v>
      </c>
      <c r="B2169" s="179" t="s">
        <v>456</v>
      </c>
      <c r="C2169" s="180">
        <v>1</v>
      </c>
    </row>
    <row r="2170" spans="1:3" x14ac:dyDescent="0.25">
      <c r="A2170" s="178">
        <v>6962</v>
      </c>
      <c r="B2170" s="179" t="s">
        <v>456</v>
      </c>
      <c r="C2170" s="180">
        <v>190</v>
      </c>
    </row>
    <row r="2171" spans="1:3" x14ac:dyDescent="0.25">
      <c r="A2171" s="178">
        <v>6963</v>
      </c>
      <c r="B2171" s="179" t="s">
        <v>456</v>
      </c>
      <c r="C2171" s="180">
        <v>190</v>
      </c>
    </row>
    <row r="2172" spans="1:3" x14ac:dyDescent="0.25">
      <c r="A2172" s="178">
        <v>6964</v>
      </c>
      <c r="B2172" s="179" t="s">
        <v>456</v>
      </c>
      <c r="C2172" s="180">
        <v>190</v>
      </c>
    </row>
    <row r="2173" spans="1:3" x14ac:dyDescent="0.25">
      <c r="A2173" s="178">
        <v>6965</v>
      </c>
      <c r="B2173" s="179" t="s">
        <v>456</v>
      </c>
      <c r="C2173" s="180">
        <v>1</v>
      </c>
    </row>
    <row r="2174" spans="1:3" x14ac:dyDescent="0.25">
      <c r="A2174" s="178">
        <v>6966</v>
      </c>
      <c r="B2174" s="179" t="s">
        <v>456</v>
      </c>
      <c r="C2174" s="180">
        <v>1</v>
      </c>
    </row>
    <row r="2175" spans="1:3" x14ac:dyDescent="0.25">
      <c r="A2175" s="178">
        <v>6967</v>
      </c>
      <c r="B2175" s="179" t="s">
        <v>456</v>
      </c>
      <c r="C2175" s="180">
        <v>1</v>
      </c>
    </row>
    <row r="2176" spans="1:3" x14ac:dyDescent="0.25">
      <c r="A2176" s="178">
        <v>6968</v>
      </c>
      <c r="B2176" s="179" t="s">
        <v>456</v>
      </c>
      <c r="C2176" s="180">
        <v>80</v>
      </c>
    </row>
    <row r="2177" spans="1:3" x14ac:dyDescent="0.25">
      <c r="A2177" s="178">
        <v>6969</v>
      </c>
      <c r="B2177" s="179" t="s">
        <v>456</v>
      </c>
      <c r="C2177" s="180">
        <v>80</v>
      </c>
    </row>
    <row r="2178" spans="1:3" x14ac:dyDescent="0.25">
      <c r="A2178" s="178">
        <v>6970</v>
      </c>
      <c r="B2178" s="179" t="s">
        <v>456</v>
      </c>
      <c r="C2178" s="180">
        <v>80</v>
      </c>
    </row>
    <row r="2179" spans="1:3" x14ac:dyDescent="0.25">
      <c r="A2179" s="178">
        <v>6971</v>
      </c>
      <c r="B2179" s="179" t="s">
        <v>456</v>
      </c>
      <c r="C2179" s="180">
        <v>64</v>
      </c>
    </row>
    <row r="2180" spans="1:3" x14ac:dyDescent="0.25">
      <c r="A2180" s="178">
        <v>6972</v>
      </c>
      <c r="B2180" s="179" t="s">
        <v>456</v>
      </c>
      <c r="C2180" s="180">
        <v>64</v>
      </c>
    </row>
    <row r="2181" spans="1:3" x14ac:dyDescent="0.25">
      <c r="A2181" s="178">
        <v>6973</v>
      </c>
      <c r="B2181" s="179" t="s">
        <v>456</v>
      </c>
      <c r="C2181" s="180">
        <v>64</v>
      </c>
    </row>
    <row r="2182" spans="1:3" x14ac:dyDescent="0.25">
      <c r="A2182" s="178">
        <v>6974</v>
      </c>
      <c r="B2182" s="179" t="s">
        <v>456</v>
      </c>
      <c r="C2182" s="180">
        <v>64</v>
      </c>
    </row>
    <row r="2183" spans="1:3" x14ac:dyDescent="0.25">
      <c r="A2183" s="178">
        <v>6975</v>
      </c>
      <c r="B2183" s="179" t="s">
        <v>456</v>
      </c>
      <c r="C2183" s="180">
        <v>3</v>
      </c>
    </row>
    <row r="2184" spans="1:3" x14ac:dyDescent="0.25">
      <c r="A2184" s="178">
        <v>6976</v>
      </c>
      <c r="B2184" s="179" t="s">
        <v>456</v>
      </c>
      <c r="C2184" s="180">
        <v>3</v>
      </c>
    </row>
    <row r="2185" spans="1:3" x14ac:dyDescent="0.25">
      <c r="A2185" s="178">
        <v>6977</v>
      </c>
      <c r="B2185" s="179" t="s">
        <v>456</v>
      </c>
      <c r="C2185" s="180">
        <v>3</v>
      </c>
    </row>
    <row r="2186" spans="1:3" x14ac:dyDescent="0.25">
      <c r="A2186" s="178">
        <v>6978</v>
      </c>
      <c r="B2186" s="179" t="s">
        <v>456</v>
      </c>
      <c r="C2186" s="180">
        <v>2</v>
      </c>
    </row>
    <row r="2187" spans="1:3" x14ac:dyDescent="0.25">
      <c r="A2187" s="178">
        <v>6979</v>
      </c>
      <c r="B2187" s="179" t="s">
        <v>456</v>
      </c>
      <c r="C2187" s="180">
        <v>2</v>
      </c>
    </row>
    <row r="2188" spans="1:3" x14ac:dyDescent="0.25">
      <c r="A2188" s="178">
        <v>6980</v>
      </c>
      <c r="B2188" s="179" t="s">
        <v>456</v>
      </c>
      <c r="C2188" s="180">
        <v>2</v>
      </c>
    </row>
    <row r="2189" spans="1:3" x14ac:dyDescent="0.25">
      <c r="A2189" s="178">
        <v>6982</v>
      </c>
      <c r="B2189" s="179" t="s">
        <v>456</v>
      </c>
      <c r="C2189" s="180">
        <v>2</v>
      </c>
    </row>
    <row r="2190" spans="1:3" x14ac:dyDescent="0.25">
      <c r="A2190" s="178">
        <v>6983</v>
      </c>
      <c r="B2190" s="179" t="s">
        <v>456</v>
      </c>
      <c r="C2190" s="180">
        <v>2</v>
      </c>
    </row>
    <row r="2191" spans="1:3" x14ac:dyDescent="0.25">
      <c r="A2191" s="178">
        <v>6984</v>
      </c>
      <c r="B2191" s="179" t="s">
        <v>456</v>
      </c>
      <c r="C2191" s="180">
        <v>2</v>
      </c>
    </row>
    <row r="2192" spans="1:3" x14ac:dyDescent="0.25">
      <c r="A2192" s="178">
        <v>6985</v>
      </c>
      <c r="B2192" s="179" t="s">
        <v>456</v>
      </c>
      <c r="C2192" s="180">
        <v>96</v>
      </c>
    </row>
    <row r="2193" spans="1:3" x14ac:dyDescent="0.25">
      <c r="A2193" s="178">
        <v>6986</v>
      </c>
      <c r="B2193" s="179" t="s">
        <v>456</v>
      </c>
      <c r="C2193" s="180">
        <v>96</v>
      </c>
    </row>
    <row r="2194" spans="1:3" x14ac:dyDescent="0.25">
      <c r="A2194" s="178">
        <v>6987</v>
      </c>
      <c r="B2194" s="179" t="s">
        <v>456</v>
      </c>
      <c r="C2194" s="180">
        <v>2</v>
      </c>
    </row>
    <row r="2195" spans="1:3" x14ac:dyDescent="0.25">
      <c r="A2195" s="178">
        <v>6988</v>
      </c>
      <c r="B2195" s="179" t="s">
        <v>456</v>
      </c>
      <c r="C2195" s="180">
        <v>84</v>
      </c>
    </row>
    <row r="2196" spans="1:3" x14ac:dyDescent="0.25">
      <c r="A2196" s="178">
        <v>6989</v>
      </c>
      <c r="B2196" s="179" t="s">
        <v>456</v>
      </c>
      <c r="C2196" s="180">
        <v>175</v>
      </c>
    </row>
    <row r="2197" spans="1:3" x14ac:dyDescent="0.25">
      <c r="A2197" s="178">
        <v>6990</v>
      </c>
      <c r="B2197" s="179" t="s">
        <v>456</v>
      </c>
      <c r="C2197" s="180">
        <v>2</v>
      </c>
    </row>
    <row r="2198" spans="1:3" x14ac:dyDescent="0.25">
      <c r="A2198" s="178">
        <v>6991</v>
      </c>
      <c r="B2198" s="179" t="s">
        <v>456</v>
      </c>
      <c r="C2198" s="180">
        <v>1</v>
      </c>
    </row>
    <row r="2199" spans="1:3" x14ac:dyDescent="0.25">
      <c r="A2199" s="178">
        <v>6992</v>
      </c>
      <c r="B2199" s="179" t="s">
        <v>456</v>
      </c>
      <c r="C2199" s="180">
        <v>2</v>
      </c>
    </row>
    <row r="2200" spans="1:3" x14ac:dyDescent="0.25">
      <c r="A2200" s="178">
        <v>6993</v>
      </c>
      <c r="B2200" s="179" t="s">
        <v>456</v>
      </c>
      <c r="C2200" s="180">
        <v>6</v>
      </c>
    </row>
    <row r="2201" spans="1:3" x14ac:dyDescent="0.25">
      <c r="A2201" s="178">
        <v>6994</v>
      </c>
      <c r="B2201" s="179" t="s">
        <v>456</v>
      </c>
      <c r="C2201" s="180">
        <v>60</v>
      </c>
    </row>
    <row r="2202" spans="1:3" x14ac:dyDescent="0.25">
      <c r="A2202" s="178">
        <v>6995</v>
      </c>
      <c r="B2202" s="179" t="s">
        <v>456</v>
      </c>
      <c r="C2202" s="180">
        <v>2</v>
      </c>
    </row>
    <row r="2203" spans="1:3" x14ac:dyDescent="0.25">
      <c r="A2203" s="178">
        <v>6996</v>
      </c>
      <c r="B2203" s="179" t="s">
        <v>456</v>
      </c>
      <c r="C2203" s="180">
        <v>3</v>
      </c>
    </row>
    <row r="2204" spans="1:3" x14ac:dyDescent="0.25">
      <c r="A2204" s="178">
        <v>6998</v>
      </c>
      <c r="B2204" s="179" t="s">
        <v>456</v>
      </c>
      <c r="C2204" s="180">
        <v>2</v>
      </c>
    </row>
    <row r="2205" spans="1:3" x14ac:dyDescent="0.25">
      <c r="A2205" s="178">
        <v>6999</v>
      </c>
      <c r="B2205" s="179" t="s">
        <v>456</v>
      </c>
      <c r="C2205" s="180">
        <v>3</v>
      </c>
    </row>
    <row r="2206" spans="1:3" x14ac:dyDescent="0.25">
      <c r="A2206" s="178">
        <v>7149</v>
      </c>
      <c r="B2206" s="179" t="s">
        <v>456</v>
      </c>
      <c r="C2206" s="180">
        <v>45</v>
      </c>
    </row>
    <row r="2207" spans="1:3" x14ac:dyDescent="0.25">
      <c r="A2207" s="178">
        <v>7150</v>
      </c>
      <c r="B2207" s="179" t="s">
        <v>456</v>
      </c>
      <c r="C2207" s="180">
        <v>72</v>
      </c>
    </row>
    <row r="2208" spans="1:3" x14ac:dyDescent="0.25">
      <c r="A2208" s="178">
        <v>7151</v>
      </c>
      <c r="B2208" s="179" t="s">
        <v>456</v>
      </c>
      <c r="C2208" s="180">
        <v>72</v>
      </c>
    </row>
    <row r="2209" spans="1:3" x14ac:dyDescent="0.25">
      <c r="A2209" s="178">
        <v>7152</v>
      </c>
      <c r="B2209" s="179" t="s">
        <v>456</v>
      </c>
      <c r="C2209" s="180">
        <v>72</v>
      </c>
    </row>
    <row r="2210" spans="1:3" x14ac:dyDescent="0.25">
      <c r="A2210" s="178">
        <v>7201</v>
      </c>
      <c r="B2210" s="179" t="s">
        <v>456</v>
      </c>
      <c r="C2210" s="180">
        <v>36</v>
      </c>
    </row>
    <row r="2211" spans="1:3" x14ac:dyDescent="0.25">
      <c r="A2211" s="178">
        <v>7202</v>
      </c>
      <c r="B2211" s="179" t="s">
        <v>456</v>
      </c>
      <c r="C2211" s="180">
        <v>36</v>
      </c>
    </row>
    <row r="2212" spans="1:3" x14ac:dyDescent="0.25">
      <c r="A2212" s="178">
        <v>7203</v>
      </c>
      <c r="B2212" s="179" t="s">
        <v>456</v>
      </c>
      <c r="C2212" s="180">
        <v>36</v>
      </c>
    </row>
    <row r="2213" spans="1:3" x14ac:dyDescent="0.25">
      <c r="A2213" s="178">
        <v>7204</v>
      </c>
      <c r="B2213" s="179" t="s">
        <v>456</v>
      </c>
      <c r="C2213" s="180">
        <v>36</v>
      </c>
    </row>
    <row r="2214" spans="1:3" x14ac:dyDescent="0.25">
      <c r="A2214" s="178">
        <v>7205</v>
      </c>
      <c r="B2214" s="179" t="s">
        <v>456</v>
      </c>
      <c r="C2214" s="180">
        <v>36</v>
      </c>
    </row>
    <row r="2215" spans="1:3" x14ac:dyDescent="0.25">
      <c r="A2215" s="178">
        <v>7308</v>
      </c>
      <c r="B2215" s="179" t="s">
        <v>456</v>
      </c>
      <c r="C2215" s="180">
        <v>48</v>
      </c>
    </row>
    <row r="2216" spans="1:3" x14ac:dyDescent="0.25">
      <c r="A2216" s="178">
        <v>7309</v>
      </c>
      <c r="B2216" s="179" t="s">
        <v>456</v>
      </c>
      <c r="C2216" s="180">
        <v>48</v>
      </c>
    </row>
    <row r="2217" spans="1:3" x14ac:dyDescent="0.25">
      <c r="A2217" s="178">
        <v>7310</v>
      </c>
      <c r="B2217" s="179" t="s">
        <v>456</v>
      </c>
      <c r="C2217" s="180">
        <v>48</v>
      </c>
    </row>
    <row r="2218" spans="1:3" x14ac:dyDescent="0.25">
      <c r="A2218" s="178">
        <v>7320</v>
      </c>
      <c r="B2218" s="179" t="s">
        <v>456</v>
      </c>
      <c r="C2218" s="180">
        <v>364</v>
      </c>
    </row>
    <row r="2219" spans="1:3" x14ac:dyDescent="0.25">
      <c r="A2219" s="178">
        <v>7321</v>
      </c>
      <c r="B2219" s="179" t="s">
        <v>456</v>
      </c>
      <c r="C2219" s="180">
        <v>1</v>
      </c>
    </row>
    <row r="2220" spans="1:3" x14ac:dyDescent="0.25">
      <c r="A2220" s="178">
        <v>7327</v>
      </c>
      <c r="B2220" s="179" t="s">
        <v>456</v>
      </c>
      <c r="C2220" s="180">
        <v>180</v>
      </c>
    </row>
    <row r="2221" spans="1:3" x14ac:dyDescent="0.25">
      <c r="A2221" s="178">
        <v>7335</v>
      </c>
      <c r="B2221" s="179" t="s">
        <v>456</v>
      </c>
      <c r="C2221" s="180">
        <v>168</v>
      </c>
    </row>
    <row r="2222" spans="1:3" x14ac:dyDescent="0.25">
      <c r="A2222" s="178">
        <v>7336</v>
      </c>
      <c r="B2222" s="179" t="s">
        <v>456</v>
      </c>
      <c r="C2222" s="180">
        <v>180</v>
      </c>
    </row>
    <row r="2223" spans="1:3" x14ac:dyDescent="0.25">
      <c r="A2223" s="178">
        <v>7341</v>
      </c>
      <c r="B2223" s="179" t="s">
        <v>456</v>
      </c>
      <c r="C2223" s="180">
        <v>266</v>
      </c>
    </row>
    <row r="2224" spans="1:3" x14ac:dyDescent="0.25">
      <c r="A2224" s="178">
        <v>7342</v>
      </c>
      <c r="B2224" s="179" t="s">
        <v>456</v>
      </c>
      <c r="C2224" s="180">
        <v>266</v>
      </c>
    </row>
    <row r="2225" spans="1:3" x14ac:dyDescent="0.25">
      <c r="A2225" s="178">
        <v>7343</v>
      </c>
      <c r="B2225" s="179" t="s">
        <v>456</v>
      </c>
      <c r="C2225" s="180">
        <v>640</v>
      </c>
    </row>
    <row r="2226" spans="1:3" x14ac:dyDescent="0.25">
      <c r="A2226" s="178">
        <v>7344</v>
      </c>
      <c r="B2226" s="179" t="s">
        <v>456</v>
      </c>
      <c r="C2226" s="180">
        <v>640</v>
      </c>
    </row>
    <row r="2227" spans="1:3" x14ac:dyDescent="0.25">
      <c r="A2227" s="178">
        <v>7345</v>
      </c>
      <c r="B2227" s="179" t="s">
        <v>456</v>
      </c>
      <c r="C2227" s="180">
        <v>640</v>
      </c>
    </row>
    <row r="2228" spans="1:3" x14ac:dyDescent="0.25">
      <c r="A2228" s="178">
        <v>7346</v>
      </c>
      <c r="B2228" s="179" t="s">
        <v>456</v>
      </c>
      <c r="C2228" s="180">
        <v>266</v>
      </c>
    </row>
    <row r="2229" spans="1:3" x14ac:dyDescent="0.25">
      <c r="A2229" s="178">
        <v>7347</v>
      </c>
      <c r="B2229" s="179" t="s">
        <v>456</v>
      </c>
      <c r="C2229" s="180">
        <v>266</v>
      </c>
    </row>
    <row r="2230" spans="1:3" x14ac:dyDescent="0.25">
      <c r="A2230" s="178">
        <v>7348</v>
      </c>
      <c r="B2230" s="179" t="s">
        <v>456</v>
      </c>
      <c r="C2230" s="180">
        <v>100</v>
      </c>
    </row>
    <row r="2231" spans="1:3" x14ac:dyDescent="0.25">
      <c r="A2231" s="178">
        <v>7349</v>
      </c>
      <c r="B2231" s="179" t="s">
        <v>456</v>
      </c>
      <c r="C2231" s="180">
        <v>54</v>
      </c>
    </row>
    <row r="2232" spans="1:3" x14ac:dyDescent="0.25">
      <c r="A2232" s="178">
        <v>7350</v>
      </c>
      <c r="B2232" s="179" t="s">
        <v>456</v>
      </c>
      <c r="C2232" s="180">
        <v>640</v>
      </c>
    </row>
    <row r="2233" spans="1:3" x14ac:dyDescent="0.25">
      <c r="A2233" s="178">
        <v>7351</v>
      </c>
      <c r="B2233" s="179" t="s">
        <v>456</v>
      </c>
      <c r="C2233" s="180">
        <v>72</v>
      </c>
    </row>
    <row r="2234" spans="1:3" x14ac:dyDescent="0.25">
      <c r="A2234" s="178">
        <v>7353</v>
      </c>
      <c r="B2234" s="179" t="s">
        <v>456</v>
      </c>
      <c r="C2234" s="180">
        <v>72</v>
      </c>
    </row>
    <row r="2235" spans="1:3" x14ac:dyDescent="0.25">
      <c r="A2235" s="178">
        <v>7355</v>
      </c>
      <c r="B2235" s="179" t="s">
        <v>456</v>
      </c>
      <c r="C2235" s="180">
        <v>121</v>
      </c>
    </row>
    <row r="2236" spans="1:3" x14ac:dyDescent="0.25">
      <c r="A2236" s="178">
        <v>7356</v>
      </c>
      <c r="B2236" s="179" t="s">
        <v>456</v>
      </c>
      <c r="C2236" s="180">
        <v>120</v>
      </c>
    </row>
    <row r="2237" spans="1:3" x14ac:dyDescent="0.25">
      <c r="A2237" s="178">
        <v>7358</v>
      </c>
      <c r="B2237" s="179" t="s">
        <v>456</v>
      </c>
      <c r="C2237" s="180">
        <v>168</v>
      </c>
    </row>
    <row r="2238" spans="1:3" x14ac:dyDescent="0.25">
      <c r="A2238" s="178">
        <v>7360</v>
      </c>
      <c r="B2238" s="179" t="s">
        <v>456</v>
      </c>
      <c r="C2238" s="180">
        <v>510</v>
      </c>
    </row>
    <row r="2239" spans="1:3" x14ac:dyDescent="0.25">
      <c r="A2239" s="178">
        <v>7361</v>
      </c>
      <c r="B2239" s="179" t="s">
        <v>456</v>
      </c>
      <c r="C2239" s="180">
        <v>510</v>
      </c>
    </row>
    <row r="2240" spans="1:3" x14ac:dyDescent="0.25">
      <c r="A2240" s="178">
        <v>7362</v>
      </c>
      <c r="B2240" s="179" t="s">
        <v>456</v>
      </c>
      <c r="C2240" s="180">
        <v>238</v>
      </c>
    </row>
    <row r="2241" spans="1:3" x14ac:dyDescent="0.25">
      <c r="A2241" s="178">
        <v>7365</v>
      </c>
      <c r="B2241" s="179" t="s">
        <v>456</v>
      </c>
      <c r="C2241" s="180">
        <v>841</v>
      </c>
    </row>
    <row r="2242" spans="1:3" x14ac:dyDescent="0.25">
      <c r="A2242" s="178">
        <v>7366</v>
      </c>
      <c r="B2242" s="179" t="s">
        <v>456</v>
      </c>
      <c r="C2242" s="180">
        <v>493</v>
      </c>
    </row>
    <row r="2243" spans="1:3" x14ac:dyDescent="0.25">
      <c r="A2243" s="178">
        <v>7367</v>
      </c>
      <c r="B2243" s="179" t="s">
        <v>456</v>
      </c>
      <c r="C2243" s="180">
        <v>841</v>
      </c>
    </row>
    <row r="2244" spans="1:3" x14ac:dyDescent="0.25">
      <c r="A2244" s="178">
        <v>7370</v>
      </c>
      <c r="B2244" s="179" t="s">
        <v>456</v>
      </c>
      <c r="C2244" s="180">
        <v>250</v>
      </c>
    </row>
    <row r="2245" spans="1:3" x14ac:dyDescent="0.25">
      <c r="A2245" s="178">
        <v>7371</v>
      </c>
      <c r="B2245" s="179" t="s">
        <v>456</v>
      </c>
      <c r="C2245" s="180">
        <v>250</v>
      </c>
    </row>
    <row r="2246" spans="1:3" x14ac:dyDescent="0.25">
      <c r="A2246" s="178">
        <v>7372</v>
      </c>
      <c r="B2246" s="179" t="s">
        <v>456</v>
      </c>
      <c r="C2246" s="180">
        <v>250</v>
      </c>
    </row>
    <row r="2247" spans="1:3" x14ac:dyDescent="0.25">
      <c r="A2247" s="178">
        <v>7374</v>
      </c>
      <c r="B2247" s="179" t="s">
        <v>456</v>
      </c>
      <c r="C2247" s="180">
        <v>250</v>
      </c>
    </row>
    <row r="2248" spans="1:3" x14ac:dyDescent="0.25">
      <c r="A2248" s="178">
        <v>7376</v>
      </c>
      <c r="B2248" s="179" t="s">
        <v>456</v>
      </c>
      <c r="C2248" s="180">
        <v>250</v>
      </c>
    </row>
    <row r="2249" spans="1:3" x14ac:dyDescent="0.25">
      <c r="A2249" s="178">
        <v>7378</v>
      </c>
      <c r="B2249" s="179" t="s">
        <v>456</v>
      </c>
      <c r="C2249" s="180">
        <v>250</v>
      </c>
    </row>
    <row r="2250" spans="1:3" x14ac:dyDescent="0.25">
      <c r="A2250" s="178">
        <v>7380</v>
      </c>
      <c r="B2250" s="179" t="s">
        <v>456</v>
      </c>
      <c r="C2250" s="180">
        <v>250</v>
      </c>
    </row>
    <row r="2251" spans="1:3" x14ac:dyDescent="0.25">
      <c r="A2251" s="178">
        <v>7381</v>
      </c>
      <c r="B2251" s="179" t="s">
        <v>456</v>
      </c>
      <c r="C2251" s="180">
        <v>250</v>
      </c>
    </row>
    <row r="2252" spans="1:3" x14ac:dyDescent="0.25">
      <c r="A2252" s="178">
        <v>7389</v>
      </c>
      <c r="B2252" s="179" t="s">
        <v>456</v>
      </c>
      <c r="C2252" s="180">
        <v>30</v>
      </c>
    </row>
    <row r="2253" spans="1:3" x14ac:dyDescent="0.25">
      <c r="A2253" s="178">
        <v>7390</v>
      </c>
      <c r="B2253" s="179" t="s">
        <v>456</v>
      </c>
      <c r="C2253" s="180">
        <v>153</v>
      </c>
    </row>
    <row r="2254" spans="1:3" x14ac:dyDescent="0.25">
      <c r="A2254" s="178">
        <v>7391</v>
      </c>
      <c r="B2254" s="179" t="s">
        <v>456</v>
      </c>
      <c r="C2254" s="180">
        <v>153</v>
      </c>
    </row>
    <row r="2255" spans="1:3" x14ac:dyDescent="0.25">
      <c r="A2255" s="178">
        <v>7392</v>
      </c>
      <c r="B2255" s="179" t="s">
        <v>456</v>
      </c>
      <c r="C2255" s="180">
        <v>153</v>
      </c>
    </row>
    <row r="2256" spans="1:3" x14ac:dyDescent="0.25">
      <c r="A2256" s="178">
        <v>7393</v>
      </c>
      <c r="B2256" s="179" t="s">
        <v>456</v>
      </c>
      <c r="C2256" s="180">
        <v>153</v>
      </c>
    </row>
    <row r="2257" spans="1:3" x14ac:dyDescent="0.25">
      <c r="A2257" s="178">
        <v>7395</v>
      </c>
      <c r="B2257" s="179" t="s">
        <v>456</v>
      </c>
      <c r="C2257" s="180">
        <v>220</v>
      </c>
    </row>
    <row r="2258" spans="1:3" x14ac:dyDescent="0.25">
      <c r="A2258" s="178">
        <v>7396</v>
      </c>
      <c r="B2258" s="179" t="s">
        <v>456</v>
      </c>
      <c r="C2258" s="180">
        <v>220</v>
      </c>
    </row>
    <row r="2259" spans="1:3" x14ac:dyDescent="0.25">
      <c r="A2259" s="178">
        <v>7397</v>
      </c>
      <c r="B2259" s="179" t="s">
        <v>456</v>
      </c>
      <c r="C2259" s="180">
        <v>220</v>
      </c>
    </row>
    <row r="2260" spans="1:3" x14ac:dyDescent="0.25">
      <c r="A2260" s="178">
        <v>7399</v>
      </c>
      <c r="B2260" s="179" t="s">
        <v>456</v>
      </c>
      <c r="C2260" s="180">
        <v>80</v>
      </c>
    </row>
    <row r="2261" spans="1:3" x14ac:dyDescent="0.25">
      <c r="A2261" s="178">
        <v>7400</v>
      </c>
      <c r="B2261" s="179" t="s">
        <v>456</v>
      </c>
      <c r="C2261" s="180">
        <v>3</v>
      </c>
    </row>
    <row r="2262" spans="1:3" x14ac:dyDescent="0.25">
      <c r="A2262" s="178">
        <v>7401</v>
      </c>
      <c r="B2262" s="179" t="s">
        <v>456</v>
      </c>
      <c r="C2262" s="180">
        <v>80</v>
      </c>
    </row>
    <row r="2263" spans="1:3" x14ac:dyDescent="0.25">
      <c r="A2263" s="178">
        <v>7402</v>
      </c>
      <c r="B2263" s="179" t="s">
        <v>456</v>
      </c>
      <c r="C2263" s="180">
        <v>3</v>
      </c>
    </row>
    <row r="2264" spans="1:3" x14ac:dyDescent="0.25">
      <c r="A2264" s="178">
        <v>7403</v>
      </c>
      <c r="B2264" s="179" t="s">
        <v>456</v>
      </c>
      <c r="C2264" s="180">
        <v>3</v>
      </c>
    </row>
    <row r="2265" spans="1:3" x14ac:dyDescent="0.25">
      <c r="A2265" s="178">
        <v>7404</v>
      </c>
      <c r="B2265" s="179" t="s">
        <v>456</v>
      </c>
      <c r="C2265" s="180">
        <v>84</v>
      </c>
    </row>
    <row r="2266" spans="1:3" x14ac:dyDescent="0.25">
      <c r="A2266" s="178">
        <v>7405</v>
      </c>
      <c r="B2266" s="179" t="s">
        <v>456</v>
      </c>
      <c r="C2266" s="180">
        <v>80</v>
      </c>
    </row>
    <row r="2267" spans="1:3" x14ac:dyDescent="0.25">
      <c r="A2267" s="178">
        <v>7406</v>
      </c>
      <c r="B2267" s="179" t="s">
        <v>456</v>
      </c>
      <c r="C2267" s="180">
        <v>80</v>
      </c>
    </row>
    <row r="2268" spans="1:3" x14ac:dyDescent="0.25">
      <c r="A2268" s="178">
        <v>7407</v>
      </c>
      <c r="B2268" s="179" t="s">
        <v>456</v>
      </c>
      <c r="C2268" s="180">
        <v>84</v>
      </c>
    </row>
    <row r="2269" spans="1:3" x14ac:dyDescent="0.25">
      <c r="A2269" s="178">
        <v>7408</v>
      </c>
      <c r="B2269" s="179" t="s">
        <v>456</v>
      </c>
      <c r="C2269" s="180">
        <v>80</v>
      </c>
    </row>
    <row r="2270" spans="1:3" x14ac:dyDescent="0.25">
      <c r="A2270" s="178">
        <v>7409</v>
      </c>
      <c r="B2270" s="179" t="s">
        <v>456</v>
      </c>
      <c r="C2270" s="180">
        <v>3</v>
      </c>
    </row>
    <row r="2271" spans="1:3" x14ac:dyDescent="0.25">
      <c r="A2271" s="178">
        <v>7410</v>
      </c>
      <c r="B2271" s="179" t="s">
        <v>456</v>
      </c>
      <c r="C2271" s="180">
        <v>70</v>
      </c>
    </row>
    <row r="2272" spans="1:3" x14ac:dyDescent="0.25">
      <c r="A2272" s="178">
        <v>7411</v>
      </c>
      <c r="B2272" s="179" t="s">
        <v>456</v>
      </c>
      <c r="C2272" s="180">
        <v>70</v>
      </c>
    </row>
    <row r="2273" spans="1:3" x14ac:dyDescent="0.25">
      <c r="A2273" s="178">
        <v>7412</v>
      </c>
      <c r="B2273" s="179" t="s">
        <v>456</v>
      </c>
      <c r="C2273" s="180">
        <v>70</v>
      </c>
    </row>
    <row r="2274" spans="1:3" x14ac:dyDescent="0.25">
      <c r="A2274" s="178">
        <v>7413</v>
      </c>
      <c r="B2274" s="179" t="s">
        <v>456</v>
      </c>
      <c r="C2274" s="180">
        <v>84</v>
      </c>
    </row>
    <row r="2275" spans="1:3" x14ac:dyDescent="0.25">
      <c r="A2275" s="178">
        <v>7414</v>
      </c>
      <c r="B2275" s="179" t="s">
        <v>456</v>
      </c>
      <c r="C2275" s="180">
        <v>3</v>
      </c>
    </row>
    <row r="2276" spans="1:3" x14ac:dyDescent="0.25">
      <c r="A2276" s="178">
        <v>7415</v>
      </c>
      <c r="B2276" s="179" t="s">
        <v>456</v>
      </c>
      <c r="C2276" s="180">
        <v>70</v>
      </c>
    </row>
    <row r="2277" spans="1:3" x14ac:dyDescent="0.25">
      <c r="A2277" s="178">
        <v>7416</v>
      </c>
      <c r="B2277" s="179" t="s">
        <v>456</v>
      </c>
      <c r="C2277" s="180">
        <v>3</v>
      </c>
    </row>
    <row r="2278" spans="1:3" x14ac:dyDescent="0.25">
      <c r="A2278" s="178">
        <v>7417</v>
      </c>
      <c r="B2278" s="179" t="s">
        <v>456</v>
      </c>
      <c r="C2278" s="180">
        <v>70</v>
      </c>
    </row>
    <row r="2279" spans="1:3" x14ac:dyDescent="0.25">
      <c r="A2279" s="178">
        <v>7418</v>
      </c>
      <c r="B2279" s="179" t="s">
        <v>456</v>
      </c>
      <c r="C2279" s="180">
        <v>3</v>
      </c>
    </row>
    <row r="2280" spans="1:3" x14ac:dyDescent="0.25">
      <c r="A2280" s="178">
        <v>7419</v>
      </c>
      <c r="B2280" s="179" t="s">
        <v>456</v>
      </c>
      <c r="C2280" s="180">
        <v>95</v>
      </c>
    </row>
    <row r="2281" spans="1:3" x14ac:dyDescent="0.25">
      <c r="A2281" s="178">
        <v>7420</v>
      </c>
      <c r="B2281" s="179" t="s">
        <v>456</v>
      </c>
      <c r="C2281" s="180">
        <v>306</v>
      </c>
    </row>
    <row r="2282" spans="1:3" x14ac:dyDescent="0.25">
      <c r="A2282" s="178">
        <v>7421</v>
      </c>
      <c r="B2282" s="179" t="s">
        <v>456</v>
      </c>
      <c r="C2282" s="180">
        <v>195</v>
      </c>
    </row>
    <row r="2283" spans="1:3" x14ac:dyDescent="0.25">
      <c r="A2283" s="178">
        <v>7422</v>
      </c>
      <c r="B2283" s="179" t="s">
        <v>456</v>
      </c>
      <c r="C2283" s="180">
        <v>3</v>
      </c>
    </row>
    <row r="2284" spans="1:3" x14ac:dyDescent="0.25">
      <c r="A2284" s="178">
        <v>7423</v>
      </c>
      <c r="B2284" s="179" t="s">
        <v>456</v>
      </c>
      <c r="C2284" s="180">
        <v>80</v>
      </c>
    </row>
    <row r="2285" spans="1:3" x14ac:dyDescent="0.25">
      <c r="A2285" s="178">
        <v>7424</v>
      </c>
      <c r="B2285" s="179" t="s">
        <v>456</v>
      </c>
      <c r="C2285" s="180">
        <v>3</v>
      </c>
    </row>
    <row r="2286" spans="1:3" x14ac:dyDescent="0.25">
      <c r="A2286" s="178">
        <v>7425</v>
      </c>
      <c r="B2286" s="179" t="s">
        <v>456</v>
      </c>
      <c r="C2286" s="180">
        <v>3</v>
      </c>
    </row>
    <row r="2287" spans="1:3" x14ac:dyDescent="0.25">
      <c r="A2287" s="178">
        <v>7426</v>
      </c>
      <c r="B2287" s="179" t="s">
        <v>456</v>
      </c>
      <c r="C2287" s="180">
        <v>112</v>
      </c>
    </row>
    <row r="2288" spans="1:3" x14ac:dyDescent="0.25">
      <c r="A2288" s="178">
        <v>7427</v>
      </c>
      <c r="B2288" s="179" t="s">
        <v>456</v>
      </c>
      <c r="C2288" s="180">
        <v>112</v>
      </c>
    </row>
    <row r="2289" spans="1:3" x14ac:dyDescent="0.25">
      <c r="A2289" s="178">
        <v>7428</v>
      </c>
      <c r="B2289" s="179" t="s">
        <v>456</v>
      </c>
      <c r="C2289" s="180">
        <v>112</v>
      </c>
    </row>
    <row r="2290" spans="1:3" x14ac:dyDescent="0.25">
      <c r="A2290" s="178">
        <v>7429</v>
      </c>
      <c r="B2290" s="179" t="s">
        <v>456</v>
      </c>
      <c r="C2290" s="180">
        <v>3</v>
      </c>
    </row>
    <row r="2291" spans="1:3" x14ac:dyDescent="0.25">
      <c r="A2291" s="178">
        <v>7430</v>
      </c>
      <c r="B2291" s="179" t="s">
        <v>456</v>
      </c>
      <c r="C2291" s="180">
        <v>230</v>
      </c>
    </row>
    <row r="2292" spans="1:3" x14ac:dyDescent="0.25">
      <c r="A2292" s="178">
        <v>7431</v>
      </c>
      <c r="B2292" s="179" t="s">
        <v>456</v>
      </c>
      <c r="C2292" s="180">
        <v>112</v>
      </c>
    </row>
    <row r="2293" spans="1:3" x14ac:dyDescent="0.25">
      <c r="A2293" s="178">
        <v>7553</v>
      </c>
      <c r="B2293" s="179" t="s">
        <v>456</v>
      </c>
      <c r="C2293" s="180">
        <v>2</v>
      </c>
    </row>
    <row r="2294" spans="1:3" x14ac:dyDescent="0.25">
      <c r="A2294" s="178">
        <v>7554</v>
      </c>
      <c r="B2294" s="179" t="s">
        <v>456</v>
      </c>
      <c r="C2294" s="180">
        <v>84</v>
      </c>
    </row>
    <row r="2295" spans="1:3" x14ac:dyDescent="0.25">
      <c r="A2295" s="178">
        <v>7555</v>
      </c>
      <c r="B2295" s="179" t="s">
        <v>456</v>
      </c>
      <c r="C2295" s="180">
        <v>2</v>
      </c>
    </row>
    <row r="2296" spans="1:3" x14ac:dyDescent="0.25">
      <c r="A2296" s="178">
        <v>7556</v>
      </c>
      <c r="B2296" s="179" t="s">
        <v>456</v>
      </c>
      <c r="C2296" s="180">
        <v>84</v>
      </c>
    </row>
    <row r="2297" spans="1:3" x14ac:dyDescent="0.25">
      <c r="A2297" s="178">
        <v>7557</v>
      </c>
      <c r="B2297" s="179" t="s">
        <v>456</v>
      </c>
      <c r="C2297" s="180">
        <v>84</v>
      </c>
    </row>
    <row r="2298" spans="1:3" x14ac:dyDescent="0.25">
      <c r="A2298" s="178">
        <v>7558</v>
      </c>
      <c r="B2298" s="179" t="s">
        <v>456</v>
      </c>
      <c r="C2298" s="180">
        <v>84</v>
      </c>
    </row>
    <row r="2299" spans="1:3" x14ac:dyDescent="0.25">
      <c r="A2299" s="178">
        <v>7559</v>
      </c>
      <c r="B2299" s="179" t="s">
        <v>456</v>
      </c>
      <c r="C2299" s="180">
        <v>2</v>
      </c>
    </row>
    <row r="2300" spans="1:3" x14ac:dyDescent="0.25">
      <c r="A2300" s="178">
        <v>7560</v>
      </c>
      <c r="B2300" s="179" t="s">
        <v>456</v>
      </c>
      <c r="C2300" s="180">
        <v>84</v>
      </c>
    </row>
    <row r="2301" spans="1:3" x14ac:dyDescent="0.25">
      <c r="A2301" s="178">
        <v>7561</v>
      </c>
      <c r="B2301" s="179" t="s">
        <v>456</v>
      </c>
      <c r="C2301" s="180">
        <v>84</v>
      </c>
    </row>
    <row r="2302" spans="1:3" x14ac:dyDescent="0.25">
      <c r="A2302" s="178">
        <v>7562</v>
      </c>
      <c r="B2302" s="179" t="s">
        <v>456</v>
      </c>
      <c r="C2302" s="180">
        <v>84</v>
      </c>
    </row>
    <row r="2303" spans="1:3" x14ac:dyDescent="0.25">
      <c r="A2303" s="178">
        <v>7563</v>
      </c>
      <c r="B2303" s="179" t="s">
        <v>456</v>
      </c>
      <c r="C2303" s="180">
        <v>84</v>
      </c>
    </row>
    <row r="2304" spans="1:3" x14ac:dyDescent="0.25">
      <c r="A2304" s="178">
        <v>7564</v>
      </c>
      <c r="B2304" s="179" t="s">
        <v>456</v>
      </c>
      <c r="C2304" s="180">
        <v>84</v>
      </c>
    </row>
    <row r="2305" spans="1:3" x14ac:dyDescent="0.25">
      <c r="A2305" s="178">
        <v>7565</v>
      </c>
      <c r="B2305" s="179" t="s">
        <v>456</v>
      </c>
      <c r="C2305" s="180">
        <v>48</v>
      </c>
    </row>
    <row r="2306" spans="1:3" x14ac:dyDescent="0.25">
      <c r="A2306" s="178">
        <v>7566</v>
      </c>
      <c r="B2306" s="179" t="s">
        <v>456</v>
      </c>
      <c r="C2306" s="180">
        <v>63</v>
      </c>
    </row>
    <row r="2307" spans="1:3" x14ac:dyDescent="0.25">
      <c r="A2307" s="178">
        <v>7568</v>
      </c>
      <c r="B2307" s="179" t="s">
        <v>456</v>
      </c>
      <c r="C2307" s="180">
        <v>2</v>
      </c>
    </row>
    <row r="2308" spans="1:3" x14ac:dyDescent="0.25">
      <c r="A2308" s="178">
        <v>7569</v>
      </c>
      <c r="B2308" s="179" t="s">
        <v>456</v>
      </c>
      <c r="C2308" s="180">
        <v>63</v>
      </c>
    </row>
    <row r="2309" spans="1:3" x14ac:dyDescent="0.25">
      <c r="A2309" s="178">
        <v>7570</v>
      </c>
      <c r="B2309" s="179" t="s">
        <v>456</v>
      </c>
      <c r="C2309" s="180">
        <v>48</v>
      </c>
    </row>
    <row r="2310" spans="1:3" x14ac:dyDescent="0.25">
      <c r="A2310" s="178">
        <v>7571</v>
      </c>
      <c r="B2310" s="179" t="s">
        <v>456</v>
      </c>
      <c r="C2310" s="180">
        <v>3</v>
      </c>
    </row>
    <row r="2311" spans="1:3" x14ac:dyDescent="0.25">
      <c r="A2311" s="178">
        <v>7572</v>
      </c>
      <c r="B2311" s="179" t="s">
        <v>456</v>
      </c>
      <c r="C2311" s="180">
        <v>63</v>
      </c>
    </row>
    <row r="2312" spans="1:3" x14ac:dyDescent="0.25">
      <c r="A2312" s="178">
        <v>7573</v>
      </c>
      <c r="B2312" s="179" t="s">
        <v>456</v>
      </c>
      <c r="C2312" s="180">
        <v>3</v>
      </c>
    </row>
    <row r="2313" spans="1:3" x14ac:dyDescent="0.25">
      <c r="A2313" s="178">
        <v>7574</v>
      </c>
      <c r="B2313" s="179" t="s">
        <v>456</v>
      </c>
      <c r="C2313" s="180">
        <v>2</v>
      </c>
    </row>
    <row r="2314" spans="1:3" x14ac:dyDescent="0.25">
      <c r="A2314" s="178">
        <v>7575</v>
      </c>
      <c r="B2314" s="179" t="s">
        <v>456</v>
      </c>
      <c r="C2314" s="180">
        <v>63</v>
      </c>
    </row>
    <row r="2315" spans="1:3" x14ac:dyDescent="0.25">
      <c r="A2315" s="178">
        <v>7576</v>
      </c>
      <c r="B2315" s="179" t="s">
        <v>456</v>
      </c>
      <c r="C2315" s="180">
        <v>63</v>
      </c>
    </row>
    <row r="2316" spans="1:3" x14ac:dyDescent="0.25">
      <c r="A2316" s="178">
        <v>7577</v>
      </c>
      <c r="B2316" s="179" t="s">
        <v>456</v>
      </c>
      <c r="C2316" s="180">
        <v>63</v>
      </c>
    </row>
    <row r="2317" spans="1:3" x14ac:dyDescent="0.25">
      <c r="A2317" s="178">
        <v>7578</v>
      </c>
      <c r="B2317" s="179" t="s">
        <v>456</v>
      </c>
      <c r="C2317" s="180">
        <v>63</v>
      </c>
    </row>
    <row r="2318" spans="1:3" x14ac:dyDescent="0.25">
      <c r="A2318" s="178">
        <v>7579</v>
      </c>
      <c r="B2318" s="179" t="s">
        <v>456</v>
      </c>
      <c r="C2318" s="180">
        <v>63</v>
      </c>
    </row>
    <row r="2319" spans="1:3" x14ac:dyDescent="0.25">
      <c r="A2319" s="178">
        <v>7580</v>
      </c>
      <c r="B2319" s="179" t="s">
        <v>456</v>
      </c>
      <c r="C2319" s="180">
        <v>63</v>
      </c>
    </row>
    <row r="2320" spans="1:3" x14ac:dyDescent="0.25">
      <c r="A2320" s="178">
        <v>7581</v>
      </c>
      <c r="B2320" s="179" t="s">
        <v>456</v>
      </c>
      <c r="C2320" s="180">
        <v>63</v>
      </c>
    </row>
    <row r="2321" spans="1:3" x14ac:dyDescent="0.25">
      <c r="A2321" s="178">
        <v>7582</v>
      </c>
      <c r="B2321" s="179" t="s">
        <v>456</v>
      </c>
      <c r="C2321" s="180">
        <v>63</v>
      </c>
    </row>
    <row r="2322" spans="1:3" x14ac:dyDescent="0.25">
      <c r="A2322" s="178">
        <v>7583</v>
      </c>
      <c r="B2322" s="179" t="s">
        <v>456</v>
      </c>
      <c r="C2322" s="180">
        <v>63</v>
      </c>
    </row>
    <row r="2323" spans="1:3" x14ac:dyDescent="0.25">
      <c r="A2323" s="178">
        <v>7584</v>
      </c>
      <c r="B2323" s="179" t="s">
        <v>456</v>
      </c>
      <c r="C2323" s="180">
        <v>63</v>
      </c>
    </row>
    <row r="2324" spans="1:3" x14ac:dyDescent="0.25">
      <c r="A2324" s="178">
        <v>7585</v>
      </c>
      <c r="B2324" s="179" t="s">
        <v>456</v>
      </c>
      <c r="C2324" s="180">
        <v>48</v>
      </c>
    </row>
    <row r="2325" spans="1:3" x14ac:dyDescent="0.25">
      <c r="A2325" s="178">
        <v>7586</v>
      </c>
      <c r="B2325" s="179" t="s">
        <v>456</v>
      </c>
      <c r="C2325" s="180">
        <v>48</v>
      </c>
    </row>
    <row r="2326" spans="1:3" x14ac:dyDescent="0.25">
      <c r="A2326" s="178">
        <v>7587</v>
      </c>
      <c r="B2326" s="179" t="s">
        <v>456</v>
      </c>
      <c r="C2326" s="180">
        <v>48</v>
      </c>
    </row>
    <row r="2327" spans="1:3" x14ac:dyDescent="0.25">
      <c r="A2327" s="178">
        <v>7588</v>
      </c>
      <c r="B2327" s="179" t="s">
        <v>456</v>
      </c>
      <c r="C2327" s="180">
        <v>3</v>
      </c>
    </row>
    <row r="2328" spans="1:3" x14ac:dyDescent="0.25">
      <c r="A2328" s="178">
        <v>7589</v>
      </c>
      <c r="B2328" s="179" t="s">
        <v>456</v>
      </c>
      <c r="C2328" s="180">
        <v>3</v>
      </c>
    </row>
    <row r="2329" spans="1:3" x14ac:dyDescent="0.25">
      <c r="A2329" s="178">
        <v>7590</v>
      </c>
      <c r="B2329" s="179" t="s">
        <v>456</v>
      </c>
      <c r="C2329" s="180">
        <v>128</v>
      </c>
    </row>
    <row r="2330" spans="1:3" x14ac:dyDescent="0.25">
      <c r="A2330" s="178">
        <v>7591</v>
      </c>
      <c r="B2330" s="179" t="s">
        <v>456</v>
      </c>
      <c r="C2330" s="180">
        <v>215</v>
      </c>
    </row>
    <row r="2331" spans="1:3" x14ac:dyDescent="0.25">
      <c r="A2331" s="178">
        <v>7592</v>
      </c>
      <c r="B2331" s="179" t="s">
        <v>456</v>
      </c>
      <c r="C2331" s="180">
        <v>215</v>
      </c>
    </row>
    <row r="2332" spans="1:3" x14ac:dyDescent="0.25">
      <c r="A2332" s="178">
        <v>7593</v>
      </c>
      <c r="B2332" s="179" t="s">
        <v>456</v>
      </c>
      <c r="C2332" s="180">
        <v>126</v>
      </c>
    </row>
    <row r="2333" spans="1:3" x14ac:dyDescent="0.25">
      <c r="A2333" s="178">
        <v>7594</v>
      </c>
      <c r="B2333" s="179" t="s">
        <v>456</v>
      </c>
      <c r="C2333" s="180">
        <v>126</v>
      </c>
    </row>
    <row r="2334" spans="1:3" x14ac:dyDescent="0.25">
      <c r="A2334" s="178">
        <v>7595</v>
      </c>
      <c r="B2334" s="179" t="s">
        <v>456</v>
      </c>
      <c r="C2334" s="180">
        <v>80</v>
      </c>
    </row>
    <row r="2335" spans="1:3" x14ac:dyDescent="0.25">
      <c r="A2335" s="178">
        <v>7596</v>
      </c>
      <c r="B2335" s="179" t="s">
        <v>456</v>
      </c>
      <c r="C2335" s="180">
        <v>3</v>
      </c>
    </row>
    <row r="2336" spans="1:3" x14ac:dyDescent="0.25">
      <c r="A2336" s="178">
        <v>7599</v>
      </c>
      <c r="B2336" s="179" t="s">
        <v>456</v>
      </c>
      <c r="C2336" s="180">
        <v>80</v>
      </c>
    </row>
    <row r="2337" spans="1:3" x14ac:dyDescent="0.25">
      <c r="A2337" s="178">
        <v>7600</v>
      </c>
      <c r="B2337" s="179" t="s">
        <v>456</v>
      </c>
      <c r="C2337" s="180">
        <v>3</v>
      </c>
    </row>
    <row r="2338" spans="1:3" x14ac:dyDescent="0.25">
      <c r="A2338" s="178">
        <v>7601</v>
      </c>
      <c r="B2338" s="179" t="s">
        <v>456</v>
      </c>
      <c r="C2338" s="180">
        <v>95</v>
      </c>
    </row>
    <row r="2339" spans="1:3" x14ac:dyDescent="0.25">
      <c r="A2339" s="178">
        <v>7602</v>
      </c>
      <c r="B2339" s="179" t="s">
        <v>456</v>
      </c>
      <c r="C2339" s="180">
        <v>70</v>
      </c>
    </row>
    <row r="2340" spans="1:3" x14ac:dyDescent="0.25">
      <c r="A2340" s="178">
        <v>7603</v>
      </c>
      <c r="B2340" s="179" t="s">
        <v>456</v>
      </c>
      <c r="C2340" s="180">
        <v>3</v>
      </c>
    </row>
    <row r="2341" spans="1:3" x14ac:dyDescent="0.25">
      <c r="A2341" s="178">
        <v>7604</v>
      </c>
      <c r="B2341" s="179" t="s">
        <v>456</v>
      </c>
      <c r="C2341" s="180">
        <v>2</v>
      </c>
    </row>
    <row r="2342" spans="1:3" x14ac:dyDescent="0.25">
      <c r="A2342" s="178">
        <v>7605</v>
      </c>
      <c r="B2342" s="179" t="s">
        <v>456</v>
      </c>
      <c r="C2342" s="180">
        <v>2</v>
      </c>
    </row>
    <row r="2343" spans="1:3" x14ac:dyDescent="0.25">
      <c r="A2343" s="178">
        <v>7606</v>
      </c>
      <c r="B2343" s="179" t="s">
        <v>456</v>
      </c>
      <c r="C2343" s="180">
        <v>2</v>
      </c>
    </row>
    <row r="2344" spans="1:3" x14ac:dyDescent="0.25">
      <c r="A2344" s="178">
        <v>7607</v>
      </c>
      <c r="B2344" s="179" t="s">
        <v>456</v>
      </c>
      <c r="C2344" s="180">
        <v>2</v>
      </c>
    </row>
    <row r="2345" spans="1:3" x14ac:dyDescent="0.25">
      <c r="A2345" s="178">
        <v>7608</v>
      </c>
      <c r="B2345" s="179" t="s">
        <v>456</v>
      </c>
      <c r="C2345" s="180">
        <v>2</v>
      </c>
    </row>
    <row r="2346" spans="1:3" x14ac:dyDescent="0.25">
      <c r="A2346" s="178">
        <v>7609</v>
      </c>
      <c r="B2346" s="179" t="s">
        <v>456</v>
      </c>
      <c r="C2346" s="180">
        <v>80</v>
      </c>
    </row>
    <row r="2347" spans="1:3" x14ac:dyDescent="0.25">
      <c r="A2347" s="178">
        <v>7610</v>
      </c>
      <c r="B2347" s="179" t="s">
        <v>456</v>
      </c>
      <c r="C2347" s="180">
        <v>80</v>
      </c>
    </row>
    <row r="2348" spans="1:3" x14ac:dyDescent="0.25">
      <c r="A2348" s="178">
        <v>7611</v>
      </c>
      <c r="B2348" s="179" t="s">
        <v>456</v>
      </c>
      <c r="C2348" s="180">
        <v>84</v>
      </c>
    </row>
    <row r="2349" spans="1:3" x14ac:dyDescent="0.25">
      <c r="A2349" s="178">
        <v>7612</v>
      </c>
      <c r="B2349" s="179" t="s">
        <v>456</v>
      </c>
      <c r="C2349" s="180">
        <v>84</v>
      </c>
    </row>
    <row r="2350" spans="1:3" x14ac:dyDescent="0.25">
      <c r="A2350" s="178">
        <v>7613</v>
      </c>
      <c r="B2350" s="179" t="s">
        <v>456</v>
      </c>
      <c r="C2350" s="180">
        <v>84</v>
      </c>
    </row>
    <row r="2351" spans="1:3" x14ac:dyDescent="0.25">
      <c r="A2351" s="178">
        <v>7614</v>
      </c>
      <c r="B2351" s="179" t="s">
        <v>456</v>
      </c>
      <c r="C2351" s="180">
        <v>2</v>
      </c>
    </row>
    <row r="2352" spans="1:3" x14ac:dyDescent="0.25">
      <c r="A2352" s="178">
        <v>7615</v>
      </c>
      <c r="B2352" s="179" t="s">
        <v>456</v>
      </c>
      <c r="C2352" s="180">
        <v>2</v>
      </c>
    </row>
    <row r="2353" spans="1:3" x14ac:dyDescent="0.25">
      <c r="A2353" s="178">
        <v>7616</v>
      </c>
      <c r="B2353" s="179" t="s">
        <v>456</v>
      </c>
      <c r="C2353" s="180">
        <v>2</v>
      </c>
    </row>
    <row r="2354" spans="1:3" x14ac:dyDescent="0.25">
      <c r="A2354" s="178">
        <v>7617</v>
      </c>
      <c r="B2354" s="179" t="s">
        <v>456</v>
      </c>
      <c r="C2354" s="180">
        <v>2</v>
      </c>
    </row>
    <row r="2355" spans="1:3" x14ac:dyDescent="0.25">
      <c r="A2355" s="178">
        <v>7618</v>
      </c>
      <c r="B2355" s="179" t="s">
        <v>456</v>
      </c>
      <c r="C2355" s="180">
        <v>2</v>
      </c>
    </row>
    <row r="2356" spans="1:3" x14ac:dyDescent="0.25">
      <c r="A2356" s="178">
        <v>7619</v>
      </c>
      <c r="B2356" s="179" t="s">
        <v>456</v>
      </c>
      <c r="C2356" s="180">
        <v>2</v>
      </c>
    </row>
    <row r="2357" spans="1:3" x14ac:dyDescent="0.25">
      <c r="A2357" s="178">
        <v>7620</v>
      </c>
      <c r="B2357" s="179" t="s">
        <v>456</v>
      </c>
      <c r="C2357" s="180">
        <v>52</v>
      </c>
    </row>
    <row r="2358" spans="1:3" x14ac:dyDescent="0.25">
      <c r="A2358" s="178">
        <v>7621</v>
      </c>
      <c r="B2358" s="179" t="s">
        <v>456</v>
      </c>
      <c r="C2358" s="180">
        <v>52</v>
      </c>
    </row>
    <row r="2359" spans="1:3" x14ac:dyDescent="0.25">
      <c r="A2359" s="178">
        <v>7622</v>
      </c>
      <c r="B2359" s="179" t="s">
        <v>456</v>
      </c>
      <c r="C2359" s="180">
        <v>52</v>
      </c>
    </row>
    <row r="2360" spans="1:3" x14ac:dyDescent="0.25">
      <c r="A2360" s="178">
        <v>7623</v>
      </c>
      <c r="B2360" s="179" t="s">
        <v>456</v>
      </c>
      <c r="C2360" s="180">
        <v>63</v>
      </c>
    </row>
    <row r="2361" spans="1:3" x14ac:dyDescent="0.25">
      <c r="A2361" s="178">
        <v>7624</v>
      </c>
      <c r="B2361" s="179" t="s">
        <v>456</v>
      </c>
      <c r="C2361" s="180">
        <v>52</v>
      </c>
    </row>
    <row r="2362" spans="1:3" x14ac:dyDescent="0.25">
      <c r="A2362" s="178">
        <v>7625</v>
      </c>
      <c r="B2362" s="179" t="s">
        <v>456</v>
      </c>
      <c r="C2362" s="180">
        <v>52</v>
      </c>
    </row>
    <row r="2363" spans="1:3" x14ac:dyDescent="0.25">
      <c r="A2363" s="178">
        <v>7626</v>
      </c>
      <c r="B2363" s="179" t="s">
        <v>456</v>
      </c>
      <c r="C2363" s="180">
        <v>70</v>
      </c>
    </row>
    <row r="2364" spans="1:3" x14ac:dyDescent="0.25">
      <c r="A2364" s="178">
        <v>7627</v>
      </c>
      <c r="B2364" s="179" t="s">
        <v>456</v>
      </c>
      <c r="C2364" s="180">
        <v>195</v>
      </c>
    </row>
    <row r="2365" spans="1:3" x14ac:dyDescent="0.25">
      <c r="A2365" s="178">
        <v>7628</v>
      </c>
      <c r="B2365" s="179" t="s">
        <v>456</v>
      </c>
      <c r="C2365" s="180">
        <v>195</v>
      </c>
    </row>
    <row r="2366" spans="1:3" x14ac:dyDescent="0.25">
      <c r="A2366" s="178">
        <v>7629</v>
      </c>
      <c r="B2366" s="179" t="s">
        <v>456</v>
      </c>
      <c r="C2366" s="180">
        <v>2</v>
      </c>
    </row>
    <row r="2367" spans="1:3" x14ac:dyDescent="0.25">
      <c r="A2367" s="178">
        <v>7630</v>
      </c>
      <c r="B2367" s="179" t="s">
        <v>456</v>
      </c>
      <c r="C2367" s="180">
        <v>2</v>
      </c>
    </row>
    <row r="2368" spans="1:3" x14ac:dyDescent="0.25">
      <c r="A2368" s="178">
        <v>7631</v>
      </c>
      <c r="B2368" s="179" t="s">
        <v>456</v>
      </c>
      <c r="C2368" s="180">
        <v>52</v>
      </c>
    </row>
    <row r="2369" spans="1:3" x14ac:dyDescent="0.25">
      <c r="A2369" s="178">
        <v>7633</v>
      </c>
      <c r="B2369" s="179" t="s">
        <v>456</v>
      </c>
      <c r="C2369" s="180">
        <v>56</v>
      </c>
    </row>
    <row r="2370" spans="1:3" x14ac:dyDescent="0.25">
      <c r="A2370" s="178">
        <v>7634</v>
      </c>
      <c r="B2370" s="179" t="s">
        <v>456</v>
      </c>
      <c r="C2370" s="180">
        <v>56</v>
      </c>
    </row>
    <row r="2371" spans="1:3" x14ac:dyDescent="0.25">
      <c r="A2371" s="178">
        <v>7635</v>
      </c>
      <c r="B2371" s="179" t="s">
        <v>456</v>
      </c>
      <c r="C2371" s="180">
        <v>52</v>
      </c>
    </row>
    <row r="2372" spans="1:3" x14ac:dyDescent="0.25">
      <c r="A2372" s="178">
        <v>7636</v>
      </c>
      <c r="B2372" s="179" t="s">
        <v>456</v>
      </c>
      <c r="C2372" s="180">
        <v>3</v>
      </c>
    </row>
    <row r="2373" spans="1:3" x14ac:dyDescent="0.25">
      <c r="A2373" s="178">
        <v>7637</v>
      </c>
      <c r="B2373" s="179" t="s">
        <v>456</v>
      </c>
      <c r="C2373" s="180">
        <v>3</v>
      </c>
    </row>
    <row r="2374" spans="1:3" x14ac:dyDescent="0.25">
      <c r="A2374" s="178">
        <v>7638</v>
      </c>
      <c r="B2374" s="179" t="s">
        <v>456</v>
      </c>
      <c r="C2374" s="180">
        <v>3</v>
      </c>
    </row>
    <row r="2375" spans="1:3" x14ac:dyDescent="0.25">
      <c r="A2375" s="178">
        <v>7639</v>
      </c>
      <c r="B2375" s="179" t="s">
        <v>456</v>
      </c>
      <c r="C2375" s="180">
        <v>3</v>
      </c>
    </row>
    <row r="2376" spans="1:3" x14ac:dyDescent="0.25">
      <c r="A2376" s="178">
        <v>7640</v>
      </c>
      <c r="B2376" s="179" t="s">
        <v>456</v>
      </c>
      <c r="C2376" s="180">
        <v>3</v>
      </c>
    </row>
    <row r="2377" spans="1:3" x14ac:dyDescent="0.25">
      <c r="A2377" s="178">
        <v>7641</v>
      </c>
      <c r="B2377" s="179" t="s">
        <v>456</v>
      </c>
      <c r="C2377" s="180">
        <v>56</v>
      </c>
    </row>
    <row r="2378" spans="1:3" x14ac:dyDescent="0.25">
      <c r="A2378" s="178">
        <v>7642</v>
      </c>
      <c r="B2378" s="179" t="s">
        <v>456</v>
      </c>
      <c r="C2378" s="180">
        <v>63</v>
      </c>
    </row>
    <row r="2379" spans="1:3" x14ac:dyDescent="0.25">
      <c r="A2379" s="178">
        <v>7643</v>
      </c>
      <c r="B2379" s="179" t="s">
        <v>456</v>
      </c>
      <c r="C2379" s="180">
        <v>63</v>
      </c>
    </row>
    <row r="2380" spans="1:3" x14ac:dyDescent="0.25">
      <c r="A2380" s="178">
        <v>7644</v>
      </c>
      <c r="B2380" s="179" t="s">
        <v>456</v>
      </c>
      <c r="C2380" s="180">
        <v>63</v>
      </c>
    </row>
    <row r="2381" spans="1:3" x14ac:dyDescent="0.25">
      <c r="A2381" s="178">
        <v>7645</v>
      </c>
      <c r="B2381" s="179" t="s">
        <v>456</v>
      </c>
      <c r="C2381" s="180">
        <v>63</v>
      </c>
    </row>
    <row r="2382" spans="1:3" x14ac:dyDescent="0.25">
      <c r="A2382" s="178">
        <v>7646</v>
      </c>
      <c r="B2382" s="179" t="s">
        <v>456</v>
      </c>
      <c r="C2382" s="180">
        <v>52</v>
      </c>
    </row>
    <row r="2383" spans="1:3" x14ac:dyDescent="0.25">
      <c r="A2383" s="178">
        <v>7647</v>
      </c>
      <c r="B2383" s="179" t="s">
        <v>456</v>
      </c>
      <c r="C2383" s="180">
        <v>52</v>
      </c>
    </row>
    <row r="2384" spans="1:3" x14ac:dyDescent="0.25">
      <c r="A2384" s="178">
        <v>7648</v>
      </c>
      <c r="B2384" s="179" t="s">
        <v>456</v>
      </c>
      <c r="C2384" s="180">
        <v>52</v>
      </c>
    </row>
    <row r="2385" spans="1:3" x14ac:dyDescent="0.25">
      <c r="A2385" s="178">
        <v>7649</v>
      </c>
      <c r="B2385" s="179" t="s">
        <v>456</v>
      </c>
      <c r="C2385" s="180">
        <v>52</v>
      </c>
    </row>
    <row r="2386" spans="1:3" x14ac:dyDescent="0.25">
      <c r="A2386" s="178">
        <v>7650</v>
      </c>
      <c r="B2386" s="179" t="s">
        <v>456</v>
      </c>
      <c r="C2386" s="180">
        <v>195</v>
      </c>
    </row>
    <row r="2387" spans="1:3" x14ac:dyDescent="0.25">
      <c r="A2387" s="178">
        <v>7651</v>
      </c>
      <c r="B2387" s="179" t="s">
        <v>456</v>
      </c>
      <c r="C2387" s="180">
        <v>195</v>
      </c>
    </row>
    <row r="2388" spans="1:3" x14ac:dyDescent="0.25">
      <c r="A2388" s="178">
        <v>7653</v>
      </c>
      <c r="B2388" s="179" t="s">
        <v>456</v>
      </c>
      <c r="C2388" s="180">
        <v>195</v>
      </c>
    </row>
    <row r="2389" spans="1:3" x14ac:dyDescent="0.25">
      <c r="A2389" s="178">
        <v>7654</v>
      </c>
      <c r="B2389" s="179" t="s">
        <v>456</v>
      </c>
      <c r="C2389" s="180">
        <v>63</v>
      </c>
    </row>
    <row r="2390" spans="1:3" x14ac:dyDescent="0.25">
      <c r="A2390" s="178">
        <v>7655</v>
      </c>
      <c r="B2390" s="179" t="s">
        <v>456</v>
      </c>
      <c r="C2390" s="180">
        <v>3</v>
      </c>
    </row>
    <row r="2391" spans="1:3" x14ac:dyDescent="0.25">
      <c r="A2391" s="178">
        <v>7656</v>
      </c>
      <c r="B2391" s="179" t="s">
        <v>456</v>
      </c>
      <c r="C2391" s="180">
        <v>3</v>
      </c>
    </row>
    <row r="2392" spans="1:3" x14ac:dyDescent="0.25">
      <c r="A2392" s="178">
        <v>7657</v>
      </c>
      <c r="B2392" s="179" t="s">
        <v>456</v>
      </c>
      <c r="C2392" s="180">
        <v>70</v>
      </c>
    </row>
    <row r="2393" spans="1:3" x14ac:dyDescent="0.25">
      <c r="A2393" s="178">
        <v>7658</v>
      </c>
      <c r="B2393" s="179" t="s">
        <v>456</v>
      </c>
      <c r="C2393" s="180">
        <v>22</v>
      </c>
    </row>
    <row r="2394" spans="1:3" x14ac:dyDescent="0.25">
      <c r="A2394" s="178">
        <v>7660</v>
      </c>
      <c r="B2394" s="179" t="s">
        <v>456</v>
      </c>
      <c r="C2394" s="180">
        <v>3</v>
      </c>
    </row>
    <row r="2395" spans="1:3" x14ac:dyDescent="0.25">
      <c r="A2395" s="178">
        <v>7661</v>
      </c>
      <c r="B2395" s="179" t="s">
        <v>456</v>
      </c>
      <c r="C2395" s="180">
        <v>95</v>
      </c>
    </row>
    <row r="2396" spans="1:3" x14ac:dyDescent="0.25">
      <c r="A2396" s="178">
        <v>7662</v>
      </c>
      <c r="B2396" s="179" t="s">
        <v>456</v>
      </c>
      <c r="C2396" s="180">
        <v>135</v>
      </c>
    </row>
    <row r="2397" spans="1:3" x14ac:dyDescent="0.25">
      <c r="A2397" s="178">
        <v>7663</v>
      </c>
      <c r="B2397" s="179" t="s">
        <v>456</v>
      </c>
      <c r="C2397" s="180">
        <v>100</v>
      </c>
    </row>
    <row r="2398" spans="1:3" x14ac:dyDescent="0.25">
      <c r="A2398" s="178">
        <v>7664</v>
      </c>
      <c r="B2398" s="179" t="s">
        <v>456</v>
      </c>
      <c r="C2398" s="180">
        <v>306</v>
      </c>
    </row>
    <row r="2399" spans="1:3" x14ac:dyDescent="0.25">
      <c r="A2399" s="178">
        <v>7665</v>
      </c>
      <c r="B2399" s="179" t="s">
        <v>456</v>
      </c>
      <c r="C2399" s="180">
        <v>2</v>
      </c>
    </row>
    <row r="2400" spans="1:3" x14ac:dyDescent="0.25">
      <c r="A2400" s="178">
        <v>7666</v>
      </c>
      <c r="B2400" s="179" t="s">
        <v>456</v>
      </c>
      <c r="C2400" s="180">
        <v>2</v>
      </c>
    </row>
    <row r="2401" spans="1:3" x14ac:dyDescent="0.25">
      <c r="A2401" s="178">
        <v>7667</v>
      </c>
      <c r="B2401" s="179" t="s">
        <v>456</v>
      </c>
      <c r="C2401" s="180">
        <v>2</v>
      </c>
    </row>
    <row r="2402" spans="1:3" x14ac:dyDescent="0.25">
      <c r="A2402" s="178">
        <v>7668</v>
      </c>
      <c r="B2402" s="179" t="s">
        <v>456</v>
      </c>
      <c r="C2402" s="180">
        <v>65</v>
      </c>
    </row>
    <row r="2403" spans="1:3" x14ac:dyDescent="0.25">
      <c r="A2403" s="178">
        <v>7669</v>
      </c>
      <c r="B2403" s="179" t="s">
        <v>456</v>
      </c>
      <c r="C2403" s="180">
        <v>65</v>
      </c>
    </row>
    <row r="2404" spans="1:3" x14ac:dyDescent="0.25">
      <c r="A2404" s="178">
        <v>7670</v>
      </c>
      <c r="B2404" s="179" t="s">
        <v>456</v>
      </c>
      <c r="C2404" s="180">
        <v>84</v>
      </c>
    </row>
    <row r="2405" spans="1:3" x14ac:dyDescent="0.25">
      <c r="A2405" s="178">
        <v>7671</v>
      </c>
      <c r="B2405" s="179" t="s">
        <v>456</v>
      </c>
      <c r="C2405" s="180">
        <v>56</v>
      </c>
    </row>
    <row r="2406" spans="1:3" x14ac:dyDescent="0.25">
      <c r="A2406" s="178">
        <v>7672</v>
      </c>
      <c r="B2406" s="179" t="s">
        <v>456</v>
      </c>
      <c r="C2406" s="180">
        <v>84</v>
      </c>
    </row>
    <row r="2407" spans="1:3" x14ac:dyDescent="0.25">
      <c r="A2407" s="178">
        <v>7673</v>
      </c>
      <c r="B2407" s="179" t="s">
        <v>456</v>
      </c>
      <c r="C2407" s="180">
        <v>70</v>
      </c>
    </row>
    <row r="2408" spans="1:3" x14ac:dyDescent="0.25">
      <c r="A2408" s="178">
        <v>7674</v>
      </c>
      <c r="B2408" s="179" t="s">
        <v>456</v>
      </c>
      <c r="C2408" s="180">
        <v>84</v>
      </c>
    </row>
    <row r="2409" spans="1:3" x14ac:dyDescent="0.25">
      <c r="A2409" s="178">
        <v>7675</v>
      </c>
      <c r="B2409" s="179" t="s">
        <v>456</v>
      </c>
      <c r="C2409" s="180">
        <v>84</v>
      </c>
    </row>
    <row r="2410" spans="1:3" x14ac:dyDescent="0.25">
      <c r="A2410" s="178">
        <v>7676</v>
      </c>
      <c r="B2410" s="179" t="s">
        <v>456</v>
      </c>
      <c r="C2410" s="180">
        <v>80</v>
      </c>
    </row>
    <row r="2411" spans="1:3" x14ac:dyDescent="0.25">
      <c r="A2411" s="178">
        <v>7677</v>
      </c>
      <c r="B2411" s="179" t="s">
        <v>456</v>
      </c>
      <c r="C2411" s="180">
        <v>80</v>
      </c>
    </row>
    <row r="2412" spans="1:3" x14ac:dyDescent="0.25">
      <c r="A2412" s="178">
        <v>7678</v>
      </c>
      <c r="B2412" s="179" t="s">
        <v>456</v>
      </c>
      <c r="C2412" s="180">
        <v>84</v>
      </c>
    </row>
    <row r="2413" spans="1:3" x14ac:dyDescent="0.25">
      <c r="A2413" s="178">
        <v>7679</v>
      </c>
      <c r="B2413" s="179" t="s">
        <v>456</v>
      </c>
      <c r="C2413" s="180">
        <v>84</v>
      </c>
    </row>
    <row r="2414" spans="1:3" x14ac:dyDescent="0.25">
      <c r="A2414" s="178">
        <v>7680</v>
      </c>
      <c r="B2414" s="179" t="s">
        <v>456</v>
      </c>
      <c r="C2414" s="180">
        <v>128</v>
      </c>
    </row>
    <row r="2415" spans="1:3" x14ac:dyDescent="0.25">
      <c r="A2415" s="178">
        <v>7681</v>
      </c>
      <c r="B2415" s="179" t="s">
        <v>456</v>
      </c>
      <c r="C2415" s="180">
        <v>128</v>
      </c>
    </row>
    <row r="2416" spans="1:3" x14ac:dyDescent="0.25">
      <c r="A2416" s="178">
        <v>7682</v>
      </c>
      <c r="B2416" s="179" t="s">
        <v>456</v>
      </c>
      <c r="C2416" s="180">
        <v>128</v>
      </c>
    </row>
    <row r="2417" spans="1:3" x14ac:dyDescent="0.25">
      <c r="A2417" s="178">
        <v>7683</v>
      </c>
      <c r="B2417" s="179" t="s">
        <v>456</v>
      </c>
      <c r="C2417" s="180">
        <v>2</v>
      </c>
    </row>
    <row r="2418" spans="1:3" x14ac:dyDescent="0.25">
      <c r="A2418" s="178">
        <v>7684</v>
      </c>
      <c r="B2418" s="179" t="s">
        <v>456</v>
      </c>
      <c r="C2418" s="180">
        <v>2</v>
      </c>
    </row>
    <row r="2419" spans="1:3" x14ac:dyDescent="0.25">
      <c r="A2419" s="178">
        <v>7685</v>
      </c>
      <c r="B2419" s="179" t="s">
        <v>456</v>
      </c>
      <c r="C2419" s="180">
        <v>128</v>
      </c>
    </row>
    <row r="2420" spans="1:3" x14ac:dyDescent="0.25">
      <c r="A2420" s="178">
        <v>7686</v>
      </c>
      <c r="B2420" s="179" t="s">
        <v>456</v>
      </c>
      <c r="C2420" s="180">
        <v>2</v>
      </c>
    </row>
    <row r="2421" spans="1:3" x14ac:dyDescent="0.25">
      <c r="A2421" s="178">
        <v>7687</v>
      </c>
      <c r="B2421" s="179" t="s">
        <v>456</v>
      </c>
      <c r="C2421" s="180">
        <v>63</v>
      </c>
    </row>
    <row r="2422" spans="1:3" x14ac:dyDescent="0.25">
      <c r="A2422" s="178">
        <v>7688</v>
      </c>
      <c r="B2422" s="179" t="s">
        <v>456</v>
      </c>
      <c r="C2422" s="180">
        <v>45</v>
      </c>
    </row>
    <row r="2423" spans="1:3" x14ac:dyDescent="0.25">
      <c r="A2423" s="178">
        <v>7689</v>
      </c>
      <c r="B2423" s="179" t="s">
        <v>456</v>
      </c>
      <c r="C2423" s="180">
        <v>72</v>
      </c>
    </row>
    <row r="2424" spans="1:3" x14ac:dyDescent="0.25">
      <c r="A2424" s="178">
        <v>7690</v>
      </c>
      <c r="B2424" s="179" t="s">
        <v>456</v>
      </c>
      <c r="C2424" s="180">
        <v>36</v>
      </c>
    </row>
    <row r="2425" spans="1:3" x14ac:dyDescent="0.25">
      <c r="A2425" s="178">
        <v>7691</v>
      </c>
      <c r="B2425" s="179" t="s">
        <v>456</v>
      </c>
      <c r="C2425" s="180">
        <v>36</v>
      </c>
    </row>
    <row r="2426" spans="1:3" x14ac:dyDescent="0.25">
      <c r="A2426" s="178">
        <v>7692</v>
      </c>
      <c r="B2426" s="179" t="s">
        <v>456</v>
      </c>
      <c r="C2426" s="180">
        <v>36</v>
      </c>
    </row>
    <row r="2427" spans="1:3" x14ac:dyDescent="0.25">
      <c r="A2427" s="178">
        <v>7693</v>
      </c>
      <c r="B2427" s="179" t="s">
        <v>456</v>
      </c>
      <c r="C2427" s="180">
        <v>36</v>
      </c>
    </row>
    <row r="2428" spans="1:3" x14ac:dyDescent="0.25">
      <c r="A2428" s="178">
        <v>7694</v>
      </c>
      <c r="B2428" s="179" t="s">
        <v>456</v>
      </c>
      <c r="C2428" s="180">
        <v>36</v>
      </c>
    </row>
    <row r="2429" spans="1:3" x14ac:dyDescent="0.25">
      <c r="A2429" s="178">
        <v>7695</v>
      </c>
      <c r="B2429" s="179" t="s">
        <v>456</v>
      </c>
      <c r="C2429" s="180">
        <v>2</v>
      </c>
    </row>
    <row r="2430" spans="1:3" x14ac:dyDescent="0.25">
      <c r="A2430" s="178">
        <v>7696</v>
      </c>
      <c r="B2430" s="179" t="s">
        <v>456</v>
      </c>
      <c r="C2430" s="180">
        <v>4</v>
      </c>
    </row>
    <row r="2431" spans="1:3" x14ac:dyDescent="0.25">
      <c r="A2431" s="178">
        <v>7697</v>
      </c>
      <c r="B2431" s="179" t="s">
        <v>456</v>
      </c>
      <c r="C2431" s="180">
        <v>56</v>
      </c>
    </row>
    <row r="2432" spans="1:3" x14ac:dyDescent="0.25">
      <c r="A2432" s="178">
        <v>7698</v>
      </c>
      <c r="B2432" s="179" t="s">
        <v>456</v>
      </c>
      <c r="C2432" s="180">
        <v>56</v>
      </c>
    </row>
    <row r="2433" spans="1:3" x14ac:dyDescent="0.25">
      <c r="A2433" s="178">
        <v>7699</v>
      </c>
      <c r="B2433" s="179" t="s">
        <v>456</v>
      </c>
      <c r="C2433" s="180">
        <v>3</v>
      </c>
    </row>
    <row r="2434" spans="1:3" x14ac:dyDescent="0.25">
      <c r="A2434" s="178">
        <v>7700</v>
      </c>
      <c r="B2434" s="179" t="s">
        <v>456</v>
      </c>
      <c r="C2434" s="180">
        <v>1</v>
      </c>
    </row>
    <row r="2435" spans="1:3" x14ac:dyDescent="0.25">
      <c r="A2435" s="178">
        <v>7705</v>
      </c>
      <c r="B2435" s="179" t="s">
        <v>456</v>
      </c>
      <c r="C2435" s="180">
        <v>100</v>
      </c>
    </row>
    <row r="2436" spans="1:3" x14ac:dyDescent="0.25">
      <c r="A2436" s="178">
        <v>7719</v>
      </c>
      <c r="B2436" s="179" t="s">
        <v>456</v>
      </c>
      <c r="C2436" s="180">
        <v>100</v>
      </c>
    </row>
    <row r="2437" spans="1:3" x14ac:dyDescent="0.25">
      <c r="A2437" s="178">
        <v>7739</v>
      </c>
      <c r="B2437" s="179" t="s">
        <v>456</v>
      </c>
      <c r="C2437" s="180">
        <v>1</v>
      </c>
    </row>
    <row r="2438" spans="1:3" x14ac:dyDescent="0.25">
      <c r="A2438" s="178">
        <v>7740</v>
      </c>
      <c r="B2438" s="179" t="s">
        <v>456</v>
      </c>
      <c r="C2438" s="180">
        <v>1</v>
      </c>
    </row>
    <row r="2439" spans="1:3" x14ac:dyDescent="0.25">
      <c r="A2439" s="178">
        <v>7745</v>
      </c>
      <c r="B2439" s="179" t="s">
        <v>456</v>
      </c>
      <c r="C2439" s="180">
        <v>1</v>
      </c>
    </row>
    <row r="2440" spans="1:3" x14ac:dyDescent="0.25">
      <c r="A2440" s="178">
        <v>7756</v>
      </c>
      <c r="B2440" s="179" t="s">
        <v>456</v>
      </c>
      <c r="C2440" s="180">
        <v>100</v>
      </c>
    </row>
    <row r="2441" spans="1:3" x14ac:dyDescent="0.25">
      <c r="A2441" s="178">
        <v>7770</v>
      </c>
      <c r="B2441" s="179" t="s">
        <v>456</v>
      </c>
      <c r="C2441" s="180">
        <v>1</v>
      </c>
    </row>
    <row r="2442" spans="1:3" x14ac:dyDescent="0.25">
      <c r="A2442" s="178">
        <v>7771</v>
      </c>
      <c r="B2442" s="179" t="s">
        <v>456</v>
      </c>
      <c r="C2442" s="180">
        <v>1</v>
      </c>
    </row>
    <row r="2443" spans="1:3" x14ac:dyDescent="0.25">
      <c r="A2443" s="178">
        <v>7773</v>
      </c>
      <c r="B2443" s="179" t="s">
        <v>456</v>
      </c>
      <c r="C2443" s="180">
        <v>48</v>
      </c>
    </row>
    <row r="2444" spans="1:3" x14ac:dyDescent="0.25">
      <c r="A2444" s="178">
        <v>7774</v>
      </c>
      <c r="B2444" s="179" t="s">
        <v>456</v>
      </c>
      <c r="C2444" s="180">
        <v>48</v>
      </c>
    </row>
    <row r="2445" spans="1:3" x14ac:dyDescent="0.25">
      <c r="A2445" s="178">
        <v>7775</v>
      </c>
      <c r="B2445" s="179" t="s">
        <v>456</v>
      </c>
      <c r="C2445" s="180">
        <v>36</v>
      </c>
    </row>
    <row r="2446" spans="1:3" x14ac:dyDescent="0.25">
      <c r="A2446" s="178">
        <v>7776</v>
      </c>
      <c r="B2446" s="179" t="s">
        <v>456</v>
      </c>
      <c r="C2446" s="180">
        <v>1</v>
      </c>
    </row>
    <row r="2447" spans="1:3" x14ac:dyDescent="0.25">
      <c r="A2447" s="178">
        <v>7780</v>
      </c>
      <c r="B2447" s="179" t="s">
        <v>456</v>
      </c>
      <c r="C2447" s="180">
        <v>1</v>
      </c>
    </row>
    <row r="2448" spans="1:3" x14ac:dyDescent="0.25">
      <c r="A2448" s="178">
        <v>7781</v>
      </c>
      <c r="B2448" s="179" t="s">
        <v>456</v>
      </c>
      <c r="C2448" s="180">
        <v>60</v>
      </c>
    </row>
    <row r="2449" spans="1:3" x14ac:dyDescent="0.25">
      <c r="A2449" s="178">
        <v>7782</v>
      </c>
      <c r="B2449" s="179" t="s">
        <v>456</v>
      </c>
      <c r="C2449" s="180">
        <v>48</v>
      </c>
    </row>
    <row r="2450" spans="1:3" x14ac:dyDescent="0.25">
      <c r="A2450" s="178">
        <v>7784</v>
      </c>
      <c r="B2450" s="179" t="s">
        <v>456</v>
      </c>
      <c r="C2450" s="180">
        <v>36</v>
      </c>
    </row>
    <row r="2451" spans="1:3" x14ac:dyDescent="0.25">
      <c r="A2451" s="178">
        <v>7785</v>
      </c>
      <c r="B2451" s="179" t="s">
        <v>456</v>
      </c>
      <c r="C2451" s="180">
        <v>1</v>
      </c>
    </row>
    <row r="2452" spans="1:3" x14ac:dyDescent="0.25">
      <c r="A2452" s="178">
        <v>8055</v>
      </c>
      <c r="B2452" s="179" t="s">
        <v>456</v>
      </c>
      <c r="C2452" s="180">
        <v>40</v>
      </c>
    </row>
    <row r="2453" spans="1:3" x14ac:dyDescent="0.25">
      <c r="A2453" s="178">
        <v>8071</v>
      </c>
      <c r="B2453" s="179" t="s">
        <v>456</v>
      </c>
      <c r="C2453" s="180">
        <v>80</v>
      </c>
    </row>
    <row r="2454" spans="1:3" x14ac:dyDescent="0.25">
      <c r="A2454" s="178">
        <v>8072</v>
      </c>
      <c r="B2454" s="179" t="s">
        <v>456</v>
      </c>
      <c r="C2454" s="180">
        <v>80</v>
      </c>
    </row>
    <row r="2455" spans="1:3" x14ac:dyDescent="0.25">
      <c r="A2455" s="178">
        <v>8086</v>
      </c>
      <c r="B2455" s="179" t="s">
        <v>456</v>
      </c>
      <c r="C2455" s="180">
        <v>18</v>
      </c>
    </row>
    <row r="2456" spans="1:3" x14ac:dyDescent="0.25">
      <c r="A2456" s="178">
        <v>8087</v>
      </c>
      <c r="B2456" s="179" t="s">
        <v>456</v>
      </c>
      <c r="C2456" s="180">
        <v>243</v>
      </c>
    </row>
    <row r="2457" spans="1:3" x14ac:dyDescent="0.25">
      <c r="A2457" s="178">
        <v>8089</v>
      </c>
      <c r="B2457" s="179" t="s">
        <v>456</v>
      </c>
      <c r="C2457" s="180">
        <v>243</v>
      </c>
    </row>
    <row r="2458" spans="1:3" x14ac:dyDescent="0.25">
      <c r="A2458" s="178">
        <v>8095</v>
      </c>
      <c r="B2458" s="179" t="s">
        <v>456</v>
      </c>
      <c r="C2458" s="180">
        <v>90</v>
      </c>
    </row>
    <row r="2459" spans="1:3" x14ac:dyDescent="0.25">
      <c r="A2459" s="178">
        <v>8096</v>
      </c>
      <c r="B2459" s="179" t="s">
        <v>456</v>
      </c>
      <c r="C2459" s="180">
        <v>90</v>
      </c>
    </row>
    <row r="2460" spans="1:3" x14ac:dyDescent="0.25">
      <c r="A2460" s="178">
        <v>8097</v>
      </c>
      <c r="B2460" s="179" t="s">
        <v>456</v>
      </c>
      <c r="C2460" s="180">
        <v>90</v>
      </c>
    </row>
    <row r="2461" spans="1:3" x14ac:dyDescent="0.25">
      <c r="A2461" s="178">
        <v>8099</v>
      </c>
      <c r="B2461" s="179" t="s">
        <v>456</v>
      </c>
      <c r="C2461" s="180">
        <v>21</v>
      </c>
    </row>
    <row r="2462" spans="1:3" x14ac:dyDescent="0.25">
      <c r="A2462" s="178">
        <v>8101</v>
      </c>
      <c r="B2462" s="179" t="s">
        <v>456</v>
      </c>
      <c r="C2462" s="180">
        <v>40</v>
      </c>
    </row>
    <row r="2463" spans="1:3" x14ac:dyDescent="0.25">
      <c r="A2463" s="178">
        <v>8102</v>
      </c>
      <c r="B2463" s="179" t="s">
        <v>456</v>
      </c>
      <c r="C2463" s="180">
        <v>40</v>
      </c>
    </row>
    <row r="2464" spans="1:3" x14ac:dyDescent="0.25">
      <c r="A2464" s="178">
        <v>8103</v>
      </c>
      <c r="B2464" s="179" t="s">
        <v>456</v>
      </c>
      <c r="C2464" s="180">
        <v>232</v>
      </c>
    </row>
    <row r="2465" spans="1:3" x14ac:dyDescent="0.25">
      <c r="A2465" s="178">
        <v>8104</v>
      </c>
      <c r="B2465" s="179" t="s">
        <v>456</v>
      </c>
      <c r="C2465" s="180">
        <v>232</v>
      </c>
    </row>
    <row r="2466" spans="1:3" x14ac:dyDescent="0.25">
      <c r="A2466" s="178">
        <v>8105</v>
      </c>
      <c r="B2466" s="179" t="s">
        <v>456</v>
      </c>
      <c r="C2466" s="180">
        <v>232</v>
      </c>
    </row>
    <row r="2467" spans="1:3" x14ac:dyDescent="0.25">
      <c r="A2467" s="178">
        <v>8106</v>
      </c>
      <c r="B2467" s="179" t="s">
        <v>456</v>
      </c>
      <c r="C2467" s="180">
        <v>232</v>
      </c>
    </row>
    <row r="2468" spans="1:3" x14ac:dyDescent="0.25">
      <c r="A2468" s="178">
        <v>8107</v>
      </c>
      <c r="B2468" s="179" t="s">
        <v>456</v>
      </c>
      <c r="C2468" s="180">
        <v>232</v>
      </c>
    </row>
    <row r="2469" spans="1:3" x14ac:dyDescent="0.25">
      <c r="A2469" s="178">
        <v>8108</v>
      </c>
      <c r="B2469" s="179" t="s">
        <v>456</v>
      </c>
      <c r="C2469" s="180">
        <v>95</v>
      </c>
    </row>
    <row r="2470" spans="1:3" x14ac:dyDescent="0.25">
      <c r="A2470" s="178">
        <v>8109</v>
      </c>
      <c r="B2470" s="179" t="s">
        <v>456</v>
      </c>
      <c r="C2470" s="180">
        <v>3</v>
      </c>
    </row>
    <row r="2471" spans="1:3" x14ac:dyDescent="0.25">
      <c r="A2471" s="178">
        <v>8110</v>
      </c>
      <c r="B2471" s="179" t="s">
        <v>456</v>
      </c>
      <c r="C2471" s="180">
        <v>21</v>
      </c>
    </row>
    <row r="2472" spans="1:3" x14ac:dyDescent="0.25">
      <c r="A2472" s="178">
        <v>8111</v>
      </c>
      <c r="B2472" s="179" t="s">
        <v>456</v>
      </c>
      <c r="C2472" s="180">
        <v>8</v>
      </c>
    </row>
    <row r="2473" spans="1:3" x14ac:dyDescent="0.25">
      <c r="A2473" s="178">
        <v>8112</v>
      </c>
      <c r="B2473" s="179" t="s">
        <v>456</v>
      </c>
      <c r="C2473" s="180">
        <v>850</v>
      </c>
    </row>
    <row r="2474" spans="1:3" x14ac:dyDescent="0.25">
      <c r="A2474" s="178">
        <v>8114</v>
      </c>
      <c r="B2474" s="179" t="s">
        <v>456</v>
      </c>
      <c r="C2474" s="180">
        <v>48</v>
      </c>
    </row>
    <row r="2475" spans="1:3" x14ac:dyDescent="0.25">
      <c r="A2475" s="178">
        <v>8115</v>
      </c>
      <c r="B2475" s="179" t="s">
        <v>456</v>
      </c>
      <c r="C2475" s="180">
        <v>3</v>
      </c>
    </row>
    <row r="2476" spans="1:3" x14ac:dyDescent="0.25">
      <c r="A2476" s="178">
        <v>8116</v>
      </c>
      <c r="B2476" s="179" t="s">
        <v>456</v>
      </c>
      <c r="C2476" s="180">
        <v>95</v>
      </c>
    </row>
    <row r="2477" spans="1:3" x14ac:dyDescent="0.25">
      <c r="A2477" s="178">
        <v>8117</v>
      </c>
      <c r="B2477" s="179" t="s">
        <v>456</v>
      </c>
      <c r="C2477" s="180">
        <v>60</v>
      </c>
    </row>
    <row r="2478" spans="1:3" x14ac:dyDescent="0.25">
      <c r="A2478" s="178">
        <v>8118</v>
      </c>
      <c r="B2478" s="179" t="s">
        <v>456</v>
      </c>
      <c r="C2478" s="180">
        <v>60</v>
      </c>
    </row>
    <row r="2479" spans="1:3" x14ac:dyDescent="0.25">
      <c r="A2479" s="178">
        <v>8119</v>
      </c>
      <c r="B2479" s="179" t="s">
        <v>456</v>
      </c>
      <c r="C2479" s="180">
        <v>60</v>
      </c>
    </row>
    <row r="2480" spans="1:3" x14ac:dyDescent="0.25">
      <c r="A2480" s="178">
        <v>8120</v>
      </c>
      <c r="B2480" s="179" t="s">
        <v>456</v>
      </c>
      <c r="C2480" s="180">
        <v>3</v>
      </c>
    </row>
    <row r="2481" spans="1:3" x14ac:dyDescent="0.25">
      <c r="A2481" s="178">
        <v>8121</v>
      </c>
      <c r="B2481" s="179" t="s">
        <v>456</v>
      </c>
      <c r="C2481" s="180">
        <v>80</v>
      </c>
    </row>
    <row r="2482" spans="1:3" x14ac:dyDescent="0.25">
      <c r="A2482" s="178">
        <v>8122</v>
      </c>
      <c r="B2482" s="179" t="s">
        <v>456</v>
      </c>
      <c r="C2482" s="180">
        <v>3</v>
      </c>
    </row>
    <row r="2483" spans="1:3" x14ac:dyDescent="0.25">
      <c r="A2483" s="178">
        <v>8123</v>
      </c>
      <c r="B2483" s="179" t="s">
        <v>456</v>
      </c>
      <c r="C2483" s="180">
        <v>3</v>
      </c>
    </row>
    <row r="2484" spans="1:3" x14ac:dyDescent="0.25">
      <c r="A2484" s="178">
        <v>8124</v>
      </c>
      <c r="B2484" s="179" t="s">
        <v>456</v>
      </c>
      <c r="C2484" s="180">
        <v>45</v>
      </c>
    </row>
    <row r="2485" spans="1:3" x14ac:dyDescent="0.25">
      <c r="A2485" s="178">
        <v>8125</v>
      </c>
      <c r="B2485" s="179" t="s">
        <v>456</v>
      </c>
      <c r="C2485" s="180">
        <v>6</v>
      </c>
    </row>
    <row r="2486" spans="1:3" x14ac:dyDescent="0.25">
      <c r="A2486" s="178">
        <v>8126</v>
      </c>
      <c r="B2486" s="179" t="s">
        <v>456</v>
      </c>
      <c r="C2486" s="180">
        <v>51</v>
      </c>
    </row>
    <row r="2487" spans="1:3" x14ac:dyDescent="0.25">
      <c r="A2487" s="178">
        <v>8127</v>
      </c>
      <c r="B2487" s="179" t="s">
        <v>456</v>
      </c>
      <c r="C2487" s="180">
        <v>6</v>
      </c>
    </row>
    <row r="2488" spans="1:3" x14ac:dyDescent="0.25">
      <c r="A2488" s="178">
        <v>8128</v>
      </c>
      <c r="B2488" s="179" t="s">
        <v>456</v>
      </c>
      <c r="C2488" s="180">
        <v>100</v>
      </c>
    </row>
    <row r="2489" spans="1:3" x14ac:dyDescent="0.25">
      <c r="A2489" s="178">
        <v>8129</v>
      </c>
      <c r="B2489" s="179" t="s">
        <v>456</v>
      </c>
      <c r="C2489" s="180">
        <v>45</v>
      </c>
    </row>
    <row r="2490" spans="1:3" x14ac:dyDescent="0.25">
      <c r="A2490" s="178">
        <v>8131</v>
      </c>
      <c r="B2490" s="179" t="s">
        <v>456</v>
      </c>
      <c r="C2490" s="180">
        <v>6</v>
      </c>
    </row>
    <row r="2491" spans="1:3" x14ac:dyDescent="0.25">
      <c r="A2491" s="178">
        <v>8132</v>
      </c>
      <c r="B2491" s="179" t="s">
        <v>456</v>
      </c>
      <c r="C2491" s="180">
        <v>95</v>
      </c>
    </row>
    <row r="2492" spans="1:3" x14ac:dyDescent="0.25">
      <c r="A2492" s="178">
        <v>8133</v>
      </c>
      <c r="B2492" s="179" t="s">
        <v>456</v>
      </c>
      <c r="C2492" s="180">
        <v>48</v>
      </c>
    </row>
    <row r="2493" spans="1:3" x14ac:dyDescent="0.25">
      <c r="A2493" s="178">
        <v>8134</v>
      </c>
      <c r="B2493" s="179" t="s">
        <v>456</v>
      </c>
      <c r="C2493" s="180">
        <v>95</v>
      </c>
    </row>
    <row r="2494" spans="1:3" x14ac:dyDescent="0.25">
      <c r="A2494" s="178">
        <v>8135</v>
      </c>
      <c r="B2494" s="179" t="s">
        <v>456</v>
      </c>
      <c r="C2494" s="180">
        <v>120</v>
      </c>
    </row>
    <row r="2495" spans="1:3" x14ac:dyDescent="0.25">
      <c r="A2495" s="178">
        <v>8136</v>
      </c>
      <c r="B2495" s="179" t="s">
        <v>456</v>
      </c>
      <c r="C2495" s="180">
        <v>95</v>
      </c>
    </row>
    <row r="2496" spans="1:3" x14ac:dyDescent="0.25">
      <c r="A2496" s="178">
        <v>8137</v>
      </c>
      <c r="B2496" s="179" t="s">
        <v>456</v>
      </c>
      <c r="C2496" s="180">
        <v>95</v>
      </c>
    </row>
    <row r="2497" spans="1:3" x14ac:dyDescent="0.25">
      <c r="A2497" s="178">
        <v>8138</v>
      </c>
      <c r="B2497" s="179" t="s">
        <v>456</v>
      </c>
      <c r="C2497" s="180">
        <v>51</v>
      </c>
    </row>
    <row r="2498" spans="1:3" x14ac:dyDescent="0.25">
      <c r="A2498" s="178">
        <v>8139</v>
      </c>
      <c r="B2498" s="179" t="s">
        <v>456</v>
      </c>
      <c r="C2498" s="180">
        <v>3</v>
      </c>
    </row>
    <row r="2499" spans="1:3" x14ac:dyDescent="0.25">
      <c r="A2499" s="178">
        <v>8140</v>
      </c>
      <c r="B2499" s="179" t="s">
        <v>456</v>
      </c>
      <c r="C2499" s="180">
        <v>3</v>
      </c>
    </row>
    <row r="2500" spans="1:3" x14ac:dyDescent="0.25">
      <c r="A2500" s="178">
        <v>8141</v>
      </c>
      <c r="B2500" s="179" t="s">
        <v>456</v>
      </c>
      <c r="C2500" s="180">
        <v>3</v>
      </c>
    </row>
    <row r="2501" spans="1:3" x14ac:dyDescent="0.25">
      <c r="A2501" s="178">
        <v>8142</v>
      </c>
      <c r="B2501" s="179" t="s">
        <v>456</v>
      </c>
      <c r="C2501" s="180">
        <v>3</v>
      </c>
    </row>
    <row r="2502" spans="1:3" x14ac:dyDescent="0.25">
      <c r="A2502" s="178">
        <v>8143</v>
      </c>
      <c r="B2502" s="179" t="s">
        <v>456</v>
      </c>
      <c r="C2502" s="180">
        <v>3</v>
      </c>
    </row>
    <row r="2503" spans="1:3" x14ac:dyDescent="0.25">
      <c r="A2503" s="178">
        <v>8144</v>
      </c>
      <c r="B2503" s="179" t="s">
        <v>456</v>
      </c>
      <c r="C2503" s="180">
        <v>3</v>
      </c>
    </row>
    <row r="2504" spans="1:3" x14ac:dyDescent="0.25">
      <c r="A2504" s="178">
        <v>8145</v>
      </c>
      <c r="B2504" s="179" t="s">
        <v>456</v>
      </c>
      <c r="C2504" s="180">
        <v>48</v>
      </c>
    </row>
    <row r="2505" spans="1:3" x14ac:dyDescent="0.25">
      <c r="A2505" s="178">
        <v>8146</v>
      </c>
      <c r="B2505" s="179" t="s">
        <v>456</v>
      </c>
      <c r="C2505" s="180">
        <v>3</v>
      </c>
    </row>
    <row r="2506" spans="1:3" x14ac:dyDescent="0.25">
      <c r="A2506" s="178">
        <v>8147</v>
      </c>
      <c r="B2506" s="179" t="s">
        <v>456</v>
      </c>
      <c r="C2506" s="180">
        <v>3</v>
      </c>
    </row>
    <row r="2507" spans="1:3" x14ac:dyDescent="0.25">
      <c r="A2507" s="178">
        <v>8148</v>
      </c>
      <c r="B2507" s="179" t="s">
        <v>456</v>
      </c>
      <c r="C2507" s="180">
        <v>3</v>
      </c>
    </row>
    <row r="2508" spans="1:3" x14ac:dyDescent="0.25">
      <c r="A2508" s="178">
        <v>8149</v>
      </c>
      <c r="B2508" s="179" t="s">
        <v>456</v>
      </c>
      <c r="C2508" s="180">
        <v>80</v>
      </c>
    </row>
    <row r="2509" spans="1:3" x14ac:dyDescent="0.25">
      <c r="A2509" s="178">
        <v>8150</v>
      </c>
      <c r="B2509" s="179" t="s">
        <v>456</v>
      </c>
      <c r="C2509" s="180">
        <v>108</v>
      </c>
    </row>
    <row r="2510" spans="1:3" x14ac:dyDescent="0.25">
      <c r="A2510" s="178">
        <v>8151</v>
      </c>
      <c r="B2510" s="179" t="s">
        <v>456</v>
      </c>
      <c r="C2510" s="180">
        <v>3</v>
      </c>
    </row>
    <row r="2511" spans="1:3" x14ac:dyDescent="0.25">
      <c r="A2511" s="178">
        <v>8152</v>
      </c>
      <c r="B2511" s="179" t="s">
        <v>456</v>
      </c>
      <c r="C2511" s="180">
        <v>52</v>
      </c>
    </row>
    <row r="2512" spans="1:3" x14ac:dyDescent="0.25">
      <c r="A2512" s="178">
        <v>8153</v>
      </c>
      <c r="B2512" s="179" t="s">
        <v>456</v>
      </c>
      <c r="C2512" s="180">
        <v>52</v>
      </c>
    </row>
    <row r="2513" spans="1:3" x14ac:dyDescent="0.25">
      <c r="A2513" s="178">
        <v>8154</v>
      </c>
      <c r="B2513" s="179" t="s">
        <v>456</v>
      </c>
      <c r="C2513" s="180">
        <v>63</v>
      </c>
    </row>
    <row r="2514" spans="1:3" x14ac:dyDescent="0.25">
      <c r="A2514" s="178">
        <v>8155</v>
      </c>
      <c r="B2514" s="179" t="s">
        <v>456</v>
      </c>
      <c r="C2514" s="180">
        <v>63</v>
      </c>
    </row>
    <row r="2515" spans="1:3" x14ac:dyDescent="0.25">
      <c r="A2515" s="178">
        <v>8156</v>
      </c>
      <c r="B2515" s="179" t="s">
        <v>456</v>
      </c>
      <c r="C2515" s="180">
        <v>63</v>
      </c>
    </row>
    <row r="2516" spans="1:3" x14ac:dyDescent="0.25">
      <c r="A2516" s="178">
        <v>8157</v>
      </c>
      <c r="B2516" s="179" t="s">
        <v>456</v>
      </c>
      <c r="C2516" s="180">
        <v>3</v>
      </c>
    </row>
    <row r="2517" spans="1:3" x14ac:dyDescent="0.25">
      <c r="A2517" s="178">
        <v>8163</v>
      </c>
      <c r="B2517" s="179" t="s">
        <v>456</v>
      </c>
      <c r="C2517" s="180">
        <v>21</v>
      </c>
    </row>
    <row r="2518" spans="1:3" x14ac:dyDescent="0.25">
      <c r="A2518" s="178">
        <v>8164</v>
      </c>
      <c r="B2518" s="179" t="s">
        <v>456</v>
      </c>
      <c r="C2518" s="180">
        <v>21</v>
      </c>
    </row>
    <row r="2519" spans="1:3" x14ac:dyDescent="0.25">
      <c r="A2519" s="178">
        <v>8165</v>
      </c>
      <c r="B2519" s="179" t="s">
        <v>456</v>
      </c>
      <c r="C2519" s="180">
        <v>36</v>
      </c>
    </row>
    <row r="2520" spans="1:3" x14ac:dyDescent="0.25">
      <c r="A2520" s="178">
        <v>8170</v>
      </c>
      <c r="B2520" s="179" t="s">
        <v>456</v>
      </c>
      <c r="C2520" s="180">
        <v>63</v>
      </c>
    </row>
    <row r="2521" spans="1:3" x14ac:dyDescent="0.25">
      <c r="A2521" s="178">
        <v>8171</v>
      </c>
      <c r="B2521" s="179" t="s">
        <v>456</v>
      </c>
      <c r="C2521" s="180">
        <v>80</v>
      </c>
    </row>
    <row r="2522" spans="1:3" x14ac:dyDescent="0.25">
      <c r="A2522" s="178">
        <v>8172</v>
      </c>
      <c r="B2522" s="179" t="s">
        <v>456</v>
      </c>
      <c r="C2522" s="180">
        <v>108</v>
      </c>
    </row>
    <row r="2523" spans="1:3" x14ac:dyDescent="0.25">
      <c r="A2523" s="178">
        <v>8194</v>
      </c>
      <c r="B2523" s="179" t="s">
        <v>456</v>
      </c>
      <c r="C2523" s="180">
        <v>45</v>
      </c>
    </row>
    <row r="2524" spans="1:3" x14ac:dyDescent="0.25">
      <c r="A2524" s="178">
        <v>8195</v>
      </c>
      <c r="B2524" s="179" t="s">
        <v>456</v>
      </c>
      <c r="C2524" s="180">
        <v>45</v>
      </c>
    </row>
    <row r="2525" spans="1:3" x14ac:dyDescent="0.25">
      <c r="A2525" s="178">
        <v>8196</v>
      </c>
      <c r="B2525" s="179" t="s">
        <v>456</v>
      </c>
      <c r="C2525" s="180">
        <v>52</v>
      </c>
    </row>
    <row r="2526" spans="1:3" x14ac:dyDescent="0.25">
      <c r="A2526" s="178">
        <v>8199</v>
      </c>
      <c r="B2526" s="179" t="s">
        <v>456</v>
      </c>
      <c r="C2526" s="180">
        <v>48</v>
      </c>
    </row>
    <row r="2527" spans="1:3" x14ac:dyDescent="0.25">
      <c r="A2527" s="178">
        <v>8201</v>
      </c>
      <c r="B2527" s="179" t="s">
        <v>456</v>
      </c>
      <c r="C2527" s="180">
        <v>48</v>
      </c>
    </row>
    <row r="2528" spans="1:3" x14ac:dyDescent="0.25">
      <c r="A2528" s="178">
        <v>8202</v>
      </c>
      <c r="B2528" s="179" t="s">
        <v>456</v>
      </c>
      <c r="C2528" s="180">
        <v>45</v>
      </c>
    </row>
    <row r="2529" spans="1:3" x14ac:dyDescent="0.25">
      <c r="A2529" s="178">
        <v>8204</v>
      </c>
      <c r="B2529" s="179" t="s">
        <v>456</v>
      </c>
      <c r="C2529" s="180">
        <v>56</v>
      </c>
    </row>
    <row r="2530" spans="1:3" x14ac:dyDescent="0.25">
      <c r="A2530" s="178">
        <v>8205</v>
      </c>
      <c r="B2530" s="179" t="s">
        <v>456</v>
      </c>
      <c r="C2530" s="180">
        <v>57</v>
      </c>
    </row>
    <row r="2531" spans="1:3" x14ac:dyDescent="0.25">
      <c r="A2531" s="178">
        <v>8206</v>
      </c>
      <c r="B2531" s="179" t="s">
        <v>456</v>
      </c>
      <c r="C2531" s="180">
        <v>80</v>
      </c>
    </row>
    <row r="2532" spans="1:3" x14ac:dyDescent="0.25">
      <c r="A2532" s="178">
        <v>8207</v>
      </c>
      <c r="B2532" s="179" t="s">
        <v>456</v>
      </c>
      <c r="C2532" s="180">
        <v>80</v>
      </c>
    </row>
    <row r="2533" spans="1:3" x14ac:dyDescent="0.25">
      <c r="A2533" s="178">
        <v>8208</v>
      </c>
      <c r="B2533" s="179" t="s">
        <v>456</v>
      </c>
      <c r="C2533" s="180">
        <v>51</v>
      </c>
    </row>
    <row r="2534" spans="1:3" x14ac:dyDescent="0.25">
      <c r="A2534" s="178">
        <v>8210</v>
      </c>
      <c r="B2534" s="179" t="s">
        <v>456</v>
      </c>
      <c r="C2534" s="180">
        <v>60</v>
      </c>
    </row>
    <row r="2535" spans="1:3" x14ac:dyDescent="0.25">
      <c r="A2535" s="178">
        <v>8211</v>
      </c>
      <c r="B2535" s="179" t="s">
        <v>456</v>
      </c>
      <c r="C2535" s="180">
        <v>60</v>
      </c>
    </row>
    <row r="2536" spans="1:3" x14ac:dyDescent="0.25">
      <c r="A2536" s="178">
        <v>8212</v>
      </c>
      <c r="B2536" s="179" t="s">
        <v>456</v>
      </c>
      <c r="C2536" s="180">
        <v>64</v>
      </c>
    </row>
    <row r="2537" spans="1:3" x14ac:dyDescent="0.25">
      <c r="A2537" s="178">
        <v>8213</v>
      </c>
      <c r="B2537" s="179" t="s">
        <v>456</v>
      </c>
      <c r="C2537" s="180">
        <v>60</v>
      </c>
    </row>
    <row r="2538" spans="1:3" x14ac:dyDescent="0.25">
      <c r="A2538" s="178">
        <v>8216</v>
      </c>
      <c r="B2538" s="179" t="s">
        <v>456</v>
      </c>
      <c r="C2538" s="180">
        <v>2</v>
      </c>
    </row>
    <row r="2539" spans="1:3" x14ac:dyDescent="0.25">
      <c r="A2539" s="178">
        <v>8217</v>
      </c>
      <c r="B2539" s="179" t="s">
        <v>456</v>
      </c>
      <c r="C2539" s="180">
        <v>95</v>
      </c>
    </row>
    <row r="2540" spans="1:3" x14ac:dyDescent="0.25">
      <c r="A2540" s="178">
        <v>8218</v>
      </c>
      <c r="B2540" s="179" t="s">
        <v>456</v>
      </c>
      <c r="C2540" s="180">
        <v>3</v>
      </c>
    </row>
    <row r="2541" spans="1:3" x14ac:dyDescent="0.25">
      <c r="A2541" s="178">
        <v>8220</v>
      </c>
      <c r="B2541" s="179" t="s">
        <v>456</v>
      </c>
      <c r="C2541" s="180">
        <v>80</v>
      </c>
    </row>
    <row r="2542" spans="1:3" x14ac:dyDescent="0.25">
      <c r="A2542" s="178">
        <v>8222</v>
      </c>
      <c r="B2542" s="179" t="s">
        <v>456</v>
      </c>
      <c r="C2542" s="180">
        <v>24</v>
      </c>
    </row>
    <row r="2543" spans="1:3" x14ac:dyDescent="0.25">
      <c r="A2543" s="178">
        <v>8224</v>
      </c>
      <c r="B2543" s="179" t="s">
        <v>456</v>
      </c>
      <c r="C2543" s="180">
        <v>51</v>
      </c>
    </row>
    <row r="2544" spans="1:3" x14ac:dyDescent="0.25">
      <c r="A2544" s="178">
        <v>8226</v>
      </c>
      <c r="B2544" s="179" t="s">
        <v>456</v>
      </c>
      <c r="C2544" s="180">
        <v>48</v>
      </c>
    </row>
    <row r="2545" spans="1:3" x14ac:dyDescent="0.25">
      <c r="A2545" s="178">
        <v>8227</v>
      </c>
      <c r="B2545" s="179" t="s">
        <v>456</v>
      </c>
      <c r="C2545" s="180">
        <v>48</v>
      </c>
    </row>
    <row r="2546" spans="1:3" x14ac:dyDescent="0.25">
      <c r="A2546" s="178">
        <v>8228</v>
      </c>
      <c r="B2546" s="179" t="s">
        <v>456</v>
      </c>
      <c r="C2546" s="180">
        <v>48</v>
      </c>
    </row>
    <row r="2547" spans="1:3" x14ac:dyDescent="0.25">
      <c r="A2547" s="178">
        <v>8229</v>
      </c>
      <c r="B2547" s="179" t="s">
        <v>456</v>
      </c>
      <c r="C2547" s="180">
        <v>120</v>
      </c>
    </row>
    <row r="2548" spans="1:3" x14ac:dyDescent="0.25">
      <c r="A2548" s="178">
        <v>8230</v>
      </c>
      <c r="B2548" s="179" t="s">
        <v>456</v>
      </c>
      <c r="C2548" s="180">
        <v>60</v>
      </c>
    </row>
    <row r="2549" spans="1:3" x14ac:dyDescent="0.25">
      <c r="A2549" s="178">
        <v>8231</v>
      </c>
      <c r="B2549" s="179" t="s">
        <v>456</v>
      </c>
      <c r="C2549" s="180">
        <v>48</v>
      </c>
    </row>
    <row r="2550" spans="1:3" x14ac:dyDescent="0.25">
      <c r="A2550" s="178">
        <v>8232</v>
      </c>
      <c r="B2550" s="179" t="s">
        <v>456</v>
      </c>
      <c r="C2550" s="180">
        <v>60</v>
      </c>
    </row>
    <row r="2551" spans="1:3" x14ac:dyDescent="0.25">
      <c r="A2551" s="178">
        <v>8233</v>
      </c>
      <c r="B2551" s="179" t="s">
        <v>456</v>
      </c>
      <c r="C2551" s="180">
        <v>60</v>
      </c>
    </row>
    <row r="2552" spans="1:3" x14ac:dyDescent="0.25">
      <c r="A2552" s="178">
        <v>8234</v>
      </c>
      <c r="B2552" s="179" t="s">
        <v>456</v>
      </c>
      <c r="C2552" s="180">
        <v>60</v>
      </c>
    </row>
    <row r="2553" spans="1:3" x14ac:dyDescent="0.25">
      <c r="A2553" s="178">
        <v>8235</v>
      </c>
      <c r="B2553" s="179" t="s">
        <v>456</v>
      </c>
      <c r="C2553" s="180">
        <v>60</v>
      </c>
    </row>
    <row r="2554" spans="1:3" x14ac:dyDescent="0.25">
      <c r="A2554" s="178">
        <v>8236</v>
      </c>
      <c r="B2554" s="179" t="s">
        <v>456</v>
      </c>
      <c r="C2554" s="180">
        <v>95</v>
      </c>
    </row>
    <row r="2555" spans="1:3" x14ac:dyDescent="0.25">
      <c r="A2555" s="178">
        <v>8237</v>
      </c>
      <c r="B2555" s="179" t="s">
        <v>456</v>
      </c>
      <c r="C2555" s="180">
        <v>95</v>
      </c>
    </row>
    <row r="2556" spans="1:3" x14ac:dyDescent="0.25">
      <c r="A2556" s="178">
        <v>8238</v>
      </c>
      <c r="B2556" s="179" t="s">
        <v>456</v>
      </c>
      <c r="C2556" s="180">
        <v>95</v>
      </c>
    </row>
    <row r="2557" spans="1:3" x14ac:dyDescent="0.25">
      <c r="A2557" s="178">
        <v>8239</v>
      </c>
      <c r="B2557" s="179" t="s">
        <v>456</v>
      </c>
      <c r="C2557" s="180">
        <v>48</v>
      </c>
    </row>
    <row r="2558" spans="1:3" x14ac:dyDescent="0.25">
      <c r="A2558" s="178">
        <v>8240</v>
      </c>
      <c r="B2558" s="179" t="s">
        <v>456</v>
      </c>
      <c r="C2558" s="180">
        <v>95</v>
      </c>
    </row>
    <row r="2559" spans="1:3" x14ac:dyDescent="0.25">
      <c r="A2559" s="178">
        <v>8241</v>
      </c>
      <c r="B2559" s="179" t="s">
        <v>456</v>
      </c>
      <c r="C2559" s="180">
        <v>95</v>
      </c>
    </row>
    <row r="2560" spans="1:3" x14ac:dyDescent="0.25">
      <c r="A2560" s="178">
        <v>8242</v>
      </c>
      <c r="B2560" s="179" t="s">
        <v>456</v>
      </c>
      <c r="C2560" s="180">
        <v>95</v>
      </c>
    </row>
    <row r="2561" spans="1:3" x14ac:dyDescent="0.25">
      <c r="A2561" s="178">
        <v>8243</v>
      </c>
      <c r="B2561" s="179" t="s">
        <v>456</v>
      </c>
      <c r="C2561" s="180">
        <v>3</v>
      </c>
    </row>
    <row r="2562" spans="1:3" x14ac:dyDescent="0.25">
      <c r="A2562" s="178">
        <v>8244</v>
      </c>
      <c r="B2562" s="179" t="s">
        <v>456</v>
      </c>
      <c r="C2562" s="180">
        <v>3</v>
      </c>
    </row>
    <row r="2563" spans="1:3" x14ac:dyDescent="0.25">
      <c r="A2563" s="178">
        <v>8245</v>
      </c>
      <c r="B2563" s="179" t="s">
        <v>456</v>
      </c>
      <c r="C2563" s="180">
        <v>3</v>
      </c>
    </row>
    <row r="2564" spans="1:3" x14ac:dyDescent="0.25">
      <c r="A2564" s="178">
        <v>8246</v>
      </c>
      <c r="B2564" s="179" t="s">
        <v>456</v>
      </c>
      <c r="C2564" s="180">
        <v>60</v>
      </c>
    </row>
    <row r="2565" spans="1:3" x14ac:dyDescent="0.25">
      <c r="A2565" s="178">
        <v>8247</v>
      </c>
      <c r="B2565" s="179" t="s">
        <v>456</v>
      </c>
      <c r="C2565" s="180">
        <v>60</v>
      </c>
    </row>
    <row r="2566" spans="1:3" x14ac:dyDescent="0.25">
      <c r="A2566" s="178">
        <v>8248</v>
      </c>
      <c r="B2566" s="179" t="s">
        <v>456</v>
      </c>
      <c r="C2566" s="180">
        <v>60</v>
      </c>
    </row>
    <row r="2567" spans="1:3" x14ac:dyDescent="0.25">
      <c r="A2567" s="178">
        <v>8249</v>
      </c>
      <c r="B2567" s="179" t="s">
        <v>456</v>
      </c>
      <c r="C2567" s="180">
        <v>24</v>
      </c>
    </row>
    <row r="2568" spans="1:3" x14ac:dyDescent="0.25">
      <c r="A2568" s="178">
        <v>8250</v>
      </c>
      <c r="B2568" s="179" t="s">
        <v>456</v>
      </c>
      <c r="C2568" s="180">
        <v>1</v>
      </c>
    </row>
    <row r="2569" spans="1:3" x14ac:dyDescent="0.25">
      <c r="A2569" s="178">
        <v>8251</v>
      </c>
      <c r="B2569" s="179" t="s">
        <v>456</v>
      </c>
      <c r="C2569" s="180">
        <v>95</v>
      </c>
    </row>
    <row r="2570" spans="1:3" x14ac:dyDescent="0.25">
      <c r="A2570" s="178">
        <v>8252</v>
      </c>
      <c r="B2570" s="179" t="s">
        <v>456</v>
      </c>
      <c r="C2570" s="180">
        <v>3</v>
      </c>
    </row>
    <row r="2571" spans="1:3" x14ac:dyDescent="0.25">
      <c r="A2571" s="178">
        <v>8253</v>
      </c>
      <c r="B2571" s="179" t="s">
        <v>456</v>
      </c>
      <c r="C2571" s="180">
        <v>95</v>
      </c>
    </row>
    <row r="2572" spans="1:3" x14ac:dyDescent="0.25">
      <c r="A2572" s="178">
        <v>8254</v>
      </c>
      <c r="B2572" s="179" t="s">
        <v>456</v>
      </c>
      <c r="C2572" s="180">
        <v>3</v>
      </c>
    </row>
    <row r="2573" spans="1:3" x14ac:dyDescent="0.25">
      <c r="A2573" s="178">
        <v>8255</v>
      </c>
      <c r="B2573" s="179" t="s">
        <v>456</v>
      </c>
      <c r="C2573" s="180">
        <v>95</v>
      </c>
    </row>
    <row r="2574" spans="1:3" x14ac:dyDescent="0.25">
      <c r="A2574" s="178">
        <v>8256</v>
      </c>
      <c r="B2574" s="179" t="s">
        <v>456</v>
      </c>
      <c r="C2574" s="180">
        <v>3</v>
      </c>
    </row>
    <row r="2575" spans="1:3" x14ac:dyDescent="0.25">
      <c r="A2575" s="178">
        <v>8257</v>
      </c>
      <c r="B2575" s="179" t="s">
        <v>456</v>
      </c>
      <c r="C2575" s="180">
        <v>3</v>
      </c>
    </row>
    <row r="2576" spans="1:3" x14ac:dyDescent="0.25">
      <c r="A2576" s="178">
        <v>8258</v>
      </c>
      <c r="B2576" s="179" t="s">
        <v>456</v>
      </c>
      <c r="C2576" s="180">
        <v>3</v>
      </c>
    </row>
    <row r="2577" spans="1:3" x14ac:dyDescent="0.25">
      <c r="A2577" s="178">
        <v>8259</v>
      </c>
      <c r="B2577" s="179" t="s">
        <v>456</v>
      </c>
      <c r="C2577" s="180">
        <v>324</v>
      </c>
    </row>
    <row r="2578" spans="1:3" x14ac:dyDescent="0.25">
      <c r="A2578" s="178">
        <v>8260</v>
      </c>
      <c r="B2578" s="179" t="s">
        <v>456</v>
      </c>
      <c r="C2578" s="180">
        <v>1</v>
      </c>
    </row>
    <row r="2579" spans="1:3" x14ac:dyDescent="0.25">
      <c r="A2579" s="178">
        <v>8261</v>
      </c>
      <c r="B2579" s="179" t="s">
        <v>456</v>
      </c>
      <c r="C2579" s="180">
        <v>1</v>
      </c>
    </row>
    <row r="2580" spans="1:3" x14ac:dyDescent="0.25">
      <c r="A2580" s="178">
        <v>8262</v>
      </c>
      <c r="B2580" s="179" t="s">
        <v>456</v>
      </c>
      <c r="C2580" s="180">
        <v>1</v>
      </c>
    </row>
    <row r="2581" spans="1:3" x14ac:dyDescent="0.25">
      <c r="A2581" s="178">
        <v>8263</v>
      </c>
      <c r="B2581" s="179" t="s">
        <v>456</v>
      </c>
      <c r="C2581" s="180">
        <v>324</v>
      </c>
    </row>
    <row r="2582" spans="1:3" x14ac:dyDescent="0.25">
      <c r="A2582" s="178">
        <v>8264</v>
      </c>
      <c r="B2582" s="179" t="s">
        <v>456</v>
      </c>
      <c r="C2582" s="180">
        <v>324</v>
      </c>
    </row>
    <row r="2583" spans="1:3" x14ac:dyDescent="0.25">
      <c r="A2583" s="178">
        <v>8265</v>
      </c>
      <c r="B2583" s="179" t="s">
        <v>456</v>
      </c>
      <c r="C2583" s="180">
        <v>180</v>
      </c>
    </row>
    <row r="2584" spans="1:3" x14ac:dyDescent="0.25">
      <c r="A2584" s="178">
        <v>8266</v>
      </c>
      <c r="B2584" s="179" t="s">
        <v>456</v>
      </c>
      <c r="C2584" s="180">
        <v>224</v>
      </c>
    </row>
    <row r="2585" spans="1:3" x14ac:dyDescent="0.25">
      <c r="A2585" s="178">
        <v>8267</v>
      </c>
      <c r="B2585" s="179" t="s">
        <v>456</v>
      </c>
      <c r="C2585" s="180">
        <v>48</v>
      </c>
    </row>
    <row r="2586" spans="1:3" x14ac:dyDescent="0.25">
      <c r="A2586" s="178">
        <v>8268</v>
      </c>
      <c r="B2586" s="179" t="s">
        <v>456</v>
      </c>
      <c r="C2586" s="180">
        <v>121</v>
      </c>
    </row>
    <row r="2587" spans="1:3" x14ac:dyDescent="0.25">
      <c r="A2587" s="178">
        <v>8269</v>
      </c>
      <c r="B2587" s="179" t="s">
        <v>456</v>
      </c>
      <c r="C2587" s="180">
        <v>69</v>
      </c>
    </row>
    <row r="2588" spans="1:3" x14ac:dyDescent="0.25">
      <c r="A2588" s="178">
        <v>8270</v>
      </c>
      <c r="B2588" s="179" t="s">
        <v>456</v>
      </c>
      <c r="C2588" s="180">
        <v>69</v>
      </c>
    </row>
    <row r="2589" spans="1:3" x14ac:dyDescent="0.25">
      <c r="A2589" s="178">
        <v>8271</v>
      </c>
      <c r="B2589" s="179" t="s">
        <v>456</v>
      </c>
      <c r="C2589" s="180">
        <v>69</v>
      </c>
    </row>
    <row r="2590" spans="1:3" x14ac:dyDescent="0.25">
      <c r="A2590" s="178">
        <v>8272</v>
      </c>
      <c r="B2590" s="179" t="s">
        <v>456</v>
      </c>
      <c r="C2590" s="180">
        <v>96</v>
      </c>
    </row>
    <row r="2591" spans="1:3" x14ac:dyDescent="0.25">
      <c r="A2591" s="178">
        <v>8273</v>
      </c>
      <c r="B2591" s="179" t="s">
        <v>456</v>
      </c>
      <c r="C2591" s="180">
        <v>60</v>
      </c>
    </row>
    <row r="2592" spans="1:3" x14ac:dyDescent="0.25">
      <c r="A2592" s="178">
        <v>8274</v>
      </c>
      <c r="B2592" s="179" t="s">
        <v>456</v>
      </c>
      <c r="C2592" s="180">
        <v>152</v>
      </c>
    </row>
    <row r="2593" spans="1:3" x14ac:dyDescent="0.25">
      <c r="A2593" s="178">
        <v>8275</v>
      </c>
      <c r="B2593" s="179" t="s">
        <v>456</v>
      </c>
      <c r="C2593" s="180">
        <v>135</v>
      </c>
    </row>
    <row r="2594" spans="1:3" x14ac:dyDescent="0.25">
      <c r="A2594" s="178">
        <v>8276</v>
      </c>
      <c r="B2594" s="179" t="s">
        <v>456</v>
      </c>
      <c r="C2594" s="180">
        <v>3</v>
      </c>
    </row>
    <row r="2595" spans="1:3" x14ac:dyDescent="0.25">
      <c r="A2595" s="178">
        <v>8277</v>
      </c>
      <c r="B2595" s="179" t="s">
        <v>456</v>
      </c>
      <c r="C2595" s="180">
        <v>3</v>
      </c>
    </row>
    <row r="2596" spans="1:3" x14ac:dyDescent="0.25">
      <c r="A2596" s="178">
        <v>8278</v>
      </c>
      <c r="B2596" s="179" t="s">
        <v>456</v>
      </c>
      <c r="C2596" s="180">
        <v>3</v>
      </c>
    </row>
    <row r="2597" spans="1:3" x14ac:dyDescent="0.25">
      <c r="A2597" s="178">
        <v>8279</v>
      </c>
      <c r="B2597" s="179" t="s">
        <v>456</v>
      </c>
      <c r="C2597" s="180">
        <v>95</v>
      </c>
    </row>
    <row r="2598" spans="1:3" x14ac:dyDescent="0.25">
      <c r="A2598" s="178">
        <v>8280</v>
      </c>
      <c r="B2598" s="179" t="s">
        <v>456</v>
      </c>
      <c r="C2598" s="180">
        <v>3</v>
      </c>
    </row>
    <row r="2599" spans="1:3" x14ac:dyDescent="0.25">
      <c r="A2599" s="178">
        <v>8281</v>
      </c>
      <c r="B2599" s="179" t="s">
        <v>456</v>
      </c>
      <c r="C2599" s="180">
        <v>3</v>
      </c>
    </row>
    <row r="2600" spans="1:3" x14ac:dyDescent="0.25">
      <c r="A2600" s="178">
        <v>8359</v>
      </c>
      <c r="B2600" s="179" t="s">
        <v>456</v>
      </c>
      <c r="C2600" s="180">
        <v>96</v>
      </c>
    </row>
    <row r="2601" spans="1:3" x14ac:dyDescent="0.25">
      <c r="A2601" s="178">
        <v>8360</v>
      </c>
      <c r="B2601" s="179" t="s">
        <v>456</v>
      </c>
      <c r="C2601" s="180">
        <v>96</v>
      </c>
    </row>
    <row r="2602" spans="1:3" x14ac:dyDescent="0.25">
      <c r="A2602" s="178">
        <v>8361</v>
      </c>
      <c r="B2602" s="179" t="s">
        <v>456</v>
      </c>
      <c r="C2602" s="180">
        <v>96</v>
      </c>
    </row>
    <row r="2603" spans="1:3" x14ac:dyDescent="0.25">
      <c r="A2603" s="178">
        <v>8362</v>
      </c>
      <c r="B2603" s="179" t="s">
        <v>456</v>
      </c>
      <c r="C2603" s="180">
        <v>96</v>
      </c>
    </row>
    <row r="2604" spans="1:3" x14ac:dyDescent="0.25">
      <c r="A2604" s="178">
        <v>8363</v>
      </c>
      <c r="B2604" s="179" t="s">
        <v>456</v>
      </c>
      <c r="C2604" s="180">
        <v>96</v>
      </c>
    </row>
    <row r="2605" spans="1:3" x14ac:dyDescent="0.25">
      <c r="A2605" s="178">
        <v>8380</v>
      </c>
      <c r="B2605" s="179" t="s">
        <v>456</v>
      </c>
      <c r="C2605" s="180">
        <v>116</v>
      </c>
    </row>
    <row r="2606" spans="1:3" x14ac:dyDescent="0.25">
      <c r="A2606" s="178">
        <v>8383</v>
      </c>
      <c r="B2606" s="179" t="s">
        <v>456</v>
      </c>
      <c r="C2606" s="180">
        <v>116</v>
      </c>
    </row>
    <row r="2607" spans="1:3" x14ac:dyDescent="0.25">
      <c r="A2607" s="178">
        <v>8385</v>
      </c>
      <c r="B2607" s="179" t="s">
        <v>456</v>
      </c>
      <c r="C2607" s="180">
        <v>116</v>
      </c>
    </row>
    <row r="2608" spans="1:3" x14ac:dyDescent="0.25">
      <c r="A2608" s="178">
        <v>8388</v>
      </c>
      <c r="B2608" s="179" t="s">
        <v>456</v>
      </c>
      <c r="C2608" s="180">
        <v>116</v>
      </c>
    </row>
    <row r="2609" spans="1:3" x14ac:dyDescent="0.25">
      <c r="A2609" s="178">
        <v>8390</v>
      </c>
      <c r="B2609" s="179" t="s">
        <v>456</v>
      </c>
      <c r="C2609" s="180">
        <v>116</v>
      </c>
    </row>
    <row r="2610" spans="1:3" x14ac:dyDescent="0.25">
      <c r="A2610" s="178">
        <v>8392</v>
      </c>
      <c r="B2610" s="179" t="s">
        <v>456</v>
      </c>
      <c r="C2610" s="180">
        <v>116</v>
      </c>
    </row>
    <row r="2611" spans="1:3" x14ac:dyDescent="0.25">
      <c r="A2611" s="178">
        <v>8394</v>
      </c>
      <c r="B2611" s="179" t="s">
        <v>456</v>
      </c>
      <c r="C2611" s="180">
        <v>116</v>
      </c>
    </row>
    <row r="2612" spans="1:3" x14ac:dyDescent="0.25">
      <c r="A2612" s="178">
        <v>8395</v>
      </c>
      <c r="B2612" s="179" t="s">
        <v>456</v>
      </c>
      <c r="C2612" s="180">
        <v>116</v>
      </c>
    </row>
    <row r="2613" spans="1:3" x14ac:dyDescent="0.25">
      <c r="A2613" s="178">
        <v>8396</v>
      </c>
      <c r="B2613" s="179" t="s">
        <v>456</v>
      </c>
      <c r="C2613" s="180">
        <v>116</v>
      </c>
    </row>
    <row r="2614" spans="1:3" x14ac:dyDescent="0.25">
      <c r="A2614" s="178">
        <v>8397</v>
      </c>
      <c r="B2614" s="179" t="s">
        <v>456</v>
      </c>
      <c r="C2614" s="180">
        <v>116</v>
      </c>
    </row>
    <row r="2615" spans="1:3" x14ac:dyDescent="0.25">
      <c r="A2615" s="178">
        <v>8398</v>
      </c>
      <c r="B2615" s="179" t="s">
        <v>456</v>
      </c>
      <c r="C2615" s="180">
        <v>116</v>
      </c>
    </row>
    <row r="2616" spans="1:3" x14ac:dyDescent="0.25">
      <c r="A2616" s="178">
        <v>8399</v>
      </c>
      <c r="B2616" s="179" t="s">
        <v>456</v>
      </c>
      <c r="C2616" s="180">
        <v>116</v>
      </c>
    </row>
    <row r="2617" spans="1:3" x14ac:dyDescent="0.25">
      <c r="A2617" s="178">
        <v>8400</v>
      </c>
      <c r="B2617" s="179" t="s">
        <v>456</v>
      </c>
      <c r="C2617" s="180">
        <v>116</v>
      </c>
    </row>
    <row r="2618" spans="1:3" x14ac:dyDescent="0.25">
      <c r="A2618" s="178">
        <v>8403</v>
      </c>
      <c r="B2618" s="179" t="s">
        <v>456</v>
      </c>
      <c r="C2618" s="180">
        <v>116</v>
      </c>
    </row>
    <row r="2619" spans="1:3" x14ac:dyDescent="0.25">
      <c r="A2619" s="178">
        <v>8404</v>
      </c>
      <c r="B2619" s="179" t="s">
        <v>456</v>
      </c>
      <c r="C2619" s="180">
        <v>116</v>
      </c>
    </row>
    <row r="2620" spans="1:3" x14ac:dyDescent="0.25">
      <c r="A2620" s="178">
        <v>8405</v>
      </c>
      <c r="B2620" s="179" t="s">
        <v>456</v>
      </c>
      <c r="C2620" s="180">
        <v>116</v>
      </c>
    </row>
    <row r="2621" spans="1:3" x14ac:dyDescent="0.25">
      <c r="A2621" s="178">
        <v>8422</v>
      </c>
      <c r="B2621" s="179" t="s">
        <v>456</v>
      </c>
      <c r="C2621" s="180">
        <v>116</v>
      </c>
    </row>
    <row r="2622" spans="1:3" x14ac:dyDescent="0.25">
      <c r="A2622" s="178">
        <v>8423</v>
      </c>
      <c r="B2622" s="179" t="s">
        <v>456</v>
      </c>
      <c r="C2622" s="180">
        <v>116</v>
      </c>
    </row>
    <row r="2623" spans="1:3" x14ac:dyDescent="0.25">
      <c r="A2623" s="178">
        <v>8424</v>
      </c>
      <c r="B2623" s="179" t="s">
        <v>456</v>
      </c>
      <c r="C2623" s="180">
        <v>112</v>
      </c>
    </row>
    <row r="2624" spans="1:3" x14ac:dyDescent="0.25">
      <c r="A2624" s="178">
        <v>8425</v>
      </c>
      <c r="B2624" s="179" t="s">
        <v>456</v>
      </c>
      <c r="C2624" s="180">
        <v>60</v>
      </c>
    </row>
    <row r="2625" spans="1:3" x14ac:dyDescent="0.25">
      <c r="A2625" s="178">
        <v>8426</v>
      </c>
      <c r="B2625" s="179" t="s">
        <v>456</v>
      </c>
      <c r="C2625" s="180">
        <v>60</v>
      </c>
    </row>
    <row r="2626" spans="1:3" x14ac:dyDescent="0.25">
      <c r="A2626" s="178">
        <v>8427</v>
      </c>
      <c r="B2626" s="179" t="s">
        <v>456</v>
      </c>
      <c r="C2626" s="180">
        <v>60</v>
      </c>
    </row>
    <row r="2627" spans="1:3" x14ac:dyDescent="0.25">
      <c r="A2627" s="178">
        <v>8431</v>
      </c>
      <c r="B2627" s="179" t="s">
        <v>456</v>
      </c>
      <c r="C2627" s="180">
        <v>48</v>
      </c>
    </row>
    <row r="2628" spans="1:3" x14ac:dyDescent="0.25">
      <c r="A2628" s="178">
        <v>8432</v>
      </c>
      <c r="B2628" s="179" t="s">
        <v>456</v>
      </c>
      <c r="C2628" s="180">
        <v>48</v>
      </c>
    </row>
    <row r="2629" spans="1:3" x14ac:dyDescent="0.25">
      <c r="A2629" s="178">
        <v>8433</v>
      </c>
      <c r="B2629" s="179" t="s">
        <v>456</v>
      </c>
      <c r="C2629" s="180">
        <v>40</v>
      </c>
    </row>
    <row r="2630" spans="1:3" x14ac:dyDescent="0.25">
      <c r="A2630" s="178">
        <v>8434</v>
      </c>
      <c r="B2630" s="179" t="s">
        <v>456</v>
      </c>
      <c r="C2630" s="180">
        <v>40</v>
      </c>
    </row>
    <row r="2631" spans="1:3" x14ac:dyDescent="0.25">
      <c r="A2631" s="178">
        <v>8438</v>
      </c>
      <c r="B2631" s="179" t="s">
        <v>456</v>
      </c>
      <c r="C2631" s="180">
        <v>384</v>
      </c>
    </row>
    <row r="2632" spans="1:3" x14ac:dyDescent="0.25">
      <c r="A2632" s="178">
        <v>8440</v>
      </c>
      <c r="B2632" s="179" t="s">
        <v>456</v>
      </c>
      <c r="C2632" s="180">
        <v>448</v>
      </c>
    </row>
    <row r="2633" spans="1:3" x14ac:dyDescent="0.25">
      <c r="A2633" s="178">
        <v>8446</v>
      </c>
      <c r="B2633" s="179" t="s">
        <v>456</v>
      </c>
      <c r="C2633" s="180">
        <v>192</v>
      </c>
    </row>
    <row r="2634" spans="1:3" x14ac:dyDescent="0.25">
      <c r="A2634" s="178">
        <v>8449</v>
      </c>
      <c r="B2634" s="179" t="s">
        <v>456</v>
      </c>
      <c r="C2634" s="180">
        <v>120</v>
      </c>
    </row>
    <row r="2635" spans="1:3" x14ac:dyDescent="0.25">
      <c r="A2635" s="178">
        <v>8460</v>
      </c>
      <c r="B2635" s="179" t="s">
        <v>456</v>
      </c>
      <c r="C2635" s="180">
        <v>324</v>
      </c>
    </row>
    <row r="2636" spans="1:3" x14ac:dyDescent="0.25">
      <c r="A2636" s="178">
        <v>8461</v>
      </c>
      <c r="B2636" s="179" t="s">
        <v>456</v>
      </c>
      <c r="C2636" s="180">
        <v>1</v>
      </c>
    </row>
    <row r="2637" spans="1:3" x14ac:dyDescent="0.25">
      <c r="A2637" s="178">
        <v>8466</v>
      </c>
      <c r="B2637" s="179" t="s">
        <v>456</v>
      </c>
      <c r="C2637" s="180">
        <v>108</v>
      </c>
    </row>
    <row r="2638" spans="1:3" x14ac:dyDescent="0.25">
      <c r="A2638" s="178">
        <v>8467</v>
      </c>
      <c r="B2638" s="179" t="s">
        <v>456</v>
      </c>
      <c r="C2638" s="180">
        <v>144</v>
      </c>
    </row>
    <row r="2639" spans="1:3" x14ac:dyDescent="0.25">
      <c r="A2639" s="178">
        <v>8469</v>
      </c>
      <c r="B2639" s="179" t="s">
        <v>456</v>
      </c>
      <c r="C2639" s="180">
        <v>216</v>
      </c>
    </row>
    <row r="2640" spans="1:3" x14ac:dyDescent="0.25">
      <c r="A2640" s="178">
        <v>8470</v>
      </c>
      <c r="B2640" s="179" t="s">
        <v>456</v>
      </c>
      <c r="C2640" s="180">
        <v>216</v>
      </c>
    </row>
    <row r="2641" spans="1:3" x14ac:dyDescent="0.25">
      <c r="A2641" s="178">
        <v>8471</v>
      </c>
      <c r="B2641" s="179" t="s">
        <v>456</v>
      </c>
      <c r="C2641" s="180">
        <v>288</v>
      </c>
    </row>
    <row r="2642" spans="1:3" x14ac:dyDescent="0.25">
      <c r="A2642" s="178">
        <v>8472</v>
      </c>
      <c r="B2642" s="179" t="s">
        <v>456</v>
      </c>
      <c r="C2642" s="180">
        <v>216</v>
      </c>
    </row>
    <row r="2643" spans="1:3" x14ac:dyDescent="0.25">
      <c r="A2643" s="178">
        <v>8474</v>
      </c>
      <c r="B2643" s="179" t="s">
        <v>456</v>
      </c>
      <c r="C2643" s="180">
        <v>600</v>
      </c>
    </row>
    <row r="2644" spans="1:3" x14ac:dyDescent="0.25">
      <c r="A2644" s="178">
        <v>8475</v>
      </c>
      <c r="B2644" s="179" t="s">
        <v>456</v>
      </c>
      <c r="C2644" s="180">
        <v>48</v>
      </c>
    </row>
    <row r="2645" spans="1:3" x14ac:dyDescent="0.25">
      <c r="A2645" s="178">
        <v>8476</v>
      </c>
      <c r="B2645" s="179" t="s">
        <v>456</v>
      </c>
      <c r="C2645" s="180">
        <v>88</v>
      </c>
    </row>
    <row r="2646" spans="1:3" x14ac:dyDescent="0.25">
      <c r="A2646" s="178">
        <v>8485</v>
      </c>
      <c r="B2646" s="179" t="s">
        <v>456</v>
      </c>
      <c r="C2646" s="180">
        <v>84</v>
      </c>
    </row>
    <row r="2647" spans="1:3" x14ac:dyDescent="0.25">
      <c r="A2647" s="178">
        <v>8486</v>
      </c>
      <c r="B2647" s="179" t="s">
        <v>456</v>
      </c>
      <c r="C2647" s="180">
        <v>84</v>
      </c>
    </row>
    <row r="2648" spans="1:3" x14ac:dyDescent="0.25">
      <c r="A2648" s="178">
        <v>8487</v>
      </c>
      <c r="B2648" s="179" t="s">
        <v>456</v>
      </c>
      <c r="C2648" s="180">
        <v>84</v>
      </c>
    </row>
    <row r="2649" spans="1:3" x14ac:dyDescent="0.25">
      <c r="A2649" s="178">
        <v>8488</v>
      </c>
      <c r="B2649" s="179" t="s">
        <v>456</v>
      </c>
      <c r="C2649" s="180">
        <v>64</v>
      </c>
    </row>
    <row r="2650" spans="1:3" x14ac:dyDescent="0.25">
      <c r="A2650" s="178">
        <v>8489</v>
      </c>
      <c r="B2650" s="179" t="s">
        <v>456</v>
      </c>
      <c r="C2650" s="180">
        <v>64</v>
      </c>
    </row>
    <row r="2651" spans="1:3" x14ac:dyDescent="0.25">
      <c r="A2651" s="178">
        <v>8490</v>
      </c>
      <c r="B2651" s="179" t="s">
        <v>456</v>
      </c>
      <c r="C2651" s="180">
        <v>216</v>
      </c>
    </row>
    <row r="2652" spans="1:3" x14ac:dyDescent="0.25">
      <c r="A2652" s="178">
        <v>8493</v>
      </c>
      <c r="B2652" s="179" t="s">
        <v>456</v>
      </c>
      <c r="C2652" s="180">
        <v>144</v>
      </c>
    </row>
    <row r="2653" spans="1:3" x14ac:dyDescent="0.25">
      <c r="A2653" s="178">
        <v>8494</v>
      </c>
      <c r="B2653" s="179" t="s">
        <v>456</v>
      </c>
      <c r="C2653" s="180">
        <v>2</v>
      </c>
    </row>
    <row r="2654" spans="1:3" x14ac:dyDescent="0.25">
      <c r="A2654" s="178">
        <v>8495</v>
      </c>
      <c r="B2654" s="179" t="s">
        <v>456</v>
      </c>
      <c r="C2654" s="180">
        <v>288</v>
      </c>
    </row>
    <row r="2655" spans="1:3" x14ac:dyDescent="0.25">
      <c r="A2655" s="178">
        <v>8497</v>
      </c>
      <c r="B2655" s="179" t="s">
        <v>456</v>
      </c>
      <c r="C2655" s="180">
        <v>288</v>
      </c>
    </row>
    <row r="2656" spans="1:3" x14ac:dyDescent="0.25">
      <c r="A2656" s="178">
        <v>8498</v>
      </c>
      <c r="B2656" s="179" t="s">
        <v>456</v>
      </c>
      <c r="C2656" s="180">
        <v>288</v>
      </c>
    </row>
    <row r="2657" spans="1:3" x14ac:dyDescent="0.25">
      <c r="A2657" s="178">
        <v>8501</v>
      </c>
      <c r="B2657" s="179" t="s">
        <v>456</v>
      </c>
      <c r="C2657" s="180">
        <v>128</v>
      </c>
    </row>
    <row r="2658" spans="1:3" x14ac:dyDescent="0.25">
      <c r="A2658" s="178">
        <v>8502</v>
      </c>
      <c r="B2658" s="179" t="s">
        <v>456</v>
      </c>
      <c r="C2658" s="180">
        <v>600</v>
      </c>
    </row>
    <row r="2659" spans="1:3" x14ac:dyDescent="0.25">
      <c r="A2659" s="178">
        <v>8503</v>
      </c>
      <c r="B2659" s="179" t="s">
        <v>456</v>
      </c>
      <c r="C2659" s="180">
        <v>18</v>
      </c>
    </row>
    <row r="2660" spans="1:3" x14ac:dyDescent="0.25">
      <c r="A2660" s="178">
        <v>8504</v>
      </c>
      <c r="B2660" s="179" t="s">
        <v>456</v>
      </c>
      <c r="C2660" s="180">
        <v>324</v>
      </c>
    </row>
    <row r="2661" spans="1:3" x14ac:dyDescent="0.25">
      <c r="A2661" s="178">
        <v>8509</v>
      </c>
      <c r="B2661" s="179" t="s">
        <v>456</v>
      </c>
      <c r="C2661" s="180">
        <v>12</v>
      </c>
    </row>
    <row r="2662" spans="1:3" x14ac:dyDescent="0.25">
      <c r="A2662" s="178">
        <v>8515</v>
      </c>
      <c r="B2662" s="179" t="s">
        <v>456</v>
      </c>
      <c r="C2662" s="180">
        <v>108</v>
      </c>
    </row>
    <row r="2663" spans="1:3" x14ac:dyDescent="0.25">
      <c r="A2663" s="178">
        <v>8516</v>
      </c>
      <c r="B2663" s="179" t="s">
        <v>456</v>
      </c>
      <c r="C2663" s="180">
        <v>144</v>
      </c>
    </row>
    <row r="2664" spans="1:3" x14ac:dyDescent="0.25">
      <c r="A2664" s="178">
        <v>8532</v>
      </c>
      <c r="B2664" s="179" t="s">
        <v>456</v>
      </c>
      <c r="C2664" s="180">
        <v>150</v>
      </c>
    </row>
    <row r="2665" spans="1:3" x14ac:dyDescent="0.25">
      <c r="A2665" s="178">
        <v>8551</v>
      </c>
      <c r="B2665" s="179" t="s">
        <v>456</v>
      </c>
      <c r="C2665" s="180">
        <v>96</v>
      </c>
    </row>
    <row r="2666" spans="1:3" x14ac:dyDescent="0.25">
      <c r="A2666" s="178">
        <v>8563</v>
      </c>
      <c r="B2666" s="179" t="s">
        <v>456</v>
      </c>
      <c r="C2666" s="180">
        <v>96</v>
      </c>
    </row>
    <row r="2667" spans="1:3" x14ac:dyDescent="0.25">
      <c r="A2667" s="178">
        <v>8564</v>
      </c>
      <c r="B2667" s="179" t="s">
        <v>456</v>
      </c>
      <c r="C2667" s="180">
        <v>96</v>
      </c>
    </row>
    <row r="2668" spans="1:3" x14ac:dyDescent="0.25">
      <c r="A2668" s="178">
        <v>8565</v>
      </c>
      <c r="B2668" s="179" t="s">
        <v>456</v>
      </c>
      <c r="C2668" s="180">
        <v>266</v>
      </c>
    </row>
    <row r="2669" spans="1:3" x14ac:dyDescent="0.25">
      <c r="A2669" s="178">
        <v>8566</v>
      </c>
      <c r="B2669" s="179" t="s">
        <v>456</v>
      </c>
      <c r="C2669" s="180">
        <v>266</v>
      </c>
    </row>
    <row r="2670" spans="1:3" x14ac:dyDescent="0.25">
      <c r="A2670" s="178">
        <v>8567</v>
      </c>
      <c r="B2670" s="179" t="s">
        <v>456</v>
      </c>
      <c r="C2670" s="180">
        <v>3</v>
      </c>
    </row>
    <row r="2671" spans="1:3" x14ac:dyDescent="0.25">
      <c r="A2671" s="178">
        <v>8568</v>
      </c>
      <c r="B2671" s="179" t="s">
        <v>456</v>
      </c>
      <c r="C2671" s="180">
        <v>266</v>
      </c>
    </row>
    <row r="2672" spans="1:3" x14ac:dyDescent="0.25">
      <c r="A2672" s="178">
        <v>8591</v>
      </c>
      <c r="B2672" s="179" t="s">
        <v>456</v>
      </c>
      <c r="C2672" s="180">
        <v>116</v>
      </c>
    </row>
    <row r="2673" spans="1:3" x14ac:dyDescent="0.25">
      <c r="A2673" s="178">
        <v>8631</v>
      </c>
      <c r="B2673" s="179" t="s">
        <v>456</v>
      </c>
      <c r="C2673" s="180">
        <v>51</v>
      </c>
    </row>
    <row r="2674" spans="1:3" x14ac:dyDescent="0.25">
      <c r="A2674" s="178">
        <v>8640</v>
      </c>
      <c r="B2674" s="179" t="s">
        <v>456</v>
      </c>
      <c r="C2674" s="180">
        <v>30</v>
      </c>
    </row>
    <row r="2675" spans="1:3" x14ac:dyDescent="0.25">
      <c r="A2675" s="178">
        <v>8641</v>
      </c>
      <c r="B2675" s="179" t="s">
        <v>456</v>
      </c>
      <c r="C2675" s="180">
        <v>30</v>
      </c>
    </row>
    <row r="2676" spans="1:3" x14ac:dyDescent="0.25">
      <c r="A2676" s="178">
        <v>8655</v>
      </c>
      <c r="B2676" s="179" t="s">
        <v>456</v>
      </c>
      <c r="C2676" s="180">
        <v>90</v>
      </c>
    </row>
    <row r="2677" spans="1:3" x14ac:dyDescent="0.25">
      <c r="A2677" s="178">
        <v>8656</v>
      </c>
      <c r="B2677" s="179" t="s">
        <v>456</v>
      </c>
      <c r="C2677" s="180">
        <v>90</v>
      </c>
    </row>
    <row r="2678" spans="1:3" x14ac:dyDescent="0.25">
      <c r="A2678" s="178">
        <v>8657</v>
      </c>
      <c r="B2678" s="179" t="s">
        <v>456</v>
      </c>
      <c r="C2678" s="180">
        <v>90</v>
      </c>
    </row>
    <row r="2679" spans="1:3" x14ac:dyDescent="0.25">
      <c r="A2679" s="178">
        <v>8658</v>
      </c>
      <c r="B2679" s="179" t="s">
        <v>456</v>
      </c>
      <c r="C2679" s="180">
        <v>90</v>
      </c>
    </row>
    <row r="2680" spans="1:3" x14ac:dyDescent="0.25">
      <c r="A2680" s="178">
        <v>8664</v>
      </c>
      <c r="B2680" s="179" t="s">
        <v>456</v>
      </c>
      <c r="C2680" s="180">
        <v>172</v>
      </c>
    </row>
    <row r="2681" spans="1:3" x14ac:dyDescent="0.25">
      <c r="A2681" s="178">
        <v>8665</v>
      </c>
      <c r="B2681" s="179" t="s">
        <v>456</v>
      </c>
      <c r="C2681" s="180">
        <v>56</v>
      </c>
    </row>
    <row r="2682" spans="1:3" x14ac:dyDescent="0.25">
      <c r="A2682" s="178">
        <v>8666</v>
      </c>
      <c r="B2682" s="179" t="s">
        <v>456</v>
      </c>
      <c r="C2682" s="180">
        <v>144</v>
      </c>
    </row>
    <row r="2683" spans="1:3" x14ac:dyDescent="0.25">
      <c r="A2683" s="178">
        <v>8668</v>
      </c>
      <c r="B2683" s="179" t="s">
        <v>456</v>
      </c>
      <c r="C2683" s="180">
        <v>172</v>
      </c>
    </row>
    <row r="2684" spans="1:3" x14ac:dyDescent="0.25">
      <c r="A2684" s="178">
        <v>8669</v>
      </c>
      <c r="B2684" s="179" t="s">
        <v>456</v>
      </c>
      <c r="C2684" s="180">
        <v>172</v>
      </c>
    </row>
    <row r="2685" spans="1:3" x14ac:dyDescent="0.25">
      <c r="A2685" s="178">
        <v>8670</v>
      </c>
      <c r="B2685" s="179" t="s">
        <v>456</v>
      </c>
      <c r="C2685" s="180">
        <v>155</v>
      </c>
    </row>
    <row r="2686" spans="1:3" x14ac:dyDescent="0.25">
      <c r="A2686" s="178">
        <v>8671</v>
      </c>
      <c r="B2686" s="179" t="s">
        <v>456</v>
      </c>
      <c r="C2686" s="180">
        <v>155</v>
      </c>
    </row>
    <row r="2687" spans="1:3" x14ac:dyDescent="0.25">
      <c r="A2687" s="178">
        <v>8672</v>
      </c>
      <c r="B2687" s="179" t="s">
        <v>456</v>
      </c>
      <c r="C2687" s="180">
        <v>172</v>
      </c>
    </row>
    <row r="2688" spans="1:3" x14ac:dyDescent="0.25">
      <c r="A2688" s="178">
        <v>8673</v>
      </c>
      <c r="B2688" s="179" t="s">
        <v>456</v>
      </c>
      <c r="C2688" s="180">
        <v>84</v>
      </c>
    </row>
    <row r="2689" spans="1:3" x14ac:dyDescent="0.25">
      <c r="A2689" s="178">
        <v>8674</v>
      </c>
      <c r="B2689" s="179" t="s">
        <v>456</v>
      </c>
      <c r="C2689" s="180">
        <v>186</v>
      </c>
    </row>
    <row r="2690" spans="1:3" x14ac:dyDescent="0.25">
      <c r="A2690" s="178">
        <v>8675</v>
      </c>
      <c r="B2690" s="179" t="s">
        <v>456</v>
      </c>
      <c r="C2690" s="180">
        <v>144</v>
      </c>
    </row>
    <row r="2691" spans="1:3" x14ac:dyDescent="0.25">
      <c r="A2691" s="178">
        <v>8676</v>
      </c>
      <c r="B2691" s="179" t="s">
        <v>456</v>
      </c>
      <c r="C2691" s="180">
        <v>66</v>
      </c>
    </row>
    <row r="2692" spans="1:3" x14ac:dyDescent="0.25">
      <c r="A2692" s="178">
        <v>8677</v>
      </c>
      <c r="B2692" s="179" t="s">
        <v>456</v>
      </c>
      <c r="C2692" s="180">
        <v>360</v>
      </c>
    </row>
    <row r="2693" spans="1:3" x14ac:dyDescent="0.25">
      <c r="A2693" s="178">
        <v>8678</v>
      </c>
      <c r="B2693" s="179" t="s">
        <v>456</v>
      </c>
      <c r="C2693" s="180">
        <v>364</v>
      </c>
    </row>
    <row r="2694" spans="1:3" x14ac:dyDescent="0.25">
      <c r="A2694" s="178">
        <v>8679</v>
      </c>
      <c r="B2694" s="179" t="s">
        <v>456</v>
      </c>
      <c r="C2694" s="180">
        <v>364</v>
      </c>
    </row>
    <row r="2695" spans="1:3" x14ac:dyDescent="0.25">
      <c r="A2695" s="178">
        <v>8680</v>
      </c>
      <c r="B2695" s="179" t="s">
        <v>456</v>
      </c>
      <c r="C2695" s="180">
        <v>364</v>
      </c>
    </row>
    <row r="2696" spans="1:3" x14ac:dyDescent="0.25">
      <c r="A2696" s="178">
        <v>8681</v>
      </c>
      <c r="B2696" s="179" t="s">
        <v>456</v>
      </c>
      <c r="C2696" s="180">
        <v>720</v>
      </c>
    </row>
    <row r="2697" spans="1:3" x14ac:dyDescent="0.25">
      <c r="A2697" s="178">
        <v>8682</v>
      </c>
      <c r="B2697" s="179" t="s">
        <v>456</v>
      </c>
      <c r="C2697" s="180">
        <v>720</v>
      </c>
    </row>
    <row r="2698" spans="1:3" x14ac:dyDescent="0.25">
      <c r="A2698" s="178">
        <v>8683</v>
      </c>
      <c r="B2698" s="179" t="s">
        <v>456</v>
      </c>
      <c r="C2698" s="180">
        <v>720</v>
      </c>
    </row>
    <row r="2699" spans="1:3" x14ac:dyDescent="0.25">
      <c r="A2699" s="178">
        <v>8684</v>
      </c>
      <c r="B2699" s="179" t="s">
        <v>456</v>
      </c>
      <c r="C2699" s="180">
        <v>720</v>
      </c>
    </row>
    <row r="2700" spans="1:3" x14ac:dyDescent="0.25">
      <c r="A2700" s="178">
        <v>8685</v>
      </c>
      <c r="B2700" s="179" t="s">
        <v>456</v>
      </c>
      <c r="C2700" s="180">
        <v>720</v>
      </c>
    </row>
    <row r="2701" spans="1:3" x14ac:dyDescent="0.25">
      <c r="A2701" s="178">
        <v>8686</v>
      </c>
      <c r="B2701" s="179" t="s">
        <v>456</v>
      </c>
      <c r="C2701" s="180">
        <v>720</v>
      </c>
    </row>
    <row r="2702" spans="1:3" x14ac:dyDescent="0.25">
      <c r="A2702" s="178">
        <v>8687</v>
      </c>
      <c r="B2702" s="179" t="s">
        <v>456</v>
      </c>
      <c r="C2702" s="180">
        <v>720</v>
      </c>
    </row>
    <row r="2703" spans="1:3" x14ac:dyDescent="0.25">
      <c r="A2703" s="178">
        <v>8688</v>
      </c>
      <c r="B2703" s="179" t="s">
        <v>456</v>
      </c>
      <c r="C2703" s="180">
        <v>174</v>
      </c>
    </row>
    <row r="2704" spans="1:3" x14ac:dyDescent="0.25">
      <c r="A2704" s="178">
        <v>8689</v>
      </c>
      <c r="B2704" s="179" t="s">
        <v>456</v>
      </c>
      <c r="C2704" s="180">
        <v>174</v>
      </c>
    </row>
    <row r="2705" spans="1:3" x14ac:dyDescent="0.25">
      <c r="A2705" s="178">
        <v>8690</v>
      </c>
      <c r="B2705" s="179" t="s">
        <v>456</v>
      </c>
      <c r="C2705" s="180">
        <v>720</v>
      </c>
    </row>
    <row r="2706" spans="1:3" x14ac:dyDescent="0.25">
      <c r="A2706" s="178">
        <v>8691</v>
      </c>
      <c r="B2706" s="179" t="s">
        <v>456</v>
      </c>
      <c r="C2706" s="180">
        <v>720</v>
      </c>
    </row>
    <row r="2707" spans="1:3" x14ac:dyDescent="0.25">
      <c r="A2707" s="178">
        <v>8692</v>
      </c>
      <c r="B2707" s="179" t="s">
        <v>456</v>
      </c>
      <c r="C2707" s="180">
        <v>102</v>
      </c>
    </row>
    <row r="2708" spans="1:3" x14ac:dyDescent="0.25">
      <c r="A2708" s="178">
        <v>8693</v>
      </c>
      <c r="B2708" s="179" t="s">
        <v>456</v>
      </c>
      <c r="C2708" s="180">
        <v>39</v>
      </c>
    </row>
    <row r="2709" spans="1:3" x14ac:dyDescent="0.25">
      <c r="A2709" s="178">
        <v>8694</v>
      </c>
      <c r="B2709" s="179" t="s">
        <v>456</v>
      </c>
      <c r="C2709" s="180">
        <v>172</v>
      </c>
    </row>
    <row r="2710" spans="1:3" x14ac:dyDescent="0.25">
      <c r="A2710" s="178">
        <v>8695</v>
      </c>
      <c r="B2710" s="179" t="s">
        <v>456</v>
      </c>
      <c r="C2710" s="180">
        <v>270</v>
      </c>
    </row>
    <row r="2711" spans="1:3" x14ac:dyDescent="0.25">
      <c r="A2711" s="178">
        <v>8696</v>
      </c>
      <c r="B2711" s="179" t="s">
        <v>456</v>
      </c>
      <c r="C2711" s="180">
        <v>160</v>
      </c>
    </row>
    <row r="2712" spans="1:3" x14ac:dyDescent="0.25">
      <c r="A2712" s="178">
        <v>8697</v>
      </c>
      <c r="B2712" s="179" t="s">
        <v>456</v>
      </c>
      <c r="C2712" s="180">
        <v>160</v>
      </c>
    </row>
    <row r="2713" spans="1:3" x14ac:dyDescent="0.25">
      <c r="A2713" s="178">
        <v>8698</v>
      </c>
      <c r="B2713" s="179" t="s">
        <v>456</v>
      </c>
      <c r="C2713" s="180">
        <v>160</v>
      </c>
    </row>
    <row r="2714" spans="1:3" x14ac:dyDescent="0.25">
      <c r="A2714" s="178">
        <v>8699</v>
      </c>
      <c r="B2714" s="179" t="s">
        <v>456</v>
      </c>
      <c r="C2714" s="180">
        <v>160</v>
      </c>
    </row>
    <row r="2715" spans="1:3" x14ac:dyDescent="0.25">
      <c r="A2715" s="178">
        <v>8702</v>
      </c>
      <c r="B2715" s="179" t="s">
        <v>456</v>
      </c>
      <c r="C2715" s="180">
        <v>126</v>
      </c>
    </row>
    <row r="2716" spans="1:3" x14ac:dyDescent="0.25">
      <c r="A2716" s="178">
        <v>8703</v>
      </c>
      <c r="B2716" s="179" t="s">
        <v>456</v>
      </c>
      <c r="C2716" s="180">
        <v>126</v>
      </c>
    </row>
    <row r="2717" spans="1:3" x14ac:dyDescent="0.25">
      <c r="A2717" s="178">
        <v>8704</v>
      </c>
      <c r="B2717" s="179" t="s">
        <v>456</v>
      </c>
      <c r="C2717" s="180">
        <v>126</v>
      </c>
    </row>
    <row r="2718" spans="1:3" x14ac:dyDescent="0.25">
      <c r="A2718" s="178">
        <v>8705</v>
      </c>
      <c r="B2718" s="179" t="s">
        <v>456</v>
      </c>
      <c r="C2718" s="180">
        <v>60</v>
      </c>
    </row>
    <row r="2719" spans="1:3" x14ac:dyDescent="0.25">
      <c r="A2719" s="178">
        <v>8706</v>
      </c>
      <c r="B2719" s="179" t="s">
        <v>456</v>
      </c>
      <c r="C2719" s="180">
        <v>2</v>
      </c>
    </row>
    <row r="2720" spans="1:3" x14ac:dyDescent="0.25">
      <c r="A2720" s="178">
        <v>8708</v>
      </c>
      <c r="B2720" s="179" t="s">
        <v>456</v>
      </c>
      <c r="C2720" s="180">
        <v>2</v>
      </c>
    </row>
    <row r="2721" spans="1:3" x14ac:dyDescent="0.25">
      <c r="A2721" s="178">
        <v>8709</v>
      </c>
      <c r="B2721" s="179" t="s">
        <v>456</v>
      </c>
      <c r="C2721" s="180">
        <v>64</v>
      </c>
    </row>
    <row r="2722" spans="1:3" x14ac:dyDescent="0.25">
      <c r="A2722" s="178">
        <v>8710</v>
      </c>
      <c r="B2722" s="179" t="s">
        <v>456</v>
      </c>
      <c r="C2722" s="180">
        <v>72</v>
      </c>
    </row>
    <row r="2723" spans="1:3" x14ac:dyDescent="0.25">
      <c r="A2723" s="178">
        <v>8711</v>
      </c>
      <c r="B2723" s="179" t="s">
        <v>456</v>
      </c>
      <c r="C2723" s="180">
        <v>64</v>
      </c>
    </row>
    <row r="2724" spans="1:3" x14ac:dyDescent="0.25">
      <c r="A2724" s="178">
        <v>8712</v>
      </c>
      <c r="B2724" s="179" t="s">
        <v>456</v>
      </c>
      <c r="C2724" s="180">
        <v>64</v>
      </c>
    </row>
    <row r="2725" spans="1:3" x14ac:dyDescent="0.25">
      <c r="A2725" s="178">
        <v>8713</v>
      </c>
      <c r="B2725" s="179" t="s">
        <v>456</v>
      </c>
      <c r="C2725" s="180">
        <v>88</v>
      </c>
    </row>
    <row r="2726" spans="1:3" x14ac:dyDescent="0.25">
      <c r="A2726" s="178">
        <v>8714</v>
      </c>
      <c r="B2726" s="179" t="s">
        <v>456</v>
      </c>
      <c r="C2726" s="180">
        <v>64</v>
      </c>
    </row>
    <row r="2727" spans="1:3" x14ac:dyDescent="0.25">
      <c r="A2727" s="178">
        <v>8715</v>
      </c>
      <c r="B2727" s="179" t="s">
        <v>456</v>
      </c>
      <c r="C2727" s="180">
        <v>64</v>
      </c>
    </row>
    <row r="2728" spans="1:3" x14ac:dyDescent="0.25">
      <c r="A2728" s="178">
        <v>8716</v>
      </c>
      <c r="B2728" s="179" t="s">
        <v>456</v>
      </c>
      <c r="C2728" s="180">
        <v>72</v>
      </c>
    </row>
    <row r="2729" spans="1:3" x14ac:dyDescent="0.25">
      <c r="A2729" s="178">
        <v>8717</v>
      </c>
      <c r="B2729" s="179" t="s">
        <v>456</v>
      </c>
      <c r="C2729" s="180">
        <v>32</v>
      </c>
    </row>
    <row r="2730" spans="1:3" x14ac:dyDescent="0.25">
      <c r="A2730" s="178">
        <v>8718</v>
      </c>
      <c r="B2730" s="179" t="s">
        <v>456</v>
      </c>
      <c r="C2730" s="180">
        <v>64</v>
      </c>
    </row>
    <row r="2731" spans="1:3" x14ac:dyDescent="0.25">
      <c r="A2731" s="178">
        <v>8719</v>
      </c>
      <c r="B2731" s="179" t="s">
        <v>456</v>
      </c>
      <c r="C2731" s="180">
        <v>2</v>
      </c>
    </row>
    <row r="2732" spans="1:3" x14ac:dyDescent="0.25">
      <c r="A2732" s="178">
        <v>8720</v>
      </c>
      <c r="B2732" s="179" t="s">
        <v>456</v>
      </c>
      <c r="C2732" s="180">
        <v>40</v>
      </c>
    </row>
    <row r="2733" spans="1:3" x14ac:dyDescent="0.25">
      <c r="A2733" s="178">
        <v>8721</v>
      </c>
      <c r="B2733" s="179" t="s">
        <v>456</v>
      </c>
      <c r="C2733" s="180">
        <v>2</v>
      </c>
    </row>
    <row r="2734" spans="1:3" x14ac:dyDescent="0.25">
      <c r="A2734" s="178">
        <v>8722</v>
      </c>
      <c r="B2734" s="179" t="s">
        <v>456</v>
      </c>
      <c r="C2734" s="180">
        <v>40</v>
      </c>
    </row>
    <row r="2735" spans="1:3" x14ac:dyDescent="0.25">
      <c r="A2735" s="178">
        <v>8723</v>
      </c>
      <c r="B2735" s="179" t="s">
        <v>456</v>
      </c>
      <c r="C2735" s="180">
        <v>90</v>
      </c>
    </row>
    <row r="2736" spans="1:3" x14ac:dyDescent="0.25">
      <c r="A2736" s="178">
        <v>8724</v>
      </c>
      <c r="B2736" s="179" t="s">
        <v>456</v>
      </c>
      <c r="C2736" s="180">
        <v>90</v>
      </c>
    </row>
    <row r="2737" spans="1:3" x14ac:dyDescent="0.25">
      <c r="A2737" s="178">
        <v>8725</v>
      </c>
      <c r="B2737" s="179" t="s">
        <v>456</v>
      </c>
      <c r="C2737" s="180">
        <v>40</v>
      </c>
    </row>
    <row r="2738" spans="1:3" x14ac:dyDescent="0.25">
      <c r="A2738" s="178">
        <v>8726</v>
      </c>
      <c r="B2738" s="179" t="s">
        <v>456</v>
      </c>
      <c r="C2738" s="180">
        <v>2</v>
      </c>
    </row>
    <row r="2739" spans="1:3" x14ac:dyDescent="0.25">
      <c r="A2739" s="178">
        <v>8727</v>
      </c>
      <c r="B2739" s="179" t="s">
        <v>456</v>
      </c>
      <c r="C2739" s="180">
        <v>2</v>
      </c>
    </row>
    <row r="2740" spans="1:3" x14ac:dyDescent="0.25">
      <c r="A2740" s="178">
        <v>8734</v>
      </c>
      <c r="B2740" s="179" t="s">
        <v>456</v>
      </c>
      <c r="C2740" s="180">
        <v>48</v>
      </c>
    </row>
    <row r="2741" spans="1:3" x14ac:dyDescent="0.25">
      <c r="A2741" s="178">
        <v>8735</v>
      </c>
      <c r="B2741" s="179" t="s">
        <v>456</v>
      </c>
      <c r="C2741" s="180">
        <v>3</v>
      </c>
    </row>
    <row r="2742" spans="1:3" x14ac:dyDescent="0.25">
      <c r="A2742" s="178">
        <v>8736</v>
      </c>
      <c r="B2742" s="179" t="s">
        <v>456</v>
      </c>
      <c r="C2742" s="180">
        <v>220</v>
      </c>
    </row>
    <row r="2743" spans="1:3" x14ac:dyDescent="0.25">
      <c r="A2743" s="178">
        <v>8737</v>
      </c>
      <c r="B2743" s="179" t="s">
        <v>456</v>
      </c>
      <c r="C2743" s="180">
        <v>3</v>
      </c>
    </row>
    <row r="2744" spans="1:3" x14ac:dyDescent="0.25">
      <c r="A2744" s="178">
        <v>8738</v>
      </c>
      <c r="B2744" s="179" t="s">
        <v>456</v>
      </c>
      <c r="C2744" s="180">
        <v>3</v>
      </c>
    </row>
    <row r="2745" spans="1:3" x14ac:dyDescent="0.25">
      <c r="A2745" s="178">
        <v>8739</v>
      </c>
      <c r="B2745" s="179" t="s">
        <v>456</v>
      </c>
      <c r="C2745" s="180">
        <v>96</v>
      </c>
    </row>
    <row r="2746" spans="1:3" x14ac:dyDescent="0.25">
      <c r="A2746" s="178">
        <v>8740</v>
      </c>
      <c r="B2746" s="179" t="s">
        <v>456</v>
      </c>
      <c r="C2746" s="180">
        <v>220</v>
      </c>
    </row>
    <row r="2747" spans="1:3" x14ac:dyDescent="0.25">
      <c r="A2747" s="178">
        <v>8741</v>
      </c>
      <c r="B2747" s="179" t="s">
        <v>456</v>
      </c>
      <c r="C2747" s="180">
        <v>220</v>
      </c>
    </row>
    <row r="2748" spans="1:3" x14ac:dyDescent="0.25">
      <c r="A2748" s="178">
        <v>8742</v>
      </c>
      <c r="B2748" s="179" t="s">
        <v>456</v>
      </c>
      <c r="C2748" s="180">
        <v>220</v>
      </c>
    </row>
    <row r="2749" spans="1:3" x14ac:dyDescent="0.25">
      <c r="A2749" s="178">
        <v>8743</v>
      </c>
      <c r="B2749" s="179" t="s">
        <v>456</v>
      </c>
      <c r="C2749" s="180">
        <v>220</v>
      </c>
    </row>
    <row r="2750" spans="1:3" x14ac:dyDescent="0.25">
      <c r="A2750" s="178">
        <v>8744</v>
      </c>
      <c r="B2750" s="179" t="s">
        <v>456</v>
      </c>
      <c r="C2750" s="180">
        <v>220</v>
      </c>
    </row>
    <row r="2751" spans="1:3" x14ac:dyDescent="0.25">
      <c r="A2751" s="178">
        <v>8745</v>
      </c>
      <c r="B2751" s="179" t="s">
        <v>456</v>
      </c>
      <c r="C2751" s="180">
        <v>220</v>
      </c>
    </row>
    <row r="2752" spans="1:3" x14ac:dyDescent="0.25">
      <c r="A2752" s="178">
        <v>8746</v>
      </c>
      <c r="B2752" s="179" t="s">
        <v>456</v>
      </c>
      <c r="C2752" s="180">
        <v>220</v>
      </c>
    </row>
    <row r="2753" spans="1:3" x14ac:dyDescent="0.25">
      <c r="A2753" s="178">
        <v>8749</v>
      </c>
      <c r="B2753" s="179" t="s">
        <v>456</v>
      </c>
      <c r="C2753" s="180">
        <v>3</v>
      </c>
    </row>
    <row r="2754" spans="1:3" x14ac:dyDescent="0.25">
      <c r="A2754" s="178">
        <v>8750</v>
      </c>
      <c r="B2754" s="179" t="s">
        <v>456</v>
      </c>
      <c r="C2754" s="180">
        <v>174</v>
      </c>
    </row>
    <row r="2755" spans="1:3" x14ac:dyDescent="0.25">
      <c r="A2755" s="178">
        <v>8751</v>
      </c>
      <c r="B2755" s="179" t="s">
        <v>456</v>
      </c>
      <c r="C2755" s="180">
        <v>174</v>
      </c>
    </row>
    <row r="2756" spans="1:3" x14ac:dyDescent="0.25">
      <c r="A2756" s="178">
        <v>8752</v>
      </c>
      <c r="B2756" s="179" t="s">
        <v>456</v>
      </c>
      <c r="C2756" s="180">
        <v>174</v>
      </c>
    </row>
    <row r="2757" spans="1:3" x14ac:dyDescent="0.25">
      <c r="A2757" s="178">
        <v>8753</v>
      </c>
      <c r="B2757" s="179" t="s">
        <v>456</v>
      </c>
      <c r="C2757" s="180">
        <v>174</v>
      </c>
    </row>
    <row r="2758" spans="1:3" x14ac:dyDescent="0.25">
      <c r="A2758" s="178">
        <v>8754</v>
      </c>
      <c r="B2758" s="179" t="s">
        <v>456</v>
      </c>
      <c r="C2758" s="180">
        <v>90</v>
      </c>
    </row>
    <row r="2759" spans="1:3" x14ac:dyDescent="0.25">
      <c r="A2759" s="178">
        <v>8755</v>
      </c>
      <c r="B2759" s="179" t="s">
        <v>456</v>
      </c>
      <c r="C2759" s="180">
        <v>90</v>
      </c>
    </row>
    <row r="2760" spans="1:3" x14ac:dyDescent="0.25">
      <c r="A2760" s="178">
        <v>8757</v>
      </c>
      <c r="B2760" s="179" t="s">
        <v>456</v>
      </c>
      <c r="C2760" s="180">
        <v>45</v>
      </c>
    </row>
    <row r="2761" spans="1:3" x14ac:dyDescent="0.25">
      <c r="A2761" s="178">
        <v>8758</v>
      </c>
      <c r="B2761" s="179" t="s">
        <v>456</v>
      </c>
      <c r="C2761" s="180">
        <v>45</v>
      </c>
    </row>
    <row r="2762" spans="1:3" x14ac:dyDescent="0.25">
      <c r="A2762" s="178">
        <v>8759</v>
      </c>
      <c r="B2762" s="179" t="s">
        <v>456</v>
      </c>
      <c r="C2762" s="180">
        <v>45</v>
      </c>
    </row>
    <row r="2763" spans="1:3" x14ac:dyDescent="0.25">
      <c r="A2763" s="178">
        <v>8760</v>
      </c>
      <c r="B2763" s="179" t="s">
        <v>456</v>
      </c>
      <c r="C2763" s="180">
        <v>1</v>
      </c>
    </row>
    <row r="2764" spans="1:3" x14ac:dyDescent="0.25">
      <c r="A2764" s="178">
        <v>8761</v>
      </c>
      <c r="B2764" s="179" t="s">
        <v>456</v>
      </c>
      <c r="C2764" s="180">
        <v>1</v>
      </c>
    </row>
    <row r="2765" spans="1:3" x14ac:dyDescent="0.25">
      <c r="A2765" s="178">
        <v>8762</v>
      </c>
      <c r="B2765" s="179" t="s">
        <v>456</v>
      </c>
      <c r="C2765" s="180">
        <v>1</v>
      </c>
    </row>
    <row r="2766" spans="1:3" x14ac:dyDescent="0.25">
      <c r="A2766" s="178">
        <v>8765</v>
      </c>
      <c r="B2766" s="179" t="s">
        <v>456</v>
      </c>
      <c r="C2766" s="180">
        <v>72</v>
      </c>
    </row>
    <row r="2767" spans="1:3" x14ac:dyDescent="0.25">
      <c r="A2767" s="178">
        <v>8766</v>
      </c>
      <c r="B2767" s="179" t="s">
        <v>456</v>
      </c>
      <c r="C2767" s="180">
        <v>72</v>
      </c>
    </row>
    <row r="2768" spans="1:3" x14ac:dyDescent="0.25">
      <c r="A2768" s="178">
        <v>8767</v>
      </c>
      <c r="B2768" s="179" t="s">
        <v>456</v>
      </c>
      <c r="C2768" s="180">
        <v>72</v>
      </c>
    </row>
    <row r="2769" spans="1:3" x14ac:dyDescent="0.25">
      <c r="A2769" s="178">
        <v>8768</v>
      </c>
      <c r="B2769" s="179" t="s">
        <v>456</v>
      </c>
      <c r="C2769" s="180">
        <v>3</v>
      </c>
    </row>
    <row r="2770" spans="1:3" x14ac:dyDescent="0.25">
      <c r="A2770" s="178">
        <v>8769</v>
      </c>
      <c r="B2770" s="179" t="s">
        <v>456</v>
      </c>
      <c r="C2770" s="180">
        <v>100</v>
      </c>
    </row>
    <row r="2771" spans="1:3" x14ac:dyDescent="0.25">
      <c r="A2771" s="178">
        <v>8770</v>
      </c>
      <c r="B2771" s="179" t="s">
        <v>456</v>
      </c>
      <c r="C2771" s="180">
        <v>96</v>
      </c>
    </row>
    <row r="2772" spans="1:3" x14ac:dyDescent="0.25">
      <c r="A2772" s="178">
        <v>8771</v>
      </c>
      <c r="B2772" s="179" t="s">
        <v>456</v>
      </c>
      <c r="C2772" s="180">
        <v>96</v>
      </c>
    </row>
    <row r="2773" spans="1:3" x14ac:dyDescent="0.25">
      <c r="A2773" s="178">
        <v>8772</v>
      </c>
      <c r="B2773" s="179" t="s">
        <v>456</v>
      </c>
      <c r="C2773" s="180">
        <v>96</v>
      </c>
    </row>
    <row r="2774" spans="1:3" x14ac:dyDescent="0.25">
      <c r="A2774" s="178">
        <v>8773</v>
      </c>
      <c r="B2774" s="179" t="s">
        <v>456</v>
      </c>
      <c r="C2774" s="180">
        <v>96</v>
      </c>
    </row>
    <row r="2775" spans="1:3" x14ac:dyDescent="0.25">
      <c r="A2775" s="178">
        <v>8774</v>
      </c>
      <c r="B2775" s="179" t="s">
        <v>456</v>
      </c>
      <c r="C2775" s="180">
        <v>96</v>
      </c>
    </row>
    <row r="2776" spans="1:3" x14ac:dyDescent="0.25">
      <c r="A2776" s="178">
        <v>8775</v>
      </c>
      <c r="B2776" s="179" t="s">
        <v>456</v>
      </c>
      <c r="C2776" s="180">
        <v>100</v>
      </c>
    </row>
    <row r="2777" spans="1:3" x14ac:dyDescent="0.25">
      <c r="A2777" s="178">
        <v>8777</v>
      </c>
      <c r="B2777" s="179" t="s">
        <v>456</v>
      </c>
      <c r="C2777" s="180">
        <v>96</v>
      </c>
    </row>
    <row r="2778" spans="1:3" x14ac:dyDescent="0.25">
      <c r="A2778" s="178">
        <v>8778</v>
      </c>
      <c r="B2778" s="179" t="s">
        <v>456</v>
      </c>
      <c r="C2778" s="180">
        <v>96</v>
      </c>
    </row>
    <row r="2779" spans="1:3" x14ac:dyDescent="0.25">
      <c r="A2779" s="178">
        <v>8779</v>
      </c>
      <c r="B2779" s="179" t="s">
        <v>456</v>
      </c>
      <c r="C2779" s="180">
        <v>96</v>
      </c>
    </row>
    <row r="2780" spans="1:3" x14ac:dyDescent="0.25">
      <c r="A2780" s="178">
        <v>8780</v>
      </c>
      <c r="B2780" s="179" t="s">
        <v>456</v>
      </c>
      <c r="C2780" s="180">
        <v>120</v>
      </c>
    </row>
    <row r="2781" spans="1:3" x14ac:dyDescent="0.25">
      <c r="A2781" s="178">
        <v>8781</v>
      </c>
      <c r="B2781" s="179" t="s">
        <v>456</v>
      </c>
      <c r="C2781" s="180">
        <v>80</v>
      </c>
    </row>
    <row r="2782" spans="1:3" x14ac:dyDescent="0.25">
      <c r="A2782" s="178">
        <v>8782</v>
      </c>
      <c r="B2782" s="179" t="s">
        <v>456</v>
      </c>
      <c r="C2782" s="180">
        <v>80</v>
      </c>
    </row>
    <row r="2783" spans="1:3" x14ac:dyDescent="0.25">
      <c r="A2783" s="178">
        <v>8783</v>
      </c>
      <c r="B2783" s="179" t="s">
        <v>456</v>
      </c>
      <c r="C2783" s="180">
        <v>80</v>
      </c>
    </row>
    <row r="2784" spans="1:3" x14ac:dyDescent="0.25">
      <c r="A2784" s="178">
        <v>8788</v>
      </c>
      <c r="B2784" s="179" t="s">
        <v>456</v>
      </c>
      <c r="C2784" s="180">
        <v>221</v>
      </c>
    </row>
    <row r="2785" spans="1:3" x14ac:dyDescent="0.25">
      <c r="A2785" s="178">
        <v>8789</v>
      </c>
      <c r="B2785" s="179" t="s">
        <v>456</v>
      </c>
      <c r="C2785" s="180">
        <v>221</v>
      </c>
    </row>
    <row r="2786" spans="1:3" x14ac:dyDescent="0.25">
      <c r="A2786" s="178">
        <v>8790</v>
      </c>
      <c r="B2786" s="179" t="s">
        <v>456</v>
      </c>
      <c r="C2786" s="180">
        <v>221</v>
      </c>
    </row>
    <row r="2787" spans="1:3" x14ac:dyDescent="0.25">
      <c r="A2787" s="178">
        <v>8791</v>
      </c>
      <c r="B2787" s="179" t="s">
        <v>456</v>
      </c>
      <c r="C2787" s="180">
        <v>275</v>
      </c>
    </row>
    <row r="2788" spans="1:3" x14ac:dyDescent="0.25">
      <c r="A2788" s="178">
        <v>8792</v>
      </c>
      <c r="B2788" s="179" t="s">
        <v>456</v>
      </c>
      <c r="C2788" s="180">
        <v>252</v>
      </c>
    </row>
    <row r="2789" spans="1:3" x14ac:dyDescent="0.25">
      <c r="A2789" s="178">
        <v>8793</v>
      </c>
      <c r="B2789" s="179" t="s">
        <v>456</v>
      </c>
      <c r="C2789" s="180">
        <v>220</v>
      </c>
    </row>
    <row r="2790" spans="1:3" x14ac:dyDescent="0.25">
      <c r="A2790" s="178">
        <v>8794</v>
      </c>
      <c r="B2790" s="179" t="s">
        <v>456</v>
      </c>
      <c r="C2790" s="180">
        <v>135</v>
      </c>
    </row>
    <row r="2791" spans="1:3" x14ac:dyDescent="0.25">
      <c r="A2791" s="178">
        <v>8795</v>
      </c>
      <c r="B2791" s="179" t="s">
        <v>456</v>
      </c>
      <c r="C2791" s="180">
        <v>252</v>
      </c>
    </row>
    <row r="2792" spans="1:3" x14ac:dyDescent="0.25">
      <c r="A2792" s="178">
        <v>8796</v>
      </c>
      <c r="B2792" s="179" t="s">
        <v>456</v>
      </c>
      <c r="C2792" s="180">
        <v>252</v>
      </c>
    </row>
    <row r="2793" spans="1:3" x14ac:dyDescent="0.25">
      <c r="A2793" s="178">
        <v>8797</v>
      </c>
      <c r="B2793" s="179" t="s">
        <v>456</v>
      </c>
      <c r="C2793" s="180">
        <v>252</v>
      </c>
    </row>
    <row r="2794" spans="1:3" x14ac:dyDescent="0.25">
      <c r="A2794" s="178">
        <v>8798</v>
      </c>
      <c r="B2794" s="179" t="s">
        <v>456</v>
      </c>
      <c r="C2794" s="180">
        <v>135</v>
      </c>
    </row>
    <row r="2795" spans="1:3" x14ac:dyDescent="0.25">
      <c r="A2795" s="178">
        <v>8799</v>
      </c>
      <c r="B2795" s="179" t="s">
        <v>456</v>
      </c>
      <c r="C2795" s="180">
        <v>300</v>
      </c>
    </row>
    <row r="2796" spans="1:3" x14ac:dyDescent="0.25">
      <c r="A2796" s="178">
        <v>8812</v>
      </c>
      <c r="B2796" s="179" t="s">
        <v>456</v>
      </c>
      <c r="C2796" s="180">
        <v>72</v>
      </c>
    </row>
    <row r="2797" spans="1:3" x14ac:dyDescent="0.25">
      <c r="A2797" s="178">
        <v>8813</v>
      </c>
      <c r="B2797" s="179" t="s">
        <v>456</v>
      </c>
      <c r="C2797" s="180">
        <v>72</v>
      </c>
    </row>
    <row r="2798" spans="1:3" x14ac:dyDescent="0.25">
      <c r="A2798" s="178">
        <v>8814</v>
      </c>
      <c r="B2798" s="179" t="s">
        <v>456</v>
      </c>
      <c r="C2798" s="180">
        <v>72</v>
      </c>
    </row>
    <row r="2799" spans="1:3" x14ac:dyDescent="0.25">
      <c r="A2799" s="178">
        <v>8815</v>
      </c>
      <c r="B2799" s="179" t="s">
        <v>456</v>
      </c>
      <c r="C2799" s="180">
        <v>72</v>
      </c>
    </row>
    <row r="2800" spans="1:3" x14ac:dyDescent="0.25">
      <c r="A2800" s="178">
        <v>8847</v>
      </c>
      <c r="B2800" s="179" t="s">
        <v>456</v>
      </c>
      <c r="C2800" s="180">
        <v>27</v>
      </c>
    </row>
    <row r="2801" spans="1:3" x14ac:dyDescent="0.25">
      <c r="A2801" s="178">
        <v>8848</v>
      </c>
      <c r="B2801" s="179" t="s">
        <v>456</v>
      </c>
      <c r="C2801" s="180">
        <v>2</v>
      </c>
    </row>
    <row r="2802" spans="1:3" x14ac:dyDescent="0.25">
      <c r="A2802" s="178">
        <v>8854</v>
      </c>
      <c r="B2802" s="179" t="s">
        <v>456</v>
      </c>
      <c r="C2802" s="180">
        <v>27</v>
      </c>
    </row>
    <row r="2803" spans="1:3" x14ac:dyDescent="0.25">
      <c r="A2803" s="178">
        <v>8855</v>
      </c>
      <c r="B2803" s="179" t="s">
        <v>456</v>
      </c>
      <c r="C2803" s="180">
        <v>60</v>
      </c>
    </row>
    <row r="2804" spans="1:3" x14ac:dyDescent="0.25">
      <c r="A2804" s="178">
        <v>8884</v>
      </c>
      <c r="B2804" s="179" t="s">
        <v>456</v>
      </c>
      <c r="C2804" s="180">
        <v>1</v>
      </c>
    </row>
    <row r="2805" spans="1:3" x14ac:dyDescent="0.25">
      <c r="A2805" s="178">
        <v>8891</v>
      </c>
      <c r="B2805" s="179" t="s">
        <v>456</v>
      </c>
      <c r="C2805" s="180">
        <v>1</v>
      </c>
    </row>
    <row r="2806" spans="1:3" x14ac:dyDescent="0.25">
      <c r="A2806" s="178">
        <v>8892</v>
      </c>
      <c r="B2806" s="179" t="s">
        <v>456</v>
      </c>
      <c r="C2806" s="180">
        <v>1</v>
      </c>
    </row>
    <row r="2807" spans="1:3" x14ac:dyDescent="0.25">
      <c r="A2807" s="178">
        <v>8893</v>
      </c>
      <c r="B2807" s="179" t="s">
        <v>456</v>
      </c>
      <c r="C2807" s="180">
        <v>1</v>
      </c>
    </row>
    <row r="2808" spans="1:3" x14ac:dyDescent="0.25">
      <c r="A2808" s="178">
        <v>8895</v>
      </c>
      <c r="B2808" s="179" t="s">
        <v>456</v>
      </c>
      <c r="C2808" s="180">
        <v>12</v>
      </c>
    </row>
    <row r="2809" spans="1:3" x14ac:dyDescent="0.25">
      <c r="A2809" s="178">
        <v>8896</v>
      </c>
      <c r="B2809" s="179" t="s">
        <v>456</v>
      </c>
      <c r="C2809" s="180">
        <v>1</v>
      </c>
    </row>
    <row r="2810" spans="1:3" x14ac:dyDescent="0.25">
      <c r="A2810" s="178">
        <v>8901</v>
      </c>
      <c r="B2810" s="179" t="s">
        <v>456</v>
      </c>
      <c r="C2810" s="180">
        <v>1</v>
      </c>
    </row>
    <row r="2811" spans="1:3" x14ac:dyDescent="0.25">
      <c r="A2811" s="178">
        <v>8902</v>
      </c>
      <c r="B2811" s="179" t="s">
        <v>456</v>
      </c>
      <c r="C2811" s="180">
        <v>1</v>
      </c>
    </row>
    <row r="2812" spans="1:3" x14ac:dyDescent="0.25">
      <c r="A2812" s="178">
        <v>8903</v>
      </c>
      <c r="B2812" s="179" t="s">
        <v>456</v>
      </c>
      <c r="C2812" s="180">
        <v>1</v>
      </c>
    </row>
    <row r="2813" spans="1:3" x14ac:dyDescent="0.25">
      <c r="A2813" s="178">
        <v>8906</v>
      </c>
      <c r="B2813" s="179" t="s">
        <v>456</v>
      </c>
      <c r="C2813" s="180">
        <v>1</v>
      </c>
    </row>
    <row r="2814" spans="1:3" x14ac:dyDescent="0.25">
      <c r="A2814" s="178">
        <v>8907</v>
      </c>
      <c r="B2814" s="179" t="s">
        <v>456</v>
      </c>
      <c r="C2814" s="180">
        <v>1</v>
      </c>
    </row>
    <row r="2815" spans="1:3" x14ac:dyDescent="0.25">
      <c r="A2815" s="178">
        <v>8908</v>
      </c>
      <c r="B2815" s="179" t="s">
        <v>456</v>
      </c>
      <c r="C2815" s="180">
        <v>1</v>
      </c>
    </row>
    <row r="2816" spans="1:3" x14ac:dyDescent="0.25">
      <c r="A2816" s="178">
        <v>8909</v>
      </c>
      <c r="B2816" s="179" t="s">
        <v>456</v>
      </c>
      <c r="C2816" s="180">
        <v>1</v>
      </c>
    </row>
    <row r="2817" spans="1:3" x14ac:dyDescent="0.25">
      <c r="A2817" s="178">
        <v>8913</v>
      </c>
      <c r="B2817" s="179" t="s">
        <v>456</v>
      </c>
      <c r="C2817" s="180">
        <v>1</v>
      </c>
    </row>
    <row r="2818" spans="1:3" x14ac:dyDescent="0.25">
      <c r="A2818" s="178">
        <v>8935</v>
      </c>
      <c r="B2818" s="179" t="s">
        <v>456</v>
      </c>
      <c r="C2818" s="180">
        <v>116</v>
      </c>
    </row>
    <row r="2819" spans="1:3" x14ac:dyDescent="0.25">
      <c r="A2819" s="178">
        <v>8951</v>
      </c>
      <c r="B2819" s="179" t="s">
        <v>456</v>
      </c>
      <c r="C2819" s="180">
        <v>60</v>
      </c>
    </row>
    <row r="2820" spans="1:3" x14ac:dyDescent="0.25">
      <c r="A2820" s="178">
        <v>8955</v>
      </c>
      <c r="B2820" s="179" t="s">
        <v>456</v>
      </c>
      <c r="C2820" s="180">
        <v>65</v>
      </c>
    </row>
    <row r="2821" spans="1:3" x14ac:dyDescent="0.25">
      <c r="A2821" s="178">
        <v>10000</v>
      </c>
      <c r="B2821" s="179" t="s">
        <v>456</v>
      </c>
      <c r="C2821" s="180">
        <v>525</v>
      </c>
    </row>
    <row r="2822" spans="1:3" x14ac:dyDescent="0.25">
      <c r="A2822" s="178">
        <v>10001</v>
      </c>
      <c r="B2822" s="179" t="s">
        <v>456</v>
      </c>
      <c r="C2822" s="180">
        <v>720</v>
      </c>
    </row>
    <row r="2823" spans="1:3" x14ac:dyDescent="0.25">
      <c r="A2823" s="178">
        <v>10002</v>
      </c>
      <c r="B2823" s="179" t="s">
        <v>456</v>
      </c>
      <c r="C2823" s="180">
        <v>525</v>
      </c>
    </row>
    <row r="2824" spans="1:3" x14ac:dyDescent="0.25">
      <c r="A2824" s="178">
        <v>10104</v>
      </c>
      <c r="B2824" s="179" t="s">
        <v>456</v>
      </c>
      <c r="C2824" s="180">
        <v>864</v>
      </c>
    </row>
    <row r="2825" spans="1:3" x14ac:dyDescent="0.25">
      <c r="A2825" s="178">
        <v>10106</v>
      </c>
      <c r="B2825" s="179" t="s">
        <v>456</v>
      </c>
      <c r="C2825" s="180">
        <v>1122</v>
      </c>
    </row>
    <row r="2826" spans="1:3" x14ac:dyDescent="0.25">
      <c r="A2826" s="178">
        <v>10107</v>
      </c>
      <c r="B2826" s="179" t="s">
        <v>456</v>
      </c>
      <c r="C2826" s="180">
        <v>625</v>
      </c>
    </row>
    <row r="2827" spans="1:3" x14ac:dyDescent="0.25">
      <c r="A2827" s="178">
        <v>10108</v>
      </c>
      <c r="B2827" s="179" t="s">
        <v>456</v>
      </c>
      <c r="C2827" s="180">
        <v>420</v>
      </c>
    </row>
    <row r="2828" spans="1:3" x14ac:dyDescent="0.25">
      <c r="A2828" s="178">
        <v>10109</v>
      </c>
      <c r="B2828" s="179" t="s">
        <v>456</v>
      </c>
      <c r="C2828" s="180">
        <v>675</v>
      </c>
    </row>
    <row r="2829" spans="1:3" x14ac:dyDescent="0.25">
      <c r="A2829" s="178">
        <v>10110</v>
      </c>
      <c r="B2829" s="179" t="s">
        <v>456</v>
      </c>
      <c r="C2829" s="180">
        <v>720</v>
      </c>
    </row>
    <row r="2830" spans="1:3" x14ac:dyDescent="0.25">
      <c r="A2830" s="178">
        <v>10111</v>
      </c>
      <c r="B2830" s="179" t="s">
        <v>456</v>
      </c>
      <c r="C2830" s="180">
        <v>525</v>
      </c>
    </row>
    <row r="2831" spans="1:3" x14ac:dyDescent="0.25">
      <c r="A2831" s="178">
        <v>10113</v>
      </c>
      <c r="B2831" s="179" t="s">
        <v>456</v>
      </c>
      <c r="C2831" s="180">
        <v>500</v>
      </c>
    </row>
    <row r="2832" spans="1:3" x14ac:dyDescent="0.25">
      <c r="A2832" s="178">
        <v>10114</v>
      </c>
      <c r="B2832" s="179" t="s">
        <v>456</v>
      </c>
      <c r="C2832" s="180">
        <v>500</v>
      </c>
    </row>
    <row r="2833" spans="1:3" x14ac:dyDescent="0.25">
      <c r="A2833" s="178">
        <v>10115</v>
      </c>
      <c r="B2833" s="179" t="s">
        <v>456</v>
      </c>
      <c r="C2833" s="180">
        <v>1100</v>
      </c>
    </row>
    <row r="2834" spans="1:3" x14ac:dyDescent="0.25">
      <c r="A2834" s="178">
        <v>10116</v>
      </c>
      <c r="B2834" s="179" t="s">
        <v>456</v>
      </c>
      <c r="C2834" s="180">
        <v>1122</v>
      </c>
    </row>
    <row r="2835" spans="1:3" x14ac:dyDescent="0.25">
      <c r="A2835" s="178">
        <v>10119</v>
      </c>
      <c r="B2835" s="179" t="s">
        <v>456</v>
      </c>
      <c r="C2835" s="180">
        <v>675</v>
      </c>
    </row>
    <row r="2836" spans="1:3" x14ac:dyDescent="0.25">
      <c r="A2836" s="178">
        <v>10120</v>
      </c>
      <c r="B2836" s="179" t="s">
        <v>456</v>
      </c>
      <c r="C2836" s="180">
        <v>500</v>
      </c>
    </row>
    <row r="2837" spans="1:3" x14ac:dyDescent="0.25">
      <c r="A2837" s="178">
        <v>10121</v>
      </c>
      <c r="B2837" s="179" t="s">
        <v>456</v>
      </c>
      <c r="C2837" s="180">
        <v>675</v>
      </c>
    </row>
    <row r="2838" spans="1:3" x14ac:dyDescent="0.25">
      <c r="A2838" s="178">
        <v>10122</v>
      </c>
      <c r="B2838" s="179" t="s">
        <v>456</v>
      </c>
      <c r="C2838" s="180">
        <v>750</v>
      </c>
    </row>
    <row r="2839" spans="1:3" x14ac:dyDescent="0.25">
      <c r="A2839" s="178">
        <v>10123</v>
      </c>
      <c r="B2839" s="179" t="s">
        <v>456</v>
      </c>
      <c r="C2839" s="180">
        <v>630</v>
      </c>
    </row>
    <row r="2840" spans="1:3" x14ac:dyDescent="0.25">
      <c r="A2840" s="178">
        <v>10124</v>
      </c>
      <c r="B2840" s="179" t="s">
        <v>456</v>
      </c>
      <c r="C2840" s="180">
        <v>320</v>
      </c>
    </row>
    <row r="2841" spans="1:3" x14ac:dyDescent="0.25">
      <c r="A2841" s="178">
        <v>10125</v>
      </c>
      <c r="B2841" s="179" t="s">
        <v>456</v>
      </c>
      <c r="C2841" s="180">
        <v>320</v>
      </c>
    </row>
    <row r="2842" spans="1:3" x14ac:dyDescent="0.25">
      <c r="A2842" s="178">
        <v>10127</v>
      </c>
      <c r="B2842" s="179" t="s">
        <v>456</v>
      </c>
      <c r="C2842" s="180">
        <v>720</v>
      </c>
    </row>
    <row r="2843" spans="1:3" x14ac:dyDescent="0.25">
      <c r="A2843" s="178">
        <v>10128</v>
      </c>
      <c r="B2843" s="179" t="s">
        <v>456</v>
      </c>
      <c r="C2843" s="180">
        <v>720</v>
      </c>
    </row>
    <row r="2844" spans="1:3" x14ac:dyDescent="0.25">
      <c r="A2844" s="178">
        <v>10129</v>
      </c>
      <c r="B2844" s="179" t="s">
        <v>456</v>
      </c>
      <c r="C2844" s="180">
        <v>375</v>
      </c>
    </row>
    <row r="2845" spans="1:3" x14ac:dyDescent="0.25">
      <c r="A2845" s="178">
        <v>10130</v>
      </c>
      <c r="B2845" s="179" t="s">
        <v>456</v>
      </c>
      <c r="C2845" s="180">
        <v>400</v>
      </c>
    </row>
    <row r="2846" spans="1:3" x14ac:dyDescent="0.25">
      <c r="A2846" s="178">
        <v>10132</v>
      </c>
      <c r="B2846" s="179" t="s">
        <v>456</v>
      </c>
      <c r="C2846" s="180">
        <v>1000</v>
      </c>
    </row>
    <row r="2847" spans="1:3" x14ac:dyDescent="0.25">
      <c r="A2847" s="178">
        <v>10134</v>
      </c>
      <c r="B2847" s="179" t="s">
        <v>456</v>
      </c>
      <c r="C2847" s="180">
        <v>860</v>
      </c>
    </row>
    <row r="2848" spans="1:3" x14ac:dyDescent="0.25">
      <c r="A2848" s="178">
        <v>10137</v>
      </c>
      <c r="B2848" s="179" t="s">
        <v>456</v>
      </c>
      <c r="C2848" s="180">
        <v>720</v>
      </c>
    </row>
    <row r="2849" spans="1:3" x14ac:dyDescent="0.25">
      <c r="A2849" s="178">
        <v>10150</v>
      </c>
      <c r="B2849" s="179" t="s">
        <v>456</v>
      </c>
      <c r="C2849" s="180">
        <v>500</v>
      </c>
    </row>
    <row r="2850" spans="1:3" x14ac:dyDescent="0.25">
      <c r="A2850" s="178">
        <v>10151</v>
      </c>
      <c r="B2850" s="179" t="s">
        <v>456</v>
      </c>
      <c r="C2850" s="180">
        <v>100</v>
      </c>
    </row>
    <row r="2851" spans="1:3" x14ac:dyDescent="0.25">
      <c r="A2851" s="178">
        <v>10154</v>
      </c>
      <c r="B2851" s="179" t="s">
        <v>456</v>
      </c>
      <c r="C2851" s="180">
        <v>640</v>
      </c>
    </row>
    <row r="2852" spans="1:3" x14ac:dyDescent="0.25">
      <c r="A2852" s="178">
        <v>10167</v>
      </c>
      <c r="B2852" s="179" t="s">
        <v>456</v>
      </c>
      <c r="C2852" s="180">
        <v>540</v>
      </c>
    </row>
    <row r="2853" spans="1:3" x14ac:dyDescent="0.25">
      <c r="A2853" s="178">
        <v>10168</v>
      </c>
      <c r="B2853" s="179" t="s">
        <v>456</v>
      </c>
      <c r="C2853" s="180">
        <v>500</v>
      </c>
    </row>
    <row r="2854" spans="1:3" x14ac:dyDescent="0.25">
      <c r="A2854" s="178">
        <v>10169</v>
      </c>
      <c r="B2854" s="179" t="s">
        <v>456</v>
      </c>
      <c r="C2854" s="180">
        <v>540</v>
      </c>
    </row>
    <row r="2855" spans="1:3" x14ac:dyDescent="0.25">
      <c r="A2855" s="178">
        <v>10171</v>
      </c>
      <c r="B2855" s="179" t="s">
        <v>456</v>
      </c>
      <c r="C2855" s="180">
        <v>520</v>
      </c>
    </row>
    <row r="2856" spans="1:3" x14ac:dyDescent="0.25">
      <c r="A2856" s="178">
        <v>10172</v>
      </c>
      <c r="B2856" s="179" t="s">
        <v>456</v>
      </c>
      <c r="C2856" s="180">
        <v>540</v>
      </c>
    </row>
    <row r="2857" spans="1:3" x14ac:dyDescent="0.25">
      <c r="A2857" s="178">
        <v>10176</v>
      </c>
      <c r="B2857" s="179" t="s">
        <v>456</v>
      </c>
      <c r="C2857" s="180">
        <v>99999</v>
      </c>
    </row>
    <row r="2858" spans="1:3" x14ac:dyDescent="0.25">
      <c r="A2858" s="178">
        <v>10177</v>
      </c>
      <c r="B2858" s="179" t="s">
        <v>456</v>
      </c>
      <c r="C2858" s="180">
        <v>520</v>
      </c>
    </row>
    <row r="2859" spans="1:3" x14ac:dyDescent="0.25">
      <c r="A2859" s="178">
        <v>10178</v>
      </c>
      <c r="B2859" s="179" t="s">
        <v>456</v>
      </c>
      <c r="C2859" s="180">
        <v>520</v>
      </c>
    </row>
    <row r="2860" spans="1:3" x14ac:dyDescent="0.25">
      <c r="A2860" s="178">
        <v>10184</v>
      </c>
      <c r="B2860" s="179" t="s">
        <v>456</v>
      </c>
      <c r="C2860" s="180">
        <v>960</v>
      </c>
    </row>
    <row r="2861" spans="1:3" x14ac:dyDescent="0.25">
      <c r="A2861" s="178">
        <v>10185</v>
      </c>
      <c r="B2861" s="179" t="s">
        <v>456</v>
      </c>
      <c r="C2861" s="180">
        <v>400</v>
      </c>
    </row>
    <row r="2862" spans="1:3" x14ac:dyDescent="0.25">
      <c r="A2862" s="178">
        <v>10186</v>
      </c>
      <c r="B2862" s="179" t="s">
        <v>456</v>
      </c>
      <c r="C2862" s="180">
        <v>630</v>
      </c>
    </row>
    <row r="2863" spans="1:3" x14ac:dyDescent="0.25">
      <c r="A2863" s="178">
        <v>10189</v>
      </c>
      <c r="B2863" s="179" t="s">
        <v>456</v>
      </c>
      <c r="C2863" s="180">
        <v>700</v>
      </c>
    </row>
    <row r="2864" spans="1:3" x14ac:dyDescent="0.25">
      <c r="A2864" s="178">
        <v>10191</v>
      </c>
      <c r="B2864" s="179" t="s">
        <v>456</v>
      </c>
      <c r="C2864" s="180">
        <v>460</v>
      </c>
    </row>
    <row r="2865" spans="1:3" x14ac:dyDescent="0.25">
      <c r="A2865" s="178">
        <v>10192</v>
      </c>
      <c r="B2865" s="179" t="s">
        <v>456</v>
      </c>
      <c r="C2865" s="180">
        <v>400</v>
      </c>
    </row>
    <row r="2866" spans="1:3" x14ac:dyDescent="0.25">
      <c r="A2866" s="178">
        <v>10193</v>
      </c>
      <c r="B2866" s="179" t="s">
        <v>456</v>
      </c>
      <c r="C2866" s="180">
        <v>430</v>
      </c>
    </row>
    <row r="2867" spans="1:3" x14ac:dyDescent="0.25">
      <c r="A2867" s="178">
        <v>10194</v>
      </c>
      <c r="B2867" s="179" t="s">
        <v>456</v>
      </c>
      <c r="C2867" s="180">
        <v>400</v>
      </c>
    </row>
    <row r="2868" spans="1:3" x14ac:dyDescent="0.25">
      <c r="A2868" s="178">
        <v>10196</v>
      </c>
      <c r="B2868" s="179" t="s">
        <v>456</v>
      </c>
      <c r="C2868" s="180">
        <v>400</v>
      </c>
    </row>
    <row r="2869" spans="1:3" x14ac:dyDescent="0.25">
      <c r="A2869" s="178">
        <v>10197</v>
      </c>
      <c r="B2869" s="179" t="s">
        <v>456</v>
      </c>
      <c r="C2869" s="180">
        <v>1000</v>
      </c>
    </row>
    <row r="2870" spans="1:3" x14ac:dyDescent="0.25">
      <c r="A2870" s="178">
        <v>10200</v>
      </c>
      <c r="B2870" s="179" t="s">
        <v>456</v>
      </c>
      <c r="C2870" s="180">
        <v>828</v>
      </c>
    </row>
    <row r="2871" spans="1:3" x14ac:dyDescent="0.25">
      <c r="A2871" s="178">
        <v>10201</v>
      </c>
      <c r="B2871" s="179" t="s">
        <v>456</v>
      </c>
      <c r="C2871" s="180">
        <v>828</v>
      </c>
    </row>
    <row r="2872" spans="1:3" x14ac:dyDescent="0.25">
      <c r="A2872" s="178">
        <v>10202</v>
      </c>
      <c r="B2872" s="179" t="s">
        <v>456</v>
      </c>
      <c r="C2872" s="180">
        <v>828</v>
      </c>
    </row>
    <row r="2873" spans="1:3" x14ac:dyDescent="0.25">
      <c r="A2873" s="178">
        <v>10203</v>
      </c>
      <c r="B2873" s="179" t="s">
        <v>456</v>
      </c>
      <c r="C2873" s="180">
        <v>828</v>
      </c>
    </row>
    <row r="2874" spans="1:3" x14ac:dyDescent="0.25">
      <c r="A2874" s="178">
        <v>10204</v>
      </c>
      <c r="B2874" s="179" t="s">
        <v>456</v>
      </c>
      <c r="C2874" s="180">
        <v>868</v>
      </c>
    </row>
    <row r="2875" spans="1:3" x14ac:dyDescent="0.25">
      <c r="A2875" s="178">
        <v>10205</v>
      </c>
      <c r="B2875" s="179" t="s">
        <v>456</v>
      </c>
      <c r="C2875" s="180">
        <v>630</v>
      </c>
    </row>
    <row r="2876" spans="1:3" x14ac:dyDescent="0.25">
      <c r="A2876" s="178">
        <v>10206</v>
      </c>
      <c r="B2876" s="179" t="s">
        <v>456</v>
      </c>
      <c r="C2876" s="180">
        <v>630</v>
      </c>
    </row>
    <row r="2877" spans="1:3" x14ac:dyDescent="0.25">
      <c r="A2877" s="178">
        <v>10210</v>
      </c>
      <c r="B2877" s="179" t="s">
        <v>456</v>
      </c>
      <c r="C2877" s="180">
        <v>820</v>
      </c>
    </row>
    <row r="2878" spans="1:3" x14ac:dyDescent="0.25">
      <c r="A2878" s="178">
        <v>10214</v>
      </c>
      <c r="B2878" s="179" t="s">
        <v>456</v>
      </c>
      <c r="C2878" s="180">
        <v>700</v>
      </c>
    </row>
    <row r="2879" spans="1:3" x14ac:dyDescent="0.25">
      <c r="A2879" s="178">
        <v>10217</v>
      </c>
      <c r="B2879" s="179" t="s">
        <v>456</v>
      </c>
      <c r="C2879" s="180">
        <v>324</v>
      </c>
    </row>
    <row r="2880" spans="1:3" x14ac:dyDescent="0.25">
      <c r="A2880" s="178">
        <v>10219</v>
      </c>
      <c r="B2880" s="179" t="s">
        <v>456</v>
      </c>
      <c r="C2880" s="180">
        <v>216</v>
      </c>
    </row>
    <row r="2881" spans="1:3" x14ac:dyDescent="0.25">
      <c r="A2881" s="178">
        <v>10221</v>
      </c>
      <c r="B2881" s="179" t="s">
        <v>456</v>
      </c>
      <c r="C2881" s="180">
        <v>720</v>
      </c>
    </row>
    <row r="2882" spans="1:3" x14ac:dyDescent="0.25">
      <c r="A2882" s="178">
        <v>10225</v>
      </c>
      <c r="B2882" s="179" t="s">
        <v>456</v>
      </c>
      <c r="C2882" s="180">
        <v>750</v>
      </c>
    </row>
    <row r="2883" spans="1:3" x14ac:dyDescent="0.25">
      <c r="A2883" s="178">
        <v>10226</v>
      </c>
      <c r="B2883" s="179" t="s">
        <v>456</v>
      </c>
      <c r="C2883" s="180">
        <v>750</v>
      </c>
    </row>
    <row r="2884" spans="1:3" x14ac:dyDescent="0.25">
      <c r="A2884" s="178">
        <v>10236</v>
      </c>
      <c r="B2884" s="179" t="s">
        <v>456</v>
      </c>
      <c r="C2884" s="180">
        <v>1250</v>
      </c>
    </row>
    <row r="2885" spans="1:3" x14ac:dyDescent="0.25">
      <c r="A2885" s="178">
        <v>10250</v>
      </c>
      <c r="B2885" s="179" t="s">
        <v>456</v>
      </c>
      <c r="C2885" s="180">
        <v>300</v>
      </c>
    </row>
    <row r="2886" spans="1:3" x14ac:dyDescent="0.25">
      <c r="A2886" s="178">
        <v>10251</v>
      </c>
      <c r="B2886" s="179" t="s">
        <v>456</v>
      </c>
      <c r="C2886" s="180">
        <v>400</v>
      </c>
    </row>
    <row r="2887" spans="1:3" x14ac:dyDescent="0.25">
      <c r="A2887" s="178">
        <v>10266</v>
      </c>
      <c r="B2887" s="179" t="s">
        <v>456</v>
      </c>
      <c r="C2887" s="180">
        <v>400</v>
      </c>
    </row>
    <row r="2888" spans="1:3" x14ac:dyDescent="0.25">
      <c r="A2888" s="178">
        <v>10272</v>
      </c>
      <c r="B2888" s="179" t="s">
        <v>456</v>
      </c>
      <c r="C2888" s="180">
        <v>570</v>
      </c>
    </row>
    <row r="2889" spans="1:3" x14ac:dyDescent="0.25">
      <c r="A2889" s="178">
        <v>10300</v>
      </c>
      <c r="B2889" s="179" t="s">
        <v>456</v>
      </c>
      <c r="C2889" s="180">
        <v>300</v>
      </c>
    </row>
    <row r="2890" spans="1:3" x14ac:dyDescent="0.25">
      <c r="A2890" s="178">
        <v>10307</v>
      </c>
      <c r="B2890" s="179" t="s">
        <v>456</v>
      </c>
      <c r="C2890" s="180">
        <v>500</v>
      </c>
    </row>
    <row r="2891" spans="1:3" x14ac:dyDescent="0.25">
      <c r="A2891" s="178">
        <v>10308</v>
      </c>
      <c r="B2891" s="179" t="s">
        <v>456</v>
      </c>
      <c r="C2891" s="180">
        <v>720</v>
      </c>
    </row>
    <row r="2892" spans="1:3" x14ac:dyDescent="0.25">
      <c r="A2892" s="178">
        <v>10310</v>
      </c>
      <c r="B2892" s="179" t="s">
        <v>456</v>
      </c>
      <c r="C2892" s="180">
        <v>720</v>
      </c>
    </row>
    <row r="2893" spans="1:3" x14ac:dyDescent="0.25">
      <c r="A2893" s="178">
        <v>10328</v>
      </c>
      <c r="B2893" s="179" t="s">
        <v>456</v>
      </c>
      <c r="C2893" s="180">
        <v>720</v>
      </c>
    </row>
    <row r="2894" spans="1:3" x14ac:dyDescent="0.25">
      <c r="A2894" s="178">
        <v>10333</v>
      </c>
      <c r="B2894" s="179" t="s">
        <v>456</v>
      </c>
      <c r="C2894" s="180">
        <v>460</v>
      </c>
    </row>
    <row r="2895" spans="1:3" x14ac:dyDescent="0.25">
      <c r="A2895" s="178">
        <v>10336</v>
      </c>
      <c r="B2895" s="179" t="s">
        <v>456</v>
      </c>
      <c r="C2895" s="180">
        <v>400</v>
      </c>
    </row>
    <row r="2896" spans="1:3" x14ac:dyDescent="0.25">
      <c r="A2896" s="178">
        <v>10339</v>
      </c>
      <c r="B2896" s="179" t="s">
        <v>456</v>
      </c>
      <c r="C2896" s="180">
        <v>720</v>
      </c>
    </row>
    <row r="2897" spans="1:3" x14ac:dyDescent="0.25">
      <c r="A2897" s="178">
        <v>10342</v>
      </c>
      <c r="B2897" s="179" t="s">
        <v>456</v>
      </c>
      <c r="C2897" s="180">
        <v>700</v>
      </c>
    </row>
    <row r="2898" spans="1:3" x14ac:dyDescent="0.25">
      <c r="A2898" s="178">
        <v>10343</v>
      </c>
      <c r="B2898" s="179" t="s">
        <v>456</v>
      </c>
      <c r="C2898" s="180">
        <v>700</v>
      </c>
    </row>
    <row r="2899" spans="1:3" x14ac:dyDescent="0.25">
      <c r="A2899" s="178">
        <v>10351</v>
      </c>
      <c r="B2899" s="179" t="s">
        <v>456</v>
      </c>
      <c r="C2899" s="180">
        <v>460</v>
      </c>
    </row>
    <row r="2900" spans="1:3" x14ac:dyDescent="0.25">
      <c r="A2900" s="178">
        <v>10412</v>
      </c>
      <c r="B2900" s="179" t="s">
        <v>456</v>
      </c>
      <c r="C2900" s="180">
        <v>460</v>
      </c>
    </row>
    <row r="2901" spans="1:3" x14ac:dyDescent="0.25">
      <c r="A2901" s="178">
        <v>10414</v>
      </c>
      <c r="B2901" s="179" t="s">
        <v>456</v>
      </c>
      <c r="C2901" s="180">
        <v>960</v>
      </c>
    </row>
    <row r="2902" spans="1:3" x14ac:dyDescent="0.25">
      <c r="A2902" s="178">
        <v>10416</v>
      </c>
      <c r="B2902" s="179" t="s">
        <v>456</v>
      </c>
      <c r="C2902" s="180">
        <v>99999</v>
      </c>
    </row>
    <row r="2903" spans="1:3" x14ac:dyDescent="0.25">
      <c r="A2903" s="178">
        <v>10419</v>
      </c>
      <c r="B2903" s="179" t="s">
        <v>456</v>
      </c>
      <c r="C2903" s="180">
        <v>1320</v>
      </c>
    </row>
    <row r="2904" spans="1:3" x14ac:dyDescent="0.25">
      <c r="A2904" s="178">
        <v>10420</v>
      </c>
      <c r="B2904" s="179" t="s">
        <v>456</v>
      </c>
      <c r="C2904" s="180">
        <v>960</v>
      </c>
    </row>
    <row r="2905" spans="1:3" x14ac:dyDescent="0.25">
      <c r="A2905" s="178">
        <v>10421</v>
      </c>
      <c r="B2905" s="179" t="s">
        <v>456</v>
      </c>
      <c r="C2905" s="180">
        <v>672</v>
      </c>
    </row>
    <row r="2906" spans="1:3" x14ac:dyDescent="0.25">
      <c r="A2906" s="178">
        <v>10422</v>
      </c>
      <c r="B2906" s="179" t="s">
        <v>456</v>
      </c>
      <c r="C2906" s="180">
        <v>960</v>
      </c>
    </row>
    <row r="2907" spans="1:3" x14ac:dyDescent="0.25">
      <c r="A2907" s="178">
        <v>10424</v>
      </c>
      <c r="B2907" s="179" t="s">
        <v>456</v>
      </c>
      <c r="C2907" s="180">
        <v>500</v>
      </c>
    </row>
    <row r="2908" spans="1:3" x14ac:dyDescent="0.25">
      <c r="A2908" s="178">
        <v>10425</v>
      </c>
      <c r="B2908" s="179" t="s">
        <v>456</v>
      </c>
      <c r="C2908" s="180">
        <v>540</v>
      </c>
    </row>
    <row r="2909" spans="1:3" x14ac:dyDescent="0.25">
      <c r="A2909" s="178">
        <v>10428</v>
      </c>
      <c r="B2909" s="179" t="s">
        <v>456</v>
      </c>
      <c r="C2909" s="180">
        <v>99999</v>
      </c>
    </row>
    <row r="2910" spans="1:3" x14ac:dyDescent="0.25">
      <c r="A2910" s="178">
        <v>10501</v>
      </c>
      <c r="B2910" s="179" t="s">
        <v>456</v>
      </c>
      <c r="C2910" s="180">
        <v>30000</v>
      </c>
    </row>
    <row r="2911" spans="1:3" x14ac:dyDescent="0.25">
      <c r="A2911" s="178">
        <v>11000</v>
      </c>
      <c r="B2911" s="179" t="s">
        <v>456</v>
      </c>
      <c r="C2911" s="180">
        <v>1000</v>
      </c>
    </row>
    <row r="2912" spans="1:3" x14ac:dyDescent="0.25">
      <c r="A2912" s="178">
        <v>11002</v>
      </c>
      <c r="B2912" s="179" t="s">
        <v>456</v>
      </c>
      <c r="C2912" s="180">
        <v>500</v>
      </c>
    </row>
    <row r="2913" spans="1:3" x14ac:dyDescent="0.25">
      <c r="A2913" s="178">
        <v>11006</v>
      </c>
      <c r="B2913" s="179" t="s">
        <v>456</v>
      </c>
      <c r="C2913" s="180">
        <v>1000</v>
      </c>
    </row>
    <row r="2914" spans="1:3" x14ac:dyDescent="0.25">
      <c r="A2914" s="178">
        <v>11528</v>
      </c>
      <c r="B2914" s="179" t="s">
        <v>456</v>
      </c>
      <c r="C2914" s="180">
        <v>2</v>
      </c>
    </row>
    <row r="2915" spans="1:3" x14ac:dyDescent="0.25">
      <c r="A2915" s="178">
        <v>11529</v>
      </c>
      <c r="B2915" s="179" t="s">
        <v>456</v>
      </c>
      <c r="C2915" s="180">
        <v>2</v>
      </c>
    </row>
    <row r="2916" spans="1:3" x14ac:dyDescent="0.25">
      <c r="A2916" s="178">
        <v>11530</v>
      </c>
      <c r="B2916" s="179" t="s">
        <v>456</v>
      </c>
      <c r="C2916" s="180">
        <v>2</v>
      </c>
    </row>
    <row r="2917" spans="1:3" x14ac:dyDescent="0.25">
      <c r="A2917" s="178">
        <v>13000</v>
      </c>
      <c r="B2917" s="179" t="s">
        <v>456</v>
      </c>
      <c r="C2917" s="180">
        <v>825</v>
      </c>
    </row>
    <row r="2918" spans="1:3" x14ac:dyDescent="0.25">
      <c r="A2918" s="178">
        <v>13002</v>
      </c>
      <c r="B2918" s="179" t="s">
        <v>456</v>
      </c>
      <c r="C2918" s="180">
        <v>675</v>
      </c>
    </row>
    <row r="2919" spans="1:3" x14ac:dyDescent="0.25">
      <c r="A2919" s="178">
        <v>13004</v>
      </c>
      <c r="B2919" s="179" t="s">
        <v>456</v>
      </c>
      <c r="C2919" s="180">
        <v>675</v>
      </c>
    </row>
    <row r="2920" spans="1:3" x14ac:dyDescent="0.25">
      <c r="A2920" s="178">
        <v>13006</v>
      </c>
      <c r="B2920" s="179" t="s">
        <v>456</v>
      </c>
      <c r="C2920" s="180">
        <v>825</v>
      </c>
    </row>
    <row r="2921" spans="1:3" x14ac:dyDescent="0.25">
      <c r="A2921" s="178">
        <v>13007</v>
      </c>
      <c r="B2921" s="179" t="s">
        <v>456</v>
      </c>
      <c r="C2921" s="180">
        <v>816</v>
      </c>
    </row>
    <row r="2922" spans="1:3" x14ac:dyDescent="0.25">
      <c r="A2922" s="178">
        <v>13009</v>
      </c>
      <c r="B2922" s="179" t="s">
        <v>456</v>
      </c>
      <c r="C2922" s="180">
        <v>420</v>
      </c>
    </row>
    <row r="2923" spans="1:3" x14ac:dyDescent="0.25">
      <c r="A2923" s="178">
        <v>18018</v>
      </c>
      <c r="B2923" s="179" t="s">
        <v>456</v>
      </c>
      <c r="C2923" s="180">
        <v>880</v>
      </c>
    </row>
    <row r="2924" spans="1:3" x14ac:dyDescent="0.25">
      <c r="A2924" s="178">
        <v>18020</v>
      </c>
      <c r="B2924" s="179" t="s">
        <v>456</v>
      </c>
      <c r="C2924" s="180">
        <v>880</v>
      </c>
    </row>
    <row r="2925" spans="1:3" x14ac:dyDescent="0.25">
      <c r="A2925" s="178">
        <v>18041</v>
      </c>
      <c r="B2925" s="179" t="s">
        <v>456</v>
      </c>
      <c r="C2925" s="180">
        <v>1000</v>
      </c>
    </row>
    <row r="2926" spans="1:3" x14ac:dyDescent="0.25">
      <c r="A2926" s="178">
        <v>18042</v>
      </c>
      <c r="B2926" s="179" t="s">
        <v>456</v>
      </c>
      <c r="C2926" s="180">
        <v>1000</v>
      </c>
    </row>
    <row r="2927" spans="1:3" x14ac:dyDescent="0.25">
      <c r="A2927" s="178">
        <v>18043</v>
      </c>
      <c r="B2927" s="179" t="s">
        <v>456</v>
      </c>
      <c r="C2927" s="180">
        <v>1000</v>
      </c>
    </row>
    <row r="2928" spans="1:3" x14ac:dyDescent="0.25">
      <c r="A2928" s="178">
        <v>18044</v>
      </c>
      <c r="B2928" s="179" t="s">
        <v>456</v>
      </c>
      <c r="C2928" s="180">
        <v>232</v>
      </c>
    </row>
    <row r="2929" spans="1:3" x14ac:dyDescent="0.25">
      <c r="A2929" s="178">
        <v>18046</v>
      </c>
      <c r="B2929" s="179" t="s">
        <v>456</v>
      </c>
      <c r="C2929" s="180">
        <v>232</v>
      </c>
    </row>
    <row r="2930" spans="1:3" x14ac:dyDescent="0.25">
      <c r="A2930" s="178">
        <v>18047</v>
      </c>
      <c r="B2930" s="179" t="s">
        <v>456</v>
      </c>
      <c r="C2930" s="180">
        <v>232</v>
      </c>
    </row>
    <row r="2931" spans="1:3" x14ac:dyDescent="0.25">
      <c r="A2931" s="178">
        <v>18085</v>
      </c>
      <c r="B2931" s="179" t="s">
        <v>456</v>
      </c>
      <c r="C2931" s="180">
        <v>1080</v>
      </c>
    </row>
    <row r="2932" spans="1:3" x14ac:dyDescent="0.25">
      <c r="A2932" s="178">
        <v>18086</v>
      </c>
      <c r="B2932" s="179" t="s">
        <v>456</v>
      </c>
      <c r="C2932" s="180">
        <v>1080</v>
      </c>
    </row>
    <row r="2933" spans="1:3" x14ac:dyDescent="0.25">
      <c r="A2933" s="178">
        <v>18087</v>
      </c>
      <c r="B2933" s="179" t="s">
        <v>456</v>
      </c>
      <c r="C2933" s="180">
        <v>1080</v>
      </c>
    </row>
    <row r="2934" spans="1:3" x14ac:dyDescent="0.25">
      <c r="A2934" s="178">
        <v>18093</v>
      </c>
      <c r="B2934" s="179" t="s">
        <v>456</v>
      </c>
      <c r="C2934" s="180">
        <v>1000</v>
      </c>
    </row>
    <row r="2935" spans="1:3" x14ac:dyDescent="0.25">
      <c r="A2935" s="178">
        <v>18094</v>
      </c>
      <c r="B2935" s="179" t="s">
        <v>456</v>
      </c>
      <c r="C2935" s="180">
        <v>1000</v>
      </c>
    </row>
    <row r="2936" spans="1:3" x14ac:dyDescent="0.25">
      <c r="A2936" s="178">
        <v>18096</v>
      </c>
      <c r="B2936" s="179" t="s">
        <v>456</v>
      </c>
      <c r="C2936" s="180">
        <v>1000</v>
      </c>
    </row>
    <row r="2937" spans="1:3" x14ac:dyDescent="0.25">
      <c r="A2937" s="178">
        <v>18097</v>
      </c>
      <c r="B2937" s="179" t="s">
        <v>456</v>
      </c>
      <c r="C2937" s="180">
        <v>1000</v>
      </c>
    </row>
    <row r="2938" spans="1:3" x14ac:dyDescent="0.25">
      <c r="A2938" s="178">
        <v>18098</v>
      </c>
      <c r="B2938" s="179" t="s">
        <v>456</v>
      </c>
      <c r="C2938" s="180">
        <v>1000</v>
      </c>
    </row>
    <row r="2939" spans="1:3" x14ac:dyDescent="0.25">
      <c r="A2939" s="178">
        <v>18099</v>
      </c>
      <c r="B2939" s="179" t="s">
        <v>456</v>
      </c>
      <c r="C2939" s="180">
        <v>1000</v>
      </c>
    </row>
    <row r="2940" spans="1:3" x14ac:dyDescent="0.25">
      <c r="A2940" s="178">
        <v>18100</v>
      </c>
      <c r="B2940" s="179" t="s">
        <v>456</v>
      </c>
      <c r="C2940" s="180">
        <v>1000</v>
      </c>
    </row>
    <row r="2941" spans="1:3" x14ac:dyDescent="0.25">
      <c r="A2941" s="178">
        <v>18106</v>
      </c>
      <c r="B2941" s="179" t="s">
        <v>456</v>
      </c>
      <c r="C2941" s="180">
        <v>6264</v>
      </c>
    </row>
    <row r="2942" spans="1:3" x14ac:dyDescent="0.25">
      <c r="A2942" s="178">
        <v>18107</v>
      </c>
      <c r="B2942" s="179" t="s">
        <v>456</v>
      </c>
      <c r="C2942" s="180">
        <v>6264</v>
      </c>
    </row>
    <row r="2943" spans="1:3" x14ac:dyDescent="0.25">
      <c r="A2943" s="178">
        <v>18110</v>
      </c>
      <c r="B2943" s="179" t="s">
        <v>456</v>
      </c>
      <c r="C2943" s="180">
        <v>540</v>
      </c>
    </row>
    <row r="2944" spans="1:3" x14ac:dyDescent="0.25">
      <c r="A2944" s="178">
        <v>18140</v>
      </c>
      <c r="B2944" s="179" t="s">
        <v>456</v>
      </c>
      <c r="C2944" s="180">
        <v>1500</v>
      </c>
    </row>
    <row r="2945" spans="1:3" x14ac:dyDescent="0.25">
      <c r="A2945" s="178">
        <v>18141</v>
      </c>
      <c r="B2945" s="179" t="s">
        <v>456</v>
      </c>
      <c r="C2945" s="180">
        <v>1000</v>
      </c>
    </row>
    <row r="2946" spans="1:3" x14ac:dyDescent="0.25">
      <c r="A2946" s="178">
        <v>18142</v>
      </c>
      <c r="B2946" s="179" t="s">
        <v>456</v>
      </c>
      <c r="C2946" s="180">
        <v>750</v>
      </c>
    </row>
    <row r="2947" spans="1:3" x14ac:dyDescent="0.25">
      <c r="A2947" s="178">
        <v>18144</v>
      </c>
      <c r="B2947" s="179" t="s">
        <v>456</v>
      </c>
      <c r="C2947" s="180">
        <v>600</v>
      </c>
    </row>
    <row r="2948" spans="1:3" x14ac:dyDescent="0.25">
      <c r="A2948" s="178">
        <v>18148</v>
      </c>
      <c r="B2948" s="179" t="s">
        <v>456</v>
      </c>
      <c r="C2948" s="180">
        <v>1000</v>
      </c>
    </row>
    <row r="2949" spans="1:3" x14ac:dyDescent="0.25">
      <c r="A2949" s="178">
        <v>18149</v>
      </c>
      <c r="B2949" s="179" t="s">
        <v>456</v>
      </c>
      <c r="C2949" s="180">
        <v>750</v>
      </c>
    </row>
    <row r="2950" spans="1:3" x14ac:dyDescent="0.25">
      <c r="A2950" s="178">
        <v>18189</v>
      </c>
      <c r="B2950" s="179" t="s">
        <v>456</v>
      </c>
      <c r="C2950" s="180">
        <v>5832</v>
      </c>
    </row>
    <row r="2951" spans="1:3" x14ac:dyDescent="0.25">
      <c r="A2951" s="178">
        <v>18198</v>
      </c>
      <c r="B2951" s="179" t="s">
        <v>456</v>
      </c>
      <c r="C2951" s="180">
        <v>6264</v>
      </c>
    </row>
    <row r="2952" spans="1:3" x14ac:dyDescent="0.25">
      <c r="A2952" s="178">
        <v>18200</v>
      </c>
      <c r="B2952" s="179" t="s">
        <v>456</v>
      </c>
      <c r="C2952" s="180">
        <v>324</v>
      </c>
    </row>
    <row r="2953" spans="1:3" x14ac:dyDescent="0.25">
      <c r="A2953" s="178">
        <v>18227</v>
      </c>
      <c r="B2953" s="179" t="s">
        <v>456</v>
      </c>
      <c r="C2953" s="180">
        <v>120</v>
      </c>
    </row>
    <row r="2954" spans="1:3" x14ac:dyDescent="0.25">
      <c r="A2954" s="178">
        <v>18230</v>
      </c>
      <c r="B2954" s="179" t="s">
        <v>456</v>
      </c>
      <c r="C2954" s="180">
        <v>1280</v>
      </c>
    </row>
    <row r="2955" spans="1:3" x14ac:dyDescent="0.25">
      <c r="A2955" s="178">
        <v>18250</v>
      </c>
      <c r="B2955" s="179" t="s">
        <v>456</v>
      </c>
      <c r="C2955" s="180">
        <v>276</v>
      </c>
    </row>
    <row r="2956" spans="1:3" x14ac:dyDescent="0.25">
      <c r="A2956" s="178">
        <v>18252</v>
      </c>
      <c r="B2956" s="179" t="s">
        <v>456</v>
      </c>
      <c r="C2956" s="180">
        <v>276</v>
      </c>
    </row>
    <row r="2957" spans="1:3" x14ac:dyDescent="0.25">
      <c r="A2957" s="178">
        <v>18260</v>
      </c>
      <c r="B2957" s="179" t="s">
        <v>456</v>
      </c>
      <c r="C2957" s="180">
        <v>640</v>
      </c>
    </row>
    <row r="2958" spans="1:3" x14ac:dyDescent="0.25">
      <c r="A2958" s="178">
        <v>18261</v>
      </c>
      <c r="B2958" s="179" t="s">
        <v>456</v>
      </c>
      <c r="C2958" s="180">
        <v>300</v>
      </c>
    </row>
    <row r="2959" spans="1:3" x14ac:dyDescent="0.25">
      <c r="A2959" s="178">
        <v>18263</v>
      </c>
      <c r="B2959" s="179" t="s">
        <v>456</v>
      </c>
      <c r="C2959" s="180">
        <v>630</v>
      </c>
    </row>
    <row r="2960" spans="1:3" x14ac:dyDescent="0.25">
      <c r="A2960" s="178">
        <v>18264</v>
      </c>
      <c r="B2960" s="179" t="s">
        <v>456</v>
      </c>
      <c r="C2960" s="180">
        <v>720</v>
      </c>
    </row>
    <row r="2961" spans="1:3" x14ac:dyDescent="0.25">
      <c r="A2961" s="178">
        <v>18276</v>
      </c>
      <c r="B2961" s="179" t="s">
        <v>456</v>
      </c>
      <c r="C2961" s="180">
        <v>864</v>
      </c>
    </row>
    <row r="2962" spans="1:3" x14ac:dyDescent="0.25">
      <c r="A2962" s="178">
        <v>18279</v>
      </c>
      <c r="B2962" s="179" t="s">
        <v>456</v>
      </c>
      <c r="C2962" s="180">
        <v>960</v>
      </c>
    </row>
    <row r="2963" spans="1:3" x14ac:dyDescent="0.25">
      <c r="A2963" s="178">
        <v>18280</v>
      </c>
      <c r="B2963" s="179" t="s">
        <v>456</v>
      </c>
      <c r="C2963" s="180">
        <v>960</v>
      </c>
    </row>
    <row r="2964" spans="1:3" x14ac:dyDescent="0.25">
      <c r="A2964" s="178">
        <v>18282</v>
      </c>
      <c r="B2964" s="179" t="s">
        <v>456</v>
      </c>
      <c r="C2964" s="180">
        <v>500</v>
      </c>
    </row>
    <row r="2965" spans="1:3" x14ac:dyDescent="0.25">
      <c r="A2965" s="178">
        <v>18288</v>
      </c>
      <c r="B2965" s="179" t="s">
        <v>456</v>
      </c>
      <c r="C2965" s="180">
        <v>400</v>
      </c>
    </row>
    <row r="2966" spans="1:3" x14ac:dyDescent="0.25">
      <c r="A2966" s="178">
        <v>18303</v>
      </c>
      <c r="B2966" s="179" t="s">
        <v>456</v>
      </c>
      <c r="C2966" s="180">
        <v>850</v>
      </c>
    </row>
    <row r="2967" spans="1:3" x14ac:dyDescent="0.25">
      <c r="A2967" s="178">
        <v>18308</v>
      </c>
      <c r="B2967" s="179" t="s">
        <v>456</v>
      </c>
      <c r="C2967" s="180">
        <v>900</v>
      </c>
    </row>
    <row r="2968" spans="1:3" x14ac:dyDescent="0.25">
      <c r="A2968" s="178">
        <v>18311</v>
      </c>
      <c r="B2968" s="179" t="s">
        <v>456</v>
      </c>
      <c r="C2968" s="180">
        <v>400</v>
      </c>
    </row>
    <row r="2969" spans="1:3" x14ac:dyDescent="0.25">
      <c r="A2969" s="178">
        <v>18312</v>
      </c>
      <c r="B2969" s="179" t="s">
        <v>456</v>
      </c>
      <c r="C2969" s="180">
        <v>192</v>
      </c>
    </row>
    <row r="2970" spans="1:3" x14ac:dyDescent="0.25">
      <c r="A2970" s="178">
        <v>18313</v>
      </c>
      <c r="B2970" s="179" t="s">
        <v>456</v>
      </c>
      <c r="C2970" s="180">
        <v>480</v>
      </c>
    </row>
    <row r="2971" spans="1:3" x14ac:dyDescent="0.25">
      <c r="A2971" s="178">
        <v>18314</v>
      </c>
      <c r="B2971" s="179" t="s">
        <v>456</v>
      </c>
      <c r="C2971" s="180">
        <v>540</v>
      </c>
    </row>
    <row r="2972" spans="1:3" x14ac:dyDescent="0.25">
      <c r="A2972" s="178">
        <v>18315</v>
      </c>
      <c r="B2972" s="179" t="s">
        <v>456</v>
      </c>
      <c r="C2972" s="180">
        <v>460</v>
      </c>
    </row>
    <row r="2973" spans="1:3" x14ac:dyDescent="0.25">
      <c r="A2973" s="178">
        <v>18316</v>
      </c>
      <c r="B2973" s="179" t="s">
        <v>456</v>
      </c>
      <c r="C2973" s="180">
        <v>500</v>
      </c>
    </row>
    <row r="2974" spans="1:3" x14ac:dyDescent="0.25">
      <c r="A2974" s="178">
        <v>18319</v>
      </c>
      <c r="B2974" s="179" t="s">
        <v>456</v>
      </c>
      <c r="C2974" s="180">
        <v>500</v>
      </c>
    </row>
    <row r="2975" spans="1:3" x14ac:dyDescent="0.25">
      <c r="A2975" s="178">
        <v>18320</v>
      </c>
      <c r="B2975" s="179" t="s">
        <v>456</v>
      </c>
      <c r="C2975" s="180">
        <v>720</v>
      </c>
    </row>
    <row r="2976" spans="1:3" x14ac:dyDescent="0.25">
      <c r="A2976" s="178">
        <v>18321</v>
      </c>
      <c r="B2976" s="179" t="s">
        <v>456</v>
      </c>
      <c r="C2976" s="180">
        <v>630</v>
      </c>
    </row>
    <row r="2977" spans="1:3" x14ac:dyDescent="0.25">
      <c r="A2977" s="178">
        <v>18322</v>
      </c>
      <c r="B2977" s="179" t="s">
        <v>456</v>
      </c>
      <c r="C2977" s="180">
        <v>600</v>
      </c>
    </row>
    <row r="2978" spans="1:3" x14ac:dyDescent="0.25">
      <c r="A2978" s="178">
        <v>18325</v>
      </c>
      <c r="B2978" s="179" t="s">
        <v>456</v>
      </c>
      <c r="C2978" s="180">
        <v>630</v>
      </c>
    </row>
    <row r="2979" spans="1:3" x14ac:dyDescent="0.25">
      <c r="A2979" s="178">
        <v>18326</v>
      </c>
      <c r="B2979" s="179" t="s">
        <v>456</v>
      </c>
      <c r="C2979" s="180">
        <v>960</v>
      </c>
    </row>
    <row r="2980" spans="1:3" x14ac:dyDescent="0.25">
      <c r="A2980" s="178">
        <v>18328</v>
      </c>
      <c r="B2980" s="179" t="s">
        <v>456</v>
      </c>
      <c r="C2980" s="180">
        <v>32</v>
      </c>
    </row>
    <row r="2981" spans="1:3" x14ac:dyDescent="0.25">
      <c r="A2981" s="178">
        <v>18329</v>
      </c>
      <c r="B2981" s="179" t="s">
        <v>456</v>
      </c>
      <c r="C2981" s="180">
        <v>600</v>
      </c>
    </row>
    <row r="2982" spans="1:3" x14ac:dyDescent="0.25">
      <c r="A2982" s="178">
        <v>18330</v>
      </c>
      <c r="B2982" s="179" t="s">
        <v>456</v>
      </c>
      <c r="C2982" s="180">
        <v>600</v>
      </c>
    </row>
    <row r="2983" spans="1:3" x14ac:dyDescent="0.25">
      <c r="A2983" s="178">
        <v>18331</v>
      </c>
      <c r="B2983" s="179" t="s">
        <v>456</v>
      </c>
      <c r="C2983" s="180">
        <v>600</v>
      </c>
    </row>
    <row r="2984" spans="1:3" x14ac:dyDescent="0.25">
      <c r="A2984" s="178">
        <v>18332</v>
      </c>
      <c r="B2984" s="179" t="s">
        <v>456</v>
      </c>
      <c r="C2984" s="180">
        <v>1000</v>
      </c>
    </row>
    <row r="2985" spans="1:3" x14ac:dyDescent="0.25">
      <c r="A2985" s="178">
        <v>18333</v>
      </c>
      <c r="B2985" s="179" t="s">
        <v>456</v>
      </c>
      <c r="C2985" s="180">
        <v>750</v>
      </c>
    </row>
    <row r="2986" spans="1:3" x14ac:dyDescent="0.25">
      <c r="A2986" s="178">
        <v>18334</v>
      </c>
      <c r="B2986" s="179" t="s">
        <v>456</v>
      </c>
      <c r="C2986" s="180">
        <v>100</v>
      </c>
    </row>
    <row r="2987" spans="1:3" x14ac:dyDescent="0.25">
      <c r="A2987" s="178">
        <v>18335</v>
      </c>
      <c r="B2987" s="179" t="s">
        <v>456</v>
      </c>
      <c r="C2987" s="180">
        <v>980</v>
      </c>
    </row>
    <row r="2988" spans="1:3" x14ac:dyDescent="0.25">
      <c r="A2988" s="178">
        <v>18336</v>
      </c>
      <c r="B2988" s="179" t="s">
        <v>456</v>
      </c>
      <c r="C2988" s="180">
        <v>600</v>
      </c>
    </row>
    <row r="2989" spans="1:3" x14ac:dyDescent="0.25">
      <c r="A2989" s="178">
        <v>20002</v>
      </c>
      <c r="B2989" s="179" t="s">
        <v>456</v>
      </c>
      <c r="C2989" s="180">
        <v>300</v>
      </c>
    </row>
    <row r="2990" spans="1:3" x14ac:dyDescent="0.25">
      <c r="A2990" s="178">
        <v>20005</v>
      </c>
      <c r="B2990" s="179" t="s">
        <v>456</v>
      </c>
      <c r="C2990" s="180">
        <v>100</v>
      </c>
    </row>
    <row r="2991" spans="1:3" x14ac:dyDescent="0.25">
      <c r="A2991" s="178">
        <v>20008</v>
      </c>
      <c r="B2991" s="179" t="s">
        <v>456</v>
      </c>
      <c r="C2991" s="180">
        <v>70</v>
      </c>
    </row>
    <row r="2992" spans="1:3" x14ac:dyDescent="0.25">
      <c r="A2992" s="178">
        <v>20009</v>
      </c>
      <c r="B2992" s="179" t="s">
        <v>456</v>
      </c>
      <c r="C2992" s="180">
        <v>600</v>
      </c>
    </row>
    <row r="2993" spans="1:3" x14ac:dyDescent="0.25">
      <c r="A2993" s="178">
        <v>20010</v>
      </c>
      <c r="B2993" s="179" t="s">
        <v>456</v>
      </c>
      <c r="C2993" s="180">
        <v>500</v>
      </c>
    </row>
    <row r="2994" spans="1:3" x14ac:dyDescent="0.25">
      <c r="A2994" s="178">
        <v>20011</v>
      </c>
      <c r="B2994" s="179" t="s">
        <v>456</v>
      </c>
      <c r="C2994" s="180">
        <v>300</v>
      </c>
    </row>
    <row r="2995" spans="1:3" x14ac:dyDescent="0.25">
      <c r="A2995" s="178">
        <v>20014</v>
      </c>
      <c r="B2995" s="179" t="s">
        <v>456</v>
      </c>
      <c r="C2995" s="180">
        <v>300</v>
      </c>
    </row>
    <row r="2996" spans="1:3" x14ac:dyDescent="0.25">
      <c r="A2996" s="178">
        <v>20019</v>
      </c>
      <c r="B2996" s="179" t="s">
        <v>456</v>
      </c>
      <c r="C2996" s="180">
        <v>500</v>
      </c>
    </row>
    <row r="2997" spans="1:3" x14ac:dyDescent="0.25">
      <c r="A2997" s="178">
        <v>20021</v>
      </c>
      <c r="B2997" s="179" t="s">
        <v>456</v>
      </c>
      <c r="C2997" s="180">
        <v>20</v>
      </c>
    </row>
    <row r="2998" spans="1:3" x14ac:dyDescent="0.25">
      <c r="A2998" s="178">
        <v>20023</v>
      </c>
      <c r="B2998" s="179" t="s">
        <v>456</v>
      </c>
      <c r="C2998" s="180">
        <v>500</v>
      </c>
    </row>
    <row r="2999" spans="1:3" x14ac:dyDescent="0.25">
      <c r="A2999" s="178">
        <v>20026</v>
      </c>
      <c r="B2999" s="179" t="s">
        <v>456</v>
      </c>
      <c r="C2999" s="180">
        <v>280</v>
      </c>
    </row>
    <row r="3000" spans="1:3" x14ac:dyDescent="0.25">
      <c r="A3000" s="178">
        <v>20054</v>
      </c>
      <c r="B3000" s="179" t="s">
        <v>456</v>
      </c>
      <c r="C3000" s="180">
        <v>210</v>
      </c>
    </row>
    <row r="3001" spans="1:3" x14ac:dyDescent="0.25">
      <c r="A3001" s="178">
        <v>20059</v>
      </c>
      <c r="B3001" s="179" t="s">
        <v>456</v>
      </c>
      <c r="C3001" s="180">
        <v>335</v>
      </c>
    </row>
    <row r="3002" spans="1:3" x14ac:dyDescent="0.25">
      <c r="A3002" s="178">
        <v>20068</v>
      </c>
      <c r="B3002" s="179" t="s">
        <v>456</v>
      </c>
      <c r="C3002" s="180">
        <v>120</v>
      </c>
    </row>
    <row r="3003" spans="1:3" x14ac:dyDescent="0.25">
      <c r="A3003" s="178">
        <v>20069</v>
      </c>
      <c r="B3003" s="179" t="s">
        <v>456</v>
      </c>
      <c r="C3003" s="180">
        <v>120</v>
      </c>
    </row>
    <row r="3004" spans="1:3" x14ac:dyDescent="0.25">
      <c r="A3004" s="178">
        <v>20070</v>
      </c>
      <c r="B3004" s="179" t="s">
        <v>456</v>
      </c>
      <c r="C3004" s="180">
        <v>120</v>
      </c>
    </row>
    <row r="3005" spans="1:3" x14ac:dyDescent="0.25">
      <c r="A3005" s="178">
        <v>20073</v>
      </c>
      <c r="B3005" s="179" t="s">
        <v>456</v>
      </c>
      <c r="C3005" s="180">
        <v>120</v>
      </c>
    </row>
    <row r="3006" spans="1:3" x14ac:dyDescent="0.25">
      <c r="A3006" s="178">
        <v>20085</v>
      </c>
      <c r="B3006" s="179" t="s">
        <v>456</v>
      </c>
      <c r="C3006" s="180">
        <v>120</v>
      </c>
    </row>
    <row r="3007" spans="1:3" x14ac:dyDescent="0.25">
      <c r="A3007" s="178">
        <v>20091</v>
      </c>
      <c r="B3007" s="179" t="s">
        <v>456</v>
      </c>
      <c r="C3007" s="180">
        <v>300</v>
      </c>
    </row>
    <row r="3008" spans="1:3" x14ac:dyDescent="0.25">
      <c r="A3008" s="178">
        <v>20093</v>
      </c>
      <c r="B3008" s="179" t="s">
        <v>456</v>
      </c>
      <c r="C3008" s="180">
        <v>400</v>
      </c>
    </row>
    <row r="3009" spans="1:3" x14ac:dyDescent="0.25">
      <c r="A3009" s="178">
        <v>20106</v>
      </c>
      <c r="B3009" s="179" t="s">
        <v>456</v>
      </c>
      <c r="C3009" s="180">
        <v>50</v>
      </c>
    </row>
    <row r="3010" spans="1:3" x14ac:dyDescent="0.25">
      <c r="A3010" s="178">
        <v>20112</v>
      </c>
      <c r="B3010" s="179" t="s">
        <v>456</v>
      </c>
      <c r="C3010" s="180">
        <v>900</v>
      </c>
    </row>
    <row r="3011" spans="1:3" x14ac:dyDescent="0.25">
      <c r="A3011" s="178">
        <v>20116</v>
      </c>
      <c r="B3011" s="179" t="s">
        <v>456</v>
      </c>
      <c r="C3011" s="180">
        <v>750</v>
      </c>
    </row>
    <row r="3012" spans="1:3" x14ac:dyDescent="0.25">
      <c r="A3012" s="178">
        <v>20119</v>
      </c>
      <c r="B3012" s="179" t="s">
        <v>456</v>
      </c>
      <c r="C3012" s="180">
        <v>600</v>
      </c>
    </row>
    <row r="3013" spans="1:3" x14ac:dyDescent="0.25">
      <c r="A3013" s="178">
        <v>20124</v>
      </c>
      <c r="B3013" s="179" t="s">
        <v>456</v>
      </c>
      <c r="C3013" s="180">
        <v>152</v>
      </c>
    </row>
    <row r="3014" spans="1:3" x14ac:dyDescent="0.25">
      <c r="A3014" s="178">
        <v>20127</v>
      </c>
      <c r="B3014" s="179" t="s">
        <v>456</v>
      </c>
      <c r="C3014" s="180">
        <v>152</v>
      </c>
    </row>
    <row r="3015" spans="1:3" x14ac:dyDescent="0.25">
      <c r="A3015" s="178">
        <v>20128</v>
      </c>
      <c r="B3015" s="179" t="s">
        <v>456</v>
      </c>
      <c r="C3015" s="180">
        <v>1000</v>
      </c>
    </row>
    <row r="3016" spans="1:3" x14ac:dyDescent="0.25">
      <c r="A3016" s="178">
        <v>20132</v>
      </c>
      <c r="B3016" s="179" t="s">
        <v>456</v>
      </c>
      <c r="C3016" s="180">
        <v>152</v>
      </c>
    </row>
    <row r="3017" spans="1:3" x14ac:dyDescent="0.25">
      <c r="A3017" s="178">
        <v>20144</v>
      </c>
      <c r="B3017" s="179" t="s">
        <v>456</v>
      </c>
      <c r="C3017" s="180">
        <v>1</v>
      </c>
    </row>
    <row r="3018" spans="1:3" x14ac:dyDescent="0.25">
      <c r="A3018" s="178">
        <v>20149</v>
      </c>
      <c r="B3018" s="179" t="s">
        <v>456</v>
      </c>
      <c r="C3018" s="180">
        <v>1050</v>
      </c>
    </row>
    <row r="3019" spans="1:3" x14ac:dyDescent="0.25">
      <c r="A3019" s="178">
        <v>20157</v>
      </c>
      <c r="B3019" s="179" t="s">
        <v>456</v>
      </c>
      <c r="C3019" s="180">
        <v>750</v>
      </c>
    </row>
    <row r="3020" spans="1:3" x14ac:dyDescent="0.25">
      <c r="A3020" s="178">
        <v>20195</v>
      </c>
      <c r="B3020" s="179" t="s">
        <v>456</v>
      </c>
      <c r="C3020" s="180">
        <v>360</v>
      </c>
    </row>
    <row r="3021" spans="1:3" x14ac:dyDescent="0.25">
      <c r="A3021" s="178">
        <v>20201</v>
      </c>
      <c r="B3021" s="179" t="s">
        <v>456</v>
      </c>
      <c r="C3021" s="180">
        <v>1000</v>
      </c>
    </row>
    <row r="3022" spans="1:3" x14ac:dyDescent="0.25">
      <c r="A3022" s="178">
        <v>20205</v>
      </c>
      <c r="B3022" s="179" t="s">
        <v>456</v>
      </c>
      <c r="C3022" s="180">
        <v>300</v>
      </c>
    </row>
    <row r="3023" spans="1:3" x14ac:dyDescent="0.25">
      <c r="A3023" s="178">
        <v>20206</v>
      </c>
      <c r="B3023" s="179" t="s">
        <v>456</v>
      </c>
      <c r="C3023" s="180">
        <v>180</v>
      </c>
    </row>
    <row r="3024" spans="1:3" x14ac:dyDescent="0.25">
      <c r="A3024" s="178">
        <v>20207</v>
      </c>
      <c r="B3024" s="179" t="s">
        <v>456</v>
      </c>
      <c r="C3024" s="180">
        <v>200</v>
      </c>
    </row>
    <row r="3025" spans="1:3" x14ac:dyDescent="0.25">
      <c r="A3025" s="178">
        <v>20216</v>
      </c>
      <c r="B3025" s="179" t="s">
        <v>456</v>
      </c>
      <c r="C3025" s="180">
        <v>200</v>
      </c>
    </row>
    <row r="3026" spans="1:3" x14ac:dyDescent="0.25">
      <c r="A3026" s="178">
        <v>20230</v>
      </c>
      <c r="B3026" s="179" t="s">
        <v>456</v>
      </c>
      <c r="C3026" s="180">
        <v>900</v>
      </c>
    </row>
    <row r="3027" spans="1:3" x14ac:dyDescent="0.25">
      <c r="A3027" s="178">
        <v>20237</v>
      </c>
      <c r="B3027" s="179" t="s">
        <v>456</v>
      </c>
      <c r="C3027" s="180">
        <v>200</v>
      </c>
    </row>
    <row r="3028" spans="1:3" x14ac:dyDescent="0.25">
      <c r="A3028" s="178">
        <v>20239</v>
      </c>
      <c r="B3028" s="179" t="s">
        <v>456</v>
      </c>
      <c r="C3028" s="180">
        <v>720</v>
      </c>
    </row>
    <row r="3029" spans="1:3" x14ac:dyDescent="0.25">
      <c r="A3029" s="178">
        <v>20240</v>
      </c>
      <c r="B3029" s="179" t="s">
        <v>456</v>
      </c>
      <c r="C3029" s="180">
        <v>600</v>
      </c>
    </row>
    <row r="3030" spans="1:3" x14ac:dyDescent="0.25">
      <c r="A3030" s="178">
        <v>20241</v>
      </c>
      <c r="B3030" s="179" t="s">
        <v>456</v>
      </c>
      <c r="C3030" s="180">
        <v>1050</v>
      </c>
    </row>
    <row r="3031" spans="1:3" x14ac:dyDescent="0.25">
      <c r="A3031" s="178">
        <v>20242</v>
      </c>
      <c r="B3031" s="179" t="s">
        <v>456</v>
      </c>
      <c r="C3031" s="180">
        <v>450</v>
      </c>
    </row>
    <row r="3032" spans="1:3" x14ac:dyDescent="0.25">
      <c r="A3032" s="178">
        <v>20243</v>
      </c>
      <c r="B3032" s="179" t="s">
        <v>456</v>
      </c>
      <c r="C3032" s="180">
        <v>300</v>
      </c>
    </row>
    <row r="3033" spans="1:3" x14ac:dyDescent="0.25">
      <c r="A3033" s="178">
        <v>20262</v>
      </c>
      <c r="B3033" s="179" t="s">
        <v>456</v>
      </c>
      <c r="C3033" s="180">
        <v>600</v>
      </c>
    </row>
    <row r="3034" spans="1:3" x14ac:dyDescent="0.25">
      <c r="A3034" s="178">
        <v>20266</v>
      </c>
      <c r="B3034" s="179" t="s">
        <v>456</v>
      </c>
      <c r="C3034" s="180">
        <v>800</v>
      </c>
    </row>
    <row r="3035" spans="1:3" x14ac:dyDescent="0.25">
      <c r="A3035" s="178">
        <v>20275</v>
      </c>
      <c r="B3035" s="179" t="s">
        <v>456</v>
      </c>
      <c r="C3035" s="180">
        <v>240</v>
      </c>
    </row>
    <row r="3036" spans="1:3" x14ac:dyDescent="0.25">
      <c r="A3036" s="178">
        <v>20279</v>
      </c>
      <c r="B3036" s="179" t="s">
        <v>456</v>
      </c>
      <c r="C3036" s="180">
        <v>700</v>
      </c>
    </row>
    <row r="3037" spans="1:3" x14ac:dyDescent="0.25">
      <c r="A3037" s="178">
        <v>20280</v>
      </c>
      <c r="B3037" s="179" t="s">
        <v>456</v>
      </c>
      <c r="C3037" s="180">
        <v>700</v>
      </c>
    </row>
    <row r="3038" spans="1:3" x14ac:dyDescent="0.25">
      <c r="A3038" s="178">
        <v>20301</v>
      </c>
      <c r="B3038" s="179" t="s">
        <v>456</v>
      </c>
      <c r="C3038" s="180">
        <v>1000</v>
      </c>
    </row>
    <row r="3039" spans="1:3" x14ac:dyDescent="0.25">
      <c r="A3039" s="178">
        <v>20302</v>
      </c>
      <c r="B3039" s="179" t="s">
        <v>456</v>
      </c>
      <c r="C3039" s="180">
        <v>7000</v>
      </c>
    </row>
    <row r="3040" spans="1:3" x14ac:dyDescent="0.25">
      <c r="A3040" s="178">
        <v>20303</v>
      </c>
      <c r="B3040" s="179" t="s">
        <v>456</v>
      </c>
      <c r="C3040" s="180">
        <v>300</v>
      </c>
    </row>
    <row r="3041" spans="1:3" x14ac:dyDescent="0.25">
      <c r="A3041" s="178">
        <v>20304</v>
      </c>
      <c r="B3041" s="179" t="s">
        <v>456</v>
      </c>
      <c r="C3041" s="180">
        <v>7000</v>
      </c>
    </row>
    <row r="3042" spans="1:3" x14ac:dyDescent="0.25">
      <c r="A3042" s="178">
        <v>20305</v>
      </c>
      <c r="B3042" s="179" t="s">
        <v>456</v>
      </c>
      <c r="C3042" s="180">
        <v>250</v>
      </c>
    </row>
    <row r="3043" spans="1:3" x14ac:dyDescent="0.25">
      <c r="A3043" s="178">
        <v>20306</v>
      </c>
      <c r="B3043" s="179" t="s">
        <v>456</v>
      </c>
      <c r="C3043" s="180">
        <v>400</v>
      </c>
    </row>
    <row r="3044" spans="1:3" x14ac:dyDescent="0.25">
      <c r="A3044" s="178">
        <v>20307</v>
      </c>
      <c r="B3044" s="179" t="s">
        <v>456</v>
      </c>
      <c r="C3044" s="180">
        <v>1000</v>
      </c>
    </row>
    <row r="3045" spans="1:3" x14ac:dyDescent="0.25">
      <c r="A3045" s="178">
        <v>20308</v>
      </c>
      <c r="B3045" s="179" t="s">
        <v>456</v>
      </c>
      <c r="C3045" s="180">
        <v>360</v>
      </c>
    </row>
    <row r="3046" spans="1:3" x14ac:dyDescent="0.25">
      <c r="A3046" s="178">
        <v>20313</v>
      </c>
      <c r="B3046" s="179" t="s">
        <v>456</v>
      </c>
      <c r="C3046" s="180">
        <v>400</v>
      </c>
    </row>
    <row r="3047" spans="1:3" x14ac:dyDescent="0.25">
      <c r="A3047" s="178">
        <v>20315</v>
      </c>
      <c r="B3047" s="179" t="s">
        <v>456</v>
      </c>
      <c r="C3047" s="180">
        <v>720</v>
      </c>
    </row>
    <row r="3048" spans="1:3" x14ac:dyDescent="0.25">
      <c r="A3048" s="178">
        <v>20316</v>
      </c>
      <c r="B3048" s="179" t="s">
        <v>456</v>
      </c>
      <c r="C3048" s="180">
        <v>720</v>
      </c>
    </row>
    <row r="3049" spans="1:3" x14ac:dyDescent="0.25">
      <c r="A3049" s="178">
        <v>20318</v>
      </c>
      <c r="B3049" s="179" t="s">
        <v>456</v>
      </c>
      <c r="C3049" s="180">
        <v>500</v>
      </c>
    </row>
    <row r="3050" spans="1:3" x14ac:dyDescent="0.25">
      <c r="A3050" s="178">
        <v>20320</v>
      </c>
      <c r="B3050" s="179" t="s">
        <v>456</v>
      </c>
      <c r="C3050" s="180">
        <v>1000</v>
      </c>
    </row>
    <row r="3051" spans="1:3" x14ac:dyDescent="0.25">
      <c r="A3051" s="178">
        <v>20327</v>
      </c>
      <c r="B3051" s="179" t="s">
        <v>456</v>
      </c>
      <c r="C3051" s="180">
        <v>750</v>
      </c>
    </row>
    <row r="3052" spans="1:3" x14ac:dyDescent="0.25">
      <c r="A3052" s="178">
        <v>20328</v>
      </c>
      <c r="B3052" s="179" t="s">
        <v>456</v>
      </c>
      <c r="C3052" s="180">
        <v>1000</v>
      </c>
    </row>
    <row r="3053" spans="1:3" x14ac:dyDescent="0.25">
      <c r="A3053" s="178">
        <v>20335</v>
      </c>
      <c r="B3053" s="179" t="s">
        <v>456</v>
      </c>
      <c r="C3053" s="180">
        <v>525</v>
      </c>
    </row>
    <row r="3054" spans="1:3" x14ac:dyDescent="0.25">
      <c r="A3054" s="178">
        <v>20338</v>
      </c>
      <c r="B3054" s="179" t="s">
        <v>456</v>
      </c>
      <c r="C3054" s="180">
        <v>700</v>
      </c>
    </row>
    <row r="3055" spans="1:3" x14ac:dyDescent="0.25">
      <c r="A3055" s="178">
        <v>20342</v>
      </c>
      <c r="B3055" s="179" t="s">
        <v>456</v>
      </c>
      <c r="C3055" s="180">
        <v>1000</v>
      </c>
    </row>
    <row r="3056" spans="1:3" x14ac:dyDescent="0.25">
      <c r="A3056" s="178">
        <v>20346</v>
      </c>
      <c r="B3056" s="179" t="s">
        <v>456</v>
      </c>
      <c r="C3056" s="180">
        <v>800</v>
      </c>
    </row>
    <row r="3057" spans="1:3" x14ac:dyDescent="0.25">
      <c r="A3057" s="178">
        <v>20358</v>
      </c>
      <c r="B3057" s="179" t="s">
        <v>456</v>
      </c>
      <c r="C3057" s="180">
        <v>600</v>
      </c>
    </row>
    <row r="3058" spans="1:3" x14ac:dyDescent="0.25">
      <c r="A3058" s="178">
        <v>20361</v>
      </c>
      <c r="B3058" s="179" t="s">
        <v>456</v>
      </c>
      <c r="C3058" s="180">
        <v>135</v>
      </c>
    </row>
    <row r="3059" spans="1:3" x14ac:dyDescent="0.25">
      <c r="A3059" s="178">
        <v>20376</v>
      </c>
      <c r="B3059" s="179" t="s">
        <v>456</v>
      </c>
      <c r="C3059" s="180">
        <v>320</v>
      </c>
    </row>
    <row r="3060" spans="1:3" x14ac:dyDescent="0.25">
      <c r="A3060" s="178">
        <v>20390</v>
      </c>
      <c r="B3060" s="179" t="s">
        <v>456</v>
      </c>
      <c r="C3060" s="180">
        <v>600</v>
      </c>
    </row>
    <row r="3061" spans="1:3" x14ac:dyDescent="0.25">
      <c r="A3061" s="178">
        <v>20403</v>
      </c>
      <c r="B3061" s="179" t="s">
        <v>456</v>
      </c>
      <c r="C3061" s="180">
        <v>335</v>
      </c>
    </row>
    <row r="3062" spans="1:3" x14ac:dyDescent="0.25">
      <c r="A3062" s="178">
        <v>20409</v>
      </c>
      <c r="B3062" s="179" t="s">
        <v>456</v>
      </c>
      <c r="C3062" s="180">
        <v>100</v>
      </c>
    </row>
    <row r="3063" spans="1:3" x14ac:dyDescent="0.25">
      <c r="A3063" s="178">
        <v>20411</v>
      </c>
      <c r="B3063" s="179" t="s">
        <v>456</v>
      </c>
      <c r="C3063" s="180">
        <v>370</v>
      </c>
    </row>
    <row r="3064" spans="1:3" x14ac:dyDescent="0.25">
      <c r="A3064" s="178">
        <v>20416</v>
      </c>
      <c r="B3064" s="179" t="s">
        <v>456</v>
      </c>
      <c r="C3064" s="180">
        <v>600</v>
      </c>
    </row>
    <row r="3065" spans="1:3" x14ac:dyDescent="0.25">
      <c r="A3065" s="178">
        <v>20500</v>
      </c>
      <c r="B3065" s="179" t="s">
        <v>456</v>
      </c>
      <c r="C3065" s="180">
        <v>100</v>
      </c>
    </row>
    <row r="3066" spans="1:3" x14ac:dyDescent="0.25">
      <c r="A3066" s="178">
        <v>20502</v>
      </c>
      <c r="B3066" s="179" t="s">
        <v>456</v>
      </c>
      <c r="C3066" s="180">
        <v>100</v>
      </c>
    </row>
    <row r="3067" spans="1:3" x14ac:dyDescent="0.25">
      <c r="A3067" s="178">
        <v>20517</v>
      </c>
      <c r="B3067" s="179" t="s">
        <v>456</v>
      </c>
      <c r="C3067" s="180">
        <v>560</v>
      </c>
    </row>
    <row r="3068" spans="1:3" x14ac:dyDescent="0.25">
      <c r="A3068" s="178">
        <v>20518</v>
      </c>
      <c r="B3068" s="179" t="s">
        <v>456</v>
      </c>
      <c r="C3068" s="180">
        <v>560</v>
      </c>
    </row>
    <row r="3069" spans="1:3" x14ac:dyDescent="0.25">
      <c r="A3069" s="178">
        <v>20520</v>
      </c>
      <c r="B3069" s="179" t="s">
        <v>456</v>
      </c>
      <c r="C3069" s="180">
        <v>600</v>
      </c>
    </row>
    <row r="3070" spans="1:3" x14ac:dyDescent="0.25">
      <c r="A3070" s="178">
        <v>20536</v>
      </c>
      <c r="B3070" s="179" t="s">
        <v>456</v>
      </c>
      <c r="C3070" s="180">
        <v>560</v>
      </c>
    </row>
    <row r="3071" spans="1:3" x14ac:dyDescent="0.25">
      <c r="A3071" s="178">
        <v>20537</v>
      </c>
      <c r="B3071" s="179" t="s">
        <v>456</v>
      </c>
      <c r="C3071" s="180">
        <v>560</v>
      </c>
    </row>
    <row r="3072" spans="1:3" x14ac:dyDescent="0.25">
      <c r="A3072" s="178">
        <v>20538</v>
      </c>
      <c r="B3072" s="179" t="s">
        <v>456</v>
      </c>
      <c r="C3072" s="180">
        <v>560</v>
      </c>
    </row>
    <row r="3073" spans="1:3" x14ac:dyDescent="0.25">
      <c r="A3073" s="178">
        <v>20540</v>
      </c>
      <c r="B3073" s="179" t="s">
        <v>456</v>
      </c>
      <c r="C3073" s="180">
        <v>1000</v>
      </c>
    </row>
    <row r="3074" spans="1:3" x14ac:dyDescent="0.25">
      <c r="A3074" s="178">
        <v>20605</v>
      </c>
      <c r="B3074" s="179" t="s">
        <v>456</v>
      </c>
      <c r="C3074" s="180">
        <v>1000</v>
      </c>
    </row>
    <row r="3075" spans="1:3" x14ac:dyDescent="0.25">
      <c r="A3075" s="178">
        <v>20606</v>
      </c>
      <c r="B3075" s="179" t="s">
        <v>456</v>
      </c>
      <c r="C3075" s="180">
        <v>20</v>
      </c>
    </row>
    <row r="3076" spans="1:3" x14ac:dyDescent="0.25">
      <c r="A3076" s="178">
        <v>20610</v>
      </c>
      <c r="B3076" s="179" t="s">
        <v>456</v>
      </c>
      <c r="C3076" s="180">
        <v>20</v>
      </c>
    </row>
    <row r="3077" spans="1:3" x14ac:dyDescent="0.25">
      <c r="A3077" s="178">
        <v>20614</v>
      </c>
      <c r="B3077" s="179" t="s">
        <v>456</v>
      </c>
      <c r="C3077" s="180">
        <v>420</v>
      </c>
    </row>
    <row r="3078" spans="1:3" x14ac:dyDescent="0.25">
      <c r="A3078" s="178">
        <v>20619</v>
      </c>
      <c r="B3078" s="179" t="s">
        <v>456</v>
      </c>
      <c r="C3078" s="180">
        <v>600</v>
      </c>
    </row>
    <row r="3079" spans="1:3" x14ac:dyDescent="0.25">
      <c r="A3079" s="178">
        <v>20636</v>
      </c>
      <c r="B3079" s="179" t="s">
        <v>456</v>
      </c>
      <c r="C3079" s="180">
        <v>1000</v>
      </c>
    </row>
    <row r="3080" spans="1:3" x14ac:dyDescent="0.25">
      <c r="A3080" s="178">
        <v>20645</v>
      </c>
      <c r="B3080" s="179" t="s">
        <v>456</v>
      </c>
      <c r="C3080" s="180">
        <v>50</v>
      </c>
    </row>
    <row r="3081" spans="1:3" x14ac:dyDescent="0.25">
      <c r="A3081" s="178">
        <v>20646</v>
      </c>
      <c r="B3081" s="179" t="s">
        <v>456</v>
      </c>
      <c r="C3081" s="180">
        <v>300</v>
      </c>
    </row>
    <row r="3082" spans="1:3" x14ac:dyDescent="0.25">
      <c r="A3082" s="178">
        <v>20647</v>
      </c>
      <c r="B3082" s="179" t="s">
        <v>456</v>
      </c>
      <c r="C3082" s="180">
        <v>300</v>
      </c>
    </row>
    <row r="3083" spans="1:3" x14ac:dyDescent="0.25">
      <c r="A3083" s="178">
        <v>20704</v>
      </c>
      <c r="B3083" s="179" t="s">
        <v>456</v>
      </c>
      <c r="C3083" s="180">
        <v>380</v>
      </c>
    </row>
    <row r="3084" spans="1:3" x14ac:dyDescent="0.25">
      <c r="A3084" s="178">
        <v>20706</v>
      </c>
      <c r="B3084" s="179" t="s">
        <v>456</v>
      </c>
      <c r="C3084" s="180">
        <v>2000</v>
      </c>
    </row>
    <row r="3085" spans="1:3" x14ac:dyDescent="0.25">
      <c r="A3085" s="178">
        <v>20707</v>
      </c>
      <c r="B3085" s="179" t="s">
        <v>456</v>
      </c>
      <c r="C3085" s="180">
        <v>990</v>
      </c>
    </row>
    <row r="3086" spans="1:3" x14ac:dyDescent="0.25">
      <c r="A3086" s="178">
        <v>20903</v>
      </c>
      <c r="B3086" s="179" t="s">
        <v>456</v>
      </c>
      <c r="C3086" s="180">
        <v>600</v>
      </c>
    </row>
    <row r="3087" spans="1:3" x14ac:dyDescent="0.25">
      <c r="A3087" s="178">
        <v>20919</v>
      </c>
      <c r="B3087" s="179" t="s">
        <v>456</v>
      </c>
      <c r="C3087" s="180">
        <v>600</v>
      </c>
    </row>
    <row r="3088" spans="1:3" x14ac:dyDescent="0.25">
      <c r="A3088" s="178">
        <v>20920</v>
      </c>
      <c r="B3088" s="179" t="s">
        <v>456</v>
      </c>
      <c r="C3088" s="180">
        <v>750</v>
      </c>
    </row>
    <row r="3089" spans="1:3" x14ac:dyDescent="0.25">
      <c r="A3089" s="178">
        <v>21002</v>
      </c>
      <c r="B3089" s="179" t="s">
        <v>456</v>
      </c>
      <c r="C3089" s="180">
        <v>800</v>
      </c>
    </row>
    <row r="3090" spans="1:3" x14ac:dyDescent="0.25">
      <c r="A3090" s="178">
        <v>21008</v>
      </c>
      <c r="B3090" s="179" t="s">
        <v>456</v>
      </c>
      <c r="C3090" s="180">
        <v>600</v>
      </c>
    </row>
    <row r="3091" spans="1:3" x14ac:dyDescent="0.25">
      <c r="A3091" s="178">
        <v>21012</v>
      </c>
      <c r="B3091" s="179" t="s">
        <v>456</v>
      </c>
      <c r="C3091" s="180">
        <v>1000</v>
      </c>
    </row>
    <row r="3092" spans="1:3" x14ac:dyDescent="0.25">
      <c r="A3092" s="178">
        <v>21013</v>
      </c>
      <c r="B3092" s="179" t="s">
        <v>456</v>
      </c>
      <c r="C3092" s="180">
        <v>1000</v>
      </c>
    </row>
    <row r="3093" spans="1:3" x14ac:dyDescent="0.25">
      <c r="A3093" s="178">
        <v>21042</v>
      </c>
      <c r="B3093" s="179" t="s">
        <v>456</v>
      </c>
      <c r="C3093" s="180">
        <v>34000</v>
      </c>
    </row>
    <row r="3094" spans="1:3" x14ac:dyDescent="0.25">
      <c r="A3094" s="178">
        <v>21046</v>
      </c>
      <c r="B3094" s="179" t="s">
        <v>456</v>
      </c>
      <c r="C3094" s="180">
        <v>720</v>
      </c>
    </row>
    <row r="3095" spans="1:3" x14ac:dyDescent="0.25">
      <c r="A3095" s="178">
        <v>22006</v>
      </c>
      <c r="B3095" s="179" t="s">
        <v>456</v>
      </c>
      <c r="C3095" s="180">
        <v>200</v>
      </c>
    </row>
    <row r="3096" spans="1:3" x14ac:dyDescent="0.25">
      <c r="A3096" s="178">
        <v>22007</v>
      </c>
      <c r="B3096" s="179" t="s">
        <v>456</v>
      </c>
      <c r="C3096" s="180">
        <v>240</v>
      </c>
    </row>
    <row r="3097" spans="1:3" x14ac:dyDescent="0.25">
      <c r="A3097" s="178">
        <v>22008</v>
      </c>
      <c r="B3097" s="179" t="s">
        <v>456</v>
      </c>
      <c r="C3097" s="180">
        <v>100</v>
      </c>
    </row>
    <row r="3098" spans="1:3" x14ac:dyDescent="0.25">
      <c r="A3098" s="178">
        <v>22010</v>
      </c>
      <c r="B3098" s="179" t="s">
        <v>456</v>
      </c>
      <c r="C3098" s="180">
        <v>100</v>
      </c>
    </row>
    <row r="3099" spans="1:3" x14ac:dyDescent="0.25">
      <c r="A3099" s="178">
        <v>22046</v>
      </c>
      <c r="B3099" s="179" t="s">
        <v>456</v>
      </c>
      <c r="C3099" s="180">
        <v>600</v>
      </c>
    </row>
    <row r="3100" spans="1:3" x14ac:dyDescent="0.25">
      <c r="A3100" s="178">
        <v>22047</v>
      </c>
      <c r="B3100" s="179" t="s">
        <v>456</v>
      </c>
      <c r="C3100" s="180">
        <v>600</v>
      </c>
    </row>
    <row r="3101" spans="1:3" x14ac:dyDescent="0.25">
      <c r="A3101" s="178">
        <v>22048</v>
      </c>
      <c r="B3101" s="179" t="s">
        <v>456</v>
      </c>
      <c r="C3101" s="180">
        <v>600</v>
      </c>
    </row>
    <row r="3102" spans="1:3" x14ac:dyDescent="0.25">
      <c r="A3102" s="178">
        <v>23000</v>
      </c>
      <c r="B3102" s="179" t="s">
        <v>456</v>
      </c>
      <c r="C3102" s="180">
        <v>700</v>
      </c>
    </row>
    <row r="3103" spans="1:3" x14ac:dyDescent="0.25">
      <c r="A3103" s="178">
        <v>23272</v>
      </c>
      <c r="B3103" s="179" t="s">
        <v>456</v>
      </c>
      <c r="C3103" s="180">
        <v>120</v>
      </c>
    </row>
    <row r="3104" spans="1:3" x14ac:dyDescent="0.25">
      <c r="A3104" s="178">
        <v>24005</v>
      </c>
      <c r="B3104" s="179" t="s">
        <v>456</v>
      </c>
      <c r="C3104" s="180">
        <v>250</v>
      </c>
    </row>
    <row r="3105" spans="1:3" x14ac:dyDescent="0.25">
      <c r="A3105" s="178">
        <v>24006</v>
      </c>
      <c r="B3105" s="179" t="s">
        <v>456</v>
      </c>
      <c r="C3105" s="180">
        <v>200</v>
      </c>
    </row>
    <row r="3106" spans="1:3" x14ac:dyDescent="0.25">
      <c r="A3106" s="178">
        <v>24007</v>
      </c>
      <c r="B3106" s="179" t="s">
        <v>456</v>
      </c>
      <c r="C3106" s="180">
        <v>450</v>
      </c>
    </row>
    <row r="3107" spans="1:3" x14ac:dyDescent="0.25">
      <c r="A3107" s="178">
        <v>24014</v>
      </c>
      <c r="B3107" s="179" t="s">
        <v>456</v>
      </c>
      <c r="C3107" s="180">
        <v>1000</v>
      </c>
    </row>
    <row r="3108" spans="1:3" x14ac:dyDescent="0.25">
      <c r="A3108" s="178">
        <v>24015</v>
      </c>
      <c r="B3108" s="179" t="s">
        <v>456</v>
      </c>
      <c r="C3108" s="180">
        <v>250</v>
      </c>
    </row>
    <row r="3109" spans="1:3" x14ac:dyDescent="0.25">
      <c r="A3109" s="178">
        <v>24017</v>
      </c>
      <c r="B3109" s="179" t="s">
        <v>456</v>
      </c>
      <c r="C3109" s="180">
        <v>260</v>
      </c>
    </row>
    <row r="3110" spans="1:3" x14ac:dyDescent="0.25">
      <c r="A3110" s="178">
        <v>24026</v>
      </c>
      <c r="B3110" s="179" t="s">
        <v>456</v>
      </c>
      <c r="C3110" s="180">
        <v>120</v>
      </c>
    </row>
    <row r="3111" spans="1:3" x14ac:dyDescent="0.25">
      <c r="A3111" s="178">
        <v>24041</v>
      </c>
      <c r="B3111" s="179" t="s">
        <v>456</v>
      </c>
      <c r="C3111" s="180">
        <v>1000</v>
      </c>
    </row>
    <row r="3112" spans="1:3" x14ac:dyDescent="0.25">
      <c r="A3112" s="178">
        <v>24057</v>
      </c>
      <c r="B3112" s="179" t="s">
        <v>456</v>
      </c>
      <c r="C3112" s="180">
        <v>1000</v>
      </c>
    </row>
    <row r="3113" spans="1:3" x14ac:dyDescent="0.25">
      <c r="A3113" s="178">
        <v>24066</v>
      </c>
      <c r="B3113" s="179" t="s">
        <v>456</v>
      </c>
      <c r="C3113" s="180">
        <v>640</v>
      </c>
    </row>
    <row r="3114" spans="1:3" x14ac:dyDescent="0.25">
      <c r="A3114" s="178">
        <v>24068</v>
      </c>
      <c r="B3114" s="179" t="s">
        <v>456</v>
      </c>
      <c r="C3114" s="180">
        <v>120</v>
      </c>
    </row>
    <row r="3115" spans="1:3" x14ac:dyDescent="0.25">
      <c r="A3115" s="178">
        <v>24076</v>
      </c>
      <c r="B3115" s="179" t="s">
        <v>456</v>
      </c>
      <c r="C3115" s="180">
        <v>1000</v>
      </c>
    </row>
    <row r="3116" spans="1:3" x14ac:dyDescent="0.25">
      <c r="A3116" s="178">
        <v>24077</v>
      </c>
      <c r="B3116" s="179" t="s">
        <v>456</v>
      </c>
      <c r="C3116" s="180">
        <v>1000</v>
      </c>
    </row>
    <row r="3117" spans="1:3" x14ac:dyDescent="0.25">
      <c r="A3117" s="178">
        <v>24082</v>
      </c>
      <c r="B3117" s="179" t="s">
        <v>456</v>
      </c>
      <c r="C3117" s="180">
        <v>500</v>
      </c>
    </row>
    <row r="3118" spans="1:3" x14ac:dyDescent="0.25">
      <c r="A3118" s="178">
        <v>24083</v>
      </c>
      <c r="B3118" s="179" t="s">
        <v>456</v>
      </c>
      <c r="C3118" s="180">
        <v>525</v>
      </c>
    </row>
    <row r="3119" spans="1:3" x14ac:dyDescent="0.25">
      <c r="A3119" s="178">
        <v>24084</v>
      </c>
      <c r="B3119" s="179" t="s">
        <v>456</v>
      </c>
      <c r="C3119" s="180">
        <v>525</v>
      </c>
    </row>
    <row r="3120" spans="1:3" x14ac:dyDescent="0.25">
      <c r="A3120" s="178">
        <v>24087</v>
      </c>
      <c r="B3120" s="179" t="s">
        <v>456</v>
      </c>
      <c r="C3120" s="180">
        <v>32</v>
      </c>
    </row>
    <row r="3121" spans="1:3" x14ac:dyDescent="0.25">
      <c r="A3121" s="178">
        <v>24088</v>
      </c>
      <c r="B3121" s="179" t="s">
        <v>456</v>
      </c>
      <c r="C3121" s="180">
        <v>32</v>
      </c>
    </row>
    <row r="3122" spans="1:3" x14ac:dyDescent="0.25">
      <c r="A3122" s="178">
        <v>24089</v>
      </c>
      <c r="B3122" s="179" t="s">
        <v>456</v>
      </c>
      <c r="C3122" s="180">
        <v>200</v>
      </c>
    </row>
    <row r="3123" spans="1:3" x14ac:dyDescent="0.25">
      <c r="A3123" s="178">
        <v>24110</v>
      </c>
      <c r="B3123" s="179" t="s">
        <v>456</v>
      </c>
      <c r="C3123" s="180">
        <v>585</v>
      </c>
    </row>
    <row r="3124" spans="1:3" x14ac:dyDescent="0.25">
      <c r="A3124" s="178">
        <v>24111</v>
      </c>
      <c r="B3124" s="179" t="s">
        <v>456</v>
      </c>
      <c r="C3124" s="180">
        <v>252</v>
      </c>
    </row>
    <row r="3125" spans="1:3" x14ac:dyDescent="0.25">
      <c r="A3125" s="178">
        <v>24119</v>
      </c>
      <c r="B3125" s="179" t="s">
        <v>456</v>
      </c>
      <c r="C3125" s="180">
        <v>1000</v>
      </c>
    </row>
    <row r="3126" spans="1:3" x14ac:dyDescent="0.25">
      <c r="A3126" s="178">
        <v>24130</v>
      </c>
      <c r="B3126" s="179" t="s">
        <v>456</v>
      </c>
      <c r="C3126" s="180">
        <v>192</v>
      </c>
    </row>
    <row r="3127" spans="1:3" x14ac:dyDescent="0.25">
      <c r="A3127" s="178">
        <v>24135</v>
      </c>
      <c r="B3127" s="179" t="s">
        <v>456</v>
      </c>
      <c r="C3127" s="180">
        <v>500</v>
      </c>
    </row>
    <row r="3128" spans="1:3" x14ac:dyDescent="0.25">
      <c r="A3128" s="178">
        <v>24136</v>
      </c>
      <c r="B3128" s="179" t="s">
        <v>456</v>
      </c>
      <c r="C3128" s="180">
        <v>160</v>
      </c>
    </row>
    <row r="3129" spans="1:3" x14ac:dyDescent="0.25">
      <c r="A3129" s="178">
        <v>24143</v>
      </c>
      <c r="B3129" s="179" t="s">
        <v>456</v>
      </c>
      <c r="C3129" s="180">
        <v>200</v>
      </c>
    </row>
    <row r="3130" spans="1:3" x14ac:dyDescent="0.25">
      <c r="A3130" s="178">
        <v>24153</v>
      </c>
      <c r="B3130" s="179" t="s">
        <v>456</v>
      </c>
      <c r="C3130" s="180">
        <v>600</v>
      </c>
    </row>
    <row r="3131" spans="1:3" x14ac:dyDescent="0.25">
      <c r="A3131" s="178">
        <v>24159</v>
      </c>
      <c r="B3131" s="179" t="s">
        <v>456</v>
      </c>
      <c r="C3131" s="180">
        <v>1000</v>
      </c>
    </row>
    <row r="3132" spans="1:3" x14ac:dyDescent="0.25">
      <c r="A3132" s="178">
        <v>24160</v>
      </c>
      <c r="B3132" s="179" t="s">
        <v>456</v>
      </c>
      <c r="C3132" s="180">
        <v>500</v>
      </c>
    </row>
    <row r="3133" spans="1:3" x14ac:dyDescent="0.25">
      <c r="A3133" s="178">
        <v>24161</v>
      </c>
      <c r="B3133" s="179" t="s">
        <v>456</v>
      </c>
      <c r="C3133" s="180">
        <v>1000</v>
      </c>
    </row>
    <row r="3134" spans="1:3" x14ac:dyDescent="0.25">
      <c r="A3134" s="178">
        <v>24163</v>
      </c>
      <c r="B3134" s="179" t="s">
        <v>456</v>
      </c>
      <c r="C3134" s="180">
        <v>396</v>
      </c>
    </row>
    <row r="3135" spans="1:3" x14ac:dyDescent="0.25">
      <c r="A3135" s="178">
        <v>24167</v>
      </c>
      <c r="B3135" s="179" t="s">
        <v>456</v>
      </c>
      <c r="C3135" s="180">
        <v>375</v>
      </c>
    </row>
    <row r="3136" spans="1:3" x14ac:dyDescent="0.25">
      <c r="A3136" s="178">
        <v>24170</v>
      </c>
      <c r="B3136" s="179" t="s">
        <v>456</v>
      </c>
      <c r="C3136" s="180">
        <v>300</v>
      </c>
    </row>
    <row r="3137" spans="1:3" x14ac:dyDescent="0.25">
      <c r="A3137" s="178">
        <v>24171</v>
      </c>
      <c r="B3137" s="179" t="s">
        <v>456</v>
      </c>
      <c r="C3137" s="180">
        <v>250</v>
      </c>
    </row>
    <row r="3138" spans="1:3" x14ac:dyDescent="0.25">
      <c r="A3138" s="178">
        <v>24186</v>
      </c>
      <c r="B3138" s="179" t="s">
        <v>456</v>
      </c>
      <c r="C3138" s="180">
        <v>600</v>
      </c>
    </row>
    <row r="3139" spans="1:3" x14ac:dyDescent="0.25">
      <c r="A3139" s="178">
        <v>24198</v>
      </c>
      <c r="B3139" s="179" t="s">
        <v>456</v>
      </c>
      <c r="C3139" s="180">
        <v>500</v>
      </c>
    </row>
    <row r="3140" spans="1:3" x14ac:dyDescent="0.25">
      <c r="A3140" s="178">
        <v>24199</v>
      </c>
      <c r="B3140" s="179" t="s">
        <v>456</v>
      </c>
      <c r="C3140" s="180">
        <v>500</v>
      </c>
    </row>
    <row r="3141" spans="1:3" x14ac:dyDescent="0.25">
      <c r="A3141" s="178">
        <v>24201</v>
      </c>
      <c r="B3141" s="179" t="s">
        <v>456</v>
      </c>
      <c r="C3141" s="180">
        <v>200</v>
      </c>
    </row>
    <row r="3142" spans="1:3" x14ac:dyDescent="0.25">
      <c r="A3142" s="178">
        <v>24203</v>
      </c>
      <c r="B3142" s="179" t="s">
        <v>456</v>
      </c>
      <c r="C3142" s="180">
        <v>300</v>
      </c>
    </row>
    <row r="3143" spans="1:3" x14ac:dyDescent="0.25">
      <c r="A3143" s="178">
        <v>24205</v>
      </c>
      <c r="B3143" s="179" t="s">
        <v>456</v>
      </c>
      <c r="C3143" s="180">
        <v>500</v>
      </c>
    </row>
    <row r="3144" spans="1:3" x14ac:dyDescent="0.25">
      <c r="A3144" s="178">
        <v>24208</v>
      </c>
      <c r="B3144" s="179" t="s">
        <v>456</v>
      </c>
      <c r="C3144" s="180">
        <v>500</v>
      </c>
    </row>
    <row r="3145" spans="1:3" x14ac:dyDescent="0.25">
      <c r="A3145" s="178">
        <v>24209</v>
      </c>
      <c r="B3145" s="179" t="s">
        <v>456</v>
      </c>
      <c r="C3145" s="180">
        <v>246</v>
      </c>
    </row>
    <row r="3146" spans="1:3" x14ac:dyDescent="0.25">
      <c r="A3146" s="178">
        <v>24212</v>
      </c>
      <c r="B3146" s="179" t="s">
        <v>456</v>
      </c>
      <c r="C3146" s="180">
        <v>500</v>
      </c>
    </row>
    <row r="3147" spans="1:3" x14ac:dyDescent="0.25">
      <c r="A3147" s="178">
        <v>24219</v>
      </c>
      <c r="B3147" s="179" t="s">
        <v>456</v>
      </c>
      <c r="C3147" s="180">
        <v>237</v>
      </c>
    </row>
    <row r="3148" spans="1:3" x14ac:dyDescent="0.25">
      <c r="A3148" s="178">
        <v>24220</v>
      </c>
      <c r="B3148" s="179" t="s">
        <v>456</v>
      </c>
      <c r="C3148" s="180">
        <v>400</v>
      </c>
    </row>
    <row r="3149" spans="1:3" x14ac:dyDescent="0.25">
      <c r="A3149" s="178">
        <v>24223</v>
      </c>
      <c r="B3149" s="179" t="s">
        <v>456</v>
      </c>
      <c r="C3149" s="180">
        <v>450</v>
      </c>
    </row>
    <row r="3150" spans="1:3" x14ac:dyDescent="0.25">
      <c r="A3150" s="178">
        <v>24224</v>
      </c>
      <c r="B3150" s="179" t="s">
        <v>456</v>
      </c>
      <c r="C3150" s="180">
        <v>450</v>
      </c>
    </row>
    <row r="3151" spans="1:3" x14ac:dyDescent="0.25">
      <c r="A3151" s="178">
        <v>24225</v>
      </c>
      <c r="B3151" s="179" t="s">
        <v>456</v>
      </c>
      <c r="C3151" s="180">
        <v>500</v>
      </c>
    </row>
    <row r="3152" spans="1:3" x14ac:dyDescent="0.25">
      <c r="A3152" s="178">
        <v>24229</v>
      </c>
      <c r="B3152" s="179" t="s">
        <v>456</v>
      </c>
      <c r="C3152" s="180">
        <v>306</v>
      </c>
    </row>
    <row r="3153" spans="1:3" x14ac:dyDescent="0.25">
      <c r="A3153" s="178">
        <v>24231</v>
      </c>
      <c r="B3153" s="179" t="s">
        <v>456</v>
      </c>
      <c r="C3153" s="180">
        <v>720</v>
      </c>
    </row>
    <row r="3154" spans="1:3" x14ac:dyDescent="0.25">
      <c r="A3154" s="178">
        <v>24232</v>
      </c>
      <c r="B3154" s="179" t="s">
        <v>456</v>
      </c>
      <c r="C3154" s="180">
        <v>205</v>
      </c>
    </row>
    <row r="3155" spans="1:3" x14ac:dyDescent="0.25">
      <c r="A3155" s="178">
        <v>24235</v>
      </c>
      <c r="B3155" s="179" t="s">
        <v>456</v>
      </c>
      <c r="C3155" s="180">
        <v>420</v>
      </c>
    </row>
    <row r="3156" spans="1:3" x14ac:dyDescent="0.25">
      <c r="A3156" s="178">
        <v>24237</v>
      </c>
      <c r="B3156" s="179" t="s">
        <v>456</v>
      </c>
      <c r="C3156" s="180">
        <v>300</v>
      </c>
    </row>
    <row r="3157" spans="1:3" x14ac:dyDescent="0.25">
      <c r="A3157" s="178">
        <v>24242</v>
      </c>
      <c r="B3157" s="179" t="s">
        <v>456</v>
      </c>
      <c r="C3157" s="180">
        <v>150</v>
      </c>
    </row>
    <row r="3158" spans="1:3" x14ac:dyDescent="0.25">
      <c r="A3158" s="178">
        <v>24245</v>
      </c>
      <c r="B3158" s="179" t="s">
        <v>456</v>
      </c>
      <c r="C3158" s="180">
        <v>500</v>
      </c>
    </row>
    <row r="3159" spans="1:3" x14ac:dyDescent="0.25">
      <c r="A3159" s="178">
        <v>24246</v>
      </c>
      <c r="B3159" s="179" t="s">
        <v>456</v>
      </c>
      <c r="C3159" s="180">
        <v>300</v>
      </c>
    </row>
    <row r="3160" spans="1:3" x14ac:dyDescent="0.25">
      <c r="A3160" s="178">
        <v>24247</v>
      </c>
      <c r="B3160" s="179" t="s">
        <v>456</v>
      </c>
      <c r="C3160" s="180">
        <v>360</v>
      </c>
    </row>
    <row r="3161" spans="1:3" x14ac:dyDescent="0.25">
      <c r="A3161" s="178">
        <v>24256</v>
      </c>
      <c r="B3161" s="179" t="s">
        <v>456</v>
      </c>
      <c r="C3161" s="180">
        <v>500</v>
      </c>
    </row>
    <row r="3162" spans="1:3" x14ac:dyDescent="0.25">
      <c r="A3162" s="178">
        <v>24259</v>
      </c>
      <c r="B3162" s="179" t="s">
        <v>456</v>
      </c>
      <c r="C3162" s="180">
        <v>280</v>
      </c>
    </row>
    <row r="3163" spans="1:3" x14ac:dyDescent="0.25">
      <c r="A3163" s="178">
        <v>24263</v>
      </c>
      <c r="B3163" s="179" t="s">
        <v>456</v>
      </c>
      <c r="C3163" s="180">
        <v>800</v>
      </c>
    </row>
    <row r="3164" spans="1:3" x14ac:dyDescent="0.25">
      <c r="A3164" s="178">
        <v>24266</v>
      </c>
      <c r="B3164" s="179" t="s">
        <v>456</v>
      </c>
      <c r="C3164" s="180">
        <v>1000</v>
      </c>
    </row>
    <row r="3165" spans="1:3" x14ac:dyDescent="0.25">
      <c r="A3165" s="178">
        <v>24267</v>
      </c>
      <c r="B3165" s="179" t="s">
        <v>456</v>
      </c>
      <c r="C3165" s="180">
        <v>50</v>
      </c>
    </row>
    <row r="3166" spans="1:3" x14ac:dyDescent="0.25">
      <c r="A3166" s="178">
        <v>24268</v>
      </c>
      <c r="B3166" s="179" t="s">
        <v>456</v>
      </c>
      <c r="C3166" s="180">
        <v>1000</v>
      </c>
    </row>
    <row r="3167" spans="1:3" x14ac:dyDescent="0.25">
      <c r="A3167" s="178">
        <v>24269</v>
      </c>
      <c r="B3167" s="179" t="s">
        <v>456</v>
      </c>
      <c r="C3167" s="180">
        <v>300</v>
      </c>
    </row>
    <row r="3168" spans="1:3" x14ac:dyDescent="0.25">
      <c r="A3168" s="178">
        <v>24275</v>
      </c>
      <c r="B3168" s="179" t="s">
        <v>456</v>
      </c>
      <c r="C3168" s="180">
        <v>720</v>
      </c>
    </row>
    <row r="3169" spans="1:3" x14ac:dyDescent="0.25">
      <c r="A3169" s="178">
        <v>24276</v>
      </c>
      <c r="B3169" s="179" t="s">
        <v>456</v>
      </c>
      <c r="C3169" s="180">
        <v>920</v>
      </c>
    </row>
    <row r="3170" spans="1:3" x14ac:dyDescent="0.25">
      <c r="A3170" s="178">
        <v>24277</v>
      </c>
      <c r="B3170" s="179" t="s">
        <v>456</v>
      </c>
      <c r="C3170" s="180">
        <v>322</v>
      </c>
    </row>
    <row r="3171" spans="1:3" x14ac:dyDescent="0.25">
      <c r="A3171" s="178">
        <v>24282</v>
      </c>
      <c r="B3171" s="179" t="s">
        <v>456</v>
      </c>
      <c r="C3171" s="180">
        <v>10</v>
      </c>
    </row>
    <row r="3172" spans="1:3" x14ac:dyDescent="0.25">
      <c r="A3172" s="178">
        <v>24283</v>
      </c>
      <c r="B3172" s="179" t="s">
        <v>456</v>
      </c>
      <c r="C3172" s="180">
        <v>1140</v>
      </c>
    </row>
    <row r="3173" spans="1:3" x14ac:dyDescent="0.25">
      <c r="A3173" s="178">
        <v>24294</v>
      </c>
      <c r="B3173" s="179" t="s">
        <v>456</v>
      </c>
      <c r="C3173" s="180">
        <v>30</v>
      </c>
    </row>
    <row r="3174" spans="1:3" x14ac:dyDescent="0.25">
      <c r="A3174" s="178">
        <v>24302</v>
      </c>
      <c r="B3174" s="179" t="s">
        <v>456</v>
      </c>
      <c r="C3174" s="180">
        <v>200</v>
      </c>
    </row>
    <row r="3175" spans="1:3" x14ac:dyDescent="0.25">
      <c r="A3175" s="178">
        <v>24305</v>
      </c>
      <c r="B3175" s="179" t="s">
        <v>456</v>
      </c>
      <c r="C3175" s="180">
        <v>150</v>
      </c>
    </row>
    <row r="3176" spans="1:3" x14ac:dyDescent="0.25">
      <c r="A3176" s="178">
        <v>24306</v>
      </c>
      <c r="B3176" s="179" t="s">
        <v>456</v>
      </c>
      <c r="C3176" s="180">
        <v>500</v>
      </c>
    </row>
    <row r="3177" spans="1:3" x14ac:dyDescent="0.25">
      <c r="A3177" s="178">
        <v>24308</v>
      </c>
      <c r="B3177" s="179" t="s">
        <v>456</v>
      </c>
      <c r="C3177" s="180">
        <v>150</v>
      </c>
    </row>
    <row r="3178" spans="1:3" x14ac:dyDescent="0.25">
      <c r="A3178" s="178">
        <v>24313</v>
      </c>
      <c r="B3178" s="179" t="s">
        <v>456</v>
      </c>
      <c r="C3178" s="180">
        <v>650</v>
      </c>
    </row>
    <row r="3179" spans="1:3" x14ac:dyDescent="0.25">
      <c r="A3179" s="178">
        <v>24314</v>
      </c>
      <c r="B3179" s="179" t="s">
        <v>456</v>
      </c>
      <c r="C3179" s="180">
        <v>250</v>
      </c>
    </row>
    <row r="3180" spans="1:3" x14ac:dyDescent="0.25">
      <c r="A3180" s="178">
        <v>24315</v>
      </c>
      <c r="B3180" s="179" t="s">
        <v>456</v>
      </c>
      <c r="C3180" s="180">
        <v>315</v>
      </c>
    </row>
    <row r="3181" spans="1:3" x14ac:dyDescent="0.25">
      <c r="A3181" s="178">
        <v>24322</v>
      </c>
      <c r="B3181" s="179" t="s">
        <v>456</v>
      </c>
      <c r="C3181" s="180">
        <v>400</v>
      </c>
    </row>
    <row r="3182" spans="1:3" x14ac:dyDescent="0.25">
      <c r="A3182" s="178">
        <v>24324</v>
      </c>
      <c r="B3182" s="179" t="s">
        <v>456</v>
      </c>
      <c r="C3182" s="180">
        <v>625</v>
      </c>
    </row>
    <row r="3183" spans="1:3" x14ac:dyDescent="0.25">
      <c r="A3183" s="178">
        <v>24326</v>
      </c>
      <c r="B3183" s="179" t="s">
        <v>456</v>
      </c>
      <c r="C3183" s="180">
        <v>420</v>
      </c>
    </row>
    <row r="3184" spans="1:3" x14ac:dyDescent="0.25">
      <c r="A3184" s="178">
        <v>24327</v>
      </c>
      <c r="B3184" s="179" t="s">
        <v>456</v>
      </c>
      <c r="C3184" s="180">
        <v>1000</v>
      </c>
    </row>
    <row r="3185" spans="1:3" x14ac:dyDescent="0.25">
      <c r="A3185" s="178">
        <v>24330</v>
      </c>
      <c r="B3185" s="179" t="s">
        <v>456</v>
      </c>
      <c r="C3185" s="180">
        <v>70</v>
      </c>
    </row>
    <row r="3186" spans="1:3" x14ac:dyDescent="0.25">
      <c r="A3186" s="178">
        <v>24332</v>
      </c>
      <c r="B3186" s="179" t="s">
        <v>456</v>
      </c>
      <c r="C3186" s="180">
        <v>600</v>
      </c>
    </row>
    <row r="3187" spans="1:3" x14ac:dyDescent="0.25">
      <c r="A3187" s="178">
        <v>24336</v>
      </c>
      <c r="B3187" s="179" t="s">
        <v>456</v>
      </c>
      <c r="C3187" s="180">
        <v>500</v>
      </c>
    </row>
    <row r="3188" spans="1:3" x14ac:dyDescent="0.25">
      <c r="A3188" s="178">
        <v>24337</v>
      </c>
      <c r="B3188" s="179" t="s">
        <v>456</v>
      </c>
      <c r="C3188" s="180">
        <v>500</v>
      </c>
    </row>
    <row r="3189" spans="1:3" x14ac:dyDescent="0.25">
      <c r="A3189" s="178">
        <v>24338</v>
      </c>
      <c r="B3189" s="179" t="s">
        <v>456</v>
      </c>
      <c r="C3189" s="180">
        <v>150</v>
      </c>
    </row>
    <row r="3190" spans="1:3" x14ac:dyDescent="0.25">
      <c r="A3190" s="178">
        <v>24340</v>
      </c>
      <c r="B3190" s="179" t="s">
        <v>456</v>
      </c>
      <c r="C3190" s="180">
        <v>500</v>
      </c>
    </row>
    <row r="3191" spans="1:3" x14ac:dyDescent="0.25">
      <c r="A3191" s="178">
        <v>24342</v>
      </c>
      <c r="B3191" s="179" t="s">
        <v>456</v>
      </c>
      <c r="C3191" s="180">
        <v>240</v>
      </c>
    </row>
    <row r="3192" spans="1:3" x14ac:dyDescent="0.25">
      <c r="A3192" s="178">
        <v>24345</v>
      </c>
      <c r="B3192" s="179" t="s">
        <v>456</v>
      </c>
      <c r="C3192" s="180">
        <v>400</v>
      </c>
    </row>
    <row r="3193" spans="1:3" x14ac:dyDescent="0.25">
      <c r="A3193" s="178">
        <v>24346</v>
      </c>
      <c r="B3193" s="179" t="s">
        <v>456</v>
      </c>
      <c r="C3193" s="180">
        <v>420</v>
      </c>
    </row>
    <row r="3194" spans="1:3" x14ac:dyDescent="0.25">
      <c r="A3194" s="178">
        <v>24347</v>
      </c>
      <c r="B3194" s="179" t="s">
        <v>456</v>
      </c>
      <c r="C3194" s="180">
        <v>500</v>
      </c>
    </row>
    <row r="3195" spans="1:3" x14ac:dyDescent="0.25">
      <c r="A3195" s="178">
        <v>24348</v>
      </c>
      <c r="B3195" s="179" t="s">
        <v>456</v>
      </c>
      <c r="C3195" s="180">
        <v>500</v>
      </c>
    </row>
    <row r="3196" spans="1:3" x14ac:dyDescent="0.25">
      <c r="A3196" s="178">
        <v>24349</v>
      </c>
      <c r="B3196" s="179" t="s">
        <v>456</v>
      </c>
      <c r="C3196" s="180">
        <v>333</v>
      </c>
    </row>
    <row r="3197" spans="1:3" x14ac:dyDescent="0.25">
      <c r="A3197" s="178">
        <v>24350</v>
      </c>
      <c r="B3197" s="179" t="s">
        <v>456</v>
      </c>
      <c r="C3197" s="180">
        <v>480</v>
      </c>
    </row>
    <row r="3198" spans="1:3" x14ac:dyDescent="0.25">
      <c r="A3198" s="178">
        <v>24354</v>
      </c>
      <c r="B3198" s="179" t="s">
        <v>456</v>
      </c>
      <c r="C3198" s="180">
        <v>200</v>
      </c>
    </row>
    <row r="3199" spans="1:3" x14ac:dyDescent="0.25">
      <c r="A3199" s="178">
        <v>24355</v>
      </c>
      <c r="B3199" s="179" t="s">
        <v>456</v>
      </c>
      <c r="C3199" s="180">
        <v>525</v>
      </c>
    </row>
    <row r="3200" spans="1:3" x14ac:dyDescent="0.25">
      <c r="A3200" s="178">
        <v>24356</v>
      </c>
      <c r="B3200" s="179" t="s">
        <v>456</v>
      </c>
      <c r="C3200" s="180">
        <v>1000</v>
      </c>
    </row>
    <row r="3201" spans="1:3" x14ac:dyDescent="0.25">
      <c r="A3201" s="178">
        <v>24357</v>
      </c>
      <c r="B3201" s="179" t="s">
        <v>456</v>
      </c>
      <c r="C3201" s="180">
        <v>1000</v>
      </c>
    </row>
    <row r="3202" spans="1:3" x14ac:dyDescent="0.25">
      <c r="A3202" s="178">
        <v>24359</v>
      </c>
      <c r="B3202" s="179" t="s">
        <v>456</v>
      </c>
      <c r="C3202" s="180">
        <v>1000</v>
      </c>
    </row>
    <row r="3203" spans="1:3" x14ac:dyDescent="0.25">
      <c r="A3203" s="178">
        <v>24366</v>
      </c>
      <c r="B3203" s="179" t="s">
        <v>456</v>
      </c>
      <c r="C3203" s="180">
        <v>500</v>
      </c>
    </row>
    <row r="3204" spans="1:3" x14ac:dyDescent="0.25">
      <c r="A3204" s="178">
        <v>24367</v>
      </c>
      <c r="B3204" s="179" t="s">
        <v>456</v>
      </c>
      <c r="C3204" s="180">
        <v>800</v>
      </c>
    </row>
    <row r="3205" spans="1:3" x14ac:dyDescent="0.25">
      <c r="A3205" s="178">
        <v>24368</v>
      </c>
      <c r="B3205" s="179" t="s">
        <v>456</v>
      </c>
      <c r="C3205" s="180">
        <v>200</v>
      </c>
    </row>
    <row r="3206" spans="1:3" x14ac:dyDescent="0.25">
      <c r="A3206" s="178">
        <v>24373</v>
      </c>
      <c r="B3206" s="179" t="s">
        <v>456</v>
      </c>
      <c r="C3206" s="180">
        <v>300</v>
      </c>
    </row>
    <row r="3207" spans="1:3" x14ac:dyDescent="0.25">
      <c r="A3207" s="178">
        <v>24376</v>
      </c>
      <c r="B3207" s="179" t="s">
        <v>456</v>
      </c>
      <c r="C3207" s="180">
        <v>190</v>
      </c>
    </row>
    <row r="3208" spans="1:3" x14ac:dyDescent="0.25">
      <c r="A3208" s="178">
        <v>24378</v>
      </c>
      <c r="B3208" s="179" t="s">
        <v>456</v>
      </c>
      <c r="C3208" s="180">
        <v>500</v>
      </c>
    </row>
    <row r="3209" spans="1:3" x14ac:dyDescent="0.25">
      <c r="A3209" s="178">
        <v>24379</v>
      </c>
      <c r="B3209" s="179" t="s">
        <v>456</v>
      </c>
      <c r="C3209" s="180">
        <v>300</v>
      </c>
    </row>
    <row r="3210" spans="1:3" x14ac:dyDescent="0.25">
      <c r="A3210" s="178">
        <v>24380</v>
      </c>
      <c r="B3210" s="179" t="s">
        <v>456</v>
      </c>
      <c r="C3210" s="180">
        <v>450</v>
      </c>
    </row>
    <row r="3211" spans="1:3" x14ac:dyDescent="0.25">
      <c r="A3211" s="178">
        <v>24381</v>
      </c>
      <c r="B3211" s="179" t="s">
        <v>456</v>
      </c>
      <c r="C3211" s="180">
        <v>600</v>
      </c>
    </row>
    <row r="3212" spans="1:3" x14ac:dyDescent="0.25">
      <c r="A3212" s="178">
        <v>24382</v>
      </c>
      <c r="B3212" s="179" t="s">
        <v>456</v>
      </c>
      <c r="C3212" s="180">
        <v>50</v>
      </c>
    </row>
    <row r="3213" spans="1:3" x14ac:dyDescent="0.25">
      <c r="A3213" s="178">
        <v>24385</v>
      </c>
      <c r="B3213" s="179" t="s">
        <v>456</v>
      </c>
      <c r="C3213" s="180">
        <v>800</v>
      </c>
    </row>
    <row r="3214" spans="1:3" x14ac:dyDescent="0.25">
      <c r="A3214" s="178">
        <v>24386</v>
      </c>
      <c r="B3214" s="179" t="s">
        <v>456</v>
      </c>
      <c r="C3214" s="180">
        <v>500</v>
      </c>
    </row>
    <row r="3215" spans="1:3" x14ac:dyDescent="0.25">
      <c r="A3215" s="178">
        <v>24387</v>
      </c>
      <c r="B3215" s="179" t="s">
        <v>456</v>
      </c>
      <c r="C3215" s="180">
        <v>210</v>
      </c>
    </row>
    <row r="3216" spans="1:3" x14ac:dyDescent="0.25">
      <c r="A3216" s="178">
        <v>24389</v>
      </c>
      <c r="B3216" s="179" t="s">
        <v>456</v>
      </c>
      <c r="C3216" s="180">
        <v>200</v>
      </c>
    </row>
    <row r="3217" spans="1:3" x14ac:dyDescent="0.25">
      <c r="A3217" s="178">
        <v>24391</v>
      </c>
      <c r="B3217" s="179" t="s">
        <v>456</v>
      </c>
      <c r="C3217" s="180">
        <v>400</v>
      </c>
    </row>
    <row r="3218" spans="1:3" x14ac:dyDescent="0.25">
      <c r="A3218" s="178">
        <v>24392</v>
      </c>
      <c r="B3218" s="179" t="s">
        <v>456</v>
      </c>
      <c r="C3218" s="180">
        <v>720</v>
      </c>
    </row>
    <row r="3219" spans="1:3" x14ac:dyDescent="0.25">
      <c r="A3219" s="178">
        <v>24395</v>
      </c>
      <c r="B3219" s="179" t="s">
        <v>456</v>
      </c>
      <c r="C3219" s="180">
        <v>32</v>
      </c>
    </row>
    <row r="3220" spans="1:3" x14ac:dyDescent="0.25">
      <c r="A3220" s="178">
        <v>24396</v>
      </c>
      <c r="B3220" s="179" t="s">
        <v>456</v>
      </c>
      <c r="C3220" s="180">
        <v>250</v>
      </c>
    </row>
    <row r="3221" spans="1:3" x14ac:dyDescent="0.25">
      <c r="A3221" s="178">
        <v>24401</v>
      </c>
      <c r="B3221" s="179" t="s">
        <v>456</v>
      </c>
      <c r="C3221" s="180">
        <v>760</v>
      </c>
    </row>
    <row r="3222" spans="1:3" x14ac:dyDescent="0.25">
      <c r="A3222" s="178">
        <v>24405</v>
      </c>
      <c r="B3222" s="179" t="s">
        <v>456</v>
      </c>
      <c r="C3222" s="180">
        <v>100</v>
      </c>
    </row>
    <row r="3223" spans="1:3" x14ac:dyDescent="0.25">
      <c r="A3223" s="178">
        <v>24406</v>
      </c>
      <c r="B3223" s="179" t="s">
        <v>456</v>
      </c>
      <c r="C3223" s="180">
        <v>520</v>
      </c>
    </row>
    <row r="3224" spans="1:3" x14ac:dyDescent="0.25">
      <c r="A3224" s="178">
        <v>24407</v>
      </c>
      <c r="B3224" s="179" t="s">
        <v>456</v>
      </c>
      <c r="C3224" s="180">
        <v>345</v>
      </c>
    </row>
    <row r="3225" spans="1:3" x14ac:dyDescent="0.25">
      <c r="A3225" s="178">
        <v>24418</v>
      </c>
      <c r="B3225" s="179" t="s">
        <v>456</v>
      </c>
      <c r="C3225" s="180">
        <v>520</v>
      </c>
    </row>
    <row r="3226" spans="1:3" x14ac:dyDescent="0.25">
      <c r="A3226" s="178">
        <v>24419</v>
      </c>
      <c r="B3226" s="179" t="s">
        <v>456</v>
      </c>
      <c r="C3226" s="180">
        <v>520</v>
      </c>
    </row>
    <row r="3227" spans="1:3" x14ac:dyDescent="0.25">
      <c r="A3227" s="178">
        <v>24420</v>
      </c>
      <c r="B3227" s="179" t="s">
        <v>456</v>
      </c>
      <c r="C3227" s="180">
        <v>40</v>
      </c>
    </row>
    <row r="3228" spans="1:3" x14ac:dyDescent="0.25">
      <c r="A3228" s="178">
        <v>24526</v>
      </c>
      <c r="B3228" s="179" t="s">
        <v>456</v>
      </c>
      <c r="C3228" s="180">
        <v>450</v>
      </c>
    </row>
    <row r="3229" spans="1:3" x14ac:dyDescent="0.25">
      <c r="A3229" s="178">
        <v>24527</v>
      </c>
      <c r="B3229" s="179" t="s">
        <v>456</v>
      </c>
      <c r="C3229" s="180">
        <v>20000</v>
      </c>
    </row>
    <row r="3230" spans="1:3" x14ac:dyDescent="0.25">
      <c r="A3230" s="178">
        <v>24528</v>
      </c>
      <c r="B3230" s="179" t="s">
        <v>456</v>
      </c>
      <c r="C3230" s="180">
        <v>300</v>
      </c>
    </row>
    <row r="3231" spans="1:3" x14ac:dyDescent="0.25">
      <c r="A3231" s="178">
        <v>24529</v>
      </c>
      <c r="B3231" s="179" t="s">
        <v>456</v>
      </c>
      <c r="C3231" s="180">
        <v>500</v>
      </c>
    </row>
    <row r="3232" spans="1:3" x14ac:dyDescent="0.25">
      <c r="A3232" s="178">
        <v>24530</v>
      </c>
      <c r="B3232" s="179" t="s">
        <v>456</v>
      </c>
      <c r="C3232" s="180">
        <v>600</v>
      </c>
    </row>
    <row r="3233" spans="1:3" x14ac:dyDescent="0.25">
      <c r="A3233" s="178">
        <v>24531</v>
      </c>
      <c r="B3233" s="179" t="s">
        <v>456</v>
      </c>
      <c r="C3233" s="180">
        <v>450</v>
      </c>
    </row>
    <row r="3234" spans="1:3" x14ac:dyDescent="0.25">
      <c r="A3234" s="178">
        <v>24532</v>
      </c>
      <c r="B3234" s="179" t="s">
        <v>456</v>
      </c>
      <c r="C3234" s="180">
        <v>240</v>
      </c>
    </row>
    <row r="3235" spans="1:3" x14ac:dyDescent="0.25">
      <c r="A3235" s="178">
        <v>24533</v>
      </c>
      <c r="B3235" s="179" t="s">
        <v>456</v>
      </c>
      <c r="C3235" s="180">
        <v>240</v>
      </c>
    </row>
    <row r="3236" spans="1:3" x14ac:dyDescent="0.25">
      <c r="A3236" s="178">
        <v>24534</v>
      </c>
      <c r="B3236" s="179" t="s">
        <v>456</v>
      </c>
      <c r="C3236" s="180">
        <v>240</v>
      </c>
    </row>
    <row r="3237" spans="1:3" x14ac:dyDescent="0.25">
      <c r="A3237" s="178">
        <v>24535</v>
      </c>
      <c r="B3237" s="179" t="s">
        <v>456</v>
      </c>
      <c r="C3237" s="180">
        <v>200</v>
      </c>
    </row>
    <row r="3238" spans="1:3" x14ac:dyDescent="0.25">
      <c r="A3238" s="178">
        <v>24536</v>
      </c>
      <c r="B3238" s="179" t="s">
        <v>456</v>
      </c>
      <c r="C3238" s="180">
        <v>240</v>
      </c>
    </row>
    <row r="3239" spans="1:3" x14ac:dyDescent="0.25">
      <c r="A3239" s="178">
        <v>24537</v>
      </c>
      <c r="B3239" s="179" t="s">
        <v>456</v>
      </c>
      <c r="C3239" s="180">
        <v>500</v>
      </c>
    </row>
    <row r="3240" spans="1:3" x14ac:dyDescent="0.25">
      <c r="A3240" s="178">
        <v>24538</v>
      </c>
      <c r="B3240" s="179" t="s">
        <v>456</v>
      </c>
      <c r="C3240" s="180">
        <v>500</v>
      </c>
    </row>
    <row r="3241" spans="1:3" x14ac:dyDescent="0.25">
      <c r="A3241" s="178">
        <v>24539</v>
      </c>
      <c r="B3241" s="179" t="s">
        <v>456</v>
      </c>
      <c r="C3241" s="180">
        <v>450</v>
      </c>
    </row>
    <row r="3242" spans="1:3" x14ac:dyDescent="0.25">
      <c r="A3242" s="178">
        <v>24541</v>
      </c>
      <c r="B3242" s="179" t="s">
        <v>456</v>
      </c>
      <c r="C3242" s="180">
        <v>500</v>
      </c>
    </row>
    <row r="3243" spans="1:3" x14ac:dyDescent="0.25">
      <c r="A3243" s="178">
        <v>24542</v>
      </c>
      <c r="B3243" s="179" t="s">
        <v>456</v>
      </c>
      <c r="C3243" s="180">
        <v>240</v>
      </c>
    </row>
    <row r="3244" spans="1:3" x14ac:dyDescent="0.25">
      <c r="A3244" s="178">
        <v>25452</v>
      </c>
      <c r="B3244" s="179" t="s">
        <v>456</v>
      </c>
      <c r="C3244" s="180">
        <v>240</v>
      </c>
    </row>
    <row r="3245" spans="1:3" x14ac:dyDescent="0.25">
      <c r="A3245" s="178">
        <v>34541</v>
      </c>
      <c r="B3245" s="179" t="s">
        <v>456</v>
      </c>
      <c r="C3245" s="180">
        <v>500</v>
      </c>
    </row>
    <row r="3246" spans="1:3" x14ac:dyDescent="0.25">
      <c r="A3246" s="178">
        <v>40001</v>
      </c>
      <c r="B3246" s="179" t="s">
        <v>456</v>
      </c>
      <c r="C3246" s="180">
        <v>640</v>
      </c>
    </row>
    <row r="3247" spans="1:3" x14ac:dyDescent="0.25">
      <c r="A3247" s="178">
        <v>40003</v>
      </c>
      <c r="B3247" s="179" t="s">
        <v>456</v>
      </c>
      <c r="C3247" s="180">
        <v>640</v>
      </c>
    </row>
    <row r="3248" spans="1:3" x14ac:dyDescent="0.25">
      <c r="A3248" s="178">
        <v>40004</v>
      </c>
      <c r="B3248" s="179" t="s">
        <v>456</v>
      </c>
      <c r="C3248" s="180">
        <v>250</v>
      </c>
    </row>
    <row r="3249" spans="1:3" x14ac:dyDescent="0.25">
      <c r="A3249" s="178">
        <v>40008</v>
      </c>
      <c r="B3249" s="179" t="s">
        <v>456</v>
      </c>
      <c r="C3249" s="180">
        <v>500</v>
      </c>
    </row>
    <row r="3250" spans="1:3" x14ac:dyDescent="0.25">
      <c r="A3250" s="178">
        <v>40027</v>
      </c>
      <c r="B3250" s="179" t="s">
        <v>456</v>
      </c>
      <c r="C3250" s="180">
        <v>160</v>
      </c>
    </row>
    <row r="3251" spans="1:3" x14ac:dyDescent="0.25">
      <c r="A3251" s="178">
        <v>40029</v>
      </c>
      <c r="B3251" s="179" t="s">
        <v>456</v>
      </c>
      <c r="C3251" s="180">
        <v>640</v>
      </c>
    </row>
    <row r="3252" spans="1:3" x14ac:dyDescent="0.25">
      <c r="A3252" s="178">
        <v>40031</v>
      </c>
      <c r="B3252" s="179" t="s">
        <v>456</v>
      </c>
      <c r="C3252" s="180">
        <v>256</v>
      </c>
    </row>
    <row r="3253" spans="1:3" x14ac:dyDescent="0.25">
      <c r="A3253" s="178">
        <v>40032</v>
      </c>
      <c r="B3253" s="179" t="s">
        <v>456</v>
      </c>
      <c r="C3253" s="180">
        <v>256</v>
      </c>
    </row>
    <row r="3254" spans="1:3" x14ac:dyDescent="0.25">
      <c r="A3254" s="178">
        <v>40035</v>
      </c>
      <c r="B3254" s="179" t="s">
        <v>456</v>
      </c>
      <c r="C3254" s="180">
        <v>320</v>
      </c>
    </row>
    <row r="3255" spans="1:3" x14ac:dyDescent="0.25">
      <c r="A3255" s="178">
        <v>40037</v>
      </c>
      <c r="B3255" s="179" t="s">
        <v>456</v>
      </c>
      <c r="C3255" s="180">
        <v>640</v>
      </c>
    </row>
    <row r="3256" spans="1:3" x14ac:dyDescent="0.25">
      <c r="A3256" s="178">
        <v>40038</v>
      </c>
      <c r="B3256" s="179" t="s">
        <v>456</v>
      </c>
      <c r="C3256" s="180">
        <v>500</v>
      </c>
    </row>
    <row r="3257" spans="1:3" x14ac:dyDescent="0.25">
      <c r="A3257" s="178">
        <v>40039</v>
      </c>
      <c r="B3257" s="179" t="s">
        <v>456</v>
      </c>
      <c r="C3257" s="180">
        <v>500</v>
      </c>
    </row>
    <row r="3258" spans="1:3" x14ac:dyDescent="0.25">
      <c r="A3258" s="178">
        <v>40040</v>
      </c>
      <c r="B3258" s="179" t="s">
        <v>456</v>
      </c>
      <c r="C3258" s="180">
        <v>500</v>
      </c>
    </row>
    <row r="3259" spans="1:3" x14ac:dyDescent="0.25">
      <c r="A3259" s="178">
        <v>40041</v>
      </c>
      <c r="B3259" s="179" t="s">
        <v>456</v>
      </c>
      <c r="C3259" s="180">
        <v>640</v>
      </c>
    </row>
    <row r="3260" spans="1:3" x14ac:dyDescent="0.25">
      <c r="A3260" s="178">
        <v>40042</v>
      </c>
      <c r="B3260" s="179" t="s">
        <v>456</v>
      </c>
      <c r="C3260" s="180">
        <v>440</v>
      </c>
    </row>
    <row r="3261" spans="1:3" x14ac:dyDescent="0.25">
      <c r="A3261" s="178">
        <v>40044</v>
      </c>
      <c r="B3261" s="179" t="s">
        <v>456</v>
      </c>
      <c r="C3261" s="180">
        <v>850</v>
      </c>
    </row>
    <row r="3262" spans="1:3" x14ac:dyDescent="0.25">
      <c r="A3262" s="178">
        <v>40048</v>
      </c>
      <c r="B3262" s="179" t="s">
        <v>456</v>
      </c>
      <c r="C3262" s="180">
        <v>500</v>
      </c>
    </row>
    <row r="3263" spans="1:3" x14ac:dyDescent="0.25">
      <c r="A3263" s="178">
        <v>40049</v>
      </c>
      <c r="B3263" s="179" t="s">
        <v>456</v>
      </c>
      <c r="C3263" s="180">
        <v>500</v>
      </c>
    </row>
    <row r="3264" spans="1:3" x14ac:dyDescent="0.25">
      <c r="A3264" s="178">
        <v>40051</v>
      </c>
      <c r="B3264" s="179" t="s">
        <v>456</v>
      </c>
      <c r="C3264" s="180">
        <v>500</v>
      </c>
    </row>
    <row r="3265" spans="1:3" x14ac:dyDescent="0.25">
      <c r="A3265" s="178">
        <v>40052</v>
      </c>
      <c r="B3265" s="179" t="s">
        <v>456</v>
      </c>
      <c r="C3265" s="180">
        <v>500</v>
      </c>
    </row>
    <row r="3266" spans="1:3" x14ac:dyDescent="0.25">
      <c r="A3266" s="178">
        <v>40054</v>
      </c>
      <c r="B3266" s="179" t="s">
        <v>456</v>
      </c>
      <c r="C3266" s="180">
        <v>500</v>
      </c>
    </row>
    <row r="3267" spans="1:3" x14ac:dyDescent="0.25">
      <c r="A3267" s="178">
        <v>40056</v>
      </c>
      <c r="B3267" s="179" t="s">
        <v>456</v>
      </c>
      <c r="C3267" s="180">
        <v>400</v>
      </c>
    </row>
    <row r="3268" spans="1:3" x14ac:dyDescent="0.25">
      <c r="A3268" s="178">
        <v>40062</v>
      </c>
      <c r="B3268" s="179" t="s">
        <v>456</v>
      </c>
      <c r="C3268" s="180">
        <v>500</v>
      </c>
    </row>
    <row r="3269" spans="1:3" x14ac:dyDescent="0.25">
      <c r="A3269" s="178">
        <v>40064</v>
      </c>
      <c r="B3269" s="179" t="s">
        <v>456</v>
      </c>
      <c r="C3269" s="180">
        <v>500</v>
      </c>
    </row>
    <row r="3270" spans="1:3" x14ac:dyDescent="0.25">
      <c r="A3270" s="178">
        <v>40075</v>
      </c>
      <c r="B3270" s="179" t="s">
        <v>456</v>
      </c>
      <c r="C3270" s="180">
        <v>500</v>
      </c>
    </row>
    <row r="3271" spans="1:3" x14ac:dyDescent="0.25">
      <c r="A3271" s="178">
        <v>40115</v>
      </c>
      <c r="B3271" s="179" t="s">
        <v>456</v>
      </c>
      <c r="C3271" s="180">
        <v>500</v>
      </c>
    </row>
    <row r="3272" spans="1:3" x14ac:dyDescent="0.25">
      <c r="A3272" s="178">
        <v>40116</v>
      </c>
      <c r="B3272" s="179" t="s">
        <v>456</v>
      </c>
      <c r="C3272" s="180">
        <v>400</v>
      </c>
    </row>
    <row r="3273" spans="1:3" x14ac:dyDescent="0.25">
      <c r="A3273" s="178">
        <v>40125</v>
      </c>
      <c r="B3273" s="179" t="s">
        <v>456</v>
      </c>
      <c r="C3273" s="180">
        <v>500</v>
      </c>
    </row>
    <row r="3274" spans="1:3" x14ac:dyDescent="0.25">
      <c r="A3274" s="178">
        <v>40128</v>
      </c>
      <c r="B3274" s="179" t="s">
        <v>456</v>
      </c>
      <c r="C3274" s="180">
        <v>500</v>
      </c>
    </row>
    <row r="3275" spans="1:3" x14ac:dyDescent="0.25">
      <c r="A3275" s="178">
        <v>40133</v>
      </c>
      <c r="B3275" s="179" t="s">
        <v>456</v>
      </c>
      <c r="C3275" s="180">
        <v>500</v>
      </c>
    </row>
    <row r="3276" spans="1:3" x14ac:dyDescent="0.25">
      <c r="A3276" s="178">
        <v>40176</v>
      </c>
      <c r="B3276" s="179" t="s">
        <v>456</v>
      </c>
      <c r="C3276" s="180">
        <v>400</v>
      </c>
    </row>
    <row r="3277" spans="1:3" x14ac:dyDescent="0.25">
      <c r="A3277" s="178">
        <v>40600</v>
      </c>
      <c r="B3277" s="179" t="s">
        <v>456</v>
      </c>
      <c r="C3277" s="180">
        <v>720</v>
      </c>
    </row>
    <row r="3278" spans="1:3" x14ac:dyDescent="0.25">
      <c r="A3278" s="178">
        <v>40700</v>
      </c>
      <c r="B3278" s="179" t="s">
        <v>456</v>
      </c>
      <c r="C3278" s="180">
        <v>640</v>
      </c>
    </row>
    <row r="3279" spans="1:3" x14ac:dyDescent="0.25">
      <c r="A3279" s="178">
        <v>42220</v>
      </c>
      <c r="B3279" s="179" t="s">
        <v>456</v>
      </c>
      <c r="C3279" s="180">
        <v>720</v>
      </c>
    </row>
    <row r="3280" spans="1:3" x14ac:dyDescent="0.25">
      <c r="A3280" s="178">
        <v>42227</v>
      </c>
      <c r="B3280" s="179" t="s">
        <v>456</v>
      </c>
      <c r="C3280" s="180">
        <v>445</v>
      </c>
    </row>
    <row r="3281" spans="1:3" x14ac:dyDescent="0.25">
      <c r="A3281" s="178">
        <v>42235</v>
      </c>
      <c r="B3281" s="179" t="s">
        <v>456</v>
      </c>
      <c r="C3281" s="180">
        <v>700</v>
      </c>
    </row>
    <row r="3282" spans="1:3" x14ac:dyDescent="0.25">
      <c r="A3282" s="178">
        <v>42237</v>
      </c>
      <c r="B3282" s="179" t="s">
        <v>456</v>
      </c>
      <c r="C3282" s="180">
        <v>720</v>
      </c>
    </row>
    <row r="3283" spans="1:3" x14ac:dyDescent="0.25">
      <c r="A3283" s="178">
        <v>42238</v>
      </c>
      <c r="B3283" s="179" t="s">
        <v>456</v>
      </c>
      <c r="C3283" s="180">
        <v>720</v>
      </c>
    </row>
    <row r="3284" spans="1:3" x14ac:dyDescent="0.25">
      <c r="A3284" s="178">
        <v>42513</v>
      </c>
      <c r="B3284" s="179" t="s">
        <v>456</v>
      </c>
      <c r="C3284" s="180">
        <v>445</v>
      </c>
    </row>
    <row r="3285" spans="1:3" x14ac:dyDescent="0.25">
      <c r="A3285" s="178">
        <v>42541</v>
      </c>
      <c r="B3285" s="179" t="s">
        <v>456</v>
      </c>
      <c r="C3285" s="180">
        <v>350</v>
      </c>
    </row>
    <row r="3286" spans="1:3" x14ac:dyDescent="0.25">
      <c r="A3286" s="178">
        <v>42544</v>
      </c>
      <c r="B3286" s="179" t="s">
        <v>456</v>
      </c>
      <c r="C3286" s="180">
        <v>2000</v>
      </c>
    </row>
    <row r="3287" spans="1:3" x14ac:dyDescent="0.25">
      <c r="A3287" s="178">
        <v>42547</v>
      </c>
      <c r="B3287" s="179" t="s">
        <v>456</v>
      </c>
      <c r="C3287" s="180">
        <v>445</v>
      </c>
    </row>
    <row r="3288" spans="1:3" x14ac:dyDescent="0.25">
      <c r="A3288" s="178">
        <v>42556</v>
      </c>
      <c r="B3288" s="179" t="s">
        <v>456</v>
      </c>
      <c r="C3288" s="180">
        <v>160</v>
      </c>
    </row>
    <row r="3289" spans="1:3" x14ac:dyDescent="0.25">
      <c r="A3289" s="178">
        <v>42557</v>
      </c>
      <c r="B3289" s="179" t="s">
        <v>456</v>
      </c>
      <c r="C3289" s="180">
        <v>300</v>
      </c>
    </row>
    <row r="3290" spans="1:3" x14ac:dyDescent="0.25">
      <c r="A3290" s="178">
        <v>42560</v>
      </c>
      <c r="B3290" s="179" t="s">
        <v>456</v>
      </c>
      <c r="C3290" s="180">
        <v>720</v>
      </c>
    </row>
    <row r="3291" spans="1:3" x14ac:dyDescent="0.25">
      <c r="A3291" s="178">
        <v>44001</v>
      </c>
      <c r="B3291" s="179" t="s">
        <v>456</v>
      </c>
      <c r="C3291" s="180">
        <v>500</v>
      </c>
    </row>
    <row r="3292" spans="1:3" x14ac:dyDescent="0.25">
      <c r="A3292" s="178">
        <v>44032</v>
      </c>
      <c r="B3292" s="179" t="s">
        <v>456</v>
      </c>
      <c r="C3292" s="180">
        <v>500</v>
      </c>
    </row>
    <row r="3293" spans="1:3" x14ac:dyDescent="0.25">
      <c r="A3293" s="178">
        <v>44046</v>
      </c>
      <c r="B3293" s="179" t="s">
        <v>456</v>
      </c>
      <c r="C3293" s="180">
        <v>500</v>
      </c>
    </row>
    <row r="3294" spans="1:3" x14ac:dyDescent="0.25">
      <c r="A3294" s="178">
        <v>44062</v>
      </c>
      <c r="B3294" s="179" t="s">
        <v>456</v>
      </c>
      <c r="C3294" s="180">
        <v>500</v>
      </c>
    </row>
    <row r="3295" spans="1:3" x14ac:dyDescent="0.25">
      <c r="A3295" s="178">
        <v>44064</v>
      </c>
      <c r="B3295" s="179" t="s">
        <v>456</v>
      </c>
      <c r="C3295" s="180">
        <v>500</v>
      </c>
    </row>
    <row r="3296" spans="1:3" x14ac:dyDescent="0.25">
      <c r="A3296" s="178">
        <v>44066</v>
      </c>
      <c r="B3296" s="179" t="s">
        <v>456</v>
      </c>
      <c r="C3296" s="180">
        <v>500</v>
      </c>
    </row>
    <row r="3297" spans="1:3" x14ac:dyDescent="0.25">
      <c r="A3297" s="178">
        <v>44097</v>
      </c>
      <c r="B3297" s="179" t="s">
        <v>456</v>
      </c>
      <c r="C3297" s="180">
        <v>500</v>
      </c>
    </row>
    <row r="3298" spans="1:3" x14ac:dyDescent="0.25">
      <c r="A3298" s="178">
        <v>44104</v>
      </c>
      <c r="B3298" s="179" t="s">
        <v>456</v>
      </c>
      <c r="C3298" s="180">
        <v>500</v>
      </c>
    </row>
    <row r="3299" spans="1:3" x14ac:dyDescent="0.25">
      <c r="A3299" s="178">
        <v>44106</v>
      </c>
      <c r="B3299" s="179" t="s">
        <v>456</v>
      </c>
      <c r="C3299" s="180">
        <v>500</v>
      </c>
    </row>
    <row r="3300" spans="1:3" x14ac:dyDescent="0.25">
      <c r="A3300" s="178">
        <v>44107</v>
      </c>
      <c r="B3300" s="179" t="s">
        <v>456</v>
      </c>
      <c r="C3300" s="180">
        <v>500</v>
      </c>
    </row>
    <row r="3301" spans="1:3" x14ac:dyDescent="0.25">
      <c r="A3301" s="178">
        <v>44113</v>
      </c>
      <c r="B3301" s="179" t="s">
        <v>456</v>
      </c>
      <c r="C3301" s="180">
        <v>500</v>
      </c>
    </row>
    <row r="3302" spans="1:3" x14ac:dyDescent="0.25">
      <c r="A3302" s="178">
        <v>44115</v>
      </c>
      <c r="B3302" s="179" t="s">
        <v>456</v>
      </c>
      <c r="C3302" s="180">
        <v>500</v>
      </c>
    </row>
    <row r="3303" spans="1:3" x14ac:dyDescent="0.25">
      <c r="A3303" s="178">
        <v>44117</v>
      </c>
      <c r="B3303" s="179" t="s">
        <v>456</v>
      </c>
      <c r="C3303" s="180">
        <v>500</v>
      </c>
    </row>
    <row r="3304" spans="1:3" x14ac:dyDescent="0.25">
      <c r="A3304" s="178">
        <v>44118</v>
      </c>
      <c r="B3304" s="179" t="s">
        <v>456</v>
      </c>
      <c r="C3304" s="180">
        <v>500</v>
      </c>
    </row>
    <row r="3305" spans="1:3" x14ac:dyDescent="0.25">
      <c r="A3305" s="178">
        <v>44120</v>
      </c>
      <c r="B3305" s="179" t="s">
        <v>456</v>
      </c>
      <c r="C3305" s="180">
        <v>500</v>
      </c>
    </row>
    <row r="3306" spans="1:3" x14ac:dyDescent="0.25">
      <c r="A3306" s="178">
        <v>44121</v>
      </c>
      <c r="B3306" s="179" t="s">
        <v>456</v>
      </c>
      <c r="C3306" s="180">
        <v>500</v>
      </c>
    </row>
    <row r="3307" spans="1:3" x14ac:dyDescent="0.25">
      <c r="A3307" s="178">
        <v>44170</v>
      </c>
      <c r="B3307" s="179" t="s">
        <v>456</v>
      </c>
      <c r="C3307" s="180">
        <v>480</v>
      </c>
    </row>
    <row r="3308" spans="1:3" x14ac:dyDescent="0.25">
      <c r="A3308" s="178">
        <v>44176</v>
      </c>
      <c r="B3308" s="179" t="s">
        <v>456</v>
      </c>
      <c r="C3308" s="180">
        <v>480</v>
      </c>
    </row>
    <row r="3309" spans="1:3" x14ac:dyDescent="0.25">
      <c r="A3309" s="178">
        <v>44177</v>
      </c>
      <c r="B3309" s="179" t="s">
        <v>456</v>
      </c>
      <c r="C3309" s="180">
        <v>480</v>
      </c>
    </row>
    <row r="3310" spans="1:3" x14ac:dyDescent="0.25">
      <c r="A3310" s="178">
        <v>44179</v>
      </c>
      <c r="B3310" s="179" t="s">
        <v>456</v>
      </c>
      <c r="C3310" s="180">
        <v>480</v>
      </c>
    </row>
    <row r="3311" spans="1:3" x14ac:dyDescent="0.25">
      <c r="A3311" s="178">
        <v>44180</v>
      </c>
      <c r="B3311" s="179" t="s">
        <v>456</v>
      </c>
      <c r="C3311" s="180">
        <v>480</v>
      </c>
    </row>
    <row r="3312" spans="1:3" x14ac:dyDescent="0.25">
      <c r="A3312" s="178">
        <v>44181</v>
      </c>
      <c r="B3312" s="179" t="s">
        <v>456</v>
      </c>
      <c r="C3312" s="180">
        <v>480</v>
      </c>
    </row>
    <row r="3313" spans="1:3" x14ac:dyDescent="0.25">
      <c r="A3313" s="178">
        <v>44182</v>
      </c>
      <c r="B3313" s="179" t="s">
        <v>456</v>
      </c>
      <c r="C3313" s="180">
        <v>153</v>
      </c>
    </row>
    <row r="3314" spans="1:3" x14ac:dyDescent="0.25">
      <c r="A3314" s="178">
        <v>44183</v>
      </c>
      <c r="B3314" s="179" t="s">
        <v>456</v>
      </c>
      <c r="C3314" s="180">
        <v>480</v>
      </c>
    </row>
    <row r="3315" spans="1:3" x14ac:dyDescent="0.25">
      <c r="A3315" s="178">
        <v>44184</v>
      </c>
      <c r="B3315" s="179" t="s">
        <v>456</v>
      </c>
      <c r="C3315" s="180">
        <v>480</v>
      </c>
    </row>
    <row r="3316" spans="1:3" x14ac:dyDescent="0.25">
      <c r="A3316" s="178">
        <v>44208</v>
      </c>
      <c r="B3316" s="179" t="s">
        <v>456</v>
      </c>
      <c r="C3316" s="180">
        <v>500</v>
      </c>
    </row>
    <row r="3317" spans="1:3" x14ac:dyDescent="0.25">
      <c r="A3317" s="178">
        <v>44213</v>
      </c>
      <c r="B3317" s="179" t="s">
        <v>456</v>
      </c>
      <c r="C3317" s="180">
        <v>500</v>
      </c>
    </row>
    <row r="3318" spans="1:3" x14ac:dyDescent="0.25">
      <c r="A3318" s="178">
        <v>44254</v>
      </c>
      <c r="B3318" s="179" t="s">
        <v>456</v>
      </c>
      <c r="C3318" s="180">
        <v>500</v>
      </c>
    </row>
    <row r="3319" spans="1:3" x14ac:dyDescent="0.25">
      <c r="A3319" s="178">
        <v>44273</v>
      </c>
      <c r="B3319" s="179" t="s">
        <v>456</v>
      </c>
      <c r="C3319" s="180">
        <v>500</v>
      </c>
    </row>
    <row r="3320" spans="1:3" x14ac:dyDescent="0.25">
      <c r="A3320" s="178">
        <v>44275</v>
      </c>
      <c r="B3320" s="179" t="s">
        <v>456</v>
      </c>
      <c r="C3320" s="180">
        <v>500</v>
      </c>
    </row>
    <row r="3321" spans="1:3" x14ac:dyDescent="0.25">
      <c r="A3321" s="178">
        <v>44276</v>
      </c>
      <c r="B3321" s="179" t="s">
        <v>456</v>
      </c>
      <c r="C3321" s="180">
        <v>500</v>
      </c>
    </row>
    <row r="3322" spans="1:3" x14ac:dyDescent="0.25">
      <c r="A3322" s="178">
        <v>44277</v>
      </c>
      <c r="B3322" s="179" t="s">
        <v>456</v>
      </c>
      <c r="C3322" s="180">
        <v>500</v>
      </c>
    </row>
    <row r="3323" spans="1:3" x14ac:dyDescent="0.25">
      <c r="A3323" s="178">
        <v>44278</v>
      </c>
      <c r="B3323" s="179" t="s">
        <v>456</v>
      </c>
      <c r="C3323" s="180">
        <v>500</v>
      </c>
    </row>
    <row r="3324" spans="1:3" x14ac:dyDescent="0.25">
      <c r="A3324" s="178">
        <v>44280</v>
      </c>
      <c r="B3324" s="179" t="s">
        <v>456</v>
      </c>
      <c r="C3324" s="180">
        <v>500</v>
      </c>
    </row>
    <row r="3325" spans="1:3" x14ac:dyDescent="0.25">
      <c r="A3325" s="178">
        <v>44281</v>
      </c>
      <c r="B3325" s="179" t="s">
        <v>456</v>
      </c>
      <c r="C3325" s="180">
        <v>500</v>
      </c>
    </row>
    <row r="3326" spans="1:3" x14ac:dyDescent="0.25">
      <c r="A3326" s="178">
        <v>44282</v>
      </c>
      <c r="B3326" s="179" t="s">
        <v>456</v>
      </c>
      <c r="C3326" s="180">
        <v>500</v>
      </c>
    </row>
    <row r="3327" spans="1:3" x14ac:dyDescent="0.25">
      <c r="A3327" s="178">
        <v>44295</v>
      </c>
      <c r="B3327" s="179" t="s">
        <v>456</v>
      </c>
      <c r="C3327" s="180">
        <v>480</v>
      </c>
    </row>
    <row r="3328" spans="1:3" x14ac:dyDescent="0.25">
      <c r="A3328" s="178">
        <v>44296</v>
      </c>
      <c r="B3328" s="179" t="s">
        <v>456</v>
      </c>
      <c r="C3328" s="180">
        <v>480</v>
      </c>
    </row>
    <row r="3329" spans="1:3" x14ac:dyDescent="0.25">
      <c r="A3329" s="178">
        <v>44298</v>
      </c>
      <c r="B3329" s="179" t="s">
        <v>456</v>
      </c>
      <c r="C3329" s="180">
        <v>718</v>
      </c>
    </row>
    <row r="3330" spans="1:3" x14ac:dyDescent="0.25">
      <c r="A3330" s="178">
        <v>45005</v>
      </c>
      <c r="B3330" s="179" t="s">
        <v>456</v>
      </c>
      <c r="C3330" s="180">
        <v>500</v>
      </c>
    </row>
    <row r="3331" spans="1:3" x14ac:dyDescent="0.25">
      <c r="A3331" s="178">
        <v>45008</v>
      </c>
      <c r="B3331" s="179" t="s">
        <v>456</v>
      </c>
      <c r="C3331" s="180">
        <v>375</v>
      </c>
    </row>
    <row r="3332" spans="1:3" x14ac:dyDescent="0.25">
      <c r="A3332" s="178">
        <v>45009</v>
      </c>
      <c r="B3332" s="179" t="s">
        <v>456</v>
      </c>
      <c r="C3332" s="180">
        <v>500</v>
      </c>
    </row>
    <row r="3333" spans="1:3" x14ac:dyDescent="0.25">
      <c r="A3333" s="178">
        <v>45030</v>
      </c>
      <c r="B3333" s="179" t="s">
        <v>456</v>
      </c>
      <c r="C3333" s="180">
        <v>500</v>
      </c>
    </row>
    <row r="3334" spans="1:3" x14ac:dyDescent="0.25">
      <c r="A3334" s="178">
        <v>45032</v>
      </c>
      <c r="B3334" s="179" t="s">
        <v>456</v>
      </c>
      <c r="C3334" s="180">
        <v>1260</v>
      </c>
    </row>
    <row r="3335" spans="1:3" x14ac:dyDescent="0.25">
      <c r="A3335" s="178">
        <v>45033</v>
      </c>
      <c r="B3335" s="179" t="s">
        <v>456</v>
      </c>
      <c r="C3335" s="180">
        <v>1260</v>
      </c>
    </row>
    <row r="3336" spans="1:3" x14ac:dyDescent="0.25">
      <c r="A3336" s="178">
        <v>45034</v>
      </c>
      <c r="B3336" s="179" t="s">
        <v>456</v>
      </c>
      <c r="C3336" s="180">
        <v>1260</v>
      </c>
    </row>
    <row r="3337" spans="1:3" x14ac:dyDescent="0.25">
      <c r="A3337" s="178">
        <v>45035</v>
      </c>
      <c r="B3337" s="179" t="s">
        <v>456</v>
      </c>
      <c r="C3337" s="180">
        <v>1260</v>
      </c>
    </row>
    <row r="3338" spans="1:3" x14ac:dyDescent="0.25">
      <c r="A3338" s="178">
        <v>45036</v>
      </c>
      <c r="B3338" s="179" t="s">
        <v>456</v>
      </c>
      <c r="C3338" s="180">
        <v>1260</v>
      </c>
    </row>
    <row r="3339" spans="1:3" x14ac:dyDescent="0.25">
      <c r="A3339" s="178">
        <v>45037</v>
      </c>
      <c r="B3339" s="179" t="s">
        <v>456</v>
      </c>
      <c r="C3339" s="180">
        <v>500</v>
      </c>
    </row>
    <row r="3340" spans="1:3" x14ac:dyDescent="0.25">
      <c r="A3340" s="178">
        <v>45038</v>
      </c>
      <c r="B3340" s="179" t="s">
        <v>456</v>
      </c>
      <c r="C3340" s="180">
        <v>500</v>
      </c>
    </row>
    <row r="3341" spans="1:3" x14ac:dyDescent="0.25">
      <c r="A3341" s="178">
        <v>45039</v>
      </c>
      <c r="B3341" s="179" t="s">
        <v>456</v>
      </c>
      <c r="C3341" s="180">
        <v>500</v>
      </c>
    </row>
    <row r="3342" spans="1:3" x14ac:dyDescent="0.25">
      <c r="A3342" s="178">
        <v>45041</v>
      </c>
      <c r="B3342" s="179" t="s">
        <v>456</v>
      </c>
      <c r="C3342" s="180">
        <v>1260</v>
      </c>
    </row>
    <row r="3343" spans="1:3" x14ac:dyDescent="0.25">
      <c r="A3343" s="178">
        <v>45042</v>
      </c>
      <c r="B3343" s="179" t="s">
        <v>456</v>
      </c>
      <c r="C3343" s="180">
        <v>1260</v>
      </c>
    </row>
    <row r="3344" spans="1:3" x14ac:dyDescent="0.25">
      <c r="A3344" s="178">
        <v>45044</v>
      </c>
      <c r="B3344" s="179" t="s">
        <v>456</v>
      </c>
      <c r="C3344" s="180">
        <v>1260</v>
      </c>
    </row>
    <row r="3345" spans="1:3" x14ac:dyDescent="0.25">
      <c r="A3345" s="178">
        <v>45045</v>
      </c>
      <c r="B3345" s="179" t="s">
        <v>456</v>
      </c>
      <c r="C3345" s="180">
        <v>500</v>
      </c>
    </row>
    <row r="3346" spans="1:3" x14ac:dyDescent="0.25">
      <c r="A3346" s="178">
        <v>45046</v>
      </c>
      <c r="B3346" s="179" t="s">
        <v>456</v>
      </c>
      <c r="C3346" s="180">
        <v>500</v>
      </c>
    </row>
    <row r="3347" spans="1:3" x14ac:dyDescent="0.25">
      <c r="A3347" s="178">
        <v>45047</v>
      </c>
      <c r="B3347" s="179" t="s">
        <v>456</v>
      </c>
      <c r="C3347" s="180">
        <v>500</v>
      </c>
    </row>
    <row r="3348" spans="1:3" x14ac:dyDescent="0.25">
      <c r="A3348" s="178">
        <v>45048</v>
      </c>
      <c r="B3348" s="179" t="s">
        <v>456</v>
      </c>
      <c r="C3348" s="180">
        <v>500</v>
      </c>
    </row>
    <row r="3349" spans="1:3" x14ac:dyDescent="0.25">
      <c r="A3349" s="178">
        <v>45049</v>
      </c>
      <c r="B3349" s="179" t="s">
        <v>456</v>
      </c>
      <c r="C3349" s="180">
        <v>500</v>
      </c>
    </row>
    <row r="3350" spans="1:3" x14ac:dyDescent="0.25">
      <c r="A3350" s="178">
        <v>45050</v>
      </c>
      <c r="B3350" s="179" t="s">
        <v>456</v>
      </c>
      <c r="C3350" s="180">
        <v>500</v>
      </c>
    </row>
    <row r="3351" spans="1:3" x14ac:dyDescent="0.25">
      <c r="A3351" s="178">
        <v>45051</v>
      </c>
      <c r="B3351" s="179" t="s">
        <v>456</v>
      </c>
      <c r="C3351" s="180">
        <v>500</v>
      </c>
    </row>
    <row r="3352" spans="1:3" x14ac:dyDescent="0.25">
      <c r="A3352" s="178">
        <v>45052</v>
      </c>
      <c r="B3352" s="179" t="s">
        <v>456</v>
      </c>
      <c r="C3352" s="180">
        <v>500</v>
      </c>
    </row>
    <row r="3353" spans="1:3" x14ac:dyDescent="0.25">
      <c r="A3353" s="178">
        <v>45055</v>
      </c>
      <c r="B3353" s="179" t="s">
        <v>456</v>
      </c>
      <c r="C3353" s="180">
        <v>500</v>
      </c>
    </row>
    <row r="3354" spans="1:3" x14ac:dyDescent="0.25">
      <c r="A3354" s="178">
        <v>45059</v>
      </c>
      <c r="B3354" s="179" t="s">
        <v>456</v>
      </c>
      <c r="C3354" s="180">
        <v>500</v>
      </c>
    </row>
    <row r="3355" spans="1:3" x14ac:dyDescent="0.25">
      <c r="A3355" s="178">
        <v>45070</v>
      </c>
      <c r="B3355" s="179" t="s">
        <v>456</v>
      </c>
      <c r="C3355" s="180">
        <v>500</v>
      </c>
    </row>
    <row r="3356" spans="1:3" x14ac:dyDescent="0.25">
      <c r="A3356" s="178">
        <v>45132</v>
      </c>
      <c r="B3356" s="179" t="s">
        <v>456</v>
      </c>
      <c r="C3356" s="180">
        <v>500</v>
      </c>
    </row>
    <row r="3357" spans="1:3" x14ac:dyDescent="0.25">
      <c r="A3357" s="178">
        <v>45133</v>
      </c>
      <c r="B3357" s="179" t="s">
        <v>456</v>
      </c>
      <c r="C3357" s="180">
        <v>500</v>
      </c>
    </row>
    <row r="3358" spans="1:3" x14ac:dyDescent="0.25">
      <c r="A3358" s="178">
        <v>45134</v>
      </c>
      <c r="B3358" s="179" t="s">
        <v>456</v>
      </c>
      <c r="C3358" s="180">
        <v>500</v>
      </c>
    </row>
    <row r="3359" spans="1:3" x14ac:dyDescent="0.25">
      <c r="A3359" s="178">
        <v>45522</v>
      </c>
      <c r="B3359" s="179" t="s">
        <v>456</v>
      </c>
      <c r="C3359" s="180">
        <v>4</v>
      </c>
    </row>
    <row r="3360" spans="1:3" x14ac:dyDescent="0.25">
      <c r="A3360" s="178">
        <v>45934</v>
      </c>
      <c r="B3360" s="179" t="s">
        <v>456</v>
      </c>
      <c r="C3360" s="180">
        <v>500</v>
      </c>
    </row>
    <row r="3361" spans="1:3" x14ac:dyDescent="0.25">
      <c r="A3361" s="178">
        <v>45944</v>
      </c>
      <c r="B3361" s="179" t="s">
        <v>456</v>
      </c>
      <c r="C3361" s="180">
        <v>500</v>
      </c>
    </row>
    <row r="3362" spans="1:3" x14ac:dyDescent="0.25">
      <c r="A3362" s="178">
        <v>46130</v>
      </c>
      <c r="B3362" s="179" t="s">
        <v>456</v>
      </c>
      <c r="C3362" s="180">
        <v>24</v>
      </c>
    </row>
    <row r="3363" spans="1:3" x14ac:dyDescent="0.25">
      <c r="A3363" s="178">
        <v>46135</v>
      </c>
      <c r="B3363" s="179" t="s">
        <v>456</v>
      </c>
      <c r="C3363" s="180">
        <v>1</v>
      </c>
    </row>
    <row r="3364" spans="1:3" x14ac:dyDescent="0.25">
      <c r="A3364" s="178">
        <v>50380</v>
      </c>
      <c r="B3364" s="179" t="s">
        <v>456</v>
      </c>
      <c r="C3364" s="180">
        <v>37200</v>
      </c>
    </row>
    <row r="3365" spans="1:3" x14ac:dyDescent="0.25">
      <c r="A3365" s="178">
        <v>50382</v>
      </c>
      <c r="B3365" s="179" t="s">
        <v>456</v>
      </c>
      <c r="C3365" s="180">
        <v>39996</v>
      </c>
    </row>
    <row r="3366" spans="1:3" x14ac:dyDescent="0.25">
      <c r="A3366" s="178">
        <v>50464</v>
      </c>
      <c r="B3366" s="179" t="s">
        <v>456</v>
      </c>
      <c r="C3366" s="180">
        <v>250</v>
      </c>
    </row>
    <row r="3367" spans="1:3" x14ac:dyDescent="0.25">
      <c r="A3367" s="178">
        <v>50465</v>
      </c>
      <c r="B3367" s="179" t="s">
        <v>456</v>
      </c>
      <c r="C3367" s="180">
        <v>250</v>
      </c>
    </row>
    <row r="3368" spans="1:3" x14ac:dyDescent="0.25">
      <c r="A3368" s="178">
        <v>50609</v>
      </c>
      <c r="B3368" s="179" t="s">
        <v>456</v>
      </c>
      <c r="C3368" s="180">
        <v>21336</v>
      </c>
    </row>
    <row r="3369" spans="1:3" x14ac:dyDescent="0.25">
      <c r="A3369" s="178">
        <v>50610</v>
      </c>
      <c r="B3369" s="179" t="s">
        <v>456</v>
      </c>
      <c r="C3369" s="180">
        <v>21336</v>
      </c>
    </row>
    <row r="3370" spans="1:3" x14ac:dyDescent="0.25">
      <c r="A3370" s="178">
        <v>50611</v>
      </c>
      <c r="B3370" s="179" t="s">
        <v>456</v>
      </c>
      <c r="C3370" s="180">
        <v>17100</v>
      </c>
    </row>
    <row r="3371" spans="1:3" x14ac:dyDescent="0.25">
      <c r="A3371" s="178">
        <v>50612</v>
      </c>
      <c r="B3371" s="179" t="s">
        <v>456</v>
      </c>
      <c r="C3371" s="180">
        <v>31992</v>
      </c>
    </row>
    <row r="3372" spans="1:3" x14ac:dyDescent="0.25">
      <c r="A3372" s="178">
        <v>51051</v>
      </c>
      <c r="B3372" s="179" t="s">
        <v>456</v>
      </c>
      <c r="C3372" s="180">
        <v>4000</v>
      </c>
    </row>
    <row r="3373" spans="1:3" x14ac:dyDescent="0.25">
      <c r="A3373" s="178">
        <v>51062</v>
      </c>
      <c r="B3373" s="179" t="s">
        <v>456</v>
      </c>
      <c r="C3373" s="180">
        <v>2000</v>
      </c>
    </row>
    <row r="3374" spans="1:3" x14ac:dyDescent="0.25">
      <c r="A3374" s="178">
        <v>53060</v>
      </c>
      <c r="B3374" s="179" t="s">
        <v>456</v>
      </c>
      <c r="C3374" s="180">
        <v>900</v>
      </c>
    </row>
    <row r="3375" spans="1:3" x14ac:dyDescent="0.25">
      <c r="A3375" s="178">
        <v>54001</v>
      </c>
      <c r="B3375" s="179" t="s">
        <v>456</v>
      </c>
      <c r="C3375" s="180">
        <v>740</v>
      </c>
    </row>
    <row r="3376" spans="1:3" x14ac:dyDescent="0.25">
      <c r="A3376" s="178">
        <v>54002</v>
      </c>
      <c r="B3376" s="179" t="s">
        <v>456</v>
      </c>
      <c r="C3376" s="180">
        <v>740</v>
      </c>
    </row>
    <row r="3377" spans="1:3" x14ac:dyDescent="0.25">
      <c r="A3377" s="178">
        <v>54003</v>
      </c>
      <c r="B3377" s="179" t="s">
        <v>456</v>
      </c>
      <c r="C3377" s="180">
        <v>360</v>
      </c>
    </row>
    <row r="3378" spans="1:3" x14ac:dyDescent="0.25">
      <c r="A3378" s="178">
        <v>54004</v>
      </c>
      <c r="B3378" s="179" t="s">
        <v>456</v>
      </c>
      <c r="C3378" s="180">
        <v>360</v>
      </c>
    </row>
    <row r="3379" spans="1:3" x14ac:dyDescent="0.25">
      <c r="A3379" s="178">
        <v>54005</v>
      </c>
      <c r="B3379" s="179" t="s">
        <v>456</v>
      </c>
      <c r="C3379" s="180">
        <v>360</v>
      </c>
    </row>
    <row r="3380" spans="1:3" x14ac:dyDescent="0.25">
      <c r="A3380" s="178">
        <v>54006</v>
      </c>
      <c r="B3380" s="179" t="s">
        <v>456</v>
      </c>
      <c r="C3380" s="180">
        <v>360</v>
      </c>
    </row>
    <row r="3381" spans="1:3" x14ac:dyDescent="0.25">
      <c r="A3381" s="178">
        <v>54007</v>
      </c>
      <c r="B3381" s="179" t="s">
        <v>456</v>
      </c>
      <c r="C3381" s="180">
        <v>360</v>
      </c>
    </row>
    <row r="3382" spans="1:3" x14ac:dyDescent="0.25">
      <c r="A3382" s="178">
        <v>54008</v>
      </c>
      <c r="B3382" s="179" t="s">
        <v>456</v>
      </c>
      <c r="C3382" s="180">
        <v>360</v>
      </c>
    </row>
    <row r="3383" spans="1:3" x14ac:dyDescent="0.25">
      <c r="A3383" s="178">
        <v>54009</v>
      </c>
      <c r="B3383" s="179" t="s">
        <v>456</v>
      </c>
      <c r="C3383" s="180">
        <v>360</v>
      </c>
    </row>
    <row r="3384" spans="1:3" x14ac:dyDescent="0.25">
      <c r="A3384" s="178">
        <v>54202</v>
      </c>
      <c r="B3384" s="179" t="s">
        <v>456</v>
      </c>
      <c r="C3384" s="180">
        <v>6600</v>
      </c>
    </row>
    <row r="3385" spans="1:3" x14ac:dyDescent="0.25">
      <c r="A3385" s="178">
        <v>54300</v>
      </c>
      <c r="B3385" s="179" t="s">
        <v>456</v>
      </c>
      <c r="C3385" s="180">
        <v>1800</v>
      </c>
    </row>
    <row r="3386" spans="1:3" x14ac:dyDescent="0.25">
      <c r="A3386" s="178">
        <v>54302</v>
      </c>
      <c r="B3386" s="179" t="s">
        <v>456</v>
      </c>
      <c r="C3386" s="180">
        <v>38400</v>
      </c>
    </row>
    <row r="3387" spans="1:3" x14ac:dyDescent="0.25">
      <c r="A3387" s="178">
        <v>54304</v>
      </c>
      <c r="B3387" s="179" t="s">
        <v>456</v>
      </c>
      <c r="C3387" s="180">
        <v>16000</v>
      </c>
    </row>
    <row r="3388" spans="1:3" x14ac:dyDescent="0.25">
      <c r="A3388" s="178">
        <v>54500</v>
      </c>
      <c r="B3388" s="179" t="s">
        <v>456</v>
      </c>
      <c r="C3388" s="180">
        <v>800</v>
      </c>
    </row>
    <row r="3389" spans="1:3" x14ac:dyDescent="0.25">
      <c r="A3389" s="178">
        <v>54501</v>
      </c>
      <c r="B3389" s="179" t="s">
        <v>456</v>
      </c>
      <c r="C3389" s="180">
        <v>250</v>
      </c>
    </row>
    <row r="3390" spans="1:3" x14ac:dyDescent="0.25">
      <c r="A3390" s="178">
        <v>54503</v>
      </c>
      <c r="B3390" s="179" t="s">
        <v>456</v>
      </c>
      <c r="C3390" s="180">
        <v>500</v>
      </c>
    </row>
    <row r="3391" spans="1:3" x14ac:dyDescent="0.25">
      <c r="A3391" s="178">
        <v>54504</v>
      </c>
      <c r="B3391" s="179" t="s">
        <v>456</v>
      </c>
      <c r="C3391" s="180">
        <v>490</v>
      </c>
    </row>
    <row r="3392" spans="1:3" x14ac:dyDescent="0.25">
      <c r="A3392" s="178">
        <v>54505</v>
      </c>
      <c r="B3392" s="179" t="s">
        <v>456</v>
      </c>
      <c r="C3392" s="180">
        <v>15</v>
      </c>
    </row>
    <row r="3393" spans="1:3" x14ac:dyDescent="0.25">
      <c r="A3393" s="178">
        <v>54506</v>
      </c>
      <c r="B3393" s="179" t="s">
        <v>456</v>
      </c>
      <c r="C3393" s="180">
        <v>300</v>
      </c>
    </row>
    <row r="3394" spans="1:3" x14ac:dyDescent="0.25">
      <c r="A3394" s="178">
        <v>54507</v>
      </c>
      <c r="B3394" s="179" t="s">
        <v>456</v>
      </c>
      <c r="C3394" s="180">
        <v>40000</v>
      </c>
    </row>
    <row r="3395" spans="1:3" x14ac:dyDescent="0.25">
      <c r="A3395" s="178">
        <v>54700</v>
      </c>
      <c r="B3395" s="179" t="s">
        <v>456</v>
      </c>
      <c r="C3395" s="180">
        <v>500</v>
      </c>
    </row>
    <row r="3396" spans="1:3" x14ac:dyDescent="0.25">
      <c r="A3396" s="178">
        <v>54900</v>
      </c>
      <c r="B3396" s="179" t="s">
        <v>456</v>
      </c>
      <c r="C3396" s="180">
        <v>300</v>
      </c>
    </row>
    <row r="3397" spans="1:3" x14ac:dyDescent="0.25">
      <c r="A3397" s="178">
        <v>54901</v>
      </c>
      <c r="B3397" s="179" t="s">
        <v>456</v>
      </c>
      <c r="C3397" s="180">
        <v>300</v>
      </c>
    </row>
    <row r="3398" spans="1:3" x14ac:dyDescent="0.25">
      <c r="A3398" s="178">
        <v>54902</v>
      </c>
      <c r="B3398" s="179" t="s">
        <v>456</v>
      </c>
      <c r="C3398" s="180">
        <v>300</v>
      </c>
    </row>
    <row r="3399" spans="1:3" x14ac:dyDescent="0.25">
      <c r="A3399" s="178">
        <v>54903</v>
      </c>
      <c r="B3399" s="179" t="s">
        <v>456</v>
      </c>
      <c r="C3399" s="180">
        <v>300</v>
      </c>
    </row>
    <row r="3400" spans="1:3" x14ac:dyDescent="0.25">
      <c r="A3400" s="178">
        <v>54904</v>
      </c>
      <c r="B3400" s="179" t="s">
        <v>456</v>
      </c>
      <c r="C3400" s="180">
        <v>300</v>
      </c>
    </row>
    <row r="3401" spans="1:3" x14ac:dyDescent="0.25">
      <c r="A3401" s="178">
        <v>54906</v>
      </c>
      <c r="B3401" s="179" t="s">
        <v>456</v>
      </c>
      <c r="C3401" s="180">
        <v>300</v>
      </c>
    </row>
    <row r="3402" spans="1:3" x14ac:dyDescent="0.25">
      <c r="A3402" s="178">
        <v>54908</v>
      </c>
      <c r="B3402" s="179" t="s">
        <v>456</v>
      </c>
      <c r="C3402" s="180">
        <v>300</v>
      </c>
    </row>
    <row r="3403" spans="1:3" x14ac:dyDescent="0.25">
      <c r="A3403" s="178">
        <v>55056</v>
      </c>
      <c r="B3403" s="179" t="s">
        <v>456</v>
      </c>
      <c r="C3403" s="180">
        <v>675</v>
      </c>
    </row>
    <row r="3404" spans="1:3" x14ac:dyDescent="0.25">
      <c r="A3404" s="178">
        <v>55135</v>
      </c>
      <c r="B3404" s="179" t="s">
        <v>456</v>
      </c>
      <c r="C3404" s="180">
        <v>1500</v>
      </c>
    </row>
    <row r="3405" spans="1:3" x14ac:dyDescent="0.25">
      <c r="A3405" s="178">
        <v>55148</v>
      </c>
      <c r="B3405" s="179" t="s">
        <v>456</v>
      </c>
      <c r="C3405" s="180">
        <v>2400</v>
      </c>
    </row>
    <row r="3406" spans="1:3" x14ac:dyDescent="0.25">
      <c r="A3406" s="178">
        <v>55167</v>
      </c>
      <c r="B3406" s="179" t="s">
        <v>456</v>
      </c>
      <c r="C3406" s="180">
        <v>300</v>
      </c>
    </row>
    <row r="3407" spans="1:3" x14ac:dyDescent="0.25">
      <c r="A3407" s="178">
        <v>55175</v>
      </c>
      <c r="B3407" s="179" t="s">
        <v>456</v>
      </c>
      <c r="C3407" s="180">
        <v>5440</v>
      </c>
    </row>
    <row r="3408" spans="1:3" x14ac:dyDescent="0.25">
      <c r="A3408" s="178">
        <v>55176</v>
      </c>
      <c r="B3408" s="179" t="s">
        <v>456</v>
      </c>
      <c r="C3408" s="180">
        <v>11200</v>
      </c>
    </row>
    <row r="3409" spans="1:3" x14ac:dyDescent="0.25">
      <c r="A3409" s="178">
        <v>55177</v>
      </c>
      <c r="B3409" s="179" t="s">
        <v>456</v>
      </c>
      <c r="C3409" s="180">
        <v>11200</v>
      </c>
    </row>
    <row r="3410" spans="1:3" x14ac:dyDescent="0.25">
      <c r="A3410" s="178">
        <v>55178</v>
      </c>
      <c r="B3410" s="179" t="s">
        <v>456</v>
      </c>
      <c r="C3410" s="180">
        <v>5440</v>
      </c>
    </row>
    <row r="3411" spans="1:3" x14ac:dyDescent="0.25">
      <c r="A3411" s="178">
        <v>55208</v>
      </c>
      <c r="B3411" s="179" t="s">
        <v>456</v>
      </c>
      <c r="C3411" s="180">
        <v>4224</v>
      </c>
    </row>
    <row r="3412" spans="1:3" x14ac:dyDescent="0.25">
      <c r="A3412" s="178">
        <v>55209</v>
      </c>
      <c r="B3412" s="179" t="s">
        <v>456</v>
      </c>
      <c r="C3412" s="180">
        <v>11600</v>
      </c>
    </row>
    <row r="3413" spans="1:3" x14ac:dyDescent="0.25">
      <c r="A3413" s="178">
        <v>55210</v>
      </c>
      <c r="B3413" s="179" t="s">
        <v>456</v>
      </c>
      <c r="C3413" s="180">
        <v>4224</v>
      </c>
    </row>
    <row r="3414" spans="1:3" x14ac:dyDescent="0.25">
      <c r="A3414" s="178">
        <v>55211</v>
      </c>
      <c r="B3414" s="179" t="s">
        <v>456</v>
      </c>
      <c r="C3414" s="180">
        <v>11000</v>
      </c>
    </row>
    <row r="3415" spans="1:3" x14ac:dyDescent="0.25">
      <c r="A3415" s="178">
        <v>55212</v>
      </c>
      <c r="B3415" s="179" t="s">
        <v>456</v>
      </c>
      <c r="C3415" s="180">
        <v>3720</v>
      </c>
    </row>
    <row r="3416" spans="1:3" x14ac:dyDescent="0.25">
      <c r="A3416" s="178">
        <v>55213</v>
      </c>
      <c r="B3416" s="179" t="s">
        <v>456</v>
      </c>
      <c r="C3416" s="180">
        <v>18630</v>
      </c>
    </row>
    <row r="3417" spans="1:3" x14ac:dyDescent="0.25">
      <c r="A3417" s="178">
        <v>55221</v>
      </c>
      <c r="B3417" s="179" t="s">
        <v>456</v>
      </c>
      <c r="C3417" s="180">
        <v>61880</v>
      </c>
    </row>
    <row r="3418" spans="1:3" x14ac:dyDescent="0.25">
      <c r="A3418" s="178">
        <v>55223</v>
      </c>
      <c r="B3418" s="179" t="s">
        <v>456</v>
      </c>
      <c r="C3418" s="180">
        <v>23760</v>
      </c>
    </row>
    <row r="3419" spans="1:3" x14ac:dyDescent="0.25">
      <c r="A3419" s="178">
        <v>55247</v>
      </c>
      <c r="B3419" s="179" t="s">
        <v>456</v>
      </c>
      <c r="C3419" s="180">
        <v>99999</v>
      </c>
    </row>
    <row r="3420" spans="1:3" x14ac:dyDescent="0.25">
      <c r="A3420" s="178">
        <v>55248</v>
      </c>
      <c r="B3420" s="179" t="s">
        <v>456</v>
      </c>
      <c r="C3420" s="180">
        <v>99999</v>
      </c>
    </row>
    <row r="3421" spans="1:3" x14ac:dyDescent="0.25">
      <c r="A3421" s="178">
        <v>55252</v>
      </c>
      <c r="B3421" s="179" t="s">
        <v>456</v>
      </c>
      <c r="C3421" s="180">
        <v>99999</v>
      </c>
    </row>
    <row r="3422" spans="1:3" x14ac:dyDescent="0.25">
      <c r="A3422" s="178">
        <v>55254</v>
      </c>
      <c r="B3422" s="179" t="s">
        <v>456</v>
      </c>
      <c r="C3422" s="180">
        <v>99999</v>
      </c>
    </row>
    <row r="3423" spans="1:3" x14ac:dyDescent="0.25">
      <c r="A3423" s="178">
        <v>55259</v>
      </c>
      <c r="B3423" s="179" t="s">
        <v>456</v>
      </c>
      <c r="C3423" s="180">
        <v>18432</v>
      </c>
    </row>
    <row r="3424" spans="1:3" x14ac:dyDescent="0.25">
      <c r="A3424" s="178">
        <v>55270</v>
      </c>
      <c r="B3424" s="179" t="s">
        <v>456</v>
      </c>
      <c r="C3424" s="180">
        <v>51600</v>
      </c>
    </row>
    <row r="3425" spans="1:3" x14ac:dyDescent="0.25">
      <c r="A3425" s="178">
        <v>55271</v>
      </c>
      <c r="B3425" s="179" t="s">
        <v>456</v>
      </c>
      <c r="C3425" s="180">
        <v>29440</v>
      </c>
    </row>
    <row r="3426" spans="1:3" x14ac:dyDescent="0.25">
      <c r="A3426" s="178">
        <v>55272</v>
      </c>
      <c r="B3426" s="179" t="s">
        <v>456</v>
      </c>
      <c r="C3426" s="180">
        <v>21120</v>
      </c>
    </row>
    <row r="3427" spans="1:3" x14ac:dyDescent="0.25">
      <c r="A3427" s="178">
        <v>55273</v>
      </c>
      <c r="B3427" s="179" t="s">
        <v>456</v>
      </c>
      <c r="C3427" s="180">
        <v>51600</v>
      </c>
    </row>
    <row r="3428" spans="1:3" x14ac:dyDescent="0.25">
      <c r="A3428" s="178">
        <v>55274</v>
      </c>
      <c r="B3428" s="179" t="s">
        <v>456</v>
      </c>
      <c r="C3428" s="180">
        <v>21120</v>
      </c>
    </row>
    <row r="3429" spans="1:3" x14ac:dyDescent="0.25">
      <c r="A3429" s="178">
        <v>55275</v>
      </c>
      <c r="B3429" s="179" t="s">
        <v>456</v>
      </c>
      <c r="C3429" s="180">
        <v>51600</v>
      </c>
    </row>
    <row r="3430" spans="1:3" x14ac:dyDescent="0.25">
      <c r="A3430" s="178">
        <v>55276</v>
      </c>
      <c r="B3430" s="179" t="s">
        <v>456</v>
      </c>
      <c r="C3430" s="180">
        <v>51600</v>
      </c>
    </row>
    <row r="3431" spans="1:3" x14ac:dyDescent="0.25">
      <c r="A3431" s="178">
        <v>55280</v>
      </c>
      <c r="B3431" s="179" t="s">
        <v>456</v>
      </c>
      <c r="C3431" s="180">
        <v>99999</v>
      </c>
    </row>
    <row r="3432" spans="1:3" x14ac:dyDescent="0.25">
      <c r="A3432" s="178">
        <v>55281</v>
      </c>
      <c r="B3432" s="179" t="s">
        <v>456</v>
      </c>
      <c r="C3432" s="180">
        <v>99999</v>
      </c>
    </row>
    <row r="3433" spans="1:3" x14ac:dyDescent="0.25">
      <c r="A3433" s="178">
        <v>55283</v>
      </c>
      <c r="B3433" s="179" t="s">
        <v>456</v>
      </c>
      <c r="C3433" s="180">
        <v>99999</v>
      </c>
    </row>
    <row r="3434" spans="1:3" x14ac:dyDescent="0.25">
      <c r="A3434" s="178">
        <v>55284</v>
      </c>
      <c r="B3434" s="179" t="s">
        <v>456</v>
      </c>
      <c r="C3434" s="180">
        <v>99999</v>
      </c>
    </row>
    <row r="3435" spans="1:3" x14ac:dyDescent="0.25">
      <c r="A3435" s="178">
        <v>55285</v>
      </c>
      <c r="B3435" s="179" t="s">
        <v>456</v>
      </c>
      <c r="C3435" s="180">
        <v>99999</v>
      </c>
    </row>
    <row r="3436" spans="1:3" x14ac:dyDescent="0.25">
      <c r="A3436" s="178">
        <v>55301</v>
      </c>
      <c r="B3436" s="179" t="s">
        <v>456</v>
      </c>
      <c r="C3436" s="180">
        <v>10000</v>
      </c>
    </row>
    <row r="3437" spans="1:3" x14ac:dyDescent="0.25">
      <c r="A3437" s="178">
        <v>55303</v>
      </c>
      <c r="B3437" s="179" t="s">
        <v>456</v>
      </c>
      <c r="C3437" s="180">
        <v>10000</v>
      </c>
    </row>
    <row r="3438" spans="1:3" x14ac:dyDescent="0.25">
      <c r="A3438" s="178">
        <v>55305</v>
      </c>
      <c r="B3438" s="179" t="s">
        <v>456</v>
      </c>
      <c r="C3438" s="180">
        <v>3000</v>
      </c>
    </row>
    <row r="3439" spans="1:3" x14ac:dyDescent="0.25">
      <c r="A3439" s="178">
        <v>55315</v>
      </c>
      <c r="B3439" s="179" t="s">
        <v>456</v>
      </c>
      <c r="C3439" s="180">
        <v>6500</v>
      </c>
    </row>
    <row r="3440" spans="1:3" x14ac:dyDescent="0.25">
      <c r="A3440" s="178">
        <v>55328</v>
      </c>
      <c r="B3440" s="179" t="s">
        <v>456</v>
      </c>
      <c r="C3440" s="180">
        <v>5000</v>
      </c>
    </row>
    <row r="3441" spans="1:3" x14ac:dyDescent="0.25">
      <c r="A3441" s="178">
        <v>55340</v>
      </c>
      <c r="B3441" s="179" t="s">
        <v>456</v>
      </c>
      <c r="C3441" s="180">
        <v>13200</v>
      </c>
    </row>
    <row r="3442" spans="1:3" x14ac:dyDescent="0.25">
      <c r="A3442" s="178">
        <v>55341</v>
      </c>
      <c r="B3442" s="179" t="s">
        <v>456</v>
      </c>
      <c r="C3442" s="180">
        <v>14400</v>
      </c>
    </row>
    <row r="3443" spans="1:3" x14ac:dyDescent="0.25">
      <c r="A3443" s="178">
        <v>55342</v>
      </c>
      <c r="B3443" s="179" t="s">
        <v>456</v>
      </c>
      <c r="C3443" s="180">
        <v>80000</v>
      </c>
    </row>
    <row r="3444" spans="1:3" x14ac:dyDescent="0.25">
      <c r="A3444" s="178">
        <v>55439</v>
      </c>
      <c r="B3444" s="179" t="s">
        <v>456</v>
      </c>
      <c r="C3444" s="180">
        <v>1</v>
      </c>
    </row>
    <row r="3445" spans="1:3" x14ac:dyDescent="0.25">
      <c r="A3445" s="178">
        <v>55445</v>
      </c>
      <c r="B3445" s="179" t="s">
        <v>456</v>
      </c>
      <c r="C3445" s="180">
        <v>1250</v>
      </c>
    </row>
    <row r="3446" spans="1:3" x14ac:dyDescent="0.25">
      <c r="A3446" s="178">
        <v>55456</v>
      </c>
      <c r="B3446" s="179" t="s">
        <v>456</v>
      </c>
      <c r="C3446" s="180">
        <v>99999</v>
      </c>
    </row>
    <row r="3447" spans="1:3" x14ac:dyDescent="0.25">
      <c r="A3447" s="178">
        <v>55460</v>
      </c>
      <c r="B3447" s="179" t="s">
        <v>456</v>
      </c>
      <c r="C3447" s="180">
        <v>2800</v>
      </c>
    </row>
    <row r="3448" spans="1:3" x14ac:dyDescent="0.25">
      <c r="A3448" s="178">
        <v>55461</v>
      </c>
      <c r="B3448" s="179" t="s">
        <v>456</v>
      </c>
      <c r="C3448" s="180">
        <v>2100</v>
      </c>
    </row>
    <row r="3449" spans="1:3" x14ac:dyDescent="0.25">
      <c r="A3449" s="178">
        <v>55463</v>
      </c>
      <c r="B3449" s="179" t="s">
        <v>456</v>
      </c>
      <c r="C3449" s="180">
        <v>567</v>
      </c>
    </row>
    <row r="3450" spans="1:3" x14ac:dyDescent="0.25">
      <c r="A3450" s="178">
        <v>55464</v>
      </c>
      <c r="B3450" s="179" t="s">
        <v>456</v>
      </c>
      <c r="C3450" s="180">
        <v>1050</v>
      </c>
    </row>
    <row r="3451" spans="1:3" x14ac:dyDescent="0.25">
      <c r="A3451" s="178">
        <v>55465</v>
      </c>
      <c r="B3451" s="179" t="s">
        <v>456</v>
      </c>
      <c r="C3451" s="180">
        <v>1400</v>
      </c>
    </row>
    <row r="3452" spans="1:3" x14ac:dyDescent="0.25">
      <c r="A3452" s="178">
        <v>55473</v>
      </c>
      <c r="B3452" s="179" t="s">
        <v>456</v>
      </c>
      <c r="C3452" s="180">
        <v>21600</v>
      </c>
    </row>
    <row r="3453" spans="1:3" x14ac:dyDescent="0.25">
      <c r="A3453" s="178">
        <v>55474</v>
      </c>
      <c r="B3453" s="179" t="s">
        <v>456</v>
      </c>
      <c r="C3453" s="180">
        <v>21600</v>
      </c>
    </row>
    <row r="3454" spans="1:3" x14ac:dyDescent="0.25">
      <c r="A3454" s="178">
        <v>55477</v>
      </c>
      <c r="B3454" s="179" t="s">
        <v>456</v>
      </c>
      <c r="C3454" s="180">
        <v>51000</v>
      </c>
    </row>
    <row r="3455" spans="1:3" x14ac:dyDescent="0.25">
      <c r="A3455" s="178">
        <v>55534</v>
      </c>
      <c r="B3455" s="179" t="s">
        <v>456</v>
      </c>
      <c r="C3455" s="180">
        <v>350</v>
      </c>
    </row>
    <row r="3456" spans="1:3" x14ac:dyDescent="0.25">
      <c r="A3456" s="178">
        <v>55567</v>
      </c>
      <c r="B3456" s="179" t="s">
        <v>456</v>
      </c>
      <c r="C3456" s="180">
        <v>99999</v>
      </c>
    </row>
    <row r="3457" spans="1:3" x14ac:dyDescent="0.25">
      <c r="A3457" s="178">
        <v>55871</v>
      </c>
      <c r="B3457" s="179" t="s">
        <v>456</v>
      </c>
      <c r="C3457" s="180">
        <v>276</v>
      </c>
    </row>
    <row r="3458" spans="1:3" x14ac:dyDescent="0.25">
      <c r="A3458" s="178">
        <v>55872</v>
      </c>
      <c r="B3458" s="179" t="s">
        <v>456</v>
      </c>
      <c r="C3458" s="180">
        <v>36000</v>
      </c>
    </row>
    <row r="3459" spans="1:3" x14ac:dyDescent="0.25">
      <c r="A3459" s="178">
        <v>55884</v>
      </c>
      <c r="B3459" s="179" t="s">
        <v>456</v>
      </c>
      <c r="C3459" s="180">
        <v>32</v>
      </c>
    </row>
    <row r="3460" spans="1:3" x14ac:dyDescent="0.25">
      <c r="A3460" s="178">
        <v>55886</v>
      </c>
      <c r="B3460" s="179" t="s">
        <v>456</v>
      </c>
      <c r="C3460" s="180">
        <v>32</v>
      </c>
    </row>
    <row r="3461" spans="1:3" x14ac:dyDescent="0.25">
      <c r="A3461" s="178">
        <v>55887</v>
      </c>
      <c r="B3461" s="179" t="s">
        <v>456</v>
      </c>
      <c r="C3461" s="180">
        <v>7200</v>
      </c>
    </row>
    <row r="3462" spans="1:3" x14ac:dyDescent="0.25">
      <c r="A3462" s="178">
        <v>55898</v>
      </c>
      <c r="B3462" s="179" t="s">
        <v>456</v>
      </c>
      <c r="C3462" s="180">
        <v>24000</v>
      </c>
    </row>
    <row r="3463" spans="1:3" x14ac:dyDescent="0.25">
      <c r="A3463" s="178">
        <v>55903</v>
      </c>
      <c r="B3463" s="179" t="s">
        <v>456</v>
      </c>
      <c r="C3463" s="180">
        <v>80000</v>
      </c>
    </row>
    <row r="3464" spans="1:3" x14ac:dyDescent="0.25">
      <c r="A3464" s="178">
        <v>55989</v>
      </c>
      <c r="B3464" s="179" t="s">
        <v>456</v>
      </c>
      <c r="C3464" s="180">
        <v>13200</v>
      </c>
    </row>
    <row r="3465" spans="1:3" x14ac:dyDescent="0.25">
      <c r="A3465" s="178">
        <v>55990</v>
      </c>
      <c r="B3465" s="179" t="s">
        <v>456</v>
      </c>
      <c r="C3465" s="180">
        <v>14400</v>
      </c>
    </row>
    <row r="3466" spans="1:3" x14ac:dyDescent="0.25">
      <c r="A3466" s="178">
        <v>56000</v>
      </c>
      <c r="B3466" s="179" t="s">
        <v>456</v>
      </c>
      <c r="C3466" s="180">
        <v>1200</v>
      </c>
    </row>
    <row r="3467" spans="1:3" x14ac:dyDescent="0.25">
      <c r="A3467" s="178">
        <v>56002</v>
      </c>
      <c r="B3467" s="179" t="s">
        <v>456</v>
      </c>
      <c r="C3467" s="180">
        <v>800</v>
      </c>
    </row>
    <row r="3468" spans="1:3" x14ac:dyDescent="0.25">
      <c r="A3468" s="178">
        <v>56010</v>
      </c>
      <c r="B3468" s="179" t="s">
        <v>456</v>
      </c>
      <c r="C3468" s="180">
        <v>528</v>
      </c>
    </row>
    <row r="3469" spans="1:3" x14ac:dyDescent="0.25">
      <c r="A3469" s="178">
        <v>56011</v>
      </c>
      <c r="B3469" s="179" t="s">
        <v>456</v>
      </c>
      <c r="C3469" s="180">
        <v>3360</v>
      </c>
    </row>
    <row r="3470" spans="1:3" x14ac:dyDescent="0.25">
      <c r="A3470" s="178">
        <v>56012</v>
      </c>
      <c r="B3470" s="179" t="s">
        <v>456</v>
      </c>
      <c r="C3470" s="180">
        <v>6420</v>
      </c>
    </row>
    <row r="3471" spans="1:3" x14ac:dyDescent="0.25">
      <c r="A3471" s="178">
        <v>56013</v>
      </c>
      <c r="B3471" s="179" t="s">
        <v>456</v>
      </c>
      <c r="C3471" s="180">
        <v>255</v>
      </c>
    </row>
    <row r="3472" spans="1:3" x14ac:dyDescent="0.25">
      <c r="A3472" s="178">
        <v>56014</v>
      </c>
      <c r="B3472" s="179" t="s">
        <v>456</v>
      </c>
      <c r="C3472" s="180">
        <v>1700</v>
      </c>
    </row>
    <row r="3473" spans="1:3" x14ac:dyDescent="0.25">
      <c r="A3473" s="178">
        <v>56015</v>
      </c>
      <c r="B3473" s="179" t="s">
        <v>456</v>
      </c>
      <c r="C3473" s="180">
        <v>6420</v>
      </c>
    </row>
    <row r="3474" spans="1:3" x14ac:dyDescent="0.25">
      <c r="A3474" s="178">
        <v>56029</v>
      </c>
      <c r="B3474" s="179" t="s">
        <v>456</v>
      </c>
      <c r="C3474" s="180">
        <v>99999</v>
      </c>
    </row>
    <row r="3475" spans="1:3" x14ac:dyDescent="0.25">
      <c r="A3475" s="178">
        <v>56033</v>
      </c>
      <c r="B3475" s="179" t="s">
        <v>456</v>
      </c>
      <c r="C3475" s="180">
        <v>33000</v>
      </c>
    </row>
    <row r="3476" spans="1:3" x14ac:dyDescent="0.25">
      <c r="A3476" s="178">
        <v>56036</v>
      </c>
      <c r="B3476" s="179" t="s">
        <v>456</v>
      </c>
      <c r="C3476" s="180">
        <v>1500</v>
      </c>
    </row>
    <row r="3477" spans="1:3" x14ac:dyDescent="0.25">
      <c r="A3477" s="178">
        <v>56037</v>
      </c>
      <c r="B3477" s="179" t="s">
        <v>456</v>
      </c>
      <c r="C3477" s="180">
        <v>322</v>
      </c>
    </row>
    <row r="3478" spans="1:3" x14ac:dyDescent="0.25">
      <c r="A3478" s="178">
        <v>56038</v>
      </c>
      <c r="B3478" s="179" t="s">
        <v>456</v>
      </c>
      <c r="C3478" s="180">
        <v>450</v>
      </c>
    </row>
    <row r="3479" spans="1:3" x14ac:dyDescent="0.25">
      <c r="A3479" s="178">
        <v>56040</v>
      </c>
      <c r="B3479" s="179" t="s">
        <v>456</v>
      </c>
      <c r="C3479" s="180">
        <v>250</v>
      </c>
    </row>
    <row r="3480" spans="1:3" x14ac:dyDescent="0.25">
      <c r="A3480" s="178">
        <v>56061</v>
      </c>
      <c r="B3480" s="179" t="s">
        <v>456</v>
      </c>
      <c r="C3480" s="180">
        <v>16800</v>
      </c>
    </row>
    <row r="3481" spans="1:3" x14ac:dyDescent="0.25">
      <c r="A3481" s="178">
        <v>56062</v>
      </c>
      <c r="B3481" s="179" t="s">
        <v>456</v>
      </c>
      <c r="C3481" s="180">
        <v>16800</v>
      </c>
    </row>
    <row r="3482" spans="1:3" x14ac:dyDescent="0.25">
      <c r="A3482" s="178">
        <v>56063</v>
      </c>
      <c r="B3482" s="179" t="s">
        <v>456</v>
      </c>
      <c r="C3482" s="180">
        <v>16800</v>
      </c>
    </row>
    <row r="3483" spans="1:3" x14ac:dyDescent="0.25">
      <c r="A3483" s="178">
        <v>56064</v>
      </c>
      <c r="B3483" s="179" t="s">
        <v>456</v>
      </c>
      <c r="C3483" s="180">
        <v>9200</v>
      </c>
    </row>
    <row r="3484" spans="1:3" x14ac:dyDescent="0.25">
      <c r="A3484" s="178">
        <v>56065</v>
      </c>
      <c r="B3484" s="179" t="s">
        <v>456</v>
      </c>
      <c r="C3484" s="180">
        <v>9200</v>
      </c>
    </row>
    <row r="3485" spans="1:3" x14ac:dyDescent="0.25">
      <c r="A3485" s="178">
        <v>56066</v>
      </c>
      <c r="B3485" s="179" t="s">
        <v>456</v>
      </c>
      <c r="C3485" s="180">
        <v>15000</v>
      </c>
    </row>
    <row r="3486" spans="1:3" x14ac:dyDescent="0.25">
      <c r="A3486" s="178">
        <v>56068</v>
      </c>
      <c r="B3486" s="179" t="s">
        <v>456</v>
      </c>
      <c r="C3486" s="180">
        <v>9200</v>
      </c>
    </row>
    <row r="3487" spans="1:3" x14ac:dyDescent="0.25">
      <c r="A3487" s="178">
        <v>56069</v>
      </c>
      <c r="B3487" s="179" t="s">
        <v>456</v>
      </c>
      <c r="C3487" s="180">
        <v>9200</v>
      </c>
    </row>
    <row r="3488" spans="1:3" x14ac:dyDescent="0.25">
      <c r="A3488" s="178">
        <v>56071</v>
      </c>
      <c r="B3488" s="179" t="s">
        <v>456</v>
      </c>
      <c r="C3488" s="180">
        <v>1920</v>
      </c>
    </row>
    <row r="3489" spans="1:3" x14ac:dyDescent="0.25">
      <c r="A3489" s="178">
        <v>56072</v>
      </c>
      <c r="B3489" s="179" t="s">
        <v>456</v>
      </c>
      <c r="C3489" s="180">
        <v>1920</v>
      </c>
    </row>
    <row r="3490" spans="1:3" x14ac:dyDescent="0.25">
      <c r="A3490" s="178">
        <v>56073</v>
      </c>
      <c r="B3490" s="179" t="s">
        <v>456</v>
      </c>
      <c r="C3490" s="180">
        <v>1920</v>
      </c>
    </row>
    <row r="3491" spans="1:3" x14ac:dyDescent="0.25">
      <c r="A3491" s="178">
        <v>56100</v>
      </c>
      <c r="B3491" s="179" t="s">
        <v>456</v>
      </c>
      <c r="C3491" s="180">
        <v>1200</v>
      </c>
    </row>
    <row r="3492" spans="1:3" x14ac:dyDescent="0.25">
      <c r="A3492" s="178">
        <v>56117</v>
      </c>
      <c r="B3492" s="179" t="s">
        <v>456</v>
      </c>
      <c r="C3492" s="180">
        <v>99999</v>
      </c>
    </row>
    <row r="3493" spans="1:3" x14ac:dyDescent="0.25">
      <c r="A3493" s="178">
        <v>56119</v>
      </c>
      <c r="B3493" s="179" t="s">
        <v>456</v>
      </c>
      <c r="C3493" s="180">
        <v>99999</v>
      </c>
    </row>
    <row r="3494" spans="1:3" x14ac:dyDescent="0.25">
      <c r="A3494" s="178">
        <v>56121</v>
      </c>
      <c r="B3494" s="179" t="s">
        <v>456</v>
      </c>
      <c r="C3494" s="180">
        <v>900</v>
      </c>
    </row>
    <row r="3495" spans="1:3" x14ac:dyDescent="0.25">
      <c r="A3495" s="178">
        <v>56153</v>
      </c>
      <c r="B3495" s="179" t="s">
        <v>456</v>
      </c>
      <c r="C3495" s="180">
        <v>99999</v>
      </c>
    </row>
    <row r="3496" spans="1:3" x14ac:dyDescent="0.25">
      <c r="A3496" s="178">
        <v>56154</v>
      </c>
      <c r="B3496" s="179" t="s">
        <v>456</v>
      </c>
      <c r="C3496" s="180">
        <v>99999</v>
      </c>
    </row>
    <row r="3497" spans="1:3" x14ac:dyDescent="0.25">
      <c r="A3497" s="178">
        <v>56155</v>
      </c>
      <c r="B3497" s="179" t="s">
        <v>456</v>
      </c>
      <c r="C3497" s="180">
        <v>99999</v>
      </c>
    </row>
    <row r="3498" spans="1:3" x14ac:dyDescent="0.25">
      <c r="A3498" s="178">
        <v>56156</v>
      </c>
      <c r="B3498" s="179" t="s">
        <v>456</v>
      </c>
      <c r="C3498" s="180">
        <v>99999</v>
      </c>
    </row>
    <row r="3499" spans="1:3" x14ac:dyDescent="0.25">
      <c r="A3499" s="178">
        <v>56157</v>
      </c>
      <c r="B3499" s="179" t="s">
        <v>456</v>
      </c>
      <c r="C3499" s="180">
        <v>99999</v>
      </c>
    </row>
    <row r="3500" spans="1:3" x14ac:dyDescent="0.25">
      <c r="A3500" s="178">
        <v>56177</v>
      </c>
      <c r="B3500" s="179" t="s">
        <v>456</v>
      </c>
      <c r="C3500" s="180">
        <v>16200</v>
      </c>
    </row>
    <row r="3501" spans="1:3" x14ac:dyDescent="0.25">
      <c r="A3501" s="178">
        <v>56178</v>
      </c>
      <c r="B3501" s="179" t="s">
        <v>456</v>
      </c>
      <c r="C3501" s="180">
        <v>16200</v>
      </c>
    </row>
    <row r="3502" spans="1:3" x14ac:dyDescent="0.25">
      <c r="A3502" s="178">
        <v>56198</v>
      </c>
      <c r="B3502" s="179" t="s">
        <v>456</v>
      </c>
      <c r="C3502" s="180">
        <v>180</v>
      </c>
    </row>
    <row r="3503" spans="1:3" x14ac:dyDescent="0.25">
      <c r="A3503" s="178">
        <v>56205</v>
      </c>
      <c r="B3503" s="179" t="s">
        <v>456</v>
      </c>
      <c r="C3503" s="180">
        <v>2700</v>
      </c>
    </row>
    <row r="3504" spans="1:3" x14ac:dyDescent="0.25">
      <c r="A3504" s="178">
        <v>56206</v>
      </c>
      <c r="B3504" s="179" t="s">
        <v>456</v>
      </c>
      <c r="C3504" s="180">
        <v>8</v>
      </c>
    </row>
    <row r="3505" spans="1:3" x14ac:dyDescent="0.25">
      <c r="A3505" s="178">
        <v>56207</v>
      </c>
      <c r="B3505" s="179" t="s">
        <v>456</v>
      </c>
      <c r="C3505" s="180">
        <v>1000</v>
      </c>
    </row>
    <row r="3506" spans="1:3" x14ac:dyDescent="0.25">
      <c r="A3506" s="178">
        <v>56217</v>
      </c>
      <c r="B3506" s="179" t="s">
        <v>456</v>
      </c>
      <c r="C3506" s="180">
        <v>22000</v>
      </c>
    </row>
    <row r="3507" spans="1:3" x14ac:dyDescent="0.25">
      <c r="A3507" s="178">
        <v>56232</v>
      </c>
      <c r="B3507" s="179" t="s">
        <v>456</v>
      </c>
      <c r="C3507" s="180">
        <v>18000</v>
      </c>
    </row>
    <row r="3508" spans="1:3" x14ac:dyDescent="0.25">
      <c r="A3508" s="178">
        <v>56233</v>
      </c>
      <c r="B3508" s="179" t="s">
        <v>456</v>
      </c>
      <c r="C3508" s="180">
        <v>5600</v>
      </c>
    </row>
    <row r="3509" spans="1:3" x14ac:dyDescent="0.25">
      <c r="A3509" s="178">
        <v>56234</v>
      </c>
      <c r="B3509" s="179" t="s">
        <v>456</v>
      </c>
      <c r="C3509" s="180">
        <v>4800</v>
      </c>
    </row>
    <row r="3510" spans="1:3" x14ac:dyDescent="0.25">
      <c r="A3510" s="178">
        <v>56235</v>
      </c>
      <c r="B3510" s="179" t="s">
        <v>456</v>
      </c>
      <c r="C3510" s="180">
        <v>9600</v>
      </c>
    </row>
    <row r="3511" spans="1:3" x14ac:dyDescent="0.25">
      <c r="A3511" s="178">
        <v>56250</v>
      </c>
      <c r="B3511" s="179" t="s">
        <v>456</v>
      </c>
      <c r="C3511" s="180">
        <v>38000</v>
      </c>
    </row>
    <row r="3512" spans="1:3" x14ac:dyDescent="0.25">
      <c r="A3512" s="178">
        <v>56254</v>
      </c>
      <c r="B3512" s="179" t="s">
        <v>456</v>
      </c>
      <c r="C3512" s="180">
        <v>8800</v>
      </c>
    </row>
    <row r="3513" spans="1:3" x14ac:dyDescent="0.25">
      <c r="A3513" s="178">
        <v>56267</v>
      </c>
      <c r="B3513" s="179" t="s">
        <v>456</v>
      </c>
      <c r="C3513" s="180">
        <v>3720</v>
      </c>
    </row>
    <row r="3514" spans="1:3" x14ac:dyDescent="0.25">
      <c r="A3514" s="178">
        <v>56268</v>
      </c>
      <c r="B3514" s="179" t="s">
        <v>456</v>
      </c>
      <c r="C3514" s="180">
        <v>3720</v>
      </c>
    </row>
    <row r="3515" spans="1:3" x14ac:dyDescent="0.25">
      <c r="A3515" s="178">
        <v>56269</v>
      </c>
      <c r="B3515" s="179" t="s">
        <v>456</v>
      </c>
      <c r="C3515" s="180">
        <v>18630</v>
      </c>
    </row>
    <row r="3516" spans="1:3" x14ac:dyDescent="0.25">
      <c r="A3516" s="178">
        <v>56270</v>
      </c>
      <c r="B3516" s="179" t="s">
        <v>456</v>
      </c>
      <c r="C3516" s="180">
        <v>18630</v>
      </c>
    </row>
    <row r="3517" spans="1:3" x14ac:dyDescent="0.25">
      <c r="A3517" s="178">
        <v>56271</v>
      </c>
      <c r="B3517" s="179" t="s">
        <v>456</v>
      </c>
      <c r="C3517" s="180">
        <v>4800</v>
      </c>
    </row>
    <row r="3518" spans="1:3" x14ac:dyDescent="0.25">
      <c r="A3518" s="178">
        <v>56281</v>
      </c>
      <c r="B3518" s="179" t="s">
        <v>456</v>
      </c>
      <c r="C3518" s="180">
        <v>9900</v>
      </c>
    </row>
    <row r="3519" spans="1:3" x14ac:dyDescent="0.25">
      <c r="A3519" s="178">
        <v>56282</v>
      </c>
      <c r="B3519" s="179" t="s">
        <v>456</v>
      </c>
      <c r="C3519" s="180">
        <v>19800</v>
      </c>
    </row>
    <row r="3520" spans="1:3" x14ac:dyDescent="0.25">
      <c r="A3520" s="178">
        <v>56283</v>
      </c>
      <c r="B3520" s="179" t="s">
        <v>456</v>
      </c>
      <c r="C3520" s="180">
        <v>4400</v>
      </c>
    </row>
    <row r="3521" spans="1:3" x14ac:dyDescent="0.25">
      <c r="A3521" s="178">
        <v>56284</v>
      </c>
      <c r="B3521" s="179" t="s">
        <v>456</v>
      </c>
      <c r="C3521" s="180">
        <v>9900</v>
      </c>
    </row>
    <row r="3522" spans="1:3" x14ac:dyDescent="0.25">
      <c r="A3522" s="178">
        <v>56297</v>
      </c>
      <c r="B3522" s="179" t="s">
        <v>456</v>
      </c>
      <c r="C3522" s="180">
        <v>1200</v>
      </c>
    </row>
    <row r="3523" spans="1:3" x14ac:dyDescent="0.25">
      <c r="A3523" s="178">
        <v>56298</v>
      </c>
      <c r="B3523" s="179" t="s">
        <v>456</v>
      </c>
      <c r="C3523" s="180">
        <v>99999</v>
      </c>
    </row>
    <row r="3524" spans="1:3" x14ac:dyDescent="0.25">
      <c r="A3524" s="178">
        <v>56299</v>
      </c>
      <c r="B3524" s="179" t="s">
        <v>456</v>
      </c>
      <c r="C3524" s="180">
        <v>600</v>
      </c>
    </row>
    <row r="3525" spans="1:3" x14ac:dyDescent="0.25">
      <c r="A3525" s="178">
        <v>56305</v>
      </c>
      <c r="B3525" s="179" t="s">
        <v>456</v>
      </c>
      <c r="C3525" s="180">
        <v>2700</v>
      </c>
    </row>
    <row r="3526" spans="1:3" x14ac:dyDescent="0.25">
      <c r="A3526" s="178">
        <v>56306</v>
      </c>
      <c r="B3526" s="179" t="s">
        <v>456</v>
      </c>
      <c r="C3526" s="180">
        <v>1920</v>
      </c>
    </row>
    <row r="3527" spans="1:3" x14ac:dyDescent="0.25">
      <c r="A3527" s="178">
        <v>56308</v>
      </c>
      <c r="B3527" s="179" t="s">
        <v>456</v>
      </c>
      <c r="C3527" s="180">
        <v>1800</v>
      </c>
    </row>
    <row r="3528" spans="1:3" x14ac:dyDescent="0.25">
      <c r="A3528" s="178">
        <v>56316</v>
      </c>
      <c r="B3528" s="179" t="s">
        <v>456</v>
      </c>
      <c r="C3528" s="180">
        <v>99999</v>
      </c>
    </row>
    <row r="3529" spans="1:3" x14ac:dyDescent="0.25">
      <c r="A3529" s="178">
        <v>56317</v>
      </c>
      <c r="B3529" s="179" t="s">
        <v>456</v>
      </c>
      <c r="C3529" s="180">
        <v>1008</v>
      </c>
    </row>
    <row r="3530" spans="1:3" x14ac:dyDescent="0.25">
      <c r="A3530" s="178">
        <v>56321</v>
      </c>
      <c r="B3530" s="179" t="s">
        <v>456</v>
      </c>
      <c r="C3530" s="180">
        <v>2800</v>
      </c>
    </row>
    <row r="3531" spans="1:3" x14ac:dyDescent="0.25">
      <c r="A3531" s="178">
        <v>56322</v>
      </c>
      <c r="B3531" s="179" t="s">
        <v>456</v>
      </c>
      <c r="C3531" s="180">
        <v>600</v>
      </c>
    </row>
    <row r="3532" spans="1:3" x14ac:dyDescent="0.25">
      <c r="A3532" s="178">
        <v>56323</v>
      </c>
      <c r="B3532" s="179" t="s">
        <v>456</v>
      </c>
      <c r="C3532" s="180">
        <v>120</v>
      </c>
    </row>
    <row r="3533" spans="1:3" x14ac:dyDescent="0.25">
      <c r="A3533" s="178">
        <v>56336</v>
      </c>
      <c r="B3533" s="179" t="s">
        <v>456</v>
      </c>
      <c r="C3533" s="180">
        <v>96000</v>
      </c>
    </row>
    <row r="3534" spans="1:3" x14ac:dyDescent="0.25">
      <c r="A3534" s="178">
        <v>56338</v>
      </c>
      <c r="B3534" s="179" t="s">
        <v>456</v>
      </c>
      <c r="C3534" s="180">
        <v>99999</v>
      </c>
    </row>
    <row r="3535" spans="1:3" x14ac:dyDescent="0.25">
      <c r="A3535" s="178">
        <v>56344</v>
      </c>
      <c r="B3535" s="179" t="s">
        <v>456</v>
      </c>
      <c r="C3535" s="180">
        <v>3360</v>
      </c>
    </row>
    <row r="3536" spans="1:3" x14ac:dyDescent="0.25">
      <c r="A3536" s="178">
        <v>56357</v>
      </c>
      <c r="B3536" s="179" t="s">
        <v>456</v>
      </c>
      <c r="C3536" s="180">
        <v>6400</v>
      </c>
    </row>
    <row r="3537" spans="1:3" x14ac:dyDescent="0.25">
      <c r="A3537" s="178">
        <v>56359</v>
      </c>
      <c r="B3537" s="179" t="s">
        <v>456</v>
      </c>
      <c r="C3537" s="180">
        <v>6400</v>
      </c>
    </row>
    <row r="3538" spans="1:3" x14ac:dyDescent="0.25">
      <c r="A3538" s="178">
        <v>56360</v>
      </c>
      <c r="B3538" s="179" t="s">
        <v>456</v>
      </c>
      <c r="C3538" s="180">
        <v>10000</v>
      </c>
    </row>
    <row r="3539" spans="1:3" x14ac:dyDescent="0.25">
      <c r="A3539" s="178">
        <v>56368</v>
      </c>
      <c r="B3539" s="179" t="s">
        <v>456</v>
      </c>
      <c r="C3539" s="180">
        <v>32004</v>
      </c>
    </row>
    <row r="3540" spans="1:3" x14ac:dyDescent="0.25">
      <c r="A3540" s="178">
        <v>56377</v>
      </c>
      <c r="B3540" s="179" t="s">
        <v>456</v>
      </c>
      <c r="C3540" s="180">
        <v>1000</v>
      </c>
    </row>
    <row r="3541" spans="1:3" x14ac:dyDescent="0.25">
      <c r="A3541" s="178">
        <v>56378</v>
      </c>
      <c r="B3541" s="179" t="s">
        <v>456</v>
      </c>
      <c r="C3541" s="180">
        <v>99999</v>
      </c>
    </row>
    <row r="3542" spans="1:3" x14ac:dyDescent="0.25">
      <c r="A3542" s="178">
        <v>56379</v>
      </c>
      <c r="B3542" s="179" t="s">
        <v>456</v>
      </c>
      <c r="C3542" s="180">
        <v>99999</v>
      </c>
    </row>
    <row r="3543" spans="1:3" x14ac:dyDescent="0.25">
      <c r="A3543" s="178">
        <v>56382</v>
      </c>
      <c r="B3543" s="179" t="s">
        <v>456</v>
      </c>
      <c r="C3543" s="180">
        <v>840</v>
      </c>
    </row>
    <row r="3544" spans="1:3" x14ac:dyDescent="0.25">
      <c r="A3544" s="178">
        <v>56383</v>
      </c>
      <c r="B3544" s="179" t="s">
        <v>456</v>
      </c>
      <c r="C3544" s="180">
        <v>840</v>
      </c>
    </row>
    <row r="3545" spans="1:3" x14ac:dyDescent="0.25">
      <c r="A3545" s="178">
        <v>56384</v>
      </c>
      <c r="B3545" s="179" t="s">
        <v>456</v>
      </c>
      <c r="C3545" s="180">
        <v>840</v>
      </c>
    </row>
    <row r="3546" spans="1:3" x14ac:dyDescent="0.25">
      <c r="A3546" s="178">
        <v>56385</v>
      </c>
      <c r="B3546" s="179" t="s">
        <v>456</v>
      </c>
      <c r="C3546" s="180">
        <v>840</v>
      </c>
    </row>
    <row r="3547" spans="1:3" x14ac:dyDescent="0.25">
      <c r="A3547" s="178">
        <v>56387</v>
      </c>
      <c r="B3547" s="179" t="s">
        <v>456</v>
      </c>
      <c r="C3547" s="180">
        <v>840</v>
      </c>
    </row>
    <row r="3548" spans="1:3" x14ac:dyDescent="0.25">
      <c r="A3548" s="178">
        <v>56389</v>
      </c>
      <c r="B3548" s="179" t="s">
        <v>456</v>
      </c>
      <c r="C3548" s="180">
        <v>1800</v>
      </c>
    </row>
    <row r="3549" spans="1:3" x14ac:dyDescent="0.25">
      <c r="A3549" s="178">
        <v>56390</v>
      </c>
      <c r="B3549" s="179" t="s">
        <v>456</v>
      </c>
      <c r="C3549" s="180">
        <v>1100</v>
      </c>
    </row>
    <row r="3550" spans="1:3" x14ac:dyDescent="0.25">
      <c r="A3550" s="178">
        <v>56391</v>
      </c>
      <c r="B3550" s="179" t="s">
        <v>456</v>
      </c>
      <c r="C3550" s="180">
        <v>120</v>
      </c>
    </row>
    <row r="3551" spans="1:3" x14ac:dyDescent="0.25">
      <c r="A3551" s="178">
        <v>56392</v>
      </c>
      <c r="B3551" s="179" t="s">
        <v>456</v>
      </c>
      <c r="C3551" s="180">
        <v>120</v>
      </c>
    </row>
    <row r="3552" spans="1:3" x14ac:dyDescent="0.25">
      <c r="A3552" s="178">
        <v>56415</v>
      </c>
      <c r="B3552" s="179" t="s">
        <v>456</v>
      </c>
      <c r="C3552" s="180">
        <v>39000</v>
      </c>
    </row>
    <row r="3553" spans="1:3" x14ac:dyDescent="0.25">
      <c r="A3553" s="178">
        <v>56416</v>
      </c>
      <c r="B3553" s="179" t="s">
        <v>456</v>
      </c>
      <c r="C3553" s="180">
        <v>11200</v>
      </c>
    </row>
    <row r="3554" spans="1:3" x14ac:dyDescent="0.25">
      <c r="A3554" s="178">
        <v>56417</v>
      </c>
      <c r="B3554" s="179" t="s">
        <v>456</v>
      </c>
      <c r="C3554" s="180">
        <v>36900</v>
      </c>
    </row>
    <row r="3555" spans="1:3" x14ac:dyDescent="0.25">
      <c r="A3555" s="178">
        <v>56418</v>
      </c>
      <c r="B3555" s="179" t="s">
        <v>456</v>
      </c>
      <c r="C3555" s="180">
        <v>36900</v>
      </c>
    </row>
    <row r="3556" spans="1:3" x14ac:dyDescent="0.25">
      <c r="A3556" s="178">
        <v>56419</v>
      </c>
      <c r="B3556" s="179" t="s">
        <v>456</v>
      </c>
      <c r="C3556" s="180">
        <v>36900</v>
      </c>
    </row>
    <row r="3557" spans="1:3" x14ac:dyDescent="0.25">
      <c r="A3557" s="178">
        <v>56420</v>
      </c>
      <c r="B3557" s="179" t="s">
        <v>456</v>
      </c>
      <c r="C3557" s="180">
        <v>2800</v>
      </c>
    </row>
    <row r="3558" spans="1:3" x14ac:dyDescent="0.25">
      <c r="A3558" s="178">
        <v>56423</v>
      </c>
      <c r="B3558" s="179" t="s">
        <v>456</v>
      </c>
      <c r="C3558" s="180">
        <v>900</v>
      </c>
    </row>
    <row r="3559" spans="1:3" x14ac:dyDescent="0.25">
      <c r="A3559" s="178">
        <v>56424</v>
      </c>
      <c r="B3559" s="179" t="s">
        <v>456</v>
      </c>
      <c r="C3559" s="180">
        <v>2240</v>
      </c>
    </row>
    <row r="3560" spans="1:3" x14ac:dyDescent="0.25">
      <c r="A3560" s="178">
        <v>56425</v>
      </c>
      <c r="B3560" s="179" t="s">
        <v>456</v>
      </c>
      <c r="C3560" s="180">
        <v>99999</v>
      </c>
    </row>
    <row r="3561" spans="1:3" x14ac:dyDescent="0.25">
      <c r="A3561" s="178">
        <v>56426</v>
      </c>
      <c r="B3561" s="179" t="s">
        <v>456</v>
      </c>
      <c r="C3561" s="180">
        <v>99999</v>
      </c>
    </row>
    <row r="3562" spans="1:3" x14ac:dyDescent="0.25">
      <c r="A3562" s="178">
        <v>56427</v>
      </c>
      <c r="B3562" s="179" t="s">
        <v>456</v>
      </c>
      <c r="C3562" s="180">
        <v>840</v>
      </c>
    </row>
    <row r="3563" spans="1:3" x14ac:dyDescent="0.25">
      <c r="A3563" s="178">
        <v>56428</v>
      </c>
      <c r="B3563" s="179" t="s">
        <v>456</v>
      </c>
      <c r="C3563" s="180">
        <v>99999</v>
      </c>
    </row>
    <row r="3564" spans="1:3" x14ac:dyDescent="0.25">
      <c r="A3564" s="178">
        <v>56431</v>
      </c>
      <c r="B3564" s="179" t="s">
        <v>456</v>
      </c>
      <c r="C3564" s="180">
        <v>525</v>
      </c>
    </row>
    <row r="3565" spans="1:3" x14ac:dyDescent="0.25">
      <c r="A3565" s="178">
        <v>56433</v>
      </c>
      <c r="B3565" s="179" t="s">
        <v>456</v>
      </c>
      <c r="C3565" s="180">
        <v>6400</v>
      </c>
    </row>
    <row r="3566" spans="1:3" x14ac:dyDescent="0.25">
      <c r="A3566" s="178">
        <v>56437</v>
      </c>
      <c r="B3566" s="179" t="s">
        <v>456</v>
      </c>
      <c r="C3566" s="180">
        <v>740</v>
      </c>
    </row>
    <row r="3567" spans="1:3" x14ac:dyDescent="0.25">
      <c r="A3567" s="178">
        <v>56438</v>
      </c>
      <c r="B3567" s="179" t="s">
        <v>456</v>
      </c>
      <c r="C3567" s="180">
        <v>740</v>
      </c>
    </row>
    <row r="3568" spans="1:3" x14ac:dyDescent="0.25">
      <c r="A3568" s="178">
        <v>56439</v>
      </c>
      <c r="B3568" s="179" t="s">
        <v>456</v>
      </c>
      <c r="C3568" s="180">
        <v>99999</v>
      </c>
    </row>
    <row r="3569" spans="1:3" x14ac:dyDescent="0.25">
      <c r="A3569" s="178">
        <v>56440</v>
      </c>
      <c r="B3569" s="179" t="s">
        <v>456</v>
      </c>
      <c r="C3569" s="180">
        <v>99999</v>
      </c>
    </row>
    <row r="3570" spans="1:3" x14ac:dyDescent="0.25">
      <c r="A3570" s="178">
        <v>56441</v>
      </c>
      <c r="B3570" s="179" t="s">
        <v>456</v>
      </c>
      <c r="C3570" s="180">
        <v>99999</v>
      </c>
    </row>
    <row r="3571" spans="1:3" x14ac:dyDescent="0.25">
      <c r="A3571" s="178">
        <v>56451</v>
      </c>
      <c r="B3571" s="179" t="s">
        <v>456</v>
      </c>
      <c r="C3571" s="180">
        <v>250</v>
      </c>
    </row>
    <row r="3572" spans="1:3" x14ac:dyDescent="0.25">
      <c r="A3572" s="178">
        <v>56453</v>
      </c>
      <c r="B3572" s="179" t="s">
        <v>456</v>
      </c>
      <c r="C3572" s="180">
        <v>3000</v>
      </c>
    </row>
    <row r="3573" spans="1:3" x14ac:dyDescent="0.25">
      <c r="A3573" s="178">
        <v>56456</v>
      </c>
      <c r="B3573" s="179" t="s">
        <v>456</v>
      </c>
      <c r="C3573" s="180">
        <v>11200</v>
      </c>
    </row>
    <row r="3574" spans="1:3" x14ac:dyDescent="0.25">
      <c r="A3574" s="178">
        <v>56461</v>
      </c>
      <c r="B3574" s="179" t="s">
        <v>456</v>
      </c>
      <c r="C3574" s="180">
        <v>740</v>
      </c>
    </row>
    <row r="3575" spans="1:3" x14ac:dyDescent="0.25">
      <c r="A3575" s="178">
        <v>56466</v>
      </c>
      <c r="B3575" s="179" t="s">
        <v>456</v>
      </c>
      <c r="C3575" s="180">
        <v>450</v>
      </c>
    </row>
    <row r="3576" spans="1:3" x14ac:dyDescent="0.25">
      <c r="A3576" s="178">
        <v>56471</v>
      </c>
      <c r="B3576" s="179" t="s">
        <v>456</v>
      </c>
      <c r="C3576" s="180">
        <v>6600</v>
      </c>
    </row>
    <row r="3577" spans="1:3" x14ac:dyDescent="0.25">
      <c r="A3577" s="178">
        <v>56472</v>
      </c>
      <c r="B3577" s="179" t="s">
        <v>456</v>
      </c>
      <c r="C3577" s="180">
        <v>740</v>
      </c>
    </row>
    <row r="3578" spans="1:3" x14ac:dyDescent="0.25">
      <c r="A3578" s="178">
        <v>56475</v>
      </c>
      <c r="B3578" s="179" t="s">
        <v>456</v>
      </c>
      <c r="C3578" s="180">
        <v>99999</v>
      </c>
    </row>
    <row r="3579" spans="1:3" x14ac:dyDescent="0.25">
      <c r="A3579" s="178">
        <v>56476</v>
      </c>
      <c r="B3579" s="179" t="s">
        <v>456</v>
      </c>
      <c r="C3579" s="180">
        <v>6600</v>
      </c>
    </row>
    <row r="3580" spans="1:3" x14ac:dyDescent="0.25">
      <c r="A3580" s="178">
        <v>56479</v>
      </c>
      <c r="B3580" s="179" t="s">
        <v>456</v>
      </c>
      <c r="C3580" s="180">
        <v>6600</v>
      </c>
    </row>
    <row r="3581" spans="1:3" x14ac:dyDescent="0.25">
      <c r="A3581" s="178">
        <v>56480</v>
      </c>
      <c r="B3581" s="179" t="s">
        <v>456</v>
      </c>
      <c r="C3581" s="180">
        <v>6600</v>
      </c>
    </row>
    <row r="3582" spans="1:3" x14ac:dyDescent="0.25">
      <c r="A3582" s="178">
        <v>56485</v>
      </c>
      <c r="B3582" s="179" t="s">
        <v>456</v>
      </c>
      <c r="C3582" s="180">
        <v>740</v>
      </c>
    </row>
    <row r="3583" spans="1:3" x14ac:dyDescent="0.25">
      <c r="A3583" s="178">
        <v>56486</v>
      </c>
      <c r="B3583" s="179" t="s">
        <v>456</v>
      </c>
      <c r="C3583" s="180">
        <v>525</v>
      </c>
    </row>
    <row r="3584" spans="1:3" x14ac:dyDescent="0.25">
      <c r="A3584" s="178">
        <v>56487</v>
      </c>
      <c r="B3584" s="179" t="s">
        <v>456</v>
      </c>
      <c r="C3584" s="180">
        <v>1200</v>
      </c>
    </row>
    <row r="3585" spans="1:3" x14ac:dyDescent="0.25">
      <c r="A3585" s="178">
        <v>56493</v>
      </c>
      <c r="B3585" s="179" t="s">
        <v>456</v>
      </c>
      <c r="C3585" s="180">
        <v>75</v>
      </c>
    </row>
    <row r="3586" spans="1:3" x14ac:dyDescent="0.25">
      <c r="A3586" s="178">
        <v>56494</v>
      </c>
      <c r="B3586" s="179" t="s">
        <v>456</v>
      </c>
      <c r="C3586" s="180">
        <v>260</v>
      </c>
    </row>
    <row r="3587" spans="1:3" x14ac:dyDescent="0.25">
      <c r="A3587" s="178">
        <v>56498</v>
      </c>
      <c r="B3587" s="179" t="s">
        <v>456</v>
      </c>
      <c r="C3587" s="180">
        <v>6600</v>
      </c>
    </row>
    <row r="3588" spans="1:3" x14ac:dyDescent="0.25">
      <c r="A3588" s="178">
        <v>56499</v>
      </c>
      <c r="B3588" s="179" t="s">
        <v>456</v>
      </c>
      <c r="C3588" s="180">
        <v>99999</v>
      </c>
    </row>
    <row r="3589" spans="1:3" x14ac:dyDescent="0.25">
      <c r="A3589" s="178">
        <v>56500</v>
      </c>
      <c r="B3589" s="179" t="s">
        <v>456</v>
      </c>
      <c r="C3589" s="180">
        <v>740</v>
      </c>
    </row>
    <row r="3590" spans="1:3" x14ac:dyDescent="0.25">
      <c r="A3590" s="178">
        <v>56506</v>
      </c>
      <c r="B3590" s="179" t="s">
        <v>456</v>
      </c>
      <c r="C3590" s="180">
        <v>40656</v>
      </c>
    </row>
    <row r="3591" spans="1:3" x14ac:dyDescent="0.25">
      <c r="A3591" s="178">
        <v>56508</v>
      </c>
      <c r="B3591" s="179" t="s">
        <v>456</v>
      </c>
      <c r="C3591" s="180">
        <v>40950</v>
      </c>
    </row>
    <row r="3592" spans="1:3" x14ac:dyDescent="0.25">
      <c r="A3592" s="178">
        <v>56509</v>
      </c>
      <c r="B3592" s="179" t="s">
        <v>456</v>
      </c>
      <c r="C3592" s="180">
        <v>700</v>
      </c>
    </row>
    <row r="3593" spans="1:3" x14ac:dyDescent="0.25">
      <c r="A3593" s="178">
        <v>56511</v>
      </c>
      <c r="B3593" s="179" t="s">
        <v>456</v>
      </c>
      <c r="C3593" s="180">
        <v>99999</v>
      </c>
    </row>
    <row r="3594" spans="1:3" x14ac:dyDescent="0.25">
      <c r="A3594" s="178">
        <v>56512</v>
      </c>
      <c r="B3594" s="179" t="s">
        <v>456</v>
      </c>
      <c r="C3594" s="180">
        <v>99999</v>
      </c>
    </row>
    <row r="3595" spans="1:3" x14ac:dyDescent="0.25">
      <c r="A3595" s="178">
        <v>56515</v>
      </c>
      <c r="B3595" s="179" t="s">
        <v>456</v>
      </c>
      <c r="C3595" s="180">
        <v>900</v>
      </c>
    </row>
    <row r="3596" spans="1:3" x14ac:dyDescent="0.25">
      <c r="A3596" s="178">
        <v>56517</v>
      </c>
      <c r="B3596" s="179" t="s">
        <v>456</v>
      </c>
      <c r="C3596" s="180">
        <v>39000</v>
      </c>
    </row>
    <row r="3597" spans="1:3" x14ac:dyDescent="0.25">
      <c r="A3597" s="178">
        <v>56518</v>
      </c>
      <c r="B3597" s="179" t="s">
        <v>456</v>
      </c>
      <c r="C3597" s="180">
        <v>99999</v>
      </c>
    </row>
    <row r="3598" spans="1:3" x14ac:dyDescent="0.25">
      <c r="A3598" s="178">
        <v>56520</v>
      </c>
      <c r="B3598" s="179" t="s">
        <v>456</v>
      </c>
      <c r="C3598" s="180">
        <v>3360</v>
      </c>
    </row>
    <row r="3599" spans="1:3" x14ac:dyDescent="0.25">
      <c r="A3599" s="178">
        <v>56521</v>
      </c>
      <c r="B3599" s="179" t="s">
        <v>456</v>
      </c>
      <c r="C3599" s="180">
        <v>740</v>
      </c>
    </row>
    <row r="3600" spans="1:3" x14ac:dyDescent="0.25">
      <c r="A3600" s="178">
        <v>56522</v>
      </c>
      <c r="B3600" s="179" t="s">
        <v>456</v>
      </c>
      <c r="C3600" s="180">
        <v>9200</v>
      </c>
    </row>
    <row r="3601" spans="1:3" x14ac:dyDescent="0.25">
      <c r="A3601" s="178">
        <v>56523</v>
      </c>
      <c r="B3601" s="179" t="s">
        <v>456</v>
      </c>
      <c r="C3601" s="180">
        <v>9200</v>
      </c>
    </row>
    <row r="3602" spans="1:3" x14ac:dyDescent="0.25">
      <c r="A3602" s="178">
        <v>56524</v>
      </c>
      <c r="B3602" s="179" t="s">
        <v>456</v>
      </c>
      <c r="C3602" s="180">
        <v>1920</v>
      </c>
    </row>
    <row r="3603" spans="1:3" x14ac:dyDescent="0.25">
      <c r="A3603" s="178">
        <v>56525</v>
      </c>
      <c r="B3603" s="179" t="s">
        <v>456</v>
      </c>
      <c r="C3603" s="180">
        <v>1920</v>
      </c>
    </row>
    <row r="3604" spans="1:3" x14ac:dyDescent="0.25">
      <c r="A3604" s="178">
        <v>56526</v>
      </c>
      <c r="B3604" s="179" t="s">
        <v>456</v>
      </c>
      <c r="C3604" s="180">
        <v>6400</v>
      </c>
    </row>
    <row r="3605" spans="1:3" x14ac:dyDescent="0.25">
      <c r="A3605" s="178">
        <v>56527</v>
      </c>
      <c r="B3605" s="179" t="s">
        <v>456</v>
      </c>
      <c r="C3605" s="180">
        <v>740</v>
      </c>
    </row>
    <row r="3606" spans="1:3" x14ac:dyDescent="0.25">
      <c r="A3606" s="178">
        <v>56530</v>
      </c>
      <c r="B3606" s="179" t="s">
        <v>456</v>
      </c>
      <c r="C3606" s="180">
        <v>1728</v>
      </c>
    </row>
    <row r="3607" spans="1:3" x14ac:dyDescent="0.25">
      <c r="A3607" s="178">
        <v>56531</v>
      </c>
      <c r="B3607" s="179" t="s">
        <v>456</v>
      </c>
      <c r="C3607" s="180">
        <v>30000</v>
      </c>
    </row>
    <row r="3608" spans="1:3" x14ac:dyDescent="0.25">
      <c r="A3608" s="178">
        <v>56532</v>
      </c>
      <c r="B3608" s="179" t="s">
        <v>456</v>
      </c>
      <c r="C3608" s="180">
        <v>30000</v>
      </c>
    </row>
    <row r="3609" spans="1:3" x14ac:dyDescent="0.25">
      <c r="A3609" s="178">
        <v>56534</v>
      </c>
      <c r="B3609" s="179" t="s">
        <v>456</v>
      </c>
      <c r="C3609" s="180">
        <v>120</v>
      </c>
    </row>
    <row r="3610" spans="1:3" x14ac:dyDescent="0.25">
      <c r="A3610" s="178">
        <v>56536</v>
      </c>
      <c r="B3610" s="179" t="s">
        <v>456</v>
      </c>
      <c r="C3610" s="180">
        <v>6600</v>
      </c>
    </row>
    <row r="3611" spans="1:3" x14ac:dyDescent="0.25">
      <c r="A3611" s="178">
        <v>56537</v>
      </c>
      <c r="B3611" s="179" t="s">
        <v>456</v>
      </c>
      <c r="C3611" s="180">
        <v>40656</v>
      </c>
    </row>
    <row r="3612" spans="1:3" x14ac:dyDescent="0.25">
      <c r="A3612" s="178">
        <v>56539</v>
      </c>
      <c r="B3612" s="179" t="s">
        <v>456</v>
      </c>
      <c r="C3612" s="180">
        <v>99999</v>
      </c>
    </row>
    <row r="3613" spans="1:3" x14ac:dyDescent="0.25">
      <c r="A3613" s="178">
        <v>56540</v>
      </c>
      <c r="B3613" s="179" t="s">
        <v>456</v>
      </c>
      <c r="C3613" s="180">
        <v>99999</v>
      </c>
    </row>
    <row r="3614" spans="1:3" x14ac:dyDescent="0.25">
      <c r="A3614" s="178">
        <v>56544</v>
      </c>
      <c r="B3614" s="179" t="s">
        <v>456</v>
      </c>
      <c r="C3614" s="180">
        <v>11200</v>
      </c>
    </row>
    <row r="3615" spans="1:3" x14ac:dyDescent="0.25">
      <c r="A3615" s="178">
        <v>56545</v>
      </c>
      <c r="B3615" s="179" t="s">
        <v>456</v>
      </c>
      <c r="C3615" s="180">
        <v>61880</v>
      </c>
    </row>
    <row r="3616" spans="1:3" x14ac:dyDescent="0.25">
      <c r="A3616" s="178">
        <v>56546</v>
      </c>
      <c r="B3616" s="179" t="s">
        <v>456</v>
      </c>
      <c r="C3616" s="180">
        <v>2800</v>
      </c>
    </row>
    <row r="3617" spans="1:3" x14ac:dyDescent="0.25">
      <c r="A3617" s="178">
        <v>56547</v>
      </c>
      <c r="B3617" s="179" t="s">
        <v>456</v>
      </c>
      <c r="C3617" s="180">
        <v>2100</v>
      </c>
    </row>
    <row r="3618" spans="1:3" x14ac:dyDescent="0.25">
      <c r="A3618" s="178">
        <v>56551</v>
      </c>
      <c r="B3618" s="179" t="s">
        <v>456</v>
      </c>
      <c r="C3618" s="180">
        <v>4200</v>
      </c>
    </row>
    <row r="3619" spans="1:3" x14ac:dyDescent="0.25">
      <c r="A3619" s="178">
        <v>56552</v>
      </c>
      <c r="B3619" s="179" t="s">
        <v>456</v>
      </c>
      <c r="C3619" s="180">
        <v>6720</v>
      </c>
    </row>
    <row r="3620" spans="1:3" x14ac:dyDescent="0.25">
      <c r="A3620" s="178">
        <v>56553</v>
      </c>
      <c r="B3620" s="179" t="s">
        <v>456</v>
      </c>
      <c r="C3620" s="180">
        <v>1400</v>
      </c>
    </row>
    <row r="3621" spans="1:3" x14ac:dyDescent="0.25">
      <c r="A3621" s="178">
        <v>56558</v>
      </c>
      <c r="B3621" s="179" t="s">
        <v>456</v>
      </c>
      <c r="C3621" s="180">
        <v>700</v>
      </c>
    </row>
    <row r="3622" spans="1:3" x14ac:dyDescent="0.25">
      <c r="A3622" s="178">
        <v>56560</v>
      </c>
      <c r="B3622" s="179" t="s">
        <v>456</v>
      </c>
      <c r="C3622" s="180">
        <v>700</v>
      </c>
    </row>
    <row r="3623" spans="1:3" x14ac:dyDescent="0.25">
      <c r="A3623" s="178">
        <v>56565</v>
      </c>
      <c r="B3623" s="179" t="s">
        <v>456</v>
      </c>
      <c r="C3623" s="180">
        <v>40656</v>
      </c>
    </row>
    <row r="3624" spans="1:3" x14ac:dyDescent="0.25">
      <c r="A3624" s="178">
        <v>56566</v>
      </c>
      <c r="B3624" s="179" t="s">
        <v>456</v>
      </c>
      <c r="C3624" s="180">
        <v>31</v>
      </c>
    </row>
    <row r="3625" spans="1:3" x14ac:dyDescent="0.25">
      <c r="A3625" s="178">
        <v>56567</v>
      </c>
      <c r="B3625" s="179" t="s">
        <v>456</v>
      </c>
      <c r="C3625" s="180">
        <v>1980</v>
      </c>
    </row>
    <row r="3626" spans="1:3" x14ac:dyDescent="0.25">
      <c r="A3626" s="178">
        <v>56578</v>
      </c>
      <c r="B3626" s="179" t="s">
        <v>456</v>
      </c>
      <c r="C3626" s="180">
        <v>600</v>
      </c>
    </row>
    <row r="3627" spans="1:3" x14ac:dyDescent="0.25">
      <c r="A3627" s="178">
        <v>56579</v>
      </c>
      <c r="B3627" s="179" t="s">
        <v>456</v>
      </c>
      <c r="C3627" s="180">
        <v>250</v>
      </c>
    </row>
    <row r="3628" spans="1:3" x14ac:dyDescent="0.25">
      <c r="A3628" s="178">
        <v>56580</v>
      </c>
      <c r="B3628" s="179" t="s">
        <v>456</v>
      </c>
      <c r="C3628" s="180">
        <v>250</v>
      </c>
    </row>
    <row r="3629" spans="1:3" x14ac:dyDescent="0.25">
      <c r="A3629" s="178">
        <v>56581</v>
      </c>
      <c r="B3629" s="179" t="s">
        <v>456</v>
      </c>
      <c r="C3629" s="180">
        <v>17712</v>
      </c>
    </row>
    <row r="3630" spans="1:3" x14ac:dyDescent="0.25">
      <c r="A3630" s="178">
        <v>56582</v>
      </c>
      <c r="B3630" s="179" t="s">
        <v>456</v>
      </c>
      <c r="C3630" s="180">
        <v>17712</v>
      </c>
    </row>
    <row r="3631" spans="1:3" x14ac:dyDescent="0.25">
      <c r="A3631" s="178">
        <v>56583</v>
      </c>
      <c r="B3631" s="179" t="s">
        <v>456</v>
      </c>
      <c r="C3631" s="180">
        <v>900</v>
      </c>
    </row>
    <row r="3632" spans="1:3" x14ac:dyDescent="0.25">
      <c r="A3632" s="178">
        <v>56584</v>
      </c>
      <c r="B3632" s="179" t="s">
        <v>456</v>
      </c>
      <c r="C3632" s="180">
        <v>10400</v>
      </c>
    </row>
    <row r="3633" spans="1:3" x14ac:dyDescent="0.25">
      <c r="A3633" s="178">
        <v>56585</v>
      </c>
      <c r="B3633" s="179" t="s">
        <v>456</v>
      </c>
      <c r="C3633" s="180">
        <v>8000</v>
      </c>
    </row>
    <row r="3634" spans="1:3" x14ac:dyDescent="0.25">
      <c r="A3634" s="178">
        <v>56586</v>
      </c>
      <c r="B3634" s="179" t="s">
        <v>456</v>
      </c>
      <c r="C3634" s="180">
        <v>8800</v>
      </c>
    </row>
    <row r="3635" spans="1:3" x14ac:dyDescent="0.25">
      <c r="A3635" s="178">
        <v>56587</v>
      </c>
      <c r="B3635" s="179" t="s">
        <v>456</v>
      </c>
      <c r="C3635" s="180">
        <v>16000</v>
      </c>
    </row>
    <row r="3636" spans="1:3" x14ac:dyDescent="0.25">
      <c r="A3636" s="178">
        <v>56588</v>
      </c>
      <c r="B3636" s="179" t="s">
        <v>456</v>
      </c>
      <c r="C3636" s="180">
        <v>13200</v>
      </c>
    </row>
    <row r="3637" spans="1:3" x14ac:dyDescent="0.25">
      <c r="A3637" s="178">
        <v>56589</v>
      </c>
      <c r="B3637" s="179" t="s">
        <v>456</v>
      </c>
      <c r="C3637" s="180">
        <v>16800</v>
      </c>
    </row>
    <row r="3638" spans="1:3" x14ac:dyDescent="0.25">
      <c r="A3638" s="178">
        <v>56590</v>
      </c>
      <c r="B3638" s="179" t="s">
        <v>456</v>
      </c>
      <c r="C3638" s="180">
        <v>1800</v>
      </c>
    </row>
    <row r="3639" spans="1:3" x14ac:dyDescent="0.25">
      <c r="A3639" s="178">
        <v>56591</v>
      </c>
      <c r="B3639" s="179" t="s">
        <v>456</v>
      </c>
      <c r="C3639" s="180">
        <v>1800</v>
      </c>
    </row>
    <row r="3640" spans="1:3" x14ac:dyDescent="0.25">
      <c r="A3640" s="178">
        <v>56593</v>
      </c>
      <c r="B3640" s="179" t="s">
        <v>456</v>
      </c>
      <c r="C3640" s="180">
        <v>840</v>
      </c>
    </row>
    <row r="3641" spans="1:3" x14ac:dyDescent="0.25">
      <c r="A3641" s="178">
        <v>56594</v>
      </c>
      <c r="B3641" s="179" t="s">
        <v>456</v>
      </c>
      <c r="C3641" s="180">
        <v>840</v>
      </c>
    </row>
    <row r="3642" spans="1:3" x14ac:dyDescent="0.25">
      <c r="A3642" s="178">
        <v>56595</v>
      </c>
      <c r="B3642" s="179" t="s">
        <v>456</v>
      </c>
      <c r="C3642" s="180">
        <v>840</v>
      </c>
    </row>
    <row r="3643" spans="1:3" x14ac:dyDescent="0.25">
      <c r="A3643" s="178">
        <v>56596</v>
      </c>
      <c r="B3643" s="179" t="s">
        <v>456</v>
      </c>
      <c r="C3643" s="180">
        <v>840</v>
      </c>
    </row>
    <row r="3644" spans="1:3" x14ac:dyDescent="0.25">
      <c r="A3644" s="178">
        <v>56597</v>
      </c>
      <c r="B3644" s="179" t="s">
        <v>456</v>
      </c>
      <c r="C3644" s="180">
        <v>11200</v>
      </c>
    </row>
    <row r="3645" spans="1:3" x14ac:dyDescent="0.25">
      <c r="A3645" s="178">
        <v>56598</v>
      </c>
      <c r="B3645" s="179" t="s">
        <v>456</v>
      </c>
      <c r="C3645" s="180">
        <v>39000</v>
      </c>
    </row>
    <row r="3646" spans="1:3" x14ac:dyDescent="0.25">
      <c r="A3646" s="178">
        <v>56599</v>
      </c>
      <c r="B3646" s="179" t="s">
        <v>456</v>
      </c>
      <c r="C3646" s="180">
        <v>840</v>
      </c>
    </row>
    <row r="3647" spans="1:3" x14ac:dyDescent="0.25">
      <c r="A3647" s="178">
        <v>56600</v>
      </c>
      <c r="B3647" s="179" t="s">
        <v>456</v>
      </c>
      <c r="C3647" s="180">
        <v>25680</v>
      </c>
    </row>
    <row r="3648" spans="1:3" x14ac:dyDescent="0.25">
      <c r="A3648" s="178">
        <v>56601</v>
      </c>
      <c r="B3648" s="179" t="s">
        <v>456</v>
      </c>
      <c r="C3648" s="180">
        <v>39000</v>
      </c>
    </row>
    <row r="3649" spans="1:3" x14ac:dyDescent="0.25">
      <c r="A3649" s="178">
        <v>56605</v>
      </c>
      <c r="B3649" s="179" t="s">
        <v>456</v>
      </c>
      <c r="C3649" s="180">
        <v>80</v>
      </c>
    </row>
    <row r="3650" spans="1:3" x14ac:dyDescent="0.25">
      <c r="A3650" s="178">
        <v>56606</v>
      </c>
      <c r="B3650" s="179" t="s">
        <v>456</v>
      </c>
      <c r="C3650" s="180">
        <v>80</v>
      </c>
    </row>
    <row r="3651" spans="1:3" x14ac:dyDescent="0.25">
      <c r="A3651" s="178">
        <v>60001</v>
      </c>
      <c r="B3651" s="179" t="s">
        <v>456</v>
      </c>
      <c r="C3651" s="180">
        <v>99999</v>
      </c>
    </row>
    <row r="3652" spans="1:3" x14ac:dyDescent="0.25">
      <c r="A3652" s="178">
        <v>60041</v>
      </c>
      <c r="B3652" s="179" t="s">
        <v>456</v>
      </c>
      <c r="C3652" s="180">
        <v>99999</v>
      </c>
    </row>
    <row r="3653" spans="1:3" x14ac:dyDescent="0.25">
      <c r="A3653" s="178">
        <v>60042</v>
      </c>
      <c r="B3653" s="179" t="s">
        <v>456</v>
      </c>
      <c r="C3653" s="180">
        <v>99999</v>
      </c>
    </row>
    <row r="3654" spans="1:3" x14ac:dyDescent="0.25">
      <c r="A3654" s="178">
        <v>60043</v>
      </c>
      <c r="B3654" s="179" t="s">
        <v>456</v>
      </c>
      <c r="C3654" s="180">
        <v>99999</v>
      </c>
    </row>
    <row r="3655" spans="1:3" x14ac:dyDescent="0.25">
      <c r="A3655" s="178">
        <v>60044</v>
      </c>
      <c r="B3655" s="179" t="s">
        <v>456</v>
      </c>
      <c r="C3655" s="180">
        <v>99999</v>
      </c>
    </row>
    <row r="3656" spans="1:3" x14ac:dyDescent="0.25">
      <c r="A3656" s="178">
        <v>60045</v>
      </c>
      <c r="B3656" s="179" t="s">
        <v>456</v>
      </c>
      <c r="C3656" s="180">
        <v>99999</v>
      </c>
    </row>
    <row r="3657" spans="1:3" x14ac:dyDescent="0.25">
      <c r="A3657" s="178">
        <v>60046</v>
      </c>
      <c r="B3657" s="179" t="s">
        <v>456</v>
      </c>
      <c r="C3657" s="180">
        <v>99999</v>
      </c>
    </row>
    <row r="3658" spans="1:3" x14ac:dyDescent="0.25">
      <c r="A3658" s="178">
        <v>60047</v>
      </c>
      <c r="B3658" s="179" t="s">
        <v>456</v>
      </c>
      <c r="C3658" s="180">
        <v>99999</v>
      </c>
    </row>
    <row r="3659" spans="1:3" x14ac:dyDescent="0.25">
      <c r="A3659" s="178">
        <v>60048</v>
      </c>
      <c r="B3659" s="179" t="s">
        <v>456</v>
      </c>
      <c r="C3659" s="180">
        <v>99999</v>
      </c>
    </row>
    <row r="3660" spans="1:3" x14ac:dyDescent="0.25">
      <c r="A3660" s="178">
        <v>60049</v>
      </c>
      <c r="B3660" s="179" t="s">
        <v>456</v>
      </c>
      <c r="C3660" s="180">
        <v>99999</v>
      </c>
    </row>
    <row r="3661" spans="1:3" x14ac:dyDescent="0.25">
      <c r="A3661" s="178">
        <v>60050</v>
      </c>
      <c r="B3661" s="179" t="s">
        <v>456</v>
      </c>
      <c r="C3661" s="180">
        <v>99999</v>
      </c>
    </row>
    <row r="3662" spans="1:3" x14ac:dyDescent="0.25">
      <c r="A3662" s="178">
        <v>60063</v>
      </c>
      <c r="B3662" s="179" t="s">
        <v>456</v>
      </c>
      <c r="C3662" s="180">
        <v>99999</v>
      </c>
    </row>
    <row r="3663" spans="1:3" x14ac:dyDescent="0.25">
      <c r="A3663" s="178">
        <v>60064</v>
      </c>
      <c r="B3663" s="179" t="s">
        <v>456</v>
      </c>
      <c r="C3663" s="180">
        <v>99999</v>
      </c>
    </row>
    <row r="3664" spans="1:3" x14ac:dyDescent="0.25">
      <c r="A3664" s="178">
        <v>60065</v>
      </c>
      <c r="B3664" s="179" t="s">
        <v>456</v>
      </c>
      <c r="C3664" s="180">
        <v>99999</v>
      </c>
    </row>
    <row r="3665" spans="1:3" x14ac:dyDescent="0.25">
      <c r="A3665" s="178">
        <v>60066</v>
      </c>
      <c r="B3665" s="179" t="s">
        <v>456</v>
      </c>
      <c r="C3665" s="180">
        <v>99999</v>
      </c>
    </row>
    <row r="3666" spans="1:3" x14ac:dyDescent="0.25">
      <c r="A3666" s="178">
        <v>60067</v>
      </c>
      <c r="B3666" s="179" t="s">
        <v>456</v>
      </c>
      <c r="C3666" s="180">
        <v>99999</v>
      </c>
    </row>
    <row r="3667" spans="1:3" x14ac:dyDescent="0.25">
      <c r="A3667" s="178">
        <v>60068</v>
      </c>
      <c r="B3667" s="179" t="s">
        <v>456</v>
      </c>
      <c r="C3667" s="180">
        <v>99999</v>
      </c>
    </row>
    <row r="3668" spans="1:3" x14ac:dyDescent="0.25">
      <c r="A3668" s="178">
        <v>60069</v>
      </c>
      <c r="B3668" s="179" t="s">
        <v>456</v>
      </c>
      <c r="C3668" s="180">
        <v>99999</v>
      </c>
    </row>
    <row r="3669" spans="1:3" x14ac:dyDescent="0.25">
      <c r="A3669" s="178">
        <v>60070</v>
      </c>
      <c r="B3669" s="179" t="s">
        <v>456</v>
      </c>
      <c r="C3669" s="180">
        <v>99999</v>
      </c>
    </row>
    <row r="3670" spans="1:3" x14ac:dyDescent="0.25">
      <c r="A3670" s="178">
        <v>60072</v>
      </c>
      <c r="B3670" s="179" t="s">
        <v>456</v>
      </c>
      <c r="C3670" s="180">
        <v>99999</v>
      </c>
    </row>
    <row r="3671" spans="1:3" x14ac:dyDescent="0.25">
      <c r="A3671" s="178">
        <v>60073</v>
      </c>
      <c r="B3671" s="179" t="s">
        <v>456</v>
      </c>
      <c r="C3671" s="180">
        <v>99999</v>
      </c>
    </row>
    <row r="3672" spans="1:3" x14ac:dyDescent="0.25">
      <c r="A3672" s="178">
        <v>60074</v>
      </c>
      <c r="B3672" s="179" t="s">
        <v>456</v>
      </c>
      <c r="C3672" s="180">
        <v>2220</v>
      </c>
    </row>
    <row r="3673" spans="1:3" x14ac:dyDescent="0.25">
      <c r="A3673" s="178">
        <v>60076</v>
      </c>
      <c r="B3673" s="179" t="s">
        <v>456</v>
      </c>
      <c r="C3673" s="180">
        <v>1950</v>
      </c>
    </row>
    <row r="3674" spans="1:3" x14ac:dyDescent="0.25">
      <c r="A3674" s="178">
        <v>60077</v>
      </c>
      <c r="B3674" s="179" t="s">
        <v>456</v>
      </c>
      <c r="C3674" s="180">
        <v>1400</v>
      </c>
    </row>
    <row r="3675" spans="1:3" x14ac:dyDescent="0.25">
      <c r="A3675" s="178">
        <v>60078</v>
      </c>
      <c r="B3675" s="179" t="s">
        <v>456</v>
      </c>
      <c r="C3675" s="180">
        <v>1400</v>
      </c>
    </row>
    <row r="3676" spans="1:3" x14ac:dyDescent="0.25">
      <c r="A3676" s="178">
        <v>60079</v>
      </c>
      <c r="B3676" s="179" t="s">
        <v>456</v>
      </c>
      <c r="C3676" s="180">
        <v>900</v>
      </c>
    </row>
    <row r="3677" spans="1:3" x14ac:dyDescent="0.25">
      <c r="A3677" s="178">
        <v>60080</v>
      </c>
      <c r="B3677" s="179" t="s">
        <v>456</v>
      </c>
      <c r="C3677" s="180">
        <v>1000</v>
      </c>
    </row>
    <row r="3678" spans="1:3" x14ac:dyDescent="0.25">
      <c r="A3678" s="178">
        <v>60082</v>
      </c>
      <c r="B3678" s="179" t="s">
        <v>456</v>
      </c>
      <c r="C3678" s="180">
        <v>2016</v>
      </c>
    </row>
    <row r="3679" spans="1:3" x14ac:dyDescent="0.25">
      <c r="A3679" s="178">
        <v>60085</v>
      </c>
      <c r="B3679" s="179" t="s">
        <v>456</v>
      </c>
      <c r="C3679" s="180">
        <v>28800</v>
      </c>
    </row>
    <row r="3680" spans="1:3" x14ac:dyDescent="0.25">
      <c r="A3680" s="178">
        <v>60086</v>
      </c>
      <c r="B3680" s="179" t="s">
        <v>456</v>
      </c>
      <c r="C3680" s="180">
        <v>28800</v>
      </c>
    </row>
    <row r="3681" spans="1:3" x14ac:dyDescent="0.25">
      <c r="A3681" s="178">
        <v>60087</v>
      </c>
      <c r="B3681" s="179" t="s">
        <v>456</v>
      </c>
      <c r="C3681" s="180">
        <v>28800</v>
      </c>
    </row>
    <row r="3682" spans="1:3" x14ac:dyDescent="0.25">
      <c r="A3682" s="178">
        <v>60088</v>
      </c>
      <c r="B3682" s="179" t="s">
        <v>456</v>
      </c>
      <c r="C3682" s="180">
        <v>28800</v>
      </c>
    </row>
    <row r="3683" spans="1:3" x14ac:dyDescent="0.25">
      <c r="A3683" s="178">
        <v>60089</v>
      </c>
      <c r="B3683" s="179" t="s">
        <v>456</v>
      </c>
      <c r="C3683" s="180">
        <v>28800</v>
      </c>
    </row>
    <row r="3684" spans="1:3" x14ac:dyDescent="0.25">
      <c r="A3684" s="178">
        <v>60111</v>
      </c>
      <c r="B3684" s="179" t="s">
        <v>456</v>
      </c>
      <c r="C3684" s="180">
        <v>900</v>
      </c>
    </row>
    <row r="3685" spans="1:3" x14ac:dyDescent="0.25">
      <c r="A3685" s="178">
        <v>60112</v>
      </c>
      <c r="B3685" s="179" t="s">
        <v>456</v>
      </c>
      <c r="C3685" s="180">
        <v>900</v>
      </c>
    </row>
    <row r="3686" spans="1:3" x14ac:dyDescent="0.25">
      <c r="A3686" s="178">
        <v>60113</v>
      </c>
      <c r="B3686" s="179" t="s">
        <v>456</v>
      </c>
      <c r="C3686" s="180">
        <v>900</v>
      </c>
    </row>
    <row r="3687" spans="1:3" x14ac:dyDescent="0.25">
      <c r="A3687" s="178">
        <v>60114</v>
      </c>
      <c r="B3687" s="179" t="s">
        <v>456</v>
      </c>
      <c r="C3687" s="180">
        <v>900</v>
      </c>
    </row>
    <row r="3688" spans="1:3" x14ac:dyDescent="0.25">
      <c r="A3688" s="178">
        <v>60122</v>
      </c>
      <c r="B3688" s="179" t="s">
        <v>456</v>
      </c>
      <c r="C3688" s="180">
        <v>60000</v>
      </c>
    </row>
    <row r="3689" spans="1:3" x14ac:dyDescent="0.25">
      <c r="A3689" s="178">
        <v>60123</v>
      </c>
      <c r="B3689" s="179" t="s">
        <v>456</v>
      </c>
      <c r="C3689" s="180">
        <v>60000</v>
      </c>
    </row>
    <row r="3690" spans="1:3" x14ac:dyDescent="0.25">
      <c r="A3690" s="178">
        <v>60124</v>
      </c>
      <c r="B3690" s="179" t="s">
        <v>456</v>
      </c>
      <c r="C3690" s="180">
        <v>60000</v>
      </c>
    </row>
    <row r="3691" spans="1:3" x14ac:dyDescent="0.25">
      <c r="A3691" s="178">
        <v>60125</v>
      </c>
      <c r="B3691" s="179" t="s">
        <v>456</v>
      </c>
      <c r="C3691" s="180">
        <v>60000</v>
      </c>
    </row>
    <row r="3692" spans="1:3" x14ac:dyDescent="0.25">
      <c r="A3692" s="178">
        <v>60126</v>
      </c>
      <c r="B3692" s="179" t="s">
        <v>456</v>
      </c>
      <c r="C3692" s="180">
        <v>60000</v>
      </c>
    </row>
    <row r="3693" spans="1:3" x14ac:dyDescent="0.25">
      <c r="A3693" s="178">
        <v>60127</v>
      </c>
      <c r="B3693" s="179" t="s">
        <v>456</v>
      </c>
      <c r="C3693" s="180">
        <v>60000</v>
      </c>
    </row>
    <row r="3694" spans="1:3" x14ac:dyDescent="0.25">
      <c r="A3694" s="178">
        <v>60128</v>
      </c>
      <c r="B3694" s="179" t="s">
        <v>456</v>
      </c>
      <c r="C3694" s="180">
        <v>60000</v>
      </c>
    </row>
    <row r="3695" spans="1:3" x14ac:dyDescent="0.25">
      <c r="A3695" s="178">
        <v>60129</v>
      </c>
      <c r="B3695" s="179" t="s">
        <v>456</v>
      </c>
      <c r="C3695" s="180">
        <v>60000</v>
      </c>
    </row>
    <row r="3696" spans="1:3" x14ac:dyDescent="0.25">
      <c r="A3696" s="178">
        <v>60130</v>
      </c>
      <c r="B3696" s="179" t="s">
        <v>456</v>
      </c>
      <c r="C3696" s="180">
        <v>60000</v>
      </c>
    </row>
    <row r="3697" spans="1:3" x14ac:dyDescent="0.25">
      <c r="A3697" s="178">
        <v>60131</v>
      </c>
      <c r="B3697" s="179" t="s">
        <v>456</v>
      </c>
      <c r="C3697" s="180">
        <v>99999</v>
      </c>
    </row>
    <row r="3698" spans="1:3" x14ac:dyDescent="0.25">
      <c r="A3698" s="178">
        <v>60132</v>
      </c>
      <c r="B3698" s="179" t="s">
        <v>456</v>
      </c>
      <c r="C3698" s="180">
        <v>99999</v>
      </c>
    </row>
    <row r="3699" spans="1:3" x14ac:dyDescent="0.25">
      <c r="A3699" s="178">
        <v>60133</v>
      </c>
      <c r="B3699" s="179" t="s">
        <v>456</v>
      </c>
      <c r="C3699" s="180">
        <v>99999</v>
      </c>
    </row>
    <row r="3700" spans="1:3" x14ac:dyDescent="0.25">
      <c r="A3700" s="178">
        <v>60134</v>
      </c>
      <c r="B3700" s="179" t="s">
        <v>456</v>
      </c>
      <c r="C3700" s="180">
        <v>99999</v>
      </c>
    </row>
    <row r="3701" spans="1:3" x14ac:dyDescent="0.25">
      <c r="A3701" s="178">
        <v>60135</v>
      </c>
      <c r="B3701" s="179" t="s">
        <v>456</v>
      </c>
      <c r="C3701" s="180">
        <v>99999</v>
      </c>
    </row>
    <row r="3702" spans="1:3" x14ac:dyDescent="0.25">
      <c r="A3702" s="178">
        <v>60136</v>
      </c>
      <c r="B3702" s="179" t="s">
        <v>456</v>
      </c>
      <c r="C3702" s="180">
        <v>99999</v>
      </c>
    </row>
    <row r="3703" spans="1:3" x14ac:dyDescent="0.25">
      <c r="A3703" s="178">
        <v>60175</v>
      </c>
      <c r="B3703" s="179" t="s">
        <v>456</v>
      </c>
      <c r="C3703" s="180">
        <v>99999</v>
      </c>
    </row>
    <row r="3704" spans="1:3" x14ac:dyDescent="0.25">
      <c r="A3704" s="178">
        <v>60176</v>
      </c>
      <c r="B3704" s="179" t="s">
        <v>456</v>
      </c>
      <c r="C3704" s="180">
        <v>99999</v>
      </c>
    </row>
    <row r="3705" spans="1:3" x14ac:dyDescent="0.25">
      <c r="A3705" s="178">
        <v>60177</v>
      </c>
      <c r="B3705" s="179" t="s">
        <v>456</v>
      </c>
      <c r="C3705" s="180">
        <v>99999</v>
      </c>
    </row>
    <row r="3706" spans="1:3" x14ac:dyDescent="0.25">
      <c r="A3706" s="178">
        <v>60193</v>
      </c>
      <c r="B3706" s="179" t="s">
        <v>456</v>
      </c>
      <c r="C3706" s="180">
        <v>10200</v>
      </c>
    </row>
    <row r="3707" spans="1:3" x14ac:dyDescent="0.25">
      <c r="A3707" s="178">
        <v>60194</v>
      </c>
      <c r="B3707" s="179" t="s">
        <v>456</v>
      </c>
      <c r="C3707" s="180">
        <v>7600</v>
      </c>
    </row>
    <row r="3708" spans="1:3" x14ac:dyDescent="0.25">
      <c r="A3708" s="178">
        <v>60200</v>
      </c>
      <c r="B3708" s="179" t="s">
        <v>456</v>
      </c>
      <c r="C3708" s="180">
        <v>31200</v>
      </c>
    </row>
    <row r="3709" spans="1:3" x14ac:dyDescent="0.25">
      <c r="A3709" s="178">
        <v>60220</v>
      </c>
      <c r="B3709" s="179" t="s">
        <v>456</v>
      </c>
      <c r="C3709" s="180">
        <v>1440</v>
      </c>
    </row>
    <row r="3710" spans="1:3" x14ac:dyDescent="0.25">
      <c r="A3710" s="178">
        <v>60222</v>
      </c>
      <c r="B3710" s="179" t="s">
        <v>456</v>
      </c>
      <c r="C3710" s="180">
        <v>72000</v>
      </c>
    </row>
    <row r="3711" spans="1:3" x14ac:dyDescent="0.25">
      <c r="A3711" s="178">
        <v>60229</v>
      </c>
      <c r="B3711" s="179" t="s">
        <v>456</v>
      </c>
      <c r="C3711" s="180">
        <v>1440</v>
      </c>
    </row>
    <row r="3712" spans="1:3" x14ac:dyDescent="0.25">
      <c r="A3712" s="178">
        <v>60230</v>
      </c>
      <c r="B3712" s="179" t="s">
        <v>456</v>
      </c>
      <c r="C3712" s="180">
        <v>72000</v>
      </c>
    </row>
    <row r="3713" spans="1:3" x14ac:dyDescent="0.25">
      <c r="A3713" s="178">
        <v>60237</v>
      </c>
      <c r="B3713" s="179" t="s">
        <v>456</v>
      </c>
      <c r="C3713" s="180">
        <v>31200</v>
      </c>
    </row>
    <row r="3714" spans="1:3" x14ac:dyDescent="0.25">
      <c r="A3714" s="178">
        <v>60238</v>
      </c>
      <c r="B3714" s="179" t="s">
        <v>456</v>
      </c>
      <c r="C3714" s="180">
        <v>31200</v>
      </c>
    </row>
    <row r="3715" spans="1:3" x14ac:dyDescent="0.25">
      <c r="A3715" s="178">
        <v>60239</v>
      </c>
      <c r="B3715" s="179" t="s">
        <v>456</v>
      </c>
      <c r="C3715" s="180">
        <v>31200</v>
      </c>
    </row>
    <row r="3716" spans="1:3" x14ac:dyDescent="0.25">
      <c r="A3716" s="178">
        <v>60245</v>
      </c>
      <c r="B3716" s="179" t="s">
        <v>456</v>
      </c>
      <c r="C3716" s="180">
        <v>31200</v>
      </c>
    </row>
    <row r="3717" spans="1:3" x14ac:dyDescent="0.25">
      <c r="A3717" s="178">
        <v>60246</v>
      </c>
      <c r="B3717" s="179" t="s">
        <v>456</v>
      </c>
      <c r="C3717" s="180">
        <v>31200</v>
      </c>
    </row>
    <row r="3718" spans="1:3" x14ac:dyDescent="0.25">
      <c r="A3718" s="178">
        <v>60250</v>
      </c>
      <c r="B3718" s="179" t="s">
        <v>456</v>
      </c>
      <c r="C3718" s="180">
        <v>10000</v>
      </c>
    </row>
    <row r="3719" spans="1:3" x14ac:dyDescent="0.25">
      <c r="A3719" s="178">
        <v>60255</v>
      </c>
      <c r="B3719" s="179" t="s">
        <v>456</v>
      </c>
      <c r="C3719" s="180">
        <v>31200</v>
      </c>
    </row>
    <row r="3720" spans="1:3" x14ac:dyDescent="0.25">
      <c r="A3720" s="178">
        <v>60264</v>
      </c>
      <c r="B3720" s="179" t="s">
        <v>456</v>
      </c>
      <c r="C3720" s="180">
        <v>31200</v>
      </c>
    </row>
    <row r="3721" spans="1:3" x14ac:dyDescent="0.25">
      <c r="A3721" s="178">
        <v>60266</v>
      </c>
      <c r="B3721" s="179" t="s">
        <v>456</v>
      </c>
      <c r="C3721" s="180">
        <v>31200</v>
      </c>
    </row>
    <row r="3722" spans="1:3" x14ac:dyDescent="0.25">
      <c r="A3722" s="178">
        <v>60267</v>
      </c>
      <c r="B3722" s="179" t="s">
        <v>456</v>
      </c>
      <c r="C3722" s="180">
        <v>31200</v>
      </c>
    </row>
    <row r="3723" spans="1:3" x14ac:dyDescent="0.25">
      <c r="A3723" s="178">
        <v>60268</v>
      </c>
      <c r="B3723" s="179" t="s">
        <v>456</v>
      </c>
      <c r="C3723" s="180">
        <v>31200</v>
      </c>
    </row>
    <row r="3724" spans="1:3" x14ac:dyDescent="0.25">
      <c r="A3724" s="178">
        <v>60269</v>
      </c>
      <c r="B3724" s="179" t="s">
        <v>456</v>
      </c>
      <c r="C3724" s="180">
        <v>31200</v>
      </c>
    </row>
    <row r="3725" spans="1:3" x14ac:dyDescent="0.25">
      <c r="A3725" s="178">
        <v>60270</v>
      </c>
      <c r="B3725" s="179" t="s">
        <v>456</v>
      </c>
      <c r="C3725" s="180">
        <v>31200</v>
      </c>
    </row>
    <row r="3726" spans="1:3" x14ac:dyDescent="0.25">
      <c r="A3726" s="178">
        <v>60271</v>
      </c>
      <c r="B3726" s="179" t="s">
        <v>456</v>
      </c>
      <c r="C3726" s="180">
        <v>31200</v>
      </c>
    </row>
    <row r="3727" spans="1:3" x14ac:dyDescent="0.25">
      <c r="A3727" s="178">
        <v>60273</v>
      </c>
      <c r="B3727" s="179" t="s">
        <v>456</v>
      </c>
      <c r="C3727" s="180">
        <v>31200</v>
      </c>
    </row>
    <row r="3728" spans="1:3" x14ac:dyDescent="0.25">
      <c r="A3728" s="178">
        <v>60291</v>
      </c>
      <c r="B3728" s="179" t="s">
        <v>456</v>
      </c>
      <c r="C3728" s="180">
        <v>26950</v>
      </c>
    </row>
    <row r="3729" spans="1:3" x14ac:dyDescent="0.25">
      <c r="A3729" s="178">
        <v>60293</v>
      </c>
      <c r="B3729" s="179" t="s">
        <v>456</v>
      </c>
      <c r="C3729" s="180">
        <v>30400</v>
      </c>
    </row>
    <row r="3730" spans="1:3" x14ac:dyDescent="0.25">
      <c r="A3730" s="178">
        <v>60294</v>
      </c>
      <c r="B3730" s="179" t="s">
        <v>456</v>
      </c>
      <c r="C3730" s="180">
        <v>30800</v>
      </c>
    </row>
    <row r="3731" spans="1:3" x14ac:dyDescent="0.25">
      <c r="A3731" s="178">
        <v>60298</v>
      </c>
      <c r="B3731" s="179" t="s">
        <v>456</v>
      </c>
      <c r="C3731" s="180">
        <v>26950</v>
      </c>
    </row>
    <row r="3732" spans="1:3" x14ac:dyDescent="0.25">
      <c r="A3732" s="178">
        <v>60299</v>
      </c>
      <c r="B3732" s="179" t="s">
        <v>456</v>
      </c>
      <c r="C3732" s="180">
        <v>15000</v>
      </c>
    </row>
    <row r="3733" spans="1:3" x14ac:dyDescent="0.25">
      <c r="A3733" s="178">
        <v>60331</v>
      </c>
      <c r="B3733" s="179" t="s">
        <v>456</v>
      </c>
      <c r="C3733" s="180">
        <v>99999</v>
      </c>
    </row>
    <row r="3734" spans="1:3" x14ac:dyDescent="0.25">
      <c r="A3734" s="178">
        <v>60332</v>
      </c>
      <c r="B3734" s="179" t="s">
        <v>456</v>
      </c>
      <c r="C3734" s="180">
        <v>99999</v>
      </c>
    </row>
    <row r="3735" spans="1:3" x14ac:dyDescent="0.25">
      <c r="A3735" s="178">
        <v>60354</v>
      </c>
      <c r="B3735" s="179" t="s">
        <v>456</v>
      </c>
      <c r="C3735" s="180">
        <v>756</v>
      </c>
    </row>
    <row r="3736" spans="1:3" x14ac:dyDescent="0.25">
      <c r="A3736" s="178">
        <v>60355</v>
      </c>
      <c r="B3736" s="179" t="s">
        <v>456</v>
      </c>
      <c r="C3736" s="180">
        <v>99000</v>
      </c>
    </row>
    <row r="3737" spans="1:3" x14ac:dyDescent="0.25">
      <c r="A3737" s="178">
        <v>60390</v>
      </c>
      <c r="B3737" s="179" t="s">
        <v>456</v>
      </c>
      <c r="C3737" s="180">
        <v>370</v>
      </c>
    </row>
    <row r="3738" spans="1:3" x14ac:dyDescent="0.25">
      <c r="A3738" s="178">
        <v>60391</v>
      </c>
      <c r="B3738" s="179" t="s">
        <v>456</v>
      </c>
      <c r="C3738" s="180">
        <v>375</v>
      </c>
    </row>
    <row r="3739" spans="1:3" x14ac:dyDescent="0.25">
      <c r="A3739" s="178">
        <v>60392</v>
      </c>
      <c r="B3739" s="179" t="s">
        <v>456</v>
      </c>
      <c r="C3739" s="180">
        <v>700</v>
      </c>
    </row>
    <row r="3740" spans="1:3" x14ac:dyDescent="0.25">
      <c r="A3740" s="178">
        <v>60434</v>
      </c>
      <c r="B3740" s="179" t="s">
        <v>456</v>
      </c>
      <c r="C3740" s="180">
        <v>99999</v>
      </c>
    </row>
    <row r="3741" spans="1:3" x14ac:dyDescent="0.25">
      <c r="A3741" s="178">
        <v>60435</v>
      </c>
      <c r="B3741" s="179" t="s">
        <v>456</v>
      </c>
      <c r="C3741" s="180">
        <v>99999</v>
      </c>
    </row>
    <row r="3742" spans="1:3" x14ac:dyDescent="0.25">
      <c r="A3742" s="178">
        <v>60436</v>
      </c>
      <c r="B3742" s="179" t="s">
        <v>456</v>
      </c>
      <c r="C3742" s="180">
        <v>99999</v>
      </c>
    </row>
    <row r="3743" spans="1:3" x14ac:dyDescent="0.25">
      <c r="A3743" s="178">
        <v>60437</v>
      </c>
      <c r="B3743" s="179" t="s">
        <v>456</v>
      </c>
      <c r="C3743" s="180">
        <v>99999</v>
      </c>
    </row>
    <row r="3744" spans="1:3" x14ac:dyDescent="0.25">
      <c r="A3744" s="178">
        <v>60438</v>
      </c>
      <c r="B3744" s="179" t="s">
        <v>456</v>
      </c>
      <c r="C3744" s="180">
        <v>99999</v>
      </c>
    </row>
    <row r="3745" spans="1:3" x14ac:dyDescent="0.25">
      <c r="A3745" s="178">
        <v>60439</v>
      </c>
      <c r="B3745" s="179" t="s">
        <v>456</v>
      </c>
      <c r="C3745" s="180">
        <v>99999</v>
      </c>
    </row>
    <row r="3746" spans="1:3" x14ac:dyDescent="0.25">
      <c r="A3746" s="178">
        <v>60440</v>
      </c>
      <c r="B3746" s="179" t="s">
        <v>456</v>
      </c>
      <c r="C3746" s="180">
        <v>99999</v>
      </c>
    </row>
    <row r="3747" spans="1:3" x14ac:dyDescent="0.25">
      <c r="A3747" s="178">
        <v>60441</v>
      </c>
      <c r="B3747" s="179" t="s">
        <v>456</v>
      </c>
      <c r="C3747" s="180">
        <v>99999</v>
      </c>
    </row>
    <row r="3748" spans="1:3" x14ac:dyDescent="0.25">
      <c r="A3748" s="178">
        <v>60518</v>
      </c>
      <c r="B3748" s="179" t="s">
        <v>456</v>
      </c>
      <c r="C3748" s="180">
        <v>99999</v>
      </c>
    </row>
    <row r="3749" spans="1:3" x14ac:dyDescent="0.25">
      <c r="A3749" s="178">
        <v>60519</v>
      </c>
      <c r="B3749" s="179" t="s">
        <v>456</v>
      </c>
      <c r="C3749" s="180">
        <v>99999</v>
      </c>
    </row>
    <row r="3750" spans="1:3" x14ac:dyDescent="0.25">
      <c r="A3750" s="178">
        <v>60530</v>
      </c>
      <c r="B3750" s="179" t="s">
        <v>456</v>
      </c>
      <c r="C3750" s="180">
        <v>99999</v>
      </c>
    </row>
    <row r="3751" spans="1:3" x14ac:dyDescent="0.25">
      <c r="A3751" s="178">
        <v>60532</v>
      </c>
      <c r="B3751" s="179" t="s">
        <v>456</v>
      </c>
      <c r="C3751" s="180">
        <v>99999</v>
      </c>
    </row>
    <row r="3752" spans="1:3" x14ac:dyDescent="0.25">
      <c r="A3752" s="178">
        <v>60535</v>
      </c>
      <c r="B3752" s="179" t="s">
        <v>456</v>
      </c>
      <c r="C3752" s="180">
        <v>99999</v>
      </c>
    </row>
    <row r="3753" spans="1:3" x14ac:dyDescent="0.25">
      <c r="A3753" s="178">
        <v>60537</v>
      </c>
      <c r="B3753" s="179" t="s">
        <v>456</v>
      </c>
      <c r="C3753" s="180">
        <v>99999</v>
      </c>
    </row>
    <row r="3754" spans="1:3" x14ac:dyDescent="0.25">
      <c r="A3754" s="178">
        <v>60540</v>
      </c>
      <c r="B3754" s="179" t="s">
        <v>456</v>
      </c>
      <c r="C3754" s="180">
        <v>99999</v>
      </c>
    </row>
    <row r="3755" spans="1:3" x14ac:dyDescent="0.25">
      <c r="A3755" s="178">
        <v>60551</v>
      </c>
      <c r="B3755" s="179" t="s">
        <v>456</v>
      </c>
      <c r="C3755" s="180">
        <v>99999</v>
      </c>
    </row>
    <row r="3756" spans="1:3" x14ac:dyDescent="0.25">
      <c r="A3756" s="178">
        <v>60621</v>
      </c>
      <c r="B3756" s="179" t="s">
        <v>456</v>
      </c>
      <c r="C3756" s="180">
        <v>99999</v>
      </c>
    </row>
    <row r="3757" spans="1:3" x14ac:dyDescent="0.25">
      <c r="A3757" s="178">
        <v>60622</v>
      </c>
      <c r="B3757" s="179" t="s">
        <v>456</v>
      </c>
      <c r="C3757" s="180">
        <v>99999</v>
      </c>
    </row>
    <row r="3758" spans="1:3" x14ac:dyDescent="0.25">
      <c r="A3758" s="178">
        <v>60623</v>
      </c>
      <c r="B3758" s="179" t="s">
        <v>456</v>
      </c>
      <c r="C3758" s="180">
        <v>99999</v>
      </c>
    </row>
    <row r="3759" spans="1:3" x14ac:dyDescent="0.25">
      <c r="A3759" s="178">
        <v>60633</v>
      </c>
      <c r="B3759" s="179" t="s">
        <v>456</v>
      </c>
      <c r="C3759" s="180">
        <v>99999</v>
      </c>
    </row>
    <row r="3760" spans="1:3" x14ac:dyDescent="0.25">
      <c r="A3760" s="178">
        <v>60634</v>
      </c>
      <c r="B3760" s="179" t="s">
        <v>456</v>
      </c>
      <c r="C3760" s="180">
        <v>99999</v>
      </c>
    </row>
    <row r="3761" spans="1:3" x14ac:dyDescent="0.25">
      <c r="A3761" s="178">
        <v>60635</v>
      </c>
      <c r="B3761" s="179" t="s">
        <v>456</v>
      </c>
      <c r="C3761" s="180">
        <v>99999</v>
      </c>
    </row>
    <row r="3762" spans="1:3" x14ac:dyDescent="0.25">
      <c r="A3762" s="178">
        <v>60671</v>
      </c>
      <c r="B3762" s="179" t="s">
        <v>456</v>
      </c>
      <c r="C3762" s="180">
        <v>23275</v>
      </c>
    </row>
    <row r="3763" spans="1:3" x14ac:dyDescent="0.25">
      <c r="A3763" s="178">
        <v>60672</v>
      </c>
      <c r="B3763" s="179" t="s">
        <v>456</v>
      </c>
      <c r="C3763" s="180">
        <v>28500</v>
      </c>
    </row>
    <row r="3764" spans="1:3" x14ac:dyDescent="0.25">
      <c r="A3764" s="178">
        <v>60673</v>
      </c>
      <c r="B3764" s="179" t="s">
        <v>456</v>
      </c>
      <c r="C3764" s="180">
        <v>23275</v>
      </c>
    </row>
    <row r="3765" spans="1:3" x14ac:dyDescent="0.25">
      <c r="A3765" s="178">
        <v>60674</v>
      </c>
      <c r="B3765" s="179" t="s">
        <v>456</v>
      </c>
      <c r="C3765" s="180">
        <v>28500</v>
      </c>
    </row>
    <row r="3766" spans="1:3" x14ac:dyDescent="0.25">
      <c r="A3766" s="178">
        <v>60675</v>
      </c>
      <c r="B3766" s="179" t="s">
        <v>456</v>
      </c>
      <c r="C3766" s="180">
        <v>28500</v>
      </c>
    </row>
    <row r="3767" spans="1:3" x14ac:dyDescent="0.25">
      <c r="A3767" s="178">
        <v>60676</v>
      </c>
      <c r="B3767" s="179" t="s">
        <v>456</v>
      </c>
      <c r="C3767" s="180">
        <v>28500</v>
      </c>
    </row>
    <row r="3768" spans="1:3" x14ac:dyDescent="0.25">
      <c r="A3768" s="178">
        <v>60678</v>
      </c>
      <c r="B3768" s="179" t="s">
        <v>456</v>
      </c>
      <c r="C3768" s="180">
        <v>28500</v>
      </c>
    </row>
    <row r="3769" spans="1:3" x14ac:dyDescent="0.25">
      <c r="A3769" s="178">
        <v>60679</v>
      </c>
      <c r="B3769" s="179" t="s">
        <v>456</v>
      </c>
      <c r="C3769" s="180">
        <v>28500</v>
      </c>
    </row>
    <row r="3770" spans="1:3" x14ac:dyDescent="0.25">
      <c r="A3770" s="178">
        <v>60680</v>
      </c>
      <c r="B3770" s="179" t="s">
        <v>456</v>
      </c>
      <c r="C3770" s="180">
        <v>28500</v>
      </c>
    </row>
    <row r="3771" spans="1:3" x14ac:dyDescent="0.25">
      <c r="A3771" s="178">
        <v>60681</v>
      </c>
      <c r="B3771" s="179" t="s">
        <v>456</v>
      </c>
      <c r="C3771" s="180">
        <v>1080</v>
      </c>
    </row>
    <row r="3772" spans="1:3" x14ac:dyDescent="0.25">
      <c r="A3772" s="178">
        <v>60686</v>
      </c>
      <c r="B3772" s="179" t="s">
        <v>456</v>
      </c>
      <c r="C3772" s="180">
        <v>26950</v>
      </c>
    </row>
    <row r="3773" spans="1:3" x14ac:dyDescent="0.25">
      <c r="A3773" s="178">
        <v>60694</v>
      </c>
      <c r="B3773" s="179" t="s">
        <v>456</v>
      </c>
      <c r="C3773" s="180">
        <v>2400</v>
      </c>
    </row>
    <row r="3774" spans="1:3" x14ac:dyDescent="0.25">
      <c r="A3774" s="178">
        <v>60695</v>
      </c>
      <c r="B3774" s="179" t="s">
        <v>456</v>
      </c>
      <c r="C3774" s="180">
        <v>1080</v>
      </c>
    </row>
    <row r="3775" spans="1:3" x14ac:dyDescent="0.25">
      <c r="A3775" s="178">
        <v>60696</v>
      </c>
      <c r="B3775" s="179" t="s">
        <v>456</v>
      </c>
      <c r="C3775" s="180">
        <v>6030</v>
      </c>
    </row>
    <row r="3776" spans="1:3" x14ac:dyDescent="0.25">
      <c r="A3776" s="178">
        <v>60697</v>
      </c>
      <c r="B3776" s="179" t="s">
        <v>456</v>
      </c>
      <c r="C3776" s="180">
        <v>2100</v>
      </c>
    </row>
    <row r="3777" spans="1:3" x14ac:dyDescent="0.25">
      <c r="A3777" s="178">
        <v>60698</v>
      </c>
      <c r="B3777" s="179" t="s">
        <v>456</v>
      </c>
      <c r="C3777" s="180">
        <v>22000</v>
      </c>
    </row>
    <row r="3778" spans="1:3" x14ac:dyDescent="0.25">
      <c r="A3778" s="178">
        <v>60699</v>
      </c>
      <c r="B3778" s="179" t="s">
        <v>456</v>
      </c>
      <c r="C3778" s="180">
        <v>2250</v>
      </c>
    </row>
    <row r="3779" spans="1:3" x14ac:dyDescent="0.25">
      <c r="A3779" s="178">
        <v>60701</v>
      </c>
      <c r="B3779" s="179" t="s">
        <v>456</v>
      </c>
      <c r="C3779" s="180">
        <v>99999</v>
      </c>
    </row>
    <row r="3780" spans="1:3" x14ac:dyDescent="0.25">
      <c r="A3780" s="178">
        <v>60702</v>
      </c>
      <c r="B3780" s="179" t="s">
        <v>456</v>
      </c>
      <c r="C3780" s="180">
        <v>99999</v>
      </c>
    </row>
    <row r="3781" spans="1:3" x14ac:dyDescent="0.25">
      <c r="A3781" s="178">
        <v>60703</v>
      </c>
      <c r="B3781" s="179" t="s">
        <v>456</v>
      </c>
      <c r="C3781" s="180">
        <v>99999</v>
      </c>
    </row>
    <row r="3782" spans="1:3" x14ac:dyDescent="0.25">
      <c r="A3782" s="178">
        <v>60706</v>
      </c>
      <c r="B3782" s="179" t="s">
        <v>456</v>
      </c>
      <c r="C3782" s="180">
        <v>99999</v>
      </c>
    </row>
    <row r="3783" spans="1:3" x14ac:dyDescent="0.25">
      <c r="A3783" s="178">
        <v>60708</v>
      </c>
      <c r="B3783" s="179" t="s">
        <v>456</v>
      </c>
      <c r="C3783" s="180">
        <v>99999</v>
      </c>
    </row>
    <row r="3784" spans="1:3" x14ac:dyDescent="0.25">
      <c r="A3784" s="178">
        <v>60720</v>
      </c>
      <c r="B3784" s="179" t="s">
        <v>456</v>
      </c>
      <c r="C3784" s="180">
        <v>20000</v>
      </c>
    </row>
    <row r="3785" spans="1:3" x14ac:dyDescent="0.25">
      <c r="A3785" s="178">
        <v>60722</v>
      </c>
      <c r="B3785" s="179" t="s">
        <v>456</v>
      </c>
      <c r="C3785" s="180">
        <v>20000</v>
      </c>
    </row>
    <row r="3786" spans="1:3" x14ac:dyDescent="0.25">
      <c r="A3786" s="178">
        <v>60724</v>
      </c>
      <c r="B3786" s="179" t="s">
        <v>456</v>
      </c>
      <c r="C3786" s="180">
        <v>20000</v>
      </c>
    </row>
    <row r="3787" spans="1:3" x14ac:dyDescent="0.25">
      <c r="A3787" s="178">
        <v>60725</v>
      </c>
      <c r="B3787" s="179" t="s">
        <v>456</v>
      </c>
      <c r="C3787" s="180">
        <v>20000</v>
      </c>
    </row>
    <row r="3788" spans="1:3" x14ac:dyDescent="0.25">
      <c r="A3788" s="178">
        <v>60726</v>
      </c>
      <c r="B3788" s="179" t="s">
        <v>456</v>
      </c>
      <c r="C3788" s="180">
        <v>20000</v>
      </c>
    </row>
    <row r="3789" spans="1:3" x14ac:dyDescent="0.25">
      <c r="A3789" s="178">
        <v>60727</v>
      </c>
      <c r="B3789" s="179" t="s">
        <v>456</v>
      </c>
      <c r="C3789" s="180">
        <v>20000</v>
      </c>
    </row>
    <row r="3790" spans="1:3" x14ac:dyDescent="0.25">
      <c r="A3790" s="178">
        <v>60756</v>
      </c>
      <c r="B3790" s="179" t="s">
        <v>456</v>
      </c>
      <c r="C3790" s="180">
        <v>99999</v>
      </c>
    </row>
    <row r="3791" spans="1:3" x14ac:dyDescent="0.25">
      <c r="A3791" s="178">
        <v>60801</v>
      </c>
      <c r="B3791" s="179" t="s">
        <v>456</v>
      </c>
      <c r="C3791" s="180">
        <v>3458</v>
      </c>
    </row>
    <row r="3792" spans="1:3" x14ac:dyDescent="0.25">
      <c r="A3792" s="178">
        <v>60802</v>
      </c>
      <c r="B3792" s="179" t="s">
        <v>456</v>
      </c>
      <c r="C3792" s="180">
        <v>3458</v>
      </c>
    </row>
    <row r="3793" spans="1:3" x14ac:dyDescent="0.25">
      <c r="A3793" s="178">
        <v>60803</v>
      </c>
      <c r="B3793" s="179" t="s">
        <v>456</v>
      </c>
      <c r="C3793" s="180">
        <v>2392</v>
      </c>
    </row>
    <row r="3794" spans="1:3" x14ac:dyDescent="0.25">
      <c r="A3794" s="178">
        <v>60804</v>
      </c>
      <c r="B3794" s="179" t="s">
        <v>456</v>
      </c>
      <c r="C3794" s="180">
        <v>3458</v>
      </c>
    </row>
    <row r="3795" spans="1:3" x14ac:dyDescent="0.25">
      <c r="A3795" s="178">
        <v>60808</v>
      </c>
      <c r="B3795" s="179" t="s">
        <v>456</v>
      </c>
      <c r="C3795" s="180">
        <v>2548</v>
      </c>
    </row>
    <row r="3796" spans="1:3" x14ac:dyDescent="0.25">
      <c r="A3796" s="178">
        <v>60809</v>
      </c>
      <c r="B3796" s="179" t="s">
        <v>456</v>
      </c>
      <c r="C3796" s="180">
        <v>2992</v>
      </c>
    </row>
    <row r="3797" spans="1:3" x14ac:dyDescent="0.25">
      <c r="A3797" s="178">
        <v>60811</v>
      </c>
      <c r="B3797" s="179" t="s">
        <v>456</v>
      </c>
      <c r="C3797" s="180">
        <v>1440</v>
      </c>
    </row>
    <row r="3798" spans="1:3" x14ac:dyDescent="0.25">
      <c r="A3798" s="178">
        <v>60813</v>
      </c>
      <c r="B3798" s="179" t="s">
        <v>456</v>
      </c>
      <c r="C3798" s="180">
        <v>450</v>
      </c>
    </row>
    <row r="3799" spans="1:3" x14ac:dyDescent="0.25">
      <c r="A3799" s="178">
        <v>60814</v>
      </c>
      <c r="B3799" s="179" t="s">
        <v>456</v>
      </c>
      <c r="C3799" s="180">
        <v>40000</v>
      </c>
    </row>
    <row r="3800" spans="1:3" x14ac:dyDescent="0.25">
      <c r="A3800" s="178">
        <v>60818</v>
      </c>
      <c r="B3800" s="179" t="s">
        <v>456</v>
      </c>
      <c r="C3800" s="180">
        <v>7304</v>
      </c>
    </row>
    <row r="3801" spans="1:3" x14ac:dyDescent="0.25">
      <c r="A3801" s="178">
        <v>60819</v>
      </c>
      <c r="B3801" s="179" t="s">
        <v>456</v>
      </c>
      <c r="C3801" s="180">
        <v>46200</v>
      </c>
    </row>
    <row r="3802" spans="1:3" x14ac:dyDescent="0.25">
      <c r="A3802" s="178">
        <v>60820</v>
      </c>
      <c r="B3802" s="179" t="s">
        <v>456</v>
      </c>
      <c r="C3802" s="180">
        <v>6474</v>
      </c>
    </row>
    <row r="3803" spans="1:3" x14ac:dyDescent="0.25">
      <c r="A3803" s="178">
        <v>60821</v>
      </c>
      <c r="B3803" s="179" t="s">
        <v>456</v>
      </c>
      <c r="C3803" s="180">
        <v>46200</v>
      </c>
    </row>
    <row r="3804" spans="1:3" x14ac:dyDescent="0.25">
      <c r="A3804" s="178">
        <v>60822</v>
      </c>
      <c r="B3804" s="179" t="s">
        <v>456</v>
      </c>
      <c r="C3804" s="180">
        <v>6474</v>
      </c>
    </row>
    <row r="3805" spans="1:3" x14ac:dyDescent="0.25">
      <c r="A3805" s="178">
        <v>60823</v>
      </c>
      <c r="B3805" s="179" t="s">
        <v>456</v>
      </c>
      <c r="C3805" s="180">
        <v>46200</v>
      </c>
    </row>
    <row r="3806" spans="1:3" x14ac:dyDescent="0.25">
      <c r="A3806" s="178">
        <v>60824</v>
      </c>
      <c r="B3806" s="179" t="s">
        <v>456</v>
      </c>
      <c r="C3806" s="180">
        <v>6474</v>
      </c>
    </row>
    <row r="3807" spans="1:3" x14ac:dyDescent="0.25">
      <c r="A3807" s="178">
        <v>60825</v>
      </c>
      <c r="B3807" s="179" t="s">
        <v>456</v>
      </c>
      <c r="C3807" s="180">
        <v>46200</v>
      </c>
    </row>
    <row r="3808" spans="1:3" x14ac:dyDescent="0.25">
      <c r="A3808" s="178">
        <v>60826</v>
      </c>
      <c r="B3808" s="179" t="s">
        <v>456</v>
      </c>
      <c r="C3808" s="180">
        <v>2100</v>
      </c>
    </row>
    <row r="3809" spans="1:3" x14ac:dyDescent="0.25">
      <c r="A3809" s="178">
        <v>60827</v>
      </c>
      <c r="B3809" s="179" t="s">
        <v>456</v>
      </c>
      <c r="C3809" s="180">
        <v>1400</v>
      </c>
    </row>
    <row r="3810" spans="1:3" x14ac:dyDescent="0.25">
      <c r="A3810" s="178">
        <v>60828</v>
      </c>
      <c r="B3810" s="179" t="s">
        <v>456</v>
      </c>
      <c r="C3810" s="180">
        <v>2100</v>
      </c>
    </row>
    <row r="3811" spans="1:3" x14ac:dyDescent="0.25">
      <c r="A3811" s="178">
        <v>60830</v>
      </c>
      <c r="B3811" s="179" t="s">
        <v>456</v>
      </c>
      <c r="C3811" s="180">
        <v>100</v>
      </c>
    </row>
    <row r="3812" spans="1:3" x14ac:dyDescent="0.25">
      <c r="A3812" s="178">
        <v>60831</v>
      </c>
      <c r="B3812" s="179" t="s">
        <v>456</v>
      </c>
      <c r="C3812" s="180">
        <v>125</v>
      </c>
    </row>
    <row r="3813" spans="1:3" x14ac:dyDescent="0.25">
      <c r="A3813" s="178">
        <v>60832</v>
      </c>
      <c r="B3813" s="179" t="s">
        <v>456</v>
      </c>
      <c r="C3813" s="180">
        <v>515</v>
      </c>
    </row>
    <row r="3814" spans="1:3" x14ac:dyDescent="0.25">
      <c r="A3814" s="178">
        <v>60833</v>
      </c>
      <c r="B3814" s="179" t="s">
        <v>456</v>
      </c>
      <c r="C3814" s="180">
        <v>515</v>
      </c>
    </row>
    <row r="3815" spans="1:3" x14ac:dyDescent="0.25">
      <c r="A3815" s="178">
        <v>60834</v>
      </c>
      <c r="B3815" s="179" t="s">
        <v>456</v>
      </c>
      <c r="C3815" s="180">
        <v>515</v>
      </c>
    </row>
    <row r="3816" spans="1:3" x14ac:dyDescent="0.25">
      <c r="A3816" s="178">
        <v>60835</v>
      </c>
      <c r="B3816" s="179" t="s">
        <v>456</v>
      </c>
      <c r="C3816" s="180">
        <v>1000</v>
      </c>
    </row>
    <row r="3817" spans="1:3" x14ac:dyDescent="0.25">
      <c r="A3817" s="178">
        <v>60836</v>
      </c>
      <c r="B3817" s="179" t="s">
        <v>456</v>
      </c>
      <c r="C3817" s="180">
        <v>175</v>
      </c>
    </row>
    <row r="3818" spans="1:3" x14ac:dyDescent="0.25">
      <c r="A3818" s="178">
        <v>60837</v>
      </c>
      <c r="B3818" s="179" t="s">
        <v>456</v>
      </c>
      <c r="C3818" s="180">
        <v>700</v>
      </c>
    </row>
    <row r="3819" spans="1:3" x14ac:dyDescent="0.25">
      <c r="A3819" s="178">
        <v>60838</v>
      </c>
      <c r="B3819" s="179" t="s">
        <v>456</v>
      </c>
      <c r="C3819" s="180">
        <v>145</v>
      </c>
    </row>
    <row r="3820" spans="1:3" x14ac:dyDescent="0.25">
      <c r="A3820" s="178">
        <v>60839</v>
      </c>
      <c r="B3820" s="179" t="s">
        <v>456</v>
      </c>
      <c r="C3820" s="180">
        <v>6474</v>
      </c>
    </row>
    <row r="3821" spans="1:3" x14ac:dyDescent="0.25">
      <c r="A3821" s="178">
        <v>60840</v>
      </c>
      <c r="B3821" s="179" t="s">
        <v>456</v>
      </c>
      <c r="C3821" s="180">
        <v>46200</v>
      </c>
    </row>
    <row r="3822" spans="1:3" x14ac:dyDescent="0.25">
      <c r="A3822" s="178">
        <v>60841</v>
      </c>
      <c r="B3822" s="179" t="s">
        <v>456</v>
      </c>
      <c r="C3822" s="180">
        <v>28500</v>
      </c>
    </row>
    <row r="3823" spans="1:3" x14ac:dyDescent="0.25">
      <c r="A3823" s="178">
        <v>60842</v>
      </c>
      <c r="B3823" s="179" t="s">
        <v>456</v>
      </c>
      <c r="C3823" s="180">
        <v>2100</v>
      </c>
    </row>
    <row r="3824" spans="1:3" x14ac:dyDescent="0.25">
      <c r="A3824" s="178">
        <v>60843</v>
      </c>
      <c r="B3824" s="179" t="s">
        <v>456</v>
      </c>
      <c r="C3824" s="180">
        <v>1080</v>
      </c>
    </row>
    <row r="3825" spans="1:3" x14ac:dyDescent="0.25">
      <c r="A3825" s="178">
        <v>60844</v>
      </c>
      <c r="B3825" s="179" t="s">
        <v>456</v>
      </c>
      <c r="C3825" s="180">
        <v>6030</v>
      </c>
    </row>
    <row r="3826" spans="1:3" x14ac:dyDescent="0.25">
      <c r="A3826" s="178">
        <v>60845</v>
      </c>
      <c r="B3826" s="179" t="s">
        <v>456</v>
      </c>
      <c r="C3826" s="180">
        <v>2100</v>
      </c>
    </row>
    <row r="3827" spans="1:3" x14ac:dyDescent="0.25">
      <c r="A3827" s="178">
        <v>60850</v>
      </c>
      <c r="B3827" s="179" t="s">
        <v>456</v>
      </c>
      <c r="C3827" s="180">
        <v>1872</v>
      </c>
    </row>
    <row r="3828" spans="1:3" x14ac:dyDescent="0.25">
      <c r="A3828" s="178">
        <v>61113</v>
      </c>
      <c r="B3828" s="179" t="s">
        <v>456</v>
      </c>
      <c r="C3828" s="180">
        <v>1200</v>
      </c>
    </row>
    <row r="3829" spans="1:3" x14ac:dyDescent="0.25">
      <c r="A3829" s="178">
        <v>61316</v>
      </c>
      <c r="B3829" s="179" t="s">
        <v>456</v>
      </c>
      <c r="C3829" s="180">
        <v>99999</v>
      </c>
    </row>
    <row r="3830" spans="1:3" x14ac:dyDescent="0.25">
      <c r="A3830" s="178">
        <v>61320</v>
      </c>
      <c r="B3830" s="179" t="s">
        <v>456</v>
      </c>
      <c r="C3830" s="180">
        <v>99999</v>
      </c>
    </row>
    <row r="3831" spans="1:3" x14ac:dyDescent="0.25">
      <c r="A3831" s="178">
        <v>61321</v>
      </c>
      <c r="B3831" s="179" t="s">
        <v>456</v>
      </c>
      <c r="C3831" s="180">
        <v>99999</v>
      </c>
    </row>
    <row r="3832" spans="1:3" x14ac:dyDescent="0.25">
      <c r="A3832" s="178">
        <v>61322</v>
      </c>
      <c r="B3832" s="179" t="s">
        <v>456</v>
      </c>
      <c r="C3832" s="180">
        <v>99999</v>
      </c>
    </row>
    <row r="3833" spans="1:3" x14ac:dyDescent="0.25">
      <c r="A3833" s="178">
        <v>61323</v>
      </c>
      <c r="B3833" s="179" t="s">
        <v>456</v>
      </c>
      <c r="C3833" s="180">
        <v>99999</v>
      </c>
    </row>
    <row r="3834" spans="1:3" x14ac:dyDescent="0.25">
      <c r="A3834" s="178">
        <v>61324</v>
      </c>
      <c r="B3834" s="179" t="s">
        <v>456</v>
      </c>
      <c r="C3834" s="180">
        <v>99999</v>
      </c>
    </row>
    <row r="3835" spans="1:3" x14ac:dyDescent="0.25">
      <c r="A3835" s="178">
        <v>61517</v>
      </c>
      <c r="B3835" s="179" t="s">
        <v>456</v>
      </c>
      <c r="C3835" s="180">
        <v>31200</v>
      </c>
    </row>
    <row r="3836" spans="1:3" x14ac:dyDescent="0.25">
      <c r="A3836" s="178">
        <v>61518</v>
      </c>
      <c r="B3836" s="179" t="s">
        <v>456</v>
      </c>
      <c r="C3836" s="180">
        <v>31200</v>
      </c>
    </row>
    <row r="3837" spans="1:3" x14ac:dyDescent="0.25">
      <c r="A3837" s="178">
        <v>61520</v>
      </c>
      <c r="B3837" s="179" t="s">
        <v>456</v>
      </c>
      <c r="C3837" s="180">
        <v>585</v>
      </c>
    </row>
    <row r="3838" spans="1:3" x14ac:dyDescent="0.25">
      <c r="A3838" s="178">
        <v>61626</v>
      </c>
      <c r="B3838" s="179" t="s">
        <v>456</v>
      </c>
      <c r="C3838" s="180">
        <v>28800</v>
      </c>
    </row>
    <row r="3839" spans="1:3" x14ac:dyDescent="0.25">
      <c r="A3839" s="178">
        <v>61634</v>
      </c>
      <c r="B3839" s="179" t="s">
        <v>456</v>
      </c>
      <c r="C3839" s="180">
        <v>28800</v>
      </c>
    </row>
    <row r="3840" spans="1:3" x14ac:dyDescent="0.25">
      <c r="A3840" s="178">
        <v>61701</v>
      </c>
      <c r="B3840" s="179" t="s">
        <v>456</v>
      </c>
      <c r="C3840" s="180">
        <v>384</v>
      </c>
    </row>
    <row r="3841" spans="1:3" x14ac:dyDescent="0.25">
      <c r="A3841" s="178">
        <v>64012</v>
      </c>
      <c r="B3841" s="179" t="s">
        <v>456</v>
      </c>
      <c r="C3841" s="180">
        <v>362</v>
      </c>
    </row>
    <row r="3842" spans="1:3" x14ac:dyDescent="0.25">
      <c r="A3842" s="178">
        <v>64014</v>
      </c>
      <c r="B3842" s="179" t="s">
        <v>456</v>
      </c>
      <c r="C3842" s="180">
        <v>2016</v>
      </c>
    </row>
    <row r="3843" spans="1:3" x14ac:dyDescent="0.25">
      <c r="A3843" s="178">
        <v>64018</v>
      </c>
      <c r="B3843" s="179" t="s">
        <v>456</v>
      </c>
      <c r="C3843" s="180">
        <v>22500</v>
      </c>
    </row>
    <row r="3844" spans="1:3" x14ac:dyDescent="0.25">
      <c r="A3844" s="178">
        <v>64019</v>
      </c>
      <c r="B3844" s="179" t="s">
        <v>456</v>
      </c>
      <c r="C3844" s="180">
        <v>22500</v>
      </c>
    </row>
    <row r="3845" spans="1:3" x14ac:dyDescent="0.25">
      <c r="A3845" s="178">
        <v>64027</v>
      </c>
      <c r="B3845" s="179" t="s">
        <v>456</v>
      </c>
      <c r="C3845" s="180">
        <v>575</v>
      </c>
    </row>
    <row r="3846" spans="1:3" x14ac:dyDescent="0.25">
      <c r="A3846" s="178">
        <v>64036</v>
      </c>
      <c r="B3846" s="179" t="s">
        <v>456</v>
      </c>
      <c r="C3846" s="180">
        <v>99999</v>
      </c>
    </row>
    <row r="3847" spans="1:3" x14ac:dyDescent="0.25">
      <c r="A3847" s="178">
        <v>64037</v>
      </c>
      <c r="B3847" s="179" t="s">
        <v>456</v>
      </c>
      <c r="C3847" s="180">
        <v>99999</v>
      </c>
    </row>
    <row r="3848" spans="1:3" x14ac:dyDescent="0.25">
      <c r="A3848" s="178">
        <v>64038</v>
      </c>
      <c r="B3848" s="179" t="s">
        <v>456</v>
      </c>
      <c r="C3848" s="180">
        <v>99999</v>
      </c>
    </row>
    <row r="3849" spans="1:3" x14ac:dyDescent="0.25">
      <c r="A3849" s="178">
        <v>64039</v>
      </c>
      <c r="B3849" s="179" t="s">
        <v>456</v>
      </c>
      <c r="C3849" s="180">
        <v>99999</v>
      </c>
    </row>
    <row r="3850" spans="1:3" x14ac:dyDescent="0.25">
      <c r="A3850" s="178">
        <v>64041</v>
      </c>
      <c r="B3850" s="179" t="s">
        <v>456</v>
      </c>
      <c r="C3850" s="180">
        <v>99999</v>
      </c>
    </row>
    <row r="3851" spans="1:3" x14ac:dyDescent="0.25">
      <c r="A3851" s="178">
        <v>64042</v>
      </c>
      <c r="B3851" s="179" t="s">
        <v>456</v>
      </c>
      <c r="C3851" s="180">
        <v>99999</v>
      </c>
    </row>
    <row r="3852" spans="1:3" x14ac:dyDescent="0.25">
      <c r="A3852" s="178">
        <v>64043</v>
      </c>
      <c r="B3852" s="179" t="s">
        <v>456</v>
      </c>
      <c r="C3852" s="180">
        <v>99999</v>
      </c>
    </row>
    <row r="3853" spans="1:3" x14ac:dyDescent="0.25">
      <c r="A3853" s="178">
        <v>64053</v>
      </c>
      <c r="B3853" s="179" t="s">
        <v>456</v>
      </c>
      <c r="C3853" s="180">
        <v>99999</v>
      </c>
    </row>
    <row r="3854" spans="1:3" x14ac:dyDescent="0.25">
      <c r="A3854" s="178">
        <v>64054</v>
      </c>
      <c r="B3854" s="179" t="s">
        <v>456</v>
      </c>
      <c r="C3854" s="180">
        <v>99999</v>
      </c>
    </row>
    <row r="3855" spans="1:3" x14ac:dyDescent="0.25">
      <c r="A3855" s="178">
        <v>64055</v>
      </c>
      <c r="B3855" s="179" t="s">
        <v>456</v>
      </c>
      <c r="C3855" s="180">
        <v>99999</v>
      </c>
    </row>
    <row r="3856" spans="1:3" x14ac:dyDescent="0.25">
      <c r="A3856" s="178">
        <v>64061</v>
      </c>
      <c r="B3856" s="179" t="s">
        <v>456</v>
      </c>
      <c r="C3856" s="180">
        <v>99999</v>
      </c>
    </row>
    <row r="3857" spans="1:3" x14ac:dyDescent="0.25">
      <c r="A3857" s="178">
        <v>64140</v>
      </c>
      <c r="B3857" s="179" t="s">
        <v>456</v>
      </c>
      <c r="C3857" s="180">
        <v>9600</v>
      </c>
    </row>
    <row r="3858" spans="1:3" x14ac:dyDescent="0.25">
      <c r="A3858" s="178">
        <v>64143</v>
      </c>
      <c r="B3858" s="179" t="s">
        <v>456</v>
      </c>
      <c r="C3858" s="180">
        <v>4000</v>
      </c>
    </row>
    <row r="3859" spans="1:3" x14ac:dyDescent="0.25">
      <c r="A3859" s="178">
        <v>64160</v>
      </c>
      <c r="B3859" s="179" t="s">
        <v>456</v>
      </c>
      <c r="C3859" s="180">
        <v>63</v>
      </c>
    </row>
    <row r="3860" spans="1:3" x14ac:dyDescent="0.25">
      <c r="A3860" s="178">
        <v>64187</v>
      </c>
      <c r="B3860" s="179" t="s">
        <v>456</v>
      </c>
      <c r="C3860" s="180">
        <v>72</v>
      </c>
    </row>
    <row r="3861" spans="1:3" x14ac:dyDescent="0.25">
      <c r="A3861" s="178">
        <v>64188</v>
      </c>
      <c r="B3861" s="179" t="s">
        <v>456</v>
      </c>
      <c r="C3861" s="180">
        <v>72</v>
      </c>
    </row>
    <row r="3862" spans="1:3" x14ac:dyDescent="0.25">
      <c r="A3862" s="178">
        <v>64189</v>
      </c>
      <c r="B3862" s="179" t="s">
        <v>456</v>
      </c>
      <c r="C3862" s="180">
        <v>4000</v>
      </c>
    </row>
    <row r="3863" spans="1:3" x14ac:dyDescent="0.25">
      <c r="A3863" s="178">
        <v>64193</v>
      </c>
      <c r="B3863" s="179" t="s">
        <v>456</v>
      </c>
      <c r="C3863" s="180">
        <v>99999</v>
      </c>
    </row>
    <row r="3864" spans="1:3" x14ac:dyDescent="0.25">
      <c r="A3864" s="178">
        <v>64194</v>
      </c>
      <c r="B3864" s="179" t="s">
        <v>456</v>
      </c>
      <c r="C3864" s="180">
        <v>99999</v>
      </c>
    </row>
    <row r="3865" spans="1:3" x14ac:dyDescent="0.25">
      <c r="A3865" s="178">
        <v>64195</v>
      </c>
      <c r="B3865" s="179" t="s">
        <v>456</v>
      </c>
      <c r="C3865" s="180">
        <v>99999</v>
      </c>
    </row>
    <row r="3866" spans="1:3" x14ac:dyDescent="0.25">
      <c r="A3866" s="178">
        <v>64196</v>
      </c>
      <c r="B3866" s="179" t="s">
        <v>456</v>
      </c>
      <c r="C3866" s="180">
        <v>99999</v>
      </c>
    </row>
    <row r="3867" spans="1:3" x14ac:dyDescent="0.25">
      <c r="A3867" s="178">
        <v>64198</v>
      </c>
      <c r="B3867" s="179" t="s">
        <v>456</v>
      </c>
      <c r="C3867" s="180">
        <v>99999</v>
      </c>
    </row>
    <row r="3868" spans="1:3" x14ac:dyDescent="0.25">
      <c r="A3868" s="178">
        <v>64224</v>
      </c>
      <c r="B3868" s="179" t="s">
        <v>456</v>
      </c>
      <c r="C3868" s="180">
        <v>740</v>
      </c>
    </row>
    <row r="3869" spans="1:3" x14ac:dyDescent="0.25">
      <c r="A3869" s="178">
        <v>64226</v>
      </c>
      <c r="B3869" s="179" t="s">
        <v>456</v>
      </c>
      <c r="C3869" s="180">
        <v>740</v>
      </c>
    </row>
    <row r="3870" spans="1:3" x14ac:dyDescent="0.25">
      <c r="A3870" s="178">
        <v>64229</v>
      </c>
      <c r="B3870" s="179" t="s">
        <v>456</v>
      </c>
      <c r="C3870" s="180">
        <v>60000</v>
      </c>
    </row>
    <row r="3871" spans="1:3" x14ac:dyDescent="0.25">
      <c r="A3871" s="178">
        <v>64239</v>
      </c>
      <c r="B3871" s="179" t="s">
        <v>456</v>
      </c>
      <c r="C3871" s="180">
        <v>4680</v>
      </c>
    </row>
    <row r="3872" spans="1:3" x14ac:dyDescent="0.25">
      <c r="A3872" s="178">
        <v>64244</v>
      </c>
      <c r="B3872" s="179" t="s">
        <v>456</v>
      </c>
      <c r="C3872" s="180">
        <v>10000</v>
      </c>
    </row>
    <row r="3873" spans="1:3" x14ac:dyDescent="0.25">
      <c r="A3873" s="178">
        <v>64257</v>
      </c>
      <c r="B3873" s="179" t="s">
        <v>456</v>
      </c>
      <c r="C3873" s="180">
        <v>31200</v>
      </c>
    </row>
    <row r="3874" spans="1:3" x14ac:dyDescent="0.25">
      <c r="A3874" s="178">
        <v>64259</v>
      </c>
      <c r="B3874" s="179" t="s">
        <v>456</v>
      </c>
      <c r="C3874" s="180">
        <v>36000</v>
      </c>
    </row>
    <row r="3875" spans="1:3" x14ac:dyDescent="0.25">
      <c r="A3875" s="178">
        <v>64261</v>
      </c>
      <c r="B3875" s="179" t="s">
        <v>456</v>
      </c>
      <c r="C3875" s="180">
        <v>3375</v>
      </c>
    </row>
    <row r="3876" spans="1:3" x14ac:dyDescent="0.25">
      <c r="A3876" s="178">
        <v>64262</v>
      </c>
      <c r="B3876" s="179" t="s">
        <v>456</v>
      </c>
      <c r="C3876" s="180">
        <v>2016</v>
      </c>
    </row>
    <row r="3877" spans="1:3" x14ac:dyDescent="0.25">
      <c r="A3877" s="178">
        <v>64263</v>
      </c>
      <c r="B3877" s="179" t="s">
        <v>456</v>
      </c>
      <c r="C3877" s="180">
        <v>1440</v>
      </c>
    </row>
    <row r="3878" spans="1:3" x14ac:dyDescent="0.25">
      <c r="A3878" s="178">
        <v>64264</v>
      </c>
      <c r="B3878" s="179" t="s">
        <v>456</v>
      </c>
      <c r="C3878" s="180">
        <v>99999</v>
      </c>
    </row>
    <row r="3879" spans="1:3" x14ac:dyDescent="0.25">
      <c r="A3879" s="178">
        <v>64266</v>
      </c>
      <c r="B3879" s="179" t="s">
        <v>456</v>
      </c>
      <c r="C3879" s="180">
        <v>14400</v>
      </c>
    </row>
    <row r="3880" spans="1:3" x14ac:dyDescent="0.25">
      <c r="A3880" s="178">
        <v>64267</v>
      </c>
      <c r="B3880" s="179" t="s">
        <v>456</v>
      </c>
      <c r="C3880" s="180">
        <v>1200</v>
      </c>
    </row>
    <row r="3881" spans="1:3" x14ac:dyDescent="0.25">
      <c r="A3881" s="178">
        <v>64277</v>
      </c>
      <c r="B3881" s="179" t="s">
        <v>456</v>
      </c>
      <c r="C3881" s="180">
        <v>400</v>
      </c>
    </row>
    <row r="3882" spans="1:3" x14ac:dyDescent="0.25">
      <c r="A3882" s="178">
        <v>64283</v>
      </c>
      <c r="B3882" s="179" t="s">
        <v>456</v>
      </c>
      <c r="C3882" s="180">
        <v>22500</v>
      </c>
    </row>
    <row r="3883" spans="1:3" x14ac:dyDescent="0.25">
      <c r="A3883" s="178">
        <v>64284</v>
      </c>
      <c r="B3883" s="179" t="s">
        <v>456</v>
      </c>
      <c r="C3883" s="180">
        <v>99999</v>
      </c>
    </row>
    <row r="3884" spans="1:3" x14ac:dyDescent="0.25">
      <c r="A3884" s="178">
        <v>64297</v>
      </c>
      <c r="B3884" s="179" t="s">
        <v>456</v>
      </c>
      <c r="C3884" s="180">
        <v>740</v>
      </c>
    </row>
    <row r="3885" spans="1:3" x14ac:dyDescent="0.25">
      <c r="A3885" s="178">
        <v>64298</v>
      </c>
      <c r="B3885" s="179" t="s">
        <v>456</v>
      </c>
      <c r="C3885" s="180">
        <v>740</v>
      </c>
    </row>
    <row r="3886" spans="1:3" x14ac:dyDescent="0.25">
      <c r="A3886" s="178">
        <v>64310</v>
      </c>
      <c r="B3886" s="179" t="s">
        <v>456</v>
      </c>
      <c r="C3886" s="180">
        <v>6600</v>
      </c>
    </row>
    <row r="3887" spans="1:3" x14ac:dyDescent="0.25">
      <c r="A3887" s="178">
        <v>64311</v>
      </c>
      <c r="B3887" s="179" t="s">
        <v>456</v>
      </c>
      <c r="C3887" s="180">
        <v>6600</v>
      </c>
    </row>
    <row r="3888" spans="1:3" x14ac:dyDescent="0.25">
      <c r="A3888" s="178">
        <v>64312</v>
      </c>
      <c r="B3888" s="179" t="s">
        <v>456</v>
      </c>
      <c r="C3888" s="180">
        <v>6000</v>
      </c>
    </row>
    <row r="3889" spans="1:3" x14ac:dyDescent="0.25">
      <c r="A3889" s="178">
        <v>64321</v>
      </c>
      <c r="B3889" s="179" t="s">
        <v>456</v>
      </c>
      <c r="C3889" s="180">
        <v>99999</v>
      </c>
    </row>
    <row r="3890" spans="1:3" x14ac:dyDescent="0.25">
      <c r="A3890" s="178">
        <v>64322</v>
      </c>
      <c r="B3890" s="179" t="s">
        <v>456</v>
      </c>
      <c r="C3890" s="180">
        <v>99999</v>
      </c>
    </row>
    <row r="3891" spans="1:3" x14ac:dyDescent="0.25">
      <c r="A3891" s="178">
        <v>64323</v>
      </c>
      <c r="B3891" s="179" t="s">
        <v>456</v>
      </c>
      <c r="C3891" s="180">
        <v>99999</v>
      </c>
    </row>
    <row r="3892" spans="1:3" x14ac:dyDescent="0.25">
      <c r="A3892" s="178">
        <v>64324</v>
      </c>
      <c r="B3892" s="179" t="s">
        <v>456</v>
      </c>
      <c r="C3892" s="180">
        <v>99999</v>
      </c>
    </row>
    <row r="3893" spans="1:3" x14ac:dyDescent="0.25">
      <c r="A3893" s="178">
        <v>64334</v>
      </c>
      <c r="B3893" s="179" t="s">
        <v>456</v>
      </c>
      <c r="C3893" s="180">
        <v>6000</v>
      </c>
    </row>
    <row r="3894" spans="1:3" x14ac:dyDescent="0.25">
      <c r="A3894" s="178">
        <v>64335</v>
      </c>
      <c r="B3894" s="179" t="s">
        <v>456</v>
      </c>
      <c r="C3894" s="180">
        <v>990</v>
      </c>
    </row>
    <row r="3895" spans="1:3" x14ac:dyDescent="0.25">
      <c r="A3895" s="178">
        <v>64337</v>
      </c>
      <c r="B3895" s="179" t="s">
        <v>456</v>
      </c>
      <c r="C3895" s="180">
        <v>6000</v>
      </c>
    </row>
    <row r="3896" spans="1:3" x14ac:dyDescent="0.25">
      <c r="A3896" s="178">
        <v>64351</v>
      </c>
      <c r="B3896" s="179" t="s">
        <v>456</v>
      </c>
      <c r="C3896" s="180">
        <v>1950</v>
      </c>
    </row>
    <row r="3897" spans="1:3" x14ac:dyDescent="0.25">
      <c r="A3897" s="178">
        <v>64353</v>
      </c>
      <c r="B3897" s="179" t="s">
        <v>456</v>
      </c>
      <c r="C3897" s="180">
        <v>130</v>
      </c>
    </row>
    <row r="3898" spans="1:3" x14ac:dyDescent="0.25">
      <c r="A3898" s="178">
        <v>64355</v>
      </c>
      <c r="B3898" s="179" t="s">
        <v>456</v>
      </c>
      <c r="C3898" s="180">
        <v>1400</v>
      </c>
    </row>
    <row r="3899" spans="1:3" x14ac:dyDescent="0.25">
      <c r="A3899" s="178">
        <v>64357</v>
      </c>
      <c r="B3899" s="179" t="s">
        <v>456</v>
      </c>
      <c r="C3899" s="180">
        <v>675</v>
      </c>
    </row>
    <row r="3900" spans="1:3" x14ac:dyDescent="0.25">
      <c r="A3900" s="178">
        <v>64360</v>
      </c>
      <c r="B3900" s="179" t="s">
        <v>456</v>
      </c>
      <c r="C3900" s="180">
        <v>6800</v>
      </c>
    </row>
    <row r="3901" spans="1:3" x14ac:dyDescent="0.25">
      <c r="A3901" s="178">
        <v>64363</v>
      </c>
      <c r="B3901" s="179" t="s">
        <v>456</v>
      </c>
      <c r="C3901" s="180">
        <v>36000</v>
      </c>
    </row>
    <row r="3902" spans="1:3" x14ac:dyDescent="0.25">
      <c r="A3902" s="178">
        <v>64388</v>
      </c>
      <c r="B3902" s="179" t="s">
        <v>456</v>
      </c>
      <c r="C3902" s="180">
        <v>2800</v>
      </c>
    </row>
    <row r="3903" spans="1:3" x14ac:dyDescent="0.25">
      <c r="A3903" s="178">
        <v>64394</v>
      </c>
      <c r="B3903" s="179" t="s">
        <v>456</v>
      </c>
      <c r="C3903" s="180">
        <v>54</v>
      </c>
    </row>
    <row r="3904" spans="1:3" x14ac:dyDescent="0.25">
      <c r="A3904" s="178">
        <v>64395</v>
      </c>
      <c r="B3904" s="179" t="s">
        <v>456</v>
      </c>
      <c r="C3904" s="180">
        <v>400</v>
      </c>
    </row>
    <row r="3905" spans="1:3" x14ac:dyDescent="0.25">
      <c r="A3905" s="178">
        <v>64397</v>
      </c>
      <c r="B3905" s="179" t="s">
        <v>456</v>
      </c>
      <c r="C3905" s="180">
        <v>700</v>
      </c>
    </row>
    <row r="3906" spans="1:3" x14ac:dyDescent="0.25">
      <c r="A3906" s="178">
        <v>64399</v>
      </c>
      <c r="B3906" s="179" t="s">
        <v>456</v>
      </c>
      <c r="C3906" s="180">
        <v>1440</v>
      </c>
    </row>
    <row r="3907" spans="1:3" x14ac:dyDescent="0.25">
      <c r="A3907" s="178">
        <v>64401</v>
      </c>
      <c r="B3907" s="179" t="s">
        <v>456</v>
      </c>
      <c r="C3907" s="180">
        <v>60000</v>
      </c>
    </row>
    <row r="3908" spans="1:3" x14ac:dyDescent="0.25">
      <c r="A3908" s="178">
        <v>64402</v>
      </c>
      <c r="B3908" s="179" t="s">
        <v>456</v>
      </c>
      <c r="C3908" s="180">
        <v>60000</v>
      </c>
    </row>
    <row r="3909" spans="1:3" x14ac:dyDescent="0.25">
      <c r="A3909" s="178">
        <v>64404</v>
      </c>
      <c r="B3909" s="179" t="s">
        <v>456</v>
      </c>
      <c r="C3909" s="180">
        <v>60000</v>
      </c>
    </row>
    <row r="3910" spans="1:3" x14ac:dyDescent="0.25">
      <c r="A3910" s="178">
        <v>64422</v>
      </c>
      <c r="B3910" s="179" t="s">
        <v>456</v>
      </c>
      <c r="C3910" s="180">
        <v>6600</v>
      </c>
    </row>
    <row r="3911" spans="1:3" x14ac:dyDescent="0.25">
      <c r="A3911" s="178">
        <v>64423</v>
      </c>
      <c r="B3911" s="179" t="s">
        <v>456</v>
      </c>
      <c r="C3911" s="180">
        <v>6800</v>
      </c>
    </row>
    <row r="3912" spans="1:3" x14ac:dyDescent="0.25">
      <c r="A3912" s="178">
        <v>64424</v>
      </c>
      <c r="B3912" s="179" t="s">
        <v>456</v>
      </c>
      <c r="C3912" s="180">
        <v>740</v>
      </c>
    </row>
    <row r="3913" spans="1:3" x14ac:dyDescent="0.25">
      <c r="A3913" s="178">
        <v>64434</v>
      </c>
      <c r="B3913" s="179" t="s">
        <v>456</v>
      </c>
      <c r="C3913" s="180">
        <v>99999</v>
      </c>
    </row>
    <row r="3914" spans="1:3" x14ac:dyDescent="0.25">
      <c r="A3914" s="178">
        <v>64435</v>
      </c>
      <c r="B3914" s="179" t="s">
        <v>456</v>
      </c>
      <c r="C3914" s="180">
        <v>99999</v>
      </c>
    </row>
    <row r="3915" spans="1:3" x14ac:dyDescent="0.25">
      <c r="A3915" s="178">
        <v>64437</v>
      </c>
      <c r="B3915" s="179" t="s">
        <v>456</v>
      </c>
      <c r="C3915" s="180">
        <v>99999</v>
      </c>
    </row>
    <row r="3916" spans="1:3" x14ac:dyDescent="0.25">
      <c r="A3916" s="178">
        <v>64438</v>
      </c>
      <c r="B3916" s="179" t="s">
        <v>456</v>
      </c>
      <c r="C3916" s="180">
        <v>99999</v>
      </c>
    </row>
    <row r="3917" spans="1:3" x14ac:dyDescent="0.25">
      <c r="A3917" s="178">
        <v>64462</v>
      </c>
      <c r="B3917" s="179" t="s">
        <v>456</v>
      </c>
      <c r="C3917" s="180">
        <v>99999</v>
      </c>
    </row>
    <row r="3918" spans="1:3" x14ac:dyDescent="0.25">
      <c r="A3918" s="178">
        <v>64463</v>
      </c>
      <c r="B3918" s="179" t="s">
        <v>456</v>
      </c>
      <c r="C3918" s="180">
        <v>99999</v>
      </c>
    </row>
    <row r="3919" spans="1:3" x14ac:dyDescent="0.25">
      <c r="A3919" s="178">
        <v>64464</v>
      </c>
      <c r="B3919" s="179" t="s">
        <v>456</v>
      </c>
      <c r="C3919" s="180">
        <v>99999</v>
      </c>
    </row>
    <row r="3920" spans="1:3" x14ac:dyDescent="0.25">
      <c r="A3920" s="178">
        <v>64470</v>
      </c>
      <c r="B3920" s="179" t="s">
        <v>456</v>
      </c>
      <c r="C3920" s="180">
        <v>22500</v>
      </c>
    </row>
    <row r="3921" spans="1:3" x14ac:dyDescent="0.25">
      <c r="A3921" s="178">
        <v>64472</v>
      </c>
      <c r="B3921" s="179" t="s">
        <v>456</v>
      </c>
      <c r="C3921" s="180">
        <v>4480</v>
      </c>
    </row>
    <row r="3922" spans="1:3" x14ac:dyDescent="0.25">
      <c r="A3922" s="178">
        <v>64473</v>
      </c>
      <c r="B3922" s="179" t="s">
        <v>456</v>
      </c>
      <c r="C3922" s="180">
        <v>5500</v>
      </c>
    </row>
    <row r="3923" spans="1:3" x14ac:dyDescent="0.25">
      <c r="A3923" s="178">
        <v>64474</v>
      </c>
      <c r="B3923" s="179" t="s">
        <v>456</v>
      </c>
      <c r="C3923" s="180">
        <v>1200</v>
      </c>
    </row>
    <row r="3924" spans="1:3" x14ac:dyDescent="0.25">
      <c r="A3924" s="178">
        <v>64475</v>
      </c>
      <c r="B3924" s="179" t="s">
        <v>456</v>
      </c>
      <c r="C3924" s="180">
        <v>4480</v>
      </c>
    </row>
    <row r="3925" spans="1:3" x14ac:dyDescent="0.25">
      <c r="A3925" s="178">
        <v>64476</v>
      </c>
      <c r="B3925" s="179" t="s">
        <v>456</v>
      </c>
      <c r="C3925" s="180">
        <v>5500</v>
      </c>
    </row>
    <row r="3926" spans="1:3" x14ac:dyDescent="0.25">
      <c r="A3926" s="178">
        <v>64477</v>
      </c>
      <c r="B3926" s="179" t="s">
        <v>456</v>
      </c>
      <c r="C3926" s="180">
        <v>1200</v>
      </c>
    </row>
    <row r="3927" spans="1:3" x14ac:dyDescent="0.25">
      <c r="A3927" s="178">
        <v>64481</v>
      </c>
      <c r="B3927" s="179" t="s">
        <v>456</v>
      </c>
      <c r="C3927" s="180">
        <v>6400</v>
      </c>
    </row>
    <row r="3928" spans="1:3" x14ac:dyDescent="0.25">
      <c r="A3928" s="178">
        <v>64484</v>
      </c>
      <c r="B3928" s="179" t="s">
        <v>456</v>
      </c>
      <c r="C3928" s="180">
        <v>99999</v>
      </c>
    </row>
    <row r="3929" spans="1:3" x14ac:dyDescent="0.25">
      <c r="A3929" s="178">
        <v>64485</v>
      </c>
      <c r="B3929" s="179" t="s">
        <v>456</v>
      </c>
      <c r="C3929" s="180">
        <v>99999</v>
      </c>
    </row>
    <row r="3930" spans="1:3" x14ac:dyDescent="0.25">
      <c r="A3930" s="178">
        <v>64486</v>
      </c>
      <c r="B3930" s="179" t="s">
        <v>456</v>
      </c>
      <c r="C3930" s="180">
        <v>6600</v>
      </c>
    </row>
    <row r="3931" spans="1:3" x14ac:dyDescent="0.25">
      <c r="A3931" s="178">
        <v>64493</v>
      </c>
      <c r="B3931" s="179" t="s">
        <v>456</v>
      </c>
      <c r="C3931" s="180">
        <v>6400</v>
      </c>
    </row>
    <row r="3932" spans="1:3" x14ac:dyDescent="0.25">
      <c r="A3932" s="178">
        <v>64497</v>
      </c>
      <c r="B3932" s="179" t="s">
        <v>456</v>
      </c>
      <c r="C3932" s="180">
        <v>740</v>
      </c>
    </row>
    <row r="3933" spans="1:3" x14ac:dyDescent="0.25">
      <c r="A3933" s="178">
        <v>64501</v>
      </c>
      <c r="B3933" s="179" t="s">
        <v>456</v>
      </c>
      <c r="C3933" s="180">
        <v>99999</v>
      </c>
    </row>
    <row r="3934" spans="1:3" x14ac:dyDescent="0.25">
      <c r="A3934" s="178">
        <v>64503</v>
      </c>
      <c r="B3934" s="179" t="s">
        <v>456</v>
      </c>
      <c r="C3934" s="180">
        <v>6600</v>
      </c>
    </row>
    <row r="3935" spans="1:3" x14ac:dyDescent="0.25">
      <c r="A3935" s="178">
        <v>64507</v>
      </c>
      <c r="B3935" s="179" t="s">
        <v>456</v>
      </c>
      <c r="C3935" s="180">
        <v>99999</v>
      </c>
    </row>
    <row r="3936" spans="1:3" x14ac:dyDescent="0.25">
      <c r="A3936" s="178">
        <v>64508</v>
      </c>
      <c r="B3936" s="179" t="s">
        <v>456</v>
      </c>
      <c r="C3936" s="180">
        <v>99999</v>
      </c>
    </row>
    <row r="3937" spans="1:3" x14ac:dyDescent="0.25">
      <c r="A3937" s="178">
        <v>64509</v>
      </c>
      <c r="B3937" s="179" t="s">
        <v>456</v>
      </c>
      <c r="C3937" s="180">
        <v>625</v>
      </c>
    </row>
    <row r="3938" spans="1:3" x14ac:dyDescent="0.25">
      <c r="A3938" s="178">
        <v>64510</v>
      </c>
      <c r="B3938" s="179" t="s">
        <v>456</v>
      </c>
      <c r="C3938" s="180">
        <v>2400</v>
      </c>
    </row>
    <row r="3939" spans="1:3" x14ac:dyDescent="0.25">
      <c r="A3939" s="178">
        <v>64511</v>
      </c>
      <c r="B3939" s="179" t="s">
        <v>456</v>
      </c>
      <c r="C3939" s="180">
        <v>740</v>
      </c>
    </row>
    <row r="3940" spans="1:3" x14ac:dyDescent="0.25">
      <c r="A3940" s="178">
        <v>64513</v>
      </c>
      <c r="B3940" s="179" t="s">
        <v>456</v>
      </c>
      <c r="C3940" s="180">
        <v>625</v>
      </c>
    </row>
    <row r="3941" spans="1:3" x14ac:dyDescent="0.25">
      <c r="A3941" s="178">
        <v>64514</v>
      </c>
      <c r="B3941" s="179" t="s">
        <v>456</v>
      </c>
      <c r="C3941" s="180">
        <v>625</v>
      </c>
    </row>
    <row r="3942" spans="1:3" x14ac:dyDescent="0.25">
      <c r="A3942" s="178">
        <v>64515</v>
      </c>
      <c r="B3942" s="179" t="s">
        <v>456</v>
      </c>
      <c r="C3942" s="180">
        <v>625</v>
      </c>
    </row>
    <row r="3943" spans="1:3" x14ac:dyDescent="0.25">
      <c r="A3943" s="178">
        <v>64516</v>
      </c>
      <c r="B3943" s="179" t="s">
        <v>456</v>
      </c>
      <c r="C3943" s="180">
        <v>5600</v>
      </c>
    </row>
    <row r="3944" spans="1:3" x14ac:dyDescent="0.25">
      <c r="A3944" s="178">
        <v>64517</v>
      </c>
      <c r="B3944" s="179" t="s">
        <v>456</v>
      </c>
      <c r="C3944" s="180">
        <v>675</v>
      </c>
    </row>
    <row r="3945" spans="1:3" x14ac:dyDescent="0.25">
      <c r="A3945" s="178">
        <v>64518</v>
      </c>
      <c r="B3945" s="179" t="s">
        <v>456</v>
      </c>
      <c r="C3945" s="180">
        <v>625</v>
      </c>
    </row>
    <row r="3946" spans="1:3" x14ac:dyDescent="0.25">
      <c r="A3946" s="178">
        <v>64522</v>
      </c>
      <c r="B3946" s="179" t="s">
        <v>456</v>
      </c>
      <c r="C3946" s="180">
        <v>60000</v>
      </c>
    </row>
    <row r="3947" spans="1:3" x14ac:dyDescent="0.25">
      <c r="A3947" s="178">
        <v>64523</v>
      </c>
      <c r="B3947" s="179" t="s">
        <v>456</v>
      </c>
      <c r="C3947" s="180">
        <v>60000</v>
      </c>
    </row>
    <row r="3948" spans="1:3" x14ac:dyDescent="0.25">
      <c r="A3948" s="178">
        <v>64528</v>
      </c>
      <c r="B3948" s="179" t="s">
        <v>456</v>
      </c>
      <c r="C3948" s="180">
        <v>6600</v>
      </c>
    </row>
    <row r="3949" spans="1:3" x14ac:dyDescent="0.25">
      <c r="A3949" s="178">
        <v>64529</v>
      </c>
      <c r="B3949" s="179" t="s">
        <v>456</v>
      </c>
      <c r="C3949" s="180">
        <v>740</v>
      </c>
    </row>
    <row r="3950" spans="1:3" x14ac:dyDescent="0.25">
      <c r="A3950" s="178">
        <v>64530</v>
      </c>
      <c r="B3950" s="179" t="s">
        <v>456</v>
      </c>
      <c r="C3950" s="180">
        <v>26950</v>
      </c>
    </row>
    <row r="3951" spans="1:3" x14ac:dyDescent="0.25">
      <c r="A3951" s="178">
        <v>64531</v>
      </c>
      <c r="B3951" s="179" t="s">
        <v>456</v>
      </c>
      <c r="C3951" s="180">
        <v>4800</v>
      </c>
    </row>
    <row r="3952" spans="1:3" x14ac:dyDescent="0.25">
      <c r="A3952" s="178">
        <v>64532</v>
      </c>
      <c r="B3952" s="179" t="s">
        <v>456</v>
      </c>
      <c r="C3952" s="180">
        <v>4800</v>
      </c>
    </row>
    <row r="3953" spans="1:3" x14ac:dyDescent="0.25">
      <c r="A3953" s="178">
        <v>64533</v>
      </c>
      <c r="B3953" s="179" t="s">
        <v>456</v>
      </c>
      <c r="C3953" s="180">
        <v>4800</v>
      </c>
    </row>
    <row r="3954" spans="1:3" x14ac:dyDescent="0.25">
      <c r="A3954" s="178">
        <v>64537</v>
      </c>
      <c r="B3954" s="179" t="s">
        <v>456</v>
      </c>
      <c r="C3954" s="180">
        <v>6400</v>
      </c>
    </row>
    <row r="3955" spans="1:3" x14ac:dyDescent="0.25">
      <c r="A3955" s="178">
        <v>64538</v>
      </c>
      <c r="B3955" s="179" t="s">
        <v>456</v>
      </c>
      <c r="C3955" s="180">
        <v>6400</v>
      </c>
    </row>
    <row r="3956" spans="1:3" x14ac:dyDescent="0.25">
      <c r="A3956" s="178">
        <v>64545</v>
      </c>
      <c r="B3956" s="179" t="s">
        <v>456</v>
      </c>
      <c r="C3956" s="180">
        <v>740</v>
      </c>
    </row>
    <row r="3957" spans="1:3" x14ac:dyDescent="0.25">
      <c r="A3957" s="178">
        <v>64548</v>
      </c>
      <c r="B3957" s="179" t="s">
        <v>456</v>
      </c>
      <c r="C3957" s="180">
        <v>4960</v>
      </c>
    </row>
    <row r="3958" spans="1:3" x14ac:dyDescent="0.25">
      <c r="A3958" s="178">
        <v>64549</v>
      </c>
      <c r="B3958" s="179" t="s">
        <v>456</v>
      </c>
      <c r="C3958" s="180">
        <v>6600</v>
      </c>
    </row>
    <row r="3959" spans="1:3" x14ac:dyDescent="0.25">
      <c r="A3959" s="178">
        <v>64551</v>
      </c>
      <c r="B3959" s="179" t="s">
        <v>456</v>
      </c>
      <c r="C3959" s="180">
        <v>1050</v>
      </c>
    </row>
    <row r="3960" spans="1:3" x14ac:dyDescent="0.25">
      <c r="A3960" s="178">
        <v>64554</v>
      </c>
      <c r="B3960" s="179" t="s">
        <v>456</v>
      </c>
      <c r="C3960" s="180">
        <v>6600</v>
      </c>
    </row>
    <row r="3961" spans="1:3" x14ac:dyDescent="0.25">
      <c r="A3961" s="178">
        <v>64557</v>
      </c>
      <c r="B3961" s="179" t="s">
        <v>456</v>
      </c>
      <c r="C3961" s="180">
        <v>99999</v>
      </c>
    </row>
    <row r="3962" spans="1:3" x14ac:dyDescent="0.25">
      <c r="A3962" s="178">
        <v>64558</v>
      </c>
      <c r="B3962" s="179" t="s">
        <v>456</v>
      </c>
      <c r="C3962" s="180">
        <v>99999</v>
      </c>
    </row>
    <row r="3963" spans="1:3" x14ac:dyDescent="0.25">
      <c r="A3963" s="178">
        <v>64559</v>
      </c>
      <c r="B3963" s="179" t="s">
        <v>456</v>
      </c>
      <c r="C3963" s="180">
        <v>99999</v>
      </c>
    </row>
    <row r="3964" spans="1:3" x14ac:dyDescent="0.25">
      <c r="A3964" s="178">
        <v>64564</v>
      </c>
      <c r="B3964" s="179" t="s">
        <v>456</v>
      </c>
      <c r="C3964" s="180">
        <v>1000</v>
      </c>
    </row>
    <row r="3965" spans="1:3" x14ac:dyDescent="0.25">
      <c r="A3965" s="178">
        <v>64565</v>
      </c>
      <c r="B3965" s="179" t="s">
        <v>456</v>
      </c>
      <c r="C3965" s="180">
        <v>6600</v>
      </c>
    </row>
    <row r="3966" spans="1:3" x14ac:dyDescent="0.25">
      <c r="A3966" s="178">
        <v>64566</v>
      </c>
      <c r="B3966" s="179" t="s">
        <v>456</v>
      </c>
      <c r="C3966" s="180">
        <v>740</v>
      </c>
    </row>
    <row r="3967" spans="1:3" x14ac:dyDescent="0.25">
      <c r="A3967" s="178">
        <v>64567</v>
      </c>
      <c r="B3967" s="179" t="s">
        <v>456</v>
      </c>
      <c r="C3967" s="180">
        <v>5600</v>
      </c>
    </row>
    <row r="3968" spans="1:3" x14ac:dyDescent="0.25">
      <c r="A3968" s="178">
        <v>64568</v>
      </c>
      <c r="B3968" s="179" t="s">
        <v>456</v>
      </c>
      <c r="C3968" s="180">
        <v>740</v>
      </c>
    </row>
    <row r="3969" spans="1:3" x14ac:dyDescent="0.25">
      <c r="A3969" s="178">
        <v>64569</v>
      </c>
      <c r="B3969" s="179" t="s">
        <v>456</v>
      </c>
      <c r="C3969" s="180">
        <v>250</v>
      </c>
    </row>
    <row r="3970" spans="1:3" x14ac:dyDescent="0.25">
      <c r="A3970" s="178">
        <v>64570</v>
      </c>
      <c r="B3970" s="179" t="s">
        <v>456</v>
      </c>
      <c r="C3970" s="180">
        <v>740</v>
      </c>
    </row>
    <row r="3971" spans="1:3" x14ac:dyDescent="0.25">
      <c r="A3971" s="178">
        <v>64572</v>
      </c>
      <c r="B3971" s="179" t="s">
        <v>456</v>
      </c>
      <c r="C3971" s="180">
        <v>5600</v>
      </c>
    </row>
    <row r="3972" spans="1:3" x14ac:dyDescent="0.25">
      <c r="A3972" s="178">
        <v>64573</v>
      </c>
      <c r="B3972" s="179" t="s">
        <v>456</v>
      </c>
      <c r="C3972" s="180">
        <v>5600</v>
      </c>
    </row>
    <row r="3973" spans="1:3" x14ac:dyDescent="0.25">
      <c r="A3973" s="178">
        <v>64575</v>
      </c>
      <c r="B3973" s="179" t="s">
        <v>456</v>
      </c>
      <c r="C3973" s="180">
        <v>6500</v>
      </c>
    </row>
    <row r="3974" spans="1:3" x14ac:dyDescent="0.25">
      <c r="A3974" s="178">
        <v>64576</v>
      </c>
      <c r="B3974" s="179" t="s">
        <v>456</v>
      </c>
      <c r="C3974" s="180">
        <v>6800</v>
      </c>
    </row>
    <row r="3975" spans="1:3" x14ac:dyDescent="0.25">
      <c r="A3975" s="178">
        <v>64577</v>
      </c>
      <c r="B3975" s="179" t="s">
        <v>456</v>
      </c>
      <c r="C3975" s="180">
        <v>6800</v>
      </c>
    </row>
    <row r="3976" spans="1:3" x14ac:dyDescent="0.25">
      <c r="A3976" s="178">
        <v>64578</v>
      </c>
      <c r="B3976" s="179" t="s">
        <v>456</v>
      </c>
      <c r="C3976" s="180">
        <v>6800</v>
      </c>
    </row>
    <row r="3977" spans="1:3" x14ac:dyDescent="0.25">
      <c r="A3977" s="178">
        <v>64579</v>
      </c>
      <c r="B3977" s="179" t="s">
        <v>456</v>
      </c>
      <c r="C3977" s="180">
        <v>6800</v>
      </c>
    </row>
    <row r="3978" spans="1:3" x14ac:dyDescent="0.25">
      <c r="A3978" s="178">
        <v>64580</v>
      </c>
      <c r="B3978" s="179" t="s">
        <v>456</v>
      </c>
      <c r="C3978" s="180">
        <v>6600</v>
      </c>
    </row>
    <row r="3979" spans="1:3" x14ac:dyDescent="0.25">
      <c r="A3979" s="178">
        <v>64581</v>
      </c>
      <c r="B3979" s="179" t="s">
        <v>456</v>
      </c>
      <c r="C3979" s="180">
        <v>6600</v>
      </c>
    </row>
    <row r="3980" spans="1:3" x14ac:dyDescent="0.25">
      <c r="A3980" s="178">
        <v>64582</v>
      </c>
      <c r="B3980" s="179" t="s">
        <v>456</v>
      </c>
      <c r="C3980" s="180">
        <v>6600</v>
      </c>
    </row>
    <row r="3981" spans="1:3" x14ac:dyDescent="0.25">
      <c r="A3981" s="178">
        <v>64583</v>
      </c>
      <c r="B3981" s="179" t="s">
        <v>456</v>
      </c>
      <c r="C3981" s="180">
        <v>6600</v>
      </c>
    </row>
    <row r="3982" spans="1:3" x14ac:dyDescent="0.25">
      <c r="A3982" s="178">
        <v>64584</v>
      </c>
      <c r="B3982" s="179" t="s">
        <v>456</v>
      </c>
      <c r="C3982" s="180">
        <v>6600</v>
      </c>
    </row>
    <row r="3983" spans="1:3" x14ac:dyDescent="0.25">
      <c r="A3983" s="178">
        <v>64585</v>
      </c>
      <c r="B3983" s="179" t="s">
        <v>456</v>
      </c>
      <c r="C3983" s="180">
        <v>6600</v>
      </c>
    </row>
    <row r="3984" spans="1:3" x14ac:dyDescent="0.25">
      <c r="A3984" s="178">
        <v>64586</v>
      </c>
      <c r="B3984" s="179" t="s">
        <v>456</v>
      </c>
      <c r="C3984" s="180">
        <v>6600</v>
      </c>
    </row>
    <row r="3985" spans="1:3" x14ac:dyDescent="0.25">
      <c r="A3985" s="178">
        <v>64587</v>
      </c>
      <c r="B3985" s="179" t="s">
        <v>456</v>
      </c>
      <c r="C3985" s="180">
        <v>6600</v>
      </c>
    </row>
    <row r="3986" spans="1:3" x14ac:dyDescent="0.25">
      <c r="A3986" s="178">
        <v>64588</v>
      </c>
      <c r="B3986" s="179" t="s">
        <v>456</v>
      </c>
      <c r="C3986" s="180">
        <v>6600</v>
      </c>
    </row>
    <row r="3987" spans="1:3" x14ac:dyDescent="0.25">
      <c r="A3987" s="178">
        <v>64589</v>
      </c>
      <c r="B3987" s="179" t="s">
        <v>456</v>
      </c>
      <c r="C3987" s="180">
        <v>5600</v>
      </c>
    </row>
    <row r="3988" spans="1:3" x14ac:dyDescent="0.25">
      <c r="A3988" s="178">
        <v>64590</v>
      </c>
      <c r="B3988" s="179" t="s">
        <v>456</v>
      </c>
      <c r="C3988" s="180">
        <v>6600</v>
      </c>
    </row>
    <row r="3989" spans="1:3" x14ac:dyDescent="0.25">
      <c r="A3989" s="178">
        <v>64591</v>
      </c>
      <c r="B3989" s="179" t="s">
        <v>456</v>
      </c>
      <c r="C3989" s="180">
        <v>6600</v>
      </c>
    </row>
    <row r="3990" spans="1:3" x14ac:dyDescent="0.25">
      <c r="A3990" s="178">
        <v>64593</v>
      </c>
      <c r="B3990" s="179" t="s">
        <v>456</v>
      </c>
      <c r="C3990" s="180">
        <v>6600</v>
      </c>
    </row>
    <row r="3991" spans="1:3" x14ac:dyDescent="0.25">
      <c r="A3991" s="178">
        <v>64594</v>
      </c>
      <c r="B3991" s="179" t="s">
        <v>456</v>
      </c>
      <c r="C3991" s="180">
        <v>6000</v>
      </c>
    </row>
    <row r="3992" spans="1:3" x14ac:dyDescent="0.25">
      <c r="A3992" s="178">
        <v>64595</v>
      </c>
      <c r="B3992" s="179" t="s">
        <v>456</v>
      </c>
      <c r="C3992" s="180">
        <v>740</v>
      </c>
    </row>
    <row r="3993" spans="1:3" x14ac:dyDescent="0.25">
      <c r="A3993" s="178">
        <v>64596</v>
      </c>
      <c r="B3993" s="179" t="s">
        <v>456</v>
      </c>
      <c r="C3993" s="180">
        <v>740</v>
      </c>
    </row>
    <row r="3994" spans="1:3" x14ac:dyDescent="0.25">
      <c r="A3994" s="178">
        <v>64597</v>
      </c>
      <c r="B3994" s="179" t="s">
        <v>456</v>
      </c>
      <c r="C3994" s="180">
        <v>740</v>
      </c>
    </row>
    <row r="3995" spans="1:3" x14ac:dyDescent="0.25">
      <c r="A3995" s="178">
        <v>64600</v>
      </c>
      <c r="B3995" s="179" t="s">
        <v>456</v>
      </c>
      <c r="C3995" s="180">
        <v>6800</v>
      </c>
    </row>
    <row r="3996" spans="1:3" x14ac:dyDescent="0.25">
      <c r="A3996" s="178">
        <v>64601</v>
      </c>
      <c r="B3996" s="179" t="s">
        <v>456</v>
      </c>
      <c r="C3996" s="180">
        <v>6800</v>
      </c>
    </row>
    <row r="3997" spans="1:3" x14ac:dyDescent="0.25">
      <c r="A3997" s="178">
        <v>64602</v>
      </c>
      <c r="B3997" s="179" t="s">
        <v>456</v>
      </c>
      <c r="C3997" s="180">
        <v>6800</v>
      </c>
    </row>
    <row r="3998" spans="1:3" x14ac:dyDescent="0.25">
      <c r="A3998" s="178">
        <v>64603</v>
      </c>
      <c r="B3998" s="179" t="s">
        <v>456</v>
      </c>
      <c r="C3998" s="180">
        <v>6800</v>
      </c>
    </row>
    <row r="3999" spans="1:3" x14ac:dyDescent="0.25">
      <c r="A3999" s="178">
        <v>64604</v>
      </c>
      <c r="B3999" s="179" t="s">
        <v>456</v>
      </c>
      <c r="C3999" s="180">
        <v>740</v>
      </c>
    </row>
    <row r="4000" spans="1:3" x14ac:dyDescent="0.25">
      <c r="A4000" s="178">
        <v>64605</v>
      </c>
      <c r="B4000" s="179" t="s">
        <v>456</v>
      </c>
      <c r="C4000" s="180">
        <v>2600</v>
      </c>
    </row>
    <row r="4001" spans="1:3" x14ac:dyDescent="0.25">
      <c r="A4001" s="178">
        <v>64606</v>
      </c>
      <c r="B4001" s="179" t="s">
        <v>456</v>
      </c>
      <c r="C4001" s="180">
        <v>6000</v>
      </c>
    </row>
    <row r="4002" spans="1:3" x14ac:dyDescent="0.25">
      <c r="A4002" s="178">
        <v>64608</v>
      </c>
      <c r="B4002" s="179" t="s">
        <v>456</v>
      </c>
      <c r="C4002" s="180">
        <v>6000</v>
      </c>
    </row>
    <row r="4003" spans="1:3" x14ac:dyDescent="0.25">
      <c r="A4003" s="178">
        <v>64609</v>
      </c>
      <c r="B4003" s="179" t="s">
        <v>456</v>
      </c>
      <c r="C4003" s="180">
        <v>6600</v>
      </c>
    </row>
    <row r="4004" spans="1:3" x14ac:dyDescent="0.25">
      <c r="A4004" s="178">
        <v>64610</v>
      </c>
      <c r="B4004" s="179" t="s">
        <v>456</v>
      </c>
      <c r="C4004" s="180">
        <v>704</v>
      </c>
    </row>
    <row r="4005" spans="1:3" x14ac:dyDescent="0.25">
      <c r="A4005" s="178">
        <v>64611</v>
      </c>
      <c r="B4005" s="179" t="s">
        <v>456</v>
      </c>
      <c r="C4005" s="180">
        <v>6600</v>
      </c>
    </row>
    <row r="4006" spans="1:3" x14ac:dyDescent="0.25">
      <c r="A4006" s="178">
        <v>64613</v>
      </c>
      <c r="B4006" s="179" t="s">
        <v>456</v>
      </c>
      <c r="C4006" s="180">
        <v>6600</v>
      </c>
    </row>
    <row r="4007" spans="1:3" x14ac:dyDescent="0.25">
      <c r="A4007" s="178">
        <v>64614</v>
      </c>
      <c r="B4007" s="179" t="s">
        <v>456</v>
      </c>
      <c r="C4007" s="180">
        <v>5600</v>
      </c>
    </row>
    <row r="4008" spans="1:3" x14ac:dyDescent="0.25">
      <c r="A4008" s="178">
        <v>64615</v>
      </c>
      <c r="B4008" s="179" t="s">
        <v>456</v>
      </c>
      <c r="C4008" s="180">
        <v>740</v>
      </c>
    </row>
    <row r="4009" spans="1:3" x14ac:dyDescent="0.25">
      <c r="A4009" s="178">
        <v>64616</v>
      </c>
      <c r="B4009" s="179" t="s">
        <v>456</v>
      </c>
      <c r="C4009" s="180">
        <v>5600</v>
      </c>
    </row>
    <row r="4010" spans="1:3" x14ac:dyDescent="0.25">
      <c r="A4010" s="178">
        <v>64617</v>
      </c>
      <c r="B4010" s="179" t="s">
        <v>456</v>
      </c>
      <c r="C4010" s="180">
        <v>6800</v>
      </c>
    </row>
    <row r="4011" spans="1:3" x14ac:dyDescent="0.25">
      <c r="A4011" s="178">
        <v>64619</v>
      </c>
      <c r="B4011" s="179" t="s">
        <v>456</v>
      </c>
      <c r="C4011" s="180">
        <v>6800</v>
      </c>
    </row>
    <row r="4012" spans="1:3" x14ac:dyDescent="0.25">
      <c r="A4012" s="178">
        <v>64620</v>
      </c>
      <c r="B4012" s="179" t="s">
        <v>456</v>
      </c>
      <c r="C4012" s="180">
        <v>2600</v>
      </c>
    </row>
    <row r="4013" spans="1:3" x14ac:dyDescent="0.25">
      <c r="A4013" s="178">
        <v>64621</v>
      </c>
      <c r="B4013" s="179" t="s">
        <v>456</v>
      </c>
      <c r="C4013" s="180">
        <v>6600</v>
      </c>
    </row>
    <row r="4014" spans="1:3" x14ac:dyDescent="0.25">
      <c r="A4014" s="178">
        <v>64622</v>
      </c>
      <c r="B4014" s="179" t="s">
        <v>456</v>
      </c>
      <c r="C4014" s="180">
        <v>6600</v>
      </c>
    </row>
    <row r="4015" spans="1:3" x14ac:dyDescent="0.25">
      <c r="A4015" s="178">
        <v>64623</v>
      </c>
      <c r="B4015" s="179" t="s">
        <v>456</v>
      </c>
      <c r="C4015" s="180">
        <v>6600</v>
      </c>
    </row>
    <row r="4016" spans="1:3" x14ac:dyDescent="0.25">
      <c r="A4016" s="178">
        <v>64624</v>
      </c>
      <c r="B4016" s="179" t="s">
        <v>456</v>
      </c>
      <c r="C4016" s="180">
        <v>6800</v>
      </c>
    </row>
    <row r="4017" spans="1:3" x14ac:dyDescent="0.25">
      <c r="A4017" s="178">
        <v>64625</v>
      </c>
      <c r="B4017" s="179" t="s">
        <v>456</v>
      </c>
      <c r="C4017" s="180">
        <v>4800</v>
      </c>
    </row>
    <row r="4018" spans="1:3" x14ac:dyDescent="0.25">
      <c r="A4018" s="178">
        <v>64626</v>
      </c>
      <c r="B4018" s="179" t="s">
        <v>456</v>
      </c>
      <c r="C4018" s="180">
        <v>6600</v>
      </c>
    </row>
    <row r="4019" spans="1:3" x14ac:dyDescent="0.25">
      <c r="A4019" s="178">
        <v>64627</v>
      </c>
      <c r="B4019" s="179" t="s">
        <v>456</v>
      </c>
      <c r="C4019" s="180">
        <v>4800</v>
      </c>
    </row>
    <row r="4020" spans="1:3" x14ac:dyDescent="0.25">
      <c r="A4020" s="178">
        <v>64628</v>
      </c>
      <c r="B4020" s="179" t="s">
        <v>456</v>
      </c>
      <c r="C4020" s="180">
        <v>740</v>
      </c>
    </row>
    <row r="4021" spans="1:3" x14ac:dyDescent="0.25">
      <c r="A4021" s="178">
        <v>64629</v>
      </c>
      <c r="B4021" s="179" t="s">
        <v>456</v>
      </c>
      <c r="C4021" s="180">
        <v>740</v>
      </c>
    </row>
    <row r="4022" spans="1:3" x14ac:dyDescent="0.25">
      <c r="A4022" s="178">
        <v>64630</v>
      </c>
      <c r="B4022" s="179" t="s">
        <v>456</v>
      </c>
      <c r="C4022" s="180">
        <v>740</v>
      </c>
    </row>
    <row r="4023" spans="1:3" x14ac:dyDescent="0.25">
      <c r="A4023" s="178">
        <v>64631</v>
      </c>
      <c r="B4023" s="179" t="s">
        <v>456</v>
      </c>
      <c r="C4023" s="180">
        <v>740</v>
      </c>
    </row>
    <row r="4024" spans="1:3" x14ac:dyDescent="0.25">
      <c r="A4024" s="178">
        <v>64632</v>
      </c>
      <c r="B4024" s="179" t="s">
        <v>456</v>
      </c>
      <c r="C4024" s="180">
        <v>740</v>
      </c>
    </row>
    <row r="4025" spans="1:3" x14ac:dyDescent="0.25">
      <c r="A4025" s="178">
        <v>64633</v>
      </c>
      <c r="B4025" s="179" t="s">
        <v>456</v>
      </c>
      <c r="C4025" s="180">
        <v>740</v>
      </c>
    </row>
    <row r="4026" spans="1:3" x14ac:dyDescent="0.25">
      <c r="A4026" s="178">
        <v>64634</v>
      </c>
      <c r="B4026" s="179" t="s">
        <v>456</v>
      </c>
      <c r="C4026" s="180">
        <v>6000</v>
      </c>
    </row>
    <row r="4027" spans="1:3" x14ac:dyDescent="0.25">
      <c r="A4027" s="178">
        <v>64635</v>
      </c>
      <c r="B4027" s="179" t="s">
        <v>456</v>
      </c>
      <c r="C4027" s="180">
        <v>704</v>
      </c>
    </row>
    <row r="4028" spans="1:3" x14ac:dyDescent="0.25">
      <c r="A4028" s="178">
        <v>64636</v>
      </c>
      <c r="B4028" s="179" t="s">
        <v>456</v>
      </c>
      <c r="C4028" s="180">
        <v>740</v>
      </c>
    </row>
    <row r="4029" spans="1:3" x14ac:dyDescent="0.25">
      <c r="A4029" s="178">
        <v>64637</v>
      </c>
      <c r="B4029" s="179" t="s">
        <v>456</v>
      </c>
      <c r="C4029" s="180">
        <v>704</v>
      </c>
    </row>
    <row r="4030" spans="1:3" x14ac:dyDescent="0.25">
      <c r="A4030" s="178">
        <v>64638</v>
      </c>
      <c r="B4030" s="179" t="s">
        <v>456</v>
      </c>
      <c r="C4030" s="180">
        <v>740</v>
      </c>
    </row>
    <row r="4031" spans="1:3" x14ac:dyDescent="0.25">
      <c r="A4031" s="178">
        <v>64639</v>
      </c>
      <c r="B4031" s="179" t="s">
        <v>456</v>
      </c>
      <c r="C4031" s="180">
        <v>6600</v>
      </c>
    </row>
    <row r="4032" spans="1:3" x14ac:dyDescent="0.25">
      <c r="A4032" s="178">
        <v>64640</v>
      </c>
      <c r="B4032" s="179" t="s">
        <v>456</v>
      </c>
      <c r="C4032" s="180">
        <v>6600</v>
      </c>
    </row>
    <row r="4033" spans="1:3" x14ac:dyDescent="0.25">
      <c r="A4033" s="178">
        <v>64641</v>
      </c>
      <c r="B4033" s="179" t="s">
        <v>456</v>
      </c>
      <c r="C4033" s="180">
        <v>2600</v>
      </c>
    </row>
    <row r="4034" spans="1:3" x14ac:dyDescent="0.25">
      <c r="A4034" s="178">
        <v>64642</v>
      </c>
      <c r="B4034" s="179" t="s">
        <v>456</v>
      </c>
      <c r="C4034" s="180">
        <v>6800</v>
      </c>
    </row>
    <row r="4035" spans="1:3" x14ac:dyDescent="0.25">
      <c r="A4035" s="178">
        <v>64643</v>
      </c>
      <c r="B4035" s="179" t="s">
        <v>456</v>
      </c>
      <c r="C4035" s="180">
        <v>4800</v>
      </c>
    </row>
    <row r="4036" spans="1:3" x14ac:dyDescent="0.25">
      <c r="A4036" s="178">
        <v>64644</v>
      </c>
      <c r="B4036" s="179" t="s">
        <v>456</v>
      </c>
      <c r="C4036" s="180">
        <v>6800</v>
      </c>
    </row>
    <row r="4037" spans="1:3" x14ac:dyDescent="0.25">
      <c r="A4037" s="178">
        <v>64645</v>
      </c>
      <c r="B4037" s="179" t="s">
        <v>456</v>
      </c>
      <c r="C4037" s="180">
        <v>6800</v>
      </c>
    </row>
    <row r="4038" spans="1:3" x14ac:dyDescent="0.25">
      <c r="A4038" s="178">
        <v>64646</v>
      </c>
      <c r="B4038" s="179" t="s">
        <v>456</v>
      </c>
      <c r="C4038" s="180">
        <v>6600</v>
      </c>
    </row>
    <row r="4039" spans="1:3" x14ac:dyDescent="0.25">
      <c r="A4039" s="178">
        <v>64647</v>
      </c>
      <c r="B4039" s="179" t="s">
        <v>456</v>
      </c>
      <c r="C4039" s="180">
        <v>6800</v>
      </c>
    </row>
    <row r="4040" spans="1:3" x14ac:dyDescent="0.25">
      <c r="A4040" s="178">
        <v>64648</v>
      </c>
      <c r="B4040" s="179" t="s">
        <v>456</v>
      </c>
      <c r="C4040" s="180">
        <v>6600</v>
      </c>
    </row>
    <row r="4041" spans="1:3" x14ac:dyDescent="0.25">
      <c r="A4041" s="178">
        <v>64649</v>
      </c>
      <c r="B4041" s="179" t="s">
        <v>456</v>
      </c>
      <c r="C4041" s="180">
        <v>6800</v>
      </c>
    </row>
    <row r="4042" spans="1:3" x14ac:dyDescent="0.25">
      <c r="A4042" s="178">
        <v>64650</v>
      </c>
      <c r="B4042" s="179" t="s">
        <v>456</v>
      </c>
      <c r="C4042" s="180">
        <v>6800</v>
      </c>
    </row>
    <row r="4043" spans="1:3" x14ac:dyDescent="0.25">
      <c r="A4043" s="178">
        <v>64651</v>
      </c>
      <c r="B4043" s="179" t="s">
        <v>456</v>
      </c>
      <c r="C4043" s="180">
        <v>6600</v>
      </c>
    </row>
    <row r="4044" spans="1:3" x14ac:dyDescent="0.25">
      <c r="A4044" s="178">
        <v>64703</v>
      </c>
      <c r="B4044" s="179" t="s">
        <v>456</v>
      </c>
      <c r="C4044" s="180">
        <v>740</v>
      </c>
    </row>
    <row r="4045" spans="1:3" x14ac:dyDescent="0.25">
      <c r="A4045" s="178">
        <v>64704</v>
      </c>
      <c r="B4045" s="179" t="s">
        <v>456</v>
      </c>
      <c r="C4045" s="180">
        <v>6600</v>
      </c>
    </row>
    <row r="4046" spans="1:3" x14ac:dyDescent="0.25">
      <c r="A4046" s="178">
        <v>64705</v>
      </c>
      <c r="B4046" s="179" t="s">
        <v>456</v>
      </c>
      <c r="C4046" s="180">
        <v>6600</v>
      </c>
    </row>
    <row r="4047" spans="1:3" x14ac:dyDescent="0.25">
      <c r="A4047" s="178">
        <v>64706</v>
      </c>
      <c r="B4047" s="179" t="s">
        <v>456</v>
      </c>
      <c r="C4047" s="180">
        <v>6600</v>
      </c>
    </row>
    <row r="4048" spans="1:3" x14ac:dyDescent="0.25">
      <c r="A4048" s="178">
        <v>64707</v>
      </c>
      <c r="B4048" s="179" t="s">
        <v>456</v>
      </c>
      <c r="C4048" s="180">
        <v>6600</v>
      </c>
    </row>
    <row r="4049" spans="1:3" x14ac:dyDescent="0.25">
      <c r="A4049" s="178">
        <v>64709</v>
      </c>
      <c r="B4049" s="179" t="s">
        <v>456</v>
      </c>
      <c r="C4049" s="180">
        <v>6600</v>
      </c>
    </row>
    <row r="4050" spans="1:3" x14ac:dyDescent="0.25">
      <c r="A4050" s="178">
        <v>64710</v>
      </c>
      <c r="B4050" s="179" t="s">
        <v>456</v>
      </c>
      <c r="C4050" s="180">
        <v>6600</v>
      </c>
    </row>
    <row r="4051" spans="1:3" x14ac:dyDescent="0.25">
      <c r="A4051" s="178">
        <v>64711</v>
      </c>
      <c r="B4051" s="179" t="s">
        <v>456</v>
      </c>
      <c r="C4051" s="180">
        <v>6800</v>
      </c>
    </row>
    <row r="4052" spans="1:3" x14ac:dyDescent="0.25">
      <c r="A4052" s="178">
        <v>64712</v>
      </c>
      <c r="B4052" s="179" t="s">
        <v>456</v>
      </c>
      <c r="C4052" s="180">
        <v>6600</v>
      </c>
    </row>
    <row r="4053" spans="1:3" x14ac:dyDescent="0.25">
      <c r="A4053" s="178">
        <v>64713</v>
      </c>
      <c r="B4053" s="179" t="s">
        <v>456</v>
      </c>
      <c r="C4053" s="180">
        <v>6800</v>
      </c>
    </row>
    <row r="4054" spans="1:3" x14ac:dyDescent="0.25">
      <c r="A4054" s="178">
        <v>64715</v>
      </c>
      <c r="B4054" s="179" t="s">
        <v>456</v>
      </c>
      <c r="C4054" s="180">
        <v>6800</v>
      </c>
    </row>
    <row r="4055" spans="1:3" x14ac:dyDescent="0.25">
      <c r="A4055" s="178">
        <v>64716</v>
      </c>
      <c r="B4055" s="179" t="s">
        <v>456</v>
      </c>
      <c r="C4055" s="180">
        <v>6800</v>
      </c>
    </row>
    <row r="4056" spans="1:3" x14ac:dyDescent="0.25">
      <c r="A4056" s="178">
        <v>64717</v>
      </c>
      <c r="B4056" s="179" t="s">
        <v>456</v>
      </c>
      <c r="C4056" s="180">
        <v>6800</v>
      </c>
    </row>
    <row r="4057" spans="1:3" x14ac:dyDescent="0.25">
      <c r="A4057" s="178">
        <v>64719</v>
      </c>
      <c r="B4057" s="179" t="s">
        <v>456</v>
      </c>
      <c r="C4057" s="180">
        <v>6800</v>
      </c>
    </row>
    <row r="4058" spans="1:3" x14ac:dyDescent="0.25">
      <c r="A4058" s="178">
        <v>64720</v>
      </c>
      <c r="B4058" s="179" t="s">
        <v>456</v>
      </c>
      <c r="C4058" s="180">
        <v>6600</v>
      </c>
    </row>
    <row r="4059" spans="1:3" x14ac:dyDescent="0.25">
      <c r="A4059" s="178">
        <v>64721</v>
      </c>
      <c r="B4059" s="179" t="s">
        <v>456</v>
      </c>
      <c r="C4059" s="180">
        <v>6600</v>
      </c>
    </row>
    <row r="4060" spans="1:3" x14ac:dyDescent="0.25">
      <c r="A4060" s="178">
        <v>64750</v>
      </c>
      <c r="B4060" s="179" t="s">
        <v>456</v>
      </c>
      <c r="C4060" s="180">
        <v>99999</v>
      </c>
    </row>
    <row r="4061" spans="1:3" x14ac:dyDescent="0.25">
      <c r="A4061" s="178">
        <v>64751</v>
      </c>
      <c r="B4061" s="179" t="s">
        <v>456</v>
      </c>
      <c r="C4061" s="180">
        <v>99999</v>
      </c>
    </row>
    <row r="4062" spans="1:3" x14ac:dyDescent="0.25">
      <c r="A4062" s="178">
        <v>65029</v>
      </c>
      <c r="B4062" s="179" t="s">
        <v>456</v>
      </c>
      <c r="C4062" s="180">
        <v>99999</v>
      </c>
    </row>
    <row r="4063" spans="1:3" x14ac:dyDescent="0.25">
      <c r="A4063" s="178">
        <v>65031</v>
      </c>
      <c r="B4063" s="179" t="s">
        <v>456</v>
      </c>
      <c r="C4063" s="180">
        <v>99999</v>
      </c>
    </row>
    <row r="4064" spans="1:3" x14ac:dyDescent="0.25">
      <c r="A4064" s="178">
        <v>65047</v>
      </c>
      <c r="B4064" s="179" t="s">
        <v>456</v>
      </c>
      <c r="C4064" s="180">
        <v>99999</v>
      </c>
    </row>
    <row r="4065" spans="1:3" x14ac:dyDescent="0.25">
      <c r="A4065" s="178">
        <v>65192</v>
      </c>
      <c r="B4065" s="179" t="s">
        <v>456</v>
      </c>
      <c r="C4065" s="180">
        <v>250</v>
      </c>
    </row>
    <row r="4066" spans="1:3" x14ac:dyDescent="0.25">
      <c r="A4066" s="178">
        <v>65221</v>
      </c>
      <c r="B4066" s="179" t="s">
        <v>456</v>
      </c>
      <c r="C4066" s="180">
        <v>250</v>
      </c>
    </row>
    <row r="4067" spans="1:3" x14ac:dyDescent="0.25">
      <c r="A4067" s="178">
        <v>65246</v>
      </c>
      <c r="B4067" s="179" t="s">
        <v>456</v>
      </c>
      <c r="C4067" s="180">
        <v>99999</v>
      </c>
    </row>
    <row r="4068" spans="1:3" x14ac:dyDescent="0.25">
      <c r="A4068" s="178">
        <v>65527</v>
      </c>
      <c r="B4068" s="179" t="s">
        <v>456</v>
      </c>
      <c r="C4068" s="180">
        <v>99999</v>
      </c>
    </row>
    <row r="4069" spans="1:3" x14ac:dyDescent="0.25">
      <c r="A4069" s="178">
        <v>65530</v>
      </c>
      <c r="B4069" s="179" t="s">
        <v>456</v>
      </c>
      <c r="C4069" s="180">
        <v>99999</v>
      </c>
    </row>
    <row r="4070" spans="1:3" x14ac:dyDescent="0.25">
      <c r="A4070" s="178">
        <v>65538</v>
      </c>
      <c r="B4070" s="179" t="s">
        <v>456</v>
      </c>
      <c r="C4070" s="180">
        <v>99999</v>
      </c>
    </row>
    <row r="4071" spans="1:3" x14ac:dyDescent="0.25">
      <c r="A4071" s="178">
        <v>65616</v>
      </c>
      <c r="B4071" s="179" t="s">
        <v>456</v>
      </c>
      <c r="C4071" s="180">
        <v>3</v>
      </c>
    </row>
    <row r="4072" spans="1:3" x14ac:dyDescent="0.25">
      <c r="A4072" s="178">
        <v>65617</v>
      </c>
      <c r="B4072" s="179" t="s">
        <v>456</v>
      </c>
      <c r="C4072" s="180">
        <v>3</v>
      </c>
    </row>
    <row r="4073" spans="1:3" x14ac:dyDescent="0.25">
      <c r="A4073" s="178">
        <v>65897</v>
      </c>
      <c r="B4073" s="179" t="s">
        <v>456</v>
      </c>
      <c r="C4073" s="180">
        <v>99999</v>
      </c>
    </row>
    <row r="4074" spans="1:3" x14ac:dyDescent="0.25">
      <c r="A4074" s="178">
        <v>66413</v>
      </c>
      <c r="B4074" s="179" t="s">
        <v>456</v>
      </c>
      <c r="C4074" s="180">
        <v>450</v>
      </c>
    </row>
    <row r="4075" spans="1:3" x14ac:dyDescent="0.25">
      <c r="A4075" s="178">
        <v>67203</v>
      </c>
      <c r="B4075" s="179" t="s">
        <v>456</v>
      </c>
      <c r="C4075" s="180">
        <v>500</v>
      </c>
    </row>
    <row r="4076" spans="1:3" x14ac:dyDescent="0.25">
      <c r="A4076" s="178">
        <v>67309</v>
      </c>
      <c r="B4076" s="179" t="s">
        <v>456</v>
      </c>
      <c r="C4076" s="180">
        <v>1000</v>
      </c>
    </row>
    <row r="4077" spans="1:3" x14ac:dyDescent="0.25">
      <c r="A4077" s="178">
        <v>67372</v>
      </c>
      <c r="B4077" s="179" t="s">
        <v>456</v>
      </c>
      <c r="C4077" s="180">
        <v>1000</v>
      </c>
    </row>
    <row r="4078" spans="1:3" x14ac:dyDescent="0.25">
      <c r="A4078" s="178">
        <v>67383</v>
      </c>
      <c r="B4078" s="179" t="s">
        <v>456</v>
      </c>
      <c r="C4078" s="180">
        <v>1000</v>
      </c>
    </row>
    <row r="4079" spans="1:3" x14ac:dyDescent="0.25">
      <c r="A4079" s="178">
        <v>67403</v>
      </c>
      <c r="B4079" s="179" t="s">
        <v>456</v>
      </c>
      <c r="C4079" s="180">
        <v>1</v>
      </c>
    </row>
    <row r="4080" spans="1:3" x14ac:dyDescent="0.25">
      <c r="A4080" s="178">
        <v>67411</v>
      </c>
      <c r="B4080" s="179" t="s">
        <v>456</v>
      </c>
      <c r="C4080" s="180">
        <v>36</v>
      </c>
    </row>
    <row r="4081" spans="1:3" x14ac:dyDescent="0.25">
      <c r="A4081" s="178">
        <v>67412</v>
      </c>
      <c r="B4081" s="179" t="s">
        <v>456</v>
      </c>
      <c r="C4081" s="180">
        <v>24</v>
      </c>
    </row>
    <row r="4082" spans="1:3" x14ac:dyDescent="0.25">
      <c r="A4082" s="178">
        <v>67420</v>
      </c>
      <c r="B4082" s="179" t="s">
        <v>456</v>
      </c>
      <c r="C4082" s="180">
        <v>270</v>
      </c>
    </row>
    <row r="4083" spans="1:3" x14ac:dyDescent="0.25">
      <c r="A4083" s="178">
        <v>67425</v>
      </c>
      <c r="B4083" s="179" t="s">
        <v>456</v>
      </c>
      <c r="C4083" s="180">
        <v>950</v>
      </c>
    </row>
    <row r="4084" spans="1:3" x14ac:dyDescent="0.25">
      <c r="A4084" s="178">
        <v>67429</v>
      </c>
      <c r="B4084" s="179" t="s">
        <v>456</v>
      </c>
      <c r="C4084" s="180">
        <v>36</v>
      </c>
    </row>
    <row r="4085" spans="1:3" x14ac:dyDescent="0.25">
      <c r="A4085" s="178">
        <v>67467</v>
      </c>
      <c r="B4085" s="179" t="s">
        <v>456</v>
      </c>
      <c r="C4085" s="180">
        <v>675</v>
      </c>
    </row>
    <row r="4086" spans="1:3" x14ac:dyDescent="0.25">
      <c r="A4086" s="178">
        <v>67477</v>
      </c>
      <c r="B4086" s="179" t="s">
        <v>456</v>
      </c>
      <c r="C4086" s="180">
        <v>1</v>
      </c>
    </row>
    <row r="4087" spans="1:3" x14ac:dyDescent="0.25">
      <c r="A4087" s="178">
        <v>67755</v>
      </c>
      <c r="B4087" s="179" t="s">
        <v>456</v>
      </c>
      <c r="C4087" s="180">
        <v>80</v>
      </c>
    </row>
    <row r="4088" spans="1:3" x14ac:dyDescent="0.25">
      <c r="A4088" s="178">
        <v>67893</v>
      </c>
      <c r="B4088" s="179" t="s">
        <v>456</v>
      </c>
      <c r="C4088" s="180">
        <v>500</v>
      </c>
    </row>
    <row r="4089" spans="1:3" x14ac:dyDescent="0.25">
      <c r="A4089" s="178">
        <v>68309</v>
      </c>
      <c r="B4089" s="179" t="s">
        <v>456</v>
      </c>
      <c r="C4089" s="180">
        <v>300</v>
      </c>
    </row>
    <row r="4090" spans="1:3" x14ac:dyDescent="0.25">
      <c r="A4090" s="178">
        <v>68357</v>
      </c>
      <c r="B4090" s="179" t="s">
        <v>456</v>
      </c>
      <c r="C4090" s="180">
        <v>250</v>
      </c>
    </row>
    <row r="4091" spans="1:3" x14ac:dyDescent="0.25">
      <c r="A4091" s="178">
        <v>68380</v>
      </c>
      <c r="B4091" s="179" t="s">
        <v>456</v>
      </c>
      <c r="C4091" s="180">
        <v>300</v>
      </c>
    </row>
    <row r="4092" spans="1:3" x14ac:dyDescent="0.25">
      <c r="A4092" s="178">
        <v>68441</v>
      </c>
      <c r="B4092" s="179" t="s">
        <v>456</v>
      </c>
      <c r="C4092" s="180">
        <v>500</v>
      </c>
    </row>
    <row r="4093" spans="1:3" x14ac:dyDescent="0.25">
      <c r="A4093" s="178">
        <v>68453</v>
      </c>
      <c r="B4093" s="179" t="s">
        <v>456</v>
      </c>
      <c r="C4093" s="180">
        <v>500</v>
      </c>
    </row>
    <row r="4094" spans="1:3" x14ac:dyDescent="0.25">
      <c r="A4094" s="178">
        <v>68583</v>
      </c>
      <c r="B4094" s="179" t="s">
        <v>456</v>
      </c>
      <c r="C4094" s="180">
        <v>99999</v>
      </c>
    </row>
    <row r="4095" spans="1:3" x14ac:dyDescent="0.25">
      <c r="A4095" s="178">
        <v>68605</v>
      </c>
      <c r="B4095" s="179" t="s">
        <v>456</v>
      </c>
      <c r="C4095" s="180">
        <v>600</v>
      </c>
    </row>
    <row r="4096" spans="1:3" x14ac:dyDescent="0.25">
      <c r="A4096" s="178">
        <v>68735</v>
      </c>
      <c r="B4096" s="179" t="s">
        <v>456</v>
      </c>
      <c r="C4096" s="180">
        <v>780</v>
      </c>
    </row>
    <row r="4097" spans="1:3" x14ac:dyDescent="0.25">
      <c r="A4097" s="178">
        <v>68740</v>
      </c>
      <c r="B4097" s="179" t="s">
        <v>456</v>
      </c>
      <c r="C4097" s="180">
        <v>9000</v>
      </c>
    </row>
    <row r="4098" spans="1:3" x14ac:dyDescent="0.25">
      <c r="A4098" s="178">
        <v>68755</v>
      </c>
      <c r="B4098" s="179" t="s">
        <v>456</v>
      </c>
      <c r="C4098" s="180">
        <v>500</v>
      </c>
    </row>
    <row r="4099" spans="1:3" x14ac:dyDescent="0.25">
      <c r="A4099" s="178">
        <v>68757</v>
      </c>
      <c r="B4099" s="179" t="s">
        <v>456</v>
      </c>
      <c r="C4099" s="180">
        <v>300</v>
      </c>
    </row>
    <row r="4100" spans="1:3" x14ac:dyDescent="0.25">
      <c r="A4100" s="178">
        <v>68794</v>
      </c>
      <c r="B4100" s="179" t="s">
        <v>456</v>
      </c>
      <c r="C4100" s="180">
        <v>300</v>
      </c>
    </row>
    <row r="4101" spans="1:3" x14ac:dyDescent="0.25">
      <c r="A4101" s="178">
        <v>68810</v>
      </c>
      <c r="B4101" s="179" t="s">
        <v>456</v>
      </c>
      <c r="C4101" s="180">
        <v>99999</v>
      </c>
    </row>
    <row r="4102" spans="1:3" x14ac:dyDescent="0.25">
      <c r="A4102" s="178">
        <v>68811</v>
      </c>
      <c r="B4102" s="179" t="s">
        <v>456</v>
      </c>
      <c r="C4102" s="180">
        <v>99999</v>
      </c>
    </row>
    <row r="4103" spans="1:3" x14ac:dyDescent="0.25">
      <c r="A4103" s="178">
        <v>68812</v>
      </c>
      <c r="B4103" s="179" t="s">
        <v>456</v>
      </c>
      <c r="C4103" s="180">
        <v>300</v>
      </c>
    </row>
    <row r="4104" spans="1:3" x14ac:dyDescent="0.25">
      <c r="A4104" s="178">
        <v>68815</v>
      </c>
      <c r="B4104" s="179" t="s">
        <v>456</v>
      </c>
      <c r="C4104" s="180">
        <v>300</v>
      </c>
    </row>
    <row r="4105" spans="1:3" x14ac:dyDescent="0.25">
      <c r="A4105" s="178">
        <v>68818</v>
      </c>
      <c r="B4105" s="179" t="s">
        <v>456</v>
      </c>
      <c r="C4105" s="180">
        <v>99999</v>
      </c>
    </row>
    <row r="4106" spans="1:3" x14ac:dyDescent="0.25">
      <c r="A4106" s="178">
        <v>68825</v>
      </c>
      <c r="B4106" s="179" t="s">
        <v>456</v>
      </c>
      <c r="C4106" s="180">
        <v>500</v>
      </c>
    </row>
    <row r="4107" spans="1:3" x14ac:dyDescent="0.25">
      <c r="A4107" s="178">
        <v>68842</v>
      </c>
      <c r="B4107" s="179" t="s">
        <v>456</v>
      </c>
      <c r="C4107" s="180">
        <v>280</v>
      </c>
    </row>
    <row r="4108" spans="1:3" x14ac:dyDescent="0.25">
      <c r="A4108" s="178">
        <v>68844</v>
      </c>
      <c r="B4108" s="179" t="s">
        <v>456</v>
      </c>
      <c r="C4108" s="180">
        <v>280</v>
      </c>
    </row>
    <row r="4109" spans="1:3" x14ac:dyDescent="0.25">
      <c r="A4109" s="178">
        <v>68848</v>
      </c>
      <c r="B4109" s="179" t="s">
        <v>456</v>
      </c>
      <c r="C4109" s="180">
        <v>300</v>
      </c>
    </row>
    <row r="4110" spans="1:3" x14ac:dyDescent="0.25">
      <c r="A4110" s="178">
        <v>68850</v>
      </c>
      <c r="B4110" s="179" t="s">
        <v>456</v>
      </c>
      <c r="C4110" s="180">
        <v>250</v>
      </c>
    </row>
    <row r="4111" spans="1:3" x14ac:dyDescent="0.25">
      <c r="A4111" s="178">
        <v>68894</v>
      </c>
      <c r="B4111" s="179" t="s">
        <v>456</v>
      </c>
      <c r="C4111" s="180">
        <v>300</v>
      </c>
    </row>
    <row r="4112" spans="1:3" x14ac:dyDescent="0.25">
      <c r="A4112" s="178">
        <v>68921</v>
      </c>
      <c r="B4112" s="179" t="s">
        <v>456</v>
      </c>
      <c r="C4112" s="180">
        <v>250</v>
      </c>
    </row>
    <row r="4113" spans="1:3" x14ac:dyDescent="0.25">
      <c r="A4113" s="178">
        <v>68937</v>
      </c>
      <c r="B4113" s="179" t="s">
        <v>456</v>
      </c>
      <c r="C4113" s="180">
        <v>80</v>
      </c>
    </row>
    <row r="4114" spans="1:3" x14ac:dyDescent="0.25">
      <c r="A4114" s="178">
        <v>68939</v>
      </c>
      <c r="B4114" s="179" t="s">
        <v>456</v>
      </c>
      <c r="C4114" s="180">
        <v>450</v>
      </c>
    </row>
    <row r="4115" spans="1:3" x14ac:dyDescent="0.25">
      <c r="A4115" s="178">
        <v>68941</v>
      </c>
      <c r="B4115" s="179" t="s">
        <v>456</v>
      </c>
      <c r="C4115" s="180">
        <v>500</v>
      </c>
    </row>
    <row r="4116" spans="1:3" x14ac:dyDescent="0.25">
      <c r="A4116" s="178">
        <v>68946</v>
      </c>
      <c r="B4116" s="179" t="s">
        <v>456</v>
      </c>
      <c r="C4116" s="180">
        <v>300</v>
      </c>
    </row>
    <row r="4117" spans="1:3" x14ac:dyDescent="0.25">
      <c r="A4117" s="178">
        <v>68947</v>
      </c>
      <c r="B4117" s="179" t="s">
        <v>456</v>
      </c>
      <c r="C4117" s="180">
        <v>99999</v>
      </c>
    </row>
    <row r="4118" spans="1:3" x14ac:dyDescent="0.25">
      <c r="A4118" s="178">
        <v>68948</v>
      </c>
      <c r="B4118" s="179" t="s">
        <v>456</v>
      </c>
      <c r="C4118" s="180">
        <v>99999</v>
      </c>
    </row>
    <row r="4119" spans="1:3" x14ac:dyDescent="0.25">
      <c r="A4119" s="178">
        <v>68961</v>
      </c>
      <c r="B4119" s="179" t="s">
        <v>456</v>
      </c>
      <c r="C4119" s="180">
        <v>300</v>
      </c>
    </row>
    <row r="4120" spans="1:3" x14ac:dyDescent="0.25">
      <c r="A4120" s="178">
        <v>68966</v>
      </c>
      <c r="B4120" s="179" t="s">
        <v>456</v>
      </c>
      <c r="C4120" s="180">
        <v>300</v>
      </c>
    </row>
    <row r="4121" spans="1:3" x14ac:dyDescent="0.25">
      <c r="A4121" s="178">
        <v>68967</v>
      </c>
      <c r="B4121" s="179" t="s">
        <v>456</v>
      </c>
      <c r="C4121" s="180">
        <v>500</v>
      </c>
    </row>
    <row r="4122" spans="1:3" x14ac:dyDescent="0.25">
      <c r="A4122" s="178">
        <v>68978</v>
      </c>
      <c r="B4122" s="179" t="s">
        <v>456</v>
      </c>
      <c r="C4122" s="180">
        <v>500</v>
      </c>
    </row>
    <row r="4123" spans="1:3" x14ac:dyDescent="0.25">
      <c r="A4123" s="178">
        <v>68983</v>
      </c>
      <c r="B4123" s="179" t="s">
        <v>456</v>
      </c>
      <c r="C4123" s="180">
        <v>500</v>
      </c>
    </row>
    <row r="4124" spans="1:3" x14ac:dyDescent="0.25">
      <c r="A4124" s="178">
        <v>68997</v>
      </c>
      <c r="B4124" s="179" t="s">
        <v>456</v>
      </c>
      <c r="C4124" s="180">
        <v>250</v>
      </c>
    </row>
    <row r="4125" spans="1:3" x14ac:dyDescent="0.25">
      <c r="A4125" s="178">
        <v>68999</v>
      </c>
      <c r="B4125" s="179" t="s">
        <v>456</v>
      </c>
      <c r="C4125" s="180">
        <v>250</v>
      </c>
    </row>
    <row r="4126" spans="1:3" x14ac:dyDescent="0.25">
      <c r="A4126" s="178">
        <v>69001</v>
      </c>
      <c r="B4126" s="179" t="s">
        <v>456</v>
      </c>
      <c r="C4126" s="180">
        <v>250</v>
      </c>
    </row>
    <row r="4127" spans="1:3" x14ac:dyDescent="0.25">
      <c r="A4127" s="178">
        <v>69005</v>
      </c>
      <c r="B4127" s="179" t="s">
        <v>456</v>
      </c>
      <c r="C4127" s="180">
        <v>250</v>
      </c>
    </row>
    <row r="4128" spans="1:3" x14ac:dyDescent="0.25">
      <c r="A4128" s="178">
        <v>69020</v>
      </c>
      <c r="B4128" s="179" t="s">
        <v>456</v>
      </c>
      <c r="C4128" s="180">
        <v>99999</v>
      </c>
    </row>
    <row r="4129" spans="1:3" x14ac:dyDescent="0.25">
      <c r="A4129" s="178">
        <v>69021</v>
      </c>
      <c r="B4129" s="179" t="s">
        <v>456</v>
      </c>
      <c r="C4129" s="180">
        <v>99999</v>
      </c>
    </row>
    <row r="4130" spans="1:3" x14ac:dyDescent="0.25">
      <c r="A4130" s="178">
        <v>69031</v>
      </c>
      <c r="B4130" s="179" t="s">
        <v>456</v>
      </c>
      <c r="C4130" s="180">
        <v>300</v>
      </c>
    </row>
    <row r="4131" spans="1:3" x14ac:dyDescent="0.25">
      <c r="A4131" s="178">
        <v>69032</v>
      </c>
      <c r="B4131" s="179" t="s">
        <v>456</v>
      </c>
      <c r="C4131" s="180">
        <v>300</v>
      </c>
    </row>
    <row r="4132" spans="1:3" x14ac:dyDescent="0.25">
      <c r="A4132" s="178">
        <v>69034</v>
      </c>
      <c r="B4132" s="179" t="s">
        <v>456</v>
      </c>
      <c r="C4132" s="180">
        <v>300</v>
      </c>
    </row>
    <row r="4133" spans="1:3" x14ac:dyDescent="0.25">
      <c r="A4133" s="178">
        <v>69035</v>
      </c>
      <c r="B4133" s="179" t="s">
        <v>456</v>
      </c>
      <c r="C4133" s="180">
        <v>300</v>
      </c>
    </row>
    <row r="4134" spans="1:3" x14ac:dyDescent="0.25">
      <c r="A4134" s="178">
        <v>69041</v>
      </c>
      <c r="B4134" s="179" t="s">
        <v>456</v>
      </c>
      <c r="C4134" s="180">
        <v>250</v>
      </c>
    </row>
    <row r="4135" spans="1:3" x14ac:dyDescent="0.25">
      <c r="A4135" s="178">
        <v>69048</v>
      </c>
      <c r="B4135" s="179" t="s">
        <v>456</v>
      </c>
      <c r="C4135" s="180">
        <v>450</v>
      </c>
    </row>
    <row r="4136" spans="1:3" x14ac:dyDescent="0.25">
      <c r="A4136" s="178">
        <v>69050</v>
      </c>
      <c r="B4136" s="179" t="s">
        <v>456</v>
      </c>
      <c r="C4136" s="180">
        <v>450</v>
      </c>
    </row>
    <row r="4137" spans="1:3" x14ac:dyDescent="0.25">
      <c r="A4137" s="178">
        <v>69053</v>
      </c>
      <c r="B4137" s="179" t="s">
        <v>456</v>
      </c>
      <c r="C4137" s="180">
        <v>300</v>
      </c>
    </row>
    <row r="4138" spans="1:3" x14ac:dyDescent="0.25">
      <c r="A4138" s="178">
        <v>69056</v>
      </c>
      <c r="B4138" s="179" t="s">
        <v>456</v>
      </c>
      <c r="C4138" s="180">
        <v>300</v>
      </c>
    </row>
    <row r="4139" spans="1:3" x14ac:dyDescent="0.25">
      <c r="A4139" s="178">
        <v>69066</v>
      </c>
      <c r="B4139" s="179" t="s">
        <v>456</v>
      </c>
      <c r="C4139" s="180">
        <v>80</v>
      </c>
    </row>
    <row r="4140" spans="1:3" x14ac:dyDescent="0.25">
      <c r="A4140" s="178">
        <v>69067</v>
      </c>
      <c r="B4140" s="179" t="s">
        <v>456</v>
      </c>
      <c r="C4140" s="180">
        <v>80</v>
      </c>
    </row>
    <row r="4141" spans="1:3" x14ac:dyDescent="0.25">
      <c r="A4141" s="178">
        <v>69075</v>
      </c>
      <c r="B4141" s="179" t="s">
        <v>456</v>
      </c>
      <c r="C4141" s="180">
        <v>450</v>
      </c>
    </row>
    <row r="4142" spans="1:3" x14ac:dyDescent="0.25">
      <c r="A4142" s="178">
        <v>69077</v>
      </c>
      <c r="B4142" s="179" t="s">
        <v>456</v>
      </c>
      <c r="C4142" s="180">
        <v>250</v>
      </c>
    </row>
    <row r="4143" spans="1:3" x14ac:dyDescent="0.25">
      <c r="A4143" s="178">
        <v>69085</v>
      </c>
      <c r="B4143" s="179" t="s">
        <v>456</v>
      </c>
      <c r="C4143" s="180">
        <v>450</v>
      </c>
    </row>
    <row r="4144" spans="1:3" x14ac:dyDescent="0.25">
      <c r="A4144" s="178">
        <v>69087</v>
      </c>
      <c r="B4144" s="179" t="s">
        <v>456</v>
      </c>
      <c r="C4144" s="180">
        <v>450</v>
      </c>
    </row>
    <row r="4145" spans="1:3" x14ac:dyDescent="0.25">
      <c r="A4145" s="178">
        <v>69096</v>
      </c>
      <c r="B4145" s="179" t="s">
        <v>456</v>
      </c>
      <c r="C4145" s="180">
        <v>688</v>
      </c>
    </row>
    <row r="4146" spans="1:3" x14ac:dyDescent="0.25">
      <c r="A4146" s="178">
        <v>69099</v>
      </c>
      <c r="B4146" s="179" t="s">
        <v>456</v>
      </c>
      <c r="C4146" s="180">
        <v>250</v>
      </c>
    </row>
    <row r="4147" spans="1:3" x14ac:dyDescent="0.25">
      <c r="A4147" s="178">
        <v>69105</v>
      </c>
      <c r="B4147" s="179" t="s">
        <v>456</v>
      </c>
      <c r="C4147" s="180">
        <v>300</v>
      </c>
    </row>
    <row r="4148" spans="1:3" x14ac:dyDescent="0.25">
      <c r="A4148" s="178">
        <v>69108</v>
      </c>
      <c r="B4148" s="179" t="s">
        <v>456</v>
      </c>
      <c r="C4148" s="180">
        <v>300</v>
      </c>
    </row>
    <row r="4149" spans="1:3" x14ac:dyDescent="0.25">
      <c r="A4149" s="178">
        <v>69170</v>
      </c>
      <c r="B4149" s="179" t="s">
        <v>456</v>
      </c>
      <c r="C4149" s="180">
        <v>250</v>
      </c>
    </row>
    <row r="4150" spans="1:3" x14ac:dyDescent="0.25">
      <c r="A4150" s="178">
        <v>69174</v>
      </c>
      <c r="B4150" s="179" t="s">
        <v>456</v>
      </c>
      <c r="C4150" s="180">
        <v>250</v>
      </c>
    </row>
    <row r="4151" spans="1:3" x14ac:dyDescent="0.25">
      <c r="A4151" s="178">
        <v>69194</v>
      </c>
      <c r="B4151" s="179" t="s">
        <v>456</v>
      </c>
      <c r="C4151" s="180">
        <v>300</v>
      </c>
    </row>
    <row r="4152" spans="1:3" x14ac:dyDescent="0.25">
      <c r="A4152" s="178">
        <v>69198</v>
      </c>
      <c r="B4152" s="179" t="s">
        <v>456</v>
      </c>
      <c r="C4152" s="180">
        <v>3</v>
      </c>
    </row>
    <row r="4153" spans="1:3" x14ac:dyDescent="0.25">
      <c r="A4153" s="178">
        <v>69199</v>
      </c>
      <c r="B4153" s="179" t="s">
        <v>456</v>
      </c>
      <c r="C4153" s="180">
        <v>250</v>
      </c>
    </row>
    <row r="4154" spans="1:3" x14ac:dyDescent="0.25">
      <c r="A4154" s="178">
        <v>69208</v>
      </c>
      <c r="B4154" s="179" t="s">
        <v>456</v>
      </c>
      <c r="C4154" s="180">
        <v>280</v>
      </c>
    </row>
    <row r="4155" spans="1:3" x14ac:dyDescent="0.25">
      <c r="A4155" s="178">
        <v>69214</v>
      </c>
      <c r="B4155" s="179" t="s">
        <v>456</v>
      </c>
      <c r="C4155" s="180">
        <v>280</v>
      </c>
    </row>
    <row r="4156" spans="1:3" x14ac:dyDescent="0.25">
      <c r="A4156" s="178">
        <v>69215</v>
      </c>
      <c r="B4156" s="179" t="s">
        <v>456</v>
      </c>
      <c r="C4156" s="180">
        <v>500</v>
      </c>
    </row>
    <row r="4157" spans="1:3" x14ac:dyDescent="0.25">
      <c r="A4157" s="178">
        <v>69224</v>
      </c>
      <c r="B4157" s="179" t="s">
        <v>456</v>
      </c>
      <c r="C4157" s="180">
        <v>450</v>
      </c>
    </row>
    <row r="4158" spans="1:3" x14ac:dyDescent="0.25">
      <c r="A4158" s="178">
        <v>69228</v>
      </c>
      <c r="B4158" s="179" t="s">
        <v>456</v>
      </c>
      <c r="C4158" s="180">
        <v>280</v>
      </c>
    </row>
    <row r="4159" spans="1:3" x14ac:dyDescent="0.25">
      <c r="A4159" s="178">
        <v>69231</v>
      </c>
      <c r="B4159" s="179" t="s">
        <v>456</v>
      </c>
      <c r="C4159" s="180">
        <v>400</v>
      </c>
    </row>
    <row r="4160" spans="1:3" x14ac:dyDescent="0.25">
      <c r="A4160" s="178">
        <v>69240</v>
      </c>
      <c r="B4160" s="179" t="s">
        <v>456</v>
      </c>
      <c r="C4160" s="180">
        <v>280</v>
      </c>
    </row>
    <row r="4161" spans="1:3" x14ac:dyDescent="0.25">
      <c r="A4161" s="178">
        <v>69248</v>
      </c>
      <c r="B4161" s="179" t="s">
        <v>456</v>
      </c>
      <c r="C4161" s="180">
        <v>450</v>
      </c>
    </row>
    <row r="4162" spans="1:3" x14ac:dyDescent="0.25">
      <c r="A4162" s="178">
        <v>69250</v>
      </c>
      <c r="B4162" s="179" t="s">
        <v>456</v>
      </c>
      <c r="C4162" s="180">
        <v>400</v>
      </c>
    </row>
    <row r="4163" spans="1:3" x14ac:dyDescent="0.25">
      <c r="A4163" s="178">
        <v>69253</v>
      </c>
      <c r="B4163" s="179" t="s">
        <v>456</v>
      </c>
      <c r="C4163" s="180">
        <v>400</v>
      </c>
    </row>
    <row r="4164" spans="1:3" x14ac:dyDescent="0.25">
      <c r="A4164" s="178">
        <v>69259</v>
      </c>
      <c r="B4164" s="179" t="s">
        <v>456</v>
      </c>
      <c r="C4164" s="180">
        <v>500</v>
      </c>
    </row>
    <row r="4165" spans="1:3" x14ac:dyDescent="0.25">
      <c r="A4165" s="178">
        <v>69260</v>
      </c>
      <c r="B4165" s="179" t="s">
        <v>456</v>
      </c>
      <c r="C4165" s="180">
        <v>500</v>
      </c>
    </row>
    <row r="4166" spans="1:3" x14ac:dyDescent="0.25">
      <c r="A4166" s="178">
        <v>69266</v>
      </c>
      <c r="B4166" s="179" t="s">
        <v>456</v>
      </c>
      <c r="C4166" s="180">
        <v>450</v>
      </c>
    </row>
    <row r="4167" spans="1:3" x14ac:dyDescent="0.25">
      <c r="A4167" s="178">
        <v>69274</v>
      </c>
      <c r="B4167" s="179" t="s">
        <v>456</v>
      </c>
      <c r="C4167" s="180">
        <v>99999</v>
      </c>
    </row>
    <row r="4168" spans="1:3" x14ac:dyDescent="0.25">
      <c r="A4168" s="178">
        <v>69282</v>
      </c>
      <c r="B4168" s="179" t="s">
        <v>456</v>
      </c>
      <c r="C4168" s="180">
        <v>250</v>
      </c>
    </row>
    <row r="4169" spans="1:3" x14ac:dyDescent="0.25">
      <c r="A4169" s="178">
        <v>69285</v>
      </c>
      <c r="B4169" s="179" t="s">
        <v>456</v>
      </c>
      <c r="C4169" s="180">
        <v>250</v>
      </c>
    </row>
    <row r="4170" spans="1:3" x14ac:dyDescent="0.25">
      <c r="A4170" s="178">
        <v>69288</v>
      </c>
      <c r="B4170" s="179" t="s">
        <v>456</v>
      </c>
      <c r="C4170" s="180">
        <v>400</v>
      </c>
    </row>
    <row r="4171" spans="1:3" x14ac:dyDescent="0.25">
      <c r="A4171" s="178">
        <v>69289</v>
      </c>
      <c r="B4171" s="179" t="s">
        <v>456</v>
      </c>
      <c r="C4171" s="180">
        <v>400</v>
      </c>
    </row>
    <row r="4172" spans="1:3" x14ac:dyDescent="0.25">
      <c r="A4172" s="178">
        <v>69293</v>
      </c>
      <c r="B4172" s="179" t="s">
        <v>456</v>
      </c>
      <c r="C4172" s="180">
        <v>63</v>
      </c>
    </row>
    <row r="4173" spans="1:3" x14ac:dyDescent="0.25">
      <c r="A4173" s="178">
        <v>69307</v>
      </c>
      <c r="B4173" s="179" t="s">
        <v>456</v>
      </c>
      <c r="C4173" s="180">
        <v>300</v>
      </c>
    </row>
    <row r="4174" spans="1:3" x14ac:dyDescent="0.25">
      <c r="A4174" s="178">
        <v>69309</v>
      </c>
      <c r="B4174" s="179" t="s">
        <v>456</v>
      </c>
      <c r="C4174" s="180">
        <v>250</v>
      </c>
    </row>
    <row r="4175" spans="1:3" x14ac:dyDescent="0.25">
      <c r="A4175" s="178">
        <v>69311</v>
      </c>
      <c r="B4175" s="179" t="s">
        <v>456</v>
      </c>
      <c r="C4175" s="180">
        <v>250</v>
      </c>
    </row>
    <row r="4176" spans="1:3" x14ac:dyDescent="0.25">
      <c r="A4176" s="178">
        <v>69312</v>
      </c>
      <c r="B4176" s="179" t="s">
        <v>456</v>
      </c>
      <c r="C4176" s="180">
        <v>400</v>
      </c>
    </row>
    <row r="4177" spans="1:3" x14ac:dyDescent="0.25">
      <c r="A4177" s="178">
        <v>69313</v>
      </c>
      <c r="B4177" s="179" t="s">
        <v>456</v>
      </c>
      <c r="C4177" s="180">
        <v>400</v>
      </c>
    </row>
    <row r="4178" spans="1:3" x14ac:dyDescent="0.25">
      <c r="A4178" s="178">
        <v>69314</v>
      </c>
      <c r="B4178" s="179" t="s">
        <v>456</v>
      </c>
      <c r="C4178" s="180">
        <v>400</v>
      </c>
    </row>
    <row r="4179" spans="1:3" x14ac:dyDescent="0.25">
      <c r="A4179" s="178">
        <v>69317</v>
      </c>
      <c r="B4179" s="179" t="s">
        <v>456</v>
      </c>
      <c r="C4179" s="180">
        <v>250</v>
      </c>
    </row>
    <row r="4180" spans="1:3" x14ac:dyDescent="0.25">
      <c r="A4180" s="178">
        <v>69318</v>
      </c>
      <c r="B4180" s="179" t="s">
        <v>456</v>
      </c>
      <c r="C4180" s="180">
        <v>250</v>
      </c>
    </row>
    <row r="4181" spans="1:3" x14ac:dyDescent="0.25">
      <c r="A4181" s="178">
        <v>69326</v>
      </c>
      <c r="B4181" s="179" t="s">
        <v>456</v>
      </c>
      <c r="C4181" s="180">
        <v>450</v>
      </c>
    </row>
    <row r="4182" spans="1:3" x14ac:dyDescent="0.25">
      <c r="A4182" s="178">
        <v>69330</v>
      </c>
      <c r="B4182" s="179" t="s">
        <v>456</v>
      </c>
      <c r="C4182" s="180">
        <v>99999</v>
      </c>
    </row>
    <row r="4183" spans="1:3" x14ac:dyDescent="0.25">
      <c r="A4183" s="178">
        <v>69336</v>
      </c>
      <c r="B4183" s="179" t="s">
        <v>456</v>
      </c>
      <c r="C4183" s="180">
        <v>300</v>
      </c>
    </row>
    <row r="4184" spans="1:3" x14ac:dyDescent="0.25">
      <c r="A4184" s="178">
        <v>69337</v>
      </c>
      <c r="B4184" s="179" t="s">
        <v>456</v>
      </c>
      <c r="C4184" s="180">
        <v>250</v>
      </c>
    </row>
    <row r="4185" spans="1:3" x14ac:dyDescent="0.25">
      <c r="A4185" s="178">
        <v>69342</v>
      </c>
      <c r="B4185" s="179" t="s">
        <v>456</v>
      </c>
      <c r="C4185" s="180">
        <v>450</v>
      </c>
    </row>
    <row r="4186" spans="1:3" x14ac:dyDescent="0.25">
      <c r="A4186" s="178">
        <v>69343</v>
      </c>
      <c r="B4186" s="179" t="s">
        <v>456</v>
      </c>
      <c r="C4186" s="180">
        <v>450</v>
      </c>
    </row>
    <row r="4187" spans="1:3" x14ac:dyDescent="0.25">
      <c r="A4187" s="178">
        <v>69345</v>
      </c>
      <c r="B4187" s="179" t="s">
        <v>456</v>
      </c>
      <c r="C4187" s="180">
        <v>300</v>
      </c>
    </row>
    <row r="4188" spans="1:3" x14ac:dyDescent="0.25">
      <c r="A4188" s="178">
        <v>69353</v>
      </c>
      <c r="B4188" s="179" t="s">
        <v>456</v>
      </c>
      <c r="C4188" s="180">
        <v>450</v>
      </c>
    </row>
    <row r="4189" spans="1:3" x14ac:dyDescent="0.25">
      <c r="A4189" s="178">
        <v>69355</v>
      </c>
      <c r="B4189" s="179" t="s">
        <v>456</v>
      </c>
      <c r="C4189" s="180">
        <v>250</v>
      </c>
    </row>
    <row r="4190" spans="1:3" x14ac:dyDescent="0.25">
      <c r="A4190" s="178">
        <v>69357</v>
      </c>
      <c r="B4190" s="179" t="s">
        <v>456</v>
      </c>
      <c r="C4190" s="180">
        <v>99999</v>
      </c>
    </row>
    <row r="4191" spans="1:3" x14ac:dyDescent="0.25">
      <c r="A4191" s="178">
        <v>69358</v>
      </c>
      <c r="B4191" s="179" t="s">
        <v>456</v>
      </c>
      <c r="C4191" s="180">
        <v>99999</v>
      </c>
    </row>
    <row r="4192" spans="1:3" x14ac:dyDescent="0.25">
      <c r="A4192" s="178">
        <v>69359</v>
      </c>
      <c r="B4192" s="179" t="s">
        <v>456</v>
      </c>
      <c r="C4192" s="180">
        <v>99999</v>
      </c>
    </row>
    <row r="4193" spans="1:3" x14ac:dyDescent="0.25">
      <c r="A4193" s="178">
        <v>69364</v>
      </c>
      <c r="B4193" s="179" t="s">
        <v>456</v>
      </c>
      <c r="C4193" s="180">
        <v>300</v>
      </c>
    </row>
    <row r="4194" spans="1:3" x14ac:dyDescent="0.25">
      <c r="A4194" s="178">
        <v>69368</v>
      </c>
      <c r="B4194" s="179" t="s">
        <v>456</v>
      </c>
      <c r="C4194" s="180">
        <v>300</v>
      </c>
    </row>
    <row r="4195" spans="1:3" x14ac:dyDescent="0.25">
      <c r="A4195" s="178">
        <v>69369</v>
      </c>
      <c r="B4195" s="179" t="s">
        <v>456</v>
      </c>
      <c r="C4195" s="180">
        <v>300</v>
      </c>
    </row>
    <row r="4196" spans="1:3" x14ac:dyDescent="0.25">
      <c r="A4196" s="178">
        <v>69374</v>
      </c>
      <c r="B4196" s="179" t="s">
        <v>456</v>
      </c>
      <c r="C4196" s="180">
        <v>250</v>
      </c>
    </row>
    <row r="4197" spans="1:3" x14ac:dyDescent="0.25">
      <c r="A4197" s="178">
        <v>69391</v>
      </c>
      <c r="B4197" s="179" t="s">
        <v>456</v>
      </c>
      <c r="C4197" s="180">
        <v>250</v>
      </c>
    </row>
    <row r="4198" spans="1:3" x14ac:dyDescent="0.25">
      <c r="A4198" s="178">
        <v>69392</v>
      </c>
      <c r="B4198" s="179" t="s">
        <v>456</v>
      </c>
      <c r="C4198" s="180">
        <v>250</v>
      </c>
    </row>
    <row r="4199" spans="1:3" x14ac:dyDescent="0.25">
      <c r="A4199" s="178">
        <v>69396</v>
      </c>
      <c r="B4199" s="179" t="s">
        <v>456</v>
      </c>
      <c r="C4199" s="180">
        <v>350</v>
      </c>
    </row>
    <row r="4200" spans="1:3" x14ac:dyDescent="0.25">
      <c r="A4200" s="178">
        <v>69397</v>
      </c>
      <c r="B4200" s="179" t="s">
        <v>456</v>
      </c>
      <c r="C4200" s="180">
        <v>76</v>
      </c>
    </row>
    <row r="4201" spans="1:3" x14ac:dyDescent="0.25">
      <c r="A4201" s="178">
        <v>69398</v>
      </c>
      <c r="B4201" s="179" t="s">
        <v>456</v>
      </c>
      <c r="C4201" s="180">
        <v>64</v>
      </c>
    </row>
    <row r="4202" spans="1:3" x14ac:dyDescent="0.25">
      <c r="A4202" s="178">
        <v>69400</v>
      </c>
      <c r="B4202" s="179" t="s">
        <v>456</v>
      </c>
      <c r="C4202" s="180">
        <v>99999</v>
      </c>
    </row>
    <row r="4203" spans="1:3" x14ac:dyDescent="0.25">
      <c r="A4203" s="178">
        <v>69404</v>
      </c>
      <c r="B4203" s="179" t="s">
        <v>456</v>
      </c>
      <c r="C4203" s="180">
        <v>540</v>
      </c>
    </row>
    <row r="4204" spans="1:3" x14ac:dyDescent="0.25">
      <c r="A4204" s="178">
        <v>70151</v>
      </c>
      <c r="B4204" s="179" t="s">
        <v>456</v>
      </c>
      <c r="C4204" s="180">
        <v>1300</v>
      </c>
    </row>
    <row r="4205" spans="1:3" x14ac:dyDescent="0.25">
      <c r="A4205" s="178">
        <v>70152</v>
      </c>
      <c r="B4205" s="179" t="s">
        <v>456</v>
      </c>
      <c r="C4205" s="180">
        <v>1600</v>
      </c>
    </row>
    <row r="4206" spans="1:3" x14ac:dyDescent="0.25">
      <c r="A4206" s="178">
        <v>70157</v>
      </c>
      <c r="B4206" s="179" t="s">
        <v>456</v>
      </c>
      <c r="C4206" s="180">
        <v>60480</v>
      </c>
    </row>
    <row r="4207" spans="1:3" x14ac:dyDescent="0.25">
      <c r="A4207" s="178">
        <v>70158</v>
      </c>
      <c r="B4207" s="179" t="s">
        <v>456</v>
      </c>
      <c r="C4207" s="180">
        <v>60480</v>
      </c>
    </row>
    <row r="4208" spans="1:3" x14ac:dyDescent="0.25">
      <c r="A4208" s="178">
        <v>70159</v>
      </c>
      <c r="B4208" s="179" t="s">
        <v>456</v>
      </c>
      <c r="C4208" s="180">
        <v>60480</v>
      </c>
    </row>
    <row r="4209" spans="1:3" x14ac:dyDescent="0.25">
      <c r="A4209" s="178">
        <v>70181</v>
      </c>
      <c r="B4209" s="179" t="s">
        <v>456</v>
      </c>
      <c r="C4209" s="180">
        <v>60480</v>
      </c>
    </row>
    <row r="4210" spans="1:3" x14ac:dyDescent="0.25">
      <c r="A4210" s="178">
        <v>70183</v>
      </c>
      <c r="B4210" s="179" t="s">
        <v>456</v>
      </c>
      <c r="C4210" s="180">
        <v>8000</v>
      </c>
    </row>
    <row r="4211" spans="1:3" x14ac:dyDescent="0.25">
      <c r="A4211" s="178">
        <v>70184</v>
      </c>
      <c r="B4211" s="179" t="s">
        <v>456</v>
      </c>
      <c r="C4211" s="180">
        <v>9600</v>
      </c>
    </row>
    <row r="4212" spans="1:3" x14ac:dyDescent="0.25">
      <c r="A4212" s="178">
        <v>70186</v>
      </c>
      <c r="B4212" s="179" t="s">
        <v>456</v>
      </c>
      <c r="C4212" s="180">
        <v>8000</v>
      </c>
    </row>
    <row r="4213" spans="1:3" x14ac:dyDescent="0.25">
      <c r="A4213" s="178">
        <v>70187</v>
      </c>
      <c r="B4213" s="179" t="s">
        <v>456</v>
      </c>
      <c r="C4213" s="180">
        <v>8000</v>
      </c>
    </row>
    <row r="4214" spans="1:3" x14ac:dyDescent="0.25">
      <c r="A4214" s="178">
        <v>70188</v>
      </c>
      <c r="B4214" s="179" t="s">
        <v>456</v>
      </c>
      <c r="C4214" s="180">
        <v>8640</v>
      </c>
    </row>
    <row r="4215" spans="1:3" x14ac:dyDescent="0.25">
      <c r="A4215" s="178">
        <v>70189</v>
      </c>
      <c r="B4215" s="179" t="s">
        <v>456</v>
      </c>
      <c r="C4215" s="180">
        <v>8000</v>
      </c>
    </row>
    <row r="4216" spans="1:3" x14ac:dyDescent="0.25">
      <c r="A4216" s="178">
        <v>70190</v>
      </c>
      <c r="B4216" s="179" t="s">
        <v>456</v>
      </c>
      <c r="C4216" s="180">
        <v>8640</v>
      </c>
    </row>
    <row r="4217" spans="1:3" x14ac:dyDescent="0.25">
      <c r="A4217" s="178">
        <v>75004</v>
      </c>
      <c r="B4217" s="179" t="s">
        <v>456</v>
      </c>
      <c r="C4217" s="180">
        <v>1600</v>
      </c>
    </row>
    <row r="4218" spans="1:3" x14ac:dyDescent="0.25">
      <c r="A4218" s="178">
        <v>75007</v>
      </c>
      <c r="B4218" s="179" t="s">
        <v>456</v>
      </c>
      <c r="C4218" s="180">
        <v>3200</v>
      </c>
    </row>
    <row r="4219" spans="1:3" x14ac:dyDescent="0.25">
      <c r="A4219" s="178">
        <v>75012</v>
      </c>
      <c r="B4219" s="179" t="s">
        <v>456</v>
      </c>
      <c r="C4219" s="180">
        <v>3600</v>
      </c>
    </row>
    <row r="4220" spans="1:3" x14ac:dyDescent="0.25">
      <c r="A4220" s="178">
        <v>75013</v>
      </c>
      <c r="B4220" s="179" t="s">
        <v>456</v>
      </c>
      <c r="C4220" s="180">
        <v>800</v>
      </c>
    </row>
    <row r="4221" spans="1:3" x14ac:dyDescent="0.25">
      <c r="A4221" s="178">
        <v>75019</v>
      </c>
      <c r="B4221" s="179" t="s">
        <v>456</v>
      </c>
      <c r="C4221" s="180">
        <v>60480</v>
      </c>
    </row>
    <row r="4222" spans="1:3" x14ac:dyDescent="0.25">
      <c r="A4222" s="178">
        <v>75023</v>
      </c>
      <c r="B4222" s="179" t="s">
        <v>456</v>
      </c>
      <c r="C4222" s="180">
        <v>60480</v>
      </c>
    </row>
    <row r="4223" spans="1:3" x14ac:dyDescent="0.25">
      <c r="A4223" s="178">
        <v>75024</v>
      </c>
      <c r="B4223" s="179" t="s">
        <v>456</v>
      </c>
      <c r="C4223" s="180">
        <v>800</v>
      </c>
    </row>
    <row r="4224" spans="1:3" x14ac:dyDescent="0.25">
      <c r="A4224" s="178">
        <v>75029</v>
      </c>
      <c r="B4224" s="179" t="s">
        <v>456</v>
      </c>
      <c r="C4224" s="180">
        <v>80640</v>
      </c>
    </row>
    <row r="4225" spans="1:3" x14ac:dyDescent="0.25">
      <c r="A4225" s="178">
        <v>75031</v>
      </c>
      <c r="B4225" s="179" t="s">
        <v>456</v>
      </c>
      <c r="C4225" s="180">
        <v>8235</v>
      </c>
    </row>
    <row r="4226" spans="1:3" x14ac:dyDescent="0.25">
      <c r="A4226" s="178">
        <v>75036</v>
      </c>
      <c r="B4226" s="179" t="s">
        <v>456</v>
      </c>
      <c r="C4226" s="180">
        <v>99999</v>
      </c>
    </row>
    <row r="4227" spans="1:3" x14ac:dyDescent="0.25">
      <c r="A4227" s="178">
        <v>75037</v>
      </c>
      <c r="B4227" s="179" t="s">
        <v>456</v>
      </c>
      <c r="C4227" s="180">
        <v>16000</v>
      </c>
    </row>
    <row r="4228" spans="1:3" x14ac:dyDescent="0.25">
      <c r="A4228" s="178">
        <v>75038</v>
      </c>
      <c r="B4228" s="179" t="s">
        <v>456</v>
      </c>
      <c r="C4228" s="180">
        <v>3600</v>
      </c>
    </row>
    <row r="4229" spans="1:3" x14ac:dyDescent="0.25">
      <c r="A4229" s="178">
        <v>75039</v>
      </c>
      <c r="B4229" s="179" t="s">
        <v>456</v>
      </c>
      <c r="C4229" s="180">
        <v>20800</v>
      </c>
    </row>
    <row r="4230" spans="1:3" x14ac:dyDescent="0.25">
      <c r="A4230" s="178">
        <v>75041</v>
      </c>
      <c r="B4230" s="179" t="s">
        <v>456</v>
      </c>
      <c r="C4230" s="180">
        <v>3540</v>
      </c>
    </row>
    <row r="4231" spans="1:3" x14ac:dyDescent="0.25">
      <c r="A4231" s="178">
        <v>75042</v>
      </c>
      <c r="B4231" s="179" t="s">
        <v>456</v>
      </c>
      <c r="C4231" s="180">
        <v>18720</v>
      </c>
    </row>
    <row r="4232" spans="1:3" x14ac:dyDescent="0.25">
      <c r="A4232" s="178">
        <v>75043</v>
      </c>
      <c r="B4232" s="179" t="s">
        <v>456</v>
      </c>
      <c r="C4232" s="180">
        <v>20800</v>
      </c>
    </row>
    <row r="4233" spans="1:3" x14ac:dyDescent="0.25">
      <c r="A4233" s="178">
        <v>75044</v>
      </c>
      <c r="B4233" s="179" t="s">
        <v>456</v>
      </c>
      <c r="C4233" s="180">
        <v>16000</v>
      </c>
    </row>
    <row r="4234" spans="1:3" x14ac:dyDescent="0.25">
      <c r="A4234" s="178">
        <v>75162</v>
      </c>
      <c r="B4234" s="179" t="s">
        <v>456</v>
      </c>
      <c r="C4234" s="180">
        <v>320</v>
      </c>
    </row>
    <row r="4235" spans="1:3" x14ac:dyDescent="0.25">
      <c r="A4235" s="178">
        <v>75262</v>
      </c>
      <c r="B4235" s="179" t="s">
        <v>456</v>
      </c>
      <c r="C4235" s="180">
        <v>320</v>
      </c>
    </row>
    <row r="4236" spans="1:3" x14ac:dyDescent="0.25">
      <c r="A4236" s="178">
        <v>75662</v>
      </c>
      <c r="B4236" s="179" t="s">
        <v>456</v>
      </c>
      <c r="C4236" s="180">
        <v>320</v>
      </c>
    </row>
    <row r="4237" spans="1:3" x14ac:dyDescent="0.25">
      <c r="A4237" s="178">
        <v>75762</v>
      </c>
      <c r="B4237" s="179" t="s">
        <v>456</v>
      </c>
      <c r="C4237" s="180">
        <v>320</v>
      </c>
    </row>
    <row r="4238" spans="1:3" x14ac:dyDescent="0.25">
      <c r="A4238" s="178">
        <v>76001</v>
      </c>
      <c r="B4238" s="179" t="s">
        <v>456</v>
      </c>
      <c r="C4238" s="180">
        <v>960</v>
      </c>
    </row>
    <row r="4239" spans="1:3" x14ac:dyDescent="0.25">
      <c r="A4239" s="178">
        <v>76002</v>
      </c>
      <c r="B4239" s="179" t="s">
        <v>456</v>
      </c>
      <c r="C4239" s="180">
        <v>1125</v>
      </c>
    </row>
    <row r="4240" spans="1:3" x14ac:dyDescent="0.25">
      <c r="A4240" s="178">
        <v>76003</v>
      </c>
      <c r="B4240" s="179" t="s">
        <v>456</v>
      </c>
      <c r="C4240" s="180">
        <v>25</v>
      </c>
    </row>
    <row r="4241" spans="1:3" x14ac:dyDescent="0.25">
      <c r="A4241" s="178">
        <v>76004</v>
      </c>
      <c r="B4241" s="179" t="s">
        <v>456</v>
      </c>
      <c r="C4241" s="180">
        <v>25</v>
      </c>
    </row>
    <row r="4242" spans="1:3" x14ac:dyDescent="0.25">
      <c r="A4242" s="178">
        <v>76005</v>
      </c>
      <c r="B4242" s="179" t="s">
        <v>456</v>
      </c>
      <c r="C4242" s="180">
        <v>960</v>
      </c>
    </row>
    <row r="4243" spans="1:3" x14ac:dyDescent="0.25">
      <c r="A4243" s="178">
        <v>76006</v>
      </c>
      <c r="B4243" s="179" t="s">
        <v>456</v>
      </c>
      <c r="C4243" s="180">
        <v>975</v>
      </c>
    </row>
    <row r="4244" spans="1:3" x14ac:dyDescent="0.25">
      <c r="A4244" s="178">
        <v>76007</v>
      </c>
      <c r="B4244" s="179" t="s">
        <v>456</v>
      </c>
      <c r="C4244" s="180">
        <v>600</v>
      </c>
    </row>
    <row r="4245" spans="1:3" x14ac:dyDescent="0.25">
      <c r="A4245" s="178">
        <v>76008</v>
      </c>
      <c r="B4245" s="179" t="s">
        <v>456</v>
      </c>
      <c r="C4245" s="180">
        <v>200</v>
      </c>
    </row>
    <row r="4246" spans="1:3" x14ac:dyDescent="0.25">
      <c r="A4246" s="178">
        <v>76009</v>
      </c>
      <c r="B4246" s="179" t="s">
        <v>456</v>
      </c>
      <c r="C4246" s="180">
        <v>600</v>
      </c>
    </row>
    <row r="4247" spans="1:3" x14ac:dyDescent="0.25">
      <c r="A4247" s="178">
        <v>76010</v>
      </c>
      <c r="B4247" s="179" t="s">
        <v>456</v>
      </c>
      <c r="C4247" s="180">
        <v>223</v>
      </c>
    </row>
    <row r="4248" spans="1:3" x14ac:dyDescent="0.25">
      <c r="A4248" s="178">
        <v>76011</v>
      </c>
      <c r="B4248" s="179" t="s">
        <v>456</v>
      </c>
      <c r="C4248" s="180">
        <v>750</v>
      </c>
    </row>
    <row r="4249" spans="1:3" x14ac:dyDescent="0.25">
      <c r="A4249" s="178">
        <v>76014</v>
      </c>
      <c r="B4249" s="179" t="s">
        <v>456</v>
      </c>
      <c r="C4249" s="180">
        <v>5000</v>
      </c>
    </row>
    <row r="4250" spans="1:3" x14ac:dyDescent="0.25">
      <c r="A4250" s="178">
        <v>76015</v>
      </c>
      <c r="B4250" s="179" t="s">
        <v>456</v>
      </c>
      <c r="C4250" s="180">
        <v>600</v>
      </c>
    </row>
    <row r="4251" spans="1:3" x14ac:dyDescent="0.25">
      <c r="A4251" s="178">
        <v>76021</v>
      </c>
      <c r="B4251" s="179" t="s">
        <v>456</v>
      </c>
      <c r="C4251" s="180">
        <v>240</v>
      </c>
    </row>
    <row r="4252" spans="1:3" x14ac:dyDescent="0.25">
      <c r="A4252" s="178">
        <v>76022</v>
      </c>
      <c r="B4252" s="179" t="s">
        <v>456</v>
      </c>
      <c r="C4252" s="180">
        <v>20000</v>
      </c>
    </row>
    <row r="4253" spans="1:3" x14ac:dyDescent="0.25">
      <c r="A4253" s="178">
        <v>76024</v>
      </c>
      <c r="B4253" s="179" t="s">
        <v>456</v>
      </c>
      <c r="C4253" s="180">
        <v>420</v>
      </c>
    </row>
    <row r="4254" spans="1:3" x14ac:dyDescent="0.25">
      <c r="A4254" s="178">
        <v>76029</v>
      </c>
      <c r="B4254" s="179" t="s">
        <v>456</v>
      </c>
      <c r="C4254" s="180">
        <v>1000</v>
      </c>
    </row>
    <row r="4255" spans="1:3" x14ac:dyDescent="0.25">
      <c r="A4255" s="178">
        <v>76030</v>
      </c>
      <c r="B4255" s="179" t="s">
        <v>456</v>
      </c>
      <c r="C4255" s="180">
        <v>1000</v>
      </c>
    </row>
    <row r="4256" spans="1:3" x14ac:dyDescent="0.25">
      <c r="A4256" s="178">
        <v>76100</v>
      </c>
      <c r="B4256" s="179" t="s">
        <v>456</v>
      </c>
      <c r="C4256" s="180">
        <v>50</v>
      </c>
    </row>
    <row r="4257" spans="1:3" x14ac:dyDescent="0.25">
      <c r="A4257" s="178">
        <v>76507</v>
      </c>
      <c r="B4257" s="179" t="s">
        <v>456</v>
      </c>
      <c r="C4257" s="180">
        <v>17280</v>
      </c>
    </row>
    <row r="4258" spans="1:3" x14ac:dyDescent="0.25">
      <c r="A4258" s="178">
        <v>76508</v>
      </c>
      <c r="B4258" s="179" t="s">
        <v>456</v>
      </c>
      <c r="C4258" s="180">
        <v>39008</v>
      </c>
    </row>
    <row r="4259" spans="1:3" x14ac:dyDescent="0.25">
      <c r="A4259" s="178">
        <v>76509</v>
      </c>
      <c r="B4259" s="179" t="s">
        <v>456</v>
      </c>
      <c r="C4259" s="180">
        <v>17280</v>
      </c>
    </row>
    <row r="4260" spans="1:3" x14ac:dyDescent="0.25">
      <c r="A4260" s="178">
        <v>76510</v>
      </c>
      <c r="B4260" s="179" t="s">
        <v>456</v>
      </c>
      <c r="C4260" s="180">
        <v>39008</v>
      </c>
    </row>
    <row r="4261" spans="1:3" x14ac:dyDescent="0.25">
      <c r="A4261" s="178">
        <v>76511</v>
      </c>
      <c r="B4261" s="179" t="s">
        <v>456</v>
      </c>
      <c r="C4261" s="180">
        <v>17280</v>
      </c>
    </row>
    <row r="4262" spans="1:3" x14ac:dyDescent="0.25">
      <c r="A4262" s="178">
        <v>76512</v>
      </c>
      <c r="B4262" s="179" t="s">
        <v>456</v>
      </c>
      <c r="C4262" s="180">
        <v>39008</v>
      </c>
    </row>
    <row r="4263" spans="1:3" x14ac:dyDescent="0.25">
      <c r="A4263" s="178">
        <v>76513</v>
      </c>
      <c r="B4263" s="179" t="s">
        <v>456</v>
      </c>
      <c r="C4263" s="180">
        <v>17280</v>
      </c>
    </row>
    <row r="4264" spans="1:3" x14ac:dyDescent="0.25">
      <c r="A4264" s="178">
        <v>76514</v>
      </c>
      <c r="B4264" s="179" t="s">
        <v>456</v>
      </c>
      <c r="C4264" s="180">
        <v>39008</v>
      </c>
    </row>
    <row r="4265" spans="1:3" x14ac:dyDescent="0.25">
      <c r="A4265" s="178">
        <v>76515</v>
      </c>
      <c r="B4265" s="179" t="s">
        <v>456</v>
      </c>
      <c r="C4265" s="180">
        <v>17280</v>
      </c>
    </row>
    <row r="4266" spans="1:3" x14ac:dyDescent="0.25">
      <c r="A4266" s="178">
        <v>76516</v>
      </c>
      <c r="B4266" s="179" t="s">
        <v>456</v>
      </c>
      <c r="C4266" s="180">
        <v>39008</v>
      </c>
    </row>
    <row r="4267" spans="1:3" x14ac:dyDescent="0.25">
      <c r="A4267" s="178">
        <v>76521</v>
      </c>
      <c r="B4267" s="179" t="s">
        <v>456</v>
      </c>
      <c r="C4267" s="180">
        <v>1000</v>
      </c>
    </row>
    <row r="4268" spans="1:3" x14ac:dyDescent="0.25">
      <c r="A4268" s="178">
        <v>76525</v>
      </c>
      <c r="B4268" s="179" t="s">
        <v>456</v>
      </c>
      <c r="C4268" s="180">
        <v>99999</v>
      </c>
    </row>
    <row r="4269" spans="1:3" x14ac:dyDescent="0.25">
      <c r="A4269" s="178">
        <v>76526</v>
      </c>
      <c r="B4269" s="179" t="s">
        <v>456</v>
      </c>
      <c r="C4269" s="180">
        <v>99999</v>
      </c>
    </row>
    <row r="4270" spans="1:3" x14ac:dyDescent="0.25">
      <c r="A4270" s="178">
        <v>76527</v>
      </c>
      <c r="B4270" s="179" t="s">
        <v>456</v>
      </c>
      <c r="C4270" s="180">
        <v>1170</v>
      </c>
    </row>
    <row r="4271" spans="1:3" x14ac:dyDescent="0.25">
      <c r="A4271" s="178">
        <v>76528</v>
      </c>
      <c r="B4271" s="179" t="s">
        <v>456</v>
      </c>
      <c r="C4271" s="180">
        <v>1600</v>
      </c>
    </row>
    <row r="4272" spans="1:3" x14ac:dyDescent="0.25">
      <c r="A4272" s="178">
        <v>76529</v>
      </c>
      <c r="B4272" s="179" t="s">
        <v>456</v>
      </c>
      <c r="C4272" s="180">
        <v>1000</v>
      </c>
    </row>
    <row r="4273" spans="1:3" x14ac:dyDescent="0.25">
      <c r="A4273" s="178">
        <v>76531</v>
      </c>
      <c r="B4273" s="179" t="s">
        <v>456</v>
      </c>
      <c r="C4273" s="180">
        <v>1120</v>
      </c>
    </row>
    <row r="4274" spans="1:3" x14ac:dyDescent="0.25">
      <c r="A4274" s="178">
        <v>76532</v>
      </c>
      <c r="B4274" s="179" t="s">
        <v>456</v>
      </c>
      <c r="C4274" s="180">
        <v>1120</v>
      </c>
    </row>
    <row r="4275" spans="1:3" x14ac:dyDescent="0.25">
      <c r="A4275" s="178">
        <v>76533</v>
      </c>
      <c r="B4275" s="179" t="s">
        <v>456</v>
      </c>
      <c r="C4275" s="180">
        <v>1120</v>
      </c>
    </row>
    <row r="4276" spans="1:3" x14ac:dyDescent="0.25">
      <c r="A4276" s="178">
        <v>76534</v>
      </c>
      <c r="B4276" s="179" t="s">
        <v>456</v>
      </c>
      <c r="C4276" s="180">
        <v>1120</v>
      </c>
    </row>
    <row r="4277" spans="1:3" x14ac:dyDescent="0.25">
      <c r="A4277" s="178">
        <v>76535</v>
      </c>
      <c r="B4277" s="179" t="s">
        <v>456</v>
      </c>
      <c r="C4277" s="180">
        <v>1120</v>
      </c>
    </row>
    <row r="4278" spans="1:3" x14ac:dyDescent="0.25">
      <c r="A4278" s="178">
        <v>76540</v>
      </c>
      <c r="B4278" s="179" t="s">
        <v>456</v>
      </c>
      <c r="C4278" s="180">
        <v>530</v>
      </c>
    </row>
    <row r="4279" spans="1:3" x14ac:dyDescent="0.25">
      <c r="A4279" s="178">
        <v>76541</v>
      </c>
      <c r="B4279" s="179" t="s">
        <v>456</v>
      </c>
      <c r="C4279" s="180">
        <v>9000</v>
      </c>
    </row>
    <row r="4280" spans="1:3" x14ac:dyDescent="0.25">
      <c r="A4280" s="178">
        <v>76550</v>
      </c>
      <c r="B4280" s="179" t="s">
        <v>456</v>
      </c>
      <c r="C4280" s="180">
        <v>60000</v>
      </c>
    </row>
    <row r="4281" spans="1:3" x14ac:dyDescent="0.25">
      <c r="A4281" s="178">
        <v>76560</v>
      </c>
      <c r="B4281" s="179" t="s">
        <v>456</v>
      </c>
      <c r="C4281" s="180">
        <v>16320</v>
      </c>
    </row>
    <row r="4282" spans="1:3" x14ac:dyDescent="0.25">
      <c r="A4282" s="178">
        <v>76561</v>
      </c>
      <c r="B4282" s="179" t="s">
        <v>456</v>
      </c>
      <c r="C4282" s="180">
        <v>16320</v>
      </c>
    </row>
    <row r="4283" spans="1:3" x14ac:dyDescent="0.25">
      <c r="A4283" s="178">
        <v>76563</v>
      </c>
      <c r="B4283" s="179" t="s">
        <v>456</v>
      </c>
      <c r="C4283" s="180">
        <v>840</v>
      </c>
    </row>
    <row r="4284" spans="1:3" x14ac:dyDescent="0.25">
      <c r="A4284" s="178">
        <v>76564</v>
      </c>
      <c r="B4284" s="179" t="s">
        <v>456</v>
      </c>
      <c r="C4284" s="180">
        <v>720</v>
      </c>
    </row>
    <row r="4285" spans="1:3" x14ac:dyDescent="0.25">
      <c r="A4285" s="178">
        <v>76566</v>
      </c>
      <c r="B4285" s="179" t="s">
        <v>456</v>
      </c>
      <c r="C4285" s="180">
        <v>144</v>
      </c>
    </row>
    <row r="4286" spans="1:3" x14ac:dyDescent="0.25">
      <c r="A4286" s="178">
        <v>76567</v>
      </c>
      <c r="B4286" s="179" t="s">
        <v>456</v>
      </c>
      <c r="C4286" s="180">
        <v>144</v>
      </c>
    </row>
    <row r="4287" spans="1:3" x14ac:dyDescent="0.25">
      <c r="A4287" s="178">
        <v>76568</v>
      </c>
      <c r="B4287" s="179" t="s">
        <v>456</v>
      </c>
      <c r="C4287" s="180">
        <v>9000</v>
      </c>
    </row>
    <row r="4288" spans="1:3" x14ac:dyDescent="0.25">
      <c r="A4288" s="178">
        <v>76569</v>
      </c>
      <c r="B4288" s="179" t="s">
        <v>456</v>
      </c>
      <c r="C4288" s="180">
        <v>1000</v>
      </c>
    </row>
    <row r="4289" spans="1:3" x14ac:dyDescent="0.25">
      <c r="A4289" s="178">
        <v>76570</v>
      </c>
      <c r="B4289" s="179" t="s">
        <v>456</v>
      </c>
      <c r="C4289" s="180">
        <v>4100</v>
      </c>
    </row>
    <row r="4290" spans="1:3" x14ac:dyDescent="0.25">
      <c r="A4290" s="178">
        <v>76571</v>
      </c>
      <c r="B4290" s="179" t="s">
        <v>456</v>
      </c>
      <c r="C4290" s="180">
        <v>33000</v>
      </c>
    </row>
    <row r="4291" spans="1:3" x14ac:dyDescent="0.25">
      <c r="A4291" s="178">
        <v>76572</v>
      </c>
      <c r="B4291" s="179" t="s">
        <v>456</v>
      </c>
      <c r="C4291" s="180">
        <v>2112</v>
      </c>
    </row>
    <row r="4292" spans="1:3" x14ac:dyDescent="0.25">
      <c r="A4292" s="178">
        <v>76577</v>
      </c>
      <c r="B4292" s="179" t="s">
        <v>456</v>
      </c>
      <c r="C4292" s="180">
        <v>99999</v>
      </c>
    </row>
    <row r="4293" spans="1:3" x14ac:dyDescent="0.25">
      <c r="A4293" s="178">
        <v>76580</v>
      </c>
      <c r="B4293" s="179" t="s">
        <v>456</v>
      </c>
      <c r="C4293" s="180">
        <v>930</v>
      </c>
    </row>
    <row r="4294" spans="1:3" x14ac:dyDescent="0.25">
      <c r="A4294" s="178">
        <v>76582</v>
      </c>
      <c r="B4294" s="179" t="s">
        <v>456</v>
      </c>
      <c r="C4294" s="180">
        <v>780</v>
      </c>
    </row>
    <row r="4295" spans="1:3" x14ac:dyDescent="0.25">
      <c r="A4295" s="178">
        <v>76584</v>
      </c>
      <c r="B4295" s="179" t="s">
        <v>456</v>
      </c>
      <c r="C4295" s="180">
        <v>16320</v>
      </c>
    </row>
    <row r="4296" spans="1:3" x14ac:dyDescent="0.25">
      <c r="A4296" s="178">
        <v>76594</v>
      </c>
      <c r="B4296" s="179" t="s">
        <v>456</v>
      </c>
      <c r="C4296" s="180">
        <v>1125</v>
      </c>
    </row>
    <row r="4297" spans="1:3" x14ac:dyDescent="0.25">
      <c r="A4297" s="178">
        <v>76597</v>
      </c>
      <c r="B4297" s="179" t="s">
        <v>456</v>
      </c>
      <c r="C4297" s="180">
        <v>1400</v>
      </c>
    </row>
    <row r="4298" spans="1:3" x14ac:dyDescent="0.25">
      <c r="A4298" s="178">
        <v>76598</v>
      </c>
      <c r="B4298" s="179" t="s">
        <v>456</v>
      </c>
      <c r="C4298" s="180">
        <v>1170</v>
      </c>
    </row>
    <row r="4299" spans="1:3" x14ac:dyDescent="0.25">
      <c r="A4299" s="178">
        <v>76600</v>
      </c>
      <c r="B4299" s="179" t="s">
        <v>456</v>
      </c>
      <c r="C4299" s="180">
        <v>15</v>
      </c>
    </row>
    <row r="4300" spans="1:3" x14ac:dyDescent="0.25">
      <c r="A4300" s="178">
        <v>76601</v>
      </c>
      <c r="B4300" s="179" t="s">
        <v>456</v>
      </c>
      <c r="C4300" s="180">
        <v>15552</v>
      </c>
    </row>
    <row r="4301" spans="1:3" x14ac:dyDescent="0.25">
      <c r="A4301" s="178">
        <v>76604</v>
      </c>
      <c r="B4301" s="179" t="s">
        <v>456</v>
      </c>
      <c r="C4301" s="180">
        <v>26424</v>
      </c>
    </row>
    <row r="4302" spans="1:3" x14ac:dyDescent="0.25">
      <c r="A4302" s="178">
        <v>76606</v>
      </c>
      <c r="B4302" s="179" t="s">
        <v>456</v>
      </c>
      <c r="C4302" s="180">
        <v>15552</v>
      </c>
    </row>
    <row r="4303" spans="1:3" x14ac:dyDescent="0.25">
      <c r="A4303" s="178">
        <v>76608</v>
      </c>
      <c r="B4303" s="179" t="s">
        <v>456</v>
      </c>
      <c r="C4303" s="180">
        <v>1170</v>
      </c>
    </row>
    <row r="4304" spans="1:3" x14ac:dyDescent="0.25">
      <c r="A4304" s="178">
        <v>76613</v>
      </c>
      <c r="B4304" s="179" t="s">
        <v>456</v>
      </c>
      <c r="C4304" s="180">
        <v>1000</v>
      </c>
    </row>
    <row r="4305" spans="1:3" x14ac:dyDescent="0.25">
      <c r="A4305" s="178">
        <v>76614</v>
      </c>
      <c r="B4305" s="179" t="s">
        <v>456</v>
      </c>
      <c r="C4305" s="180">
        <v>1400</v>
      </c>
    </row>
    <row r="4306" spans="1:3" x14ac:dyDescent="0.25">
      <c r="A4306" s="178">
        <v>76615</v>
      </c>
      <c r="B4306" s="179" t="s">
        <v>456</v>
      </c>
      <c r="C4306" s="180">
        <v>15552</v>
      </c>
    </row>
    <row r="4307" spans="1:3" x14ac:dyDescent="0.25">
      <c r="A4307" s="178">
        <v>76616</v>
      </c>
      <c r="B4307" s="179" t="s">
        <v>456</v>
      </c>
      <c r="C4307" s="180">
        <v>26424</v>
      </c>
    </row>
    <row r="4308" spans="1:3" x14ac:dyDescent="0.25">
      <c r="A4308" s="178">
        <v>76617</v>
      </c>
      <c r="B4308" s="179" t="s">
        <v>456</v>
      </c>
      <c r="C4308" s="180">
        <v>15552</v>
      </c>
    </row>
    <row r="4309" spans="1:3" x14ac:dyDescent="0.25">
      <c r="A4309" s="178">
        <v>76618</v>
      </c>
      <c r="B4309" s="179" t="s">
        <v>456</v>
      </c>
      <c r="C4309" s="180">
        <v>26424</v>
      </c>
    </row>
    <row r="4310" spans="1:3" x14ac:dyDescent="0.25">
      <c r="A4310" s="178">
        <v>76619</v>
      </c>
      <c r="B4310" s="179" t="s">
        <v>456</v>
      </c>
      <c r="C4310" s="180">
        <v>15552</v>
      </c>
    </row>
    <row r="4311" spans="1:3" x14ac:dyDescent="0.25">
      <c r="A4311" s="178">
        <v>76620</v>
      </c>
      <c r="B4311" s="179" t="s">
        <v>456</v>
      </c>
      <c r="C4311" s="180">
        <v>26424</v>
      </c>
    </row>
    <row r="4312" spans="1:3" x14ac:dyDescent="0.25">
      <c r="A4312" s="178">
        <v>76621</v>
      </c>
      <c r="B4312" s="179" t="s">
        <v>456</v>
      </c>
      <c r="C4312" s="180">
        <v>15552</v>
      </c>
    </row>
    <row r="4313" spans="1:3" x14ac:dyDescent="0.25">
      <c r="A4313" s="178">
        <v>76622</v>
      </c>
      <c r="B4313" s="179" t="s">
        <v>456</v>
      </c>
      <c r="C4313" s="180">
        <v>26424</v>
      </c>
    </row>
    <row r="4314" spans="1:3" x14ac:dyDescent="0.25">
      <c r="A4314" s="178">
        <v>76623</v>
      </c>
      <c r="B4314" s="179" t="s">
        <v>456</v>
      </c>
      <c r="C4314" s="180">
        <v>15552</v>
      </c>
    </row>
    <row r="4315" spans="1:3" x14ac:dyDescent="0.25">
      <c r="A4315" s="178">
        <v>76624</v>
      </c>
      <c r="B4315" s="179" t="s">
        <v>456</v>
      </c>
      <c r="C4315" s="180">
        <v>26424</v>
      </c>
    </row>
    <row r="4316" spans="1:3" x14ac:dyDescent="0.25">
      <c r="A4316" s="178">
        <v>76625</v>
      </c>
      <c r="B4316" s="179" t="s">
        <v>456</v>
      </c>
      <c r="C4316" s="180">
        <v>15552</v>
      </c>
    </row>
    <row r="4317" spans="1:3" x14ac:dyDescent="0.25">
      <c r="A4317" s="178">
        <v>76626</v>
      </c>
      <c r="B4317" s="179" t="s">
        <v>456</v>
      </c>
      <c r="C4317" s="180">
        <v>26424</v>
      </c>
    </row>
    <row r="4318" spans="1:3" x14ac:dyDescent="0.25">
      <c r="A4318" s="178">
        <v>76627</v>
      </c>
      <c r="B4318" s="179" t="s">
        <v>456</v>
      </c>
      <c r="C4318" s="180">
        <v>15552</v>
      </c>
    </row>
    <row r="4319" spans="1:3" x14ac:dyDescent="0.25">
      <c r="A4319" s="178">
        <v>76628</v>
      </c>
      <c r="B4319" s="179" t="s">
        <v>456</v>
      </c>
      <c r="C4319" s="180">
        <v>26424</v>
      </c>
    </row>
    <row r="4320" spans="1:3" x14ac:dyDescent="0.25">
      <c r="A4320" s="178">
        <v>76629</v>
      </c>
      <c r="B4320" s="179" t="s">
        <v>456</v>
      </c>
      <c r="C4320" s="180">
        <v>15552</v>
      </c>
    </row>
    <row r="4321" spans="1:3" x14ac:dyDescent="0.25">
      <c r="A4321" s="178">
        <v>76630</v>
      </c>
      <c r="B4321" s="179" t="s">
        <v>456</v>
      </c>
      <c r="C4321" s="180">
        <v>26424</v>
      </c>
    </row>
    <row r="4322" spans="1:3" x14ac:dyDescent="0.25">
      <c r="A4322" s="178">
        <v>76631</v>
      </c>
      <c r="B4322" s="179" t="s">
        <v>456</v>
      </c>
      <c r="C4322" s="180">
        <v>15552</v>
      </c>
    </row>
    <row r="4323" spans="1:3" x14ac:dyDescent="0.25">
      <c r="A4323" s="178">
        <v>76632</v>
      </c>
      <c r="B4323" s="179" t="s">
        <v>456</v>
      </c>
      <c r="C4323" s="180">
        <v>15552</v>
      </c>
    </row>
    <row r="4324" spans="1:3" x14ac:dyDescent="0.25">
      <c r="A4324" s="178">
        <v>76633</v>
      </c>
      <c r="B4324" s="179" t="s">
        <v>456</v>
      </c>
      <c r="C4324" s="180">
        <v>15552</v>
      </c>
    </row>
    <row r="4325" spans="1:3" x14ac:dyDescent="0.25">
      <c r="A4325" s="178">
        <v>76634</v>
      </c>
      <c r="B4325" s="179" t="s">
        <v>456</v>
      </c>
      <c r="C4325" s="180">
        <v>15552</v>
      </c>
    </row>
    <row r="4326" spans="1:3" x14ac:dyDescent="0.25">
      <c r="A4326" s="178">
        <v>76635</v>
      </c>
      <c r="B4326" s="179" t="s">
        <v>456</v>
      </c>
      <c r="C4326" s="180">
        <v>15552</v>
      </c>
    </row>
    <row r="4327" spans="1:3" x14ac:dyDescent="0.25">
      <c r="A4327" s="178">
        <v>76636</v>
      </c>
      <c r="B4327" s="179" t="s">
        <v>456</v>
      </c>
      <c r="C4327" s="180">
        <v>15552</v>
      </c>
    </row>
    <row r="4328" spans="1:3" x14ac:dyDescent="0.25">
      <c r="A4328" s="178">
        <v>76637</v>
      </c>
      <c r="B4328" s="179" t="s">
        <v>456</v>
      </c>
      <c r="C4328" s="180">
        <v>15552</v>
      </c>
    </row>
    <row r="4329" spans="1:3" x14ac:dyDescent="0.25">
      <c r="A4329" s="178">
        <v>76638</v>
      </c>
      <c r="B4329" s="179" t="s">
        <v>456</v>
      </c>
      <c r="C4329" s="180">
        <v>15552</v>
      </c>
    </row>
    <row r="4330" spans="1:3" x14ac:dyDescent="0.25">
      <c r="A4330" s="178">
        <v>76639</v>
      </c>
      <c r="B4330" s="179" t="s">
        <v>456</v>
      </c>
      <c r="C4330" s="180">
        <v>26424</v>
      </c>
    </row>
    <row r="4331" spans="1:3" x14ac:dyDescent="0.25">
      <c r="A4331" s="178">
        <v>76640</v>
      </c>
      <c r="B4331" s="179" t="s">
        <v>456</v>
      </c>
      <c r="C4331" s="180">
        <v>15552</v>
      </c>
    </row>
    <row r="4332" spans="1:3" x14ac:dyDescent="0.25">
      <c r="A4332" s="178">
        <v>76641</v>
      </c>
      <c r="B4332" s="179" t="s">
        <v>456</v>
      </c>
      <c r="C4332" s="180">
        <v>1400</v>
      </c>
    </row>
    <row r="4333" spans="1:3" x14ac:dyDescent="0.25">
      <c r="A4333" s="178">
        <v>76642</v>
      </c>
      <c r="B4333" s="179" t="s">
        <v>456</v>
      </c>
      <c r="C4333" s="180">
        <v>99999</v>
      </c>
    </row>
    <row r="4334" spans="1:3" x14ac:dyDescent="0.25">
      <c r="A4334" s="178">
        <v>76643</v>
      </c>
      <c r="B4334" s="179" t="s">
        <v>456</v>
      </c>
      <c r="C4334" s="180">
        <v>15552</v>
      </c>
    </row>
    <row r="4335" spans="1:3" x14ac:dyDescent="0.25">
      <c r="A4335" s="178">
        <v>76644</v>
      </c>
      <c r="B4335" s="179" t="s">
        <v>456</v>
      </c>
      <c r="C4335" s="180">
        <v>26424</v>
      </c>
    </row>
    <row r="4336" spans="1:3" x14ac:dyDescent="0.25">
      <c r="A4336" s="178">
        <v>76645</v>
      </c>
      <c r="B4336" s="179" t="s">
        <v>456</v>
      </c>
      <c r="C4336" s="180">
        <v>1400</v>
      </c>
    </row>
    <row r="4337" spans="1:3" x14ac:dyDescent="0.25">
      <c r="A4337" s="178">
        <v>77162</v>
      </c>
      <c r="B4337" s="179" t="s">
        <v>456</v>
      </c>
      <c r="C4337" s="180">
        <v>160</v>
      </c>
    </row>
    <row r="4338" spans="1:3" x14ac:dyDescent="0.25">
      <c r="A4338" s="178">
        <v>77262</v>
      </c>
      <c r="B4338" s="179" t="s">
        <v>456</v>
      </c>
      <c r="C4338" s="180">
        <v>160</v>
      </c>
    </row>
    <row r="4339" spans="1:3" x14ac:dyDescent="0.25">
      <c r="A4339" s="178">
        <v>77362</v>
      </c>
      <c r="B4339" s="179" t="s">
        <v>456</v>
      </c>
      <c r="C4339" s="180">
        <v>160</v>
      </c>
    </row>
    <row r="4340" spans="1:3" x14ac:dyDescent="0.25">
      <c r="A4340" s="178">
        <v>77862</v>
      </c>
      <c r="B4340" s="179" t="s">
        <v>456</v>
      </c>
      <c r="C4340" s="180">
        <v>160</v>
      </c>
    </row>
    <row r="4341" spans="1:3" x14ac:dyDescent="0.25">
      <c r="A4341" s="178">
        <v>77962</v>
      </c>
      <c r="B4341" s="179" t="s">
        <v>456</v>
      </c>
      <c r="C4341" s="180">
        <v>160</v>
      </c>
    </row>
    <row r="4342" spans="1:3" x14ac:dyDescent="0.25">
      <c r="A4342" s="178">
        <v>79262</v>
      </c>
      <c r="B4342" s="179" t="s">
        <v>456</v>
      </c>
      <c r="C4342" s="180">
        <v>160</v>
      </c>
    </row>
    <row r="4343" spans="1:3" x14ac:dyDescent="0.25">
      <c r="A4343" s="178">
        <v>80000</v>
      </c>
      <c r="B4343" s="179" t="s">
        <v>456</v>
      </c>
      <c r="C4343" s="180">
        <v>600</v>
      </c>
    </row>
    <row r="4344" spans="1:3" x14ac:dyDescent="0.25">
      <c r="A4344" s="178">
        <v>80002</v>
      </c>
      <c r="B4344" s="179" t="s">
        <v>456</v>
      </c>
      <c r="C4344" s="180">
        <v>10</v>
      </c>
    </row>
    <row r="4345" spans="1:3" x14ac:dyDescent="0.25">
      <c r="A4345" s="178">
        <v>80003</v>
      </c>
      <c r="B4345" s="179" t="s">
        <v>456</v>
      </c>
      <c r="C4345" s="180">
        <v>600</v>
      </c>
    </row>
    <row r="4346" spans="1:3" x14ac:dyDescent="0.25">
      <c r="A4346" s="178">
        <v>80004</v>
      </c>
      <c r="B4346" s="179" t="s">
        <v>456</v>
      </c>
      <c r="C4346" s="180">
        <v>600</v>
      </c>
    </row>
    <row r="4347" spans="1:3" x14ac:dyDescent="0.25">
      <c r="A4347" s="178">
        <v>80008</v>
      </c>
      <c r="B4347" s="179" t="s">
        <v>456</v>
      </c>
      <c r="C4347" s="180">
        <v>1000</v>
      </c>
    </row>
    <row r="4348" spans="1:3" x14ac:dyDescent="0.25">
      <c r="A4348" s="178">
        <v>80009</v>
      </c>
      <c r="B4348" s="179" t="s">
        <v>456</v>
      </c>
      <c r="C4348" s="180">
        <v>500</v>
      </c>
    </row>
    <row r="4349" spans="1:3" x14ac:dyDescent="0.25">
      <c r="A4349" s="178">
        <v>80028</v>
      </c>
      <c r="B4349" s="179" t="s">
        <v>456</v>
      </c>
      <c r="C4349" s="180">
        <v>1000</v>
      </c>
    </row>
    <row r="4350" spans="1:3" x14ac:dyDescent="0.25">
      <c r="A4350" s="178">
        <v>80038</v>
      </c>
      <c r="B4350" s="179" t="s">
        <v>456</v>
      </c>
      <c r="C4350" s="180">
        <v>1000</v>
      </c>
    </row>
    <row r="4351" spans="1:3" x14ac:dyDescent="0.25">
      <c r="A4351" s="178">
        <v>80039</v>
      </c>
      <c r="B4351" s="179" t="s">
        <v>456</v>
      </c>
      <c r="C4351" s="180">
        <v>600</v>
      </c>
    </row>
    <row r="4352" spans="1:3" x14ac:dyDescent="0.25">
      <c r="A4352" s="178">
        <v>80040</v>
      </c>
      <c r="B4352" s="179" t="s">
        <v>456</v>
      </c>
      <c r="C4352" s="180">
        <v>499</v>
      </c>
    </row>
    <row r="4353" spans="1:3" x14ac:dyDescent="0.25">
      <c r="A4353" s="178">
        <v>80070</v>
      </c>
      <c r="B4353" s="179" t="s">
        <v>456</v>
      </c>
      <c r="C4353" s="180">
        <v>150</v>
      </c>
    </row>
    <row r="4354" spans="1:3" x14ac:dyDescent="0.25">
      <c r="A4354" s="178">
        <v>80071</v>
      </c>
      <c r="B4354" s="179" t="s">
        <v>456</v>
      </c>
      <c r="C4354" s="180">
        <v>1000</v>
      </c>
    </row>
    <row r="4355" spans="1:3" x14ac:dyDescent="0.25">
      <c r="A4355" s="178">
        <v>80072</v>
      </c>
      <c r="B4355" s="179" t="s">
        <v>456</v>
      </c>
      <c r="C4355" s="180">
        <v>400</v>
      </c>
    </row>
    <row r="4356" spans="1:3" x14ac:dyDescent="0.25">
      <c r="A4356" s="178">
        <v>80075</v>
      </c>
      <c r="B4356" s="179" t="s">
        <v>456</v>
      </c>
      <c r="C4356" s="180">
        <v>200</v>
      </c>
    </row>
    <row r="4357" spans="1:3" x14ac:dyDescent="0.25">
      <c r="A4357" s="178">
        <v>80076</v>
      </c>
      <c r="B4357" s="179" t="s">
        <v>456</v>
      </c>
      <c r="C4357" s="180">
        <v>120</v>
      </c>
    </row>
    <row r="4358" spans="1:3" x14ac:dyDescent="0.25">
      <c r="A4358" s="178">
        <v>80077</v>
      </c>
      <c r="B4358" s="179" t="s">
        <v>456</v>
      </c>
      <c r="C4358" s="180">
        <v>180</v>
      </c>
    </row>
    <row r="4359" spans="1:3" x14ac:dyDescent="0.25">
      <c r="A4359" s="178">
        <v>80081</v>
      </c>
      <c r="B4359" s="179" t="s">
        <v>456</v>
      </c>
      <c r="C4359" s="180">
        <v>80</v>
      </c>
    </row>
    <row r="4360" spans="1:3" x14ac:dyDescent="0.25">
      <c r="A4360" s="178">
        <v>80085</v>
      </c>
      <c r="B4360" s="179" t="s">
        <v>456</v>
      </c>
      <c r="C4360" s="180">
        <v>1000</v>
      </c>
    </row>
    <row r="4361" spans="1:3" x14ac:dyDescent="0.25">
      <c r="A4361" s="178">
        <v>80086</v>
      </c>
      <c r="B4361" s="179" t="s">
        <v>456</v>
      </c>
      <c r="C4361" s="180">
        <v>120</v>
      </c>
    </row>
    <row r="4362" spans="1:3" x14ac:dyDescent="0.25">
      <c r="A4362" s="178">
        <v>80089</v>
      </c>
      <c r="B4362" s="179" t="s">
        <v>456</v>
      </c>
      <c r="C4362" s="180">
        <v>120</v>
      </c>
    </row>
    <row r="4363" spans="1:3" x14ac:dyDescent="0.25">
      <c r="A4363" s="178">
        <v>80090</v>
      </c>
      <c r="B4363" s="179" t="s">
        <v>456</v>
      </c>
      <c r="C4363" s="180">
        <v>384</v>
      </c>
    </row>
    <row r="4364" spans="1:3" x14ac:dyDescent="0.25">
      <c r="A4364" s="178">
        <v>80091</v>
      </c>
      <c r="B4364" s="179" t="s">
        <v>456</v>
      </c>
      <c r="C4364" s="180">
        <v>120</v>
      </c>
    </row>
    <row r="4365" spans="1:3" x14ac:dyDescent="0.25">
      <c r="A4365" s="178">
        <v>80093</v>
      </c>
      <c r="B4365" s="179" t="s">
        <v>456</v>
      </c>
      <c r="C4365" s="180">
        <v>500</v>
      </c>
    </row>
    <row r="4366" spans="1:3" x14ac:dyDescent="0.25">
      <c r="A4366" s="178">
        <v>80094</v>
      </c>
      <c r="B4366" s="179" t="s">
        <v>456</v>
      </c>
      <c r="C4366" s="180">
        <v>120</v>
      </c>
    </row>
    <row r="4367" spans="1:3" x14ac:dyDescent="0.25">
      <c r="A4367" s="178">
        <v>80095</v>
      </c>
      <c r="B4367" s="179" t="s">
        <v>456</v>
      </c>
      <c r="C4367" s="180">
        <v>120</v>
      </c>
    </row>
    <row r="4368" spans="1:3" x14ac:dyDescent="0.25">
      <c r="A4368" s="178">
        <v>80096</v>
      </c>
      <c r="B4368" s="179" t="s">
        <v>456</v>
      </c>
      <c r="C4368" s="180">
        <v>500</v>
      </c>
    </row>
    <row r="4369" spans="1:3" x14ac:dyDescent="0.25">
      <c r="A4369" s="178">
        <v>80097</v>
      </c>
      <c r="B4369" s="179" t="s">
        <v>456</v>
      </c>
      <c r="C4369" s="180">
        <v>500</v>
      </c>
    </row>
    <row r="4370" spans="1:3" x14ac:dyDescent="0.25">
      <c r="A4370" s="178">
        <v>80098</v>
      </c>
      <c r="B4370" s="179" t="s">
        <v>456</v>
      </c>
      <c r="C4370" s="180">
        <v>648</v>
      </c>
    </row>
    <row r="4371" spans="1:3" x14ac:dyDescent="0.25">
      <c r="A4371" s="178">
        <v>80099</v>
      </c>
      <c r="B4371" s="179" t="s">
        <v>456</v>
      </c>
      <c r="C4371" s="180">
        <v>120</v>
      </c>
    </row>
    <row r="4372" spans="1:3" x14ac:dyDescent="0.25">
      <c r="A4372" s="178">
        <v>80100</v>
      </c>
      <c r="B4372" s="179" t="s">
        <v>456</v>
      </c>
      <c r="C4372" s="180">
        <v>500</v>
      </c>
    </row>
    <row r="4373" spans="1:3" x14ac:dyDescent="0.25">
      <c r="A4373" s="178">
        <v>80101</v>
      </c>
      <c r="B4373" s="179" t="s">
        <v>456</v>
      </c>
      <c r="C4373" s="180">
        <v>100</v>
      </c>
    </row>
    <row r="4374" spans="1:3" x14ac:dyDescent="0.25">
      <c r="A4374" s="178">
        <v>80102</v>
      </c>
      <c r="B4374" s="179" t="s">
        <v>456</v>
      </c>
      <c r="C4374" s="180">
        <v>40</v>
      </c>
    </row>
    <row r="4375" spans="1:3" x14ac:dyDescent="0.25">
      <c r="A4375" s="178">
        <v>80103</v>
      </c>
      <c r="B4375" s="179" t="s">
        <v>456</v>
      </c>
      <c r="C4375" s="180">
        <v>800</v>
      </c>
    </row>
    <row r="4376" spans="1:3" x14ac:dyDescent="0.25">
      <c r="A4376" s="178">
        <v>80105</v>
      </c>
      <c r="B4376" s="179" t="s">
        <v>456</v>
      </c>
      <c r="C4376" s="180">
        <v>50</v>
      </c>
    </row>
    <row r="4377" spans="1:3" x14ac:dyDescent="0.25">
      <c r="A4377" s="178">
        <v>80111</v>
      </c>
      <c r="B4377" s="179" t="s">
        <v>456</v>
      </c>
      <c r="C4377" s="180">
        <v>120</v>
      </c>
    </row>
    <row r="4378" spans="1:3" x14ac:dyDescent="0.25">
      <c r="A4378" s="178">
        <v>80115</v>
      </c>
      <c r="B4378" s="179" t="s">
        <v>456</v>
      </c>
      <c r="C4378" s="180">
        <v>750</v>
      </c>
    </row>
    <row r="4379" spans="1:3" x14ac:dyDescent="0.25">
      <c r="A4379" s="178">
        <v>80117</v>
      </c>
      <c r="B4379" s="179" t="s">
        <v>456</v>
      </c>
      <c r="C4379" s="180">
        <v>10</v>
      </c>
    </row>
    <row r="4380" spans="1:3" x14ac:dyDescent="0.25">
      <c r="A4380" s="178">
        <v>80118</v>
      </c>
      <c r="B4380" s="179" t="s">
        <v>456</v>
      </c>
      <c r="C4380" s="180">
        <v>100</v>
      </c>
    </row>
    <row r="4381" spans="1:3" x14ac:dyDescent="0.25">
      <c r="A4381" s="178">
        <v>80120</v>
      </c>
      <c r="B4381" s="179" t="s">
        <v>456</v>
      </c>
      <c r="C4381" s="180">
        <v>1000</v>
      </c>
    </row>
    <row r="4382" spans="1:3" x14ac:dyDescent="0.25">
      <c r="A4382" s="178">
        <v>80127</v>
      </c>
      <c r="B4382" s="179" t="s">
        <v>456</v>
      </c>
      <c r="C4382" s="180">
        <v>240</v>
      </c>
    </row>
    <row r="4383" spans="1:3" x14ac:dyDescent="0.25">
      <c r="A4383" s="178">
        <v>80133</v>
      </c>
      <c r="B4383" s="179" t="s">
        <v>456</v>
      </c>
      <c r="C4383" s="180">
        <v>1000</v>
      </c>
    </row>
    <row r="4384" spans="1:3" x14ac:dyDescent="0.25">
      <c r="A4384" s="178">
        <v>80138</v>
      </c>
      <c r="B4384" s="179" t="s">
        <v>456</v>
      </c>
      <c r="C4384" s="180">
        <v>3</v>
      </c>
    </row>
    <row r="4385" spans="1:3" x14ac:dyDescent="0.25">
      <c r="A4385" s="178">
        <v>80140</v>
      </c>
      <c r="B4385" s="179" t="s">
        <v>456</v>
      </c>
      <c r="C4385" s="180">
        <v>1000</v>
      </c>
    </row>
    <row r="4386" spans="1:3" x14ac:dyDescent="0.25">
      <c r="A4386" s="178">
        <v>80141</v>
      </c>
      <c r="B4386" s="179" t="s">
        <v>456</v>
      </c>
      <c r="C4386" s="180">
        <v>1000</v>
      </c>
    </row>
    <row r="4387" spans="1:3" x14ac:dyDescent="0.25">
      <c r="A4387" s="178">
        <v>80143</v>
      </c>
      <c r="B4387" s="179" t="s">
        <v>456</v>
      </c>
      <c r="C4387" s="180">
        <v>1000</v>
      </c>
    </row>
    <row r="4388" spans="1:3" x14ac:dyDescent="0.25">
      <c r="A4388" s="178">
        <v>80148</v>
      </c>
      <c r="B4388" s="179" t="s">
        <v>456</v>
      </c>
      <c r="C4388" s="180">
        <v>1000</v>
      </c>
    </row>
    <row r="4389" spans="1:3" x14ac:dyDescent="0.25">
      <c r="A4389" s="178">
        <v>80153</v>
      </c>
      <c r="B4389" s="179" t="s">
        <v>456</v>
      </c>
      <c r="C4389" s="180">
        <v>1000</v>
      </c>
    </row>
    <row r="4390" spans="1:3" x14ac:dyDescent="0.25">
      <c r="A4390" s="178">
        <v>80156</v>
      </c>
      <c r="B4390" s="179" t="s">
        <v>456</v>
      </c>
      <c r="C4390" s="180">
        <v>1000</v>
      </c>
    </row>
    <row r="4391" spans="1:3" x14ac:dyDescent="0.25">
      <c r="A4391" s="178">
        <v>80166</v>
      </c>
      <c r="B4391" s="179" t="s">
        <v>456</v>
      </c>
      <c r="C4391" s="180">
        <v>105</v>
      </c>
    </row>
    <row r="4392" spans="1:3" x14ac:dyDescent="0.25">
      <c r="A4392" s="178">
        <v>80167</v>
      </c>
      <c r="B4392" s="179" t="s">
        <v>456</v>
      </c>
      <c r="C4392" s="180">
        <v>250</v>
      </c>
    </row>
    <row r="4393" spans="1:3" x14ac:dyDescent="0.25">
      <c r="A4393" s="178">
        <v>80168</v>
      </c>
      <c r="B4393" s="179" t="s">
        <v>456</v>
      </c>
      <c r="C4393" s="180">
        <v>500</v>
      </c>
    </row>
    <row r="4394" spans="1:3" x14ac:dyDescent="0.25">
      <c r="A4394" s="178">
        <v>80169</v>
      </c>
      <c r="B4394" s="179" t="s">
        <v>456</v>
      </c>
      <c r="C4394" s="180">
        <v>120</v>
      </c>
    </row>
    <row r="4395" spans="1:3" x14ac:dyDescent="0.25">
      <c r="A4395" s="178">
        <v>80170</v>
      </c>
      <c r="B4395" s="179" t="s">
        <v>456</v>
      </c>
      <c r="C4395" s="180">
        <v>120</v>
      </c>
    </row>
    <row r="4396" spans="1:3" x14ac:dyDescent="0.25">
      <c r="A4396" s="178">
        <v>80185</v>
      </c>
      <c r="B4396" s="179" t="s">
        <v>456</v>
      </c>
      <c r="C4396" s="180">
        <v>600</v>
      </c>
    </row>
    <row r="4397" spans="1:3" x14ac:dyDescent="0.25">
      <c r="A4397" s="178">
        <v>80186</v>
      </c>
      <c r="B4397" s="179" t="s">
        <v>456</v>
      </c>
      <c r="C4397" s="180">
        <v>100</v>
      </c>
    </row>
    <row r="4398" spans="1:3" x14ac:dyDescent="0.25">
      <c r="A4398" s="178">
        <v>80193</v>
      </c>
      <c r="B4398" s="179" t="s">
        <v>456</v>
      </c>
      <c r="C4398" s="180">
        <v>500</v>
      </c>
    </row>
    <row r="4399" spans="1:3" x14ac:dyDescent="0.25">
      <c r="A4399" s="178">
        <v>80195</v>
      </c>
      <c r="B4399" s="179" t="s">
        <v>456</v>
      </c>
      <c r="C4399" s="180">
        <v>500</v>
      </c>
    </row>
    <row r="4400" spans="1:3" x14ac:dyDescent="0.25">
      <c r="A4400" s="178">
        <v>80196</v>
      </c>
      <c r="B4400" s="179" t="s">
        <v>456</v>
      </c>
      <c r="C4400" s="180">
        <v>500</v>
      </c>
    </row>
    <row r="4401" spans="1:3" x14ac:dyDescent="0.25">
      <c r="A4401" s="178">
        <v>80197</v>
      </c>
      <c r="B4401" s="179" t="s">
        <v>456</v>
      </c>
      <c r="C4401" s="180">
        <v>100</v>
      </c>
    </row>
    <row r="4402" spans="1:3" x14ac:dyDescent="0.25">
      <c r="A4402" s="178">
        <v>80199</v>
      </c>
      <c r="B4402" s="179" t="s">
        <v>456</v>
      </c>
      <c r="C4402" s="180">
        <v>1000</v>
      </c>
    </row>
    <row r="4403" spans="1:3" x14ac:dyDescent="0.25">
      <c r="A4403" s="178">
        <v>80201</v>
      </c>
      <c r="B4403" s="179" t="s">
        <v>456</v>
      </c>
      <c r="C4403" s="180">
        <v>50</v>
      </c>
    </row>
    <row r="4404" spans="1:3" x14ac:dyDescent="0.25">
      <c r="A4404" s="178">
        <v>80203</v>
      </c>
      <c r="B4404" s="179" t="s">
        <v>456</v>
      </c>
      <c r="C4404" s="180">
        <v>500</v>
      </c>
    </row>
    <row r="4405" spans="1:3" x14ac:dyDescent="0.25">
      <c r="A4405" s="178">
        <v>80204</v>
      </c>
      <c r="B4405" s="179" t="s">
        <v>456</v>
      </c>
      <c r="C4405" s="180">
        <v>500</v>
      </c>
    </row>
    <row r="4406" spans="1:3" x14ac:dyDescent="0.25">
      <c r="A4406" s="178">
        <v>80205</v>
      </c>
      <c r="B4406" s="179" t="s">
        <v>456</v>
      </c>
      <c r="C4406" s="180">
        <v>500</v>
      </c>
    </row>
    <row r="4407" spans="1:3" x14ac:dyDescent="0.25">
      <c r="A4407" s="178">
        <v>80207</v>
      </c>
      <c r="B4407" s="179" t="s">
        <v>456</v>
      </c>
      <c r="C4407" s="180">
        <v>1000</v>
      </c>
    </row>
    <row r="4408" spans="1:3" x14ac:dyDescent="0.25">
      <c r="A4408" s="178">
        <v>80210</v>
      </c>
      <c r="B4408" s="179" t="s">
        <v>456</v>
      </c>
      <c r="C4408" s="180">
        <v>120</v>
      </c>
    </row>
    <row r="4409" spans="1:3" x14ac:dyDescent="0.25">
      <c r="A4409" s="178">
        <v>80213</v>
      </c>
      <c r="B4409" s="179" t="s">
        <v>456</v>
      </c>
      <c r="C4409" s="180">
        <v>500</v>
      </c>
    </row>
    <row r="4410" spans="1:3" x14ac:dyDescent="0.25">
      <c r="A4410" s="178">
        <v>80214</v>
      </c>
      <c r="B4410" s="179" t="s">
        <v>456</v>
      </c>
      <c r="C4410" s="180">
        <v>500</v>
      </c>
    </row>
    <row r="4411" spans="1:3" x14ac:dyDescent="0.25">
      <c r="A4411" s="178">
        <v>80216</v>
      </c>
      <c r="B4411" s="179" t="s">
        <v>456</v>
      </c>
      <c r="C4411" s="180">
        <v>200</v>
      </c>
    </row>
    <row r="4412" spans="1:3" x14ac:dyDescent="0.25">
      <c r="A4412" s="178">
        <v>80217</v>
      </c>
      <c r="B4412" s="179" t="s">
        <v>456</v>
      </c>
      <c r="C4412" s="180">
        <v>1000</v>
      </c>
    </row>
    <row r="4413" spans="1:3" x14ac:dyDescent="0.25">
      <c r="A4413" s="178">
        <v>80218</v>
      </c>
      <c r="B4413" s="179" t="s">
        <v>456</v>
      </c>
      <c r="C4413" s="180">
        <v>500</v>
      </c>
    </row>
    <row r="4414" spans="1:3" x14ac:dyDescent="0.25">
      <c r="A4414" s="178">
        <v>80219</v>
      </c>
      <c r="B4414" s="179" t="s">
        <v>456</v>
      </c>
      <c r="C4414" s="180">
        <v>200</v>
      </c>
    </row>
    <row r="4415" spans="1:3" x14ac:dyDescent="0.25">
      <c r="A4415" s="178">
        <v>80221</v>
      </c>
      <c r="B4415" s="179" t="s">
        <v>456</v>
      </c>
      <c r="C4415" s="180">
        <v>200</v>
      </c>
    </row>
    <row r="4416" spans="1:3" x14ac:dyDescent="0.25">
      <c r="A4416" s="178">
        <v>80230</v>
      </c>
      <c r="B4416" s="179" t="s">
        <v>456</v>
      </c>
      <c r="C4416" s="180">
        <v>1000</v>
      </c>
    </row>
    <row r="4417" spans="1:3" x14ac:dyDescent="0.25">
      <c r="A4417" s="178">
        <v>80240</v>
      </c>
      <c r="B4417" s="179" t="s">
        <v>456</v>
      </c>
      <c r="C4417" s="180">
        <v>500</v>
      </c>
    </row>
    <row r="4418" spans="1:3" x14ac:dyDescent="0.25">
      <c r="A4418" s="178">
        <v>80241</v>
      </c>
      <c r="B4418" s="179" t="s">
        <v>456</v>
      </c>
      <c r="C4418" s="180">
        <v>16</v>
      </c>
    </row>
    <row r="4419" spans="1:3" x14ac:dyDescent="0.25">
      <c r="A4419" s="178">
        <v>80242</v>
      </c>
      <c r="B4419" s="179" t="s">
        <v>456</v>
      </c>
      <c r="C4419" s="180">
        <v>100</v>
      </c>
    </row>
    <row r="4420" spans="1:3" x14ac:dyDescent="0.25">
      <c r="A4420" s="178">
        <v>80243</v>
      </c>
      <c r="B4420" s="179" t="s">
        <v>456</v>
      </c>
      <c r="C4420" s="180">
        <v>800</v>
      </c>
    </row>
    <row r="4421" spans="1:3" x14ac:dyDescent="0.25">
      <c r="A4421" s="178">
        <v>80246</v>
      </c>
      <c r="B4421" s="179" t="s">
        <v>456</v>
      </c>
      <c r="C4421" s="180">
        <v>800</v>
      </c>
    </row>
    <row r="4422" spans="1:3" x14ac:dyDescent="0.25">
      <c r="A4422" s="178">
        <v>80253</v>
      </c>
      <c r="B4422" s="179" t="s">
        <v>456</v>
      </c>
      <c r="C4422" s="180">
        <v>500</v>
      </c>
    </row>
    <row r="4423" spans="1:3" x14ac:dyDescent="0.25">
      <c r="A4423" s="178">
        <v>80255</v>
      </c>
      <c r="B4423" s="179" t="s">
        <v>456</v>
      </c>
      <c r="C4423" s="180">
        <v>1000</v>
      </c>
    </row>
    <row r="4424" spans="1:3" x14ac:dyDescent="0.25">
      <c r="A4424" s="178">
        <v>80257</v>
      </c>
      <c r="B4424" s="179" t="s">
        <v>456</v>
      </c>
      <c r="C4424" s="180">
        <v>900</v>
      </c>
    </row>
    <row r="4425" spans="1:3" x14ac:dyDescent="0.25">
      <c r="A4425" s="178">
        <v>80260</v>
      </c>
      <c r="B4425" s="179" t="s">
        <v>456</v>
      </c>
      <c r="C4425" s="180">
        <v>200</v>
      </c>
    </row>
    <row r="4426" spans="1:3" x14ac:dyDescent="0.25">
      <c r="A4426" s="178">
        <v>80263</v>
      </c>
      <c r="B4426" s="179" t="s">
        <v>456</v>
      </c>
      <c r="C4426" s="180">
        <v>99999</v>
      </c>
    </row>
    <row r="4427" spans="1:3" x14ac:dyDescent="0.25">
      <c r="A4427" s="178">
        <v>80267</v>
      </c>
      <c r="B4427" s="179" t="s">
        <v>456</v>
      </c>
      <c r="C4427" s="180">
        <v>600</v>
      </c>
    </row>
    <row r="4428" spans="1:3" x14ac:dyDescent="0.25">
      <c r="A4428" s="178">
        <v>80269</v>
      </c>
      <c r="B4428" s="179" t="s">
        <v>456</v>
      </c>
      <c r="C4428" s="180">
        <v>120</v>
      </c>
    </row>
    <row r="4429" spans="1:3" x14ac:dyDescent="0.25">
      <c r="A4429" s="178">
        <v>80270</v>
      </c>
      <c r="B4429" s="179" t="s">
        <v>456</v>
      </c>
      <c r="C4429" s="180">
        <v>120</v>
      </c>
    </row>
    <row r="4430" spans="1:3" x14ac:dyDescent="0.25">
      <c r="A4430" s="178">
        <v>80271</v>
      </c>
      <c r="B4430" s="179" t="s">
        <v>456</v>
      </c>
      <c r="C4430" s="180">
        <v>500</v>
      </c>
    </row>
    <row r="4431" spans="1:3" x14ac:dyDescent="0.25">
      <c r="A4431" s="178">
        <v>80273</v>
      </c>
      <c r="B4431" s="179" t="s">
        <v>456</v>
      </c>
      <c r="C4431" s="180">
        <v>420</v>
      </c>
    </row>
    <row r="4432" spans="1:3" x14ac:dyDescent="0.25">
      <c r="A4432" s="178">
        <v>80274</v>
      </c>
      <c r="B4432" s="179" t="s">
        <v>456</v>
      </c>
      <c r="C4432" s="180">
        <v>200</v>
      </c>
    </row>
    <row r="4433" spans="1:3" x14ac:dyDescent="0.25">
      <c r="A4433" s="178">
        <v>81000</v>
      </c>
      <c r="B4433" s="179" t="s">
        <v>456</v>
      </c>
      <c r="C4433" s="180">
        <v>500</v>
      </c>
    </row>
    <row r="4434" spans="1:3" x14ac:dyDescent="0.25">
      <c r="A4434" s="178">
        <v>81001</v>
      </c>
      <c r="B4434" s="179" t="s">
        <v>456</v>
      </c>
      <c r="C4434" s="180">
        <v>1008</v>
      </c>
    </row>
    <row r="4435" spans="1:3" x14ac:dyDescent="0.25">
      <c r="A4435" s="178">
        <v>81002</v>
      </c>
      <c r="B4435" s="179" t="s">
        <v>456</v>
      </c>
      <c r="C4435" s="180">
        <v>1008</v>
      </c>
    </row>
    <row r="4436" spans="1:3" x14ac:dyDescent="0.25">
      <c r="A4436" s="178">
        <v>81008</v>
      </c>
      <c r="B4436" s="179" t="s">
        <v>456</v>
      </c>
      <c r="C4436" s="180">
        <v>1680</v>
      </c>
    </row>
    <row r="4437" spans="1:3" x14ac:dyDescent="0.25">
      <c r="A4437" s="178">
        <v>81009</v>
      </c>
      <c r="B4437" s="179" t="s">
        <v>456</v>
      </c>
      <c r="C4437" s="180">
        <v>1680</v>
      </c>
    </row>
    <row r="4438" spans="1:3" x14ac:dyDescent="0.25">
      <c r="A4438" s="178">
        <v>81015</v>
      </c>
      <c r="B4438" s="179" t="s">
        <v>456</v>
      </c>
      <c r="C4438" s="180">
        <v>160</v>
      </c>
    </row>
    <row r="4439" spans="1:3" x14ac:dyDescent="0.25">
      <c r="A4439" s="178">
        <v>81016</v>
      </c>
      <c r="B4439" s="179" t="s">
        <v>456</v>
      </c>
      <c r="C4439" s="180">
        <v>1008</v>
      </c>
    </row>
    <row r="4440" spans="1:3" x14ac:dyDescent="0.25">
      <c r="A4440" s="178">
        <v>81017</v>
      </c>
      <c r="B4440" s="179" t="s">
        <v>456</v>
      </c>
      <c r="C4440" s="180">
        <v>1008</v>
      </c>
    </row>
    <row r="4441" spans="1:3" x14ac:dyDescent="0.25">
      <c r="A4441" s="178">
        <v>81018</v>
      </c>
      <c r="B4441" s="179" t="s">
        <v>456</v>
      </c>
      <c r="C4441" s="180">
        <v>700</v>
      </c>
    </row>
    <row r="4442" spans="1:3" x14ac:dyDescent="0.25">
      <c r="A4442" s="178">
        <v>81019</v>
      </c>
      <c r="B4442" s="179" t="s">
        <v>456</v>
      </c>
      <c r="C4442" s="180">
        <v>700</v>
      </c>
    </row>
    <row r="4443" spans="1:3" x14ac:dyDescent="0.25">
      <c r="A4443" s="178">
        <v>81020</v>
      </c>
      <c r="B4443" s="179" t="s">
        <v>456</v>
      </c>
      <c r="C4443" s="180">
        <v>2100</v>
      </c>
    </row>
    <row r="4444" spans="1:3" x14ac:dyDescent="0.25">
      <c r="A4444" s="178">
        <v>81022</v>
      </c>
      <c r="B4444" s="179" t="s">
        <v>456</v>
      </c>
      <c r="C4444" s="180">
        <v>4480</v>
      </c>
    </row>
    <row r="4445" spans="1:3" x14ac:dyDescent="0.25">
      <c r="A4445" s="178">
        <v>81023</v>
      </c>
      <c r="B4445" s="179" t="s">
        <v>456</v>
      </c>
      <c r="C4445" s="180">
        <v>4900</v>
      </c>
    </row>
    <row r="4446" spans="1:3" x14ac:dyDescent="0.25">
      <c r="A4446" s="178">
        <v>81024</v>
      </c>
      <c r="B4446" s="179" t="s">
        <v>456</v>
      </c>
      <c r="C4446" s="180">
        <v>4900</v>
      </c>
    </row>
    <row r="4447" spans="1:3" x14ac:dyDescent="0.25">
      <c r="A4447" s="178">
        <v>81025</v>
      </c>
      <c r="B4447" s="179" t="s">
        <v>456</v>
      </c>
      <c r="C4447" s="180">
        <v>4480</v>
      </c>
    </row>
    <row r="4448" spans="1:3" x14ac:dyDescent="0.25">
      <c r="A4448" s="178">
        <v>81026</v>
      </c>
      <c r="B4448" s="179" t="s">
        <v>456</v>
      </c>
      <c r="C4448" s="180">
        <v>3360</v>
      </c>
    </row>
    <row r="4449" spans="1:3" x14ac:dyDescent="0.25">
      <c r="A4449" s="178">
        <v>81044</v>
      </c>
      <c r="B4449" s="179" t="s">
        <v>456</v>
      </c>
      <c r="C4449" s="180">
        <v>1008</v>
      </c>
    </row>
    <row r="4450" spans="1:3" x14ac:dyDescent="0.25">
      <c r="A4450" s="178">
        <v>81048</v>
      </c>
      <c r="B4450" s="179" t="s">
        <v>456</v>
      </c>
      <c r="C4450" s="180">
        <v>1440</v>
      </c>
    </row>
    <row r="4451" spans="1:3" x14ac:dyDescent="0.25">
      <c r="A4451" s="178">
        <v>81050</v>
      </c>
      <c r="B4451" s="179" t="s">
        <v>456</v>
      </c>
      <c r="C4451" s="180">
        <v>1440</v>
      </c>
    </row>
    <row r="4452" spans="1:3" x14ac:dyDescent="0.25">
      <c r="A4452" s="178">
        <v>81051</v>
      </c>
      <c r="B4452" s="179" t="s">
        <v>456</v>
      </c>
      <c r="C4452" s="180">
        <v>1440</v>
      </c>
    </row>
    <row r="4453" spans="1:3" x14ac:dyDescent="0.25">
      <c r="A4453" s="178">
        <v>81052</v>
      </c>
      <c r="B4453" s="179" t="s">
        <v>456</v>
      </c>
      <c r="C4453" s="180">
        <v>1440</v>
      </c>
    </row>
    <row r="4454" spans="1:3" x14ac:dyDescent="0.25">
      <c r="A4454" s="178">
        <v>81054</v>
      </c>
      <c r="B4454" s="179" t="s">
        <v>456</v>
      </c>
      <c r="C4454" s="180">
        <v>1440</v>
      </c>
    </row>
    <row r="4455" spans="1:3" x14ac:dyDescent="0.25">
      <c r="A4455" s="178">
        <v>81057</v>
      </c>
      <c r="B4455" s="179" t="s">
        <v>456</v>
      </c>
      <c r="C4455" s="180">
        <v>1950</v>
      </c>
    </row>
    <row r="4456" spans="1:3" x14ac:dyDescent="0.25">
      <c r="A4456" s="178">
        <v>81058</v>
      </c>
      <c r="B4456" s="179" t="s">
        <v>456</v>
      </c>
      <c r="C4456" s="180">
        <v>1950</v>
      </c>
    </row>
    <row r="4457" spans="1:3" x14ac:dyDescent="0.25">
      <c r="A4457" s="178">
        <v>81059</v>
      </c>
      <c r="B4457" s="179" t="s">
        <v>456</v>
      </c>
      <c r="C4457" s="180">
        <v>1950</v>
      </c>
    </row>
    <row r="4458" spans="1:3" x14ac:dyDescent="0.25">
      <c r="A4458" s="178">
        <v>81060</v>
      </c>
      <c r="B4458" s="179" t="s">
        <v>456</v>
      </c>
      <c r="C4458" s="180">
        <v>1950</v>
      </c>
    </row>
    <row r="4459" spans="1:3" x14ac:dyDescent="0.25">
      <c r="A4459" s="178">
        <v>81062</v>
      </c>
      <c r="B4459" s="179" t="s">
        <v>456</v>
      </c>
      <c r="C4459" s="180">
        <v>1440</v>
      </c>
    </row>
    <row r="4460" spans="1:3" x14ac:dyDescent="0.25">
      <c r="A4460" s="178">
        <v>81064</v>
      </c>
      <c r="B4460" s="179" t="s">
        <v>456</v>
      </c>
      <c r="C4460" s="180">
        <v>6</v>
      </c>
    </row>
    <row r="4461" spans="1:3" x14ac:dyDescent="0.25">
      <c r="A4461" s="178">
        <v>81065</v>
      </c>
      <c r="B4461" s="179" t="s">
        <v>456</v>
      </c>
      <c r="C4461" s="180">
        <v>2223</v>
      </c>
    </row>
    <row r="4462" spans="1:3" x14ac:dyDescent="0.25">
      <c r="A4462" s="178">
        <v>81066</v>
      </c>
      <c r="B4462" s="179" t="s">
        <v>456</v>
      </c>
      <c r="C4462" s="180">
        <v>2223</v>
      </c>
    </row>
    <row r="4463" spans="1:3" x14ac:dyDescent="0.25">
      <c r="A4463" s="178">
        <v>81067</v>
      </c>
      <c r="B4463" s="179" t="s">
        <v>456</v>
      </c>
      <c r="C4463" s="180">
        <v>1320</v>
      </c>
    </row>
    <row r="4464" spans="1:3" x14ac:dyDescent="0.25">
      <c r="A4464" s="178">
        <v>81069</v>
      </c>
      <c r="B4464" s="179" t="s">
        <v>456</v>
      </c>
      <c r="C4464" s="180">
        <v>5040</v>
      </c>
    </row>
    <row r="4465" spans="1:3" x14ac:dyDescent="0.25">
      <c r="A4465" s="178">
        <v>81074</v>
      </c>
      <c r="B4465" s="179" t="s">
        <v>456</v>
      </c>
      <c r="C4465" s="180">
        <v>99999</v>
      </c>
    </row>
    <row r="4466" spans="1:3" x14ac:dyDescent="0.25">
      <c r="A4466" s="178">
        <v>81075</v>
      </c>
      <c r="B4466" s="179" t="s">
        <v>456</v>
      </c>
      <c r="C4466" s="180">
        <v>276</v>
      </c>
    </row>
    <row r="4467" spans="1:3" x14ac:dyDescent="0.25">
      <c r="A4467" s="178">
        <v>81076</v>
      </c>
      <c r="B4467" s="179" t="s">
        <v>456</v>
      </c>
      <c r="C4467" s="180">
        <v>276</v>
      </c>
    </row>
    <row r="4468" spans="1:3" x14ac:dyDescent="0.25">
      <c r="A4468" s="178">
        <v>81079</v>
      </c>
      <c r="B4468" s="179" t="s">
        <v>456</v>
      </c>
      <c r="C4468" s="180">
        <v>99999</v>
      </c>
    </row>
    <row r="4469" spans="1:3" x14ac:dyDescent="0.25">
      <c r="A4469" s="178">
        <v>81080</v>
      </c>
      <c r="B4469" s="179" t="s">
        <v>456</v>
      </c>
      <c r="C4469" s="180">
        <v>99999</v>
      </c>
    </row>
    <row r="4470" spans="1:3" x14ac:dyDescent="0.25">
      <c r="A4470" s="178">
        <v>81086</v>
      </c>
      <c r="B4470" s="179" t="s">
        <v>456</v>
      </c>
      <c r="C4470" s="180">
        <v>36000</v>
      </c>
    </row>
    <row r="4471" spans="1:3" x14ac:dyDescent="0.25">
      <c r="A4471" s="178">
        <v>81087</v>
      </c>
      <c r="B4471" s="179" t="s">
        <v>456</v>
      </c>
      <c r="C4471" s="180">
        <v>42000</v>
      </c>
    </row>
    <row r="4472" spans="1:3" x14ac:dyDescent="0.25">
      <c r="A4472" s="178">
        <v>81098</v>
      </c>
      <c r="B4472" s="179" t="s">
        <v>456</v>
      </c>
      <c r="C4472" s="180">
        <v>6000</v>
      </c>
    </row>
    <row r="4473" spans="1:3" x14ac:dyDescent="0.25">
      <c r="A4473" s="178">
        <v>81099</v>
      </c>
      <c r="B4473" s="179" t="s">
        <v>456</v>
      </c>
      <c r="C4473" s="180">
        <v>99999</v>
      </c>
    </row>
    <row r="4474" spans="1:3" x14ac:dyDescent="0.25">
      <c r="A4474" s="178">
        <v>81100</v>
      </c>
      <c r="B4474" s="179" t="s">
        <v>456</v>
      </c>
      <c r="C4474" s="180">
        <v>99999</v>
      </c>
    </row>
    <row r="4475" spans="1:3" x14ac:dyDescent="0.25">
      <c r="A4475" s="178">
        <v>81101</v>
      </c>
      <c r="B4475" s="179" t="s">
        <v>456</v>
      </c>
      <c r="C4475" s="180">
        <v>30000</v>
      </c>
    </row>
    <row r="4476" spans="1:3" x14ac:dyDescent="0.25">
      <c r="A4476" s="178">
        <v>81102</v>
      </c>
      <c r="B4476" s="179" t="s">
        <v>456</v>
      </c>
      <c r="C4476" s="180">
        <v>30000</v>
      </c>
    </row>
    <row r="4477" spans="1:3" x14ac:dyDescent="0.25">
      <c r="A4477" s="178">
        <v>81103</v>
      </c>
      <c r="B4477" s="179" t="s">
        <v>456</v>
      </c>
      <c r="C4477" s="180">
        <v>120</v>
      </c>
    </row>
    <row r="4478" spans="1:3" x14ac:dyDescent="0.25">
      <c r="A4478" s="178">
        <v>81104</v>
      </c>
      <c r="B4478" s="179" t="s">
        <v>456</v>
      </c>
      <c r="C4478" s="180">
        <v>120</v>
      </c>
    </row>
    <row r="4479" spans="1:3" x14ac:dyDescent="0.25">
      <c r="A4479" s="178">
        <v>81105</v>
      </c>
      <c r="B4479" s="179" t="s">
        <v>456</v>
      </c>
      <c r="C4479" s="180">
        <v>3700</v>
      </c>
    </row>
    <row r="4480" spans="1:3" x14ac:dyDescent="0.25">
      <c r="A4480" s="178">
        <v>81106</v>
      </c>
      <c r="B4480" s="179" t="s">
        <v>456</v>
      </c>
      <c r="C4480" s="180">
        <v>3700</v>
      </c>
    </row>
    <row r="4481" spans="1:3" x14ac:dyDescent="0.25">
      <c r="A4481" s="178">
        <v>81107</v>
      </c>
      <c r="B4481" s="179" t="s">
        <v>456</v>
      </c>
      <c r="C4481" s="180">
        <v>120</v>
      </c>
    </row>
    <row r="4482" spans="1:3" x14ac:dyDescent="0.25">
      <c r="A4482" s="178">
        <v>81108</v>
      </c>
      <c r="B4482" s="179" t="s">
        <v>456</v>
      </c>
      <c r="C4482" s="180">
        <v>26950</v>
      </c>
    </row>
    <row r="4483" spans="1:3" x14ac:dyDescent="0.25">
      <c r="A4483" s="178">
        <v>81109</v>
      </c>
      <c r="B4483" s="179" t="s">
        <v>456</v>
      </c>
      <c r="C4483" s="180">
        <v>120</v>
      </c>
    </row>
    <row r="4484" spans="1:3" x14ac:dyDescent="0.25">
      <c r="A4484" s="178">
        <v>81110</v>
      </c>
      <c r="B4484" s="179" t="s">
        <v>456</v>
      </c>
      <c r="C4484" s="180">
        <v>120</v>
      </c>
    </row>
    <row r="4485" spans="1:3" x14ac:dyDescent="0.25">
      <c r="A4485" s="178">
        <v>81111</v>
      </c>
      <c r="B4485" s="179" t="s">
        <v>456</v>
      </c>
      <c r="C4485" s="180">
        <v>1715</v>
      </c>
    </row>
    <row r="4486" spans="1:3" x14ac:dyDescent="0.25">
      <c r="A4486" s="178">
        <v>81112</v>
      </c>
      <c r="B4486" s="179" t="s">
        <v>456</v>
      </c>
      <c r="C4486" s="180">
        <v>1980</v>
      </c>
    </row>
    <row r="4487" spans="1:3" x14ac:dyDescent="0.25">
      <c r="A4487" s="178">
        <v>81113</v>
      </c>
      <c r="B4487" s="179" t="s">
        <v>456</v>
      </c>
      <c r="C4487" s="180">
        <v>1872</v>
      </c>
    </row>
    <row r="4488" spans="1:3" x14ac:dyDescent="0.25">
      <c r="A4488" s="178">
        <v>81121</v>
      </c>
      <c r="B4488" s="179" t="s">
        <v>456</v>
      </c>
      <c r="C4488" s="180">
        <v>42</v>
      </c>
    </row>
    <row r="4489" spans="1:3" x14ac:dyDescent="0.25">
      <c r="A4489" s="178">
        <v>81133</v>
      </c>
      <c r="B4489" s="179" t="s">
        <v>456</v>
      </c>
      <c r="C4489" s="180">
        <v>63</v>
      </c>
    </row>
    <row r="4490" spans="1:3" x14ac:dyDescent="0.25">
      <c r="A4490" s="178">
        <v>81134</v>
      </c>
      <c r="B4490" s="179" t="s">
        <v>456</v>
      </c>
      <c r="C4490" s="180">
        <v>29256</v>
      </c>
    </row>
    <row r="4491" spans="1:3" x14ac:dyDescent="0.25">
      <c r="A4491" s="178">
        <v>81135</v>
      </c>
      <c r="B4491" s="179" t="s">
        <v>456</v>
      </c>
      <c r="C4491" s="180">
        <v>35500</v>
      </c>
    </row>
    <row r="4492" spans="1:3" x14ac:dyDescent="0.25">
      <c r="A4492" s="178">
        <v>81138</v>
      </c>
      <c r="B4492" s="179" t="s">
        <v>456</v>
      </c>
      <c r="C4492" s="180">
        <v>25000</v>
      </c>
    </row>
    <row r="4493" spans="1:3" x14ac:dyDescent="0.25">
      <c r="A4493" s="178">
        <v>81139</v>
      </c>
      <c r="B4493" s="179" t="s">
        <v>456</v>
      </c>
      <c r="C4493" s="180">
        <v>99999</v>
      </c>
    </row>
    <row r="4494" spans="1:3" x14ac:dyDescent="0.25">
      <c r="A4494" s="178">
        <v>81140</v>
      </c>
      <c r="B4494" s="179" t="s">
        <v>456</v>
      </c>
      <c r="C4494" s="180">
        <v>99999</v>
      </c>
    </row>
    <row r="4495" spans="1:3" x14ac:dyDescent="0.25">
      <c r="A4495" s="178">
        <v>81141</v>
      </c>
      <c r="B4495" s="179" t="s">
        <v>456</v>
      </c>
      <c r="C4495" s="180">
        <v>99999</v>
      </c>
    </row>
    <row r="4496" spans="1:3" x14ac:dyDescent="0.25">
      <c r="A4496" s="178">
        <v>81142</v>
      </c>
      <c r="B4496" s="179" t="s">
        <v>456</v>
      </c>
      <c r="C4496" s="180">
        <v>99999</v>
      </c>
    </row>
    <row r="4497" spans="1:3" x14ac:dyDescent="0.25">
      <c r="A4497" s="178">
        <v>81143</v>
      </c>
      <c r="B4497" s="179" t="s">
        <v>456</v>
      </c>
      <c r="C4497" s="180">
        <v>99999</v>
      </c>
    </row>
    <row r="4498" spans="1:3" x14ac:dyDescent="0.25">
      <c r="A4498" s="178">
        <v>81144</v>
      </c>
      <c r="B4498" s="179" t="s">
        <v>456</v>
      </c>
      <c r="C4498" s="180">
        <v>99999</v>
      </c>
    </row>
    <row r="4499" spans="1:3" x14ac:dyDescent="0.25">
      <c r="A4499" s="178">
        <v>81146</v>
      </c>
      <c r="B4499" s="179" t="s">
        <v>456</v>
      </c>
      <c r="C4499" s="180">
        <v>99999</v>
      </c>
    </row>
    <row r="4500" spans="1:3" x14ac:dyDescent="0.25">
      <c r="A4500" s="178">
        <v>81147</v>
      </c>
      <c r="B4500" s="179" t="s">
        <v>456</v>
      </c>
      <c r="C4500" s="180">
        <v>99999</v>
      </c>
    </row>
    <row r="4501" spans="1:3" x14ac:dyDescent="0.25">
      <c r="A4501" s="178">
        <v>81148</v>
      </c>
      <c r="B4501" s="179" t="s">
        <v>456</v>
      </c>
      <c r="C4501" s="180">
        <v>99999</v>
      </c>
    </row>
    <row r="4502" spans="1:3" x14ac:dyDescent="0.25">
      <c r="A4502" s="178">
        <v>81150</v>
      </c>
      <c r="B4502" s="179" t="s">
        <v>456</v>
      </c>
      <c r="C4502" s="180">
        <v>99999</v>
      </c>
    </row>
    <row r="4503" spans="1:3" x14ac:dyDescent="0.25">
      <c r="A4503" s="178">
        <v>81151</v>
      </c>
      <c r="B4503" s="179" t="s">
        <v>456</v>
      </c>
      <c r="C4503" s="180">
        <v>99999</v>
      </c>
    </row>
    <row r="4504" spans="1:3" x14ac:dyDescent="0.25">
      <c r="A4504" s="178">
        <v>81152</v>
      </c>
      <c r="B4504" s="179" t="s">
        <v>456</v>
      </c>
      <c r="C4504" s="180">
        <v>99999</v>
      </c>
    </row>
    <row r="4505" spans="1:3" x14ac:dyDescent="0.25">
      <c r="A4505" s="178">
        <v>81153</v>
      </c>
      <c r="B4505" s="179" t="s">
        <v>456</v>
      </c>
      <c r="C4505" s="180">
        <v>99999</v>
      </c>
    </row>
    <row r="4506" spans="1:3" x14ac:dyDescent="0.25">
      <c r="A4506" s="178">
        <v>81154</v>
      </c>
      <c r="B4506" s="179" t="s">
        <v>456</v>
      </c>
      <c r="C4506" s="180">
        <v>99999</v>
      </c>
    </row>
    <row r="4507" spans="1:3" x14ac:dyDescent="0.25">
      <c r="A4507" s="178">
        <v>81155</v>
      </c>
      <c r="B4507" s="179" t="s">
        <v>456</v>
      </c>
      <c r="C4507" s="180">
        <v>99999</v>
      </c>
    </row>
    <row r="4508" spans="1:3" x14ac:dyDescent="0.25">
      <c r="A4508" s="178">
        <v>81156</v>
      </c>
      <c r="B4508" s="179" t="s">
        <v>456</v>
      </c>
      <c r="C4508" s="180">
        <v>99999</v>
      </c>
    </row>
    <row r="4509" spans="1:3" x14ac:dyDescent="0.25">
      <c r="A4509" s="178">
        <v>81157</v>
      </c>
      <c r="B4509" s="179" t="s">
        <v>456</v>
      </c>
      <c r="C4509" s="180">
        <v>99999</v>
      </c>
    </row>
    <row r="4510" spans="1:3" x14ac:dyDescent="0.25">
      <c r="A4510" s="178">
        <v>81160</v>
      </c>
      <c r="B4510" s="179" t="s">
        <v>456</v>
      </c>
      <c r="C4510" s="180">
        <v>99999</v>
      </c>
    </row>
    <row r="4511" spans="1:3" x14ac:dyDescent="0.25">
      <c r="A4511" s="178">
        <v>81161</v>
      </c>
      <c r="B4511" s="179" t="s">
        <v>456</v>
      </c>
      <c r="C4511" s="180">
        <v>99999</v>
      </c>
    </row>
    <row r="4512" spans="1:3" x14ac:dyDescent="0.25">
      <c r="A4512" s="178">
        <v>81162</v>
      </c>
      <c r="B4512" s="179" t="s">
        <v>456</v>
      </c>
      <c r="C4512" s="180">
        <v>99999</v>
      </c>
    </row>
    <row r="4513" spans="1:3" x14ac:dyDescent="0.25">
      <c r="A4513" s="178">
        <v>81163</v>
      </c>
      <c r="B4513" s="179" t="s">
        <v>456</v>
      </c>
      <c r="C4513" s="180">
        <v>99999</v>
      </c>
    </row>
    <row r="4514" spans="1:3" x14ac:dyDescent="0.25">
      <c r="A4514" s="178">
        <v>81166</v>
      </c>
      <c r="B4514" s="179" t="s">
        <v>456</v>
      </c>
      <c r="C4514" s="180">
        <v>99999</v>
      </c>
    </row>
    <row r="4515" spans="1:3" x14ac:dyDescent="0.25">
      <c r="A4515" s="178">
        <v>81167</v>
      </c>
      <c r="B4515" s="179" t="s">
        <v>456</v>
      </c>
      <c r="C4515" s="180">
        <v>99999</v>
      </c>
    </row>
    <row r="4516" spans="1:3" x14ac:dyDescent="0.25">
      <c r="A4516" s="178">
        <v>81170</v>
      </c>
      <c r="B4516" s="179" t="s">
        <v>456</v>
      </c>
      <c r="C4516" s="180">
        <v>99999</v>
      </c>
    </row>
    <row r="4517" spans="1:3" x14ac:dyDescent="0.25">
      <c r="A4517" s="178">
        <v>81171</v>
      </c>
      <c r="B4517" s="179" t="s">
        <v>456</v>
      </c>
      <c r="C4517" s="180">
        <v>99999</v>
      </c>
    </row>
    <row r="4518" spans="1:3" x14ac:dyDescent="0.25">
      <c r="A4518" s="178">
        <v>81172</v>
      </c>
      <c r="B4518" s="179" t="s">
        <v>456</v>
      </c>
      <c r="C4518" s="180">
        <v>99999</v>
      </c>
    </row>
    <row r="4519" spans="1:3" x14ac:dyDescent="0.25">
      <c r="A4519" s="178">
        <v>81186</v>
      </c>
      <c r="B4519" s="179" t="s">
        <v>456</v>
      </c>
      <c r="C4519" s="180">
        <v>99999</v>
      </c>
    </row>
    <row r="4520" spans="1:3" x14ac:dyDescent="0.25">
      <c r="A4520" s="178">
        <v>81187</v>
      </c>
      <c r="B4520" s="179" t="s">
        <v>456</v>
      </c>
      <c r="C4520" s="180">
        <v>99999</v>
      </c>
    </row>
    <row r="4521" spans="1:3" x14ac:dyDescent="0.25">
      <c r="A4521" s="178">
        <v>81188</v>
      </c>
      <c r="B4521" s="179" t="s">
        <v>456</v>
      </c>
      <c r="C4521" s="180">
        <v>99999</v>
      </c>
    </row>
    <row r="4522" spans="1:3" x14ac:dyDescent="0.25">
      <c r="A4522" s="178">
        <v>81189</v>
      </c>
      <c r="B4522" s="179" t="s">
        <v>456</v>
      </c>
      <c r="C4522" s="180">
        <v>99999</v>
      </c>
    </row>
    <row r="4523" spans="1:3" x14ac:dyDescent="0.25">
      <c r="A4523" s="178">
        <v>81193</v>
      </c>
      <c r="B4523" s="179" t="s">
        <v>456</v>
      </c>
      <c r="C4523" s="180">
        <v>99999</v>
      </c>
    </row>
    <row r="4524" spans="1:3" x14ac:dyDescent="0.25">
      <c r="A4524" s="178">
        <v>81194</v>
      </c>
      <c r="B4524" s="179" t="s">
        <v>456</v>
      </c>
      <c r="C4524" s="180">
        <v>99999</v>
      </c>
    </row>
    <row r="4525" spans="1:3" x14ac:dyDescent="0.25">
      <c r="A4525" s="178">
        <v>81195</v>
      </c>
      <c r="B4525" s="179" t="s">
        <v>456</v>
      </c>
      <c r="C4525" s="180">
        <v>99999</v>
      </c>
    </row>
    <row r="4526" spans="1:3" x14ac:dyDescent="0.25">
      <c r="A4526" s="178">
        <v>81196</v>
      </c>
      <c r="B4526" s="179" t="s">
        <v>456</v>
      </c>
      <c r="C4526" s="180">
        <v>99999</v>
      </c>
    </row>
    <row r="4527" spans="1:3" x14ac:dyDescent="0.25">
      <c r="A4527" s="178">
        <v>81197</v>
      </c>
      <c r="B4527" s="179" t="s">
        <v>456</v>
      </c>
      <c r="C4527" s="180">
        <v>99999</v>
      </c>
    </row>
    <row r="4528" spans="1:3" x14ac:dyDescent="0.25">
      <c r="A4528" s="178">
        <v>81198</v>
      </c>
      <c r="B4528" s="179" t="s">
        <v>456</v>
      </c>
      <c r="C4528" s="180">
        <v>99999</v>
      </c>
    </row>
    <row r="4529" spans="1:3" x14ac:dyDescent="0.25">
      <c r="A4529" s="178">
        <v>81199</v>
      </c>
      <c r="B4529" s="179" t="s">
        <v>456</v>
      </c>
      <c r="C4529" s="180">
        <v>99999</v>
      </c>
    </row>
    <row r="4530" spans="1:3" x14ac:dyDescent="0.25">
      <c r="A4530" s="178">
        <v>81200</v>
      </c>
      <c r="B4530" s="179" t="s">
        <v>456</v>
      </c>
      <c r="C4530" s="180">
        <v>99999</v>
      </c>
    </row>
    <row r="4531" spans="1:3" x14ac:dyDescent="0.25">
      <c r="A4531" s="178">
        <v>81201</v>
      </c>
      <c r="B4531" s="179" t="s">
        <v>456</v>
      </c>
      <c r="C4531" s="180">
        <v>99999</v>
      </c>
    </row>
    <row r="4532" spans="1:3" x14ac:dyDescent="0.25">
      <c r="A4532" s="178">
        <v>81202</v>
      </c>
      <c r="B4532" s="179" t="s">
        <v>456</v>
      </c>
      <c r="C4532" s="180">
        <v>99999</v>
      </c>
    </row>
    <row r="4533" spans="1:3" x14ac:dyDescent="0.25">
      <c r="A4533" s="178">
        <v>81203</v>
      </c>
      <c r="B4533" s="179" t="s">
        <v>456</v>
      </c>
      <c r="C4533" s="180">
        <v>99999</v>
      </c>
    </row>
    <row r="4534" spans="1:3" x14ac:dyDescent="0.25">
      <c r="A4534" s="178">
        <v>81204</v>
      </c>
      <c r="B4534" s="179" t="s">
        <v>456</v>
      </c>
      <c r="C4534" s="180">
        <v>99999</v>
      </c>
    </row>
    <row r="4535" spans="1:3" x14ac:dyDescent="0.25">
      <c r="A4535" s="178">
        <v>81205</v>
      </c>
      <c r="B4535" s="179" t="s">
        <v>456</v>
      </c>
      <c r="C4535" s="180">
        <v>99999</v>
      </c>
    </row>
    <row r="4536" spans="1:3" x14ac:dyDescent="0.25">
      <c r="A4536" s="178">
        <v>81206</v>
      </c>
      <c r="B4536" s="179" t="s">
        <v>456</v>
      </c>
      <c r="C4536" s="180">
        <v>99999</v>
      </c>
    </row>
    <row r="4537" spans="1:3" x14ac:dyDescent="0.25">
      <c r="A4537" s="178">
        <v>81207</v>
      </c>
      <c r="B4537" s="179" t="s">
        <v>456</v>
      </c>
      <c r="C4537" s="180">
        <v>99999</v>
      </c>
    </row>
    <row r="4538" spans="1:3" x14ac:dyDescent="0.25">
      <c r="A4538" s="178">
        <v>81208</v>
      </c>
      <c r="B4538" s="179" t="s">
        <v>456</v>
      </c>
      <c r="C4538" s="180">
        <v>99999</v>
      </c>
    </row>
    <row r="4539" spans="1:3" x14ac:dyDescent="0.25">
      <c r="A4539" s="178">
        <v>81209</v>
      </c>
      <c r="B4539" s="179" t="s">
        <v>456</v>
      </c>
      <c r="C4539" s="180">
        <v>99999</v>
      </c>
    </row>
    <row r="4540" spans="1:3" x14ac:dyDescent="0.25">
      <c r="A4540" s="178">
        <v>81210</v>
      </c>
      <c r="B4540" s="179" t="s">
        <v>456</v>
      </c>
      <c r="C4540" s="180">
        <v>99999</v>
      </c>
    </row>
    <row r="4541" spans="1:3" x14ac:dyDescent="0.25">
      <c r="A4541" s="178">
        <v>81213</v>
      </c>
      <c r="B4541" s="179" t="s">
        <v>456</v>
      </c>
      <c r="C4541" s="180">
        <v>99999</v>
      </c>
    </row>
    <row r="4542" spans="1:3" x14ac:dyDescent="0.25">
      <c r="A4542" s="178">
        <v>81214</v>
      </c>
      <c r="B4542" s="179" t="s">
        <v>456</v>
      </c>
      <c r="C4542" s="180">
        <v>99999</v>
      </c>
    </row>
    <row r="4543" spans="1:3" x14ac:dyDescent="0.25">
      <c r="A4543" s="178">
        <v>81217</v>
      </c>
      <c r="B4543" s="179" t="s">
        <v>456</v>
      </c>
      <c r="C4543" s="180">
        <v>99999</v>
      </c>
    </row>
    <row r="4544" spans="1:3" x14ac:dyDescent="0.25">
      <c r="A4544" s="178">
        <v>81218</v>
      </c>
      <c r="B4544" s="179" t="s">
        <v>456</v>
      </c>
      <c r="C4544" s="180">
        <v>99999</v>
      </c>
    </row>
    <row r="4545" spans="1:3" x14ac:dyDescent="0.25">
      <c r="A4545" s="178">
        <v>81219</v>
      </c>
      <c r="B4545" s="179" t="s">
        <v>456</v>
      </c>
      <c r="C4545" s="180">
        <v>99999</v>
      </c>
    </row>
    <row r="4546" spans="1:3" x14ac:dyDescent="0.25">
      <c r="A4546" s="178">
        <v>81220</v>
      </c>
      <c r="B4546" s="179" t="s">
        <v>456</v>
      </c>
      <c r="C4546" s="180">
        <v>99999</v>
      </c>
    </row>
    <row r="4547" spans="1:3" x14ac:dyDescent="0.25">
      <c r="A4547" s="178">
        <v>81225</v>
      </c>
      <c r="B4547" s="179" t="s">
        <v>456</v>
      </c>
      <c r="C4547" s="180">
        <v>99999</v>
      </c>
    </row>
    <row r="4548" spans="1:3" x14ac:dyDescent="0.25">
      <c r="A4548" s="178">
        <v>81226</v>
      </c>
      <c r="B4548" s="179" t="s">
        <v>456</v>
      </c>
      <c r="C4548" s="180">
        <v>99999</v>
      </c>
    </row>
    <row r="4549" spans="1:3" x14ac:dyDescent="0.25">
      <c r="A4549" s="178">
        <v>81227</v>
      </c>
      <c r="B4549" s="179" t="s">
        <v>456</v>
      </c>
      <c r="C4549" s="180">
        <v>99999</v>
      </c>
    </row>
    <row r="4550" spans="1:3" x14ac:dyDescent="0.25">
      <c r="A4550" s="178">
        <v>81228</v>
      </c>
      <c r="B4550" s="179" t="s">
        <v>456</v>
      </c>
      <c r="C4550" s="180">
        <v>99999</v>
      </c>
    </row>
    <row r="4551" spans="1:3" x14ac:dyDescent="0.25">
      <c r="A4551" s="178">
        <v>81229</v>
      </c>
      <c r="B4551" s="179" t="s">
        <v>456</v>
      </c>
      <c r="C4551" s="180">
        <v>99999</v>
      </c>
    </row>
    <row r="4552" spans="1:3" x14ac:dyDescent="0.25">
      <c r="A4552" s="178">
        <v>81230</v>
      </c>
      <c r="B4552" s="179" t="s">
        <v>456</v>
      </c>
      <c r="C4552" s="180">
        <v>99999</v>
      </c>
    </row>
    <row r="4553" spans="1:3" x14ac:dyDescent="0.25">
      <c r="A4553" s="178">
        <v>81231</v>
      </c>
      <c r="B4553" s="179" t="s">
        <v>456</v>
      </c>
      <c r="C4553" s="180">
        <v>99999</v>
      </c>
    </row>
    <row r="4554" spans="1:3" x14ac:dyDescent="0.25">
      <c r="A4554" s="178">
        <v>81233</v>
      </c>
      <c r="B4554" s="179" t="s">
        <v>456</v>
      </c>
      <c r="C4554" s="180">
        <v>99999</v>
      </c>
    </row>
    <row r="4555" spans="1:3" x14ac:dyDescent="0.25">
      <c r="A4555" s="178">
        <v>81234</v>
      </c>
      <c r="B4555" s="179" t="s">
        <v>456</v>
      </c>
      <c r="C4555" s="180">
        <v>99999</v>
      </c>
    </row>
    <row r="4556" spans="1:3" x14ac:dyDescent="0.25">
      <c r="A4556" s="178">
        <v>81235</v>
      </c>
      <c r="B4556" s="179" t="s">
        <v>456</v>
      </c>
      <c r="C4556" s="180">
        <v>99999</v>
      </c>
    </row>
    <row r="4557" spans="1:3" x14ac:dyDescent="0.25">
      <c r="A4557" s="178">
        <v>81236</v>
      </c>
      <c r="B4557" s="179" t="s">
        <v>456</v>
      </c>
      <c r="C4557" s="180">
        <v>99999</v>
      </c>
    </row>
    <row r="4558" spans="1:3" x14ac:dyDescent="0.25">
      <c r="A4558" s="178">
        <v>81237</v>
      </c>
      <c r="B4558" s="179" t="s">
        <v>456</v>
      </c>
      <c r="C4558" s="180">
        <v>99999</v>
      </c>
    </row>
    <row r="4559" spans="1:3" x14ac:dyDescent="0.25">
      <c r="A4559" s="178">
        <v>81238</v>
      </c>
      <c r="B4559" s="179" t="s">
        <v>456</v>
      </c>
      <c r="C4559" s="180">
        <v>99999</v>
      </c>
    </row>
    <row r="4560" spans="1:3" x14ac:dyDescent="0.25">
      <c r="A4560" s="178">
        <v>81239</v>
      </c>
      <c r="B4560" s="179" t="s">
        <v>456</v>
      </c>
      <c r="C4560" s="180">
        <v>99999</v>
      </c>
    </row>
    <row r="4561" spans="1:3" x14ac:dyDescent="0.25">
      <c r="A4561" s="178">
        <v>81241</v>
      </c>
      <c r="B4561" s="179" t="s">
        <v>456</v>
      </c>
      <c r="C4561" s="180">
        <v>99999</v>
      </c>
    </row>
    <row r="4562" spans="1:3" x14ac:dyDescent="0.25">
      <c r="A4562" s="178">
        <v>81242</v>
      </c>
      <c r="B4562" s="179" t="s">
        <v>456</v>
      </c>
      <c r="C4562" s="180">
        <v>99999</v>
      </c>
    </row>
    <row r="4563" spans="1:3" x14ac:dyDescent="0.25">
      <c r="A4563" s="178">
        <v>81243</v>
      </c>
      <c r="B4563" s="179" t="s">
        <v>456</v>
      </c>
      <c r="C4563" s="180">
        <v>3300</v>
      </c>
    </row>
    <row r="4564" spans="1:3" x14ac:dyDescent="0.25">
      <c r="A4564" s="178">
        <v>81244</v>
      </c>
      <c r="B4564" s="179" t="s">
        <v>456</v>
      </c>
      <c r="C4564" s="180">
        <v>6000</v>
      </c>
    </row>
    <row r="4565" spans="1:3" x14ac:dyDescent="0.25">
      <c r="A4565" s="178">
        <v>81249</v>
      </c>
      <c r="B4565" s="179" t="s">
        <v>456</v>
      </c>
      <c r="C4565" s="180">
        <v>130</v>
      </c>
    </row>
    <row r="4566" spans="1:3" x14ac:dyDescent="0.25">
      <c r="A4566" s="178">
        <v>81250</v>
      </c>
      <c r="B4566" s="179" t="s">
        <v>456</v>
      </c>
      <c r="C4566" s="180">
        <v>5220</v>
      </c>
    </row>
    <row r="4567" spans="1:3" x14ac:dyDescent="0.25">
      <c r="A4567" s="178">
        <v>81251</v>
      </c>
      <c r="B4567" s="179" t="s">
        <v>456</v>
      </c>
      <c r="C4567" s="180">
        <v>75</v>
      </c>
    </row>
    <row r="4568" spans="1:3" x14ac:dyDescent="0.25">
      <c r="A4568" s="178">
        <v>81252</v>
      </c>
      <c r="B4568" s="179" t="s">
        <v>456</v>
      </c>
      <c r="C4568" s="180">
        <v>3240</v>
      </c>
    </row>
    <row r="4569" spans="1:3" x14ac:dyDescent="0.25">
      <c r="A4569" s="178">
        <v>81253</v>
      </c>
      <c r="B4569" s="179" t="s">
        <v>456</v>
      </c>
      <c r="C4569" s="180">
        <v>5200</v>
      </c>
    </row>
    <row r="4570" spans="1:3" x14ac:dyDescent="0.25">
      <c r="A4570" s="178">
        <v>81254</v>
      </c>
      <c r="B4570" s="179" t="s">
        <v>456</v>
      </c>
      <c r="C4570" s="180">
        <v>2960</v>
      </c>
    </row>
    <row r="4571" spans="1:3" x14ac:dyDescent="0.25">
      <c r="A4571" s="178">
        <v>81255</v>
      </c>
      <c r="B4571" s="179" t="s">
        <v>456</v>
      </c>
      <c r="C4571" s="180">
        <v>1480</v>
      </c>
    </row>
    <row r="4572" spans="1:3" x14ac:dyDescent="0.25">
      <c r="A4572" s="178">
        <v>81256</v>
      </c>
      <c r="B4572" s="179" t="s">
        <v>456</v>
      </c>
      <c r="C4572" s="180">
        <v>2220</v>
      </c>
    </row>
    <row r="4573" spans="1:3" x14ac:dyDescent="0.25">
      <c r="A4573" s="178">
        <v>81257</v>
      </c>
      <c r="B4573" s="179" t="s">
        <v>456</v>
      </c>
      <c r="C4573" s="180">
        <v>80</v>
      </c>
    </row>
    <row r="4574" spans="1:3" x14ac:dyDescent="0.25">
      <c r="A4574" s="178">
        <v>81258</v>
      </c>
      <c r="B4574" s="179" t="s">
        <v>456</v>
      </c>
      <c r="C4574" s="180">
        <v>130</v>
      </c>
    </row>
    <row r="4575" spans="1:3" x14ac:dyDescent="0.25">
      <c r="A4575" s="178">
        <v>81259</v>
      </c>
      <c r="B4575" s="179" t="s">
        <v>456</v>
      </c>
      <c r="C4575" s="180">
        <v>3240</v>
      </c>
    </row>
    <row r="4576" spans="1:3" x14ac:dyDescent="0.25">
      <c r="A4576" s="178">
        <v>81260</v>
      </c>
      <c r="B4576" s="179" t="s">
        <v>456</v>
      </c>
      <c r="C4576" s="180">
        <v>1480</v>
      </c>
    </row>
    <row r="4577" spans="1:3" x14ac:dyDescent="0.25">
      <c r="A4577" s="178">
        <v>81261</v>
      </c>
      <c r="B4577" s="179" t="s">
        <v>456</v>
      </c>
      <c r="C4577" s="180">
        <v>2880</v>
      </c>
    </row>
    <row r="4578" spans="1:3" x14ac:dyDescent="0.25">
      <c r="A4578" s="178">
        <v>81262</v>
      </c>
      <c r="B4578" s="179" t="s">
        <v>456</v>
      </c>
      <c r="C4578" s="180">
        <v>3240</v>
      </c>
    </row>
    <row r="4579" spans="1:3" x14ac:dyDescent="0.25">
      <c r="A4579" s="178">
        <v>81263</v>
      </c>
      <c r="B4579" s="179" t="s">
        <v>456</v>
      </c>
      <c r="C4579" s="180">
        <v>2220</v>
      </c>
    </row>
    <row r="4580" spans="1:3" x14ac:dyDescent="0.25">
      <c r="A4580" s="178">
        <v>81264</v>
      </c>
      <c r="B4580" s="179" t="s">
        <v>456</v>
      </c>
      <c r="C4580" s="180">
        <v>1480</v>
      </c>
    </row>
    <row r="4581" spans="1:3" x14ac:dyDescent="0.25">
      <c r="A4581" s="178">
        <v>81265</v>
      </c>
      <c r="B4581" s="179" t="s">
        <v>456</v>
      </c>
      <c r="C4581" s="180">
        <v>4</v>
      </c>
    </row>
    <row r="4582" spans="1:3" x14ac:dyDescent="0.25">
      <c r="A4582" s="178">
        <v>81266</v>
      </c>
      <c r="B4582" s="179" t="s">
        <v>456</v>
      </c>
      <c r="C4582" s="180">
        <v>320</v>
      </c>
    </row>
    <row r="4583" spans="1:3" x14ac:dyDescent="0.25">
      <c r="A4583" s="178">
        <v>81267</v>
      </c>
      <c r="B4583" s="179" t="s">
        <v>456</v>
      </c>
      <c r="C4583" s="180">
        <v>130</v>
      </c>
    </row>
    <row r="4584" spans="1:3" x14ac:dyDescent="0.25">
      <c r="A4584" s="178">
        <v>81270</v>
      </c>
      <c r="B4584" s="179" t="s">
        <v>456</v>
      </c>
      <c r="C4584" s="180">
        <v>320</v>
      </c>
    </row>
    <row r="4585" spans="1:3" x14ac:dyDescent="0.25">
      <c r="A4585" s="178">
        <v>81271</v>
      </c>
      <c r="B4585" s="179" t="s">
        <v>456</v>
      </c>
      <c r="C4585" s="180">
        <v>175</v>
      </c>
    </row>
    <row r="4586" spans="1:3" x14ac:dyDescent="0.25">
      <c r="A4586" s="178">
        <v>81272</v>
      </c>
      <c r="B4586" s="179" t="s">
        <v>456</v>
      </c>
      <c r="C4586" s="180">
        <v>130</v>
      </c>
    </row>
    <row r="4587" spans="1:3" x14ac:dyDescent="0.25">
      <c r="A4587" s="178">
        <v>81273</v>
      </c>
      <c r="B4587" s="179" t="s">
        <v>456</v>
      </c>
      <c r="C4587" s="180">
        <v>320</v>
      </c>
    </row>
    <row r="4588" spans="1:3" x14ac:dyDescent="0.25">
      <c r="A4588" s="178">
        <v>81274</v>
      </c>
      <c r="B4588" s="179" t="s">
        <v>456</v>
      </c>
      <c r="C4588" s="180">
        <v>130</v>
      </c>
    </row>
    <row r="4589" spans="1:3" x14ac:dyDescent="0.25">
      <c r="A4589" s="178">
        <v>81275</v>
      </c>
      <c r="B4589" s="179" t="s">
        <v>456</v>
      </c>
      <c r="C4589" s="180">
        <v>130</v>
      </c>
    </row>
    <row r="4590" spans="1:3" x14ac:dyDescent="0.25">
      <c r="A4590" s="178">
        <v>81276</v>
      </c>
      <c r="B4590" s="179" t="s">
        <v>456</v>
      </c>
      <c r="C4590" s="180">
        <v>360</v>
      </c>
    </row>
    <row r="4591" spans="1:3" x14ac:dyDescent="0.25">
      <c r="A4591" s="178">
        <v>81277</v>
      </c>
      <c r="B4591" s="179" t="s">
        <v>456</v>
      </c>
      <c r="C4591" s="180">
        <v>130</v>
      </c>
    </row>
    <row r="4592" spans="1:3" x14ac:dyDescent="0.25">
      <c r="A4592" s="178">
        <v>81278</v>
      </c>
      <c r="B4592" s="179" t="s">
        <v>456</v>
      </c>
      <c r="C4592" s="180">
        <v>1120</v>
      </c>
    </row>
    <row r="4593" spans="1:3" x14ac:dyDescent="0.25">
      <c r="A4593" s="178">
        <v>81279</v>
      </c>
      <c r="B4593" s="179" t="s">
        <v>456</v>
      </c>
      <c r="C4593" s="180">
        <v>1680</v>
      </c>
    </row>
    <row r="4594" spans="1:3" x14ac:dyDescent="0.25">
      <c r="A4594" s="178">
        <v>81280</v>
      </c>
      <c r="B4594" s="179" t="s">
        <v>456</v>
      </c>
      <c r="C4594" s="180">
        <v>1550</v>
      </c>
    </row>
    <row r="4595" spans="1:3" x14ac:dyDescent="0.25">
      <c r="A4595" s="178">
        <v>81281</v>
      </c>
      <c r="B4595" s="179" t="s">
        <v>456</v>
      </c>
      <c r="C4595" s="180">
        <v>1890</v>
      </c>
    </row>
    <row r="4596" spans="1:3" x14ac:dyDescent="0.25">
      <c r="A4596" s="178">
        <v>81282</v>
      </c>
      <c r="B4596" s="179" t="s">
        <v>456</v>
      </c>
      <c r="C4596" s="180">
        <v>1680</v>
      </c>
    </row>
    <row r="4597" spans="1:3" x14ac:dyDescent="0.25">
      <c r="A4597" s="178">
        <v>81286</v>
      </c>
      <c r="B4597" s="179" t="s">
        <v>456</v>
      </c>
      <c r="C4597" s="180">
        <v>147</v>
      </c>
    </row>
    <row r="4598" spans="1:3" x14ac:dyDescent="0.25">
      <c r="A4598" s="178">
        <v>81287</v>
      </c>
      <c r="B4598" s="179" t="s">
        <v>456</v>
      </c>
      <c r="C4598" s="180">
        <v>99999</v>
      </c>
    </row>
    <row r="4599" spans="1:3" x14ac:dyDescent="0.25">
      <c r="A4599" s="178">
        <v>81288</v>
      </c>
      <c r="B4599" s="179" t="s">
        <v>456</v>
      </c>
      <c r="C4599" s="180">
        <v>99999</v>
      </c>
    </row>
    <row r="4600" spans="1:3" x14ac:dyDescent="0.25">
      <c r="A4600" s="178">
        <v>81289</v>
      </c>
      <c r="B4600" s="179" t="s">
        <v>456</v>
      </c>
      <c r="C4600" s="180">
        <v>99999</v>
      </c>
    </row>
    <row r="4601" spans="1:3" x14ac:dyDescent="0.25">
      <c r="A4601" s="178">
        <v>81290</v>
      </c>
      <c r="B4601" s="179" t="s">
        <v>456</v>
      </c>
      <c r="C4601" s="180">
        <v>99999</v>
      </c>
    </row>
    <row r="4602" spans="1:3" x14ac:dyDescent="0.25">
      <c r="A4602" s="178">
        <v>81291</v>
      </c>
      <c r="B4602" s="179" t="s">
        <v>456</v>
      </c>
      <c r="C4602" s="180">
        <v>99999</v>
      </c>
    </row>
    <row r="4603" spans="1:3" x14ac:dyDescent="0.25">
      <c r="A4603" s="178">
        <v>81292</v>
      </c>
      <c r="B4603" s="179" t="s">
        <v>456</v>
      </c>
      <c r="C4603" s="180">
        <v>99999</v>
      </c>
    </row>
    <row r="4604" spans="1:3" x14ac:dyDescent="0.25">
      <c r="A4604" s="178">
        <v>81293</v>
      </c>
      <c r="B4604" s="179" t="s">
        <v>456</v>
      </c>
      <c r="C4604" s="180">
        <v>30000</v>
      </c>
    </row>
    <row r="4605" spans="1:3" x14ac:dyDescent="0.25">
      <c r="A4605" s="178">
        <v>81294</v>
      </c>
      <c r="B4605" s="179" t="s">
        <v>456</v>
      </c>
      <c r="C4605" s="180">
        <v>2000</v>
      </c>
    </row>
    <row r="4606" spans="1:3" x14ac:dyDescent="0.25">
      <c r="A4606" s="178">
        <v>81295</v>
      </c>
      <c r="B4606" s="179" t="s">
        <v>456</v>
      </c>
      <c r="C4606" s="180">
        <v>15000</v>
      </c>
    </row>
    <row r="4607" spans="1:3" x14ac:dyDescent="0.25">
      <c r="A4607" s="178">
        <v>81296</v>
      </c>
      <c r="B4607" s="179" t="s">
        <v>456</v>
      </c>
      <c r="C4607" s="180">
        <v>75</v>
      </c>
    </row>
    <row r="4608" spans="1:3" x14ac:dyDescent="0.25">
      <c r="A4608" s="178">
        <v>81297</v>
      </c>
      <c r="B4608" s="179" t="s">
        <v>456</v>
      </c>
      <c r="C4608" s="180">
        <v>90</v>
      </c>
    </row>
    <row r="4609" spans="1:3" x14ac:dyDescent="0.25">
      <c r="A4609" s="178">
        <v>81299</v>
      </c>
      <c r="B4609" s="179" t="s">
        <v>456</v>
      </c>
      <c r="C4609" s="180">
        <v>120</v>
      </c>
    </row>
    <row r="4610" spans="1:3" x14ac:dyDescent="0.25">
      <c r="A4610" s="178">
        <v>81300</v>
      </c>
      <c r="B4610" s="179" t="s">
        <v>456</v>
      </c>
      <c r="C4610" s="180">
        <v>63</v>
      </c>
    </row>
    <row r="4611" spans="1:3" x14ac:dyDescent="0.25">
      <c r="A4611" s="178">
        <v>81301</v>
      </c>
      <c r="B4611" s="179" t="s">
        <v>456</v>
      </c>
      <c r="C4611" s="180">
        <v>99999</v>
      </c>
    </row>
    <row r="4612" spans="1:3" x14ac:dyDescent="0.25">
      <c r="A4612" s="178">
        <v>81302</v>
      </c>
      <c r="B4612" s="179" t="s">
        <v>456</v>
      </c>
      <c r="C4612" s="180">
        <v>99999</v>
      </c>
    </row>
    <row r="4613" spans="1:3" x14ac:dyDescent="0.25">
      <c r="A4613" s="178">
        <v>81303</v>
      </c>
      <c r="B4613" s="179" t="s">
        <v>456</v>
      </c>
      <c r="C4613" s="180">
        <v>99999</v>
      </c>
    </row>
    <row r="4614" spans="1:3" x14ac:dyDescent="0.25">
      <c r="A4614" s="178">
        <v>81304</v>
      </c>
      <c r="B4614" s="179" t="s">
        <v>456</v>
      </c>
      <c r="C4614" s="180">
        <v>99999</v>
      </c>
    </row>
    <row r="4615" spans="1:3" x14ac:dyDescent="0.25">
      <c r="A4615" s="178">
        <v>81305</v>
      </c>
      <c r="B4615" s="179" t="s">
        <v>456</v>
      </c>
      <c r="C4615" s="180">
        <v>99999</v>
      </c>
    </row>
    <row r="4616" spans="1:3" x14ac:dyDescent="0.25">
      <c r="A4616" s="178">
        <v>81306</v>
      </c>
      <c r="B4616" s="179" t="s">
        <v>456</v>
      </c>
      <c r="C4616" s="180">
        <v>99999</v>
      </c>
    </row>
    <row r="4617" spans="1:3" x14ac:dyDescent="0.25">
      <c r="A4617" s="178">
        <v>81307</v>
      </c>
      <c r="B4617" s="179" t="s">
        <v>456</v>
      </c>
      <c r="C4617" s="180">
        <v>99999</v>
      </c>
    </row>
    <row r="4618" spans="1:3" x14ac:dyDescent="0.25">
      <c r="A4618" s="178">
        <v>81308</v>
      </c>
      <c r="B4618" s="179" t="s">
        <v>456</v>
      </c>
      <c r="C4618" s="180">
        <v>99999</v>
      </c>
    </row>
    <row r="4619" spans="1:3" x14ac:dyDescent="0.25">
      <c r="A4619" s="178">
        <v>81309</v>
      </c>
      <c r="B4619" s="179" t="s">
        <v>456</v>
      </c>
      <c r="C4619" s="180">
        <v>99999</v>
      </c>
    </row>
    <row r="4620" spans="1:3" x14ac:dyDescent="0.25">
      <c r="A4620" s="178">
        <v>81310</v>
      </c>
      <c r="B4620" s="179" t="s">
        <v>456</v>
      </c>
      <c r="C4620" s="180">
        <v>99999</v>
      </c>
    </row>
    <row r="4621" spans="1:3" x14ac:dyDescent="0.25">
      <c r="A4621" s="178">
        <v>81311</v>
      </c>
      <c r="B4621" s="179" t="s">
        <v>456</v>
      </c>
      <c r="C4621" s="180">
        <v>99999</v>
      </c>
    </row>
    <row r="4622" spans="1:3" x14ac:dyDescent="0.25">
      <c r="A4622" s="178">
        <v>81312</v>
      </c>
      <c r="B4622" s="179" t="s">
        <v>456</v>
      </c>
      <c r="C4622" s="180">
        <v>99999</v>
      </c>
    </row>
    <row r="4623" spans="1:3" x14ac:dyDescent="0.25">
      <c r="A4623" s="178">
        <v>81313</v>
      </c>
      <c r="B4623" s="179" t="s">
        <v>456</v>
      </c>
      <c r="C4623" s="180">
        <v>99999</v>
      </c>
    </row>
    <row r="4624" spans="1:3" x14ac:dyDescent="0.25">
      <c r="A4624" s="178">
        <v>81314</v>
      </c>
      <c r="B4624" s="179" t="s">
        <v>456</v>
      </c>
      <c r="C4624" s="180">
        <v>99999</v>
      </c>
    </row>
    <row r="4625" spans="1:3" x14ac:dyDescent="0.25">
      <c r="A4625" s="178">
        <v>81315</v>
      </c>
      <c r="B4625" s="179" t="s">
        <v>456</v>
      </c>
      <c r="C4625" s="180">
        <v>99999</v>
      </c>
    </row>
    <row r="4626" spans="1:3" x14ac:dyDescent="0.25">
      <c r="A4626" s="178">
        <v>81316</v>
      </c>
      <c r="B4626" s="179" t="s">
        <v>456</v>
      </c>
      <c r="C4626" s="180">
        <v>99999</v>
      </c>
    </row>
    <row r="4627" spans="1:3" x14ac:dyDescent="0.25">
      <c r="A4627" s="178">
        <v>81317</v>
      </c>
      <c r="B4627" s="179" t="s">
        <v>456</v>
      </c>
      <c r="C4627" s="180">
        <v>99999</v>
      </c>
    </row>
    <row r="4628" spans="1:3" x14ac:dyDescent="0.25">
      <c r="A4628" s="178">
        <v>81318</v>
      </c>
      <c r="B4628" s="179" t="s">
        <v>456</v>
      </c>
      <c r="C4628" s="180">
        <v>99999</v>
      </c>
    </row>
    <row r="4629" spans="1:3" x14ac:dyDescent="0.25">
      <c r="A4629" s="178">
        <v>81319</v>
      </c>
      <c r="B4629" s="179" t="s">
        <v>456</v>
      </c>
      <c r="C4629" s="180">
        <v>99999</v>
      </c>
    </row>
    <row r="4630" spans="1:3" x14ac:dyDescent="0.25">
      <c r="A4630" s="178">
        <v>81320</v>
      </c>
      <c r="B4630" s="179" t="s">
        <v>456</v>
      </c>
      <c r="C4630" s="180">
        <v>99999</v>
      </c>
    </row>
    <row r="4631" spans="1:3" x14ac:dyDescent="0.25">
      <c r="A4631" s="178">
        <v>81321</v>
      </c>
      <c r="B4631" s="179" t="s">
        <v>456</v>
      </c>
      <c r="C4631" s="180">
        <v>99999</v>
      </c>
    </row>
    <row r="4632" spans="1:3" x14ac:dyDescent="0.25">
      <c r="A4632" s="178">
        <v>81322</v>
      </c>
      <c r="B4632" s="179" t="s">
        <v>456</v>
      </c>
      <c r="C4632" s="180">
        <v>99999</v>
      </c>
    </row>
    <row r="4633" spans="1:3" x14ac:dyDescent="0.25">
      <c r="A4633" s="178">
        <v>81323</v>
      </c>
      <c r="B4633" s="179" t="s">
        <v>456</v>
      </c>
      <c r="C4633" s="180">
        <v>99999</v>
      </c>
    </row>
    <row r="4634" spans="1:3" x14ac:dyDescent="0.25">
      <c r="A4634" s="178">
        <v>81324</v>
      </c>
      <c r="B4634" s="179" t="s">
        <v>456</v>
      </c>
      <c r="C4634" s="180">
        <v>99999</v>
      </c>
    </row>
    <row r="4635" spans="1:3" x14ac:dyDescent="0.25">
      <c r="A4635" s="178">
        <v>81325</v>
      </c>
      <c r="B4635" s="179" t="s">
        <v>456</v>
      </c>
      <c r="C4635" s="180">
        <v>99999</v>
      </c>
    </row>
    <row r="4636" spans="1:3" x14ac:dyDescent="0.25">
      <c r="A4636" s="178">
        <v>81326</v>
      </c>
      <c r="B4636" s="179" t="s">
        <v>456</v>
      </c>
      <c r="C4636" s="180">
        <v>99999</v>
      </c>
    </row>
    <row r="4637" spans="1:3" x14ac:dyDescent="0.25">
      <c r="A4637" s="178">
        <v>81327</v>
      </c>
      <c r="B4637" s="179" t="s">
        <v>456</v>
      </c>
      <c r="C4637" s="180">
        <v>99999</v>
      </c>
    </row>
    <row r="4638" spans="1:3" x14ac:dyDescent="0.25">
      <c r="A4638" s="178">
        <v>81328</v>
      </c>
      <c r="B4638" s="179" t="s">
        <v>456</v>
      </c>
      <c r="C4638" s="180">
        <v>99999</v>
      </c>
    </row>
    <row r="4639" spans="1:3" x14ac:dyDescent="0.25">
      <c r="A4639" s="178">
        <v>81329</v>
      </c>
      <c r="B4639" s="179" t="s">
        <v>456</v>
      </c>
      <c r="C4639" s="180">
        <v>99999</v>
      </c>
    </row>
    <row r="4640" spans="1:3" x14ac:dyDescent="0.25">
      <c r="A4640" s="178">
        <v>81330</v>
      </c>
      <c r="B4640" s="179" t="s">
        <v>456</v>
      </c>
      <c r="C4640" s="180">
        <v>99999</v>
      </c>
    </row>
    <row r="4641" spans="1:3" x14ac:dyDescent="0.25">
      <c r="A4641" s="178">
        <v>81331</v>
      </c>
      <c r="B4641" s="179" t="s">
        <v>456</v>
      </c>
      <c r="C4641" s="180">
        <v>99999</v>
      </c>
    </row>
    <row r="4642" spans="1:3" x14ac:dyDescent="0.25">
      <c r="A4642" s="178">
        <v>81332</v>
      </c>
      <c r="B4642" s="179" t="s">
        <v>456</v>
      </c>
      <c r="C4642" s="180">
        <v>99999</v>
      </c>
    </row>
    <row r="4643" spans="1:3" x14ac:dyDescent="0.25">
      <c r="A4643" s="178">
        <v>81333</v>
      </c>
      <c r="B4643" s="179" t="s">
        <v>456</v>
      </c>
      <c r="C4643" s="180">
        <v>1</v>
      </c>
    </row>
    <row r="4644" spans="1:3" x14ac:dyDescent="0.25">
      <c r="A4644" s="178">
        <v>81334</v>
      </c>
      <c r="B4644" s="179" t="s">
        <v>456</v>
      </c>
      <c r="C4644" s="180">
        <v>1</v>
      </c>
    </row>
    <row r="4645" spans="1:3" x14ac:dyDescent="0.25">
      <c r="A4645" s="178">
        <v>81337</v>
      </c>
      <c r="B4645" s="179" t="s">
        <v>456</v>
      </c>
      <c r="C4645" s="180">
        <v>3700</v>
      </c>
    </row>
    <row r="4646" spans="1:3" x14ac:dyDescent="0.25">
      <c r="A4646" s="178">
        <v>81338</v>
      </c>
      <c r="B4646" s="179" t="s">
        <v>456</v>
      </c>
      <c r="C4646" s="180">
        <v>36300</v>
      </c>
    </row>
    <row r="4647" spans="1:3" x14ac:dyDescent="0.25">
      <c r="A4647" s="178">
        <v>81339</v>
      </c>
      <c r="B4647" s="179" t="s">
        <v>456</v>
      </c>
      <c r="C4647" s="180">
        <v>46800</v>
      </c>
    </row>
    <row r="4648" spans="1:3" x14ac:dyDescent="0.25">
      <c r="A4648" s="178">
        <v>81340</v>
      </c>
      <c r="B4648" s="179" t="s">
        <v>456</v>
      </c>
      <c r="C4648" s="180">
        <v>26950</v>
      </c>
    </row>
    <row r="4649" spans="1:3" x14ac:dyDescent="0.25">
      <c r="A4649" s="178">
        <v>81341</v>
      </c>
      <c r="B4649" s="179" t="s">
        <v>456</v>
      </c>
      <c r="C4649" s="180">
        <v>2775</v>
      </c>
    </row>
    <row r="4650" spans="1:3" x14ac:dyDescent="0.25">
      <c r="A4650" s="178">
        <v>81342</v>
      </c>
      <c r="B4650" s="179" t="s">
        <v>456</v>
      </c>
      <c r="C4650" s="180">
        <v>99999</v>
      </c>
    </row>
    <row r="4651" spans="1:3" x14ac:dyDescent="0.25">
      <c r="A4651" s="178">
        <v>81343</v>
      </c>
      <c r="B4651" s="179" t="s">
        <v>456</v>
      </c>
      <c r="C4651" s="180">
        <v>99999</v>
      </c>
    </row>
    <row r="4652" spans="1:3" x14ac:dyDescent="0.25">
      <c r="A4652" s="178">
        <v>81344</v>
      </c>
      <c r="B4652" s="179" t="s">
        <v>456</v>
      </c>
      <c r="C4652" s="180">
        <v>99999</v>
      </c>
    </row>
    <row r="4653" spans="1:3" x14ac:dyDescent="0.25">
      <c r="A4653" s="178">
        <v>81345</v>
      </c>
      <c r="B4653" s="179" t="s">
        <v>456</v>
      </c>
      <c r="C4653" s="180">
        <v>99999</v>
      </c>
    </row>
    <row r="4654" spans="1:3" x14ac:dyDescent="0.25">
      <c r="A4654" s="178">
        <v>81346</v>
      </c>
      <c r="B4654" s="179" t="s">
        <v>456</v>
      </c>
      <c r="C4654" s="180">
        <v>99999</v>
      </c>
    </row>
    <row r="4655" spans="1:3" x14ac:dyDescent="0.25">
      <c r="A4655" s="178">
        <v>81347</v>
      </c>
      <c r="B4655" s="179" t="s">
        <v>456</v>
      </c>
      <c r="C4655" s="180">
        <v>99999</v>
      </c>
    </row>
    <row r="4656" spans="1:3" x14ac:dyDescent="0.25">
      <c r="A4656" s="178">
        <v>81348</v>
      </c>
      <c r="B4656" s="179" t="s">
        <v>456</v>
      </c>
      <c r="C4656" s="180">
        <v>99999</v>
      </c>
    </row>
    <row r="4657" spans="1:3" x14ac:dyDescent="0.25">
      <c r="A4657" s="178">
        <v>81349</v>
      </c>
      <c r="B4657" s="179" t="s">
        <v>456</v>
      </c>
      <c r="C4657" s="180">
        <v>99999</v>
      </c>
    </row>
    <row r="4658" spans="1:3" x14ac:dyDescent="0.25">
      <c r="A4658" s="178">
        <v>81350</v>
      </c>
      <c r="B4658" s="179" t="s">
        <v>456</v>
      </c>
      <c r="C4658" s="180">
        <v>99999</v>
      </c>
    </row>
    <row r="4659" spans="1:3" x14ac:dyDescent="0.25">
      <c r="A4659" s="178">
        <v>81351</v>
      </c>
      <c r="B4659" s="179" t="s">
        <v>456</v>
      </c>
      <c r="C4659" s="180">
        <v>99999</v>
      </c>
    </row>
    <row r="4660" spans="1:3" x14ac:dyDescent="0.25">
      <c r="A4660" s="178">
        <v>81352</v>
      </c>
      <c r="B4660" s="179" t="s">
        <v>456</v>
      </c>
      <c r="C4660" s="180">
        <v>99999</v>
      </c>
    </row>
    <row r="4661" spans="1:3" x14ac:dyDescent="0.25">
      <c r="A4661" s="178">
        <v>81353</v>
      </c>
      <c r="B4661" s="179" t="s">
        <v>456</v>
      </c>
      <c r="C4661" s="180">
        <v>99999</v>
      </c>
    </row>
    <row r="4662" spans="1:3" x14ac:dyDescent="0.25">
      <c r="A4662" s="178">
        <v>81354</v>
      </c>
      <c r="B4662" s="179" t="s">
        <v>456</v>
      </c>
      <c r="C4662" s="180">
        <v>99999</v>
      </c>
    </row>
    <row r="4663" spans="1:3" x14ac:dyDescent="0.25">
      <c r="A4663" s="178">
        <v>81355</v>
      </c>
      <c r="B4663" s="179" t="s">
        <v>456</v>
      </c>
      <c r="C4663" s="180">
        <v>99999</v>
      </c>
    </row>
    <row r="4664" spans="1:3" x14ac:dyDescent="0.25">
      <c r="A4664" s="178">
        <v>81356</v>
      </c>
      <c r="B4664" s="179" t="s">
        <v>456</v>
      </c>
      <c r="C4664" s="180">
        <v>99999</v>
      </c>
    </row>
    <row r="4665" spans="1:3" x14ac:dyDescent="0.25">
      <c r="A4665" s="178">
        <v>81364</v>
      </c>
      <c r="B4665" s="179" t="s">
        <v>456</v>
      </c>
      <c r="C4665" s="180">
        <v>99999</v>
      </c>
    </row>
    <row r="4666" spans="1:3" x14ac:dyDescent="0.25">
      <c r="A4666" s="178">
        <v>81365</v>
      </c>
      <c r="B4666" s="179" t="s">
        <v>456</v>
      </c>
      <c r="C4666" s="180">
        <v>99999</v>
      </c>
    </row>
    <row r="4667" spans="1:3" x14ac:dyDescent="0.25">
      <c r="A4667" s="178">
        <v>81366</v>
      </c>
      <c r="B4667" s="179" t="s">
        <v>456</v>
      </c>
      <c r="C4667" s="180">
        <v>39600</v>
      </c>
    </row>
    <row r="4668" spans="1:3" x14ac:dyDescent="0.25">
      <c r="A4668" s="178">
        <v>81367</v>
      </c>
      <c r="B4668" s="179" t="s">
        <v>456</v>
      </c>
      <c r="C4668" s="180">
        <v>99999</v>
      </c>
    </row>
    <row r="4669" spans="1:3" x14ac:dyDescent="0.25">
      <c r="A4669" s="178">
        <v>81368</v>
      </c>
      <c r="B4669" s="179" t="s">
        <v>456</v>
      </c>
      <c r="C4669" s="180">
        <v>99999</v>
      </c>
    </row>
    <row r="4670" spans="1:3" x14ac:dyDescent="0.25">
      <c r="A4670" s="178">
        <v>81369</v>
      </c>
      <c r="B4670" s="179" t="s">
        <v>456</v>
      </c>
      <c r="C4670" s="180">
        <v>99999</v>
      </c>
    </row>
    <row r="4671" spans="1:3" x14ac:dyDescent="0.25">
      <c r="A4671" s="178">
        <v>81370</v>
      </c>
      <c r="B4671" s="179" t="s">
        <v>456</v>
      </c>
      <c r="C4671" s="180">
        <v>99999</v>
      </c>
    </row>
    <row r="4672" spans="1:3" x14ac:dyDescent="0.25">
      <c r="A4672" s="178">
        <v>81371</v>
      </c>
      <c r="B4672" s="179" t="s">
        <v>456</v>
      </c>
      <c r="C4672" s="180">
        <v>99999</v>
      </c>
    </row>
    <row r="4673" spans="1:3" x14ac:dyDescent="0.25">
      <c r="A4673" s="178">
        <v>81372</v>
      </c>
      <c r="B4673" s="179" t="s">
        <v>456</v>
      </c>
      <c r="C4673" s="180">
        <v>99999</v>
      </c>
    </row>
    <row r="4674" spans="1:3" x14ac:dyDescent="0.25">
      <c r="A4674" s="178">
        <v>81373</v>
      </c>
      <c r="B4674" s="179" t="s">
        <v>456</v>
      </c>
      <c r="C4674" s="180">
        <v>99999</v>
      </c>
    </row>
    <row r="4675" spans="1:3" x14ac:dyDescent="0.25">
      <c r="A4675" s="178">
        <v>81374</v>
      </c>
      <c r="B4675" s="179" t="s">
        <v>456</v>
      </c>
      <c r="C4675" s="180">
        <v>99999</v>
      </c>
    </row>
    <row r="4676" spans="1:3" x14ac:dyDescent="0.25">
      <c r="A4676" s="178">
        <v>81375</v>
      </c>
      <c r="B4676" s="179" t="s">
        <v>456</v>
      </c>
      <c r="C4676" s="180">
        <v>99999</v>
      </c>
    </row>
    <row r="4677" spans="1:3" x14ac:dyDescent="0.25">
      <c r="A4677" s="178">
        <v>81376</v>
      </c>
      <c r="B4677" s="179" t="s">
        <v>456</v>
      </c>
      <c r="C4677" s="180">
        <v>99999</v>
      </c>
    </row>
    <row r="4678" spans="1:3" x14ac:dyDescent="0.25">
      <c r="A4678" s="178">
        <v>81377</v>
      </c>
      <c r="B4678" s="179" t="s">
        <v>456</v>
      </c>
      <c r="C4678" s="180">
        <v>99999</v>
      </c>
    </row>
    <row r="4679" spans="1:3" x14ac:dyDescent="0.25">
      <c r="A4679" s="178">
        <v>81378</v>
      </c>
      <c r="B4679" s="179" t="s">
        <v>456</v>
      </c>
      <c r="C4679" s="180">
        <v>99999</v>
      </c>
    </row>
    <row r="4680" spans="1:3" x14ac:dyDescent="0.25">
      <c r="A4680" s="178">
        <v>81379</v>
      </c>
      <c r="B4680" s="179" t="s">
        <v>456</v>
      </c>
      <c r="C4680" s="180">
        <v>99999</v>
      </c>
    </row>
    <row r="4681" spans="1:3" x14ac:dyDescent="0.25">
      <c r="A4681" s="178">
        <v>81380</v>
      </c>
      <c r="B4681" s="179" t="s">
        <v>456</v>
      </c>
      <c r="C4681" s="180">
        <v>99999</v>
      </c>
    </row>
    <row r="4682" spans="1:3" x14ac:dyDescent="0.25">
      <c r="A4682" s="178">
        <v>81381</v>
      </c>
      <c r="B4682" s="179" t="s">
        <v>456</v>
      </c>
      <c r="C4682" s="180">
        <v>99999</v>
      </c>
    </row>
    <row r="4683" spans="1:3" x14ac:dyDescent="0.25">
      <c r="A4683" s="178">
        <v>81382</v>
      </c>
      <c r="B4683" s="179" t="s">
        <v>456</v>
      </c>
      <c r="C4683" s="180">
        <v>99999</v>
      </c>
    </row>
    <row r="4684" spans="1:3" x14ac:dyDescent="0.25">
      <c r="A4684" s="178">
        <v>81383</v>
      </c>
      <c r="B4684" s="179" t="s">
        <v>456</v>
      </c>
      <c r="C4684" s="180">
        <v>99999</v>
      </c>
    </row>
    <row r="4685" spans="1:3" x14ac:dyDescent="0.25">
      <c r="A4685" s="178">
        <v>81384</v>
      </c>
      <c r="B4685" s="179" t="s">
        <v>456</v>
      </c>
      <c r="C4685" s="180">
        <v>99999</v>
      </c>
    </row>
    <row r="4686" spans="1:3" x14ac:dyDescent="0.25">
      <c r="A4686" s="178">
        <v>81385</v>
      </c>
      <c r="B4686" s="179" t="s">
        <v>456</v>
      </c>
      <c r="C4686" s="180">
        <v>99999</v>
      </c>
    </row>
    <row r="4687" spans="1:3" x14ac:dyDescent="0.25">
      <c r="A4687" s="178">
        <v>81386</v>
      </c>
      <c r="B4687" s="179" t="s">
        <v>456</v>
      </c>
      <c r="C4687" s="180">
        <v>99999</v>
      </c>
    </row>
    <row r="4688" spans="1:3" x14ac:dyDescent="0.25">
      <c r="A4688" s="178">
        <v>81387</v>
      </c>
      <c r="B4688" s="179" t="s">
        <v>456</v>
      </c>
      <c r="C4688" s="180">
        <v>99999</v>
      </c>
    </row>
    <row r="4689" spans="1:3" x14ac:dyDescent="0.25">
      <c r="A4689" s="178">
        <v>81388</v>
      </c>
      <c r="B4689" s="179" t="s">
        <v>456</v>
      </c>
      <c r="C4689" s="180">
        <v>99999</v>
      </c>
    </row>
    <row r="4690" spans="1:3" x14ac:dyDescent="0.25">
      <c r="A4690" s="178">
        <v>81389</v>
      </c>
      <c r="B4690" s="179" t="s">
        <v>456</v>
      </c>
      <c r="C4690" s="180">
        <v>99999</v>
      </c>
    </row>
    <row r="4691" spans="1:3" x14ac:dyDescent="0.25">
      <c r="A4691" s="178">
        <v>81393</v>
      </c>
      <c r="B4691" s="179" t="s">
        <v>456</v>
      </c>
      <c r="C4691" s="180">
        <v>99999</v>
      </c>
    </row>
    <row r="4692" spans="1:3" x14ac:dyDescent="0.25">
      <c r="A4692" s="178">
        <v>81398</v>
      </c>
      <c r="B4692" s="179" t="s">
        <v>456</v>
      </c>
      <c r="C4692" s="180">
        <v>99999</v>
      </c>
    </row>
    <row r="4693" spans="1:3" x14ac:dyDescent="0.25">
      <c r="A4693" s="178">
        <v>81399</v>
      </c>
      <c r="B4693" s="179" t="s">
        <v>456</v>
      </c>
      <c r="C4693" s="180">
        <v>99999</v>
      </c>
    </row>
    <row r="4694" spans="1:3" x14ac:dyDescent="0.25">
      <c r="A4694" s="178">
        <v>81401</v>
      </c>
      <c r="B4694" s="179" t="s">
        <v>456</v>
      </c>
      <c r="C4694" s="180">
        <v>99999</v>
      </c>
    </row>
    <row r="4695" spans="1:3" x14ac:dyDescent="0.25">
      <c r="A4695" s="178">
        <v>81402</v>
      </c>
      <c r="B4695" s="179" t="s">
        <v>456</v>
      </c>
      <c r="C4695" s="180">
        <v>99999</v>
      </c>
    </row>
    <row r="4696" spans="1:3" x14ac:dyDescent="0.25">
      <c r="A4696" s="178">
        <v>81404</v>
      </c>
      <c r="B4696" s="179" t="s">
        <v>456</v>
      </c>
      <c r="C4696" s="180">
        <v>99999</v>
      </c>
    </row>
    <row r="4697" spans="1:3" x14ac:dyDescent="0.25">
      <c r="A4697" s="178">
        <v>81405</v>
      </c>
      <c r="B4697" s="179" t="s">
        <v>456</v>
      </c>
      <c r="C4697" s="180">
        <v>99999</v>
      </c>
    </row>
    <row r="4698" spans="1:3" x14ac:dyDescent="0.25">
      <c r="A4698" s="178">
        <v>81415</v>
      </c>
      <c r="B4698" s="179" t="s">
        <v>456</v>
      </c>
      <c r="C4698" s="180">
        <v>30000</v>
      </c>
    </row>
    <row r="4699" spans="1:3" x14ac:dyDescent="0.25">
      <c r="A4699" s="178">
        <v>81417</v>
      </c>
      <c r="B4699" s="179" t="s">
        <v>456</v>
      </c>
      <c r="C4699" s="180">
        <v>99999</v>
      </c>
    </row>
    <row r="4700" spans="1:3" x14ac:dyDescent="0.25">
      <c r="A4700" s="178">
        <v>81418</v>
      </c>
      <c r="B4700" s="179" t="s">
        <v>456</v>
      </c>
      <c r="C4700" s="180">
        <v>99999</v>
      </c>
    </row>
    <row r="4701" spans="1:3" x14ac:dyDescent="0.25">
      <c r="A4701" s="178">
        <v>81419</v>
      </c>
      <c r="B4701" s="179" t="s">
        <v>456</v>
      </c>
      <c r="C4701" s="180">
        <v>99999</v>
      </c>
    </row>
    <row r="4702" spans="1:3" x14ac:dyDescent="0.25">
      <c r="A4702" s="178">
        <v>81420</v>
      </c>
      <c r="B4702" s="179" t="s">
        <v>456</v>
      </c>
      <c r="C4702" s="180">
        <v>99999</v>
      </c>
    </row>
    <row r="4703" spans="1:3" x14ac:dyDescent="0.25">
      <c r="A4703" s="178">
        <v>81421</v>
      </c>
      <c r="B4703" s="179" t="s">
        <v>456</v>
      </c>
      <c r="C4703" s="180">
        <v>99999</v>
      </c>
    </row>
    <row r="4704" spans="1:3" x14ac:dyDescent="0.25">
      <c r="A4704" s="178">
        <v>81427</v>
      </c>
      <c r="B4704" s="179" t="s">
        <v>456</v>
      </c>
      <c r="C4704" s="180">
        <v>684</v>
      </c>
    </row>
    <row r="4705" spans="1:3" x14ac:dyDescent="0.25">
      <c r="A4705" s="178">
        <v>81428</v>
      </c>
      <c r="B4705" s="179" t="s">
        <v>456</v>
      </c>
      <c r="C4705" s="180">
        <v>684</v>
      </c>
    </row>
    <row r="4706" spans="1:3" x14ac:dyDescent="0.25">
      <c r="A4706" s="178">
        <v>81435</v>
      </c>
      <c r="B4706" s="179" t="s">
        <v>456</v>
      </c>
      <c r="C4706" s="180">
        <v>6300</v>
      </c>
    </row>
    <row r="4707" spans="1:3" x14ac:dyDescent="0.25">
      <c r="A4707" s="178">
        <v>81436</v>
      </c>
      <c r="B4707" s="179" t="s">
        <v>456</v>
      </c>
      <c r="C4707" s="180">
        <v>3120</v>
      </c>
    </row>
    <row r="4708" spans="1:3" x14ac:dyDescent="0.25">
      <c r="A4708" s="178">
        <v>81437</v>
      </c>
      <c r="B4708" s="179" t="s">
        <v>456</v>
      </c>
      <c r="C4708" s="180">
        <v>2160</v>
      </c>
    </row>
    <row r="4709" spans="1:3" x14ac:dyDescent="0.25">
      <c r="A4709" s="178">
        <v>81438</v>
      </c>
      <c r="B4709" s="179" t="s">
        <v>456</v>
      </c>
      <c r="C4709" s="180">
        <v>2160</v>
      </c>
    </row>
    <row r="4710" spans="1:3" x14ac:dyDescent="0.25">
      <c r="A4710" s="178">
        <v>81439</v>
      </c>
      <c r="B4710" s="179" t="s">
        <v>456</v>
      </c>
      <c r="C4710" s="180">
        <v>65000</v>
      </c>
    </row>
    <row r="4711" spans="1:3" x14ac:dyDescent="0.25">
      <c r="A4711" s="178">
        <v>81458</v>
      </c>
      <c r="B4711" s="179" t="s">
        <v>456</v>
      </c>
      <c r="C4711" s="180">
        <v>1008</v>
      </c>
    </row>
    <row r="4712" spans="1:3" x14ac:dyDescent="0.25">
      <c r="A4712" s="178">
        <v>81459</v>
      </c>
      <c r="B4712" s="179" t="s">
        <v>456</v>
      </c>
      <c r="C4712" s="180">
        <v>252</v>
      </c>
    </row>
    <row r="4713" spans="1:3" x14ac:dyDescent="0.25">
      <c r="A4713" s="178">
        <v>81460</v>
      </c>
      <c r="B4713" s="179" t="s">
        <v>456</v>
      </c>
      <c r="C4713" s="180">
        <v>45000</v>
      </c>
    </row>
    <row r="4714" spans="1:3" x14ac:dyDescent="0.25">
      <c r="A4714" s="178">
        <v>81467</v>
      </c>
      <c r="B4714" s="179" t="s">
        <v>456</v>
      </c>
      <c r="C4714" s="180">
        <v>3700</v>
      </c>
    </row>
    <row r="4715" spans="1:3" x14ac:dyDescent="0.25">
      <c r="A4715" s="178">
        <v>81470</v>
      </c>
      <c r="B4715" s="179" t="s">
        <v>456</v>
      </c>
      <c r="C4715" s="180">
        <v>99999</v>
      </c>
    </row>
    <row r="4716" spans="1:3" x14ac:dyDescent="0.25">
      <c r="A4716" s="178">
        <v>81471</v>
      </c>
      <c r="B4716" s="179" t="s">
        <v>456</v>
      </c>
      <c r="C4716" s="180">
        <v>99999</v>
      </c>
    </row>
    <row r="4717" spans="1:3" x14ac:dyDescent="0.25">
      <c r="A4717" s="178">
        <v>81472</v>
      </c>
      <c r="B4717" s="179" t="s">
        <v>456</v>
      </c>
      <c r="C4717" s="180">
        <v>99999</v>
      </c>
    </row>
    <row r="4718" spans="1:3" x14ac:dyDescent="0.25">
      <c r="A4718" s="178">
        <v>81473</v>
      </c>
      <c r="B4718" s="179" t="s">
        <v>456</v>
      </c>
      <c r="C4718" s="180">
        <v>99999</v>
      </c>
    </row>
    <row r="4719" spans="1:3" x14ac:dyDescent="0.25">
      <c r="A4719" s="178">
        <v>81474</v>
      </c>
      <c r="B4719" s="179" t="s">
        <v>456</v>
      </c>
      <c r="C4719" s="180">
        <v>99999</v>
      </c>
    </row>
    <row r="4720" spans="1:3" x14ac:dyDescent="0.25">
      <c r="A4720" s="178">
        <v>81475</v>
      </c>
      <c r="B4720" s="179" t="s">
        <v>456</v>
      </c>
      <c r="C4720" s="180">
        <v>99999</v>
      </c>
    </row>
    <row r="4721" spans="1:3" x14ac:dyDescent="0.25">
      <c r="A4721" s="178">
        <v>81485</v>
      </c>
      <c r="B4721" s="179" t="s">
        <v>456</v>
      </c>
      <c r="C4721" s="180">
        <v>99999</v>
      </c>
    </row>
    <row r="4722" spans="1:3" x14ac:dyDescent="0.25">
      <c r="A4722" s="178">
        <v>81486</v>
      </c>
      <c r="B4722" s="179" t="s">
        <v>456</v>
      </c>
      <c r="C4722" s="180">
        <v>99999</v>
      </c>
    </row>
    <row r="4723" spans="1:3" x14ac:dyDescent="0.25">
      <c r="A4723" s="178">
        <v>81488</v>
      </c>
      <c r="B4723" s="179" t="s">
        <v>456</v>
      </c>
      <c r="C4723" s="180">
        <v>147</v>
      </c>
    </row>
    <row r="4724" spans="1:3" x14ac:dyDescent="0.25">
      <c r="A4724" s="178">
        <v>81491</v>
      </c>
      <c r="B4724" s="179" t="s">
        <v>456</v>
      </c>
      <c r="C4724" s="180">
        <v>99999</v>
      </c>
    </row>
    <row r="4725" spans="1:3" x14ac:dyDescent="0.25">
      <c r="A4725" s="178">
        <v>81492</v>
      </c>
      <c r="B4725" s="179" t="s">
        <v>456</v>
      </c>
      <c r="C4725" s="180">
        <v>99999</v>
      </c>
    </row>
    <row r="4726" spans="1:3" x14ac:dyDescent="0.25">
      <c r="A4726" s="178">
        <v>81493</v>
      </c>
      <c r="B4726" s="179" t="s">
        <v>456</v>
      </c>
      <c r="C4726" s="180">
        <v>1</v>
      </c>
    </row>
    <row r="4727" spans="1:3" x14ac:dyDescent="0.25">
      <c r="A4727" s="178">
        <v>81494</v>
      </c>
      <c r="B4727" s="179" t="s">
        <v>456</v>
      </c>
      <c r="C4727" s="180">
        <v>1</v>
      </c>
    </row>
    <row r="4728" spans="1:3" x14ac:dyDescent="0.25">
      <c r="A4728" s="178">
        <v>81495</v>
      </c>
      <c r="B4728" s="179" t="s">
        <v>456</v>
      </c>
      <c r="C4728" s="180">
        <v>99999</v>
      </c>
    </row>
    <row r="4729" spans="1:3" x14ac:dyDescent="0.25">
      <c r="A4729" s="178">
        <v>81496</v>
      </c>
      <c r="B4729" s="179" t="s">
        <v>456</v>
      </c>
      <c r="C4729" s="180">
        <v>99999</v>
      </c>
    </row>
    <row r="4730" spans="1:3" x14ac:dyDescent="0.25">
      <c r="A4730" s="178">
        <v>81497</v>
      </c>
      <c r="B4730" s="179" t="s">
        <v>456</v>
      </c>
      <c r="C4730" s="180">
        <v>99999</v>
      </c>
    </row>
    <row r="4731" spans="1:3" x14ac:dyDescent="0.25">
      <c r="A4731" s="178">
        <v>81498</v>
      </c>
      <c r="B4731" s="179" t="s">
        <v>456</v>
      </c>
      <c r="C4731" s="180">
        <v>99999</v>
      </c>
    </row>
    <row r="4732" spans="1:3" x14ac:dyDescent="0.25">
      <c r="A4732" s="178">
        <v>81500</v>
      </c>
      <c r="B4732" s="179" t="s">
        <v>456</v>
      </c>
      <c r="C4732" s="180">
        <v>99999</v>
      </c>
    </row>
    <row r="4733" spans="1:3" x14ac:dyDescent="0.25">
      <c r="A4733" s="178">
        <v>81501</v>
      </c>
      <c r="B4733" s="179" t="s">
        <v>456</v>
      </c>
      <c r="C4733" s="180">
        <v>99999</v>
      </c>
    </row>
    <row r="4734" spans="1:3" x14ac:dyDescent="0.25">
      <c r="A4734" s="178">
        <v>81502</v>
      </c>
      <c r="B4734" s="179" t="s">
        <v>456</v>
      </c>
      <c r="C4734" s="180">
        <v>99999</v>
      </c>
    </row>
    <row r="4735" spans="1:3" x14ac:dyDescent="0.25">
      <c r="A4735" s="178">
        <v>81503</v>
      </c>
      <c r="B4735" s="179" t="s">
        <v>456</v>
      </c>
      <c r="C4735" s="180">
        <v>99999</v>
      </c>
    </row>
    <row r="4736" spans="1:3" x14ac:dyDescent="0.25">
      <c r="A4736" s="178">
        <v>81506</v>
      </c>
      <c r="B4736" s="179" t="s">
        <v>456</v>
      </c>
      <c r="C4736" s="180">
        <v>99999</v>
      </c>
    </row>
    <row r="4737" spans="1:3" x14ac:dyDescent="0.25">
      <c r="A4737" s="178">
        <v>81507</v>
      </c>
      <c r="B4737" s="179" t="s">
        <v>456</v>
      </c>
      <c r="C4737" s="180">
        <v>99999</v>
      </c>
    </row>
    <row r="4738" spans="1:3" x14ac:dyDescent="0.25">
      <c r="A4738" s="178">
        <v>81508</v>
      </c>
      <c r="B4738" s="179" t="s">
        <v>456</v>
      </c>
      <c r="C4738" s="180">
        <v>99999</v>
      </c>
    </row>
    <row r="4739" spans="1:3" x14ac:dyDescent="0.25">
      <c r="A4739" s="178">
        <v>81509</v>
      </c>
      <c r="B4739" s="179" t="s">
        <v>456</v>
      </c>
      <c r="C4739" s="180">
        <v>99999</v>
      </c>
    </row>
    <row r="4740" spans="1:3" x14ac:dyDescent="0.25">
      <c r="A4740" s="178">
        <v>81510</v>
      </c>
      <c r="B4740" s="179" t="s">
        <v>456</v>
      </c>
      <c r="C4740" s="180">
        <v>99999</v>
      </c>
    </row>
    <row r="4741" spans="1:3" x14ac:dyDescent="0.25">
      <c r="A4741" s="178">
        <v>81511</v>
      </c>
      <c r="B4741" s="179" t="s">
        <v>456</v>
      </c>
      <c r="C4741" s="180">
        <v>99999</v>
      </c>
    </row>
    <row r="4742" spans="1:3" x14ac:dyDescent="0.25">
      <c r="A4742" s="178">
        <v>81512</v>
      </c>
      <c r="B4742" s="179" t="s">
        <v>456</v>
      </c>
      <c r="C4742" s="180">
        <v>99999</v>
      </c>
    </row>
    <row r="4743" spans="1:3" x14ac:dyDescent="0.25">
      <c r="A4743" s="178">
        <v>81513</v>
      </c>
      <c r="B4743" s="179" t="s">
        <v>456</v>
      </c>
      <c r="C4743" s="180">
        <v>99999</v>
      </c>
    </row>
    <row r="4744" spans="1:3" x14ac:dyDescent="0.25">
      <c r="A4744" s="178">
        <v>81521</v>
      </c>
      <c r="B4744" s="179" t="s">
        <v>456</v>
      </c>
      <c r="C4744" s="180">
        <v>25200</v>
      </c>
    </row>
    <row r="4745" spans="1:3" x14ac:dyDescent="0.25">
      <c r="A4745" s="178">
        <v>81522</v>
      </c>
      <c r="B4745" s="179" t="s">
        <v>456</v>
      </c>
      <c r="C4745" s="180">
        <v>45000</v>
      </c>
    </row>
    <row r="4746" spans="1:3" x14ac:dyDescent="0.25">
      <c r="A4746" s="178">
        <v>81523</v>
      </c>
      <c r="B4746" s="179" t="s">
        <v>456</v>
      </c>
      <c r="C4746" s="180">
        <v>45000</v>
      </c>
    </row>
    <row r="4747" spans="1:3" x14ac:dyDescent="0.25">
      <c r="A4747" s="178">
        <v>81526</v>
      </c>
      <c r="B4747" s="179" t="s">
        <v>456</v>
      </c>
      <c r="C4747" s="180">
        <v>25200</v>
      </c>
    </row>
    <row r="4748" spans="1:3" x14ac:dyDescent="0.25">
      <c r="A4748" s="178">
        <v>81527</v>
      </c>
      <c r="B4748" s="179" t="s">
        <v>456</v>
      </c>
      <c r="C4748" s="180">
        <v>8000</v>
      </c>
    </row>
    <row r="4749" spans="1:3" x14ac:dyDescent="0.25">
      <c r="A4749" s="178">
        <v>81528</v>
      </c>
      <c r="B4749" s="179" t="s">
        <v>456</v>
      </c>
      <c r="C4749" s="180">
        <v>8000</v>
      </c>
    </row>
    <row r="4750" spans="1:3" x14ac:dyDescent="0.25">
      <c r="A4750" s="178">
        <v>81529</v>
      </c>
      <c r="B4750" s="179" t="s">
        <v>456</v>
      </c>
      <c r="C4750" s="180">
        <v>8000</v>
      </c>
    </row>
    <row r="4751" spans="1:3" x14ac:dyDescent="0.25">
      <c r="A4751" s="178">
        <v>81530</v>
      </c>
      <c r="B4751" s="179" t="s">
        <v>456</v>
      </c>
      <c r="C4751" s="180">
        <v>8000</v>
      </c>
    </row>
    <row r="4752" spans="1:3" x14ac:dyDescent="0.25">
      <c r="A4752" s="178">
        <v>81531</v>
      </c>
      <c r="B4752" s="179" t="s">
        <v>456</v>
      </c>
      <c r="C4752" s="180">
        <v>8000</v>
      </c>
    </row>
    <row r="4753" spans="1:3" x14ac:dyDescent="0.25">
      <c r="A4753" s="178">
        <v>81532</v>
      </c>
      <c r="B4753" s="179" t="s">
        <v>456</v>
      </c>
      <c r="C4753" s="180">
        <v>8000</v>
      </c>
    </row>
    <row r="4754" spans="1:3" x14ac:dyDescent="0.25">
      <c r="A4754" s="178">
        <v>81533</v>
      </c>
      <c r="B4754" s="179" t="s">
        <v>456</v>
      </c>
      <c r="C4754" s="180">
        <v>35200</v>
      </c>
    </row>
    <row r="4755" spans="1:3" x14ac:dyDescent="0.25">
      <c r="A4755" s="178">
        <v>81537</v>
      </c>
      <c r="B4755" s="179" t="s">
        <v>456</v>
      </c>
      <c r="C4755" s="180">
        <v>35200</v>
      </c>
    </row>
    <row r="4756" spans="1:3" x14ac:dyDescent="0.25">
      <c r="A4756" s="178">
        <v>81546</v>
      </c>
      <c r="B4756" s="179" t="s">
        <v>456</v>
      </c>
      <c r="C4756" s="180">
        <v>130</v>
      </c>
    </row>
    <row r="4757" spans="1:3" x14ac:dyDescent="0.25">
      <c r="A4757" s="178">
        <v>81549</v>
      </c>
      <c r="B4757" s="179" t="s">
        <v>456</v>
      </c>
      <c r="C4757" s="180">
        <v>90000</v>
      </c>
    </row>
    <row r="4758" spans="1:3" x14ac:dyDescent="0.25">
      <c r="A4758" s="178">
        <v>81570</v>
      </c>
      <c r="B4758" s="179" t="s">
        <v>456</v>
      </c>
      <c r="C4758" s="180">
        <v>99999</v>
      </c>
    </row>
    <row r="4759" spans="1:3" x14ac:dyDescent="0.25">
      <c r="A4759" s="178">
        <v>81571</v>
      </c>
      <c r="B4759" s="179" t="s">
        <v>456</v>
      </c>
      <c r="C4759" s="180">
        <v>99999</v>
      </c>
    </row>
    <row r="4760" spans="1:3" x14ac:dyDescent="0.25">
      <c r="A4760" s="178">
        <v>81584</v>
      </c>
      <c r="B4760" s="179" t="s">
        <v>456</v>
      </c>
      <c r="C4760" s="180">
        <v>3718</v>
      </c>
    </row>
    <row r="4761" spans="1:3" x14ac:dyDescent="0.25">
      <c r="A4761" s="178">
        <v>81591</v>
      </c>
      <c r="B4761" s="179" t="s">
        <v>456</v>
      </c>
      <c r="C4761" s="180">
        <v>540</v>
      </c>
    </row>
    <row r="4762" spans="1:3" x14ac:dyDescent="0.25">
      <c r="A4762" s="178">
        <v>81594</v>
      </c>
      <c r="B4762" s="179" t="s">
        <v>456</v>
      </c>
      <c r="C4762" s="180">
        <v>700</v>
      </c>
    </row>
    <row r="4763" spans="1:3" x14ac:dyDescent="0.25">
      <c r="A4763" s="178">
        <v>81596</v>
      </c>
      <c r="B4763" s="179" t="s">
        <v>456</v>
      </c>
      <c r="C4763" s="180">
        <v>540</v>
      </c>
    </row>
    <row r="4764" spans="1:3" x14ac:dyDescent="0.25">
      <c r="A4764" s="178">
        <v>81597</v>
      </c>
      <c r="B4764" s="179" t="s">
        <v>456</v>
      </c>
      <c r="C4764" s="180">
        <v>1008</v>
      </c>
    </row>
    <row r="4765" spans="1:3" x14ac:dyDescent="0.25">
      <c r="A4765" s="178">
        <v>81602</v>
      </c>
      <c r="B4765" s="179" t="s">
        <v>456</v>
      </c>
      <c r="C4765" s="180">
        <v>1000</v>
      </c>
    </row>
    <row r="4766" spans="1:3" x14ac:dyDescent="0.25">
      <c r="A4766" s="178">
        <v>81603</v>
      </c>
      <c r="B4766" s="179" t="s">
        <v>456</v>
      </c>
      <c r="C4766" s="180">
        <v>500</v>
      </c>
    </row>
    <row r="4767" spans="1:3" x14ac:dyDescent="0.25">
      <c r="A4767" s="178">
        <v>81604</v>
      </c>
      <c r="B4767" s="179" t="s">
        <v>456</v>
      </c>
      <c r="C4767" s="180">
        <v>1296</v>
      </c>
    </row>
    <row r="4768" spans="1:3" x14ac:dyDescent="0.25">
      <c r="A4768" s="178">
        <v>81605</v>
      </c>
      <c r="B4768" s="179" t="s">
        <v>456</v>
      </c>
      <c r="C4768" s="180">
        <v>1296</v>
      </c>
    </row>
    <row r="4769" spans="1:3" x14ac:dyDescent="0.25">
      <c r="A4769" s="178">
        <v>81606</v>
      </c>
      <c r="B4769" s="179" t="s">
        <v>456</v>
      </c>
      <c r="C4769" s="180">
        <v>1200</v>
      </c>
    </row>
    <row r="4770" spans="1:3" x14ac:dyDescent="0.25">
      <c r="A4770" s="178">
        <v>81610</v>
      </c>
      <c r="B4770" s="179" t="s">
        <v>456</v>
      </c>
      <c r="C4770" s="180">
        <v>700</v>
      </c>
    </row>
    <row r="4771" spans="1:3" x14ac:dyDescent="0.25">
      <c r="A4771" s="178">
        <v>81616</v>
      </c>
      <c r="B4771" s="179" t="s">
        <v>456</v>
      </c>
      <c r="C4771" s="180">
        <v>99999</v>
      </c>
    </row>
    <row r="4772" spans="1:3" x14ac:dyDescent="0.25">
      <c r="A4772" s="178">
        <v>81617</v>
      </c>
      <c r="B4772" s="179" t="s">
        <v>456</v>
      </c>
      <c r="C4772" s="180">
        <v>99999</v>
      </c>
    </row>
    <row r="4773" spans="1:3" x14ac:dyDescent="0.25">
      <c r="A4773" s="178">
        <v>81618</v>
      </c>
      <c r="B4773" s="179" t="s">
        <v>456</v>
      </c>
      <c r="C4773" s="180">
        <v>99999</v>
      </c>
    </row>
    <row r="4774" spans="1:3" x14ac:dyDescent="0.25">
      <c r="A4774" s="178">
        <v>81619</v>
      </c>
      <c r="B4774" s="179" t="s">
        <v>456</v>
      </c>
      <c r="C4774" s="180">
        <v>99999</v>
      </c>
    </row>
    <row r="4775" spans="1:3" x14ac:dyDescent="0.25">
      <c r="A4775" s="178">
        <v>81627</v>
      </c>
      <c r="B4775" s="179" t="s">
        <v>456</v>
      </c>
      <c r="C4775" s="180">
        <v>2800</v>
      </c>
    </row>
    <row r="4776" spans="1:3" x14ac:dyDescent="0.25">
      <c r="A4776" s="178">
        <v>81628</v>
      </c>
      <c r="B4776" s="179" t="s">
        <v>456</v>
      </c>
      <c r="C4776" s="180">
        <v>1800</v>
      </c>
    </row>
    <row r="4777" spans="1:3" x14ac:dyDescent="0.25">
      <c r="A4777" s="178">
        <v>81630</v>
      </c>
      <c r="B4777" s="179" t="s">
        <v>456</v>
      </c>
      <c r="C4777" s="180">
        <v>3500</v>
      </c>
    </row>
    <row r="4778" spans="1:3" x14ac:dyDescent="0.25">
      <c r="A4778" s="178">
        <v>81632</v>
      </c>
      <c r="B4778" s="179" t="s">
        <v>456</v>
      </c>
      <c r="C4778" s="180">
        <v>3450</v>
      </c>
    </row>
    <row r="4779" spans="1:3" x14ac:dyDescent="0.25">
      <c r="A4779" s="178">
        <v>81633</v>
      </c>
      <c r="B4779" s="179" t="s">
        <v>456</v>
      </c>
      <c r="C4779" s="180">
        <v>1710</v>
      </c>
    </row>
    <row r="4780" spans="1:3" x14ac:dyDescent="0.25">
      <c r="A4780" s="178">
        <v>81636</v>
      </c>
      <c r="B4780" s="179" t="s">
        <v>456</v>
      </c>
      <c r="C4780" s="180">
        <v>99999</v>
      </c>
    </row>
    <row r="4781" spans="1:3" x14ac:dyDescent="0.25">
      <c r="A4781" s="178">
        <v>81637</v>
      </c>
      <c r="B4781" s="179" t="s">
        <v>456</v>
      </c>
      <c r="C4781" s="180">
        <v>45000</v>
      </c>
    </row>
    <row r="4782" spans="1:3" x14ac:dyDescent="0.25">
      <c r="A4782" s="178">
        <v>81638</v>
      </c>
      <c r="B4782" s="179" t="s">
        <v>456</v>
      </c>
      <c r="C4782" s="180">
        <v>17500</v>
      </c>
    </row>
    <row r="4783" spans="1:3" x14ac:dyDescent="0.25">
      <c r="A4783" s="178">
        <v>81643</v>
      </c>
      <c r="B4783" s="179" t="s">
        <v>456</v>
      </c>
      <c r="C4783" s="180">
        <v>99999</v>
      </c>
    </row>
    <row r="4784" spans="1:3" x14ac:dyDescent="0.25">
      <c r="A4784" s="178">
        <v>81644</v>
      </c>
      <c r="B4784" s="179" t="s">
        <v>456</v>
      </c>
      <c r="C4784" s="180">
        <v>99999</v>
      </c>
    </row>
    <row r="4785" spans="1:3" x14ac:dyDescent="0.25">
      <c r="A4785" s="178">
        <v>81646</v>
      </c>
      <c r="B4785" s="179" t="s">
        <v>456</v>
      </c>
      <c r="C4785" s="180">
        <v>700</v>
      </c>
    </row>
    <row r="4786" spans="1:3" x14ac:dyDescent="0.25">
      <c r="A4786" s="178">
        <v>81648</v>
      </c>
      <c r="B4786" s="179" t="s">
        <v>456</v>
      </c>
      <c r="C4786" s="180">
        <v>1950</v>
      </c>
    </row>
    <row r="4787" spans="1:3" x14ac:dyDescent="0.25">
      <c r="A4787" s="178">
        <v>81650</v>
      </c>
      <c r="B4787" s="179" t="s">
        <v>456</v>
      </c>
      <c r="C4787" s="180">
        <v>700</v>
      </c>
    </row>
    <row r="4788" spans="1:3" x14ac:dyDescent="0.25">
      <c r="A4788" s="178">
        <v>81651</v>
      </c>
      <c r="B4788" s="179" t="s">
        <v>456</v>
      </c>
      <c r="C4788" s="180">
        <v>700</v>
      </c>
    </row>
    <row r="4789" spans="1:3" x14ac:dyDescent="0.25">
      <c r="A4789" s="178">
        <v>81657</v>
      </c>
      <c r="B4789" s="179" t="s">
        <v>456</v>
      </c>
      <c r="C4789" s="180">
        <v>17600</v>
      </c>
    </row>
    <row r="4790" spans="1:3" x14ac:dyDescent="0.25">
      <c r="A4790" s="178">
        <v>81663</v>
      </c>
      <c r="B4790" s="179" t="s">
        <v>456</v>
      </c>
      <c r="C4790" s="180">
        <v>3640</v>
      </c>
    </row>
    <row r="4791" spans="1:3" x14ac:dyDescent="0.25">
      <c r="A4791" s="178">
        <v>81664</v>
      </c>
      <c r="B4791" s="179" t="s">
        <v>456</v>
      </c>
      <c r="C4791" s="180">
        <v>5250</v>
      </c>
    </row>
    <row r="4792" spans="1:3" x14ac:dyDescent="0.25">
      <c r="A4792" s="178">
        <v>81671</v>
      </c>
      <c r="B4792" s="179" t="s">
        <v>456</v>
      </c>
      <c r="C4792" s="180">
        <v>99999</v>
      </c>
    </row>
    <row r="4793" spans="1:3" x14ac:dyDescent="0.25">
      <c r="A4793" s="178">
        <v>81672</v>
      </c>
      <c r="B4793" s="179" t="s">
        <v>456</v>
      </c>
      <c r="C4793" s="180">
        <v>99999</v>
      </c>
    </row>
    <row r="4794" spans="1:3" x14ac:dyDescent="0.25">
      <c r="A4794" s="178">
        <v>81673</v>
      </c>
      <c r="B4794" s="179" t="s">
        <v>456</v>
      </c>
      <c r="C4794" s="180">
        <v>99999</v>
      </c>
    </row>
    <row r="4795" spans="1:3" x14ac:dyDescent="0.25">
      <c r="A4795" s="178">
        <v>81674</v>
      </c>
      <c r="B4795" s="179" t="s">
        <v>456</v>
      </c>
      <c r="C4795" s="180">
        <v>99999</v>
      </c>
    </row>
    <row r="4796" spans="1:3" x14ac:dyDescent="0.25">
      <c r="A4796" s="178">
        <v>81678</v>
      </c>
      <c r="B4796" s="179" t="s">
        <v>456</v>
      </c>
      <c r="C4796" s="180">
        <v>3500</v>
      </c>
    </row>
    <row r="4797" spans="1:3" x14ac:dyDescent="0.25">
      <c r="A4797" s="178">
        <v>81679</v>
      </c>
      <c r="B4797" s="179" t="s">
        <v>456</v>
      </c>
      <c r="C4797" s="180">
        <v>99999</v>
      </c>
    </row>
    <row r="4798" spans="1:3" x14ac:dyDescent="0.25">
      <c r="A4798" s="178">
        <v>81680</v>
      </c>
      <c r="B4798" s="179" t="s">
        <v>456</v>
      </c>
      <c r="C4798" s="180">
        <v>99999</v>
      </c>
    </row>
    <row r="4799" spans="1:3" x14ac:dyDescent="0.25">
      <c r="A4799" s="178">
        <v>81681</v>
      </c>
      <c r="B4799" s="179" t="s">
        <v>456</v>
      </c>
      <c r="C4799" s="180">
        <v>99999</v>
      </c>
    </row>
    <row r="4800" spans="1:3" x14ac:dyDescent="0.25">
      <c r="A4800" s="178">
        <v>81682</v>
      </c>
      <c r="B4800" s="179" t="s">
        <v>456</v>
      </c>
      <c r="C4800" s="180">
        <v>99999</v>
      </c>
    </row>
    <row r="4801" spans="1:3" x14ac:dyDescent="0.25">
      <c r="A4801" s="178">
        <v>81684</v>
      </c>
      <c r="B4801" s="179" t="s">
        <v>456</v>
      </c>
      <c r="C4801" s="180">
        <v>1088</v>
      </c>
    </row>
    <row r="4802" spans="1:3" x14ac:dyDescent="0.25">
      <c r="A4802" s="178">
        <v>81685</v>
      </c>
      <c r="B4802" s="179" t="s">
        <v>456</v>
      </c>
      <c r="C4802" s="180">
        <v>4200</v>
      </c>
    </row>
    <row r="4803" spans="1:3" x14ac:dyDescent="0.25">
      <c r="A4803" s="178">
        <v>81686</v>
      </c>
      <c r="B4803" s="179" t="s">
        <v>456</v>
      </c>
      <c r="C4803" s="180">
        <v>99999</v>
      </c>
    </row>
    <row r="4804" spans="1:3" x14ac:dyDescent="0.25">
      <c r="A4804" s="178">
        <v>81700</v>
      </c>
      <c r="B4804" s="179" t="s">
        <v>456</v>
      </c>
      <c r="C4804" s="180">
        <v>76800</v>
      </c>
    </row>
    <row r="4805" spans="1:3" x14ac:dyDescent="0.25">
      <c r="A4805" s="178">
        <v>81708</v>
      </c>
      <c r="B4805" s="179" t="s">
        <v>456</v>
      </c>
      <c r="C4805" s="180">
        <v>510</v>
      </c>
    </row>
    <row r="4806" spans="1:3" x14ac:dyDescent="0.25">
      <c r="A4806" s="178">
        <v>81710</v>
      </c>
      <c r="B4806" s="179" t="s">
        <v>456</v>
      </c>
      <c r="C4806" s="180">
        <v>1512</v>
      </c>
    </row>
    <row r="4807" spans="1:3" x14ac:dyDescent="0.25">
      <c r="A4807" s="178">
        <v>81712</v>
      </c>
      <c r="B4807" s="179" t="s">
        <v>456</v>
      </c>
      <c r="C4807" s="180">
        <v>60000</v>
      </c>
    </row>
    <row r="4808" spans="1:3" x14ac:dyDescent="0.25">
      <c r="A4808" s="178">
        <v>81715</v>
      </c>
      <c r="B4808" s="179" t="s">
        <v>456</v>
      </c>
      <c r="C4808" s="180">
        <v>17600</v>
      </c>
    </row>
    <row r="4809" spans="1:3" x14ac:dyDescent="0.25">
      <c r="A4809" s="178">
        <v>81718</v>
      </c>
      <c r="B4809" s="179" t="s">
        <v>456</v>
      </c>
      <c r="C4809" s="180">
        <v>2016</v>
      </c>
    </row>
    <row r="4810" spans="1:3" x14ac:dyDescent="0.25">
      <c r="A4810" s="178">
        <v>81728</v>
      </c>
      <c r="B4810" s="179" t="s">
        <v>456</v>
      </c>
      <c r="C4810" s="180">
        <v>17600</v>
      </c>
    </row>
    <row r="4811" spans="1:3" x14ac:dyDescent="0.25">
      <c r="A4811" s="178">
        <v>81734</v>
      </c>
      <c r="B4811" s="179" t="s">
        <v>456</v>
      </c>
      <c r="C4811" s="180">
        <v>1440</v>
      </c>
    </row>
    <row r="4812" spans="1:3" x14ac:dyDescent="0.25">
      <c r="A4812" s="178">
        <v>81737</v>
      </c>
      <c r="B4812" s="179" t="s">
        <v>456</v>
      </c>
      <c r="C4812" s="180">
        <v>1440</v>
      </c>
    </row>
    <row r="4813" spans="1:3" x14ac:dyDescent="0.25">
      <c r="A4813" s="178">
        <v>81738</v>
      </c>
      <c r="B4813" s="179" t="s">
        <v>456</v>
      </c>
      <c r="C4813" s="180">
        <v>2600</v>
      </c>
    </row>
    <row r="4814" spans="1:3" x14ac:dyDescent="0.25">
      <c r="A4814" s="178">
        <v>81739</v>
      </c>
      <c r="B4814" s="179" t="s">
        <v>456</v>
      </c>
      <c r="C4814" s="180">
        <v>6000</v>
      </c>
    </row>
    <row r="4815" spans="1:3" x14ac:dyDescent="0.25">
      <c r="A4815" s="178">
        <v>81741</v>
      </c>
      <c r="B4815" s="179" t="s">
        <v>456</v>
      </c>
      <c r="C4815" s="180">
        <v>6000</v>
      </c>
    </row>
    <row r="4816" spans="1:3" x14ac:dyDescent="0.25">
      <c r="A4816" s="178">
        <v>81742</v>
      </c>
      <c r="B4816" s="179" t="s">
        <v>456</v>
      </c>
      <c r="C4816" s="180">
        <v>6000</v>
      </c>
    </row>
    <row r="4817" spans="1:3" x14ac:dyDescent="0.25">
      <c r="A4817" s="178">
        <v>81747</v>
      </c>
      <c r="B4817" s="179" t="s">
        <v>456</v>
      </c>
      <c r="C4817" s="180">
        <v>26950</v>
      </c>
    </row>
    <row r="4818" spans="1:3" x14ac:dyDescent="0.25">
      <c r="A4818" s="178">
        <v>81748</v>
      </c>
      <c r="B4818" s="179" t="s">
        <v>456</v>
      </c>
      <c r="C4818" s="180">
        <v>1728</v>
      </c>
    </row>
    <row r="4819" spans="1:3" x14ac:dyDescent="0.25">
      <c r="A4819" s="178">
        <v>81749</v>
      </c>
      <c r="B4819" s="179" t="s">
        <v>456</v>
      </c>
      <c r="C4819" s="180">
        <v>28800</v>
      </c>
    </row>
    <row r="4820" spans="1:3" x14ac:dyDescent="0.25">
      <c r="A4820" s="178">
        <v>81750</v>
      </c>
      <c r="B4820" s="179" t="s">
        <v>456</v>
      </c>
      <c r="C4820" s="180">
        <v>1260</v>
      </c>
    </row>
    <row r="4821" spans="1:3" x14ac:dyDescent="0.25">
      <c r="A4821" s="178">
        <v>81751</v>
      </c>
      <c r="B4821" s="179" t="s">
        <v>456</v>
      </c>
      <c r="C4821" s="180">
        <v>1260</v>
      </c>
    </row>
    <row r="4822" spans="1:3" x14ac:dyDescent="0.25">
      <c r="A4822" s="178">
        <v>81753</v>
      </c>
      <c r="B4822" s="179" t="s">
        <v>456</v>
      </c>
      <c r="C4822" s="180">
        <v>1280</v>
      </c>
    </row>
    <row r="4823" spans="1:3" x14ac:dyDescent="0.25">
      <c r="A4823" s="178">
        <v>81756</v>
      </c>
      <c r="B4823" s="179" t="s">
        <v>456</v>
      </c>
      <c r="C4823" s="180">
        <v>6000</v>
      </c>
    </row>
    <row r="4824" spans="1:3" x14ac:dyDescent="0.25">
      <c r="A4824" s="178">
        <v>81757</v>
      </c>
      <c r="B4824" s="179" t="s">
        <v>456</v>
      </c>
      <c r="C4824" s="180">
        <v>2</v>
      </c>
    </row>
    <row r="4825" spans="1:3" x14ac:dyDescent="0.25">
      <c r="A4825" s="178">
        <v>81758</v>
      </c>
      <c r="B4825" s="179" t="s">
        <v>456</v>
      </c>
      <c r="C4825" s="180">
        <v>1712</v>
      </c>
    </row>
    <row r="4826" spans="1:3" x14ac:dyDescent="0.25">
      <c r="A4826" s="178">
        <v>81759</v>
      </c>
      <c r="B4826" s="179" t="s">
        <v>456</v>
      </c>
      <c r="C4826" s="180">
        <v>416</v>
      </c>
    </row>
    <row r="4827" spans="1:3" x14ac:dyDescent="0.25">
      <c r="A4827" s="178">
        <v>81760</v>
      </c>
      <c r="B4827" s="179" t="s">
        <v>456</v>
      </c>
      <c r="C4827" s="180">
        <v>1512</v>
      </c>
    </row>
    <row r="4828" spans="1:3" x14ac:dyDescent="0.25">
      <c r="A4828" s="178">
        <v>81762</v>
      </c>
      <c r="B4828" s="179" t="s">
        <v>456</v>
      </c>
      <c r="C4828" s="180">
        <v>1200</v>
      </c>
    </row>
    <row r="4829" spans="1:3" x14ac:dyDescent="0.25">
      <c r="A4829" s="178">
        <v>81763</v>
      </c>
      <c r="B4829" s="179" t="s">
        <v>456</v>
      </c>
      <c r="C4829" s="180">
        <v>416</v>
      </c>
    </row>
    <row r="4830" spans="1:3" x14ac:dyDescent="0.25">
      <c r="A4830" s="178">
        <v>81764</v>
      </c>
      <c r="B4830" s="179" t="s">
        <v>456</v>
      </c>
      <c r="C4830" s="180">
        <v>756</v>
      </c>
    </row>
    <row r="4831" spans="1:3" x14ac:dyDescent="0.25">
      <c r="A4831" s="178">
        <v>81765</v>
      </c>
      <c r="B4831" s="179" t="s">
        <v>456</v>
      </c>
      <c r="C4831" s="180">
        <v>756</v>
      </c>
    </row>
    <row r="4832" spans="1:3" x14ac:dyDescent="0.25">
      <c r="A4832" s="178">
        <v>81767</v>
      </c>
      <c r="B4832" s="179" t="s">
        <v>456</v>
      </c>
      <c r="C4832" s="180">
        <v>3700</v>
      </c>
    </row>
    <row r="4833" spans="1:3" x14ac:dyDescent="0.25">
      <c r="A4833" s="178">
        <v>81768</v>
      </c>
      <c r="B4833" s="179" t="s">
        <v>456</v>
      </c>
      <c r="C4833" s="180">
        <v>60000</v>
      </c>
    </row>
    <row r="4834" spans="1:3" x14ac:dyDescent="0.25">
      <c r="A4834" s="178">
        <v>81773</v>
      </c>
      <c r="B4834" s="179" t="s">
        <v>456</v>
      </c>
      <c r="C4834" s="180">
        <v>99999</v>
      </c>
    </row>
    <row r="4835" spans="1:3" x14ac:dyDescent="0.25">
      <c r="A4835" s="178">
        <v>81777</v>
      </c>
      <c r="B4835" s="179" t="s">
        <v>456</v>
      </c>
      <c r="C4835" s="180">
        <v>120</v>
      </c>
    </row>
    <row r="4836" spans="1:3" x14ac:dyDescent="0.25">
      <c r="A4836" s="178">
        <v>81808</v>
      </c>
      <c r="B4836" s="179" t="s">
        <v>456</v>
      </c>
      <c r="C4836" s="180">
        <v>99999</v>
      </c>
    </row>
    <row r="4837" spans="1:3" x14ac:dyDescent="0.25">
      <c r="A4837" s="178">
        <v>81810</v>
      </c>
      <c r="B4837" s="179" t="s">
        <v>456</v>
      </c>
      <c r="C4837" s="180">
        <v>99999</v>
      </c>
    </row>
    <row r="4838" spans="1:3" x14ac:dyDescent="0.25">
      <c r="A4838" s="178">
        <v>81844</v>
      </c>
      <c r="B4838" s="179" t="s">
        <v>456</v>
      </c>
      <c r="C4838" s="180">
        <v>80</v>
      </c>
    </row>
    <row r="4839" spans="1:3" x14ac:dyDescent="0.25">
      <c r="A4839" s="178">
        <v>81845</v>
      </c>
      <c r="B4839" s="179" t="s">
        <v>456</v>
      </c>
      <c r="C4839" s="180">
        <v>3000</v>
      </c>
    </row>
    <row r="4840" spans="1:3" x14ac:dyDescent="0.25">
      <c r="A4840" s="178">
        <v>81846</v>
      </c>
      <c r="B4840" s="179" t="s">
        <v>456</v>
      </c>
      <c r="C4840" s="180">
        <v>500</v>
      </c>
    </row>
    <row r="4841" spans="1:3" x14ac:dyDescent="0.25">
      <c r="A4841" s="178">
        <v>81853</v>
      </c>
      <c r="B4841" s="179" t="s">
        <v>456</v>
      </c>
      <c r="C4841" s="180">
        <v>700</v>
      </c>
    </row>
    <row r="4842" spans="1:3" x14ac:dyDescent="0.25">
      <c r="A4842" s="178">
        <v>81854</v>
      </c>
      <c r="B4842" s="179" t="s">
        <v>456</v>
      </c>
      <c r="C4842" s="180">
        <v>700</v>
      </c>
    </row>
    <row r="4843" spans="1:3" x14ac:dyDescent="0.25">
      <c r="A4843" s="178">
        <v>81859</v>
      </c>
      <c r="B4843" s="179" t="s">
        <v>456</v>
      </c>
      <c r="C4843" s="180">
        <v>3300</v>
      </c>
    </row>
    <row r="4844" spans="1:3" x14ac:dyDescent="0.25">
      <c r="A4844" s="178">
        <v>81860</v>
      </c>
      <c r="B4844" s="179" t="s">
        <v>456</v>
      </c>
      <c r="C4844" s="180">
        <v>3300</v>
      </c>
    </row>
    <row r="4845" spans="1:3" x14ac:dyDescent="0.25">
      <c r="A4845" s="178">
        <v>81861</v>
      </c>
      <c r="B4845" s="179" t="s">
        <v>456</v>
      </c>
      <c r="C4845" s="180">
        <v>6000</v>
      </c>
    </row>
    <row r="4846" spans="1:3" x14ac:dyDescent="0.25">
      <c r="A4846" s="178">
        <v>81862</v>
      </c>
      <c r="B4846" s="179" t="s">
        <v>456</v>
      </c>
      <c r="C4846" s="180">
        <v>1440</v>
      </c>
    </row>
    <row r="4847" spans="1:3" x14ac:dyDescent="0.25">
      <c r="A4847" s="178">
        <v>81863</v>
      </c>
      <c r="B4847" s="179" t="s">
        <v>456</v>
      </c>
      <c r="C4847" s="180">
        <v>1440</v>
      </c>
    </row>
    <row r="4848" spans="1:3" x14ac:dyDescent="0.25">
      <c r="A4848" s="178">
        <v>81864</v>
      </c>
      <c r="B4848" s="179" t="s">
        <v>456</v>
      </c>
      <c r="C4848" s="180">
        <v>1320</v>
      </c>
    </row>
    <row r="4849" spans="1:3" x14ac:dyDescent="0.25">
      <c r="A4849" s="178">
        <v>81865</v>
      </c>
      <c r="B4849" s="179" t="s">
        <v>456</v>
      </c>
      <c r="C4849" s="180">
        <v>3300</v>
      </c>
    </row>
    <row r="4850" spans="1:3" x14ac:dyDescent="0.25">
      <c r="A4850" s="178">
        <v>81866</v>
      </c>
      <c r="B4850" s="179" t="s">
        <v>456</v>
      </c>
      <c r="C4850" s="180">
        <v>3300</v>
      </c>
    </row>
    <row r="4851" spans="1:3" x14ac:dyDescent="0.25">
      <c r="A4851" s="178">
        <v>81867</v>
      </c>
      <c r="B4851" s="179" t="s">
        <v>456</v>
      </c>
      <c r="C4851" s="180">
        <v>3300</v>
      </c>
    </row>
    <row r="4852" spans="1:3" x14ac:dyDescent="0.25">
      <c r="A4852" s="178">
        <v>81868</v>
      </c>
      <c r="B4852" s="179" t="s">
        <v>456</v>
      </c>
      <c r="C4852" s="180">
        <v>1440</v>
      </c>
    </row>
    <row r="4853" spans="1:3" x14ac:dyDescent="0.25">
      <c r="A4853" s="178">
        <v>81869</v>
      </c>
      <c r="B4853" s="179" t="s">
        <v>456</v>
      </c>
      <c r="C4853" s="180">
        <v>1440</v>
      </c>
    </row>
    <row r="4854" spans="1:3" x14ac:dyDescent="0.25">
      <c r="A4854" s="178">
        <v>81870</v>
      </c>
      <c r="B4854" s="179" t="s">
        <v>456</v>
      </c>
      <c r="C4854" s="180">
        <v>1440</v>
      </c>
    </row>
    <row r="4855" spans="1:3" x14ac:dyDescent="0.25">
      <c r="A4855" s="178">
        <v>81871</v>
      </c>
      <c r="B4855" s="179" t="s">
        <v>456</v>
      </c>
      <c r="C4855" s="180">
        <v>1440</v>
      </c>
    </row>
    <row r="4856" spans="1:3" x14ac:dyDescent="0.25">
      <c r="A4856" s="178">
        <v>81872</v>
      </c>
      <c r="B4856" s="179" t="s">
        <v>456</v>
      </c>
      <c r="C4856" s="180">
        <v>3300</v>
      </c>
    </row>
    <row r="4857" spans="1:3" x14ac:dyDescent="0.25">
      <c r="A4857" s="178">
        <v>81883</v>
      </c>
      <c r="B4857" s="179" t="s">
        <v>456</v>
      </c>
      <c r="C4857" s="180">
        <v>120</v>
      </c>
    </row>
    <row r="4858" spans="1:3" x14ac:dyDescent="0.25">
      <c r="A4858" s="178">
        <v>81884</v>
      </c>
      <c r="B4858" s="179" t="s">
        <v>456</v>
      </c>
      <c r="C4858" s="180">
        <v>2100</v>
      </c>
    </row>
    <row r="4859" spans="1:3" x14ac:dyDescent="0.25">
      <c r="A4859" s="178">
        <v>81885</v>
      </c>
      <c r="B4859" s="179" t="s">
        <v>456</v>
      </c>
      <c r="C4859" s="180">
        <v>1400</v>
      </c>
    </row>
    <row r="4860" spans="1:3" x14ac:dyDescent="0.25">
      <c r="A4860" s="178">
        <v>81887</v>
      </c>
      <c r="B4860" s="179" t="s">
        <v>456</v>
      </c>
      <c r="C4860" s="180">
        <v>2640</v>
      </c>
    </row>
    <row r="4861" spans="1:3" x14ac:dyDescent="0.25">
      <c r="A4861" s="178">
        <v>81888</v>
      </c>
      <c r="B4861" s="179" t="s">
        <v>456</v>
      </c>
      <c r="C4861" s="180">
        <v>320</v>
      </c>
    </row>
    <row r="4862" spans="1:3" x14ac:dyDescent="0.25">
      <c r="A4862" s="178">
        <v>81889</v>
      </c>
      <c r="B4862" s="179" t="s">
        <v>456</v>
      </c>
      <c r="C4862" s="180">
        <v>3500</v>
      </c>
    </row>
    <row r="4863" spans="1:3" x14ac:dyDescent="0.25">
      <c r="A4863" s="178">
        <v>81890</v>
      </c>
      <c r="B4863" s="179" t="s">
        <v>456</v>
      </c>
      <c r="C4863" s="180">
        <v>8400</v>
      </c>
    </row>
    <row r="4864" spans="1:3" x14ac:dyDescent="0.25">
      <c r="A4864" s="178">
        <v>81892</v>
      </c>
      <c r="B4864" s="179" t="s">
        <v>456</v>
      </c>
      <c r="C4864" s="180">
        <v>2640</v>
      </c>
    </row>
    <row r="4865" spans="1:3" x14ac:dyDescent="0.25">
      <c r="A4865" s="178">
        <v>81893</v>
      </c>
      <c r="B4865" s="179" t="s">
        <v>456</v>
      </c>
      <c r="C4865" s="180">
        <v>43750</v>
      </c>
    </row>
    <row r="4866" spans="1:3" x14ac:dyDescent="0.25">
      <c r="A4866" s="178">
        <v>81896</v>
      </c>
      <c r="B4866" s="179" t="s">
        <v>456</v>
      </c>
      <c r="C4866" s="180">
        <v>500</v>
      </c>
    </row>
    <row r="4867" spans="1:3" x14ac:dyDescent="0.25">
      <c r="A4867" s="178">
        <v>81897</v>
      </c>
      <c r="B4867" s="179" t="s">
        <v>456</v>
      </c>
      <c r="C4867" s="180">
        <v>500</v>
      </c>
    </row>
    <row r="4868" spans="1:3" x14ac:dyDescent="0.25">
      <c r="A4868" s="178">
        <v>81899</v>
      </c>
      <c r="B4868" s="179" t="s">
        <v>456</v>
      </c>
      <c r="C4868" s="180">
        <v>28800</v>
      </c>
    </row>
    <row r="4869" spans="1:3" x14ac:dyDescent="0.25">
      <c r="A4869" s="178">
        <v>81900</v>
      </c>
      <c r="B4869" s="179" t="s">
        <v>456</v>
      </c>
      <c r="C4869" s="180">
        <v>3700</v>
      </c>
    </row>
    <row r="4870" spans="1:3" x14ac:dyDescent="0.25">
      <c r="A4870" s="178">
        <v>81906</v>
      </c>
      <c r="B4870" s="179" t="s">
        <v>456</v>
      </c>
      <c r="C4870" s="180">
        <v>6000</v>
      </c>
    </row>
    <row r="4871" spans="1:3" x14ac:dyDescent="0.25">
      <c r="A4871" s="178">
        <v>81907</v>
      </c>
      <c r="B4871" s="179" t="s">
        <v>456</v>
      </c>
      <c r="C4871" s="180">
        <v>1320</v>
      </c>
    </row>
    <row r="4872" spans="1:3" x14ac:dyDescent="0.25">
      <c r="A4872" s="178">
        <v>81909</v>
      </c>
      <c r="B4872" s="179" t="s">
        <v>456</v>
      </c>
      <c r="C4872" s="180">
        <v>17600</v>
      </c>
    </row>
    <row r="4873" spans="1:3" x14ac:dyDescent="0.25">
      <c r="A4873" s="178">
        <v>81912</v>
      </c>
      <c r="B4873" s="179" t="s">
        <v>456</v>
      </c>
      <c r="C4873" s="180">
        <v>700</v>
      </c>
    </row>
    <row r="4874" spans="1:3" x14ac:dyDescent="0.25">
      <c r="A4874" s="178">
        <v>81917</v>
      </c>
      <c r="B4874" s="179" t="s">
        <v>456</v>
      </c>
      <c r="C4874" s="180">
        <v>500</v>
      </c>
    </row>
    <row r="4875" spans="1:3" x14ac:dyDescent="0.25">
      <c r="A4875" s="178">
        <v>81919</v>
      </c>
      <c r="B4875" s="179" t="s">
        <v>456</v>
      </c>
      <c r="C4875" s="180">
        <v>640</v>
      </c>
    </row>
    <row r="4876" spans="1:3" x14ac:dyDescent="0.25">
      <c r="A4876" s="178">
        <v>81923</v>
      </c>
      <c r="B4876" s="179" t="s">
        <v>456</v>
      </c>
      <c r="C4876" s="180">
        <v>640</v>
      </c>
    </row>
    <row r="4877" spans="1:3" x14ac:dyDescent="0.25">
      <c r="A4877" s="178">
        <v>81927</v>
      </c>
      <c r="B4877" s="179" t="s">
        <v>456</v>
      </c>
      <c r="C4877" s="180">
        <v>99999</v>
      </c>
    </row>
    <row r="4878" spans="1:3" x14ac:dyDescent="0.25">
      <c r="A4878" s="178">
        <v>81929</v>
      </c>
      <c r="B4878" s="179" t="s">
        <v>456</v>
      </c>
      <c r="C4878" s="180">
        <v>99999</v>
      </c>
    </row>
    <row r="4879" spans="1:3" x14ac:dyDescent="0.25">
      <c r="A4879" s="178">
        <v>81930</v>
      </c>
      <c r="B4879" s="179" t="s">
        <v>456</v>
      </c>
      <c r="C4879" s="180">
        <v>99999</v>
      </c>
    </row>
    <row r="4880" spans="1:3" x14ac:dyDescent="0.25">
      <c r="A4880" s="178">
        <v>81934</v>
      </c>
      <c r="B4880" s="179" t="s">
        <v>456</v>
      </c>
      <c r="C4880" s="180">
        <v>130</v>
      </c>
    </row>
    <row r="4881" spans="1:3" x14ac:dyDescent="0.25">
      <c r="A4881" s="178">
        <v>81935</v>
      </c>
      <c r="B4881" s="179" t="s">
        <v>456</v>
      </c>
      <c r="C4881" s="180">
        <v>99999</v>
      </c>
    </row>
    <row r="4882" spans="1:3" x14ac:dyDescent="0.25">
      <c r="A4882" s="178">
        <v>81936</v>
      </c>
      <c r="B4882" s="179" t="s">
        <v>456</v>
      </c>
      <c r="C4882" s="180">
        <v>99999</v>
      </c>
    </row>
    <row r="4883" spans="1:3" x14ac:dyDescent="0.25">
      <c r="A4883" s="178">
        <v>81946</v>
      </c>
      <c r="B4883" s="179" t="s">
        <v>456</v>
      </c>
      <c r="C4883" s="180">
        <v>99999</v>
      </c>
    </row>
    <row r="4884" spans="1:3" x14ac:dyDescent="0.25">
      <c r="A4884" s="178">
        <v>81949</v>
      </c>
      <c r="B4884" s="179" t="s">
        <v>456</v>
      </c>
      <c r="C4884" s="180">
        <v>2112</v>
      </c>
    </row>
    <row r="4885" spans="1:3" x14ac:dyDescent="0.25">
      <c r="A4885" s="178">
        <v>81950</v>
      </c>
      <c r="B4885" s="179" t="s">
        <v>456</v>
      </c>
      <c r="C4885" s="180">
        <v>9000</v>
      </c>
    </row>
    <row r="4886" spans="1:3" x14ac:dyDescent="0.25">
      <c r="A4886" s="178">
        <v>81951</v>
      </c>
      <c r="B4886" s="179" t="s">
        <v>456</v>
      </c>
      <c r="C4886" s="180">
        <v>2100</v>
      </c>
    </row>
    <row r="4887" spans="1:3" x14ac:dyDescent="0.25">
      <c r="A4887" s="178">
        <v>81952</v>
      </c>
      <c r="B4887" s="179" t="s">
        <v>456</v>
      </c>
      <c r="C4887" s="180">
        <v>99999</v>
      </c>
    </row>
    <row r="4888" spans="1:3" x14ac:dyDescent="0.25">
      <c r="A4888" s="178">
        <v>81956</v>
      </c>
      <c r="B4888" s="179" t="s">
        <v>456</v>
      </c>
      <c r="C4888" s="180">
        <v>99999</v>
      </c>
    </row>
    <row r="4889" spans="1:3" x14ac:dyDescent="0.25">
      <c r="A4889" s="178">
        <v>81957</v>
      </c>
      <c r="B4889" s="179" t="s">
        <v>456</v>
      </c>
      <c r="C4889" s="180">
        <v>99999</v>
      </c>
    </row>
    <row r="4890" spans="1:3" x14ac:dyDescent="0.25">
      <c r="A4890" s="178">
        <v>81958</v>
      </c>
      <c r="B4890" s="179" t="s">
        <v>456</v>
      </c>
      <c r="C4890" s="180">
        <v>1008</v>
      </c>
    </row>
    <row r="4891" spans="1:3" x14ac:dyDescent="0.25">
      <c r="A4891" s="178">
        <v>81962</v>
      </c>
      <c r="B4891" s="179" t="s">
        <v>456</v>
      </c>
      <c r="C4891" s="180">
        <v>5250</v>
      </c>
    </row>
    <row r="4892" spans="1:3" x14ac:dyDescent="0.25">
      <c r="A4892" s="178">
        <v>81963</v>
      </c>
      <c r="B4892" s="179" t="s">
        <v>456</v>
      </c>
      <c r="C4892" s="180">
        <v>4200</v>
      </c>
    </row>
    <row r="4893" spans="1:3" x14ac:dyDescent="0.25">
      <c r="A4893" s="178">
        <v>81964</v>
      </c>
      <c r="B4893" s="179" t="s">
        <v>456</v>
      </c>
      <c r="C4893" s="180">
        <v>28800</v>
      </c>
    </row>
    <row r="4894" spans="1:3" x14ac:dyDescent="0.25">
      <c r="A4894" s="178">
        <v>81965</v>
      </c>
      <c r="B4894" s="179" t="s">
        <v>456</v>
      </c>
      <c r="C4894" s="180">
        <v>28800</v>
      </c>
    </row>
    <row r="4895" spans="1:3" x14ac:dyDescent="0.25">
      <c r="A4895" s="178">
        <v>81969</v>
      </c>
      <c r="B4895" s="179" t="s">
        <v>456</v>
      </c>
      <c r="C4895" s="180">
        <v>130</v>
      </c>
    </row>
    <row r="4896" spans="1:3" x14ac:dyDescent="0.25">
      <c r="A4896" s="178">
        <v>81971</v>
      </c>
      <c r="B4896" s="179" t="s">
        <v>456</v>
      </c>
      <c r="C4896" s="180">
        <v>740</v>
      </c>
    </row>
    <row r="4897" spans="1:3" x14ac:dyDescent="0.25">
      <c r="A4897" s="178">
        <v>81972</v>
      </c>
      <c r="B4897" s="179" t="s">
        <v>456</v>
      </c>
      <c r="C4897" s="180">
        <v>130</v>
      </c>
    </row>
    <row r="4898" spans="1:3" x14ac:dyDescent="0.25">
      <c r="A4898" s="178">
        <v>81974</v>
      </c>
      <c r="B4898" s="179" t="s">
        <v>456</v>
      </c>
      <c r="C4898" s="180">
        <v>17600</v>
      </c>
    </row>
    <row r="4899" spans="1:3" x14ac:dyDescent="0.25">
      <c r="A4899" s="178">
        <v>81975</v>
      </c>
      <c r="B4899" s="179" t="s">
        <v>456</v>
      </c>
      <c r="C4899" s="180">
        <v>43750</v>
      </c>
    </row>
    <row r="4900" spans="1:3" x14ac:dyDescent="0.25">
      <c r="A4900" s="178">
        <v>81976</v>
      </c>
      <c r="B4900" s="179" t="s">
        <v>456</v>
      </c>
      <c r="C4900" s="180">
        <v>2640</v>
      </c>
    </row>
    <row r="4901" spans="1:3" x14ac:dyDescent="0.25">
      <c r="A4901" s="178">
        <v>81977</v>
      </c>
      <c r="B4901" s="179" t="s">
        <v>456</v>
      </c>
      <c r="C4901" s="180">
        <v>43750</v>
      </c>
    </row>
    <row r="4902" spans="1:3" x14ac:dyDescent="0.25">
      <c r="A4902" s="178">
        <v>81978</v>
      </c>
      <c r="B4902" s="179" t="s">
        <v>456</v>
      </c>
      <c r="C4902" s="180">
        <v>99999</v>
      </c>
    </row>
    <row r="4903" spans="1:3" x14ac:dyDescent="0.25">
      <c r="A4903" s="178">
        <v>81979</v>
      </c>
      <c r="B4903" s="179" t="s">
        <v>456</v>
      </c>
      <c r="C4903" s="180">
        <v>99999</v>
      </c>
    </row>
    <row r="4904" spans="1:3" x14ac:dyDescent="0.25">
      <c r="A4904" s="178">
        <v>81985</v>
      </c>
      <c r="B4904" s="179" t="s">
        <v>456</v>
      </c>
      <c r="C4904" s="180">
        <v>5250</v>
      </c>
    </row>
    <row r="4905" spans="1:3" x14ac:dyDescent="0.25">
      <c r="A4905" s="178">
        <v>81986</v>
      </c>
      <c r="B4905" s="179" t="s">
        <v>456</v>
      </c>
      <c r="C4905" s="180">
        <v>2856</v>
      </c>
    </row>
    <row r="4906" spans="1:3" x14ac:dyDescent="0.25">
      <c r="A4906" s="178">
        <v>81987</v>
      </c>
      <c r="B4906" s="179" t="s">
        <v>456</v>
      </c>
      <c r="C4906" s="180">
        <v>43750</v>
      </c>
    </row>
    <row r="4907" spans="1:3" x14ac:dyDescent="0.25">
      <c r="A4907" s="178">
        <v>81988</v>
      </c>
      <c r="B4907" s="179" t="s">
        <v>456</v>
      </c>
      <c r="C4907" s="180">
        <v>55200</v>
      </c>
    </row>
    <row r="4908" spans="1:3" x14ac:dyDescent="0.25">
      <c r="A4908" s="178">
        <v>81989</v>
      </c>
      <c r="B4908" s="179" t="s">
        <v>456</v>
      </c>
      <c r="C4908" s="180">
        <v>55200</v>
      </c>
    </row>
    <row r="4909" spans="1:3" x14ac:dyDescent="0.25">
      <c r="A4909" s="178">
        <v>81990</v>
      </c>
      <c r="B4909" s="179" t="s">
        <v>456</v>
      </c>
      <c r="C4909" s="180">
        <v>69120</v>
      </c>
    </row>
    <row r="4910" spans="1:3" x14ac:dyDescent="0.25">
      <c r="A4910" s="178">
        <v>81991</v>
      </c>
      <c r="B4910" s="179" t="s">
        <v>456</v>
      </c>
      <c r="C4910" s="180">
        <v>1008</v>
      </c>
    </row>
    <row r="4911" spans="1:3" x14ac:dyDescent="0.25">
      <c r="A4911" s="178">
        <v>81992</v>
      </c>
      <c r="B4911" s="179" t="s">
        <v>456</v>
      </c>
      <c r="C4911" s="180">
        <v>1008</v>
      </c>
    </row>
    <row r="4912" spans="1:3" x14ac:dyDescent="0.25">
      <c r="A4912" s="178">
        <v>81993</v>
      </c>
      <c r="B4912" s="179" t="s">
        <v>456</v>
      </c>
      <c r="C4912" s="180">
        <v>43750</v>
      </c>
    </row>
    <row r="4913" spans="1:3" x14ac:dyDescent="0.25">
      <c r="A4913" s="178">
        <v>81995</v>
      </c>
      <c r="B4913" s="179" t="s">
        <v>456</v>
      </c>
      <c r="C4913" s="180">
        <v>1008</v>
      </c>
    </row>
    <row r="4914" spans="1:3" x14ac:dyDescent="0.25">
      <c r="A4914" s="178">
        <v>81996</v>
      </c>
      <c r="B4914" s="179" t="s">
        <v>456</v>
      </c>
      <c r="C4914" s="180">
        <v>43750</v>
      </c>
    </row>
    <row r="4915" spans="1:3" x14ac:dyDescent="0.25">
      <c r="A4915" s="178">
        <v>81997</v>
      </c>
      <c r="B4915" s="179" t="s">
        <v>456</v>
      </c>
      <c r="C4915" s="180">
        <v>500</v>
      </c>
    </row>
    <row r="4916" spans="1:3" x14ac:dyDescent="0.25">
      <c r="A4916" s="178">
        <v>81998</v>
      </c>
      <c r="B4916" s="179" t="s">
        <v>456</v>
      </c>
      <c r="C4916" s="180">
        <v>99999</v>
      </c>
    </row>
    <row r="4917" spans="1:3" x14ac:dyDescent="0.25">
      <c r="A4917" s="178">
        <v>81999</v>
      </c>
      <c r="B4917" s="179" t="s">
        <v>456</v>
      </c>
      <c r="C4917" s="180">
        <v>99999</v>
      </c>
    </row>
    <row r="4918" spans="1:3" x14ac:dyDescent="0.25">
      <c r="A4918" s="178">
        <v>90000</v>
      </c>
      <c r="B4918" s="179" t="s">
        <v>456</v>
      </c>
      <c r="C4918" s="180">
        <v>500</v>
      </c>
    </row>
    <row r="4919" spans="1:3" x14ac:dyDescent="0.25">
      <c r="A4919" s="178">
        <v>90001</v>
      </c>
      <c r="B4919" s="179" t="s">
        <v>456</v>
      </c>
      <c r="C4919" s="180">
        <v>25000</v>
      </c>
    </row>
    <row r="4920" spans="1:3" x14ac:dyDescent="0.25">
      <c r="A4920" s="178">
        <v>90003</v>
      </c>
      <c r="B4920" s="179" t="s">
        <v>456</v>
      </c>
      <c r="C4920" s="180">
        <v>500</v>
      </c>
    </row>
    <row r="4921" spans="1:3" x14ac:dyDescent="0.25">
      <c r="A4921" s="178">
        <v>90005</v>
      </c>
      <c r="B4921" s="179" t="s">
        <v>456</v>
      </c>
      <c r="C4921" s="180">
        <v>25000</v>
      </c>
    </row>
    <row r="4922" spans="1:3" x14ac:dyDescent="0.25">
      <c r="A4922" s="178">
        <v>90014</v>
      </c>
      <c r="B4922" s="179" t="s">
        <v>456</v>
      </c>
      <c r="C4922" s="180">
        <v>500</v>
      </c>
    </row>
    <row r="4923" spans="1:3" x14ac:dyDescent="0.25">
      <c r="A4923" s="178">
        <v>90050</v>
      </c>
      <c r="B4923" s="179" t="s">
        <v>456</v>
      </c>
      <c r="C4923" s="180">
        <v>500</v>
      </c>
    </row>
    <row r="4924" spans="1:3" x14ac:dyDescent="0.25">
      <c r="A4924" s="178">
        <v>90052</v>
      </c>
      <c r="B4924" s="179" t="s">
        <v>456</v>
      </c>
      <c r="C4924" s="180">
        <v>500</v>
      </c>
    </row>
    <row r="4925" spans="1:3" x14ac:dyDescent="0.25">
      <c r="A4925" s="178">
        <v>90053</v>
      </c>
      <c r="B4925" s="179" t="s">
        <v>456</v>
      </c>
      <c r="C4925" s="180">
        <v>600</v>
      </c>
    </row>
    <row r="4926" spans="1:3" x14ac:dyDescent="0.25">
      <c r="A4926" s="178">
        <v>90054</v>
      </c>
      <c r="B4926" s="179" t="s">
        <v>456</v>
      </c>
      <c r="C4926" s="180">
        <v>600</v>
      </c>
    </row>
    <row r="4927" spans="1:3" x14ac:dyDescent="0.25">
      <c r="A4927" s="178">
        <v>90055</v>
      </c>
      <c r="B4927" s="179" t="s">
        <v>456</v>
      </c>
      <c r="C4927" s="180">
        <v>600</v>
      </c>
    </row>
    <row r="4928" spans="1:3" x14ac:dyDescent="0.25">
      <c r="A4928" s="178">
        <v>90056</v>
      </c>
      <c r="B4928" s="179" t="s">
        <v>456</v>
      </c>
      <c r="C4928" s="180">
        <v>600</v>
      </c>
    </row>
    <row r="4929" spans="1:3" x14ac:dyDescent="0.25">
      <c r="A4929" s="178">
        <v>90057</v>
      </c>
      <c r="B4929" s="179" t="s">
        <v>456</v>
      </c>
      <c r="C4929" s="180">
        <v>600</v>
      </c>
    </row>
    <row r="4930" spans="1:3" x14ac:dyDescent="0.25">
      <c r="A4930" s="178">
        <v>90058</v>
      </c>
      <c r="B4930" s="179" t="s">
        <v>456</v>
      </c>
      <c r="C4930" s="180">
        <v>600</v>
      </c>
    </row>
    <row r="4931" spans="1:3" x14ac:dyDescent="0.25">
      <c r="A4931" s="178">
        <v>90059</v>
      </c>
      <c r="B4931" s="179" t="s">
        <v>456</v>
      </c>
      <c r="C4931" s="180">
        <v>600</v>
      </c>
    </row>
    <row r="4932" spans="1:3" x14ac:dyDescent="0.25">
      <c r="A4932" s="178">
        <v>90060</v>
      </c>
      <c r="B4932" s="179" t="s">
        <v>456</v>
      </c>
      <c r="C4932" s="180">
        <v>600</v>
      </c>
    </row>
    <row r="4933" spans="1:3" x14ac:dyDescent="0.25">
      <c r="A4933" s="178">
        <v>90061</v>
      </c>
      <c r="B4933" s="179" t="s">
        <v>456</v>
      </c>
      <c r="C4933" s="180">
        <v>600</v>
      </c>
    </row>
    <row r="4934" spans="1:3" x14ac:dyDescent="0.25">
      <c r="A4934" s="178">
        <v>90062</v>
      </c>
      <c r="B4934" s="179" t="s">
        <v>456</v>
      </c>
      <c r="C4934" s="180">
        <v>600</v>
      </c>
    </row>
    <row r="4935" spans="1:3" x14ac:dyDescent="0.25">
      <c r="A4935" s="178">
        <v>90063</v>
      </c>
      <c r="B4935" s="179" t="s">
        <v>456</v>
      </c>
      <c r="C4935" s="180">
        <v>600</v>
      </c>
    </row>
    <row r="4936" spans="1:3" x14ac:dyDescent="0.25">
      <c r="A4936" s="178">
        <v>90064</v>
      </c>
      <c r="B4936" s="179" t="s">
        <v>456</v>
      </c>
      <c r="C4936" s="180">
        <v>600</v>
      </c>
    </row>
    <row r="4937" spans="1:3" x14ac:dyDescent="0.25">
      <c r="A4937" s="178">
        <v>90065</v>
      </c>
      <c r="B4937" s="179" t="s">
        <v>456</v>
      </c>
      <c r="C4937" s="180">
        <v>240</v>
      </c>
    </row>
    <row r="4938" spans="1:3" x14ac:dyDescent="0.25">
      <c r="A4938" s="178">
        <v>90066</v>
      </c>
      <c r="B4938" s="179" t="s">
        <v>456</v>
      </c>
      <c r="C4938" s="180">
        <v>240</v>
      </c>
    </row>
    <row r="4939" spans="1:3" x14ac:dyDescent="0.25">
      <c r="A4939" s="178">
        <v>90102</v>
      </c>
      <c r="B4939" s="179" t="s">
        <v>456</v>
      </c>
      <c r="C4939" s="180">
        <v>25000</v>
      </c>
    </row>
    <row r="4940" spans="1:3" x14ac:dyDescent="0.25">
      <c r="A4940" s="178">
        <v>90103</v>
      </c>
      <c r="B4940" s="179" t="s">
        <v>456</v>
      </c>
      <c r="C4940" s="180">
        <v>1350</v>
      </c>
    </row>
    <row r="4941" spans="1:3" x14ac:dyDescent="0.25">
      <c r="A4941" s="178">
        <v>90260</v>
      </c>
      <c r="B4941" s="179" t="s">
        <v>456</v>
      </c>
      <c r="C4941" s="180">
        <v>540</v>
      </c>
    </row>
    <row r="4942" spans="1:3" x14ac:dyDescent="0.25">
      <c r="A4942" s="178">
        <v>90261</v>
      </c>
      <c r="B4942" s="179" t="s">
        <v>456</v>
      </c>
      <c r="C4942" s="180">
        <v>500</v>
      </c>
    </row>
    <row r="4943" spans="1:3" x14ac:dyDescent="0.25">
      <c r="A4943" s="178">
        <v>90306</v>
      </c>
      <c r="B4943" s="179" t="s">
        <v>456</v>
      </c>
      <c r="C4943" s="180">
        <v>466</v>
      </c>
    </row>
    <row r="4944" spans="1:3" x14ac:dyDescent="0.25">
      <c r="A4944" s="178">
        <v>90501</v>
      </c>
      <c r="B4944" s="179" t="s">
        <v>456</v>
      </c>
      <c r="C4944" s="180">
        <v>1000</v>
      </c>
    </row>
    <row r="4945" spans="1:3" x14ac:dyDescent="0.25">
      <c r="A4945" s="178">
        <v>90505</v>
      </c>
      <c r="B4945" s="179" t="s">
        <v>456</v>
      </c>
      <c r="C4945" s="180">
        <v>500</v>
      </c>
    </row>
    <row r="4946" spans="1:3" x14ac:dyDescent="0.25">
      <c r="A4946" s="178">
        <v>90537</v>
      </c>
      <c r="B4946" s="179" t="s">
        <v>456</v>
      </c>
      <c r="C4946" s="180">
        <v>500</v>
      </c>
    </row>
    <row r="4947" spans="1:3" x14ac:dyDescent="0.25">
      <c r="A4947" s="178">
        <v>90544</v>
      </c>
      <c r="B4947" s="179" t="s">
        <v>456</v>
      </c>
      <c r="C4947" s="180">
        <v>750</v>
      </c>
    </row>
    <row r="4948" spans="1:3" x14ac:dyDescent="0.25">
      <c r="A4948" s="178">
        <v>90611</v>
      </c>
      <c r="B4948" s="179" t="s">
        <v>456</v>
      </c>
      <c r="C4948" s="180">
        <v>750</v>
      </c>
    </row>
    <row r="4949" spans="1:3" x14ac:dyDescent="0.25">
      <c r="A4949" s="178">
        <v>90631</v>
      </c>
      <c r="B4949" s="179" t="s">
        <v>456</v>
      </c>
      <c r="C4949" s="180">
        <v>750</v>
      </c>
    </row>
    <row r="4950" spans="1:3" x14ac:dyDescent="0.25">
      <c r="A4950" s="178">
        <v>90650</v>
      </c>
      <c r="B4950" s="179" t="s">
        <v>456</v>
      </c>
      <c r="C4950" s="180">
        <v>750</v>
      </c>
    </row>
    <row r="4951" spans="1:3" x14ac:dyDescent="0.25">
      <c r="A4951" s="178">
        <v>90652</v>
      </c>
      <c r="B4951" s="179" t="s">
        <v>456</v>
      </c>
      <c r="C4951" s="180">
        <v>750</v>
      </c>
    </row>
    <row r="4952" spans="1:3" x14ac:dyDescent="0.25">
      <c r="A4952" s="178">
        <v>90701</v>
      </c>
      <c r="B4952" s="179" t="s">
        <v>456</v>
      </c>
      <c r="C4952" s="180">
        <v>1250</v>
      </c>
    </row>
    <row r="4953" spans="1:3" x14ac:dyDescent="0.25">
      <c r="A4953" s="178">
        <v>90711</v>
      </c>
      <c r="B4953" s="179" t="s">
        <v>456</v>
      </c>
      <c r="C4953" s="180">
        <v>750</v>
      </c>
    </row>
    <row r="4954" spans="1:3" x14ac:dyDescent="0.25">
      <c r="A4954" s="178">
        <v>90712</v>
      </c>
      <c r="B4954" s="179" t="s">
        <v>456</v>
      </c>
      <c r="C4954" s="180">
        <v>750</v>
      </c>
    </row>
    <row r="4955" spans="1:3" x14ac:dyDescent="0.25">
      <c r="A4955" s="178">
        <v>90812</v>
      </c>
      <c r="B4955" s="179" t="s">
        <v>456</v>
      </c>
      <c r="C4955" s="180">
        <v>750</v>
      </c>
    </row>
    <row r="4956" spans="1:3" x14ac:dyDescent="0.25">
      <c r="A4956" s="178">
        <v>90813</v>
      </c>
      <c r="B4956" s="179" t="s">
        <v>456</v>
      </c>
      <c r="C4956" s="180">
        <v>750</v>
      </c>
    </row>
    <row r="4957" spans="1:3" x14ac:dyDescent="0.25">
      <c r="A4957" s="178">
        <v>90815</v>
      </c>
      <c r="B4957" s="179" t="s">
        <v>456</v>
      </c>
      <c r="C4957" s="180">
        <v>480</v>
      </c>
    </row>
    <row r="4958" spans="1:3" x14ac:dyDescent="0.25">
      <c r="A4958" s="178">
        <v>90820</v>
      </c>
      <c r="B4958" s="179" t="s">
        <v>456</v>
      </c>
      <c r="C4958" s="180">
        <v>600</v>
      </c>
    </row>
    <row r="4959" spans="1:3" x14ac:dyDescent="0.25">
      <c r="A4959" s="178">
        <v>90831</v>
      </c>
      <c r="B4959" s="179" t="s">
        <v>456</v>
      </c>
      <c r="C4959" s="180">
        <v>1250</v>
      </c>
    </row>
    <row r="4960" spans="1:3" x14ac:dyDescent="0.25">
      <c r="A4960" s="178">
        <v>90882</v>
      </c>
      <c r="B4960" s="179" t="s">
        <v>456</v>
      </c>
      <c r="C4960" s="180">
        <v>750</v>
      </c>
    </row>
    <row r="4961" spans="1:3" x14ac:dyDescent="0.25">
      <c r="A4961" s="178">
        <v>90891</v>
      </c>
      <c r="B4961" s="179" t="s">
        <v>456</v>
      </c>
      <c r="C4961" s="180">
        <v>320</v>
      </c>
    </row>
    <row r="4962" spans="1:3" x14ac:dyDescent="0.25">
      <c r="A4962" s="178">
        <v>90892</v>
      </c>
      <c r="B4962" s="179" t="s">
        <v>456</v>
      </c>
      <c r="C4962" s="180">
        <v>745</v>
      </c>
    </row>
    <row r="4963" spans="1:3" x14ac:dyDescent="0.25">
      <c r="A4963" s="178">
        <v>90893</v>
      </c>
      <c r="B4963" s="179" t="s">
        <v>456</v>
      </c>
      <c r="C4963" s="180">
        <v>460</v>
      </c>
    </row>
    <row r="4964" spans="1:3" x14ac:dyDescent="0.25">
      <c r="A4964" s="178">
        <v>90896</v>
      </c>
      <c r="B4964" s="179" t="s">
        <v>456</v>
      </c>
      <c r="C4964" s="180">
        <v>430</v>
      </c>
    </row>
    <row r="4965" spans="1:3" x14ac:dyDescent="0.25">
      <c r="A4965" s="178">
        <v>90905</v>
      </c>
      <c r="B4965" s="179" t="s">
        <v>456</v>
      </c>
      <c r="C4965" s="180">
        <v>600</v>
      </c>
    </row>
    <row r="4966" spans="1:3" x14ac:dyDescent="0.25">
      <c r="A4966" s="178">
        <v>90909</v>
      </c>
      <c r="B4966" s="179" t="s">
        <v>456</v>
      </c>
      <c r="C4966" s="180">
        <v>600</v>
      </c>
    </row>
    <row r="4967" spans="1:3" x14ac:dyDescent="0.25">
      <c r="A4967" s="178">
        <v>90911</v>
      </c>
      <c r="B4967" s="179" t="s">
        <v>456</v>
      </c>
      <c r="C4967" s="180">
        <v>1000</v>
      </c>
    </row>
    <row r="4968" spans="1:3" x14ac:dyDescent="0.25">
      <c r="A4968" s="178">
        <v>91028</v>
      </c>
      <c r="B4968" s="179" t="s">
        <v>456</v>
      </c>
      <c r="C4968" s="180">
        <v>1000</v>
      </c>
    </row>
    <row r="4969" spans="1:3" x14ac:dyDescent="0.25">
      <c r="A4969" s="178">
        <v>91030</v>
      </c>
      <c r="B4969" s="179" t="s">
        <v>456</v>
      </c>
      <c r="C4969" s="180">
        <v>460</v>
      </c>
    </row>
    <row r="4970" spans="1:3" x14ac:dyDescent="0.25">
      <c r="A4970" s="178">
        <v>91031</v>
      </c>
      <c r="B4970" s="179" t="s">
        <v>456</v>
      </c>
      <c r="C4970" s="180">
        <v>460</v>
      </c>
    </row>
    <row r="4971" spans="1:3" x14ac:dyDescent="0.25">
      <c r="A4971" s="178">
        <v>91032</v>
      </c>
      <c r="B4971" s="179" t="s">
        <v>456</v>
      </c>
      <c r="C4971" s="180">
        <v>460</v>
      </c>
    </row>
    <row r="4972" spans="1:3" x14ac:dyDescent="0.25">
      <c r="A4972" s="178">
        <v>91037</v>
      </c>
      <c r="B4972" s="179" t="s">
        <v>456</v>
      </c>
      <c r="C4972" s="180">
        <v>600</v>
      </c>
    </row>
    <row r="4973" spans="1:3" x14ac:dyDescent="0.25">
      <c r="A4973" s="178">
        <v>91040</v>
      </c>
      <c r="B4973" s="179" t="s">
        <v>456</v>
      </c>
      <c r="C4973" s="180">
        <v>600</v>
      </c>
    </row>
    <row r="4974" spans="1:3" x14ac:dyDescent="0.25">
      <c r="A4974" s="178">
        <v>91042</v>
      </c>
      <c r="B4974" s="179" t="s">
        <v>456</v>
      </c>
      <c r="C4974" s="180">
        <v>600</v>
      </c>
    </row>
    <row r="4975" spans="1:3" x14ac:dyDescent="0.25">
      <c r="A4975" s="178">
        <v>91055</v>
      </c>
      <c r="B4975" s="179" t="s">
        <v>456</v>
      </c>
      <c r="C4975" s="180">
        <v>1000</v>
      </c>
    </row>
    <row r="4976" spans="1:3" x14ac:dyDescent="0.25">
      <c r="A4976" s="178">
        <v>91057</v>
      </c>
      <c r="B4976" s="179" t="s">
        <v>456</v>
      </c>
      <c r="C4976" s="180">
        <v>600</v>
      </c>
    </row>
    <row r="4977" spans="1:3" x14ac:dyDescent="0.25">
      <c r="A4977" s="178">
        <v>91058</v>
      </c>
      <c r="B4977" s="179" t="s">
        <v>456</v>
      </c>
      <c r="C4977" s="180">
        <v>900</v>
      </c>
    </row>
    <row r="4978" spans="1:3" x14ac:dyDescent="0.25">
      <c r="A4978" s="178">
        <v>91064</v>
      </c>
      <c r="B4978" s="179" t="s">
        <v>456</v>
      </c>
      <c r="C4978" s="180">
        <v>600</v>
      </c>
    </row>
    <row r="4979" spans="1:3" x14ac:dyDescent="0.25">
      <c r="A4979" s="178">
        <v>91065</v>
      </c>
      <c r="B4979" s="179" t="s">
        <v>456</v>
      </c>
      <c r="C4979" s="180">
        <v>600</v>
      </c>
    </row>
    <row r="4980" spans="1:3" x14ac:dyDescent="0.25">
      <c r="A4980" s="178">
        <v>91066</v>
      </c>
      <c r="B4980" s="179" t="s">
        <v>456</v>
      </c>
      <c r="C4980" s="180">
        <v>600</v>
      </c>
    </row>
    <row r="4981" spans="1:3" x14ac:dyDescent="0.25">
      <c r="A4981" s="178">
        <v>91067</v>
      </c>
      <c r="B4981" s="179" t="s">
        <v>456</v>
      </c>
      <c r="C4981" s="180">
        <v>600</v>
      </c>
    </row>
    <row r="4982" spans="1:3" x14ac:dyDescent="0.25">
      <c r="A4982" s="178">
        <v>91068</v>
      </c>
      <c r="B4982" s="179" t="s">
        <v>456</v>
      </c>
      <c r="C4982" s="180">
        <v>480</v>
      </c>
    </row>
    <row r="4983" spans="1:3" x14ac:dyDescent="0.25">
      <c r="A4983" s="178">
        <v>91101</v>
      </c>
      <c r="B4983" s="179" t="s">
        <v>456</v>
      </c>
      <c r="C4983" s="180">
        <v>480</v>
      </c>
    </row>
    <row r="4984" spans="1:3" x14ac:dyDescent="0.25">
      <c r="A4984" s="178">
        <v>91102</v>
      </c>
      <c r="B4984" s="179" t="s">
        <v>456</v>
      </c>
      <c r="C4984" s="180">
        <v>900</v>
      </c>
    </row>
    <row r="4985" spans="1:3" x14ac:dyDescent="0.25">
      <c r="A4985" s="178">
        <v>91103</v>
      </c>
      <c r="B4985" s="179" t="s">
        <v>456</v>
      </c>
      <c r="C4985" s="180">
        <v>720</v>
      </c>
    </row>
    <row r="4986" spans="1:3" x14ac:dyDescent="0.25">
      <c r="A4986" s="178">
        <v>91113</v>
      </c>
      <c r="B4986" s="179" t="s">
        <v>456</v>
      </c>
      <c r="C4986" s="180">
        <v>600</v>
      </c>
    </row>
    <row r="4987" spans="1:3" x14ac:dyDescent="0.25">
      <c r="A4987" s="178">
        <v>91114</v>
      </c>
      <c r="B4987" s="179" t="s">
        <v>456</v>
      </c>
      <c r="C4987" s="180">
        <v>600</v>
      </c>
    </row>
    <row r="4988" spans="1:3" x14ac:dyDescent="0.25">
      <c r="A4988" s="178">
        <v>91115</v>
      </c>
      <c r="B4988" s="179" t="s">
        <v>456</v>
      </c>
      <c r="C4988" s="180">
        <v>480</v>
      </c>
    </row>
    <row r="4989" spans="1:3" x14ac:dyDescent="0.25">
      <c r="A4989" s="178">
        <v>91116</v>
      </c>
      <c r="B4989" s="179" t="s">
        <v>456</v>
      </c>
      <c r="C4989" s="180">
        <v>600</v>
      </c>
    </row>
    <row r="4990" spans="1:3" x14ac:dyDescent="0.25">
      <c r="A4990" s="178">
        <v>91117</v>
      </c>
      <c r="B4990" s="179" t="s">
        <v>456</v>
      </c>
      <c r="C4990" s="180">
        <v>600</v>
      </c>
    </row>
    <row r="4991" spans="1:3" x14ac:dyDescent="0.25">
      <c r="A4991" s="178">
        <v>91118</v>
      </c>
      <c r="B4991" s="179" t="s">
        <v>456</v>
      </c>
      <c r="C4991" s="180">
        <v>600</v>
      </c>
    </row>
    <row r="4992" spans="1:3" x14ac:dyDescent="0.25">
      <c r="A4992" s="178">
        <v>91119</v>
      </c>
      <c r="B4992" s="179" t="s">
        <v>456</v>
      </c>
      <c r="C4992" s="180">
        <v>480</v>
      </c>
    </row>
    <row r="4993" spans="1:3" x14ac:dyDescent="0.25">
      <c r="A4993" s="178">
        <v>91120</v>
      </c>
      <c r="B4993" s="179" t="s">
        <v>456</v>
      </c>
      <c r="C4993" s="180">
        <v>480</v>
      </c>
    </row>
    <row r="4994" spans="1:3" x14ac:dyDescent="0.25">
      <c r="A4994" s="178">
        <v>91126</v>
      </c>
      <c r="B4994" s="179" t="s">
        <v>456</v>
      </c>
      <c r="C4994" s="180">
        <v>648</v>
      </c>
    </row>
    <row r="4995" spans="1:3" x14ac:dyDescent="0.25">
      <c r="A4995" s="178">
        <v>91140</v>
      </c>
      <c r="B4995" s="179" t="s">
        <v>456</v>
      </c>
      <c r="C4995" s="180">
        <v>480</v>
      </c>
    </row>
    <row r="4996" spans="1:3" x14ac:dyDescent="0.25">
      <c r="A4996" s="178">
        <v>91141</v>
      </c>
      <c r="B4996" s="179" t="s">
        <v>456</v>
      </c>
      <c r="C4996" s="180">
        <v>480</v>
      </c>
    </row>
    <row r="4997" spans="1:3" x14ac:dyDescent="0.25">
      <c r="A4997" s="178">
        <v>91143</v>
      </c>
      <c r="B4997" s="179" t="s">
        <v>456</v>
      </c>
      <c r="C4997" s="180">
        <v>600</v>
      </c>
    </row>
    <row r="4998" spans="1:3" x14ac:dyDescent="0.25">
      <c r="A4998" s="178">
        <v>91144</v>
      </c>
      <c r="B4998" s="179" t="s">
        <v>456</v>
      </c>
      <c r="C4998" s="180">
        <v>480</v>
      </c>
    </row>
    <row r="4999" spans="1:3" x14ac:dyDescent="0.25">
      <c r="A4999" s="178">
        <v>91145</v>
      </c>
      <c r="B4999" s="179" t="s">
        <v>456</v>
      </c>
      <c r="C4999" s="180">
        <v>480</v>
      </c>
    </row>
    <row r="5000" spans="1:3" x14ac:dyDescent="0.25">
      <c r="A5000" s="178">
        <v>91147</v>
      </c>
      <c r="B5000" s="179" t="s">
        <v>456</v>
      </c>
      <c r="C5000" s="180">
        <v>600</v>
      </c>
    </row>
    <row r="5001" spans="1:3" x14ac:dyDescent="0.25">
      <c r="A5001" s="178">
        <v>91154</v>
      </c>
      <c r="B5001" s="179" t="s">
        <v>456</v>
      </c>
      <c r="C5001" s="180">
        <v>600</v>
      </c>
    </row>
    <row r="5002" spans="1:3" x14ac:dyDescent="0.25">
      <c r="A5002" s="178">
        <v>91160</v>
      </c>
      <c r="B5002" s="179" t="s">
        <v>456</v>
      </c>
      <c r="C5002" s="180">
        <v>600</v>
      </c>
    </row>
    <row r="5003" spans="1:3" x14ac:dyDescent="0.25">
      <c r="A5003" s="178">
        <v>91163</v>
      </c>
      <c r="B5003" s="179" t="s">
        <v>456</v>
      </c>
      <c r="C5003" s="180">
        <v>600</v>
      </c>
    </row>
    <row r="5004" spans="1:3" x14ac:dyDescent="0.25">
      <c r="A5004" s="178">
        <v>91165</v>
      </c>
      <c r="B5004" s="179" t="s">
        <v>456</v>
      </c>
      <c r="C5004" s="180">
        <v>600</v>
      </c>
    </row>
    <row r="5005" spans="1:3" x14ac:dyDescent="0.25">
      <c r="A5005" s="178">
        <v>91166</v>
      </c>
      <c r="B5005" s="179" t="s">
        <v>456</v>
      </c>
      <c r="C5005" s="180">
        <v>600</v>
      </c>
    </row>
    <row r="5006" spans="1:3" x14ac:dyDescent="0.25">
      <c r="A5006" s="178">
        <v>91211</v>
      </c>
      <c r="B5006" s="179" t="s">
        <v>456</v>
      </c>
      <c r="C5006" s="180">
        <v>600</v>
      </c>
    </row>
    <row r="5007" spans="1:3" x14ac:dyDescent="0.25">
      <c r="A5007" s="178">
        <v>91222</v>
      </c>
      <c r="B5007" s="179" t="s">
        <v>456</v>
      </c>
      <c r="C5007" s="180">
        <v>675</v>
      </c>
    </row>
    <row r="5008" spans="1:3" x14ac:dyDescent="0.25">
      <c r="A5008" s="178">
        <v>91230</v>
      </c>
      <c r="B5008" s="179" t="s">
        <v>456</v>
      </c>
      <c r="C5008" s="180">
        <v>600</v>
      </c>
    </row>
    <row r="5009" spans="1:3" x14ac:dyDescent="0.25">
      <c r="A5009" s="178">
        <v>91231</v>
      </c>
      <c r="B5009" s="179" t="s">
        <v>456</v>
      </c>
      <c r="C5009" s="180">
        <v>600</v>
      </c>
    </row>
    <row r="5010" spans="1:3" x14ac:dyDescent="0.25">
      <c r="A5010" s="178">
        <v>91232</v>
      </c>
      <c r="B5010" s="179" t="s">
        <v>456</v>
      </c>
      <c r="C5010" s="180">
        <v>600</v>
      </c>
    </row>
    <row r="5011" spans="1:3" x14ac:dyDescent="0.25">
      <c r="A5011" s="178">
        <v>91233</v>
      </c>
      <c r="B5011" s="179" t="s">
        <v>456</v>
      </c>
      <c r="C5011" s="180">
        <v>600</v>
      </c>
    </row>
    <row r="5012" spans="1:3" x14ac:dyDescent="0.25">
      <c r="A5012" s="178">
        <v>91234</v>
      </c>
      <c r="B5012" s="179" t="s">
        <v>456</v>
      </c>
      <c r="C5012" s="180">
        <v>600</v>
      </c>
    </row>
    <row r="5013" spans="1:3" x14ac:dyDescent="0.25">
      <c r="A5013" s="178">
        <v>91240</v>
      </c>
      <c r="B5013" s="179" t="s">
        <v>456</v>
      </c>
      <c r="C5013" s="180">
        <v>600</v>
      </c>
    </row>
    <row r="5014" spans="1:3" x14ac:dyDescent="0.25">
      <c r="A5014" s="178">
        <v>91253</v>
      </c>
      <c r="B5014" s="179" t="s">
        <v>456</v>
      </c>
      <c r="C5014" s="180">
        <v>675</v>
      </c>
    </row>
    <row r="5015" spans="1:3" x14ac:dyDescent="0.25">
      <c r="A5015" s="178">
        <v>91262</v>
      </c>
      <c r="B5015" s="179" t="s">
        <v>456</v>
      </c>
      <c r="C5015" s="180">
        <v>675</v>
      </c>
    </row>
    <row r="5016" spans="1:3" x14ac:dyDescent="0.25">
      <c r="A5016" s="178">
        <v>91274</v>
      </c>
      <c r="B5016" s="179" t="s">
        <v>456</v>
      </c>
      <c r="C5016" s="180">
        <v>600</v>
      </c>
    </row>
    <row r="5017" spans="1:3" x14ac:dyDescent="0.25">
      <c r="A5017" s="178">
        <v>91275</v>
      </c>
      <c r="B5017" s="179" t="s">
        <v>456</v>
      </c>
      <c r="C5017" s="180">
        <v>600</v>
      </c>
    </row>
    <row r="5018" spans="1:3" x14ac:dyDescent="0.25">
      <c r="A5018" s="178">
        <v>91412</v>
      </c>
      <c r="B5018" s="179" t="s">
        <v>456</v>
      </c>
      <c r="C5018" s="180">
        <v>600</v>
      </c>
    </row>
    <row r="5019" spans="1:3" x14ac:dyDescent="0.25">
      <c r="A5019" s="178">
        <v>91413</v>
      </c>
      <c r="B5019" s="179" t="s">
        <v>456</v>
      </c>
      <c r="C5019" s="180">
        <v>600</v>
      </c>
    </row>
    <row r="5020" spans="1:3" x14ac:dyDescent="0.25">
      <c r="A5020" s="178">
        <v>91421</v>
      </c>
      <c r="B5020" s="179" t="s">
        <v>456</v>
      </c>
      <c r="C5020" s="180">
        <v>600</v>
      </c>
    </row>
    <row r="5021" spans="1:3" x14ac:dyDescent="0.25">
      <c r="A5021" s="178">
        <v>91422</v>
      </c>
      <c r="B5021" s="179" t="s">
        <v>456</v>
      </c>
      <c r="C5021" s="180">
        <v>600</v>
      </c>
    </row>
    <row r="5022" spans="1:3" x14ac:dyDescent="0.25">
      <c r="A5022" s="178">
        <v>91472</v>
      </c>
      <c r="B5022" s="179" t="s">
        <v>456</v>
      </c>
      <c r="C5022" s="180">
        <v>600</v>
      </c>
    </row>
    <row r="5023" spans="1:3" x14ac:dyDescent="0.25">
      <c r="A5023" s="178">
        <v>91480</v>
      </c>
      <c r="B5023" s="179" t="s">
        <v>456</v>
      </c>
      <c r="C5023" s="180">
        <v>600</v>
      </c>
    </row>
    <row r="5024" spans="1:3" x14ac:dyDescent="0.25">
      <c r="A5024" s="178">
        <v>91531</v>
      </c>
      <c r="B5024" s="179" t="s">
        <v>456</v>
      </c>
      <c r="C5024" s="180">
        <v>600</v>
      </c>
    </row>
    <row r="5025" spans="1:3" x14ac:dyDescent="0.25">
      <c r="A5025" s="178">
        <v>91561</v>
      </c>
      <c r="B5025" s="179" t="s">
        <v>456</v>
      </c>
      <c r="C5025" s="180">
        <v>600</v>
      </c>
    </row>
    <row r="5026" spans="1:3" x14ac:dyDescent="0.25">
      <c r="A5026" s="178">
        <v>91591</v>
      </c>
      <c r="B5026" s="179" t="s">
        <v>456</v>
      </c>
      <c r="C5026" s="180">
        <v>480</v>
      </c>
    </row>
    <row r="5027" spans="1:3" x14ac:dyDescent="0.25">
      <c r="A5027" s="178">
        <v>91601</v>
      </c>
      <c r="B5027" s="179" t="s">
        <v>456</v>
      </c>
      <c r="C5027" s="180">
        <v>600</v>
      </c>
    </row>
    <row r="5028" spans="1:3" x14ac:dyDescent="0.25">
      <c r="A5028" s="178">
        <v>91609</v>
      </c>
      <c r="B5028" s="179" t="s">
        <v>456</v>
      </c>
      <c r="C5028" s="180">
        <v>600</v>
      </c>
    </row>
    <row r="5029" spans="1:3" x14ac:dyDescent="0.25">
      <c r="A5029" s="178">
        <v>91631</v>
      </c>
      <c r="B5029" s="179" t="s">
        <v>456</v>
      </c>
      <c r="C5029" s="180">
        <v>600</v>
      </c>
    </row>
    <row r="5030" spans="1:3" x14ac:dyDescent="0.25">
      <c r="A5030" s="178">
        <v>91691</v>
      </c>
      <c r="B5030" s="179" t="s">
        <v>456</v>
      </c>
      <c r="C5030" s="180">
        <v>600</v>
      </c>
    </row>
    <row r="5031" spans="1:3" x14ac:dyDescent="0.25">
      <c r="A5031" s="178">
        <v>91692</v>
      </c>
      <c r="B5031" s="179" t="s">
        <v>456</v>
      </c>
      <c r="C5031" s="180">
        <v>600</v>
      </c>
    </row>
    <row r="5032" spans="1:3" x14ac:dyDescent="0.25">
      <c r="A5032" s="178">
        <v>91693</v>
      </c>
      <c r="B5032" s="179" t="s">
        <v>456</v>
      </c>
      <c r="C5032" s="180">
        <v>600</v>
      </c>
    </row>
    <row r="5033" spans="1:3" x14ac:dyDescent="0.25">
      <c r="A5033" s="178">
        <v>91694</v>
      </c>
      <c r="B5033" s="179" t="s">
        <v>456</v>
      </c>
      <c r="C5033" s="180">
        <v>600</v>
      </c>
    </row>
    <row r="5034" spans="1:3" x14ac:dyDescent="0.25">
      <c r="A5034" s="178">
        <v>91711</v>
      </c>
      <c r="B5034" s="179" t="s">
        <v>456</v>
      </c>
      <c r="C5034" s="180">
        <v>600</v>
      </c>
    </row>
    <row r="5035" spans="1:3" x14ac:dyDescent="0.25">
      <c r="A5035" s="178">
        <v>91721</v>
      </c>
      <c r="B5035" s="179" t="s">
        <v>456</v>
      </c>
      <c r="C5035" s="180">
        <v>600</v>
      </c>
    </row>
    <row r="5036" spans="1:3" x14ac:dyDescent="0.25">
      <c r="A5036" s="178">
        <v>91761</v>
      </c>
      <c r="B5036" s="179" t="s">
        <v>456</v>
      </c>
      <c r="C5036" s="180">
        <v>675</v>
      </c>
    </row>
    <row r="5037" spans="1:3" x14ac:dyDescent="0.25">
      <c r="A5037" s="178">
        <v>91762</v>
      </c>
      <c r="B5037" s="179" t="s">
        <v>456</v>
      </c>
      <c r="C5037" s="180">
        <v>1000</v>
      </c>
    </row>
    <row r="5038" spans="1:3" x14ac:dyDescent="0.25">
      <c r="A5038" s="178">
        <v>91763</v>
      </c>
      <c r="B5038" s="179" t="s">
        <v>456</v>
      </c>
      <c r="C5038" s="180">
        <v>1000</v>
      </c>
    </row>
    <row r="5039" spans="1:3" x14ac:dyDescent="0.25">
      <c r="A5039" s="178">
        <v>91764</v>
      </c>
      <c r="B5039" s="179" t="s">
        <v>456</v>
      </c>
      <c r="C5039" s="180">
        <v>375</v>
      </c>
    </row>
    <row r="5040" spans="1:3" x14ac:dyDescent="0.25">
      <c r="A5040" s="178">
        <v>91805</v>
      </c>
      <c r="B5040" s="179" t="s">
        <v>456</v>
      </c>
      <c r="C5040" s="180">
        <v>600</v>
      </c>
    </row>
    <row r="5041" spans="1:3" x14ac:dyDescent="0.25">
      <c r="A5041" s="178">
        <v>91811</v>
      </c>
      <c r="B5041" s="179" t="s">
        <v>456</v>
      </c>
      <c r="C5041" s="180">
        <v>600</v>
      </c>
    </row>
    <row r="5042" spans="1:3" x14ac:dyDescent="0.25">
      <c r="A5042" s="178">
        <v>91812</v>
      </c>
      <c r="B5042" s="179" t="s">
        <v>456</v>
      </c>
      <c r="C5042" s="180">
        <v>600</v>
      </c>
    </row>
    <row r="5043" spans="1:3" x14ac:dyDescent="0.25">
      <c r="A5043" s="178">
        <v>91831</v>
      </c>
      <c r="B5043" s="179" t="s">
        <v>456</v>
      </c>
      <c r="C5043" s="180">
        <v>600</v>
      </c>
    </row>
    <row r="5044" spans="1:3" x14ac:dyDescent="0.25">
      <c r="A5044" s="178">
        <v>91855</v>
      </c>
      <c r="B5044" s="179" t="s">
        <v>456</v>
      </c>
      <c r="C5044" s="180">
        <v>600</v>
      </c>
    </row>
    <row r="5045" spans="1:3" x14ac:dyDescent="0.25">
      <c r="A5045" s="178">
        <v>91871</v>
      </c>
      <c r="B5045" s="179" t="s">
        <v>456</v>
      </c>
      <c r="C5045" s="180">
        <v>600</v>
      </c>
    </row>
    <row r="5046" spans="1:3" x14ac:dyDescent="0.25">
      <c r="A5046" s="178">
        <v>91875</v>
      </c>
      <c r="B5046" s="179" t="s">
        <v>456</v>
      </c>
      <c r="C5046" s="180">
        <v>600</v>
      </c>
    </row>
    <row r="5047" spans="1:3" x14ac:dyDescent="0.25">
      <c r="A5047" s="178">
        <v>91891</v>
      </c>
      <c r="B5047" s="179" t="s">
        <v>456</v>
      </c>
      <c r="C5047" s="180">
        <v>600</v>
      </c>
    </row>
    <row r="5048" spans="1:3" x14ac:dyDescent="0.25">
      <c r="A5048" s="178">
        <v>91892</v>
      </c>
      <c r="B5048" s="179" t="s">
        <v>456</v>
      </c>
      <c r="C5048" s="180">
        <v>600</v>
      </c>
    </row>
    <row r="5049" spans="1:3" x14ac:dyDescent="0.25">
      <c r="A5049" s="178">
        <v>91904</v>
      </c>
      <c r="B5049" s="179" t="s">
        <v>456</v>
      </c>
      <c r="C5049" s="180">
        <v>720</v>
      </c>
    </row>
    <row r="5050" spans="1:3" x14ac:dyDescent="0.25">
      <c r="A5050" s="178">
        <v>91933</v>
      </c>
      <c r="B5050" s="179" t="s">
        <v>456</v>
      </c>
      <c r="C5050" s="180">
        <v>600</v>
      </c>
    </row>
    <row r="5051" spans="1:3" x14ac:dyDescent="0.25">
      <c r="A5051" s="178">
        <v>91941</v>
      </c>
      <c r="B5051" s="179" t="s">
        <v>456</v>
      </c>
      <c r="C5051" s="180">
        <v>99999</v>
      </c>
    </row>
    <row r="5052" spans="1:3" x14ac:dyDescent="0.25">
      <c r="A5052" s="178">
        <v>91951</v>
      </c>
      <c r="B5052" s="179" t="s">
        <v>456</v>
      </c>
      <c r="C5052" s="180">
        <v>300</v>
      </c>
    </row>
    <row r="5053" spans="1:3" x14ac:dyDescent="0.25">
      <c r="A5053" s="178">
        <v>91964</v>
      </c>
      <c r="B5053" s="179" t="s">
        <v>456</v>
      </c>
      <c r="C5053" s="180">
        <v>1000</v>
      </c>
    </row>
    <row r="5054" spans="1:3" x14ac:dyDescent="0.25">
      <c r="A5054" s="178">
        <v>91967</v>
      </c>
      <c r="B5054" s="179" t="s">
        <v>456</v>
      </c>
      <c r="C5054" s="180">
        <v>600</v>
      </c>
    </row>
    <row r="5055" spans="1:3" x14ac:dyDescent="0.25">
      <c r="A5055" s="178">
        <v>91981</v>
      </c>
      <c r="B5055" s="179" t="s">
        <v>456</v>
      </c>
      <c r="C5055" s="180">
        <v>600</v>
      </c>
    </row>
    <row r="5056" spans="1:3" x14ac:dyDescent="0.25">
      <c r="A5056" s="178">
        <v>91984</v>
      </c>
      <c r="B5056" s="179" t="s">
        <v>456</v>
      </c>
      <c r="C5056" s="180">
        <v>1000</v>
      </c>
    </row>
    <row r="5057" spans="1:3" x14ac:dyDescent="0.25">
      <c r="A5057" s="178">
        <v>91985</v>
      </c>
      <c r="B5057" s="179" t="s">
        <v>456</v>
      </c>
      <c r="C5057" s="180">
        <v>600</v>
      </c>
    </row>
    <row r="5058" spans="1:3" x14ac:dyDescent="0.25">
      <c r="A5058" s="178">
        <v>92010</v>
      </c>
      <c r="B5058" s="179" t="s">
        <v>456</v>
      </c>
      <c r="C5058" s="180">
        <v>600</v>
      </c>
    </row>
    <row r="5059" spans="1:3" x14ac:dyDescent="0.25">
      <c r="A5059" s="178">
        <v>92101</v>
      </c>
      <c r="B5059" s="179" t="s">
        <v>456</v>
      </c>
      <c r="C5059" s="180">
        <v>500</v>
      </c>
    </row>
    <row r="5060" spans="1:3" x14ac:dyDescent="0.25">
      <c r="A5060" s="178">
        <v>92210</v>
      </c>
      <c r="B5060" s="179" t="s">
        <v>456</v>
      </c>
      <c r="C5060" s="180">
        <v>500</v>
      </c>
    </row>
    <row r="5061" spans="1:3" x14ac:dyDescent="0.25">
      <c r="A5061" s="178">
        <v>92211</v>
      </c>
      <c r="B5061" s="179" t="s">
        <v>456</v>
      </c>
      <c r="C5061" s="180">
        <v>500</v>
      </c>
    </row>
    <row r="5062" spans="1:3" x14ac:dyDescent="0.25">
      <c r="A5062" s="178">
        <v>92212</v>
      </c>
      <c r="B5062" s="179" t="s">
        <v>456</v>
      </c>
      <c r="C5062" s="180">
        <v>300</v>
      </c>
    </row>
    <row r="5063" spans="1:3" x14ac:dyDescent="0.25">
      <c r="A5063" s="178">
        <v>92214</v>
      </c>
      <c r="B5063" s="179" t="s">
        <v>456</v>
      </c>
      <c r="C5063" s="180">
        <v>500</v>
      </c>
    </row>
    <row r="5064" spans="1:3" x14ac:dyDescent="0.25">
      <c r="A5064" s="178">
        <v>92217</v>
      </c>
      <c r="B5064" s="179" t="s">
        <v>456</v>
      </c>
      <c r="C5064" s="180">
        <v>1000</v>
      </c>
    </row>
    <row r="5065" spans="1:3" x14ac:dyDescent="0.25">
      <c r="A5065" s="178">
        <v>92218</v>
      </c>
      <c r="B5065" s="179" t="s">
        <v>456</v>
      </c>
      <c r="C5065" s="180">
        <v>500</v>
      </c>
    </row>
    <row r="5066" spans="1:3" x14ac:dyDescent="0.25">
      <c r="A5066" s="178">
        <v>92303</v>
      </c>
      <c r="B5066" s="179" t="s">
        <v>456</v>
      </c>
      <c r="C5066" s="180">
        <v>500</v>
      </c>
    </row>
    <row r="5067" spans="1:3" x14ac:dyDescent="0.25">
      <c r="A5067" s="178">
        <v>92305</v>
      </c>
      <c r="B5067" s="179" t="s">
        <v>456</v>
      </c>
      <c r="C5067" s="180">
        <v>600</v>
      </c>
    </row>
    <row r="5068" spans="1:3" x14ac:dyDescent="0.25">
      <c r="A5068" s="178">
        <v>92500</v>
      </c>
      <c r="B5068" s="179" t="s">
        <v>456</v>
      </c>
      <c r="C5068" s="180">
        <v>600</v>
      </c>
    </row>
    <row r="5069" spans="1:3" x14ac:dyDescent="0.25">
      <c r="A5069" s="178">
        <v>92501</v>
      </c>
      <c r="B5069" s="179" t="s">
        <v>456</v>
      </c>
      <c r="C5069" s="180">
        <v>600</v>
      </c>
    </row>
    <row r="5070" spans="1:3" x14ac:dyDescent="0.25">
      <c r="A5070" s="178">
        <v>92503</v>
      </c>
      <c r="B5070" s="179" t="s">
        <v>456</v>
      </c>
      <c r="C5070" s="180">
        <v>600</v>
      </c>
    </row>
    <row r="5071" spans="1:3" x14ac:dyDescent="0.25">
      <c r="A5071" s="178">
        <v>92601</v>
      </c>
      <c r="B5071" s="179" t="s">
        <v>456</v>
      </c>
      <c r="C5071" s="180">
        <v>600</v>
      </c>
    </row>
    <row r="5072" spans="1:3" x14ac:dyDescent="0.25">
      <c r="A5072" s="178">
        <v>92605</v>
      </c>
      <c r="B5072" s="179" t="s">
        <v>456</v>
      </c>
      <c r="C5072" s="180">
        <v>600</v>
      </c>
    </row>
    <row r="5073" spans="1:3" x14ac:dyDescent="0.25">
      <c r="A5073" s="178">
        <v>92610</v>
      </c>
      <c r="B5073" s="179" t="s">
        <v>456</v>
      </c>
      <c r="C5073" s="180">
        <v>600</v>
      </c>
    </row>
    <row r="5074" spans="1:3" x14ac:dyDescent="0.25">
      <c r="A5074" s="178">
        <v>92611</v>
      </c>
      <c r="B5074" s="179" t="s">
        <v>456</v>
      </c>
      <c r="C5074" s="180">
        <v>600</v>
      </c>
    </row>
    <row r="5075" spans="1:3" x14ac:dyDescent="0.25">
      <c r="A5075" s="178">
        <v>92701</v>
      </c>
      <c r="B5075" s="179" t="s">
        <v>456</v>
      </c>
      <c r="C5075" s="180">
        <v>600</v>
      </c>
    </row>
    <row r="5076" spans="1:3" x14ac:dyDescent="0.25">
      <c r="A5076" s="178">
        <v>92801</v>
      </c>
      <c r="B5076" s="179" t="s">
        <v>456</v>
      </c>
      <c r="C5076" s="180">
        <v>1</v>
      </c>
    </row>
    <row r="5077" spans="1:3" x14ac:dyDescent="0.25">
      <c r="A5077" s="178">
        <v>92804</v>
      </c>
      <c r="B5077" s="179" t="s">
        <v>456</v>
      </c>
      <c r="C5077" s="180">
        <v>500</v>
      </c>
    </row>
    <row r="5078" spans="1:3" x14ac:dyDescent="0.25">
      <c r="A5078" s="178">
        <v>92808</v>
      </c>
      <c r="B5078" s="179" t="s">
        <v>456</v>
      </c>
      <c r="C5078" s="180">
        <v>600</v>
      </c>
    </row>
    <row r="5079" spans="1:3" x14ac:dyDescent="0.25">
      <c r="A5079" s="178">
        <v>92809</v>
      </c>
      <c r="B5079" s="179" t="s">
        <v>456</v>
      </c>
      <c r="C5079" s="180">
        <v>600</v>
      </c>
    </row>
    <row r="5080" spans="1:3" x14ac:dyDescent="0.25">
      <c r="A5080" s="178">
        <v>92810</v>
      </c>
      <c r="B5080" s="179" t="s">
        <v>456</v>
      </c>
      <c r="C5080" s="180">
        <v>600</v>
      </c>
    </row>
    <row r="5081" spans="1:3" x14ac:dyDescent="0.25">
      <c r="A5081" s="178">
        <v>93084</v>
      </c>
      <c r="B5081" s="179" t="s">
        <v>456</v>
      </c>
      <c r="C5081" s="180">
        <v>50</v>
      </c>
    </row>
    <row r="5082" spans="1:3" x14ac:dyDescent="0.25">
      <c r="A5082" s="178">
        <v>93205</v>
      </c>
      <c r="B5082" s="179" t="s">
        <v>456</v>
      </c>
      <c r="C5082" s="180">
        <v>500</v>
      </c>
    </row>
    <row r="5083" spans="1:3" x14ac:dyDescent="0.25">
      <c r="A5083" s="178">
        <v>93235</v>
      </c>
      <c r="B5083" s="179" t="s">
        <v>456</v>
      </c>
      <c r="C5083" s="180">
        <v>600</v>
      </c>
    </row>
    <row r="5084" spans="1:3" x14ac:dyDescent="0.25">
      <c r="A5084" s="178">
        <v>93302</v>
      </c>
      <c r="B5084" s="179" t="s">
        <v>456</v>
      </c>
      <c r="C5084" s="180">
        <v>50</v>
      </c>
    </row>
    <row r="5085" spans="1:3" x14ac:dyDescent="0.25">
      <c r="A5085" s="178">
        <v>93303</v>
      </c>
      <c r="B5085" s="179" t="s">
        <v>456</v>
      </c>
      <c r="C5085" s="180">
        <v>50</v>
      </c>
    </row>
    <row r="5086" spans="1:3" x14ac:dyDescent="0.25">
      <c r="A5086" s="178">
        <v>93304</v>
      </c>
      <c r="B5086" s="179" t="s">
        <v>456</v>
      </c>
      <c r="C5086" s="180">
        <v>15000</v>
      </c>
    </row>
    <row r="5087" spans="1:3" x14ac:dyDescent="0.25">
      <c r="A5087" s="178">
        <v>93306</v>
      </c>
      <c r="B5087" s="179" t="s">
        <v>456</v>
      </c>
      <c r="C5087" s="180">
        <v>600</v>
      </c>
    </row>
    <row r="5088" spans="1:3" x14ac:dyDescent="0.25">
      <c r="A5088" s="178">
        <v>93308</v>
      </c>
      <c r="B5088" s="179" t="s">
        <v>456</v>
      </c>
      <c r="C5088" s="180">
        <v>100</v>
      </c>
    </row>
    <row r="5089" spans="1:3" x14ac:dyDescent="0.25">
      <c r="A5089" s="178">
        <v>93309</v>
      </c>
      <c r="B5089" s="179" t="s">
        <v>456</v>
      </c>
      <c r="C5089" s="180">
        <v>1000</v>
      </c>
    </row>
    <row r="5090" spans="1:3" x14ac:dyDescent="0.25">
      <c r="A5090" s="178">
        <v>93310</v>
      </c>
      <c r="B5090" s="179" t="s">
        <v>456</v>
      </c>
      <c r="C5090" s="180">
        <v>600</v>
      </c>
    </row>
    <row r="5091" spans="1:3" x14ac:dyDescent="0.25">
      <c r="A5091" s="178">
        <v>93400</v>
      </c>
      <c r="B5091" s="179" t="s">
        <v>456</v>
      </c>
      <c r="C5091" s="180">
        <v>11000</v>
      </c>
    </row>
    <row r="5092" spans="1:3" x14ac:dyDescent="0.25">
      <c r="A5092" s="178">
        <v>93401</v>
      </c>
      <c r="B5092" s="179" t="s">
        <v>456</v>
      </c>
      <c r="C5092" s="180">
        <v>11000</v>
      </c>
    </row>
    <row r="5093" spans="1:3" x14ac:dyDescent="0.25">
      <c r="A5093" s="178">
        <v>93402</v>
      </c>
      <c r="B5093" s="179" t="s">
        <v>456</v>
      </c>
      <c r="C5093" s="180">
        <v>9666</v>
      </c>
    </row>
    <row r="5094" spans="1:3" x14ac:dyDescent="0.25">
      <c r="A5094" s="178">
        <v>93405</v>
      </c>
      <c r="B5094" s="179" t="s">
        <v>456</v>
      </c>
      <c r="C5094" s="180">
        <v>60000</v>
      </c>
    </row>
    <row r="5095" spans="1:3" x14ac:dyDescent="0.25">
      <c r="A5095" s="178">
        <v>93406</v>
      </c>
      <c r="B5095" s="179" t="s">
        <v>456</v>
      </c>
      <c r="C5095" s="180">
        <v>500</v>
      </c>
    </row>
    <row r="5096" spans="1:3" x14ac:dyDescent="0.25">
      <c r="A5096" s="178">
        <v>94001</v>
      </c>
      <c r="B5096" s="179" t="s">
        <v>456</v>
      </c>
      <c r="C5096" s="180">
        <v>17472</v>
      </c>
    </row>
    <row r="5097" spans="1:3" x14ac:dyDescent="0.25">
      <c r="A5097" s="178">
        <v>94006</v>
      </c>
      <c r="B5097" s="179" t="s">
        <v>456</v>
      </c>
      <c r="C5097" s="180">
        <v>6480</v>
      </c>
    </row>
    <row r="5098" spans="1:3" x14ac:dyDescent="0.25">
      <c r="A5098" s="178">
        <v>94013</v>
      </c>
      <c r="B5098" s="179" t="s">
        <v>456</v>
      </c>
      <c r="C5098" s="180">
        <v>2384</v>
      </c>
    </row>
    <row r="5099" spans="1:3" x14ac:dyDescent="0.25">
      <c r="A5099" s="178">
        <v>94027</v>
      </c>
      <c r="B5099" s="179" t="s">
        <v>456</v>
      </c>
      <c r="C5099" s="180">
        <v>864</v>
      </c>
    </row>
    <row r="5100" spans="1:3" x14ac:dyDescent="0.25">
      <c r="A5100" s="178">
        <v>94028</v>
      </c>
      <c r="B5100" s="179" t="s">
        <v>456</v>
      </c>
      <c r="C5100" s="180">
        <v>1490</v>
      </c>
    </row>
    <row r="5101" spans="1:3" x14ac:dyDescent="0.25">
      <c r="A5101" s="178">
        <v>94031</v>
      </c>
      <c r="B5101" s="179" t="s">
        <v>456</v>
      </c>
      <c r="C5101" s="180">
        <v>3900</v>
      </c>
    </row>
    <row r="5102" spans="1:3" x14ac:dyDescent="0.25">
      <c r="A5102" s="178">
        <v>94034</v>
      </c>
      <c r="B5102" s="179" t="s">
        <v>456</v>
      </c>
      <c r="C5102" s="180">
        <v>1674</v>
      </c>
    </row>
    <row r="5103" spans="1:3" x14ac:dyDescent="0.25">
      <c r="A5103" s="178">
        <v>94039</v>
      </c>
      <c r="B5103" s="179" t="s">
        <v>456</v>
      </c>
      <c r="C5103" s="180">
        <v>756</v>
      </c>
    </row>
    <row r="5104" spans="1:3" x14ac:dyDescent="0.25">
      <c r="A5104" s="178">
        <v>94041</v>
      </c>
      <c r="B5104" s="179" t="s">
        <v>456</v>
      </c>
      <c r="C5104" s="180">
        <v>1372</v>
      </c>
    </row>
    <row r="5105" spans="1:3" x14ac:dyDescent="0.25">
      <c r="A5105" s="178">
        <v>94042</v>
      </c>
      <c r="B5105" s="179" t="s">
        <v>456</v>
      </c>
      <c r="C5105" s="180">
        <v>252</v>
      </c>
    </row>
    <row r="5106" spans="1:3" x14ac:dyDescent="0.25">
      <c r="A5106" s="178">
        <v>94043</v>
      </c>
      <c r="B5106" s="179" t="s">
        <v>456</v>
      </c>
      <c r="C5106" s="180">
        <v>280</v>
      </c>
    </row>
    <row r="5107" spans="1:3" x14ac:dyDescent="0.25">
      <c r="A5107" s="178">
        <v>94045</v>
      </c>
      <c r="B5107" s="179" t="s">
        <v>456</v>
      </c>
      <c r="C5107" s="180">
        <v>60</v>
      </c>
    </row>
    <row r="5108" spans="1:3" x14ac:dyDescent="0.25">
      <c r="A5108" s="178">
        <v>94047</v>
      </c>
      <c r="B5108" s="179" t="s">
        <v>456</v>
      </c>
      <c r="C5108" s="180">
        <v>1372</v>
      </c>
    </row>
    <row r="5109" spans="1:3" x14ac:dyDescent="0.25">
      <c r="A5109" s="178">
        <v>94048</v>
      </c>
      <c r="B5109" s="179" t="s">
        <v>456</v>
      </c>
      <c r="C5109" s="180">
        <v>900</v>
      </c>
    </row>
    <row r="5110" spans="1:3" x14ac:dyDescent="0.25">
      <c r="A5110" s="178">
        <v>94049</v>
      </c>
      <c r="B5110" s="179" t="s">
        <v>456</v>
      </c>
      <c r="C5110" s="180">
        <v>1372</v>
      </c>
    </row>
    <row r="5111" spans="1:3" x14ac:dyDescent="0.25">
      <c r="A5111" s="178">
        <v>94050</v>
      </c>
      <c r="B5111" s="179" t="s">
        <v>456</v>
      </c>
      <c r="C5111" s="180">
        <v>38400</v>
      </c>
    </row>
    <row r="5112" spans="1:3" x14ac:dyDescent="0.25">
      <c r="A5112" s="178">
        <v>94051</v>
      </c>
      <c r="B5112" s="179" t="s">
        <v>456</v>
      </c>
      <c r="C5112" s="180">
        <v>1750</v>
      </c>
    </row>
    <row r="5113" spans="1:3" x14ac:dyDescent="0.25">
      <c r="A5113" s="178">
        <v>94062</v>
      </c>
      <c r="B5113" s="179" t="s">
        <v>456</v>
      </c>
      <c r="C5113" s="180">
        <v>99999</v>
      </c>
    </row>
    <row r="5114" spans="1:3" x14ac:dyDescent="0.25">
      <c r="A5114" s="178">
        <v>94072</v>
      </c>
      <c r="B5114" s="179" t="s">
        <v>456</v>
      </c>
      <c r="C5114" s="180">
        <v>4200</v>
      </c>
    </row>
    <row r="5115" spans="1:3" x14ac:dyDescent="0.25">
      <c r="A5115" s="178">
        <v>94080</v>
      </c>
      <c r="B5115" s="179" t="s">
        <v>456</v>
      </c>
      <c r="C5115" s="180">
        <v>5000</v>
      </c>
    </row>
    <row r="5116" spans="1:3" x14ac:dyDescent="0.25">
      <c r="A5116" s="178">
        <v>94084</v>
      </c>
      <c r="B5116" s="179" t="s">
        <v>456</v>
      </c>
      <c r="C5116" s="180">
        <v>1440</v>
      </c>
    </row>
    <row r="5117" spans="1:3" x14ac:dyDescent="0.25">
      <c r="A5117" s="178">
        <v>94091</v>
      </c>
      <c r="B5117" s="179" t="s">
        <v>456</v>
      </c>
      <c r="C5117" s="180">
        <v>10000</v>
      </c>
    </row>
    <row r="5118" spans="1:3" x14ac:dyDescent="0.25">
      <c r="A5118" s="178">
        <v>94094</v>
      </c>
      <c r="B5118" s="179" t="s">
        <v>456</v>
      </c>
      <c r="C5118" s="180">
        <v>2460</v>
      </c>
    </row>
    <row r="5119" spans="1:3" x14ac:dyDescent="0.25">
      <c r="A5119" s="178">
        <v>94095</v>
      </c>
      <c r="B5119" s="179" t="s">
        <v>456</v>
      </c>
      <c r="C5119" s="180">
        <v>2460</v>
      </c>
    </row>
    <row r="5120" spans="1:3" x14ac:dyDescent="0.25">
      <c r="A5120" s="178">
        <v>94096</v>
      </c>
      <c r="B5120" s="179" t="s">
        <v>456</v>
      </c>
      <c r="C5120" s="180">
        <v>2460</v>
      </c>
    </row>
    <row r="5121" spans="1:3" x14ac:dyDescent="0.25">
      <c r="A5121" s="178">
        <v>94097</v>
      </c>
      <c r="B5121" s="179" t="s">
        <v>456</v>
      </c>
      <c r="C5121" s="180">
        <v>2460</v>
      </c>
    </row>
    <row r="5122" spans="1:3" x14ac:dyDescent="0.25">
      <c r="A5122" s="178">
        <v>94103</v>
      </c>
      <c r="B5122" s="179" t="s">
        <v>456</v>
      </c>
      <c r="C5122" s="180">
        <v>4200</v>
      </c>
    </row>
    <row r="5123" spans="1:3" x14ac:dyDescent="0.25">
      <c r="A5123" s="178">
        <v>94110</v>
      </c>
      <c r="B5123" s="179" t="s">
        <v>456</v>
      </c>
      <c r="C5123" s="180">
        <v>3300</v>
      </c>
    </row>
    <row r="5124" spans="1:3" x14ac:dyDescent="0.25">
      <c r="A5124" s="178">
        <v>94111</v>
      </c>
      <c r="B5124" s="179" t="s">
        <v>456</v>
      </c>
      <c r="C5124" s="180">
        <v>3360</v>
      </c>
    </row>
    <row r="5125" spans="1:3" x14ac:dyDescent="0.25">
      <c r="A5125" s="178">
        <v>94112</v>
      </c>
      <c r="B5125" s="179" t="s">
        <v>456</v>
      </c>
      <c r="C5125" s="180">
        <v>3360</v>
      </c>
    </row>
    <row r="5126" spans="1:3" x14ac:dyDescent="0.25">
      <c r="A5126" s="178">
        <v>94113</v>
      </c>
      <c r="B5126" s="179" t="s">
        <v>456</v>
      </c>
      <c r="C5126" s="180">
        <v>3360</v>
      </c>
    </row>
    <row r="5127" spans="1:3" x14ac:dyDescent="0.25">
      <c r="A5127" s="178">
        <v>94114</v>
      </c>
      <c r="B5127" s="179" t="s">
        <v>456</v>
      </c>
      <c r="C5127" s="180">
        <v>2340</v>
      </c>
    </row>
    <row r="5128" spans="1:3" x14ac:dyDescent="0.25">
      <c r="A5128" s="178">
        <v>94151</v>
      </c>
      <c r="B5128" s="179" t="s">
        <v>456</v>
      </c>
      <c r="C5128" s="180">
        <v>13440</v>
      </c>
    </row>
    <row r="5129" spans="1:3" x14ac:dyDescent="0.25">
      <c r="A5129" s="178">
        <v>94152</v>
      </c>
      <c r="B5129" s="179" t="s">
        <v>456</v>
      </c>
      <c r="C5129" s="180">
        <v>7840</v>
      </c>
    </row>
    <row r="5130" spans="1:3" x14ac:dyDescent="0.25">
      <c r="A5130" s="178">
        <v>94154</v>
      </c>
      <c r="B5130" s="179" t="s">
        <v>456</v>
      </c>
      <c r="C5130" s="180">
        <v>5504</v>
      </c>
    </row>
    <row r="5131" spans="1:3" x14ac:dyDescent="0.25">
      <c r="A5131" s="178">
        <v>94165</v>
      </c>
      <c r="B5131" s="179" t="s">
        <v>456</v>
      </c>
      <c r="C5131" s="180">
        <v>350</v>
      </c>
    </row>
    <row r="5132" spans="1:3" x14ac:dyDescent="0.25">
      <c r="A5132" s="178">
        <v>94167</v>
      </c>
      <c r="B5132" s="179" t="s">
        <v>456</v>
      </c>
      <c r="C5132" s="180">
        <v>700</v>
      </c>
    </row>
    <row r="5133" spans="1:3" x14ac:dyDescent="0.25">
      <c r="A5133" s="178">
        <v>94170</v>
      </c>
      <c r="B5133" s="179" t="s">
        <v>456</v>
      </c>
      <c r="C5133" s="180">
        <v>1320</v>
      </c>
    </row>
    <row r="5134" spans="1:3" x14ac:dyDescent="0.25">
      <c r="A5134" s="178">
        <v>94171</v>
      </c>
      <c r="B5134" s="179" t="s">
        <v>456</v>
      </c>
      <c r="C5134" s="180">
        <v>1320</v>
      </c>
    </row>
    <row r="5135" spans="1:3" x14ac:dyDescent="0.25">
      <c r="A5135" s="178">
        <v>94172</v>
      </c>
      <c r="B5135" s="179" t="s">
        <v>456</v>
      </c>
      <c r="C5135" s="180">
        <v>350</v>
      </c>
    </row>
    <row r="5136" spans="1:3" x14ac:dyDescent="0.25">
      <c r="A5136" s="178">
        <v>94174</v>
      </c>
      <c r="B5136" s="179" t="s">
        <v>456</v>
      </c>
      <c r="C5136" s="180">
        <v>525</v>
      </c>
    </row>
    <row r="5137" spans="1:3" x14ac:dyDescent="0.25">
      <c r="A5137" s="178">
        <v>94176</v>
      </c>
      <c r="B5137" s="179" t="s">
        <v>456</v>
      </c>
      <c r="C5137" s="180">
        <v>350</v>
      </c>
    </row>
    <row r="5138" spans="1:3" x14ac:dyDescent="0.25">
      <c r="A5138" s="178">
        <v>94177</v>
      </c>
      <c r="B5138" s="179" t="s">
        <v>456</v>
      </c>
      <c r="C5138" s="180">
        <v>700</v>
      </c>
    </row>
    <row r="5139" spans="1:3" x14ac:dyDescent="0.25">
      <c r="A5139" s="178">
        <v>94178</v>
      </c>
      <c r="B5139" s="179" t="s">
        <v>456</v>
      </c>
      <c r="C5139" s="180">
        <v>260</v>
      </c>
    </row>
    <row r="5140" spans="1:3" x14ac:dyDescent="0.25">
      <c r="A5140" s="178">
        <v>94180</v>
      </c>
      <c r="B5140" s="179" t="s">
        <v>456</v>
      </c>
      <c r="C5140" s="180">
        <v>30000</v>
      </c>
    </row>
    <row r="5141" spans="1:3" x14ac:dyDescent="0.25">
      <c r="A5141" s="178">
        <v>94181</v>
      </c>
      <c r="B5141" s="179" t="s">
        <v>456</v>
      </c>
      <c r="C5141" s="180">
        <v>30000</v>
      </c>
    </row>
    <row r="5142" spans="1:3" x14ac:dyDescent="0.25">
      <c r="A5142" s="178">
        <v>94183</v>
      </c>
      <c r="B5142" s="179" t="s">
        <v>456</v>
      </c>
      <c r="C5142" s="180">
        <v>27600</v>
      </c>
    </row>
    <row r="5143" spans="1:3" x14ac:dyDescent="0.25">
      <c r="A5143" s="178">
        <v>94192</v>
      </c>
      <c r="B5143" s="179" t="s">
        <v>456</v>
      </c>
      <c r="C5143" s="180">
        <v>600</v>
      </c>
    </row>
    <row r="5144" spans="1:3" x14ac:dyDescent="0.25">
      <c r="A5144" s="178">
        <v>94200</v>
      </c>
      <c r="B5144" s="179" t="s">
        <v>456</v>
      </c>
      <c r="C5144" s="180">
        <v>500</v>
      </c>
    </row>
    <row r="5145" spans="1:3" x14ac:dyDescent="0.25">
      <c r="A5145" s="178">
        <v>94203</v>
      </c>
      <c r="B5145" s="179" t="s">
        <v>456</v>
      </c>
      <c r="C5145" s="180">
        <v>700</v>
      </c>
    </row>
    <row r="5146" spans="1:3" x14ac:dyDescent="0.25">
      <c r="A5146" s="178">
        <v>94217</v>
      </c>
      <c r="B5146" s="179" t="s">
        <v>456</v>
      </c>
      <c r="C5146" s="180">
        <v>2350</v>
      </c>
    </row>
    <row r="5147" spans="1:3" x14ac:dyDescent="0.25">
      <c r="A5147" s="178">
        <v>94218</v>
      </c>
      <c r="B5147" s="179" t="s">
        <v>456</v>
      </c>
      <c r="C5147" s="180">
        <v>2100</v>
      </c>
    </row>
    <row r="5148" spans="1:3" x14ac:dyDescent="0.25">
      <c r="A5148" s="178">
        <v>94219</v>
      </c>
      <c r="B5148" s="179" t="s">
        <v>456</v>
      </c>
      <c r="C5148" s="180">
        <v>10000</v>
      </c>
    </row>
    <row r="5149" spans="1:3" x14ac:dyDescent="0.25">
      <c r="A5149" s="178">
        <v>94233</v>
      </c>
      <c r="B5149" s="179" t="s">
        <v>456</v>
      </c>
      <c r="C5149" s="180">
        <v>99999</v>
      </c>
    </row>
    <row r="5150" spans="1:3" x14ac:dyDescent="0.25">
      <c r="A5150" s="178">
        <v>94234</v>
      </c>
      <c r="B5150" s="179" t="s">
        <v>456</v>
      </c>
      <c r="C5150" s="180">
        <v>99999</v>
      </c>
    </row>
    <row r="5151" spans="1:3" x14ac:dyDescent="0.25">
      <c r="A5151" s="178">
        <v>94235</v>
      </c>
      <c r="B5151" s="179" t="s">
        <v>456</v>
      </c>
      <c r="C5151" s="180">
        <v>99999</v>
      </c>
    </row>
    <row r="5152" spans="1:3" x14ac:dyDescent="0.25">
      <c r="A5152" s="178">
        <v>94237</v>
      </c>
      <c r="B5152" s="179" t="s">
        <v>456</v>
      </c>
      <c r="C5152" s="180">
        <v>99999</v>
      </c>
    </row>
    <row r="5153" spans="1:3" x14ac:dyDescent="0.25">
      <c r="A5153" s="178">
        <v>94239</v>
      </c>
      <c r="B5153" s="179" t="s">
        <v>456</v>
      </c>
      <c r="C5153" s="180">
        <v>99999</v>
      </c>
    </row>
    <row r="5154" spans="1:3" x14ac:dyDescent="0.25">
      <c r="A5154" s="178">
        <v>94243</v>
      </c>
      <c r="B5154" s="179" t="s">
        <v>456</v>
      </c>
      <c r="C5154" s="180">
        <v>99999</v>
      </c>
    </row>
    <row r="5155" spans="1:3" x14ac:dyDescent="0.25">
      <c r="A5155" s="178">
        <v>94244</v>
      </c>
      <c r="B5155" s="179" t="s">
        <v>456</v>
      </c>
      <c r="C5155" s="180">
        <v>99999</v>
      </c>
    </row>
    <row r="5156" spans="1:3" x14ac:dyDescent="0.25">
      <c r="A5156" s="178">
        <v>94245</v>
      </c>
      <c r="B5156" s="179" t="s">
        <v>456</v>
      </c>
      <c r="C5156" s="180">
        <v>99999</v>
      </c>
    </row>
    <row r="5157" spans="1:3" x14ac:dyDescent="0.25">
      <c r="A5157" s="178">
        <v>94246</v>
      </c>
      <c r="B5157" s="179" t="s">
        <v>456</v>
      </c>
      <c r="C5157" s="180">
        <v>99999</v>
      </c>
    </row>
    <row r="5158" spans="1:3" x14ac:dyDescent="0.25">
      <c r="A5158" s="178">
        <v>94247</v>
      </c>
      <c r="B5158" s="179" t="s">
        <v>456</v>
      </c>
      <c r="C5158" s="180">
        <v>99999</v>
      </c>
    </row>
    <row r="5159" spans="1:3" x14ac:dyDescent="0.25">
      <c r="A5159" s="178">
        <v>94248</v>
      </c>
      <c r="B5159" s="179" t="s">
        <v>456</v>
      </c>
      <c r="C5159" s="180">
        <v>99999</v>
      </c>
    </row>
    <row r="5160" spans="1:3" x14ac:dyDescent="0.25">
      <c r="A5160" s="178">
        <v>94249</v>
      </c>
      <c r="B5160" s="179" t="s">
        <v>456</v>
      </c>
      <c r="C5160" s="180">
        <v>99999</v>
      </c>
    </row>
    <row r="5161" spans="1:3" x14ac:dyDescent="0.25">
      <c r="A5161" s="178">
        <v>94300</v>
      </c>
      <c r="B5161" s="179" t="s">
        <v>456</v>
      </c>
      <c r="C5161" s="180">
        <v>15000</v>
      </c>
    </row>
    <row r="5162" spans="1:3" x14ac:dyDescent="0.25">
      <c r="A5162" s="178">
        <v>94308</v>
      </c>
      <c r="B5162" s="179" t="s">
        <v>456</v>
      </c>
      <c r="C5162" s="180">
        <v>99999</v>
      </c>
    </row>
    <row r="5163" spans="1:3" x14ac:dyDescent="0.25">
      <c r="A5163" s="178">
        <v>94311</v>
      </c>
      <c r="B5163" s="179" t="s">
        <v>456</v>
      </c>
      <c r="C5163" s="180">
        <v>99999</v>
      </c>
    </row>
    <row r="5164" spans="1:3" x14ac:dyDescent="0.25">
      <c r="A5164" s="178">
        <v>94312</v>
      </c>
      <c r="B5164" s="179" t="s">
        <v>456</v>
      </c>
      <c r="C5164" s="180">
        <v>99999</v>
      </c>
    </row>
    <row r="5165" spans="1:3" x14ac:dyDescent="0.25">
      <c r="A5165" s="178">
        <v>94323</v>
      </c>
      <c r="B5165" s="179" t="s">
        <v>456</v>
      </c>
      <c r="C5165" s="180">
        <v>99999</v>
      </c>
    </row>
    <row r="5166" spans="1:3" x14ac:dyDescent="0.25">
      <c r="A5166" s="178">
        <v>94330</v>
      </c>
      <c r="B5166" s="179" t="s">
        <v>456</v>
      </c>
      <c r="C5166" s="180">
        <v>99999</v>
      </c>
    </row>
    <row r="5167" spans="1:3" x14ac:dyDescent="0.25">
      <c r="A5167" s="178">
        <v>94333</v>
      </c>
      <c r="B5167" s="179" t="s">
        <v>456</v>
      </c>
      <c r="C5167" s="180">
        <v>99999</v>
      </c>
    </row>
    <row r="5168" spans="1:3" x14ac:dyDescent="0.25">
      <c r="A5168" s="178">
        <v>94334</v>
      </c>
      <c r="B5168" s="179" t="s">
        <v>456</v>
      </c>
      <c r="C5168" s="180">
        <v>99999</v>
      </c>
    </row>
    <row r="5169" spans="1:3" x14ac:dyDescent="0.25">
      <c r="A5169" s="178">
        <v>94337</v>
      </c>
      <c r="B5169" s="179" t="s">
        <v>456</v>
      </c>
      <c r="C5169" s="180">
        <v>90000</v>
      </c>
    </row>
    <row r="5170" spans="1:3" x14ac:dyDescent="0.25">
      <c r="A5170" s="178">
        <v>94340</v>
      </c>
      <c r="B5170" s="179" t="s">
        <v>456</v>
      </c>
      <c r="C5170" s="180">
        <v>54000</v>
      </c>
    </row>
    <row r="5171" spans="1:3" x14ac:dyDescent="0.25">
      <c r="A5171" s="178">
        <v>94346</v>
      </c>
      <c r="B5171" s="179" t="s">
        <v>456</v>
      </c>
      <c r="C5171" s="180">
        <v>99999</v>
      </c>
    </row>
    <row r="5172" spans="1:3" x14ac:dyDescent="0.25">
      <c r="A5172" s="178">
        <v>94347</v>
      </c>
      <c r="B5172" s="179" t="s">
        <v>456</v>
      </c>
      <c r="C5172" s="180">
        <v>99999</v>
      </c>
    </row>
    <row r="5173" spans="1:3" x14ac:dyDescent="0.25">
      <c r="A5173" s="178">
        <v>94350</v>
      </c>
      <c r="B5173" s="179" t="s">
        <v>456</v>
      </c>
      <c r="C5173" s="180">
        <v>99999</v>
      </c>
    </row>
    <row r="5174" spans="1:3" x14ac:dyDescent="0.25">
      <c r="A5174" s="178">
        <v>94351</v>
      </c>
      <c r="B5174" s="179" t="s">
        <v>456</v>
      </c>
      <c r="C5174" s="180">
        <v>99999</v>
      </c>
    </row>
    <row r="5175" spans="1:3" x14ac:dyDescent="0.25">
      <c r="A5175" s="178">
        <v>94352</v>
      </c>
      <c r="B5175" s="179" t="s">
        <v>456</v>
      </c>
      <c r="C5175" s="180">
        <v>99999</v>
      </c>
    </row>
    <row r="5176" spans="1:3" x14ac:dyDescent="0.25">
      <c r="A5176" s="178">
        <v>94353</v>
      </c>
      <c r="B5176" s="179" t="s">
        <v>456</v>
      </c>
      <c r="C5176" s="180">
        <v>99999</v>
      </c>
    </row>
    <row r="5177" spans="1:3" x14ac:dyDescent="0.25">
      <c r="A5177" s="178">
        <v>94356</v>
      </c>
      <c r="B5177" s="179" t="s">
        <v>456</v>
      </c>
      <c r="C5177" s="180">
        <v>99999</v>
      </c>
    </row>
    <row r="5178" spans="1:3" x14ac:dyDescent="0.25">
      <c r="A5178" s="178">
        <v>94357</v>
      </c>
      <c r="B5178" s="179" t="s">
        <v>456</v>
      </c>
      <c r="C5178" s="180">
        <v>99999</v>
      </c>
    </row>
    <row r="5179" spans="1:3" x14ac:dyDescent="0.25">
      <c r="A5179" s="178">
        <v>94378</v>
      </c>
      <c r="B5179" s="179" t="s">
        <v>456</v>
      </c>
      <c r="C5179" s="180">
        <v>96800</v>
      </c>
    </row>
    <row r="5180" spans="1:3" x14ac:dyDescent="0.25">
      <c r="A5180" s="178">
        <v>94380</v>
      </c>
      <c r="B5180" s="179" t="s">
        <v>456</v>
      </c>
      <c r="C5180" s="180">
        <v>99999</v>
      </c>
    </row>
    <row r="5181" spans="1:3" x14ac:dyDescent="0.25">
      <c r="A5181" s="178">
        <v>94381</v>
      </c>
      <c r="B5181" s="179" t="s">
        <v>456</v>
      </c>
      <c r="C5181" s="180">
        <v>99999</v>
      </c>
    </row>
    <row r="5182" spans="1:3" x14ac:dyDescent="0.25">
      <c r="A5182" s="178">
        <v>94382</v>
      </c>
      <c r="B5182" s="179" t="s">
        <v>456</v>
      </c>
      <c r="C5182" s="180">
        <v>99999</v>
      </c>
    </row>
    <row r="5183" spans="1:3" x14ac:dyDescent="0.25">
      <c r="A5183" s="178">
        <v>94384</v>
      </c>
      <c r="B5183" s="179" t="s">
        <v>456</v>
      </c>
      <c r="C5183" s="180">
        <v>93336</v>
      </c>
    </row>
    <row r="5184" spans="1:3" x14ac:dyDescent="0.25">
      <c r="A5184" s="178">
        <v>94385</v>
      </c>
      <c r="B5184" s="179" t="s">
        <v>456</v>
      </c>
      <c r="C5184" s="180">
        <v>93336</v>
      </c>
    </row>
    <row r="5185" spans="1:3" x14ac:dyDescent="0.25">
      <c r="A5185" s="178">
        <v>94386</v>
      </c>
      <c r="B5185" s="179" t="s">
        <v>456</v>
      </c>
      <c r="C5185" s="180">
        <v>99999</v>
      </c>
    </row>
    <row r="5186" spans="1:3" x14ac:dyDescent="0.25">
      <c r="A5186" s="178">
        <v>94387</v>
      </c>
      <c r="B5186" s="179" t="s">
        <v>456</v>
      </c>
      <c r="C5186" s="180">
        <v>99999</v>
      </c>
    </row>
    <row r="5187" spans="1:3" x14ac:dyDescent="0.25">
      <c r="A5187" s="178">
        <v>94388</v>
      </c>
      <c r="B5187" s="179" t="s">
        <v>456</v>
      </c>
      <c r="C5187" s="180">
        <v>99999</v>
      </c>
    </row>
    <row r="5188" spans="1:3" x14ac:dyDescent="0.25">
      <c r="A5188" s="178">
        <v>94389</v>
      </c>
      <c r="B5188" s="179" t="s">
        <v>456</v>
      </c>
      <c r="C5188" s="180">
        <v>99999</v>
      </c>
    </row>
    <row r="5189" spans="1:3" x14ac:dyDescent="0.25">
      <c r="A5189" s="178">
        <v>94390</v>
      </c>
      <c r="B5189" s="179" t="s">
        <v>456</v>
      </c>
      <c r="C5189" s="180">
        <v>1400</v>
      </c>
    </row>
    <row r="5190" spans="1:3" x14ac:dyDescent="0.25">
      <c r="A5190" s="178">
        <v>94391</v>
      </c>
      <c r="B5190" s="179" t="s">
        <v>456</v>
      </c>
      <c r="C5190" s="180">
        <v>240</v>
      </c>
    </row>
    <row r="5191" spans="1:3" x14ac:dyDescent="0.25">
      <c r="A5191" s="178">
        <v>94392</v>
      </c>
      <c r="B5191" s="179" t="s">
        <v>456</v>
      </c>
      <c r="C5191" s="180">
        <v>240</v>
      </c>
    </row>
    <row r="5192" spans="1:3" x14ac:dyDescent="0.25">
      <c r="A5192" s="178">
        <v>94397</v>
      </c>
      <c r="B5192" s="179" t="s">
        <v>456</v>
      </c>
      <c r="C5192" s="180">
        <v>1920</v>
      </c>
    </row>
    <row r="5193" spans="1:3" x14ac:dyDescent="0.25">
      <c r="A5193" s="178">
        <v>94398</v>
      </c>
      <c r="B5193" s="179" t="s">
        <v>456</v>
      </c>
      <c r="C5193" s="180">
        <v>1920</v>
      </c>
    </row>
    <row r="5194" spans="1:3" x14ac:dyDescent="0.25">
      <c r="A5194" s="178">
        <v>94437</v>
      </c>
      <c r="B5194" s="179" t="s">
        <v>456</v>
      </c>
      <c r="C5194" s="180">
        <v>99999</v>
      </c>
    </row>
    <row r="5195" spans="1:3" x14ac:dyDescent="0.25">
      <c r="A5195" s="178">
        <v>94438</v>
      </c>
      <c r="B5195" s="179" t="s">
        <v>456</v>
      </c>
      <c r="C5195" s="180">
        <v>99999</v>
      </c>
    </row>
    <row r="5196" spans="1:3" x14ac:dyDescent="0.25">
      <c r="A5196" s="178">
        <v>94439</v>
      </c>
      <c r="B5196" s="179" t="s">
        <v>456</v>
      </c>
      <c r="C5196" s="180">
        <v>99999</v>
      </c>
    </row>
    <row r="5197" spans="1:3" x14ac:dyDescent="0.25">
      <c r="A5197" s="178">
        <v>94445</v>
      </c>
      <c r="B5197" s="179" t="s">
        <v>456</v>
      </c>
      <c r="C5197" s="180">
        <v>99999</v>
      </c>
    </row>
    <row r="5198" spans="1:3" x14ac:dyDescent="0.25">
      <c r="A5198" s="178">
        <v>94446</v>
      </c>
      <c r="B5198" s="179" t="s">
        <v>456</v>
      </c>
      <c r="C5198" s="180">
        <v>99999</v>
      </c>
    </row>
    <row r="5199" spans="1:3" x14ac:dyDescent="0.25">
      <c r="A5199" s="178">
        <v>94447</v>
      </c>
      <c r="B5199" s="179" t="s">
        <v>456</v>
      </c>
      <c r="C5199" s="180">
        <v>99999</v>
      </c>
    </row>
    <row r="5200" spans="1:3" x14ac:dyDescent="0.25">
      <c r="A5200" s="178">
        <v>94448</v>
      </c>
      <c r="B5200" s="179" t="s">
        <v>456</v>
      </c>
      <c r="C5200" s="180">
        <v>99999</v>
      </c>
    </row>
    <row r="5201" spans="1:3" x14ac:dyDescent="0.25">
      <c r="A5201" s="178">
        <v>94470</v>
      </c>
      <c r="B5201" s="179" t="s">
        <v>456</v>
      </c>
      <c r="C5201" s="180">
        <v>99999</v>
      </c>
    </row>
    <row r="5202" spans="1:3" x14ac:dyDescent="0.25">
      <c r="A5202" s="178">
        <v>94471</v>
      </c>
      <c r="B5202" s="179" t="s">
        <v>456</v>
      </c>
      <c r="C5202" s="180">
        <v>99999</v>
      </c>
    </row>
    <row r="5203" spans="1:3" x14ac:dyDescent="0.25">
      <c r="A5203" s="178">
        <v>94472</v>
      </c>
      <c r="B5203" s="179" t="s">
        <v>456</v>
      </c>
      <c r="C5203" s="180">
        <v>99999</v>
      </c>
    </row>
    <row r="5204" spans="1:3" x14ac:dyDescent="0.25">
      <c r="A5204" s="178">
        <v>94473</v>
      </c>
      <c r="B5204" s="179" t="s">
        <v>456</v>
      </c>
      <c r="C5204" s="180">
        <v>99999</v>
      </c>
    </row>
    <row r="5205" spans="1:3" x14ac:dyDescent="0.25">
      <c r="A5205" s="178">
        <v>94474</v>
      </c>
      <c r="B5205" s="179" t="s">
        <v>456</v>
      </c>
      <c r="C5205" s="180">
        <v>99999</v>
      </c>
    </row>
    <row r="5206" spans="1:3" x14ac:dyDescent="0.25">
      <c r="A5206" s="178">
        <v>94475</v>
      </c>
      <c r="B5206" s="179" t="s">
        <v>456</v>
      </c>
      <c r="C5206" s="180">
        <v>99999</v>
      </c>
    </row>
    <row r="5207" spans="1:3" x14ac:dyDescent="0.25">
      <c r="A5207" s="178">
        <v>94476</v>
      </c>
      <c r="B5207" s="179" t="s">
        <v>456</v>
      </c>
      <c r="C5207" s="180">
        <v>99999</v>
      </c>
    </row>
    <row r="5208" spans="1:3" x14ac:dyDescent="0.25">
      <c r="A5208" s="178">
        <v>94477</v>
      </c>
      <c r="B5208" s="179" t="s">
        <v>456</v>
      </c>
      <c r="C5208" s="180">
        <v>99999</v>
      </c>
    </row>
    <row r="5209" spans="1:3" x14ac:dyDescent="0.25">
      <c r="A5209" s="178">
        <v>94480</v>
      </c>
      <c r="B5209" s="179" t="s">
        <v>456</v>
      </c>
      <c r="C5209" s="180">
        <v>99999</v>
      </c>
    </row>
    <row r="5210" spans="1:3" x14ac:dyDescent="0.25">
      <c r="A5210" s="178">
        <v>94481</v>
      </c>
      <c r="B5210" s="179" t="s">
        <v>456</v>
      </c>
      <c r="C5210" s="180">
        <v>99999</v>
      </c>
    </row>
    <row r="5211" spans="1:3" x14ac:dyDescent="0.25">
      <c r="A5211" s="178">
        <v>94482</v>
      </c>
      <c r="B5211" s="179" t="s">
        <v>456</v>
      </c>
      <c r="C5211" s="180">
        <v>99999</v>
      </c>
    </row>
    <row r="5212" spans="1:3" x14ac:dyDescent="0.25">
      <c r="A5212" s="178">
        <v>94483</v>
      </c>
      <c r="B5212" s="179" t="s">
        <v>456</v>
      </c>
      <c r="C5212" s="180">
        <v>99999</v>
      </c>
    </row>
    <row r="5213" spans="1:3" x14ac:dyDescent="0.25">
      <c r="A5213" s="178">
        <v>94486</v>
      </c>
      <c r="B5213" s="179" t="s">
        <v>456</v>
      </c>
      <c r="C5213" s="180">
        <v>99999</v>
      </c>
    </row>
    <row r="5214" spans="1:3" x14ac:dyDescent="0.25">
      <c r="A5214" s="178">
        <v>94487</v>
      </c>
      <c r="B5214" s="179" t="s">
        <v>456</v>
      </c>
      <c r="C5214" s="180">
        <v>99999</v>
      </c>
    </row>
    <row r="5215" spans="1:3" x14ac:dyDescent="0.25">
      <c r="A5215" s="178">
        <v>94488</v>
      </c>
      <c r="B5215" s="179" t="s">
        <v>456</v>
      </c>
      <c r="C5215" s="180">
        <v>99999</v>
      </c>
    </row>
    <row r="5216" spans="1:3" x14ac:dyDescent="0.25">
      <c r="A5216" s="178">
        <v>94489</v>
      </c>
      <c r="B5216" s="179" t="s">
        <v>456</v>
      </c>
      <c r="C5216" s="180">
        <v>99999</v>
      </c>
    </row>
    <row r="5217" spans="1:3" x14ac:dyDescent="0.25">
      <c r="A5217" s="178">
        <v>94490</v>
      </c>
      <c r="B5217" s="179" t="s">
        <v>456</v>
      </c>
      <c r="C5217" s="180">
        <v>99999</v>
      </c>
    </row>
    <row r="5218" spans="1:3" x14ac:dyDescent="0.25">
      <c r="A5218" s="178">
        <v>94491</v>
      </c>
      <c r="B5218" s="179" t="s">
        <v>456</v>
      </c>
      <c r="C5218" s="180">
        <v>99999</v>
      </c>
    </row>
    <row r="5219" spans="1:3" x14ac:dyDescent="0.25">
      <c r="A5219" s="178">
        <v>94497</v>
      </c>
      <c r="B5219" s="179" t="s">
        <v>456</v>
      </c>
      <c r="C5219" s="180">
        <v>99999</v>
      </c>
    </row>
    <row r="5220" spans="1:3" x14ac:dyDescent="0.25">
      <c r="A5220" s="178">
        <v>94498</v>
      </c>
      <c r="B5220" s="179" t="s">
        <v>456</v>
      </c>
      <c r="C5220" s="180">
        <v>99999</v>
      </c>
    </row>
    <row r="5221" spans="1:3" x14ac:dyDescent="0.25">
      <c r="A5221" s="178">
        <v>94537</v>
      </c>
      <c r="B5221" s="179" t="s">
        <v>456</v>
      </c>
      <c r="C5221" s="180">
        <v>99999</v>
      </c>
    </row>
    <row r="5222" spans="1:3" x14ac:dyDescent="0.25">
      <c r="A5222" s="178">
        <v>94538</v>
      </c>
      <c r="B5222" s="179" t="s">
        <v>456</v>
      </c>
      <c r="C5222" s="180">
        <v>99999</v>
      </c>
    </row>
    <row r="5223" spans="1:3" x14ac:dyDescent="0.25">
      <c r="A5223" s="178">
        <v>94540</v>
      </c>
      <c r="B5223" s="179" t="s">
        <v>456</v>
      </c>
      <c r="C5223" s="180">
        <v>99999</v>
      </c>
    </row>
    <row r="5224" spans="1:3" x14ac:dyDescent="0.25">
      <c r="A5224" s="178">
        <v>94541</v>
      </c>
      <c r="B5224" s="179" t="s">
        <v>456</v>
      </c>
      <c r="C5224" s="180">
        <v>99999</v>
      </c>
    </row>
    <row r="5225" spans="1:3" x14ac:dyDescent="0.25">
      <c r="A5225" s="178">
        <v>94542</v>
      </c>
      <c r="B5225" s="179" t="s">
        <v>456</v>
      </c>
      <c r="C5225" s="180">
        <v>99999</v>
      </c>
    </row>
    <row r="5226" spans="1:3" x14ac:dyDescent="0.25">
      <c r="A5226" s="178">
        <v>94543</v>
      </c>
      <c r="B5226" s="179" t="s">
        <v>456</v>
      </c>
      <c r="C5226" s="180">
        <v>99999</v>
      </c>
    </row>
    <row r="5227" spans="1:3" x14ac:dyDescent="0.25">
      <c r="A5227" s="178">
        <v>94546</v>
      </c>
      <c r="B5227" s="179" t="s">
        <v>456</v>
      </c>
      <c r="C5227" s="180">
        <v>99999</v>
      </c>
    </row>
    <row r="5228" spans="1:3" x14ac:dyDescent="0.25">
      <c r="A5228" s="178">
        <v>94547</v>
      </c>
      <c r="B5228" s="179" t="s">
        <v>456</v>
      </c>
      <c r="C5228" s="180">
        <v>99999</v>
      </c>
    </row>
    <row r="5229" spans="1:3" x14ac:dyDescent="0.25">
      <c r="A5229" s="178">
        <v>94548</v>
      </c>
      <c r="B5229" s="179" t="s">
        <v>456</v>
      </c>
      <c r="C5229" s="180">
        <v>99999</v>
      </c>
    </row>
    <row r="5230" spans="1:3" x14ac:dyDescent="0.25">
      <c r="A5230" s="178">
        <v>94549</v>
      </c>
      <c r="B5230" s="179" t="s">
        <v>456</v>
      </c>
      <c r="C5230" s="180">
        <v>99999</v>
      </c>
    </row>
    <row r="5231" spans="1:3" x14ac:dyDescent="0.25">
      <c r="A5231" s="178">
        <v>94550</v>
      </c>
      <c r="B5231" s="179" t="s">
        <v>456</v>
      </c>
      <c r="C5231" s="180">
        <v>99999</v>
      </c>
    </row>
    <row r="5232" spans="1:3" x14ac:dyDescent="0.25">
      <c r="A5232" s="178">
        <v>94551</v>
      </c>
      <c r="B5232" s="179" t="s">
        <v>456</v>
      </c>
      <c r="C5232" s="180">
        <v>99999</v>
      </c>
    </row>
    <row r="5233" spans="1:3" x14ac:dyDescent="0.25">
      <c r="A5233" s="178">
        <v>94552</v>
      </c>
      <c r="B5233" s="179" t="s">
        <v>456</v>
      </c>
      <c r="C5233" s="180">
        <v>99999</v>
      </c>
    </row>
    <row r="5234" spans="1:3" x14ac:dyDescent="0.25">
      <c r="A5234" s="178">
        <v>94553</v>
      </c>
      <c r="B5234" s="179" t="s">
        <v>456</v>
      </c>
      <c r="C5234" s="180">
        <v>99999</v>
      </c>
    </row>
    <row r="5235" spans="1:3" x14ac:dyDescent="0.25">
      <c r="A5235" s="178">
        <v>94554</v>
      </c>
      <c r="B5235" s="179" t="s">
        <v>456</v>
      </c>
      <c r="C5235" s="180">
        <v>99999</v>
      </c>
    </row>
    <row r="5236" spans="1:3" x14ac:dyDescent="0.25">
      <c r="A5236" s="178">
        <v>94555</v>
      </c>
      <c r="B5236" s="179" t="s">
        <v>456</v>
      </c>
      <c r="C5236" s="180">
        <v>99999</v>
      </c>
    </row>
    <row r="5237" spans="1:3" x14ac:dyDescent="0.25">
      <c r="A5237" s="178">
        <v>94556</v>
      </c>
      <c r="B5237" s="179" t="s">
        <v>456</v>
      </c>
      <c r="C5237" s="180">
        <v>99999</v>
      </c>
    </row>
    <row r="5238" spans="1:3" x14ac:dyDescent="0.25">
      <c r="A5238" s="178">
        <v>94557</v>
      </c>
      <c r="B5238" s="179" t="s">
        <v>456</v>
      </c>
      <c r="C5238" s="180">
        <v>99999</v>
      </c>
    </row>
    <row r="5239" spans="1:3" x14ac:dyDescent="0.25">
      <c r="A5239" s="178">
        <v>94558</v>
      </c>
      <c r="B5239" s="179" t="s">
        <v>456</v>
      </c>
      <c r="C5239" s="180">
        <v>99999</v>
      </c>
    </row>
    <row r="5240" spans="1:3" x14ac:dyDescent="0.25">
      <c r="A5240" s="178">
        <v>94559</v>
      </c>
      <c r="B5240" s="179" t="s">
        <v>456</v>
      </c>
      <c r="C5240" s="180">
        <v>99999</v>
      </c>
    </row>
    <row r="5241" spans="1:3" x14ac:dyDescent="0.25">
      <c r="A5241" s="178">
        <v>94560</v>
      </c>
      <c r="B5241" s="179" t="s">
        <v>456</v>
      </c>
      <c r="C5241" s="180">
        <v>99999</v>
      </c>
    </row>
    <row r="5242" spans="1:3" x14ac:dyDescent="0.25">
      <c r="A5242" s="178">
        <v>94561</v>
      </c>
      <c r="B5242" s="179" t="s">
        <v>456</v>
      </c>
      <c r="C5242" s="180">
        <v>99999</v>
      </c>
    </row>
    <row r="5243" spans="1:3" x14ac:dyDescent="0.25">
      <c r="A5243" s="178">
        <v>94562</v>
      </c>
      <c r="B5243" s="179" t="s">
        <v>456</v>
      </c>
      <c r="C5243" s="180">
        <v>99999</v>
      </c>
    </row>
    <row r="5244" spans="1:3" x14ac:dyDescent="0.25">
      <c r="A5244" s="178">
        <v>94563</v>
      </c>
      <c r="B5244" s="179" t="s">
        <v>456</v>
      </c>
      <c r="C5244" s="180">
        <v>99999</v>
      </c>
    </row>
    <row r="5245" spans="1:3" x14ac:dyDescent="0.25">
      <c r="A5245" s="178">
        <v>94564</v>
      </c>
      <c r="B5245" s="179" t="s">
        <v>456</v>
      </c>
      <c r="C5245" s="180">
        <v>99999</v>
      </c>
    </row>
    <row r="5246" spans="1:3" x14ac:dyDescent="0.25">
      <c r="A5246" s="178">
        <v>94565</v>
      </c>
      <c r="B5246" s="179" t="s">
        <v>456</v>
      </c>
      <c r="C5246" s="180">
        <v>99999</v>
      </c>
    </row>
    <row r="5247" spans="1:3" x14ac:dyDescent="0.25">
      <c r="A5247" s="178">
        <v>94566</v>
      </c>
      <c r="B5247" s="179" t="s">
        <v>456</v>
      </c>
      <c r="C5247" s="180">
        <v>99999</v>
      </c>
    </row>
    <row r="5248" spans="1:3" x14ac:dyDescent="0.25">
      <c r="A5248" s="178">
        <v>94567</v>
      </c>
      <c r="B5248" s="179" t="s">
        <v>456</v>
      </c>
      <c r="C5248" s="180">
        <v>99999</v>
      </c>
    </row>
    <row r="5249" spans="1:3" x14ac:dyDescent="0.25">
      <c r="A5249" s="178">
        <v>94568</v>
      </c>
      <c r="B5249" s="179" t="s">
        <v>456</v>
      </c>
      <c r="C5249" s="180">
        <v>99999</v>
      </c>
    </row>
    <row r="5250" spans="1:3" x14ac:dyDescent="0.25">
      <c r="A5250" s="178">
        <v>94569</v>
      </c>
      <c r="B5250" s="179" t="s">
        <v>456</v>
      </c>
      <c r="C5250" s="180">
        <v>99999</v>
      </c>
    </row>
    <row r="5251" spans="1:3" x14ac:dyDescent="0.25">
      <c r="A5251" s="178">
        <v>94570</v>
      </c>
      <c r="B5251" s="179" t="s">
        <v>456</v>
      </c>
      <c r="C5251" s="180">
        <v>99999</v>
      </c>
    </row>
    <row r="5252" spans="1:3" x14ac:dyDescent="0.25">
      <c r="A5252" s="178">
        <v>94571</v>
      </c>
      <c r="B5252" s="179" t="s">
        <v>456</v>
      </c>
      <c r="C5252" s="180">
        <v>99999</v>
      </c>
    </row>
    <row r="5253" spans="1:3" x14ac:dyDescent="0.25">
      <c r="A5253" s="178">
        <v>94572</v>
      </c>
      <c r="B5253" s="179" t="s">
        <v>456</v>
      </c>
      <c r="C5253" s="180">
        <v>99999</v>
      </c>
    </row>
    <row r="5254" spans="1:3" x14ac:dyDescent="0.25">
      <c r="A5254" s="178">
        <v>94573</v>
      </c>
      <c r="B5254" s="179" t="s">
        <v>456</v>
      </c>
      <c r="C5254" s="180">
        <v>99999</v>
      </c>
    </row>
    <row r="5255" spans="1:3" x14ac:dyDescent="0.25">
      <c r="A5255" s="178">
        <v>94574</v>
      </c>
      <c r="B5255" s="179" t="s">
        <v>456</v>
      </c>
      <c r="C5255" s="180">
        <v>99999</v>
      </c>
    </row>
    <row r="5256" spans="1:3" x14ac:dyDescent="0.25">
      <c r="A5256" s="178">
        <v>94575</v>
      </c>
      <c r="B5256" s="179" t="s">
        <v>456</v>
      </c>
      <c r="C5256" s="180">
        <v>99999</v>
      </c>
    </row>
    <row r="5257" spans="1:3" x14ac:dyDescent="0.25">
      <c r="A5257" s="178">
        <v>94576</v>
      </c>
      <c r="B5257" s="179" t="s">
        <v>456</v>
      </c>
      <c r="C5257" s="180">
        <v>99999</v>
      </c>
    </row>
    <row r="5258" spans="1:3" x14ac:dyDescent="0.25">
      <c r="A5258" s="178">
        <v>94577</v>
      </c>
      <c r="B5258" s="179" t="s">
        <v>456</v>
      </c>
      <c r="C5258" s="180">
        <v>99999</v>
      </c>
    </row>
    <row r="5259" spans="1:3" x14ac:dyDescent="0.25">
      <c r="A5259" s="178">
        <v>94578</v>
      </c>
      <c r="B5259" s="179" t="s">
        <v>456</v>
      </c>
      <c r="C5259" s="180">
        <v>99999</v>
      </c>
    </row>
    <row r="5260" spans="1:3" x14ac:dyDescent="0.25">
      <c r="A5260" s="178">
        <v>94590</v>
      </c>
      <c r="B5260" s="179" t="s">
        <v>456</v>
      </c>
      <c r="C5260" s="180">
        <v>99999</v>
      </c>
    </row>
    <row r="5261" spans="1:3" x14ac:dyDescent="0.25">
      <c r="A5261" s="178">
        <v>94591</v>
      </c>
      <c r="B5261" s="179" t="s">
        <v>456</v>
      </c>
      <c r="C5261" s="180">
        <v>99999</v>
      </c>
    </row>
    <row r="5262" spans="1:3" x14ac:dyDescent="0.25">
      <c r="A5262" s="178">
        <v>94592</v>
      </c>
      <c r="B5262" s="179" t="s">
        <v>456</v>
      </c>
      <c r="C5262" s="180">
        <v>99999</v>
      </c>
    </row>
    <row r="5263" spans="1:3" x14ac:dyDescent="0.25">
      <c r="A5263" s="178">
        <v>94593</v>
      </c>
      <c r="B5263" s="179" t="s">
        <v>456</v>
      </c>
      <c r="C5263" s="180">
        <v>99999</v>
      </c>
    </row>
    <row r="5264" spans="1:3" x14ac:dyDescent="0.25">
      <c r="A5264" s="178">
        <v>94594</v>
      </c>
      <c r="B5264" s="179" t="s">
        <v>456</v>
      </c>
      <c r="C5264" s="180">
        <v>99999</v>
      </c>
    </row>
    <row r="5265" spans="1:3" x14ac:dyDescent="0.25">
      <c r="A5265" s="178">
        <v>94595</v>
      </c>
      <c r="B5265" s="179" t="s">
        <v>456</v>
      </c>
      <c r="C5265" s="180">
        <v>99999</v>
      </c>
    </row>
    <row r="5266" spans="1:3" x14ac:dyDescent="0.25">
      <c r="A5266" s="178">
        <v>94596</v>
      </c>
      <c r="B5266" s="179" t="s">
        <v>456</v>
      </c>
      <c r="C5266" s="180">
        <v>99999</v>
      </c>
    </row>
    <row r="5267" spans="1:3" x14ac:dyDescent="0.25">
      <c r="A5267" s="178">
        <v>94597</v>
      </c>
      <c r="B5267" s="179" t="s">
        <v>456</v>
      </c>
      <c r="C5267" s="180">
        <v>99999</v>
      </c>
    </row>
    <row r="5268" spans="1:3" x14ac:dyDescent="0.25">
      <c r="A5268" s="178">
        <v>94598</v>
      </c>
      <c r="B5268" s="179" t="s">
        <v>456</v>
      </c>
      <c r="C5268" s="180">
        <v>99999</v>
      </c>
    </row>
    <row r="5269" spans="1:3" x14ac:dyDescent="0.25">
      <c r="A5269" s="178">
        <v>94599</v>
      </c>
      <c r="B5269" s="179" t="s">
        <v>456</v>
      </c>
      <c r="C5269" s="180">
        <v>99999</v>
      </c>
    </row>
    <row r="5270" spans="1:3" x14ac:dyDescent="0.25">
      <c r="A5270" s="178">
        <v>94646</v>
      </c>
      <c r="B5270" s="179" t="s">
        <v>456</v>
      </c>
      <c r="C5270" s="180">
        <v>99999</v>
      </c>
    </row>
    <row r="5271" spans="1:3" x14ac:dyDescent="0.25">
      <c r="A5271" s="178">
        <v>94647</v>
      </c>
      <c r="B5271" s="179" t="s">
        <v>456</v>
      </c>
      <c r="C5271" s="180">
        <v>99999</v>
      </c>
    </row>
    <row r="5272" spans="1:3" x14ac:dyDescent="0.25">
      <c r="A5272" s="178">
        <v>94648</v>
      </c>
      <c r="B5272" s="179" t="s">
        <v>456</v>
      </c>
      <c r="C5272" s="180">
        <v>99999</v>
      </c>
    </row>
    <row r="5273" spans="1:3" x14ac:dyDescent="0.25">
      <c r="A5273" s="178">
        <v>94649</v>
      </c>
      <c r="B5273" s="179" t="s">
        <v>456</v>
      </c>
      <c r="C5273" s="180">
        <v>99999</v>
      </c>
    </row>
    <row r="5274" spans="1:3" x14ac:dyDescent="0.25">
      <c r="A5274" s="178">
        <v>94858</v>
      </c>
      <c r="B5274" s="179" t="s">
        <v>456</v>
      </c>
      <c r="C5274" s="180">
        <v>99999</v>
      </c>
    </row>
    <row r="5275" spans="1:3" x14ac:dyDescent="0.25">
      <c r="A5275" s="178">
        <v>94859</v>
      </c>
      <c r="B5275" s="179" t="s">
        <v>456</v>
      </c>
      <c r="C5275" s="180">
        <v>99999</v>
      </c>
    </row>
    <row r="5276" spans="1:3" x14ac:dyDescent="0.25">
      <c r="A5276" s="178">
        <v>94905</v>
      </c>
      <c r="B5276" s="179" t="s">
        <v>456</v>
      </c>
      <c r="C5276" s="180">
        <v>99999</v>
      </c>
    </row>
    <row r="5277" spans="1:3" x14ac:dyDescent="0.25">
      <c r="A5277" s="178">
        <v>94906</v>
      </c>
      <c r="B5277" s="179" t="s">
        <v>456</v>
      </c>
      <c r="C5277" s="180">
        <v>99999</v>
      </c>
    </row>
    <row r="5278" spans="1:3" x14ac:dyDescent="0.25">
      <c r="A5278" s="178">
        <v>94907</v>
      </c>
      <c r="B5278" s="179" t="s">
        <v>456</v>
      </c>
      <c r="C5278" s="180">
        <v>99999</v>
      </c>
    </row>
    <row r="5279" spans="1:3" x14ac:dyDescent="0.25">
      <c r="A5279" s="178">
        <v>94908</v>
      </c>
      <c r="B5279" s="179" t="s">
        <v>456</v>
      </c>
      <c r="C5279" s="180">
        <v>99999</v>
      </c>
    </row>
    <row r="5280" spans="1:3" x14ac:dyDescent="0.25">
      <c r="A5280" s="178">
        <v>94909</v>
      </c>
      <c r="B5280" s="179" t="s">
        <v>456</v>
      </c>
      <c r="C5280" s="180">
        <v>99999</v>
      </c>
    </row>
    <row r="5281" spans="1:3" x14ac:dyDescent="0.25">
      <c r="A5281" s="178">
        <v>94913</v>
      </c>
      <c r="B5281" s="179" t="s">
        <v>456</v>
      </c>
      <c r="C5281" s="180">
        <v>99999</v>
      </c>
    </row>
    <row r="5282" spans="1:3" x14ac:dyDescent="0.25">
      <c r="A5282" s="178">
        <v>94914</v>
      </c>
      <c r="B5282" s="179" t="s">
        <v>456</v>
      </c>
      <c r="C5282" s="180">
        <v>99999</v>
      </c>
    </row>
    <row r="5283" spans="1:3" x14ac:dyDescent="0.25">
      <c r="A5283" s="178">
        <v>94915</v>
      </c>
      <c r="B5283" s="179" t="s">
        <v>456</v>
      </c>
      <c r="C5283" s="180">
        <v>99999</v>
      </c>
    </row>
    <row r="5284" spans="1:3" x14ac:dyDescent="0.25">
      <c r="A5284" s="178">
        <v>94916</v>
      </c>
      <c r="B5284" s="179" t="s">
        <v>456</v>
      </c>
      <c r="C5284" s="180">
        <v>99999</v>
      </c>
    </row>
    <row r="5285" spans="1:3" x14ac:dyDescent="0.25">
      <c r="A5285" s="178">
        <v>94917</v>
      </c>
      <c r="B5285" s="179" t="s">
        <v>456</v>
      </c>
      <c r="C5285" s="180">
        <v>99999</v>
      </c>
    </row>
    <row r="5286" spans="1:3" x14ac:dyDescent="0.25">
      <c r="A5286" s="178">
        <v>94918</v>
      </c>
      <c r="B5286" s="179" t="s">
        <v>456</v>
      </c>
      <c r="C5286" s="180">
        <v>99999</v>
      </c>
    </row>
    <row r="5287" spans="1:3" x14ac:dyDescent="0.25">
      <c r="A5287" s="178">
        <v>94919</v>
      </c>
      <c r="B5287" s="179" t="s">
        <v>456</v>
      </c>
      <c r="C5287" s="180">
        <v>99999</v>
      </c>
    </row>
    <row r="5288" spans="1:3" x14ac:dyDescent="0.25">
      <c r="A5288" s="178">
        <v>94920</v>
      </c>
      <c r="B5288" s="179" t="s">
        <v>456</v>
      </c>
      <c r="C5288" s="180">
        <v>99999</v>
      </c>
    </row>
    <row r="5289" spans="1:3" x14ac:dyDescent="0.25">
      <c r="A5289" s="178">
        <v>94921</v>
      </c>
      <c r="B5289" s="179" t="s">
        <v>456</v>
      </c>
      <c r="C5289" s="180">
        <v>99999</v>
      </c>
    </row>
    <row r="5290" spans="1:3" x14ac:dyDescent="0.25">
      <c r="A5290" s="178">
        <v>94922</v>
      </c>
      <c r="B5290" s="179" t="s">
        <v>456</v>
      </c>
      <c r="C5290" s="180">
        <v>99999</v>
      </c>
    </row>
    <row r="5291" spans="1:3" x14ac:dyDescent="0.25">
      <c r="A5291" s="178">
        <v>94923</v>
      </c>
      <c r="B5291" s="179" t="s">
        <v>456</v>
      </c>
      <c r="C5291" s="180">
        <v>99999</v>
      </c>
    </row>
    <row r="5292" spans="1:3" x14ac:dyDescent="0.25">
      <c r="A5292" s="178">
        <v>94924</v>
      </c>
      <c r="B5292" s="179" t="s">
        <v>456</v>
      </c>
      <c r="C5292" s="180">
        <v>99999</v>
      </c>
    </row>
    <row r="5293" spans="1:3" x14ac:dyDescent="0.25">
      <c r="A5293" s="178">
        <v>94925</v>
      </c>
      <c r="B5293" s="179" t="s">
        <v>456</v>
      </c>
      <c r="C5293" s="180">
        <v>99999</v>
      </c>
    </row>
    <row r="5294" spans="1:3" x14ac:dyDescent="0.25">
      <c r="A5294" s="178">
        <v>94928</v>
      </c>
      <c r="B5294" s="179" t="s">
        <v>456</v>
      </c>
      <c r="C5294" s="180">
        <v>99999</v>
      </c>
    </row>
    <row r="5295" spans="1:3" x14ac:dyDescent="0.25">
      <c r="A5295" s="178">
        <v>94929</v>
      </c>
      <c r="B5295" s="179" t="s">
        <v>456</v>
      </c>
      <c r="C5295" s="180">
        <v>99999</v>
      </c>
    </row>
    <row r="5296" spans="1:3" x14ac:dyDescent="0.25">
      <c r="A5296" s="178">
        <v>94930</v>
      </c>
      <c r="B5296" s="179" t="s">
        <v>456</v>
      </c>
      <c r="C5296" s="180">
        <v>99999</v>
      </c>
    </row>
    <row r="5297" spans="1:3" x14ac:dyDescent="0.25">
      <c r="A5297" s="178">
        <v>94931</v>
      </c>
      <c r="B5297" s="179" t="s">
        <v>456</v>
      </c>
      <c r="C5297" s="180">
        <v>99999</v>
      </c>
    </row>
    <row r="5298" spans="1:3" x14ac:dyDescent="0.25">
      <c r="A5298" s="178">
        <v>94932</v>
      </c>
      <c r="B5298" s="179" t="s">
        <v>456</v>
      </c>
      <c r="C5298" s="180">
        <v>99999</v>
      </c>
    </row>
    <row r="5299" spans="1:3" x14ac:dyDescent="0.25">
      <c r="A5299" s="178">
        <v>94933</v>
      </c>
      <c r="B5299" s="179" t="s">
        <v>456</v>
      </c>
      <c r="C5299" s="180">
        <v>99999</v>
      </c>
    </row>
    <row r="5300" spans="1:3" x14ac:dyDescent="0.25">
      <c r="A5300" s="178">
        <v>94934</v>
      </c>
      <c r="B5300" s="179" t="s">
        <v>456</v>
      </c>
      <c r="C5300" s="180">
        <v>99999</v>
      </c>
    </row>
    <row r="5301" spans="1:3" x14ac:dyDescent="0.25">
      <c r="A5301" s="178">
        <v>94935</v>
      </c>
      <c r="B5301" s="179" t="s">
        <v>456</v>
      </c>
      <c r="C5301" s="180">
        <v>99999</v>
      </c>
    </row>
    <row r="5302" spans="1:3" x14ac:dyDescent="0.25">
      <c r="A5302" s="178">
        <v>94938</v>
      </c>
      <c r="B5302" s="179" t="s">
        <v>456</v>
      </c>
      <c r="C5302" s="180">
        <v>99999</v>
      </c>
    </row>
    <row r="5303" spans="1:3" x14ac:dyDescent="0.25">
      <c r="A5303" s="178">
        <v>94939</v>
      </c>
      <c r="B5303" s="179" t="s">
        <v>456</v>
      </c>
      <c r="C5303" s="180">
        <v>99999</v>
      </c>
    </row>
    <row r="5304" spans="1:3" x14ac:dyDescent="0.25">
      <c r="A5304" s="178">
        <v>94940</v>
      </c>
      <c r="B5304" s="179" t="s">
        <v>456</v>
      </c>
      <c r="C5304" s="180">
        <v>99999</v>
      </c>
    </row>
    <row r="5305" spans="1:3" x14ac:dyDescent="0.25">
      <c r="A5305" s="178">
        <v>94941</v>
      </c>
      <c r="B5305" s="179" t="s">
        <v>456</v>
      </c>
      <c r="C5305" s="180">
        <v>99999</v>
      </c>
    </row>
    <row r="5306" spans="1:3" x14ac:dyDescent="0.25">
      <c r="A5306" s="178">
        <v>94942</v>
      </c>
      <c r="B5306" s="179" t="s">
        <v>456</v>
      </c>
      <c r="C5306" s="180">
        <v>99999</v>
      </c>
    </row>
    <row r="5307" spans="1:3" x14ac:dyDescent="0.25">
      <c r="A5307" s="178">
        <v>94943</v>
      </c>
      <c r="B5307" s="179" t="s">
        <v>456</v>
      </c>
      <c r="C5307" s="180">
        <v>99999</v>
      </c>
    </row>
    <row r="5308" spans="1:3" x14ac:dyDescent="0.25">
      <c r="A5308" s="178">
        <v>94962</v>
      </c>
      <c r="B5308" s="179" t="s">
        <v>456</v>
      </c>
      <c r="C5308" s="180">
        <v>360</v>
      </c>
    </row>
    <row r="5309" spans="1:3" x14ac:dyDescent="0.25">
      <c r="A5309" s="178">
        <v>94964</v>
      </c>
      <c r="B5309" s="179" t="s">
        <v>456</v>
      </c>
      <c r="C5309" s="180">
        <v>480</v>
      </c>
    </row>
    <row r="5310" spans="1:3" x14ac:dyDescent="0.25">
      <c r="A5310" s="178">
        <v>94965</v>
      </c>
      <c r="B5310" s="179" t="s">
        <v>456</v>
      </c>
      <c r="C5310" s="180">
        <v>360</v>
      </c>
    </row>
    <row r="5311" spans="1:3" x14ac:dyDescent="0.25">
      <c r="A5311" s="178">
        <v>94970</v>
      </c>
      <c r="B5311" s="179" t="s">
        <v>456</v>
      </c>
      <c r="C5311" s="180">
        <v>99999</v>
      </c>
    </row>
    <row r="5312" spans="1:3" x14ac:dyDescent="0.25">
      <c r="A5312" s="178">
        <v>94971</v>
      </c>
      <c r="B5312" s="179" t="s">
        <v>456</v>
      </c>
      <c r="C5312" s="180">
        <v>99999</v>
      </c>
    </row>
    <row r="5313" spans="1:3" x14ac:dyDescent="0.25">
      <c r="A5313" s="178">
        <v>94972</v>
      </c>
      <c r="B5313" s="179" t="s">
        <v>456</v>
      </c>
      <c r="C5313" s="180">
        <v>99999</v>
      </c>
    </row>
    <row r="5314" spans="1:3" x14ac:dyDescent="0.25">
      <c r="A5314" s="178">
        <v>94973</v>
      </c>
      <c r="B5314" s="179" t="s">
        <v>456</v>
      </c>
      <c r="C5314" s="180">
        <v>99999</v>
      </c>
    </row>
    <row r="5315" spans="1:3" x14ac:dyDescent="0.25">
      <c r="A5315" s="178">
        <v>94974</v>
      </c>
      <c r="B5315" s="179" t="s">
        <v>456</v>
      </c>
      <c r="C5315" s="180">
        <v>99999</v>
      </c>
    </row>
    <row r="5316" spans="1:3" x14ac:dyDescent="0.25">
      <c r="A5316" s="178">
        <v>94975</v>
      </c>
      <c r="B5316" s="179" t="s">
        <v>456</v>
      </c>
      <c r="C5316" s="180">
        <v>99999</v>
      </c>
    </row>
    <row r="5317" spans="1:3" x14ac:dyDescent="0.25">
      <c r="A5317" s="178">
        <v>94980</v>
      </c>
      <c r="B5317" s="179" t="s">
        <v>456</v>
      </c>
      <c r="C5317" s="180">
        <v>99999</v>
      </c>
    </row>
    <row r="5318" spans="1:3" x14ac:dyDescent="0.25">
      <c r="A5318" s="178">
        <v>94981</v>
      </c>
      <c r="B5318" s="179" t="s">
        <v>456</v>
      </c>
      <c r="C5318" s="180">
        <v>99999</v>
      </c>
    </row>
    <row r="5319" spans="1:3" x14ac:dyDescent="0.25">
      <c r="A5319" s="178">
        <v>94982</v>
      </c>
      <c r="B5319" s="179" t="s">
        <v>456</v>
      </c>
      <c r="C5319" s="180">
        <v>99999</v>
      </c>
    </row>
    <row r="5320" spans="1:3" x14ac:dyDescent="0.25">
      <c r="A5320" s="178">
        <v>94983</v>
      </c>
      <c r="B5320" s="179" t="s">
        <v>456</v>
      </c>
      <c r="C5320" s="180">
        <v>99999</v>
      </c>
    </row>
    <row r="5321" spans="1:3" x14ac:dyDescent="0.25">
      <c r="A5321" s="178">
        <v>94984</v>
      </c>
      <c r="B5321" s="179" t="s">
        <v>456</v>
      </c>
      <c r="C5321" s="180">
        <v>99999</v>
      </c>
    </row>
    <row r="5322" spans="1:3" x14ac:dyDescent="0.25">
      <c r="A5322" s="178">
        <v>94985</v>
      </c>
      <c r="B5322" s="179" t="s">
        <v>456</v>
      </c>
      <c r="C5322" s="180">
        <v>99999</v>
      </c>
    </row>
    <row r="5323" spans="1:3" x14ac:dyDescent="0.25">
      <c r="A5323" s="178">
        <v>94986</v>
      </c>
      <c r="B5323" s="179" t="s">
        <v>456</v>
      </c>
      <c r="C5323" s="180">
        <v>1680</v>
      </c>
    </row>
    <row r="5324" spans="1:3" x14ac:dyDescent="0.25">
      <c r="A5324" s="178">
        <v>94987</v>
      </c>
      <c r="B5324" s="179" t="s">
        <v>456</v>
      </c>
      <c r="C5324" s="180">
        <v>1400</v>
      </c>
    </row>
    <row r="5325" spans="1:3" x14ac:dyDescent="0.25">
      <c r="A5325" s="178">
        <v>94990</v>
      </c>
      <c r="B5325" s="179" t="s">
        <v>456</v>
      </c>
      <c r="C5325" s="180">
        <v>99999</v>
      </c>
    </row>
    <row r="5326" spans="1:3" x14ac:dyDescent="0.25">
      <c r="A5326" s="178">
        <v>94991</v>
      </c>
      <c r="B5326" s="179" t="s">
        <v>456</v>
      </c>
      <c r="C5326" s="180">
        <v>99999</v>
      </c>
    </row>
    <row r="5327" spans="1:3" x14ac:dyDescent="0.25">
      <c r="A5327" s="178">
        <v>94992</v>
      </c>
      <c r="B5327" s="179" t="s">
        <v>456</v>
      </c>
      <c r="C5327" s="180">
        <v>99999</v>
      </c>
    </row>
    <row r="5328" spans="1:3" x14ac:dyDescent="0.25">
      <c r="A5328" s="178">
        <v>94994</v>
      </c>
      <c r="B5328" s="179" t="s">
        <v>456</v>
      </c>
      <c r="C5328" s="180">
        <v>99999</v>
      </c>
    </row>
    <row r="5329" spans="1:3" x14ac:dyDescent="0.25">
      <c r="A5329" s="178">
        <v>94995</v>
      </c>
      <c r="B5329" s="179" t="s">
        <v>456</v>
      </c>
      <c r="C5329" s="180">
        <v>99999</v>
      </c>
    </row>
    <row r="5330" spans="1:3" x14ac:dyDescent="0.25">
      <c r="A5330" s="178">
        <v>94997</v>
      </c>
      <c r="B5330" s="179" t="s">
        <v>456</v>
      </c>
      <c r="C5330" s="180">
        <v>99999</v>
      </c>
    </row>
    <row r="5331" spans="1:3" x14ac:dyDescent="0.25">
      <c r="A5331" s="178">
        <v>94998</v>
      </c>
      <c r="B5331" s="179" t="s">
        <v>456</v>
      </c>
      <c r="C5331" s="180">
        <v>1400</v>
      </c>
    </row>
    <row r="5332" spans="1:3" x14ac:dyDescent="0.25">
      <c r="A5332" s="178">
        <v>97277</v>
      </c>
      <c r="B5332" s="179" t="s">
        <v>456</v>
      </c>
      <c r="C5332" s="180">
        <v>630</v>
      </c>
    </row>
    <row r="5333" spans="1:3" x14ac:dyDescent="0.25">
      <c r="A5333" s="178">
        <v>98229</v>
      </c>
      <c r="B5333" s="179" t="s">
        <v>456</v>
      </c>
      <c r="C5333" s="180">
        <v>1</v>
      </c>
    </row>
    <row r="5334" spans="1:3" x14ac:dyDescent="0.25">
      <c r="A5334" s="178">
        <v>100009</v>
      </c>
      <c r="B5334" s="179" t="s">
        <v>456</v>
      </c>
      <c r="C5334" s="180">
        <v>30</v>
      </c>
    </row>
    <row r="5335" spans="1:3" x14ac:dyDescent="0.25">
      <c r="A5335" s="178">
        <v>100027</v>
      </c>
      <c r="B5335" s="179" t="s">
        <v>456</v>
      </c>
      <c r="C5335" s="180">
        <v>30</v>
      </c>
    </row>
    <row r="5336" spans="1:3" x14ac:dyDescent="0.25">
      <c r="A5336" s="178">
        <v>100057</v>
      </c>
      <c r="B5336" s="179" t="s">
        <v>456</v>
      </c>
      <c r="C5336" s="180">
        <v>30</v>
      </c>
    </row>
    <row r="5337" spans="1:3" x14ac:dyDescent="0.25">
      <c r="A5337" s="178">
        <v>100073</v>
      </c>
      <c r="B5337" s="179" t="s">
        <v>456</v>
      </c>
      <c r="C5337" s="180">
        <v>30</v>
      </c>
    </row>
    <row r="5338" spans="1:3" x14ac:dyDescent="0.25">
      <c r="A5338" s="178">
        <v>100078</v>
      </c>
      <c r="B5338" s="179" t="s">
        <v>456</v>
      </c>
      <c r="C5338" s="180">
        <v>30</v>
      </c>
    </row>
    <row r="5339" spans="1:3" x14ac:dyDescent="0.25">
      <c r="A5339" s="178">
        <v>100118</v>
      </c>
      <c r="B5339" s="179" t="s">
        <v>456</v>
      </c>
      <c r="C5339" s="180">
        <v>135</v>
      </c>
    </row>
    <row r="5340" spans="1:3" x14ac:dyDescent="0.25">
      <c r="A5340" s="178">
        <v>100123</v>
      </c>
      <c r="B5340" s="179" t="s">
        <v>456</v>
      </c>
      <c r="C5340" s="180">
        <v>176</v>
      </c>
    </row>
    <row r="5341" spans="1:3" x14ac:dyDescent="0.25">
      <c r="A5341" s="178">
        <v>100124</v>
      </c>
      <c r="B5341" s="179" t="s">
        <v>456</v>
      </c>
      <c r="C5341" s="180">
        <v>135</v>
      </c>
    </row>
    <row r="5342" spans="1:3" x14ac:dyDescent="0.25">
      <c r="A5342" s="178">
        <v>100127</v>
      </c>
      <c r="B5342" s="179" t="s">
        <v>456</v>
      </c>
      <c r="C5342" s="180">
        <v>30</v>
      </c>
    </row>
    <row r="5343" spans="1:3" x14ac:dyDescent="0.25">
      <c r="A5343" s="178">
        <v>100141</v>
      </c>
      <c r="B5343" s="179" t="s">
        <v>456</v>
      </c>
      <c r="C5343" s="180">
        <v>30</v>
      </c>
    </row>
    <row r="5344" spans="1:3" x14ac:dyDescent="0.25">
      <c r="A5344" s="178">
        <v>100152</v>
      </c>
      <c r="B5344" s="179" t="s">
        <v>456</v>
      </c>
      <c r="C5344" s="180">
        <v>176</v>
      </c>
    </row>
    <row r="5345" spans="1:3" x14ac:dyDescent="0.25">
      <c r="A5345" s="178">
        <v>100160</v>
      </c>
      <c r="B5345" s="179" t="s">
        <v>456</v>
      </c>
      <c r="C5345" s="180">
        <v>176</v>
      </c>
    </row>
    <row r="5346" spans="1:3" x14ac:dyDescent="0.25">
      <c r="A5346" s="178">
        <v>100207</v>
      </c>
      <c r="B5346" s="179" t="s">
        <v>456</v>
      </c>
      <c r="C5346" s="180">
        <v>135</v>
      </c>
    </row>
    <row r="5347" spans="1:3" x14ac:dyDescent="0.25">
      <c r="A5347" s="178">
        <v>100218</v>
      </c>
      <c r="B5347" s="179" t="s">
        <v>456</v>
      </c>
      <c r="C5347" s="180">
        <v>384</v>
      </c>
    </row>
    <row r="5348" spans="1:3" x14ac:dyDescent="0.25">
      <c r="A5348" s="178">
        <v>100227</v>
      </c>
      <c r="B5348" s="179" t="s">
        <v>456</v>
      </c>
      <c r="C5348" s="180">
        <v>135</v>
      </c>
    </row>
    <row r="5349" spans="1:3" x14ac:dyDescent="0.25">
      <c r="A5349" s="178">
        <v>100233</v>
      </c>
      <c r="B5349" s="179" t="s">
        <v>456</v>
      </c>
      <c r="C5349" s="180">
        <v>30</v>
      </c>
    </row>
    <row r="5350" spans="1:3" x14ac:dyDescent="0.25">
      <c r="A5350" s="178">
        <v>100257</v>
      </c>
      <c r="B5350" s="179" t="s">
        <v>456</v>
      </c>
      <c r="C5350" s="180">
        <v>135</v>
      </c>
    </row>
    <row r="5351" spans="1:3" x14ac:dyDescent="0.25">
      <c r="A5351" s="178">
        <v>100264</v>
      </c>
      <c r="B5351" s="179" t="s">
        <v>456</v>
      </c>
      <c r="C5351" s="180">
        <v>176</v>
      </c>
    </row>
    <row r="5352" spans="1:3" x14ac:dyDescent="0.25">
      <c r="A5352" s="178">
        <v>100267</v>
      </c>
      <c r="B5352" s="179" t="s">
        <v>456</v>
      </c>
      <c r="C5352" s="180">
        <v>30</v>
      </c>
    </row>
    <row r="5353" spans="1:3" x14ac:dyDescent="0.25">
      <c r="A5353" s="178">
        <v>100268</v>
      </c>
      <c r="B5353" s="179" t="s">
        <v>456</v>
      </c>
      <c r="C5353" s="180">
        <v>30</v>
      </c>
    </row>
    <row r="5354" spans="1:3" x14ac:dyDescent="0.25">
      <c r="A5354" s="178">
        <v>100269</v>
      </c>
      <c r="B5354" s="179" t="s">
        <v>456</v>
      </c>
      <c r="C5354" s="180">
        <v>30</v>
      </c>
    </row>
    <row r="5355" spans="1:3" x14ac:dyDescent="0.25">
      <c r="A5355" s="178">
        <v>100270</v>
      </c>
      <c r="B5355" s="179" t="s">
        <v>456</v>
      </c>
      <c r="C5355" s="180">
        <v>30</v>
      </c>
    </row>
    <row r="5356" spans="1:3" x14ac:dyDescent="0.25">
      <c r="A5356" s="178">
        <v>100271</v>
      </c>
      <c r="B5356" s="179" t="s">
        <v>456</v>
      </c>
      <c r="C5356" s="180">
        <v>30</v>
      </c>
    </row>
    <row r="5357" spans="1:3" x14ac:dyDescent="0.25">
      <c r="A5357" s="178">
        <v>100272</v>
      </c>
      <c r="B5357" s="179" t="s">
        <v>456</v>
      </c>
      <c r="C5357" s="180">
        <v>30</v>
      </c>
    </row>
    <row r="5358" spans="1:3" x14ac:dyDescent="0.25">
      <c r="A5358" s="178">
        <v>100273</v>
      </c>
      <c r="B5358" s="179" t="s">
        <v>456</v>
      </c>
      <c r="C5358" s="180">
        <v>120</v>
      </c>
    </row>
    <row r="5359" spans="1:3" x14ac:dyDescent="0.25">
      <c r="A5359" s="178">
        <v>100274</v>
      </c>
      <c r="B5359" s="179" t="s">
        <v>456</v>
      </c>
      <c r="C5359" s="180">
        <v>30</v>
      </c>
    </row>
    <row r="5360" spans="1:3" x14ac:dyDescent="0.25">
      <c r="A5360" s="178">
        <v>100278</v>
      </c>
      <c r="B5360" s="179" t="s">
        <v>456</v>
      </c>
      <c r="C5360" s="180">
        <v>30</v>
      </c>
    </row>
    <row r="5361" spans="1:3" x14ac:dyDescent="0.25">
      <c r="A5361" s="178">
        <v>100279</v>
      </c>
      <c r="B5361" s="179" t="s">
        <v>456</v>
      </c>
      <c r="C5361" s="180">
        <v>135</v>
      </c>
    </row>
    <row r="5362" spans="1:3" x14ac:dyDescent="0.25">
      <c r="A5362" s="178">
        <v>100280</v>
      </c>
      <c r="B5362" s="179" t="s">
        <v>456</v>
      </c>
      <c r="C5362" s="180">
        <v>176</v>
      </c>
    </row>
    <row r="5363" spans="1:3" x14ac:dyDescent="0.25">
      <c r="A5363" s="178">
        <v>100288</v>
      </c>
      <c r="B5363" s="179" t="s">
        <v>456</v>
      </c>
      <c r="C5363" s="180">
        <v>30</v>
      </c>
    </row>
    <row r="5364" spans="1:3" x14ac:dyDescent="0.25">
      <c r="A5364" s="178">
        <v>100292</v>
      </c>
      <c r="B5364" s="179" t="s">
        <v>456</v>
      </c>
      <c r="C5364" s="180">
        <v>176</v>
      </c>
    </row>
    <row r="5365" spans="1:3" x14ac:dyDescent="0.25">
      <c r="A5365" s="178">
        <v>100297</v>
      </c>
      <c r="B5365" s="179" t="s">
        <v>456</v>
      </c>
      <c r="C5365" s="180">
        <v>176</v>
      </c>
    </row>
    <row r="5366" spans="1:3" x14ac:dyDescent="0.25">
      <c r="A5366" s="178">
        <v>100300</v>
      </c>
      <c r="B5366" s="179" t="s">
        <v>456</v>
      </c>
      <c r="C5366" s="180">
        <v>30</v>
      </c>
    </row>
    <row r="5367" spans="1:3" x14ac:dyDescent="0.25">
      <c r="A5367" s="178">
        <v>100301</v>
      </c>
      <c r="B5367" s="179" t="s">
        <v>456</v>
      </c>
      <c r="C5367" s="180">
        <v>176</v>
      </c>
    </row>
    <row r="5368" spans="1:3" x14ac:dyDescent="0.25">
      <c r="A5368" s="178">
        <v>100302</v>
      </c>
      <c r="B5368" s="179" t="s">
        <v>456</v>
      </c>
      <c r="C5368" s="180">
        <v>176</v>
      </c>
    </row>
    <row r="5369" spans="1:3" x14ac:dyDescent="0.25">
      <c r="A5369" s="178">
        <v>100315</v>
      </c>
      <c r="B5369" s="179" t="s">
        <v>456</v>
      </c>
      <c r="C5369" s="180">
        <v>168</v>
      </c>
    </row>
    <row r="5370" spans="1:3" x14ac:dyDescent="0.25">
      <c r="A5370" s="178">
        <v>100316</v>
      </c>
      <c r="B5370" s="179" t="s">
        <v>456</v>
      </c>
      <c r="C5370" s="180">
        <v>168</v>
      </c>
    </row>
    <row r="5371" spans="1:3" x14ac:dyDescent="0.25">
      <c r="A5371" s="178">
        <v>100321</v>
      </c>
      <c r="B5371" s="179" t="s">
        <v>456</v>
      </c>
      <c r="C5371" s="180">
        <v>168</v>
      </c>
    </row>
    <row r="5372" spans="1:3" x14ac:dyDescent="0.25">
      <c r="A5372" s="178">
        <v>100325</v>
      </c>
      <c r="B5372" s="179" t="s">
        <v>456</v>
      </c>
      <c r="C5372" s="180">
        <v>168</v>
      </c>
    </row>
    <row r="5373" spans="1:3" x14ac:dyDescent="0.25">
      <c r="A5373" s="178">
        <v>100328</v>
      </c>
      <c r="B5373" s="179" t="s">
        <v>456</v>
      </c>
      <c r="C5373" s="180">
        <v>168</v>
      </c>
    </row>
    <row r="5374" spans="1:3" x14ac:dyDescent="0.25">
      <c r="A5374" s="178">
        <v>100375</v>
      </c>
      <c r="B5374" s="179" t="s">
        <v>456</v>
      </c>
      <c r="C5374" s="180">
        <v>30</v>
      </c>
    </row>
    <row r="5375" spans="1:3" x14ac:dyDescent="0.25">
      <c r="A5375" s="178">
        <v>100441</v>
      </c>
      <c r="B5375" s="179" t="s">
        <v>456</v>
      </c>
      <c r="C5375" s="180">
        <v>162</v>
      </c>
    </row>
    <row r="5376" spans="1:3" x14ac:dyDescent="0.25">
      <c r="A5376" s="178">
        <v>100467</v>
      </c>
      <c r="B5376" s="179" t="s">
        <v>456</v>
      </c>
      <c r="C5376" s="180">
        <v>30</v>
      </c>
    </row>
    <row r="5377" spans="1:3" x14ac:dyDescent="0.25">
      <c r="A5377" s="178">
        <v>100474</v>
      </c>
      <c r="B5377" s="179" t="s">
        <v>456</v>
      </c>
      <c r="C5377" s="180">
        <v>115</v>
      </c>
    </row>
    <row r="5378" spans="1:3" x14ac:dyDescent="0.25">
      <c r="A5378" s="178">
        <v>100492</v>
      </c>
      <c r="B5378" s="179" t="s">
        <v>456</v>
      </c>
      <c r="C5378" s="180">
        <v>115</v>
      </c>
    </row>
    <row r="5379" spans="1:3" x14ac:dyDescent="0.25">
      <c r="A5379" s="178">
        <v>100498</v>
      </c>
      <c r="B5379" s="179" t="s">
        <v>456</v>
      </c>
      <c r="C5379" s="180">
        <v>30</v>
      </c>
    </row>
    <row r="5380" spans="1:3" x14ac:dyDescent="0.25">
      <c r="A5380" s="178">
        <v>100502</v>
      </c>
      <c r="B5380" s="179" t="s">
        <v>456</v>
      </c>
      <c r="C5380" s="180">
        <v>162</v>
      </c>
    </row>
    <row r="5381" spans="1:3" x14ac:dyDescent="0.25">
      <c r="A5381" s="178">
        <v>100504</v>
      </c>
      <c r="B5381" s="179" t="s">
        <v>456</v>
      </c>
      <c r="C5381" s="180">
        <v>120</v>
      </c>
    </row>
    <row r="5382" spans="1:3" x14ac:dyDescent="0.25">
      <c r="A5382" s="178">
        <v>100514</v>
      </c>
      <c r="B5382" s="179" t="s">
        <v>456</v>
      </c>
      <c r="C5382" s="180">
        <v>230</v>
      </c>
    </row>
    <row r="5383" spans="1:3" x14ac:dyDescent="0.25">
      <c r="A5383" s="178">
        <v>100515</v>
      </c>
      <c r="B5383" s="179" t="s">
        <v>456</v>
      </c>
      <c r="C5383" s="180">
        <v>128</v>
      </c>
    </row>
    <row r="5384" spans="1:3" x14ac:dyDescent="0.25">
      <c r="A5384" s="178">
        <v>100516</v>
      </c>
      <c r="B5384" s="179" t="s">
        <v>456</v>
      </c>
      <c r="C5384" s="180">
        <v>230</v>
      </c>
    </row>
    <row r="5385" spans="1:3" x14ac:dyDescent="0.25">
      <c r="A5385" s="178">
        <v>100517</v>
      </c>
      <c r="B5385" s="179" t="s">
        <v>456</v>
      </c>
      <c r="C5385" s="180">
        <v>72</v>
      </c>
    </row>
    <row r="5386" spans="1:3" x14ac:dyDescent="0.25">
      <c r="A5386" s="178">
        <v>100519</v>
      </c>
      <c r="B5386" s="179" t="s">
        <v>456</v>
      </c>
      <c r="C5386" s="180">
        <v>35</v>
      </c>
    </row>
    <row r="5387" spans="1:3" x14ac:dyDescent="0.25">
      <c r="A5387" s="178">
        <v>100526</v>
      </c>
      <c r="B5387" s="179" t="s">
        <v>456</v>
      </c>
      <c r="C5387" s="180">
        <v>72</v>
      </c>
    </row>
    <row r="5388" spans="1:3" x14ac:dyDescent="0.25">
      <c r="A5388" s="178">
        <v>100529</v>
      </c>
      <c r="B5388" s="179" t="s">
        <v>456</v>
      </c>
      <c r="C5388" s="180">
        <v>230</v>
      </c>
    </row>
    <row r="5389" spans="1:3" x14ac:dyDescent="0.25">
      <c r="A5389" s="178">
        <v>100534</v>
      </c>
      <c r="B5389" s="179" t="s">
        <v>456</v>
      </c>
      <c r="C5389" s="180">
        <v>230</v>
      </c>
    </row>
    <row r="5390" spans="1:3" x14ac:dyDescent="0.25">
      <c r="A5390" s="178">
        <v>100558</v>
      </c>
      <c r="B5390" s="179" t="s">
        <v>456</v>
      </c>
      <c r="C5390" s="180">
        <v>189</v>
      </c>
    </row>
    <row r="5391" spans="1:3" x14ac:dyDescent="0.25">
      <c r="A5391" s="178">
        <v>100578</v>
      </c>
      <c r="B5391" s="179" t="s">
        <v>456</v>
      </c>
      <c r="C5391" s="180">
        <v>30</v>
      </c>
    </row>
    <row r="5392" spans="1:3" x14ac:dyDescent="0.25">
      <c r="A5392" s="178">
        <v>100607</v>
      </c>
      <c r="B5392" s="179" t="s">
        <v>456</v>
      </c>
      <c r="C5392" s="180">
        <v>48</v>
      </c>
    </row>
    <row r="5393" spans="1:3" x14ac:dyDescent="0.25">
      <c r="A5393" s="178">
        <v>100614</v>
      </c>
      <c r="B5393" s="179" t="s">
        <v>456</v>
      </c>
      <c r="C5393" s="180">
        <v>189</v>
      </c>
    </row>
    <row r="5394" spans="1:3" x14ac:dyDescent="0.25">
      <c r="A5394" s="178">
        <v>100630</v>
      </c>
      <c r="B5394" s="179" t="s">
        <v>456</v>
      </c>
      <c r="C5394" s="180">
        <v>52</v>
      </c>
    </row>
    <row r="5395" spans="1:3" x14ac:dyDescent="0.25">
      <c r="A5395" s="178">
        <v>100632</v>
      </c>
      <c r="B5395" s="179" t="s">
        <v>456</v>
      </c>
      <c r="C5395" s="180">
        <v>48</v>
      </c>
    </row>
    <row r="5396" spans="1:3" x14ac:dyDescent="0.25">
      <c r="A5396" s="178">
        <v>100637</v>
      </c>
      <c r="B5396" s="179" t="s">
        <v>456</v>
      </c>
      <c r="C5396" s="180">
        <v>30</v>
      </c>
    </row>
    <row r="5397" spans="1:3" x14ac:dyDescent="0.25">
      <c r="A5397" s="178">
        <v>100656</v>
      </c>
      <c r="B5397" s="179" t="s">
        <v>456</v>
      </c>
      <c r="C5397" s="180">
        <v>162</v>
      </c>
    </row>
    <row r="5398" spans="1:3" x14ac:dyDescent="0.25">
      <c r="A5398" s="178">
        <v>100667</v>
      </c>
      <c r="B5398" s="179" t="s">
        <v>456</v>
      </c>
      <c r="C5398" s="180">
        <v>30</v>
      </c>
    </row>
    <row r="5399" spans="1:3" x14ac:dyDescent="0.25">
      <c r="A5399" s="178">
        <v>100722</v>
      </c>
      <c r="B5399" s="179" t="s">
        <v>456</v>
      </c>
      <c r="C5399" s="180">
        <v>198</v>
      </c>
    </row>
    <row r="5400" spans="1:3" x14ac:dyDescent="0.25">
      <c r="A5400" s="178">
        <v>100723</v>
      </c>
      <c r="B5400" s="179" t="s">
        <v>456</v>
      </c>
      <c r="C5400" s="180">
        <v>198</v>
      </c>
    </row>
    <row r="5401" spans="1:3" x14ac:dyDescent="0.25">
      <c r="A5401" s="178">
        <v>100724</v>
      </c>
      <c r="B5401" s="179" t="s">
        <v>456</v>
      </c>
      <c r="C5401" s="180">
        <v>198</v>
      </c>
    </row>
    <row r="5402" spans="1:3" x14ac:dyDescent="0.25">
      <c r="A5402" s="178">
        <v>100725</v>
      </c>
      <c r="B5402" s="179" t="s">
        <v>456</v>
      </c>
      <c r="C5402" s="180">
        <v>75</v>
      </c>
    </row>
    <row r="5403" spans="1:3" x14ac:dyDescent="0.25">
      <c r="A5403" s="178">
        <v>100741</v>
      </c>
      <c r="B5403" s="179" t="s">
        <v>456</v>
      </c>
      <c r="C5403" s="180">
        <v>30</v>
      </c>
    </row>
    <row r="5404" spans="1:3" x14ac:dyDescent="0.25">
      <c r="A5404" s="178">
        <v>100754</v>
      </c>
      <c r="B5404" s="179" t="s">
        <v>456</v>
      </c>
      <c r="C5404" s="180">
        <v>60</v>
      </c>
    </row>
    <row r="5405" spans="1:3" x14ac:dyDescent="0.25">
      <c r="A5405" s="178">
        <v>100771</v>
      </c>
      <c r="B5405" s="179" t="s">
        <v>456</v>
      </c>
      <c r="C5405" s="180">
        <v>30</v>
      </c>
    </row>
    <row r="5406" spans="1:3" x14ac:dyDescent="0.25">
      <c r="A5406" s="178">
        <v>100802</v>
      </c>
      <c r="B5406" s="179" t="s">
        <v>456</v>
      </c>
      <c r="C5406" s="180">
        <v>162</v>
      </c>
    </row>
    <row r="5407" spans="1:3" x14ac:dyDescent="0.25">
      <c r="A5407" s="178">
        <v>100828</v>
      </c>
      <c r="B5407" s="179" t="s">
        <v>456</v>
      </c>
      <c r="C5407" s="180">
        <v>115</v>
      </c>
    </row>
    <row r="5408" spans="1:3" x14ac:dyDescent="0.25">
      <c r="A5408" s="178">
        <v>100838</v>
      </c>
      <c r="B5408" s="179" t="s">
        <v>456</v>
      </c>
      <c r="C5408" s="180">
        <v>115</v>
      </c>
    </row>
    <row r="5409" spans="1:3" x14ac:dyDescent="0.25">
      <c r="A5409" s="178">
        <v>100851</v>
      </c>
      <c r="B5409" s="179" t="s">
        <v>456</v>
      </c>
      <c r="C5409" s="180">
        <v>162</v>
      </c>
    </row>
    <row r="5410" spans="1:3" x14ac:dyDescent="0.25">
      <c r="A5410" s="178">
        <v>100865</v>
      </c>
      <c r="B5410" s="179" t="s">
        <v>456</v>
      </c>
      <c r="C5410" s="180">
        <v>189</v>
      </c>
    </row>
    <row r="5411" spans="1:3" x14ac:dyDescent="0.25">
      <c r="A5411" s="178">
        <v>100883</v>
      </c>
      <c r="B5411" s="179" t="s">
        <v>456</v>
      </c>
      <c r="C5411" s="180">
        <v>162</v>
      </c>
    </row>
    <row r="5412" spans="1:3" x14ac:dyDescent="0.25">
      <c r="A5412" s="178">
        <v>100892</v>
      </c>
      <c r="B5412" s="179" t="s">
        <v>456</v>
      </c>
      <c r="C5412" s="180">
        <v>189</v>
      </c>
    </row>
    <row r="5413" spans="1:3" x14ac:dyDescent="0.25">
      <c r="A5413" s="178">
        <v>100900</v>
      </c>
      <c r="B5413" s="179" t="s">
        <v>456</v>
      </c>
      <c r="C5413" s="180">
        <v>60</v>
      </c>
    </row>
    <row r="5414" spans="1:3" x14ac:dyDescent="0.25">
      <c r="A5414" s="178">
        <v>100902</v>
      </c>
      <c r="B5414" s="179" t="s">
        <v>456</v>
      </c>
      <c r="C5414" s="180">
        <v>162</v>
      </c>
    </row>
    <row r="5415" spans="1:3" x14ac:dyDescent="0.25">
      <c r="A5415" s="178">
        <v>100910</v>
      </c>
      <c r="B5415" s="179" t="s">
        <v>456</v>
      </c>
      <c r="C5415" s="180">
        <v>162</v>
      </c>
    </row>
    <row r="5416" spans="1:3" x14ac:dyDescent="0.25">
      <c r="A5416" s="178">
        <v>100911</v>
      </c>
      <c r="B5416" s="179" t="s">
        <v>456</v>
      </c>
      <c r="C5416" s="180">
        <v>30</v>
      </c>
    </row>
    <row r="5417" spans="1:3" x14ac:dyDescent="0.25">
      <c r="A5417" s="178">
        <v>100929</v>
      </c>
      <c r="B5417" s="179" t="s">
        <v>456</v>
      </c>
      <c r="C5417" s="180">
        <v>30</v>
      </c>
    </row>
    <row r="5418" spans="1:3" x14ac:dyDescent="0.25">
      <c r="A5418" s="178">
        <v>100972</v>
      </c>
      <c r="B5418" s="179" t="s">
        <v>456</v>
      </c>
      <c r="C5418" s="180">
        <v>189</v>
      </c>
    </row>
    <row r="5419" spans="1:3" x14ac:dyDescent="0.25">
      <c r="A5419" s="178">
        <v>100993</v>
      </c>
      <c r="B5419" s="179" t="s">
        <v>456</v>
      </c>
      <c r="C5419" s="180">
        <v>162</v>
      </c>
    </row>
    <row r="5420" spans="1:3" x14ac:dyDescent="0.25">
      <c r="A5420" s="178">
        <v>101012</v>
      </c>
      <c r="B5420" s="179" t="s">
        <v>456</v>
      </c>
      <c r="C5420" s="180">
        <v>189</v>
      </c>
    </row>
    <row r="5421" spans="1:3" x14ac:dyDescent="0.25">
      <c r="A5421" s="178">
        <v>101031</v>
      </c>
      <c r="B5421" s="179" t="s">
        <v>456</v>
      </c>
      <c r="C5421" s="180">
        <v>30</v>
      </c>
    </row>
    <row r="5422" spans="1:3" x14ac:dyDescent="0.25">
      <c r="A5422" s="178">
        <v>101109</v>
      </c>
      <c r="B5422" s="179" t="s">
        <v>456</v>
      </c>
      <c r="C5422" s="180">
        <v>280</v>
      </c>
    </row>
    <row r="5423" spans="1:3" x14ac:dyDescent="0.25">
      <c r="A5423" s="178">
        <v>101189</v>
      </c>
      <c r="B5423" s="179" t="s">
        <v>456</v>
      </c>
      <c r="C5423" s="180">
        <v>30</v>
      </c>
    </row>
    <row r="5424" spans="1:3" x14ac:dyDescent="0.25">
      <c r="A5424" s="178">
        <v>101191</v>
      </c>
      <c r="B5424" s="179" t="s">
        <v>456</v>
      </c>
      <c r="C5424" s="180">
        <v>30</v>
      </c>
    </row>
    <row r="5425" spans="1:3" x14ac:dyDescent="0.25">
      <c r="A5425" s="178">
        <v>101265</v>
      </c>
      <c r="B5425" s="179" t="s">
        <v>456</v>
      </c>
      <c r="C5425" s="180">
        <v>162</v>
      </c>
    </row>
    <row r="5426" spans="1:3" x14ac:dyDescent="0.25">
      <c r="A5426" s="178">
        <v>101266</v>
      </c>
      <c r="B5426" s="179" t="s">
        <v>456</v>
      </c>
      <c r="C5426" s="180">
        <v>162</v>
      </c>
    </row>
    <row r="5427" spans="1:3" x14ac:dyDescent="0.25">
      <c r="A5427" s="178">
        <v>101272</v>
      </c>
      <c r="B5427" s="179" t="s">
        <v>456</v>
      </c>
      <c r="C5427" s="180">
        <v>162</v>
      </c>
    </row>
    <row r="5428" spans="1:3" x14ac:dyDescent="0.25">
      <c r="A5428" s="178">
        <v>101282</v>
      </c>
      <c r="B5428" s="179" t="s">
        <v>456</v>
      </c>
      <c r="C5428" s="180">
        <v>189</v>
      </c>
    </row>
    <row r="5429" spans="1:3" x14ac:dyDescent="0.25">
      <c r="A5429" s="178">
        <v>101300</v>
      </c>
      <c r="B5429" s="179" t="s">
        <v>456</v>
      </c>
      <c r="C5429" s="180">
        <v>162</v>
      </c>
    </row>
    <row r="5430" spans="1:3" x14ac:dyDescent="0.25">
      <c r="A5430" s="178">
        <v>101303</v>
      </c>
      <c r="B5430" s="179" t="s">
        <v>456</v>
      </c>
      <c r="C5430" s="180">
        <v>162</v>
      </c>
    </row>
    <row r="5431" spans="1:3" x14ac:dyDescent="0.25">
      <c r="A5431" s="178">
        <v>101322</v>
      </c>
      <c r="B5431" s="179" t="s">
        <v>456</v>
      </c>
      <c r="C5431" s="180">
        <v>162</v>
      </c>
    </row>
    <row r="5432" spans="1:3" x14ac:dyDescent="0.25">
      <c r="A5432" s="178">
        <v>101332</v>
      </c>
      <c r="B5432" s="179" t="s">
        <v>456</v>
      </c>
      <c r="C5432" s="180">
        <v>162</v>
      </c>
    </row>
    <row r="5433" spans="1:3" x14ac:dyDescent="0.25">
      <c r="A5433" s="178">
        <v>101337</v>
      </c>
      <c r="B5433" s="179" t="s">
        <v>456</v>
      </c>
      <c r="C5433" s="180">
        <v>162</v>
      </c>
    </row>
    <row r="5434" spans="1:3" x14ac:dyDescent="0.25">
      <c r="A5434" s="178">
        <v>101352</v>
      </c>
      <c r="B5434" s="179" t="s">
        <v>456</v>
      </c>
      <c r="C5434" s="180">
        <v>189</v>
      </c>
    </row>
    <row r="5435" spans="1:3" x14ac:dyDescent="0.25">
      <c r="A5435" s="178">
        <v>101372</v>
      </c>
      <c r="B5435" s="179" t="s">
        <v>456</v>
      </c>
      <c r="C5435" s="180">
        <v>189</v>
      </c>
    </row>
    <row r="5436" spans="1:3" x14ac:dyDescent="0.25">
      <c r="A5436" s="178">
        <v>101403</v>
      </c>
      <c r="B5436" s="179" t="s">
        <v>456</v>
      </c>
      <c r="C5436" s="180">
        <v>162</v>
      </c>
    </row>
    <row r="5437" spans="1:3" x14ac:dyDescent="0.25">
      <c r="A5437" s="178">
        <v>101425</v>
      </c>
      <c r="B5437" s="179" t="s">
        <v>456</v>
      </c>
      <c r="C5437" s="180">
        <v>162</v>
      </c>
    </row>
    <row r="5438" spans="1:3" x14ac:dyDescent="0.25">
      <c r="A5438" s="178">
        <v>101451</v>
      </c>
      <c r="B5438" s="179" t="s">
        <v>456</v>
      </c>
      <c r="C5438" s="180">
        <v>162</v>
      </c>
    </row>
    <row r="5439" spans="1:3" x14ac:dyDescent="0.25">
      <c r="A5439" s="178">
        <v>101502</v>
      </c>
      <c r="B5439" s="179" t="s">
        <v>456</v>
      </c>
      <c r="C5439" s="180">
        <v>162</v>
      </c>
    </row>
    <row r="5440" spans="1:3" x14ac:dyDescent="0.25">
      <c r="A5440" s="178">
        <v>101505</v>
      </c>
      <c r="B5440" s="179" t="s">
        <v>456</v>
      </c>
      <c r="C5440" s="180">
        <v>162</v>
      </c>
    </row>
    <row r="5441" spans="1:3" x14ac:dyDescent="0.25">
      <c r="A5441" s="178">
        <v>101509</v>
      </c>
      <c r="B5441" s="179" t="s">
        <v>456</v>
      </c>
      <c r="C5441" s="180">
        <v>60</v>
      </c>
    </row>
    <row r="5442" spans="1:3" x14ac:dyDescent="0.25">
      <c r="A5442" s="178">
        <v>101532</v>
      </c>
      <c r="B5442" s="179" t="s">
        <v>456</v>
      </c>
      <c r="C5442" s="180">
        <v>189</v>
      </c>
    </row>
    <row r="5443" spans="1:3" x14ac:dyDescent="0.25">
      <c r="A5443" s="178">
        <v>101538</v>
      </c>
      <c r="B5443" s="179" t="s">
        <v>456</v>
      </c>
      <c r="C5443" s="180">
        <v>22</v>
      </c>
    </row>
    <row r="5444" spans="1:3" x14ac:dyDescent="0.25">
      <c r="A5444" s="178">
        <v>101542</v>
      </c>
      <c r="B5444" s="179" t="s">
        <v>456</v>
      </c>
      <c r="C5444" s="180">
        <v>162</v>
      </c>
    </row>
    <row r="5445" spans="1:3" x14ac:dyDescent="0.25">
      <c r="A5445" s="178">
        <v>101561</v>
      </c>
      <c r="B5445" s="179" t="s">
        <v>456</v>
      </c>
      <c r="C5445" s="180">
        <v>115</v>
      </c>
    </row>
    <row r="5446" spans="1:3" x14ac:dyDescent="0.25">
      <c r="A5446" s="178">
        <v>101572</v>
      </c>
      <c r="B5446" s="179" t="s">
        <v>456</v>
      </c>
      <c r="C5446" s="180">
        <v>162</v>
      </c>
    </row>
    <row r="5447" spans="1:3" x14ac:dyDescent="0.25">
      <c r="A5447" s="178">
        <v>101601</v>
      </c>
      <c r="B5447" s="179" t="s">
        <v>456</v>
      </c>
      <c r="C5447" s="180">
        <v>162</v>
      </c>
    </row>
    <row r="5448" spans="1:3" x14ac:dyDescent="0.25">
      <c r="A5448" s="178">
        <v>101602</v>
      </c>
      <c r="B5448" s="179" t="s">
        <v>456</v>
      </c>
      <c r="C5448" s="180">
        <v>30</v>
      </c>
    </row>
    <row r="5449" spans="1:3" x14ac:dyDescent="0.25">
      <c r="A5449" s="178">
        <v>101632</v>
      </c>
      <c r="B5449" s="179" t="s">
        <v>456</v>
      </c>
      <c r="C5449" s="180">
        <v>162</v>
      </c>
    </row>
    <row r="5450" spans="1:3" x14ac:dyDescent="0.25">
      <c r="A5450" s="178">
        <v>101701</v>
      </c>
      <c r="B5450" s="179" t="s">
        <v>456</v>
      </c>
      <c r="C5450" s="180">
        <v>162</v>
      </c>
    </row>
    <row r="5451" spans="1:3" x14ac:dyDescent="0.25">
      <c r="A5451" s="178">
        <v>101704</v>
      </c>
      <c r="B5451" s="179" t="s">
        <v>456</v>
      </c>
      <c r="C5451" s="180">
        <v>162</v>
      </c>
    </row>
    <row r="5452" spans="1:3" x14ac:dyDescent="0.25">
      <c r="A5452" s="178">
        <v>101733</v>
      </c>
      <c r="B5452" s="179" t="s">
        <v>456</v>
      </c>
      <c r="C5452" s="180">
        <v>162</v>
      </c>
    </row>
    <row r="5453" spans="1:3" x14ac:dyDescent="0.25">
      <c r="A5453" s="178">
        <v>101741</v>
      </c>
      <c r="B5453" s="179" t="s">
        <v>456</v>
      </c>
      <c r="C5453" s="180">
        <v>126</v>
      </c>
    </row>
    <row r="5454" spans="1:3" x14ac:dyDescent="0.25">
      <c r="A5454" s="178">
        <v>101821</v>
      </c>
      <c r="B5454" s="179" t="s">
        <v>456</v>
      </c>
      <c r="C5454" s="180">
        <v>162</v>
      </c>
    </row>
    <row r="5455" spans="1:3" x14ac:dyDescent="0.25">
      <c r="A5455" s="178">
        <v>101843</v>
      </c>
      <c r="B5455" s="179" t="s">
        <v>456</v>
      </c>
      <c r="C5455" s="180">
        <v>115</v>
      </c>
    </row>
    <row r="5456" spans="1:3" x14ac:dyDescent="0.25">
      <c r="A5456" s="178">
        <v>101871</v>
      </c>
      <c r="B5456" s="179" t="s">
        <v>456</v>
      </c>
      <c r="C5456" s="180">
        <v>54</v>
      </c>
    </row>
    <row r="5457" spans="1:3" x14ac:dyDescent="0.25">
      <c r="A5457" s="178">
        <v>101993</v>
      </c>
      <c r="B5457" s="179" t="s">
        <v>456</v>
      </c>
      <c r="C5457" s="180">
        <v>115</v>
      </c>
    </row>
    <row r="5458" spans="1:3" x14ac:dyDescent="0.25">
      <c r="A5458" s="178">
        <v>102000</v>
      </c>
      <c r="B5458" s="179" t="s">
        <v>456</v>
      </c>
      <c r="C5458" s="180">
        <v>135</v>
      </c>
    </row>
    <row r="5459" spans="1:3" x14ac:dyDescent="0.25">
      <c r="A5459" s="178">
        <v>102004</v>
      </c>
      <c r="B5459" s="179" t="s">
        <v>456</v>
      </c>
      <c r="C5459" s="180">
        <v>135</v>
      </c>
    </row>
    <row r="5460" spans="1:3" x14ac:dyDescent="0.25">
      <c r="A5460" s="178">
        <v>102011</v>
      </c>
      <c r="B5460" s="179" t="s">
        <v>456</v>
      </c>
      <c r="C5460" s="180">
        <v>135</v>
      </c>
    </row>
    <row r="5461" spans="1:3" x14ac:dyDescent="0.25">
      <c r="A5461" s="178">
        <v>102020</v>
      </c>
      <c r="B5461" s="179" t="s">
        <v>456</v>
      </c>
      <c r="C5461" s="180">
        <v>135</v>
      </c>
    </row>
    <row r="5462" spans="1:3" x14ac:dyDescent="0.25">
      <c r="A5462" s="178">
        <v>102022</v>
      </c>
      <c r="B5462" s="179" t="s">
        <v>456</v>
      </c>
      <c r="C5462" s="180">
        <v>210</v>
      </c>
    </row>
    <row r="5463" spans="1:3" x14ac:dyDescent="0.25">
      <c r="A5463" s="178">
        <v>102026</v>
      </c>
      <c r="B5463" s="179" t="s">
        <v>456</v>
      </c>
      <c r="C5463" s="180">
        <v>72</v>
      </c>
    </row>
    <row r="5464" spans="1:3" x14ac:dyDescent="0.25">
      <c r="A5464" s="178">
        <v>102028</v>
      </c>
      <c r="B5464" s="179" t="s">
        <v>456</v>
      </c>
      <c r="C5464" s="180">
        <v>72</v>
      </c>
    </row>
    <row r="5465" spans="1:3" x14ac:dyDescent="0.25">
      <c r="A5465" s="178">
        <v>102030</v>
      </c>
      <c r="B5465" s="179" t="s">
        <v>456</v>
      </c>
      <c r="C5465" s="180">
        <v>135</v>
      </c>
    </row>
    <row r="5466" spans="1:3" x14ac:dyDescent="0.25">
      <c r="A5466" s="178">
        <v>102032</v>
      </c>
      <c r="B5466" s="179" t="s">
        <v>456</v>
      </c>
      <c r="C5466" s="180">
        <v>162</v>
      </c>
    </row>
    <row r="5467" spans="1:3" x14ac:dyDescent="0.25">
      <c r="A5467" s="178">
        <v>102034</v>
      </c>
      <c r="B5467" s="179" t="s">
        <v>456</v>
      </c>
      <c r="C5467" s="180">
        <v>72</v>
      </c>
    </row>
    <row r="5468" spans="1:3" x14ac:dyDescent="0.25">
      <c r="A5468" s="178">
        <v>102070</v>
      </c>
      <c r="B5468" s="179" t="s">
        <v>456</v>
      </c>
      <c r="C5468" s="180">
        <v>120</v>
      </c>
    </row>
    <row r="5469" spans="1:3" x14ac:dyDescent="0.25">
      <c r="A5469" s="178">
        <v>102082</v>
      </c>
      <c r="B5469" s="179" t="s">
        <v>456</v>
      </c>
      <c r="C5469" s="180">
        <v>162</v>
      </c>
    </row>
    <row r="5470" spans="1:3" x14ac:dyDescent="0.25">
      <c r="A5470" s="178">
        <v>102112</v>
      </c>
      <c r="B5470" s="179" t="s">
        <v>456</v>
      </c>
      <c r="C5470" s="180">
        <v>135</v>
      </c>
    </row>
    <row r="5471" spans="1:3" x14ac:dyDescent="0.25">
      <c r="A5471" s="178">
        <v>102132</v>
      </c>
      <c r="B5471" s="179" t="s">
        <v>456</v>
      </c>
      <c r="C5471" s="180">
        <v>162</v>
      </c>
    </row>
    <row r="5472" spans="1:3" x14ac:dyDescent="0.25">
      <c r="A5472" s="178">
        <v>102138</v>
      </c>
      <c r="B5472" s="179" t="s">
        <v>456</v>
      </c>
      <c r="C5472" s="180">
        <v>72</v>
      </c>
    </row>
    <row r="5473" spans="1:3" x14ac:dyDescent="0.25">
      <c r="A5473" s="178">
        <v>102166</v>
      </c>
      <c r="B5473" s="179" t="s">
        <v>456</v>
      </c>
      <c r="C5473" s="180">
        <v>135</v>
      </c>
    </row>
    <row r="5474" spans="1:3" x14ac:dyDescent="0.25">
      <c r="A5474" s="178">
        <v>102200</v>
      </c>
      <c r="B5474" s="179" t="s">
        <v>456</v>
      </c>
      <c r="C5474" s="180">
        <v>60</v>
      </c>
    </row>
    <row r="5475" spans="1:3" x14ac:dyDescent="0.25">
      <c r="A5475" s="178">
        <v>102243</v>
      </c>
      <c r="B5475" s="179" t="s">
        <v>456</v>
      </c>
      <c r="C5475" s="180">
        <v>162</v>
      </c>
    </row>
    <row r="5476" spans="1:3" x14ac:dyDescent="0.25">
      <c r="A5476" s="178">
        <v>102253</v>
      </c>
      <c r="B5476" s="179" t="s">
        <v>456</v>
      </c>
      <c r="C5476" s="180">
        <v>162</v>
      </c>
    </row>
    <row r="5477" spans="1:3" x14ac:dyDescent="0.25">
      <c r="A5477" s="178">
        <v>102268</v>
      </c>
      <c r="B5477" s="179" t="s">
        <v>456</v>
      </c>
      <c r="C5477" s="180">
        <v>189</v>
      </c>
    </row>
    <row r="5478" spans="1:3" x14ac:dyDescent="0.25">
      <c r="A5478" s="178">
        <v>102301</v>
      </c>
      <c r="B5478" s="179" t="s">
        <v>456</v>
      </c>
      <c r="C5478" s="180">
        <v>115</v>
      </c>
    </row>
    <row r="5479" spans="1:3" x14ac:dyDescent="0.25">
      <c r="A5479" s="178">
        <v>102303</v>
      </c>
      <c r="B5479" s="179" t="s">
        <v>456</v>
      </c>
      <c r="C5479" s="180">
        <v>135</v>
      </c>
    </row>
    <row r="5480" spans="1:3" x14ac:dyDescent="0.25">
      <c r="A5480" s="178">
        <v>102322</v>
      </c>
      <c r="B5480" s="179" t="s">
        <v>456</v>
      </c>
      <c r="C5480" s="180">
        <v>60</v>
      </c>
    </row>
    <row r="5481" spans="1:3" x14ac:dyDescent="0.25">
      <c r="A5481" s="178">
        <v>102384</v>
      </c>
      <c r="B5481" s="179" t="s">
        <v>456</v>
      </c>
      <c r="C5481" s="180">
        <v>115</v>
      </c>
    </row>
    <row r="5482" spans="1:3" x14ac:dyDescent="0.25">
      <c r="A5482" s="178">
        <v>102391</v>
      </c>
      <c r="B5482" s="179" t="s">
        <v>456</v>
      </c>
      <c r="C5482" s="180">
        <v>128</v>
      </c>
    </row>
    <row r="5483" spans="1:3" x14ac:dyDescent="0.25">
      <c r="A5483" s="178">
        <v>102421</v>
      </c>
      <c r="B5483" s="179" t="s">
        <v>456</v>
      </c>
      <c r="C5483" s="180">
        <v>162</v>
      </c>
    </row>
    <row r="5484" spans="1:3" x14ac:dyDescent="0.25">
      <c r="A5484" s="178">
        <v>102422</v>
      </c>
      <c r="B5484" s="179" t="s">
        <v>456</v>
      </c>
      <c r="C5484" s="180">
        <v>135</v>
      </c>
    </row>
    <row r="5485" spans="1:3" x14ac:dyDescent="0.25">
      <c r="A5485" s="178">
        <v>102451</v>
      </c>
      <c r="B5485" s="179" t="s">
        <v>456</v>
      </c>
      <c r="C5485" s="180">
        <v>115</v>
      </c>
    </row>
    <row r="5486" spans="1:3" x14ac:dyDescent="0.25">
      <c r="A5486" s="178">
        <v>102612</v>
      </c>
      <c r="B5486" s="179" t="s">
        <v>456</v>
      </c>
      <c r="C5486" s="180">
        <v>115</v>
      </c>
    </row>
    <row r="5487" spans="1:3" x14ac:dyDescent="0.25">
      <c r="A5487" s="178">
        <v>102698</v>
      </c>
      <c r="B5487" s="179" t="s">
        <v>456</v>
      </c>
      <c r="C5487" s="180">
        <v>30</v>
      </c>
    </row>
    <row r="5488" spans="1:3" x14ac:dyDescent="0.25">
      <c r="A5488" s="178">
        <v>102704</v>
      </c>
      <c r="B5488" s="179" t="s">
        <v>456</v>
      </c>
      <c r="C5488" s="180">
        <v>135</v>
      </c>
    </row>
    <row r="5489" spans="1:3" x14ac:dyDescent="0.25">
      <c r="A5489" s="178">
        <v>102731</v>
      </c>
      <c r="B5489" s="179" t="s">
        <v>456</v>
      </c>
      <c r="C5489" s="180">
        <v>135</v>
      </c>
    </row>
    <row r="5490" spans="1:3" x14ac:dyDescent="0.25">
      <c r="A5490" s="178">
        <v>102761</v>
      </c>
      <c r="B5490" s="179" t="s">
        <v>456</v>
      </c>
      <c r="C5490" s="180">
        <v>252</v>
      </c>
    </row>
    <row r="5491" spans="1:3" x14ac:dyDescent="0.25">
      <c r="A5491" s="178">
        <v>102762</v>
      </c>
      <c r="B5491" s="179" t="s">
        <v>456</v>
      </c>
      <c r="C5491" s="180">
        <v>252</v>
      </c>
    </row>
    <row r="5492" spans="1:3" x14ac:dyDescent="0.25">
      <c r="A5492" s="178">
        <v>102764</v>
      </c>
      <c r="B5492" s="179" t="s">
        <v>456</v>
      </c>
      <c r="C5492" s="180">
        <v>252</v>
      </c>
    </row>
    <row r="5493" spans="1:3" x14ac:dyDescent="0.25">
      <c r="A5493" s="178">
        <v>102765</v>
      </c>
      <c r="B5493" s="179" t="s">
        <v>456</v>
      </c>
      <c r="C5493" s="180">
        <v>252</v>
      </c>
    </row>
    <row r="5494" spans="1:3" x14ac:dyDescent="0.25">
      <c r="A5494" s="178">
        <v>102766</v>
      </c>
      <c r="B5494" s="179" t="s">
        <v>456</v>
      </c>
      <c r="C5494" s="180">
        <v>252</v>
      </c>
    </row>
    <row r="5495" spans="1:3" x14ac:dyDescent="0.25">
      <c r="A5495" s="178">
        <v>102857</v>
      </c>
      <c r="B5495" s="179" t="s">
        <v>456</v>
      </c>
      <c r="C5495" s="180">
        <v>63</v>
      </c>
    </row>
    <row r="5496" spans="1:3" x14ac:dyDescent="0.25">
      <c r="A5496" s="178">
        <v>102859</v>
      </c>
      <c r="B5496" s="179" t="s">
        <v>456</v>
      </c>
      <c r="C5496" s="180">
        <v>63</v>
      </c>
    </row>
    <row r="5497" spans="1:3" x14ac:dyDescent="0.25">
      <c r="A5497" s="178">
        <v>102866</v>
      </c>
      <c r="B5497" s="179" t="s">
        <v>456</v>
      </c>
      <c r="C5497" s="180">
        <v>64</v>
      </c>
    </row>
    <row r="5498" spans="1:3" x14ac:dyDescent="0.25">
      <c r="A5498" s="178">
        <v>103000</v>
      </c>
      <c r="B5498" s="179" t="s">
        <v>456</v>
      </c>
      <c r="C5498" s="180">
        <v>96</v>
      </c>
    </row>
    <row r="5499" spans="1:3" x14ac:dyDescent="0.25">
      <c r="A5499" s="178">
        <v>103005</v>
      </c>
      <c r="B5499" s="179" t="s">
        <v>456</v>
      </c>
      <c r="C5499" s="180">
        <v>135</v>
      </c>
    </row>
    <row r="5500" spans="1:3" x14ac:dyDescent="0.25">
      <c r="A5500" s="178">
        <v>103010</v>
      </c>
      <c r="B5500" s="179" t="s">
        <v>456</v>
      </c>
      <c r="C5500" s="180">
        <v>32</v>
      </c>
    </row>
    <row r="5501" spans="1:3" x14ac:dyDescent="0.25">
      <c r="A5501" s="178">
        <v>103060</v>
      </c>
      <c r="B5501" s="179" t="s">
        <v>456</v>
      </c>
      <c r="C5501" s="180">
        <v>192</v>
      </c>
    </row>
    <row r="5502" spans="1:3" x14ac:dyDescent="0.25">
      <c r="A5502" s="178">
        <v>103081</v>
      </c>
      <c r="B5502" s="179" t="s">
        <v>456</v>
      </c>
      <c r="C5502" s="180">
        <v>96</v>
      </c>
    </row>
    <row r="5503" spans="1:3" x14ac:dyDescent="0.25">
      <c r="A5503" s="178">
        <v>103082</v>
      </c>
      <c r="B5503" s="179" t="s">
        <v>456</v>
      </c>
      <c r="C5503" s="180">
        <v>96</v>
      </c>
    </row>
    <row r="5504" spans="1:3" x14ac:dyDescent="0.25">
      <c r="A5504" s="178">
        <v>103083</v>
      </c>
      <c r="B5504" s="179" t="s">
        <v>456</v>
      </c>
      <c r="C5504" s="180">
        <v>96</v>
      </c>
    </row>
    <row r="5505" spans="1:3" x14ac:dyDescent="0.25">
      <c r="A5505" s="178">
        <v>103084</v>
      </c>
      <c r="B5505" s="179" t="s">
        <v>456</v>
      </c>
      <c r="C5505" s="180">
        <v>96</v>
      </c>
    </row>
    <row r="5506" spans="1:3" x14ac:dyDescent="0.25">
      <c r="A5506" s="178">
        <v>103085</v>
      </c>
      <c r="B5506" s="179" t="s">
        <v>456</v>
      </c>
      <c r="C5506" s="180">
        <v>96</v>
      </c>
    </row>
    <row r="5507" spans="1:3" x14ac:dyDescent="0.25">
      <c r="A5507" s="178">
        <v>103100</v>
      </c>
      <c r="B5507" s="179" t="s">
        <v>456</v>
      </c>
      <c r="C5507" s="180">
        <v>24</v>
      </c>
    </row>
    <row r="5508" spans="1:3" x14ac:dyDescent="0.25">
      <c r="A5508" s="178">
        <v>103104</v>
      </c>
      <c r="B5508" s="179" t="s">
        <v>456</v>
      </c>
      <c r="C5508" s="180">
        <v>115</v>
      </c>
    </row>
    <row r="5509" spans="1:3" x14ac:dyDescent="0.25">
      <c r="A5509" s="178">
        <v>103119</v>
      </c>
      <c r="B5509" s="179" t="s">
        <v>456</v>
      </c>
      <c r="C5509" s="180">
        <v>160</v>
      </c>
    </row>
    <row r="5510" spans="1:3" x14ac:dyDescent="0.25">
      <c r="A5510" s="178">
        <v>103121</v>
      </c>
      <c r="B5510" s="179" t="s">
        <v>456</v>
      </c>
      <c r="C5510" s="180">
        <v>160</v>
      </c>
    </row>
    <row r="5511" spans="1:3" x14ac:dyDescent="0.25">
      <c r="A5511" s="178">
        <v>103122</v>
      </c>
      <c r="B5511" s="179" t="s">
        <v>456</v>
      </c>
      <c r="C5511" s="180">
        <v>160</v>
      </c>
    </row>
    <row r="5512" spans="1:3" x14ac:dyDescent="0.25">
      <c r="A5512" s="178">
        <v>103134</v>
      </c>
      <c r="B5512" s="179" t="s">
        <v>456</v>
      </c>
      <c r="C5512" s="180">
        <v>160</v>
      </c>
    </row>
    <row r="5513" spans="1:3" x14ac:dyDescent="0.25">
      <c r="A5513" s="178">
        <v>103189</v>
      </c>
      <c r="B5513" s="179" t="s">
        <v>456</v>
      </c>
      <c r="C5513" s="180">
        <v>115</v>
      </c>
    </row>
    <row r="5514" spans="1:3" x14ac:dyDescent="0.25">
      <c r="A5514" s="178">
        <v>103191</v>
      </c>
      <c r="B5514" s="179" t="s">
        <v>456</v>
      </c>
      <c r="C5514" s="180">
        <v>30</v>
      </c>
    </row>
    <row r="5515" spans="1:3" x14ac:dyDescent="0.25">
      <c r="A5515" s="178">
        <v>103224</v>
      </c>
      <c r="B5515" s="179" t="s">
        <v>456</v>
      </c>
      <c r="C5515" s="180">
        <v>180</v>
      </c>
    </row>
    <row r="5516" spans="1:3" x14ac:dyDescent="0.25">
      <c r="A5516" s="178">
        <v>103225</v>
      </c>
      <c r="B5516" s="179" t="s">
        <v>456</v>
      </c>
      <c r="C5516" s="180">
        <v>180</v>
      </c>
    </row>
    <row r="5517" spans="1:3" x14ac:dyDescent="0.25">
      <c r="A5517" s="178">
        <v>103226</v>
      </c>
      <c r="B5517" s="179" t="s">
        <v>456</v>
      </c>
      <c r="C5517" s="180">
        <v>180</v>
      </c>
    </row>
    <row r="5518" spans="1:3" x14ac:dyDescent="0.25">
      <c r="A5518" s="178">
        <v>103242</v>
      </c>
      <c r="B5518" s="179" t="s">
        <v>456</v>
      </c>
      <c r="C5518" s="180">
        <v>480</v>
      </c>
    </row>
    <row r="5519" spans="1:3" x14ac:dyDescent="0.25">
      <c r="A5519" s="178">
        <v>103293</v>
      </c>
      <c r="B5519" s="179" t="s">
        <v>456</v>
      </c>
      <c r="C5519" s="180">
        <v>115</v>
      </c>
    </row>
    <row r="5520" spans="1:3" x14ac:dyDescent="0.25">
      <c r="A5520" s="178">
        <v>103294</v>
      </c>
      <c r="B5520" s="179" t="s">
        <v>456</v>
      </c>
      <c r="C5520" s="180">
        <v>115</v>
      </c>
    </row>
    <row r="5521" spans="1:3" x14ac:dyDescent="0.25">
      <c r="A5521" s="178">
        <v>103296</v>
      </c>
      <c r="B5521" s="179" t="s">
        <v>456</v>
      </c>
      <c r="C5521" s="180">
        <v>162</v>
      </c>
    </row>
    <row r="5522" spans="1:3" x14ac:dyDescent="0.25">
      <c r="A5522" s="178">
        <v>103302</v>
      </c>
      <c r="B5522" s="179" t="s">
        <v>456</v>
      </c>
      <c r="C5522" s="180">
        <v>135</v>
      </c>
    </row>
    <row r="5523" spans="1:3" x14ac:dyDescent="0.25">
      <c r="A5523" s="178">
        <v>103328</v>
      </c>
      <c r="B5523" s="179" t="s">
        <v>456</v>
      </c>
      <c r="C5523" s="180">
        <v>115</v>
      </c>
    </row>
    <row r="5524" spans="1:3" x14ac:dyDescent="0.25">
      <c r="A5524" s="178">
        <v>103338</v>
      </c>
      <c r="B5524" s="179" t="s">
        <v>456</v>
      </c>
      <c r="C5524" s="180">
        <v>115</v>
      </c>
    </row>
    <row r="5525" spans="1:3" x14ac:dyDescent="0.25">
      <c r="A5525" s="178">
        <v>103348</v>
      </c>
      <c r="B5525" s="179" t="s">
        <v>456</v>
      </c>
      <c r="C5525" s="180">
        <v>115</v>
      </c>
    </row>
    <row r="5526" spans="1:3" x14ac:dyDescent="0.25">
      <c r="A5526" s="178">
        <v>103444</v>
      </c>
      <c r="B5526" s="179" t="s">
        <v>456</v>
      </c>
      <c r="C5526" s="180">
        <v>84</v>
      </c>
    </row>
    <row r="5527" spans="1:3" x14ac:dyDescent="0.25">
      <c r="A5527" s="178">
        <v>103445</v>
      </c>
      <c r="B5527" s="179" t="s">
        <v>456</v>
      </c>
      <c r="C5527" s="180">
        <v>84</v>
      </c>
    </row>
    <row r="5528" spans="1:3" x14ac:dyDescent="0.25">
      <c r="A5528" s="178">
        <v>103446</v>
      </c>
      <c r="B5528" s="179" t="s">
        <v>456</v>
      </c>
      <c r="C5528" s="180">
        <v>84</v>
      </c>
    </row>
    <row r="5529" spans="1:3" x14ac:dyDescent="0.25">
      <c r="A5529" s="178">
        <v>103447</v>
      </c>
      <c r="B5529" s="179" t="s">
        <v>456</v>
      </c>
      <c r="C5529" s="180">
        <v>84</v>
      </c>
    </row>
    <row r="5530" spans="1:3" x14ac:dyDescent="0.25">
      <c r="A5530" s="178">
        <v>103448</v>
      </c>
      <c r="B5530" s="179" t="s">
        <v>456</v>
      </c>
      <c r="C5530" s="180">
        <v>84</v>
      </c>
    </row>
    <row r="5531" spans="1:3" x14ac:dyDescent="0.25">
      <c r="A5531" s="178">
        <v>103449</v>
      </c>
      <c r="B5531" s="179" t="s">
        <v>456</v>
      </c>
      <c r="C5531" s="180">
        <v>84</v>
      </c>
    </row>
    <row r="5532" spans="1:3" x14ac:dyDescent="0.25">
      <c r="A5532" s="178">
        <v>103458</v>
      </c>
      <c r="B5532" s="179" t="s">
        <v>456</v>
      </c>
      <c r="C5532" s="180">
        <v>115</v>
      </c>
    </row>
    <row r="5533" spans="1:3" x14ac:dyDescent="0.25">
      <c r="A5533" s="178">
        <v>103460</v>
      </c>
      <c r="B5533" s="179" t="s">
        <v>456</v>
      </c>
      <c r="C5533" s="180">
        <v>115</v>
      </c>
    </row>
    <row r="5534" spans="1:3" x14ac:dyDescent="0.25">
      <c r="A5534" s="178">
        <v>103469</v>
      </c>
      <c r="B5534" s="179" t="s">
        <v>456</v>
      </c>
      <c r="C5534" s="180">
        <v>30</v>
      </c>
    </row>
    <row r="5535" spans="1:3" x14ac:dyDescent="0.25">
      <c r="A5535" s="178">
        <v>103479</v>
      </c>
      <c r="B5535" s="179" t="s">
        <v>456</v>
      </c>
      <c r="C5535" s="180">
        <v>30</v>
      </c>
    </row>
    <row r="5536" spans="1:3" x14ac:dyDescent="0.25">
      <c r="A5536" s="178">
        <v>103493</v>
      </c>
      <c r="B5536" s="179" t="s">
        <v>456</v>
      </c>
      <c r="C5536" s="180">
        <v>30</v>
      </c>
    </row>
    <row r="5537" spans="1:3" x14ac:dyDescent="0.25">
      <c r="A5537" s="178">
        <v>103494</v>
      </c>
      <c r="B5537" s="179" t="s">
        <v>456</v>
      </c>
      <c r="C5537" s="180">
        <v>30</v>
      </c>
    </row>
    <row r="5538" spans="1:3" x14ac:dyDescent="0.25">
      <c r="A5538" s="178">
        <v>103506</v>
      </c>
      <c r="B5538" s="179" t="s">
        <v>456</v>
      </c>
      <c r="C5538" s="180">
        <v>135</v>
      </c>
    </row>
    <row r="5539" spans="1:3" x14ac:dyDescent="0.25">
      <c r="A5539" s="178">
        <v>103541</v>
      </c>
      <c r="B5539" s="179" t="s">
        <v>456</v>
      </c>
      <c r="C5539" s="180">
        <v>115</v>
      </c>
    </row>
    <row r="5540" spans="1:3" x14ac:dyDescent="0.25">
      <c r="A5540" s="178">
        <v>103811</v>
      </c>
      <c r="B5540" s="179" t="s">
        <v>456</v>
      </c>
      <c r="C5540" s="180">
        <v>21</v>
      </c>
    </row>
    <row r="5541" spans="1:3" x14ac:dyDescent="0.25">
      <c r="A5541" s="178">
        <v>103884</v>
      </c>
      <c r="B5541" s="179" t="s">
        <v>456</v>
      </c>
      <c r="C5541" s="180">
        <v>96</v>
      </c>
    </row>
    <row r="5542" spans="1:3" x14ac:dyDescent="0.25">
      <c r="A5542" s="178">
        <v>103922</v>
      </c>
      <c r="B5542" s="179" t="s">
        <v>456</v>
      </c>
      <c r="C5542" s="180">
        <v>52</v>
      </c>
    </row>
    <row r="5543" spans="1:3" x14ac:dyDescent="0.25">
      <c r="A5543" s="178">
        <v>103923</v>
      </c>
      <c r="B5543" s="179" t="s">
        <v>456</v>
      </c>
      <c r="C5543" s="180">
        <v>52</v>
      </c>
    </row>
    <row r="5544" spans="1:3" x14ac:dyDescent="0.25">
      <c r="A5544" s="178">
        <v>103924</v>
      </c>
      <c r="B5544" s="179" t="s">
        <v>456</v>
      </c>
      <c r="C5544" s="180">
        <v>52</v>
      </c>
    </row>
    <row r="5545" spans="1:3" x14ac:dyDescent="0.25">
      <c r="A5545" s="178">
        <v>103925</v>
      </c>
      <c r="B5545" s="179" t="s">
        <v>456</v>
      </c>
      <c r="C5545" s="180">
        <v>176</v>
      </c>
    </row>
    <row r="5546" spans="1:3" x14ac:dyDescent="0.25">
      <c r="A5546" s="178">
        <v>103961</v>
      </c>
      <c r="B5546" s="179" t="s">
        <v>456</v>
      </c>
      <c r="C5546" s="180">
        <v>190</v>
      </c>
    </row>
    <row r="5547" spans="1:3" x14ac:dyDescent="0.25">
      <c r="A5547" s="178">
        <v>103974</v>
      </c>
      <c r="B5547" s="179" t="s">
        <v>456</v>
      </c>
      <c r="C5547" s="180">
        <v>63</v>
      </c>
    </row>
    <row r="5548" spans="1:3" x14ac:dyDescent="0.25">
      <c r="A5548" s="178">
        <v>104003</v>
      </c>
      <c r="B5548" s="179" t="s">
        <v>456</v>
      </c>
      <c r="C5548" s="180">
        <v>60</v>
      </c>
    </row>
    <row r="5549" spans="1:3" x14ac:dyDescent="0.25">
      <c r="A5549" s="178">
        <v>104091</v>
      </c>
      <c r="B5549" s="179" t="s">
        <v>456</v>
      </c>
      <c r="C5549" s="180">
        <v>315</v>
      </c>
    </row>
    <row r="5550" spans="1:3" x14ac:dyDescent="0.25">
      <c r="A5550" s="178">
        <v>104142</v>
      </c>
      <c r="B5550" s="179" t="s">
        <v>456</v>
      </c>
      <c r="C5550" s="180">
        <v>115</v>
      </c>
    </row>
    <row r="5551" spans="1:3" x14ac:dyDescent="0.25">
      <c r="A5551" s="178">
        <v>104171</v>
      </c>
      <c r="B5551" s="179" t="s">
        <v>456</v>
      </c>
      <c r="C5551" s="180">
        <v>115</v>
      </c>
    </row>
    <row r="5552" spans="1:3" x14ac:dyDescent="0.25">
      <c r="A5552" s="178">
        <v>104172</v>
      </c>
      <c r="B5552" s="179" t="s">
        <v>456</v>
      </c>
      <c r="C5552" s="180">
        <v>115</v>
      </c>
    </row>
    <row r="5553" spans="1:3" x14ac:dyDescent="0.25">
      <c r="A5553" s="178">
        <v>104194</v>
      </c>
      <c r="B5553" s="179" t="s">
        <v>456</v>
      </c>
      <c r="C5553" s="180">
        <v>115</v>
      </c>
    </row>
    <row r="5554" spans="1:3" x14ac:dyDescent="0.25">
      <c r="A5554" s="178">
        <v>104212</v>
      </c>
      <c r="B5554" s="179" t="s">
        <v>456</v>
      </c>
      <c r="C5554" s="180">
        <v>115</v>
      </c>
    </row>
    <row r="5555" spans="1:3" x14ac:dyDescent="0.25">
      <c r="A5555" s="178">
        <v>104228</v>
      </c>
      <c r="B5555" s="179" t="s">
        <v>456</v>
      </c>
      <c r="C5555" s="180">
        <v>49</v>
      </c>
    </row>
    <row r="5556" spans="1:3" x14ac:dyDescent="0.25">
      <c r="A5556" s="178">
        <v>104242</v>
      </c>
      <c r="B5556" s="179" t="s">
        <v>456</v>
      </c>
      <c r="C5556" s="180">
        <v>115</v>
      </c>
    </row>
    <row r="5557" spans="1:3" x14ac:dyDescent="0.25">
      <c r="A5557" s="178">
        <v>104262</v>
      </c>
      <c r="B5557" s="179" t="s">
        <v>456</v>
      </c>
      <c r="C5557" s="180">
        <v>60</v>
      </c>
    </row>
    <row r="5558" spans="1:3" x14ac:dyDescent="0.25">
      <c r="A5558" s="178">
        <v>104268</v>
      </c>
      <c r="B5558" s="179" t="s">
        <v>456</v>
      </c>
      <c r="C5558" s="180">
        <v>49</v>
      </c>
    </row>
    <row r="5559" spans="1:3" x14ac:dyDescent="0.25">
      <c r="A5559" s="178">
        <v>104269</v>
      </c>
      <c r="B5559" s="179" t="s">
        <v>456</v>
      </c>
      <c r="C5559" s="180">
        <v>15</v>
      </c>
    </row>
    <row r="5560" spans="1:3" x14ac:dyDescent="0.25">
      <c r="A5560" s="178">
        <v>104282</v>
      </c>
      <c r="B5560" s="179" t="s">
        <v>456</v>
      </c>
      <c r="C5560" s="180">
        <v>115</v>
      </c>
    </row>
    <row r="5561" spans="1:3" x14ac:dyDescent="0.25">
      <c r="A5561" s="178">
        <v>104343</v>
      </c>
      <c r="B5561" s="179" t="s">
        <v>456</v>
      </c>
      <c r="C5561" s="180">
        <v>115</v>
      </c>
    </row>
    <row r="5562" spans="1:3" x14ac:dyDescent="0.25">
      <c r="A5562" s="178">
        <v>104349</v>
      </c>
      <c r="B5562" s="179" t="s">
        <v>456</v>
      </c>
      <c r="C5562" s="180">
        <v>115</v>
      </c>
    </row>
    <row r="5563" spans="1:3" x14ac:dyDescent="0.25">
      <c r="A5563" s="178">
        <v>104453</v>
      </c>
      <c r="B5563" s="179" t="s">
        <v>456</v>
      </c>
      <c r="C5563" s="180">
        <v>60</v>
      </c>
    </row>
    <row r="5564" spans="1:3" x14ac:dyDescent="0.25">
      <c r="A5564" s="178">
        <v>104481</v>
      </c>
      <c r="B5564" s="179" t="s">
        <v>456</v>
      </c>
      <c r="C5564" s="180">
        <v>115</v>
      </c>
    </row>
    <row r="5565" spans="1:3" x14ac:dyDescent="0.25">
      <c r="A5565" s="178">
        <v>104502</v>
      </c>
      <c r="B5565" s="179" t="s">
        <v>456</v>
      </c>
      <c r="C5565" s="180">
        <v>60</v>
      </c>
    </row>
    <row r="5566" spans="1:3" x14ac:dyDescent="0.25">
      <c r="A5566" s="178">
        <v>104525</v>
      </c>
      <c r="B5566" s="179" t="s">
        <v>456</v>
      </c>
      <c r="C5566" s="180">
        <v>42</v>
      </c>
    </row>
    <row r="5567" spans="1:3" x14ac:dyDescent="0.25">
      <c r="A5567" s="178">
        <v>104572</v>
      </c>
      <c r="B5567" s="179" t="s">
        <v>456</v>
      </c>
      <c r="C5567" s="180">
        <v>60</v>
      </c>
    </row>
    <row r="5568" spans="1:3" x14ac:dyDescent="0.25">
      <c r="A5568" s="178">
        <v>104575</v>
      </c>
      <c r="B5568" s="179" t="s">
        <v>456</v>
      </c>
      <c r="C5568" s="180">
        <v>60</v>
      </c>
    </row>
    <row r="5569" spans="1:3" x14ac:dyDescent="0.25">
      <c r="A5569" s="178">
        <v>104576</v>
      </c>
      <c r="B5569" s="179" t="s">
        <v>456</v>
      </c>
      <c r="C5569" s="180">
        <v>115</v>
      </c>
    </row>
    <row r="5570" spans="1:3" x14ac:dyDescent="0.25">
      <c r="A5570" s="178">
        <v>104578</v>
      </c>
      <c r="B5570" s="179" t="s">
        <v>456</v>
      </c>
      <c r="C5570" s="180">
        <v>30</v>
      </c>
    </row>
    <row r="5571" spans="1:3" x14ac:dyDescent="0.25">
      <c r="A5571" s="178">
        <v>104607</v>
      </c>
      <c r="B5571" s="179" t="s">
        <v>456</v>
      </c>
      <c r="C5571" s="180">
        <v>115</v>
      </c>
    </row>
    <row r="5572" spans="1:3" x14ac:dyDescent="0.25">
      <c r="A5572" s="178">
        <v>104622</v>
      </c>
      <c r="B5572" s="179" t="s">
        <v>456</v>
      </c>
      <c r="C5572" s="180">
        <v>60</v>
      </c>
    </row>
    <row r="5573" spans="1:3" x14ac:dyDescent="0.25">
      <c r="A5573" s="178">
        <v>104624</v>
      </c>
      <c r="B5573" s="179" t="s">
        <v>456</v>
      </c>
      <c r="C5573" s="180">
        <v>60</v>
      </c>
    </row>
    <row r="5574" spans="1:3" x14ac:dyDescent="0.25">
      <c r="A5574" s="178">
        <v>104645</v>
      </c>
      <c r="B5574" s="179" t="s">
        <v>456</v>
      </c>
      <c r="C5574" s="180">
        <v>60</v>
      </c>
    </row>
    <row r="5575" spans="1:3" x14ac:dyDescent="0.25">
      <c r="A5575" s="178">
        <v>104651</v>
      </c>
      <c r="B5575" s="179" t="s">
        <v>456</v>
      </c>
      <c r="C5575" s="180">
        <v>115</v>
      </c>
    </row>
    <row r="5576" spans="1:3" x14ac:dyDescent="0.25">
      <c r="A5576" s="178">
        <v>104655</v>
      </c>
      <c r="B5576" s="179" t="s">
        <v>456</v>
      </c>
      <c r="C5576" s="180">
        <v>384</v>
      </c>
    </row>
    <row r="5577" spans="1:3" x14ac:dyDescent="0.25">
      <c r="A5577" s="178">
        <v>104659</v>
      </c>
      <c r="B5577" s="179" t="s">
        <v>456</v>
      </c>
      <c r="C5577" s="180">
        <v>18</v>
      </c>
    </row>
    <row r="5578" spans="1:3" x14ac:dyDescent="0.25">
      <c r="A5578" s="178">
        <v>104682</v>
      </c>
      <c r="B5578" s="179" t="s">
        <v>456</v>
      </c>
      <c r="C5578" s="180">
        <v>115</v>
      </c>
    </row>
    <row r="5579" spans="1:3" x14ac:dyDescent="0.25">
      <c r="A5579" s="178">
        <v>104692</v>
      </c>
      <c r="B5579" s="179" t="s">
        <v>456</v>
      </c>
      <c r="C5579" s="180">
        <v>115</v>
      </c>
    </row>
    <row r="5580" spans="1:3" x14ac:dyDescent="0.25">
      <c r="A5580" s="178">
        <v>104713</v>
      </c>
      <c r="B5580" s="179" t="s">
        <v>456</v>
      </c>
      <c r="C5580" s="180">
        <v>115</v>
      </c>
    </row>
    <row r="5581" spans="1:3" x14ac:dyDescent="0.25">
      <c r="A5581" s="178">
        <v>104714</v>
      </c>
      <c r="B5581" s="179" t="s">
        <v>456</v>
      </c>
      <c r="C5581" s="180">
        <v>280</v>
      </c>
    </row>
    <row r="5582" spans="1:3" x14ac:dyDescent="0.25">
      <c r="A5582" s="178">
        <v>104715</v>
      </c>
      <c r="B5582" s="179" t="s">
        <v>456</v>
      </c>
      <c r="C5582" s="180">
        <v>280</v>
      </c>
    </row>
    <row r="5583" spans="1:3" x14ac:dyDescent="0.25">
      <c r="A5583" s="178">
        <v>104716</v>
      </c>
      <c r="B5583" s="179" t="s">
        <v>456</v>
      </c>
      <c r="C5583" s="180">
        <v>35</v>
      </c>
    </row>
    <row r="5584" spans="1:3" x14ac:dyDescent="0.25">
      <c r="A5584" s="178">
        <v>104748</v>
      </c>
      <c r="B5584" s="179" t="s">
        <v>456</v>
      </c>
      <c r="C5584" s="180">
        <v>40</v>
      </c>
    </row>
    <row r="5585" spans="1:3" x14ac:dyDescent="0.25">
      <c r="A5585" s="178">
        <v>104756</v>
      </c>
      <c r="B5585" s="179" t="s">
        <v>456</v>
      </c>
      <c r="C5585" s="180">
        <v>115</v>
      </c>
    </row>
    <row r="5586" spans="1:3" x14ac:dyDescent="0.25">
      <c r="A5586" s="178">
        <v>104766</v>
      </c>
      <c r="B5586" s="179" t="s">
        <v>456</v>
      </c>
      <c r="C5586" s="180">
        <v>115</v>
      </c>
    </row>
    <row r="5587" spans="1:3" x14ac:dyDescent="0.25">
      <c r="A5587" s="178">
        <v>104772</v>
      </c>
      <c r="B5587" s="179" t="s">
        <v>456</v>
      </c>
      <c r="C5587" s="180">
        <v>115</v>
      </c>
    </row>
    <row r="5588" spans="1:3" x14ac:dyDescent="0.25">
      <c r="A5588" s="178">
        <v>104812</v>
      </c>
      <c r="B5588" s="179" t="s">
        <v>456</v>
      </c>
      <c r="C5588" s="180">
        <v>115</v>
      </c>
    </row>
    <row r="5589" spans="1:3" x14ac:dyDescent="0.25">
      <c r="A5589" s="178">
        <v>104833</v>
      </c>
      <c r="B5589" s="179" t="s">
        <v>456</v>
      </c>
      <c r="C5589" s="180">
        <v>115</v>
      </c>
    </row>
    <row r="5590" spans="1:3" x14ac:dyDescent="0.25">
      <c r="A5590" s="178">
        <v>104835</v>
      </c>
      <c r="B5590" s="179" t="s">
        <v>456</v>
      </c>
      <c r="C5590" s="180">
        <v>115</v>
      </c>
    </row>
    <row r="5591" spans="1:3" x14ac:dyDescent="0.25">
      <c r="A5591" s="178">
        <v>104841</v>
      </c>
      <c r="B5591" s="179" t="s">
        <v>456</v>
      </c>
      <c r="C5591" s="180">
        <v>115</v>
      </c>
    </row>
    <row r="5592" spans="1:3" x14ac:dyDescent="0.25">
      <c r="A5592" s="178">
        <v>104843</v>
      </c>
      <c r="B5592" s="179" t="s">
        <v>456</v>
      </c>
      <c r="C5592" s="180">
        <v>135</v>
      </c>
    </row>
    <row r="5593" spans="1:3" x14ac:dyDescent="0.25">
      <c r="A5593" s="178">
        <v>104844</v>
      </c>
      <c r="B5593" s="179" t="s">
        <v>456</v>
      </c>
      <c r="C5593" s="180">
        <v>135</v>
      </c>
    </row>
    <row r="5594" spans="1:3" x14ac:dyDescent="0.25">
      <c r="A5594" s="178">
        <v>104845</v>
      </c>
      <c r="B5594" s="179" t="s">
        <v>456</v>
      </c>
      <c r="C5594" s="180">
        <v>96</v>
      </c>
    </row>
    <row r="5595" spans="1:3" x14ac:dyDescent="0.25">
      <c r="A5595" s="178">
        <v>104852</v>
      </c>
      <c r="B5595" s="179" t="s">
        <v>456</v>
      </c>
      <c r="C5595" s="180">
        <v>115</v>
      </c>
    </row>
    <row r="5596" spans="1:3" x14ac:dyDescent="0.25">
      <c r="A5596" s="178">
        <v>104855</v>
      </c>
      <c r="B5596" s="179" t="s">
        <v>456</v>
      </c>
      <c r="C5596" s="180">
        <v>115</v>
      </c>
    </row>
    <row r="5597" spans="1:3" x14ac:dyDescent="0.25">
      <c r="A5597" s="178">
        <v>104875</v>
      </c>
      <c r="B5597" s="179" t="s">
        <v>456</v>
      </c>
      <c r="C5597" s="180">
        <v>115</v>
      </c>
    </row>
    <row r="5598" spans="1:3" x14ac:dyDescent="0.25">
      <c r="A5598" s="178">
        <v>104876</v>
      </c>
      <c r="B5598" s="179" t="s">
        <v>456</v>
      </c>
      <c r="C5598" s="180">
        <v>75</v>
      </c>
    </row>
    <row r="5599" spans="1:3" x14ac:dyDescent="0.25">
      <c r="A5599" s="178">
        <v>104883</v>
      </c>
      <c r="B5599" s="179" t="s">
        <v>456</v>
      </c>
      <c r="C5599" s="180">
        <v>115</v>
      </c>
    </row>
    <row r="5600" spans="1:3" x14ac:dyDescent="0.25">
      <c r="A5600" s="178">
        <v>104884</v>
      </c>
      <c r="B5600" s="179" t="s">
        <v>456</v>
      </c>
      <c r="C5600" s="180">
        <v>75</v>
      </c>
    </row>
    <row r="5601" spans="1:3" x14ac:dyDescent="0.25">
      <c r="A5601" s="178">
        <v>104885</v>
      </c>
      <c r="B5601" s="179" t="s">
        <v>456</v>
      </c>
      <c r="C5601" s="180">
        <v>75</v>
      </c>
    </row>
    <row r="5602" spans="1:3" x14ac:dyDescent="0.25">
      <c r="A5602" s="178">
        <v>104902</v>
      </c>
      <c r="B5602" s="179" t="s">
        <v>456</v>
      </c>
      <c r="C5602" s="180">
        <v>135</v>
      </c>
    </row>
    <row r="5603" spans="1:3" x14ac:dyDescent="0.25">
      <c r="A5603" s="178">
        <v>104921</v>
      </c>
      <c r="B5603" s="179" t="s">
        <v>456</v>
      </c>
      <c r="C5603" s="180">
        <v>135</v>
      </c>
    </row>
    <row r="5604" spans="1:3" x14ac:dyDescent="0.25">
      <c r="A5604" s="178">
        <v>104932</v>
      </c>
      <c r="B5604" s="179" t="s">
        <v>456</v>
      </c>
      <c r="C5604" s="180">
        <v>135</v>
      </c>
    </row>
    <row r="5605" spans="1:3" x14ac:dyDescent="0.25">
      <c r="A5605" s="178">
        <v>104963</v>
      </c>
      <c r="B5605" s="179" t="s">
        <v>456</v>
      </c>
      <c r="C5605" s="180">
        <v>135</v>
      </c>
    </row>
    <row r="5606" spans="1:3" x14ac:dyDescent="0.25">
      <c r="A5606" s="178">
        <v>104983</v>
      </c>
      <c r="B5606" s="179" t="s">
        <v>456</v>
      </c>
      <c r="C5606" s="180">
        <v>115</v>
      </c>
    </row>
    <row r="5607" spans="1:3" x14ac:dyDescent="0.25">
      <c r="A5607" s="178">
        <v>104991</v>
      </c>
      <c r="B5607" s="179" t="s">
        <v>456</v>
      </c>
      <c r="C5607" s="180">
        <v>115</v>
      </c>
    </row>
    <row r="5608" spans="1:3" x14ac:dyDescent="0.25">
      <c r="A5608" s="178">
        <v>105032</v>
      </c>
      <c r="B5608" s="179" t="s">
        <v>456</v>
      </c>
      <c r="C5608" s="180">
        <v>115</v>
      </c>
    </row>
    <row r="5609" spans="1:3" x14ac:dyDescent="0.25">
      <c r="A5609" s="178">
        <v>105033</v>
      </c>
      <c r="B5609" s="179" t="s">
        <v>456</v>
      </c>
      <c r="C5609" s="180">
        <v>60</v>
      </c>
    </row>
    <row r="5610" spans="1:3" x14ac:dyDescent="0.25">
      <c r="A5610" s="178">
        <v>105051</v>
      </c>
      <c r="B5610" s="179" t="s">
        <v>456</v>
      </c>
      <c r="C5610" s="180">
        <v>60</v>
      </c>
    </row>
    <row r="5611" spans="1:3" x14ac:dyDescent="0.25">
      <c r="A5611" s="178">
        <v>105060</v>
      </c>
      <c r="B5611" s="179" t="s">
        <v>456</v>
      </c>
      <c r="C5611" s="180">
        <v>40</v>
      </c>
    </row>
    <row r="5612" spans="1:3" x14ac:dyDescent="0.25">
      <c r="A5612" s="178">
        <v>105183</v>
      </c>
      <c r="B5612" s="179" t="s">
        <v>456</v>
      </c>
      <c r="C5612" s="180">
        <v>180</v>
      </c>
    </row>
    <row r="5613" spans="1:3" x14ac:dyDescent="0.25">
      <c r="A5613" s="178">
        <v>105193</v>
      </c>
      <c r="B5613" s="179" t="s">
        <v>456</v>
      </c>
      <c r="C5613" s="180">
        <v>18</v>
      </c>
    </row>
    <row r="5614" spans="1:3" x14ac:dyDescent="0.25">
      <c r="A5614" s="178">
        <v>105214</v>
      </c>
      <c r="B5614" s="179" t="s">
        <v>456</v>
      </c>
      <c r="C5614" s="180">
        <v>115</v>
      </c>
    </row>
    <row r="5615" spans="1:3" x14ac:dyDescent="0.25">
      <c r="A5615" s="178">
        <v>105254</v>
      </c>
      <c r="B5615" s="179" t="s">
        <v>456</v>
      </c>
      <c r="C5615" s="180">
        <v>96</v>
      </c>
    </row>
    <row r="5616" spans="1:3" x14ac:dyDescent="0.25">
      <c r="A5616" s="178">
        <v>105270</v>
      </c>
      <c r="B5616" s="179" t="s">
        <v>456</v>
      </c>
      <c r="C5616" s="180">
        <v>204</v>
      </c>
    </row>
    <row r="5617" spans="1:3" x14ac:dyDescent="0.25">
      <c r="A5617" s="178">
        <v>105271</v>
      </c>
      <c r="B5617" s="179" t="s">
        <v>456</v>
      </c>
      <c r="C5617" s="180">
        <v>204</v>
      </c>
    </row>
    <row r="5618" spans="1:3" x14ac:dyDescent="0.25">
      <c r="A5618" s="178">
        <v>105361</v>
      </c>
      <c r="B5618" s="179" t="s">
        <v>456</v>
      </c>
      <c r="C5618" s="180">
        <v>152</v>
      </c>
    </row>
    <row r="5619" spans="1:3" x14ac:dyDescent="0.25">
      <c r="A5619" s="178">
        <v>105371</v>
      </c>
      <c r="B5619" s="179" t="s">
        <v>456</v>
      </c>
      <c r="C5619" s="180">
        <v>115</v>
      </c>
    </row>
    <row r="5620" spans="1:3" x14ac:dyDescent="0.25">
      <c r="A5620" s="178">
        <v>105406</v>
      </c>
      <c r="B5620" s="179" t="s">
        <v>456</v>
      </c>
      <c r="C5620" s="180">
        <v>52</v>
      </c>
    </row>
    <row r="5621" spans="1:3" x14ac:dyDescent="0.25">
      <c r="A5621" s="178">
        <v>105408</v>
      </c>
      <c r="B5621" s="179" t="s">
        <v>456</v>
      </c>
      <c r="C5621" s="180">
        <v>24</v>
      </c>
    </row>
    <row r="5622" spans="1:3" x14ac:dyDescent="0.25">
      <c r="A5622" s="178">
        <v>105420</v>
      </c>
      <c r="B5622" s="179" t="s">
        <v>456</v>
      </c>
      <c r="C5622" s="180">
        <v>70</v>
      </c>
    </row>
    <row r="5623" spans="1:3" x14ac:dyDescent="0.25">
      <c r="A5623" s="178">
        <v>105421</v>
      </c>
      <c r="B5623" s="179" t="s">
        <v>456</v>
      </c>
      <c r="C5623" s="180">
        <v>64</v>
      </c>
    </row>
    <row r="5624" spans="1:3" x14ac:dyDescent="0.25">
      <c r="A5624" s="178">
        <v>105422</v>
      </c>
      <c r="B5624" s="179" t="s">
        <v>456</v>
      </c>
      <c r="C5624" s="180">
        <v>64</v>
      </c>
    </row>
    <row r="5625" spans="1:3" x14ac:dyDescent="0.25">
      <c r="A5625" s="178">
        <v>105471</v>
      </c>
      <c r="B5625" s="179" t="s">
        <v>456</v>
      </c>
      <c r="C5625" s="180">
        <v>56</v>
      </c>
    </row>
    <row r="5626" spans="1:3" x14ac:dyDescent="0.25">
      <c r="A5626" s="178">
        <v>105472</v>
      </c>
      <c r="B5626" s="179" t="s">
        <v>456</v>
      </c>
      <c r="C5626" s="180">
        <v>56</v>
      </c>
    </row>
    <row r="5627" spans="1:3" x14ac:dyDescent="0.25">
      <c r="A5627" s="178">
        <v>105473</v>
      </c>
      <c r="B5627" s="179" t="s">
        <v>456</v>
      </c>
      <c r="C5627" s="180">
        <v>56</v>
      </c>
    </row>
    <row r="5628" spans="1:3" x14ac:dyDescent="0.25">
      <c r="A5628" s="178">
        <v>105580</v>
      </c>
      <c r="B5628" s="179" t="s">
        <v>456</v>
      </c>
      <c r="C5628" s="180">
        <v>115</v>
      </c>
    </row>
    <row r="5629" spans="1:3" x14ac:dyDescent="0.25">
      <c r="A5629" s="178">
        <v>105585</v>
      </c>
      <c r="B5629" s="179" t="s">
        <v>456</v>
      </c>
      <c r="C5629" s="180">
        <v>115</v>
      </c>
    </row>
    <row r="5630" spans="1:3" x14ac:dyDescent="0.25">
      <c r="A5630" s="178">
        <v>105591</v>
      </c>
      <c r="B5630" s="179" t="s">
        <v>456</v>
      </c>
      <c r="C5630" s="180">
        <v>204</v>
      </c>
    </row>
    <row r="5631" spans="1:3" x14ac:dyDescent="0.25">
      <c r="A5631" s="178">
        <v>105598</v>
      </c>
      <c r="B5631" s="179" t="s">
        <v>456</v>
      </c>
      <c r="C5631" s="180">
        <v>198</v>
      </c>
    </row>
    <row r="5632" spans="1:3" x14ac:dyDescent="0.25">
      <c r="A5632" s="178">
        <v>105602</v>
      </c>
      <c r="B5632" s="179" t="s">
        <v>456</v>
      </c>
      <c r="C5632" s="180">
        <v>162</v>
      </c>
    </row>
    <row r="5633" spans="1:3" x14ac:dyDescent="0.25">
      <c r="A5633" s="178">
        <v>105604</v>
      </c>
      <c r="B5633" s="179" t="s">
        <v>456</v>
      </c>
      <c r="C5633" s="180">
        <v>115</v>
      </c>
    </row>
    <row r="5634" spans="1:3" x14ac:dyDescent="0.25">
      <c r="A5634" s="178">
        <v>105605</v>
      </c>
      <c r="B5634" s="179" t="s">
        <v>456</v>
      </c>
      <c r="C5634" s="180">
        <v>115</v>
      </c>
    </row>
    <row r="5635" spans="1:3" x14ac:dyDescent="0.25">
      <c r="A5635" s="178">
        <v>105703</v>
      </c>
      <c r="B5635" s="179" t="s">
        <v>456</v>
      </c>
      <c r="C5635" s="180">
        <v>135</v>
      </c>
    </row>
    <row r="5636" spans="1:3" x14ac:dyDescent="0.25">
      <c r="A5636" s="178">
        <v>105713</v>
      </c>
      <c r="B5636" s="179" t="s">
        <v>456</v>
      </c>
      <c r="C5636" s="180">
        <v>115</v>
      </c>
    </row>
    <row r="5637" spans="1:3" x14ac:dyDescent="0.25">
      <c r="A5637" s="178">
        <v>105723</v>
      </c>
      <c r="B5637" s="179" t="s">
        <v>456</v>
      </c>
      <c r="C5637" s="180">
        <v>115</v>
      </c>
    </row>
    <row r="5638" spans="1:3" x14ac:dyDescent="0.25">
      <c r="A5638" s="178">
        <v>105733</v>
      </c>
      <c r="B5638" s="179" t="s">
        <v>456</v>
      </c>
      <c r="C5638" s="180">
        <v>115</v>
      </c>
    </row>
    <row r="5639" spans="1:3" x14ac:dyDescent="0.25">
      <c r="A5639" s="178">
        <v>105809</v>
      </c>
      <c r="B5639" s="179" t="s">
        <v>456</v>
      </c>
      <c r="C5639" s="180">
        <v>28</v>
      </c>
    </row>
    <row r="5640" spans="1:3" x14ac:dyDescent="0.25">
      <c r="A5640" s="178">
        <v>105819</v>
      </c>
      <c r="B5640" s="179" t="s">
        <v>456</v>
      </c>
      <c r="C5640" s="180">
        <v>36</v>
      </c>
    </row>
    <row r="5641" spans="1:3" x14ac:dyDescent="0.25">
      <c r="A5641" s="178">
        <v>105829</v>
      </c>
      <c r="B5641" s="179" t="s">
        <v>456</v>
      </c>
      <c r="C5641" s="180">
        <v>60</v>
      </c>
    </row>
    <row r="5642" spans="1:3" x14ac:dyDescent="0.25">
      <c r="A5642" s="178">
        <v>105853</v>
      </c>
      <c r="B5642" s="179" t="s">
        <v>456</v>
      </c>
      <c r="C5642" s="180">
        <v>60</v>
      </c>
    </row>
    <row r="5643" spans="1:3" x14ac:dyDescent="0.25">
      <c r="A5643" s="178">
        <v>105869</v>
      </c>
      <c r="B5643" s="179" t="s">
        <v>456</v>
      </c>
      <c r="C5643" s="180">
        <v>28</v>
      </c>
    </row>
    <row r="5644" spans="1:3" x14ac:dyDescent="0.25">
      <c r="A5644" s="178">
        <v>105881</v>
      </c>
      <c r="B5644" s="179" t="s">
        <v>456</v>
      </c>
      <c r="C5644" s="180">
        <v>60</v>
      </c>
    </row>
    <row r="5645" spans="1:3" x14ac:dyDescent="0.25">
      <c r="A5645" s="178">
        <v>105894</v>
      </c>
      <c r="B5645" s="179" t="s">
        <v>456</v>
      </c>
      <c r="C5645" s="180">
        <v>60</v>
      </c>
    </row>
    <row r="5646" spans="1:3" x14ac:dyDescent="0.25">
      <c r="A5646" s="178">
        <v>105911</v>
      </c>
      <c r="B5646" s="179" t="s">
        <v>456</v>
      </c>
      <c r="C5646" s="180">
        <v>60</v>
      </c>
    </row>
    <row r="5647" spans="1:3" x14ac:dyDescent="0.25">
      <c r="A5647" s="178">
        <v>105941</v>
      </c>
      <c r="B5647" s="179" t="s">
        <v>456</v>
      </c>
      <c r="C5647" s="180">
        <v>90</v>
      </c>
    </row>
    <row r="5648" spans="1:3" x14ac:dyDescent="0.25">
      <c r="A5648" s="178">
        <v>105944</v>
      </c>
      <c r="B5648" s="179" t="s">
        <v>456</v>
      </c>
      <c r="C5648" s="180">
        <v>90</v>
      </c>
    </row>
    <row r="5649" spans="1:3" x14ac:dyDescent="0.25">
      <c r="A5649" s="178">
        <v>105945</v>
      </c>
      <c r="B5649" s="179" t="s">
        <v>456</v>
      </c>
      <c r="C5649" s="180">
        <v>45</v>
      </c>
    </row>
    <row r="5650" spans="1:3" x14ac:dyDescent="0.25">
      <c r="A5650" s="178">
        <v>105992</v>
      </c>
      <c r="B5650" s="179" t="s">
        <v>456</v>
      </c>
      <c r="C5650" s="180">
        <v>56</v>
      </c>
    </row>
    <row r="5651" spans="1:3" x14ac:dyDescent="0.25">
      <c r="A5651" s="178">
        <v>105993</v>
      </c>
      <c r="B5651" s="179" t="s">
        <v>456</v>
      </c>
      <c r="C5651" s="180">
        <v>160</v>
      </c>
    </row>
    <row r="5652" spans="1:3" x14ac:dyDescent="0.25">
      <c r="A5652" s="178">
        <v>106006</v>
      </c>
      <c r="B5652" s="179" t="s">
        <v>456</v>
      </c>
      <c r="C5652" s="180">
        <v>30</v>
      </c>
    </row>
    <row r="5653" spans="1:3" x14ac:dyDescent="0.25">
      <c r="A5653" s="178">
        <v>106011</v>
      </c>
      <c r="B5653" s="179" t="s">
        <v>456</v>
      </c>
      <c r="C5653" s="180">
        <v>90</v>
      </c>
    </row>
    <row r="5654" spans="1:3" x14ac:dyDescent="0.25">
      <c r="A5654" s="178">
        <v>106016</v>
      </c>
      <c r="B5654" s="179" t="s">
        <v>456</v>
      </c>
      <c r="C5654" s="180">
        <v>90</v>
      </c>
    </row>
    <row r="5655" spans="1:3" x14ac:dyDescent="0.25">
      <c r="A5655" s="178">
        <v>106045</v>
      </c>
      <c r="B5655" s="179" t="s">
        <v>456</v>
      </c>
      <c r="C5655" s="180">
        <v>48</v>
      </c>
    </row>
    <row r="5656" spans="1:3" x14ac:dyDescent="0.25">
      <c r="A5656" s="178">
        <v>106090</v>
      </c>
      <c r="B5656" s="179" t="s">
        <v>456</v>
      </c>
      <c r="C5656" s="180">
        <v>189</v>
      </c>
    </row>
    <row r="5657" spans="1:3" x14ac:dyDescent="0.25">
      <c r="A5657" s="178">
        <v>106091</v>
      </c>
      <c r="B5657" s="179" t="s">
        <v>456</v>
      </c>
      <c r="C5657" s="180">
        <v>189</v>
      </c>
    </row>
    <row r="5658" spans="1:3" x14ac:dyDescent="0.25">
      <c r="A5658" s="178">
        <v>106092</v>
      </c>
      <c r="B5658" s="179" t="s">
        <v>456</v>
      </c>
      <c r="C5658" s="180">
        <v>189</v>
      </c>
    </row>
    <row r="5659" spans="1:3" x14ac:dyDescent="0.25">
      <c r="A5659" s="178">
        <v>106093</v>
      </c>
      <c r="B5659" s="179" t="s">
        <v>456</v>
      </c>
      <c r="C5659" s="180">
        <v>189</v>
      </c>
    </row>
    <row r="5660" spans="1:3" x14ac:dyDescent="0.25">
      <c r="A5660" s="178">
        <v>106094</v>
      </c>
      <c r="B5660" s="179" t="s">
        <v>456</v>
      </c>
      <c r="C5660" s="180">
        <v>189</v>
      </c>
    </row>
    <row r="5661" spans="1:3" x14ac:dyDescent="0.25">
      <c r="A5661" s="178">
        <v>106095</v>
      </c>
      <c r="B5661" s="179" t="s">
        <v>456</v>
      </c>
      <c r="C5661" s="180">
        <v>189</v>
      </c>
    </row>
    <row r="5662" spans="1:3" x14ac:dyDescent="0.25">
      <c r="A5662" s="178">
        <v>106096</v>
      </c>
      <c r="B5662" s="179" t="s">
        <v>456</v>
      </c>
      <c r="C5662" s="180">
        <v>189</v>
      </c>
    </row>
    <row r="5663" spans="1:3" x14ac:dyDescent="0.25">
      <c r="A5663" s="178">
        <v>106097</v>
      </c>
      <c r="B5663" s="179" t="s">
        <v>456</v>
      </c>
      <c r="C5663" s="180">
        <v>189</v>
      </c>
    </row>
    <row r="5664" spans="1:3" x14ac:dyDescent="0.25">
      <c r="A5664" s="178">
        <v>106163</v>
      </c>
      <c r="B5664" s="179" t="s">
        <v>456</v>
      </c>
      <c r="C5664" s="180">
        <v>192</v>
      </c>
    </row>
    <row r="5665" spans="1:3" x14ac:dyDescent="0.25">
      <c r="A5665" s="178">
        <v>106166</v>
      </c>
      <c r="B5665" s="179" t="s">
        <v>456</v>
      </c>
      <c r="C5665" s="180">
        <v>192</v>
      </c>
    </row>
    <row r="5666" spans="1:3" x14ac:dyDescent="0.25">
      <c r="A5666" s="178">
        <v>106167</v>
      </c>
      <c r="B5666" s="179" t="s">
        <v>456</v>
      </c>
      <c r="C5666" s="180">
        <v>192</v>
      </c>
    </row>
    <row r="5667" spans="1:3" x14ac:dyDescent="0.25">
      <c r="A5667" s="178">
        <v>106168</v>
      </c>
      <c r="B5667" s="179" t="s">
        <v>456</v>
      </c>
      <c r="C5667" s="180">
        <v>192</v>
      </c>
    </row>
    <row r="5668" spans="1:3" x14ac:dyDescent="0.25">
      <c r="A5668" s="178">
        <v>106171</v>
      </c>
      <c r="B5668" s="179" t="s">
        <v>456</v>
      </c>
      <c r="C5668" s="180">
        <v>80</v>
      </c>
    </row>
    <row r="5669" spans="1:3" x14ac:dyDescent="0.25">
      <c r="A5669" s="178">
        <v>106172</v>
      </c>
      <c r="B5669" s="179" t="s">
        <v>456</v>
      </c>
      <c r="C5669" s="180">
        <v>80</v>
      </c>
    </row>
    <row r="5670" spans="1:3" x14ac:dyDescent="0.25">
      <c r="A5670" s="178">
        <v>106174</v>
      </c>
      <c r="B5670" s="179" t="s">
        <v>456</v>
      </c>
      <c r="C5670" s="180">
        <v>192</v>
      </c>
    </row>
    <row r="5671" spans="1:3" x14ac:dyDescent="0.25">
      <c r="A5671" s="178">
        <v>106178</v>
      </c>
      <c r="B5671" s="179" t="s">
        <v>456</v>
      </c>
      <c r="C5671" s="180">
        <v>192</v>
      </c>
    </row>
    <row r="5672" spans="1:3" x14ac:dyDescent="0.25">
      <c r="A5672" s="178">
        <v>106179</v>
      </c>
      <c r="B5672" s="179" t="s">
        <v>456</v>
      </c>
      <c r="C5672" s="180">
        <v>192</v>
      </c>
    </row>
    <row r="5673" spans="1:3" x14ac:dyDescent="0.25">
      <c r="A5673" s="178">
        <v>106181</v>
      </c>
      <c r="B5673" s="179" t="s">
        <v>456</v>
      </c>
      <c r="C5673" s="180">
        <v>192</v>
      </c>
    </row>
    <row r="5674" spans="1:3" x14ac:dyDescent="0.25">
      <c r="A5674" s="178">
        <v>106182</v>
      </c>
      <c r="B5674" s="179" t="s">
        <v>456</v>
      </c>
      <c r="C5674" s="180">
        <v>192</v>
      </c>
    </row>
    <row r="5675" spans="1:3" x14ac:dyDescent="0.25">
      <c r="A5675" s="178">
        <v>106183</v>
      </c>
      <c r="B5675" s="179" t="s">
        <v>456</v>
      </c>
      <c r="C5675" s="180">
        <v>192</v>
      </c>
    </row>
    <row r="5676" spans="1:3" x14ac:dyDescent="0.25">
      <c r="A5676" s="178">
        <v>106184</v>
      </c>
      <c r="B5676" s="179" t="s">
        <v>456</v>
      </c>
      <c r="C5676" s="180">
        <v>192</v>
      </c>
    </row>
    <row r="5677" spans="1:3" x14ac:dyDescent="0.25">
      <c r="A5677" s="178">
        <v>106185</v>
      </c>
      <c r="B5677" s="179" t="s">
        <v>456</v>
      </c>
      <c r="C5677" s="180">
        <v>115</v>
      </c>
    </row>
    <row r="5678" spans="1:3" x14ac:dyDescent="0.25">
      <c r="A5678" s="178">
        <v>106187</v>
      </c>
      <c r="B5678" s="179" t="s">
        <v>456</v>
      </c>
      <c r="C5678" s="180">
        <v>192</v>
      </c>
    </row>
    <row r="5679" spans="1:3" x14ac:dyDescent="0.25">
      <c r="A5679" s="178">
        <v>106188</v>
      </c>
      <c r="B5679" s="179" t="s">
        <v>456</v>
      </c>
      <c r="C5679" s="180">
        <v>192</v>
      </c>
    </row>
    <row r="5680" spans="1:3" x14ac:dyDescent="0.25">
      <c r="A5680" s="178">
        <v>106189</v>
      </c>
      <c r="B5680" s="179" t="s">
        <v>456</v>
      </c>
      <c r="C5680" s="180">
        <v>114</v>
      </c>
    </row>
    <row r="5681" spans="1:3" x14ac:dyDescent="0.25">
      <c r="A5681" s="178">
        <v>106190</v>
      </c>
      <c r="B5681" s="179" t="s">
        <v>456</v>
      </c>
      <c r="C5681" s="180">
        <v>192</v>
      </c>
    </row>
    <row r="5682" spans="1:3" x14ac:dyDescent="0.25">
      <c r="A5682" s="178">
        <v>106191</v>
      </c>
      <c r="B5682" s="179" t="s">
        <v>456</v>
      </c>
      <c r="C5682" s="180">
        <v>192</v>
      </c>
    </row>
    <row r="5683" spans="1:3" x14ac:dyDescent="0.25">
      <c r="A5683" s="178">
        <v>106192</v>
      </c>
      <c r="B5683" s="179" t="s">
        <v>456</v>
      </c>
      <c r="C5683" s="180">
        <v>192</v>
      </c>
    </row>
    <row r="5684" spans="1:3" x14ac:dyDescent="0.25">
      <c r="A5684" s="178">
        <v>106193</v>
      </c>
      <c r="B5684" s="179" t="s">
        <v>456</v>
      </c>
      <c r="C5684" s="180">
        <v>192</v>
      </c>
    </row>
    <row r="5685" spans="1:3" x14ac:dyDescent="0.25">
      <c r="A5685" s="178">
        <v>106194</v>
      </c>
      <c r="B5685" s="179" t="s">
        <v>456</v>
      </c>
      <c r="C5685" s="180">
        <v>192</v>
      </c>
    </row>
    <row r="5686" spans="1:3" x14ac:dyDescent="0.25">
      <c r="A5686" s="178">
        <v>106195</v>
      </c>
      <c r="B5686" s="179" t="s">
        <v>456</v>
      </c>
      <c r="C5686" s="180">
        <v>63</v>
      </c>
    </row>
    <row r="5687" spans="1:3" x14ac:dyDescent="0.25">
      <c r="A5687" s="178">
        <v>106197</v>
      </c>
      <c r="B5687" s="179" t="s">
        <v>456</v>
      </c>
      <c r="C5687" s="180">
        <v>192</v>
      </c>
    </row>
    <row r="5688" spans="1:3" x14ac:dyDescent="0.25">
      <c r="A5688" s="178">
        <v>106198</v>
      </c>
      <c r="B5688" s="179" t="s">
        <v>456</v>
      </c>
      <c r="C5688" s="180">
        <v>192</v>
      </c>
    </row>
    <row r="5689" spans="1:3" x14ac:dyDescent="0.25">
      <c r="A5689" s="178">
        <v>106200</v>
      </c>
      <c r="B5689" s="179" t="s">
        <v>456</v>
      </c>
      <c r="C5689" s="180">
        <v>192</v>
      </c>
    </row>
    <row r="5690" spans="1:3" x14ac:dyDescent="0.25">
      <c r="A5690" s="178">
        <v>106201</v>
      </c>
      <c r="B5690" s="179" t="s">
        <v>456</v>
      </c>
      <c r="C5690" s="180">
        <v>192</v>
      </c>
    </row>
    <row r="5691" spans="1:3" x14ac:dyDescent="0.25">
      <c r="A5691" s="178">
        <v>106203</v>
      </c>
      <c r="B5691" s="179" t="s">
        <v>456</v>
      </c>
      <c r="C5691" s="180">
        <v>192</v>
      </c>
    </row>
    <row r="5692" spans="1:3" x14ac:dyDescent="0.25">
      <c r="A5692" s="178">
        <v>106225</v>
      </c>
      <c r="B5692" s="179" t="s">
        <v>456</v>
      </c>
      <c r="C5692" s="180">
        <v>40</v>
      </c>
    </row>
    <row r="5693" spans="1:3" x14ac:dyDescent="0.25">
      <c r="A5693" s="178">
        <v>106231</v>
      </c>
      <c r="B5693" s="179" t="s">
        <v>456</v>
      </c>
      <c r="C5693" s="180">
        <v>96</v>
      </c>
    </row>
    <row r="5694" spans="1:3" x14ac:dyDescent="0.25">
      <c r="A5694" s="178">
        <v>106232</v>
      </c>
      <c r="B5694" s="179" t="s">
        <v>456</v>
      </c>
      <c r="C5694" s="180">
        <v>96</v>
      </c>
    </row>
    <row r="5695" spans="1:3" x14ac:dyDescent="0.25">
      <c r="A5695" s="178">
        <v>106233</v>
      </c>
      <c r="B5695" s="179" t="s">
        <v>456</v>
      </c>
      <c r="C5695" s="180">
        <v>96</v>
      </c>
    </row>
    <row r="5696" spans="1:3" x14ac:dyDescent="0.25">
      <c r="A5696" s="178">
        <v>106234</v>
      </c>
      <c r="B5696" s="179" t="s">
        <v>456</v>
      </c>
      <c r="C5696" s="180">
        <v>96</v>
      </c>
    </row>
    <row r="5697" spans="1:3" x14ac:dyDescent="0.25">
      <c r="A5697" s="178">
        <v>106236</v>
      </c>
      <c r="B5697" s="179" t="s">
        <v>456</v>
      </c>
      <c r="C5697" s="180">
        <v>96</v>
      </c>
    </row>
    <row r="5698" spans="1:3" x14ac:dyDescent="0.25">
      <c r="A5698" s="178">
        <v>106238</v>
      </c>
      <c r="B5698" s="179" t="s">
        <v>456</v>
      </c>
      <c r="C5698" s="180">
        <v>96</v>
      </c>
    </row>
    <row r="5699" spans="1:3" x14ac:dyDescent="0.25">
      <c r="A5699" s="178">
        <v>106248</v>
      </c>
      <c r="B5699" s="179" t="s">
        <v>456</v>
      </c>
      <c r="C5699" s="180">
        <v>224</v>
      </c>
    </row>
    <row r="5700" spans="1:3" x14ac:dyDescent="0.25">
      <c r="A5700" s="178">
        <v>106261</v>
      </c>
      <c r="B5700" s="179" t="s">
        <v>456</v>
      </c>
      <c r="C5700" s="180">
        <v>96</v>
      </c>
    </row>
    <row r="5701" spans="1:3" x14ac:dyDescent="0.25">
      <c r="A5701" s="178">
        <v>106275</v>
      </c>
      <c r="B5701" s="179" t="s">
        <v>456</v>
      </c>
      <c r="C5701" s="180">
        <v>90</v>
      </c>
    </row>
    <row r="5702" spans="1:3" x14ac:dyDescent="0.25">
      <c r="A5702" s="178">
        <v>106276</v>
      </c>
      <c r="B5702" s="179" t="s">
        <v>456</v>
      </c>
      <c r="C5702" s="180">
        <v>90</v>
      </c>
    </row>
    <row r="5703" spans="1:3" x14ac:dyDescent="0.25">
      <c r="A5703" s="178">
        <v>106281</v>
      </c>
      <c r="B5703" s="179" t="s">
        <v>456</v>
      </c>
      <c r="C5703" s="180">
        <v>96</v>
      </c>
    </row>
    <row r="5704" spans="1:3" x14ac:dyDescent="0.25">
      <c r="A5704" s="178">
        <v>106282</v>
      </c>
      <c r="B5704" s="179" t="s">
        <v>456</v>
      </c>
      <c r="C5704" s="180">
        <v>96</v>
      </c>
    </row>
    <row r="5705" spans="1:3" x14ac:dyDescent="0.25">
      <c r="A5705" s="178">
        <v>106290</v>
      </c>
      <c r="B5705" s="179" t="s">
        <v>456</v>
      </c>
      <c r="C5705" s="180">
        <v>96</v>
      </c>
    </row>
    <row r="5706" spans="1:3" x14ac:dyDescent="0.25">
      <c r="A5706" s="178">
        <v>106291</v>
      </c>
      <c r="B5706" s="179" t="s">
        <v>456</v>
      </c>
      <c r="C5706" s="180">
        <v>55</v>
      </c>
    </row>
    <row r="5707" spans="1:3" x14ac:dyDescent="0.25">
      <c r="A5707" s="178">
        <v>106292</v>
      </c>
      <c r="B5707" s="179" t="s">
        <v>456</v>
      </c>
      <c r="C5707" s="180">
        <v>55</v>
      </c>
    </row>
    <row r="5708" spans="1:3" x14ac:dyDescent="0.25">
      <c r="A5708" s="178">
        <v>106322</v>
      </c>
      <c r="B5708" s="179" t="s">
        <v>456</v>
      </c>
      <c r="C5708" s="180">
        <v>60</v>
      </c>
    </row>
    <row r="5709" spans="1:3" x14ac:dyDescent="0.25">
      <c r="A5709" s="178">
        <v>106323</v>
      </c>
      <c r="B5709" s="179" t="s">
        <v>456</v>
      </c>
      <c r="C5709" s="180">
        <v>30</v>
      </c>
    </row>
    <row r="5710" spans="1:3" x14ac:dyDescent="0.25">
      <c r="A5710" s="178">
        <v>106330</v>
      </c>
      <c r="B5710" s="179" t="s">
        <v>456</v>
      </c>
      <c r="C5710" s="180">
        <v>65</v>
      </c>
    </row>
    <row r="5711" spans="1:3" x14ac:dyDescent="0.25">
      <c r="A5711" s="178">
        <v>106331</v>
      </c>
      <c r="B5711" s="179" t="s">
        <v>456</v>
      </c>
      <c r="C5711" s="180">
        <v>65</v>
      </c>
    </row>
    <row r="5712" spans="1:3" x14ac:dyDescent="0.25">
      <c r="A5712" s="178">
        <v>106332</v>
      </c>
      <c r="B5712" s="179" t="s">
        <v>456</v>
      </c>
      <c r="C5712" s="180">
        <v>65</v>
      </c>
    </row>
    <row r="5713" spans="1:3" x14ac:dyDescent="0.25">
      <c r="A5713" s="178">
        <v>106340</v>
      </c>
      <c r="B5713" s="179" t="s">
        <v>456</v>
      </c>
      <c r="C5713" s="180">
        <v>112</v>
      </c>
    </row>
    <row r="5714" spans="1:3" x14ac:dyDescent="0.25">
      <c r="A5714" s="178">
        <v>106344</v>
      </c>
      <c r="B5714" s="179" t="s">
        <v>456</v>
      </c>
      <c r="C5714" s="180">
        <v>48</v>
      </c>
    </row>
    <row r="5715" spans="1:3" x14ac:dyDescent="0.25">
      <c r="A5715" s="178">
        <v>106370</v>
      </c>
      <c r="B5715" s="179" t="s">
        <v>456</v>
      </c>
      <c r="C5715" s="180">
        <v>80</v>
      </c>
    </row>
    <row r="5716" spans="1:3" x14ac:dyDescent="0.25">
      <c r="A5716" s="178">
        <v>106371</v>
      </c>
      <c r="B5716" s="179" t="s">
        <v>456</v>
      </c>
      <c r="C5716" s="180">
        <v>80</v>
      </c>
    </row>
    <row r="5717" spans="1:3" x14ac:dyDescent="0.25">
      <c r="A5717" s="178">
        <v>106374</v>
      </c>
      <c r="B5717" s="179" t="s">
        <v>456</v>
      </c>
      <c r="C5717" s="180">
        <v>90</v>
      </c>
    </row>
    <row r="5718" spans="1:3" x14ac:dyDescent="0.25">
      <c r="A5718" s="178">
        <v>106376</v>
      </c>
      <c r="B5718" s="179" t="s">
        <v>456</v>
      </c>
      <c r="C5718" s="180">
        <v>90</v>
      </c>
    </row>
    <row r="5719" spans="1:3" x14ac:dyDescent="0.25">
      <c r="A5719" s="178">
        <v>106379</v>
      </c>
      <c r="B5719" s="179" t="s">
        <v>456</v>
      </c>
      <c r="C5719" s="180">
        <v>56</v>
      </c>
    </row>
    <row r="5720" spans="1:3" x14ac:dyDescent="0.25">
      <c r="A5720" s="178">
        <v>106385</v>
      </c>
      <c r="B5720" s="179" t="s">
        <v>456</v>
      </c>
      <c r="C5720" s="180">
        <v>480</v>
      </c>
    </row>
    <row r="5721" spans="1:3" x14ac:dyDescent="0.25">
      <c r="A5721" s="178">
        <v>106386</v>
      </c>
      <c r="B5721" s="179" t="s">
        <v>456</v>
      </c>
      <c r="C5721" s="180">
        <v>480</v>
      </c>
    </row>
    <row r="5722" spans="1:3" x14ac:dyDescent="0.25">
      <c r="A5722" s="178">
        <v>106387</v>
      </c>
      <c r="B5722" s="179" t="s">
        <v>456</v>
      </c>
      <c r="C5722" s="180">
        <v>480</v>
      </c>
    </row>
    <row r="5723" spans="1:3" x14ac:dyDescent="0.25">
      <c r="A5723" s="178">
        <v>106388</v>
      </c>
      <c r="B5723" s="179" t="s">
        <v>456</v>
      </c>
      <c r="C5723" s="180">
        <v>480</v>
      </c>
    </row>
    <row r="5724" spans="1:3" x14ac:dyDescent="0.25">
      <c r="A5724" s="178">
        <v>106389</v>
      </c>
      <c r="B5724" s="179" t="s">
        <v>456</v>
      </c>
      <c r="C5724" s="180">
        <v>480</v>
      </c>
    </row>
    <row r="5725" spans="1:3" x14ac:dyDescent="0.25">
      <c r="A5725" s="178">
        <v>106393</v>
      </c>
      <c r="B5725" s="179" t="s">
        <v>456</v>
      </c>
      <c r="C5725" s="180">
        <v>480</v>
      </c>
    </row>
    <row r="5726" spans="1:3" x14ac:dyDescent="0.25">
      <c r="A5726" s="178">
        <v>106396</v>
      </c>
      <c r="B5726" s="179" t="s">
        <v>456</v>
      </c>
      <c r="C5726" s="180">
        <v>960</v>
      </c>
    </row>
    <row r="5727" spans="1:3" x14ac:dyDescent="0.25">
      <c r="A5727" s="178">
        <v>106401</v>
      </c>
      <c r="B5727" s="179" t="s">
        <v>456</v>
      </c>
      <c r="C5727" s="180">
        <v>48</v>
      </c>
    </row>
    <row r="5728" spans="1:3" x14ac:dyDescent="0.25">
      <c r="A5728" s="178">
        <v>106403</v>
      </c>
      <c r="B5728" s="179" t="s">
        <v>456</v>
      </c>
      <c r="C5728" s="180">
        <v>48</v>
      </c>
    </row>
    <row r="5729" spans="1:3" x14ac:dyDescent="0.25">
      <c r="A5729" s="178">
        <v>106405</v>
      </c>
      <c r="B5729" s="179" t="s">
        <v>456</v>
      </c>
      <c r="C5729" s="180">
        <v>48</v>
      </c>
    </row>
    <row r="5730" spans="1:3" x14ac:dyDescent="0.25">
      <c r="A5730" s="178">
        <v>106407</v>
      </c>
      <c r="B5730" s="179" t="s">
        <v>456</v>
      </c>
      <c r="C5730" s="180">
        <v>48</v>
      </c>
    </row>
    <row r="5731" spans="1:3" x14ac:dyDescent="0.25">
      <c r="A5731" s="178">
        <v>106409</v>
      </c>
      <c r="B5731" s="179" t="s">
        <v>456</v>
      </c>
      <c r="C5731" s="180">
        <v>48</v>
      </c>
    </row>
    <row r="5732" spans="1:3" x14ac:dyDescent="0.25">
      <c r="A5732" s="178">
        <v>106411</v>
      </c>
      <c r="B5732" s="179" t="s">
        <v>456</v>
      </c>
      <c r="C5732" s="180">
        <v>48</v>
      </c>
    </row>
    <row r="5733" spans="1:3" x14ac:dyDescent="0.25">
      <c r="A5733" s="178">
        <v>106412</v>
      </c>
      <c r="B5733" s="179" t="s">
        <v>456</v>
      </c>
      <c r="C5733" s="180">
        <v>48</v>
      </c>
    </row>
    <row r="5734" spans="1:3" x14ac:dyDescent="0.25">
      <c r="A5734" s="178">
        <v>106413</v>
      </c>
      <c r="B5734" s="179" t="s">
        <v>456</v>
      </c>
      <c r="C5734" s="180">
        <v>48</v>
      </c>
    </row>
    <row r="5735" spans="1:3" x14ac:dyDescent="0.25">
      <c r="A5735" s="178">
        <v>106414</v>
      </c>
      <c r="B5735" s="179" t="s">
        <v>456</v>
      </c>
      <c r="C5735" s="180">
        <v>48</v>
      </c>
    </row>
    <row r="5736" spans="1:3" x14ac:dyDescent="0.25">
      <c r="A5736" s="178">
        <v>106418</v>
      </c>
      <c r="B5736" s="179" t="s">
        <v>456</v>
      </c>
      <c r="C5736" s="180">
        <v>63</v>
      </c>
    </row>
    <row r="5737" spans="1:3" x14ac:dyDescent="0.25">
      <c r="A5737" s="178">
        <v>106419</v>
      </c>
      <c r="B5737" s="179" t="s">
        <v>456</v>
      </c>
      <c r="C5737" s="180">
        <v>63</v>
      </c>
    </row>
    <row r="5738" spans="1:3" x14ac:dyDescent="0.25">
      <c r="A5738" s="178">
        <v>106420</v>
      </c>
      <c r="B5738" s="179" t="s">
        <v>456</v>
      </c>
      <c r="C5738" s="180">
        <v>63</v>
      </c>
    </row>
    <row r="5739" spans="1:3" x14ac:dyDescent="0.25">
      <c r="A5739" s="178">
        <v>106421</v>
      </c>
      <c r="B5739" s="179" t="s">
        <v>456</v>
      </c>
      <c r="C5739" s="180">
        <v>63</v>
      </c>
    </row>
    <row r="5740" spans="1:3" x14ac:dyDescent="0.25">
      <c r="A5740" s="178">
        <v>106422</v>
      </c>
      <c r="B5740" s="179" t="s">
        <v>456</v>
      </c>
      <c r="C5740" s="180">
        <v>63</v>
      </c>
    </row>
    <row r="5741" spans="1:3" x14ac:dyDescent="0.25">
      <c r="A5741" s="178">
        <v>106423</v>
      </c>
      <c r="B5741" s="179" t="s">
        <v>456</v>
      </c>
      <c r="C5741" s="180">
        <v>63</v>
      </c>
    </row>
    <row r="5742" spans="1:3" x14ac:dyDescent="0.25">
      <c r="A5742" s="178">
        <v>106424</v>
      </c>
      <c r="B5742" s="179" t="s">
        <v>456</v>
      </c>
      <c r="C5742" s="180">
        <v>63</v>
      </c>
    </row>
    <row r="5743" spans="1:3" x14ac:dyDescent="0.25">
      <c r="A5743" s="178">
        <v>106425</v>
      </c>
      <c r="B5743" s="179" t="s">
        <v>456</v>
      </c>
      <c r="C5743" s="180">
        <v>63</v>
      </c>
    </row>
    <row r="5744" spans="1:3" x14ac:dyDescent="0.25">
      <c r="A5744" s="178">
        <v>106426</v>
      </c>
      <c r="B5744" s="179" t="s">
        <v>456</v>
      </c>
      <c r="C5744" s="180">
        <v>63</v>
      </c>
    </row>
    <row r="5745" spans="1:3" x14ac:dyDescent="0.25">
      <c r="A5745" s="178">
        <v>106427</v>
      </c>
      <c r="B5745" s="179" t="s">
        <v>456</v>
      </c>
      <c r="C5745" s="180">
        <v>63</v>
      </c>
    </row>
    <row r="5746" spans="1:3" x14ac:dyDescent="0.25">
      <c r="A5746" s="178">
        <v>106428</v>
      </c>
      <c r="B5746" s="179" t="s">
        <v>456</v>
      </c>
      <c r="C5746" s="180">
        <v>63</v>
      </c>
    </row>
    <row r="5747" spans="1:3" x14ac:dyDescent="0.25">
      <c r="A5747" s="178">
        <v>106429</v>
      </c>
      <c r="B5747" s="179" t="s">
        <v>456</v>
      </c>
      <c r="C5747" s="180">
        <v>63</v>
      </c>
    </row>
    <row r="5748" spans="1:3" x14ac:dyDescent="0.25">
      <c r="A5748" s="178">
        <v>106430</v>
      </c>
      <c r="B5748" s="179" t="s">
        <v>456</v>
      </c>
      <c r="C5748" s="180">
        <v>63</v>
      </c>
    </row>
    <row r="5749" spans="1:3" x14ac:dyDescent="0.25">
      <c r="A5749" s="178">
        <v>106432</v>
      </c>
      <c r="B5749" s="179" t="s">
        <v>456</v>
      </c>
      <c r="C5749" s="180">
        <v>63</v>
      </c>
    </row>
    <row r="5750" spans="1:3" x14ac:dyDescent="0.25">
      <c r="A5750" s="178">
        <v>106434</v>
      </c>
      <c r="B5750" s="179" t="s">
        <v>456</v>
      </c>
      <c r="C5750" s="180">
        <v>63</v>
      </c>
    </row>
    <row r="5751" spans="1:3" x14ac:dyDescent="0.25">
      <c r="A5751" s="178">
        <v>106435</v>
      </c>
      <c r="B5751" s="179" t="s">
        <v>456</v>
      </c>
      <c r="C5751" s="180">
        <v>63</v>
      </c>
    </row>
    <row r="5752" spans="1:3" x14ac:dyDescent="0.25">
      <c r="A5752" s="178">
        <v>106436</v>
      </c>
      <c r="B5752" s="179" t="s">
        <v>456</v>
      </c>
      <c r="C5752" s="180">
        <v>63</v>
      </c>
    </row>
    <row r="5753" spans="1:3" x14ac:dyDescent="0.25">
      <c r="A5753" s="178">
        <v>106437</v>
      </c>
      <c r="B5753" s="179" t="s">
        <v>456</v>
      </c>
      <c r="C5753" s="180">
        <v>63</v>
      </c>
    </row>
    <row r="5754" spans="1:3" x14ac:dyDescent="0.25">
      <c r="A5754" s="178">
        <v>106439</v>
      </c>
      <c r="B5754" s="179" t="s">
        <v>456</v>
      </c>
      <c r="C5754" s="180">
        <v>63</v>
      </c>
    </row>
    <row r="5755" spans="1:3" x14ac:dyDescent="0.25">
      <c r="A5755" s="178">
        <v>106440</v>
      </c>
      <c r="B5755" s="179" t="s">
        <v>456</v>
      </c>
      <c r="C5755" s="180">
        <v>64</v>
      </c>
    </row>
    <row r="5756" spans="1:3" x14ac:dyDescent="0.25">
      <c r="A5756" s="178">
        <v>106442</v>
      </c>
      <c r="B5756" s="179" t="s">
        <v>456</v>
      </c>
      <c r="C5756" s="180">
        <v>64</v>
      </c>
    </row>
    <row r="5757" spans="1:3" x14ac:dyDescent="0.25">
      <c r="A5757" s="178">
        <v>106480</v>
      </c>
      <c r="B5757" s="179" t="s">
        <v>456</v>
      </c>
      <c r="C5757" s="180">
        <v>152</v>
      </c>
    </row>
    <row r="5758" spans="1:3" x14ac:dyDescent="0.25">
      <c r="A5758" s="178">
        <v>106481</v>
      </c>
      <c r="B5758" s="179" t="s">
        <v>456</v>
      </c>
      <c r="C5758" s="180">
        <v>152</v>
      </c>
    </row>
    <row r="5759" spans="1:3" x14ac:dyDescent="0.25">
      <c r="A5759" s="178">
        <v>106482</v>
      </c>
      <c r="B5759" s="179" t="s">
        <v>456</v>
      </c>
      <c r="C5759" s="180">
        <v>152</v>
      </c>
    </row>
    <row r="5760" spans="1:3" x14ac:dyDescent="0.25">
      <c r="A5760" s="178">
        <v>106483</v>
      </c>
      <c r="B5760" s="179" t="s">
        <v>456</v>
      </c>
      <c r="C5760" s="180">
        <v>63</v>
      </c>
    </row>
    <row r="5761" spans="1:3" x14ac:dyDescent="0.25">
      <c r="A5761" s="178">
        <v>106484</v>
      </c>
      <c r="B5761" s="179" t="s">
        <v>456</v>
      </c>
      <c r="C5761" s="180">
        <v>63</v>
      </c>
    </row>
    <row r="5762" spans="1:3" x14ac:dyDescent="0.25">
      <c r="A5762" s="178">
        <v>106485</v>
      </c>
      <c r="B5762" s="179" t="s">
        <v>456</v>
      </c>
      <c r="C5762" s="180">
        <v>63</v>
      </c>
    </row>
    <row r="5763" spans="1:3" x14ac:dyDescent="0.25">
      <c r="A5763" s="178">
        <v>106600</v>
      </c>
      <c r="B5763" s="179" t="s">
        <v>456</v>
      </c>
      <c r="C5763" s="180">
        <v>45</v>
      </c>
    </row>
    <row r="5764" spans="1:3" x14ac:dyDescent="0.25">
      <c r="A5764" s="178">
        <v>106604</v>
      </c>
      <c r="B5764" s="179" t="s">
        <v>456</v>
      </c>
      <c r="C5764" s="180">
        <v>45</v>
      </c>
    </row>
    <row r="5765" spans="1:3" x14ac:dyDescent="0.25">
      <c r="A5765" s="178">
        <v>106605</v>
      </c>
      <c r="B5765" s="179" t="s">
        <v>456</v>
      </c>
      <c r="C5765" s="180">
        <v>231</v>
      </c>
    </row>
    <row r="5766" spans="1:3" x14ac:dyDescent="0.25">
      <c r="A5766" s="178">
        <v>106606</v>
      </c>
      <c r="B5766" s="179" t="s">
        <v>456</v>
      </c>
      <c r="C5766" s="180">
        <v>36</v>
      </c>
    </row>
    <row r="5767" spans="1:3" x14ac:dyDescent="0.25">
      <c r="A5767" s="178">
        <v>106607</v>
      </c>
      <c r="B5767" s="179" t="s">
        <v>456</v>
      </c>
      <c r="C5767" s="180">
        <v>231</v>
      </c>
    </row>
    <row r="5768" spans="1:3" x14ac:dyDescent="0.25">
      <c r="A5768" s="178">
        <v>106608</v>
      </c>
      <c r="B5768" s="179" t="s">
        <v>456</v>
      </c>
      <c r="C5768" s="180">
        <v>45</v>
      </c>
    </row>
    <row r="5769" spans="1:3" x14ac:dyDescent="0.25">
      <c r="A5769" s="178">
        <v>106609</v>
      </c>
      <c r="B5769" s="179" t="s">
        <v>456</v>
      </c>
      <c r="C5769" s="180">
        <v>231</v>
      </c>
    </row>
    <row r="5770" spans="1:3" x14ac:dyDescent="0.25">
      <c r="A5770" s="178">
        <v>106610</v>
      </c>
      <c r="B5770" s="179" t="s">
        <v>456</v>
      </c>
      <c r="C5770" s="180">
        <v>231</v>
      </c>
    </row>
    <row r="5771" spans="1:3" x14ac:dyDescent="0.25">
      <c r="A5771" s="178">
        <v>106611</v>
      </c>
      <c r="B5771" s="179" t="s">
        <v>456</v>
      </c>
      <c r="C5771" s="180">
        <v>45</v>
      </c>
    </row>
    <row r="5772" spans="1:3" x14ac:dyDescent="0.25">
      <c r="A5772" s="178">
        <v>106612</v>
      </c>
      <c r="B5772" s="179" t="s">
        <v>456</v>
      </c>
      <c r="C5772" s="180">
        <v>36</v>
      </c>
    </row>
    <row r="5773" spans="1:3" x14ac:dyDescent="0.25">
      <c r="A5773" s="178">
        <v>106613</v>
      </c>
      <c r="B5773" s="179" t="s">
        <v>456</v>
      </c>
      <c r="C5773" s="180">
        <v>231</v>
      </c>
    </row>
    <row r="5774" spans="1:3" x14ac:dyDescent="0.25">
      <c r="A5774" s="178">
        <v>106614</v>
      </c>
      <c r="B5774" s="179" t="s">
        <v>456</v>
      </c>
      <c r="C5774" s="180">
        <v>36</v>
      </c>
    </row>
    <row r="5775" spans="1:3" x14ac:dyDescent="0.25">
      <c r="A5775" s="178">
        <v>106615</v>
      </c>
      <c r="B5775" s="179" t="s">
        <v>456</v>
      </c>
      <c r="C5775" s="180">
        <v>231</v>
      </c>
    </row>
    <row r="5776" spans="1:3" x14ac:dyDescent="0.25">
      <c r="A5776" s="178">
        <v>106616</v>
      </c>
      <c r="B5776" s="179" t="s">
        <v>456</v>
      </c>
      <c r="C5776" s="180">
        <v>45</v>
      </c>
    </row>
    <row r="5777" spans="1:3" x14ac:dyDescent="0.25">
      <c r="A5777" s="178">
        <v>106617</v>
      </c>
      <c r="B5777" s="179" t="s">
        <v>456</v>
      </c>
      <c r="C5777" s="180">
        <v>45</v>
      </c>
    </row>
    <row r="5778" spans="1:3" x14ac:dyDescent="0.25">
      <c r="A5778" s="178">
        <v>106620</v>
      </c>
      <c r="B5778" s="179" t="s">
        <v>456</v>
      </c>
      <c r="C5778" s="180">
        <v>231</v>
      </c>
    </row>
    <row r="5779" spans="1:3" x14ac:dyDescent="0.25">
      <c r="A5779" s="178">
        <v>106621</v>
      </c>
      <c r="B5779" s="179" t="s">
        <v>456</v>
      </c>
      <c r="C5779" s="180">
        <v>231</v>
      </c>
    </row>
    <row r="5780" spans="1:3" x14ac:dyDescent="0.25">
      <c r="A5780" s="178">
        <v>106622</v>
      </c>
      <c r="B5780" s="179" t="s">
        <v>456</v>
      </c>
      <c r="C5780" s="180">
        <v>231</v>
      </c>
    </row>
    <row r="5781" spans="1:3" x14ac:dyDescent="0.25">
      <c r="A5781" s="178">
        <v>106623</v>
      </c>
      <c r="B5781" s="179" t="s">
        <v>456</v>
      </c>
      <c r="C5781" s="180">
        <v>231</v>
      </c>
    </row>
    <row r="5782" spans="1:3" x14ac:dyDescent="0.25">
      <c r="A5782" s="178">
        <v>106624</v>
      </c>
      <c r="B5782" s="179" t="s">
        <v>456</v>
      </c>
      <c r="C5782" s="180">
        <v>231</v>
      </c>
    </row>
    <row r="5783" spans="1:3" x14ac:dyDescent="0.25">
      <c r="A5783" s="178">
        <v>106625</v>
      </c>
      <c r="B5783" s="179" t="s">
        <v>456</v>
      </c>
      <c r="C5783" s="180">
        <v>231</v>
      </c>
    </row>
    <row r="5784" spans="1:3" x14ac:dyDescent="0.25">
      <c r="A5784" s="178">
        <v>106626</v>
      </c>
      <c r="B5784" s="179" t="s">
        <v>456</v>
      </c>
      <c r="C5784" s="180">
        <v>231</v>
      </c>
    </row>
    <row r="5785" spans="1:3" x14ac:dyDescent="0.25">
      <c r="A5785" s="178">
        <v>106627</v>
      </c>
      <c r="B5785" s="179" t="s">
        <v>456</v>
      </c>
      <c r="C5785" s="180">
        <v>231</v>
      </c>
    </row>
    <row r="5786" spans="1:3" x14ac:dyDescent="0.25">
      <c r="A5786" s="178">
        <v>106628</v>
      </c>
      <c r="B5786" s="179" t="s">
        <v>456</v>
      </c>
      <c r="C5786" s="180">
        <v>45</v>
      </c>
    </row>
    <row r="5787" spans="1:3" x14ac:dyDescent="0.25">
      <c r="A5787" s="178">
        <v>106629</v>
      </c>
      <c r="B5787" s="179" t="s">
        <v>456</v>
      </c>
      <c r="C5787" s="180">
        <v>231</v>
      </c>
    </row>
    <row r="5788" spans="1:3" x14ac:dyDescent="0.25">
      <c r="A5788" s="178">
        <v>106630</v>
      </c>
      <c r="B5788" s="179" t="s">
        <v>456</v>
      </c>
      <c r="C5788" s="180">
        <v>231</v>
      </c>
    </row>
    <row r="5789" spans="1:3" x14ac:dyDescent="0.25">
      <c r="A5789" s="178">
        <v>106631</v>
      </c>
      <c r="B5789" s="179" t="s">
        <v>456</v>
      </c>
      <c r="C5789" s="180">
        <v>45</v>
      </c>
    </row>
    <row r="5790" spans="1:3" x14ac:dyDescent="0.25">
      <c r="A5790" s="178">
        <v>106632</v>
      </c>
      <c r="B5790" s="179" t="s">
        <v>456</v>
      </c>
      <c r="C5790" s="180">
        <v>231</v>
      </c>
    </row>
    <row r="5791" spans="1:3" x14ac:dyDescent="0.25">
      <c r="A5791" s="178">
        <v>106633</v>
      </c>
      <c r="B5791" s="179" t="s">
        <v>456</v>
      </c>
      <c r="C5791" s="180">
        <v>180</v>
      </c>
    </row>
    <row r="5792" spans="1:3" x14ac:dyDescent="0.25">
      <c r="A5792" s="178">
        <v>106634</v>
      </c>
      <c r="B5792" s="179" t="s">
        <v>456</v>
      </c>
      <c r="C5792" s="180">
        <v>63</v>
      </c>
    </row>
    <row r="5793" spans="1:3" x14ac:dyDescent="0.25">
      <c r="A5793" s="178">
        <v>106635</v>
      </c>
      <c r="B5793" s="179" t="s">
        <v>456</v>
      </c>
      <c r="C5793" s="180">
        <v>180</v>
      </c>
    </row>
    <row r="5794" spans="1:3" x14ac:dyDescent="0.25">
      <c r="A5794" s="178">
        <v>106661</v>
      </c>
      <c r="B5794" s="179" t="s">
        <v>456</v>
      </c>
      <c r="C5794" s="180">
        <v>63</v>
      </c>
    </row>
    <row r="5795" spans="1:3" x14ac:dyDescent="0.25">
      <c r="A5795" s="178">
        <v>106750</v>
      </c>
      <c r="B5795" s="179" t="s">
        <v>456</v>
      </c>
      <c r="C5795" s="180">
        <v>144</v>
      </c>
    </row>
    <row r="5796" spans="1:3" x14ac:dyDescent="0.25">
      <c r="A5796" s="178">
        <v>106752</v>
      </c>
      <c r="B5796" s="179" t="s">
        <v>456</v>
      </c>
      <c r="C5796" s="180">
        <v>144</v>
      </c>
    </row>
    <row r="5797" spans="1:3" x14ac:dyDescent="0.25">
      <c r="A5797" s="178">
        <v>106754</v>
      </c>
      <c r="B5797" s="179" t="s">
        <v>456</v>
      </c>
      <c r="C5797" s="180">
        <v>144</v>
      </c>
    </row>
    <row r="5798" spans="1:3" x14ac:dyDescent="0.25">
      <c r="A5798" s="178">
        <v>106759</v>
      </c>
      <c r="B5798" s="179" t="s">
        <v>456</v>
      </c>
      <c r="C5798" s="180">
        <v>144</v>
      </c>
    </row>
    <row r="5799" spans="1:3" x14ac:dyDescent="0.25">
      <c r="A5799" s="178">
        <v>106770</v>
      </c>
      <c r="B5799" s="179" t="s">
        <v>456</v>
      </c>
      <c r="C5799" s="180">
        <v>72</v>
      </c>
    </row>
    <row r="5800" spans="1:3" x14ac:dyDescent="0.25">
      <c r="A5800" s="178">
        <v>106905</v>
      </c>
      <c r="B5800" s="179" t="s">
        <v>456</v>
      </c>
      <c r="C5800" s="180">
        <v>75</v>
      </c>
    </row>
    <row r="5801" spans="1:3" x14ac:dyDescent="0.25">
      <c r="A5801" s="178">
        <v>106910</v>
      </c>
      <c r="B5801" s="179" t="s">
        <v>456</v>
      </c>
      <c r="C5801" s="180">
        <v>28</v>
      </c>
    </row>
    <row r="5802" spans="1:3" x14ac:dyDescent="0.25">
      <c r="A5802" s="178">
        <v>106915</v>
      </c>
      <c r="B5802" s="179" t="s">
        <v>456</v>
      </c>
      <c r="C5802" s="180">
        <v>42</v>
      </c>
    </row>
    <row r="5803" spans="1:3" x14ac:dyDescent="0.25">
      <c r="A5803" s="178">
        <v>106918</v>
      </c>
      <c r="B5803" s="179" t="s">
        <v>456</v>
      </c>
      <c r="C5803" s="180">
        <v>70</v>
      </c>
    </row>
    <row r="5804" spans="1:3" x14ac:dyDescent="0.25">
      <c r="A5804" s="178">
        <v>106920</v>
      </c>
      <c r="B5804" s="179" t="s">
        <v>456</v>
      </c>
      <c r="C5804" s="180">
        <v>43</v>
      </c>
    </row>
    <row r="5805" spans="1:3" x14ac:dyDescent="0.25">
      <c r="A5805" s="178">
        <v>106926</v>
      </c>
      <c r="B5805" s="179" t="s">
        <v>456</v>
      </c>
      <c r="C5805" s="180">
        <v>28</v>
      </c>
    </row>
    <row r="5806" spans="1:3" x14ac:dyDescent="0.25">
      <c r="A5806" s="178">
        <v>106930</v>
      </c>
      <c r="B5806" s="179" t="s">
        <v>456</v>
      </c>
      <c r="C5806" s="180">
        <v>33</v>
      </c>
    </row>
    <row r="5807" spans="1:3" x14ac:dyDescent="0.25">
      <c r="A5807" s="178">
        <v>106942</v>
      </c>
      <c r="B5807" s="179" t="s">
        <v>456</v>
      </c>
      <c r="C5807" s="180">
        <v>30</v>
      </c>
    </row>
    <row r="5808" spans="1:3" x14ac:dyDescent="0.25">
      <c r="A5808" s="178">
        <v>106945</v>
      </c>
      <c r="B5808" s="179" t="s">
        <v>456</v>
      </c>
      <c r="C5808" s="180">
        <v>30</v>
      </c>
    </row>
    <row r="5809" spans="1:3" x14ac:dyDescent="0.25">
      <c r="A5809" s="178">
        <v>106947</v>
      </c>
      <c r="B5809" s="179" t="s">
        <v>456</v>
      </c>
      <c r="C5809" s="180">
        <v>18</v>
      </c>
    </row>
    <row r="5810" spans="1:3" x14ac:dyDescent="0.25">
      <c r="A5810" s="178">
        <v>107304</v>
      </c>
      <c r="B5810" s="179" t="s">
        <v>456</v>
      </c>
      <c r="C5810" s="180">
        <v>30</v>
      </c>
    </row>
    <row r="5811" spans="1:3" x14ac:dyDescent="0.25">
      <c r="A5811" s="178">
        <v>107315</v>
      </c>
      <c r="B5811" s="179" t="s">
        <v>456</v>
      </c>
      <c r="C5811" s="180">
        <v>30</v>
      </c>
    </row>
    <row r="5812" spans="1:3" x14ac:dyDescent="0.25">
      <c r="A5812" s="178">
        <v>107320</v>
      </c>
      <c r="B5812" s="179" t="s">
        <v>456</v>
      </c>
      <c r="C5812" s="180">
        <v>30</v>
      </c>
    </row>
    <row r="5813" spans="1:3" x14ac:dyDescent="0.25">
      <c r="A5813" s="178">
        <v>107321</v>
      </c>
      <c r="B5813" s="179" t="s">
        <v>456</v>
      </c>
      <c r="C5813" s="180">
        <v>30</v>
      </c>
    </row>
    <row r="5814" spans="1:3" x14ac:dyDescent="0.25">
      <c r="A5814" s="178">
        <v>107331</v>
      </c>
      <c r="B5814" s="179" t="s">
        <v>456</v>
      </c>
      <c r="C5814" s="180">
        <v>30</v>
      </c>
    </row>
    <row r="5815" spans="1:3" x14ac:dyDescent="0.25">
      <c r="A5815" s="178">
        <v>107371</v>
      </c>
      <c r="B5815" s="179" t="s">
        <v>456</v>
      </c>
      <c r="C5815" s="180">
        <v>30</v>
      </c>
    </row>
    <row r="5816" spans="1:3" x14ac:dyDescent="0.25">
      <c r="A5816" s="178">
        <v>107405</v>
      </c>
      <c r="B5816" s="179" t="s">
        <v>456</v>
      </c>
      <c r="C5816" s="180">
        <v>18</v>
      </c>
    </row>
    <row r="5817" spans="1:3" x14ac:dyDescent="0.25">
      <c r="A5817" s="178">
        <v>107411</v>
      </c>
      <c r="B5817" s="179" t="s">
        <v>456</v>
      </c>
      <c r="C5817" s="180">
        <v>30</v>
      </c>
    </row>
    <row r="5818" spans="1:3" x14ac:dyDescent="0.25">
      <c r="A5818" s="178">
        <v>107413</v>
      </c>
      <c r="B5818" s="179" t="s">
        <v>456</v>
      </c>
      <c r="C5818" s="180">
        <v>30</v>
      </c>
    </row>
    <row r="5819" spans="1:3" x14ac:dyDescent="0.25">
      <c r="A5819" s="178">
        <v>107417</v>
      </c>
      <c r="B5819" s="179" t="s">
        <v>456</v>
      </c>
      <c r="C5819" s="180">
        <v>30</v>
      </c>
    </row>
    <row r="5820" spans="1:3" x14ac:dyDescent="0.25">
      <c r="A5820" s="178">
        <v>107418</v>
      </c>
      <c r="B5820" s="179" t="s">
        <v>456</v>
      </c>
      <c r="C5820" s="180">
        <v>600</v>
      </c>
    </row>
    <row r="5821" spans="1:3" x14ac:dyDescent="0.25">
      <c r="A5821" s="178">
        <v>107432</v>
      </c>
      <c r="B5821" s="179" t="s">
        <v>456</v>
      </c>
      <c r="C5821" s="180">
        <v>30</v>
      </c>
    </row>
    <row r="5822" spans="1:3" x14ac:dyDescent="0.25">
      <c r="A5822" s="178">
        <v>107455</v>
      </c>
      <c r="B5822" s="179" t="s">
        <v>456</v>
      </c>
      <c r="C5822" s="180">
        <v>30</v>
      </c>
    </row>
    <row r="5823" spans="1:3" x14ac:dyDescent="0.25">
      <c r="A5823" s="178">
        <v>107462</v>
      </c>
      <c r="B5823" s="179" t="s">
        <v>456</v>
      </c>
      <c r="C5823" s="180">
        <v>30</v>
      </c>
    </row>
    <row r="5824" spans="1:3" x14ac:dyDescent="0.25">
      <c r="A5824" s="178">
        <v>107467</v>
      </c>
      <c r="B5824" s="179" t="s">
        <v>456</v>
      </c>
      <c r="C5824" s="180">
        <v>30</v>
      </c>
    </row>
    <row r="5825" spans="1:3" x14ac:dyDescent="0.25">
      <c r="A5825" s="178">
        <v>107470</v>
      </c>
      <c r="B5825" s="179" t="s">
        <v>456</v>
      </c>
      <c r="C5825" s="180">
        <v>30</v>
      </c>
    </row>
    <row r="5826" spans="1:3" x14ac:dyDescent="0.25">
      <c r="A5826" s="178">
        <v>107474</v>
      </c>
      <c r="B5826" s="179" t="s">
        <v>456</v>
      </c>
      <c r="C5826" s="180">
        <v>30</v>
      </c>
    </row>
    <row r="5827" spans="1:3" x14ac:dyDescent="0.25">
      <c r="A5827" s="178">
        <v>107476</v>
      </c>
      <c r="B5827" s="179" t="s">
        <v>456</v>
      </c>
      <c r="C5827" s="180">
        <v>30</v>
      </c>
    </row>
    <row r="5828" spans="1:3" x14ac:dyDescent="0.25">
      <c r="A5828" s="178">
        <v>107479</v>
      </c>
      <c r="B5828" s="179" t="s">
        <v>456</v>
      </c>
      <c r="C5828" s="180">
        <v>30</v>
      </c>
    </row>
    <row r="5829" spans="1:3" x14ac:dyDescent="0.25">
      <c r="A5829" s="178">
        <v>107484</v>
      </c>
      <c r="B5829" s="179" t="s">
        <v>456</v>
      </c>
      <c r="C5829" s="180">
        <v>30</v>
      </c>
    </row>
    <row r="5830" spans="1:3" x14ac:dyDescent="0.25">
      <c r="A5830" s="178">
        <v>107489</v>
      </c>
      <c r="B5830" s="179" t="s">
        <v>456</v>
      </c>
      <c r="C5830" s="180">
        <v>30</v>
      </c>
    </row>
    <row r="5831" spans="1:3" x14ac:dyDescent="0.25">
      <c r="A5831" s="178">
        <v>107491</v>
      </c>
      <c r="B5831" s="179" t="s">
        <v>456</v>
      </c>
      <c r="C5831" s="180">
        <v>30</v>
      </c>
    </row>
    <row r="5832" spans="1:3" x14ac:dyDescent="0.25">
      <c r="A5832" s="178">
        <v>107492</v>
      </c>
      <c r="B5832" s="179" t="s">
        <v>456</v>
      </c>
      <c r="C5832" s="180">
        <v>30</v>
      </c>
    </row>
    <row r="5833" spans="1:3" x14ac:dyDescent="0.25">
      <c r="A5833" s="178">
        <v>107498</v>
      </c>
      <c r="B5833" s="179" t="s">
        <v>456</v>
      </c>
      <c r="C5833" s="180">
        <v>30</v>
      </c>
    </row>
    <row r="5834" spans="1:3" x14ac:dyDescent="0.25">
      <c r="A5834" s="178">
        <v>107529</v>
      </c>
      <c r="B5834" s="179" t="s">
        <v>456</v>
      </c>
      <c r="C5834" s="180">
        <v>30</v>
      </c>
    </row>
    <row r="5835" spans="1:3" x14ac:dyDescent="0.25">
      <c r="A5835" s="178">
        <v>107545</v>
      </c>
      <c r="B5835" s="179" t="s">
        <v>456</v>
      </c>
      <c r="C5835" s="180">
        <v>56</v>
      </c>
    </row>
    <row r="5836" spans="1:3" x14ac:dyDescent="0.25">
      <c r="A5836" s="178">
        <v>107546</v>
      </c>
      <c r="B5836" s="179" t="s">
        <v>456</v>
      </c>
      <c r="C5836" s="180">
        <v>56</v>
      </c>
    </row>
    <row r="5837" spans="1:3" x14ac:dyDescent="0.25">
      <c r="A5837" s="178">
        <v>107547</v>
      </c>
      <c r="B5837" s="179" t="s">
        <v>456</v>
      </c>
      <c r="C5837" s="180">
        <v>56</v>
      </c>
    </row>
    <row r="5838" spans="1:3" x14ac:dyDescent="0.25">
      <c r="A5838" s="178">
        <v>107548</v>
      </c>
      <c r="B5838" s="179" t="s">
        <v>456</v>
      </c>
      <c r="C5838" s="180">
        <v>56</v>
      </c>
    </row>
    <row r="5839" spans="1:3" x14ac:dyDescent="0.25">
      <c r="A5839" s="178">
        <v>107549</v>
      </c>
      <c r="B5839" s="179" t="s">
        <v>456</v>
      </c>
      <c r="C5839" s="180">
        <v>56</v>
      </c>
    </row>
    <row r="5840" spans="1:3" x14ac:dyDescent="0.25">
      <c r="A5840" s="178">
        <v>107550</v>
      </c>
      <c r="B5840" s="179" t="s">
        <v>456</v>
      </c>
      <c r="C5840" s="180">
        <v>56</v>
      </c>
    </row>
    <row r="5841" spans="1:3" x14ac:dyDescent="0.25">
      <c r="A5841" s="178">
        <v>107611</v>
      </c>
      <c r="B5841" s="179" t="s">
        <v>456</v>
      </c>
      <c r="C5841" s="180">
        <v>2</v>
      </c>
    </row>
    <row r="5842" spans="1:3" x14ac:dyDescent="0.25">
      <c r="A5842" s="178">
        <v>107681</v>
      </c>
      <c r="B5842" s="179" t="s">
        <v>456</v>
      </c>
      <c r="C5842" s="180">
        <v>5</v>
      </c>
    </row>
    <row r="5843" spans="1:3" x14ac:dyDescent="0.25">
      <c r="A5843" s="178">
        <v>107691</v>
      </c>
      <c r="B5843" s="179" t="s">
        <v>456</v>
      </c>
      <c r="C5843" s="180">
        <v>5</v>
      </c>
    </row>
    <row r="5844" spans="1:3" x14ac:dyDescent="0.25">
      <c r="A5844" s="178">
        <v>107955</v>
      </c>
      <c r="B5844" s="179" t="s">
        <v>456</v>
      </c>
      <c r="C5844" s="180">
        <v>56</v>
      </c>
    </row>
    <row r="5845" spans="1:3" x14ac:dyDescent="0.25">
      <c r="A5845" s="178">
        <v>108211</v>
      </c>
      <c r="B5845" s="179" t="s">
        <v>456</v>
      </c>
      <c r="C5845" s="180">
        <v>30</v>
      </c>
    </row>
    <row r="5846" spans="1:3" x14ac:dyDescent="0.25">
      <c r="A5846" s="178">
        <v>108212</v>
      </c>
      <c r="B5846" s="179" t="s">
        <v>456</v>
      </c>
      <c r="C5846" s="180">
        <v>30</v>
      </c>
    </row>
    <row r="5847" spans="1:3" x14ac:dyDescent="0.25">
      <c r="A5847" s="178">
        <v>108231</v>
      </c>
      <c r="B5847" s="179" t="s">
        <v>456</v>
      </c>
      <c r="C5847" s="180">
        <v>120</v>
      </c>
    </row>
    <row r="5848" spans="1:3" x14ac:dyDescent="0.25">
      <c r="A5848" s="178">
        <v>108235</v>
      </c>
      <c r="B5848" s="179" t="s">
        <v>456</v>
      </c>
      <c r="C5848" s="180">
        <v>120</v>
      </c>
    </row>
    <row r="5849" spans="1:3" x14ac:dyDescent="0.25">
      <c r="A5849" s="178">
        <v>108237</v>
      </c>
      <c r="B5849" s="179" t="s">
        <v>456</v>
      </c>
      <c r="C5849" s="180">
        <v>120</v>
      </c>
    </row>
    <row r="5850" spans="1:3" x14ac:dyDescent="0.25">
      <c r="A5850" s="178">
        <v>108432</v>
      </c>
      <c r="B5850" s="179" t="s">
        <v>456</v>
      </c>
      <c r="C5850" s="180">
        <v>115</v>
      </c>
    </row>
    <row r="5851" spans="1:3" x14ac:dyDescent="0.25">
      <c r="A5851" s="178">
        <v>108503</v>
      </c>
      <c r="B5851" s="179" t="s">
        <v>456</v>
      </c>
      <c r="C5851" s="180">
        <v>115</v>
      </c>
    </row>
    <row r="5852" spans="1:3" x14ac:dyDescent="0.25">
      <c r="A5852" s="178">
        <v>108662</v>
      </c>
      <c r="B5852" s="179" t="s">
        <v>456</v>
      </c>
      <c r="C5852" s="180">
        <v>30</v>
      </c>
    </row>
    <row r="5853" spans="1:3" x14ac:dyDescent="0.25">
      <c r="A5853" s="178">
        <v>108671</v>
      </c>
      <c r="B5853" s="179" t="s">
        <v>456</v>
      </c>
      <c r="C5853" s="180">
        <v>176</v>
      </c>
    </row>
    <row r="5854" spans="1:3" x14ac:dyDescent="0.25">
      <c r="A5854" s="178">
        <v>108672</v>
      </c>
      <c r="B5854" s="179" t="s">
        <v>456</v>
      </c>
      <c r="C5854" s="180">
        <v>176</v>
      </c>
    </row>
    <row r="5855" spans="1:3" x14ac:dyDescent="0.25">
      <c r="A5855" s="178">
        <v>108701</v>
      </c>
      <c r="B5855" s="179" t="s">
        <v>456</v>
      </c>
      <c r="C5855" s="180">
        <v>63</v>
      </c>
    </row>
    <row r="5856" spans="1:3" x14ac:dyDescent="0.25">
      <c r="A5856" s="178">
        <v>108702</v>
      </c>
      <c r="B5856" s="179" t="s">
        <v>456</v>
      </c>
      <c r="C5856" s="180">
        <v>48</v>
      </c>
    </row>
    <row r="5857" spans="1:3" x14ac:dyDescent="0.25">
      <c r="A5857" s="178">
        <v>108703</v>
      </c>
      <c r="B5857" s="179" t="s">
        <v>456</v>
      </c>
      <c r="C5857" s="180">
        <v>48</v>
      </c>
    </row>
    <row r="5858" spans="1:3" x14ac:dyDescent="0.25">
      <c r="A5858" s="178">
        <v>108725</v>
      </c>
      <c r="B5858" s="179" t="s">
        <v>456</v>
      </c>
      <c r="C5858" s="180">
        <v>30</v>
      </c>
    </row>
    <row r="5859" spans="1:3" x14ac:dyDescent="0.25">
      <c r="A5859" s="178">
        <v>108726</v>
      </c>
      <c r="B5859" s="179" t="s">
        <v>456</v>
      </c>
      <c r="C5859" s="180">
        <v>30</v>
      </c>
    </row>
    <row r="5860" spans="1:3" x14ac:dyDescent="0.25">
      <c r="A5860" s="178">
        <v>108727</v>
      </c>
      <c r="B5860" s="179" t="s">
        <v>456</v>
      </c>
      <c r="C5860" s="180">
        <v>30</v>
      </c>
    </row>
    <row r="5861" spans="1:3" x14ac:dyDescent="0.25">
      <c r="A5861" s="178">
        <v>108728</v>
      </c>
      <c r="B5861" s="179" t="s">
        <v>456</v>
      </c>
      <c r="C5861" s="180">
        <v>30</v>
      </c>
    </row>
    <row r="5862" spans="1:3" x14ac:dyDescent="0.25">
      <c r="A5862" s="178">
        <v>108729</v>
      </c>
      <c r="B5862" s="179" t="s">
        <v>456</v>
      </c>
      <c r="C5862" s="180">
        <v>30</v>
      </c>
    </row>
    <row r="5863" spans="1:3" x14ac:dyDescent="0.25">
      <c r="A5863" s="178">
        <v>108731</v>
      </c>
      <c r="B5863" s="179" t="s">
        <v>456</v>
      </c>
      <c r="C5863" s="180">
        <v>30</v>
      </c>
    </row>
    <row r="5864" spans="1:3" x14ac:dyDescent="0.25">
      <c r="A5864" s="178">
        <v>108732</v>
      </c>
      <c r="B5864" s="179" t="s">
        <v>456</v>
      </c>
      <c r="C5864" s="180">
        <v>30</v>
      </c>
    </row>
    <row r="5865" spans="1:3" x14ac:dyDescent="0.25">
      <c r="A5865" s="178">
        <v>108734</v>
      </c>
      <c r="B5865" s="179" t="s">
        <v>456</v>
      </c>
      <c r="C5865" s="180">
        <v>30</v>
      </c>
    </row>
    <row r="5866" spans="1:3" x14ac:dyDescent="0.25">
      <c r="A5866" s="178">
        <v>108822</v>
      </c>
      <c r="B5866" s="179" t="s">
        <v>456</v>
      </c>
      <c r="C5866" s="180">
        <v>22</v>
      </c>
    </row>
    <row r="5867" spans="1:3" x14ac:dyDescent="0.25">
      <c r="A5867" s="178">
        <v>108827</v>
      </c>
      <c r="B5867" s="179" t="s">
        <v>456</v>
      </c>
      <c r="C5867" s="180">
        <v>30</v>
      </c>
    </row>
    <row r="5868" spans="1:3" x14ac:dyDescent="0.25">
      <c r="A5868" s="178">
        <v>108875</v>
      </c>
      <c r="B5868" s="179" t="s">
        <v>456</v>
      </c>
      <c r="C5868" s="180">
        <v>30</v>
      </c>
    </row>
    <row r="5869" spans="1:3" x14ac:dyDescent="0.25">
      <c r="A5869" s="178">
        <v>108901</v>
      </c>
      <c r="B5869" s="179" t="s">
        <v>456</v>
      </c>
      <c r="C5869" s="180">
        <v>6</v>
      </c>
    </row>
    <row r="5870" spans="1:3" x14ac:dyDescent="0.25">
      <c r="A5870" s="178">
        <v>108903</v>
      </c>
      <c r="B5870" s="179" t="s">
        <v>456</v>
      </c>
      <c r="C5870" s="180">
        <v>5</v>
      </c>
    </row>
    <row r="5871" spans="1:3" x14ac:dyDescent="0.25">
      <c r="A5871" s="178">
        <v>108904</v>
      </c>
      <c r="B5871" s="179" t="s">
        <v>456</v>
      </c>
      <c r="C5871" s="180">
        <v>3</v>
      </c>
    </row>
    <row r="5872" spans="1:3" x14ac:dyDescent="0.25">
      <c r="A5872" s="178">
        <v>108905</v>
      </c>
      <c r="B5872" s="179" t="s">
        <v>456</v>
      </c>
      <c r="C5872" s="180">
        <v>3</v>
      </c>
    </row>
    <row r="5873" spans="1:3" x14ac:dyDescent="0.25">
      <c r="A5873" s="178">
        <v>108908</v>
      </c>
      <c r="B5873" s="179" t="s">
        <v>456</v>
      </c>
      <c r="C5873" s="180">
        <v>30</v>
      </c>
    </row>
    <row r="5874" spans="1:3" x14ac:dyDescent="0.25">
      <c r="A5874" s="178">
        <v>108962</v>
      </c>
      <c r="B5874" s="179" t="s">
        <v>456</v>
      </c>
      <c r="C5874" s="180">
        <v>384</v>
      </c>
    </row>
    <row r="5875" spans="1:3" x14ac:dyDescent="0.25">
      <c r="A5875" s="178">
        <v>108964</v>
      </c>
      <c r="B5875" s="179" t="s">
        <v>456</v>
      </c>
      <c r="C5875" s="180">
        <v>384</v>
      </c>
    </row>
    <row r="5876" spans="1:3" x14ac:dyDescent="0.25">
      <c r="A5876" s="178">
        <v>108966</v>
      </c>
      <c r="B5876" s="179" t="s">
        <v>456</v>
      </c>
      <c r="C5876" s="180">
        <v>384</v>
      </c>
    </row>
    <row r="5877" spans="1:3" x14ac:dyDescent="0.25">
      <c r="A5877" s="178">
        <v>108969</v>
      </c>
      <c r="B5877" s="179" t="s">
        <v>456</v>
      </c>
      <c r="C5877" s="180">
        <v>384</v>
      </c>
    </row>
    <row r="5878" spans="1:3" x14ac:dyDescent="0.25">
      <c r="A5878" s="178">
        <v>108970</v>
      </c>
      <c r="B5878" s="179" t="s">
        <v>456</v>
      </c>
      <c r="C5878" s="180">
        <v>384</v>
      </c>
    </row>
    <row r="5879" spans="1:3" x14ac:dyDescent="0.25">
      <c r="A5879" s="178">
        <v>108973</v>
      </c>
      <c r="B5879" s="179" t="s">
        <v>456</v>
      </c>
      <c r="C5879" s="180">
        <v>384</v>
      </c>
    </row>
    <row r="5880" spans="1:3" x14ac:dyDescent="0.25">
      <c r="A5880" s="178">
        <v>108974</v>
      </c>
      <c r="B5880" s="179" t="s">
        <v>456</v>
      </c>
      <c r="C5880" s="180">
        <v>384</v>
      </c>
    </row>
    <row r="5881" spans="1:3" x14ac:dyDescent="0.25">
      <c r="A5881" s="178">
        <v>108975</v>
      </c>
      <c r="B5881" s="179" t="s">
        <v>456</v>
      </c>
      <c r="C5881" s="180">
        <v>432</v>
      </c>
    </row>
    <row r="5882" spans="1:3" x14ac:dyDescent="0.25">
      <c r="A5882" s="178">
        <v>108978</v>
      </c>
      <c r="B5882" s="179" t="s">
        <v>456</v>
      </c>
      <c r="C5882" s="180">
        <v>384</v>
      </c>
    </row>
    <row r="5883" spans="1:3" x14ac:dyDescent="0.25">
      <c r="A5883" s="178">
        <v>108981</v>
      </c>
      <c r="B5883" s="179" t="s">
        <v>456</v>
      </c>
      <c r="C5883" s="180">
        <v>384</v>
      </c>
    </row>
    <row r="5884" spans="1:3" x14ac:dyDescent="0.25">
      <c r="A5884" s="178">
        <v>108982</v>
      </c>
      <c r="B5884" s="179" t="s">
        <v>456</v>
      </c>
      <c r="C5884" s="180">
        <v>384</v>
      </c>
    </row>
    <row r="5885" spans="1:3" x14ac:dyDescent="0.25">
      <c r="A5885" s="178">
        <v>108983</v>
      </c>
      <c r="B5885" s="179" t="s">
        <v>456</v>
      </c>
      <c r="C5885" s="180">
        <v>384</v>
      </c>
    </row>
    <row r="5886" spans="1:3" x14ac:dyDescent="0.25">
      <c r="A5886" s="178">
        <v>108984</v>
      </c>
      <c r="B5886" s="179" t="s">
        <v>456</v>
      </c>
      <c r="C5886" s="180">
        <v>384</v>
      </c>
    </row>
    <row r="5887" spans="1:3" x14ac:dyDescent="0.25">
      <c r="A5887" s="178">
        <v>108985</v>
      </c>
      <c r="B5887" s="179" t="s">
        <v>456</v>
      </c>
      <c r="C5887" s="180">
        <v>384</v>
      </c>
    </row>
    <row r="5888" spans="1:3" x14ac:dyDescent="0.25">
      <c r="A5888" s="178">
        <v>108988</v>
      </c>
      <c r="B5888" s="179" t="s">
        <v>456</v>
      </c>
      <c r="C5888" s="180">
        <v>384</v>
      </c>
    </row>
    <row r="5889" spans="1:3" x14ac:dyDescent="0.25">
      <c r="A5889" s="178">
        <v>108991</v>
      </c>
      <c r="B5889" s="179" t="s">
        <v>456</v>
      </c>
      <c r="C5889" s="180">
        <v>384</v>
      </c>
    </row>
    <row r="5890" spans="1:3" x14ac:dyDescent="0.25">
      <c r="A5890" s="178">
        <v>108992</v>
      </c>
      <c r="B5890" s="179" t="s">
        <v>456</v>
      </c>
      <c r="C5890" s="180">
        <v>288</v>
      </c>
    </row>
    <row r="5891" spans="1:3" x14ac:dyDescent="0.25">
      <c r="A5891" s="178">
        <v>108993</v>
      </c>
      <c r="B5891" s="179" t="s">
        <v>456</v>
      </c>
      <c r="C5891" s="180">
        <v>55</v>
      </c>
    </row>
    <row r="5892" spans="1:3" x14ac:dyDescent="0.25">
      <c r="A5892" s="178">
        <v>108994</v>
      </c>
      <c r="B5892" s="179" t="s">
        <v>456</v>
      </c>
      <c r="C5892" s="180">
        <v>180</v>
      </c>
    </row>
    <row r="5893" spans="1:3" x14ac:dyDescent="0.25">
      <c r="A5893" s="178">
        <v>108995</v>
      </c>
      <c r="B5893" s="179" t="s">
        <v>456</v>
      </c>
      <c r="C5893" s="180">
        <v>20</v>
      </c>
    </row>
    <row r="5894" spans="1:3" x14ac:dyDescent="0.25">
      <c r="A5894" s="178">
        <v>108996</v>
      </c>
      <c r="B5894" s="179" t="s">
        <v>456</v>
      </c>
      <c r="C5894" s="180">
        <v>384</v>
      </c>
    </row>
    <row r="5895" spans="1:3" x14ac:dyDescent="0.25">
      <c r="A5895" s="178">
        <v>108997</v>
      </c>
      <c r="B5895" s="179" t="s">
        <v>456</v>
      </c>
      <c r="C5895" s="180">
        <v>384</v>
      </c>
    </row>
    <row r="5896" spans="1:3" x14ac:dyDescent="0.25">
      <c r="A5896" s="178">
        <v>108999</v>
      </c>
      <c r="B5896" s="179" t="s">
        <v>456</v>
      </c>
      <c r="C5896" s="180">
        <v>384</v>
      </c>
    </row>
    <row r="5897" spans="1:3" x14ac:dyDescent="0.25">
      <c r="A5897" s="178">
        <v>109000</v>
      </c>
      <c r="B5897" s="179" t="s">
        <v>456</v>
      </c>
      <c r="C5897" s="180">
        <v>384</v>
      </c>
    </row>
    <row r="5898" spans="1:3" x14ac:dyDescent="0.25">
      <c r="A5898" s="178">
        <v>109002</v>
      </c>
      <c r="B5898" s="179" t="s">
        <v>456</v>
      </c>
      <c r="C5898" s="180">
        <v>384</v>
      </c>
    </row>
    <row r="5899" spans="1:3" x14ac:dyDescent="0.25">
      <c r="A5899" s="178">
        <v>109004</v>
      </c>
      <c r="B5899" s="179" t="s">
        <v>456</v>
      </c>
      <c r="C5899" s="180">
        <v>384</v>
      </c>
    </row>
    <row r="5900" spans="1:3" x14ac:dyDescent="0.25">
      <c r="A5900" s="178">
        <v>109007</v>
      </c>
      <c r="B5900" s="179" t="s">
        <v>456</v>
      </c>
      <c r="C5900" s="180">
        <v>432</v>
      </c>
    </row>
    <row r="5901" spans="1:3" x14ac:dyDescent="0.25">
      <c r="A5901" s="178">
        <v>109008</v>
      </c>
      <c r="B5901" s="179" t="s">
        <v>456</v>
      </c>
      <c r="C5901" s="180">
        <v>384</v>
      </c>
    </row>
    <row r="5902" spans="1:3" x14ac:dyDescent="0.25">
      <c r="A5902" s="178">
        <v>109009</v>
      </c>
      <c r="B5902" s="179" t="s">
        <v>456</v>
      </c>
      <c r="C5902" s="180">
        <v>432</v>
      </c>
    </row>
    <row r="5903" spans="1:3" x14ac:dyDescent="0.25">
      <c r="A5903" s="178">
        <v>109010</v>
      </c>
      <c r="B5903" s="179" t="s">
        <v>456</v>
      </c>
      <c r="C5903" s="180">
        <v>384</v>
      </c>
    </row>
    <row r="5904" spans="1:3" x14ac:dyDescent="0.25">
      <c r="A5904" s="178">
        <v>109012</v>
      </c>
      <c r="B5904" s="179" t="s">
        <v>456</v>
      </c>
      <c r="C5904" s="180">
        <v>384</v>
      </c>
    </row>
    <row r="5905" spans="1:3" x14ac:dyDescent="0.25">
      <c r="A5905" s="178">
        <v>109014</v>
      </c>
      <c r="B5905" s="179" t="s">
        <v>456</v>
      </c>
      <c r="C5905" s="180">
        <v>20</v>
      </c>
    </row>
    <row r="5906" spans="1:3" x14ac:dyDescent="0.25">
      <c r="A5906" s="178">
        <v>109017</v>
      </c>
      <c r="B5906" s="179" t="s">
        <v>456</v>
      </c>
      <c r="C5906" s="180">
        <v>96</v>
      </c>
    </row>
    <row r="5907" spans="1:3" x14ac:dyDescent="0.25">
      <c r="A5907" s="178">
        <v>109018</v>
      </c>
      <c r="B5907" s="179" t="s">
        <v>456</v>
      </c>
      <c r="C5907" s="180">
        <v>384</v>
      </c>
    </row>
    <row r="5908" spans="1:3" x14ac:dyDescent="0.25">
      <c r="A5908" s="178">
        <v>109019</v>
      </c>
      <c r="B5908" s="179" t="s">
        <v>456</v>
      </c>
      <c r="C5908" s="180">
        <v>432</v>
      </c>
    </row>
    <row r="5909" spans="1:3" x14ac:dyDescent="0.25">
      <c r="A5909" s="178">
        <v>109024</v>
      </c>
      <c r="B5909" s="179" t="s">
        <v>456</v>
      </c>
      <c r="C5909" s="180">
        <v>384</v>
      </c>
    </row>
    <row r="5910" spans="1:3" x14ac:dyDescent="0.25">
      <c r="A5910" s="178">
        <v>109026</v>
      </c>
      <c r="B5910" s="179" t="s">
        <v>456</v>
      </c>
      <c r="C5910" s="180">
        <v>144</v>
      </c>
    </row>
    <row r="5911" spans="1:3" x14ac:dyDescent="0.25">
      <c r="A5911" s="178">
        <v>109027</v>
      </c>
      <c r="B5911" s="179" t="s">
        <v>456</v>
      </c>
      <c r="C5911" s="180">
        <v>384</v>
      </c>
    </row>
    <row r="5912" spans="1:3" x14ac:dyDescent="0.25">
      <c r="A5912" s="178">
        <v>109032</v>
      </c>
      <c r="B5912" s="179" t="s">
        <v>456</v>
      </c>
      <c r="C5912" s="180">
        <v>432</v>
      </c>
    </row>
    <row r="5913" spans="1:3" x14ac:dyDescent="0.25">
      <c r="A5913" s="178">
        <v>109033</v>
      </c>
      <c r="B5913" s="179" t="s">
        <v>456</v>
      </c>
      <c r="C5913" s="180">
        <v>384</v>
      </c>
    </row>
    <row r="5914" spans="1:3" x14ac:dyDescent="0.25">
      <c r="A5914" s="178">
        <v>109035</v>
      </c>
      <c r="B5914" s="179" t="s">
        <v>456</v>
      </c>
      <c r="C5914" s="180">
        <v>384</v>
      </c>
    </row>
    <row r="5915" spans="1:3" x14ac:dyDescent="0.25">
      <c r="A5915" s="178">
        <v>109036</v>
      </c>
      <c r="B5915" s="179" t="s">
        <v>456</v>
      </c>
      <c r="C5915" s="180">
        <v>384</v>
      </c>
    </row>
    <row r="5916" spans="1:3" x14ac:dyDescent="0.25">
      <c r="A5916" s="178">
        <v>109038</v>
      </c>
      <c r="B5916" s="179" t="s">
        <v>456</v>
      </c>
      <c r="C5916" s="180">
        <v>96</v>
      </c>
    </row>
    <row r="5917" spans="1:3" x14ac:dyDescent="0.25">
      <c r="A5917" s="178">
        <v>109039</v>
      </c>
      <c r="B5917" s="179" t="s">
        <v>456</v>
      </c>
      <c r="C5917" s="180">
        <v>384</v>
      </c>
    </row>
    <row r="5918" spans="1:3" x14ac:dyDescent="0.25">
      <c r="A5918" s="178">
        <v>109041</v>
      </c>
      <c r="B5918" s="179" t="s">
        <v>456</v>
      </c>
      <c r="C5918" s="180">
        <v>384</v>
      </c>
    </row>
    <row r="5919" spans="1:3" x14ac:dyDescent="0.25">
      <c r="A5919" s="178">
        <v>109042</v>
      </c>
      <c r="B5919" s="179" t="s">
        <v>456</v>
      </c>
      <c r="C5919" s="180">
        <v>384</v>
      </c>
    </row>
    <row r="5920" spans="1:3" x14ac:dyDescent="0.25">
      <c r="A5920" s="178">
        <v>109043</v>
      </c>
      <c r="B5920" s="179" t="s">
        <v>456</v>
      </c>
      <c r="C5920" s="180">
        <v>300</v>
      </c>
    </row>
    <row r="5921" spans="1:3" x14ac:dyDescent="0.25">
      <c r="A5921" s="178">
        <v>109044</v>
      </c>
      <c r="B5921" s="179" t="s">
        <v>456</v>
      </c>
      <c r="C5921" s="180">
        <v>384</v>
      </c>
    </row>
    <row r="5922" spans="1:3" x14ac:dyDescent="0.25">
      <c r="A5922" s="178">
        <v>109045</v>
      </c>
      <c r="B5922" s="179" t="s">
        <v>456</v>
      </c>
      <c r="C5922" s="180">
        <v>384</v>
      </c>
    </row>
    <row r="5923" spans="1:3" x14ac:dyDescent="0.25">
      <c r="A5923" s="178">
        <v>109046</v>
      </c>
      <c r="B5923" s="179" t="s">
        <v>456</v>
      </c>
      <c r="C5923" s="180">
        <v>360</v>
      </c>
    </row>
    <row r="5924" spans="1:3" x14ac:dyDescent="0.25">
      <c r="A5924" s="178">
        <v>109047</v>
      </c>
      <c r="B5924" s="179" t="s">
        <v>456</v>
      </c>
      <c r="C5924" s="180">
        <v>384</v>
      </c>
    </row>
    <row r="5925" spans="1:3" x14ac:dyDescent="0.25">
      <c r="A5925" s="178">
        <v>109048</v>
      </c>
      <c r="B5925" s="179" t="s">
        <v>456</v>
      </c>
      <c r="C5925" s="180">
        <v>384</v>
      </c>
    </row>
    <row r="5926" spans="1:3" x14ac:dyDescent="0.25">
      <c r="A5926" s="178">
        <v>109049</v>
      </c>
      <c r="B5926" s="179" t="s">
        <v>456</v>
      </c>
      <c r="C5926" s="180">
        <v>1728</v>
      </c>
    </row>
    <row r="5927" spans="1:3" x14ac:dyDescent="0.25">
      <c r="A5927" s="178">
        <v>109050</v>
      </c>
      <c r="B5927" s="179" t="s">
        <v>456</v>
      </c>
      <c r="C5927" s="180">
        <v>384</v>
      </c>
    </row>
    <row r="5928" spans="1:3" x14ac:dyDescent="0.25">
      <c r="A5928" s="178">
        <v>109051</v>
      </c>
      <c r="B5928" s="179" t="s">
        <v>456</v>
      </c>
      <c r="C5928" s="180">
        <v>300</v>
      </c>
    </row>
    <row r="5929" spans="1:3" x14ac:dyDescent="0.25">
      <c r="A5929" s="178">
        <v>109052</v>
      </c>
      <c r="B5929" s="179" t="s">
        <v>456</v>
      </c>
      <c r="C5929" s="180">
        <v>384</v>
      </c>
    </row>
    <row r="5930" spans="1:3" x14ac:dyDescent="0.25">
      <c r="A5930" s="178">
        <v>109054</v>
      </c>
      <c r="B5930" s="179" t="s">
        <v>456</v>
      </c>
      <c r="C5930" s="180">
        <v>384</v>
      </c>
    </row>
    <row r="5931" spans="1:3" x14ac:dyDescent="0.25">
      <c r="A5931" s="178">
        <v>109055</v>
      </c>
      <c r="B5931" s="179" t="s">
        <v>456</v>
      </c>
      <c r="C5931" s="180">
        <v>432</v>
      </c>
    </row>
    <row r="5932" spans="1:3" x14ac:dyDescent="0.25">
      <c r="A5932" s="178">
        <v>109056</v>
      </c>
      <c r="B5932" s="179" t="s">
        <v>456</v>
      </c>
      <c r="C5932" s="180">
        <v>384</v>
      </c>
    </row>
    <row r="5933" spans="1:3" x14ac:dyDescent="0.25">
      <c r="A5933" s="178">
        <v>109057</v>
      </c>
      <c r="B5933" s="179" t="s">
        <v>456</v>
      </c>
      <c r="C5933" s="180">
        <v>384</v>
      </c>
    </row>
    <row r="5934" spans="1:3" x14ac:dyDescent="0.25">
      <c r="A5934" s="178">
        <v>109058</v>
      </c>
      <c r="B5934" s="179" t="s">
        <v>456</v>
      </c>
      <c r="C5934" s="180">
        <v>384</v>
      </c>
    </row>
    <row r="5935" spans="1:3" x14ac:dyDescent="0.25">
      <c r="A5935" s="178">
        <v>109059</v>
      </c>
      <c r="B5935" s="179" t="s">
        <v>456</v>
      </c>
      <c r="C5935" s="180">
        <v>384</v>
      </c>
    </row>
    <row r="5936" spans="1:3" x14ac:dyDescent="0.25">
      <c r="A5936" s="178">
        <v>109060</v>
      </c>
      <c r="B5936" s="179" t="s">
        <v>456</v>
      </c>
      <c r="C5936" s="180">
        <v>384</v>
      </c>
    </row>
    <row r="5937" spans="1:3" x14ac:dyDescent="0.25">
      <c r="A5937" s="178">
        <v>109061</v>
      </c>
      <c r="B5937" s="179" t="s">
        <v>456</v>
      </c>
      <c r="C5937" s="180">
        <v>384</v>
      </c>
    </row>
    <row r="5938" spans="1:3" x14ac:dyDescent="0.25">
      <c r="A5938" s="178">
        <v>109064</v>
      </c>
      <c r="B5938" s="179" t="s">
        <v>456</v>
      </c>
      <c r="C5938" s="180">
        <v>384</v>
      </c>
    </row>
    <row r="5939" spans="1:3" x14ac:dyDescent="0.25">
      <c r="A5939" s="178">
        <v>109065</v>
      </c>
      <c r="B5939" s="179" t="s">
        <v>456</v>
      </c>
      <c r="C5939" s="180">
        <v>384</v>
      </c>
    </row>
    <row r="5940" spans="1:3" x14ac:dyDescent="0.25">
      <c r="A5940" s="178">
        <v>109067</v>
      </c>
      <c r="B5940" s="179" t="s">
        <v>456</v>
      </c>
      <c r="C5940" s="180">
        <v>384</v>
      </c>
    </row>
    <row r="5941" spans="1:3" x14ac:dyDescent="0.25">
      <c r="A5941" s="178">
        <v>109069</v>
      </c>
      <c r="B5941" s="179" t="s">
        <v>456</v>
      </c>
      <c r="C5941" s="180">
        <v>1800</v>
      </c>
    </row>
    <row r="5942" spans="1:3" x14ac:dyDescent="0.25">
      <c r="A5942" s="178">
        <v>109071</v>
      </c>
      <c r="B5942" s="179" t="s">
        <v>456</v>
      </c>
      <c r="C5942" s="180">
        <v>432</v>
      </c>
    </row>
    <row r="5943" spans="1:3" x14ac:dyDescent="0.25">
      <c r="A5943" s="178">
        <v>109072</v>
      </c>
      <c r="B5943" s="179" t="s">
        <v>456</v>
      </c>
      <c r="C5943" s="180">
        <v>384</v>
      </c>
    </row>
    <row r="5944" spans="1:3" x14ac:dyDescent="0.25">
      <c r="A5944" s="178">
        <v>109073</v>
      </c>
      <c r="B5944" s="179" t="s">
        <v>456</v>
      </c>
      <c r="C5944" s="180">
        <v>432</v>
      </c>
    </row>
    <row r="5945" spans="1:3" x14ac:dyDescent="0.25">
      <c r="A5945" s="178">
        <v>109074</v>
      </c>
      <c r="B5945" s="179" t="s">
        <v>456</v>
      </c>
      <c r="C5945" s="180">
        <v>384</v>
      </c>
    </row>
    <row r="5946" spans="1:3" x14ac:dyDescent="0.25">
      <c r="A5946" s="178">
        <v>109075</v>
      </c>
      <c r="B5946" s="179" t="s">
        <v>456</v>
      </c>
      <c r="C5946" s="180">
        <v>84</v>
      </c>
    </row>
    <row r="5947" spans="1:3" x14ac:dyDescent="0.25">
      <c r="A5947" s="178">
        <v>109080</v>
      </c>
      <c r="B5947" s="179" t="s">
        <v>456</v>
      </c>
      <c r="C5947" s="180">
        <v>55</v>
      </c>
    </row>
    <row r="5948" spans="1:3" x14ac:dyDescent="0.25">
      <c r="A5948" s="178">
        <v>109081</v>
      </c>
      <c r="B5948" s="179" t="s">
        <v>456</v>
      </c>
      <c r="C5948" s="180">
        <v>33</v>
      </c>
    </row>
    <row r="5949" spans="1:3" x14ac:dyDescent="0.25">
      <c r="A5949" s="178">
        <v>109083</v>
      </c>
      <c r="B5949" s="179" t="s">
        <v>456</v>
      </c>
      <c r="C5949" s="180">
        <v>33</v>
      </c>
    </row>
    <row r="5950" spans="1:3" x14ac:dyDescent="0.25">
      <c r="A5950" s="178">
        <v>109091</v>
      </c>
      <c r="B5950" s="179" t="s">
        <v>456</v>
      </c>
      <c r="C5950" s="180">
        <v>48</v>
      </c>
    </row>
    <row r="5951" spans="1:3" x14ac:dyDescent="0.25">
      <c r="A5951" s="178">
        <v>109111</v>
      </c>
      <c r="B5951" s="179" t="s">
        <v>456</v>
      </c>
      <c r="C5951" s="180">
        <v>45</v>
      </c>
    </row>
    <row r="5952" spans="1:3" x14ac:dyDescent="0.25">
      <c r="A5952" s="178">
        <v>109117</v>
      </c>
      <c r="B5952" s="179" t="s">
        <v>456</v>
      </c>
      <c r="C5952" s="180">
        <v>48</v>
      </c>
    </row>
    <row r="5953" spans="1:3" x14ac:dyDescent="0.25">
      <c r="A5953" s="178">
        <v>109118</v>
      </c>
      <c r="B5953" s="179" t="s">
        <v>456</v>
      </c>
      <c r="C5953" s="180">
        <v>48</v>
      </c>
    </row>
    <row r="5954" spans="1:3" x14ac:dyDescent="0.25">
      <c r="A5954" s="178">
        <v>109119</v>
      </c>
      <c r="B5954" s="179" t="s">
        <v>456</v>
      </c>
      <c r="C5954" s="180">
        <v>48</v>
      </c>
    </row>
    <row r="5955" spans="1:3" x14ac:dyDescent="0.25">
      <c r="A5955" s="178">
        <v>109120</v>
      </c>
      <c r="B5955" s="179" t="s">
        <v>456</v>
      </c>
      <c r="C5955" s="180">
        <v>48</v>
      </c>
    </row>
    <row r="5956" spans="1:3" x14ac:dyDescent="0.25">
      <c r="A5956" s="178">
        <v>109121</v>
      </c>
      <c r="B5956" s="179" t="s">
        <v>456</v>
      </c>
      <c r="C5956" s="180">
        <v>54</v>
      </c>
    </row>
    <row r="5957" spans="1:3" x14ac:dyDescent="0.25">
      <c r="A5957" s="178">
        <v>109122</v>
      </c>
      <c r="B5957" s="179" t="s">
        <v>456</v>
      </c>
      <c r="C5957" s="180">
        <v>48</v>
      </c>
    </row>
    <row r="5958" spans="1:3" x14ac:dyDescent="0.25">
      <c r="A5958" s="178">
        <v>109123</v>
      </c>
      <c r="B5958" s="179" t="s">
        <v>456</v>
      </c>
      <c r="C5958" s="180">
        <v>54</v>
      </c>
    </row>
    <row r="5959" spans="1:3" x14ac:dyDescent="0.25">
      <c r="A5959" s="178">
        <v>109125</v>
      </c>
      <c r="B5959" s="179" t="s">
        <v>456</v>
      </c>
      <c r="C5959" s="180">
        <v>48</v>
      </c>
    </row>
    <row r="5960" spans="1:3" x14ac:dyDescent="0.25">
      <c r="A5960" s="178">
        <v>109196</v>
      </c>
      <c r="B5960" s="179" t="s">
        <v>456</v>
      </c>
      <c r="C5960" s="180">
        <v>176</v>
      </c>
    </row>
    <row r="5961" spans="1:3" x14ac:dyDescent="0.25">
      <c r="A5961" s="178">
        <v>109198</v>
      </c>
      <c r="B5961" s="179" t="s">
        <v>456</v>
      </c>
      <c r="C5961" s="180">
        <v>55</v>
      </c>
    </row>
    <row r="5962" spans="1:3" x14ac:dyDescent="0.25">
      <c r="A5962" s="178">
        <v>109292</v>
      </c>
      <c r="B5962" s="179" t="s">
        <v>456</v>
      </c>
      <c r="C5962" s="180">
        <v>204</v>
      </c>
    </row>
    <row r="5963" spans="1:3" x14ac:dyDescent="0.25">
      <c r="A5963" s="178">
        <v>109293</v>
      </c>
      <c r="B5963" s="179" t="s">
        <v>456</v>
      </c>
      <c r="C5963" s="180">
        <v>204</v>
      </c>
    </row>
    <row r="5964" spans="1:3" x14ac:dyDescent="0.25">
      <c r="A5964" s="178">
        <v>109294</v>
      </c>
      <c r="B5964" s="179" t="s">
        <v>456</v>
      </c>
      <c r="C5964" s="180">
        <v>204</v>
      </c>
    </row>
    <row r="5965" spans="1:3" x14ac:dyDescent="0.25">
      <c r="A5965" s="178">
        <v>109296</v>
      </c>
      <c r="B5965" s="179" t="s">
        <v>456</v>
      </c>
      <c r="C5965" s="180">
        <v>204</v>
      </c>
    </row>
    <row r="5966" spans="1:3" x14ac:dyDescent="0.25">
      <c r="A5966" s="178">
        <v>109297</v>
      </c>
      <c r="B5966" s="179" t="s">
        <v>456</v>
      </c>
      <c r="C5966" s="180">
        <v>204</v>
      </c>
    </row>
    <row r="5967" spans="1:3" x14ac:dyDescent="0.25">
      <c r="A5967" s="178">
        <v>109298</v>
      </c>
      <c r="B5967" s="179" t="s">
        <v>456</v>
      </c>
      <c r="C5967" s="180">
        <v>204</v>
      </c>
    </row>
    <row r="5968" spans="1:3" x14ac:dyDescent="0.25">
      <c r="A5968" s="178">
        <v>109301</v>
      </c>
      <c r="B5968" s="179" t="s">
        <v>456</v>
      </c>
      <c r="C5968" s="180">
        <v>30</v>
      </c>
    </row>
    <row r="5969" spans="1:3" x14ac:dyDescent="0.25">
      <c r="A5969" s="178">
        <v>109302</v>
      </c>
      <c r="B5969" s="179" t="s">
        <v>456</v>
      </c>
      <c r="C5969" s="180">
        <v>204</v>
      </c>
    </row>
    <row r="5970" spans="1:3" x14ac:dyDescent="0.25">
      <c r="A5970" s="178">
        <v>109303</v>
      </c>
      <c r="B5970" s="179" t="s">
        <v>456</v>
      </c>
      <c r="C5970" s="180">
        <v>204</v>
      </c>
    </row>
    <row r="5971" spans="1:3" x14ac:dyDescent="0.25">
      <c r="A5971" s="178">
        <v>109304</v>
      </c>
      <c r="B5971" s="179" t="s">
        <v>456</v>
      </c>
      <c r="C5971" s="180">
        <v>204</v>
      </c>
    </row>
    <row r="5972" spans="1:3" x14ac:dyDescent="0.25">
      <c r="A5972" s="178">
        <v>109371</v>
      </c>
      <c r="B5972" s="179" t="s">
        <v>456</v>
      </c>
      <c r="C5972" s="180">
        <v>30</v>
      </c>
    </row>
    <row r="5973" spans="1:3" x14ac:dyDescent="0.25">
      <c r="A5973" s="178">
        <v>109386</v>
      </c>
      <c r="B5973" s="179" t="s">
        <v>456</v>
      </c>
      <c r="C5973" s="180">
        <v>84</v>
      </c>
    </row>
    <row r="5974" spans="1:3" x14ac:dyDescent="0.25">
      <c r="A5974" s="178">
        <v>109910</v>
      </c>
      <c r="B5974" s="179" t="s">
        <v>456</v>
      </c>
      <c r="C5974" s="180">
        <v>124</v>
      </c>
    </row>
    <row r="5975" spans="1:3" x14ac:dyDescent="0.25">
      <c r="A5975" s="178">
        <v>109911</v>
      </c>
      <c r="B5975" s="179" t="s">
        <v>456</v>
      </c>
      <c r="C5975" s="180">
        <v>84</v>
      </c>
    </row>
    <row r="5976" spans="1:3" x14ac:dyDescent="0.25">
      <c r="A5976" s="178">
        <v>109912</v>
      </c>
      <c r="B5976" s="179" t="s">
        <v>456</v>
      </c>
      <c r="C5976" s="180">
        <v>84</v>
      </c>
    </row>
    <row r="5977" spans="1:3" x14ac:dyDescent="0.25">
      <c r="A5977" s="178">
        <v>110078</v>
      </c>
      <c r="B5977" s="179" t="s">
        <v>456</v>
      </c>
      <c r="C5977" s="180">
        <v>176</v>
      </c>
    </row>
    <row r="5978" spans="1:3" x14ac:dyDescent="0.25">
      <c r="A5978" s="178">
        <v>110629</v>
      </c>
      <c r="B5978" s="179" t="s">
        <v>456</v>
      </c>
      <c r="C5978" s="180">
        <v>49</v>
      </c>
    </row>
    <row r="5979" spans="1:3" x14ac:dyDescent="0.25">
      <c r="A5979" s="178">
        <v>110706</v>
      </c>
      <c r="B5979" s="179" t="s">
        <v>456</v>
      </c>
      <c r="C5979" s="180">
        <v>30</v>
      </c>
    </row>
    <row r="5980" spans="1:3" x14ac:dyDescent="0.25">
      <c r="A5980" s="178">
        <v>110737</v>
      </c>
      <c r="B5980" s="179" t="s">
        <v>456</v>
      </c>
      <c r="C5980" s="180">
        <v>36</v>
      </c>
    </row>
    <row r="5981" spans="1:3" x14ac:dyDescent="0.25">
      <c r="A5981" s="178">
        <v>110738</v>
      </c>
      <c r="B5981" s="179" t="s">
        <v>456</v>
      </c>
      <c r="C5981" s="180">
        <v>36</v>
      </c>
    </row>
    <row r="5982" spans="1:3" x14ac:dyDescent="0.25">
      <c r="A5982" s="178">
        <v>110739</v>
      </c>
      <c r="B5982" s="179" t="s">
        <v>456</v>
      </c>
      <c r="C5982" s="180">
        <v>36</v>
      </c>
    </row>
    <row r="5983" spans="1:3" x14ac:dyDescent="0.25">
      <c r="A5983" s="178">
        <v>110741</v>
      </c>
      <c r="B5983" s="179" t="s">
        <v>456</v>
      </c>
      <c r="C5983" s="180">
        <v>56</v>
      </c>
    </row>
    <row r="5984" spans="1:3" x14ac:dyDescent="0.25">
      <c r="A5984" s="178">
        <v>110812</v>
      </c>
      <c r="B5984" s="179" t="s">
        <v>456</v>
      </c>
      <c r="C5984" s="180">
        <v>80</v>
      </c>
    </row>
    <row r="5985" spans="1:3" x14ac:dyDescent="0.25">
      <c r="A5985" s="178">
        <v>110813</v>
      </c>
      <c r="B5985" s="179" t="s">
        <v>456</v>
      </c>
      <c r="C5985" s="180">
        <v>204</v>
      </c>
    </row>
    <row r="5986" spans="1:3" x14ac:dyDescent="0.25">
      <c r="A5986" s="178">
        <v>110879</v>
      </c>
      <c r="B5986" s="179" t="s">
        <v>456</v>
      </c>
      <c r="C5986" s="180">
        <v>48</v>
      </c>
    </row>
    <row r="5987" spans="1:3" x14ac:dyDescent="0.25">
      <c r="A5987" s="178">
        <v>110901</v>
      </c>
      <c r="B5987" s="179" t="s">
        <v>456</v>
      </c>
      <c r="C5987" s="180">
        <v>72</v>
      </c>
    </row>
    <row r="5988" spans="1:3" x14ac:dyDescent="0.25">
      <c r="A5988" s="178">
        <v>110906</v>
      </c>
      <c r="B5988" s="179" t="s">
        <v>456</v>
      </c>
      <c r="C5988" s="180">
        <v>48</v>
      </c>
    </row>
    <row r="5989" spans="1:3" x14ac:dyDescent="0.25">
      <c r="A5989" s="178">
        <v>110911</v>
      </c>
      <c r="B5989" s="179" t="s">
        <v>456</v>
      </c>
      <c r="C5989" s="180">
        <v>8</v>
      </c>
    </row>
    <row r="5990" spans="1:3" x14ac:dyDescent="0.25">
      <c r="A5990" s="178">
        <v>110962</v>
      </c>
      <c r="B5990" s="179" t="s">
        <v>456</v>
      </c>
      <c r="C5990" s="180">
        <v>56</v>
      </c>
    </row>
    <row r="5991" spans="1:3" x14ac:dyDescent="0.25">
      <c r="A5991" s="178">
        <v>111257</v>
      </c>
      <c r="B5991" s="179" t="s">
        <v>456</v>
      </c>
      <c r="C5991" s="180">
        <v>198</v>
      </c>
    </row>
    <row r="5992" spans="1:3" x14ac:dyDescent="0.25">
      <c r="A5992" s="178">
        <v>111401</v>
      </c>
      <c r="B5992" s="179" t="s">
        <v>456</v>
      </c>
      <c r="C5992" s="180">
        <v>120</v>
      </c>
    </row>
    <row r="5993" spans="1:3" x14ac:dyDescent="0.25">
      <c r="A5993" s="178">
        <v>111453</v>
      </c>
      <c r="B5993" s="179" t="s">
        <v>456</v>
      </c>
      <c r="C5993" s="180">
        <v>176</v>
      </c>
    </row>
    <row r="5994" spans="1:3" x14ac:dyDescent="0.25">
      <c r="A5994" s="178">
        <v>111522</v>
      </c>
      <c r="B5994" s="179" t="s">
        <v>456</v>
      </c>
      <c r="C5994" s="180">
        <v>108</v>
      </c>
    </row>
    <row r="5995" spans="1:3" x14ac:dyDescent="0.25">
      <c r="A5995" s="178">
        <v>111731</v>
      </c>
      <c r="B5995" s="179" t="s">
        <v>456</v>
      </c>
      <c r="C5995" s="180">
        <v>80</v>
      </c>
    </row>
    <row r="5996" spans="1:3" x14ac:dyDescent="0.25">
      <c r="A5996" s="178">
        <v>111871</v>
      </c>
      <c r="B5996" s="179" t="s">
        <v>456</v>
      </c>
      <c r="C5996" s="180">
        <v>42</v>
      </c>
    </row>
    <row r="5997" spans="1:3" x14ac:dyDescent="0.25">
      <c r="A5997" s="178">
        <v>111945</v>
      </c>
      <c r="B5997" s="179" t="s">
        <v>456</v>
      </c>
      <c r="C5997" s="180">
        <v>160</v>
      </c>
    </row>
    <row r="5998" spans="1:3" x14ac:dyDescent="0.25">
      <c r="A5998" s="178">
        <v>111951</v>
      </c>
      <c r="B5998" s="179" t="s">
        <v>456</v>
      </c>
      <c r="C5998" s="180">
        <v>72</v>
      </c>
    </row>
    <row r="5999" spans="1:3" x14ac:dyDescent="0.25">
      <c r="A5999" s="178">
        <v>111975</v>
      </c>
      <c r="B5999" s="179" t="s">
        <v>456</v>
      </c>
      <c r="C5999" s="180">
        <v>5</v>
      </c>
    </row>
    <row r="6000" spans="1:3" x14ac:dyDescent="0.25">
      <c r="A6000" s="178">
        <v>111976</v>
      </c>
      <c r="B6000" s="179" t="s">
        <v>456</v>
      </c>
      <c r="C6000" s="180">
        <v>5</v>
      </c>
    </row>
    <row r="6001" spans="1:3" x14ac:dyDescent="0.25">
      <c r="A6001" s="178">
        <v>112050</v>
      </c>
      <c r="B6001" s="179" t="s">
        <v>456</v>
      </c>
      <c r="C6001" s="180">
        <v>30</v>
      </c>
    </row>
    <row r="6002" spans="1:3" x14ac:dyDescent="0.25">
      <c r="A6002" s="178">
        <v>112105</v>
      </c>
      <c r="B6002" s="179" t="s">
        <v>456</v>
      </c>
      <c r="C6002" s="180">
        <v>70</v>
      </c>
    </row>
    <row r="6003" spans="1:3" x14ac:dyDescent="0.25">
      <c r="A6003" s="178">
        <v>112481</v>
      </c>
      <c r="B6003" s="179" t="s">
        <v>456</v>
      </c>
      <c r="C6003" s="180">
        <v>115</v>
      </c>
    </row>
    <row r="6004" spans="1:3" x14ac:dyDescent="0.25">
      <c r="A6004" s="178">
        <v>112482</v>
      </c>
      <c r="B6004" s="179" t="s">
        <v>456</v>
      </c>
      <c r="C6004" s="180">
        <v>135</v>
      </c>
    </row>
    <row r="6005" spans="1:3" x14ac:dyDescent="0.25">
      <c r="A6005" s="178">
        <v>112512</v>
      </c>
      <c r="B6005" s="179" t="s">
        <v>456</v>
      </c>
      <c r="C6005" s="180">
        <v>30</v>
      </c>
    </row>
    <row r="6006" spans="1:3" x14ac:dyDescent="0.25">
      <c r="A6006" s="178">
        <v>112532</v>
      </c>
      <c r="B6006" s="179" t="s">
        <v>456</v>
      </c>
      <c r="C6006" s="180">
        <v>30</v>
      </c>
    </row>
    <row r="6007" spans="1:3" x14ac:dyDescent="0.25">
      <c r="A6007" s="178">
        <v>112673</v>
      </c>
      <c r="B6007" s="179" t="s">
        <v>456</v>
      </c>
      <c r="C6007" s="180">
        <v>135</v>
      </c>
    </row>
    <row r="6008" spans="1:3" x14ac:dyDescent="0.25">
      <c r="A6008" s="178">
        <v>112731</v>
      </c>
      <c r="B6008" s="179" t="s">
        <v>456</v>
      </c>
      <c r="C6008" s="180">
        <v>30</v>
      </c>
    </row>
    <row r="6009" spans="1:3" x14ac:dyDescent="0.25">
      <c r="A6009" s="178">
        <v>112805</v>
      </c>
      <c r="B6009" s="179" t="s">
        <v>456</v>
      </c>
      <c r="C6009" s="180">
        <v>120</v>
      </c>
    </row>
    <row r="6010" spans="1:3" x14ac:dyDescent="0.25">
      <c r="A6010" s="178">
        <v>112870</v>
      </c>
      <c r="B6010" s="179" t="s">
        <v>456</v>
      </c>
      <c r="C6010" s="180">
        <v>108</v>
      </c>
    </row>
    <row r="6011" spans="1:3" x14ac:dyDescent="0.25">
      <c r="A6011" s="178">
        <v>112871</v>
      </c>
      <c r="B6011" s="179" t="s">
        <v>456</v>
      </c>
      <c r="C6011" s="180">
        <v>108</v>
      </c>
    </row>
    <row r="6012" spans="1:3" x14ac:dyDescent="0.25">
      <c r="A6012" s="178">
        <v>112872</v>
      </c>
      <c r="B6012" s="179" t="s">
        <v>456</v>
      </c>
      <c r="C6012" s="180">
        <v>108</v>
      </c>
    </row>
    <row r="6013" spans="1:3" x14ac:dyDescent="0.25">
      <c r="A6013" s="178">
        <v>112873</v>
      </c>
      <c r="B6013" s="179" t="s">
        <v>456</v>
      </c>
      <c r="C6013" s="180">
        <v>108</v>
      </c>
    </row>
    <row r="6014" spans="1:3" x14ac:dyDescent="0.25">
      <c r="A6014" s="178">
        <v>112874</v>
      </c>
      <c r="B6014" s="179" t="s">
        <v>456</v>
      </c>
      <c r="C6014" s="180">
        <v>108</v>
      </c>
    </row>
    <row r="6015" spans="1:3" x14ac:dyDescent="0.25">
      <c r="A6015" s="178">
        <v>112968</v>
      </c>
      <c r="B6015" s="179" t="s">
        <v>456</v>
      </c>
      <c r="C6015" s="180">
        <v>48</v>
      </c>
    </row>
    <row r="6016" spans="1:3" x14ac:dyDescent="0.25">
      <c r="A6016" s="178">
        <v>113324</v>
      </c>
      <c r="B6016" s="179" t="s">
        <v>456</v>
      </c>
      <c r="C6016" s="180">
        <v>204</v>
      </c>
    </row>
    <row r="6017" spans="1:3" x14ac:dyDescent="0.25">
      <c r="A6017" s="178">
        <v>113331</v>
      </c>
      <c r="B6017" s="179" t="s">
        <v>456</v>
      </c>
      <c r="C6017" s="180">
        <v>120</v>
      </c>
    </row>
    <row r="6018" spans="1:3" x14ac:dyDescent="0.25">
      <c r="A6018" s="178">
        <v>113332</v>
      </c>
      <c r="B6018" s="179" t="s">
        <v>456</v>
      </c>
      <c r="C6018" s="180">
        <v>115</v>
      </c>
    </row>
    <row r="6019" spans="1:3" x14ac:dyDescent="0.25">
      <c r="A6019" s="178">
        <v>113335</v>
      </c>
      <c r="B6019" s="179" t="s">
        <v>456</v>
      </c>
      <c r="C6019" s="180">
        <v>288</v>
      </c>
    </row>
    <row r="6020" spans="1:3" x14ac:dyDescent="0.25">
      <c r="A6020" s="178">
        <v>113355</v>
      </c>
      <c r="B6020" s="179" t="s">
        <v>456</v>
      </c>
      <c r="C6020" s="180">
        <v>288</v>
      </c>
    </row>
    <row r="6021" spans="1:3" x14ac:dyDescent="0.25">
      <c r="A6021" s="178">
        <v>113356</v>
      </c>
      <c r="B6021" s="179" t="s">
        <v>456</v>
      </c>
      <c r="C6021" s="180">
        <v>288</v>
      </c>
    </row>
    <row r="6022" spans="1:3" x14ac:dyDescent="0.25">
      <c r="A6022" s="178">
        <v>113358</v>
      </c>
      <c r="B6022" s="179" t="s">
        <v>456</v>
      </c>
      <c r="C6022" s="180">
        <v>90</v>
      </c>
    </row>
    <row r="6023" spans="1:3" x14ac:dyDescent="0.25">
      <c r="A6023" s="178">
        <v>113444</v>
      </c>
      <c r="B6023" s="179" t="s">
        <v>456</v>
      </c>
      <c r="C6023" s="180">
        <v>30</v>
      </c>
    </row>
    <row r="6024" spans="1:3" x14ac:dyDescent="0.25">
      <c r="A6024" s="178">
        <v>113471</v>
      </c>
      <c r="B6024" s="179" t="s">
        <v>456</v>
      </c>
      <c r="C6024" s="180">
        <v>5</v>
      </c>
    </row>
    <row r="6025" spans="1:3" x14ac:dyDescent="0.25">
      <c r="A6025" s="178">
        <v>113491</v>
      </c>
      <c r="B6025" s="179" t="s">
        <v>456</v>
      </c>
      <c r="C6025" s="180">
        <v>30</v>
      </c>
    </row>
    <row r="6026" spans="1:3" x14ac:dyDescent="0.25">
      <c r="A6026" s="178">
        <v>113501</v>
      </c>
      <c r="B6026" s="179" t="s">
        <v>456</v>
      </c>
      <c r="C6026" s="180">
        <v>190</v>
      </c>
    </row>
    <row r="6027" spans="1:3" x14ac:dyDescent="0.25">
      <c r="A6027" s="178">
        <v>113563</v>
      </c>
      <c r="B6027" s="179" t="s">
        <v>456</v>
      </c>
      <c r="C6027" s="180">
        <v>63</v>
      </c>
    </row>
    <row r="6028" spans="1:3" x14ac:dyDescent="0.25">
      <c r="A6028" s="178">
        <v>113572</v>
      </c>
      <c r="B6028" s="179" t="s">
        <v>456</v>
      </c>
      <c r="C6028" s="180">
        <v>3</v>
      </c>
    </row>
    <row r="6029" spans="1:3" x14ac:dyDescent="0.25">
      <c r="A6029" s="178">
        <v>113573</v>
      </c>
      <c r="B6029" s="179" t="s">
        <v>456</v>
      </c>
      <c r="C6029" s="180">
        <v>5</v>
      </c>
    </row>
    <row r="6030" spans="1:3" x14ac:dyDescent="0.25">
      <c r="A6030" s="178">
        <v>113625</v>
      </c>
      <c r="B6030" s="179" t="s">
        <v>456</v>
      </c>
      <c r="C6030" s="180">
        <v>3</v>
      </c>
    </row>
    <row r="6031" spans="1:3" x14ac:dyDescent="0.25">
      <c r="A6031" s="178">
        <v>113691</v>
      </c>
      <c r="B6031" s="179" t="s">
        <v>456</v>
      </c>
      <c r="C6031" s="180">
        <v>90</v>
      </c>
    </row>
    <row r="6032" spans="1:3" x14ac:dyDescent="0.25">
      <c r="A6032" s="178">
        <v>113716</v>
      </c>
      <c r="B6032" s="179" t="s">
        <v>456</v>
      </c>
      <c r="C6032" s="180">
        <v>384</v>
      </c>
    </row>
    <row r="6033" spans="1:3" x14ac:dyDescent="0.25">
      <c r="A6033" s="178">
        <v>113718</v>
      </c>
      <c r="B6033" s="179" t="s">
        <v>456</v>
      </c>
      <c r="C6033" s="180">
        <v>384</v>
      </c>
    </row>
    <row r="6034" spans="1:3" x14ac:dyDescent="0.25">
      <c r="A6034" s="178">
        <v>113731</v>
      </c>
      <c r="B6034" s="179" t="s">
        <v>456</v>
      </c>
      <c r="C6034" s="180">
        <v>204</v>
      </c>
    </row>
    <row r="6035" spans="1:3" x14ac:dyDescent="0.25">
      <c r="A6035" s="178">
        <v>113732</v>
      </c>
      <c r="B6035" s="179" t="s">
        <v>456</v>
      </c>
      <c r="C6035" s="180">
        <v>204</v>
      </c>
    </row>
    <row r="6036" spans="1:3" x14ac:dyDescent="0.25">
      <c r="A6036" s="178">
        <v>113733</v>
      </c>
      <c r="B6036" s="179" t="s">
        <v>456</v>
      </c>
      <c r="C6036" s="180">
        <v>72</v>
      </c>
    </row>
    <row r="6037" spans="1:3" x14ac:dyDescent="0.25">
      <c r="A6037" s="178">
        <v>113771</v>
      </c>
      <c r="B6037" s="179" t="s">
        <v>456</v>
      </c>
      <c r="C6037" s="180">
        <v>45</v>
      </c>
    </row>
    <row r="6038" spans="1:3" x14ac:dyDescent="0.25">
      <c r="A6038" s="178">
        <v>113772</v>
      </c>
      <c r="B6038" s="179" t="s">
        <v>456</v>
      </c>
      <c r="C6038" s="180">
        <v>45</v>
      </c>
    </row>
    <row r="6039" spans="1:3" x14ac:dyDescent="0.25">
      <c r="A6039" s="178">
        <v>113773</v>
      </c>
      <c r="B6039" s="179" t="s">
        <v>456</v>
      </c>
      <c r="C6039" s="180">
        <v>30</v>
      </c>
    </row>
    <row r="6040" spans="1:3" x14ac:dyDescent="0.25">
      <c r="A6040" s="178">
        <v>113774</v>
      </c>
      <c r="B6040" s="179" t="s">
        <v>456</v>
      </c>
      <c r="C6040" s="180">
        <v>45</v>
      </c>
    </row>
    <row r="6041" spans="1:3" x14ac:dyDescent="0.25">
      <c r="A6041" s="178">
        <v>113775</v>
      </c>
      <c r="B6041" s="179" t="s">
        <v>456</v>
      </c>
      <c r="C6041" s="180">
        <v>45</v>
      </c>
    </row>
    <row r="6042" spans="1:3" x14ac:dyDescent="0.25">
      <c r="A6042" s="178">
        <v>113782</v>
      </c>
      <c r="B6042" s="179" t="s">
        <v>456</v>
      </c>
      <c r="C6042" s="180">
        <v>210</v>
      </c>
    </row>
    <row r="6043" spans="1:3" x14ac:dyDescent="0.25">
      <c r="A6043" s="178">
        <v>113802</v>
      </c>
      <c r="B6043" s="179" t="s">
        <v>456</v>
      </c>
      <c r="C6043" s="180">
        <v>189</v>
      </c>
    </row>
    <row r="6044" spans="1:3" x14ac:dyDescent="0.25">
      <c r="A6044" s="178">
        <v>113804</v>
      </c>
      <c r="B6044" s="179" t="s">
        <v>456</v>
      </c>
      <c r="C6044" s="180">
        <v>189</v>
      </c>
    </row>
    <row r="6045" spans="1:3" x14ac:dyDescent="0.25">
      <c r="A6045" s="178">
        <v>113831</v>
      </c>
      <c r="B6045" s="179" t="s">
        <v>456</v>
      </c>
      <c r="C6045" s="180">
        <v>2</v>
      </c>
    </row>
    <row r="6046" spans="1:3" x14ac:dyDescent="0.25">
      <c r="A6046" s="178">
        <v>113841</v>
      </c>
      <c r="B6046" s="179" t="s">
        <v>456</v>
      </c>
      <c r="C6046" s="180">
        <v>135</v>
      </c>
    </row>
    <row r="6047" spans="1:3" x14ac:dyDescent="0.25">
      <c r="A6047" s="178">
        <v>113842</v>
      </c>
      <c r="B6047" s="179" t="s">
        <v>456</v>
      </c>
      <c r="C6047" s="180">
        <v>135</v>
      </c>
    </row>
    <row r="6048" spans="1:3" x14ac:dyDescent="0.25">
      <c r="A6048" s="178">
        <v>113906</v>
      </c>
      <c r="B6048" s="179" t="s">
        <v>456</v>
      </c>
      <c r="C6048" s="180">
        <v>5</v>
      </c>
    </row>
    <row r="6049" spans="1:3" x14ac:dyDescent="0.25">
      <c r="A6049" s="178">
        <v>113921</v>
      </c>
      <c r="B6049" s="179" t="s">
        <v>456</v>
      </c>
      <c r="C6049" s="180">
        <v>70</v>
      </c>
    </row>
    <row r="6050" spans="1:3" x14ac:dyDescent="0.25">
      <c r="A6050" s="178">
        <v>113922</v>
      </c>
      <c r="B6050" s="179" t="s">
        <v>456</v>
      </c>
      <c r="C6050" s="180">
        <v>70</v>
      </c>
    </row>
    <row r="6051" spans="1:3" x14ac:dyDescent="0.25">
      <c r="A6051" s="178">
        <v>113924</v>
      </c>
      <c r="B6051" s="179" t="s">
        <v>456</v>
      </c>
      <c r="C6051" s="180">
        <v>70</v>
      </c>
    </row>
    <row r="6052" spans="1:3" x14ac:dyDescent="0.25">
      <c r="A6052" s="178">
        <v>113953</v>
      </c>
      <c r="B6052" s="179" t="s">
        <v>456</v>
      </c>
      <c r="C6052" s="180">
        <v>56</v>
      </c>
    </row>
    <row r="6053" spans="1:3" x14ac:dyDescent="0.25">
      <c r="A6053" s="178">
        <v>113954</v>
      </c>
      <c r="B6053" s="179" t="s">
        <v>456</v>
      </c>
      <c r="C6053" s="180">
        <v>189</v>
      </c>
    </row>
    <row r="6054" spans="1:3" x14ac:dyDescent="0.25">
      <c r="A6054" s="178">
        <v>113955</v>
      </c>
      <c r="B6054" s="179" t="s">
        <v>456</v>
      </c>
      <c r="C6054" s="180">
        <v>56</v>
      </c>
    </row>
    <row r="6055" spans="1:3" x14ac:dyDescent="0.25">
      <c r="A6055" s="178">
        <v>113956</v>
      </c>
      <c r="B6055" s="179" t="s">
        <v>456</v>
      </c>
      <c r="C6055" s="180">
        <v>56</v>
      </c>
    </row>
    <row r="6056" spans="1:3" x14ac:dyDescent="0.25">
      <c r="A6056" s="178">
        <v>113957</v>
      </c>
      <c r="B6056" s="179" t="s">
        <v>456</v>
      </c>
      <c r="C6056" s="180">
        <v>56</v>
      </c>
    </row>
    <row r="6057" spans="1:3" x14ac:dyDescent="0.25">
      <c r="A6057" s="178">
        <v>113958</v>
      </c>
      <c r="B6057" s="179" t="s">
        <v>456</v>
      </c>
      <c r="C6057" s="180">
        <v>49</v>
      </c>
    </row>
    <row r="6058" spans="1:3" x14ac:dyDescent="0.25">
      <c r="A6058" s="178">
        <v>113959</v>
      </c>
      <c r="B6058" s="179" t="s">
        <v>456</v>
      </c>
      <c r="C6058" s="180">
        <v>56</v>
      </c>
    </row>
    <row r="6059" spans="1:3" x14ac:dyDescent="0.25">
      <c r="A6059" s="178">
        <v>113981</v>
      </c>
      <c r="B6059" s="179" t="s">
        <v>456</v>
      </c>
      <c r="C6059" s="180">
        <v>70</v>
      </c>
    </row>
    <row r="6060" spans="1:3" x14ac:dyDescent="0.25">
      <c r="A6060" s="178">
        <v>113983</v>
      </c>
      <c r="B6060" s="179" t="s">
        <v>456</v>
      </c>
      <c r="C6060" s="180">
        <v>70</v>
      </c>
    </row>
    <row r="6061" spans="1:3" x14ac:dyDescent="0.25">
      <c r="A6061" s="178">
        <v>113984</v>
      </c>
      <c r="B6061" s="179" t="s">
        <v>456</v>
      </c>
      <c r="C6061" s="180">
        <v>70</v>
      </c>
    </row>
    <row r="6062" spans="1:3" x14ac:dyDescent="0.25">
      <c r="A6062" s="178">
        <v>113985</v>
      </c>
      <c r="B6062" s="179" t="s">
        <v>456</v>
      </c>
      <c r="C6062" s="180">
        <v>70</v>
      </c>
    </row>
    <row r="6063" spans="1:3" x14ac:dyDescent="0.25">
      <c r="A6063" s="178">
        <v>113986</v>
      </c>
      <c r="B6063" s="179" t="s">
        <v>456</v>
      </c>
      <c r="C6063" s="180">
        <v>70</v>
      </c>
    </row>
    <row r="6064" spans="1:3" x14ac:dyDescent="0.25">
      <c r="A6064" s="178">
        <v>113987</v>
      </c>
      <c r="B6064" s="179" t="s">
        <v>456</v>
      </c>
      <c r="C6064" s="180">
        <v>70</v>
      </c>
    </row>
    <row r="6065" spans="1:3" x14ac:dyDescent="0.25">
      <c r="A6065" s="178">
        <v>113988</v>
      </c>
      <c r="B6065" s="179" t="s">
        <v>456</v>
      </c>
      <c r="C6065" s="180">
        <v>70</v>
      </c>
    </row>
    <row r="6066" spans="1:3" x14ac:dyDescent="0.25">
      <c r="A6066" s="178">
        <v>113991</v>
      </c>
      <c r="B6066" s="179" t="s">
        <v>456</v>
      </c>
      <c r="C6066" s="180">
        <v>49</v>
      </c>
    </row>
    <row r="6067" spans="1:3" x14ac:dyDescent="0.25">
      <c r="A6067" s="178">
        <v>113992</v>
      </c>
      <c r="B6067" s="179" t="s">
        <v>456</v>
      </c>
      <c r="C6067" s="180">
        <v>49</v>
      </c>
    </row>
    <row r="6068" spans="1:3" x14ac:dyDescent="0.25">
      <c r="A6068" s="178">
        <v>113993</v>
      </c>
      <c r="B6068" s="179" t="s">
        <v>456</v>
      </c>
      <c r="C6068" s="180">
        <v>70</v>
      </c>
    </row>
    <row r="6069" spans="1:3" x14ac:dyDescent="0.25">
      <c r="A6069" s="178">
        <v>113994</v>
      </c>
      <c r="B6069" s="179" t="s">
        <v>456</v>
      </c>
      <c r="C6069" s="180">
        <v>70</v>
      </c>
    </row>
    <row r="6070" spans="1:3" x14ac:dyDescent="0.25">
      <c r="A6070" s="178">
        <v>113997</v>
      </c>
      <c r="B6070" s="179" t="s">
        <v>456</v>
      </c>
      <c r="C6070" s="180">
        <v>70</v>
      </c>
    </row>
    <row r="6071" spans="1:3" x14ac:dyDescent="0.25">
      <c r="A6071" s="178">
        <v>113998</v>
      </c>
      <c r="B6071" s="179" t="s">
        <v>456</v>
      </c>
      <c r="C6071" s="180">
        <v>70</v>
      </c>
    </row>
    <row r="6072" spans="1:3" x14ac:dyDescent="0.25">
      <c r="A6072" s="178">
        <v>114000</v>
      </c>
      <c r="B6072" s="179" t="s">
        <v>456</v>
      </c>
      <c r="C6072" s="180">
        <v>70</v>
      </c>
    </row>
    <row r="6073" spans="1:3" x14ac:dyDescent="0.25">
      <c r="A6073" s="178">
        <v>114003</v>
      </c>
      <c r="B6073" s="179" t="s">
        <v>456</v>
      </c>
      <c r="C6073" s="180">
        <v>115</v>
      </c>
    </row>
    <row r="6074" spans="1:3" x14ac:dyDescent="0.25">
      <c r="A6074" s="178">
        <v>114011</v>
      </c>
      <c r="B6074" s="179" t="s">
        <v>456</v>
      </c>
      <c r="C6074" s="180">
        <v>30</v>
      </c>
    </row>
    <row r="6075" spans="1:3" x14ac:dyDescent="0.25">
      <c r="A6075" s="178">
        <v>114012</v>
      </c>
      <c r="B6075" s="179" t="s">
        <v>456</v>
      </c>
      <c r="C6075" s="180">
        <v>30</v>
      </c>
    </row>
    <row r="6076" spans="1:3" x14ac:dyDescent="0.25">
      <c r="A6076" s="178">
        <v>114061</v>
      </c>
      <c r="B6076" s="179" t="s">
        <v>456</v>
      </c>
      <c r="C6076" s="180">
        <v>135</v>
      </c>
    </row>
    <row r="6077" spans="1:3" x14ac:dyDescent="0.25">
      <c r="A6077" s="178">
        <v>114087</v>
      </c>
      <c r="B6077" s="179" t="s">
        <v>456</v>
      </c>
      <c r="C6077" s="180">
        <v>80</v>
      </c>
    </row>
    <row r="6078" spans="1:3" x14ac:dyDescent="0.25">
      <c r="A6078" s="178">
        <v>114163</v>
      </c>
      <c r="B6078" s="179" t="s">
        <v>456</v>
      </c>
      <c r="C6078" s="180">
        <v>56</v>
      </c>
    </row>
    <row r="6079" spans="1:3" x14ac:dyDescent="0.25">
      <c r="A6079" s="178">
        <v>114164</v>
      </c>
      <c r="B6079" s="179" t="s">
        <v>456</v>
      </c>
      <c r="C6079" s="180">
        <v>56</v>
      </c>
    </row>
    <row r="6080" spans="1:3" x14ac:dyDescent="0.25">
      <c r="A6080" s="178">
        <v>114165</v>
      </c>
      <c r="B6080" s="179" t="s">
        <v>456</v>
      </c>
      <c r="C6080" s="180">
        <v>56</v>
      </c>
    </row>
    <row r="6081" spans="1:3" x14ac:dyDescent="0.25">
      <c r="A6081" s="178">
        <v>114166</v>
      </c>
      <c r="B6081" s="179" t="s">
        <v>456</v>
      </c>
      <c r="C6081" s="180">
        <v>56</v>
      </c>
    </row>
    <row r="6082" spans="1:3" x14ac:dyDescent="0.25">
      <c r="A6082" s="178">
        <v>114167</v>
      </c>
      <c r="B6082" s="179" t="s">
        <v>456</v>
      </c>
      <c r="C6082" s="180">
        <v>56</v>
      </c>
    </row>
    <row r="6083" spans="1:3" x14ac:dyDescent="0.25">
      <c r="A6083" s="178">
        <v>114168</v>
      </c>
      <c r="B6083" s="179" t="s">
        <v>456</v>
      </c>
      <c r="C6083" s="180">
        <v>70</v>
      </c>
    </row>
    <row r="6084" spans="1:3" x14ac:dyDescent="0.25">
      <c r="A6084" s="178">
        <v>114171</v>
      </c>
      <c r="B6084" s="179" t="s">
        <v>456</v>
      </c>
      <c r="C6084" s="180">
        <v>35</v>
      </c>
    </row>
    <row r="6085" spans="1:3" x14ac:dyDescent="0.25">
      <c r="A6085" s="178">
        <v>114172</v>
      </c>
      <c r="B6085" s="179" t="s">
        <v>456</v>
      </c>
      <c r="C6085" s="180">
        <v>35</v>
      </c>
    </row>
    <row r="6086" spans="1:3" x14ac:dyDescent="0.25">
      <c r="A6086" s="178">
        <v>114173</v>
      </c>
      <c r="B6086" s="179" t="s">
        <v>456</v>
      </c>
      <c r="C6086" s="180">
        <v>49</v>
      </c>
    </row>
    <row r="6087" spans="1:3" x14ac:dyDescent="0.25">
      <c r="A6087" s="178">
        <v>114174</v>
      </c>
      <c r="B6087" s="179" t="s">
        <v>456</v>
      </c>
      <c r="C6087" s="180">
        <v>35</v>
      </c>
    </row>
    <row r="6088" spans="1:3" x14ac:dyDescent="0.25">
      <c r="A6088" s="178">
        <v>114178</v>
      </c>
      <c r="B6088" s="179" t="s">
        <v>456</v>
      </c>
      <c r="C6088" s="180">
        <v>70</v>
      </c>
    </row>
    <row r="6089" spans="1:3" x14ac:dyDescent="0.25">
      <c r="A6089" s="178">
        <v>114180</v>
      </c>
      <c r="B6089" s="179" t="s">
        <v>456</v>
      </c>
      <c r="C6089" s="180">
        <v>70</v>
      </c>
    </row>
    <row r="6090" spans="1:3" x14ac:dyDescent="0.25">
      <c r="A6090" s="178">
        <v>114183</v>
      </c>
      <c r="B6090" s="179" t="s">
        <v>456</v>
      </c>
      <c r="C6090" s="180">
        <v>49</v>
      </c>
    </row>
    <row r="6091" spans="1:3" x14ac:dyDescent="0.25">
      <c r="A6091" s="178">
        <v>114184</v>
      </c>
      <c r="B6091" s="179" t="s">
        <v>456</v>
      </c>
      <c r="C6091" s="180">
        <v>49</v>
      </c>
    </row>
    <row r="6092" spans="1:3" x14ac:dyDescent="0.25">
      <c r="A6092" s="178">
        <v>114185</v>
      </c>
      <c r="B6092" s="179" t="s">
        <v>456</v>
      </c>
      <c r="C6092" s="180">
        <v>70</v>
      </c>
    </row>
    <row r="6093" spans="1:3" x14ac:dyDescent="0.25">
      <c r="A6093" s="178">
        <v>114186</v>
      </c>
      <c r="B6093" s="179" t="s">
        <v>456</v>
      </c>
      <c r="C6093" s="180">
        <v>49</v>
      </c>
    </row>
    <row r="6094" spans="1:3" x14ac:dyDescent="0.25">
      <c r="A6094" s="178">
        <v>114187</v>
      </c>
      <c r="B6094" s="179" t="s">
        <v>456</v>
      </c>
      <c r="C6094" s="180">
        <v>70</v>
      </c>
    </row>
    <row r="6095" spans="1:3" x14ac:dyDescent="0.25">
      <c r="A6095" s="178">
        <v>114188</v>
      </c>
      <c r="B6095" s="179" t="s">
        <v>456</v>
      </c>
      <c r="C6095" s="180">
        <v>70</v>
      </c>
    </row>
    <row r="6096" spans="1:3" x14ac:dyDescent="0.25">
      <c r="A6096" s="178">
        <v>114189</v>
      </c>
      <c r="B6096" s="179" t="s">
        <v>456</v>
      </c>
      <c r="C6096" s="180">
        <v>70</v>
      </c>
    </row>
    <row r="6097" spans="1:3" x14ac:dyDescent="0.25">
      <c r="A6097" s="178">
        <v>114221</v>
      </c>
      <c r="B6097" s="179" t="s">
        <v>456</v>
      </c>
      <c r="C6097" s="180">
        <v>120</v>
      </c>
    </row>
    <row r="6098" spans="1:3" x14ac:dyDescent="0.25">
      <c r="A6098" s="178">
        <v>114242</v>
      </c>
      <c r="B6098" s="179" t="s">
        <v>456</v>
      </c>
      <c r="C6098" s="180">
        <v>70</v>
      </c>
    </row>
    <row r="6099" spans="1:3" x14ac:dyDescent="0.25">
      <c r="A6099" s="178">
        <v>114252</v>
      </c>
      <c r="B6099" s="179" t="s">
        <v>456</v>
      </c>
      <c r="C6099" s="180">
        <v>152</v>
      </c>
    </row>
    <row r="6100" spans="1:3" x14ac:dyDescent="0.25">
      <c r="A6100" s="178">
        <v>114424</v>
      </c>
      <c r="B6100" s="179" t="s">
        <v>456</v>
      </c>
      <c r="C6100" s="180">
        <v>96</v>
      </c>
    </row>
    <row r="6101" spans="1:3" x14ac:dyDescent="0.25">
      <c r="A6101" s="178">
        <v>114425</v>
      </c>
      <c r="B6101" s="179" t="s">
        <v>456</v>
      </c>
      <c r="C6101" s="180">
        <v>192</v>
      </c>
    </row>
    <row r="6102" spans="1:3" x14ac:dyDescent="0.25">
      <c r="A6102" s="178">
        <v>114551</v>
      </c>
      <c r="B6102" s="179" t="s">
        <v>456</v>
      </c>
      <c r="C6102" s="180">
        <v>49</v>
      </c>
    </row>
    <row r="6103" spans="1:3" x14ac:dyDescent="0.25">
      <c r="A6103" s="178">
        <v>114552</v>
      </c>
      <c r="B6103" s="179" t="s">
        <v>456</v>
      </c>
      <c r="C6103" s="180">
        <v>70</v>
      </c>
    </row>
    <row r="6104" spans="1:3" x14ac:dyDescent="0.25">
      <c r="A6104" s="178">
        <v>114553</v>
      </c>
      <c r="B6104" s="179" t="s">
        <v>456</v>
      </c>
      <c r="C6104" s="180">
        <v>70</v>
      </c>
    </row>
    <row r="6105" spans="1:3" x14ac:dyDescent="0.25">
      <c r="A6105" s="178">
        <v>114554</v>
      </c>
      <c r="B6105" s="179" t="s">
        <v>456</v>
      </c>
      <c r="C6105" s="180">
        <v>70</v>
      </c>
    </row>
    <row r="6106" spans="1:3" x14ac:dyDescent="0.25">
      <c r="A6106" s="178">
        <v>114555</v>
      </c>
      <c r="B6106" s="179" t="s">
        <v>456</v>
      </c>
      <c r="C6106" s="180">
        <v>70</v>
      </c>
    </row>
    <row r="6107" spans="1:3" x14ac:dyDescent="0.25">
      <c r="A6107" s="178">
        <v>114556</v>
      </c>
      <c r="B6107" s="179" t="s">
        <v>456</v>
      </c>
      <c r="C6107" s="180">
        <v>70</v>
      </c>
    </row>
    <row r="6108" spans="1:3" x14ac:dyDescent="0.25">
      <c r="A6108" s="178">
        <v>114557</v>
      </c>
      <c r="B6108" s="179" t="s">
        <v>456</v>
      </c>
      <c r="C6108" s="180">
        <v>70</v>
      </c>
    </row>
    <row r="6109" spans="1:3" x14ac:dyDescent="0.25">
      <c r="A6109" s="178">
        <v>114558</v>
      </c>
      <c r="B6109" s="179" t="s">
        <v>456</v>
      </c>
      <c r="C6109" s="180">
        <v>70</v>
      </c>
    </row>
    <row r="6110" spans="1:3" x14ac:dyDescent="0.25">
      <c r="A6110" s="178">
        <v>114559</v>
      </c>
      <c r="B6110" s="179" t="s">
        <v>456</v>
      </c>
      <c r="C6110" s="180">
        <v>70</v>
      </c>
    </row>
    <row r="6111" spans="1:3" x14ac:dyDescent="0.25">
      <c r="A6111" s="178">
        <v>114560</v>
      </c>
      <c r="B6111" s="179" t="s">
        <v>456</v>
      </c>
      <c r="C6111" s="180">
        <v>70</v>
      </c>
    </row>
    <row r="6112" spans="1:3" x14ac:dyDescent="0.25">
      <c r="A6112" s="178">
        <v>114561</v>
      </c>
      <c r="B6112" s="179" t="s">
        <v>456</v>
      </c>
      <c r="C6112" s="180">
        <v>70</v>
      </c>
    </row>
    <row r="6113" spans="1:3" x14ac:dyDescent="0.25">
      <c r="A6113" s="178">
        <v>114562</v>
      </c>
      <c r="B6113" s="179" t="s">
        <v>456</v>
      </c>
      <c r="C6113" s="180">
        <v>70</v>
      </c>
    </row>
    <row r="6114" spans="1:3" x14ac:dyDescent="0.25">
      <c r="A6114" s="178">
        <v>114563</v>
      </c>
      <c r="B6114" s="179" t="s">
        <v>456</v>
      </c>
      <c r="C6114" s="180">
        <v>70</v>
      </c>
    </row>
    <row r="6115" spans="1:3" x14ac:dyDescent="0.25">
      <c r="A6115" s="178">
        <v>114565</v>
      </c>
      <c r="B6115" s="179" t="s">
        <v>456</v>
      </c>
      <c r="C6115" s="180">
        <v>70</v>
      </c>
    </row>
    <row r="6116" spans="1:3" x14ac:dyDescent="0.25">
      <c r="A6116" s="178">
        <v>114571</v>
      </c>
      <c r="B6116" s="179" t="s">
        <v>456</v>
      </c>
      <c r="C6116" s="180">
        <v>70</v>
      </c>
    </row>
    <row r="6117" spans="1:3" x14ac:dyDescent="0.25">
      <c r="A6117" s="178">
        <v>114572</v>
      </c>
      <c r="B6117" s="179" t="s">
        <v>456</v>
      </c>
      <c r="C6117" s="180">
        <v>70</v>
      </c>
    </row>
    <row r="6118" spans="1:3" x14ac:dyDescent="0.25">
      <c r="A6118" s="178">
        <v>114573</v>
      </c>
      <c r="B6118" s="179" t="s">
        <v>456</v>
      </c>
      <c r="C6118" s="180">
        <v>70</v>
      </c>
    </row>
    <row r="6119" spans="1:3" x14ac:dyDescent="0.25">
      <c r="A6119" s="178">
        <v>114574</v>
      </c>
      <c r="B6119" s="179" t="s">
        <v>456</v>
      </c>
      <c r="C6119" s="180">
        <v>70</v>
      </c>
    </row>
    <row r="6120" spans="1:3" x14ac:dyDescent="0.25">
      <c r="A6120" s="178">
        <v>114575</v>
      </c>
      <c r="B6120" s="179" t="s">
        <v>456</v>
      </c>
      <c r="C6120" s="180">
        <v>70</v>
      </c>
    </row>
    <row r="6121" spans="1:3" x14ac:dyDescent="0.25">
      <c r="A6121" s="178">
        <v>114576</v>
      </c>
      <c r="B6121" s="179" t="s">
        <v>456</v>
      </c>
      <c r="C6121" s="180">
        <v>70</v>
      </c>
    </row>
    <row r="6122" spans="1:3" x14ac:dyDescent="0.25">
      <c r="A6122" s="178">
        <v>114577</v>
      </c>
      <c r="B6122" s="179" t="s">
        <v>456</v>
      </c>
      <c r="C6122" s="180">
        <v>70</v>
      </c>
    </row>
    <row r="6123" spans="1:3" x14ac:dyDescent="0.25">
      <c r="A6123" s="178">
        <v>114578</v>
      </c>
      <c r="B6123" s="179" t="s">
        <v>456</v>
      </c>
      <c r="C6123" s="180">
        <v>70</v>
      </c>
    </row>
    <row r="6124" spans="1:3" x14ac:dyDescent="0.25">
      <c r="A6124" s="178">
        <v>114662</v>
      </c>
      <c r="B6124" s="179" t="s">
        <v>456</v>
      </c>
      <c r="C6124" s="180">
        <v>5</v>
      </c>
    </row>
    <row r="6125" spans="1:3" x14ac:dyDescent="0.25">
      <c r="A6125" s="178">
        <v>114671</v>
      </c>
      <c r="B6125" s="179" t="s">
        <v>456</v>
      </c>
      <c r="C6125" s="180">
        <v>64</v>
      </c>
    </row>
    <row r="6126" spans="1:3" x14ac:dyDescent="0.25">
      <c r="A6126" s="178">
        <v>114683</v>
      </c>
      <c r="B6126" s="179" t="s">
        <v>456</v>
      </c>
      <c r="C6126" s="180">
        <v>115</v>
      </c>
    </row>
    <row r="6127" spans="1:3" x14ac:dyDescent="0.25">
      <c r="A6127" s="178">
        <v>114684</v>
      </c>
      <c r="B6127" s="179" t="s">
        <v>456</v>
      </c>
      <c r="C6127" s="180">
        <v>115</v>
      </c>
    </row>
    <row r="6128" spans="1:3" x14ac:dyDescent="0.25">
      <c r="A6128" s="178">
        <v>114763</v>
      </c>
      <c r="B6128" s="179" t="s">
        <v>456</v>
      </c>
      <c r="C6128" s="180">
        <v>160</v>
      </c>
    </row>
    <row r="6129" spans="1:3" x14ac:dyDescent="0.25">
      <c r="A6129" s="178">
        <v>114834</v>
      </c>
      <c r="B6129" s="179" t="s">
        <v>456</v>
      </c>
      <c r="C6129" s="180">
        <v>128</v>
      </c>
    </row>
    <row r="6130" spans="1:3" x14ac:dyDescent="0.25">
      <c r="A6130" s="178">
        <v>114871</v>
      </c>
      <c r="B6130" s="179" t="s">
        <v>456</v>
      </c>
      <c r="C6130" s="180">
        <v>189</v>
      </c>
    </row>
    <row r="6131" spans="1:3" x14ac:dyDescent="0.25">
      <c r="A6131" s="178">
        <v>114903</v>
      </c>
      <c r="B6131" s="179" t="s">
        <v>456</v>
      </c>
      <c r="C6131" s="180">
        <v>135</v>
      </c>
    </row>
    <row r="6132" spans="1:3" x14ac:dyDescent="0.25">
      <c r="A6132" s="178">
        <v>114904</v>
      </c>
      <c r="B6132" s="179" t="s">
        <v>456</v>
      </c>
      <c r="C6132" s="180">
        <v>176</v>
      </c>
    </row>
    <row r="6133" spans="1:3" x14ac:dyDescent="0.25">
      <c r="A6133" s="178">
        <v>114923</v>
      </c>
      <c r="B6133" s="179" t="s">
        <v>456</v>
      </c>
      <c r="C6133" s="180">
        <v>115</v>
      </c>
    </row>
    <row r="6134" spans="1:3" x14ac:dyDescent="0.25">
      <c r="A6134" s="178">
        <v>114924</v>
      </c>
      <c r="B6134" s="179" t="s">
        <v>456</v>
      </c>
      <c r="C6134" s="180">
        <v>115</v>
      </c>
    </row>
    <row r="6135" spans="1:3" x14ac:dyDescent="0.25">
      <c r="A6135" s="178">
        <v>114925</v>
      </c>
      <c r="B6135" s="179" t="s">
        <v>456</v>
      </c>
      <c r="C6135" s="180">
        <v>384</v>
      </c>
    </row>
    <row r="6136" spans="1:3" x14ac:dyDescent="0.25">
      <c r="A6136" s="178">
        <v>114971</v>
      </c>
      <c r="B6136" s="179" t="s">
        <v>456</v>
      </c>
      <c r="C6136" s="180">
        <v>30</v>
      </c>
    </row>
    <row r="6137" spans="1:3" x14ac:dyDescent="0.25">
      <c r="A6137" s="178">
        <v>114982</v>
      </c>
      <c r="B6137" s="179" t="s">
        <v>456</v>
      </c>
      <c r="C6137" s="180">
        <v>30</v>
      </c>
    </row>
    <row r="6138" spans="1:3" x14ac:dyDescent="0.25">
      <c r="A6138" s="178">
        <v>115081</v>
      </c>
      <c r="B6138" s="179" t="s">
        <v>456</v>
      </c>
      <c r="C6138" s="180">
        <v>30</v>
      </c>
    </row>
    <row r="6139" spans="1:3" x14ac:dyDescent="0.25">
      <c r="A6139" s="178">
        <v>115091</v>
      </c>
      <c r="B6139" s="179" t="s">
        <v>456</v>
      </c>
      <c r="C6139" s="180">
        <v>30</v>
      </c>
    </row>
    <row r="6140" spans="1:3" x14ac:dyDescent="0.25">
      <c r="A6140" s="178">
        <v>115092</v>
      </c>
      <c r="B6140" s="179" t="s">
        <v>456</v>
      </c>
      <c r="C6140" s="180">
        <v>30</v>
      </c>
    </row>
    <row r="6141" spans="1:3" x14ac:dyDescent="0.25">
      <c r="A6141" s="178">
        <v>115093</v>
      </c>
      <c r="B6141" s="179" t="s">
        <v>456</v>
      </c>
      <c r="C6141" s="180">
        <v>30</v>
      </c>
    </row>
    <row r="6142" spans="1:3" x14ac:dyDescent="0.25">
      <c r="A6142" s="178">
        <v>115112</v>
      </c>
      <c r="B6142" s="179" t="s">
        <v>456</v>
      </c>
      <c r="C6142" s="180">
        <v>63</v>
      </c>
    </row>
    <row r="6143" spans="1:3" x14ac:dyDescent="0.25">
      <c r="A6143" s="178">
        <v>115132</v>
      </c>
      <c r="B6143" s="179" t="s">
        <v>456</v>
      </c>
      <c r="C6143" s="180">
        <v>63</v>
      </c>
    </row>
    <row r="6144" spans="1:3" x14ac:dyDescent="0.25">
      <c r="A6144" s="178">
        <v>115401</v>
      </c>
      <c r="B6144" s="179" t="s">
        <v>456</v>
      </c>
      <c r="C6144" s="180">
        <v>30</v>
      </c>
    </row>
    <row r="6145" spans="1:3" x14ac:dyDescent="0.25">
      <c r="A6145" s="178">
        <v>115411</v>
      </c>
      <c r="B6145" s="179" t="s">
        <v>456</v>
      </c>
      <c r="C6145" s="180">
        <v>18</v>
      </c>
    </row>
    <row r="6146" spans="1:3" x14ac:dyDescent="0.25">
      <c r="A6146" s="178">
        <v>115516</v>
      </c>
      <c r="B6146" s="179" t="s">
        <v>456</v>
      </c>
      <c r="C6146" s="180">
        <v>35</v>
      </c>
    </row>
    <row r="6147" spans="1:3" x14ac:dyDescent="0.25">
      <c r="A6147" s="178">
        <v>115517</v>
      </c>
      <c r="B6147" s="179" t="s">
        <v>456</v>
      </c>
      <c r="C6147" s="180">
        <v>189</v>
      </c>
    </row>
    <row r="6148" spans="1:3" x14ac:dyDescent="0.25">
      <c r="A6148" s="178">
        <v>115518</v>
      </c>
      <c r="B6148" s="179" t="s">
        <v>456</v>
      </c>
      <c r="C6148" s="180">
        <v>189</v>
      </c>
    </row>
    <row r="6149" spans="1:3" x14ac:dyDescent="0.25">
      <c r="A6149" s="178">
        <v>115542</v>
      </c>
      <c r="B6149" s="179" t="s">
        <v>456</v>
      </c>
      <c r="C6149" s="180">
        <v>120</v>
      </c>
    </row>
    <row r="6150" spans="1:3" x14ac:dyDescent="0.25">
      <c r="A6150" s="178">
        <v>115543</v>
      </c>
      <c r="B6150" s="179" t="s">
        <v>456</v>
      </c>
      <c r="C6150" s="180">
        <v>120</v>
      </c>
    </row>
    <row r="6151" spans="1:3" x14ac:dyDescent="0.25">
      <c r="A6151" s="178">
        <v>115551</v>
      </c>
      <c r="B6151" s="179" t="s">
        <v>456</v>
      </c>
      <c r="C6151" s="180">
        <v>204</v>
      </c>
    </row>
    <row r="6152" spans="1:3" x14ac:dyDescent="0.25">
      <c r="A6152" s="178">
        <v>115652</v>
      </c>
      <c r="B6152" s="179" t="s">
        <v>456</v>
      </c>
      <c r="C6152" s="180">
        <v>135</v>
      </c>
    </row>
    <row r="6153" spans="1:3" x14ac:dyDescent="0.25">
      <c r="A6153" s="178">
        <v>115713</v>
      </c>
      <c r="B6153" s="179" t="s">
        <v>456</v>
      </c>
      <c r="C6153" s="180">
        <v>115</v>
      </c>
    </row>
    <row r="6154" spans="1:3" x14ac:dyDescent="0.25">
      <c r="A6154" s="178">
        <v>115752</v>
      </c>
      <c r="B6154" s="179" t="s">
        <v>456</v>
      </c>
      <c r="C6154" s="180">
        <v>70</v>
      </c>
    </row>
    <row r="6155" spans="1:3" x14ac:dyDescent="0.25">
      <c r="A6155" s="178">
        <v>115754</v>
      </c>
      <c r="B6155" s="179" t="s">
        <v>456</v>
      </c>
      <c r="C6155" s="180">
        <v>204</v>
      </c>
    </row>
    <row r="6156" spans="1:3" x14ac:dyDescent="0.25">
      <c r="A6156" s="178">
        <v>115756</v>
      </c>
      <c r="B6156" s="179" t="s">
        <v>456</v>
      </c>
      <c r="C6156" s="180">
        <v>176</v>
      </c>
    </row>
    <row r="6157" spans="1:3" x14ac:dyDescent="0.25">
      <c r="A6157" s="178">
        <v>115757</v>
      </c>
      <c r="B6157" s="179" t="s">
        <v>456</v>
      </c>
      <c r="C6157" s="180">
        <v>176</v>
      </c>
    </row>
    <row r="6158" spans="1:3" x14ac:dyDescent="0.25">
      <c r="A6158" s="178">
        <v>115758</v>
      </c>
      <c r="B6158" s="179" t="s">
        <v>456</v>
      </c>
      <c r="C6158" s="180">
        <v>176</v>
      </c>
    </row>
    <row r="6159" spans="1:3" x14ac:dyDescent="0.25">
      <c r="A6159" s="178">
        <v>115759</v>
      </c>
      <c r="B6159" s="179" t="s">
        <v>456</v>
      </c>
      <c r="C6159" s="180">
        <v>192</v>
      </c>
    </row>
    <row r="6160" spans="1:3" x14ac:dyDescent="0.25">
      <c r="A6160" s="178">
        <v>115821</v>
      </c>
      <c r="B6160" s="179" t="s">
        <v>456</v>
      </c>
      <c r="C6160" s="180">
        <v>35</v>
      </c>
    </row>
    <row r="6161" spans="1:3" x14ac:dyDescent="0.25">
      <c r="A6161" s="178">
        <v>115891</v>
      </c>
      <c r="B6161" s="179" t="s">
        <v>456</v>
      </c>
      <c r="C6161" s="180">
        <v>144</v>
      </c>
    </row>
    <row r="6162" spans="1:3" x14ac:dyDescent="0.25">
      <c r="A6162" s="178">
        <v>115921</v>
      </c>
      <c r="B6162" s="179" t="s">
        <v>456</v>
      </c>
      <c r="C6162" s="180">
        <v>35</v>
      </c>
    </row>
    <row r="6163" spans="1:3" x14ac:dyDescent="0.25">
      <c r="A6163" s="178">
        <v>115922</v>
      </c>
      <c r="B6163" s="179" t="s">
        <v>456</v>
      </c>
      <c r="C6163" s="180">
        <v>189</v>
      </c>
    </row>
    <row r="6164" spans="1:3" x14ac:dyDescent="0.25">
      <c r="A6164" s="178">
        <v>115923</v>
      </c>
      <c r="B6164" s="179" t="s">
        <v>456</v>
      </c>
      <c r="C6164" s="180">
        <v>56</v>
      </c>
    </row>
    <row r="6165" spans="1:3" x14ac:dyDescent="0.25">
      <c r="A6165" s="178">
        <v>115924</v>
      </c>
      <c r="B6165" s="179" t="s">
        <v>456</v>
      </c>
      <c r="C6165" s="180">
        <v>56</v>
      </c>
    </row>
    <row r="6166" spans="1:3" x14ac:dyDescent="0.25">
      <c r="A6166" s="178">
        <v>115925</v>
      </c>
      <c r="B6166" s="179" t="s">
        <v>456</v>
      </c>
      <c r="C6166" s="180">
        <v>56</v>
      </c>
    </row>
    <row r="6167" spans="1:3" x14ac:dyDescent="0.25">
      <c r="A6167" s="178">
        <v>115926</v>
      </c>
      <c r="B6167" s="179" t="s">
        <v>456</v>
      </c>
      <c r="C6167" s="180">
        <v>56</v>
      </c>
    </row>
    <row r="6168" spans="1:3" x14ac:dyDescent="0.25">
      <c r="A6168" s="178">
        <v>115927</v>
      </c>
      <c r="B6168" s="179" t="s">
        <v>456</v>
      </c>
      <c r="C6168" s="180">
        <v>56</v>
      </c>
    </row>
    <row r="6169" spans="1:3" x14ac:dyDescent="0.25">
      <c r="A6169" s="178">
        <v>115928</v>
      </c>
      <c r="B6169" s="179" t="s">
        <v>456</v>
      </c>
      <c r="C6169" s="180">
        <v>56</v>
      </c>
    </row>
    <row r="6170" spans="1:3" x14ac:dyDescent="0.25">
      <c r="A6170" s="178">
        <v>115929</v>
      </c>
      <c r="B6170" s="179" t="s">
        <v>456</v>
      </c>
      <c r="C6170" s="180">
        <v>189</v>
      </c>
    </row>
    <row r="6171" spans="1:3" x14ac:dyDescent="0.25">
      <c r="A6171" s="178">
        <v>115930</v>
      </c>
      <c r="B6171" s="179" t="s">
        <v>456</v>
      </c>
      <c r="C6171" s="180">
        <v>189</v>
      </c>
    </row>
    <row r="6172" spans="1:3" x14ac:dyDescent="0.25">
      <c r="A6172" s="178">
        <v>115931</v>
      </c>
      <c r="B6172" s="179" t="s">
        <v>456</v>
      </c>
      <c r="C6172" s="180">
        <v>189</v>
      </c>
    </row>
    <row r="6173" spans="1:3" x14ac:dyDescent="0.25">
      <c r="A6173" s="178">
        <v>115935</v>
      </c>
      <c r="B6173" s="179" t="s">
        <v>456</v>
      </c>
      <c r="C6173" s="180">
        <v>189</v>
      </c>
    </row>
    <row r="6174" spans="1:3" x14ac:dyDescent="0.25">
      <c r="A6174" s="178">
        <v>115936</v>
      </c>
      <c r="B6174" s="179" t="s">
        <v>456</v>
      </c>
      <c r="C6174" s="180">
        <v>189</v>
      </c>
    </row>
    <row r="6175" spans="1:3" x14ac:dyDescent="0.25">
      <c r="A6175" s="178">
        <v>115937</v>
      </c>
      <c r="B6175" s="179" t="s">
        <v>456</v>
      </c>
      <c r="C6175" s="180">
        <v>189</v>
      </c>
    </row>
    <row r="6176" spans="1:3" x14ac:dyDescent="0.25">
      <c r="A6176" s="178">
        <v>115938</v>
      </c>
      <c r="B6176" s="179" t="s">
        <v>456</v>
      </c>
      <c r="C6176" s="180">
        <v>189</v>
      </c>
    </row>
    <row r="6177" spans="1:3" x14ac:dyDescent="0.25">
      <c r="A6177" s="178">
        <v>115939</v>
      </c>
      <c r="B6177" s="179" t="s">
        <v>456</v>
      </c>
      <c r="C6177" s="180">
        <v>189</v>
      </c>
    </row>
    <row r="6178" spans="1:3" x14ac:dyDescent="0.25">
      <c r="A6178" s="178">
        <v>115940</v>
      </c>
      <c r="B6178" s="179" t="s">
        <v>456</v>
      </c>
      <c r="C6178" s="180">
        <v>189</v>
      </c>
    </row>
    <row r="6179" spans="1:3" x14ac:dyDescent="0.25">
      <c r="A6179" s="178">
        <v>115941</v>
      </c>
      <c r="B6179" s="179" t="s">
        <v>456</v>
      </c>
      <c r="C6179" s="180">
        <v>56</v>
      </c>
    </row>
    <row r="6180" spans="1:3" x14ac:dyDescent="0.25">
      <c r="A6180" s="178">
        <v>115942</v>
      </c>
      <c r="B6180" s="179" t="s">
        <v>456</v>
      </c>
      <c r="C6180" s="180">
        <v>189</v>
      </c>
    </row>
    <row r="6181" spans="1:3" x14ac:dyDescent="0.25">
      <c r="A6181" s="178">
        <v>115943</v>
      </c>
      <c r="B6181" s="179" t="s">
        <v>456</v>
      </c>
      <c r="C6181" s="180">
        <v>189</v>
      </c>
    </row>
    <row r="6182" spans="1:3" x14ac:dyDescent="0.25">
      <c r="A6182" s="178">
        <v>115944</v>
      </c>
      <c r="B6182" s="179" t="s">
        <v>456</v>
      </c>
      <c r="C6182" s="180">
        <v>56</v>
      </c>
    </row>
    <row r="6183" spans="1:3" x14ac:dyDescent="0.25">
      <c r="A6183" s="178">
        <v>115945</v>
      </c>
      <c r="B6183" s="179" t="s">
        <v>456</v>
      </c>
      <c r="C6183" s="180">
        <v>49</v>
      </c>
    </row>
    <row r="6184" spans="1:3" x14ac:dyDescent="0.25">
      <c r="A6184" s="178">
        <v>115946</v>
      </c>
      <c r="B6184" s="179" t="s">
        <v>456</v>
      </c>
      <c r="C6184" s="180">
        <v>49</v>
      </c>
    </row>
    <row r="6185" spans="1:3" x14ac:dyDescent="0.25">
      <c r="A6185" s="178">
        <v>115947</v>
      </c>
      <c r="B6185" s="179" t="s">
        <v>456</v>
      </c>
      <c r="C6185" s="180">
        <v>49</v>
      </c>
    </row>
    <row r="6186" spans="1:3" x14ac:dyDescent="0.25">
      <c r="A6186" s="178">
        <v>115948</v>
      </c>
      <c r="B6186" s="179" t="s">
        <v>456</v>
      </c>
      <c r="C6186" s="180">
        <v>49</v>
      </c>
    </row>
    <row r="6187" spans="1:3" x14ac:dyDescent="0.25">
      <c r="A6187" s="178">
        <v>115949</v>
      </c>
      <c r="B6187" s="179" t="s">
        <v>456</v>
      </c>
      <c r="C6187" s="180">
        <v>49</v>
      </c>
    </row>
    <row r="6188" spans="1:3" x14ac:dyDescent="0.25">
      <c r="A6188" s="178">
        <v>115950</v>
      </c>
      <c r="B6188" s="179" t="s">
        <v>456</v>
      </c>
      <c r="C6188" s="180">
        <v>49</v>
      </c>
    </row>
    <row r="6189" spans="1:3" x14ac:dyDescent="0.25">
      <c r="A6189" s="178">
        <v>115951</v>
      </c>
      <c r="B6189" s="179" t="s">
        <v>456</v>
      </c>
      <c r="C6189" s="180">
        <v>49</v>
      </c>
    </row>
    <row r="6190" spans="1:3" x14ac:dyDescent="0.25">
      <c r="A6190" s="178">
        <v>115952</v>
      </c>
      <c r="B6190" s="179" t="s">
        <v>456</v>
      </c>
      <c r="C6190" s="180">
        <v>49</v>
      </c>
    </row>
    <row r="6191" spans="1:3" x14ac:dyDescent="0.25">
      <c r="A6191" s="178">
        <v>115953</v>
      </c>
      <c r="B6191" s="179" t="s">
        <v>456</v>
      </c>
      <c r="C6191" s="180">
        <v>49</v>
      </c>
    </row>
    <row r="6192" spans="1:3" x14ac:dyDescent="0.25">
      <c r="A6192" s="178">
        <v>115954</v>
      </c>
      <c r="B6192" s="179" t="s">
        <v>456</v>
      </c>
      <c r="C6192" s="180">
        <v>49</v>
      </c>
    </row>
    <row r="6193" spans="1:3" x14ac:dyDescent="0.25">
      <c r="A6193" s="178">
        <v>115971</v>
      </c>
      <c r="B6193" s="179" t="s">
        <v>456</v>
      </c>
      <c r="C6193" s="180">
        <v>135</v>
      </c>
    </row>
    <row r="6194" spans="1:3" x14ac:dyDescent="0.25">
      <c r="A6194" s="178">
        <v>115973</v>
      </c>
      <c r="B6194" s="179" t="s">
        <v>456</v>
      </c>
      <c r="C6194" s="180">
        <v>135</v>
      </c>
    </row>
    <row r="6195" spans="1:3" x14ac:dyDescent="0.25">
      <c r="A6195" s="178">
        <v>115981</v>
      </c>
      <c r="B6195" s="179" t="s">
        <v>456</v>
      </c>
      <c r="C6195" s="180">
        <v>135</v>
      </c>
    </row>
    <row r="6196" spans="1:3" x14ac:dyDescent="0.25">
      <c r="A6196" s="178">
        <v>116072</v>
      </c>
      <c r="B6196" s="179" t="s">
        <v>456</v>
      </c>
      <c r="C6196" s="180">
        <v>189</v>
      </c>
    </row>
    <row r="6197" spans="1:3" x14ac:dyDescent="0.25">
      <c r="A6197" s="178">
        <v>116101</v>
      </c>
      <c r="B6197" s="179" t="s">
        <v>456</v>
      </c>
      <c r="C6197" s="180">
        <v>270</v>
      </c>
    </row>
    <row r="6198" spans="1:3" x14ac:dyDescent="0.25">
      <c r="A6198" s="178">
        <v>116102</v>
      </c>
      <c r="B6198" s="179" t="s">
        <v>456</v>
      </c>
      <c r="C6198" s="180">
        <v>270</v>
      </c>
    </row>
    <row r="6199" spans="1:3" x14ac:dyDescent="0.25">
      <c r="A6199" s="178">
        <v>116202</v>
      </c>
      <c r="B6199" s="179" t="s">
        <v>456</v>
      </c>
      <c r="C6199" s="180">
        <v>115</v>
      </c>
    </row>
    <row r="6200" spans="1:3" x14ac:dyDescent="0.25">
      <c r="A6200" s="178">
        <v>116225</v>
      </c>
      <c r="B6200" s="179" t="s">
        <v>456</v>
      </c>
      <c r="C6200" s="180">
        <v>70</v>
      </c>
    </row>
    <row r="6201" spans="1:3" x14ac:dyDescent="0.25">
      <c r="A6201" s="178">
        <v>116263</v>
      </c>
      <c r="B6201" s="179" t="s">
        <v>456</v>
      </c>
      <c r="C6201" s="180">
        <v>120</v>
      </c>
    </row>
    <row r="6202" spans="1:3" x14ac:dyDescent="0.25">
      <c r="A6202" s="178">
        <v>116264</v>
      </c>
      <c r="B6202" s="179" t="s">
        <v>456</v>
      </c>
      <c r="C6202" s="180">
        <v>120</v>
      </c>
    </row>
    <row r="6203" spans="1:3" x14ac:dyDescent="0.25">
      <c r="A6203" s="178">
        <v>116336</v>
      </c>
      <c r="B6203" s="179" t="s">
        <v>456</v>
      </c>
      <c r="C6203" s="180">
        <v>176</v>
      </c>
    </row>
    <row r="6204" spans="1:3" x14ac:dyDescent="0.25">
      <c r="A6204" s="178">
        <v>116337</v>
      </c>
      <c r="B6204" s="179" t="s">
        <v>456</v>
      </c>
      <c r="C6204" s="180">
        <v>176</v>
      </c>
    </row>
    <row r="6205" spans="1:3" x14ac:dyDescent="0.25">
      <c r="A6205" s="178">
        <v>116361</v>
      </c>
      <c r="B6205" s="179" t="s">
        <v>456</v>
      </c>
      <c r="C6205" s="180">
        <v>115</v>
      </c>
    </row>
    <row r="6206" spans="1:3" x14ac:dyDescent="0.25">
      <c r="A6206" s="178">
        <v>116362</v>
      </c>
      <c r="B6206" s="179" t="s">
        <v>456</v>
      </c>
      <c r="C6206" s="180">
        <v>49</v>
      </c>
    </row>
    <row r="6207" spans="1:3" x14ac:dyDescent="0.25">
      <c r="A6207" s="178">
        <v>116368</v>
      </c>
      <c r="B6207" s="179" t="s">
        <v>456</v>
      </c>
      <c r="C6207" s="180">
        <v>230</v>
      </c>
    </row>
    <row r="6208" spans="1:3" x14ac:dyDescent="0.25">
      <c r="A6208" s="178">
        <v>116372</v>
      </c>
      <c r="B6208" s="179" t="s">
        <v>456</v>
      </c>
      <c r="C6208" s="180">
        <v>96</v>
      </c>
    </row>
    <row r="6209" spans="1:3" x14ac:dyDescent="0.25">
      <c r="A6209" s="178">
        <v>116373</v>
      </c>
      <c r="B6209" s="179" t="s">
        <v>456</v>
      </c>
      <c r="C6209" s="180">
        <v>96</v>
      </c>
    </row>
    <row r="6210" spans="1:3" x14ac:dyDescent="0.25">
      <c r="A6210" s="178">
        <v>116391</v>
      </c>
      <c r="B6210" s="179" t="s">
        <v>456</v>
      </c>
      <c r="C6210" s="180">
        <v>189</v>
      </c>
    </row>
    <row r="6211" spans="1:3" x14ac:dyDescent="0.25">
      <c r="A6211" s="178">
        <v>116515</v>
      </c>
      <c r="B6211" s="179" t="s">
        <v>456</v>
      </c>
      <c r="C6211" s="180">
        <v>63</v>
      </c>
    </row>
    <row r="6212" spans="1:3" x14ac:dyDescent="0.25">
      <c r="A6212" s="178">
        <v>116517</v>
      </c>
      <c r="B6212" s="179" t="s">
        <v>456</v>
      </c>
      <c r="C6212" s="180">
        <v>63</v>
      </c>
    </row>
    <row r="6213" spans="1:3" x14ac:dyDescent="0.25">
      <c r="A6213" s="178">
        <v>116533</v>
      </c>
      <c r="B6213" s="179" t="s">
        <v>456</v>
      </c>
      <c r="C6213" s="180">
        <v>162</v>
      </c>
    </row>
    <row r="6214" spans="1:3" x14ac:dyDescent="0.25">
      <c r="A6214" s="178">
        <v>116534</v>
      </c>
      <c r="B6214" s="179" t="s">
        <v>456</v>
      </c>
      <c r="C6214" s="180">
        <v>162</v>
      </c>
    </row>
    <row r="6215" spans="1:3" x14ac:dyDescent="0.25">
      <c r="A6215" s="178">
        <v>116632</v>
      </c>
      <c r="B6215" s="179" t="s">
        <v>456</v>
      </c>
      <c r="C6215" s="180">
        <v>72</v>
      </c>
    </row>
    <row r="6216" spans="1:3" x14ac:dyDescent="0.25">
      <c r="A6216" s="178">
        <v>116641</v>
      </c>
      <c r="B6216" s="179" t="s">
        <v>456</v>
      </c>
      <c r="C6216" s="180">
        <v>200</v>
      </c>
    </row>
    <row r="6217" spans="1:3" x14ac:dyDescent="0.25">
      <c r="A6217" s="178">
        <v>116663</v>
      </c>
      <c r="B6217" s="179" t="s">
        <v>456</v>
      </c>
      <c r="C6217" s="180">
        <v>135</v>
      </c>
    </row>
    <row r="6218" spans="1:3" x14ac:dyDescent="0.25">
      <c r="A6218" s="178">
        <v>116664</v>
      </c>
      <c r="B6218" s="179" t="s">
        <v>456</v>
      </c>
      <c r="C6218" s="180">
        <v>115</v>
      </c>
    </row>
    <row r="6219" spans="1:3" x14ac:dyDescent="0.25">
      <c r="A6219" s="178">
        <v>116671</v>
      </c>
      <c r="B6219" s="179" t="s">
        <v>456</v>
      </c>
      <c r="C6219" s="180">
        <v>162</v>
      </c>
    </row>
    <row r="6220" spans="1:3" x14ac:dyDescent="0.25">
      <c r="A6220" s="178">
        <v>116701</v>
      </c>
      <c r="B6220" s="179" t="s">
        <v>456</v>
      </c>
      <c r="C6220" s="180">
        <v>30</v>
      </c>
    </row>
    <row r="6221" spans="1:3" x14ac:dyDescent="0.25">
      <c r="A6221" s="178">
        <v>116714</v>
      </c>
      <c r="B6221" s="179" t="s">
        <v>456</v>
      </c>
      <c r="C6221" s="180">
        <v>60</v>
      </c>
    </row>
    <row r="6222" spans="1:3" x14ac:dyDescent="0.25">
      <c r="A6222" s="178">
        <v>116715</v>
      </c>
      <c r="B6222" s="179" t="s">
        <v>456</v>
      </c>
      <c r="C6222" s="180">
        <v>5</v>
      </c>
    </row>
    <row r="6223" spans="1:3" x14ac:dyDescent="0.25">
      <c r="A6223" s="178">
        <v>116736</v>
      </c>
      <c r="B6223" s="179" t="s">
        <v>456</v>
      </c>
      <c r="C6223" s="180">
        <v>34</v>
      </c>
    </row>
    <row r="6224" spans="1:3" x14ac:dyDescent="0.25">
      <c r="A6224" s="178">
        <v>116763</v>
      </c>
      <c r="B6224" s="179" t="s">
        <v>456</v>
      </c>
      <c r="C6224" s="180">
        <v>120</v>
      </c>
    </row>
    <row r="6225" spans="1:3" x14ac:dyDescent="0.25">
      <c r="A6225" s="178">
        <v>116861</v>
      </c>
      <c r="B6225" s="179" t="s">
        <v>456</v>
      </c>
      <c r="C6225" s="180">
        <v>54</v>
      </c>
    </row>
    <row r="6226" spans="1:3" x14ac:dyDescent="0.25">
      <c r="A6226" s="178">
        <v>116863</v>
      </c>
      <c r="B6226" s="179" t="s">
        <v>456</v>
      </c>
      <c r="C6226" s="180">
        <v>48</v>
      </c>
    </row>
    <row r="6227" spans="1:3" x14ac:dyDescent="0.25">
      <c r="A6227" s="178">
        <v>116865</v>
      </c>
      <c r="B6227" s="179" t="s">
        <v>456</v>
      </c>
      <c r="C6227" s="180">
        <v>48</v>
      </c>
    </row>
    <row r="6228" spans="1:3" x14ac:dyDescent="0.25">
      <c r="A6228" s="178">
        <v>116902</v>
      </c>
      <c r="B6228" s="179" t="s">
        <v>456</v>
      </c>
      <c r="C6228" s="180">
        <v>49</v>
      </c>
    </row>
    <row r="6229" spans="1:3" x14ac:dyDescent="0.25">
      <c r="A6229" s="178">
        <v>116903</v>
      </c>
      <c r="B6229" s="179" t="s">
        <v>456</v>
      </c>
      <c r="C6229" s="180">
        <v>49</v>
      </c>
    </row>
    <row r="6230" spans="1:3" x14ac:dyDescent="0.25">
      <c r="A6230" s="178">
        <v>116931</v>
      </c>
      <c r="B6230" s="179" t="s">
        <v>456</v>
      </c>
      <c r="C6230" s="180">
        <v>144</v>
      </c>
    </row>
    <row r="6231" spans="1:3" x14ac:dyDescent="0.25">
      <c r="A6231" s="178">
        <v>116932</v>
      </c>
      <c r="B6231" s="179" t="s">
        <v>456</v>
      </c>
      <c r="C6231" s="180">
        <v>144</v>
      </c>
    </row>
    <row r="6232" spans="1:3" x14ac:dyDescent="0.25">
      <c r="A6232" s="178">
        <v>116954</v>
      </c>
      <c r="B6232" s="179" t="s">
        <v>456</v>
      </c>
      <c r="C6232" s="180">
        <v>30</v>
      </c>
    </row>
    <row r="6233" spans="1:3" x14ac:dyDescent="0.25">
      <c r="A6233" s="178">
        <v>116964</v>
      </c>
      <c r="B6233" s="179" t="s">
        <v>456</v>
      </c>
      <c r="C6233" s="180">
        <v>115</v>
      </c>
    </row>
    <row r="6234" spans="1:3" x14ac:dyDescent="0.25">
      <c r="A6234" s="178">
        <v>116971</v>
      </c>
      <c r="B6234" s="179" t="s">
        <v>456</v>
      </c>
      <c r="C6234" s="180">
        <v>115</v>
      </c>
    </row>
    <row r="6235" spans="1:3" x14ac:dyDescent="0.25">
      <c r="A6235" s="178">
        <v>116972</v>
      </c>
      <c r="B6235" s="179" t="s">
        <v>456</v>
      </c>
      <c r="C6235" s="180">
        <v>95</v>
      </c>
    </row>
    <row r="6236" spans="1:3" x14ac:dyDescent="0.25">
      <c r="A6236" s="178">
        <v>116973</v>
      </c>
      <c r="B6236" s="179" t="s">
        <v>456</v>
      </c>
      <c r="C6236" s="180">
        <v>95</v>
      </c>
    </row>
    <row r="6237" spans="1:3" x14ac:dyDescent="0.25">
      <c r="A6237" s="178">
        <v>117022</v>
      </c>
      <c r="B6237" s="179" t="s">
        <v>456</v>
      </c>
      <c r="C6237" s="180">
        <v>45</v>
      </c>
    </row>
    <row r="6238" spans="1:3" x14ac:dyDescent="0.25">
      <c r="A6238" s="178">
        <v>117061</v>
      </c>
      <c r="B6238" s="179" t="s">
        <v>456</v>
      </c>
      <c r="C6238" s="180">
        <v>5</v>
      </c>
    </row>
    <row r="6239" spans="1:3" x14ac:dyDescent="0.25">
      <c r="A6239" s="178">
        <v>117081</v>
      </c>
      <c r="B6239" s="179" t="s">
        <v>456</v>
      </c>
      <c r="C6239" s="180">
        <v>30</v>
      </c>
    </row>
    <row r="6240" spans="1:3" x14ac:dyDescent="0.25">
      <c r="A6240" s="178">
        <v>117149</v>
      </c>
      <c r="B6240" s="179" t="s">
        <v>456</v>
      </c>
      <c r="C6240" s="180">
        <v>84</v>
      </c>
    </row>
    <row r="6241" spans="1:3" x14ac:dyDescent="0.25">
      <c r="A6241" s="178">
        <v>117172</v>
      </c>
      <c r="B6241" s="179" t="s">
        <v>456</v>
      </c>
      <c r="C6241" s="180">
        <v>30</v>
      </c>
    </row>
    <row r="6242" spans="1:3" x14ac:dyDescent="0.25">
      <c r="A6242" s="178">
        <v>117511</v>
      </c>
      <c r="B6242" s="179" t="s">
        <v>456</v>
      </c>
      <c r="C6242" s="180">
        <v>96</v>
      </c>
    </row>
    <row r="6243" spans="1:3" x14ac:dyDescent="0.25">
      <c r="A6243" s="178">
        <v>117561</v>
      </c>
      <c r="B6243" s="179" t="s">
        <v>456</v>
      </c>
      <c r="C6243" s="180">
        <v>115</v>
      </c>
    </row>
    <row r="6244" spans="1:3" x14ac:dyDescent="0.25">
      <c r="A6244" s="178">
        <v>117687</v>
      </c>
      <c r="B6244" s="179" t="s">
        <v>456</v>
      </c>
      <c r="C6244" s="180">
        <v>115</v>
      </c>
    </row>
    <row r="6245" spans="1:3" x14ac:dyDescent="0.25">
      <c r="A6245" s="178">
        <v>117711</v>
      </c>
      <c r="B6245" s="179" t="s">
        <v>456</v>
      </c>
      <c r="C6245" s="180">
        <v>30</v>
      </c>
    </row>
    <row r="6246" spans="1:3" x14ac:dyDescent="0.25">
      <c r="A6246" s="178">
        <v>117762</v>
      </c>
      <c r="B6246" s="179" t="s">
        <v>456</v>
      </c>
      <c r="C6246" s="180">
        <v>42</v>
      </c>
    </row>
    <row r="6247" spans="1:3" x14ac:dyDescent="0.25">
      <c r="A6247" s="178">
        <v>117831</v>
      </c>
      <c r="B6247" s="179" t="s">
        <v>456</v>
      </c>
      <c r="C6247" s="180">
        <v>135</v>
      </c>
    </row>
    <row r="6248" spans="1:3" x14ac:dyDescent="0.25">
      <c r="A6248" s="178">
        <v>117841</v>
      </c>
      <c r="B6248" s="179" t="s">
        <v>456</v>
      </c>
      <c r="C6248" s="180">
        <v>63</v>
      </c>
    </row>
    <row r="6249" spans="1:3" x14ac:dyDescent="0.25">
      <c r="A6249" s="178">
        <v>117842</v>
      </c>
      <c r="B6249" s="179" t="s">
        <v>456</v>
      </c>
      <c r="C6249" s="180">
        <v>63</v>
      </c>
    </row>
    <row r="6250" spans="1:3" x14ac:dyDescent="0.25">
      <c r="A6250" s="178">
        <v>117854</v>
      </c>
      <c r="B6250" s="179" t="s">
        <v>456</v>
      </c>
      <c r="C6250" s="180">
        <v>126</v>
      </c>
    </row>
    <row r="6251" spans="1:3" x14ac:dyDescent="0.25">
      <c r="A6251" s="178">
        <v>117931</v>
      </c>
      <c r="B6251" s="179" t="s">
        <v>456</v>
      </c>
      <c r="C6251" s="180">
        <v>95</v>
      </c>
    </row>
    <row r="6252" spans="1:3" x14ac:dyDescent="0.25">
      <c r="A6252" s="178">
        <v>117991</v>
      </c>
      <c r="B6252" s="179" t="s">
        <v>456</v>
      </c>
      <c r="C6252" s="180">
        <v>192</v>
      </c>
    </row>
    <row r="6253" spans="1:3" x14ac:dyDescent="0.25">
      <c r="A6253" s="178">
        <v>117993</v>
      </c>
      <c r="B6253" s="179" t="s">
        <v>456</v>
      </c>
      <c r="C6253" s="180">
        <v>192</v>
      </c>
    </row>
    <row r="6254" spans="1:3" x14ac:dyDescent="0.25">
      <c r="A6254" s="178">
        <v>118002</v>
      </c>
      <c r="B6254" s="179" t="s">
        <v>456</v>
      </c>
      <c r="C6254" s="180">
        <v>70</v>
      </c>
    </row>
    <row r="6255" spans="1:3" x14ac:dyDescent="0.25">
      <c r="A6255" s="178">
        <v>118031</v>
      </c>
      <c r="B6255" s="179" t="s">
        <v>456</v>
      </c>
      <c r="C6255" s="180">
        <v>115</v>
      </c>
    </row>
    <row r="6256" spans="1:3" x14ac:dyDescent="0.25">
      <c r="A6256" s="178">
        <v>118039</v>
      </c>
      <c r="B6256" s="179" t="s">
        <v>456</v>
      </c>
      <c r="C6256" s="180">
        <v>120</v>
      </c>
    </row>
    <row r="6257" spans="1:3" x14ac:dyDescent="0.25">
      <c r="A6257" s="178">
        <v>118072</v>
      </c>
      <c r="B6257" s="179" t="s">
        <v>456</v>
      </c>
      <c r="C6257" s="180">
        <v>72</v>
      </c>
    </row>
    <row r="6258" spans="1:3" x14ac:dyDescent="0.25">
      <c r="A6258" s="178">
        <v>118074</v>
      </c>
      <c r="B6258" s="179" t="s">
        <v>456</v>
      </c>
      <c r="C6258" s="180">
        <v>180</v>
      </c>
    </row>
    <row r="6259" spans="1:3" x14ac:dyDescent="0.25">
      <c r="A6259" s="178">
        <v>118075</v>
      </c>
      <c r="B6259" s="179" t="s">
        <v>456</v>
      </c>
      <c r="C6259" s="180">
        <v>180</v>
      </c>
    </row>
    <row r="6260" spans="1:3" x14ac:dyDescent="0.25">
      <c r="A6260" s="178">
        <v>118091</v>
      </c>
      <c r="B6260" s="179" t="s">
        <v>456</v>
      </c>
      <c r="C6260" s="180">
        <v>270</v>
      </c>
    </row>
    <row r="6261" spans="1:3" x14ac:dyDescent="0.25">
      <c r="A6261" s="178">
        <v>118122</v>
      </c>
      <c r="B6261" s="179" t="s">
        <v>456</v>
      </c>
      <c r="C6261" s="180">
        <v>32</v>
      </c>
    </row>
    <row r="6262" spans="1:3" x14ac:dyDescent="0.25">
      <c r="A6262" s="178">
        <v>118123</v>
      </c>
      <c r="B6262" s="179" t="s">
        <v>456</v>
      </c>
      <c r="C6262" s="180">
        <v>32</v>
      </c>
    </row>
    <row r="6263" spans="1:3" x14ac:dyDescent="0.25">
      <c r="A6263" s="178">
        <v>118131</v>
      </c>
      <c r="B6263" s="179" t="s">
        <v>456</v>
      </c>
      <c r="C6263" s="180">
        <v>49</v>
      </c>
    </row>
    <row r="6264" spans="1:3" x14ac:dyDescent="0.25">
      <c r="A6264" s="178">
        <v>118147</v>
      </c>
      <c r="B6264" s="179" t="s">
        <v>456</v>
      </c>
      <c r="C6264" s="180">
        <v>204</v>
      </c>
    </row>
    <row r="6265" spans="1:3" x14ac:dyDescent="0.25">
      <c r="A6265" s="178">
        <v>118162</v>
      </c>
      <c r="B6265" s="179" t="s">
        <v>456</v>
      </c>
      <c r="C6265" s="180">
        <v>30</v>
      </c>
    </row>
    <row r="6266" spans="1:3" x14ac:dyDescent="0.25">
      <c r="A6266" s="178">
        <v>118221</v>
      </c>
      <c r="B6266" s="179" t="s">
        <v>456</v>
      </c>
      <c r="C6266" s="180">
        <v>63</v>
      </c>
    </row>
    <row r="6267" spans="1:3" x14ac:dyDescent="0.25">
      <c r="A6267" s="178">
        <v>118222</v>
      </c>
      <c r="B6267" s="179" t="s">
        <v>456</v>
      </c>
      <c r="C6267" s="180">
        <v>63</v>
      </c>
    </row>
    <row r="6268" spans="1:3" x14ac:dyDescent="0.25">
      <c r="A6268" s="178">
        <v>118262</v>
      </c>
      <c r="B6268" s="179" t="s">
        <v>456</v>
      </c>
      <c r="C6268" s="180">
        <v>204</v>
      </c>
    </row>
    <row r="6269" spans="1:3" x14ac:dyDescent="0.25">
      <c r="A6269" s="178">
        <v>118294</v>
      </c>
      <c r="B6269" s="179" t="s">
        <v>456</v>
      </c>
      <c r="C6269" s="180">
        <v>30</v>
      </c>
    </row>
    <row r="6270" spans="1:3" x14ac:dyDescent="0.25">
      <c r="A6270" s="178">
        <v>118313</v>
      </c>
      <c r="B6270" s="179" t="s">
        <v>456</v>
      </c>
      <c r="C6270" s="180">
        <v>115</v>
      </c>
    </row>
    <row r="6271" spans="1:3" x14ac:dyDescent="0.25">
      <c r="A6271" s="178">
        <v>118376</v>
      </c>
      <c r="B6271" s="179" t="s">
        <v>456</v>
      </c>
      <c r="C6271" s="180">
        <v>160</v>
      </c>
    </row>
    <row r="6272" spans="1:3" x14ac:dyDescent="0.25">
      <c r="A6272" s="178">
        <v>118377</v>
      </c>
      <c r="B6272" s="179" t="s">
        <v>456</v>
      </c>
      <c r="C6272" s="180">
        <v>42</v>
      </c>
    </row>
    <row r="6273" spans="1:3" x14ac:dyDescent="0.25">
      <c r="A6273" s="178">
        <v>118381</v>
      </c>
      <c r="B6273" s="179" t="s">
        <v>456</v>
      </c>
      <c r="C6273" s="180">
        <v>70</v>
      </c>
    </row>
    <row r="6274" spans="1:3" x14ac:dyDescent="0.25">
      <c r="A6274" s="178">
        <v>118385</v>
      </c>
      <c r="B6274" s="179" t="s">
        <v>456</v>
      </c>
      <c r="C6274" s="180">
        <v>70</v>
      </c>
    </row>
    <row r="6275" spans="1:3" x14ac:dyDescent="0.25">
      <c r="A6275" s="178">
        <v>118400</v>
      </c>
      <c r="B6275" s="179" t="s">
        <v>456</v>
      </c>
      <c r="C6275" s="180">
        <v>70</v>
      </c>
    </row>
    <row r="6276" spans="1:3" x14ac:dyDescent="0.25">
      <c r="A6276" s="178">
        <v>118401</v>
      </c>
      <c r="B6276" s="179" t="s">
        <v>456</v>
      </c>
      <c r="C6276" s="180">
        <v>135</v>
      </c>
    </row>
    <row r="6277" spans="1:3" x14ac:dyDescent="0.25">
      <c r="A6277" s="178">
        <v>118402</v>
      </c>
      <c r="B6277" s="179" t="s">
        <v>456</v>
      </c>
      <c r="C6277" s="180">
        <v>135</v>
      </c>
    </row>
    <row r="6278" spans="1:3" x14ac:dyDescent="0.25">
      <c r="A6278" s="178">
        <v>118403</v>
      </c>
      <c r="B6278" s="179" t="s">
        <v>456</v>
      </c>
      <c r="C6278" s="180">
        <v>49</v>
      </c>
    </row>
    <row r="6279" spans="1:3" x14ac:dyDescent="0.25">
      <c r="A6279" s="178">
        <v>118421</v>
      </c>
      <c r="B6279" s="179" t="s">
        <v>456</v>
      </c>
      <c r="C6279" s="180">
        <v>70</v>
      </c>
    </row>
    <row r="6280" spans="1:3" x14ac:dyDescent="0.25">
      <c r="A6280" s="178">
        <v>118423</v>
      </c>
      <c r="B6280" s="179" t="s">
        <v>456</v>
      </c>
      <c r="C6280" s="180">
        <v>115</v>
      </c>
    </row>
    <row r="6281" spans="1:3" x14ac:dyDescent="0.25">
      <c r="A6281" s="178">
        <v>118431</v>
      </c>
      <c r="B6281" s="179" t="s">
        <v>456</v>
      </c>
      <c r="C6281" s="180">
        <v>231</v>
      </c>
    </row>
    <row r="6282" spans="1:3" x14ac:dyDescent="0.25">
      <c r="A6282" s="178">
        <v>118432</v>
      </c>
      <c r="B6282" s="179" t="s">
        <v>456</v>
      </c>
      <c r="C6282" s="180">
        <v>231</v>
      </c>
    </row>
    <row r="6283" spans="1:3" x14ac:dyDescent="0.25">
      <c r="A6283" s="178">
        <v>118433</v>
      </c>
      <c r="B6283" s="179" t="s">
        <v>456</v>
      </c>
      <c r="C6283" s="180">
        <v>231</v>
      </c>
    </row>
    <row r="6284" spans="1:3" x14ac:dyDescent="0.25">
      <c r="A6284" s="178">
        <v>118434</v>
      </c>
      <c r="B6284" s="179" t="s">
        <v>456</v>
      </c>
      <c r="C6284" s="180">
        <v>231</v>
      </c>
    </row>
    <row r="6285" spans="1:3" x14ac:dyDescent="0.25">
      <c r="A6285" s="178">
        <v>118435</v>
      </c>
      <c r="B6285" s="179" t="s">
        <v>456</v>
      </c>
      <c r="C6285" s="180">
        <v>231</v>
      </c>
    </row>
    <row r="6286" spans="1:3" x14ac:dyDescent="0.25">
      <c r="A6286" s="178">
        <v>118436</v>
      </c>
      <c r="B6286" s="179" t="s">
        <v>456</v>
      </c>
      <c r="C6286" s="180">
        <v>231</v>
      </c>
    </row>
    <row r="6287" spans="1:3" x14ac:dyDescent="0.25">
      <c r="A6287" s="178">
        <v>118437</v>
      </c>
      <c r="B6287" s="179" t="s">
        <v>456</v>
      </c>
      <c r="C6287" s="180">
        <v>231</v>
      </c>
    </row>
    <row r="6288" spans="1:3" x14ac:dyDescent="0.25">
      <c r="A6288" s="178">
        <v>118438</v>
      </c>
      <c r="B6288" s="179" t="s">
        <v>456</v>
      </c>
      <c r="C6288" s="180">
        <v>231</v>
      </c>
    </row>
    <row r="6289" spans="1:3" x14ac:dyDescent="0.25">
      <c r="A6289" s="178">
        <v>118439</v>
      </c>
      <c r="B6289" s="179" t="s">
        <v>456</v>
      </c>
      <c r="C6289" s="180">
        <v>231</v>
      </c>
    </row>
    <row r="6290" spans="1:3" x14ac:dyDescent="0.25">
      <c r="A6290" s="178">
        <v>118440</v>
      </c>
      <c r="B6290" s="179" t="s">
        <v>456</v>
      </c>
      <c r="C6290" s="180">
        <v>231</v>
      </c>
    </row>
    <row r="6291" spans="1:3" x14ac:dyDescent="0.25">
      <c r="A6291" s="178">
        <v>118441</v>
      </c>
      <c r="B6291" s="179" t="s">
        <v>456</v>
      </c>
      <c r="C6291" s="180">
        <v>231</v>
      </c>
    </row>
    <row r="6292" spans="1:3" x14ac:dyDescent="0.25">
      <c r="A6292" s="178">
        <v>118443</v>
      </c>
      <c r="B6292" s="179" t="s">
        <v>456</v>
      </c>
      <c r="C6292" s="180">
        <v>231</v>
      </c>
    </row>
    <row r="6293" spans="1:3" x14ac:dyDescent="0.25">
      <c r="A6293" s="178">
        <v>118444</v>
      </c>
      <c r="B6293" s="179" t="s">
        <v>456</v>
      </c>
      <c r="C6293" s="180">
        <v>231</v>
      </c>
    </row>
    <row r="6294" spans="1:3" x14ac:dyDescent="0.25">
      <c r="A6294" s="178">
        <v>118454</v>
      </c>
      <c r="B6294" s="179" t="s">
        <v>456</v>
      </c>
      <c r="C6294" s="180">
        <v>120</v>
      </c>
    </row>
    <row r="6295" spans="1:3" x14ac:dyDescent="0.25">
      <c r="A6295" s="178">
        <v>118471</v>
      </c>
      <c r="B6295" s="179" t="s">
        <v>456</v>
      </c>
      <c r="C6295" s="180">
        <v>35</v>
      </c>
    </row>
    <row r="6296" spans="1:3" x14ac:dyDescent="0.25">
      <c r="A6296" s="178">
        <v>118481</v>
      </c>
      <c r="B6296" s="179" t="s">
        <v>456</v>
      </c>
      <c r="C6296" s="180">
        <v>231</v>
      </c>
    </row>
    <row r="6297" spans="1:3" x14ac:dyDescent="0.25">
      <c r="A6297" s="178">
        <v>118482</v>
      </c>
      <c r="B6297" s="179" t="s">
        <v>456</v>
      </c>
      <c r="C6297" s="180">
        <v>231</v>
      </c>
    </row>
    <row r="6298" spans="1:3" x14ac:dyDescent="0.25">
      <c r="A6298" s="178">
        <v>118483</v>
      </c>
      <c r="B6298" s="179" t="s">
        <v>456</v>
      </c>
      <c r="C6298" s="180">
        <v>231</v>
      </c>
    </row>
    <row r="6299" spans="1:3" x14ac:dyDescent="0.25">
      <c r="A6299" s="178">
        <v>118484</v>
      </c>
      <c r="B6299" s="179" t="s">
        <v>456</v>
      </c>
      <c r="C6299" s="180">
        <v>231</v>
      </c>
    </row>
    <row r="6300" spans="1:3" x14ac:dyDescent="0.25">
      <c r="A6300" s="178">
        <v>118485</v>
      </c>
      <c r="B6300" s="179" t="s">
        <v>456</v>
      </c>
      <c r="C6300" s="180">
        <v>231</v>
      </c>
    </row>
    <row r="6301" spans="1:3" x14ac:dyDescent="0.25">
      <c r="A6301" s="178">
        <v>118486</v>
      </c>
      <c r="B6301" s="179" t="s">
        <v>456</v>
      </c>
      <c r="C6301" s="180">
        <v>231</v>
      </c>
    </row>
    <row r="6302" spans="1:3" x14ac:dyDescent="0.25">
      <c r="A6302" s="178">
        <v>118487</v>
      </c>
      <c r="B6302" s="179" t="s">
        <v>456</v>
      </c>
      <c r="C6302" s="180">
        <v>192</v>
      </c>
    </row>
    <row r="6303" spans="1:3" x14ac:dyDescent="0.25">
      <c r="A6303" s="178">
        <v>118488</v>
      </c>
      <c r="B6303" s="179" t="s">
        <v>456</v>
      </c>
      <c r="C6303" s="180">
        <v>192</v>
      </c>
    </row>
    <row r="6304" spans="1:3" x14ac:dyDescent="0.25">
      <c r="A6304" s="178">
        <v>118517</v>
      </c>
      <c r="B6304" s="179" t="s">
        <v>456</v>
      </c>
      <c r="C6304" s="180">
        <v>204</v>
      </c>
    </row>
    <row r="6305" spans="1:3" x14ac:dyDescent="0.25">
      <c r="A6305" s="178">
        <v>118518</v>
      </c>
      <c r="B6305" s="179" t="s">
        <v>456</v>
      </c>
      <c r="C6305" s="180">
        <v>135</v>
      </c>
    </row>
    <row r="6306" spans="1:3" x14ac:dyDescent="0.25">
      <c r="A6306" s="178">
        <v>118572</v>
      </c>
      <c r="B6306" s="179" t="s">
        <v>456</v>
      </c>
      <c r="C6306" s="180">
        <v>120</v>
      </c>
    </row>
    <row r="6307" spans="1:3" x14ac:dyDescent="0.25">
      <c r="A6307" s="178">
        <v>118573</v>
      </c>
      <c r="B6307" s="179" t="s">
        <v>456</v>
      </c>
      <c r="C6307" s="180">
        <v>120</v>
      </c>
    </row>
    <row r="6308" spans="1:3" x14ac:dyDescent="0.25">
      <c r="A6308" s="178">
        <v>118591</v>
      </c>
      <c r="B6308" s="179" t="s">
        <v>456</v>
      </c>
      <c r="C6308" s="180">
        <v>30</v>
      </c>
    </row>
    <row r="6309" spans="1:3" x14ac:dyDescent="0.25">
      <c r="A6309" s="178">
        <v>118597</v>
      </c>
      <c r="B6309" s="179" t="s">
        <v>456</v>
      </c>
      <c r="C6309" s="180">
        <v>6</v>
      </c>
    </row>
    <row r="6310" spans="1:3" x14ac:dyDescent="0.25">
      <c r="A6310" s="178">
        <v>118604</v>
      </c>
      <c r="B6310" s="179" t="s">
        <v>456</v>
      </c>
      <c r="C6310" s="180">
        <v>30</v>
      </c>
    </row>
    <row r="6311" spans="1:3" x14ac:dyDescent="0.25">
      <c r="A6311" s="178">
        <v>118612</v>
      </c>
      <c r="B6311" s="179" t="s">
        <v>456</v>
      </c>
      <c r="C6311" s="180">
        <v>45</v>
      </c>
    </row>
    <row r="6312" spans="1:3" x14ac:dyDescent="0.25">
      <c r="A6312" s="178">
        <v>118621</v>
      </c>
      <c r="B6312" s="179" t="s">
        <v>456</v>
      </c>
      <c r="C6312" s="180">
        <v>72</v>
      </c>
    </row>
    <row r="6313" spans="1:3" x14ac:dyDescent="0.25">
      <c r="A6313" s="178">
        <v>118626</v>
      </c>
      <c r="B6313" s="179" t="s">
        <v>456</v>
      </c>
      <c r="C6313" s="180">
        <v>36</v>
      </c>
    </row>
    <row r="6314" spans="1:3" x14ac:dyDescent="0.25">
      <c r="A6314" s="178">
        <v>118627</v>
      </c>
      <c r="B6314" s="179" t="s">
        <v>456</v>
      </c>
      <c r="C6314" s="180">
        <v>36</v>
      </c>
    </row>
    <row r="6315" spans="1:3" x14ac:dyDescent="0.25">
      <c r="A6315" s="178">
        <v>118628</v>
      </c>
      <c r="B6315" s="179" t="s">
        <v>456</v>
      </c>
      <c r="C6315" s="180">
        <v>36</v>
      </c>
    </row>
    <row r="6316" spans="1:3" x14ac:dyDescent="0.25">
      <c r="A6316" s="178">
        <v>118629</v>
      </c>
      <c r="B6316" s="179" t="s">
        <v>456</v>
      </c>
      <c r="C6316" s="180">
        <v>36</v>
      </c>
    </row>
    <row r="6317" spans="1:3" x14ac:dyDescent="0.25">
      <c r="A6317" s="178">
        <v>118631</v>
      </c>
      <c r="B6317" s="179" t="s">
        <v>456</v>
      </c>
      <c r="C6317" s="180">
        <v>36</v>
      </c>
    </row>
    <row r="6318" spans="1:3" x14ac:dyDescent="0.25">
      <c r="A6318" s="178">
        <v>118632</v>
      </c>
      <c r="B6318" s="179" t="s">
        <v>456</v>
      </c>
      <c r="C6318" s="180">
        <v>36</v>
      </c>
    </row>
    <row r="6319" spans="1:3" x14ac:dyDescent="0.25">
      <c r="A6319" s="178">
        <v>118633</v>
      </c>
      <c r="B6319" s="179" t="s">
        <v>456</v>
      </c>
      <c r="C6319" s="180">
        <v>36</v>
      </c>
    </row>
    <row r="6320" spans="1:3" x14ac:dyDescent="0.25">
      <c r="A6320" s="178">
        <v>118634</v>
      </c>
      <c r="B6320" s="179" t="s">
        <v>456</v>
      </c>
      <c r="C6320" s="180">
        <v>36</v>
      </c>
    </row>
    <row r="6321" spans="1:3" x14ac:dyDescent="0.25">
      <c r="A6321" s="178">
        <v>118635</v>
      </c>
      <c r="B6321" s="179" t="s">
        <v>456</v>
      </c>
      <c r="C6321" s="180">
        <v>36</v>
      </c>
    </row>
    <row r="6322" spans="1:3" x14ac:dyDescent="0.25">
      <c r="A6322" s="178">
        <v>118641</v>
      </c>
      <c r="B6322" s="179" t="s">
        <v>456</v>
      </c>
      <c r="C6322" s="180">
        <v>5</v>
      </c>
    </row>
    <row r="6323" spans="1:3" x14ac:dyDescent="0.25">
      <c r="A6323" s="178">
        <v>118647</v>
      </c>
      <c r="B6323" s="179" t="s">
        <v>456</v>
      </c>
      <c r="C6323" s="180">
        <v>36</v>
      </c>
    </row>
    <row r="6324" spans="1:3" x14ac:dyDescent="0.25">
      <c r="A6324" s="178">
        <v>118671</v>
      </c>
      <c r="B6324" s="179" t="s">
        <v>456</v>
      </c>
      <c r="C6324" s="180">
        <v>49</v>
      </c>
    </row>
    <row r="6325" spans="1:3" x14ac:dyDescent="0.25">
      <c r="A6325" s="178">
        <v>118672</v>
      </c>
      <c r="B6325" s="179" t="s">
        <v>456</v>
      </c>
      <c r="C6325" s="180">
        <v>49</v>
      </c>
    </row>
    <row r="6326" spans="1:3" x14ac:dyDescent="0.25">
      <c r="A6326" s="178">
        <v>118682</v>
      </c>
      <c r="B6326" s="179" t="s">
        <v>456</v>
      </c>
      <c r="C6326" s="180">
        <v>30</v>
      </c>
    </row>
    <row r="6327" spans="1:3" x14ac:dyDescent="0.25">
      <c r="A6327" s="178">
        <v>118721</v>
      </c>
      <c r="B6327" s="179" t="s">
        <v>456</v>
      </c>
      <c r="C6327" s="180">
        <v>230</v>
      </c>
    </row>
    <row r="6328" spans="1:3" x14ac:dyDescent="0.25">
      <c r="A6328" s="178">
        <v>118771</v>
      </c>
      <c r="B6328" s="179" t="s">
        <v>456</v>
      </c>
      <c r="C6328" s="180">
        <v>56</v>
      </c>
    </row>
    <row r="6329" spans="1:3" x14ac:dyDescent="0.25">
      <c r="A6329" s="178">
        <v>118791</v>
      </c>
      <c r="B6329" s="179" t="s">
        <v>456</v>
      </c>
      <c r="C6329" s="180">
        <v>49</v>
      </c>
    </row>
    <row r="6330" spans="1:3" x14ac:dyDescent="0.25">
      <c r="A6330" s="178">
        <v>118792</v>
      </c>
      <c r="B6330" s="179" t="s">
        <v>456</v>
      </c>
      <c r="C6330" s="180">
        <v>70</v>
      </c>
    </row>
    <row r="6331" spans="1:3" x14ac:dyDescent="0.25">
      <c r="A6331" s="178">
        <v>118793</v>
      </c>
      <c r="B6331" s="179" t="s">
        <v>456</v>
      </c>
      <c r="C6331" s="180">
        <v>70</v>
      </c>
    </row>
    <row r="6332" spans="1:3" x14ac:dyDescent="0.25">
      <c r="A6332" s="178">
        <v>118794</v>
      </c>
      <c r="B6332" s="179" t="s">
        <v>456</v>
      </c>
      <c r="C6332" s="180">
        <v>70</v>
      </c>
    </row>
    <row r="6333" spans="1:3" x14ac:dyDescent="0.25">
      <c r="A6333" s="178">
        <v>118795</v>
      </c>
      <c r="B6333" s="179" t="s">
        <v>456</v>
      </c>
      <c r="C6333" s="180">
        <v>70</v>
      </c>
    </row>
    <row r="6334" spans="1:3" x14ac:dyDescent="0.25">
      <c r="A6334" s="178">
        <v>118821</v>
      </c>
      <c r="B6334" s="179" t="s">
        <v>456</v>
      </c>
      <c r="C6334" s="180">
        <v>231</v>
      </c>
    </row>
    <row r="6335" spans="1:3" x14ac:dyDescent="0.25">
      <c r="A6335" s="178">
        <v>118836</v>
      </c>
      <c r="B6335" s="179" t="s">
        <v>456</v>
      </c>
      <c r="C6335" s="180">
        <v>3</v>
      </c>
    </row>
    <row r="6336" spans="1:3" x14ac:dyDescent="0.25">
      <c r="A6336" s="178">
        <v>118863</v>
      </c>
      <c r="B6336" s="179" t="s">
        <v>456</v>
      </c>
      <c r="C6336" s="180">
        <v>3</v>
      </c>
    </row>
    <row r="6337" spans="1:3" x14ac:dyDescent="0.25">
      <c r="A6337" s="178">
        <v>118881</v>
      </c>
      <c r="B6337" s="179" t="s">
        <v>456</v>
      </c>
      <c r="C6337" s="180">
        <v>176</v>
      </c>
    </row>
    <row r="6338" spans="1:3" x14ac:dyDescent="0.25">
      <c r="A6338" s="178">
        <v>118882</v>
      </c>
      <c r="B6338" s="179" t="s">
        <v>456</v>
      </c>
      <c r="C6338" s="180">
        <v>60</v>
      </c>
    </row>
    <row r="6339" spans="1:3" x14ac:dyDescent="0.25">
      <c r="A6339" s="178">
        <v>118899</v>
      </c>
      <c r="B6339" s="179" t="s">
        <v>456</v>
      </c>
      <c r="C6339" s="180">
        <v>2</v>
      </c>
    </row>
    <row r="6340" spans="1:3" x14ac:dyDescent="0.25">
      <c r="A6340" s="178">
        <v>118942</v>
      </c>
      <c r="B6340" s="179" t="s">
        <v>456</v>
      </c>
      <c r="C6340" s="180">
        <v>2</v>
      </c>
    </row>
    <row r="6341" spans="1:3" x14ac:dyDescent="0.25">
      <c r="A6341" s="178">
        <v>118945</v>
      </c>
      <c r="B6341" s="179" t="s">
        <v>456</v>
      </c>
      <c r="C6341" s="180">
        <v>30</v>
      </c>
    </row>
    <row r="6342" spans="1:3" x14ac:dyDescent="0.25">
      <c r="A6342" s="178">
        <v>119002</v>
      </c>
      <c r="B6342" s="179" t="s">
        <v>456</v>
      </c>
      <c r="C6342" s="180">
        <v>3</v>
      </c>
    </row>
    <row r="6343" spans="1:3" x14ac:dyDescent="0.25">
      <c r="A6343" s="178">
        <v>119012</v>
      </c>
      <c r="B6343" s="179" t="s">
        <v>456</v>
      </c>
      <c r="C6343" s="180">
        <v>3</v>
      </c>
    </row>
    <row r="6344" spans="1:3" x14ac:dyDescent="0.25">
      <c r="A6344" s="178">
        <v>119021</v>
      </c>
      <c r="B6344" s="179" t="s">
        <v>456</v>
      </c>
      <c r="C6344" s="180">
        <v>6</v>
      </c>
    </row>
    <row r="6345" spans="1:3" x14ac:dyDescent="0.25">
      <c r="A6345" s="178">
        <v>119041</v>
      </c>
      <c r="B6345" s="179" t="s">
        <v>456</v>
      </c>
      <c r="C6345" s="180">
        <v>800</v>
      </c>
    </row>
    <row r="6346" spans="1:3" x14ac:dyDescent="0.25">
      <c r="A6346" s="178">
        <v>119072</v>
      </c>
      <c r="B6346" s="179" t="s">
        <v>456</v>
      </c>
      <c r="C6346" s="180">
        <v>2</v>
      </c>
    </row>
    <row r="6347" spans="1:3" x14ac:dyDescent="0.25">
      <c r="A6347" s="178">
        <v>119092</v>
      </c>
      <c r="B6347" s="179" t="s">
        <v>456</v>
      </c>
      <c r="C6347" s="180">
        <v>6</v>
      </c>
    </row>
    <row r="6348" spans="1:3" x14ac:dyDescent="0.25">
      <c r="A6348" s="178">
        <v>119093</v>
      </c>
      <c r="B6348" s="179" t="s">
        <v>456</v>
      </c>
      <c r="C6348" s="180">
        <v>6</v>
      </c>
    </row>
    <row r="6349" spans="1:3" x14ac:dyDescent="0.25">
      <c r="A6349" s="178">
        <v>119132</v>
      </c>
      <c r="B6349" s="179" t="s">
        <v>456</v>
      </c>
      <c r="C6349" s="180">
        <v>95</v>
      </c>
    </row>
    <row r="6350" spans="1:3" x14ac:dyDescent="0.25">
      <c r="A6350" s="178">
        <v>119344</v>
      </c>
      <c r="B6350" s="179" t="s">
        <v>456</v>
      </c>
      <c r="C6350" s="180">
        <v>700</v>
      </c>
    </row>
    <row r="6351" spans="1:3" x14ac:dyDescent="0.25">
      <c r="A6351" s="178">
        <v>119425</v>
      </c>
      <c r="B6351" s="179" t="s">
        <v>456</v>
      </c>
      <c r="C6351" s="180">
        <v>176</v>
      </c>
    </row>
    <row r="6352" spans="1:3" x14ac:dyDescent="0.25">
      <c r="A6352" s="178">
        <v>119431</v>
      </c>
      <c r="B6352" s="179" t="s">
        <v>456</v>
      </c>
      <c r="C6352" s="180">
        <v>115</v>
      </c>
    </row>
    <row r="6353" spans="1:3" x14ac:dyDescent="0.25">
      <c r="A6353" s="178">
        <v>119432</v>
      </c>
      <c r="B6353" s="179" t="s">
        <v>456</v>
      </c>
      <c r="C6353" s="180">
        <v>115</v>
      </c>
    </row>
    <row r="6354" spans="1:3" x14ac:dyDescent="0.25">
      <c r="A6354" s="178">
        <v>119441</v>
      </c>
      <c r="B6354" s="179" t="s">
        <v>456</v>
      </c>
      <c r="C6354" s="180">
        <v>120</v>
      </c>
    </row>
    <row r="6355" spans="1:3" x14ac:dyDescent="0.25">
      <c r="A6355" s="178">
        <v>119442</v>
      </c>
      <c r="B6355" s="179" t="s">
        <v>456</v>
      </c>
      <c r="C6355" s="180">
        <v>120</v>
      </c>
    </row>
    <row r="6356" spans="1:3" x14ac:dyDescent="0.25">
      <c r="A6356" s="178">
        <v>119461</v>
      </c>
      <c r="B6356" s="179" t="s">
        <v>456</v>
      </c>
      <c r="C6356" s="180">
        <v>30</v>
      </c>
    </row>
    <row r="6357" spans="1:3" x14ac:dyDescent="0.25">
      <c r="A6357" s="178">
        <v>119464</v>
      </c>
      <c r="B6357" s="179" t="s">
        <v>456</v>
      </c>
      <c r="C6357" s="180">
        <v>30</v>
      </c>
    </row>
    <row r="6358" spans="1:3" x14ac:dyDescent="0.25">
      <c r="A6358" s="178">
        <v>119466</v>
      </c>
      <c r="B6358" s="179" t="s">
        <v>456</v>
      </c>
      <c r="C6358" s="180">
        <v>30</v>
      </c>
    </row>
    <row r="6359" spans="1:3" x14ac:dyDescent="0.25">
      <c r="A6359" s="178">
        <v>119471</v>
      </c>
      <c r="B6359" s="179" t="s">
        <v>456</v>
      </c>
      <c r="C6359" s="180">
        <v>60</v>
      </c>
    </row>
    <row r="6360" spans="1:3" x14ac:dyDescent="0.25">
      <c r="A6360" s="178">
        <v>119472</v>
      </c>
      <c r="B6360" s="179" t="s">
        <v>456</v>
      </c>
      <c r="C6360" s="180">
        <v>56</v>
      </c>
    </row>
    <row r="6361" spans="1:3" x14ac:dyDescent="0.25">
      <c r="A6361" s="178">
        <v>119502</v>
      </c>
      <c r="B6361" s="179" t="s">
        <v>456</v>
      </c>
      <c r="C6361" s="180">
        <v>84</v>
      </c>
    </row>
    <row r="6362" spans="1:3" x14ac:dyDescent="0.25">
      <c r="A6362" s="178">
        <v>119503</v>
      </c>
      <c r="B6362" s="179" t="s">
        <v>456</v>
      </c>
      <c r="C6362" s="180">
        <v>84</v>
      </c>
    </row>
    <row r="6363" spans="1:3" x14ac:dyDescent="0.25">
      <c r="A6363" s="178">
        <v>119504</v>
      </c>
      <c r="B6363" s="179" t="s">
        <v>456</v>
      </c>
      <c r="C6363" s="180">
        <v>96</v>
      </c>
    </row>
    <row r="6364" spans="1:3" x14ac:dyDescent="0.25">
      <c r="A6364" s="178">
        <v>119505</v>
      </c>
      <c r="B6364" s="179" t="s">
        <v>456</v>
      </c>
      <c r="C6364" s="180">
        <v>84</v>
      </c>
    </row>
    <row r="6365" spans="1:3" x14ac:dyDescent="0.25">
      <c r="A6365" s="178">
        <v>119506</v>
      </c>
      <c r="B6365" s="179" t="s">
        <v>456</v>
      </c>
      <c r="C6365" s="180">
        <v>84</v>
      </c>
    </row>
    <row r="6366" spans="1:3" x14ac:dyDescent="0.25">
      <c r="A6366" s="178">
        <v>119507</v>
      </c>
      <c r="B6366" s="179" t="s">
        <v>456</v>
      </c>
      <c r="C6366" s="180">
        <v>84</v>
      </c>
    </row>
    <row r="6367" spans="1:3" x14ac:dyDescent="0.25">
      <c r="A6367" s="178">
        <v>119508</v>
      </c>
      <c r="B6367" s="179" t="s">
        <v>456</v>
      </c>
      <c r="C6367" s="180">
        <v>84</v>
      </c>
    </row>
    <row r="6368" spans="1:3" x14ac:dyDescent="0.25">
      <c r="A6368" s="178">
        <v>119509</v>
      </c>
      <c r="B6368" s="179" t="s">
        <v>456</v>
      </c>
      <c r="C6368" s="180">
        <v>84</v>
      </c>
    </row>
    <row r="6369" spans="1:3" x14ac:dyDescent="0.25">
      <c r="A6369" s="178">
        <v>119510</v>
      </c>
      <c r="B6369" s="179" t="s">
        <v>456</v>
      </c>
      <c r="C6369" s="180">
        <v>72</v>
      </c>
    </row>
    <row r="6370" spans="1:3" x14ac:dyDescent="0.25">
      <c r="A6370" s="178">
        <v>119511</v>
      </c>
      <c r="B6370" s="179" t="s">
        <v>456</v>
      </c>
      <c r="C6370" s="180">
        <v>72</v>
      </c>
    </row>
    <row r="6371" spans="1:3" x14ac:dyDescent="0.25">
      <c r="A6371" s="178">
        <v>119512</v>
      </c>
      <c r="B6371" s="179" t="s">
        <v>456</v>
      </c>
      <c r="C6371" s="180">
        <v>72</v>
      </c>
    </row>
    <row r="6372" spans="1:3" x14ac:dyDescent="0.25">
      <c r="A6372" s="178">
        <v>119521</v>
      </c>
      <c r="B6372" s="179" t="s">
        <v>456</v>
      </c>
      <c r="C6372" s="180">
        <v>204</v>
      </c>
    </row>
    <row r="6373" spans="1:3" x14ac:dyDescent="0.25">
      <c r="A6373" s="178">
        <v>119542</v>
      </c>
      <c r="B6373" s="179" t="s">
        <v>456</v>
      </c>
      <c r="C6373" s="180">
        <v>276</v>
      </c>
    </row>
    <row r="6374" spans="1:3" x14ac:dyDescent="0.25">
      <c r="A6374" s="178">
        <v>119561</v>
      </c>
      <c r="B6374" s="179" t="s">
        <v>456</v>
      </c>
      <c r="C6374" s="180">
        <v>91</v>
      </c>
    </row>
    <row r="6375" spans="1:3" x14ac:dyDescent="0.25">
      <c r="A6375" s="178">
        <v>119562</v>
      </c>
      <c r="B6375" s="179" t="s">
        <v>456</v>
      </c>
      <c r="C6375" s="180">
        <v>63</v>
      </c>
    </row>
    <row r="6376" spans="1:3" x14ac:dyDescent="0.25">
      <c r="A6376" s="178">
        <v>119563</v>
      </c>
      <c r="B6376" s="179" t="s">
        <v>456</v>
      </c>
      <c r="C6376" s="180">
        <v>63</v>
      </c>
    </row>
    <row r="6377" spans="1:3" x14ac:dyDescent="0.25">
      <c r="A6377" s="178">
        <v>119631</v>
      </c>
      <c r="B6377" s="179" t="s">
        <v>456</v>
      </c>
      <c r="C6377" s="180">
        <v>30</v>
      </c>
    </row>
    <row r="6378" spans="1:3" x14ac:dyDescent="0.25">
      <c r="A6378" s="178">
        <v>119667</v>
      </c>
      <c r="B6378" s="179" t="s">
        <v>456</v>
      </c>
      <c r="C6378" s="180">
        <v>204</v>
      </c>
    </row>
    <row r="6379" spans="1:3" x14ac:dyDescent="0.25">
      <c r="A6379" s="178">
        <v>119668</v>
      </c>
      <c r="B6379" s="179" t="s">
        <v>456</v>
      </c>
      <c r="C6379" s="180">
        <v>204</v>
      </c>
    </row>
    <row r="6380" spans="1:3" x14ac:dyDescent="0.25">
      <c r="A6380" s="178">
        <v>119691</v>
      </c>
      <c r="B6380" s="179" t="s">
        <v>456</v>
      </c>
      <c r="C6380" s="180">
        <v>115</v>
      </c>
    </row>
    <row r="6381" spans="1:3" x14ac:dyDescent="0.25">
      <c r="A6381" s="178">
        <v>119692</v>
      </c>
      <c r="B6381" s="179" t="s">
        <v>456</v>
      </c>
      <c r="C6381" s="180">
        <v>135</v>
      </c>
    </row>
    <row r="6382" spans="1:3" x14ac:dyDescent="0.25">
      <c r="A6382" s="178">
        <v>119695</v>
      </c>
      <c r="B6382" s="179" t="s">
        <v>456</v>
      </c>
      <c r="C6382" s="180">
        <v>135</v>
      </c>
    </row>
    <row r="6383" spans="1:3" x14ac:dyDescent="0.25">
      <c r="A6383" s="178">
        <v>119697</v>
      </c>
      <c r="B6383" s="179" t="s">
        <v>456</v>
      </c>
      <c r="C6383" s="180">
        <v>80</v>
      </c>
    </row>
    <row r="6384" spans="1:3" x14ac:dyDescent="0.25">
      <c r="A6384" s="178">
        <v>119698</v>
      </c>
      <c r="B6384" s="179" t="s">
        <v>456</v>
      </c>
      <c r="C6384" s="180">
        <v>80</v>
      </c>
    </row>
    <row r="6385" spans="1:3" x14ac:dyDescent="0.25">
      <c r="A6385" s="178">
        <v>119725</v>
      </c>
      <c r="B6385" s="179" t="s">
        <v>456</v>
      </c>
      <c r="C6385" s="180">
        <v>95</v>
      </c>
    </row>
    <row r="6386" spans="1:3" x14ac:dyDescent="0.25">
      <c r="A6386" s="178">
        <v>119731</v>
      </c>
      <c r="B6386" s="179" t="s">
        <v>456</v>
      </c>
      <c r="C6386" s="180">
        <v>49</v>
      </c>
    </row>
    <row r="6387" spans="1:3" x14ac:dyDescent="0.25">
      <c r="A6387" s="178">
        <v>119751</v>
      </c>
      <c r="B6387" s="179" t="s">
        <v>456</v>
      </c>
      <c r="C6387" s="180">
        <v>54</v>
      </c>
    </row>
    <row r="6388" spans="1:3" x14ac:dyDescent="0.25">
      <c r="A6388" s="178">
        <v>119805</v>
      </c>
      <c r="B6388" s="179" t="s">
        <v>456</v>
      </c>
      <c r="C6388" s="180">
        <v>70</v>
      </c>
    </row>
    <row r="6389" spans="1:3" x14ac:dyDescent="0.25">
      <c r="A6389" s="178">
        <v>119806</v>
      </c>
      <c r="B6389" s="179" t="s">
        <v>456</v>
      </c>
      <c r="C6389" s="180">
        <v>70</v>
      </c>
    </row>
    <row r="6390" spans="1:3" x14ac:dyDescent="0.25">
      <c r="A6390" s="178">
        <v>119808</v>
      </c>
      <c r="B6390" s="179" t="s">
        <v>456</v>
      </c>
      <c r="C6390" s="180">
        <v>115</v>
      </c>
    </row>
    <row r="6391" spans="1:3" x14ac:dyDescent="0.25">
      <c r="A6391" s="178">
        <v>119810</v>
      </c>
      <c r="B6391" s="179" t="s">
        <v>456</v>
      </c>
      <c r="C6391" s="180">
        <v>70</v>
      </c>
    </row>
    <row r="6392" spans="1:3" x14ac:dyDescent="0.25">
      <c r="A6392" s="178">
        <v>119856</v>
      </c>
      <c r="B6392" s="179" t="s">
        <v>456</v>
      </c>
      <c r="C6392" s="180">
        <v>180</v>
      </c>
    </row>
    <row r="6393" spans="1:3" x14ac:dyDescent="0.25">
      <c r="A6393" s="178">
        <v>119859</v>
      </c>
      <c r="B6393" s="179" t="s">
        <v>456</v>
      </c>
      <c r="C6393" s="180">
        <v>160</v>
      </c>
    </row>
    <row r="6394" spans="1:3" x14ac:dyDescent="0.25">
      <c r="A6394" s="178">
        <v>119874</v>
      </c>
      <c r="B6394" s="179" t="s">
        <v>456</v>
      </c>
      <c r="C6394" s="180">
        <v>176</v>
      </c>
    </row>
    <row r="6395" spans="1:3" x14ac:dyDescent="0.25">
      <c r="A6395" s="178">
        <v>119876</v>
      </c>
      <c r="B6395" s="179" t="s">
        <v>456</v>
      </c>
      <c r="C6395" s="180">
        <v>96</v>
      </c>
    </row>
    <row r="6396" spans="1:3" x14ac:dyDescent="0.25">
      <c r="A6396" s="178">
        <v>119877</v>
      </c>
      <c r="B6396" s="179" t="s">
        <v>456</v>
      </c>
      <c r="C6396" s="180">
        <v>135</v>
      </c>
    </row>
    <row r="6397" spans="1:3" x14ac:dyDescent="0.25">
      <c r="A6397" s="178">
        <v>119881</v>
      </c>
      <c r="B6397" s="179" t="s">
        <v>456</v>
      </c>
      <c r="C6397" s="180">
        <v>54</v>
      </c>
    </row>
    <row r="6398" spans="1:3" x14ac:dyDescent="0.25">
      <c r="A6398" s="178">
        <v>119901</v>
      </c>
      <c r="B6398" s="179" t="s">
        <v>456</v>
      </c>
      <c r="C6398" s="180">
        <v>2</v>
      </c>
    </row>
    <row r="6399" spans="1:3" x14ac:dyDescent="0.25">
      <c r="A6399" s="178">
        <v>119913</v>
      </c>
      <c r="B6399" s="179" t="s">
        <v>456</v>
      </c>
      <c r="C6399" s="180">
        <v>2</v>
      </c>
    </row>
    <row r="6400" spans="1:3" x14ac:dyDescent="0.25">
      <c r="A6400" s="178">
        <v>119931</v>
      </c>
      <c r="B6400" s="179" t="s">
        <v>456</v>
      </c>
      <c r="C6400" s="180">
        <v>6</v>
      </c>
    </row>
    <row r="6401" spans="1:3" x14ac:dyDescent="0.25">
      <c r="A6401" s="178">
        <v>119941</v>
      </c>
      <c r="B6401" s="179" t="s">
        <v>456</v>
      </c>
      <c r="C6401" s="180">
        <v>196</v>
      </c>
    </row>
    <row r="6402" spans="1:3" x14ac:dyDescent="0.25">
      <c r="A6402" s="178">
        <v>119942</v>
      </c>
      <c r="B6402" s="179" t="s">
        <v>456</v>
      </c>
      <c r="C6402" s="180">
        <v>196</v>
      </c>
    </row>
    <row r="6403" spans="1:3" x14ac:dyDescent="0.25">
      <c r="A6403" s="178">
        <v>119943</v>
      </c>
      <c r="B6403" s="179" t="s">
        <v>456</v>
      </c>
      <c r="C6403" s="180">
        <v>196</v>
      </c>
    </row>
    <row r="6404" spans="1:3" x14ac:dyDescent="0.25">
      <c r="A6404" s="178">
        <v>119944</v>
      </c>
      <c r="B6404" s="179" t="s">
        <v>456</v>
      </c>
      <c r="C6404" s="180">
        <v>196</v>
      </c>
    </row>
    <row r="6405" spans="1:3" x14ac:dyDescent="0.25">
      <c r="A6405" s="178">
        <v>119945</v>
      </c>
      <c r="B6405" s="179" t="s">
        <v>456</v>
      </c>
      <c r="C6405" s="180">
        <v>196</v>
      </c>
    </row>
    <row r="6406" spans="1:3" x14ac:dyDescent="0.25">
      <c r="A6406" s="178">
        <v>120002</v>
      </c>
      <c r="B6406" s="179" t="s">
        <v>456</v>
      </c>
      <c r="C6406" s="180">
        <v>115</v>
      </c>
    </row>
    <row r="6407" spans="1:3" x14ac:dyDescent="0.25">
      <c r="A6407" s="178">
        <v>120041</v>
      </c>
      <c r="B6407" s="179" t="s">
        <v>456</v>
      </c>
      <c r="C6407" s="180">
        <v>64</v>
      </c>
    </row>
    <row r="6408" spans="1:3" x14ac:dyDescent="0.25">
      <c r="A6408" s="178">
        <v>120042</v>
      </c>
      <c r="B6408" s="179" t="s">
        <v>456</v>
      </c>
      <c r="C6408" s="180">
        <v>135</v>
      </c>
    </row>
    <row r="6409" spans="1:3" x14ac:dyDescent="0.25">
      <c r="A6409" s="178">
        <v>120043</v>
      </c>
      <c r="B6409" s="179" t="s">
        <v>456</v>
      </c>
      <c r="C6409" s="180">
        <v>135</v>
      </c>
    </row>
    <row r="6410" spans="1:3" x14ac:dyDescent="0.25">
      <c r="A6410" s="178">
        <v>120044</v>
      </c>
      <c r="B6410" s="179" t="s">
        <v>456</v>
      </c>
      <c r="C6410" s="180">
        <v>60</v>
      </c>
    </row>
    <row r="6411" spans="1:3" x14ac:dyDescent="0.25">
      <c r="A6411" s="178">
        <v>120045</v>
      </c>
      <c r="B6411" s="179" t="s">
        <v>456</v>
      </c>
      <c r="C6411" s="180">
        <v>115</v>
      </c>
    </row>
    <row r="6412" spans="1:3" x14ac:dyDescent="0.25">
      <c r="A6412" s="178">
        <v>120046</v>
      </c>
      <c r="B6412" s="179" t="s">
        <v>456</v>
      </c>
      <c r="C6412" s="180">
        <v>135</v>
      </c>
    </row>
    <row r="6413" spans="1:3" x14ac:dyDescent="0.25">
      <c r="A6413" s="178">
        <v>120049</v>
      </c>
      <c r="B6413" s="179" t="s">
        <v>456</v>
      </c>
      <c r="C6413" s="180">
        <v>204</v>
      </c>
    </row>
    <row r="6414" spans="1:3" x14ac:dyDescent="0.25">
      <c r="A6414" s="178">
        <v>120063</v>
      </c>
      <c r="B6414" s="179" t="s">
        <v>456</v>
      </c>
      <c r="C6414" s="180">
        <v>135</v>
      </c>
    </row>
    <row r="6415" spans="1:3" x14ac:dyDescent="0.25">
      <c r="A6415" s="178">
        <v>120081</v>
      </c>
      <c r="B6415" s="179" t="s">
        <v>456</v>
      </c>
      <c r="C6415" s="180">
        <v>96</v>
      </c>
    </row>
    <row r="6416" spans="1:3" x14ac:dyDescent="0.25">
      <c r="A6416" s="178">
        <v>120092</v>
      </c>
      <c r="B6416" s="179" t="s">
        <v>456</v>
      </c>
      <c r="C6416" s="180">
        <v>63</v>
      </c>
    </row>
    <row r="6417" spans="1:3" x14ac:dyDescent="0.25">
      <c r="A6417" s="178">
        <v>120161</v>
      </c>
      <c r="B6417" s="179" t="s">
        <v>456</v>
      </c>
      <c r="C6417" s="180">
        <v>115</v>
      </c>
    </row>
    <row r="6418" spans="1:3" x14ac:dyDescent="0.25">
      <c r="A6418" s="178">
        <v>120172</v>
      </c>
      <c r="B6418" s="179" t="s">
        <v>456</v>
      </c>
      <c r="C6418" s="180">
        <v>64</v>
      </c>
    </row>
    <row r="6419" spans="1:3" x14ac:dyDescent="0.25">
      <c r="A6419" s="178">
        <v>120193</v>
      </c>
      <c r="B6419" s="179" t="s">
        <v>456</v>
      </c>
      <c r="C6419" s="180">
        <v>120</v>
      </c>
    </row>
    <row r="6420" spans="1:3" x14ac:dyDescent="0.25">
      <c r="A6420" s="178">
        <v>120203</v>
      </c>
      <c r="B6420" s="179" t="s">
        <v>456</v>
      </c>
      <c r="C6420" s="180">
        <v>2</v>
      </c>
    </row>
    <row r="6421" spans="1:3" x14ac:dyDescent="0.25">
      <c r="A6421" s="178">
        <v>120204</v>
      </c>
      <c r="B6421" s="179" t="s">
        <v>456</v>
      </c>
      <c r="C6421" s="180">
        <v>6</v>
      </c>
    </row>
    <row r="6422" spans="1:3" x14ac:dyDescent="0.25">
      <c r="A6422" s="178">
        <v>120251</v>
      </c>
      <c r="B6422" s="179" t="s">
        <v>456</v>
      </c>
      <c r="C6422" s="180">
        <v>144</v>
      </c>
    </row>
    <row r="6423" spans="1:3" x14ac:dyDescent="0.25">
      <c r="A6423" s="178">
        <v>120252</v>
      </c>
      <c r="B6423" s="179" t="s">
        <v>456</v>
      </c>
      <c r="C6423" s="180">
        <v>120</v>
      </c>
    </row>
    <row r="6424" spans="1:3" x14ac:dyDescent="0.25">
      <c r="A6424" s="178">
        <v>120253</v>
      </c>
      <c r="B6424" s="179" t="s">
        <v>456</v>
      </c>
      <c r="C6424" s="180">
        <v>96</v>
      </c>
    </row>
    <row r="6425" spans="1:3" x14ac:dyDescent="0.25">
      <c r="A6425" s="178">
        <v>120254</v>
      </c>
      <c r="B6425" s="179" t="s">
        <v>456</v>
      </c>
      <c r="C6425" s="180">
        <v>176</v>
      </c>
    </row>
    <row r="6426" spans="1:3" x14ac:dyDescent="0.25">
      <c r="A6426" s="178">
        <v>120281</v>
      </c>
      <c r="B6426" s="179" t="s">
        <v>456</v>
      </c>
      <c r="C6426" s="180">
        <v>63</v>
      </c>
    </row>
    <row r="6427" spans="1:3" x14ac:dyDescent="0.25">
      <c r="A6427" s="178">
        <v>120282</v>
      </c>
      <c r="B6427" s="179" t="s">
        <v>456</v>
      </c>
      <c r="C6427" s="180">
        <v>63</v>
      </c>
    </row>
    <row r="6428" spans="1:3" x14ac:dyDescent="0.25">
      <c r="A6428" s="178">
        <v>120331</v>
      </c>
      <c r="B6428" s="179" t="s">
        <v>456</v>
      </c>
      <c r="C6428" s="180">
        <v>2</v>
      </c>
    </row>
    <row r="6429" spans="1:3" x14ac:dyDescent="0.25">
      <c r="A6429" s="178">
        <v>120391</v>
      </c>
      <c r="B6429" s="179" t="s">
        <v>456</v>
      </c>
      <c r="C6429" s="180">
        <v>70</v>
      </c>
    </row>
    <row r="6430" spans="1:3" x14ac:dyDescent="0.25">
      <c r="A6430" s="178">
        <v>120402</v>
      </c>
      <c r="B6430" s="179" t="s">
        <v>456</v>
      </c>
      <c r="C6430" s="180">
        <v>96</v>
      </c>
    </row>
    <row r="6431" spans="1:3" x14ac:dyDescent="0.25">
      <c r="A6431" s="178">
        <v>120403</v>
      </c>
      <c r="B6431" s="179" t="s">
        <v>456</v>
      </c>
      <c r="C6431" s="180">
        <v>96</v>
      </c>
    </row>
    <row r="6432" spans="1:3" x14ac:dyDescent="0.25">
      <c r="A6432" s="178">
        <v>120404</v>
      </c>
      <c r="B6432" s="179" t="s">
        <v>456</v>
      </c>
      <c r="C6432" s="180">
        <v>115</v>
      </c>
    </row>
    <row r="6433" spans="1:3" x14ac:dyDescent="0.25">
      <c r="A6433" s="178">
        <v>120443</v>
      </c>
      <c r="B6433" s="179" t="s">
        <v>456</v>
      </c>
      <c r="C6433" s="180">
        <v>2</v>
      </c>
    </row>
    <row r="6434" spans="1:3" x14ac:dyDescent="0.25">
      <c r="A6434" s="178">
        <v>120455</v>
      </c>
      <c r="B6434" s="179" t="s">
        <v>456</v>
      </c>
      <c r="C6434" s="180">
        <v>162</v>
      </c>
    </row>
    <row r="6435" spans="1:3" x14ac:dyDescent="0.25">
      <c r="A6435" s="178">
        <v>120456</v>
      </c>
      <c r="B6435" s="179" t="s">
        <v>456</v>
      </c>
      <c r="C6435" s="180">
        <v>162</v>
      </c>
    </row>
    <row r="6436" spans="1:3" x14ac:dyDescent="0.25">
      <c r="A6436" s="178">
        <v>120458</v>
      </c>
      <c r="B6436" s="179" t="s">
        <v>456</v>
      </c>
      <c r="C6436" s="180">
        <v>115</v>
      </c>
    </row>
    <row r="6437" spans="1:3" x14ac:dyDescent="0.25">
      <c r="A6437" s="178">
        <v>120459</v>
      </c>
      <c r="B6437" s="179" t="s">
        <v>456</v>
      </c>
      <c r="C6437" s="180">
        <v>115</v>
      </c>
    </row>
    <row r="6438" spans="1:3" x14ac:dyDescent="0.25">
      <c r="A6438" s="178">
        <v>120464</v>
      </c>
      <c r="B6438" s="179" t="s">
        <v>456</v>
      </c>
      <c r="C6438" s="180">
        <v>115</v>
      </c>
    </row>
    <row r="6439" spans="1:3" x14ac:dyDescent="0.25">
      <c r="A6439" s="178">
        <v>120476</v>
      </c>
      <c r="B6439" s="179" t="s">
        <v>456</v>
      </c>
      <c r="C6439" s="180">
        <v>115</v>
      </c>
    </row>
    <row r="6440" spans="1:3" x14ac:dyDescent="0.25">
      <c r="A6440" s="178">
        <v>120477</v>
      </c>
      <c r="B6440" s="179" t="s">
        <v>456</v>
      </c>
      <c r="C6440" s="180">
        <v>115</v>
      </c>
    </row>
    <row r="6441" spans="1:3" x14ac:dyDescent="0.25">
      <c r="A6441" s="178">
        <v>120478</v>
      </c>
      <c r="B6441" s="179" t="s">
        <v>456</v>
      </c>
      <c r="C6441" s="180">
        <v>384</v>
      </c>
    </row>
    <row r="6442" spans="1:3" x14ac:dyDescent="0.25">
      <c r="A6442" s="178">
        <v>120480</v>
      </c>
      <c r="B6442" s="179" t="s">
        <v>456</v>
      </c>
      <c r="C6442" s="180">
        <v>1152</v>
      </c>
    </row>
    <row r="6443" spans="1:3" x14ac:dyDescent="0.25">
      <c r="A6443" s="178">
        <v>120513</v>
      </c>
      <c r="B6443" s="179" t="s">
        <v>456</v>
      </c>
      <c r="C6443" s="180">
        <v>96</v>
      </c>
    </row>
    <row r="6444" spans="1:3" x14ac:dyDescent="0.25">
      <c r="A6444" s="178">
        <v>120514</v>
      </c>
      <c r="B6444" s="179" t="s">
        <v>456</v>
      </c>
      <c r="C6444" s="180">
        <v>84</v>
      </c>
    </row>
    <row r="6445" spans="1:3" x14ac:dyDescent="0.25">
      <c r="A6445" s="178">
        <v>120535</v>
      </c>
      <c r="B6445" s="179" t="s">
        <v>456</v>
      </c>
      <c r="C6445" s="180">
        <v>189</v>
      </c>
    </row>
    <row r="6446" spans="1:3" x14ac:dyDescent="0.25">
      <c r="A6446" s="178">
        <v>120536</v>
      </c>
      <c r="B6446" s="179" t="s">
        <v>456</v>
      </c>
      <c r="C6446" s="180">
        <v>180</v>
      </c>
    </row>
    <row r="6447" spans="1:3" x14ac:dyDescent="0.25">
      <c r="A6447" s="178">
        <v>120562</v>
      </c>
      <c r="B6447" s="179" t="s">
        <v>456</v>
      </c>
      <c r="C6447" s="180">
        <v>176</v>
      </c>
    </row>
    <row r="6448" spans="1:3" x14ac:dyDescent="0.25">
      <c r="A6448" s="178">
        <v>120563</v>
      </c>
      <c r="B6448" s="179" t="s">
        <v>456</v>
      </c>
      <c r="C6448" s="180">
        <v>176</v>
      </c>
    </row>
    <row r="6449" spans="1:3" x14ac:dyDescent="0.25">
      <c r="A6449" s="178">
        <v>120566</v>
      </c>
      <c r="B6449" s="179" t="s">
        <v>456</v>
      </c>
      <c r="C6449" s="180">
        <v>2</v>
      </c>
    </row>
    <row r="6450" spans="1:3" x14ac:dyDescent="0.25">
      <c r="A6450" s="178">
        <v>120567</v>
      </c>
      <c r="B6450" s="179" t="s">
        <v>456</v>
      </c>
      <c r="C6450" s="180">
        <v>2</v>
      </c>
    </row>
    <row r="6451" spans="1:3" x14ac:dyDescent="0.25">
      <c r="A6451" s="178">
        <v>120591</v>
      </c>
      <c r="B6451" s="179" t="s">
        <v>456</v>
      </c>
      <c r="C6451" s="180">
        <v>105</v>
      </c>
    </row>
    <row r="6452" spans="1:3" x14ac:dyDescent="0.25">
      <c r="A6452" s="178">
        <v>120605</v>
      </c>
      <c r="B6452" s="179" t="s">
        <v>456</v>
      </c>
      <c r="C6452" s="180">
        <v>105</v>
      </c>
    </row>
    <row r="6453" spans="1:3" x14ac:dyDescent="0.25">
      <c r="A6453" s="178">
        <v>120606</v>
      </c>
      <c r="B6453" s="179" t="s">
        <v>456</v>
      </c>
      <c r="C6453" s="180">
        <v>105</v>
      </c>
    </row>
    <row r="6454" spans="1:3" x14ac:dyDescent="0.25">
      <c r="A6454" s="178">
        <v>120619</v>
      </c>
      <c r="B6454" s="179" t="s">
        <v>456</v>
      </c>
      <c r="C6454" s="180">
        <v>189</v>
      </c>
    </row>
    <row r="6455" spans="1:3" x14ac:dyDescent="0.25">
      <c r="A6455" s="178">
        <v>120620</v>
      </c>
      <c r="B6455" s="179" t="s">
        <v>456</v>
      </c>
      <c r="C6455" s="180">
        <v>192</v>
      </c>
    </row>
    <row r="6456" spans="1:3" x14ac:dyDescent="0.25">
      <c r="A6456" s="178">
        <v>120622</v>
      </c>
      <c r="B6456" s="179" t="s">
        <v>456</v>
      </c>
      <c r="C6456" s="180">
        <v>5</v>
      </c>
    </row>
    <row r="6457" spans="1:3" x14ac:dyDescent="0.25">
      <c r="A6457" s="178">
        <v>120632</v>
      </c>
      <c r="B6457" s="179" t="s">
        <v>456</v>
      </c>
      <c r="C6457" s="180">
        <v>8</v>
      </c>
    </row>
    <row r="6458" spans="1:3" x14ac:dyDescent="0.25">
      <c r="A6458" s="178">
        <v>120633</v>
      </c>
      <c r="B6458" s="179" t="s">
        <v>456</v>
      </c>
      <c r="C6458" s="180">
        <v>6</v>
      </c>
    </row>
    <row r="6459" spans="1:3" x14ac:dyDescent="0.25">
      <c r="A6459" s="178">
        <v>120634</v>
      </c>
      <c r="B6459" s="179" t="s">
        <v>456</v>
      </c>
      <c r="C6459" s="180">
        <v>5</v>
      </c>
    </row>
    <row r="6460" spans="1:3" x14ac:dyDescent="0.25">
      <c r="A6460" s="178">
        <v>120635</v>
      </c>
      <c r="B6460" s="179" t="s">
        <v>456</v>
      </c>
      <c r="C6460" s="180">
        <v>5</v>
      </c>
    </row>
    <row r="6461" spans="1:3" x14ac:dyDescent="0.25">
      <c r="A6461" s="178">
        <v>120636</v>
      </c>
      <c r="B6461" s="179" t="s">
        <v>456</v>
      </c>
      <c r="C6461" s="180">
        <v>2</v>
      </c>
    </row>
    <row r="6462" spans="1:3" x14ac:dyDescent="0.25">
      <c r="A6462" s="178">
        <v>120642</v>
      </c>
      <c r="B6462" s="179" t="s">
        <v>456</v>
      </c>
      <c r="C6462" s="180">
        <v>5</v>
      </c>
    </row>
    <row r="6463" spans="1:3" x14ac:dyDescent="0.25">
      <c r="A6463" s="178">
        <v>120654</v>
      </c>
      <c r="B6463" s="179" t="s">
        <v>456</v>
      </c>
      <c r="C6463" s="180">
        <v>70</v>
      </c>
    </row>
    <row r="6464" spans="1:3" x14ac:dyDescent="0.25">
      <c r="A6464" s="178">
        <v>120655</v>
      </c>
      <c r="B6464" s="179" t="s">
        <v>456</v>
      </c>
      <c r="C6464" s="180">
        <v>70</v>
      </c>
    </row>
    <row r="6465" spans="1:3" x14ac:dyDescent="0.25">
      <c r="A6465" s="178">
        <v>120659</v>
      </c>
      <c r="B6465" s="179" t="s">
        <v>456</v>
      </c>
      <c r="C6465" s="180">
        <v>231</v>
      </c>
    </row>
    <row r="6466" spans="1:3" x14ac:dyDescent="0.25">
      <c r="A6466" s="178">
        <v>120666</v>
      </c>
      <c r="B6466" s="179" t="s">
        <v>456</v>
      </c>
      <c r="C6466" s="180">
        <v>5</v>
      </c>
    </row>
    <row r="6467" spans="1:3" x14ac:dyDescent="0.25">
      <c r="A6467" s="178">
        <v>120674</v>
      </c>
      <c r="B6467" s="179" t="s">
        <v>456</v>
      </c>
      <c r="C6467" s="180">
        <v>96</v>
      </c>
    </row>
    <row r="6468" spans="1:3" x14ac:dyDescent="0.25">
      <c r="A6468" s="178">
        <v>120675</v>
      </c>
      <c r="B6468" s="179" t="s">
        <v>456</v>
      </c>
      <c r="C6468" s="180">
        <v>63</v>
      </c>
    </row>
    <row r="6469" spans="1:3" x14ac:dyDescent="0.25">
      <c r="A6469" s="178">
        <v>120676</v>
      </c>
      <c r="B6469" s="179" t="s">
        <v>456</v>
      </c>
      <c r="C6469" s="180">
        <v>63</v>
      </c>
    </row>
    <row r="6470" spans="1:3" x14ac:dyDescent="0.25">
      <c r="A6470" s="178">
        <v>120704</v>
      </c>
      <c r="B6470" s="179" t="s">
        <v>456</v>
      </c>
      <c r="C6470" s="180">
        <v>8</v>
      </c>
    </row>
    <row r="6471" spans="1:3" x14ac:dyDescent="0.25">
      <c r="A6471" s="178">
        <v>120719</v>
      </c>
      <c r="B6471" s="179" t="s">
        <v>456</v>
      </c>
      <c r="C6471" s="180">
        <v>8</v>
      </c>
    </row>
    <row r="6472" spans="1:3" x14ac:dyDescent="0.25">
      <c r="A6472" s="178">
        <v>120753</v>
      </c>
      <c r="B6472" s="179" t="s">
        <v>456</v>
      </c>
      <c r="C6472" s="180">
        <v>144</v>
      </c>
    </row>
    <row r="6473" spans="1:3" x14ac:dyDescent="0.25">
      <c r="A6473" s="178">
        <v>120754</v>
      </c>
      <c r="B6473" s="179" t="s">
        <v>456</v>
      </c>
      <c r="C6473" s="180">
        <v>144</v>
      </c>
    </row>
    <row r="6474" spans="1:3" x14ac:dyDescent="0.25">
      <c r="A6474" s="178">
        <v>120755</v>
      </c>
      <c r="B6474" s="179" t="s">
        <v>456</v>
      </c>
      <c r="C6474" s="180">
        <v>144</v>
      </c>
    </row>
    <row r="6475" spans="1:3" x14ac:dyDescent="0.25">
      <c r="A6475" s="178">
        <v>120784</v>
      </c>
      <c r="B6475" s="179" t="s">
        <v>456</v>
      </c>
      <c r="C6475" s="180">
        <v>120</v>
      </c>
    </row>
    <row r="6476" spans="1:3" x14ac:dyDescent="0.25">
      <c r="A6476" s="178">
        <v>120785</v>
      </c>
      <c r="B6476" s="179" t="s">
        <v>456</v>
      </c>
      <c r="C6476" s="180">
        <v>120</v>
      </c>
    </row>
    <row r="6477" spans="1:3" x14ac:dyDescent="0.25">
      <c r="A6477" s="178">
        <v>120786</v>
      </c>
      <c r="B6477" s="179" t="s">
        <v>456</v>
      </c>
      <c r="C6477" s="180">
        <v>120</v>
      </c>
    </row>
    <row r="6478" spans="1:3" x14ac:dyDescent="0.25">
      <c r="A6478" s="178">
        <v>120792</v>
      </c>
      <c r="B6478" s="179" t="s">
        <v>456</v>
      </c>
      <c r="C6478" s="180">
        <v>21</v>
      </c>
    </row>
    <row r="6479" spans="1:3" x14ac:dyDescent="0.25">
      <c r="A6479" s="178">
        <v>120793</v>
      </c>
      <c r="B6479" s="179" t="s">
        <v>456</v>
      </c>
      <c r="C6479" s="180">
        <v>30</v>
      </c>
    </row>
    <row r="6480" spans="1:3" x14ac:dyDescent="0.25">
      <c r="A6480" s="178">
        <v>120801</v>
      </c>
      <c r="B6480" s="179" t="s">
        <v>456</v>
      </c>
      <c r="C6480" s="180">
        <v>136</v>
      </c>
    </row>
    <row r="6481" spans="1:3" x14ac:dyDescent="0.25">
      <c r="A6481" s="178">
        <v>120819</v>
      </c>
      <c r="B6481" s="179" t="s">
        <v>456</v>
      </c>
      <c r="C6481" s="180">
        <v>136</v>
      </c>
    </row>
    <row r="6482" spans="1:3" x14ac:dyDescent="0.25">
      <c r="A6482" s="178">
        <v>120822</v>
      </c>
      <c r="B6482" s="179" t="s">
        <v>456</v>
      </c>
      <c r="C6482" s="180">
        <v>136</v>
      </c>
    </row>
    <row r="6483" spans="1:3" x14ac:dyDescent="0.25">
      <c r="A6483" s="178">
        <v>120824</v>
      </c>
      <c r="B6483" s="179" t="s">
        <v>456</v>
      </c>
      <c r="C6483" s="180">
        <v>136</v>
      </c>
    </row>
    <row r="6484" spans="1:3" x14ac:dyDescent="0.25">
      <c r="A6484" s="178">
        <v>120825</v>
      </c>
      <c r="B6484" s="179" t="s">
        <v>456</v>
      </c>
      <c r="C6484" s="180">
        <v>136</v>
      </c>
    </row>
    <row r="6485" spans="1:3" x14ac:dyDescent="0.25">
      <c r="A6485" s="178">
        <v>120826</v>
      </c>
      <c r="B6485" s="179" t="s">
        <v>456</v>
      </c>
      <c r="C6485" s="180">
        <v>136</v>
      </c>
    </row>
    <row r="6486" spans="1:3" x14ac:dyDescent="0.25">
      <c r="A6486" s="178">
        <v>120831</v>
      </c>
      <c r="B6486" s="179" t="s">
        <v>456</v>
      </c>
      <c r="C6486" s="180">
        <v>48</v>
      </c>
    </row>
    <row r="6487" spans="1:3" x14ac:dyDescent="0.25">
      <c r="A6487" s="178">
        <v>120832</v>
      </c>
      <c r="B6487" s="179" t="s">
        <v>456</v>
      </c>
      <c r="C6487" s="180">
        <v>48</v>
      </c>
    </row>
    <row r="6488" spans="1:3" x14ac:dyDescent="0.25">
      <c r="A6488" s="178">
        <v>120833</v>
      </c>
      <c r="B6488" s="179" t="s">
        <v>456</v>
      </c>
      <c r="C6488" s="180">
        <v>48</v>
      </c>
    </row>
    <row r="6489" spans="1:3" x14ac:dyDescent="0.25">
      <c r="A6489" s="178">
        <v>120836</v>
      </c>
      <c r="B6489" s="179" t="s">
        <v>456</v>
      </c>
      <c r="C6489" s="180">
        <v>32</v>
      </c>
    </row>
    <row r="6490" spans="1:3" x14ac:dyDescent="0.25">
      <c r="A6490" s="178">
        <v>120837</v>
      </c>
      <c r="B6490" s="179" t="s">
        <v>456</v>
      </c>
      <c r="C6490" s="180">
        <v>32</v>
      </c>
    </row>
    <row r="6491" spans="1:3" x14ac:dyDescent="0.25">
      <c r="A6491" s="178">
        <v>120841</v>
      </c>
      <c r="B6491" s="179" t="s">
        <v>456</v>
      </c>
      <c r="C6491" s="180">
        <v>40</v>
      </c>
    </row>
    <row r="6492" spans="1:3" x14ac:dyDescent="0.25">
      <c r="A6492" s="178">
        <v>120843</v>
      </c>
      <c r="B6492" s="179" t="s">
        <v>456</v>
      </c>
      <c r="C6492" s="180">
        <v>75</v>
      </c>
    </row>
    <row r="6493" spans="1:3" x14ac:dyDescent="0.25">
      <c r="A6493" s="178">
        <v>120844</v>
      </c>
      <c r="B6493" s="179" t="s">
        <v>456</v>
      </c>
      <c r="C6493" s="180">
        <v>40</v>
      </c>
    </row>
    <row r="6494" spans="1:3" x14ac:dyDescent="0.25">
      <c r="A6494" s="178">
        <v>120845</v>
      </c>
      <c r="B6494" s="179" t="s">
        <v>456</v>
      </c>
      <c r="C6494" s="180">
        <v>140</v>
      </c>
    </row>
    <row r="6495" spans="1:3" x14ac:dyDescent="0.25">
      <c r="A6495" s="178">
        <v>120846</v>
      </c>
      <c r="B6495" s="179" t="s">
        <v>456</v>
      </c>
      <c r="C6495" s="180">
        <v>180</v>
      </c>
    </row>
    <row r="6496" spans="1:3" x14ac:dyDescent="0.25">
      <c r="A6496" s="178">
        <v>120848</v>
      </c>
      <c r="B6496" s="179" t="s">
        <v>456</v>
      </c>
      <c r="C6496" s="180">
        <v>32</v>
      </c>
    </row>
    <row r="6497" spans="1:3" x14ac:dyDescent="0.25">
      <c r="A6497" s="178">
        <v>120849</v>
      </c>
      <c r="B6497" s="179" t="s">
        <v>456</v>
      </c>
      <c r="C6497" s="180">
        <v>160</v>
      </c>
    </row>
    <row r="6498" spans="1:3" x14ac:dyDescent="0.25">
      <c r="A6498" s="178">
        <v>120850</v>
      </c>
      <c r="B6498" s="179" t="s">
        <v>456</v>
      </c>
      <c r="C6498" s="180">
        <v>160</v>
      </c>
    </row>
    <row r="6499" spans="1:3" x14ac:dyDescent="0.25">
      <c r="A6499" s="178">
        <v>120851</v>
      </c>
      <c r="B6499" s="179" t="s">
        <v>456</v>
      </c>
      <c r="C6499" s="180">
        <v>140</v>
      </c>
    </row>
    <row r="6500" spans="1:3" x14ac:dyDescent="0.25">
      <c r="A6500" s="178">
        <v>120853</v>
      </c>
      <c r="B6500" s="179" t="s">
        <v>456</v>
      </c>
      <c r="C6500" s="180">
        <v>40</v>
      </c>
    </row>
    <row r="6501" spans="1:3" x14ac:dyDescent="0.25">
      <c r="A6501" s="178">
        <v>120854</v>
      </c>
      <c r="B6501" s="179" t="s">
        <v>456</v>
      </c>
      <c r="C6501" s="180">
        <v>40</v>
      </c>
    </row>
    <row r="6502" spans="1:3" x14ac:dyDescent="0.25">
      <c r="A6502" s="178">
        <v>120856</v>
      </c>
      <c r="B6502" s="179" t="s">
        <v>456</v>
      </c>
      <c r="C6502" s="180">
        <v>40</v>
      </c>
    </row>
    <row r="6503" spans="1:3" x14ac:dyDescent="0.25">
      <c r="A6503" s="178">
        <v>120857</v>
      </c>
      <c r="B6503" s="179" t="s">
        <v>456</v>
      </c>
      <c r="C6503" s="180">
        <v>40</v>
      </c>
    </row>
    <row r="6504" spans="1:3" x14ac:dyDescent="0.25">
      <c r="A6504" s="178">
        <v>120859</v>
      </c>
      <c r="B6504" s="179" t="s">
        <v>456</v>
      </c>
      <c r="C6504" s="180">
        <v>60</v>
      </c>
    </row>
    <row r="6505" spans="1:3" x14ac:dyDescent="0.25">
      <c r="A6505" s="178">
        <v>120860</v>
      </c>
      <c r="B6505" s="179" t="s">
        <v>456</v>
      </c>
      <c r="C6505" s="180">
        <v>100</v>
      </c>
    </row>
    <row r="6506" spans="1:3" x14ac:dyDescent="0.25">
      <c r="A6506" s="178">
        <v>120861</v>
      </c>
      <c r="B6506" s="179" t="s">
        <v>456</v>
      </c>
      <c r="C6506" s="180">
        <v>40</v>
      </c>
    </row>
    <row r="6507" spans="1:3" x14ac:dyDescent="0.25">
      <c r="A6507" s="178">
        <v>120862</v>
      </c>
      <c r="B6507" s="179" t="s">
        <v>456</v>
      </c>
      <c r="C6507" s="180">
        <v>40</v>
      </c>
    </row>
    <row r="6508" spans="1:3" x14ac:dyDescent="0.25">
      <c r="A6508" s="178">
        <v>120863</v>
      </c>
      <c r="B6508" s="179" t="s">
        <v>456</v>
      </c>
      <c r="C6508" s="180">
        <v>40</v>
      </c>
    </row>
    <row r="6509" spans="1:3" x14ac:dyDescent="0.25">
      <c r="A6509" s="178">
        <v>120864</v>
      </c>
      <c r="B6509" s="179" t="s">
        <v>456</v>
      </c>
      <c r="C6509" s="180">
        <v>40</v>
      </c>
    </row>
    <row r="6510" spans="1:3" x14ac:dyDescent="0.25">
      <c r="A6510" s="178">
        <v>120867</v>
      </c>
      <c r="B6510" s="179" t="s">
        <v>456</v>
      </c>
      <c r="C6510" s="180">
        <v>48</v>
      </c>
    </row>
    <row r="6511" spans="1:3" x14ac:dyDescent="0.25">
      <c r="A6511" s="178">
        <v>120868</v>
      </c>
      <c r="B6511" s="179" t="s">
        <v>456</v>
      </c>
      <c r="C6511" s="180">
        <v>32</v>
      </c>
    </row>
    <row r="6512" spans="1:3" x14ac:dyDescent="0.25">
      <c r="A6512" s="178">
        <v>120870</v>
      </c>
      <c r="B6512" s="179" t="s">
        <v>456</v>
      </c>
      <c r="C6512" s="180">
        <v>80</v>
      </c>
    </row>
    <row r="6513" spans="1:3" x14ac:dyDescent="0.25">
      <c r="A6513" s="178">
        <v>120872</v>
      </c>
      <c r="B6513" s="179" t="s">
        <v>456</v>
      </c>
      <c r="C6513" s="180">
        <v>100</v>
      </c>
    </row>
    <row r="6514" spans="1:3" x14ac:dyDescent="0.25">
      <c r="A6514" s="178">
        <v>120876</v>
      </c>
      <c r="B6514" s="179" t="s">
        <v>456</v>
      </c>
      <c r="C6514" s="180">
        <v>60</v>
      </c>
    </row>
    <row r="6515" spans="1:3" x14ac:dyDescent="0.25">
      <c r="A6515" s="178">
        <v>120878</v>
      </c>
      <c r="B6515" s="179" t="s">
        <v>456</v>
      </c>
      <c r="C6515" s="180">
        <v>48</v>
      </c>
    </row>
    <row r="6516" spans="1:3" x14ac:dyDescent="0.25">
      <c r="A6516" s="178">
        <v>120880</v>
      </c>
      <c r="B6516" s="179" t="s">
        <v>456</v>
      </c>
      <c r="C6516" s="180">
        <v>140</v>
      </c>
    </row>
    <row r="6517" spans="1:3" x14ac:dyDescent="0.25">
      <c r="A6517" s="178">
        <v>120884</v>
      </c>
      <c r="B6517" s="179" t="s">
        <v>456</v>
      </c>
      <c r="C6517" s="180">
        <v>60</v>
      </c>
    </row>
    <row r="6518" spans="1:3" x14ac:dyDescent="0.25">
      <c r="A6518" s="178">
        <v>120885</v>
      </c>
      <c r="B6518" s="179" t="s">
        <v>456</v>
      </c>
      <c r="C6518" s="180">
        <v>40</v>
      </c>
    </row>
    <row r="6519" spans="1:3" x14ac:dyDescent="0.25">
      <c r="A6519" s="178">
        <v>120886</v>
      </c>
      <c r="B6519" s="179" t="s">
        <v>456</v>
      </c>
      <c r="C6519" s="180">
        <v>48</v>
      </c>
    </row>
    <row r="6520" spans="1:3" x14ac:dyDescent="0.25">
      <c r="A6520" s="178">
        <v>120888</v>
      </c>
      <c r="B6520" s="179" t="s">
        <v>456</v>
      </c>
      <c r="C6520" s="180">
        <v>48</v>
      </c>
    </row>
    <row r="6521" spans="1:3" x14ac:dyDescent="0.25">
      <c r="A6521" s="178">
        <v>120894</v>
      </c>
      <c r="B6521" s="179" t="s">
        <v>456</v>
      </c>
      <c r="C6521" s="180">
        <v>48</v>
      </c>
    </row>
    <row r="6522" spans="1:3" x14ac:dyDescent="0.25">
      <c r="A6522" s="178">
        <v>120897</v>
      </c>
      <c r="B6522" s="179" t="s">
        <v>456</v>
      </c>
      <c r="C6522" s="180">
        <v>136</v>
      </c>
    </row>
    <row r="6523" spans="1:3" x14ac:dyDescent="0.25">
      <c r="A6523" s="178">
        <v>120898</v>
      </c>
      <c r="B6523" s="179" t="s">
        <v>456</v>
      </c>
      <c r="C6523" s="180">
        <v>136</v>
      </c>
    </row>
    <row r="6524" spans="1:3" x14ac:dyDescent="0.25">
      <c r="A6524" s="178">
        <v>120900</v>
      </c>
      <c r="B6524" s="179" t="s">
        <v>456</v>
      </c>
      <c r="C6524" s="180">
        <v>140</v>
      </c>
    </row>
    <row r="6525" spans="1:3" x14ac:dyDescent="0.25">
      <c r="A6525" s="178">
        <v>120902</v>
      </c>
      <c r="B6525" s="179" t="s">
        <v>456</v>
      </c>
      <c r="C6525" s="180">
        <v>136</v>
      </c>
    </row>
    <row r="6526" spans="1:3" x14ac:dyDescent="0.25">
      <c r="A6526" s="178">
        <v>120903</v>
      </c>
      <c r="B6526" s="179" t="s">
        <v>456</v>
      </c>
      <c r="C6526" s="180">
        <v>136</v>
      </c>
    </row>
    <row r="6527" spans="1:3" x14ac:dyDescent="0.25">
      <c r="A6527" s="178">
        <v>120977</v>
      </c>
      <c r="B6527" s="179" t="s">
        <v>456</v>
      </c>
      <c r="C6527" s="180">
        <v>176</v>
      </c>
    </row>
    <row r="6528" spans="1:3" x14ac:dyDescent="0.25">
      <c r="A6528" s="178">
        <v>120978</v>
      </c>
      <c r="B6528" s="179" t="s">
        <v>456</v>
      </c>
      <c r="C6528" s="180">
        <v>176</v>
      </c>
    </row>
    <row r="6529" spans="1:3" x14ac:dyDescent="0.25">
      <c r="A6529" s="178">
        <v>120993</v>
      </c>
      <c r="B6529" s="179" t="s">
        <v>456</v>
      </c>
      <c r="C6529" s="180">
        <v>115</v>
      </c>
    </row>
    <row r="6530" spans="1:3" x14ac:dyDescent="0.25">
      <c r="A6530" s="178">
        <v>121000</v>
      </c>
      <c r="B6530" s="179" t="s">
        <v>456</v>
      </c>
      <c r="C6530" s="180">
        <v>115</v>
      </c>
    </row>
    <row r="6531" spans="1:3" x14ac:dyDescent="0.25">
      <c r="A6531" s="178">
        <v>121001</v>
      </c>
      <c r="B6531" s="179" t="s">
        <v>456</v>
      </c>
      <c r="C6531" s="180">
        <v>115</v>
      </c>
    </row>
    <row r="6532" spans="1:3" x14ac:dyDescent="0.25">
      <c r="A6532" s="178">
        <v>121003</v>
      </c>
      <c r="B6532" s="179" t="s">
        <v>456</v>
      </c>
      <c r="C6532" s="180">
        <v>115</v>
      </c>
    </row>
    <row r="6533" spans="1:3" x14ac:dyDescent="0.25">
      <c r="A6533" s="178">
        <v>121004</v>
      </c>
      <c r="B6533" s="179" t="s">
        <v>456</v>
      </c>
      <c r="C6533" s="180">
        <v>115</v>
      </c>
    </row>
    <row r="6534" spans="1:3" x14ac:dyDescent="0.25">
      <c r="A6534" s="178">
        <v>121005</v>
      </c>
      <c r="B6534" s="179" t="s">
        <v>456</v>
      </c>
      <c r="C6534" s="180">
        <v>115</v>
      </c>
    </row>
    <row r="6535" spans="1:3" x14ac:dyDescent="0.25">
      <c r="A6535" s="178">
        <v>121006</v>
      </c>
      <c r="B6535" s="179" t="s">
        <v>456</v>
      </c>
      <c r="C6535" s="180">
        <v>162</v>
      </c>
    </row>
    <row r="6536" spans="1:3" x14ac:dyDescent="0.25">
      <c r="A6536" s="178">
        <v>121007</v>
      </c>
      <c r="B6536" s="179" t="s">
        <v>456</v>
      </c>
      <c r="C6536" s="180">
        <v>162</v>
      </c>
    </row>
    <row r="6537" spans="1:3" x14ac:dyDescent="0.25">
      <c r="A6537" s="178">
        <v>121008</v>
      </c>
      <c r="B6537" s="179" t="s">
        <v>456</v>
      </c>
      <c r="C6537" s="180">
        <v>162</v>
      </c>
    </row>
    <row r="6538" spans="1:3" x14ac:dyDescent="0.25">
      <c r="A6538" s="178">
        <v>121021</v>
      </c>
      <c r="B6538" s="179" t="s">
        <v>456</v>
      </c>
      <c r="C6538" s="180">
        <v>115</v>
      </c>
    </row>
    <row r="6539" spans="1:3" x14ac:dyDescent="0.25">
      <c r="A6539" s="178">
        <v>121025</v>
      </c>
      <c r="B6539" s="179" t="s">
        <v>456</v>
      </c>
      <c r="C6539" s="180">
        <v>115</v>
      </c>
    </row>
    <row r="6540" spans="1:3" x14ac:dyDescent="0.25">
      <c r="A6540" s="178">
        <v>121026</v>
      </c>
      <c r="B6540" s="179" t="s">
        <v>456</v>
      </c>
      <c r="C6540" s="180">
        <v>115</v>
      </c>
    </row>
    <row r="6541" spans="1:3" x14ac:dyDescent="0.25">
      <c r="A6541" s="178">
        <v>121027</v>
      </c>
      <c r="B6541" s="179" t="s">
        <v>456</v>
      </c>
      <c r="C6541" s="180">
        <v>115</v>
      </c>
    </row>
    <row r="6542" spans="1:3" x14ac:dyDescent="0.25">
      <c r="A6542" s="178">
        <v>121031</v>
      </c>
      <c r="B6542" s="179" t="s">
        <v>456</v>
      </c>
      <c r="C6542" s="180">
        <v>96</v>
      </c>
    </row>
    <row r="6543" spans="1:3" x14ac:dyDescent="0.25">
      <c r="A6543" s="178">
        <v>121032</v>
      </c>
      <c r="B6543" s="179" t="s">
        <v>456</v>
      </c>
      <c r="C6543" s="180">
        <v>72</v>
      </c>
    </row>
    <row r="6544" spans="1:3" x14ac:dyDescent="0.25">
      <c r="A6544" s="178">
        <v>121035</v>
      </c>
      <c r="B6544" s="179" t="s">
        <v>456</v>
      </c>
      <c r="C6544" s="180">
        <v>136</v>
      </c>
    </row>
    <row r="6545" spans="1:3" x14ac:dyDescent="0.25">
      <c r="A6545" s="178">
        <v>121037</v>
      </c>
      <c r="B6545" s="179" t="s">
        <v>456</v>
      </c>
      <c r="C6545" s="180">
        <v>136</v>
      </c>
    </row>
    <row r="6546" spans="1:3" x14ac:dyDescent="0.25">
      <c r="A6546" s="178">
        <v>121043</v>
      </c>
      <c r="B6546" s="179" t="s">
        <v>456</v>
      </c>
      <c r="C6546" s="180">
        <v>96</v>
      </c>
    </row>
    <row r="6547" spans="1:3" x14ac:dyDescent="0.25">
      <c r="A6547" s="178">
        <v>121045</v>
      </c>
      <c r="B6547" s="179" t="s">
        <v>456</v>
      </c>
      <c r="C6547" s="180">
        <v>216</v>
      </c>
    </row>
    <row r="6548" spans="1:3" x14ac:dyDescent="0.25">
      <c r="A6548" s="178">
        <v>121046</v>
      </c>
      <c r="B6548" s="179" t="s">
        <v>456</v>
      </c>
      <c r="C6548" s="180">
        <v>160</v>
      </c>
    </row>
    <row r="6549" spans="1:3" x14ac:dyDescent="0.25">
      <c r="A6549" s="178">
        <v>121047</v>
      </c>
      <c r="B6549" s="179" t="s">
        <v>456</v>
      </c>
      <c r="C6549" s="180">
        <v>117</v>
      </c>
    </row>
    <row r="6550" spans="1:3" x14ac:dyDescent="0.25">
      <c r="A6550" s="178">
        <v>121048</v>
      </c>
      <c r="B6550" s="179" t="s">
        <v>456</v>
      </c>
      <c r="C6550" s="180">
        <v>32</v>
      </c>
    </row>
    <row r="6551" spans="1:3" x14ac:dyDescent="0.25">
      <c r="A6551" s="178">
        <v>121049</v>
      </c>
      <c r="B6551" s="179" t="s">
        <v>456</v>
      </c>
      <c r="C6551" s="180">
        <v>32</v>
      </c>
    </row>
    <row r="6552" spans="1:3" x14ac:dyDescent="0.25">
      <c r="A6552" s="178">
        <v>121050</v>
      </c>
      <c r="B6552" s="179" t="s">
        <v>456</v>
      </c>
      <c r="C6552" s="180">
        <v>32</v>
      </c>
    </row>
    <row r="6553" spans="1:3" x14ac:dyDescent="0.25">
      <c r="A6553" s="178">
        <v>121051</v>
      </c>
      <c r="B6553" s="179" t="s">
        <v>456</v>
      </c>
      <c r="C6553" s="180">
        <v>32</v>
      </c>
    </row>
    <row r="6554" spans="1:3" x14ac:dyDescent="0.25">
      <c r="A6554" s="178">
        <v>121052</v>
      </c>
      <c r="B6554" s="179" t="s">
        <v>456</v>
      </c>
      <c r="C6554" s="180">
        <v>32</v>
      </c>
    </row>
    <row r="6555" spans="1:3" x14ac:dyDescent="0.25">
      <c r="A6555" s="178">
        <v>121053</v>
      </c>
      <c r="B6555" s="179" t="s">
        <v>456</v>
      </c>
      <c r="C6555" s="180">
        <v>32</v>
      </c>
    </row>
    <row r="6556" spans="1:3" x14ac:dyDescent="0.25">
      <c r="A6556" s="178">
        <v>121057</v>
      </c>
      <c r="B6556" s="179" t="s">
        <v>456</v>
      </c>
      <c r="C6556" s="180">
        <v>40</v>
      </c>
    </row>
    <row r="6557" spans="1:3" x14ac:dyDescent="0.25">
      <c r="A6557" s="178">
        <v>121063</v>
      </c>
      <c r="B6557" s="179" t="s">
        <v>456</v>
      </c>
      <c r="C6557" s="180">
        <v>115</v>
      </c>
    </row>
    <row r="6558" spans="1:3" x14ac:dyDescent="0.25">
      <c r="A6558" s="178">
        <v>121064</v>
      </c>
      <c r="B6558" s="179" t="s">
        <v>456</v>
      </c>
      <c r="C6558" s="180">
        <v>8</v>
      </c>
    </row>
    <row r="6559" spans="1:3" x14ac:dyDescent="0.25">
      <c r="A6559" s="178">
        <v>121111</v>
      </c>
      <c r="B6559" s="179" t="s">
        <v>456</v>
      </c>
      <c r="C6559" s="180">
        <v>115</v>
      </c>
    </row>
    <row r="6560" spans="1:3" x14ac:dyDescent="0.25">
      <c r="A6560" s="178">
        <v>121121</v>
      </c>
      <c r="B6560" s="179" t="s">
        <v>456</v>
      </c>
      <c r="C6560" s="180">
        <v>32</v>
      </c>
    </row>
    <row r="6561" spans="1:3" x14ac:dyDescent="0.25">
      <c r="A6561" s="178">
        <v>121142</v>
      </c>
      <c r="B6561" s="179" t="s">
        <v>456</v>
      </c>
      <c r="C6561" s="180">
        <v>196</v>
      </c>
    </row>
    <row r="6562" spans="1:3" x14ac:dyDescent="0.25">
      <c r="A6562" s="178">
        <v>121143</v>
      </c>
      <c r="B6562" s="179" t="s">
        <v>456</v>
      </c>
      <c r="C6562" s="180">
        <v>196</v>
      </c>
    </row>
    <row r="6563" spans="1:3" x14ac:dyDescent="0.25">
      <c r="A6563" s="178">
        <v>121154</v>
      </c>
      <c r="B6563" s="179" t="s">
        <v>456</v>
      </c>
      <c r="C6563" s="180">
        <v>2</v>
      </c>
    </row>
    <row r="6564" spans="1:3" x14ac:dyDescent="0.25">
      <c r="A6564" s="178">
        <v>121157</v>
      </c>
      <c r="B6564" s="179" t="s">
        <v>456</v>
      </c>
      <c r="C6564" s="180">
        <v>2</v>
      </c>
    </row>
    <row r="6565" spans="1:3" x14ac:dyDescent="0.25">
      <c r="A6565" s="178">
        <v>121159</v>
      </c>
      <c r="B6565" s="179" t="s">
        <v>456</v>
      </c>
      <c r="C6565" s="180">
        <v>2</v>
      </c>
    </row>
    <row r="6566" spans="1:3" x14ac:dyDescent="0.25">
      <c r="A6566" s="178">
        <v>121161</v>
      </c>
      <c r="B6566" s="179" t="s">
        <v>456</v>
      </c>
      <c r="C6566" s="180">
        <v>2</v>
      </c>
    </row>
    <row r="6567" spans="1:3" x14ac:dyDescent="0.25">
      <c r="A6567" s="178">
        <v>121162</v>
      </c>
      <c r="B6567" s="179" t="s">
        <v>456</v>
      </c>
      <c r="C6567" s="180">
        <v>2</v>
      </c>
    </row>
    <row r="6568" spans="1:3" x14ac:dyDescent="0.25">
      <c r="A6568" s="178">
        <v>121163</v>
      </c>
      <c r="B6568" s="179" t="s">
        <v>456</v>
      </c>
      <c r="C6568" s="180">
        <v>2</v>
      </c>
    </row>
    <row r="6569" spans="1:3" x14ac:dyDescent="0.25">
      <c r="A6569" s="178">
        <v>121164</v>
      </c>
      <c r="B6569" s="179" t="s">
        <v>456</v>
      </c>
      <c r="C6569" s="180">
        <v>2</v>
      </c>
    </row>
    <row r="6570" spans="1:3" x14ac:dyDescent="0.25">
      <c r="A6570" s="178">
        <v>121165</v>
      </c>
      <c r="B6570" s="179" t="s">
        <v>456</v>
      </c>
      <c r="C6570" s="180">
        <v>3</v>
      </c>
    </row>
    <row r="6571" spans="1:3" x14ac:dyDescent="0.25">
      <c r="A6571" s="178">
        <v>121166</v>
      </c>
      <c r="B6571" s="179" t="s">
        <v>456</v>
      </c>
      <c r="C6571" s="180">
        <v>3</v>
      </c>
    </row>
    <row r="6572" spans="1:3" x14ac:dyDescent="0.25">
      <c r="A6572" s="178">
        <v>121168</v>
      </c>
      <c r="B6572" s="179" t="s">
        <v>456</v>
      </c>
      <c r="C6572" s="180">
        <v>3</v>
      </c>
    </row>
    <row r="6573" spans="1:3" x14ac:dyDescent="0.25">
      <c r="A6573" s="178">
        <v>121169</v>
      </c>
      <c r="B6573" s="179" t="s">
        <v>456</v>
      </c>
      <c r="C6573" s="180">
        <v>3</v>
      </c>
    </row>
    <row r="6574" spans="1:3" x14ac:dyDescent="0.25">
      <c r="A6574" s="178">
        <v>121171</v>
      </c>
      <c r="B6574" s="179" t="s">
        <v>456</v>
      </c>
      <c r="C6574" s="180">
        <v>3</v>
      </c>
    </row>
    <row r="6575" spans="1:3" x14ac:dyDescent="0.25">
      <c r="A6575" s="178">
        <v>121172</v>
      </c>
      <c r="B6575" s="179" t="s">
        <v>456</v>
      </c>
      <c r="C6575" s="180">
        <v>2</v>
      </c>
    </row>
    <row r="6576" spans="1:3" x14ac:dyDescent="0.25">
      <c r="A6576" s="178">
        <v>121196</v>
      </c>
      <c r="B6576" s="179" t="s">
        <v>456</v>
      </c>
      <c r="C6576" s="180">
        <v>162</v>
      </c>
    </row>
    <row r="6577" spans="1:3" x14ac:dyDescent="0.25">
      <c r="A6577" s="178">
        <v>121197</v>
      </c>
      <c r="B6577" s="179" t="s">
        <v>456</v>
      </c>
      <c r="C6577" s="180">
        <v>135</v>
      </c>
    </row>
    <row r="6578" spans="1:3" x14ac:dyDescent="0.25">
      <c r="A6578" s="178">
        <v>121242</v>
      </c>
      <c r="B6578" s="179" t="s">
        <v>456</v>
      </c>
      <c r="C6578" s="180">
        <v>280</v>
      </c>
    </row>
    <row r="6579" spans="1:3" x14ac:dyDescent="0.25">
      <c r="A6579" s="178">
        <v>121243</v>
      </c>
      <c r="B6579" s="179" t="s">
        <v>456</v>
      </c>
      <c r="C6579" s="180">
        <v>280</v>
      </c>
    </row>
    <row r="6580" spans="1:3" x14ac:dyDescent="0.25">
      <c r="A6580" s="178">
        <v>121244</v>
      </c>
      <c r="B6580" s="179" t="s">
        <v>456</v>
      </c>
      <c r="C6580" s="180">
        <v>280</v>
      </c>
    </row>
    <row r="6581" spans="1:3" x14ac:dyDescent="0.25">
      <c r="A6581" s="178">
        <v>121245</v>
      </c>
      <c r="B6581" s="179" t="s">
        <v>456</v>
      </c>
      <c r="C6581" s="180">
        <v>280</v>
      </c>
    </row>
    <row r="6582" spans="1:3" x14ac:dyDescent="0.25">
      <c r="A6582" s="178">
        <v>121261</v>
      </c>
      <c r="B6582" s="179" t="s">
        <v>456</v>
      </c>
      <c r="C6582" s="180">
        <v>196</v>
      </c>
    </row>
    <row r="6583" spans="1:3" x14ac:dyDescent="0.25">
      <c r="A6583" s="178">
        <v>121301</v>
      </c>
      <c r="B6583" s="179" t="s">
        <v>456</v>
      </c>
      <c r="C6583" s="180">
        <v>120</v>
      </c>
    </row>
    <row r="6584" spans="1:3" x14ac:dyDescent="0.25">
      <c r="A6584" s="178">
        <v>121302</v>
      </c>
      <c r="B6584" s="179" t="s">
        <v>456</v>
      </c>
      <c r="C6584" s="180">
        <v>120</v>
      </c>
    </row>
    <row r="6585" spans="1:3" x14ac:dyDescent="0.25">
      <c r="A6585" s="178">
        <v>121310</v>
      </c>
      <c r="B6585" s="179" t="s">
        <v>456</v>
      </c>
      <c r="C6585" s="180">
        <v>115</v>
      </c>
    </row>
    <row r="6586" spans="1:3" x14ac:dyDescent="0.25">
      <c r="A6586" s="178">
        <v>121359</v>
      </c>
      <c r="B6586" s="179" t="s">
        <v>456</v>
      </c>
      <c r="C6586" s="180">
        <v>189</v>
      </c>
    </row>
    <row r="6587" spans="1:3" x14ac:dyDescent="0.25">
      <c r="A6587" s="178">
        <v>121360</v>
      </c>
      <c r="B6587" s="179" t="s">
        <v>456</v>
      </c>
      <c r="C6587" s="180">
        <v>189</v>
      </c>
    </row>
    <row r="6588" spans="1:3" x14ac:dyDescent="0.25">
      <c r="A6588" s="178">
        <v>121365</v>
      </c>
      <c r="B6588" s="179" t="s">
        <v>456</v>
      </c>
      <c r="C6588" s="180">
        <v>144</v>
      </c>
    </row>
    <row r="6589" spans="1:3" x14ac:dyDescent="0.25">
      <c r="A6589" s="178">
        <v>121366</v>
      </c>
      <c r="B6589" s="179" t="s">
        <v>456</v>
      </c>
      <c r="C6589" s="180">
        <v>135</v>
      </c>
    </row>
    <row r="6590" spans="1:3" x14ac:dyDescent="0.25">
      <c r="A6590" s="178">
        <v>121367</v>
      </c>
      <c r="B6590" s="179" t="s">
        <v>456</v>
      </c>
      <c r="C6590" s="180">
        <v>135</v>
      </c>
    </row>
    <row r="6591" spans="1:3" x14ac:dyDescent="0.25">
      <c r="A6591" s="178">
        <v>121368</v>
      </c>
      <c r="B6591" s="179" t="s">
        <v>456</v>
      </c>
      <c r="C6591" s="180">
        <v>162</v>
      </c>
    </row>
    <row r="6592" spans="1:3" x14ac:dyDescent="0.25">
      <c r="A6592" s="178">
        <v>121369</v>
      </c>
      <c r="B6592" s="179" t="s">
        <v>456</v>
      </c>
      <c r="C6592" s="180">
        <v>162</v>
      </c>
    </row>
    <row r="6593" spans="1:3" x14ac:dyDescent="0.25">
      <c r="A6593" s="178">
        <v>121370</v>
      </c>
      <c r="B6593" s="179" t="s">
        <v>456</v>
      </c>
      <c r="C6593" s="180">
        <v>162</v>
      </c>
    </row>
    <row r="6594" spans="1:3" x14ac:dyDescent="0.25">
      <c r="A6594" s="178">
        <v>121383</v>
      </c>
      <c r="B6594" s="179" t="s">
        <v>456</v>
      </c>
      <c r="C6594" s="180">
        <v>120</v>
      </c>
    </row>
    <row r="6595" spans="1:3" x14ac:dyDescent="0.25">
      <c r="A6595" s="178">
        <v>121384</v>
      </c>
      <c r="B6595" s="179" t="s">
        <v>456</v>
      </c>
      <c r="C6595" s="180">
        <v>120</v>
      </c>
    </row>
    <row r="6596" spans="1:3" x14ac:dyDescent="0.25">
      <c r="A6596" s="178">
        <v>121385</v>
      </c>
      <c r="B6596" s="179" t="s">
        <v>456</v>
      </c>
      <c r="C6596" s="180">
        <v>8</v>
      </c>
    </row>
    <row r="6597" spans="1:3" x14ac:dyDescent="0.25">
      <c r="A6597" s="178">
        <v>121386</v>
      </c>
      <c r="B6597" s="179" t="s">
        <v>456</v>
      </c>
      <c r="C6597" s="180">
        <v>84</v>
      </c>
    </row>
    <row r="6598" spans="1:3" x14ac:dyDescent="0.25">
      <c r="A6598" s="178">
        <v>121387</v>
      </c>
      <c r="B6598" s="179" t="s">
        <v>456</v>
      </c>
      <c r="C6598" s="180">
        <v>128</v>
      </c>
    </row>
    <row r="6599" spans="1:3" x14ac:dyDescent="0.25">
      <c r="A6599" s="178">
        <v>121402</v>
      </c>
      <c r="B6599" s="179" t="s">
        <v>456</v>
      </c>
      <c r="C6599" s="180">
        <v>115</v>
      </c>
    </row>
    <row r="6600" spans="1:3" x14ac:dyDescent="0.25">
      <c r="A6600" s="178">
        <v>121408</v>
      </c>
      <c r="B6600" s="179" t="s">
        <v>456</v>
      </c>
      <c r="C6600" s="180">
        <v>52</v>
      </c>
    </row>
    <row r="6601" spans="1:3" x14ac:dyDescent="0.25">
      <c r="A6601" s="178">
        <v>121414</v>
      </c>
      <c r="B6601" s="179" t="s">
        <v>456</v>
      </c>
      <c r="C6601" s="180">
        <v>56</v>
      </c>
    </row>
    <row r="6602" spans="1:3" x14ac:dyDescent="0.25">
      <c r="A6602" s="178">
        <v>121424</v>
      </c>
      <c r="B6602" s="179" t="s">
        <v>456</v>
      </c>
      <c r="C6602" s="180">
        <v>192</v>
      </c>
    </row>
    <row r="6603" spans="1:3" x14ac:dyDescent="0.25">
      <c r="A6603" s="178">
        <v>121425</v>
      </c>
      <c r="B6603" s="179" t="s">
        <v>456</v>
      </c>
      <c r="C6603" s="180">
        <v>70</v>
      </c>
    </row>
    <row r="6604" spans="1:3" x14ac:dyDescent="0.25">
      <c r="A6604" s="178">
        <v>121432</v>
      </c>
      <c r="B6604" s="179" t="s">
        <v>456</v>
      </c>
      <c r="C6604" s="180">
        <v>70</v>
      </c>
    </row>
    <row r="6605" spans="1:3" x14ac:dyDescent="0.25">
      <c r="A6605" s="178">
        <v>121433</v>
      </c>
      <c r="B6605" s="179" t="s">
        <v>456</v>
      </c>
      <c r="C6605" s="180">
        <v>70</v>
      </c>
    </row>
    <row r="6606" spans="1:3" x14ac:dyDescent="0.25">
      <c r="A6606" s="178">
        <v>121434</v>
      </c>
      <c r="B6606" s="179" t="s">
        <v>456</v>
      </c>
      <c r="C6606" s="180">
        <v>70</v>
      </c>
    </row>
    <row r="6607" spans="1:3" x14ac:dyDescent="0.25">
      <c r="A6607" s="178">
        <v>121435</v>
      </c>
      <c r="B6607" s="179" t="s">
        <v>456</v>
      </c>
      <c r="C6607" s="180">
        <v>70</v>
      </c>
    </row>
    <row r="6608" spans="1:3" x14ac:dyDescent="0.25">
      <c r="A6608" s="178">
        <v>121436</v>
      </c>
      <c r="B6608" s="179" t="s">
        <v>456</v>
      </c>
      <c r="C6608" s="180">
        <v>70</v>
      </c>
    </row>
    <row r="6609" spans="1:3" x14ac:dyDescent="0.25">
      <c r="A6609" s="178">
        <v>121438</v>
      </c>
      <c r="B6609" s="179" t="s">
        <v>456</v>
      </c>
      <c r="C6609" s="180">
        <v>70</v>
      </c>
    </row>
    <row r="6610" spans="1:3" x14ac:dyDescent="0.25">
      <c r="A6610" s="178">
        <v>121439</v>
      </c>
      <c r="B6610" s="179" t="s">
        <v>456</v>
      </c>
      <c r="C6610" s="180">
        <v>162</v>
      </c>
    </row>
    <row r="6611" spans="1:3" x14ac:dyDescent="0.25">
      <c r="A6611" s="178">
        <v>121440</v>
      </c>
      <c r="B6611" s="179" t="s">
        <v>456</v>
      </c>
      <c r="C6611" s="180">
        <v>162</v>
      </c>
    </row>
    <row r="6612" spans="1:3" x14ac:dyDescent="0.25">
      <c r="A6612" s="178">
        <v>121441</v>
      </c>
      <c r="B6612" s="179" t="s">
        <v>456</v>
      </c>
      <c r="C6612" s="180">
        <v>198</v>
      </c>
    </row>
    <row r="6613" spans="1:3" x14ac:dyDescent="0.25">
      <c r="A6613" s="178">
        <v>121442</v>
      </c>
      <c r="B6613" s="179" t="s">
        <v>456</v>
      </c>
      <c r="C6613" s="180">
        <v>198</v>
      </c>
    </row>
    <row r="6614" spans="1:3" x14ac:dyDescent="0.25">
      <c r="A6614" s="178">
        <v>121443</v>
      </c>
      <c r="B6614" s="179" t="s">
        <v>456</v>
      </c>
      <c r="C6614" s="180">
        <v>75</v>
      </c>
    </row>
    <row r="6615" spans="1:3" x14ac:dyDescent="0.25">
      <c r="A6615" s="178">
        <v>121447</v>
      </c>
      <c r="B6615" s="179" t="s">
        <v>456</v>
      </c>
      <c r="C6615" s="180">
        <v>162</v>
      </c>
    </row>
    <row r="6616" spans="1:3" x14ac:dyDescent="0.25">
      <c r="A6616" s="178">
        <v>121452</v>
      </c>
      <c r="B6616" s="179" t="s">
        <v>456</v>
      </c>
      <c r="C6616" s="180">
        <v>2</v>
      </c>
    </row>
    <row r="6617" spans="1:3" x14ac:dyDescent="0.25">
      <c r="A6617" s="178">
        <v>121453</v>
      </c>
      <c r="B6617" s="179" t="s">
        <v>456</v>
      </c>
      <c r="C6617" s="180">
        <v>8</v>
      </c>
    </row>
    <row r="6618" spans="1:3" x14ac:dyDescent="0.25">
      <c r="A6618" s="178">
        <v>121464</v>
      </c>
      <c r="B6618" s="179" t="s">
        <v>456</v>
      </c>
      <c r="C6618" s="180">
        <v>63</v>
      </c>
    </row>
    <row r="6619" spans="1:3" x14ac:dyDescent="0.25">
      <c r="A6619" s="178">
        <v>121465</v>
      </c>
      <c r="B6619" s="179" t="s">
        <v>456</v>
      </c>
      <c r="C6619" s="180">
        <v>30</v>
      </c>
    </row>
    <row r="6620" spans="1:3" x14ac:dyDescent="0.25">
      <c r="A6620" s="178">
        <v>121471</v>
      </c>
      <c r="B6620" s="179" t="s">
        <v>456</v>
      </c>
      <c r="C6620" s="180">
        <v>49</v>
      </c>
    </row>
    <row r="6621" spans="1:3" x14ac:dyDescent="0.25">
      <c r="A6621" s="178">
        <v>121485</v>
      </c>
      <c r="B6621" s="179" t="s">
        <v>456</v>
      </c>
      <c r="C6621" s="180">
        <v>6</v>
      </c>
    </row>
    <row r="6622" spans="1:3" x14ac:dyDescent="0.25">
      <c r="A6622" s="178">
        <v>121486</v>
      </c>
      <c r="B6622" s="179" t="s">
        <v>456</v>
      </c>
      <c r="C6622" s="180">
        <v>72</v>
      </c>
    </row>
    <row r="6623" spans="1:3" x14ac:dyDescent="0.25">
      <c r="A6623" s="178">
        <v>121487</v>
      </c>
      <c r="B6623" s="179" t="s">
        <v>456</v>
      </c>
      <c r="C6623" s="180">
        <v>72</v>
      </c>
    </row>
    <row r="6624" spans="1:3" x14ac:dyDescent="0.25">
      <c r="A6624" s="178">
        <v>121491</v>
      </c>
      <c r="B6624" s="179" t="s">
        <v>456</v>
      </c>
      <c r="C6624" s="180">
        <v>135</v>
      </c>
    </row>
    <row r="6625" spans="1:3" x14ac:dyDescent="0.25">
      <c r="A6625" s="178">
        <v>121510</v>
      </c>
      <c r="B6625" s="179" t="s">
        <v>456</v>
      </c>
      <c r="C6625" s="180">
        <v>2</v>
      </c>
    </row>
    <row r="6626" spans="1:3" x14ac:dyDescent="0.25">
      <c r="A6626" s="178">
        <v>121511</v>
      </c>
      <c r="B6626" s="179" t="s">
        <v>456</v>
      </c>
      <c r="C6626" s="180">
        <v>40</v>
      </c>
    </row>
    <row r="6627" spans="1:3" x14ac:dyDescent="0.25">
      <c r="A6627" s="178">
        <v>121528</v>
      </c>
      <c r="B6627" s="179" t="s">
        <v>456</v>
      </c>
      <c r="C6627" s="180">
        <v>45</v>
      </c>
    </row>
    <row r="6628" spans="1:3" x14ac:dyDescent="0.25">
      <c r="A6628" s="178">
        <v>121531</v>
      </c>
      <c r="B6628" s="179" t="s">
        <v>456</v>
      </c>
      <c r="C6628" s="180">
        <v>115</v>
      </c>
    </row>
    <row r="6629" spans="1:3" x14ac:dyDescent="0.25">
      <c r="A6629" s="178">
        <v>121533</v>
      </c>
      <c r="B6629" s="179" t="s">
        <v>456</v>
      </c>
      <c r="C6629" s="180">
        <v>3</v>
      </c>
    </row>
    <row r="6630" spans="1:3" x14ac:dyDescent="0.25">
      <c r="A6630" s="178">
        <v>121545</v>
      </c>
      <c r="B6630" s="179" t="s">
        <v>456</v>
      </c>
      <c r="C6630" s="180">
        <v>90</v>
      </c>
    </row>
    <row r="6631" spans="1:3" x14ac:dyDescent="0.25">
      <c r="A6631" s="178">
        <v>121546</v>
      </c>
      <c r="B6631" s="179" t="s">
        <v>456</v>
      </c>
      <c r="C6631" s="180">
        <v>90</v>
      </c>
    </row>
    <row r="6632" spans="1:3" x14ac:dyDescent="0.25">
      <c r="A6632" s="178">
        <v>121547</v>
      </c>
      <c r="B6632" s="179" t="s">
        <v>456</v>
      </c>
      <c r="C6632" s="180">
        <v>90</v>
      </c>
    </row>
    <row r="6633" spans="1:3" x14ac:dyDescent="0.25">
      <c r="A6633" s="178">
        <v>121548</v>
      </c>
      <c r="B6633" s="179" t="s">
        <v>456</v>
      </c>
      <c r="C6633" s="180">
        <v>90</v>
      </c>
    </row>
    <row r="6634" spans="1:3" x14ac:dyDescent="0.25">
      <c r="A6634" s="178">
        <v>121549</v>
      </c>
      <c r="B6634" s="179" t="s">
        <v>456</v>
      </c>
      <c r="C6634" s="180">
        <v>90</v>
      </c>
    </row>
    <row r="6635" spans="1:3" x14ac:dyDescent="0.25">
      <c r="A6635" s="178">
        <v>121551</v>
      </c>
      <c r="B6635" s="179" t="s">
        <v>456</v>
      </c>
      <c r="C6635" s="180">
        <v>2</v>
      </c>
    </row>
    <row r="6636" spans="1:3" x14ac:dyDescent="0.25">
      <c r="A6636" s="178">
        <v>121558</v>
      </c>
      <c r="B6636" s="179" t="s">
        <v>456</v>
      </c>
      <c r="C6636" s="180">
        <v>72</v>
      </c>
    </row>
    <row r="6637" spans="1:3" x14ac:dyDescent="0.25">
      <c r="A6637" s="178">
        <v>121559</v>
      </c>
      <c r="B6637" s="179" t="s">
        <v>456</v>
      </c>
      <c r="C6637" s="180">
        <v>72</v>
      </c>
    </row>
    <row r="6638" spans="1:3" x14ac:dyDescent="0.25">
      <c r="A6638" s="178">
        <v>121587</v>
      </c>
      <c r="B6638" s="179" t="s">
        <v>456</v>
      </c>
      <c r="C6638" s="180">
        <v>144</v>
      </c>
    </row>
    <row r="6639" spans="1:3" x14ac:dyDescent="0.25">
      <c r="A6639" s="178">
        <v>121588</v>
      </c>
      <c r="B6639" s="179" t="s">
        <v>456</v>
      </c>
      <c r="C6639" s="180">
        <v>50</v>
      </c>
    </row>
    <row r="6640" spans="1:3" x14ac:dyDescent="0.25">
      <c r="A6640" s="178">
        <v>121589</v>
      </c>
      <c r="B6640" s="179" t="s">
        <v>456</v>
      </c>
      <c r="C6640" s="180">
        <v>50</v>
      </c>
    </row>
    <row r="6641" spans="1:3" x14ac:dyDescent="0.25">
      <c r="A6641" s="178">
        <v>121591</v>
      </c>
      <c r="B6641" s="179" t="s">
        <v>456</v>
      </c>
      <c r="C6641" s="180">
        <v>162</v>
      </c>
    </row>
    <row r="6642" spans="1:3" x14ac:dyDescent="0.25">
      <c r="A6642" s="178">
        <v>121592</v>
      </c>
      <c r="B6642" s="179" t="s">
        <v>456</v>
      </c>
      <c r="C6642" s="180">
        <v>156</v>
      </c>
    </row>
    <row r="6643" spans="1:3" x14ac:dyDescent="0.25">
      <c r="A6643" s="178">
        <v>121593</v>
      </c>
      <c r="B6643" s="179" t="s">
        <v>456</v>
      </c>
      <c r="C6643" s="180">
        <v>162</v>
      </c>
    </row>
    <row r="6644" spans="1:3" x14ac:dyDescent="0.25">
      <c r="A6644" s="178">
        <v>121594</v>
      </c>
      <c r="B6644" s="179" t="s">
        <v>456</v>
      </c>
      <c r="C6644" s="180">
        <v>162</v>
      </c>
    </row>
    <row r="6645" spans="1:3" x14ac:dyDescent="0.25">
      <c r="A6645" s="178">
        <v>121595</v>
      </c>
      <c r="B6645" s="179" t="s">
        <v>456</v>
      </c>
      <c r="C6645" s="180">
        <v>204</v>
      </c>
    </row>
    <row r="6646" spans="1:3" x14ac:dyDescent="0.25">
      <c r="A6646" s="178">
        <v>121596</v>
      </c>
      <c r="B6646" s="179" t="s">
        <v>456</v>
      </c>
      <c r="C6646" s="180">
        <v>72</v>
      </c>
    </row>
    <row r="6647" spans="1:3" x14ac:dyDescent="0.25">
      <c r="A6647" s="178">
        <v>121597</v>
      </c>
      <c r="B6647" s="179" t="s">
        <v>456</v>
      </c>
      <c r="C6647" s="180">
        <v>160</v>
      </c>
    </row>
    <row r="6648" spans="1:3" x14ac:dyDescent="0.25">
      <c r="A6648" s="178">
        <v>121598</v>
      </c>
      <c r="B6648" s="179" t="s">
        <v>456</v>
      </c>
      <c r="C6648" s="180">
        <v>130</v>
      </c>
    </row>
    <row r="6649" spans="1:3" x14ac:dyDescent="0.25">
      <c r="A6649" s="178">
        <v>121599</v>
      </c>
      <c r="B6649" s="179" t="s">
        <v>456</v>
      </c>
      <c r="C6649" s="180">
        <v>130</v>
      </c>
    </row>
    <row r="6650" spans="1:3" x14ac:dyDescent="0.25">
      <c r="A6650" s="178">
        <v>121603</v>
      </c>
      <c r="B6650" s="179" t="s">
        <v>456</v>
      </c>
      <c r="C6650" s="180">
        <v>30</v>
      </c>
    </row>
    <row r="6651" spans="1:3" x14ac:dyDescent="0.25">
      <c r="A6651" s="178">
        <v>121605</v>
      </c>
      <c r="B6651" s="179" t="s">
        <v>456</v>
      </c>
      <c r="C6651" s="180">
        <v>30</v>
      </c>
    </row>
    <row r="6652" spans="1:3" x14ac:dyDescent="0.25">
      <c r="A6652" s="178">
        <v>121606</v>
      </c>
      <c r="B6652" s="179" t="s">
        <v>456</v>
      </c>
      <c r="C6652" s="180">
        <v>30</v>
      </c>
    </row>
    <row r="6653" spans="1:3" x14ac:dyDescent="0.25">
      <c r="A6653" s="178">
        <v>121618</v>
      </c>
      <c r="B6653" s="179" t="s">
        <v>456</v>
      </c>
      <c r="C6653" s="180">
        <v>162</v>
      </c>
    </row>
    <row r="6654" spans="1:3" x14ac:dyDescent="0.25">
      <c r="A6654" s="178">
        <v>121647</v>
      </c>
      <c r="B6654" s="179" t="s">
        <v>456</v>
      </c>
      <c r="C6654" s="180">
        <v>54</v>
      </c>
    </row>
    <row r="6655" spans="1:3" x14ac:dyDescent="0.25">
      <c r="A6655" s="178">
        <v>121648</v>
      </c>
      <c r="B6655" s="179" t="s">
        <v>456</v>
      </c>
      <c r="C6655" s="180">
        <v>54</v>
      </c>
    </row>
    <row r="6656" spans="1:3" x14ac:dyDescent="0.25">
      <c r="A6656" s="178">
        <v>121649</v>
      </c>
      <c r="B6656" s="179" t="s">
        <v>456</v>
      </c>
      <c r="C6656" s="180">
        <v>54</v>
      </c>
    </row>
    <row r="6657" spans="1:3" x14ac:dyDescent="0.25">
      <c r="A6657" s="178">
        <v>121661</v>
      </c>
      <c r="B6657" s="179" t="s">
        <v>456</v>
      </c>
      <c r="C6657" s="180">
        <v>130</v>
      </c>
    </row>
    <row r="6658" spans="1:3" x14ac:dyDescent="0.25">
      <c r="A6658" s="178">
        <v>121662</v>
      </c>
      <c r="B6658" s="179" t="s">
        <v>456</v>
      </c>
      <c r="C6658" s="180">
        <v>130</v>
      </c>
    </row>
    <row r="6659" spans="1:3" x14ac:dyDescent="0.25">
      <c r="A6659" s="178">
        <v>121663</v>
      </c>
      <c r="B6659" s="179" t="s">
        <v>456</v>
      </c>
      <c r="C6659" s="180">
        <v>120</v>
      </c>
    </row>
    <row r="6660" spans="1:3" x14ac:dyDescent="0.25">
      <c r="A6660" s="178">
        <v>121671</v>
      </c>
      <c r="B6660" s="179" t="s">
        <v>456</v>
      </c>
      <c r="C6660" s="180">
        <v>96</v>
      </c>
    </row>
    <row r="6661" spans="1:3" x14ac:dyDescent="0.25">
      <c r="A6661" s="178">
        <v>121672</v>
      </c>
      <c r="B6661" s="179" t="s">
        <v>456</v>
      </c>
      <c r="C6661" s="180">
        <v>96</v>
      </c>
    </row>
    <row r="6662" spans="1:3" x14ac:dyDescent="0.25">
      <c r="A6662" s="178">
        <v>121677</v>
      </c>
      <c r="B6662" s="179" t="s">
        <v>456</v>
      </c>
      <c r="C6662" s="180">
        <v>230</v>
      </c>
    </row>
    <row r="6663" spans="1:3" x14ac:dyDescent="0.25">
      <c r="A6663" s="178">
        <v>121678</v>
      </c>
      <c r="B6663" s="179" t="s">
        <v>456</v>
      </c>
      <c r="C6663" s="180">
        <v>48</v>
      </c>
    </row>
    <row r="6664" spans="1:3" x14ac:dyDescent="0.25">
      <c r="A6664" s="178">
        <v>121679</v>
      </c>
      <c r="B6664" s="179" t="s">
        <v>456</v>
      </c>
      <c r="C6664" s="180">
        <v>48</v>
      </c>
    </row>
    <row r="6665" spans="1:3" x14ac:dyDescent="0.25">
      <c r="A6665" s="178">
        <v>121681</v>
      </c>
      <c r="B6665" s="179" t="s">
        <v>456</v>
      </c>
      <c r="C6665" s="180">
        <v>48</v>
      </c>
    </row>
    <row r="6666" spans="1:3" x14ac:dyDescent="0.25">
      <c r="A6666" s="178">
        <v>121691</v>
      </c>
      <c r="B6666" s="179" t="s">
        <v>456</v>
      </c>
      <c r="C6666" s="180">
        <v>75</v>
      </c>
    </row>
    <row r="6667" spans="1:3" x14ac:dyDescent="0.25">
      <c r="A6667" s="178">
        <v>121692</v>
      </c>
      <c r="B6667" s="179" t="s">
        <v>456</v>
      </c>
      <c r="C6667" s="180">
        <v>75</v>
      </c>
    </row>
    <row r="6668" spans="1:3" x14ac:dyDescent="0.25">
      <c r="A6668" s="178">
        <v>121693</v>
      </c>
      <c r="B6668" s="179" t="s">
        <v>456</v>
      </c>
      <c r="C6668" s="180">
        <v>6</v>
      </c>
    </row>
    <row r="6669" spans="1:3" x14ac:dyDescent="0.25">
      <c r="A6669" s="178">
        <v>121695</v>
      </c>
      <c r="B6669" s="179" t="s">
        <v>456</v>
      </c>
      <c r="C6669" s="180">
        <v>3</v>
      </c>
    </row>
    <row r="6670" spans="1:3" x14ac:dyDescent="0.25">
      <c r="A6670" s="178">
        <v>121696</v>
      </c>
      <c r="B6670" s="179" t="s">
        <v>456</v>
      </c>
      <c r="C6670" s="180">
        <v>6</v>
      </c>
    </row>
    <row r="6671" spans="1:3" x14ac:dyDescent="0.25">
      <c r="A6671" s="178">
        <v>121698</v>
      </c>
      <c r="B6671" s="179" t="s">
        <v>456</v>
      </c>
      <c r="C6671" s="180">
        <v>48</v>
      </c>
    </row>
    <row r="6672" spans="1:3" x14ac:dyDescent="0.25">
      <c r="A6672" s="178">
        <v>121699</v>
      </c>
      <c r="B6672" s="179" t="s">
        <v>456</v>
      </c>
      <c r="C6672" s="180">
        <v>48</v>
      </c>
    </row>
    <row r="6673" spans="1:3" x14ac:dyDescent="0.25">
      <c r="A6673" s="178">
        <v>121701</v>
      </c>
      <c r="B6673" s="179" t="s">
        <v>456</v>
      </c>
      <c r="C6673" s="180">
        <v>81</v>
      </c>
    </row>
    <row r="6674" spans="1:3" x14ac:dyDescent="0.25">
      <c r="A6674" s="178">
        <v>121702</v>
      </c>
      <c r="B6674" s="179" t="s">
        <v>456</v>
      </c>
      <c r="C6674" s="180">
        <v>56</v>
      </c>
    </row>
    <row r="6675" spans="1:3" x14ac:dyDescent="0.25">
      <c r="A6675" s="178">
        <v>121703</v>
      </c>
      <c r="B6675" s="179" t="s">
        <v>456</v>
      </c>
      <c r="C6675" s="180">
        <v>80</v>
      </c>
    </row>
    <row r="6676" spans="1:3" x14ac:dyDescent="0.25">
      <c r="A6676" s="178">
        <v>121705</v>
      </c>
      <c r="B6676" s="179" t="s">
        <v>456</v>
      </c>
      <c r="C6676" s="180">
        <v>100</v>
      </c>
    </row>
    <row r="6677" spans="1:3" x14ac:dyDescent="0.25">
      <c r="A6677" s="178">
        <v>121708</v>
      </c>
      <c r="B6677" s="179" t="s">
        <v>456</v>
      </c>
      <c r="C6677" s="180">
        <v>84</v>
      </c>
    </row>
    <row r="6678" spans="1:3" x14ac:dyDescent="0.25">
      <c r="A6678" s="178">
        <v>121709</v>
      </c>
      <c r="B6678" s="179" t="s">
        <v>456</v>
      </c>
      <c r="C6678" s="180">
        <v>176</v>
      </c>
    </row>
    <row r="6679" spans="1:3" x14ac:dyDescent="0.25">
      <c r="A6679" s="178">
        <v>121710</v>
      </c>
      <c r="B6679" s="179" t="s">
        <v>456</v>
      </c>
      <c r="C6679" s="180">
        <v>176</v>
      </c>
    </row>
    <row r="6680" spans="1:3" x14ac:dyDescent="0.25">
      <c r="A6680" s="178">
        <v>121711</v>
      </c>
      <c r="B6680" s="179" t="s">
        <v>456</v>
      </c>
      <c r="C6680" s="180">
        <v>135</v>
      </c>
    </row>
    <row r="6681" spans="1:3" x14ac:dyDescent="0.25">
      <c r="A6681" s="178">
        <v>121742</v>
      </c>
      <c r="B6681" s="179" t="s">
        <v>456</v>
      </c>
      <c r="C6681" s="180">
        <v>70</v>
      </c>
    </row>
    <row r="6682" spans="1:3" x14ac:dyDescent="0.25">
      <c r="A6682" s="178">
        <v>121755</v>
      </c>
      <c r="B6682" s="179" t="s">
        <v>456</v>
      </c>
      <c r="C6682" s="180">
        <v>3</v>
      </c>
    </row>
    <row r="6683" spans="1:3" x14ac:dyDescent="0.25">
      <c r="A6683" s="178">
        <v>121756</v>
      </c>
      <c r="B6683" s="179" t="s">
        <v>456</v>
      </c>
      <c r="C6683" s="180">
        <v>3</v>
      </c>
    </row>
    <row r="6684" spans="1:3" x14ac:dyDescent="0.25">
      <c r="A6684" s="178">
        <v>121757</v>
      </c>
      <c r="B6684" s="179" t="s">
        <v>456</v>
      </c>
      <c r="C6684" s="180">
        <v>3</v>
      </c>
    </row>
    <row r="6685" spans="1:3" x14ac:dyDescent="0.25">
      <c r="A6685" s="178">
        <v>121759</v>
      </c>
      <c r="B6685" s="179" t="s">
        <v>456</v>
      </c>
      <c r="C6685" s="180">
        <v>33</v>
      </c>
    </row>
    <row r="6686" spans="1:3" x14ac:dyDescent="0.25">
      <c r="A6686" s="178">
        <v>121760</v>
      </c>
      <c r="B6686" s="179" t="s">
        <v>456</v>
      </c>
      <c r="C6686" s="180">
        <v>63</v>
      </c>
    </row>
    <row r="6687" spans="1:3" x14ac:dyDescent="0.25">
      <c r="A6687" s="178">
        <v>121761</v>
      </c>
      <c r="B6687" s="179" t="s">
        <v>456</v>
      </c>
      <c r="C6687" s="180">
        <v>63</v>
      </c>
    </row>
    <row r="6688" spans="1:3" x14ac:dyDescent="0.25">
      <c r="A6688" s="178">
        <v>121764</v>
      </c>
      <c r="B6688" s="179" t="s">
        <v>456</v>
      </c>
      <c r="C6688" s="180">
        <v>75</v>
      </c>
    </row>
    <row r="6689" spans="1:3" x14ac:dyDescent="0.25">
      <c r="A6689" s="178">
        <v>121765</v>
      </c>
      <c r="B6689" s="179" t="s">
        <v>456</v>
      </c>
      <c r="C6689" s="180">
        <v>60</v>
      </c>
    </row>
    <row r="6690" spans="1:3" x14ac:dyDescent="0.25">
      <c r="A6690" s="178">
        <v>121766</v>
      </c>
      <c r="B6690" s="179" t="s">
        <v>456</v>
      </c>
      <c r="C6690" s="180">
        <v>85</v>
      </c>
    </row>
    <row r="6691" spans="1:3" x14ac:dyDescent="0.25">
      <c r="A6691" s="178">
        <v>121768</v>
      </c>
      <c r="B6691" s="179" t="s">
        <v>456</v>
      </c>
      <c r="C6691" s="180">
        <v>480</v>
      </c>
    </row>
    <row r="6692" spans="1:3" x14ac:dyDescent="0.25">
      <c r="A6692" s="178">
        <v>121793</v>
      </c>
      <c r="B6692" s="179" t="s">
        <v>456</v>
      </c>
      <c r="C6692" s="180">
        <v>5</v>
      </c>
    </row>
    <row r="6693" spans="1:3" x14ac:dyDescent="0.25">
      <c r="A6693" s="178">
        <v>121842</v>
      </c>
      <c r="B6693" s="179" t="s">
        <v>456</v>
      </c>
      <c r="C6693" s="180">
        <v>12</v>
      </c>
    </row>
    <row r="6694" spans="1:3" x14ac:dyDescent="0.25">
      <c r="A6694" s="178">
        <v>121846</v>
      </c>
      <c r="B6694" s="179" t="s">
        <v>456</v>
      </c>
      <c r="C6694" s="180">
        <v>231</v>
      </c>
    </row>
    <row r="6695" spans="1:3" x14ac:dyDescent="0.25">
      <c r="A6695" s="178">
        <v>121936</v>
      </c>
      <c r="B6695" s="179" t="s">
        <v>456</v>
      </c>
      <c r="C6695" s="180">
        <v>96</v>
      </c>
    </row>
    <row r="6696" spans="1:3" x14ac:dyDescent="0.25">
      <c r="A6696" s="178">
        <v>121937</v>
      </c>
      <c r="B6696" s="179" t="s">
        <v>456</v>
      </c>
      <c r="C6696" s="180">
        <v>176</v>
      </c>
    </row>
    <row r="6697" spans="1:3" x14ac:dyDescent="0.25">
      <c r="A6697" s="178">
        <v>121938</v>
      </c>
      <c r="B6697" s="179" t="s">
        <v>456</v>
      </c>
      <c r="C6697" s="180">
        <v>115</v>
      </c>
    </row>
    <row r="6698" spans="1:3" x14ac:dyDescent="0.25">
      <c r="A6698" s="178">
        <v>121941</v>
      </c>
      <c r="B6698" s="179" t="s">
        <v>456</v>
      </c>
      <c r="C6698" s="180">
        <v>115</v>
      </c>
    </row>
    <row r="6699" spans="1:3" x14ac:dyDescent="0.25">
      <c r="A6699" s="178">
        <v>121951</v>
      </c>
      <c r="B6699" s="179" t="s">
        <v>456</v>
      </c>
      <c r="C6699" s="180">
        <v>115</v>
      </c>
    </row>
    <row r="6700" spans="1:3" x14ac:dyDescent="0.25">
      <c r="A6700" s="178">
        <v>121954</v>
      </c>
      <c r="B6700" s="179" t="s">
        <v>456</v>
      </c>
      <c r="C6700" s="180">
        <v>204</v>
      </c>
    </row>
    <row r="6701" spans="1:3" x14ac:dyDescent="0.25">
      <c r="A6701" s="178">
        <v>121955</v>
      </c>
      <c r="B6701" s="179" t="s">
        <v>456</v>
      </c>
      <c r="C6701" s="180">
        <v>115</v>
      </c>
    </row>
    <row r="6702" spans="1:3" x14ac:dyDescent="0.25">
      <c r="A6702" s="178">
        <v>121957</v>
      </c>
      <c r="B6702" s="179" t="s">
        <v>456</v>
      </c>
      <c r="C6702" s="180">
        <v>160</v>
      </c>
    </row>
    <row r="6703" spans="1:3" x14ac:dyDescent="0.25">
      <c r="A6703" s="178">
        <v>121958</v>
      </c>
      <c r="B6703" s="179" t="s">
        <v>456</v>
      </c>
      <c r="C6703" s="180">
        <v>115</v>
      </c>
    </row>
    <row r="6704" spans="1:3" x14ac:dyDescent="0.25">
      <c r="A6704" s="178">
        <v>121963</v>
      </c>
      <c r="B6704" s="179" t="s">
        <v>456</v>
      </c>
      <c r="C6704" s="180">
        <v>115</v>
      </c>
    </row>
    <row r="6705" spans="1:3" x14ac:dyDescent="0.25">
      <c r="A6705" s="178">
        <v>121964</v>
      </c>
      <c r="B6705" s="179" t="s">
        <v>456</v>
      </c>
      <c r="C6705" s="180">
        <v>115</v>
      </c>
    </row>
    <row r="6706" spans="1:3" x14ac:dyDescent="0.25">
      <c r="A6706" s="178">
        <v>121965</v>
      </c>
      <c r="B6706" s="179" t="s">
        <v>456</v>
      </c>
      <c r="C6706" s="180">
        <v>115</v>
      </c>
    </row>
    <row r="6707" spans="1:3" x14ac:dyDescent="0.25">
      <c r="A6707" s="178">
        <v>121974</v>
      </c>
      <c r="B6707" s="179" t="s">
        <v>456</v>
      </c>
      <c r="C6707" s="180">
        <v>90</v>
      </c>
    </row>
    <row r="6708" spans="1:3" x14ac:dyDescent="0.25">
      <c r="A6708" s="178">
        <v>121991</v>
      </c>
      <c r="B6708" s="179" t="s">
        <v>456</v>
      </c>
      <c r="C6708" s="180">
        <v>132</v>
      </c>
    </row>
    <row r="6709" spans="1:3" x14ac:dyDescent="0.25">
      <c r="A6709" s="178">
        <v>121992</v>
      </c>
      <c r="B6709" s="179" t="s">
        <v>456</v>
      </c>
      <c r="C6709" s="180">
        <v>192</v>
      </c>
    </row>
    <row r="6710" spans="1:3" x14ac:dyDescent="0.25">
      <c r="A6710" s="178">
        <v>122012</v>
      </c>
      <c r="B6710" s="179" t="s">
        <v>456</v>
      </c>
      <c r="C6710" s="180">
        <v>72</v>
      </c>
    </row>
    <row r="6711" spans="1:3" x14ac:dyDescent="0.25">
      <c r="A6711" s="178">
        <v>122022</v>
      </c>
      <c r="B6711" s="179" t="s">
        <v>456</v>
      </c>
      <c r="C6711" s="180">
        <v>3</v>
      </c>
    </row>
    <row r="6712" spans="1:3" x14ac:dyDescent="0.25">
      <c r="A6712" s="178">
        <v>122034</v>
      </c>
      <c r="B6712" s="179" t="s">
        <v>456</v>
      </c>
      <c r="C6712" s="180">
        <v>160</v>
      </c>
    </row>
    <row r="6713" spans="1:3" x14ac:dyDescent="0.25">
      <c r="A6713" s="178">
        <v>122035</v>
      </c>
      <c r="B6713" s="179" t="s">
        <v>456</v>
      </c>
      <c r="C6713" s="180">
        <v>160</v>
      </c>
    </row>
    <row r="6714" spans="1:3" x14ac:dyDescent="0.25">
      <c r="A6714" s="178">
        <v>122036</v>
      </c>
      <c r="B6714" s="179" t="s">
        <v>456</v>
      </c>
      <c r="C6714" s="180">
        <v>160</v>
      </c>
    </row>
    <row r="6715" spans="1:3" x14ac:dyDescent="0.25">
      <c r="A6715" s="178">
        <v>122046</v>
      </c>
      <c r="B6715" s="179" t="s">
        <v>456</v>
      </c>
      <c r="C6715" s="180">
        <v>64</v>
      </c>
    </row>
    <row r="6716" spans="1:3" x14ac:dyDescent="0.25">
      <c r="A6716" s="178">
        <v>122105</v>
      </c>
      <c r="B6716" s="179" t="s">
        <v>456</v>
      </c>
      <c r="C6716" s="180">
        <v>72</v>
      </c>
    </row>
    <row r="6717" spans="1:3" x14ac:dyDescent="0.25">
      <c r="A6717" s="178">
        <v>122106</v>
      </c>
      <c r="B6717" s="179" t="s">
        <v>456</v>
      </c>
      <c r="C6717" s="180">
        <v>70</v>
      </c>
    </row>
    <row r="6718" spans="1:3" x14ac:dyDescent="0.25">
      <c r="A6718" s="178">
        <v>122107</v>
      </c>
      <c r="B6718" s="179" t="s">
        <v>456</v>
      </c>
      <c r="C6718" s="180">
        <v>70</v>
      </c>
    </row>
    <row r="6719" spans="1:3" x14ac:dyDescent="0.25">
      <c r="A6719" s="178">
        <v>122108</v>
      </c>
      <c r="B6719" s="179" t="s">
        <v>456</v>
      </c>
      <c r="C6719" s="180">
        <v>8</v>
      </c>
    </row>
    <row r="6720" spans="1:3" x14ac:dyDescent="0.25">
      <c r="A6720" s="178">
        <v>122125</v>
      </c>
      <c r="B6720" s="179" t="s">
        <v>456</v>
      </c>
      <c r="C6720" s="180">
        <v>135</v>
      </c>
    </row>
    <row r="6721" spans="1:3" x14ac:dyDescent="0.25">
      <c r="A6721" s="178">
        <v>122129</v>
      </c>
      <c r="B6721" s="179" t="s">
        <v>456</v>
      </c>
      <c r="C6721" s="180">
        <v>135</v>
      </c>
    </row>
    <row r="6722" spans="1:3" x14ac:dyDescent="0.25">
      <c r="A6722" s="178">
        <v>122130</v>
      </c>
      <c r="B6722" s="179" t="s">
        <v>456</v>
      </c>
      <c r="C6722" s="180">
        <v>115</v>
      </c>
    </row>
    <row r="6723" spans="1:3" x14ac:dyDescent="0.25">
      <c r="A6723" s="178">
        <v>122131</v>
      </c>
      <c r="B6723" s="179" t="s">
        <v>456</v>
      </c>
      <c r="C6723" s="180">
        <v>115</v>
      </c>
    </row>
    <row r="6724" spans="1:3" x14ac:dyDescent="0.25">
      <c r="A6724" s="178">
        <v>122132</v>
      </c>
      <c r="B6724" s="179" t="s">
        <v>456</v>
      </c>
      <c r="C6724" s="180">
        <v>115</v>
      </c>
    </row>
    <row r="6725" spans="1:3" x14ac:dyDescent="0.25">
      <c r="A6725" s="178">
        <v>122133</v>
      </c>
      <c r="B6725" s="179" t="s">
        <v>456</v>
      </c>
      <c r="C6725" s="180">
        <v>115</v>
      </c>
    </row>
    <row r="6726" spans="1:3" x14ac:dyDescent="0.25">
      <c r="A6726" s="178">
        <v>122134</v>
      </c>
      <c r="B6726" s="179" t="s">
        <v>456</v>
      </c>
      <c r="C6726" s="180">
        <v>115</v>
      </c>
    </row>
    <row r="6727" spans="1:3" x14ac:dyDescent="0.25">
      <c r="A6727" s="178">
        <v>122136</v>
      </c>
      <c r="B6727" s="179" t="s">
        <v>456</v>
      </c>
      <c r="C6727" s="180">
        <v>115</v>
      </c>
    </row>
    <row r="6728" spans="1:3" x14ac:dyDescent="0.25">
      <c r="A6728" s="178">
        <v>122137</v>
      </c>
      <c r="B6728" s="179" t="s">
        <v>456</v>
      </c>
      <c r="C6728" s="180">
        <v>115</v>
      </c>
    </row>
    <row r="6729" spans="1:3" x14ac:dyDescent="0.25">
      <c r="A6729" s="178">
        <v>122138</v>
      </c>
      <c r="B6729" s="179" t="s">
        <v>456</v>
      </c>
      <c r="C6729" s="180">
        <v>115</v>
      </c>
    </row>
    <row r="6730" spans="1:3" x14ac:dyDescent="0.25">
      <c r="A6730" s="178">
        <v>122140</v>
      </c>
      <c r="B6730" s="179" t="s">
        <v>456</v>
      </c>
      <c r="C6730" s="180">
        <v>135</v>
      </c>
    </row>
    <row r="6731" spans="1:3" x14ac:dyDescent="0.25">
      <c r="A6731" s="178">
        <v>122141</v>
      </c>
      <c r="B6731" s="179" t="s">
        <v>456</v>
      </c>
      <c r="C6731" s="180">
        <v>135</v>
      </c>
    </row>
    <row r="6732" spans="1:3" x14ac:dyDescent="0.25">
      <c r="A6732" s="178">
        <v>122142</v>
      </c>
      <c r="B6732" s="179" t="s">
        <v>456</v>
      </c>
      <c r="C6732" s="180">
        <v>60</v>
      </c>
    </row>
    <row r="6733" spans="1:3" x14ac:dyDescent="0.25">
      <c r="A6733" s="178">
        <v>122143</v>
      </c>
      <c r="B6733" s="179" t="s">
        <v>456</v>
      </c>
      <c r="C6733" s="180">
        <v>135</v>
      </c>
    </row>
    <row r="6734" spans="1:3" x14ac:dyDescent="0.25">
      <c r="A6734" s="178">
        <v>122144</v>
      </c>
      <c r="B6734" s="179" t="s">
        <v>456</v>
      </c>
      <c r="C6734" s="180">
        <v>60</v>
      </c>
    </row>
    <row r="6735" spans="1:3" x14ac:dyDescent="0.25">
      <c r="A6735" s="178">
        <v>122145</v>
      </c>
      <c r="B6735" s="179" t="s">
        <v>456</v>
      </c>
      <c r="C6735" s="180">
        <v>115</v>
      </c>
    </row>
    <row r="6736" spans="1:3" x14ac:dyDescent="0.25">
      <c r="A6736" s="178">
        <v>122147</v>
      </c>
      <c r="B6736" s="179" t="s">
        <v>456</v>
      </c>
      <c r="C6736" s="180">
        <v>135</v>
      </c>
    </row>
    <row r="6737" spans="1:3" x14ac:dyDescent="0.25">
      <c r="A6737" s="178">
        <v>122148</v>
      </c>
      <c r="B6737" s="179" t="s">
        <v>456</v>
      </c>
      <c r="C6737" s="180">
        <v>135</v>
      </c>
    </row>
    <row r="6738" spans="1:3" x14ac:dyDescent="0.25">
      <c r="A6738" s="178">
        <v>122150</v>
      </c>
      <c r="B6738" s="179" t="s">
        <v>456</v>
      </c>
      <c r="C6738" s="180">
        <v>135</v>
      </c>
    </row>
    <row r="6739" spans="1:3" x14ac:dyDescent="0.25">
      <c r="A6739" s="178">
        <v>122151</v>
      </c>
      <c r="B6739" s="179" t="s">
        <v>456</v>
      </c>
      <c r="C6739" s="180">
        <v>60</v>
      </c>
    </row>
    <row r="6740" spans="1:3" x14ac:dyDescent="0.25">
      <c r="A6740" s="178">
        <v>122152</v>
      </c>
      <c r="B6740" s="179" t="s">
        <v>456</v>
      </c>
      <c r="C6740" s="180">
        <v>115</v>
      </c>
    </row>
    <row r="6741" spans="1:3" x14ac:dyDescent="0.25">
      <c r="A6741" s="178">
        <v>122153</v>
      </c>
      <c r="B6741" s="179" t="s">
        <v>456</v>
      </c>
      <c r="C6741" s="180">
        <v>135</v>
      </c>
    </row>
    <row r="6742" spans="1:3" x14ac:dyDescent="0.25">
      <c r="A6742" s="178">
        <v>122155</v>
      </c>
      <c r="B6742" s="179" t="s">
        <v>456</v>
      </c>
      <c r="C6742" s="180">
        <v>130</v>
      </c>
    </row>
    <row r="6743" spans="1:3" x14ac:dyDescent="0.25">
      <c r="A6743" s="178">
        <v>122178</v>
      </c>
      <c r="B6743" s="179" t="s">
        <v>456</v>
      </c>
      <c r="C6743" s="180">
        <v>5</v>
      </c>
    </row>
    <row r="6744" spans="1:3" x14ac:dyDescent="0.25">
      <c r="A6744" s="178">
        <v>122182</v>
      </c>
      <c r="B6744" s="179" t="s">
        <v>456</v>
      </c>
      <c r="C6744" s="180">
        <v>6</v>
      </c>
    </row>
    <row r="6745" spans="1:3" x14ac:dyDescent="0.25">
      <c r="A6745" s="178">
        <v>122183</v>
      </c>
      <c r="B6745" s="179" t="s">
        <v>456</v>
      </c>
      <c r="C6745" s="180">
        <v>90</v>
      </c>
    </row>
    <row r="6746" spans="1:3" x14ac:dyDescent="0.25">
      <c r="A6746" s="178">
        <v>122185</v>
      </c>
      <c r="B6746" s="179" t="s">
        <v>456</v>
      </c>
      <c r="C6746" s="180">
        <v>49</v>
      </c>
    </row>
    <row r="6747" spans="1:3" x14ac:dyDescent="0.25">
      <c r="A6747" s="178">
        <v>122186</v>
      </c>
      <c r="B6747" s="179" t="s">
        <v>456</v>
      </c>
      <c r="C6747" s="180">
        <v>56</v>
      </c>
    </row>
    <row r="6748" spans="1:3" x14ac:dyDescent="0.25">
      <c r="A6748" s="178">
        <v>122195</v>
      </c>
      <c r="B6748" s="179" t="s">
        <v>456</v>
      </c>
      <c r="C6748" s="180">
        <v>115</v>
      </c>
    </row>
    <row r="6749" spans="1:3" x14ac:dyDescent="0.25">
      <c r="A6749" s="178">
        <v>122196</v>
      </c>
      <c r="B6749" s="179" t="s">
        <v>456</v>
      </c>
      <c r="C6749" s="180">
        <v>135</v>
      </c>
    </row>
    <row r="6750" spans="1:3" x14ac:dyDescent="0.25">
      <c r="A6750" s="178">
        <v>122197</v>
      </c>
      <c r="B6750" s="179" t="s">
        <v>456</v>
      </c>
      <c r="C6750" s="180">
        <v>6</v>
      </c>
    </row>
    <row r="6751" spans="1:3" x14ac:dyDescent="0.25">
      <c r="A6751" s="178">
        <v>122199</v>
      </c>
      <c r="B6751" s="179" t="s">
        <v>456</v>
      </c>
      <c r="C6751" s="180">
        <v>160</v>
      </c>
    </row>
    <row r="6752" spans="1:3" x14ac:dyDescent="0.25">
      <c r="A6752" s="178">
        <v>122201</v>
      </c>
      <c r="B6752" s="179" t="s">
        <v>456</v>
      </c>
      <c r="C6752" s="180">
        <v>54</v>
      </c>
    </row>
    <row r="6753" spans="1:3" x14ac:dyDescent="0.25">
      <c r="A6753" s="178">
        <v>122204</v>
      </c>
      <c r="B6753" s="179" t="s">
        <v>456</v>
      </c>
      <c r="C6753" s="180">
        <v>405</v>
      </c>
    </row>
    <row r="6754" spans="1:3" x14ac:dyDescent="0.25">
      <c r="A6754" s="178">
        <v>122205</v>
      </c>
      <c r="B6754" s="179" t="s">
        <v>456</v>
      </c>
      <c r="C6754" s="180">
        <v>405</v>
      </c>
    </row>
    <row r="6755" spans="1:3" x14ac:dyDescent="0.25">
      <c r="A6755" s="178">
        <v>122206</v>
      </c>
      <c r="B6755" s="179" t="s">
        <v>456</v>
      </c>
      <c r="C6755" s="180">
        <v>405</v>
      </c>
    </row>
    <row r="6756" spans="1:3" x14ac:dyDescent="0.25">
      <c r="A6756" s="178">
        <v>122207</v>
      </c>
      <c r="B6756" s="179" t="s">
        <v>456</v>
      </c>
      <c r="C6756" s="180">
        <v>40</v>
      </c>
    </row>
    <row r="6757" spans="1:3" x14ac:dyDescent="0.25">
      <c r="A6757" s="178">
        <v>122208</v>
      </c>
      <c r="B6757" s="179" t="s">
        <v>456</v>
      </c>
      <c r="C6757" s="180">
        <v>63</v>
      </c>
    </row>
    <row r="6758" spans="1:3" x14ac:dyDescent="0.25">
      <c r="A6758" s="178">
        <v>122209</v>
      </c>
      <c r="B6758" s="179" t="s">
        <v>456</v>
      </c>
      <c r="C6758" s="180">
        <v>63</v>
      </c>
    </row>
    <row r="6759" spans="1:3" x14ac:dyDescent="0.25">
      <c r="A6759" s="178">
        <v>122212</v>
      </c>
      <c r="B6759" s="179" t="s">
        <v>456</v>
      </c>
      <c r="C6759" s="180">
        <v>35</v>
      </c>
    </row>
    <row r="6760" spans="1:3" x14ac:dyDescent="0.25">
      <c r="A6760" s="178">
        <v>122222</v>
      </c>
      <c r="B6760" s="179" t="s">
        <v>456</v>
      </c>
      <c r="C6760" s="180">
        <v>2</v>
      </c>
    </row>
    <row r="6761" spans="1:3" x14ac:dyDescent="0.25">
      <c r="A6761" s="178">
        <v>122231</v>
      </c>
      <c r="B6761" s="179" t="s">
        <v>456</v>
      </c>
      <c r="C6761" s="180">
        <v>56</v>
      </c>
    </row>
    <row r="6762" spans="1:3" x14ac:dyDescent="0.25">
      <c r="A6762" s="178">
        <v>122232</v>
      </c>
      <c r="B6762" s="179" t="s">
        <v>456</v>
      </c>
      <c r="C6762" s="180">
        <v>72</v>
      </c>
    </row>
    <row r="6763" spans="1:3" x14ac:dyDescent="0.25">
      <c r="A6763" s="178">
        <v>122235</v>
      </c>
      <c r="B6763" s="179" t="s">
        <v>456</v>
      </c>
      <c r="C6763" s="180">
        <v>35</v>
      </c>
    </row>
    <row r="6764" spans="1:3" x14ac:dyDescent="0.25">
      <c r="A6764" s="178">
        <v>122312</v>
      </c>
      <c r="B6764" s="179" t="s">
        <v>456</v>
      </c>
      <c r="C6764" s="180">
        <v>30</v>
      </c>
    </row>
    <row r="6765" spans="1:3" x14ac:dyDescent="0.25">
      <c r="A6765" s="178">
        <v>122343</v>
      </c>
      <c r="B6765" s="179" t="s">
        <v>456</v>
      </c>
      <c r="C6765" s="180">
        <v>2</v>
      </c>
    </row>
    <row r="6766" spans="1:3" x14ac:dyDescent="0.25">
      <c r="A6766" s="178">
        <v>122434</v>
      </c>
      <c r="B6766" s="179" t="s">
        <v>456</v>
      </c>
      <c r="C6766" s="180">
        <v>168</v>
      </c>
    </row>
    <row r="6767" spans="1:3" x14ac:dyDescent="0.25">
      <c r="A6767" s="178">
        <v>122435</v>
      </c>
      <c r="B6767" s="179" t="s">
        <v>456</v>
      </c>
      <c r="C6767" s="180">
        <v>168</v>
      </c>
    </row>
    <row r="6768" spans="1:3" x14ac:dyDescent="0.25">
      <c r="A6768" s="178">
        <v>122436</v>
      </c>
      <c r="B6768" s="179" t="s">
        <v>456</v>
      </c>
      <c r="C6768" s="180">
        <v>252</v>
      </c>
    </row>
    <row r="6769" spans="1:3" x14ac:dyDescent="0.25">
      <c r="A6769" s="178">
        <v>122437</v>
      </c>
      <c r="B6769" s="179" t="s">
        <v>456</v>
      </c>
      <c r="C6769" s="180">
        <v>168</v>
      </c>
    </row>
    <row r="6770" spans="1:3" x14ac:dyDescent="0.25">
      <c r="A6770" s="178">
        <v>122439</v>
      </c>
      <c r="B6770" s="179" t="s">
        <v>456</v>
      </c>
      <c r="C6770" s="180">
        <v>190</v>
      </c>
    </row>
    <row r="6771" spans="1:3" x14ac:dyDescent="0.25">
      <c r="A6771" s="178">
        <v>122446</v>
      </c>
      <c r="B6771" s="179" t="s">
        <v>456</v>
      </c>
      <c r="C6771" s="180">
        <v>120</v>
      </c>
    </row>
    <row r="6772" spans="1:3" x14ac:dyDescent="0.25">
      <c r="A6772" s="178">
        <v>122459</v>
      </c>
      <c r="B6772" s="179" t="s">
        <v>456</v>
      </c>
      <c r="C6772" s="180">
        <v>135</v>
      </c>
    </row>
    <row r="6773" spans="1:3" x14ac:dyDescent="0.25">
      <c r="A6773" s="178">
        <v>122460</v>
      </c>
      <c r="B6773" s="179" t="s">
        <v>456</v>
      </c>
      <c r="C6773" s="180">
        <v>115</v>
      </c>
    </row>
    <row r="6774" spans="1:3" x14ac:dyDescent="0.25">
      <c r="A6774" s="178">
        <v>122463</v>
      </c>
      <c r="B6774" s="179" t="s">
        <v>456</v>
      </c>
      <c r="C6774" s="180">
        <v>135</v>
      </c>
    </row>
    <row r="6775" spans="1:3" x14ac:dyDescent="0.25">
      <c r="A6775" s="178">
        <v>122465</v>
      </c>
      <c r="B6775" s="179" t="s">
        <v>456</v>
      </c>
      <c r="C6775" s="180">
        <v>135</v>
      </c>
    </row>
    <row r="6776" spans="1:3" x14ac:dyDescent="0.25">
      <c r="A6776" s="178">
        <v>122466</v>
      </c>
      <c r="B6776" s="179" t="s">
        <v>456</v>
      </c>
      <c r="C6776" s="180">
        <v>162</v>
      </c>
    </row>
    <row r="6777" spans="1:3" x14ac:dyDescent="0.25">
      <c r="A6777" s="178">
        <v>122477</v>
      </c>
      <c r="B6777" s="179" t="s">
        <v>456</v>
      </c>
      <c r="C6777" s="180">
        <v>115</v>
      </c>
    </row>
    <row r="6778" spans="1:3" x14ac:dyDescent="0.25">
      <c r="A6778" s="178">
        <v>122478</v>
      </c>
      <c r="B6778" s="179" t="s">
        <v>456</v>
      </c>
      <c r="C6778" s="180">
        <v>115</v>
      </c>
    </row>
    <row r="6779" spans="1:3" x14ac:dyDescent="0.25">
      <c r="A6779" s="178">
        <v>122479</v>
      </c>
      <c r="B6779" s="179" t="s">
        <v>456</v>
      </c>
      <c r="C6779" s="180">
        <v>115</v>
      </c>
    </row>
    <row r="6780" spans="1:3" x14ac:dyDescent="0.25">
      <c r="A6780" s="178">
        <v>122490</v>
      </c>
      <c r="B6780" s="179" t="s">
        <v>456</v>
      </c>
      <c r="C6780" s="180">
        <v>176</v>
      </c>
    </row>
    <row r="6781" spans="1:3" x14ac:dyDescent="0.25">
      <c r="A6781" s="178">
        <v>122492</v>
      </c>
      <c r="B6781" s="179" t="s">
        <v>456</v>
      </c>
      <c r="C6781" s="180">
        <v>176</v>
      </c>
    </row>
    <row r="6782" spans="1:3" x14ac:dyDescent="0.25">
      <c r="A6782" s="178">
        <v>122493</v>
      </c>
      <c r="B6782" s="179" t="s">
        <v>456</v>
      </c>
      <c r="C6782" s="180">
        <v>176</v>
      </c>
    </row>
    <row r="6783" spans="1:3" x14ac:dyDescent="0.25">
      <c r="A6783" s="178">
        <v>122494</v>
      </c>
      <c r="B6783" s="179" t="s">
        <v>456</v>
      </c>
      <c r="C6783" s="180">
        <v>176</v>
      </c>
    </row>
    <row r="6784" spans="1:3" x14ac:dyDescent="0.25">
      <c r="A6784" s="178">
        <v>122499</v>
      </c>
      <c r="B6784" s="179" t="s">
        <v>456</v>
      </c>
      <c r="C6784" s="180">
        <v>3</v>
      </c>
    </row>
    <row r="6785" spans="1:3" x14ac:dyDescent="0.25">
      <c r="A6785" s="178">
        <v>122501</v>
      </c>
      <c r="B6785" s="179" t="s">
        <v>456</v>
      </c>
      <c r="C6785" s="180">
        <v>162</v>
      </c>
    </row>
    <row r="6786" spans="1:3" x14ac:dyDescent="0.25">
      <c r="A6786" s="178">
        <v>122507</v>
      </c>
      <c r="B6786" s="179" t="s">
        <v>456</v>
      </c>
      <c r="C6786" s="180">
        <v>52</v>
      </c>
    </row>
    <row r="6787" spans="1:3" x14ac:dyDescent="0.25">
      <c r="A6787" s="178">
        <v>122530</v>
      </c>
      <c r="B6787" s="179" t="s">
        <v>456</v>
      </c>
      <c r="C6787" s="180">
        <v>3</v>
      </c>
    </row>
    <row r="6788" spans="1:3" x14ac:dyDescent="0.25">
      <c r="A6788" s="178">
        <v>122573</v>
      </c>
      <c r="B6788" s="179" t="s">
        <v>456</v>
      </c>
      <c r="C6788" s="180">
        <v>48</v>
      </c>
    </row>
    <row r="6789" spans="1:3" x14ac:dyDescent="0.25">
      <c r="A6789" s="178">
        <v>122574</v>
      </c>
      <c r="B6789" s="179" t="s">
        <v>456</v>
      </c>
      <c r="C6789" s="180">
        <v>48</v>
      </c>
    </row>
    <row r="6790" spans="1:3" x14ac:dyDescent="0.25">
      <c r="A6790" s="178">
        <v>122575</v>
      </c>
      <c r="B6790" s="179" t="s">
        <v>456</v>
      </c>
      <c r="C6790" s="180">
        <v>70</v>
      </c>
    </row>
    <row r="6791" spans="1:3" x14ac:dyDescent="0.25">
      <c r="A6791" s="178">
        <v>122668</v>
      </c>
      <c r="B6791" s="179" t="s">
        <v>456</v>
      </c>
      <c r="C6791" s="180">
        <v>8</v>
      </c>
    </row>
    <row r="6792" spans="1:3" x14ac:dyDescent="0.25">
      <c r="A6792" s="178">
        <v>122844</v>
      </c>
      <c r="B6792" s="179" t="s">
        <v>456</v>
      </c>
      <c r="C6792" s="180">
        <v>130</v>
      </c>
    </row>
    <row r="6793" spans="1:3" x14ac:dyDescent="0.25">
      <c r="A6793" s="178">
        <v>122881</v>
      </c>
      <c r="B6793" s="179" t="s">
        <v>456</v>
      </c>
      <c r="C6793" s="180">
        <v>30</v>
      </c>
    </row>
    <row r="6794" spans="1:3" x14ac:dyDescent="0.25">
      <c r="A6794" s="178">
        <v>122918</v>
      </c>
      <c r="B6794" s="179" t="s">
        <v>456</v>
      </c>
      <c r="C6794" s="180">
        <v>198</v>
      </c>
    </row>
    <row r="6795" spans="1:3" x14ac:dyDescent="0.25">
      <c r="A6795" s="178">
        <v>122919</v>
      </c>
      <c r="B6795" s="179" t="s">
        <v>456</v>
      </c>
      <c r="C6795" s="180">
        <v>198</v>
      </c>
    </row>
    <row r="6796" spans="1:3" x14ac:dyDescent="0.25">
      <c r="A6796" s="178">
        <v>122920</v>
      </c>
      <c r="B6796" s="179" t="s">
        <v>456</v>
      </c>
      <c r="C6796" s="180">
        <v>198</v>
      </c>
    </row>
    <row r="6797" spans="1:3" x14ac:dyDescent="0.25">
      <c r="A6797" s="178">
        <v>122921</v>
      </c>
      <c r="B6797" s="179" t="s">
        <v>456</v>
      </c>
      <c r="C6797" s="180">
        <v>198</v>
      </c>
    </row>
    <row r="6798" spans="1:3" x14ac:dyDescent="0.25">
      <c r="A6798" s="178">
        <v>122922</v>
      </c>
      <c r="B6798" s="179" t="s">
        <v>456</v>
      </c>
      <c r="C6798" s="180">
        <v>198</v>
      </c>
    </row>
    <row r="6799" spans="1:3" x14ac:dyDescent="0.25">
      <c r="A6799" s="178">
        <v>122923</v>
      </c>
      <c r="B6799" s="179" t="s">
        <v>456</v>
      </c>
      <c r="C6799" s="180">
        <v>75</v>
      </c>
    </row>
    <row r="6800" spans="1:3" x14ac:dyDescent="0.25">
      <c r="A6800" s="178">
        <v>122924</v>
      </c>
      <c r="B6800" s="179" t="s">
        <v>456</v>
      </c>
      <c r="C6800" s="180">
        <v>75</v>
      </c>
    </row>
    <row r="6801" spans="1:3" x14ac:dyDescent="0.25">
      <c r="A6801" s="178">
        <v>122925</v>
      </c>
      <c r="B6801" s="179" t="s">
        <v>456</v>
      </c>
      <c r="C6801" s="180">
        <v>176</v>
      </c>
    </row>
    <row r="6802" spans="1:3" x14ac:dyDescent="0.25">
      <c r="A6802" s="178">
        <v>122926</v>
      </c>
      <c r="B6802" s="179" t="s">
        <v>456</v>
      </c>
      <c r="C6802" s="180">
        <v>130</v>
      </c>
    </row>
    <row r="6803" spans="1:3" x14ac:dyDescent="0.25">
      <c r="A6803" s="178">
        <v>122934</v>
      </c>
      <c r="B6803" s="179" t="s">
        <v>456</v>
      </c>
      <c r="C6803" s="180">
        <v>3</v>
      </c>
    </row>
    <row r="6804" spans="1:3" x14ac:dyDescent="0.25">
      <c r="A6804" s="178">
        <v>122981</v>
      </c>
      <c r="B6804" s="179" t="s">
        <v>456</v>
      </c>
      <c r="C6804" s="180">
        <v>56</v>
      </c>
    </row>
    <row r="6805" spans="1:3" x14ac:dyDescent="0.25">
      <c r="A6805" s="178">
        <v>123031</v>
      </c>
      <c r="B6805" s="179" t="s">
        <v>456</v>
      </c>
      <c r="C6805" s="180">
        <v>115</v>
      </c>
    </row>
    <row r="6806" spans="1:3" x14ac:dyDescent="0.25">
      <c r="A6806" s="178">
        <v>123032</v>
      </c>
      <c r="B6806" s="179" t="s">
        <v>456</v>
      </c>
      <c r="C6806" s="180">
        <v>115</v>
      </c>
    </row>
    <row r="6807" spans="1:3" x14ac:dyDescent="0.25">
      <c r="A6807" s="178">
        <v>123033</v>
      </c>
      <c r="B6807" s="179" t="s">
        <v>456</v>
      </c>
      <c r="C6807" s="180">
        <v>56</v>
      </c>
    </row>
    <row r="6808" spans="1:3" x14ac:dyDescent="0.25">
      <c r="A6808" s="178">
        <v>123034</v>
      </c>
      <c r="B6808" s="179" t="s">
        <v>456</v>
      </c>
      <c r="C6808" s="180">
        <v>84</v>
      </c>
    </row>
    <row r="6809" spans="1:3" x14ac:dyDescent="0.25">
      <c r="A6809" s="178">
        <v>123035</v>
      </c>
      <c r="B6809" s="179" t="s">
        <v>456</v>
      </c>
      <c r="C6809" s="180">
        <v>84</v>
      </c>
    </row>
    <row r="6810" spans="1:3" x14ac:dyDescent="0.25">
      <c r="A6810" s="178">
        <v>123041</v>
      </c>
      <c r="B6810" s="179" t="s">
        <v>456</v>
      </c>
      <c r="C6810" s="180">
        <v>115</v>
      </c>
    </row>
    <row r="6811" spans="1:3" x14ac:dyDescent="0.25">
      <c r="A6811" s="178">
        <v>123042</v>
      </c>
      <c r="B6811" s="179" t="s">
        <v>456</v>
      </c>
      <c r="C6811" s="180">
        <v>115</v>
      </c>
    </row>
    <row r="6812" spans="1:3" x14ac:dyDescent="0.25">
      <c r="A6812" s="178">
        <v>123044</v>
      </c>
      <c r="B6812" s="179" t="s">
        <v>456</v>
      </c>
      <c r="C6812" s="180">
        <v>115</v>
      </c>
    </row>
    <row r="6813" spans="1:3" x14ac:dyDescent="0.25">
      <c r="A6813" s="178">
        <v>123051</v>
      </c>
      <c r="B6813" s="179" t="s">
        <v>456</v>
      </c>
      <c r="C6813" s="180">
        <v>168</v>
      </c>
    </row>
    <row r="6814" spans="1:3" x14ac:dyDescent="0.25">
      <c r="A6814" s="178">
        <v>123061</v>
      </c>
      <c r="B6814" s="179" t="s">
        <v>456</v>
      </c>
      <c r="C6814" s="180">
        <v>190</v>
      </c>
    </row>
    <row r="6815" spans="1:3" x14ac:dyDescent="0.25">
      <c r="A6815" s="178">
        <v>123062</v>
      </c>
      <c r="B6815" s="179" t="s">
        <v>456</v>
      </c>
      <c r="C6815" s="180">
        <v>190</v>
      </c>
    </row>
    <row r="6816" spans="1:3" x14ac:dyDescent="0.25">
      <c r="A6816" s="178">
        <v>123063</v>
      </c>
      <c r="B6816" s="179" t="s">
        <v>456</v>
      </c>
      <c r="C6816" s="180">
        <v>190</v>
      </c>
    </row>
    <row r="6817" spans="1:3" x14ac:dyDescent="0.25">
      <c r="A6817" s="178">
        <v>123064</v>
      </c>
      <c r="B6817" s="179" t="s">
        <v>456</v>
      </c>
      <c r="C6817" s="180">
        <v>63</v>
      </c>
    </row>
    <row r="6818" spans="1:3" x14ac:dyDescent="0.25">
      <c r="A6818" s="178">
        <v>123065</v>
      </c>
      <c r="B6818" s="179" t="s">
        <v>456</v>
      </c>
      <c r="C6818" s="180">
        <v>176</v>
      </c>
    </row>
    <row r="6819" spans="1:3" x14ac:dyDescent="0.25">
      <c r="A6819" s="178">
        <v>123066</v>
      </c>
      <c r="B6819" s="179" t="s">
        <v>456</v>
      </c>
      <c r="C6819" s="180">
        <v>135</v>
      </c>
    </row>
    <row r="6820" spans="1:3" x14ac:dyDescent="0.25">
      <c r="A6820" s="178">
        <v>123081</v>
      </c>
      <c r="B6820" s="179" t="s">
        <v>456</v>
      </c>
      <c r="C6820" s="180">
        <v>12</v>
      </c>
    </row>
    <row r="6821" spans="1:3" x14ac:dyDescent="0.25">
      <c r="A6821" s="178">
        <v>123085</v>
      </c>
      <c r="B6821" s="179" t="s">
        <v>456</v>
      </c>
      <c r="C6821" s="180">
        <v>135</v>
      </c>
    </row>
    <row r="6822" spans="1:3" x14ac:dyDescent="0.25">
      <c r="A6822" s="178">
        <v>123086</v>
      </c>
      <c r="B6822" s="179" t="s">
        <v>456</v>
      </c>
      <c r="C6822" s="180">
        <v>115</v>
      </c>
    </row>
    <row r="6823" spans="1:3" x14ac:dyDescent="0.25">
      <c r="A6823" s="178">
        <v>123087</v>
      </c>
      <c r="B6823" s="179" t="s">
        <v>456</v>
      </c>
      <c r="C6823" s="180">
        <v>140</v>
      </c>
    </row>
    <row r="6824" spans="1:3" x14ac:dyDescent="0.25">
      <c r="A6824" s="178">
        <v>123088</v>
      </c>
      <c r="B6824" s="179" t="s">
        <v>456</v>
      </c>
      <c r="C6824" s="180">
        <v>140</v>
      </c>
    </row>
    <row r="6825" spans="1:3" x14ac:dyDescent="0.25">
      <c r="A6825" s="178">
        <v>123089</v>
      </c>
      <c r="B6825" s="179" t="s">
        <v>456</v>
      </c>
      <c r="C6825" s="180">
        <v>140</v>
      </c>
    </row>
    <row r="6826" spans="1:3" x14ac:dyDescent="0.25">
      <c r="A6826" s="178">
        <v>123101</v>
      </c>
      <c r="B6826" s="179" t="s">
        <v>456</v>
      </c>
      <c r="C6826" s="180">
        <v>70</v>
      </c>
    </row>
    <row r="6827" spans="1:3" x14ac:dyDescent="0.25">
      <c r="A6827" s="178">
        <v>123111</v>
      </c>
      <c r="B6827" s="179" t="s">
        <v>456</v>
      </c>
      <c r="C6827" s="180">
        <v>135</v>
      </c>
    </row>
    <row r="6828" spans="1:3" x14ac:dyDescent="0.25">
      <c r="A6828" s="178">
        <v>123129</v>
      </c>
      <c r="B6828" s="179" t="s">
        <v>456</v>
      </c>
      <c r="C6828" s="180">
        <v>162</v>
      </c>
    </row>
    <row r="6829" spans="1:3" x14ac:dyDescent="0.25">
      <c r="A6829" s="178">
        <v>123141</v>
      </c>
      <c r="B6829" s="179" t="s">
        <v>456</v>
      </c>
      <c r="C6829" s="180">
        <v>115</v>
      </c>
    </row>
    <row r="6830" spans="1:3" x14ac:dyDescent="0.25">
      <c r="A6830" s="178">
        <v>123142</v>
      </c>
      <c r="B6830" s="179" t="s">
        <v>456</v>
      </c>
      <c r="C6830" s="180">
        <v>135</v>
      </c>
    </row>
    <row r="6831" spans="1:3" x14ac:dyDescent="0.25">
      <c r="A6831" s="178">
        <v>123143</v>
      </c>
      <c r="B6831" s="179" t="s">
        <v>456</v>
      </c>
      <c r="C6831" s="180">
        <v>135</v>
      </c>
    </row>
    <row r="6832" spans="1:3" x14ac:dyDescent="0.25">
      <c r="A6832" s="178">
        <v>123155</v>
      </c>
      <c r="B6832" s="179" t="s">
        <v>456</v>
      </c>
      <c r="C6832" s="180">
        <v>90</v>
      </c>
    </row>
    <row r="6833" spans="1:3" x14ac:dyDescent="0.25">
      <c r="A6833" s="178">
        <v>123161</v>
      </c>
      <c r="B6833" s="179" t="s">
        <v>456</v>
      </c>
      <c r="C6833" s="180">
        <v>3</v>
      </c>
    </row>
    <row r="6834" spans="1:3" x14ac:dyDescent="0.25">
      <c r="A6834" s="178">
        <v>123162</v>
      </c>
      <c r="B6834" s="179" t="s">
        <v>456</v>
      </c>
      <c r="C6834" s="180">
        <v>3</v>
      </c>
    </row>
    <row r="6835" spans="1:3" x14ac:dyDescent="0.25">
      <c r="A6835" s="178">
        <v>123163</v>
      </c>
      <c r="B6835" s="179" t="s">
        <v>456</v>
      </c>
      <c r="C6835" s="180">
        <v>2</v>
      </c>
    </row>
    <row r="6836" spans="1:3" x14ac:dyDescent="0.25">
      <c r="A6836" s="178">
        <v>123168</v>
      </c>
      <c r="B6836" s="179" t="s">
        <v>456</v>
      </c>
      <c r="C6836" s="180">
        <v>115</v>
      </c>
    </row>
    <row r="6837" spans="1:3" x14ac:dyDescent="0.25">
      <c r="A6837" s="178">
        <v>123172</v>
      </c>
      <c r="B6837" s="179" t="s">
        <v>456</v>
      </c>
      <c r="C6837" s="180">
        <v>115</v>
      </c>
    </row>
    <row r="6838" spans="1:3" x14ac:dyDescent="0.25">
      <c r="A6838" s="178">
        <v>123174</v>
      </c>
      <c r="B6838" s="179" t="s">
        <v>456</v>
      </c>
      <c r="C6838" s="180">
        <v>115</v>
      </c>
    </row>
    <row r="6839" spans="1:3" x14ac:dyDescent="0.25">
      <c r="A6839" s="178">
        <v>123175</v>
      </c>
      <c r="B6839" s="179" t="s">
        <v>456</v>
      </c>
      <c r="C6839" s="180">
        <v>115</v>
      </c>
    </row>
    <row r="6840" spans="1:3" x14ac:dyDescent="0.25">
      <c r="A6840" s="178">
        <v>123197</v>
      </c>
      <c r="B6840" s="179" t="s">
        <v>456</v>
      </c>
      <c r="C6840" s="180">
        <v>162</v>
      </c>
    </row>
    <row r="6841" spans="1:3" x14ac:dyDescent="0.25">
      <c r="A6841" s="178">
        <v>123198</v>
      </c>
      <c r="B6841" s="179" t="s">
        <v>456</v>
      </c>
      <c r="C6841" s="180">
        <v>162</v>
      </c>
    </row>
    <row r="6842" spans="1:3" x14ac:dyDescent="0.25">
      <c r="A6842" s="178">
        <v>123199</v>
      </c>
      <c r="B6842" s="179" t="s">
        <v>456</v>
      </c>
      <c r="C6842" s="180">
        <v>162</v>
      </c>
    </row>
    <row r="6843" spans="1:3" x14ac:dyDescent="0.25">
      <c r="A6843" s="178">
        <v>123200</v>
      </c>
      <c r="B6843" s="179" t="s">
        <v>456</v>
      </c>
      <c r="C6843" s="180">
        <v>162</v>
      </c>
    </row>
    <row r="6844" spans="1:3" x14ac:dyDescent="0.25">
      <c r="A6844" s="178">
        <v>123201</v>
      </c>
      <c r="B6844" s="179" t="s">
        <v>456</v>
      </c>
      <c r="C6844" s="180">
        <v>162</v>
      </c>
    </row>
    <row r="6845" spans="1:3" x14ac:dyDescent="0.25">
      <c r="A6845" s="178">
        <v>123202</v>
      </c>
      <c r="B6845" s="179" t="s">
        <v>456</v>
      </c>
      <c r="C6845" s="180">
        <v>162</v>
      </c>
    </row>
    <row r="6846" spans="1:3" x14ac:dyDescent="0.25">
      <c r="A6846" s="178">
        <v>123203</v>
      </c>
      <c r="B6846" s="179" t="s">
        <v>456</v>
      </c>
      <c r="C6846" s="180">
        <v>115</v>
      </c>
    </row>
    <row r="6847" spans="1:3" x14ac:dyDescent="0.25">
      <c r="A6847" s="178">
        <v>123204</v>
      </c>
      <c r="B6847" s="179" t="s">
        <v>456</v>
      </c>
      <c r="C6847" s="180">
        <v>162</v>
      </c>
    </row>
    <row r="6848" spans="1:3" x14ac:dyDescent="0.25">
      <c r="A6848" s="178">
        <v>123205</v>
      </c>
      <c r="B6848" s="179" t="s">
        <v>456</v>
      </c>
      <c r="C6848" s="180">
        <v>135</v>
      </c>
    </row>
    <row r="6849" spans="1:3" x14ac:dyDescent="0.25">
      <c r="A6849" s="178">
        <v>123207</v>
      </c>
      <c r="B6849" s="179" t="s">
        <v>456</v>
      </c>
      <c r="C6849" s="180">
        <v>115</v>
      </c>
    </row>
    <row r="6850" spans="1:3" x14ac:dyDescent="0.25">
      <c r="A6850" s="178">
        <v>123208</v>
      </c>
      <c r="B6850" s="179" t="s">
        <v>456</v>
      </c>
      <c r="C6850" s="180">
        <v>115</v>
      </c>
    </row>
    <row r="6851" spans="1:3" x14ac:dyDescent="0.25">
      <c r="A6851" s="178">
        <v>123210</v>
      </c>
      <c r="B6851" s="179" t="s">
        <v>456</v>
      </c>
      <c r="C6851" s="180">
        <v>115</v>
      </c>
    </row>
    <row r="6852" spans="1:3" x14ac:dyDescent="0.25">
      <c r="A6852" s="178">
        <v>123211</v>
      </c>
      <c r="B6852" s="179" t="s">
        <v>456</v>
      </c>
      <c r="C6852" s="180">
        <v>135</v>
      </c>
    </row>
    <row r="6853" spans="1:3" x14ac:dyDescent="0.25">
      <c r="A6853" s="178">
        <v>123212</v>
      </c>
      <c r="B6853" s="179" t="s">
        <v>456</v>
      </c>
      <c r="C6853" s="180">
        <v>115</v>
      </c>
    </row>
    <row r="6854" spans="1:3" x14ac:dyDescent="0.25">
      <c r="A6854" s="178">
        <v>123213</v>
      </c>
      <c r="B6854" s="179" t="s">
        <v>456</v>
      </c>
      <c r="C6854" s="180">
        <v>135</v>
      </c>
    </row>
    <row r="6855" spans="1:3" x14ac:dyDescent="0.25">
      <c r="A6855" s="178">
        <v>123214</v>
      </c>
      <c r="B6855" s="179" t="s">
        <v>456</v>
      </c>
      <c r="C6855" s="180">
        <v>135</v>
      </c>
    </row>
    <row r="6856" spans="1:3" x14ac:dyDescent="0.25">
      <c r="A6856" s="178">
        <v>123215</v>
      </c>
      <c r="B6856" s="179" t="s">
        <v>456</v>
      </c>
      <c r="C6856" s="180">
        <v>115</v>
      </c>
    </row>
    <row r="6857" spans="1:3" x14ac:dyDescent="0.25">
      <c r="A6857" s="178">
        <v>123217</v>
      </c>
      <c r="B6857" s="179" t="s">
        <v>456</v>
      </c>
      <c r="C6857" s="180">
        <v>135</v>
      </c>
    </row>
    <row r="6858" spans="1:3" x14ac:dyDescent="0.25">
      <c r="A6858" s="178">
        <v>123218</v>
      </c>
      <c r="B6858" s="179" t="s">
        <v>456</v>
      </c>
      <c r="C6858" s="180">
        <v>135</v>
      </c>
    </row>
    <row r="6859" spans="1:3" x14ac:dyDescent="0.25">
      <c r="A6859" s="178">
        <v>123219</v>
      </c>
      <c r="B6859" s="179" t="s">
        <v>456</v>
      </c>
      <c r="C6859" s="180">
        <v>135</v>
      </c>
    </row>
    <row r="6860" spans="1:3" x14ac:dyDescent="0.25">
      <c r="A6860" s="178">
        <v>123252</v>
      </c>
      <c r="B6860" s="179" t="s">
        <v>456</v>
      </c>
      <c r="C6860" s="180">
        <v>135</v>
      </c>
    </row>
    <row r="6861" spans="1:3" x14ac:dyDescent="0.25">
      <c r="A6861" s="178">
        <v>123253</v>
      </c>
      <c r="B6861" s="179" t="s">
        <v>456</v>
      </c>
      <c r="C6861" s="180">
        <v>135</v>
      </c>
    </row>
    <row r="6862" spans="1:3" x14ac:dyDescent="0.25">
      <c r="A6862" s="178">
        <v>123261</v>
      </c>
      <c r="B6862" s="179" t="s">
        <v>456</v>
      </c>
      <c r="C6862" s="180">
        <v>135</v>
      </c>
    </row>
    <row r="6863" spans="1:3" x14ac:dyDescent="0.25">
      <c r="A6863" s="178">
        <v>123263</v>
      </c>
      <c r="B6863" s="179" t="s">
        <v>456</v>
      </c>
      <c r="C6863" s="180">
        <v>162</v>
      </c>
    </row>
    <row r="6864" spans="1:3" x14ac:dyDescent="0.25">
      <c r="A6864" s="178">
        <v>123268</v>
      </c>
      <c r="B6864" s="179" t="s">
        <v>456</v>
      </c>
      <c r="C6864" s="180">
        <v>162</v>
      </c>
    </row>
    <row r="6865" spans="1:3" x14ac:dyDescent="0.25">
      <c r="A6865" s="178">
        <v>123269</v>
      </c>
      <c r="B6865" s="179" t="s">
        <v>456</v>
      </c>
      <c r="C6865" s="180">
        <v>162</v>
      </c>
    </row>
    <row r="6866" spans="1:3" x14ac:dyDescent="0.25">
      <c r="A6866" s="178">
        <v>123270</v>
      </c>
      <c r="B6866" s="179" t="s">
        <v>456</v>
      </c>
      <c r="C6866" s="180">
        <v>162</v>
      </c>
    </row>
    <row r="6867" spans="1:3" x14ac:dyDescent="0.25">
      <c r="A6867" s="178">
        <v>123271</v>
      </c>
      <c r="B6867" s="179" t="s">
        <v>456</v>
      </c>
      <c r="C6867" s="180">
        <v>162</v>
      </c>
    </row>
    <row r="6868" spans="1:3" x14ac:dyDescent="0.25">
      <c r="A6868" s="178">
        <v>123272</v>
      </c>
      <c r="B6868" s="179" t="s">
        <v>456</v>
      </c>
      <c r="C6868" s="180">
        <v>162</v>
      </c>
    </row>
    <row r="6869" spans="1:3" x14ac:dyDescent="0.25">
      <c r="A6869" s="178">
        <v>123273</v>
      </c>
      <c r="B6869" s="179" t="s">
        <v>456</v>
      </c>
      <c r="C6869" s="180">
        <v>162</v>
      </c>
    </row>
    <row r="6870" spans="1:3" x14ac:dyDescent="0.25">
      <c r="A6870" s="178">
        <v>123274</v>
      </c>
      <c r="B6870" s="179" t="s">
        <v>456</v>
      </c>
      <c r="C6870" s="180">
        <v>162</v>
      </c>
    </row>
    <row r="6871" spans="1:3" x14ac:dyDescent="0.25">
      <c r="A6871" s="178">
        <v>123311</v>
      </c>
      <c r="B6871" s="179" t="s">
        <v>456</v>
      </c>
      <c r="C6871" s="180">
        <v>70</v>
      </c>
    </row>
    <row r="6872" spans="1:3" x14ac:dyDescent="0.25">
      <c r="A6872" s="178">
        <v>123312</v>
      </c>
      <c r="B6872" s="179" t="s">
        <v>456</v>
      </c>
      <c r="C6872" s="180">
        <v>70</v>
      </c>
    </row>
    <row r="6873" spans="1:3" x14ac:dyDescent="0.25">
      <c r="A6873" s="178">
        <v>123326</v>
      </c>
      <c r="B6873" s="179" t="s">
        <v>456</v>
      </c>
      <c r="C6873" s="180">
        <v>600</v>
      </c>
    </row>
    <row r="6874" spans="1:3" x14ac:dyDescent="0.25">
      <c r="A6874" s="178">
        <v>123329</v>
      </c>
      <c r="B6874" s="179" t="s">
        <v>456</v>
      </c>
      <c r="C6874" s="180">
        <v>135</v>
      </c>
    </row>
    <row r="6875" spans="1:3" x14ac:dyDescent="0.25">
      <c r="A6875" s="178">
        <v>123330</v>
      </c>
      <c r="B6875" s="179" t="s">
        <v>456</v>
      </c>
      <c r="C6875" s="180">
        <v>135</v>
      </c>
    </row>
    <row r="6876" spans="1:3" x14ac:dyDescent="0.25">
      <c r="A6876" s="178">
        <v>123331</v>
      </c>
      <c r="B6876" s="179" t="s">
        <v>456</v>
      </c>
      <c r="C6876" s="180">
        <v>135</v>
      </c>
    </row>
    <row r="6877" spans="1:3" x14ac:dyDescent="0.25">
      <c r="A6877" s="178">
        <v>123381</v>
      </c>
      <c r="B6877" s="179" t="s">
        <v>456</v>
      </c>
      <c r="C6877" s="180">
        <v>115</v>
      </c>
    </row>
    <row r="6878" spans="1:3" x14ac:dyDescent="0.25">
      <c r="A6878" s="178">
        <v>123382</v>
      </c>
      <c r="B6878" s="179" t="s">
        <v>456</v>
      </c>
      <c r="C6878" s="180">
        <v>115</v>
      </c>
    </row>
    <row r="6879" spans="1:3" x14ac:dyDescent="0.25">
      <c r="A6879" s="178">
        <v>123383</v>
      </c>
      <c r="B6879" s="179" t="s">
        <v>456</v>
      </c>
      <c r="C6879" s="180">
        <v>115</v>
      </c>
    </row>
    <row r="6880" spans="1:3" x14ac:dyDescent="0.25">
      <c r="A6880" s="178">
        <v>123384</v>
      </c>
      <c r="B6880" s="179" t="s">
        <v>456</v>
      </c>
      <c r="C6880" s="180">
        <v>115</v>
      </c>
    </row>
    <row r="6881" spans="1:3" x14ac:dyDescent="0.25">
      <c r="A6881" s="178">
        <v>123385</v>
      </c>
      <c r="B6881" s="179" t="s">
        <v>456</v>
      </c>
      <c r="C6881" s="180">
        <v>115</v>
      </c>
    </row>
    <row r="6882" spans="1:3" x14ac:dyDescent="0.25">
      <c r="A6882" s="178">
        <v>123397</v>
      </c>
      <c r="B6882" s="179" t="s">
        <v>456</v>
      </c>
      <c r="C6882" s="180">
        <v>3</v>
      </c>
    </row>
    <row r="6883" spans="1:3" x14ac:dyDescent="0.25">
      <c r="A6883" s="178">
        <v>123398</v>
      </c>
      <c r="B6883" s="179" t="s">
        <v>456</v>
      </c>
      <c r="C6883" s="180">
        <v>2</v>
      </c>
    </row>
    <row r="6884" spans="1:3" x14ac:dyDescent="0.25">
      <c r="A6884" s="178">
        <v>123399</v>
      </c>
      <c r="B6884" s="179" t="s">
        <v>456</v>
      </c>
      <c r="C6884" s="180">
        <v>3</v>
      </c>
    </row>
    <row r="6885" spans="1:3" x14ac:dyDescent="0.25">
      <c r="A6885" s="178">
        <v>123405</v>
      </c>
      <c r="B6885" s="179" t="s">
        <v>456</v>
      </c>
      <c r="C6885" s="180">
        <v>6</v>
      </c>
    </row>
    <row r="6886" spans="1:3" x14ac:dyDescent="0.25">
      <c r="A6886" s="178">
        <v>123406</v>
      </c>
      <c r="B6886" s="179" t="s">
        <v>456</v>
      </c>
      <c r="C6886" s="180">
        <v>6</v>
      </c>
    </row>
    <row r="6887" spans="1:3" x14ac:dyDescent="0.25">
      <c r="A6887" s="178">
        <v>123407</v>
      </c>
      <c r="B6887" s="179" t="s">
        <v>456</v>
      </c>
      <c r="C6887" s="180">
        <v>6</v>
      </c>
    </row>
    <row r="6888" spans="1:3" x14ac:dyDescent="0.25">
      <c r="A6888" s="178">
        <v>123408</v>
      </c>
      <c r="B6888" s="179" t="s">
        <v>456</v>
      </c>
      <c r="C6888" s="180">
        <v>6</v>
      </c>
    </row>
    <row r="6889" spans="1:3" x14ac:dyDescent="0.25">
      <c r="A6889" s="178">
        <v>123409</v>
      </c>
      <c r="B6889" s="179" t="s">
        <v>456</v>
      </c>
      <c r="C6889" s="180">
        <v>120</v>
      </c>
    </row>
    <row r="6890" spans="1:3" x14ac:dyDescent="0.25">
      <c r="A6890" s="178">
        <v>123410</v>
      </c>
      <c r="B6890" s="179" t="s">
        <v>456</v>
      </c>
      <c r="C6890" s="180">
        <v>120</v>
      </c>
    </row>
    <row r="6891" spans="1:3" x14ac:dyDescent="0.25">
      <c r="A6891" s="178">
        <v>123411</v>
      </c>
      <c r="B6891" s="179" t="s">
        <v>456</v>
      </c>
      <c r="C6891" s="180">
        <v>120</v>
      </c>
    </row>
    <row r="6892" spans="1:3" x14ac:dyDescent="0.25">
      <c r="A6892" s="178">
        <v>123422</v>
      </c>
      <c r="B6892" s="179" t="s">
        <v>456</v>
      </c>
      <c r="C6892" s="180">
        <v>3</v>
      </c>
    </row>
    <row r="6893" spans="1:3" x14ac:dyDescent="0.25">
      <c r="A6893" s="178">
        <v>123423</v>
      </c>
      <c r="B6893" s="179" t="s">
        <v>456</v>
      </c>
      <c r="C6893" s="180">
        <v>2</v>
      </c>
    </row>
    <row r="6894" spans="1:3" x14ac:dyDescent="0.25">
      <c r="A6894" s="178">
        <v>123459</v>
      </c>
      <c r="B6894" s="179" t="s">
        <v>456</v>
      </c>
      <c r="C6894" s="180">
        <v>3</v>
      </c>
    </row>
    <row r="6895" spans="1:3" x14ac:dyDescent="0.25">
      <c r="A6895" s="178">
        <v>123462</v>
      </c>
      <c r="B6895" s="179" t="s">
        <v>456</v>
      </c>
      <c r="C6895" s="180">
        <v>3</v>
      </c>
    </row>
    <row r="6896" spans="1:3" x14ac:dyDescent="0.25">
      <c r="A6896" s="178">
        <v>123471</v>
      </c>
      <c r="B6896" s="179" t="s">
        <v>456</v>
      </c>
      <c r="C6896" s="180">
        <v>3</v>
      </c>
    </row>
    <row r="6897" spans="1:3" x14ac:dyDescent="0.25">
      <c r="A6897" s="178">
        <v>123563</v>
      </c>
      <c r="B6897" s="179" t="s">
        <v>456</v>
      </c>
      <c r="C6897" s="180">
        <v>280</v>
      </c>
    </row>
    <row r="6898" spans="1:3" x14ac:dyDescent="0.25">
      <c r="A6898" s="178">
        <v>123564</v>
      </c>
      <c r="B6898" s="179" t="s">
        <v>456</v>
      </c>
      <c r="C6898" s="180">
        <v>280</v>
      </c>
    </row>
    <row r="6899" spans="1:3" x14ac:dyDescent="0.25">
      <c r="A6899" s="178">
        <v>123668</v>
      </c>
      <c r="B6899" s="179" t="s">
        <v>456</v>
      </c>
      <c r="C6899" s="180">
        <v>115</v>
      </c>
    </row>
    <row r="6900" spans="1:3" x14ac:dyDescent="0.25">
      <c r="A6900" s="178">
        <v>123672</v>
      </c>
      <c r="B6900" s="179" t="s">
        <v>456</v>
      </c>
      <c r="C6900" s="180">
        <v>190</v>
      </c>
    </row>
    <row r="6901" spans="1:3" x14ac:dyDescent="0.25">
      <c r="A6901" s="178">
        <v>123674</v>
      </c>
      <c r="B6901" s="179" t="s">
        <v>456</v>
      </c>
      <c r="C6901" s="180">
        <v>190</v>
      </c>
    </row>
    <row r="6902" spans="1:3" x14ac:dyDescent="0.25">
      <c r="A6902" s="178">
        <v>123675</v>
      </c>
      <c r="B6902" s="179" t="s">
        <v>456</v>
      </c>
      <c r="C6902" s="180">
        <v>115</v>
      </c>
    </row>
    <row r="6903" spans="1:3" x14ac:dyDescent="0.25">
      <c r="A6903" s="178">
        <v>123676</v>
      </c>
      <c r="B6903" s="179" t="s">
        <v>456</v>
      </c>
      <c r="C6903" s="180">
        <v>115</v>
      </c>
    </row>
    <row r="6904" spans="1:3" x14ac:dyDescent="0.25">
      <c r="A6904" s="178">
        <v>123677</v>
      </c>
      <c r="B6904" s="179" t="s">
        <v>456</v>
      </c>
      <c r="C6904" s="180">
        <v>115</v>
      </c>
    </row>
    <row r="6905" spans="1:3" x14ac:dyDescent="0.25">
      <c r="A6905" s="178">
        <v>123678</v>
      </c>
      <c r="B6905" s="179" t="s">
        <v>456</v>
      </c>
      <c r="C6905" s="180">
        <v>115</v>
      </c>
    </row>
    <row r="6906" spans="1:3" x14ac:dyDescent="0.25">
      <c r="A6906" s="178">
        <v>123680</v>
      </c>
      <c r="B6906" s="179" t="s">
        <v>456</v>
      </c>
      <c r="C6906" s="180">
        <v>90</v>
      </c>
    </row>
    <row r="6907" spans="1:3" x14ac:dyDescent="0.25">
      <c r="A6907" s="178">
        <v>123682</v>
      </c>
      <c r="B6907" s="179" t="s">
        <v>456</v>
      </c>
      <c r="C6907" s="180">
        <v>120</v>
      </c>
    </row>
    <row r="6908" spans="1:3" x14ac:dyDescent="0.25">
      <c r="A6908" s="178">
        <v>123684</v>
      </c>
      <c r="B6908" s="179" t="s">
        <v>456</v>
      </c>
      <c r="C6908" s="180">
        <v>120</v>
      </c>
    </row>
    <row r="6909" spans="1:3" x14ac:dyDescent="0.25">
      <c r="A6909" s="178">
        <v>123685</v>
      </c>
      <c r="B6909" s="179" t="s">
        <v>456</v>
      </c>
      <c r="C6909" s="180">
        <v>45</v>
      </c>
    </row>
    <row r="6910" spans="1:3" x14ac:dyDescent="0.25">
      <c r="A6910" s="178">
        <v>123697</v>
      </c>
      <c r="B6910" s="179" t="s">
        <v>456</v>
      </c>
      <c r="C6910" s="180">
        <v>115</v>
      </c>
    </row>
    <row r="6911" spans="1:3" x14ac:dyDescent="0.25">
      <c r="A6911" s="178">
        <v>123701</v>
      </c>
      <c r="B6911" s="179" t="s">
        <v>456</v>
      </c>
      <c r="C6911" s="180">
        <v>95</v>
      </c>
    </row>
    <row r="6912" spans="1:3" x14ac:dyDescent="0.25">
      <c r="A6912" s="178">
        <v>123702</v>
      </c>
      <c r="B6912" s="179" t="s">
        <v>456</v>
      </c>
      <c r="C6912" s="180">
        <v>95</v>
      </c>
    </row>
    <row r="6913" spans="1:3" x14ac:dyDescent="0.25">
      <c r="A6913" s="178">
        <v>123703</v>
      </c>
      <c r="B6913" s="179" t="s">
        <v>456</v>
      </c>
      <c r="C6913" s="180">
        <v>95</v>
      </c>
    </row>
    <row r="6914" spans="1:3" x14ac:dyDescent="0.25">
      <c r="A6914" s="178">
        <v>123711</v>
      </c>
      <c r="B6914" s="179" t="s">
        <v>456</v>
      </c>
      <c r="C6914" s="180">
        <v>52</v>
      </c>
    </row>
    <row r="6915" spans="1:3" x14ac:dyDescent="0.25">
      <c r="A6915" s="178">
        <v>123712</v>
      </c>
      <c r="B6915" s="179" t="s">
        <v>456</v>
      </c>
      <c r="C6915" s="180">
        <v>6</v>
      </c>
    </row>
    <row r="6916" spans="1:3" x14ac:dyDescent="0.25">
      <c r="A6916" s="178">
        <v>123716</v>
      </c>
      <c r="B6916" s="179" t="s">
        <v>456</v>
      </c>
      <c r="C6916" s="180">
        <v>115</v>
      </c>
    </row>
    <row r="6917" spans="1:3" x14ac:dyDescent="0.25">
      <c r="A6917" s="178">
        <v>123717</v>
      </c>
      <c r="B6917" s="179" t="s">
        <v>456</v>
      </c>
      <c r="C6917" s="180">
        <v>115</v>
      </c>
    </row>
    <row r="6918" spans="1:3" x14ac:dyDescent="0.25">
      <c r="A6918" s="178">
        <v>123718</v>
      </c>
      <c r="B6918" s="179" t="s">
        <v>456</v>
      </c>
      <c r="C6918" s="180">
        <v>115</v>
      </c>
    </row>
    <row r="6919" spans="1:3" x14ac:dyDescent="0.25">
      <c r="A6919" s="178">
        <v>123728</v>
      </c>
      <c r="B6919" s="179" t="s">
        <v>456</v>
      </c>
      <c r="C6919" s="180">
        <v>162</v>
      </c>
    </row>
    <row r="6920" spans="1:3" x14ac:dyDescent="0.25">
      <c r="A6920" s="178">
        <v>123729</v>
      </c>
      <c r="B6920" s="179" t="s">
        <v>456</v>
      </c>
      <c r="C6920" s="180">
        <v>162</v>
      </c>
    </row>
    <row r="6921" spans="1:3" x14ac:dyDescent="0.25">
      <c r="A6921" s="178">
        <v>123730</v>
      </c>
      <c r="B6921" s="179" t="s">
        <v>456</v>
      </c>
      <c r="C6921" s="180">
        <v>162</v>
      </c>
    </row>
    <row r="6922" spans="1:3" x14ac:dyDescent="0.25">
      <c r="A6922" s="178">
        <v>123731</v>
      </c>
      <c r="B6922" s="179" t="s">
        <v>456</v>
      </c>
      <c r="C6922" s="180">
        <v>162</v>
      </c>
    </row>
    <row r="6923" spans="1:3" x14ac:dyDescent="0.25">
      <c r="A6923" s="178">
        <v>123732</v>
      </c>
      <c r="B6923" s="179" t="s">
        <v>456</v>
      </c>
      <c r="C6923" s="180">
        <v>162</v>
      </c>
    </row>
    <row r="6924" spans="1:3" x14ac:dyDescent="0.25">
      <c r="A6924" s="178">
        <v>123733</v>
      </c>
      <c r="B6924" s="179" t="s">
        <v>456</v>
      </c>
      <c r="C6924" s="180">
        <v>162</v>
      </c>
    </row>
    <row r="6925" spans="1:3" x14ac:dyDescent="0.25">
      <c r="A6925" s="178">
        <v>123734</v>
      </c>
      <c r="B6925" s="179" t="s">
        <v>456</v>
      </c>
      <c r="C6925" s="180">
        <v>115</v>
      </c>
    </row>
    <row r="6926" spans="1:3" x14ac:dyDescent="0.25">
      <c r="A6926" s="178">
        <v>123735</v>
      </c>
      <c r="B6926" s="179" t="s">
        <v>456</v>
      </c>
      <c r="C6926" s="180">
        <v>115</v>
      </c>
    </row>
    <row r="6927" spans="1:3" x14ac:dyDescent="0.25">
      <c r="A6927" s="178">
        <v>123736</v>
      </c>
      <c r="B6927" s="179" t="s">
        <v>456</v>
      </c>
      <c r="C6927" s="180">
        <v>162</v>
      </c>
    </row>
    <row r="6928" spans="1:3" x14ac:dyDescent="0.25">
      <c r="A6928" s="178">
        <v>123742</v>
      </c>
      <c r="B6928" s="179" t="s">
        <v>456</v>
      </c>
      <c r="C6928" s="180">
        <v>162</v>
      </c>
    </row>
    <row r="6929" spans="1:3" x14ac:dyDescent="0.25">
      <c r="A6929" s="178">
        <v>123743</v>
      </c>
      <c r="B6929" s="179" t="s">
        <v>456</v>
      </c>
      <c r="C6929" s="180">
        <v>162</v>
      </c>
    </row>
    <row r="6930" spans="1:3" x14ac:dyDescent="0.25">
      <c r="A6930" s="178">
        <v>123744</v>
      </c>
      <c r="B6930" s="179" t="s">
        <v>456</v>
      </c>
      <c r="C6930" s="180">
        <v>162</v>
      </c>
    </row>
    <row r="6931" spans="1:3" x14ac:dyDescent="0.25">
      <c r="A6931" s="178">
        <v>123745</v>
      </c>
      <c r="B6931" s="179" t="s">
        <v>456</v>
      </c>
      <c r="C6931" s="180">
        <v>162</v>
      </c>
    </row>
    <row r="6932" spans="1:3" x14ac:dyDescent="0.25">
      <c r="A6932" s="178">
        <v>123751</v>
      </c>
      <c r="B6932" s="179" t="s">
        <v>456</v>
      </c>
      <c r="C6932" s="180">
        <v>162</v>
      </c>
    </row>
    <row r="6933" spans="1:3" x14ac:dyDescent="0.25">
      <c r="A6933" s="178">
        <v>123752</v>
      </c>
      <c r="B6933" s="179" t="s">
        <v>456</v>
      </c>
      <c r="C6933" s="180">
        <v>162</v>
      </c>
    </row>
    <row r="6934" spans="1:3" x14ac:dyDescent="0.25">
      <c r="A6934" s="178">
        <v>123753</v>
      </c>
      <c r="B6934" s="179" t="s">
        <v>456</v>
      </c>
      <c r="C6934" s="180">
        <v>162</v>
      </c>
    </row>
    <row r="6935" spans="1:3" x14ac:dyDescent="0.25">
      <c r="A6935" s="178">
        <v>123754</v>
      </c>
      <c r="B6935" s="179" t="s">
        <v>456</v>
      </c>
      <c r="C6935" s="180">
        <v>162</v>
      </c>
    </row>
    <row r="6936" spans="1:3" x14ac:dyDescent="0.25">
      <c r="A6936" s="178">
        <v>123782</v>
      </c>
      <c r="B6936" s="179" t="s">
        <v>456</v>
      </c>
      <c r="C6936" s="180">
        <v>3</v>
      </c>
    </row>
    <row r="6937" spans="1:3" x14ac:dyDescent="0.25">
      <c r="A6937" s="178">
        <v>123783</v>
      </c>
      <c r="B6937" s="179" t="s">
        <v>456</v>
      </c>
      <c r="C6937" s="180">
        <v>8</v>
      </c>
    </row>
    <row r="6938" spans="1:3" x14ac:dyDescent="0.25">
      <c r="A6938" s="178">
        <v>123784</v>
      </c>
      <c r="B6938" s="179" t="s">
        <v>456</v>
      </c>
      <c r="C6938" s="180">
        <v>135</v>
      </c>
    </row>
    <row r="6939" spans="1:3" x14ac:dyDescent="0.25">
      <c r="A6939" s="178">
        <v>123785</v>
      </c>
      <c r="B6939" s="179" t="s">
        <v>456</v>
      </c>
      <c r="C6939" s="180">
        <v>70</v>
      </c>
    </row>
    <row r="6940" spans="1:3" x14ac:dyDescent="0.25">
      <c r="A6940" s="178">
        <v>123786</v>
      </c>
      <c r="B6940" s="179" t="s">
        <v>456</v>
      </c>
      <c r="C6940" s="180">
        <v>70</v>
      </c>
    </row>
    <row r="6941" spans="1:3" x14ac:dyDescent="0.25">
      <c r="A6941" s="178">
        <v>123801</v>
      </c>
      <c r="B6941" s="179" t="s">
        <v>456</v>
      </c>
      <c r="C6941" s="180">
        <v>189</v>
      </c>
    </row>
    <row r="6942" spans="1:3" x14ac:dyDescent="0.25">
      <c r="A6942" s="178">
        <v>123839</v>
      </c>
      <c r="B6942" s="179" t="s">
        <v>456</v>
      </c>
      <c r="C6942" s="180">
        <v>84</v>
      </c>
    </row>
    <row r="6943" spans="1:3" x14ac:dyDescent="0.25">
      <c r="A6943" s="178">
        <v>123851</v>
      </c>
      <c r="B6943" s="179" t="s">
        <v>456</v>
      </c>
      <c r="C6943" s="180">
        <v>70</v>
      </c>
    </row>
    <row r="6944" spans="1:3" x14ac:dyDescent="0.25">
      <c r="A6944" s="178">
        <v>123866</v>
      </c>
      <c r="B6944" s="179" t="s">
        <v>456</v>
      </c>
      <c r="C6944" s="180">
        <v>115</v>
      </c>
    </row>
    <row r="6945" spans="1:3" x14ac:dyDescent="0.25">
      <c r="A6945" s="178">
        <v>123872</v>
      </c>
      <c r="B6945" s="179" t="s">
        <v>456</v>
      </c>
      <c r="C6945" s="180">
        <v>115</v>
      </c>
    </row>
    <row r="6946" spans="1:3" x14ac:dyDescent="0.25">
      <c r="A6946" s="178">
        <v>123873</v>
      </c>
      <c r="B6946" s="179" t="s">
        <v>456</v>
      </c>
      <c r="C6946" s="180">
        <v>115</v>
      </c>
    </row>
    <row r="6947" spans="1:3" x14ac:dyDescent="0.25">
      <c r="A6947" s="178">
        <v>123902</v>
      </c>
      <c r="B6947" s="179" t="s">
        <v>456</v>
      </c>
      <c r="C6947" s="180">
        <v>115</v>
      </c>
    </row>
    <row r="6948" spans="1:3" x14ac:dyDescent="0.25">
      <c r="A6948" s="178">
        <v>123903</v>
      </c>
      <c r="B6948" s="179" t="s">
        <v>456</v>
      </c>
      <c r="C6948" s="180">
        <v>115</v>
      </c>
    </row>
    <row r="6949" spans="1:3" x14ac:dyDescent="0.25">
      <c r="A6949" s="178">
        <v>123904</v>
      </c>
      <c r="B6949" s="179" t="s">
        <v>456</v>
      </c>
      <c r="C6949" s="180">
        <v>115</v>
      </c>
    </row>
    <row r="6950" spans="1:3" x14ac:dyDescent="0.25">
      <c r="A6950" s="178">
        <v>123905</v>
      </c>
      <c r="B6950" s="179" t="s">
        <v>456</v>
      </c>
      <c r="C6950" s="180">
        <v>115</v>
      </c>
    </row>
    <row r="6951" spans="1:3" x14ac:dyDescent="0.25">
      <c r="A6951" s="178">
        <v>123906</v>
      </c>
      <c r="B6951" s="179" t="s">
        <v>456</v>
      </c>
      <c r="C6951" s="180">
        <v>115</v>
      </c>
    </row>
    <row r="6952" spans="1:3" x14ac:dyDescent="0.25">
      <c r="A6952" s="178">
        <v>123909</v>
      </c>
      <c r="B6952" s="179" t="s">
        <v>456</v>
      </c>
      <c r="C6952" s="180">
        <v>115</v>
      </c>
    </row>
    <row r="6953" spans="1:3" x14ac:dyDescent="0.25">
      <c r="A6953" s="178">
        <v>123941</v>
      </c>
      <c r="B6953" s="179" t="s">
        <v>456</v>
      </c>
      <c r="C6953" s="180">
        <v>162</v>
      </c>
    </row>
    <row r="6954" spans="1:3" x14ac:dyDescent="0.25">
      <c r="A6954" s="178">
        <v>123942</v>
      </c>
      <c r="B6954" s="179" t="s">
        <v>456</v>
      </c>
      <c r="C6954" s="180">
        <v>162</v>
      </c>
    </row>
    <row r="6955" spans="1:3" x14ac:dyDescent="0.25">
      <c r="A6955" s="178">
        <v>123943</v>
      </c>
      <c r="B6955" s="179" t="s">
        <v>456</v>
      </c>
      <c r="C6955" s="180">
        <v>162</v>
      </c>
    </row>
    <row r="6956" spans="1:3" x14ac:dyDescent="0.25">
      <c r="A6956" s="178">
        <v>123944</v>
      </c>
      <c r="B6956" s="179" t="s">
        <v>456</v>
      </c>
      <c r="C6956" s="180">
        <v>115</v>
      </c>
    </row>
    <row r="6957" spans="1:3" x14ac:dyDescent="0.25">
      <c r="A6957" s="178">
        <v>123945</v>
      </c>
      <c r="B6957" s="179" t="s">
        <v>456</v>
      </c>
      <c r="C6957" s="180">
        <v>115</v>
      </c>
    </row>
    <row r="6958" spans="1:3" x14ac:dyDescent="0.25">
      <c r="A6958" s="178">
        <v>123966</v>
      </c>
      <c r="B6958" s="179" t="s">
        <v>456</v>
      </c>
      <c r="C6958" s="180">
        <v>3</v>
      </c>
    </row>
    <row r="6959" spans="1:3" x14ac:dyDescent="0.25">
      <c r="A6959" s="178">
        <v>123967</v>
      </c>
      <c r="B6959" s="179" t="s">
        <v>456</v>
      </c>
      <c r="C6959" s="180">
        <v>5</v>
      </c>
    </row>
    <row r="6960" spans="1:3" x14ac:dyDescent="0.25">
      <c r="A6960" s="178">
        <v>123968</v>
      </c>
      <c r="B6960" s="179" t="s">
        <v>456</v>
      </c>
      <c r="C6960" s="180">
        <v>6</v>
      </c>
    </row>
    <row r="6961" spans="1:3" x14ac:dyDescent="0.25">
      <c r="A6961" s="178">
        <v>123969</v>
      </c>
      <c r="B6961" s="179" t="s">
        <v>456</v>
      </c>
      <c r="C6961" s="180">
        <v>3</v>
      </c>
    </row>
    <row r="6962" spans="1:3" x14ac:dyDescent="0.25">
      <c r="A6962" s="178">
        <v>123971</v>
      </c>
      <c r="B6962" s="179" t="s">
        <v>456</v>
      </c>
      <c r="C6962" s="180">
        <v>8</v>
      </c>
    </row>
    <row r="6963" spans="1:3" x14ac:dyDescent="0.25">
      <c r="A6963" s="178">
        <v>123981</v>
      </c>
      <c r="B6963" s="179" t="s">
        <v>456</v>
      </c>
      <c r="C6963" s="180">
        <v>8</v>
      </c>
    </row>
    <row r="6964" spans="1:3" x14ac:dyDescent="0.25">
      <c r="A6964" s="178">
        <v>123982</v>
      </c>
      <c r="B6964" s="179" t="s">
        <v>456</v>
      </c>
      <c r="C6964" s="180">
        <v>3</v>
      </c>
    </row>
    <row r="6965" spans="1:3" x14ac:dyDescent="0.25">
      <c r="A6965" s="178">
        <v>123983</v>
      </c>
      <c r="B6965" s="179" t="s">
        <v>456</v>
      </c>
      <c r="C6965" s="180">
        <v>2</v>
      </c>
    </row>
    <row r="6966" spans="1:3" x14ac:dyDescent="0.25">
      <c r="A6966" s="178">
        <v>123991</v>
      </c>
      <c r="B6966" s="179" t="s">
        <v>456</v>
      </c>
      <c r="C6966" s="180">
        <v>3</v>
      </c>
    </row>
    <row r="6967" spans="1:3" x14ac:dyDescent="0.25">
      <c r="A6967" s="178">
        <v>123992</v>
      </c>
      <c r="B6967" s="179" t="s">
        <v>456</v>
      </c>
      <c r="C6967" s="180">
        <v>5</v>
      </c>
    </row>
    <row r="6968" spans="1:3" x14ac:dyDescent="0.25">
      <c r="A6968" s="178">
        <v>123993</v>
      </c>
      <c r="B6968" s="179" t="s">
        <v>456</v>
      </c>
      <c r="C6968" s="180">
        <v>3</v>
      </c>
    </row>
    <row r="6969" spans="1:3" x14ac:dyDescent="0.25">
      <c r="A6969" s="178">
        <v>124002</v>
      </c>
      <c r="B6969" s="179" t="s">
        <v>456</v>
      </c>
      <c r="C6969" s="180">
        <v>3</v>
      </c>
    </row>
    <row r="6970" spans="1:3" x14ac:dyDescent="0.25">
      <c r="A6970" s="178">
        <v>124003</v>
      </c>
      <c r="B6970" s="179" t="s">
        <v>456</v>
      </c>
      <c r="C6970" s="180">
        <v>3</v>
      </c>
    </row>
    <row r="6971" spans="1:3" x14ac:dyDescent="0.25">
      <c r="A6971" s="178">
        <v>124041</v>
      </c>
      <c r="B6971" s="179" t="s">
        <v>456</v>
      </c>
      <c r="C6971" s="180">
        <v>6</v>
      </c>
    </row>
    <row r="6972" spans="1:3" x14ac:dyDescent="0.25">
      <c r="A6972" s="178">
        <v>124101</v>
      </c>
      <c r="B6972" s="179" t="s">
        <v>456</v>
      </c>
      <c r="C6972" s="180">
        <v>162</v>
      </c>
    </row>
    <row r="6973" spans="1:3" x14ac:dyDescent="0.25">
      <c r="A6973" s="178">
        <v>124103</v>
      </c>
      <c r="B6973" s="179" t="s">
        <v>456</v>
      </c>
      <c r="C6973" s="180">
        <v>60</v>
      </c>
    </row>
    <row r="6974" spans="1:3" x14ac:dyDescent="0.25">
      <c r="A6974" s="178">
        <v>124104</v>
      </c>
      <c r="B6974" s="179" t="s">
        <v>456</v>
      </c>
      <c r="C6974" s="180">
        <v>252</v>
      </c>
    </row>
    <row r="6975" spans="1:3" x14ac:dyDescent="0.25">
      <c r="A6975" s="178">
        <v>124105</v>
      </c>
      <c r="B6975" s="179" t="s">
        <v>456</v>
      </c>
      <c r="C6975" s="180">
        <v>380</v>
      </c>
    </row>
    <row r="6976" spans="1:3" x14ac:dyDescent="0.25">
      <c r="A6976" s="178">
        <v>124142</v>
      </c>
      <c r="B6976" s="179" t="s">
        <v>456</v>
      </c>
      <c r="C6976" s="180">
        <v>144</v>
      </c>
    </row>
    <row r="6977" spans="1:3" x14ac:dyDescent="0.25">
      <c r="A6977" s="178">
        <v>124143</v>
      </c>
      <c r="B6977" s="179" t="s">
        <v>456</v>
      </c>
      <c r="C6977" s="180">
        <v>144</v>
      </c>
    </row>
    <row r="6978" spans="1:3" x14ac:dyDescent="0.25">
      <c r="A6978" s="178">
        <v>124144</v>
      </c>
      <c r="B6978" s="179" t="s">
        <v>456</v>
      </c>
      <c r="C6978" s="180">
        <v>135</v>
      </c>
    </row>
    <row r="6979" spans="1:3" x14ac:dyDescent="0.25">
      <c r="A6979" s="178">
        <v>124145</v>
      </c>
      <c r="B6979" s="179" t="s">
        <v>456</v>
      </c>
      <c r="C6979" s="180">
        <v>135</v>
      </c>
    </row>
    <row r="6980" spans="1:3" x14ac:dyDescent="0.25">
      <c r="A6980" s="178">
        <v>124146</v>
      </c>
      <c r="B6980" s="179" t="s">
        <v>456</v>
      </c>
      <c r="C6980" s="180">
        <v>115</v>
      </c>
    </row>
    <row r="6981" spans="1:3" x14ac:dyDescent="0.25">
      <c r="A6981" s="178">
        <v>124147</v>
      </c>
      <c r="B6981" s="179" t="s">
        <v>456</v>
      </c>
      <c r="C6981" s="180">
        <v>115</v>
      </c>
    </row>
    <row r="6982" spans="1:3" x14ac:dyDescent="0.25">
      <c r="A6982" s="178">
        <v>124151</v>
      </c>
      <c r="B6982" s="179" t="s">
        <v>456</v>
      </c>
      <c r="C6982" s="180">
        <v>35</v>
      </c>
    </row>
    <row r="6983" spans="1:3" x14ac:dyDescent="0.25">
      <c r="A6983" s="178">
        <v>124152</v>
      </c>
      <c r="B6983" s="179" t="s">
        <v>456</v>
      </c>
      <c r="C6983" s="180">
        <v>35</v>
      </c>
    </row>
    <row r="6984" spans="1:3" x14ac:dyDescent="0.25">
      <c r="A6984" s="178">
        <v>124153</v>
      </c>
      <c r="B6984" s="179" t="s">
        <v>456</v>
      </c>
      <c r="C6984" s="180">
        <v>35</v>
      </c>
    </row>
    <row r="6985" spans="1:3" x14ac:dyDescent="0.25">
      <c r="A6985" s="178">
        <v>124154</v>
      </c>
      <c r="B6985" s="179" t="s">
        <v>456</v>
      </c>
      <c r="C6985" s="180">
        <v>35</v>
      </c>
    </row>
    <row r="6986" spans="1:3" x14ac:dyDescent="0.25">
      <c r="A6986" s="178">
        <v>124155</v>
      </c>
      <c r="B6986" s="179" t="s">
        <v>456</v>
      </c>
      <c r="C6986" s="180">
        <v>35</v>
      </c>
    </row>
    <row r="6987" spans="1:3" x14ac:dyDescent="0.25">
      <c r="A6987" s="178">
        <v>124156</v>
      </c>
      <c r="B6987" s="179" t="s">
        <v>456</v>
      </c>
      <c r="C6987" s="180">
        <v>35</v>
      </c>
    </row>
    <row r="6988" spans="1:3" x14ac:dyDescent="0.25">
      <c r="A6988" s="178">
        <v>124158</v>
      </c>
      <c r="B6988" s="179" t="s">
        <v>456</v>
      </c>
      <c r="C6988" s="180">
        <v>35</v>
      </c>
    </row>
    <row r="6989" spans="1:3" x14ac:dyDescent="0.25">
      <c r="A6989" s="178">
        <v>150074</v>
      </c>
      <c r="B6989" s="179" t="s">
        <v>456</v>
      </c>
      <c r="C6989" s="180">
        <v>84</v>
      </c>
    </row>
    <row r="6990" spans="1:3" x14ac:dyDescent="0.25">
      <c r="A6990" s="178">
        <v>150075</v>
      </c>
      <c r="B6990" s="179" t="s">
        <v>456</v>
      </c>
      <c r="C6990" s="180">
        <v>84</v>
      </c>
    </row>
    <row r="6991" spans="1:3" x14ac:dyDescent="0.25">
      <c r="A6991" s="178">
        <v>150076</v>
      </c>
      <c r="B6991" s="179" t="s">
        <v>456</v>
      </c>
      <c r="C6991" s="180">
        <v>84</v>
      </c>
    </row>
    <row r="6992" spans="1:3" x14ac:dyDescent="0.25">
      <c r="A6992" s="178">
        <v>150077</v>
      </c>
      <c r="B6992" s="179" t="s">
        <v>456</v>
      </c>
      <c r="C6992" s="180">
        <v>84</v>
      </c>
    </row>
    <row r="6993" spans="1:3" x14ac:dyDescent="0.25">
      <c r="A6993" s="178">
        <v>150079</v>
      </c>
      <c r="B6993" s="179" t="s">
        <v>456</v>
      </c>
      <c r="C6993" s="180">
        <v>84</v>
      </c>
    </row>
    <row r="6994" spans="1:3" x14ac:dyDescent="0.25">
      <c r="A6994" s="178">
        <v>150080</v>
      </c>
      <c r="B6994" s="179" t="s">
        <v>456</v>
      </c>
      <c r="C6994" s="180">
        <v>72</v>
      </c>
    </row>
    <row r="6995" spans="1:3" x14ac:dyDescent="0.25">
      <c r="A6995" s="178">
        <v>150081</v>
      </c>
      <c r="B6995" s="179" t="s">
        <v>456</v>
      </c>
      <c r="C6995" s="180">
        <v>72</v>
      </c>
    </row>
    <row r="6996" spans="1:3" x14ac:dyDescent="0.25">
      <c r="A6996" s="178">
        <v>150082</v>
      </c>
      <c r="B6996" s="179" t="s">
        <v>456</v>
      </c>
      <c r="C6996" s="180">
        <v>84</v>
      </c>
    </row>
    <row r="6997" spans="1:3" x14ac:dyDescent="0.25">
      <c r="A6997" s="178">
        <v>150083</v>
      </c>
      <c r="B6997" s="179" t="s">
        <v>456</v>
      </c>
      <c r="C6997" s="180">
        <v>84</v>
      </c>
    </row>
    <row r="6998" spans="1:3" x14ac:dyDescent="0.25">
      <c r="A6998" s="178">
        <v>150084</v>
      </c>
      <c r="B6998" s="179" t="s">
        <v>456</v>
      </c>
      <c r="C6998" s="180">
        <v>84</v>
      </c>
    </row>
    <row r="6999" spans="1:3" x14ac:dyDescent="0.25">
      <c r="A6999" s="178">
        <v>150085</v>
      </c>
      <c r="B6999" s="179" t="s">
        <v>456</v>
      </c>
      <c r="C6999" s="180">
        <v>84</v>
      </c>
    </row>
    <row r="7000" spans="1:3" x14ac:dyDescent="0.25">
      <c r="A7000" s="178">
        <v>150086</v>
      </c>
      <c r="B7000" s="179" t="s">
        <v>456</v>
      </c>
      <c r="C7000" s="180">
        <v>100</v>
      </c>
    </row>
    <row r="7001" spans="1:3" x14ac:dyDescent="0.25">
      <c r="A7001" s="178">
        <v>150087</v>
      </c>
      <c r="B7001" s="179" t="s">
        <v>456</v>
      </c>
      <c r="C7001" s="180">
        <v>100</v>
      </c>
    </row>
    <row r="7002" spans="1:3" x14ac:dyDescent="0.25">
      <c r="A7002" s="178">
        <v>150088</v>
      </c>
      <c r="B7002" s="179" t="s">
        <v>456</v>
      </c>
      <c r="C7002" s="180">
        <v>100</v>
      </c>
    </row>
    <row r="7003" spans="1:3" x14ac:dyDescent="0.25">
      <c r="A7003" s="178">
        <v>150090</v>
      </c>
      <c r="B7003" s="179" t="s">
        <v>456</v>
      </c>
      <c r="C7003" s="180">
        <v>63</v>
      </c>
    </row>
    <row r="7004" spans="1:3" x14ac:dyDescent="0.25">
      <c r="A7004" s="178">
        <v>150091</v>
      </c>
      <c r="B7004" s="179" t="s">
        <v>456</v>
      </c>
      <c r="C7004" s="180">
        <v>63</v>
      </c>
    </row>
    <row r="7005" spans="1:3" x14ac:dyDescent="0.25">
      <c r="A7005" s="178">
        <v>150092</v>
      </c>
      <c r="B7005" s="179" t="s">
        <v>456</v>
      </c>
      <c r="C7005" s="180">
        <v>63</v>
      </c>
    </row>
    <row r="7006" spans="1:3" x14ac:dyDescent="0.25">
      <c r="A7006" s="178">
        <v>150094</v>
      </c>
      <c r="B7006" s="179" t="s">
        <v>456</v>
      </c>
      <c r="C7006" s="180">
        <v>30</v>
      </c>
    </row>
    <row r="7007" spans="1:3" x14ac:dyDescent="0.25">
      <c r="A7007" s="178">
        <v>150095</v>
      </c>
      <c r="B7007" s="179" t="s">
        <v>456</v>
      </c>
      <c r="C7007" s="180">
        <v>30</v>
      </c>
    </row>
    <row r="7008" spans="1:3" x14ac:dyDescent="0.25">
      <c r="A7008" s="178">
        <v>150096</v>
      </c>
      <c r="B7008" s="179" t="s">
        <v>456</v>
      </c>
      <c r="C7008" s="180">
        <v>30</v>
      </c>
    </row>
    <row r="7009" spans="1:3" x14ac:dyDescent="0.25">
      <c r="A7009" s="178">
        <v>150097</v>
      </c>
      <c r="B7009" s="179" t="s">
        <v>456</v>
      </c>
      <c r="C7009" s="180">
        <v>30</v>
      </c>
    </row>
    <row r="7010" spans="1:3" x14ac:dyDescent="0.25">
      <c r="A7010" s="178">
        <v>150098</v>
      </c>
      <c r="B7010" s="179" t="s">
        <v>456</v>
      </c>
      <c r="C7010" s="180">
        <v>30</v>
      </c>
    </row>
    <row r="7011" spans="1:3" x14ac:dyDescent="0.25">
      <c r="A7011" s="178">
        <v>150099</v>
      </c>
      <c r="B7011" s="179" t="s">
        <v>456</v>
      </c>
      <c r="C7011" s="180">
        <v>30</v>
      </c>
    </row>
    <row r="7012" spans="1:3" x14ac:dyDescent="0.25">
      <c r="A7012" s="178">
        <v>150100</v>
      </c>
      <c r="B7012" s="179" t="s">
        <v>456</v>
      </c>
      <c r="C7012" s="180">
        <v>30</v>
      </c>
    </row>
    <row r="7013" spans="1:3" x14ac:dyDescent="0.25">
      <c r="A7013" s="178">
        <v>150102</v>
      </c>
      <c r="B7013" s="179" t="s">
        <v>456</v>
      </c>
      <c r="C7013" s="180">
        <v>15</v>
      </c>
    </row>
    <row r="7014" spans="1:3" x14ac:dyDescent="0.25">
      <c r="A7014" s="178">
        <v>150103</v>
      </c>
      <c r="B7014" s="179" t="s">
        <v>456</v>
      </c>
      <c r="C7014" s="180">
        <v>36</v>
      </c>
    </row>
    <row r="7015" spans="1:3" x14ac:dyDescent="0.25">
      <c r="A7015" s="178">
        <v>150105</v>
      </c>
      <c r="B7015" s="179" t="s">
        <v>456</v>
      </c>
      <c r="C7015" s="180">
        <v>36</v>
      </c>
    </row>
    <row r="7016" spans="1:3" x14ac:dyDescent="0.25">
      <c r="A7016" s="178">
        <v>150107</v>
      </c>
      <c r="B7016" s="179" t="s">
        <v>456</v>
      </c>
      <c r="C7016" s="180">
        <v>36</v>
      </c>
    </row>
    <row r="7017" spans="1:3" x14ac:dyDescent="0.25">
      <c r="A7017" s="178">
        <v>150108</v>
      </c>
      <c r="B7017" s="179" t="s">
        <v>456</v>
      </c>
      <c r="C7017" s="180">
        <v>36</v>
      </c>
    </row>
    <row r="7018" spans="1:3" x14ac:dyDescent="0.25">
      <c r="A7018" s="178">
        <v>150109</v>
      </c>
      <c r="B7018" s="179" t="s">
        <v>456</v>
      </c>
      <c r="C7018" s="180">
        <v>308</v>
      </c>
    </row>
    <row r="7019" spans="1:3" x14ac:dyDescent="0.25">
      <c r="A7019" s="178">
        <v>150110</v>
      </c>
      <c r="B7019" s="179" t="s">
        <v>456</v>
      </c>
      <c r="C7019" s="180">
        <v>210</v>
      </c>
    </row>
    <row r="7020" spans="1:3" x14ac:dyDescent="0.25">
      <c r="A7020" s="178">
        <v>150111</v>
      </c>
      <c r="B7020" s="179" t="s">
        <v>456</v>
      </c>
      <c r="C7020" s="180">
        <v>56</v>
      </c>
    </row>
    <row r="7021" spans="1:3" x14ac:dyDescent="0.25">
      <c r="A7021" s="178">
        <v>150112</v>
      </c>
      <c r="B7021" s="179" t="s">
        <v>456</v>
      </c>
      <c r="C7021" s="180">
        <v>125</v>
      </c>
    </row>
    <row r="7022" spans="1:3" x14ac:dyDescent="0.25">
      <c r="A7022" s="178">
        <v>150113</v>
      </c>
      <c r="B7022" s="179" t="s">
        <v>456</v>
      </c>
      <c r="C7022" s="180">
        <v>125</v>
      </c>
    </row>
    <row r="7023" spans="1:3" x14ac:dyDescent="0.25">
      <c r="A7023" s="178">
        <v>150114</v>
      </c>
      <c r="B7023" s="179" t="s">
        <v>456</v>
      </c>
      <c r="C7023" s="180">
        <v>150</v>
      </c>
    </row>
    <row r="7024" spans="1:3" x14ac:dyDescent="0.25">
      <c r="A7024" s="178">
        <v>150115</v>
      </c>
      <c r="B7024" s="179" t="s">
        <v>456</v>
      </c>
      <c r="C7024" s="180">
        <v>150</v>
      </c>
    </row>
    <row r="7025" spans="1:3" x14ac:dyDescent="0.25">
      <c r="A7025" s="178">
        <v>150119</v>
      </c>
      <c r="B7025" s="179" t="s">
        <v>456</v>
      </c>
      <c r="C7025" s="180">
        <v>120</v>
      </c>
    </row>
    <row r="7026" spans="1:3" x14ac:dyDescent="0.25">
      <c r="A7026" s="178">
        <v>150120</v>
      </c>
      <c r="B7026" s="179" t="s">
        <v>456</v>
      </c>
      <c r="C7026" s="180">
        <v>120</v>
      </c>
    </row>
    <row r="7027" spans="1:3" x14ac:dyDescent="0.25">
      <c r="A7027" s="178">
        <v>150121</v>
      </c>
      <c r="B7027" s="179" t="s">
        <v>456</v>
      </c>
      <c r="C7027" s="180">
        <v>120</v>
      </c>
    </row>
    <row r="7028" spans="1:3" x14ac:dyDescent="0.25">
      <c r="A7028" s="178">
        <v>150122</v>
      </c>
      <c r="B7028" s="179" t="s">
        <v>456</v>
      </c>
      <c r="C7028" s="180">
        <v>192</v>
      </c>
    </row>
    <row r="7029" spans="1:3" x14ac:dyDescent="0.25">
      <c r="A7029" s="178">
        <v>150123</v>
      </c>
      <c r="B7029" s="179" t="s">
        <v>456</v>
      </c>
      <c r="C7029" s="180">
        <v>192</v>
      </c>
    </row>
    <row r="7030" spans="1:3" x14ac:dyDescent="0.25">
      <c r="A7030" s="178">
        <v>150125</v>
      </c>
      <c r="B7030" s="179" t="s">
        <v>456</v>
      </c>
      <c r="C7030" s="180">
        <v>128</v>
      </c>
    </row>
    <row r="7031" spans="1:3" x14ac:dyDescent="0.25">
      <c r="A7031" s="178">
        <v>150126</v>
      </c>
      <c r="B7031" s="179" t="s">
        <v>456</v>
      </c>
      <c r="C7031" s="180">
        <v>128</v>
      </c>
    </row>
    <row r="7032" spans="1:3" x14ac:dyDescent="0.25">
      <c r="A7032" s="178">
        <v>150128</v>
      </c>
      <c r="B7032" s="179" t="s">
        <v>456</v>
      </c>
      <c r="C7032" s="180">
        <v>128</v>
      </c>
    </row>
    <row r="7033" spans="1:3" x14ac:dyDescent="0.25">
      <c r="A7033" s="178">
        <v>150130</v>
      </c>
      <c r="B7033" s="179" t="s">
        <v>456</v>
      </c>
      <c r="C7033" s="180">
        <v>60</v>
      </c>
    </row>
    <row r="7034" spans="1:3" x14ac:dyDescent="0.25">
      <c r="A7034" s="178">
        <v>150131</v>
      </c>
      <c r="B7034" s="179" t="s">
        <v>456</v>
      </c>
      <c r="C7034" s="180">
        <v>3</v>
      </c>
    </row>
    <row r="7035" spans="1:3" x14ac:dyDescent="0.25">
      <c r="A7035" s="178">
        <v>150133</v>
      </c>
      <c r="B7035" s="179" t="s">
        <v>456</v>
      </c>
      <c r="C7035" s="180">
        <v>240</v>
      </c>
    </row>
    <row r="7036" spans="1:3" x14ac:dyDescent="0.25">
      <c r="A7036" s="178">
        <v>150134</v>
      </c>
      <c r="B7036" s="179" t="s">
        <v>456</v>
      </c>
      <c r="C7036" s="180">
        <v>240</v>
      </c>
    </row>
    <row r="7037" spans="1:3" x14ac:dyDescent="0.25">
      <c r="A7037" s="178">
        <v>150135</v>
      </c>
      <c r="B7037" s="179" t="s">
        <v>456</v>
      </c>
      <c r="C7037" s="180">
        <v>192</v>
      </c>
    </row>
    <row r="7038" spans="1:3" x14ac:dyDescent="0.25">
      <c r="A7038" s="178">
        <v>150137</v>
      </c>
      <c r="B7038" s="179" t="s">
        <v>456</v>
      </c>
      <c r="C7038" s="180">
        <v>192</v>
      </c>
    </row>
    <row r="7039" spans="1:3" x14ac:dyDescent="0.25">
      <c r="A7039" s="178">
        <v>150139</v>
      </c>
      <c r="B7039" s="179" t="s">
        <v>456</v>
      </c>
      <c r="C7039" s="180">
        <v>192</v>
      </c>
    </row>
    <row r="7040" spans="1:3" x14ac:dyDescent="0.25">
      <c r="A7040" s="178">
        <v>150140</v>
      </c>
      <c r="B7040" s="179" t="s">
        <v>456</v>
      </c>
      <c r="C7040" s="180">
        <v>196</v>
      </c>
    </row>
    <row r="7041" spans="1:3" x14ac:dyDescent="0.25">
      <c r="A7041" s="178">
        <v>150141</v>
      </c>
      <c r="B7041" s="179" t="s">
        <v>456</v>
      </c>
      <c r="C7041" s="180">
        <v>231</v>
      </c>
    </row>
    <row r="7042" spans="1:3" x14ac:dyDescent="0.25">
      <c r="A7042" s="178">
        <v>150142</v>
      </c>
      <c r="B7042" s="179" t="s">
        <v>456</v>
      </c>
      <c r="C7042" s="180">
        <v>196</v>
      </c>
    </row>
    <row r="7043" spans="1:3" x14ac:dyDescent="0.25">
      <c r="A7043" s="178">
        <v>150143</v>
      </c>
      <c r="B7043" s="179" t="s">
        <v>456</v>
      </c>
      <c r="C7043" s="180">
        <v>231</v>
      </c>
    </row>
    <row r="7044" spans="1:3" x14ac:dyDescent="0.25">
      <c r="A7044" s="178">
        <v>150144</v>
      </c>
      <c r="B7044" s="179" t="s">
        <v>456</v>
      </c>
      <c r="C7044" s="180">
        <v>231</v>
      </c>
    </row>
    <row r="7045" spans="1:3" x14ac:dyDescent="0.25">
      <c r="A7045" s="178">
        <v>150145</v>
      </c>
      <c r="B7045" s="179" t="s">
        <v>456</v>
      </c>
      <c r="C7045" s="180">
        <v>231</v>
      </c>
    </row>
    <row r="7046" spans="1:3" x14ac:dyDescent="0.25">
      <c r="A7046" s="178">
        <v>150146</v>
      </c>
      <c r="B7046" s="179" t="s">
        <v>456</v>
      </c>
      <c r="C7046" s="180">
        <v>231</v>
      </c>
    </row>
    <row r="7047" spans="1:3" x14ac:dyDescent="0.25">
      <c r="A7047" s="178">
        <v>150147</v>
      </c>
      <c r="B7047" s="179" t="s">
        <v>456</v>
      </c>
      <c r="C7047" s="180">
        <v>175</v>
      </c>
    </row>
    <row r="7048" spans="1:3" x14ac:dyDescent="0.25">
      <c r="A7048" s="178">
        <v>150148</v>
      </c>
      <c r="B7048" s="179" t="s">
        <v>456</v>
      </c>
      <c r="C7048" s="180">
        <v>210</v>
      </c>
    </row>
    <row r="7049" spans="1:3" x14ac:dyDescent="0.25">
      <c r="A7049" s="178">
        <v>150154</v>
      </c>
      <c r="B7049" s="179" t="s">
        <v>456</v>
      </c>
      <c r="C7049" s="180">
        <v>49</v>
      </c>
    </row>
    <row r="7050" spans="1:3" x14ac:dyDescent="0.25">
      <c r="A7050" s="178">
        <v>150158</v>
      </c>
      <c r="B7050" s="179" t="s">
        <v>456</v>
      </c>
      <c r="C7050" s="180">
        <v>3</v>
      </c>
    </row>
    <row r="7051" spans="1:3" x14ac:dyDescent="0.25">
      <c r="A7051" s="178">
        <v>150159</v>
      </c>
      <c r="B7051" s="179" t="s">
        <v>456</v>
      </c>
      <c r="C7051" s="180">
        <v>115</v>
      </c>
    </row>
    <row r="7052" spans="1:3" x14ac:dyDescent="0.25">
      <c r="A7052" s="178">
        <v>150160</v>
      </c>
      <c r="B7052" s="179" t="s">
        <v>456</v>
      </c>
      <c r="C7052" s="180">
        <v>115</v>
      </c>
    </row>
    <row r="7053" spans="1:3" x14ac:dyDescent="0.25">
      <c r="A7053" s="178">
        <v>150161</v>
      </c>
      <c r="B7053" s="179" t="s">
        <v>456</v>
      </c>
      <c r="C7053" s="180">
        <v>115</v>
      </c>
    </row>
    <row r="7054" spans="1:3" x14ac:dyDescent="0.25">
      <c r="A7054" s="178">
        <v>150164</v>
      </c>
      <c r="B7054" s="179" t="s">
        <v>456</v>
      </c>
      <c r="C7054" s="180">
        <v>60</v>
      </c>
    </row>
    <row r="7055" spans="1:3" x14ac:dyDescent="0.25">
      <c r="A7055" s="178">
        <v>150165</v>
      </c>
      <c r="B7055" s="179" t="s">
        <v>456</v>
      </c>
      <c r="C7055" s="180">
        <v>64</v>
      </c>
    </row>
    <row r="7056" spans="1:3" x14ac:dyDescent="0.25">
      <c r="A7056" s="178">
        <v>150166</v>
      </c>
      <c r="B7056" s="179" t="s">
        <v>456</v>
      </c>
      <c r="C7056" s="180">
        <v>64</v>
      </c>
    </row>
    <row r="7057" spans="1:3" x14ac:dyDescent="0.25">
      <c r="A7057" s="178">
        <v>150168</v>
      </c>
      <c r="B7057" s="179" t="s">
        <v>456</v>
      </c>
      <c r="C7057" s="180">
        <v>12</v>
      </c>
    </row>
    <row r="7058" spans="1:3" x14ac:dyDescent="0.25">
      <c r="A7058" s="178">
        <v>150169</v>
      </c>
      <c r="B7058" s="179" t="s">
        <v>456</v>
      </c>
      <c r="C7058" s="180">
        <v>60</v>
      </c>
    </row>
    <row r="7059" spans="1:3" x14ac:dyDescent="0.25">
      <c r="A7059" s="178">
        <v>150170</v>
      </c>
      <c r="B7059" s="179" t="s">
        <v>456</v>
      </c>
      <c r="C7059" s="180">
        <v>60</v>
      </c>
    </row>
    <row r="7060" spans="1:3" x14ac:dyDescent="0.25">
      <c r="A7060" s="178">
        <v>150172</v>
      </c>
      <c r="B7060" s="179" t="s">
        <v>456</v>
      </c>
      <c r="C7060" s="180">
        <v>60</v>
      </c>
    </row>
    <row r="7061" spans="1:3" x14ac:dyDescent="0.25">
      <c r="A7061" s="178">
        <v>150174</v>
      </c>
      <c r="B7061" s="179" t="s">
        <v>456</v>
      </c>
      <c r="C7061" s="180">
        <v>12</v>
      </c>
    </row>
    <row r="7062" spans="1:3" x14ac:dyDescent="0.25">
      <c r="A7062" s="178">
        <v>150176</v>
      </c>
      <c r="B7062" s="179" t="s">
        <v>456</v>
      </c>
      <c r="C7062" s="180">
        <v>30</v>
      </c>
    </row>
    <row r="7063" spans="1:3" x14ac:dyDescent="0.25">
      <c r="A7063" s="178">
        <v>150182</v>
      </c>
      <c r="B7063" s="179" t="s">
        <v>456</v>
      </c>
      <c r="C7063" s="180">
        <v>115</v>
      </c>
    </row>
    <row r="7064" spans="1:3" x14ac:dyDescent="0.25">
      <c r="A7064" s="178">
        <v>150183</v>
      </c>
      <c r="B7064" s="179" t="s">
        <v>456</v>
      </c>
      <c r="C7064" s="180">
        <v>3</v>
      </c>
    </row>
    <row r="7065" spans="1:3" x14ac:dyDescent="0.25">
      <c r="A7065" s="178">
        <v>150184</v>
      </c>
      <c r="B7065" s="179" t="s">
        <v>456</v>
      </c>
      <c r="C7065" s="180">
        <v>192</v>
      </c>
    </row>
    <row r="7066" spans="1:3" x14ac:dyDescent="0.25">
      <c r="A7066" s="178">
        <v>150185</v>
      </c>
      <c r="B7066" s="179" t="s">
        <v>456</v>
      </c>
      <c r="C7066" s="180">
        <v>192</v>
      </c>
    </row>
    <row r="7067" spans="1:3" x14ac:dyDescent="0.25">
      <c r="A7067" s="178">
        <v>150186</v>
      </c>
      <c r="B7067" s="179" t="s">
        <v>456</v>
      </c>
      <c r="C7067" s="180">
        <v>192</v>
      </c>
    </row>
    <row r="7068" spans="1:3" x14ac:dyDescent="0.25">
      <c r="A7068" s="178">
        <v>150187</v>
      </c>
      <c r="B7068" s="179" t="s">
        <v>456</v>
      </c>
      <c r="C7068" s="180">
        <v>192</v>
      </c>
    </row>
    <row r="7069" spans="1:3" x14ac:dyDescent="0.25">
      <c r="A7069" s="178">
        <v>150188</v>
      </c>
      <c r="B7069" s="179" t="s">
        <v>456</v>
      </c>
      <c r="C7069" s="180">
        <v>231</v>
      </c>
    </row>
    <row r="7070" spans="1:3" x14ac:dyDescent="0.25">
      <c r="A7070" s="178">
        <v>150189</v>
      </c>
      <c r="B7070" s="179" t="s">
        <v>456</v>
      </c>
      <c r="C7070" s="180">
        <v>231</v>
      </c>
    </row>
    <row r="7071" spans="1:3" x14ac:dyDescent="0.25">
      <c r="A7071" s="178">
        <v>150190</v>
      </c>
      <c r="B7071" s="179" t="s">
        <v>456</v>
      </c>
      <c r="C7071" s="180">
        <v>231</v>
      </c>
    </row>
    <row r="7072" spans="1:3" x14ac:dyDescent="0.25">
      <c r="A7072" s="178">
        <v>150191</v>
      </c>
      <c r="B7072" s="179" t="s">
        <v>456</v>
      </c>
      <c r="C7072" s="180">
        <v>30</v>
      </c>
    </row>
    <row r="7073" spans="1:3" x14ac:dyDescent="0.25">
      <c r="A7073" s="178">
        <v>150192</v>
      </c>
      <c r="B7073" s="179" t="s">
        <v>456</v>
      </c>
      <c r="C7073" s="180">
        <v>135</v>
      </c>
    </row>
    <row r="7074" spans="1:3" x14ac:dyDescent="0.25">
      <c r="A7074" s="178">
        <v>150193</v>
      </c>
      <c r="B7074" s="179" t="s">
        <v>456</v>
      </c>
      <c r="C7074" s="180">
        <v>115</v>
      </c>
    </row>
    <row r="7075" spans="1:3" x14ac:dyDescent="0.25">
      <c r="A7075" s="178">
        <v>150194</v>
      </c>
      <c r="B7075" s="179" t="s">
        <v>456</v>
      </c>
      <c r="C7075" s="180">
        <v>115</v>
      </c>
    </row>
    <row r="7076" spans="1:3" x14ac:dyDescent="0.25">
      <c r="A7076" s="178">
        <v>150195</v>
      </c>
      <c r="B7076" s="179" t="s">
        <v>456</v>
      </c>
      <c r="C7076" s="180">
        <v>115</v>
      </c>
    </row>
    <row r="7077" spans="1:3" x14ac:dyDescent="0.25">
      <c r="A7077" s="178">
        <v>150196</v>
      </c>
      <c r="B7077" s="179" t="s">
        <v>456</v>
      </c>
      <c r="C7077" s="180">
        <v>135</v>
      </c>
    </row>
    <row r="7078" spans="1:3" x14ac:dyDescent="0.25">
      <c r="A7078" s="178">
        <v>150197</v>
      </c>
      <c r="B7078" s="179" t="s">
        <v>456</v>
      </c>
      <c r="C7078" s="180">
        <v>135</v>
      </c>
    </row>
    <row r="7079" spans="1:3" x14ac:dyDescent="0.25">
      <c r="A7079" s="178">
        <v>150198</v>
      </c>
      <c r="B7079" s="179" t="s">
        <v>456</v>
      </c>
      <c r="C7079" s="180">
        <v>115</v>
      </c>
    </row>
    <row r="7080" spans="1:3" x14ac:dyDescent="0.25">
      <c r="A7080" s="178">
        <v>150199</v>
      </c>
      <c r="B7080" s="179" t="s">
        <v>456</v>
      </c>
      <c r="C7080" s="180">
        <v>115</v>
      </c>
    </row>
    <row r="7081" spans="1:3" x14ac:dyDescent="0.25">
      <c r="A7081" s="178">
        <v>150200</v>
      </c>
      <c r="B7081" s="179" t="s">
        <v>456</v>
      </c>
      <c r="C7081" s="180">
        <v>115</v>
      </c>
    </row>
    <row r="7082" spans="1:3" x14ac:dyDescent="0.25">
      <c r="A7082" s="178">
        <v>150201</v>
      </c>
      <c r="B7082" s="179" t="s">
        <v>456</v>
      </c>
      <c r="C7082" s="180">
        <v>115</v>
      </c>
    </row>
    <row r="7083" spans="1:3" x14ac:dyDescent="0.25">
      <c r="A7083" s="178">
        <v>150202</v>
      </c>
      <c r="B7083" s="179" t="s">
        <v>456</v>
      </c>
      <c r="C7083" s="180">
        <v>115</v>
      </c>
    </row>
    <row r="7084" spans="1:3" x14ac:dyDescent="0.25">
      <c r="A7084" s="178">
        <v>150203</v>
      </c>
      <c r="B7084" s="179" t="s">
        <v>456</v>
      </c>
      <c r="C7084" s="180">
        <v>266</v>
      </c>
    </row>
    <row r="7085" spans="1:3" x14ac:dyDescent="0.25">
      <c r="A7085" s="178">
        <v>150204</v>
      </c>
      <c r="B7085" s="179" t="s">
        <v>456</v>
      </c>
      <c r="C7085" s="180">
        <v>266</v>
      </c>
    </row>
    <row r="7086" spans="1:3" x14ac:dyDescent="0.25">
      <c r="A7086" s="178">
        <v>150205</v>
      </c>
      <c r="B7086" s="179" t="s">
        <v>456</v>
      </c>
      <c r="C7086" s="180">
        <v>100</v>
      </c>
    </row>
    <row r="7087" spans="1:3" x14ac:dyDescent="0.25">
      <c r="A7087" s="178">
        <v>150206</v>
      </c>
      <c r="B7087" s="179" t="s">
        <v>456</v>
      </c>
      <c r="C7087" s="180">
        <v>100</v>
      </c>
    </row>
    <row r="7088" spans="1:3" x14ac:dyDescent="0.25">
      <c r="A7088" s="178">
        <v>150207</v>
      </c>
      <c r="B7088" s="179" t="s">
        <v>456</v>
      </c>
      <c r="C7088" s="180">
        <v>100</v>
      </c>
    </row>
    <row r="7089" spans="1:3" x14ac:dyDescent="0.25">
      <c r="A7089" s="178">
        <v>150208</v>
      </c>
      <c r="B7089" s="179" t="s">
        <v>456</v>
      </c>
      <c r="C7089" s="180">
        <v>100</v>
      </c>
    </row>
    <row r="7090" spans="1:3" x14ac:dyDescent="0.25">
      <c r="A7090" s="178">
        <v>150209</v>
      </c>
      <c r="B7090" s="179" t="s">
        <v>456</v>
      </c>
      <c r="C7090" s="180">
        <v>48</v>
      </c>
    </row>
    <row r="7091" spans="1:3" x14ac:dyDescent="0.25">
      <c r="A7091" s="178">
        <v>150210</v>
      </c>
      <c r="B7091" s="179" t="s">
        <v>456</v>
      </c>
      <c r="C7091" s="180">
        <v>1</v>
      </c>
    </row>
    <row r="7092" spans="1:3" x14ac:dyDescent="0.25">
      <c r="A7092" s="178">
        <v>150211</v>
      </c>
      <c r="B7092" s="179" t="s">
        <v>456</v>
      </c>
      <c r="C7092" s="180">
        <v>48</v>
      </c>
    </row>
    <row r="7093" spans="1:3" x14ac:dyDescent="0.25">
      <c r="A7093" s="178">
        <v>150212</v>
      </c>
      <c r="B7093" s="179" t="s">
        <v>456</v>
      </c>
      <c r="C7093" s="180">
        <v>100</v>
      </c>
    </row>
    <row r="7094" spans="1:3" x14ac:dyDescent="0.25">
      <c r="A7094" s="178">
        <v>150213</v>
      </c>
      <c r="B7094" s="179" t="s">
        <v>456</v>
      </c>
      <c r="C7094" s="180">
        <v>100</v>
      </c>
    </row>
    <row r="7095" spans="1:3" x14ac:dyDescent="0.25">
      <c r="A7095" s="178">
        <v>150215</v>
      </c>
      <c r="B7095" s="179" t="s">
        <v>456</v>
      </c>
      <c r="C7095" s="180">
        <v>48</v>
      </c>
    </row>
    <row r="7096" spans="1:3" x14ac:dyDescent="0.25">
      <c r="A7096" s="178">
        <v>150216</v>
      </c>
      <c r="B7096" s="179" t="s">
        <v>456</v>
      </c>
      <c r="C7096" s="180">
        <v>48</v>
      </c>
    </row>
    <row r="7097" spans="1:3" x14ac:dyDescent="0.25">
      <c r="A7097" s="178">
        <v>150217</v>
      </c>
      <c r="B7097" s="179" t="s">
        <v>456</v>
      </c>
      <c r="C7097" s="180">
        <v>1</v>
      </c>
    </row>
    <row r="7098" spans="1:3" x14ac:dyDescent="0.25">
      <c r="A7098" s="178">
        <v>150218</v>
      </c>
      <c r="B7098" s="179" t="s">
        <v>456</v>
      </c>
      <c r="C7098" s="180">
        <v>1</v>
      </c>
    </row>
    <row r="7099" spans="1:3" x14ac:dyDescent="0.25">
      <c r="A7099" s="178">
        <v>150219</v>
      </c>
      <c r="B7099" s="179" t="s">
        <v>456</v>
      </c>
      <c r="C7099" s="180">
        <v>1</v>
      </c>
    </row>
    <row r="7100" spans="1:3" x14ac:dyDescent="0.25">
      <c r="A7100" s="178">
        <v>150220</v>
      </c>
      <c r="B7100" s="179" t="s">
        <v>456</v>
      </c>
      <c r="C7100" s="180">
        <v>1</v>
      </c>
    </row>
    <row r="7101" spans="1:3" x14ac:dyDescent="0.25">
      <c r="A7101" s="178">
        <v>150222</v>
      </c>
      <c r="B7101" s="179" t="s">
        <v>456</v>
      </c>
      <c r="C7101" s="180">
        <v>32</v>
      </c>
    </row>
    <row r="7102" spans="1:3" x14ac:dyDescent="0.25">
      <c r="A7102" s="178">
        <v>150223</v>
      </c>
      <c r="B7102" s="179" t="s">
        <v>456</v>
      </c>
      <c r="C7102" s="180">
        <v>32</v>
      </c>
    </row>
    <row r="7103" spans="1:3" x14ac:dyDescent="0.25">
      <c r="A7103" s="178">
        <v>150224</v>
      </c>
      <c r="B7103" s="179" t="s">
        <v>456</v>
      </c>
      <c r="C7103" s="180">
        <v>64</v>
      </c>
    </row>
    <row r="7104" spans="1:3" x14ac:dyDescent="0.25">
      <c r="A7104" s="178">
        <v>150225</v>
      </c>
      <c r="B7104" s="179" t="s">
        <v>456</v>
      </c>
      <c r="C7104" s="180">
        <v>24</v>
      </c>
    </row>
    <row r="7105" spans="1:3" x14ac:dyDescent="0.25">
      <c r="A7105" s="178">
        <v>150226</v>
      </c>
      <c r="B7105" s="179" t="s">
        <v>456</v>
      </c>
      <c r="C7105" s="180">
        <v>24</v>
      </c>
    </row>
    <row r="7106" spans="1:3" x14ac:dyDescent="0.25">
      <c r="A7106" s="178">
        <v>150229</v>
      </c>
      <c r="B7106" s="179" t="s">
        <v>456</v>
      </c>
      <c r="C7106" s="180">
        <v>64</v>
      </c>
    </row>
    <row r="7107" spans="1:3" x14ac:dyDescent="0.25">
      <c r="A7107" s="178">
        <v>150231</v>
      </c>
      <c r="B7107" s="179" t="s">
        <v>456</v>
      </c>
      <c r="C7107" s="180">
        <v>60</v>
      </c>
    </row>
    <row r="7108" spans="1:3" x14ac:dyDescent="0.25">
      <c r="A7108" s="178">
        <v>150232</v>
      </c>
      <c r="B7108" s="179" t="s">
        <v>456</v>
      </c>
      <c r="C7108" s="180">
        <v>64</v>
      </c>
    </row>
    <row r="7109" spans="1:3" x14ac:dyDescent="0.25">
      <c r="A7109" s="178">
        <v>150233</v>
      </c>
      <c r="B7109" s="179" t="s">
        <v>456</v>
      </c>
      <c r="C7109" s="180">
        <v>60</v>
      </c>
    </row>
    <row r="7110" spans="1:3" x14ac:dyDescent="0.25">
      <c r="A7110" s="178">
        <v>150235</v>
      </c>
      <c r="B7110" s="179" t="s">
        <v>456</v>
      </c>
      <c r="C7110" s="180">
        <v>24</v>
      </c>
    </row>
    <row r="7111" spans="1:3" x14ac:dyDescent="0.25">
      <c r="A7111" s="178">
        <v>150236</v>
      </c>
      <c r="B7111" s="179" t="s">
        <v>456</v>
      </c>
      <c r="C7111" s="180">
        <v>64</v>
      </c>
    </row>
    <row r="7112" spans="1:3" x14ac:dyDescent="0.25">
      <c r="A7112" s="178">
        <v>150237</v>
      </c>
      <c r="B7112" s="179" t="s">
        <v>456</v>
      </c>
      <c r="C7112" s="180">
        <v>64</v>
      </c>
    </row>
    <row r="7113" spans="1:3" x14ac:dyDescent="0.25">
      <c r="A7113" s="178">
        <v>150238</v>
      </c>
      <c r="B7113" s="179" t="s">
        <v>456</v>
      </c>
      <c r="C7113" s="180">
        <v>112</v>
      </c>
    </row>
    <row r="7114" spans="1:3" x14ac:dyDescent="0.25">
      <c r="A7114" s="178">
        <v>150239</v>
      </c>
      <c r="B7114" s="179" t="s">
        <v>456</v>
      </c>
      <c r="C7114" s="180">
        <v>112</v>
      </c>
    </row>
    <row r="7115" spans="1:3" x14ac:dyDescent="0.25">
      <c r="A7115" s="178">
        <v>150240</v>
      </c>
      <c r="B7115" s="179" t="s">
        <v>456</v>
      </c>
      <c r="C7115" s="180">
        <v>112</v>
      </c>
    </row>
    <row r="7116" spans="1:3" x14ac:dyDescent="0.25">
      <c r="A7116" s="178">
        <v>150241</v>
      </c>
      <c r="B7116" s="179" t="s">
        <v>456</v>
      </c>
      <c r="C7116" s="180">
        <v>112</v>
      </c>
    </row>
    <row r="7117" spans="1:3" x14ac:dyDescent="0.25">
      <c r="A7117" s="178">
        <v>150242</v>
      </c>
      <c r="B7117" s="179" t="s">
        <v>456</v>
      </c>
      <c r="C7117" s="180">
        <v>39</v>
      </c>
    </row>
    <row r="7118" spans="1:3" x14ac:dyDescent="0.25">
      <c r="A7118" s="178">
        <v>150243</v>
      </c>
      <c r="B7118" s="179" t="s">
        <v>456</v>
      </c>
      <c r="C7118" s="180">
        <v>39</v>
      </c>
    </row>
    <row r="7119" spans="1:3" x14ac:dyDescent="0.25">
      <c r="A7119" s="178">
        <v>150245</v>
      </c>
      <c r="B7119" s="179" t="s">
        <v>456</v>
      </c>
      <c r="C7119" s="180">
        <v>30</v>
      </c>
    </row>
    <row r="7120" spans="1:3" x14ac:dyDescent="0.25">
      <c r="A7120" s="178">
        <v>150246</v>
      </c>
      <c r="B7120" s="179" t="s">
        <v>456</v>
      </c>
      <c r="C7120" s="180">
        <v>16</v>
      </c>
    </row>
    <row r="7121" spans="1:3" x14ac:dyDescent="0.25">
      <c r="A7121" s="178">
        <v>150248</v>
      </c>
      <c r="B7121" s="179" t="s">
        <v>456</v>
      </c>
      <c r="C7121" s="180">
        <v>115</v>
      </c>
    </row>
    <row r="7122" spans="1:3" x14ac:dyDescent="0.25">
      <c r="A7122" s="178">
        <v>150249</v>
      </c>
      <c r="B7122" s="179" t="s">
        <v>456</v>
      </c>
      <c r="C7122" s="180">
        <v>66</v>
      </c>
    </row>
    <row r="7123" spans="1:3" x14ac:dyDescent="0.25">
      <c r="A7123" s="178">
        <v>150251</v>
      </c>
      <c r="B7123" s="179" t="s">
        <v>456</v>
      </c>
      <c r="C7123" s="180">
        <v>240</v>
      </c>
    </row>
    <row r="7124" spans="1:3" x14ac:dyDescent="0.25">
      <c r="A7124" s="178">
        <v>150254</v>
      </c>
      <c r="B7124" s="179" t="s">
        <v>456</v>
      </c>
      <c r="C7124" s="180">
        <v>120</v>
      </c>
    </row>
    <row r="7125" spans="1:3" x14ac:dyDescent="0.25">
      <c r="A7125" s="178">
        <v>150256</v>
      </c>
      <c r="B7125" s="179" t="s">
        <v>456</v>
      </c>
      <c r="C7125" s="180">
        <v>120</v>
      </c>
    </row>
    <row r="7126" spans="1:3" x14ac:dyDescent="0.25">
      <c r="A7126" s="178">
        <v>150257</v>
      </c>
      <c r="B7126" s="179" t="s">
        <v>456</v>
      </c>
      <c r="C7126" s="180">
        <v>192</v>
      </c>
    </row>
    <row r="7127" spans="1:3" x14ac:dyDescent="0.25">
      <c r="A7127" s="178">
        <v>150259</v>
      </c>
      <c r="B7127" s="179" t="s">
        <v>456</v>
      </c>
      <c r="C7127" s="180">
        <v>192</v>
      </c>
    </row>
    <row r="7128" spans="1:3" x14ac:dyDescent="0.25">
      <c r="A7128" s="178">
        <v>150261</v>
      </c>
      <c r="B7128" s="179" t="s">
        <v>456</v>
      </c>
      <c r="C7128" s="180">
        <v>64</v>
      </c>
    </row>
    <row r="7129" spans="1:3" x14ac:dyDescent="0.25">
      <c r="A7129" s="178">
        <v>150262</v>
      </c>
      <c r="B7129" s="179" t="s">
        <v>456</v>
      </c>
      <c r="C7129" s="180">
        <v>75</v>
      </c>
    </row>
    <row r="7130" spans="1:3" x14ac:dyDescent="0.25">
      <c r="A7130" s="178">
        <v>150264</v>
      </c>
      <c r="B7130" s="179" t="s">
        <v>456</v>
      </c>
      <c r="C7130" s="180">
        <v>75</v>
      </c>
    </row>
    <row r="7131" spans="1:3" x14ac:dyDescent="0.25">
      <c r="A7131" s="178">
        <v>150266</v>
      </c>
      <c r="B7131" s="179" t="s">
        <v>456</v>
      </c>
      <c r="C7131" s="180">
        <v>60</v>
      </c>
    </row>
    <row r="7132" spans="1:3" x14ac:dyDescent="0.25">
      <c r="A7132" s="178">
        <v>150268</v>
      </c>
      <c r="B7132" s="179" t="s">
        <v>456</v>
      </c>
      <c r="C7132" s="180">
        <v>3</v>
      </c>
    </row>
    <row r="7133" spans="1:3" x14ac:dyDescent="0.25">
      <c r="A7133" s="178">
        <v>150273</v>
      </c>
      <c r="B7133" s="179" t="s">
        <v>456</v>
      </c>
      <c r="C7133" s="180">
        <v>180</v>
      </c>
    </row>
    <row r="7134" spans="1:3" x14ac:dyDescent="0.25">
      <c r="A7134" s="178">
        <v>150274</v>
      </c>
      <c r="B7134" s="179" t="s">
        <v>456</v>
      </c>
      <c r="C7134" s="180">
        <v>120</v>
      </c>
    </row>
    <row r="7135" spans="1:3" x14ac:dyDescent="0.25">
      <c r="A7135" s="178">
        <v>150275</v>
      </c>
      <c r="B7135" s="179" t="s">
        <v>456</v>
      </c>
      <c r="C7135" s="180">
        <v>180</v>
      </c>
    </row>
    <row r="7136" spans="1:3" x14ac:dyDescent="0.25">
      <c r="A7136" s="178">
        <v>150276</v>
      </c>
      <c r="B7136" s="179" t="s">
        <v>456</v>
      </c>
      <c r="C7136" s="180">
        <v>180</v>
      </c>
    </row>
    <row r="7137" spans="1:3" x14ac:dyDescent="0.25">
      <c r="A7137" s="178">
        <v>150277</v>
      </c>
      <c r="B7137" s="179" t="s">
        <v>456</v>
      </c>
      <c r="C7137" s="180">
        <v>120</v>
      </c>
    </row>
    <row r="7138" spans="1:3" x14ac:dyDescent="0.25">
      <c r="A7138" s="178">
        <v>150278</v>
      </c>
      <c r="B7138" s="179" t="s">
        <v>456</v>
      </c>
      <c r="C7138" s="180">
        <v>176</v>
      </c>
    </row>
    <row r="7139" spans="1:3" x14ac:dyDescent="0.25">
      <c r="A7139" s="178">
        <v>150279</v>
      </c>
      <c r="B7139" s="179" t="s">
        <v>456</v>
      </c>
      <c r="C7139" s="180">
        <v>176</v>
      </c>
    </row>
    <row r="7140" spans="1:3" x14ac:dyDescent="0.25">
      <c r="A7140" s="178">
        <v>150280</v>
      </c>
      <c r="B7140" s="179" t="s">
        <v>456</v>
      </c>
      <c r="C7140" s="180">
        <v>180</v>
      </c>
    </row>
    <row r="7141" spans="1:3" x14ac:dyDescent="0.25">
      <c r="A7141" s="178">
        <v>150281</v>
      </c>
      <c r="B7141" s="179" t="s">
        <v>456</v>
      </c>
      <c r="C7141" s="180">
        <v>180</v>
      </c>
    </row>
    <row r="7142" spans="1:3" x14ac:dyDescent="0.25">
      <c r="A7142" s="178">
        <v>150282</v>
      </c>
      <c r="B7142" s="179" t="s">
        <v>456</v>
      </c>
      <c r="C7142" s="180">
        <v>180</v>
      </c>
    </row>
    <row r="7143" spans="1:3" x14ac:dyDescent="0.25">
      <c r="A7143" s="178">
        <v>150283</v>
      </c>
      <c r="B7143" s="179" t="s">
        <v>456</v>
      </c>
      <c r="C7143" s="180">
        <v>176</v>
      </c>
    </row>
    <row r="7144" spans="1:3" x14ac:dyDescent="0.25">
      <c r="A7144" s="178">
        <v>150284</v>
      </c>
      <c r="B7144" s="179" t="s">
        <v>456</v>
      </c>
      <c r="C7144" s="180">
        <v>180</v>
      </c>
    </row>
    <row r="7145" spans="1:3" x14ac:dyDescent="0.25">
      <c r="A7145" s="178">
        <v>150285</v>
      </c>
      <c r="B7145" s="179" t="s">
        <v>456</v>
      </c>
      <c r="C7145" s="180">
        <v>176</v>
      </c>
    </row>
    <row r="7146" spans="1:3" x14ac:dyDescent="0.25">
      <c r="A7146" s="178">
        <v>150286</v>
      </c>
      <c r="B7146" s="179" t="s">
        <v>456</v>
      </c>
      <c r="C7146" s="180">
        <v>180</v>
      </c>
    </row>
    <row r="7147" spans="1:3" x14ac:dyDescent="0.25">
      <c r="A7147" s="178">
        <v>150287</v>
      </c>
      <c r="B7147" s="179" t="s">
        <v>456</v>
      </c>
      <c r="C7147" s="180">
        <v>180</v>
      </c>
    </row>
    <row r="7148" spans="1:3" x14ac:dyDescent="0.25">
      <c r="A7148" s="178">
        <v>150288</v>
      </c>
      <c r="B7148" s="179" t="s">
        <v>456</v>
      </c>
      <c r="C7148" s="180">
        <v>180</v>
      </c>
    </row>
    <row r="7149" spans="1:3" x14ac:dyDescent="0.25">
      <c r="A7149" s="178">
        <v>150290</v>
      </c>
      <c r="B7149" s="179" t="s">
        <v>456</v>
      </c>
      <c r="C7149" s="180">
        <v>70</v>
      </c>
    </row>
    <row r="7150" spans="1:3" x14ac:dyDescent="0.25">
      <c r="A7150" s="178">
        <v>150291</v>
      </c>
      <c r="B7150" s="179" t="s">
        <v>456</v>
      </c>
      <c r="C7150" s="180">
        <v>2</v>
      </c>
    </row>
    <row r="7151" spans="1:3" x14ac:dyDescent="0.25">
      <c r="A7151" s="178">
        <v>150292</v>
      </c>
      <c r="B7151" s="179" t="s">
        <v>456</v>
      </c>
      <c r="C7151" s="180">
        <v>2</v>
      </c>
    </row>
    <row r="7152" spans="1:3" x14ac:dyDescent="0.25">
      <c r="A7152" s="178">
        <v>150293</v>
      </c>
      <c r="B7152" s="179" t="s">
        <v>456</v>
      </c>
      <c r="C7152" s="180">
        <v>2</v>
      </c>
    </row>
    <row r="7153" spans="1:3" x14ac:dyDescent="0.25">
      <c r="A7153" s="178">
        <v>150294</v>
      </c>
      <c r="B7153" s="179" t="s">
        <v>456</v>
      </c>
      <c r="C7153" s="180">
        <v>2</v>
      </c>
    </row>
    <row r="7154" spans="1:3" x14ac:dyDescent="0.25">
      <c r="A7154" s="178">
        <v>150296</v>
      </c>
      <c r="B7154" s="179" t="s">
        <v>456</v>
      </c>
      <c r="C7154" s="180">
        <v>135</v>
      </c>
    </row>
    <row r="7155" spans="1:3" x14ac:dyDescent="0.25">
      <c r="A7155" s="178">
        <v>150297</v>
      </c>
      <c r="B7155" s="179" t="s">
        <v>456</v>
      </c>
      <c r="C7155" s="180">
        <v>115</v>
      </c>
    </row>
    <row r="7156" spans="1:3" x14ac:dyDescent="0.25">
      <c r="A7156" s="178">
        <v>150302</v>
      </c>
      <c r="B7156" s="179" t="s">
        <v>456</v>
      </c>
      <c r="C7156" s="180">
        <v>120</v>
      </c>
    </row>
    <row r="7157" spans="1:3" x14ac:dyDescent="0.25">
      <c r="A7157" s="178">
        <v>150303</v>
      </c>
      <c r="B7157" s="179" t="s">
        <v>456</v>
      </c>
      <c r="C7157" s="180">
        <v>128</v>
      </c>
    </row>
    <row r="7158" spans="1:3" x14ac:dyDescent="0.25">
      <c r="A7158" s="178">
        <v>150307</v>
      </c>
      <c r="B7158" s="179" t="s">
        <v>456</v>
      </c>
      <c r="C7158" s="180">
        <v>2</v>
      </c>
    </row>
    <row r="7159" spans="1:3" x14ac:dyDescent="0.25">
      <c r="A7159" s="178">
        <v>150308</v>
      </c>
      <c r="B7159" s="179" t="s">
        <v>456</v>
      </c>
      <c r="C7159" s="180">
        <v>3</v>
      </c>
    </row>
    <row r="7160" spans="1:3" x14ac:dyDescent="0.25">
      <c r="A7160" s="178">
        <v>150309</v>
      </c>
      <c r="B7160" s="179" t="s">
        <v>456</v>
      </c>
      <c r="C7160" s="180">
        <v>8</v>
      </c>
    </row>
    <row r="7161" spans="1:3" x14ac:dyDescent="0.25">
      <c r="A7161" s="178">
        <v>150310</v>
      </c>
      <c r="B7161" s="179" t="s">
        <v>456</v>
      </c>
      <c r="C7161" s="180">
        <v>3</v>
      </c>
    </row>
    <row r="7162" spans="1:3" x14ac:dyDescent="0.25">
      <c r="A7162" s="178">
        <v>150311</v>
      </c>
      <c r="B7162" s="179" t="s">
        <v>456</v>
      </c>
      <c r="C7162" s="180">
        <v>2</v>
      </c>
    </row>
    <row r="7163" spans="1:3" x14ac:dyDescent="0.25">
      <c r="A7163" s="178">
        <v>150312</v>
      </c>
      <c r="B7163" s="179" t="s">
        <v>456</v>
      </c>
      <c r="C7163" s="180">
        <v>2</v>
      </c>
    </row>
    <row r="7164" spans="1:3" x14ac:dyDescent="0.25">
      <c r="A7164" s="178">
        <v>150314</v>
      </c>
      <c r="B7164" s="179" t="s">
        <v>456</v>
      </c>
      <c r="C7164" s="180">
        <v>3</v>
      </c>
    </row>
    <row r="7165" spans="1:3" x14ac:dyDescent="0.25">
      <c r="A7165" s="178">
        <v>152085</v>
      </c>
      <c r="B7165" s="179" t="s">
        <v>456</v>
      </c>
      <c r="C7165" s="180">
        <v>3</v>
      </c>
    </row>
    <row r="7166" spans="1:3" x14ac:dyDescent="0.25">
      <c r="A7166" s="178">
        <v>152086</v>
      </c>
      <c r="B7166" s="179" t="s">
        <v>456</v>
      </c>
      <c r="C7166" s="180">
        <v>2</v>
      </c>
    </row>
    <row r="7167" spans="1:3" x14ac:dyDescent="0.25">
      <c r="A7167" s="178">
        <v>152097</v>
      </c>
      <c r="B7167" s="179" t="s">
        <v>456</v>
      </c>
      <c r="C7167" s="180">
        <v>3</v>
      </c>
    </row>
    <row r="7168" spans="1:3" x14ac:dyDescent="0.25">
      <c r="A7168" s="178">
        <v>152098</v>
      </c>
      <c r="B7168" s="179" t="s">
        <v>456</v>
      </c>
      <c r="C7168" s="180">
        <v>2</v>
      </c>
    </row>
    <row r="7169" spans="1:3" x14ac:dyDescent="0.25">
      <c r="A7169" s="178">
        <v>152100</v>
      </c>
      <c r="B7169" s="179" t="s">
        <v>456</v>
      </c>
      <c r="C7169" s="180">
        <v>120</v>
      </c>
    </row>
    <row r="7170" spans="1:3" x14ac:dyDescent="0.25">
      <c r="A7170" s="178">
        <v>152101</v>
      </c>
      <c r="B7170" s="179" t="s">
        <v>456</v>
      </c>
      <c r="C7170" s="180">
        <v>120</v>
      </c>
    </row>
    <row r="7171" spans="1:3" x14ac:dyDescent="0.25">
      <c r="A7171" s="178">
        <v>152104</v>
      </c>
      <c r="B7171" s="179" t="s">
        <v>456</v>
      </c>
      <c r="C7171" s="180">
        <v>120</v>
      </c>
    </row>
    <row r="7172" spans="1:3" x14ac:dyDescent="0.25">
      <c r="A7172" s="178">
        <v>152105</v>
      </c>
      <c r="B7172" s="179" t="s">
        <v>456</v>
      </c>
      <c r="C7172" s="180">
        <v>36</v>
      </c>
    </row>
    <row r="7173" spans="1:3" x14ac:dyDescent="0.25">
      <c r="A7173" s="178">
        <v>152108</v>
      </c>
      <c r="B7173" s="179" t="s">
        <v>456</v>
      </c>
      <c r="C7173" s="180">
        <v>125</v>
      </c>
    </row>
    <row r="7174" spans="1:3" x14ac:dyDescent="0.25">
      <c r="A7174" s="178">
        <v>152110</v>
      </c>
      <c r="B7174" s="179" t="s">
        <v>456</v>
      </c>
      <c r="C7174" s="180">
        <v>125</v>
      </c>
    </row>
    <row r="7175" spans="1:3" x14ac:dyDescent="0.25">
      <c r="A7175" s="178">
        <v>152111</v>
      </c>
      <c r="B7175" s="179" t="s">
        <v>456</v>
      </c>
      <c r="C7175" s="180">
        <v>128</v>
      </c>
    </row>
    <row r="7176" spans="1:3" x14ac:dyDescent="0.25">
      <c r="A7176" s="178">
        <v>152113</v>
      </c>
      <c r="B7176" s="179" t="s">
        <v>456</v>
      </c>
      <c r="C7176" s="180">
        <v>135</v>
      </c>
    </row>
    <row r="7177" spans="1:3" x14ac:dyDescent="0.25">
      <c r="A7177" s="178">
        <v>152114</v>
      </c>
      <c r="B7177" s="179" t="s">
        <v>456</v>
      </c>
      <c r="C7177" s="180">
        <v>162</v>
      </c>
    </row>
    <row r="7178" spans="1:3" x14ac:dyDescent="0.25">
      <c r="A7178" s="178">
        <v>152115</v>
      </c>
      <c r="B7178" s="179" t="s">
        <v>456</v>
      </c>
      <c r="C7178" s="180">
        <v>162</v>
      </c>
    </row>
    <row r="7179" spans="1:3" x14ac:dyDescent="0.25">
      <c r="A7179" s="178">
        <v>152116</v>
      </c>
      <c r="B7179" s="179" t="s">
        <v>456</v>
      </c>
      <c r="C7179" s="180">
        <v>115</v>
      </c>
    </row>
    <row r="7180" spans="1:3" x14ac:dyDescent="0.25">
      <c r="A7180" s="178">
        <v>152117</v>
      </c>
      <c r="B7180" s="179" t="s">
        <v>456</v>
      </c>
      <c r="C7180" s="180">
        <v>275</v>
      </c>
    </row>
    <row r="7181" spans="1:3" x14ac:dyDescent="0.25">
      <c r="A7181" s="178">
        <v>152126</v>
      </c>
      <c r="B7181" s="179" t="s">
        <v>456</v>
      </c>
      <c r="C7181" s="180">
        <v>168</v>
      </c>
    </row>
    <row r="7182" spans="1:3" x14ac:dyDescent="0.25">
      <c r="A7182" s="178">
        <v>152128</v>
      </c>
      <c r="B7182" s="179" t="s">
        <v>456</v>
      </c>
      <c r="C7182" s="180">
        <v>168</v>
      </c>
    </row>
    <row r="7183" spans="1:3" x14ac:dyDescent="0.25">
      <c r="A7183" s="178">
        <v>152129</v>
      </c>
      <c r="B7183" s="179" t="s">
        <v>456</v>
      </c>
      <c r="C7183" s="180">
        <v>168</v>
      </c>
    </row>
    <row r="7184" spans="1:3" x14ac:dyDescent="0.25">
      <c r="A7184" s="178">
        <v>152132</v>
      </c>
      <c r="B7184" s="179" t="s">
        <v>456</v>
      </c>
      <c r="C7184" s="180">
        <v>125</v>
      </c>
    </row>
    <row r="7185" spans="1:3" x14ac:dyDescent="0.25">
      <c r="A7185" s="178">
        <v>152133</v>
      </c>
      <c r="B7185" s="179" t="s">
        <v>456</v>
      </c>
      <c r="C7185" s="180">
        <v>125</v>
      </c>
    </row>
    <row r="7186" spans="1:3" x14ac:dyDescent="0.25">
      <c r="A7186" s="178">
        <v>152136</v>
      </c>
      <c r="B7186" s="179" t="s">
        <v>456</v>
      </c>
      <c r="C7186" s="180">
        <v>100</v>
      </c>
    </row>
    <row r="7187" spans="1:3" x14ac:dyDescent="0.25">
      <c r="A7187" s="178">
        <v>152159</v>
      </c>
      <c r="B7187" s="179" t="s">
        <v>456</v>
      </c>
      <c r="C7187" s="180">
        <v>100</v>
      </c>
    </row>
    <row r="7188" spans="1:3" x14ac:dyDescent="0.25">
      <c r="A7188" s="178">
        <v>152223</v>
      </c>
      <c r="B7188" s="179" t="s">
        <v>456</v>
      </c>
      <c r="C7188" s="180">
        <v>2</v>
      </c>
    </row>
    <row r="7189" spans="1:3" x14ac:dyDescent="0.25">
      <c r="A7189" s="178">
        <v>152272</v>
      </c>
      <c r="B7189" s="179" t="s">
        <v>456</v>
      </c>
      <c r="C7189" s="180">
        <v>135</v>
      </c>
    </row>
    <row r="7190" spans="1:3" x14ac:dyDescent="0.25">
      <c r="A7190" s="178">
        <v>152273</v>
      </c>
      <c r="B7190" s="179" t="s">
        <v>456</v>
      </c>
      <c r="C7190" s="180">
        <v>135</v>
      </c>
    </row>
    <row r="7191" spans="1:3" x14ac:dyDescent="0.25">
      <c r="A7191" s="178">
        <v>152274</v>
      </c>
      <c r="B7191" s="179" t="s">
        <v>456</v>
      </c>
      <c r="C7191" s="180">
        <v>189</v>
      </c>
    </row>
    <row r="7192" spans="1:3" x14ac:dyDescent="0.25">
      <c r="A7192" s="178">
        <v>152276</v>
      </c>
      <c r="B7192" s="179" t="s">
        <v>456</v>
      </c>
      <c r="C7192" s="180">
        <v>3</v>
      </c>
    </row>
    <row r="7193" spans="1:3" x14ac:dyDescent="0.25">
      <c r="A7193" s="178">
        <v>152284</v>
      </c>
      <c r="B7193" s="179" t="s">
        <v>456</v>
      </c>
      <c r="C7193" s="180">
        <v>120</v>
      </c>
    </row>
    <row r="7194" spans="1:3" x14ac:dyDescent="0.25">
      <c r="A7194" s="178">
        <v>152285</v>
      </c>
      <c r="B7194" s="179" t="s">
        <v>456</v>
      </c>
      <c r="C7194" s="180">
        <v>48</v>
      </c>
    </row>
    <row r="7195" spans="1:3" x14ac:dyDescent="0.25">
      <c r="A7195" s="178">
        <v>152298</v>
      </c>
      <c r="B7195" s="179" t="s">
        <v>456</v>
      </c>
      <c r="C7195" s="180">
        <v>2</v>
      </c>
    </row>
    <row r="7196" spans="1:3" x14ac:dyDescent="0.25">
      <c r="A7196" s="178">
        <v>152309</v>
      </c>
      <c r="B7196" s="179" t="s">
        <v>456</v>
      </c>
      <c r="C7196" s="180">
        <v>162</v>
      </c>
    </row>
    <row r="7197" spans="1:3" x14ac:dyDescent="0.25">
      <c r="A7197" s="178">
        <v>152310</v>
      </c>
      <c r="B7197" s="179" t="s">
        <v>456</v>
      </c>
      <c r="C7197" s="180">
        <v>162</v>
      </c>
    </row>
    <row r="7198" spans="1:3" x14ac:dyDescent="0.25">
      <c r="A7198" s="178">
        <v>152311</v>
      </c>
      <c r="B7198" s="179" t="s">
        <v>456</v>
      </c>
      <c r="C7198" s="180">
        <v>1</v>
      </c>
    </row>
    <row r="7199" spans="1:3" x14ac:dyDescent="0.25">
      <c r="A7199" s="178">
        <v>152312</v>
      </c>
      <c r="B7199" s="179" t="s">
        <v>456</v>
      </c>
      <c r="C7199" s="180">
        <v>115</v>
      </c>
    </row>
    <row r="7200" spans="1:3" x14ac:dyDescent="0.25">
      <c r="A7200" s="178">
        <v>152313</v>
      </c>
      <c r="B7200" s="179" t="s">
        <v>456</v>
      </c>
      <c r="C7200" s="180">
        <v>162</v>
      </c>
    </row>
    <row r="7201" spans="1:3" x14ac:dyDescent="0.25">
      <c r="A7201" s="178">
        <v>152338</v>
      </c>
      <c r="B7201" s="179" t="s">
        <v>456</v>
      </c>
      <c r="C7201" s="180">
        <v>36</v>
      </c>
    </row>
    <row r="7202" spans="1:3" x14ac:dyDescent="0.25">
      <c r="A7202" s="178">
        <v>152354</v>
      </c>
      <c r="B7202" s="179" t="s">
        <v>456</v>
      </c>
      <c r="C7202" s="180">
        <v>195</v>
      </c>
    </row>
    <row r="7203" spans="1:3" x14ac:dyDescent="0.25">
      <c r="A7203" s="178">
        <v>152355</v>
      </c>
      <c r="B7203" s="179" t="s">
        <v>456</v>
      </c>
      <c r="C7203" s="180">
        <v>195</v>
      </c>
    </row>
    <row r="7204" spans="1:3" x14ac:dyDescent="0.25">
      <c r="A7204" s="178">
        <v>152364</v>
      </c>
      <c r="B7204" s="179" t="s">
        <v>456</v>
      </c>
      <c r="C7204" s="180">
        <v>3</v>
      </c>
    </row>
    <row r="7205" spans="1:3" x14ac:dyDescent="0.25">
      <c r="A7205" s="178">
        <v>152365</v>
      </c>
      <c r="B7205" s="179" t="s">
        <v>456</v>
      </c>
      <c r="C7205" s="180">
        <v>56</v>
      </c>
    </row>
    <row r="7206" spans="1:3" x14ac:dyDescent="0.25">
      <c r="A7206" s="178">
        <v>152375</v>
      </c>
      <c r="B7206" s="179" t="s">
        <v>456</v>
      </c>
      <c r="C7206" s="180">
        <v>30</v>
      </c>
    </row>
    <row r="7207" spans="1:3" x14ac:dyDescent="0.25">
      <c r="A7207" s="178">
        <v>152377</v>
      </c>
      <c r="B7207" s="179" t="s">
        <v>456</v>
      </c>
      <c r="C7207" s="180">
        <v>100</v>
      </c>
    </row>
    <row r="7208" spans="1:3" x14ac:dyDescent="0.25">
      <c r="A7208" s="178">
        <v>152383</v>
      </c>
      <c r="B7208" s="179" t="s">
        <v>456</v>
      </c>
      <c r="C7208" s="180">
        <v>100</v>
      </c>
    </row>
    <row r="7209" spans="1:3" x14ac:dyDescent="0.25">
      <c r="A7209" s="178">
        <v>152394</v>
      </c>
      <c r="B7209" s="179" t="s">
        <v>456</v>
      </c>
      <c r="C7209" s="180">
        <v>64</v>
      </c>
    </row>
    <row r="7210" spans="1:3" x14ac:dyDescent="0.25">
      <c r="A7210" s="178">
        <v>152395</v>
      </c>
      <c r="B7210" s="179" t="s">
        <v>456</v>
      </c>
      <c r="C7210" s="180">
        <v>80</v>
      </c>
    </row>
    <row r="7211" spans="1:3" x14ac:dyDescent="0.25">
      <c r="A7211" s="178">
        <v>152405</v>
      </c>
      <c r="B7211" s="179" t="s">
        <v>456</v>
      </c>
      <c r="C7211" s="180">
        <v>115</v>
      </c>
    </row>
    <row r="7212" spans="1:3" x14ac:dyDescent="0.25">
      <c r="A7212" s="178">
        <v>152406</v>
      </c>
      <c r="B7212" s="179" t="s">
        <v>456</v>
      </c>
      <c r="C7212" s="180">
        <v>115</v>
      </c>
    </row>
    <row r="7213" spans="1:3" x14ac:dyDescent="0.25">
      <c r="A7213" s="178">
        <v>152407</v>
      </c>
      <c r="B7213" s="179" t="s">
        <v>456</v>
      </c>
      <c r="C7213" s="180">
        <v>115</v>
      </c>
    </row>
    <row r="7214" spans="1:3" x14ac:dyDescent="0.25">
      <c r="A7214" s="178">
        <v>152408</v>
      </c>
      <c r="B7214" s="179" t="s">
        <v>456</v>
      </c>
      <c r="C7214" s="180">
        <v>80</v>
      </c>
    </row>
    <row r="7215" spans="1:3" x14ac:dyDescent="0.25">
      <c r="A7215" s="178">
        <v>152411</v>
      </c>
      <c r="B7215" s="179" t="s">
        <v>456</v>
      </c>
      <c r="C7215" s="180">
        <v>189</v>
      </c>
    </row>
    <row r="7216" spans="1:3" x14ac:dyDescent="0.25">
      <c r="A7216" s="178">
        <v>152412</v>
      </c>
      <c r="B7216" s="179" t="s">
        <v>456</v>
      </c>
      <c r="C7216" s="180">
        <v>189</v>
      </c>
    </row>
    <row r="7217" spans="1:3" x14ac:dyDescent="0.25">
      <c r="A7217" s="178">
        <v>152413</v>
      </c>
      <c r="B7217" s="179" t="s">
        <v>456</v>
      </c>
      <c r="C7217" s="180">
        <v>189</v>
      </c>
    </row>
    <row r="7218" spans="1:3" x14ac:dyDescent="0.25">
      <c r="A7218" s="178">
        <v>152414</v>
      </c>
      <c r="B7218" s="179" t="s">
        <v>456</v>
      </c>
      <c r="C7218" s="180">
        <v>63</v>
      </c>
    </row>
    <row r="7219" spans="1:3" x14ac:dyDescent="0.25">
      <c r="A7219" s="178">
        <v>152415</v>
      </c>
      <c r="B7219" s="179" t="s">
        <v>456</v>
      </c>
      <c r="C7219" s="180">
        <v>63</v>
      </c>
    </row>
    <row r="7220" spans="1:3" x14ac:dyDescent="0.25">
      <c r="A7220" s="178">
        <v>152416</v>
      </c>
      <c r="B7220" s="179" t="s">
        <v>456</v>
      </c>
      <c r="C7220" s="180">
        <v>63</v>
      </c>
    </row>
    <row r="7221" spans="1:3" x14ac:dyDescent="0.25">
      <c r="A7221" s="178">
        <v>152417</v>
      </c>
      <c r="B7221" s="179" t="s">
        <v>456</v>
      </c>
      <c r="C7221" s="180">
        <v>156</v>
      </c>
    </row>
    <row r="7222" spans="1:3" x14ac:dyDescent="0.25">
      <c r="A7222" s="178">
        <v>152418</v>
      </c>
      <c r="B7222" s="179" t="s">
        <v>456</v>
      </c>
      <c r="C7222" s="180">
        <v>156</v>
      </c>
    </row>
    <row r="7223" spans="1:3" x14ac:dyDescent="0.25">
      <c r="A7223" s="178">
        <v>152419</v>
      </c>
      <c r="B7223" s="179" t="s">
        <v>456</v>
      </c>
      <c r="C7223" s="180">
        <v>156</v>
      </c>
    </row>
    <row r="7224" spans="1:3" x14ac:dyDescent="0.25">
      <c r="A7224" s="178">
        <v>152420</v>
      </c>
      <c r="B7224" s="179" t="s">
        <v>456</v>
      </c>
      <c r="C7224" s="180">
        <v>156</v>
      </c>
    </row>
    <row r="7225" spans="1:3" x14ac:dyDescent="0.25">
      <c r="A7225" s="178">
        <v>152421</v>
      </c>
      <c r="B7225" s="179" t="s">
        <v>456</v>
      </c>
      <c r="C7225" s="180">
        <v>144</v>
      </c>
    </row>
    <row r="7226" spans="1:3" x14ac:dyDescent="0.25">
      <c r="A7226" s="178">
        <v>152422</v>
      </c>
      <c r="B7226" s="179" t="s">
        <v>456</v>
      </c>
      <c r="C7226" s="180">
        <v>168</v>
      </c>
    </row>
    <row r="7227" spans="1:3" x14ac:dyDescent="0.25">
      <c r="A7227" s="178">
        <v>152423</v>
      </c>
      <c r="B7227" s="179" t="s">
        <v>456</v>
      </c>
      <c r="C7227" s="180">
        <v>168</v>
      </c>
    </row>
    <row r="7228" spans="1:3" x14ac:dyDescent="0.25">
      <c r="A7228" s="178">
        <v>152424</v>
      </c>
      <c r="B7228" s="179" t="s">
        <v>456</v>
      </c>
      <c r="C7228" s="180">
        <v>1</v>
      </c>
    </row>
    <row r="7229" spans="1:3" x14ac:dyDescent="0.25">
      <c r="A7229" s="178">
        <v>152425</v>
      </c>
      <c r="B7229" s="179" t="s">
        <v>456</v>
      </c>
      <c r="C7229" s="180">
        <v>168</v>
      </c>
    </row>
    <row r="7230" spans="1:3" x14ac:dyDescent="0.25">
      <c r="A7230" s="178">
        <v>152426</v>
      </c>
      <c r="B7230" s="179" t="s">
        <v>456</v>
      </c>
      <c r="C7230" s="180">
        <v>168</v>
      </c>
    </row>
    <row r="7231" spans="1:3" x14ac:dyDescent="0.25">
      <c r="A7231" s="178">
        <v>152427</v>
      </c>
      <c r="B7231" s="179" t="s">
        <v>456</v>
      </c>
      <c r="C7231" s="180">
        <v>168</v>
      </c>
    </row>
    <row r="7232" spans="1:3" x14ac:dyDescent="0.25">
      <c r="A7232" s="178">
        <v>152428</v>
      </c>
      <c r="B7232" s="179" t="s">
        <v>456</v>
      </c>
      <c r="C7232" s="180">
        <v>168</v>
      </c>
    </row>
    <row r="7233" spans="1:3" x14ac:dyDescent="0.25">
      <c r="A7233" s="178">
        <v>152429</v>
      </c>
      <c r="B7233" s="179" t="s">
        <v>456</v>
      </c>
      <c r="C7233" s="180">
        <v>168</v>
      </c>
    </row>
    <row r="7234" spans="1:3" x14ac:dyDescent="0.25">
      <c r="A7234" s="178">
        <v>152431</v>
      </c>
      <c r="B7234" s="179" t="s">
        <v>456</v>
      </c>
      <c r="C7234" s="180">
        <v>64</v>
      </c>
    </row>
    <row r="7235" spans="1:3" x14ac:dyDescent="0.25">
      <c r="A7235" s="178">
        <v>152432</v>
      </c>
      <c r="B7235" s="179" t="s">
        <v>456</v>
      </c>
      <c r="C7235" s="180">
        <v>56</v>
      </c>
    </row>
    <row r="7236" spans="1:3" x14ac:dyDescent="0.25">
      <c r="A7236" s="178">
        <v>152433</v>
      </c>
      <c r="B7236" s="179" t="s">
        <v>456</v>
      </c>
      <c r="C7236" s="180">
        <v>56</v>
      </c>
    </row>
    <row r="7237" spans="1:3" x14ac:dyDescent="0.25">
      <c r="A7237" s="178">
        <v>152435</v>
      </c>
      <c r="B7237" s="179" t="s">
        <v>456</v>
      </c>
      <c r="C7237" s="180">
        <v>63</v>
      </c>
    </row>
    <row r="7238" spans="1:3" x14ac:dyDescent="0.25">
      <c r="A7238" s="178">
        <v>152437</v>
      </c>
      <c r="B7238" s="179" t="s">
        <v>456</v>
      </c>
      <c r="C7238" s="180">
        <v>100</v>
      </c>
    </row>
    <row r="7239" spans="1:3" x14ac:dyDescent="0.25">
      <c r="A7239" s="178">
        <v>152438</v>
      </c>
      <c r="B7239" s="179" t="s">
        <v>456</v>
      </c>
      <c r="C7239" s="180">
        <v>48</v>
      </c>
    </row>
    <row r="7240" spans="1:3" x14ac:dyDescent="0.25">
      <c r="A7240" s="178">
        <v>152439</v>
      </c>
      <c r="B7240" s="179" t="s">
        <v>456</v>
      </c>
      <c r="C7240" s="180">
        <v>48</v>
      </c>
    </row>
    <row r="7241" spans="1:3" x14ac:dyDescent="0.25">
      <c r="A7241" s="178">
        <v>152440</v>
      </c>
      <c r="B7241" s="179" t="s">
        <v>456</v>
      </c>
      <c r="C7241" s="180">
        <v>48</v>
      </c>
    </row>
    <row r="7242" spans="1:3" x14ac:dyDescent="0.25">
      <c r="A7242" s="178">
        <v>152446</v>
      </c>
      <c r="B7242" s="179" t="s">
        <v>456</v>
      </c>
      <c r="C7242" s="180">
        <v>384</v>
      </c>
    </row>
    <row r="7243" spans="1:3" x14ac:dyDescent="0.25">
      <c r="A7243" s="178">
        <v>152450</v>
      </c>
      <c r="B7243" s="179" t="s">
        <v>456</v>
      </c>
      <c r="C7243" s="180">
        <v>56</v>
      </c>
    </row>
    <row r="7244" spans="1:3" x14ac:dyDescent="0.25">
      <c r="A7244" s="178">
        <v>152451</v>
      </c>
      <c r="B7244" s="179" t="s">
        <v>456</v>
      </c>
      <c r="C7244" s="180">
        <v>56</v>
      </c>
    </row>
    <row r="7245" spans="1:3" x14ac:dyDescent="0.25">
      <c r="A7245" s="178">
        <v>152453</v>
      </c>
      <c r="B7245" s="179" t="s">
        <v>456</v>
      </c>
      <c r="C7245" s="180">
        <v>91</v>
      </c>
    </row>
    <row r="7246" spans="1:3" x14ac:dyDescent="0.25">
      <c r="A7246" s="178">
        <v>152458</v>
      </c>
      <c r="B7246" s="179" t="s">
        <v>456</v>
      </c>
      <c r="C7246" s="180">
        <v>3</v>
      </c>
    </row>
    <row r="7247" spans="1:3" x14ac:dyDescent="0.25">
      <c r="A7247" s="178">
        <v>152467</v>
      </c>
      <c r="B7247" s="179" t="s">
        <v>456</v>
      </c>
      <c r="C7247" s="180">
        <v>72</v>
      </c>
    </row>
    <row r="7248" spans="1:3" x14ac:dyDescent="0.25">
      <c r="A7248" s="178">
        <v>152468</v>
      </c>
      <c r="B7248" s="179" t="s">
        <v>456</v>
      </c>
      <c r="C7248" s="180">
        <v>72</v>
      </c>
    </row>
    <row r="7249" spans="1:3" x14ac:dyDescent="0.25">
      <c r="A7249" s="178">
        <v>152472</v>
      </c>
      <c r="B7249" s="179" t="s">
        <v>456</v>
      </c>
      <c r="C7249" s="180">
        <v>160</v>
      </c>
    </row>
    <row r="7250" spans="1:3" x14ac:dyDescent="0.25">
      <c r="A7250" s="178">
        <v>152473</v>
      </c>
      <c r="B7250" s="179" t="s">
        <v>456</v>
      </c>
      <c r="C7250" s="180">
        <v>160</v>
      </c>
    </row>
    <row r="7251" spans="1:3" x14ac:dyDescent="0.25">
      <c r="A7251" s="178">
        <v>152474</v>
      </c>
      <c r="B7251" s="179" t="s">
        <v>456</v>
      </c>
      <c r="C7251" s="180">
        <v>160</v>
      </c>
    </row>
    <row r="7252" spans="1:3" x14ac:dyDescent="0.25">
      <c r="A7252" s="178">
        <v>152475</v>
      </c>
      <c r="B7252" s="179" t="s">
        <v>456</v>
      </c>
      <c r="C7252" s="180">
        <v>96</v>
      </c>
    </row>
    <row r="7253" spans="1:3" x14ac:dyDescent="0.25">
      <c r="A7253" s="178">
        <v>152476</v>
      </c>
      <c r="B7253" s="179" t="s">
        <v>456</v>
      </c>
      <c r="C7253" s="180">
        <v>160</v>
      </c>
    </row>
    <row r="7254" spans="1:3" x14ac:dyDescent="0.25">
      <c r="A7254" s="178">
        <v>152477</v>
      </c>
      <c r="B7254" s="179" t="s">
        <v>456</v>
      </c>
      <c r="C7254" s="180">
        <v>160</v>
      </c>
    </row>
    <row r="7255" spans="1:3" x14ac:dyDescent="0.25">
      <c r="A7255" s="178">
        <v>152478</v>
      </c>
      <c r="B7255" s="179" t="s">
        <v>456</v>
      </c>
      <c r="C7255" s="180">
        <v>160</v>
      </c>
    </row>
    <row r="7256" spans="1:3" x14ac:dyDescent="0.25">
      <c r="A7256" s="178">
        <v>152480</v>
      </c>
      <c r="B7256" s="179" t="s">
        <v>456</v>
      </c>
      <c r="C7256" s="180">
        <v>160</v>
      </c>
    </row>
    <row r="7257" spans="1:3" x14ac:dyDescent="0.25">
      <c r="A7257" s="178">
        <v>152481</v>
      </c>
      <c r="B7257" s="179" t="s">
        <v>456</v>
      </c>
      <c r="C7257" s="180">
        <v>160</v>
      </c>
    </row>
    <row r="7258" spans="1:3" x14ac:dyDescent="0.25">
      <c r="A7258" s="178">
        <v>152482</v>
      </c>
      <c r="B7258" s="179" t="s">
        <v>456</v>
      </c>
      <c r="C7258" s="180">
        <v>160</v>
      </c>
    </row>
    <row r="7259" spans="1:3" x14ac:dyDescent="0.25">
      <c r="A7259" s="178">
        <v>152484</v>
      </c>
      <c r="B7259" s="179" t="s">
        <v>456</v>
      </c>
      <c r="C7259" s="180">
        <v>12</v>
      </c>
    </row>
    <row r="7260" spans="1:3" x14ac:dyDescent="0.25">
      <c r="A7260" s="178">
        <v>152814</v>
      </c>
      <c r="B7260" s="179" t="s">
        <v>456</v>
      </c>
      <c r="C7260" s="180">
        <v>35</v>
      </c>
    </row>
    <row r="7261" spans="1:3" x14ac:dyDescent="0.25">
      <c r="A7261" s="178">
        <v>152815</v>
      </c>
      <c r="B7261" s="179" t="s">
        <v>456</v>
      </c>
      <c r="C7261" s="180">
        <v>35</v>
      </c>
    </row>
    <row r="7262" spans="1:3" x14ac:dyDescent="0.25">
      <c r="A7262" s="178">
        <v>152816</v>
      </c>
      <c r="B7262" s="179" t="s">
        <v>456</v>
      </c>
      <c r="C7262" s="180">
        <v>35</v>
      </c>
    </row>
    <row r="7263" spans="1:3" x14ac:dyDescent="0.25">
      <c r="A7263" s="178">
        <v>152817</v>
      </c>
      <c r="B7263" s="179" t="s">
        <v>456</v>
      </c>
      <c r="C7263" s="180">
        <v>35</v>
      </c>
    </row>
    <row r="7264" spans="1:3" x14ac:dyDescent="0.25">
      <c r="A7264" s="178">
        <v>152818</v>
      </c>
      <c r="B7264" s="179" t="s">
        <v>456</v>
      </c>
      <c r="C7264" s="180">
        <v>35</v>
      </c>
    </row>
    <row r="7265" spans="1:3" x14ac:dyDescent="0.25">
      <c r="A7265" s="178">
        <v>152819</v>
      </c>
      <c r="B7265" s="179" t="s">
        <v>456</v>
      </c>
      <c r="C7265" s="180">
        <v>189</v>
      </c>
    </row>
    <row r="7266" spans="1:3" x14ac:dyDescent="0.25">
      <c r="A7266" s="178">
        <v>152820</v>
      </c>
      <c r="B7266" s="179" t="s">
        <v>456</v>
      </c>
      <c r="C7266" s="180">
        <v>645</v>
      </c>
    </row>
    <row r="7267" spans="1:3" x14ac:dyDescent="0.25">
      <c r="A7267" s="178">
        <v>152821</v>
      </c>
      <c r="B7267" s="179" t="s">
        <v>456</v>
      </c>
      <c r="C7267" s="180">
        <v>645</v>
      </c>
    </row>
    <row r="7268" spans="1:3" x14ac:dyDescent="0.25">
      <c r="A7268" s="178">
        <v>152822</v>
      </c>
      <c r="B7268" s="179" t="s">
        <v>456</v>
      </c>
      <c r="C7268" s="180">
        <v>645</v>
      </c>
    </row>
    <row r="7269" spans="1:3" x14ac:dyDescent="0.25">
      <c r="A7269" s="178">
        <v>152823</v>
      </c>
      <c r="B7269" s="179" t="s">
        <v>456</v>
      </c>
      <c r="C7269" s="180">
        <v>645</v>
      </c>
    </row>
    <row r="7270" spans="1:3" x14ac:dyDescent="0.25">
      <c r="A7270" s="178">
        <v>152824</v>
      </c>
      <c r="B7270" s="179" t="s">
        <v>456</v>
      </c>
      <c r="C7270" s="180">
        <v>144</v>
      </c>
    </row>
    <row r="7271" spans="1:3" x14ac:dyDescent="0.25">
      <c r="A7271" s="178">
        <v>152825</v>
      </c>
      <c r="B7271" s="179" t="s">
        <v>456</v>
      </c>
      <c r="C7271" s="180">
        <v>144</v>
      </c>
    </row>
    <row r="7272" spans="1:3" x14ac:dyDescent="0.25">
      <c r="A7272" s="178">
        <v>152827</v>
      </c>
      <c r="B7272" s="179" t="s">
        <v>456</v>
      </c>
      <c r="C7272" s="180">
        <v>558</v>
      </c>
    </row>
    <row r="7273" spans="1:3" x14ac:dyDescent="0.25">
      <c r="A7273" s="178">
        <v>152834</v>
      </c>
      <c r="B7273" s="179" t="s">
        <v>456</v>
      </c>
      <c r="C7273" s="180">
        <v>180</v>
      </c>
    </row>
    <row r="7274" spans="1:3" x14ac:dyDescent="0.25">
      <c r="A7274" s="178">
        <v>152835</v>
      </c>
      <c r="B7274" s="179" t="s">
        <v>456</v>
      </c>
      <c r="C7274" s="180">
        <v>180</v>
      </c>
    </row>
    <row r="7275" spans="1:3" x14ac:dyDescent="0.25">
      <c r="A7275" s="178">
        <v>152836</v>
      </c>
      <c r="B7275" s="179" t="s">
        <v>456</v>
      </c>
      <c r="C7275" s="180">
        <v>2</v>
      </c>
    </row>
    <row r="7276" spans="1:3" x14ac:dyDescent="0.25">
      <c r="A7276" s="178">
        <v>152838</v>
      </c>
      <c r="B7276" s="179" t="s">
        <v>456</v>
      </c>
      <c r="C7276" s="180">
        <v>2</v>
      </c>
    </row>
    <row r="7277" spans="1:3" x14ac:dyDescent="0.25">
      <c r="A7277" s="178">
        <v>152840</v>
      </c>
      <c r="B7277" s="179" t="s">
        <v>456</v>
      </c>
      <c r="C7277" s="180">
        <v>30</v>
      </c>
    </row>
    <row r="7278" spans="1:3" x14ac:dyDescent="0.25">
      <c r="A7278" s="178">
        <v>152842</v>
      </c>
      <c r="B7278" s="179" t="s">
        <v>456</v>
      </c>
      <c r="C7278" s="180">
        <v>30</v>
      </c>
    </row>
    <row r="7279" spans="1:3" x14ac:dyDescent="0.25">
      <c r="A7279" s="178">
        <v>152844</v>
      </c>
      <c r="B7279" s="179" t="s">
        <v>456</v>
      </c>
      <c r="C7279" s="180">
        <v>48</v>
      </c>
    </row>
    <row r="7280" spans="1:3" x14ac:dyDescent="0.25">
      <c r="A7280" s="178">
        <v>152845</v>
      </c>
      <c r="B7280" s="179" t="s">
        <v>456</v>
      </c>
      <c r="C7280" s="180">
        <v>48</v>
      </c>
    </row>
    <row r="7281" spans="1:3" x14ac:dyDescent="0.25">
      <c r="A7281" s="178">
        <v>152846</v>
      </c>
      <c r="B7281" s="179" t="s">
        <v>456</v>
      </c>
      <c r="C7281" s="180">
        <v>380</v>
      </c>
    </row>
    <row r="7282" spans="1:3" x14ac:dyDescent="0.25">
      <c r="A7282" s="178">
        <v>152847</v>
      </c>
      <c r="B7282" s="179" t="s">
        <v>456</v>
      </c>
      <c r="C7282" s="180">
        <v>147</v>
      </c>
    </row>
    <row r="7283" spans="1:3" x14ac:dyDescent="0.25">
      <c r="A7283" s="178">
        <v>152849</v>
      </c>
      <c r="B7283" s="179" t="s">
        <v>456</v>
      </c>
      <c r="C7283" s="180">
        <v>1</v>
      </c>
    </row>
    <row r="7284" spans="1:3" x14ac:dyDescent="0.25">
      <c r="A7284" s="178">
        <v>152850</v>
      </c>
      <c r="B7284" s="179" t="s">
        <v>456</v>
      </c>
      <c r="C7284" s="180">
        <v>1</v>
      </c>
    </row>
    <row r="7285" spans="1:3" x14ac:dyDescent="0.25">
      <c r="A7285" s="178">
        <v>152868</v>
      </c>
      <c r="B7285" s="179" t="s">
        <v>456</v>
      </c>
      <c r="C7285" s="180">
        <v>96</v>
      </c>
    </row>
    <row r="7286" spans="1:3" x14ac:dyDescent="0.25">
      <c r="A7286" s="178">
        <v>152869</v>
      </c>
      <c r="B7286" s="179" t="s">
        <v>456</v>
      </c>
      <c r="C7286" s="180">
        <v>204</v>
      </c>
    </row>
    <row r="7287" spans="1:3" x14ac:dyDescent="0.25">
      <c r="A7287" s="178">
        <v>152870</v>
      </c>
      <c r="B7287" s="179" t="s">
        <v>456</v>
      </c>
      <c r="C7287" s="180">
        <v>204</v>
      </c>
    </row>
    <row r="7288" spans="1:3" x14ac:dyDescent="0.25">
      <c r="A7288" s="178">
        <v>152871</v>
      </c>
      <c r="B7288" s="179" t="s">
        <v>456</v>
      </c>
      <c r="C7288" s="180">
        <v>80</v>
      </c>
    </row>
    <row r="7289" spans="1:3" x14ac:dyDescent="0.25">
      <c r="A7289" s="178">
        <v>152872</v>
      </c>
      <c r="B7289" s="179" t="s">
        <v>456</v>
      </c>
      <c r="C7289" s="180">
        <v>80</v>
      </c>
    </row>
    <row r="7290" spans="1:3" x14ac:dyDescent="0.25">
      <c r="A7290" s="178">
        <v>152873</v>
      </c>
      <c r="B7290" s="179" t="s">
        <v>456</v>
      </c>
      <c r="C7290" s="180">
        <v>80</v>
      </c>
    </row>
    <row r="7291" spans="1:3" x14ac:dyDescent="0.25">
      <c r="A7291" s="178">
        <v>152874</v>
      </c>
      <c r="B7291" s="179" t="s">
        <v>456</v>
      </c>
      <c r="C7291" s="180">
        <v>36</v>
      </c>
    </row>
    <row r="7292" spans="1:3" x14ac:dyDescent="0.25">
      <c r="A7292" s="178">
        <v>152875</v>
      </c>
      <c r="B7292" s="179" t="s">
        <v>456</v>
      </c>
      <c r="C7292" s="180">
        <v>1</v>
      </c>
    </row>
    <row r="7293" spans="1:3" x14ac:dyDescent="0.25">
      <c r="A7293" s="178">
        <v>152883</v>
      </c>
      <c r="B7293" s="179" t="s">
        <v>456</v>
      </c>
      <c r="C7293" s="180">
        <v>95</v>
      </c>
    </row>
    <row r="7294" spans="1:3" x14ac:dyDescent="0.25">
      <c r="A7294" s="178">
        <v>152884</v>
      </c>
      <c r="B7294" s="179" t="s">
        <v>456</v>
      </c>
      <c r="C7294" s="180">
        <v>172</v>
      </c>
    </row>
    <row r="7295" spans="1:3" x14ac:dyDescent="0.25">
      <c r="A7295" s="178">
        <v>152887</v>
      </c>
      <c r="B7295" s="179" t="s">
        <v>456</v>
      </c>
      <c r="C7295" s="180">
        <v>115</v>
      </c>
    </row>
    <row r="7296" spans="1:3" x14ac:dyDescent="0.25">
      <c r="A7296" s="178">
        <v>152888</v>
      </c>
      <c r="B7296" s="179" t="s">
        <v>456</v>
      </c>
      <c r="C7296" s="180">
        <v>135</v>
      </c>
    </row>
    <row r="7297" spans="1:3" x14ac:dyDescent="0.25">
      <c r="A7297" s="178">
        <v>152895</v>
      </c>
      <c r="B7297" s="179" t="s">
        <v>456</v>
      </c>
      <c r="C7297" s="180">
        <v>80</v>
      </c>
    </row>
    <row r="7298" spans="1:3" x14ac:dyDescent="0.25">
      <c r="A7298" s="178">
        <v>152942</v>
      </c>
      <c r="B7298" s="179" t="s">
        <v>456</v>
      </c>
      <c r="C7298" s="180">
        <v>3</v>
      </c>
    </row>
    <row r="7299" spans="1:3" x14ac:dyDescent="0.25">
      <c r="A7299" s="178">
        <v>152943</v>
      </c>
      <c r="B7299" s="179" t="s">
        <v>456</v>
      </c>
      <c r="C7299" s="180">
        <v>3</v>
      </c>
    </row>
    <row r="7300" spans="1:3" x14ac:dyDescent="0.25">
      <c r="A7300" s="178">
        <v>152975</v>
      </c>
      <c r="B7300" s="179" t="s">
        <v>456</v>
      </c>
      <c r="C7300" s="180">
        <v>189</v>
      </c>
    </row>
    <row r="7301" spans="1:3" x14ac:dyDescent="0.25">
      <c r="A7301" s="178">
        <v>152976</v>
      </c>
      <c r="B7301" s="179" t="s">
        <v>456</v>
      </c>
      <c r="C7301" s="180">
        <v>70</v>
      </c>
    </row>
    <row r="7302" spans="1:3" x14ac:dyDescent="0.25">
      <c r="A7302" s="178">
        <v>152977</v>
      </c>
      <c r="B7302" s="179" t="s">
        <v>456</v>
      </c>
      <c r="C7302" s="180">
        <v>70</v>
      </c>
    </row>
    <row r="7303" spans="1:3" x14ac:dyDescent="0.25">
      <c r="A7303" s="178">
        <v>152978</v>
      </c>
      <c r="B7303" s="179" t="s">
        <v>456</v>
      </c>
      <c r="C7303" s="180">
        <v>70</v>
      </c>
    </row>
    <row r="7304" spans="1:3" x14ac:dyDescent="0.25">
      <c r="A7304" s="178">
        <v>152986</v>
      </c>
      <c r="B7304" s="179" t="s">
        <v>456</v>
      </c>
      <c r="C7304" s="180">
        <v>180</v>
      </c>
    </row>
    <row r="7305" spans="1:3" x14ac:dyDescent="0.25">
      <c r="A7305" s="178">
        <v>152987</v>
      </c>
      <c r="B7305" s="179" t="s">
        <v>456</v>
      </c>
      <c r="C7305" s="180">
        <v>84</v>
      </c>
    </row>
    <row r="7306" spans="1:3" x14ac:dyDescent="0.25">
      <c r="A7306" s="178">
        <v>152988</v>
      </c>
      <c r="B7306" s="179" t="s">
        <v>456</v>
      </c>
      <c r="C7306" s="180">
        <v>84</v>
      </c>
    </row>
    <row r="7307" spans="1:3" x14ac:dyDescent="0.25">
      <c r="A7307" s="178">
        <v>152989</v>
      </c>
      <c r="B7307" s="179" t="s">
        <v>456</v>
      </c>
      <c r="C7307" s="180">
        <v>84</v>
      </c>
    </row>
    <row r="7308" spans="1:3" x14ac:dyDescent="0.25">
      <c r="A7308" s="178">
        <v>152990</v>
      </c>
      <c r="B7308" s="179" t="s">
        <v>456</v>
      </c>
      <c r="C7308" s="180">
        <v>84</v>
      </c>
    </row>
    <row r="7309" spans="1:3" x14ac:dyDescent="0.25">
      <c r="A7309" s="178">
        <v>153522</v>
      </c>
      <c r="B7309" s="179" t="s">
        <v>456</v>
      </c>
      <c r="C7309" s="180">
        <v>120</v>
      </c>
    </row>
    <row r="7310" spans="1:3" x14ac:dyDescent="0.25">
      <c r="A7310" s="178">
        <v>153523</v>
      </c>
      <c r="B7310" s="179" t="s">
        <v>456</v>
      </c>
      <c r="C7310" s="180">
        <v>264</v>
      </c>
    </row>
    <row r="7311" spans="1:3" x14ac:dyDescent="0.25">
      <c r="A7311" s="178">
        <v>153524</v>
      </c>
      <c r="B7311" s="179" t="s">
        <v>456</v>
      </c>
      <c r="C7311" s="180">
        <v>264</v>
      </c>
    </row>
    <row r="7312" spans="1:3" x14ac:dyDescent="0.25">
      <c r="A7312" s="178">
        <v>153525</v>
      </c>
      <c r="B7312" s="179" t="s">
        <v>456</v>
      </c>
      <c r="C7312" s="180">
        <v>264</v>
      </c>
    </row>
    <row r="7313" spans="1:3" x14ac:dyDescent="0.25">
      <c r="A7313" s="178">
        <v>153546</v>
      </c>
      <c r="B7313" s="179" t="s">
        <v>456</v>
      </c>
      <c r="C7313" s="180">
        <v>162</v>
      </c>
    </row>
    <row r="7314" spans="1:3" x14ac:dyDescent="0.25">
      <c r="A7314" s="178">
        <v>153547</v>
      </c>
      <c r="B7314" s="179" t="s">
        <v>456</v>
      </c>
      <c r="C7314" s="180">
        <v>162</v>
      </c>
    </row>
    <row r="7315" spans="1:3" x14ac:dyDescent="0.25">
      <c r="A7315" s="178">
        <v>153548</v>
      </c>
      <c r="B7315" s="179" t="s">
        <v>456</v>
      </c>
      <c r="C7315" s="180">
        <v>204</v>
      </c>
    </row>
    <row r="7316" spans="1:3" x14ac:dyDescent="0.25">
      <c r="A7316" s="178">
        <v>153549</v>
      </c>
      <c r="B7316" s="179" t="s">
        <v>456</v>
      </c>
      <c r="C7316" s="180">
        <v>3</v>
      </c>
    </row>
    <row r="7317" spans="1:3" x14ac:dyDescent="0.25">
      <c r="A7317" s="178">
        <v>153550</v>
      </c>
      <c r="B7317" s="179" t="s">
        <v>456</v>
      </c>
      <c r="C7317" s="180">
        <v>96</v>
      </c>
    </row>
    <row r="7318" spans="1:3" x14ac:dyDescent="0.25">
      <c r="A7318" s="178">
        <v>153551</v>
      </c>
      <c r="B7318" s="179" t="s">
        <v>456</v>
      </c>
      <c r="C7318" s="180">
        <v>70</v>
      </c>
    </row>
    <row r="7319" spans="1:3" x14ac:dyDescent="0.25">
      <c r="A7319" s="178">
        <v>153552</v>
      </c>
      <c r="B7319" s="179" t="s">
        <v>456</v>
      </c>
      <c r="C7319" s="180">
        <v>189</v>
      </c>
    </row>
    <row r="7320" spans="1:3" x14ac:dyDescent="0.25">
      <c r="A7320" s="178">
        <v>153553</v>
      </c>
      <c r="B7320" s="179" t="s">
        <v>456</v>
      </c>
      <c r="C7320" s="180">
        <v>189</v>
      </c>
    </row>
    <row r="7321" spans="1:3" x14ac:dyDescent="0.25">
      <c r="A7321" s="178">
        <v>153554</v>
      </c>
      <c r="B7321" s="179" t="s">
        <v>456</v>
      </c>
      <c r="C7321" s="180">
        <v>3</v>
      </c>
    </row>
    <row r="7322" spans="1:3" x14ac:dyDescent="0.25">
      <c r="A7322" s="178">
        <v>153555</v>
      </c>
      <c r="B7322" s="179" t="s">
        <v>456</v>
      </c>
      <c r="C7322" s="180">
        <v>3</v>
      </c>
    </row>
    <row r="7323" spans="1:3" x14ac:dyDescent="0.25">
      <c r="A7323" s="178">
        <v>153565</v>
      </c>
      <c r="B7323" s="179" t="s">
        <v>456</v>
      </c>
      <c r="C7323" s="180">
        <v>2</v>
      </c>
    </row>
    <row r="7324" spans="1:3" x14ac:dyDescent="0.25">
      <c r="A7324" s="178">
        <v>153569</v>
      </c>
      <c r="B7324" s="179" t="s">
        <v>456</v>
      </c>
      <c r="C7324" s="180">
        <v>120</v>
      </c>
    </row>
    <row r="7325" spans="1:3" x14ac:dyDescent="0.25">
      <c r="A7325" s="178">
        <v>153570</v>
      </c>
      <c r="B7325" s="179" t="s">
        <v>456</v>
      </c>
      <c r="C7325" s="180">
        <v>120</v>
      </c>
    </row>
    <row r="7326" spans="1:3" x14ac:dyDescent="0.25">
      <c r="A7326" s="178">
        <v>153577</v>
      </c>
      <c r="B7326" s="179" t="s">
        <v>456</v>
      </c>
      <c r="C7326" s="180">
        <v>3</v>
      </c>
    </row>
    <row r="7327" spans="1:3" x14ac:dyDescent="0.25">
      <c r="A7327" s="178">
        <v>153578</v>
      </c>
      <c r="B7327" s="179" t="s">
        <v>456</v>
      </c>
      <c r="C7327" s="180">
        <v>100</v>
      </c>
    </row>
    <row r="7328" spans="1:3" x14ac:dyDescent="0.25">
      <c r="A7328" s="178">
        <v>153579</v>
      </c>
      <c r="B7328" s="179" t="s">
        <v>456</v>
      </c>
      <c r="C7328" s="180">
        <v>3</v>
      </c>
    </row>
    <row r="7329" spans="1:3" x14ac:dyDescent="0.25">
      <c r="A7329" s="178">
        <v>153580</v>
      </c>
      <c r="B7329" s="179" t="s">
        <v>456</v>
      </c>
      <c r="C7329" s="180">
        <v>3</v>
      </c>
    </row>
    <row r="7330" spans="1:3" x14ac:dyDescent="0.25">
      <c r="A7330" s="178">
        <v>153581</v>
      </c>
      <c r="B7330" s="179" t="s">
        <v>456</v>
      </c>
      <c r="C7330" s="180">
        <v>3</v>
      </c>
    </row>
    <row r="7331" spans="1:3" x14ac:dyDescent="0.25">
      <c r="A7331" s="178">
        <v>153582</v>
      </c>
      <c r="B7331" s="179" t="s">
        <v>456</v>
      </c>
      <c r="C7331" s="180">
        <v>162</v>
      </c>
    </row>
    <row r="7332" spans="1:3" x14ac:dyDescent="0.25">
      <c r="A7332" s="178">
        <v>153583</v>
      </c>
      <c r="B7332" s="179" t="s">
        <v>456</v>
      </c>
      <c r="C7332" s="180">
        <v>36</v>
      </c>
    </row>
    <row r="7333" spans="1:3" x14ac:dyDescent="0.25">
      <c r="A7333" s="178">
        <v>153593</v>
      </c>
      <c r="B7333" s="179" t="s">
        <v>456</v>
      </c>
      <c r="C7333" s="180">
        <v>48</v>
      </c>
    </row>
    <row r="7334" spans="1:3" x14ac:dyDescent="0.25">
      <c r="A7334" s="178">
        <v>153594</v>
      </c>
      <c r="B7334" s="179" t="s">
        <v>456</v>
      </c>
      <c r="C7334" s="180">
        <v>48</v>
      </c>
    </row>
    <row r="7335" spans="1:3" x14ac:dyDescent="0.25">
      <c r="A7335" s="178">
        <v>153595</v>
      </c>
      <c r="B7335" s="179" t="s">
        <v>456</v>
      </c>
      <c r="C7335" s="180">
        <v>48</v>
      </c>
    </row>
    <row r="7336" spans="1:3" x14ac:dyDescent="0.25">
      <c r="A7336" s="178">
        <v>153596</v>
      </c>
      <c r="B7336" s="179" t="s">
        <v>456</v>
      </c>
      <c r="C7336" s="180">
        <v>56</v>
      </c>
    </row>
    <row r="7337" spans="1:3" x14ac:dyDescent="0.25">
      <c r="A7337" s="178">
        <v>153597</v>
      </c>
      <c r="B7337" s="179" t="s">
        <v>456</v>
      </c>
      <c r="C7337" s="180">
        <v>56</v>
      </c>
    </row>
    <row r="7338" spans="1:3" x14ac:dyDescent="0.25">
      <c r="A7338" s="178">
        <v>153598</v>
      </c>
      <c r="B7338" s="179" t="s">
        <v>456</v>
      </c>
      <c r="C7338" s="180">
        <v>75</v>
      </c>
    </row>
    <row r="7339" spans="1:3" x14ac:dyDescent="0.25">
      <c r="A7339" s="178">
        <v>153599</v>
      </c>
      <c r="B7339" s="179" t="s">
        <v>456</v>
      </c>
      <c r="C7339" s="180">
        <v>48</v>
      </c>
    </row>
    <row r="7340" spans="1:3" x14ac:dyDescent="0.25">
      <c r="A7340" s="178">
        <v>153608</v>
      </c>
      <c r="B7340" s="179" t="s">
        <v>456</v>
      </c>
      <c r="C7340" s="180">
        <v>450</v>
      </c>
    </row>
    <row r="7341" spans="1:3" x14ac:dyDescent="0.25">
      <c r="A7341" s="178">
        <v>153610</v>
      </c>
      <c r="B7341" s="179" t="s">
        <v>456</v>
      </c>
      <c r="C7341" s="180">
        <v>56</v>
      </c>
    </row>
    <row r="7342" spans="1:3" x14ac:dyDescent="0.25">
      <c r="A7342" s="178">
        <v>153611</v>
      </c>
      <c r="B7342" s="179" t="s">
        <v>456</v>
      </c>
      <c r="C7342" s="180">
        <v>56</v>
      </c>
    </row>
    <row r="7343" spans="1:3" x14ac:dyDescent="0.25">
      <c r="A7343" s="178">
        <v>153612</v>
      </c>
      <c r="B7343" s="179" t="s">
        <v>456</v>
      </c>
      <c r="C7343" s="180">
        <v>56</v>
      </c>
    </row>
    <row r="7344" spans="1:3" x14ac:dyDescent="0.25">
      <c r="A7344" s="178">
        <v>153614</v>
      </c>
      <c r="B7344" s="179" t="s">
        <v>456</v>
      </c>
      <c r="C7344" s="180">
        <v>30</v>
      </c>
    </row>
    <row r="7345" spans="1:3" x14ac:dyDescent="0.25">
      <c r="A7345" s="178">
        <v>153618</v>
      </c>
      <c r="B7345" s="179" t="s">
        <v>456</v>
      </c>
      <c r="C7345" s="180">
        <v>80</v>
      </c>
    </row>
    <row r="7346" spans="1:3" x14ac:dyDescent="0.25">
      <c r="A7346" s="178">
        <v>153619</v>
      </c>
      <c r="B7346" s="179" t="s">
        <v>456</v>
      </c>
      <c r="C7346" s="180">
        <v>80</v>
      </c>
    </row>
    <row r="7347" spans="1:3" x14ac:dyDescent="0.25">
      <c r="A7347" s="178">
        <v>153620</v>
      </c>
      <c r="B7347" s="179" t="s">
        <v>456</v>
      </c>
      <c r="C7347" s="180">
        <v>80</v>
      </c>
    </row>
    <row r="7348" spans="1:3" x14ac:dyDescent="0.25">
      <c r="A7348" s="178">
        <v>153622</v>
      </c>
      <c r="B7348" s="179" t="s">
        <v>456</v>
      </c>
      <c r="C7348" s="180">
        <v>96</v>
      </c>
    </row>
    <row r="7349" spans="1:3" x14ac:dyDescent="0.25">
      <c r="A7349" s="178">
        <v>153623</v>
      </c>
      <c r="B7349" s="179" t="s">
        <v>456</v>
      </c>
      <c r="C7349" s="180">
        <v>90</v>
      </c>
    </row>
    <row r="7350" spans="1:3" x14ac:dyDescent="0.25">
      <c r="A7350" s="178">
        <v>153624</v>
      </c>
      <c r="B7350" s="179" t="s">
        <v>456</v>
      </c>
      <c r="C7350" s="180">
        <v>120</v>
      </c>
    </row>
    <row r="7351" spans="1:3" x14ac:dyDescent="0.25">
      <c r="A7351" s="178">
        <v>153658</v>
      </c>
      <c r="B7351" s="179" t="s">
        <v>456</v>
      </c>
      <c r="C7351" s="180">
        <v>96</v>
      </c>
    </row>
    <row r="7352" spans="1:3" x14ac:dyDescent="0.25">
      <c r="A7352" s="178">
        <v>153663</v>
      </c>
      <c r="B7352" s="179" t="s">
        <v>456</v>
      </c>
      <c r="C7352" s="180">
        <v>45</v>
      </c>
    </row>
    <row r="7353" spans="1:3" x14ac:dyDescent="0.25">
      <c r="A7353" s="178">
        <v>153664</v>
      </c>
      <c r="B7353" s="179" t="s">
        <v>456</v>
      </c>
      <c r="C7353" s="180">
        <v>36</v>
      </c>
    </row>
    <row r="7354" spans="1:3" x14ac:dyDescent="0.25">
      <c r="A7354" s="178">
        <v>153667</v>
      </c>
      <c r="B7354" s="179" t="s">
        <v>456</v>
      </c>
      <c r="C7354" s="180">
        <v>36</v>
      </c>
    </row>
    <row r="7355" spans="1:3" x14ac:dyDescent="0.25">
      <c r="A7355" s="178">
        <v>153668</v>
      </c>
      <c r="B7355" s="179" t="s">
        <v>456</v>
      </c>
      <c r="C7355" s="180">
        <v>36</v>
      </c>
    </row>
    <row r="7356" spans="1:3" x14ac:dyDescent="0.25">
      <c r="A7356" s="178">
        <v>153669</v>
      </c>
      <c r="B7356" s="179" t="s">
        <v>456</v>
      </c>
      <c r="C7356" s="180">
        <v>36</v>
      </c>
    </row>
    <row r="7357" spans="1:3" x14ac:dyDescent="0.25">
      <c r="A7357" s="178">
        <v>153670</v>
      </c>
      <c r="B7357" s="179" t="s">
        <v>456</v>
      </c>
      <c r="C7357" s="180">
        <v>36</v>
      </c>
    </row>
    <row r="7358" spans="1:3" x14ac:dyDescent="0.25">
      <c r="A7358" s="178">
        <v>153672</v>
      </c>
      <c r="B7358" s="179" t="s">
        <v>456</v>
      </c>
      <c r="C7358" s="180">
        <v>64</v>
      </c>
    </row>
    <row r="7359" spans="1:3" x14ac:dyDescent="0.25">
      <c r="A7359" s="178">
        <v>153674</v>
      </c>
      <c r="B7359" s="179" t="s">
        <v>456</v>
      </c>
      <c r="C7359" s="180">
        <v>108</v>
      </c>
    </row>
    <row r="7360" spans="1:3" x14ac:dyDescent="0.25">
      <c r="A7360" s="178">
        <v>153675</v>
      </c>
      <c r="B7360" s="179" t="s">
        <v>456</v>
      </c>
      <c r="C7360" s="180">
        <v>108</v>
      </c>
    </row>
    <row r="7361" spans="1:3" x14ac:dyDescent="0.25">
      <c r="A7361" s="178">
        <v>153676</v>
      </c>
      <c r="B7361" s="179" t="s">
        <v>456</v>
      </c>
      <c r="C7361" s="180">
        <v>30</v>
      </c>
    </row>
    <row r="7362" spans="1:3" x14ac:dyDescent="0.25">
      <c r="A7362" s="178">
        <v>153678</v>
      </c>
      <c r="B7362" s="179" t="s">
        <v>456</v>
      </c>
      <c r="C7362" s="180">
        <v>30</v>
      </c>
    </row>
    <row r="7363" spans="1:3" x14ac:dyDescent="0.25">
      <c r="A7363" s="178">
        <v>153729</v>
      </c>
      <c r="B7363" s="179" t="s">
        <v>456</v>
      </c>
      <c r="C7363" s="180">
        <v>100</v>
      </c>
    </row>
    <row r="7364" spans="1:3" x14ac:dyDescent="0.25">
      <c r="A7364" s="178">
        <v>153730</v>
      </c>
      <c r="B7364" s="179" t="s">
        <v>456</v>
      </c>
      <c r="C7364" s="180">
        <v>100</v>
      </c>
    </row>
    <row r="7365" spans="1:3" x14ac:dyDescent="0.25">
      <c r="A7365" s="178">
        <v>153790</v>
      </c>
      <c r="B7365" s="179" t="s">
        <v>456</v>
      </c>
      <c r="C7365" s="180">
        <v>57</v>
      </c>
    </row>
    <row r="7366" spans="1:3" x14ac:dyDescent="0.25">
      <c r="A7366" s="178">
        <v>153791</v>
      </c>
      <c r="B7366" s="179" t="s">
        <v>456</v>
      </c>
      <c r="C7366" s="180">
        <v>57</v>
      </c>
    </row>
    <row r="7367" spans="1:3" x14ac:dyDescent="0.25">
      <c r="A7367" s="178">
        <v>153807</v>
      </c>
      <c r="B7367" s="179" t="s">
        <v>456</v>
      </c>
      <c r="C7367" s="180">
        <v>56</v>
      </c>
    </row>
    <row r="7368" spans="1:3" x14ac:dyDescent="0.25">
      <c r="A7368" s="178">
        <v>153808</v>
      </c>
      <c r="B7368" s="179" t="s">
        <v>456</v>
      </c>
      <c r="C7368" s="180">
        <v>56</v>
      </c>
    </row>
    <row r="7369" spans="1:3" x14ac:dyDescent="0.25">
      <c r="A7369" s="178">
        <v>153882</v>
      </c>
      <c r="B7369" s="179" t="s">
        <v>456</v>
      </c>
      <c r="C7369" s="180">
        <v>189</v>
      </c>
    </row>
    <row r="7370" spans="1:3" x14ac:dyDescent="0.25">
      <c r="A7370" s="178">
        <v>153883</v>
      </c>
      <c r="B7370" s="179" t="s">
        <v>456</v>
      </c>
      <c r="C7370" s="180">
        <v>189</v>
      </c>
    </row>
    <row r="7371" spans="1:3" x14ac:dyDescent="0.25">
      <c r="A7371" s="178">
        <v>153901</v>
      </c>
      <c r="B7371" s="179" t="s">
        <v>456</v>
      </c>
      <c r="C7371" s="180">
        <v>36</v>
      </c>
    </row>
    <row r="7372" spans="1:3" x14ac:dyDescent="0.25">
      <c r="A7372" s="178">
        <v>153904</v>
      </c>
      <c r="B7372" s="179" t="s">
        <v>456</v>
      </c>
      <c r="C7372" s="180">
        <v>77</v>
      </c>
    </row>
    <row r="7373" spans="1:3" x14ac:dyDescent="0.25">
      <c r="A7373" s="178">
        <v>153905</v>
      </c>
      <c r="B7373" s="179" t="s">
        <v>456</v>
      </c>
      <c r="C7373" s="180">
        <v>3</v>
      </c>
    </row>
    <row r="7374" spans="1:3" x14ac:dyDescent="0.25">
      <c r="A7374" s="178">
        <v>153907</v>
      </c>
      <c r="B7374" s="179" t="s">
        <v>456</v>
      </c>
      <c r="C7374" s="180">
        <v>42</v>
      </c>
    </row>
    <row r="7375" spans="1:3" x14ac:dyDescent="0.25">
      <c r="A7375" s="178">
        <v>153908</v>
      </c>
      <c r="B7375" s="179" t="s">
        <v>456</v>
      </c>
      <c r="C7375" s="180">
        <v>80</v>
      </c>
    </row>
    <row r="7376" spans="1:3" x14ac:dyDescent="0.25">
      <c r="A7376" s="178">
        <v>153909</v>
      </c>
      <c r="B7376" s="179" t="s">
        <v>456</v>
      </c>
      <c r="C7376" s="180">
        <v>80</v>
      </c>
    </row>
    <row r="7377" spans="1:3" x14ac:dyDescent="0.25">
      <c r="A7377" s="178">
        <v>153910</v>
      </c>
      <c r="B7377" s="179" t="s">
        <v>456</v>
      </c>
      <c r="C7377" s="180">
        <v>1</v>
      </c>
    </row>
    <row r="7378" spans="1:3" x14ac:dyDescent="0.25">
      <c r="A7378" s="178">
        <v>153911</v>
      </c>
      <c r="B7378" s="179" t="s">
        <v>456</v>
      </c>
      <c r="C7378" s="180">
        <v>1</v>
      </c>
    </row>
    <row r="7379" spans="1:3" x14ac:dyDescent="0.25">
      <c r="A7379" s="178">
        <v>153912</v>
      </c>
      <c r="B7379" s="179" t="s">
        <v>456</v>
      </c>
      <c r="C7379" s="180">
        <v>1</v>
      </c>
    </row>
    <row r="7380" spans="1:3" x14ac:dyDescent="0.25">
      <c r="A7380" s="178">
        <v>153913</v>
      </c>
      <c r="B7380" s="179" t="s">
        <v>456</v>
      </c>
      <c r="C7380" s="180">
        <v>108</v>
      </c>
    </row>
    <row r="7381" spans="1:3" x14ac:dyDescent="0.25">
      <c r="A7381" s="178">
        <v>153914</v>
      </c>
      <c r="B7381" s="179" t="s">
        <v>456</v>
      </c>
      <c r="C7381" s="180">
        <v>108</v>
      </c>
    </row>
    <row r="7382" spans="1:3" x14ac:dyDescent="0.25">
      <c r="A7382" s="178">
        <v>153957</v>
      </c>
      <c r="B7382" s="179" t="s">
        <v>456</v>
      </c>
      <c r="C7382" s="180">
        <v>315</v>
      </c>
    </row>
    <row r="7383" spans="1:3" x14ac:dyDescent="0.25">
      <c r="A7383" s="178">
        <v>153965</v>
      </c>
      <c r="B7383" s="179" t="s">
        <v>456</v>
      </c>
      <c r="C7383" s="180">
        <v>105</v>
      </c>
    </row>
    <row r="7384" spans="1:3" x14ac:dyDescent="0.25">
      <c r="A7384" s="178">
        <v>153966</v>
      </c>
      <c r="B7384" s="179" t="s">
        <v>456</v>
      </c>
      <c r="C7384" s="180">
        <v>162</v>
      </c>
    </row>
    <row r="7385" spans="1:3" x14ac:dyDescent="0.25">
      <c r="A7385" s="178">
        <v>153967</v>
      </c>
      <c r="B7385" s="179" t="s">
        <v>456</v>
      </c>
      <c r="C7385" s="180">
        <v>105</v>
      </c>
    </row>
    <row r="7386" spans="1:3" x14ac:dyDescent="0.25">
      <c r="A7386" s="178">
        <v>153968</v>
      </c>
      <c r="B7386" s="179" t="s">
        <v>456</v>
      </c>
      <c r="C7386" s="180">
        <v>105</v>
      </c>
    </row>
    <row r="7387" spans="1:3" x14ac:dyDescent="0.25">
      <c r="A7387" s="178">
        <v>153969</v>
      </c>
      <c r="B7387" s="179" t="s">
        <v>456</v>
      </c>
      <c r="C7387" s="180">
        <v>162</v>
      </c>
    </row>
    <row r="7388" spans="1:3" x14ac:dyDescent="0.25">
      <c r="A7388" s="178">
        <v>153970</v>
      </c>
      <c r="B7388" s="179" t="s">
        <v>456</v>
      </c>
      <c r="C7388" s="180">
        <v>48</v>
      </c>
    </row>
    <row r="7389" spans="1:3" x14ac:dyDescent="0.25">
      <c r="A7389" s="178">
        <v>153971</v>
      </c>
      <c r="B7389" s="179" t="s">
        <v>456</v>
      </c>
      <c r="C7389" s="180">
        <v>48</v>
      </c>
    </row>
    <row r="7390" spans="1:3" x14ac:dyDescent="0.25">
      <c r="A7390" s="178">
        <v>153972</v>
      </c>
      <c r="B7390" s="179" t="s">
        <v>456</v>
      </c>
      <c r="C7390" s="180">
        <v>162</v>
      </c>
    </row>
    <row r="7391" spans="1:3" x14ac:dyDescent="0.25">
      <c r="A7391" s="178">
        <v>153974</v>
      </c>
      <c r="B7391" s="179" t="s">
        <v>456</v>
      </c>
      <c r="C7391" s="180">
        <v>135</v>
      </c>
    </row>
    <row r="7392" spans="1:3" x14ac:dyDescent="0.25">
      <c r="A7392" s="178">
        <v>153975</v>
      </c>
      <c r="B7392" s="179" t="s">
        <v>456</v>
      </c>
      <c r="C7392" s="180">
        <v>135</v>
      </c>
    </row>
    <row r="7393" spans="1:3" x14ac:dyDescent="0.25">
      <c r="A7393" s="178">
        <v>153976</v>
      </c>
      <c r="B7393" s="179" t="s">
        <v>456</v>
      </c>
      <c r="C7393" s="180">
        <v>135</v>
      </c>
    </row>
    <row r="7394" spans="1:3" x14ac:dyDescent="0.25">
      <c r="A7394" s="178">
        <v>153977</v>
      </c>
      <c r="B7394" s="179" t="s">
        <v>456</v>
      </c>
      <c r="C7394" s="180">
        <v>12</v>
      </c>
    </row>
    <row r="7395" spans="1:3" x14ac:dyDescent="0.25">
      <c r="A7395" s="178">
        <v>153978</v>
      </c>
      <c r="B7395" s="179" t="s">
        <v>456</v>
      </c>
      <c r="C7395" s="180">
        <v>12</v>
      </c>
    </row>
    <row r="7396" spans="1:3" x14ac:dyDescent="0.25">
      <c r="A7396" s="178">
        <v>153991</v>
      </c>
      <c r="B7396" s="179" t="s">
        <v>456</v>
      </c>
      <c r="C7396" s="180">
        <v>64</v>
      </c>
    </row>
    <row r="7397" spans="1:3" x14ac:dyDescent="0.25">
      <c r="A7397" s="178">
        <v>153992</v>
      </c>
      <c r="B7397" s="179" t="s">
        <v>456</v>
      </c>
      <c r="C7397" s="180">
        <v>156</v>
      </c>
    </row>
    <row r="7398" spans="1:3" x14ac:dyDescent="0.25">
      <c r="A7398" s="178">
        <v>153993</v>
      </c>
      <c r="B7398" s="179" t="s">
        <v>456</v>
      </c>
      <c r="C7398" s="180">
        <v>100</v>
      </c>
    </row>
    <row r="7399" spans="1:3" x14ac:dyDescent="0.25">
      <c r="A7399" s="178">
        <v>153994</v>
      </c>
      <c r="B7399" s="179" t="s">
        <v>456</v>
      </c>
      <c r="C7399" s="180">
        <v>36</v>
      </c>
    </row>
    <row r="7400" spans="1:3" x14ac:dyDescent="0.25">
      <c r="A7400" s="178">
        <v>153996</v>
      </c>
      <c r="B7400" s="179" t="s">
        <v>456</v>
      </c>
      <c r="C7400" s="180">
        <v>36</v>
      </c>
    </row>
    <row r="7401" spans="1:3" x14ac:dyDescent="0.25">
      <c r="A7401" s="178">
        <v>154000</v>
      </c>
      <c r="B7401" s="179" t="s">
        <v>456</v>
      </c>
      <c r="C7401" s="180">
        <v>56</v>
      </c>
    </row>
    <row r="7402" spans="1:3" x14ac:dyDescent="0.25">
      <c r="A7402" s="178">
        <v>154001</v>
      </c>
      <c r="B7402" s="179" t="s">
        <v>456</v>
      </c>
      <c r="C7402" s="180">
        <v>56</v>
      </c>
    </row>
    <row r="7403" spans="1:3" x14ac:dyDescent="0.25">
      <c r="A7403" s="178">
        <v>154002</v>
      </c>
      <c r="B7403" s="179" t="s">
        <v>456</v>
      </c>
      <c r="C7403" s="180">
        <v>56</v>
      </c>
    </row>
    <row r="7404" spans="1:3" x14ac:dyDescent="0.25">
      <c r="A7404" s="178">
        <v>154019</v>
      </c>
      <c r="B7404" s="179" t="s">
        <v>456</v>
      </c>
      <c r="C7404" s="180">
        <v>63</v>
      </c>
    </row>
    <row r="7405" spans="1:3" x14ac:dyDescent="0.25">
      <c r="A7405" s="178">
        <v>154020</v>
      </c>
      <c r="B7405" s="179" t="s">
        <v>456</v>
      </c>
      <c r="C7405" s="180">
        <v>195</v>
      </c>
    </row>
    <row r="7406" spans="1:3" x14ac:dyDescent="0.25">
      <c r="A7406" s="178">
        <v>154024</v>
      </c>
      <c r="B7406" s="179" t="s">
        <v>456</v>
      </c>
      <c r="C7406" s="180">
        <v>80</v>
      </c>
    </row>
    <row r="7407" spans="1:3" x14ac:dyDescent="0.25">
      <c r="A7407" s="178">
        <v>154049</v>
      </c>
      <c r="B7407" s="179" t="s">
        <v>456</v>
      </c>
      <c r="C7407" s="180">
        <v>84</v>
      </c>
    </row>
    <row r="7408" spans="1:3" x14ac:dyDescent="0.25">
      <c r="A7408" s="178">
        <v>154051</v>
      </c>
      <c r="B7408" s="179" t="s">
        <v>456</v>
      </c>
      <c r="C7408" s="180">
        <v>84</v>
      </c>
    </row>
    <row r="7409" spans="1:3" x14ac:dyDescent="0.25">
      <c r="A7409" s="178">
        <v>154052</v>
      </c>
      <c r="B7409" s="179" t="s">
        <v>456</v>
      </c>
      <c r="C7409" s="180">
        <v>84</v>
      </c>
    </row>
    <row r="7410" spans="1:3" x14ac:dyDescent="0.25">
      <c r="A7410" s="178">
        <v>154061</v>
      </c>
      <c r="B7410" s="179" t="s">
        <v>456</v>
      </c>
      <c r="C7410" s="180">
        <v>3</v>
      </c>
    </row>
    <row r="7411" spans="1:3" x14ac:dyDescent="0.25">
      <c r="A7411" s="178">
        <v>154083</v>
      </c>
      <c r="B7411" s="179" t="s">
        <v>456</v>
      </c>
      <c r="C7411" s="180">
        <v>3</v>
      </c>
    </row>
    <row r="7412" spans="1:3" x14ac:dyDescent="0.25">
      <c r="A7412" s="178">
        <v>154088</v>
      </c>
      <c r="B7412" s="179" t="s">
        <v>456</v>
      </c>
      <c r="C7412" s="180">
        <v>100</v>
      </c>
    </row>
    <row r="7413" spans="1:3" x14ac:dyDescent="0.25">
      <c r="A7413" s="178">
        <v>154089</v>
      </c>
      <c r="B7413" s="179" t="s">
        <v>456</v>
      </c>
      <c r="C7413" s="180">
        <v>100</v>
      </c>
    </row>
    <row r="7414" spans="1:3" x14ac:dyDescent="0.25">
      <c r="A7414" s="178">
        <v>154090</v>
      </c>
      <c r="B7414" s="179" t="s">
        <v>456</v>
      </c>
      <c r="C7414" s="180">
        <v>3</v>
      </c>
    </row>
    <row r="7415" spans="1:3" x14ac:dyDescent="0.25">
      <c r="A7415" s="178">
        <v>154094</v>
      </c>
      <c r="B7415" s="179" t="s">
        <v>456</v>
      </c>
      <c r="C7415" s="180">
        <v>3</v>
      </c>
    </row>
    <row r="7416" spans="1:3" x14ac:dyDescent="0.25">
      <c r="A7416" s="178">
        <v>154095</v>
      </c>
      <c r="B7416" s="179" t="s">
        <v>456</v>
      </c>
      <c r="C7416" s="180">
        <v>3</v>
      </c>
    </row>
    <row r="7417" spans="1:3" x14ac:dyDescent="0.25">
      <c r="A7417" s="178">
        <v>154096</v>
      </c>
      <c r="B7417" s="179" t="s">
        <v>456</v>
      </c>
      <c r="C7417" s="180">
        <v>3</v>
      </c>
    </row>
    <row r="7418" spans="1:3" x14ac:dyDescent="0.25">
      <c r="A7418" s="178">
        <v>154176</v>
      </c>
      <c r="B7418" s="179" t="s">
        <v>456</v>
      </c>
      <c r="C7418" s="180">
        <v>392</v>
      </c>
    </row>
    <row r="7419" spans="1:3" x14ac:dyDescent="0.25">
      <c r="A7419" s="178">
        <v>154177</v>
      </c>
      <c r="B7419" s="179" t="s">
        <v>456</v>
      </c>
      <c r="C7419" s="180">
        <v>392</v>
      </c>
    </row>
    <row r="7420" spans="1:3" x14ac:dyDescent="0.25">
      <c r="A7420" s="178">
        <v>154178</v>
      </c>
      <c r="B7420" s="179" t="s">
        <v>456</v>
      </c>
      <c r="C7420" s="180">
        <v>392</v>
      </c>
    </row>
    <row r="7421" spans="1:3" x14ac:dyDescent="0.25">
      <c r="A7421" s="178">
        <v>154179</v>
      </c>
      <c r="B7421" s="179" t="s">
        <v>456</v>
      </c>
      <c r="C7421" s="180">
        <v>392</v>
      </c>
    </row>
    <row r="7422" spans="1:3" x14ac:dyDescent="0.25">
      <c r="A7422" s="178">
        <v>154180</v>
      </c>
      <c r="B7422" s="179" t="s">
        <v>456</v>
      </c>
      <c r="C7422" s="180">
        <v>392</v>
      </c>
    </row>
    <row r="7423" spans="1:3" x14ac:dyDescent="0.25">
      <c r="A7423" s="178">
        <v>154181</v>
      </c>
      <c r="B7423" s="179" t="s">
        <v>456</v>
      </c>
      <c r="C7423" s="180">
        <v>392</v>
      </c>
    </row>
    <row r="7424" spans="1:3" x14ac:dyDescent="0.25">
      <c r="A7424" s="178">
        <v>154182</v>
      </c>
      <c r="B7424" s="179" t="s">
        <v>456</v>
      </c>
      <c r="C7424" s="180">
        <v>392</v>
      </c>
    </row>
    <row r="7425" spans="1:3" x14ac:dyDescent="0.25">
      <c r="A7425" s="178">
        <v>154183</v>
      </c>
      <c r="B7425" s="179" t="s">
        <v>456</v>
      </c>
      <c r="C7425" s="180">
        <v>392</v>
      </c>
    </row>
    <row r="7426" spans="1:3" x14ac:dyDescent="0.25">
      <c r="A7426" s="178">
        <v>154184</v>
      </c>
      <c r="B7426" s="179" t="s">
        <v>456</v>
      </c>
      <c r="C7426" s="180">
        <v>392</v>
      </c>
    </row>
    <row r="7427" spans="1:3" x14ac:dyDescent="0.25">
      <c r="A7427" s="178">
        <v>154185</v>
      </c>
      <c r="B7427" s="179" t="s">
        <v>456</v>
      </c>
      <c r="C7427" s="180">
        <v>392</v>
      </c>
    </row>
    <row r="7428" spans="1:3" x14ac:dyDescent="0.25">
      <c r="A7428" s="178">
        <v>154186</v>
      </c>
      <c r="B7428" s="179" t="s">
        <v>456</v>
      </c>
      <c r="C7428" s="180">
        <v>392</v>
      </c>
    </row>
    <row r="7429" spans="1:3" x14ac:dyDescent="0.25">
      <c r="A7429" s="178">
        <v>154187</v>
      </c>
      <c r="B7429" s="179" t="s">
        <v>456</v>
      </c>
      <c r="C7429" s="180">
        <v>392</v>
      </c>
    </row>
    <row r="7430" spans="1:3" x14ac:dyDescent="0.25">
      <c r="A7430" s="178">
        <v>154188</v>
      </c>
      <c r="B7430" s="179" t="s">
        <v>456</v>
      </c>
      <c r="C7430" s="180">
        <v>80</v>
      </c>
    </row>
    <row r="7431" spans="1:3" x14ac:dyDescent="0.25">
      <c r="A7431" s="178">
        <v>154189</v>
      </c>
      <c r="B7431" s="179" t="s">
        <v>456</v>
      </c>
      <c r="C7431" s="180">
        <v>80</v>
      </c>
    </row>
    <row r="7432" spans="1:3" x14ac:dyDescent="0.25">
      <c r="A7432" s="178">
        <v>154190</v>
      </c>
      <c r="B7432" s="179" t="s">
        <v>456</v>
      </c>
      <c r="C7432" s="180">
        <v>80</v>
      </c>
    </row>
    <row r="7433" spans="1:3" x14ac:dyDescent="0.25">
      <c r="A7433" s="178">
        <v>154192</v>
      </c>
      <c r="B7433" s="179" t="s">
        <v>456</v>
      </c>
      <c r="C7433" s="180">
        <v>3</v>
      </c>
    </row>
    <row r="7434" spans="1:3" x14ac:dyDescent="0.25">
      <c r="A7434" s="178">
        <v>154194</v>
      </c>
      <c r="B7434" s="179" t="s">
        <v>456</v>
      </c>
      <c r="C7434" s="180">
        <v>30</v>
      </c>
    </row>
    <row r="7435" spans="1:3" x14ac:dyDescent="0.25">
      <c r="A7435" s="178">
        <v>154195</v>
      </c>
      <c r="B7435" s="179" t="s">
        <v>456</v>
      </c>
      <c r="C7435" s="180">
        <v>3</v>
      </c>
    </row>
    <row r="7436" spans="1:3" x14ac:dyDescent="0.25">
      <c r="A7436" s="178">
        <v>154229</v>
      </c>
      <c r="B7436" s="179" t="s">
        <v>456</v>
      </c>
      <c r="C7436" s="180">
        <v>36</v>
      </c>
    </row>
    <row r="7437" spans="1:3" x14ac:dyDescent="0.25">
      <c r="A7437" s="178">
        <v>154230</v>
      </c>
      <c r="B7437" s="179" t="s">
        <v>456</v>
      </c>
      <c r="C7437" s="180">
        <v>36</v>
      </c>
    </row>
    <row r="7438" spans="1:3" x14ac:dyDescent="0.25">
      <c r="A7438" s="178">
        <v>154231</v>
      </c>
      <c r="B7438" s="179" t="s">
        <v>456</v>
      </c>
      <c r="C7438" s="180">
        <v>36</v>
      </c>
    </row>
    <row r="7439" spans="1:3" x14ac:dyDescent="0.25">
      <c r="A7439" s="178">
        <v>154232</v>
      </c>
      <c r="B7439" s="179" t="s">
        <v>456</v>
      </c>
      <c r="C7439" s="180">
        <v>36</v>
      </c>
    </row>
    <row r="7440" spans="1:3" x14ac:dyDescent="0.25">
      <c r="A7440" s="178">
        <v>154233</v>
      </c>
      <c r="B7440" s="179" t="s">
        <v>456</v>
      </c>
      <c r="C7440" s="180">
        <v>36</v>
      </c>
    </row>
    <row r="7441" spans="1:3" x14ac:dyDescent="0.25">
      <c r="A7441" s="178">
        <v>154234</v>
      </c>
      <c r="B7441" s="179" t="s">
        <v>456</v>
      </c>
      <c r="C7441" s="180">
        <v>36</v>
      </c>
    </row>
    <row r="7442" spans="1:3" x14ac:dyDescent="0.25">
      <c r="A7442" s="178">
        <v>154235</v>
      </c>
      <c r="B7442" s="179" t="s">
        <v>456</v>
      </c>
      <c r="C7442" s="180">
        <v>36</v>
      </c>
    </row>
    <row r="7443" spans="1:3" x14ac:dyDescent="0.25">
      <c r="A7443" s="178">
        <v>154236</v>
      </c>
      <c r="B7443" s="179" t="s">
        <v>456</v>
      </c>
      <c r="C7443" s="180">
        <v>36</v>
      </c>
    </row>
    <row r="7444" spans="1:3" x14ac:dyDescent="0.25">
      <c r="A7444" s="178">
        <v>154249</v>
      </c>
      <c r="B7444" s="179" t="s">
        <v>456</v>
      </c>
      <c r="C7444" s="180">
        <v>12</v>
      </c>
    </row>
    <row r="7445" spans="1:3" x14ac:dyDescent="0.25">
      <c r="A7445" s="178">
        <v>154252</v>
      </c>
      <c r="B7445" s="179" t="s">
        <v>456</v>
      </c>
      <c r="C7445" s="180">
        <v>135</v>
      </c>
    </row>
    <row r="7446" spans="1:3" x14ac:dyDescent="0.25">
      <c r="A7446" s="178">
        <v>154253</v>
      </c>
      <c r="B7446" s="179" t="s">
        <v>456</v>
      </c>
      <c r="C7446" s="180">
        <v>115</v>
      </c>
    </row>
    <row r="7447" spans="1:3" x14ac:dyDescent="0.25">
      <c r="A7447" s="178">
        <v>154254</v>
      </c>
      <c r="B7447" s="179" t="s">
        <v>456</v>
      </c>
      <c r="C7447" s="180">
        <v>65</v>
      </c>
    </row>
    <row r="7448" spans="1:3" x14ac:dyDescent="0.25">
      <c r="A7448" s="178">
        <v>154255</v>
      </c>
      <c r="B7448" s="179" t="s">
        <v>456</v>
      </c>
      <c r="C7448" s="180">
        <v>140</v>
      </c>
    </row>
    <row r="7449" spans="1:3" x14ac:dyDescent="0.25">
      <c r="A7449" s="178">
        <v>154256</v>
      </c>
      <c r="B7449" s="179" t="s">
        <v>456</v>
      </c>
      <c r="C7449" s="180">
        <v>140</v>
      </c>
    </row>
    <row r="7450" spans="1:3" x14ac:dyDescent="0.25">
      <c r="A7450" s="178">
        <v>154257</v>
      </c>
      <c r="B7450" s="179" t="s">
        <v>456</v>
      </c>
      <c r="C7450" s="180">
        <v>221</v>
      </c>
    </row>
    <row r="7451" spans="1:3" x14ac:dyDescent="0.25">
      <c r="A7451" s="178">
        <v>154258</v>
      </c>
      <c r="B7451" s="179" t="s">
        <v>456</v>
      </c>
      <c r="C7451" s="180">
        <v>221</v>
      </c>
    </row>
    <row r="7452" spans="1:3" x14ac:dyDescent="0.25">
      <c r="A7452" s="178">
        <v>154259</v>
      </c>
      <c r="B7452" s="179" t="s">
        <v>456</v>
      </c>
      <c r="C7452" s="180">
        <v>221</v>
      </c>
    </row>
    <row r="7453" spans="1:3" x14ac:dyDescent="0.25">
      <c r="A7453" s="178">
        <v>154260</v>
      </c>
      <c r="B7453" s="179" t="s">
        <v>456</v>
      </c>
      <c r="C7453" s="180">
        <v>154</v>
      </c>
    </row>
    <row r="7454" spans="1:3" x14ac:dyDescent="0.25">
      <c r="A7454" s="178">
        <v>154261</v>
      </c>
      <c r="B7454" s="179" t="s">
        <v>456</v>
      </c>
      <c r="C7454" s="180">
        <v>140</v>
      </c>
    </row>
    <row r="7455" spans="1:3" x14ac:dyDescent="0.25">
      <c r="A7455" s="178">
        <v>154262</v>
      </c>
      <c r="B7455" s="179" t="s">
        <v>456</v>
      </c>
      <c r="C7455" s="180">
        <v>80</v>
      </c>
    </row>
    <row r="7456" spans="1:3" x14ac:dyDescent="0.25">
      <c r="A7456" s="178">
        <v>154263</v>
      </c>
      <c r="B7456" s="179" t="s">
        <v>456</v>
      </c>
      <c r="C7456" s="180">
        <v>253</v>
      </c>
    </row>
    <row r="7457" spans="1:3" x14ac:dyDescent="0.25">
      <c r="A7457" s="178">
        <v>154264</v>
      </c>
      <c r="B7457" s="179" t="s">
        <v>456</v>
      </c>
      <c r="C7457" s="180">
        <v>154</v>
      </c>
    </row>
    <row r="7458" spans="1:3" x14ac:dyDescent="0.25">
      <c r="A7458" s="178">
        <v>154265</v>
      </c>
      <c r="B7458" s="179" t="s">
        <v>456</v>
      </c>
      <c r="C7458" s="180">
        <v>126</v>
      </c>
    </row>
    <row r="7459" spans="1:3" x14ac:dyDescent="0.25">
      <c r="A7459" s="178">
        <v>154266</v>
      </c>
      <c r="B7459" s="179" t="s">
        <v>456</v>
      </c>
      <c r="C7459" s="180">
        <v>384</v>
      </c>
    </row>
    <row r="7460" spans="1:3" x14ac:dyDescent="0.25">
      <c r="A7460" s="178">
        <v>154267</v>
      </c>
      <c r="B7460" s="179" t="s">
        <v>456</v>
      </c>
      <c r="C7460" s="180">
        <v>384</v>
      </c>
    </row>
    <row r="7461" spans="1:3" x14ac:dyDescent="0.25">
      <c r="A7461" s="178">
        <v>154268</v>
      </c>
      <c r="B7461" s="179" t="s">
        <v>456</v>
      </c>
      <c r="C7461" s="180">
        <v>384</v>
      </c>
    </row>
    <row r="7462" spans="1:3" x14ac:dyDescent="0.25">
      <c r="A7462" s="178">
        <v>154269</v>
      </c>
      <c r="B7462" s="179" t="s">
        <v>456</v>
      </c>
      <c r="C7462" s="180">
        <v>168</v>
      </c>
    </row>
    <row r="7463" spans="1:3" x14ac:dyDescent="0.25">
      <c r="A7463" s="178">
        <v>154270</v>
      </c>
      <c r="B7463" s="179" t="s">
        <v>456</v>
      </c>
      <c r="C7463" s="180">
        <v>168</v>
      </c>
    </row>
    <row r="7464" spans="1:3" x14ac:dyDescent="0.25">
      <c r="A7464" s="178">
        <v>154271</v>
      </c>
      <c r="B7464" s="179" t="s">
        <v>456</v>
      </c>
      <c r="C7464" s="180">
        <v>384</v>
      </c>
    </row>
    <row r="7465" spans="1:3" x14ac:dyDescent="0.25">
      <c r="A7465" s="178">
        <v>154276</v>
      </c>
      <c r="B7465" s="179" t="s">
        <v>456</v>
      </c>
      <c r="C7465" s="180">
        <v>1120</v>
      </c>
    </row>
    <row r="7466" spans="1:3" x14ac:dyDescent="0.25">
      <c r="A7466" s="178">
        <v>154277</v>
      </c>
      <c r="B7466" s="179" t="s">
        <v>456</v>
      </c>
      <c r="C7466" s="180">
        <v>1120</v>
      </c>
    </row>
    <row r="7467" spans="1:3" x14ac:dyDescent="0.25">
      <c r="A7467" s="178">
        <v>154278</v>
      </c>
      <c r="B7467" s="179" t="s">
        <v>456</v>
      </c>
      <c r="C7467" s="180">
        <v>2</v>
      </c>
    </row>
    <row r="7468" spans="1:3" x14ac:dyDescent="0.25">
      <c r="A7468" s="178">
        <v>154279</v>
      </c>
      <c r="B7468" s="179" t="s">
        <v>456</v>
      </c>
      <c r="C7468" s="180">
        <v>1120</v>
      </c>
    </row>
    <row r="7469" spans="1:3" x14ac:dyDescent="0.25">
      <c r="A7469" s="178">
        <v>154280</v>
      </c>
      <c r="B7469" s="179" t="s">
        <v>456</v>
      </c>
      <c r="C7469" s="180">
        <v>1120</v>
      </c>
    </row>
    <row r="7470" spans="1:3" x14ac:dyDescent="0.25">
      <c r="A7470" s="178">
        <v>154281</v>
      </c>
      <c r="B7470" s="179" t="s">
        <v>456</v>
      </c>
      <c r="C7470" s="180">
        <v>600</v>
      </c>
    </row>
    <row r="7471" spans="1:3" x14ac:dyDescent="0.25">
      <c r="A7471" s="178">
        <v>154282</v>
      </c>
      <c r="B7471" s="179" t="s">
        <v>456</v>
      </c>
      <c r="C7471" s="180">
        <v>324</v>
      </c>
    </row>
    <row r="7472" spans="1:3" x14ac:dyDescent="0.25">
      <c r="A7472" s="178">
        <v>154283</v>
      </c>
      <c r="B7472" s="179" t="s">
        <v>456</v>
      </c>
      <c r="C7472" s="180">
        <v>243</v>
      </c>
    </row>
    <row r="7473" spans="1:3" x14ac:dyDescent="0.25">
      <c r="A7473" s="178">
        <v>154284</v>
      </c>
      <c r="B7473" s="179" t="s">
        <v>456</v>
      </c>
      <c r="C7473" s="180">
        <v>243</v>
      </c>
    </row>
    <row r="7474" spans="1:3" x14ac:dyDescent="0.25">
      <c r="A7474" s="178">
        <v>154285</v>
      </c>
      <c r="B7474" s="179" t="s">
        <v>456</v>
      </c>
      <c r="C7474" s="180">
        <v>18</v>
      </c>
    </row>
    <row r="7475" spans="1:3" x14ac:dyDescent="0.25">
      <c r="A7475" s="178">
        <v>154292</v>
      </c>
      <c r="B7475" s="179" t="s">
        <v>456</v>
      </c>
      <c r="C7475" s="180">
        <v>243</v>
      </c>
    </row>
    <row r="7476" spans="1:3" x14ac:dyDescent="0.25">
      <c r="A7476" s="178">
        <v>154293</v>
      </c>
      <c r="B7476" s="179" t="s">
        <v>456</v>
      </c>
      <c r="C7476" s="180">
        <v>240</v>
      </c>
    </row>
    <row r="7477" spans="1:3" x14ac:dyDescent="0.25">
      <c r="A7477" s="178">
        <v>154294</v>
      </c>
      <c r="B7477" s="179" t="s">
        <v>456</v>
      </c>
      <c r="C7477" s="180">
        <v>240</v>
      </c>
    </row>
    <row r="7478" spans="1:3" x14ac:dyDescent="0.25">
      <c r="A7478" s="178">
        <v>154295</v>
      </c>
      <c r="B7478" s="179" t="s">
        <v>456</v>
      </c>
      <c r="C7478" s="180">
        <v>336</v>
      </c>
    </row>
    <row r="7479" spans="1:3" x14ac:dyDescent="0.25">
      <c r="A7479" s="178">
        <v>154319</v>
      </c>
      <c r="B7479" s="179" t="s">
        <v>456</v>
      </c>
      <c r="C7479" s="180">
        <v>30</v>
      </c>
    </row>
    <row r="7480" spans="1:3" x14ac:dyDescent="0.25">
      <c r="A7480" s="178">
        <v>154330</v>
      </c>
      <c r="B7480" s="179" t="s">
        <v>456</v>
      </c>
      <c r="C7480" s="180">
        <v>135</v>
      </c>
    </row>
    <row r="7481" spans="1:3" x14ac:dyDescent="0.25">
      <c r="A7481" s="178">
        <v>154331</v>
      </c>
      <c r="B7481" s="179" t="s">
        <v>456</v>
      </c>
      <c r="C7481" s="180">
        <v>115</v>
      </c>
    </row>
    <row r="7482" spans="1:3" x14ac:dyDescent="0.25">
      <c r="A7482" s="178">
        <v>154332</v>
      </c>
      <c r="B7482" s="179" t="s">
        <v>456</v>
      </c>
      <c r="C7482" s="180">
        <v>115</v>
      </c>
    </row>
    <row r="7483" spans="1:3" x14ac:dyDescent="0.25">
      <c r="A7483" s="178">
        <v>154333</v>
      </c>
      <c r="B7483" s="179" t="s">
        <v>456</v>
      </c>
      <c r="C7483" s="180">
        <v>36</v>
      </c>
    </row>
    <row r="7484" spans="1:3" x14ac:dyDescent="0.25">
      <c r="A7484" s="178">
        <v>154335</v>
      </c>
      <c r="B7484" s="179" t="s">
        <v>456</v>
      </c>
      <c r="C7484" s="180">
        <v>36</v>
      </c>
    </row>
    <row r="7485" spans="1:3" x14ac:dyDescent="0.25">
      <c r="A7485" s="178">
        <v>154336</v>
      </c>
      <c r="B7485" s="179" t="s">
        <v>456</v>
      </c>
      <c r="C7485" s="180">
        <v>36</v>
      </c>
    </row>
    <row r="7486" spans="1:3" x14ac:dyDescent="0.25">
      <c r="A7486" s="178">
        <v>154349</v>
      </c>
      <c r="B7486" s="179" t="s">
        <v>456</v>
      </c>
      <c r="C7486" s="180">
        <v>125</v>
      </c>
    </row>
    <row r="7487" spans="1:3" x14ac:dyDescent="0.25">
      <c r="A7487" s="178">
        <v>154350</v>
      </c>
      <c r="B7487" s="179" t="s">
        <v>456</v>
      </c>
      <c r="C7487" s="180">
        <v>56</v>
      </c>
    </row>
    <row r="7488" spans="1:3" x14ac:dyDescent="0.25">
      <c r="A7488" s="178">
        <v>154351</v>
      </c>
      <c r="B7488" s="179" t="s">
        <v>456</v>
      </c>
      <c r="C7488" s="180">
        <v>56</v>
      </c>
    </row>
    <row r="7489" spans="1:3" x14ac:dyDescent="0.25">
      <c r="A7489" s="178">
        <v>154353</v>
      </c>
      <c r="B7489" s="179" t="s">
        <v>456</v>
      </c>
      <c r="C7489" s="180">
        <v>56</v>
      </c>
    </row>
    <row r="7490" spans="1:3" x14ac:dyDescent="0.25">
      <c r="A7490" s="178">
        <v>154355</v>
      </c>
      <c r="B7490" s="179" t="s">
        <v>456</v>
      </c>
      <c r="C7490" s="180">
        <v>125</v>
      </c>
    </row>
    <row r="7491" spans="1:3" x14ac:dyDescent="0.25">
      <c r="A7491" s="178">
        <v>154357</v>
      </c>
      <c r="B7491" s="179" t="s">
        <v>456</v>
      </c>
      <c r="C7491" s="180">
        <v>125</v>
      </c>
    </row>
    <row r="7492" spans="1:3" x14ac:dyDescent="0.25">
      <c r="A7492" s="178">
        <v>154358</v>
      </c>
      <c r="B7492" s="179" t="s">
        <v>456</v>
      </c>
      <c r="C7492" s="180">
        <v>125</v>
      </c>
    </row>
    <row r="7493" spans="1:3" x14ac:dyDescent="0.25">
      <c r="A7493" s="178">
        <v>154359</v>
      </c>
      <c r="B7493" s="179" t="s">
        <v>456</v>
      </c>
      <c r="C7493" s="180">
        <v>120</v>
      </c>
    </row>
    <row r="7494" spans="1:3" x14ac:dyDescent="0.25">
      <c r="A7494" s="178">
        <v>154361</v>
      </c>
      <c r="B7494" s="179" t="s">
        <v>456</v>
      </c>
      <c r="C7494" s="180">
        <v>360</v>
      </c>
    </row>
    <row r="7495" spans="1:3" x14ac:dyDescent="0.25">
      <c r="A7495" s="178">
        <v>154362</v>
      </c>
      <c r="B7495" s="179" t="s">
        <v>456</v>
      </c>
      <c r="C7495" s="180">
        <v>1120</v>
      </c>
    </row>
    <row r="7496" spans="1:3" x14ac:dyDescent="0.25">
      <c r="A7496" s="178">
        <v>154366</v>
      </c>
      <c r="B7496" s="179" t="s">
        <v>456</v>
      </c>
      <c r="C7496" s="180">
        <v>882</v>
      </c>
    </row>
    <row r="7497" spans="1:3" x14ac:dyDescent="0.25">
      <c r="A7497" s="178">
        <v>154369</v>
      </c>
      <c r="B7497" s="179" t="s">
        <v>456</v>
      </c>
      <c r="C7497" s="180">
        <v>882</v>
      </c>
    </row>
    <row r="7498" spans="1:3" x14ac:dyDescent="0.25">
      <c r="A7498" s="178">
        <v>154370</v>
      </c>
      <c r="B7498" s="179" t="s">
        <v>456</v>
      </c>
      <c r="C7498" s="180">
        <v>882</v>
      </c>
    </row>
    <row r="7499" spans="1:3" x14ac:dyDescent="0.25">
      <c r="A7499" s="178">
        <v>154371</v>
      </c>
      <c r="B7499" s="179" t="s">
        <v>456</v>
      </c>
      <c r="C7499" s="180">
        <v>882</v>
      </c>
    </row>
    <row r="7500" spans="1:3" x14ac:dyDescent="0.25">
      <c r="A7500" s="178">
        <v>154379</v>
      </c>
      <c r="B7500" s="179" t="s">
        <v>456</v>
      </c>
      <c r="C7500" s="180">
        <v>64</v>
      </c>
    </row>
    <row r="7501" spans="1:3" x14ac:dyDescent="0.25">
      <c r="A7501" s="178">
        <v>154381</v>
      </c>
      <c r="B7501" s="179" t="s">
        <v>456</v>
      </c>
      <c r="C7501" s="180">
        <v>56</v>
      </c>
    </row>
    <row r="7502" spans="1:3" x14ac:dyDescent="0.25">
      <c r="A7502" s="178">
        <v>154434</v>
      </c>
      <c r="B7502" s="179" t="s">
        <v>456</v>
      </c>
      <c r="C7502" s="180">
        <v>264</v>
      </c>
    </row>
    <row r="7503" spans="1:3" x14ac:dyDescent="0.25">
      <c r="A7503" s="178">
        <v>154435</v>
      </c>
      <c r="B7503" s="179" t="s">
        <v>456</v>
      </c>
      <c r="C7503" s="180">
        <v>264</v>
      </c>
    </row>
    <row r="7504" spans="1:3" x14ac:dyDescent="0.25">
      <c r="A7504" s="178">
        <v>154436</v>
      </c>
      <c r="B7504" s="179" t="s">
        <v>456</v>
      </c>
      <c r="C7504" s="180">
        <v>96</v>
      </c>
    </row>
    <row r="7505" spans="1:3" x14ac:dyDescent="0.25">
      <c r="A7505" s="178">
        <v>154437</v>
      </c>
      <c r="B7505" s="179" t="s">
        <v>456</v>
      </c>
      <c r="C7505" s="180">
        <v>264</v>
      </c>
    </row>
    <row r="7506" spans="1:3" x14ac:dyDescent="0.25">
      <c r="A7506" s="178">
        <v>154438</v>
      </c>
      <c r="B7506" s="179" t="s">
        <v>456</v>
      </c>
      <c r="C7506" s="180">
        <v>100</v>
      </c>
    </row>
    <row r="7507" spans="1:3" x14ac:dyDescent="0.25">
      <c r="A7507" s="178">
        <v>154439</v>
      </c>
      <c r="B7507" s="179" t="s">
        <v>456</v>
      </c>
      <c r="C7507" s="180">
        <v>100</v>
      </c>
    </row>
    <row r="7508" spans="1:3" x14ac:dyDescent="0.25">
      <c r="A7508" s="178">
        <v>154440</v>
      </c>
      <c r="B7508" s="179" t="s">
        <v>456</v>
      </c>
      <c r="C7508" s="180">
        <v>100</v>
      </c>
    </row>
    <row r="7509" spans="1:3" x14ac:dyDescent="0.25">
      <c r="A7509" s="178">
        <v>154441</v>
      </c>
      <c r="B7509" s="179" t="s">
        <v>456</v>
      </c>
      <c r="C7509" s="180">
        <v>100</v>
      </c>
    </row>
    <row r="7510" spans="1:3" x14ac:dyDescent="0.25">
      <c r="A7510" s="178">
        <v>154452</v>
      </c>
      <c r="B7510" s="179" t="s">
        <v>456</v>
      </c>
      <c r="C7510" s="180">
        <v>3</v>
      </c>
    </row>
    <row r="7511" spans="1:3" x14ac:dyDescent="0.25">
      <c r="A7511" s="178">
        <v>154453</v>
      </c>
      <c r="B7511" s="179" t="s">
        <v>456</v>
      </c>
      <c r="C7511" s="180">
        <v>8</v>
      </c>
    </row>
    <row r="7512" spans="1:3" x14ac:dyDescent="0.25">
      <c r="A7512" s="178">
        <v>154458</v>
      </c>
      <c r="B7512" s="179" t="s">
        <v>456</v>
      </c>
      <c r="C7512" s="180">
        <v>100</v>
      </c>
    </row>
    <row r="7513" spans="1:3" x14ac:dyDescent="0.25">
      <c r="A7513" s="178">
        <v>154459</v>
      </c>
      <c r="B7513" s="179" t="s">
        <v>456</v>
      </c>
      <c r="C7513" s="180">
        <v>528</v>
      </c>
    </row>
    <row r="7514" spans="1:3" x14ac:dyDescent="0.25">
      <c r="A7514" s="178">
        <v>154460</v>
      </c>
      <c r="B7514" s="179" t="s">
        <v>456</v>
      </c>
      <c r="C7514" s="180">
        <v>528</v>
      </c>
    </row>
    <row r="7515" spans="1:3" x14ac:dyDescent="0.25">
      <c r="A7515" s="178">
        <v>154461</v>
      </c>
      <c r="B7515" s="179" t="s">
        <v>456</v>
      </c>
      <c r="C7515" s="180">
        <v>528</v>
      </c>
    </row>
    <row r="7516" spans="1:3" x14ac:dyDescent="0.25">
      <c r="A7516" s="178">
        <v>154462</v>
      </c>
      <c r="B7516" s="179" t="s">
        <v>456</v>
      </c>
      <c r="C7516" s="180">
        <v>528</v>
      </c>
    </row>
    <row r="7517" spans="1:3" x14ac:dyDescent="0.25">
      <c r="A7517" s="178">
        <v>154463</v>
      </c>
      <c r="B7517" s="179" t="s">
        <v>456</v>
      </c>
      <c r="C7517" s="180">
        <v>528</v>
      </c>
    </row>
    <row r="7518" spans="1:3" x14ac:dyDescent="0.25">
      <c r="A7518" s="178">
        <v>154465</v>
      </c>
      <c r="B7518" s="179" t="s">
        <v>456</v>
      </c>
      <c r="C7518" s="180">
        <v>154</v>
      </c>
    </row>
    <row r="7519" spans="1:3" x14ac:dyDescent="0.25">
      <c r="A7519" s="178">
        <v>154466</v>
      </c>
      <c r="B7519" s="179" t="s">
        <v>456</v>
      </c>
      <c r="C7519" s="180">
        <v>528</v>
      </c>
    </row>
    <row r="7520" spans="1:3" x14ac:dyDescent="0.25">
      <c r="A7520" s="178">
        <v>154467</v>
      </c>
      <c r="B7520" s="179" t="s">
        <v>456</v>
      </c>
      <c r="C7520" s="180">
        <v>24</v>
      </c>
    </row>
    <row r="7521" spans="1:3" x14ac:dyDescent="0.25">
      <c r="A7521" s="178">
        <v>154473</v>
      </c>
      <c r="B7521" s="179" t="s">
        <v>456</v>
      </c>
      <c r="C7521" s="180">
        <v>115</v>
      </c>
    </row>
    <row r="7522" spans="1:3" x14ac:dyDescent="0.25">
      <c r="A7522" s="178">
        <v>154491</v>
      </c>
      <c r="B7522" s="179" t="s">
        <v>456</v>
      </c>
      <c r="C7522" s="180">
        <v>100</v>
      </c>
    </row>
    <row r="7523" spans="1:3" x14ac:dyDescent="0.25">
      <c r="A7523" s="178">
        <v>154492</v>
      </c>
      <c r="B7523" s="179" t="s">
        <v>456</v>
      </c>
      <c r="C7523" s="180">
        <v>100</v>
      </c>
    </row>
    <row r="7524" spans="1:3" x14ac:dyDescent="0.25">
      <c r="A7524" s="178">
        <v>154503</v>
      </c>
      <c r="B7524" s="179" t="s">
        <v>456</v>
      </c>
      <c r="C7524" s="180">
        <v>72</v>
      </c>
    </row>
    <row r="7525" spans="1:3" x14ac:dyDescent="0.25">
      <c r="A7525" s="178">
        <v>154504</v>
      </c>
      <c r="B7525" s="179" t="s">
        <v>456</v>
      </c>
      <c r="C7525" s="180">
        <v>63</v>
      </c>
    </row>
    <row r="7526" spans="1:3" x14ac:dyDescent="0.25">
      <c r="A7526" s="178">
        <v>154508</v>
      </c>
      <c r="B7526" s="179" t="s">
        <v>456</v>
      </c>
      <c r="C7526" s="180">
        <v>273</v>
      </c>
    </row>
    <row r="7527" spans="1:3" x14ac:dyDescent="0.25">
      <c r="A7527" s="178">
        <v>154509</v>
      </c>
      <c r="B7527" s="179" t="s">
        <v>456</v>
      </c>
      <c r="C7527" s="180">
        <v>273</v>
      </c>
    </row>
    <row r="7528" spans="1:3" x14ac:dyDescent="0.25">
      <c r="A7528" s="178">
        <v>154515</v>
      </c>
      <c r="B7528" s="179" t="s">
        <v>456</v>
      </c>
      <c r="C7528" s="180">
        <v>162</v>
      </c>
    </row>
    <row r="7529" spans="1:3" x14ac:dyDescent="0.25">
      <c r="A7529" s="178">
        <v>154516</v>
      </c>
      <c r="B7529" s="179" t="s">
        <v>456</v>
      </c>
      <c r="C7529" s="180">
        <v>162</v>
      </c>
    </row>
    <row r="7530" spans="1:3" x14ac:dyDescent="0.25">
      <c r="A7530" s="178">
        <v>154529</v>
      </c>
      <c r="B7530" s="179" t="s">
        <v>456</v>
      </c>
      <c r="C7530" s="180">
        <v>30</v>
      </c>
    </row>
    <row r="7531" spans="1:3" x14ac:dyDescent="0.25">
      <c r="A7531" s="178">
        <v>154541</v>
      </c>
      <c r="B7531" s="179" t="s">
        <v>456</v>
      </c>
      <c r="C7531" s="180">
        <v>273</v>
      </c>
    </row>
    <row r="7532" spans="1:3" x14ac:dyDescent="0.25">
      <c r="A7532" s="178">
        <v>154543</v>
      </c>
      <c r="B7532" s="179" t="s">
        <v>456</v>
      </c>
      <c r="C7532" s="180">
        <v>24</v>
      </c>
    </row>
    <row r="7533" spans="1:3" x14ac:dyDescent="0.25">
      <c r="A7533" s="178">
        <v>154569</v>
      </c>
      <c r="B7533" s="179" t="s">
        <v>456</v>
      </c>
      <c r="C7533" s="180">
        <v>56</v>
      </c>
    </row>
    <row r="7534" spans="1:3" x14ac:dyDescent="0.25">
      <c r="A7534" s="178">
        <v>154570</v>
      </c>
      <c r="B7534" s="179" t="s">
        <v>456</v>
      </c>
      <c r="C7534" s="180">
        <v>56</v>
      </c>
    </row>
    <row r="7535" spans="1:3" x14ac:dyDescent="0.25">
      <c r="A7535" s="178">
        <v>154571</v>
      </c>
      <c r="B7535" s="179" t="s">
        <v>456</v>
      </c>
      <c r="C7535" s="180">
        <v>96</v>
      </c>
    </row>
    <row r="7536" spans="1:3" x14ac:dyDescent="0.25">
      <c r="A7536" s="178">
        <v>154575</v>
      </c>
      <c r="B7536" s="179" t="s">
        <v>456</v>
      </c>
      <c r="C7536" s="180">
        <v>135</v>
      </c>
    </row>
    <row r="7537" spans="1:3" x14ac:dyDescent="0.25">
      <c r="A7537" s="178">
        <v>154576</v>
      </c>
      <c r="B7537" s="179" t="s">
        <v>456</v>
      </c>
      <c r="C7537" s="180">
        <v>135</v>
      </c>
    </row>
    <row r="7538" spans="1:3" x14ac:dyDescent="0.25">
      <c r="A7538" s="178">
        <v>154578</v>
      </c>
      <c r="B7538" s="179" t="s">
        <v>456</v>
      </c>
      <c r="C7538" s="180">
        <v>70</v>
      </c>
    </row>
    <row r="7539" spans="1:3" x14ac:dyDescent="0.25">
      <c r="A7539" s="178">
        <v>154579</v>
      </c>
      <c r="B7539" s="179" t="s">
        <v>456</v>
      </c>
      <c r="C7539" s="180">
        <v>252</v>
      </c>
    </row>
    <row r="7540" spans="1:3" x14ac:dyDescent="0.25">
      <c r="A7540" s="178">
        <v>154580</v>
      </c>
      <c r="B7540" s="179" t="s">
        <v>456</v>
      </c>
      <c r="C7540" s="180">
        <v>252</v>
      </c>
    </row>
    <row r="7541" spans="1:3" x14ac:dyDescent="0.25">
      <c r="A7541" s="178">
        <v>154581</v>
      </c>
      <c r="B7541" s="179" t="s">
        <v>456</v>
      </c>
      <c r="C7541" s="180">
        <v>252</v>
      </c>
    </row>
    <row r="7542" spans="1:3" x14ac:dyDescent="0.25">
      <c r="A7542" s="178">
        <v>154582</v>
      </c>
      <c r="B7542" s="179" t="s">
        <v>456</v>
      </c>
      <c r="C7542" s="180">
        <v>252</v>
      </c>
    </row>
    <row r="7543" spans="1:3" x14ac:dyDescent="0.25">
      <c r="A7543" s="178">
        <v>154583</v>
      </c>
      <c r="B7543" s="179" t="s">
        <v>456</v>
      </c>
      <c r="C7543" s="180">
        <v>528</v>
      </c>
    </row>
    <row r="7544" spans="1:3" x14ac:dyDescent="0.25">
      <c r="A7544" s="178">
        <v>154598</v>
      </c>
      <c r="B7544" s="179" t="s">
        <v>456</v>
      </c>
      <c r="C7544" s="180">
        <v>115</v>
      </c>
    </row>
    <row r="7545" spans="1:3" x14ac:dyDescent="0.25">
      <c r="A7545" s="178">
        <v>154600</v>
      </c>
      <c r="B7545" s="179" t="s">
        <v>456</v>
      </c>
      <c r="C7545" s="180">
        <v>108</v>
      </c>
    </row>
    <row r="7546" spans="1:3" x14ac:dyDescent="0.25">
      <c r="A7546" s="178">
        <v>154604</v>
      </c>
      <c r="B7546" s="179" t="s">
        <v>456</v>
      </c>
      <c r="C7546" s="180">
        <v>8</v>
      </c>
    </row>
    <row r="7547" spans="1:3" x14ac:dyDescent="0.25">
      <c r="A7547" s="178">
        <v>154606</v>
      </c>
      <c r="B7547" s="179" t="s">
        <v>456</v>
      </c>
      <c r="C7547" s="180">
        <v>4</v>
      </c>
    </row>
    <row r="7548" spans="1:3" x14ac:dyDescent="0.25">
      <c r="A7548" s="178">
        <v>154608</v>
      </c>
      <c r="B7548" s="179" t="s">
        <v>456</v>
      </c>
      <c r="C7548" s="180">
        <v>119</v>
      </c>
    </row>
    <row r="7549" spans="1:3" x14ac:dyDescent="0.25">
      <c r="A7549" s="178">
        <v>154635</v>
      </c>
      <c r="B7549" s="179" t="s">
        <v>456</v>
      </c>
      <c r="C7549" s="180">
        <v>48</v>
      </c>
    </row>
    <row r="7550" spans="1:3" x14ac:dyDescent="0.25">
      <c r="A7550" s="178">
        <v>154636</v>
      </c>
      <c r="B7550" s="179" t="s">
        <v>456</v>
      </c>
      <c r="C7550" s="180">
        <v>80</v>
      </c>
    </row>
    <row r="7551" spans="1:3" x14ac:dyDescent="0.25">
      <c r="A7551" s="178">
        <v>154637</v>
      </c>
      <c r="B7551" s="179" t="s">
        <v>456</v>
      </c>
      <c r="C7551" s="180">
        <v>204</v>
      </c>
    </row>
    <row r="7552" spans="1:3" x14ac:dyDescent="0.25">
      <c r="A7552" s="178">
        <v>154638</v>
      </c>
      <c r="B7552" s="179" t="s">
        <v>456</v>
      </c>
      <c r="C7552" s="180">
        <v>112</v>
      </c>
    </row>
    <row r="7553" spans="1:3" x14ac:dyDescent="0.25">
      <c r="A7553" s="178">
        <v>154639</v>
      </c>
      <c r="B7553" s="179" t="s">
        <v>456</v>
      </c>
      <c r="C7553" s="180">
        <v>108</v>
      </c>
    </row>
    <row r="7554" spans="1:3" x14ac:dyDescent="0.25">
      <c r="A7554" s="178">
        <v>154640</v>
      </c>
      <c r="B7554" s="179" t="s">
        <v>456</v>
      </c>
      <c r="C7554" s="180">
        <v>108</v>
      </c>
    </row>
    <row r="7555" spans="1:3" x14ac:dyDescent="0.25">
      <c r="A7555" s="178">
        <v>154641</v>
      </c>
      <c r="B7555" s="179" t="s">
        <v>456</v>
      </c>
      <c r="C7555" s="180">
        <v>108</v>
      </c>
    </row>
    <row r="7556" spans="1:3" x14ac:dyDescent="0.25">
      <c r="A7556" s="178">
        <v>154642</v>
      </c>
      <c r="B7556" s="179" t="s">
        <v>456</v>
      </c>
      <c r="C7556" s="180">
        <v>189</v>
      </c>
    </row>
    <row r="7557" spans="1:3" x14ac:dyDescent="0.25">
      <c r="A7557" s="178">
        <v>154643</v>
      </c>
      <c r="B7557" s="179" t="s">
        <v>456</v>
      </c>
      <c r="C7557" s="180">
        <v>24</v>
      </c>
    </row>
    <row r="7558" spans="1:3" x14ac:dyDescent="0.25">
      <c r="A7558" s="178">
        <v>154644</v>
      </c>
      <c r="B7558" s="179" t="s">
        <v>456</v>
      </c>
      <c r="C7558" s="180">
        <v>70</v>
      </c>
    </row>
    <row r="7559" spans="1:3" x14ac:dyDescent="0.25">
      <c r="A7559" s="178">
        <v>154645</v>
      </c>
      <c r="B7559" s="179" t="s">
        <v>456</v>
      </c>
      <c r="C7559" s="180">
        <v>96</v>
      </c>
    </row>
    <row r="7560" spans="1:3" x14ac:dyDescent="0.25">
      <c r="A7560" s="178">
        <v>154646</v>
      </c>
      <c r="B7560" s="179" t="s">
        <v>456</v>
      </c>
      <c r="C7560" s="180">
        <v>96</v>
      </c>
    </row>
    <row r="7561" spans="1:3" x14ac:dyDescent="0.25">
      <c r="A7561" s="178">
        <v>154647</v>
      </c>
      <c r="B7561" s="179" t="s">
        <v>456</v>
      </c>
      <c r="C7561" s="180">
        <v>96</v>
      </c>
    </row>
    <row r="7562" spans="1:3" x14ac:dyDescent="0.25">
      <c r="A7562" s="178">
        <v>154648</v>
      </c>
      <c r="B7562" s="179" t="s">
        <v>456</v>
      </c>
      <c r="C7562" s="180">
        <v>70</v>
      </c>
    </row>
    <row r="7563" spans="1:3" x14ac:dyDescent="0.25">
      <c r="A7563" s="178">
        <v>154656</v>
      </c>
      <c r="B7563" s="179" t="s">
        <v>456</v>
      </c>
      <c r="C7563" s="180">
        <v>100</v>
      </c>
    </row>
    <row r="7564" spans="1:3" x14ac:dyDescent="0.25">
      <c r="A7564" s="178">
        <v>154657</v>
      </c>
      <c r="B7564" s="179" t="s">
        <v>456</v>
      </c>
      <c r="C7564" s="180">
        <v>3</v>
      </c>
    </row>
    <row r="7565" spans="1:3" x14ac:dyDescent="0.25">
      <c r="A7565" s="178">
        <v>154658</v>
      </c>
      <c r="B7565" s="179" t="s">
        <v>456</v>
      </c>
      <c r="C7565" s="180">
        <v>3</v>
      </c>
    </row>
    <row r="7566" spans="1:3" x14ac:dyDescent="0.25">
      <c r="A7566" s="178">
        <v>154661</v>
      </c>
      <c r="B7566" s="179" t="s">
        <v>456</v>
      </c>
      <c r="C7566" s="180">
        <v>100</v>
      </c>
    </row>
    <row r="7567" spans="1:3" x14ac:dyDescent="0.25">
      <c r="A7567" s="178">
        <v>154662</v>
      </c>
      <c r="B7567" s="179" t="s">
        <v>456</v>
      </c>
      <c r="C7567" s="180">
        <v>100</v>
      </c>
    </row>
    <row r="7568" spans="1:3" x14ac:dyDescent="0.25">
      <c r="A7568" s="178">
        <v>154664</v>
      </c>
      <c r="B7568" s="179" t="s">
        <v>456</v>
      </c>
      <c r="C7568" s="180">
        <v>128</v>
      </c>
    </row>
    <row r="7569" spans="1:3" x14ac:dyDescent="0.25">
      <c r="A7569" s="178">
        <v>154665</v>
      </c>
      <c r="B7569" s="179" t="s">
        <v>456</v>
      </c>
      <c r="C7569" s="180">
        <v>128</v>
      </c>
    </row>
    <row r="7570" spans="1:3" x14ac:dyDescent="0.25">
      <c r="A7570" s="178">
        <v>154666</v>
      </c>
      <c r="B7570" s="179" t="s">
        <v>456</v>
      </c>
      <c r="C7570" s="180">
        <v>128</v>
      </c>
    </row>
    <row r="7571" spans="1:3" x14ac:dyDescent="0.25">
      <c r="A7571" s="178">
        <v>154668</v>
      </c>
      <c r="B7571" s="179" t="s">
        <v>456</v>
      </c>
      <c r="C7571" s="180">
        <v>96</v>
      </c>
    </row>
    <row r="7572" spans="1:3" x14ac:dyDescent="0.25">
      <c r="A7572" s="178">
        <v>154670</v>
      </c>
      <c r="B7572" s="179" t="s">
        <v>456</v>
      </c>
      <c r="C7572" s="180">
        <v>96</v>
      </c>
    </row>
    <row r="7573" spans="1:3" x14ac:dyDescent="0.25">
      <c r="A7573" s="178">
        <v>154671</v>
      </c>
      <c r="B7573" s="179" t="s">
        <v>456</v>
      </c>
      <c r="C7573" s="180">
        <v>96</v>
      </c>
    </row>
    <row r="7574" spans="1:3" x14ac:dyDescent="0.25">
      <c r="A7574" s="178">
        <v>154673</v>
      </c>
      <c r="B7574" s="179" t="s">
        <v>456</v>
      </c>
      <c r="C7574" s="180">
        <v>96</v>
      </c>
    </row>
    <row r="7575" spans="1:3" x14ac:dyDescent="0.25">
      <c r="A7575" s="178">
        <v>154674</v>
      </c>
      <c r="B7575" s="179" t="s">
        <v>456</v>
      </c>
      <c r="C7575" s="180">
        <v>35</v>
      </c>
    </row>
    <row r="7576" spans="1:3" x14ac:dyDescent="0.25">
      <c r="A7576" s="178">
        <v>154675</v>
      </c>
      <c r="B7576" s="179" t="s">
        <v>456</v>
      </c>
      <c r="C7576" s="180">
        <v>95</v>
      </c>
    </row>
    <row r="7577" spans="1:3" x14ac:dyDescent="0.25">
      <c r="A7577" s="178">
        <v>154677</v>
      </c>
      <c r="B7577" s="179" t="s">
        <v>456</v>
      </c>
      <c r="C7577" s="180">
        <v>95</v>
      </c>
    </row>
    <row r="7578" spans="1:3" x14ac:dyDescent="0.25">
      <c r="A7578" s="178">
        <v>154678</v>
      </c>
      <c r="B7578" s="179" t="s">
        <v>456</v>
      </c>
      <c r="C7578" s="180">
        <v>95</v>
      </c>
    </row>
    <row r="7579" spans="1:3" x14ac:dyDescent="0.25">
      <c r="A7579" s="178">
        <v>154680</v>
      </c>
      <c r="B7579" s="179" t="s">
        <v>456</v>
      </c>
      <c r="C7579" s="180">
        <v>95</v>
      </c>
    </row>
    <row r="7580" spans="1:3" x14ac:dyDescent="0.25">
      <c r="A7580" s="178">
        <v>154681</v>
      </c>
      <c r="B7580" s="179" t="s">
        <v>456</v>
      </c>
      <c r="C7580" s="180">
        <v>95</v>
      </c>
    </row>
    <row r="7581" spans="1:3" x14ac:dyDescent="0.25">
      <c r="A7581" s="178">
        <v>154682</v>
      </c>
      <c r="B7581" s="179" t="s">
        <v>456</v>
      </c>
      <c r="C7581" s="180">
        <v>95</v>
      </c>
    </row>
    <row r="7582" spans="1:3" x14ac:dyDescent="0.25">
      <c r="A7582" s="178">
        <v>154683</v>
      </c>
      <c r="B7582" s="179" t="s">
        <v>456</v>
      </c>
      <c r="C7582" s="180">
        <v>95</v>
      </c>
    </row>
    <row r="7583" spans="1:3" x14ac:dyDescent="0.25">
      <c r="A7583" s="178">
        <v>154684</v>
      </c>
      <c r="B7583" s="179" t="s">
        <v>456</v>
      </c>
      <c r="C7583" s="180">
        <v>95</v>
      </c>
    </row>
    <row r="7584" spans="1:3" x14ac:dyDescent="0.25">
      <c r="A7584" s="178">
        <v>154693</v>
      </c>
      <c r="B7584" s="179" t="s">
        <v>456</v>
      </c>
      <c r="C7584" s="180">
        <v>90</v>
      </c>
    </row>
    <row r="7585" spans="1:3" x14ac:dyDescent="0.25">
      <c r="A7585" s="178">
        <v>154694</v>
      </c>
      <c r="B7585" s="179" t="s">
        <v>456</v>
      </c>
      <c r="C7585" s="180">
        <v>63</v>
      </c>
    </row>
    <row r="7586" spans="1:3" x14ac:dyDescent="0.25">
      <c r="A7586" s="178">
        <v>154695</v>
      </c>
      <c r="B7586" s="179" t="s">
        <v>456</v>
      </c>
      <c r="C7586" s="180">
        <v>72</v>
      </c>
    </row>
    <row r="7587" spans="1:3" x14ac:dyDescent="0.25">
      <c r="A7587" s="178">
        <v>154696</v>
      </c>
      <c r="B7587" s="179" t="s">
        <v>456</v>
      </c>
      <c r="C7587" s="180">
        <v>36</v>
      </c>
    </row>
    <row r="7588" spans="1:3" x14ac:dyDescent="0.25">
      <c r="A7588" s="178">
        <v>154698</v>
      </c>
      <c r="B7588" s="179" t="s">
        <v>456</v>
      </c>
      <c r="C7588" s="180">
        <v>72</v>
      </c>
    </row>
    <row r="7589" spans="1:3" x14ac:dyDescent="0.25">
      <c r="A7589" s="178">
        <v>154699</v>
      </c>
      <c r="B7589" s="179" t="s">
        <v>456</v>
      </c>
      <c r="C7589" s="180">
        <v>36</v>
      </c>
    </row>
    <row r="7590" spans="1:3" x14ac:dyDescent="0.25">
      <c r="A7590" s="178">
        <v>154700</v>
      </c>
      <c r="B7590" s="179" t="s">
        <v>456</v>
      </c>
      <c r="C7590" s="180">
        <v>36</v>
      </c>
    </row>
    <row r="7591" spans="1:3" x14ac:dyDescent="0.25">
      <c r="A7591" s="178">
        <v>154706</v>
      </c>
      <c r="B7591" s="179" t="s">
        <v>456</v>
      </c>
      <c r="C7591" s="180">
        <v>189</v>
      </c>
    </row>
    <row r="7592" spans="1:3" x14ac:dyDescent="0.25">
      <c r="A7592" s="178">
        <v>154707</v>
      </c>
      <c r="B7592" s="179" t="s">
        <v>456</v>
      </c>
      <c r="C7592" s="180">
        <v>189</v>
      </c>
    </row>
    <row r="7593" spans="1:3" x14ac:dyDescent="0.25">
      <c r="A7593" s="178">
        <v>154708</v>
      </c>
      <c r="B7593" s="179" t="s">
        <v>456</v>
      </c>
      <c r="C7593" s="180">
        <v>189</v>
      </c>
    </row>
    <row r="7594" spans="1:3" x14ac:dyDescent="0.25">
      <c r="A7594" s="178">
        <v>154709</v>
      </c>
      <c r="B7594" s="179" t="s">
        <v>456</v>
      </c>
      <c r="C7594" s="180">
        <v>189</v>
      </c>
    </row>
    <row r="7595" spans="1:3" x14ac:dyDescent="0.25">
      <c r="A7595" s="178">
        <v>154719</v>
      </c>
      <c r="B7595" s="179" t="s">
        <v>456</v>
      </c>
      <c r="C7595" s="180">
        <v>63</v>
      </c>
    </row>
    <row r="7596" spans="1:3" x14ac:dyDescent="0.25">
      <c r="A7596" s="178">
        <v>154720</v>
      </c>
      <c r="B7596" s="179" t="s">
        <v>456</v>
      </c>
      <c r="C7596" s="180">
        <v>63</v>
      </c>
    </row>
    <row r="7597" spans="1:3" x14ac:dyDescent="0.25">
      <c r="A7597" s="178">
        <v>154728</v>
      </c>
      <c r="B7597" s="179" t="s">
        <v>456</v>
      </c>
      <c r="C7597" s="180">
        <v>3</v>
      </c>
    </row>
    <row r="7598" spans="1:3" x14ac:dyDescent="0.25">
      <c r="A7598" s="178">
        <v>154729</v>
      </c>
      <c r="B7598" s="179" t="s">
        <v>456</v>
      </c>
      <c r="C7598" s="180">
        <v>161</v>
      </c>
    </row>
    <row r="7599" spans="1:3" x14ac:dyDescent="0.25">
      <c r="A7599" s="178">
        <v>154730</v>
      </c>
      <c r="B7599" s="179" t="s">
        <v>456</v>
      </c>
      <c r="C7599" s="180">
        <v>36</v>
      </c>
    </row>
    <row r="7600" spans="1:3" x14ac:dyDescent="0.25">
      <c r="A7600" s="178">
        <v>154735</v>
      </c>
      <c r="B7600" s="179" t="s">
        <v>456</v>
      </c>
      <c r="C7600" s="180">
        <v>24</v>
      </c>
    </row>
    <row r="7601" spans="1:3" x14ac:dyDescent="0.25">
      <c r="A7601" s="178">
        <v>154755</v>
      </c>
      <c r="B7601" s="179" t="s">
        <v>456</v>
      </c>
      <c r="C7601" s="180">
        <v>3</v>
      </c>
    </row>
    <row r="7602" spans="1:3" x14ac:dyDescent="0.25">
      <c r="A7602" s="178">
        <v>154786</v>
      </c>
      <c r="B7602" s="179" t="s">
        <v>456</v>
      </c>
      <c r="C7602" s="180">
        <v>162</v>
      </c>
    </row>
    <row r="7603" spans="1:3" x14ac:dyDescent="0.25">
      <c r="A7603" s="178">
        <v>154787</v>
      </c>
      <c r="B7603" s="179" t="s">
        <v>456</v>
      </c>
      <c r="C7603" s="180">
        <v>162</v>
      </c>
    </row>
    <row r="7604" spans="1:3" x14ac:dyDescent="0.25">
      <c r="A7604" s="178">
        <v>154788</v>
      </c>
      <c r="B7604" s="179" t="s">
        <v>456</v>
      </c>
      <c r="C7604" s="180">
        <v>162</v>
      </c>
    </row>
    <row r="7605" spans="1:3" x14ac:dyDescent="0.25">
      <c r="A7605" s="178">
        <v>154789</v>
      </c>
      <c r="B7605" s="179" t="s">
        <v>456</v>
      </c>
      <c r="C7605" s="180">
        <v>162</v>
      </c>
    </row>
    <row r="7606" spans="1:3" x14ac:dyDescent="0.25">
      <c r="A7606" s="178">
        <v>154790</v>
      </c>
      <c r="B7606" s="179" t="s">
        <v>456</v>
      </c>
      <c r="C7606" s="180">
        <v>162</v>
      </c>
    </row>
    <row r="7607" spans="1:3" x14ac:dyDescent="0.25">
      <c r="A7607" s="178">
        <v>154791</v>
      </c>
      <c r="B7607" s="179" t="s">
        <v>456</v>
      </c>
      <c r="C7607" s="180">
        <v>64</v>
      </c>
    </row>
    <row r="7608" spans="1:3" x14ac:dyDescent="0.25">
      <c r="A7608" s="178">
        <v>154798</v>
      </c>
      <c r="B7608" s="179" t="s">
        <v>456</v>
      </c>
      <c r="C7608" s="180">
        <v>36</v>
      </c>
    </row>
    <row r="7609" spans="1:3" x14ac:dyDescent="0.25">
      <c r="A7609" s="178">
        <v>154799</v>
      </c>
      <c r="B7609" s="179" t="s">
        <v>456</v>
      </c>
      <c r="C7609" s="180">
        <v>36</v>
      </c>
    </row>
    <row r="7610" spans="1:3" x14ac:dyDescent="0.25">
      <c r="A7610" s="178">
        <v>154800</v>
      </c>
      <c r="B7610" s="179" t="s">
        <v>456</v>
      </c>
      <c r="C7610" s="180">
        <v>33</v>
      </c>
    </row>
    <row r="7611" spans="1:3" x14ac:dyDescent="0.25">
      <c r="A7611" s="178">
        <v>154803</v>
      </c>
      <c r="B7611" s="179" t="s">
        <v>456</v>
      </c>
      <c r="C7611" s="180">
        <v>56</v>
      </c>
    </row>
    <row r="7612" spans="1:3" x14ac:dyDescent="0.25">
      <c r="A7612" s="178">
        <v>154804</v>
      </c>
      <c r="B7612" s="179" t="s">
        <v>456</v>
      </c>
      <c r="C7612" s="180">
        <v>56</v>
      </c>
    </row>
    <row r="7613" spans="1:3" x14ac:dyDescent="0.25">
      <c r="A7613" s="178">
        <v>154805</v>
      </c>
      <c r="B7613" s="179" t="s">
        <v>456</v>
      </c>
      <c r="C7613" s="180">
        <v>56</v>
      </c>
    </row>
    <row r="7614" spans="1:3" x14ac:dyDescent="0.25">
      <c r="A7614" s="178">
        <v>154808</v>
      </c>
      <c r="B7614" s="179" t="s">
        <v>456</v>
      </c>
      <c r="C7614" s="180">
        <v>54</v>
      </c>
    </row>
    <row r="7615" spans="1:3" x14ac:dyDescent="0.25">
      <c r="A7615" s="178">
        <v>154809</v>
      </c>
      <c r="B7615" s="179" t="s">
        <v>456</v>
      </c>
      <c r="C7615" s="180">
        <v>27</v>
      </c>
    </row>
    <row r="7616" spans="1:3" x14ac:dyDescent="0.25">
      <c r="A7616" s="178">
        <v>154810</v>
      </c>
      <c r="B7616" s="179" t="s">
        <v>456</v>
      </c>
      <c r="C7616" s="180">
        <v>27</v>
      </c>
    </row>
    <row r="7617" spans="1:3" x14ac:dyDescent="0.25">
      <c r="A7617" s="178">
        <v>154812</v>
      </c>
      <c r="B7617" s="179" t="s">
        <v>456</v>
      </c>
      <c r="C7617" s="180">
        <v>56</v>
      </c>
    </row>
    <row r="7618" spans="1:3" x14ac:dyDescent="0.25">
      <c r="A7618" s="178">
        <v>154813</v>
      </c>
      <c r="B7618" s="179" t="s">
        <v>456</v>
      </c>
      <c r="C7618" s="180">
        <v>56</v>
      </c>
    </row>
    <row r="7619" spans="1:3" x14ac:dyDescent="0.25">
      <c r="A7619" s="178">
        <v>154814</v>
      </c>
      <c r="B7619" s="179" t="s">
        <v>456</v>
      </c>
      <c r="C7619" s="180">
        <v>56</v>
      </c>
    </row>
    <row r="7620" spans="1:3" x14ac:dyDescent="0.25">
      <c r="A7620" s="178">
        <v>154815</v>
      </c>
      <c r="B7620" s="179" t="s">
        <v>456</v>
      </c>
      <c r="C7620" s="180">
        <v>36</v>
      </c>
    </row>
    <row r="7621" spans="1:3" x14ac:dyDescent="0.25">
      <c r="A7621" s="178">
        <v>154816</v>
      </c>
      <c r="B7621" s="179" t="s">
        <v>456</v>
      </c>
      <c r="C7621" s="180">
        <v>56</v>
      </c>
    </row>
    <row r="7622" spans="1:3" x14ac:dyDescent="0.25">
      <c r="A7622" s="178">
        <v>154817</v>
      </c>
      <c r="B7622" s="179" t="s">
        <v>456</v>
      </c>
      <c r="C7622" s="180">
        <v>56</v>
      </c>
    </row>
    <row r="7623" spans="1:3" x14ac:dyDescent="0.25">
      <c r="A7623" s="178">
        <v>154818</v>
      </c>
      <c r="B7623" s="179" t="s">
        <v>456</v>
      </c>
      <c r="C7623" s="180">
        <v>56</v>
      </c>
    </row>
    <row r="7624" spans="1:3" x14ac:dyDescent="0.25">
      <c r="A7624" s="178">
        <v>154819</v>
      </c>
      <c r="B7624" s="179" t="s">
        <v>456</v>
      </c>
      <c r="C7624" s="180">
        <v>36</v>
      </c>
    </row>
    <row r="7625" spans="1:3" x14ac:dyDescent="0.25">
      <c r="A7625" s="178">
        <v>154820</v>
      </c>
      <c r="B7625" s="179" t="s">
        <v>456</v>
      </c>
      <c r="C7625" s="180">
        <v>64</v>
      </c>
    </row>
    <row r="7626" spans="1:3" x14ac:dyDescent="0.25">
      <c r="A7626" s="178">
        <v>154821</v>
      </c>
      <c r="B7626" s="179" t="s">
        <v>456</v>
      </c>
      <c r="C7626" s="180">
        <v>56</v>
      </c>
    </row>
    <row r="7627" spans="1:3" x14ac:dyDescent="0.25">
      <c r="A7627" s="178">
        <v>154822</v>
      </c>
      <c r="B7627" s="179" t="s">
        <v>456</v>
      </c>
      <c r="C7627" s="180">
        <v>18</v>
      </c>
    </row>
    <row r="7628" spans="1:3" x14ac:dyDescent="0.25">
      <c r="A7628" s="178">
        <v>154823</v>
      </c>
      <c r="B7628" s="179" t="s">
        <v>456</v>
      </c>
      <c r="C7628" s="180">
        <v>24</v>
      </c>
    </row>
    <row r="7629" spans="1:3" x14ac:dyDescent="0.25">
      <c r="A7629" s="178">
        <v>154835</v>
      </c>
      <c r="B7629" s="179" t="s">
        <v>456</v>
      </c>
      <c r="C7629" s="180">
        <v>3</v>
      </c>
    </row>
    <row r="7630" spans="1:3" x14ac:dyDescent="0.25">
      <c r="A7630" s="178">
        <v>154838</v>
      </c>
      <c r="B7630" s="179" t="s">
        <v>456</v>
      </c>
      <c r="C7630" s="180">
        <v>96</v>
      </c>
    </row>
    <row r="7631" spans="1:3" x14ac:dyDescent="0.25">
      <c r="A7631" s="178">
        <v>154839</v>
      </c>
      <c r="B7631" s="179" t="s">
        <v>456</v>
      </c>
      <c r="C7631" s="180">
        <v>24</v>
      </c>
    </row>
    <row r="7632" spans="1:3" x14ac:dyDescent="0.25">
      <c r="A7632" s="178">
        <v>154840</v>
      </c>
      <c r="B7632" s="179" t="s">
        <v>456</v>
      </c>
      <c r="C7632" s="180">
        <v>24</v>
      </c>
    </row>
    <row r="7633" spans="1:3" x14ac:dyDescent="0.25">
      <c r="A7633" s="178">
        <v>154841</v>
      </c>
      <c r="B7633" s="179" t="s">
        <v>456</v>
      </c>
      <c r="C7633" s="180">
        <v>63</v>
      </c>
    </row>
    <row r="7634" spans="1:3" x14ac:dyDescent="0.25">
      <c r="A7634" s="178">
        <v>154843</v>
      </c>
      <c r="B7634" s="179" t="s">
        <v>456</v>
      </c>
      <c r="C7634" s="180">
        <v>63</v>
      </c>
    </row>
    <row r="7635" spans="1:3" x14ac:dyDescent="0.25">
      <c r="A7635" s="178">
        <v>154844</v>
      </c>
      <c r="B7635" s="179" t="s">
        <v>456</v>
      </c>
      <c r="C7635" s="180">
        <v>33</v>
      </c>
    </row>
    <row r="7636" spans="1:3" x14ac:dyDescent="0.25">
      <c r="A7636" s="178">
        <v>154846</v>
      </c>
      <c r="B7636" s="179" t="s">
        <v>456</v>
      </c>
      <c r="C7636" s="180">
        <v>33</v>
      </c>
    </row>
    <row r="7637" spans="1:3" x14ac:dyDescent="0.25">
      <c r="A7637" s="178">
        <v>154849</v>
      </c>
      <c r="B7637" s="179" t="s">
        <v>456</v>
      </c>
      <c r="C7637" s="180">
        <v>84</v>
      </c>
    </row>
    <row r="7638" spans="1:3" x14ac:dyDescent="0.25">
      <c r="A7638" s="178">
        <v>154850</v>
      </c>
      <c r="B7638" s="179" t="s">
        <v>456</v>
      </c>
      <c r="C7638" s="180">
        <v>84</v>
      </c>
    </row>
    <row r="7639" spans="1:3" x14ac:dyDescent="0.25">
      <c r="A7639" s="178">
        <v>154851</v>
      </c>
      <c r="B7639" s="179" t="s">
        <v>456</v>
      </c>
      <c r="C7639" s="180">
        <v>84</v>
      </c>
    </row>
    <row r="7640" spans="1:3" x14ac:dyDescent="0.25">
      <c r="A7640" s="178">
        <v>154852</v>
      </c>
      <c r="B7640" s="179" t="s">
        <v>456</v>
      </c>
      <c r="C7640" s="180">
        <v>204</v>
      </c>
    </row>
    <row r="7641" spans="1:3" x14ac:dyDescent="0.25">
      <c r="A7641" s="178">
        <v>154853</v>
      </c>
      <c r="B7641" s="179" t="s">
        <v>456</v>
      </c>
      <c r="C7641" s="180">
        <v>204</v>
      </c>
    </row>
    <row r="7642" spans="1:3" x14ac:dyDescent="0.25">
      <c r="A7642" s="178">
        <v>154854</v>
      </c>
      <c r="B7642" s="179" t="s">
        <v>456</v>
      </c>
      <c r="C7642" s="180">
        <v>204</v>
      </c>
    </row>
    <row r="7643" spans="1:3" x14ac:dyDescent="0.25">
      <c r="A7643" s="178">
        <v>154855</v>
      </c>
      <c r="B7643" s="179" t="s">
        <v>456</v>
      </c>
      <c r="C7643" s="180">
        <v>60</v>
      </c>
    </row>
    <row r="7644" spans="1:3" x14ac:dyDescent="0.25">
      <c r="A7644" s="178">
        <v>154863</v>
      </c>
      <c r="B7644" s="179" t="s">
        <v>456</v>
      </c>
      <c r="C7644" s="180">
        <v>63</v>
      </c>
    </row>
    <row r="7645" spans="1:3" x14ac:dyDescent="0.25">
      <c r="A7645" s="178">
        <v>154864</v>
      </c>
      <c r="B7645" s="179" t="s">
        <v>456</v>
      </c>
      <c r="C7645" s="180">
        <v>64</v>
      </c>
    </row>
    <row r="7646" spans="1:3" x14ac:dyDescent="0.25">
      <c r="A7646" s="178">
        <v>154865</v>
      </c>
      <c r="B7646" s="179" t="s">
        <v>456</v>
      </c>
      <c r="C7646" s="180">
        <v>64</v>
      </c>
    </row>
    <row r="7647" spans="1:3" x14ac:dyDescent="0.25">
      <c r="A7647" s="178">
        <v>154868</v>
      </c>
      <c r="B7647" s="179" t="s">
        <v>456</v>
      </c>
      <c r="C7647" s="180">
        <v>45</v>
      </c>
    </row>
    <row r="7648" spans="1:3" x14ac:dyDescent="0.25">
      <c r="A7648" s="178">
        <v>154881</v>
      </c>
      <c r="B7648" s="179" t="s">
        <v>456</v>
      </c>
      <c r="C7648" s="180">
        <v>64</v>
      </c>
    </row>
    <row r="7649" spans="1:3" x14ac:dyDescent="0.25">
      <c r="A7649" s="178">
        <v>154882</v>
      </c>
      <c r="B7649" s="179" t="s">
        <v>456</v>
      </c>
      <c r="C7649" s="180">
        <v>160</v>
      </c>
    </row>
    <row r="7650" spans="1:3" x14ac:dyDescent="0.25">
      <c r="A7650" s="178">
        <v>154883</v>
      </c>
      <c r="B7650" s="179" t="s">
        <v>456</v>
      </c>
      <c r="C7650" s="180">
        <v>160</v>
      </c>
    </row>
    <row r="7651" spans="1:3" x14ac:dyDescent="0.25">
      <c r="A7651" s="178">
        <v>154885</v>
      </c>
      <c r="B7651" s="179" t="s">
        <v>456</v>
      </c>
      <c r="C7651" s="180">
        <v>160</v>
      </c>
    </row>
    <row r="7652" spans="1:3" x14ac:dyDescent="0.25">
      <c r="A7652" s="178">
        <v>154886</v>
      </c>
      <c r="B7652" s="179" t="s">
        <v>456</v>
      </c>
      <c r="C7652" s="180">
        <v>160</v>
      </c>
    </row>
    <row r="7653" spans="1:3" x14ac:dyDescent="0.25">
      <c r="A7653" s="178">
        <v>154887</v>
      </c>
      <c r="B7653" s="179" t="s">
        <v>456</v>
      </c>
      <c r="C7653" s="180">
        <v>160</v>
      </c>
    </row>
    <row r="7654" spans="1:3" x14ac:dyDescent="0.25">
      <c r="A7654" s="178">
        <v>154888</v>
      </c>
      <c r="B7654" s="179" t="s">
        <v>456</v>
      </c>
      <c r="C7654" s="180">
        <v>198</v>
      </c>
    </row>
    <row r="7655" spans="1:3" x14ac:dyDescent="0.25">
      <c r="A7655" s="178">
        <v>154893</v>
      </c>
      <c r="B7655" s="179" t="s">
        <v>456</v>
      </c>
      <c r="C7655" s="180">
        <v>50</v>
      </c>
    </row>
    <row r="7656" spans="1:3" x14ac:dyDescent="0.25">
      <c r="A7656" s="178">
        <v>154895</v>
      </c>
      <c r="B7656" s="179" t="s">
        <v>456</v>
      </c>
      <c r="C7656" s="180">
        <v>3</v>
      </c>
    </row>
    <row r="7657" spans="1:3" x14ac:dyDescent="0.25">
      <c r="A7657" s="178">
        <v>154912</v>
      </c>
      <c r="B7657" s="179" t="s">
        <v>456</v>
      </c>
      <c r="C7657" s="180">
        <v>36</v>
      </c>
    </row>
    <row r="7658" spans="1:3" x14ac:dyDescent="0.25">
      <c r="A7658" s="178">
        <v>154944</v>
      </c>
      <c r="B7658" s="179" t="s">
        <v>456</v>
      </c>
      <c r="C7658" s="180">
        <v>63</v>
      </c>
    </row>
    <row r="7659" spans="1:3" x14ac:dyDescent="0.25">
      <c r="A7659" s="178">
        <v>154946</v>
      </c>
      <c r="B7659" s="179" t="s">
        <v>456</v>
      </c>
      <c r="C7659" s="180">
        <v>63</v>
      </c>
    </row>
    <row r="7660" spans="1:3" x14ac:dyDescent="0.25">
      <c r="A7660" s="178">
        <v>154949</v>
      </c>
      <c r="B7660" s="179" t="s">
        <v>456</v>
      </c>
      <c r="C7660" s="180">
        <v>24</v>
      </c>
    </row>
    <row r="7661" spans="1:3" x14ac:dyDescent="0.25">
      <c r="A7661" s="178">
        <v>154950</v>
      </c>
      <c r="B7661" s="179" t="s">
        <v>456</v>
      </c>
      <c r="C7661" s="180">
        <v>24</v>
      </c>
    </row>
    <row r="7662" spans="1:3" x14ac:dyDescent="0.25">
      <c r="A7662" s="178">
        <v>154969</v>
      </c>
      <c r="B7662" s="179" t="s">
        <v>456</v>
      </c>
      <c r="C7662" s="180">
        <v>64</v>
      </c>
    </row>
    <row r="7663" spans="1:3" x14ac:dyDescent="0.25">
      <c r="A7663" s="178">
        <v>154971</v>
      </c>
      <c r="B7663" s="179" t="s">
        <v>456</v>
      </c>
      <c r="C7663" s="180">
        <v>40</v>
      </c>
    </row>
    <row r="7664" spans="1:3" x14ac:dyDescent="0.25">
      <c r="A7664" s="178">
        <v>154975</v>
      </c>
      <c r="B7664" s="179" t="s">
        <v>456</v>
      </c>
      <c r="C7664" s="180">
        <v>63</v>
      </c>
    </row>
    <row r="7665" spans="1:3" x14ac:dyDescent="0.25">
      <c r="A7665" s="178">
        <v>154977</v>
      </c>
      <c r="B7665" s="179" t="s">
        <v>456</v>
      </c>
      <c r="C7665" s="180">
        <v>36</v>
      </c>
    </row>
    <row r="7666" spans="1:3" x14ac:dyDescent="0.25">
      <c r="A7666" s="178">
        <v>154978</v>
      </c>
      <c r="B7666" s="179" t="s">
        <v>456</v>
      </c>
      <c r="C7666" s="180">
        <v>30</v>
      </c>
    </row>
    <row r="7667" spans="1:3" x14ac:dyDescent="0.25">
      <c r="A7667" s="178">
        <v>154979</v>
      </c>
      <c r="B7667" s="179" t="s">
        <v>456</v>
      </c>
      <c r="C7667" s="180">
        <v>24</v>
      </c>
    </row>
    <row r="7668" spans="1:3" x14ac:dyDescent="0.25">
      <c r="A7668" s="178">
        <v>154980</v>
      </c>
      <c r="B7668" s="179" t="s">
        <v>456</v>
      </c>
      <c r="C7668" s="180">
        <v>24</v>
      </c>
    </row>
    <row r="7669" spans="1:3" x14ac:dyDescent="0.25">
      <c r="A7669" s="178">
        <v>154990</v>
      </c>
      <c r="B7669" s="179" t="s">
        <v>456</v>
      </c>
      <c r="C7669" s="180">
        <v>100</v>
      </c>
    </row>
    <row r="7670" spans="1:3" x14ac:dyDescent="0.25">
      <c r="A7670" s="178">
        <v>154994</v>
      </c>
      <c r="B7670" s="179" t="s">
        <v>456</v>
      </c>
      <c r="C7670" s="180">
        <v>32</v>
      </c>
    </row>
    <row r="7671" spans="1:3" x14ac:dyDescent="0.25">
      <c r="A7671" s="178">
        <v>154995</v>
      </c>
      <c r="B7671" s="179" t="s">
        <v>456</v>
      </c>
      <c r="C7671" s="180">
        <v>100</v>
      </c>
    </row>
    <row r="7672" spans="1:3" x14ac:dyDescent="0.25">
      <c r="A7672" s="178">
        <v>154996</v>
      </c>
      <c r="B7672" s="179" t="s">
        <v>456</v>
      </c>
      <c r="C7672" s="180">
        <v>100</v>
      </c>
    </row>
    <row r="7673" spans="1:3" x14ac:dyDescent="0.25">
      <c r="A7673" s="178">
        <v>154997</v>
      </c>
      <c r="B7673" s="179" t="s">
        <v>456</v>
      </c>
      <c r="C7673" s="180">
        <v>100</v>
      </c>
    </row>
    <row r="7674" spans="1:3" x14ac:dyDescent="0.25">
      <c r="A7674" s="178">
        <v>155005</v>
      </c>
      <c r="B7674" s="179" t="s">
        <v>456</v>
      </c>
      <c r="C7674" s="180">
        <v>3</v>
      </c>
    </row>
    <row r="7675" spans="1:3" x14ac:dyDescent="0.25">
      <c r="A7675" s="178">
        <v>155006</v>
      </c>
      <c r="B7675" s="179" t="s">
        <v>456</v>
      </c>
      <c r="C7675" s="180">
        <v>3</v>
      </c>
    </row>
    <row r="7676" spans="1:3" x14ac:dyDescent="0.25">
      <c r="A7676" s="178">
        <v>155007</v>
      </c>
      <c r="B7676" s="179" t="s">
        <v>456</v>
      </c>
      <c r="C7676" s="180">
        <v>3</v>
      </c>
    </row>
    <row r="7677" spans="1:3" x14ac:dyDescent="0.25">
      <c r="A7677" s="178">
        <v>155012</v>
      </c>
      <c r="B7677" s="179" t="s">
        <v>456</v>
      </c>
      <c r="C7677" s="180">
        <v>2</v>
      </c>
    </row>
    <row r="7678" spans="1:3" x14ac:dyDescent="0.25">
      <c r="A7678" s="178">
        <v>155013</v>
      </c>
      <c r="B7678" s="179" t="s">
        <v>456</v>
      </c>
      <c r="C7678" s="180">
        <v>2</v>
      </c>
    </row>
    <row r="7679" spans="1:3" x14ac:dyDescent="0.25">
      <c r="A7679" s="178">
        <v>155014</v>
      </c>
      <c r="B7679" s="179" t="s">
        <v>456</v>
      </c>
      <c r="C7679" s="180">
        <v>2</v>
      </c>
    </row>
    <row r="7680" spans="1:3" x14ac:dyDescent="0.25">
      <c r="A7680" s="178">
        <v>155020</v>
      </c>
      <c r="B7680" s="179" t="s">
        <v>456</v>
      </c>
      <c r="C7680" s="180">
        <v>119</v>
      </c>
    </row>
    <row r="7681" spans="1:3" x14ac:dyDescent="0.25">
      <c r="A7681" s="178">
        <v>155026</v>
      </c>
      <c r="B7681" s="179" t="s">
        <v>456</v>
      </c>
      <c r="C7681" s="180">
        <v>36</v>
      </c>
    </row>
    <row r="7682" spans="1:3" x14ac:dyDescent="0.25">
      <c r="A7682" s="178">
        <v>155027</v>
      </c>
      <c r="B7682" s="179" t="s">
        <v>456</v>
      </c>
      <c r="C7682" s="180">
        <v>72</v>
      </c>
    </row>
    <row r="7683" spans="1:3" x14ac:dyDescent="0.25">
      <c r="A7683" s="178">
        <v>155028</v>
      </c>
      <c r="B7683" s="179" t="s">
        <v>456</v>
      </c>
      <c r="C7683" s="180">
        <v>60</v>
      </c>
    </row>
    <row r="7684" spans="1:3" x14ac:dyDescent="0.25">
      <c r="A7684" s="178">
        <v>155029</v>
      </c>
      <c r="B7684" s="179" t="s">
        <v>456</v>
      </c>
      <c r="C7684" s="180">
        <v>60</v>
      </c>
    </row>
    <row r="7685" spans="1:3" x14ac:dyDescent="0.25">
      <c r="A7685" s="178">
        <v>155030</v>
      </c>
      <c r="B7685" s="179" t="s">
        <v>456</v>
      </c>
      <c r="C7685" s="180">
        <v>60</v>
      </c>
    </row>
    <row r="7686" spans="1:3" x14ac:dyDescent="0.25">
      <c r="A7686" s="178">
        <v>155031</v>
      </c>
      <c r="B7686" s="179" t="s">
        <v>456</v>
      </c>
      <c r="C7686" s="180">
        <v>36</v>
      </c>
    </row>
    <row r="7687" spans="1:3" x14ac:dyDescent="0.25">
      <c r="A7687" s="178">
        <v>155032</v>
      </c>
      <c r="B7687" s="179" t="s">
        <v>456</v>
      </c>
      <c r="C7687" s="180">
        <v>72</v>
      </c>
    </row>
    <row r="7688" spans="1:3" x14ac:dyDescent="0.25">
      <c r="A7688" s="178">
        <v>155033</v>
      </c>
      <c r="B7688" s="179" t="s">
        <v>456</v>
      </c>
      <c r="C7688" s="180">
        <v>42</v>
      </c>
    </row>
    <row r="7689" spans="1:3" x14ac:dyDescent="0.25">
      <c r="A7689" s="178">
        <v>155034</v>
      </c>
      <c r="B7689" s="179" t="s">
        <v>456</v>
      </c>
      <c r="C7689" s="180">
        <v>42</v>
      </c>
    </row>
    <row r="7690" spans="1:3" x14ac:dyDescent="0.25">
      <c r="A7690" s="178">
        <v>155035</v>
      </c>
      <c r="B7690" s="179" t="s">
        <v>456</v>
      </c>
      <c r="C7690" s="180">
        <v>72</v>
      </c>
    </row>
    <row r="7691" spans="1:3" x14ac:dyDescent="0.25">
      <c r="A7691" s="178">
        <v>155038</v>
      </c>
      <c r="B7691" s="179" t="s">
        <v>456</v>
      </c>
      <c r="C7691" s="180">
        <v>72</v>
      </c>
    </row>
    <row r="7692" spans="1:3" x14ac:dyDescent="0.25">
      <c r="A7692" s="178">
        <v>155064</v>
      </c>
      <c r="B7692" s="179" t="s">
        <v>456</v>
      </c>
      <c r="C7692" s="180">
        <v>27</v>
      </c>
    </row>
    <row r="7693" spans="1:3" x14ac:dyDescent="0.25">
      <c r="A7693" s="178">
        <v>155065</v>
      </c>
      <c r="B7693" s="179" t="s">
        <v>456</v>
      </c>
      <c r="C7693" s="180">
        <v>27</v>
      </c>
    </row>
    <row r="7694" spans="1:3" x14ac:dyDescent="0.25">
      <c r="A7694" s="178">
        <v>155066</v>
      </c>
      <c r="B7694" s="179" t="s">
        <v>456</v>
      </c>
      <c r="C7694" s="180">
        <v>36</v>
      </c>
    </row>
    <row r="7695" spans="1:3" x14ac:dyDescent="0.25">
      <c r="A7695" s="178">
        <v>155067</v>
      </c>
      <c r="B7695" s="179" t="s">
        <v>456</v>
      </c>
      <c r="C7695" s="180">
        <v>36</v>
      </c>
    </row>
    <row r="7696" spans="1:3" x14ac:dyDescent="0.25">
      <c r="A7696" s="178">
        <v>155068</v>
      </c>
      <c r="B7696" s="179" t="s">
        <v>456</v>
      </c>
      <c r="C7696" s="180">
        <v>36</v>
      </c>
    </row>
    <row r="7697" spans="1:3" x14ac:dyDescent="0.25">
      <c r="A7697" s="178">
        <v>155069</v>
      </c>
      <c r="B7697" s="179" t="s">
        <v>456</v>
      </c>
      <c r="C7697" s="180">
        <v>36</v>
      </c>
    </row>
    <row r="7698" spans="1:3" x14ac:dyDescent="0.25">
      <c r="A7698" s="178">
        <v>155070</v>
      </c>
      <c r="B7698" s="179" t="s">
        <v>456</v>
      </c>
      <c r="C7698" s="180">
        <v>36</v>
      </c>
    </row>
    <row r="7699" spans="1:3" x14ac:dyDescent="0.25">
      <c r="A7699" s="178">
        <v>155077</v>
      </c>
      <c r="B7699" s="179" t="s">
        <v>456</v>
      </c>
      <c r="C7699" s="180">
        <v>1</v>
      </c>
    </row>
    <row r="7700" spans="1:3" x14ac:dyDescent="0.25">
      <c r="A7700" s="178">
        <v>155078</v>
      </c>
      <c r="B7700" s="179" t="s">
        <v>456</v>
      </c>
      <c r="C7700" s="180">
        <v>48</v>
      </c>
    </row>
    <row r="7701" spans="1:3" x14ac:dyDescent="0.25">
      <c r="A7701" s="178">
        <v>155079</v>
      </c>
      <c r="B7701" s="179" t="s">
        <v>456</v>
      </c>
      <c r="C7701" s="180">
        <v>115</v>
      </c>
    </row>
    <row r="7702" spans="1:3" x14ac:dyDescent="0.25">
      <c r="A7702" s="178">
        <v>155080</v>
      </c>
      <c r="B7702" s="179" t="s">
        <v>456</v>
      </c>
      <c r="C7702" s="180">
        <v>115</v>
      </c>
    </row>
    <row r="7703" spans="1:3" x14ac:dyDescent="0.25">
      <c r="A7703" s="178">
        <v>155081</v>
      </c>
      <c r="B7703" s="179" t="s">
        <v>456</v>
      </c>
      <c r="C7703" s="180">
        <v>56</v>
      </c>
    </row>
    <row r="7704" spans="1:3" x14ac:dyDescent="0.25">
      <c r="A7704" s="178">
        <v>155089</v>
      </c>
      <c r="B7704" s="179" t="s">
        <v>456</v>
      </c>
      <c r="C7704" s="180">
        <v>645</v>
      </c>
    </row>
    <row r="7705" spans="1:3" x14ac:dyDescent="0.25">
      <c r="A7705" s="178">
        <v>155090</v>
      </c>
      <c r="B7705" s="179" t="s">
        <v>456</v>
      </c>
      <c r="C7705" s="180">
        <v>645</v>
      </c>
    </row>
    <row r="7706" spans="1:3" x14ac:dyDescent="0.25">
      <c r="A7706" s="178">
        <v>155091</v>
      </c>
      <c r="B7706" s="179" t="s">
        <v>456</v>
      </c>
      <c r="C7706" s="180">
        <v>645</v>
      </c>
    </row>
    <row r="7707" spans="1:3" x14ac:dyDescent="0.25">
      <c r="A7707" s="178">
        <v>155092</v>
      </c>
      <c r="B7707" s="179" t="s">
        <v>456</v>
      </c>
      <c r="C7707" s="180">
        <v>645</v>
      </c>
    </row>
    <row r="7708" spans="1:3" x14ac:dyDescent="0.25">
      <c r="A7708" s="178">
        <v>155094</v>
      </c>
      <c r="B7708" s="179" t="s">
        <v>456</v>
      </c>
      <c r="C7708" s="180">
        <v>3</v>
      </c>
    </row>
    <row r="7709" spans="1:3" x14ac:dyDescent="0.25">
      <c r="A7709" s="178">
        <v>155103</v>
      </c>
      <c r="B7709" s="179" t="s">
        <v>456</v>
      </c>
      <c r="C7709" s="180">
        <v>392</v>
      </c>
    </row>
    <row r="7710" spans="1:3" x14ac:dyDescent="0.25">
      <c r="A7710" s="178">
        <v>155104</v>
      </c>
      <c r="B7710" s="179" t="s">
        <v>456</v>
      </c>
      <c r="C7710" s="180">
        <v>392</v>
      </c>
    </row>
    <row r="7711" spans="1:3" x14ac:dyDescent="0.25">
      <c r="A7711" s="178">
        <v>155105</v>
      </c>
      <c r="B7711" s="179" t="s">
        <v>456</v>
      </c>
      <c r="C7711" s="180">
        <v>392</v>
      </c>
    </row>
    <row r="7712" spans="1:3" x14ac:dyDescent="0.25">
      <c r="A7712" s="178">
        <v>155106</v>
      </c>
      <c r="B7712" s="179" t="s">
        <v>456</v>
      </c>
      <c r="C7712" s="180">
        <v>392</v>
      </c>
    </row>
    <row r="7713" spans="1:3" x14ac:dyDescent="0.25">
      <c r="A7713" s="178">
        <v>155107</v>
      </c>
      <c r="B7713" s="179" t="s">
        <v>456</v>
      </c>
      <c r="C7713" s="180">
        <v>392</v>
      </c>
    </row>
    <row r="7714" spans="1:3" x14ac:dyDescent="0.25">
      <c r="A7714" s="178">
        <v>155108</v>
      </c>
      <c r="B7714" s="179" t="s">
        <v>456</v>
      </c>
      <c r="C7714" s="180">
        <v>3</v>
      </c>
    </row>
    <row r="7715" spans="1:3" x14ac:dyDescent="0.25">
      <c r="A7715" s="178">
        <v>155111</v>
      </c>
      <c r="B7715" s="179" t="s">
        <v>456</v>
      </c>
      <c r="C7715" s="180">
        <v>51</v>
      </c>
    </row>
    <row r="7716" spans="1:3" x14ac:dyDescent="0.25">
      <c r="A7716" s="178">
        <v>155112</v>
      </c>
      <c r="B7716" s="179" t="s">
        <v>456</v>
      </c>
      <c r="C7716" s="180">
        <v>36</v>
      </c>
    </row>
    <row r="7717" spans="1:3" x14ac:dyDescent="0.25">
      <c r="A7717" s="178">
        <v>155113</v>
      </c>
      <c r="B7717" s="179" t="s">
        <v>456</v>
      </c>
      <c r="C7717" s="180">
        <v>63</v>
      </c>
    </row>
    <row r="7718" spans="1:3" x14ac:dyDescent="0.25">
      <c r="A7718" s="178">
        <v>155114</v>
      </c>
      <c r="B7718" s="179" t="s">
        <v>456</v>
      </c>
      <c r="C7718" s="180">
        <v>63</v>
      </c>
    </row>
    <row r="7719" spans="1:3" x14ac:dyDescent="0.25">
      <c r="A7719" s="178">
        <v>155116</v>
      </c>
      <c r="B7719" s="179" t="s">
        <v>456</v>
      </c>
      <c r="C7719" s="180">
        <v>63</v>
      </c>
    </row>
    <row r="7720" spans="1:3" x14ac:dyDescent="0.25">
      <c r="A7720" s="178">
        <v>155137</v>
      </c>
      <c r="B7720" s="179" t="s">
        <v>456</v>
      </c>
      <c r="C7720" s="180">
        <v>168</v>
      </c>
    </row>
    <row r="7721" spans="1:3" x14ac:dyDescent="0.25">
      <c r="A7721" s="178">
        <v>155138</v>
      </c>
      <c r="B7721" s="179" t="s">
        <v>456</v>
      </c>
      <c r="C7721" s="180">
        <v>168</v>
      </c>
    </row>
    <row r="7722" spans="1:3" x14ac:dyDescent="0.25">
      <c r="A7722" s="178">
        <v>155139</v>
      </c>
      <c r="B7722" s="179" t="s">
        <v>456</v>
      </c>
      <c r="C7722" s="180">
        <v>168</v>
      </c>
    </row>
    <row r="7723" spans="1:3" x14ac:dyDescent="0.25">
      <c r="A7723" s="178">
        <v>155140</v>
      </c>
      <c r="B7723" s="179" t="s">
        <v>456</v>
      </c>
      <c r="C7723" s="180">
        <v>168</v>
      </c>
    </row>
    <row r="7724" spans="1:3" x14ac:dyDescent="0.25">
      <c r="A7724" s="178">
        <v>155208</v>
      </c>
      <c r="B7724" s="179" t="s">
        <v>456</v>
      </c>
      <c r="C7724" s="180">
        <v>64</v>
      </c>
    </row>
    <row r="7725" spans="1:3" x14ac:dyDescent="0.25">
      <c r="A7725" s="178">
        <v>155209</v>
      </c>
      <c r="B7725" s="179" t="s">
        <v>456</v>
      </c>
      <c r="C7725" s="180">
        <v>64</v>
      </c>
    </row>
    <row r="7726" spans="1:3" x14ac:dyDescent="0.25">
      <c r="A7726" s="178">
        <v>155213</v>
      </c>
      <c r="B7726" s="179" t="s">
        <v>456</v>
      </c>
      <c r="C7726" s="180">
        <v>120</v>
      </c>
    </row>
    <row r="7727" spans="1:3" x14ac:dyDescent="0.25">
      <c r="A7727" s="178">
        <v>155217</v>
      </c>
      <c r="B7727" s="179" t="s">
        <v>456</v>
      </c>
      <c r="C7727" s="180">
        <v>128</v>
      </c>
    </row>
    <row r="7728" spans="1:3" x14ac:dyDescent="0.25">
      <c r="A7728" s="178">
        <v>155218</v>
      </c>
      <c r="B7728" s="179" t="s">
        <v>456</v>
      </c>
      <c r="C7728" s="180">
        <v>128</v>
      </c>
    </row>
    <row r="7729" spans="1:3" x14ac:dyDescent="0.25">
      <c r="A7729" s="178">
        <v>155221</v>
      </c>
      <c r="B7729" s="179" t="s">
        <v>456</v>
      </c>
      <c r="C7729" s="180">
        <v>135</v>
      </c>
    </row>
    <row r="7730" spans="1:3" x14ac:dyDescent="0.25">
      <c r="A7730" s="178">
        <v>155225</v>
      </c>
      <c r="B7730" s="179" t="s">
        <v>456</v>
      </c>
      <c r="C7730" s="180">
        <v>135</v>
      </c>
    </row>
    <row r="7731" spans="1:3" x14ac:dyDescent="0.25">
      <c r="A7731" s="178">
        <v>155226</v>
      </c>
      <c r="B7731" s="179" t="s">
        <v>456</v>
      </c>
      <c r="C7731" s="180">
        <v>135</v>
      </c>
    </row>
    <row r="7732" spans="1:3" x14ac:dyDescent="0.25">
      <c r="A7732" s="178">
        <v>155228</v>
      </c>
      <c r="B7732" s="179" t="s">
        <v>456</v>
      </c>
      <c r="C7732" s="180">
        <v>135</v>
      </c>
    </row>
    <row r="7733" spans="1:3" x14ac:dyDescent="0.25">
      <c r="A7733" s="178">
        <v>155229</v>
      </c>
      <c r="B7733" s="179" t="s">
        <v>456</v>
      </c>
      <c r="C7733" s="180">
        <v>135</v>
      </c>
    </row>
    <row r="7734" spans="1:3" x14ac:dyDescent="0.25">
      <c r="A7734" s="178">
        <v>155230</v>
      </c>
      <c r="B7734" s="179" t="s">
        <v>456</v>
      </c>
      <c r="C7734" s="180">
        <v>108</v>
      </c>
    </row>
    <row r="7735" spans="1:3" x14ac:dyDescent="0.25">
      <c r="A7735" s="178">
        <v>155246</v>
      </c>
      <c r="B7735" s="179" t="s">
        <v>456</v>
      </c>
      <c r="C7735" s="180">
        <v>100</v>
      </c>
    </row>
    <row r="7736" spans="1:3" x14ac:dyDescent="0.25">
      <c r="A7736" s="178">
        <v>155247</v>
      </c>
      <c r="B7736" s="179" t="s">
        <v>456</v>
      </c>
      <c r="C7736" s="180">
        <v>100</v>
      </c>
    </row>
    <row r="7737" spans="1:3" x14ac:dyDescent="0.25">
      <c r="A7737" s="178">
        <v>155248</v>
      </c>
      <c r="B7737" s="179" t="s">
        <v>456</v>
      </c>
      <c r="C7737" s="180">
        <v>100</v>
      </c>
    </row>
    <row r="7738" spans="1:3" x14ac:dyDescent="0.25">
      <c r="A7738" s="178">
        <v>155249</v>
      </c>
      <c r="B7738" s="179" t="s">
        <v>456</v>
      </c>
      <c r="C7738" s="180">
        <v>100</v>
      </c>
    </row>
    <row r="7739" spans="1:3" x14ac:dyDescent="0.25">
      <c r="A7739" s="178">
        <v>155250</v>
      </c>
      <c r="B7739" s="179" t="s">
        <v>456</v>
      </c>
      <c r="C7739" s="180">
        <v>100</v>
      </c>
    </row>
    <row r="7740" spans="1:3" x14ac:dyDescent="0.25">
      <c r="A7740" s="178">
        <v>155251</v>
      </c>
      <c r="B7740" s="179" t="s">
        <v>456</v>
      </c>
      <c r="C7740" s="180">
        <v>100</v>
      </c>
    </row>
    <row r="7741" spans="1:3" x14ac:dyDescent="0.25">
      <c r="A7741" s="178">
        <v>155252</v>
      </c>
      <c r="B7741" s="179" t="s">
        <v>456</v>
      </c>
      <c r="C7741" s="180">
        <v>100</v>
      </c>
    </row>
    <row r="7742" spans="1:3" x14ac:dyDescent="0.25">
      <c r="A7742" s="178">
        <v>155253</v>
      </c>
      <c r="B7742" s="179" t="s">
        <v>456</v>
      </c>
      <c r="C7742" s="180">
        <v>100</v>
      </c>
    </row>
    <row r="7743" spans="1:3" x14ac:dyDescent="0.25">
      <c r="A7743" s="178">
        <v>155254</v>
      </c>
      <c r="B7743" s="179" t="s">
        <v>456</v>
      </c>
      <c r="C7743" s="180">
        <v>100</v>
      </c>
    </row>
    <row r="7744" spans="1:3" x14ac:dyDescent="0.25">
      <c r="A7744" s="178">
        <v>155255</v>
      </c>
      <c r="B7744" s="179" t="s">
        <v>456</v>
      </c>
      <c r="C7744" s="180">
        <v>100</v>
      </c>
    </row>
    <row r="7745" spans="1:3" x14ac:dyDescent="0.25">
      <c r="A7745" s="178">
        <v>155256</v>
      </c>
      <c r="B7745" s="179" t="s">
        <v>456</v>
      </c>
      <c r="C7745" s="180">
        <v>100</v>
      </c>
    </row>
    <row r="7746" spans="1:3" x14ac:dyDescent="0.25">
      <c r="A7746" s="178">
        <v>155257</v>
      </c>
      <c r="B7746" s="179" t="s">
        <v>456</v>
      </c>
      <c r="C7746" s="180">
        <v>100</v>
      </c>
    </row>
    <row r="7747" spans="1:3" x14ac:dyDescent="0.25">
      <c r="A7747" s="178">
        <v>155258</v>
      </c>
      <c r="B7747" s="179" t="s">
        <v>456</v>
      </c>
      <c r="C7747" s="180">
        <v>100</v>
      </c>
    </row>
    <row r="7748" spans="1:3" x14ac:dyDescent="0.25">
      <c r="A7748" s="178">
        <v>155259</v>
      </c>
      <c r="B7748" s="179" t="s">
        <v>456</v>
      </c>
      <c r="C7748" s="180">
        <v>100</v>
      </c>
    </row>
    <row r="7749" spans="1:3" x14ac:dyDescent="0.25">
      <c r="A7749" s="178">
        <v>155260</v>
      </c>
      <c r="B7749" s="179" t="s">
        <v>456</v>
      </c>
      <c r="C7749" s="180">
        <v>3</v>
      </c>
    </row>
    <row r="7750" spans="1:3" x14ac:dyDescent="0.25">
      <c r="A7750" s="178">
        <v>155261</v>
      </c>
      <c r="B7750" s="179" t="s">
        <v>456</v>
      </c>
      <c r="C7750" s="180">
        <v>3</v>
      </c>
    </row>
    <row r="7751" spans="1:3" x14ac:dyDescent="0.25">
      <c r="A7751" s="178">
        <v>155262</v>
      </c>
      <c r="B7751" s="179" t="s">
        <v>456</v>
      </c>
      <c r="C7751" s="180">
        <v>3</v>
      </c>
    </row>
    <row r="7752" spans="1:3" x14ac:dyDescent="0.25">
      <c r="A7752" s="178">
        <v>155263</v>
      </c>
      <c r="B7752" s="179" t="s">
        <v>456</v>
      </c>
      <c r="C7752" s="180">
        <v>3</v>
      </c>
    </row>
    <row r="7753" spans="1:3" x14ac:dyDescent="0.25">
      <c r="A7753" s="178">
        <v>155264</v>
      </c>
      <c r="B7753" s="179" t="s">
        <v>456</v>
      </c>
      <c r="C7753" s="180">
        <v>3</v>
      </c>
    </row>
    <row r="7754" spans="1:3" x14ac:dyDescent="0.25">
      <c r="A7754" s="178">
        <v>155273</v>
      </c>
      <c r="B7754" s="179" t="s">
        <v>456</v>
      </c>
      <c r="C7754" s="180">
        <v>3</v>
      </c>
    </row>
    <row r="7755" spans="1:3" x14ac:dyDescent="0.25">
      <c r="A7755" s="178">
        <v>155274</v>
      </c>
      <c r="B7755" s="179" t="s">
        <v>456</v>
      </c>
      <c r="C7755" s="180">
        <v>3</v>
      </c>
    </row>
    <row r="7756" spans="1:3" x14ac:dyDescent="0.25">
      <c r="A7756" s="178">
        <v>155276</v>
      </c>
      <c r="B7756" s="179" t="s">
        <v>456</v>
      </c>
      <c r="C7756" s="180">
        <v>210</v>
      </c>
    </row>
    <row r="7757" spans="1:3" x14ac:dyDescent="0.25">
      <c r="A7757" s="178">
        <v>155280</v>
      </c>
      <c r="B7757" s="179" t="s">
        <v>456</v>
      </c>
      <c r="C7757" s="180">
        <v>36</v>
      </c>
    </row>
    <row r="7758" spans="1:3" x14ac:dyDescent="0.25">
      <c r="A7758" s="178">
        <v>155284</v>
      </c>
      <c r="B7758" s="179" t="s">
        <v>456</v>
      </c>
      <c r="C7758" s="180">
        <v>56</v>
      </c>
    </row>
    <row r="7759" spans="1:3" x14ac:dyDescent="0.25">
      <c r="A7759" s="178">
        <v>155300</v>
      </c>
      <c r="B7759" s="179" t="s">
        <v>456</v>
      </c>
      <c r="C7759" s="180">
        <v>72</v>
      </c>
    </row>
    <row r="7760" spans="1:3" x14ac:dyDescent="0.25">
      <c r="A7760" s="178">
        <v>155311</v>
      </c>
      <c r="B7760" s="179" t="s">
        <v>456</v>
      </c>
      <c r="C7760" s="180">
        <v>48</v>
      </c>
    </row>
    <row r="7761" spans="1:3" x14ac:dyDescent="0.25">
      <c r="A7761" s="178">
        <v>155313</v>
      </c>
      <c r="B7761" s="179" t="s">
        <v>456</v>
      </c>
      <c r="C7761" s="180">
        <v>48</v>
      </c>
    </row>
    <row r="7762" spans="1:3" x14ac:dyDescent="0.25">
      <c r="A7762" s="178">
        <v>155323</v>
      </c>
      <c r="B7762" s="179" t="s">
        <v>456</v>
      </c>
      <c r="C7762" s="180">
        <v>24</v>
      </c>
    </row>
    <row r="7763" spans="1:3" x14ac:dyDescent="0.25">
      <c r="A7763" s="178">
        <v>155332</v>
      </c>
      <c r="B7763" s="179" t="s">
        <v>456</v>
      </c>
      <c r="C7763" s="180">
        <v>264</v>
      </c>
    </row>
    <row r="7764" spans="1:3" x14ac:dyDescent="0.25">
      <c r="A7764" s="178">
        <v>155333</v>
      </c>
      <c r="B7764" s="179" t="s">
        <v>456</v>
      </c>
      <c r="C7764" s="180">
        <v>84</v>
      </c>
    </row>
    <row r="7765" spans="1:3" x14ac:dyDescent="0.25">
      <c r="A7765" s="178">
        <v>155335</v>
      </c>
      <c r="B7765" s="179" t="s">
        <v>456</v>
      </c>
      <c r="C7765" s="180">
        <v>528</v>
      </c>
    </row>
    <row r="7766" spans="1:3" x14ac:dyDescent="0.25">
      <c r="A7766" s="178">
        <v>155336</v>
      </c>
      <c r="B7766" s="179" t="s">
        <v>456</v>
      </c>
      <c r="C7766" s="180">
        <v>528</v>
      </c>
    </row>
    <row r="7767" spans="1:3" x14ac:dyDescent="0.25">
      <c r="A7767" s="178">
        <v>155337</v>
      </c>
      <c r="B7767" s="179" t="s">
        <v>456</v>
      </c>
      <c r="C7767" s="180">
        <v>210</v>
      </c>
    </row>
    <row r="7768" spans="1:3" x14ac:dyDescent="0.25">
      <c r="A7768" s="178">
        <v>155338</v>
      </c>
      <c r="B7768" s="179" t="s">
        <v>456</v>
      </c>
      <c r="C7768" s="180">
        <v>115</v>
      </c>
    </row>
    <row r="7769" spans="1:3" x14ac:dyDescent="0.25">
      <c r="A7769" s="178">
        <v>155341</v>
      </c>
      <c r="B7769" s="179" t="s">
        <v>456</v>
      </c>
      <c r="C7769" s="180">
        <v>132</v>
      </c>
    </row>
    <row r="7770" spans="1:3" x14ac:dyDescent="0.25">
      <c r="A7770" s="178">
        <v>155355</v>
      </c>
      <c r="B7770" s="179" t="s">
        <v>456</v>
      </c>
      <c r="C7770" s="180">
        <v>200</v>
      </c>
    </row>
    <row r="7771" spans="1:3" x14ac:dyDescent="0.25">
      <c r="A7771" s="178">
        <v>155374</v>
      </c>
      <c r="B7771" s="179" t="s">
        <v>456</v>
      </c>
      <c r="C7771" s="180">
        <v>3</v>
      </c>
    </row>
    <row r="7772" spans="1:3" x14ac:dyDescent="0.25">
      <c r="A7772" s="178">
        <v>155381</v>
      </c>
      <c r="B7772" s="179" t="s">
        <v>456</v>
      </c>
      <c r="C7772" s="180">
        <v>56</v>
      </c>
    </row>
    <row r="7773" spans="1:3" x14ac:dyDescent="0.25">
      <c r="A7773" s="178">
        <v>155394</v>
      </c>
      <c r="B7773" s="179" t="s">
        <v>456</v>
      </c>
      <c r="C7773" s="180">
        <v>56</v>
      </c>
    </row>
    <row r="7774" spans="1:3" x14ac:dyDescent="0.25">
      <c r="A7774" s="178">
        <v>155405</v>
      </c>
      <c r="B7774" s="179" t="s">
        <v>456</v>
      </c>
      <c r="C7774" s="180">
        <v>120</v>
      </c>
    </row>
    <row r="7775" spans="1:3" x14ac:dyDescent="0.25">
      <c r="A7775" s="178">
        <v>155407</v>
      </c>
      <c r="B7775" s="179" t="s">
        <v>456</v>
      </c>
      <c r="C7775" s="180">
        <v>120</v>
      </c>
    </row>
    <row r="7776" spans="1:3" x14ac:dyDescent="0.25">
      <c r="A7776" s="178">
        <v>155409</v>
      </c>
      <c r="B7776" s="179" t="s">
        <v>456</v>
      </c>
      <c r="C7776" s="180">
        <v>125</v>
      </c>
    </row>
    <row r="7777" spans="1:3" x14ac:dyDescent="0.25">
      <c r="A7777" s="178">
        <v>155418</v>
      </c>
      <c r="B7777" s="179" t="s">
        <v>456</v>
      </c>
      <c r="C7777" s="180">
        <v>160</v>
      </c>
    </row>
    <row r="7778" spans="1:3" x14ac:dyDescent="0.25">
      <c r="A7778" s="178">
        <v>155419</v>
      </c>
      <c r="B7778" s="179" t="s">
        <v>456</v>
      </c>
      <c r="C7778" s="180">
        <v>204</v>
      </c>
    </row>
    <row r="7779" spans="1:3" x14ac:dyDescent="0.25">
      <c r="A7779" s="178">
        <v>155420</v>
      </c>
      <c r="B7779" s="179" t="s">
        <v>456</v>
      </c>
      <c r="C7779" s="180">
        <v>204</v>
      </c>
    </row>
    <row r="7780" spans="1:3" x14ac:dyDescent="0.25">
      <c r="A7780" s="178">
        <v>155421</v>
      </c>
      <c r="B7780" s="179" t="s">
        <v>456</v>
      </c>
      <c r="C7780" s="180">
        <v>204</v>
      </c>
    </row>
    <row r="7781" spans="1:3" x14ac:dyDescent="0.25">
      <c r="A7781" s="178">
        <v>155422</v>
      </c>
      <c r="B7781" s="179" t="s">
        <v>456</v>
      </c>
      <c r="C7781" s="180">
        <v>204</v>
      </c>
    </row>
    <row r="7782" spans="1:3" x14ac:dyDescent="0.25">
      <c r="A7782" s="178">
        <v>155423</v>
      </c>
      <c r="B7782" s="179" t="s">
        <v>456</v>
      </c>
      <c r="C7782" s="180">
        <v>160</v>
      </c>
    </row>
    <row r="7783" spans="1:3" x14ac:dyDescent="0.25">
      <c r="A7783" s="178">
        <v>155424</v>
      </c>
      <c r="B7783" s="179" t="s">
        <v>456</v>
      </c>
      <c r="C7783" s="180">
        <v>160</v>
      </c>
    </row>
    <row r="7784" spans="1:3" x14ac:dyDescent="0.25">
      <c r="A7784" s="178">
        <v>155432</v>
      </c>
      <c r="B7784" s="179" t="s">
        <v>456</v>
      </c>
      <c r="C7784" s="180">
        <v>3</v>
      </c>
    </row>
    <row r="7785" spans="1:3" x14ac:dyDescent="0.25">
      <c r="A7785" s="178">
        <v>155444</v>
      </c>
      <c r="B7785" s="179" t="s">
        <v>456</v>
      </c>
      <c r="C7785" s="180">
        <v>40</v>
      </c>
    </row>
    <row r="7786" spans="1:3" x14ac:dyDescent="0.25">
      <c r="A7786" s="178">
        <v>155463</v>
      </c>
      <c r="B7786" s="179" t="s">
        <v>456</v>
      </c>
      <c r="C7786" s="180">
        <v>264</v>
      </c>
    </row>
    <row r="7787" spans="1:3" x14ac:dyDescent="0.25">
      <c r="A7787" s="178">
        <v>155466</v>
      </c>
      <c r="B7787" s="179" t="s">
        <v>456</v>
      </c>
      <c r="C7787" s="180">
        <v>84</v>
      </c>
    </row>
    <row r="7788" spans="1:3" x14ac:dyDescent="0.25">
      <c r="A7788" s="178">
        <v>155478</v>
      </c>
      <c r="B7788" s="179" t="s">
        <v>456</v>
      </c>
      <c r="C7788" s="180">
        <v>384</v>
      </c>
    </row>
    <row r="7789" spans="1:3" x14ac:dyDescent="0.25">
      <c r="A7789" s="178">
        <v>155504</v>
      </c>
      <c r="B7789" s="179" t="s">
        <v>456</v>
      </c>
      <c r="C7789" s="180">
        <v>204</v>
      </c>
    </row>
    <row r="7790" spans="1:3" x14ac:dyDescent="0.25">
      <c r="A7790" s="178">
        <v>155509</v>
      </c>
      <c r="B7790" s="179" t="s">
        <v>456</v>
      </c>
      <c r="C7790" s="180">
        <v>100</v>
      </c>
    </row>
    <row r="7791" spans="1:3" x14ac:dyDescent="0.25">
      <c r="A7791" s="178">
        <v>155561</v>
      </c>
      <c r="B7791" s="179" t="s">
        <v>456</v>
      </c>
      <c r="C7791" s="180">
        <v>115</v>
      </c>
    </row>
    <row r="7792" spans="1:3" x14ac:dyDescent="0.25">
      <c r="A7792" s="178">
        <v>155563</v>
      </c>
      <c r="B7792" s="179" t="s">
        <v>456</v>
      </c>
      <c r="C7792" s="180">
        <v>60</v>
      </c>
    </row>
    <row r="7793" spans="1:3" x14ac:dyDescent="0.25">
      <c r="A7793" s="178">
        <v>155564</v>
      </c>
      <c r="B7793" s="179" t="s">
        <v>456</v>
      </c>
      <c r="C7793" s="180">
        <v>48</v>
      </c>
    </row>
    <row r="7794" spans="1:3" x14ac:dyDescent="0.25">
      <c r="A7794" s="178">
        <v>155565</v>
      </c>
      <c r="B7794" s="179" t="s">
        <v>456</v>
      </c>
      <c r="C7794" s="180">
        <v>60</v>
      </c>
    </row>
    <row r="7795" spans="1:3" x14ac:dyDescent="0.25">
      <c r="A7795" s="178">
        <v>155566</v>
      </c>
      <c r="B7795" s="179" t="s">
        <v>456</v>
      </c>
      <c r="C7795" s="180">
        <v>60</v>
      </c>
    </row>
    <row r="7796" spans="1:3" x14ac:dyDescent="0.25">
      <c r="A7796" s="178">
        <v>155567</v>
      </c>
      <c r="B7796" s="179" t="s">
        <v>456</v>
      </c>
      <c r="C7796" s="180">
        <v>60</v>
      </c>
    </row>
    <row r="7797" spans="1:3" x14ac:dyDescent="0.25">
      <c r="A7797" s="178">
        <v>155568</v>
      </c>
      <c r="B7797" s="179" t="s">
        <v>456</v>
      </c>
      <c r="C7797" s="180">
        <v>70</v>
      </c>
    </row>
    <row r="7798" spans="1:3" x14ac:dyDescent="0.25">
      <c r="A7798" s="178">
        <v>155587</v>
      </c>
      <c r="B7798" s="179" t="s">
        <v>456</v>
      </c>
      <c r="C7798" s="180">
        <v>120</v>
      </c>
    </row>
    <row r="7799" spans="1:3" x14ac:dyDescent="0.25">
      <c r="A7799" s="178">
        <v>155590</v>
      </c>
      <c r="B7799" s="179" t="s">
        <v>456</v>
      </c>
      <c r="C7799" s="180">
        <v>418</v>
      </c>
    </row>
    <row r="7800" spans="1:3" x14ac:dyDescent="0.25">
      <c r="A7800" s="178">
        <v>155609</v>
      </c>
      <c r="B7800" s="179" t="s">
        <v>456</v>
      </c>
      <c r="C7800" s="180">
        <v>30</v>
      </c>
    </row>
    <row r="7801" spans="1:3" x14ac:dyDescent="0.25">
      <c r="A7801" s="178">
        <v>155611</v>
      </c>
      <c r="B7801" s="179" t="s">
        <v>456</v>
      </c>
      <c r="C7801" s="180">
        <v>210</v>
      </c>
    </row>
    <row r="7802" spans="1:3" x14ac:dyDescent="0.25">
      <c r="A7802" s="178">
        <v>155613</v>
      </c>
      <c r="B7802" s="179" t="s">
        <v>456</v>
      </c>
      <c r="C7802" s="180">
        <v>3</v>
      </c>
    </row>
    <row r="7803" spans="1:3" x14ac:dyDescent="0.25">
      <c r="A7803" s="178">
        <v>155626</v>
      </c>
      <c r="B7803" s="179" t="s">
        <v>456</v>
      </c>
      <c r="C7803" s="180">
        <v>700</v>
      </c>
    </row>
    <row r="7804" spans="1:3" x14ac:dyDescent="0.25">
      <c r="A7804" s="178">
        <v>155628</v>
      </c>
      <c r="B7804" s="179" t="s">
        <v>456</v>
      </c>
      <c r="C7804" s="180">
        <v>700</v>
      </c>
    </row>
    <row r="7805" spans="1:3" x14ac:dyDescent="0.25">
      <c r="A7805" s="178">
        <v>155629</v>
      </c>
      <c r="B7805" s="179" t="s">
        <v>456</v>
      </c>
      <c r="C7805" s="180">
        <v>700</v>
      </c>
    </row>
    <row r="7806" spans="1:3" x14ac:dyDescent="0.25">
      <c r="A7806" s="178">
        <v>155630</v>
      </c>
      <c r="B7806" s="179" t="s">
        <v>456</v>
      </c>
      <c r="C7806" s="180">
        <v>700</v>
      </c>
    </row>
    <row r="7807" spans="1:3" x14ac:dyDescent="0.25">
      <c r="A7807" s="178">
        <v>155692</v>
      </c>
      <c r="B7807" s="179" t="s">
        <v>456</v>
      </c>
      <c r="C7807" s="180">
        <v>3</v>
      </c>
    </row>
    <row r="7808" spans="1:3" x14ac:dyDescent="0.25">
      <c r="A7808" s="178">
        <v>155727</v>
      </c>
      <c r="B7808" s="179" t="s">
        <v>456</v>
      </c>
      <c r="C7808" s="180">
        <v>8</v>
      </c>
    </row>
    <row r="7809" spans="1:3" x14ac:dyDescent="0.25">
      <c r="A7809" s="178">
        <v>155728</v>
      </c>
      <c r="B7809" s="179" t="s">
        <v>456</v>
      </c>
      <c r="C7809" s="180">
        <v>3</v>
      </c>
    </row>
    <row r="7810" spans="1:3" x14ac:dyDescent="0.25">
      <c r="A7810" s="178">
        <v>155752</v>
      </c>
      <c r="B7810" s="179" t="s">
        <v>456</v>
      </c>
      <c r="C7810" s="180">
        <v>3</v>
      </c>
    </row>
    <row r="7811" spans="1:3" x14ac:dyDescent="0.25">
      <c r="A7811" s="178">
        <v>155755</v>
      </c>
      <c r="B7811" s="179" t="s">
        <v>456</v>
      </c>
      <c r="C7811" s="180">
        <v>140</v>
      </c>
    </row>
    <row r="7812" spans="1:3" x14ac:dyDescent="0.25">
      <c r="A7812" s="178">
        <v>155760</v>
      </c>
      <c r="B7812" s="179" t="s">
        <v>456</v>
      </c>
      <c r="C7812" s="180">
        <v>4</v>
      </c>
    </row>
    <row r="7813" spans="1:3" x14ac:dyDescent="0.25">
      <c r="A7813" s="178">
        <v>155761</v>
      </c>
      <c r="B7813" s="179" t="s">
        <v>456</v>
      </c>
      <c r="C7813" s="180">
        <v>4</v>
      </c>
    </row>
    <row r="7814" spans="1:3" x14ac:dyDescent="0.25">
      <c r="A7814" s="178">
        <v>155766</v>
      </c>
      <c r="B7814" s="179" t="s">
        <v>456</v>
      </c>
      <c r="C7814" s="180">
        <v>64</v>
      </c>
    </row>
    <row r="7815" spans="1:3" x14ac:dyDescent="0.25">
      <c r="A7815" s="178">
        <v>155788</v>
      </c>
      <c r="B7815" s="179" t="s">
        <v>456</v>
      </c>
      <c r="C7815" s="180">
        <v>96</v>
      </c>
    </row>
    <row r="7816" spans="1:3" x14ac:dyDescent="0.25">
      <c r="A7816" s="178">
        <v>155789</v>
      </c>
      <c r="B7816" s="179" t="s">
        <v>456</v>
      </c>
      <c r="C7816" s="180">
        <v>3</v>
      </c>
    </row>
    <row r="7817" spans="1:3" x14ac:dyDescent="0.25">
      <c r="A7817" s="178">
        <v>155790</v>
      </c>
      <c r="B7817" s="179" t="s">
        <v>456</v>
      </c>
      <c r="C7817" s="180">
        <v>36</v>
      </c>
    </row>
    <row r="7818" spans="1:3" x14ac:dyDescent="0.25">
      <c r="A7818" s="178">
        <v>155814</v>
      </c>
      <c r="B7818" s="179" t="s">
        <v>456</v>
      </c>
      <c r="C7818" s="180">
        <v>3</v>
      </c>
    </row>
    <row r="7819" spans="1:3" x14ac:dyDescent="0.25">
      <c r="A7819" s="178">
        <v>155816</v>
      </c>
      <c r="B7819" s="179" t="s">
        <v>456</v>
      </c>
      <c r="C7819" s="180">
        <v>140</v>
      </c>
    </row>
    <row r="7820" spans="1:3" x14ac:dyDescent="0.25">
      <c r="A7820" s="178">
        <v>155820</v>
      </c>
      <c r="B7820" s="179" t="s">
        <v>456</v>
      </c>
      <c r="C7820" s="180">
        <v>204</v>
      </c>
    </row>
    <row r="7821" spans="1:3" x14ac:dyDescent="0.25">
      <c r="A7821" s="178">
        <v>155822</v>
      </c>
      <c r="B7821" s="179" t="s">
        <v>456</v>
      </c>
      <c r="C7821" s="180">
        <v>160</v>
      </c>
    </row>
    <row r="7822" spans="1:3" x14ac:dyDescent="0.25">
      <c r="A7822" s="178">
        <v>155831</v>
      </c>
      <c r="B7822" s="179" t="s">
        <v>456</v>
      </c>
      <c r="C7822" s="180">
        <v>32</v>
      </c>
    </row>
    <row r="7823" spans="1:3" x14ac:dyDescent="0.25">
      <c r="A7823" s="178">
        <v>155832</v>
      </c>
      <c r="B7823" s="179" t="s">
        <v>456</v>
      </c>
      <c r="C7823" s="180">
        <v>30</v>
      </c>
    </row>
    <row r="7824" spans="1:3" x14ac:dyDescent="0.25">
      <c r="A7824" s="178">
        <v>155833</v>
      </c>
      <c r="B7824" s="179" t="s">
        <v>456</v>
      </c>
      <c r="C7824" s="180">
        <v>56</v>
      </c>
    </row>
    <row r="7825" spans="1:3" x14ac:dyDescent="0.25">
      <c r="A7825" s="178">
        <v>155846</v>
      </c>
      <c r="B7825" s="179" t="s">
        <v>456</v>
      </c>
      <c r="C7825" s="180">
        <v>48</v>
      </c>
    </row>
    <row r="7826" spans="1:3" x14ac:dyDescent="0.25">
      <c r="A7826" s="178">
        <v>155847</v>
      </c>
      <c r="B7826" s="179" t="s">
        <v>456</v>
      </c>
      <c r="C7826" s="180">
        <v>48</v>
      </c>
    </row>
    <row r="7827" spans="1:3" x14ac:dyDescent="0.25">
      <c r="A7827" s="178">
        <v>155849</v>
      </c>
      <c r="B7827" s="179" t="s">
        <v>456</v>
      </c>
      <c r="C7827" s="180">
        <v>3</v>
      </c>
    </row>
    <row r="7828" spans="1:3" x14ac:dyDescent="0.25">
      <c r="A7828" s="178">
        <v>155851</v>
      </c>
      <c r="B7828" s="179" t="s">
        <v>456</v>
      </c>
      <c r="C7828" s="180">
        <v>2</v>
      </c>
    </row>
    <row r="7829" spans="1:3" x14ac:dyDescent="0.25">
      <c r="A7829" s="178">
        <v>155854</v>
      </c>
      <c r="B7829" s="179" t="s">
        <v>456</v>
      </c>
      <c r="C7829" s="180">
        <v>2</v>
      </c>
    </row>
    <row r="7830" spans="1:3" x14ac:dyDescent="0.25">
      <c r="A7830" s="178">
        <v>155855</v>
      </c>
      <c r="B7830" s="179" t="s">
        <v>456</v>
      </c>
      <c r="C7830" s="180">
        <v>100</v>
      </c>
    </row>
    <row r="7831" spans="1:3" x14ac:dyDescent="0.25">
      <c r="A7831" s="178">
        <v>155856</v>
      </c>
      <c r="B7831" s="179" t="s">
        <v>456</v>
      </c>
      <c r="C7831" s="180">
        <v>100</v>
      </c>
    </row>
    <row r="7832" spans="1:3" x14ac:dyDescent="0.25">
      <c r="A7832" s="178">
        <v>155863</v>
      </c>
      <c r="B7832" s="179" t="s">
        <v>456</v>
      </c>
      <c r="C7832" s="180">
        <v>90</v>
      </c>
    </row>
    <row r="7833" spans="1:3" x14ac:dyDescent="0.25">
      <c r="A7833" s="178">
        <v>155864</v>
      </c>
      <c r="B7833" s="179" t="s">
        <v>456</v>
      </c>
      <c r="C7833" s="180">
        <v>90</v>
      </c>
    </row>
    <row r="7834" spans="1:3" x14ac:dyDescent="0.25">
      <c r="A7834" s="178">
        <v>155865</v>
      </c>
      <c r="B7834" s="179" t="s">
        <v>456</v>
      </c>
      <c r="C7834" s="180">
        <v>3</v>
      </c>
    </row>
    <row r="7835" spans="1:3" x14ac:dyDescent="0.25">
      <c r="A7835" s="178">
        <v>155885</v>
      </c>
      <c r="B7835" s="179" t="s">
        <v>456</v>
      </c>
      <c r="C7835" s="180">
        <v>56</v>
      </c>
    </row>
    <row r="7836" spans="1:3" x14ac:dyDescent="0.25">
      <c r="A7836" s="178">
        <v>155886</v>
      </c>
      <c r="B7836" s="179" t="s">
        <v>456</v>
      </c>
      <c r="C7836" s="180">
        <v>56</v>
      </c>
    </row>
    <row r="7837" spans="1:3" x14ac:dyDescent="0.25">
      <c r="A7837" s="178">
        <v>155887</v>
      </c>
      <c r="B7837" s="179" t="s">
        <v>456</v>
      </c>
      <c r="C7837" s="180">
        <v>30</v>
      </c>
    </row>
    <row r="7838" spans="1:3" x14ac:dyDescent="0.25">
      <c r="A7838" s="178">
        <v>155889</v>
      </c>
      <c r="B7838" s="179" t="s">
        <v>456</v>
      </c>
      <c r="C7838" s="180">
        <v>30</v>
      </c>
    </row>
    <row r="7839" spans="1:3" x14ac:dyDescent="0.25">
      <c r="A7839" s="178">
        <v>155913</v>
      </c>
      <c r="B7839" s="179" t="s">
        <v>456</v>
      </c>
      <c r="C7839" s="180">
        <v>252</v>
      </c>
    </row>
    <row r="7840" spans="1:3" x14ac:dyDescent="0.25">
      <c r="A7840" s="178">
        <v>155936</v>
      </c>
      <c r="B7840" s="179" t="s">
        <v>456</v>
      </c>
      <c r="C7840" s="180">
        <v>52</v>
      </c>
    </row>
    <row r="7841" spans="1:3" x14ac:dyDescent="0.25">
      <c r="A7841" s="178">
        <v>155939</v>
      </c>
      <c r="B7841" s="179" t="s">
        <v>456</v>
      </c>
      <c r="C7841" s="180">
        <v>70</v>
      </c>
    </row>
    <row r="7842" spans="1:3" x14ac:dyDescent="0.25">
      <c r="A7842" s="178">
        <v>155940</v>
      </c>
      <c r="B7842" s="179" t="s">
        <v>456</v>
      </c>
      <c r="C7842" s="180">
        <v>70</v>
      </c>
    </row>
    <row r="7843" spans="1:3" x14ac:dyDescent="0.25">
      <c r="A7843" s="178">
        <v>155941</v>
      </c>
      <c r="B7843" s="179" t="s">
        <v>456</v>
      </c>
      <c r="C7843" s="180">
        <v>70</v>
      </c>
    </row>
    <row r="7844" spans="1:3" x14ac:dyDescent="0.25">
      <c r="A7844" s="178">
        <v>155961</v>
      </c>
      <c r="B7844" s="179" t="s">
        <v>456</v>
      </c>
      <c r="C7844" s="180">
        <v>96</v>
      </c>
    </row>
    <row r="7845" spans="1:3" x14ac:dyDescent="0.25">
      <c r="A7845" s="178">
        <v>155962</v>
      </c>
      <c r="B7845" s="179" t="s">
        <v>456</v>
      </c>
      <c r="C7845" s="180">
        <v>96</v>
      </c>
    </row>
    <row r="7846" spans="1:3" x14ac:dyDescent="0.25">
      <c r="A7846" s="178">
        <v>155963</v>
      </c>
      <c r="B7846" s="179" t="s">
        <v>456</v>
      </c>
      <c r="C7846" s="180">
        <v>96</v>
      </c>
    </row>
    <row r="7847" spans="1:3" x14ac:dyDescent="0.25">
      <c r="A7847" s="178">
        <v>155964</v>
      </c>
      <c r="B7847" s="179" t="s">
        <v>456</v>
      </c>
      <c r="C7847" s="180">
        <v>96</v>
      </c>
    </row>
    <row r="7848" spans="1:3" x14ac:dyDescent="0.25">
      <c r="A7848" s="178">
        <v>155965</v>
      </c>
      <c r="B7848" s="179" t="s">
        <v>456</v>
      </c>
      <c r="C7848" s="180">
        <v>96</v>
      </c>
    </row>
    <row r="7849" spans="1:3" x14ac:dyDescent="0.25">
      <c r="A7849" s="178">
        <v>155966</v>
      </c>
      <c r="B7849" s="179" t="s">
        <v>456</v>
      </c>
      <c r="C7849" s="180">
        <v>96</v>
      </c>
    </row>
    <row r="7850" spans="1:3" x14ac:dyDescent="0.25">
      <c r="A7850" s="178">
        <v>155967</v>
      </c>
      <c r="B7850" s="179" t="s">
        <v>456</v>
      </c>
      <c r="C7850" s="180">
        <v>96</v>
      </c>
    </row>
    <row r="7851" spans="1:3" x14ac:dyDescent="0.25">
      <c r="A7851" s="178">
        <v>155973</v>
      </c>
      <c r="B7851" s="179" t="s">
        <v>456</v>
      </c>
      <c r="C7851" s="180">
        <v>96</v>
      </c>
    </row>
    <row r="7852" spans="1:3" x14ac:dyDescent="0.25">
      <c r="A7852" s="178">
        <v>155974</v>
      </c>
      <c r="B7852" s="179" t="s">
        <v>456</v>
      </c>
      <c r="C7852" s="180">
        <v>96</v>
      </c>
    </row>
    <row r="7853" spans="1:3" x14ac:dyDescent="0.25">
      <c r="A7853" s="178">
        <v>155975</v>
      </c>
      <c r="B7853" s="179" t="s">
        <v>456</v>
      </c>
      <c r="C7853" s="180">
        <v>96</v>
      </c>
    </row>
    <row r="7854" spans="1:3" x14ac:dyDescent="0.25">
      <c r="A7854" s="178">
        <v>155976</v>
      </c>
      <c r="B7854" s="179" t="s">
        <v>456</v>
      </c>
      <c r="C7854" s="180">
        <v>96</v>
      </c>
    </row>
    <row r="7855" spans="1:3" x14ac:dyDescent="0.25">
      <c r="A7855" s="178">
        <v>155977</v>
      </c>
      <c r="B7855" s="179" t="s">
        <v>456</v>
      </c>
      <c r="C7855" s="180">
        <v>96</v>
      </c>
    </row>
    <row r="7856" spans="1:3" x14ac:dyDescent="0.25">
      <c r="A7856" s="178">
        <v>155978</v>
      </c>
      <c r="B7856" s="179" t="s">
        <v>456</v>
      </c>
      <c r="C7856" s="180">
        <v>96</v>
      </c>
    </row>
    <row r="7857" spans="1:3" x14ac:dyDescent="0.25">
      <c r="A7857" s="178">
        <v>155979</v>
      </c>
      <c r="B7857" s="179" t="s">
        <v>456</v>
      </c>
      <c r="C7857" s="180">
        <v>96</v>
      </c>
    </row>
    <row r="7858" spans="1:3" x14ac:dyDescent="0.25">
      <c r="A7858" s="178">
        <v>155981</v>
      </c>
      <c r="B7858" s="179" t="s">
        <v>456</v>
      </c>
      <c r="C7858" s="180">
        <v>96</v>
      </c>
    </row>
    <row r="7859" spans="1:3" x14ac:dyDescent="0.25">
      <c r="A7859" s="178">
        <v>155988</v>
      </c>
      <c r="B7859" s="179" t="s">
        <v>456</v>
      </c>
      <c r="C7859" s="180">
        <v>528</v>
      </c>
    </row>
    <row r="7860" spans="1:3" x14ac:dyDescent="0.25">
      <c r="A7860" s="178">
        <v>155989</v>
      </c>
      <c r="B7860" s="179" t="s">
        <v>456</v>
      </c>
      <c r="C7860" s="180">
        <v>528</v>
      </c>
    </row>
    <row r="7861" spans="1:3" x14ac:dyDescent="0.25">
      <c r="A7861" s="178">
        <v>155990</v>
      </c>
      <c r="B7861" s="179" t="s">
        <v>456</v>
      </c>
      <c r="C7861" s="180">
        <v>252</v>
      </c>
    </row>
    <row r="7862" spans="1:3" x14ac:dyDescent="0.25">
      <c r="A7862" s="178">
        <v>155991</v>
      </c>
      <c r="B7862" s="179" t="s">
        <v>456</v>
      </c>
      <c r="C7862" s="180">
        <v>36</v>
      </c>
    </row>
    <row r="7863" spans="1:3" x14ac:dyDescent="0.25">
      <c r="A7863" s="178">
        <v>155992</v>
      </c>
      <c r="B7863" s="179" t="s">
        <v>456</v>
      </c>
      <c r="C7863" s="180">
        <v>36</v>
      </c>
    </row>
    <row r="7864" spans="1:3" x14ac:dyDescent="0.25">
      <c r="A7864" s="178">
        <v>156005</v>
      </c>
      <c r="B7864" s="179" t="s">
        <v>456</v>
      </c>
      <c r="C7864" s="180">
        <v>36</v>
      </c>
    </row>
    <row r="7865" spans="1:3" x14ac:dyDescent="0.25">
      <c r="A7865" s="178">
        <v>156006</v>
      </c>
      <c r="B7865" s="179" t="s">
        <v>456</v>
      </c>
      <c r="C7865" s="180">
        <v>36</v>
      </c>
    </row>
    <row r="7866" spans="1:3" x14ac:dyDescent="0.25">
      <c r="A7866" s="178">
        <v>156007</v>
      </c>
      <c r="B7866" s="179" t="s">
        <v>456</v>
      </c>
      <c r="C7866" s="180">
        <v>36</v>
      </c>
    </row>
    <row r="7867" spans="1:3" x14ac:dyDescent="0.25">
      <c r="A7867" s="178">
        <v>156008</v>
      </c>
      <c r="B7867" s="179" t="s">
        <v>456</v>
      </c>
      <c r="C7867" s="180">
        <v>36</v>
      </c>
    </row>
    <row r="7868" spans="1:3" x14ac:dyDescent="0.25">
      <c r="A7868" s="178">
        <v>156017</v>
      </c>
      <c r="B7868" s="179" t="s">
        <v>456</v>
      </c>
      <c r="C7868" s="180">
        <v>16</v>
      </c>
    </row>
    <row r="7869" spans="1:3" x14ac:dyDescent="0.25">
      <c r="A7869" s="178">
        <v>156018</v>
      </c>
      <c r="B7869" s="179" t="s">
        <v>456</v>
      </c>
      <c r="C7869" s="180">
        <v>100</v>
      </c>
    </row>
    <row r="7870" spans="1:3" x14ac:dyDescent="0.25">
      <c r="A7870" s="178">
        <v>156019</v>
      </c>
      <c r="B7870" s="179" t="s">
        <v>456</v>
      </c>
      <c r="C7870" s="180">
        <v>3</v>
      </c>
    </row>
    <row r="7871" spans="1:3" x14ac:dyDescent="0.25">
      <c r="A7871" s="178">
        <v>156020</v>
      </c>
      <c r="B7871" s="179" t="s">
        <v>456</v>
      </c>
      <c r="C7871" s="180">
        <v>100</v>
      </c>
    </row>
    <row r="7872" spans="1:3" x14ac:dyDescent="0.25">
      <c r="A7872" s="178">
        <v>156021</v>
      </c>
      <c r="B7872" s="179" t="s">
        <v>456</v>
      </c>
      <c r="C7872" s="180">
        <v>3</v>
      </c>
    </row>
    <row r="7873" spans="1:3" x14ac:dyDescent="0.25">
      <c r="A7873" s="178">
        <v>156022</v>
      </c>
      <c r="B7873" s="179" t="s">
        <v>456</v>
      </c>
      <c r="C7873" s="180">
        <v>100</v>
      </c>
    </row>
    <row r="7874" spans="1:3" x14ac:dyDescent="0.25">
      <c r="A7874" s="178">
        <v>156023</v>
      </c>
      <c r="B7874" s="179" t="s">
        <v>456</v>
      </c>
      <c r="C7874" s="180">
        <v>3</v>
      </c>
    </row>
    <row r="7875" spans="1:3" x14ac:dyDescent="0.25">
      <c r="A7875" s="178">
        <v>156024</v>
      </c>
      <c r="B7875" s="179" t="s">
        <v>456</v>
      </c>
      <c r="C7875" s="180">
        <v>100</v>
      </c>
    </row>
    <row r="7876" spans="1:3" x14ac:dyDescent="0.25">
      <c r="A7876" s="178">
        <v>156025</v>
      </c>
      <c r="B7876" s="179" t="s">
        <v>456</v>
      </c>
      <c r="C7876" s="180">
        <v>3</v>
      </c>
    </row>
    <row r="7877" spans="1:3" x14ac:dyDescent="0.25">
      <c r="A7877" s="178">
        <v>156030</v>
      </c>
      <c r="B7877" s="179" t="s">
        <v>456</v>
      </c>
      <c r="C7877" s="180">
        <v>24</v>
      </c>
    </row>
    <row r="7878" spans="1:3" x14ac:dyDescent="0.25">
      <c r="A7878" s="178">
        <v>156032</v>
      </c>
      <c r="B7878" s="179" t="s">
        <v>456</v>
      </c>
      <c r="C7878" s="180">
        <v>2</v>
      </c>
    </row>
    <row r="7879" spans="1:3" x14ac:dyDescent="0.25">
      <c r="A7879" s="178">
        <v>156058</v>
      </c>
      <c r="B7879" s="179" t="s">
        <v>456</v>
      </c>
      <c r="C7879" s="180">
        <v>3</v>
      </c>
    </row>
    <row r="7880" spans="1:3" x14ac:dyDescent="0.25">
      <c r="A7880" s="178">
        <v>156059</v>
      </c>
      <c r="B7880" s="179" t="s">
        <v>456</v>
      </c>
      <c r="C7880" s="180">
        <v>264</v>
      </c>
    </row>
    <row r="7881" spans="1:3" x14ac:dyDescent="0.25">
      <c r="A7881" s="178">
        <v>156060</v>
      </c>
      <c r="B7881" s="179" t="s">
        <v>456</v>
      </c>
      <c r="C7881" s="180">
        <v>264</v>
      </c>
    </row>
    <row r="7882" spans="1:3" x14ac:dyDescent="0.25">
      <c r="A7882" s="178">
        <v>156061</v>
      </c>
      <c r="B7882" s="179" t="s">
        <v>456</v>
      </c>
      <c r="C7882" s="180">
        <v>264</v>
      </c>
    </row>
    <row r="7883" spans="1:3" x14ac:dyDescent="0.25">
      <c r="A7883" s="178">
        <v>156062</v>
      </c>
      <c r="B7883" s="179" t="s">
        <v>456</v>
      </c>
      <c r="C7883" s="180">
        <v>264</v>
      </c>
    </row>
    <row r="7884" spans="1:3" x14ac:dyDescent="0.25">
      <c r="A7884" s="178">
        <v>156063</v>
      </c>
      <c r="B7884" s="179" t="s">
        <v>456</v>
      </c>
      <c r="C7884" s="180">
        <v>3</v>
      </c>
    </row>
    <row r="7885" spans="1:3" x14ac:dyDescent="0.25">
      <c r="A7885" s="178">
        <v>156075</v>
      </c>
      <c r="B7885" s="179" t="s">
        <v>456</v>
      </c>
      <c r="C7885" s="180">
        <v>30</v>
      </c>
    </row>
    <row r="7886" spans="1:3" x14ac:dyDescent="0.25">
      <c r="A7886" s="178">
        <v>300670</v>
      </c>
      <c r="B7886" s="179" t="s">
        <v>456</v>
      </c>
      <c r="C7886" s="180">
        <v>88000</v>
      </c>
    </row>
    <row r="7887" spans="1:3" x14ac:dyDescent="0.25">
      <c r="A7887" s="178">
        <v>303726</v>
      </c>
      <c r="B7887" s="179" t="s">
        <v>456</v>
      </c>
      <c r="C7887" s="180">
        <v>1200</v>
      </c>
    </row>
    <row r="7888" spans="1:3" x14ac:dyDescent="0.25">
      <c r="A7888" s="178">
        <v>303844</v>
      </c>
      <c r="B7888" s="179" t="s">
        <v>456</v>
      </c>
      <c r="C7888" s="180">
        <v>1404</v>
      </c>
    </row>
    <row r="7889" spans="1:3" x14ac:dyDescent="0.25">
      <c r="A7889" s="178">
        <v>303871</v>
      </c>
      <c r="B7889" s="179" t="s">
        <v>456</v>
      </c>
      <c r="C7889" s="180">
        <v>80000</v>
      </c>
    </row>
    <row r="7890" spans="1:3" x14ac:dyDescent="0.25">
      <c r="A7890" s="178">
        <v>303928</v>
      </c>
      <c r="B7890" s="179" t="s">
        <v>456</v>
      </c>
      <c r="C7890" s="180">
        <v>80000</v>
      </c>
    </row>
    <row r="7891" spans="1:3" x14ac:dyDescent="0.25">
      <c r="A7891" s="178">
        <v>303929</v>
      </c>
      <c r="B7891" s="179" t="s">
        <v>456</v>
      </c>
      <c r="C7891" s="180">
        <v>80000</v>
      </c>
    </row>
    <row r="7892" spans="1:3" x14ac:dyDescent="0.25">
      <c r="A7892" s="178">
        <v>303930</v>
      </c>
      <c r="B7892" s="179" t="s">
        <v>456</v>
      </c>
      <c r="C7892" s="180">
        <v>80000</v>
      </c>
    </row>
    <row r="7893" spans="1:3" x14ac:dyDescent="0.25">
      <c r="A7893" s="178">
        <v>303931</v>
      </c>
      <c r="B7893" s="179" t="s">
        <v>456</v>
      </c>
      <c r="C7893" s="180">
        <v>80000</v>
      </c>
    </row>
    <row r="7894" spans="1:3" x14ac:dyDescent="0.25">
      <c r="A7894" s="178">
        <v>303934</v>
      </c>
      <c r="B7894" s="179" t="s">
        <v>456</v>
      </c>
      <c r="C7894" s="180">
        <v>80000</v>
      </c>
    </row>
    <row r="7895" spans="1:3" x14ac:dyDescent="0.25">
      <c r="A7895" s="178">
        <v>303938</v>
      </c>
      <c r="B7895" s="179" t="s">
        <v>456</v>
      </c>
      <c r="C7895" s="180">
        <v>80000</v>
      </c>
    </row>
    <row r="7896" spans="1:3" x14ac:dyDescent="0.25">
      <c r="A7896" s="178">
        <v>304004</v>
      </c>
      <c r="B7896" s="179" t="s">
        <v>456</v>
      </c>
      <c r="C7896" s="180">
        <v>88000</v>
      </c>
    </row>
    <row r="7897" spans="1:3" x14ac:dyDescent="0.25">
      <c r="A7897" s="178">
        <v>304013</v>
      </c>
      <c r="B7897" s="179" t="s">
        <v>456</v>
      </c>
      <c r="C7897" s="180">
        <v>88000</v>
      </c>
    </row>
    <row r="7898" spans="1:3" x14ac:dyDescent="0.25">
      <c r="A7898" s="178">
        <v>304152</v>
      </c>
      <c r="B7898" s="179" t="s">
        <v>456</v>
      </c>
      <c r="C7898" s="180">
        <v>2400</v>
      </c>
    </row>
    <row r="7899" spans="1:3" x14ac:dyDescent="0.25">
      <c r="A7899" s="178">
        <v>304156</v>
      </c>
      <c r="B7899" s="179" t="s">
        <v>456</v>
      </c>
      <c r="C7899" s="180">
        <v>6912</v>
      </c>
    </row>
    <row r="7900" spans="1:3" x14ac:dyDescent="0.25">
      <c r="A7900" s="178">
        <v>304158</v>
      </c>
      <c r="B7900" s="179" t="s">
        <v>456</v>
      </c>
      <c r="C7900" s="180">
        <v>6912</v>
      </c>
    </row>
    <row r="7901" spans="1:3" x14ac:dyDescent="0.25">
      <c r="A7901" s="178">
        <v>304159</v>
      </c>
      <c r="B7901" s="179" t="s">
        <v>456</v>
      </c>
      <c r="C7901" s="180">
        <v>6912</v>
      </c>
    </row>
    <row r="7902" spans="1:3" x14ac:dyDescent="0.25">
      <c r="A7902" s="178">
        <v>304241</v>
      </c>
      <c r="B7902" s="179" t="s">
        <v>456</v>
      </c>
      <c r="C7902" s="180">
        <v>88000</v>
      </c>
    </row>
    <row r="7903" spans="1:3" x14ac:dyDescent="0.25">
      <c r="A7903" s="178">
        <v>304263</v>
      </c>
      <c r="B7903" s="179" t="s">
        <v>456</v>
      </c>
      <c r="C7903" s="180">
        <v>88000</v>
      </c>
    </row>
    <row r="7904" spans="1:3" x14ac:dyDescent="0.25">
      <c r="A7904" s="178">
        <v>304410</v>
      </c>
      <c r="B7904" s="179" t="s">
        <v>456</v>
      </c>
      <c r="C7904" s="180">
        <v>400</v>
      </c>
    </row>
    <row r="7905" spans="1:3" x14ac:dyDescent="0.25">
      <c r="A7905" s="178">
        <v>304412</v>
      </c>
      <c r="B7905" s="179" t="s">
        <v>456</v>
      </c>
      <c r="C7905" s="180">
        <v>2100</v>
      </c>
    </row>
    <row r="7906" spans="1:3" x14ac:dyDescent="0.25">
      <c r="A7906" s="178">
        <v>304872</v>
      </c>
      <c r="B7906" s="179" t="s">
        <v>456</v>
      </c>
      <c r="C7906" s="180">
        <v>2100</v>
      </c>
    </row>
    <row r="7907" spans="1:3" x14ac:dyDescent="0.25">
      <c r="A7907" s="178">
        <v>304874</v>
      </c>
      <c r="B7907" s="179" t="s">
        <v>456</v>
      </c>
      <c r="C7907" s="180">
        <v>8400</v>
      </c>
    </row>
    <row r="7908" spans="1:3" x14ac:dyDescent="0.25">
      <c r="A7908" s="178">
        <v>305703</v>
      </c>
      <c r="B7908" s="179" t="s">
        <v>456</v>
      </c>
      <c r="C7908" s="180">
        <v>61362</v>
      </c>
    </row>
    <row r="7909" spans="1:3" x14ac:dyDescent="0.25">
      <c r="A7909" s="178">
        <v>305711</v>
      </c>
      <c r="B7909" s="179" t="s">
        <v>456</v>
      </c>
      <c r="C7909" s="180">
        <v>6912</v>
      </c>
    </row>
    <row r="7910" spans="1:3" x14ac:dyDescent="0.25">
      <c r="A7910" s="178">
        <v>305713</v>
      </c>
      <c r="B7910" s="179" t="s">
        <v>456</v>
      </c>
      <c r="C7910" s="180">
        <v>54000</v>
      </c>
    </row>
    <row r="7911" spans="1:3" x14ac:dyDescent="0.25">
      <c r="A7911" s="178">
        <v>305723</v>
      </c>
      <c r="B7911" s="179" t="s">
        <v>456</v>
      </c>
      <c r="C7911" s="180">
        <v>54000</v>
      </c>
    </row>
    <row r="7912" spans="1:3" x14ac:dyDescent="0.25">
      <c r="A7912" s="178">
        <v>305883</v>
      </c>
      <c r="B7912" s="179" t="s">
        <v>456</v>
      </c>
      <c r="C7912" s="180">
        <v>88000</v>
      </c>
    </row>
    <row r="7913" spans="1:3" x14ac:dyDescent="0.25">
      <c r="A7913" s="178">
        <v>305893</v>
      </c>
      <c r="B7913" s="179" t="s">
        <v>456</v>
      </c>
      <c r="C7913" s="180">
        <v>88000</v>
      </c>
    </row>
    <row r="7914" spans="1:3" x14ac:dyDescent="0.25">
      <c r="A7914" s="178">
        <v>307633</v>
      </c>
      <c r="B7914" s="179" t="s">
        <v>456</v>
      </c>
      <c r="C7914" s="180">
        <v>1040</v>
      </c>
    </row>
    <row r="7915" spans="1:3" x14ac:dyDescent="0.25">
      <c r="A7915" s="178">
        <v>309058</v>
      </c>
      <c r="B7915" s="179" t="s">
        <v>456</v>
      </c>
      <c r="C7915" s="180">
        <v>84000</v>
      </c>
    </row>
    <row r="7916" spans="1:3" x14ac:dyDescent="0.25">
      <c r="A7916" s="178">
        <v>309410</v>
      </c>
      <c r="B7916" s="179" t="s">
        <v>456</v>
      </c>
      <c r="C7916" s="180">
        <v>6912</v>
      </c>
    </row>
    <row r="7917" spans="1:3" x14ac:dyDescent="0.25">
      <c r="A7917" s="178">
        <v>310131</v>
      </c>
      <c r="B7917" s="179" t="s">
        <v>456</v>
      </c>
      <c r="C7917" s="180">
        <v>3600</v>
      </c>
    </row>
    <row r="7918" spans="1:3" x14ac:dyDescent="0.25">
      <c r="A7918" s="178">
        <v>310132</v>
      </c>
      <c r="B7918" s="179" t="s">
        <v>456</v>
      </c>
      <c r="C7918" s="180">
        <v>3600</v>
      </c>
    </row>
    <row r="7919" spans="1:3" x14ac:dyDescent="0.25">
      <c r="A7919" s="178">
        <v>310134</v>
      </c>
      <c r="B7919" s="179" t="s">
        <v>456</v>
      </c>
      <c r="C7919" s="180">
        <v>2400</v>
      </c>
    </row>
    <row r="7920" spans="1:3" x14ac:dyDescent="0.25">
      <c r="A7920" s="178">
        <v>310138</v>
      </c>
      <c r="B7920" s="179" t="s">
        <v>456</v>
      </c>
      <c r="C7920" s="180">
        <v>2400</v>
      </c>
    </row>
    <row r="7921" spans="1:3" x14ac:dyDescent="0.25">
      <c r="A7921" s="178">
        <v>310141</v>
      </c>
      <c r="B7921" s="179" t="s">
        <v>456</v>
      </c>
      <c r="C7921" s="180">
        <v>6800</v>
      </c>
    </row>
    <row r="7922" spans="1:3" x14ac:dyDescent="0.25">
      <c r="A7922" s="178">
        <v>310218</v>
      </c>
      <c r="B7922" s="179" t="s">
        <v>456</v>
      </c>
      <c r="C7922" s="180">
        <v>647</v>
      </c>
    </row>
    <row r="7923" spans="1:3" x14ac:dyDescent="0.25">
      <c r="A7923" s="178">
        <v>310860</v>
      </c>
      <c r="B7923" s="179" t="s">
        <v>456</v>
      </c>
      <c r="C7923" s="180">
        <v>1932</v>
      </c>
    </row>
    <row r="7924" spans="1:3" x14ac:dyDescent="0.25">
      <c r="A7924" s="178">
        <v>310862</v>
      </c>
      <c r="B7924" s="179" t="s">
        <v>456</v>
      </c>
      <c r="C7924" s="180">
        <v>11988</v>
      </c>
    </row>
    <row r="7925" spans="1:3" x14ac:dyDescent="0.25">
      <c r="A7925" s="178">
        <v>310881</v>
      </c>
      <c r="B7925" s="179" t="s">
        <v>456</v>
      </c>
      <c r="C7925" s="180">
        <v>1200</v>
      </c>
    </row>
    <row r="7926" spans="1:3" x14ac:dyDescent="0.25">
      <c r="A7926" s="178">
        <v>310882</v>
      </c>
      <c r="B7926" s="179" t="s">
        <v>456</v>
      </c>
      <c r="C7926" s="180">
        <v>4800</v>
      </c>
    </row>
    <row r="7927" spans="1:3" x14ac:dyDescent="0.25">
      <c r="A7927" s="178">
        <v>310883</v>
      </c>
      <c r="B7927" s="179" t="s">
        <v>456</v>
      </c>
      <c r="C7927" s="180">
        <v>960</v>
      </c>
    </row>
    <row r="7928" spans="1:3" x14ac:dyDescent="0.25">
      <c r="A7928" s="178">
        <v>310884</v>
      </c>
      <c r="B7928" s="179" t="s">
        <v>456</v>
      </c>
      <c r="C7928" s="180">
        <v>1806</v>
      </c>
    </row>
    <row r="7929" spans="1:3" x14ac:dyDescent="0.25">
      <c r="A7929" s="178">
        <v>310973</v>
      </c>
      <c r="B7929" s="179" t="s">
        <v>456</v>
      </c>
      <c r="C7929" s="180">
        <v>3000</v>
      </c>
    </row>
    <row r="7930" spans="1:3" x14ac:dyDescent="0.25">
      <c r="A7930" s="178">
        <v>310975</v>
      </c>
      <c r="B7930" s="179" t="s">
        <v>456</v>
      </c>
      <c r="C7930" s="180">
        <v>3000</v>
      </c>
    </row>
    <row r="7931" spans="1:3" x14ac:dyDescent="0.25">
      <c r="A7931" s="178">
        <v>310985</v>
      </c>
      <c r="B7931" s="179" t="s">
        <v>456</v>
      </c>
      <c r="C7931" s="180">
        <v>3000</v>
      </c>
    </row>
    <row r="7932" spans="1:3" x14ac:dyDescent="0.25">
      <c r="A7932" s="178">
        <v>310992</v>
      </c>
      <c r="B7932" s="179" t="s">
        <v>456</v>
      </c>
      <c r="C7932" s="180">
        <v>3000</v>
      </c>
    </row>
    <row r="7933" spans="1:3" x14ac:dyDescent="0.25">
      <c r="A7933" s="178">
        <v>310995</v>
      </c>
      <c r="B7933" s="179" t="s">
        <v>456</v>
      </c>
      <c r="C7933" s="180">
        <v>3000</v>
      </c>
    </row>
    <row r="7934" spans="1:3" x14ac:dyDescent="0.25">
      <c r="A7934" s="178">
        <v>311032</v>
      </c>
      <c r="B7934" s="179" t="s">
        <v>456</v>
      </c>
      <c r="C7934" s="180">
        <v>3000</v>
      </c>
    </row>
    <row r="7935" spans="1:3" x14ac:dyDescent="0.25">
      <c r="A7935" s="178">
        <v>311038</v>
      </c>
      <c r="B7935" s="179" t="s">
        <v>456</v>
      </c>
      <c r="C7935" s="180">
        <v>3000</v>
      </c>
    </row>
    <row r="7936" spans="1:3" x14ac:dyDescent="0.25">
      <c r="A7936" s="178">
        <v>311091</v>
      </c>
      <c r="B7936" s="179" t="s">
        <v>456</v>
      </c>
      <c r="C7936" s="180">
        <v>1200</v>
      </c>
    </row>
    <row r="7937" spans="1:3" x14ac:dyDescent="0.25">
      <c r="A7937" s="178">
        <v>311093</v>
      </c>
      <c r="B7937" s="179" t="s">
        <v>456</v>
      </c>
      <c r="C7937" s="180">
        <v>1200</v>
      </c>
    </row>
    <row r="7938" spans="1:3" x14ac:dyDescent="0.25">
      <c r="A7938" s="178">
        <v>311094</v>
      </c>
      <c r="B7938" s="179" t="s">
        <v>456</v>
      </c>
      <c r="C7938" s="180">
        <v>1200</v>
      </c>
    </row>
    <row r="7939" spans="1:3" x14ac:dyDescent="0.25">
      <c r="A7939" s="178">
        <v>311101</v>
      </c>
      <c r="B7939" s="179" t="s">
        <v>456</v>
      </c>
      <c r="C7939" s="180">
        <v>3000</v>
      </c>
    </row>
    <row r="7940" spans="1:3" x14ac:dyDescent="0.25">
      <c r="A7940" s="178">
        <v>311105</v>
      </c>
      <c r="B7940" s="179" t="s">
        <v>456</v>
      </c>
      <c r="C7940" s="180">
        <v>3000</v>
      </c>
    </row>
    <row r="7941" spans="1:3" x14ac:dyDescent="0.25">
      <c r="A7941" s="178">
        <v>311134</v>
      </c>
      <c r="B7941" s="179" t="s">
        <v>456</v>
      </c>
      <c r="C7941" s="180">
        <v>3000</v>
      </c>
    </row>
    <row r="7942" spans="1:3" x14ac:dyDescent="0.25">
      <c r="A7942" s="178">
        <v>311144</v>
      </c>
      <c r="B7942" s="179" t="s">
        <v>456</v>
      </c>
      <c r="C7942" s="180">
        <v>3000</v>
      </c>
    </row>
    <row r="7943" spans="1:3" x14ac:dyDescent="0.25">
      <c r="A7943" s="178">
        <v>311146</v>
      </c>
      <c r="B7943" s="179" t="s">
        <v>456</v>
      </c>
      <c r="C7943" s="180">
        <v>3000</v>
      </c>
    </row>
    <row r="7944" spans="1:3" x14ac:dyDescent="0.25">
      <c r="A7944" s="178">
        <v>311203</v>
      </c>
      <c r="B7944" s="179" t="s">
        <v>456</v>
      </c>
      <c r="C7944" s="180">
        <v>3000</v>
      </c>
    </row>
    <row r="7945" spans="1:3" x14ac:dyDescent="0.25">
      <c r="A7945" s="178">
        <v>311215</v>
      </c>
      <c r="B7945" s="179" t="s">
        <v>456</v>
      </c>
      <c r="C7945" s="180">
        <v>3000</v>
      </c>
    </row>
    <row r="7946" spans="1:3" x14ac:dyDescent="0.25">
      <c r="A7946" s="178">
        <v>311220</v>
      </c>
      <c r="B7946" s="179" t="s">
        <v>456</v>
      </c>
      <c r="C7946" s="180">
        <v>3000</v>
      </c>
    </row>
    <row r="7947" spans="1:3" x14ac:dyDescent="0.25">
      <c r="A7947" s="178">
        <v>311270</v>
      </c>
      <c r="B7947" s="179" t="s">
        <v>456</v>
      </c>
      <c r="C7947" s="180">
        <v>3000</v>
      </c>
    </row>
    <row r="7948" spans="1:3" x14ac:dyDescent="0.25">
      <c r="A7948" s="178">
        <v>311271</v>
      </c>
      <c r="B7948" s="179" t="s">
        <v>456</v>
      </c>
      <c r="C7948" s="180">
        <v>3000</v>
      </c>
    </row>
    <row r="7949" spans="1:3" x14ac:dyDescent="0.25">
      <c r="A7949" s="178">
        <v>311273</v>
      </c>
      <c r="B7949" s="179" t="s">
        <v>456</v>
      </c>
      <c r="C7949" s="180">
        <v>3000</v>
      </c>
    </row>
    <row r="7950" spans="1:3" x14ac:dyDescent="0.25">
      <c r="A7950" s="178">
        <v>311275</v>
      </c>
      <c r="B7950" s="179" t="s">
        <v>456</v>
      </c>
      <c r="C7950" s="180">
        <v>3000</v>
      </c>
    </row>
    <row r="7951" spans="1:3" x14ac:dyDescent="0.25">
      <c r="A7951" s="178">
        <v>311277</v>
      </c>
      <c r="B7951" s="179" t="s">
        <v>456</v>
      </c>
      <c r="C7951" s="180">
        <v>3000</v>
      </c>
    </row>
    <row r="7952" spans="1:3" x14ac:dyDescent="0.25">
      <c r="A7952" s="178">
        <v>311283</v>
      </c>
      <c r="B7952" s="179" t="s">
        <v>456</v>
      </c>
      <c r="C7952" s="180">
        <v>3000</v>
      </c>
    </row>
    <row r="7953" spans="1:3" x14ac:dyDescent="0.25">
      <c r="A7953" s="178">
        <v>311284</v>
      </c>
      <c r="B7953" s="179" t="s">
        <v>456</v>
      </c>
      <c r="C7953" s="180">
        <v>3000</v>
      </c>
    </row>
    <row r="7954" spans="1:3" x14ac:dyDescent="0.25">
      <c r="A7954" s="178">
        <v>311286</v>
      </c>
      <c r="B7954" s="179" t="s">
        <v>456</v>
      </c>
      <c r="C7954" s="180">
        <v>3000</v>
      </c>
    </row>
    <row r="7955" spans="1:3" x14ac:dyDescent="0.25">
      <c r="A7955" s="178">
        <v>311289</v>
      </c>
      <c r="B7955" s="179" t="s">
        <v>456</v>
      </c>
      <c r="C7955" s="180">
        <v>3000</v>
      </c>
    </row>
    <row r="7956" spans="1:3" x14ac:dyDescent="0.25">
      <c r="A7956" s="178">
        <v>311940</v>
      </c>
      <c r="B7956" s="179" t="s">
        <v>456</v>
      </c>
      <c r="C7956" s="180">
        <v>3000</v>
      </c>
    </row>
    <row r="7957" spans="1:3" x14ac:dyDescent="0.25">
      <c r="A7957" s="178">
        <v>312010</v>
      </c>
      <c r="B7957" s="179" t="s">
        <v>456</v>
      </c>
      <c r="C7957" s="180">
        <v>3000</v>
      </c>
    </row>
    <row r="7958" spans="1:3" x14ac:dyDescent="0.25">
      <c r="A7958" s="178">
        <v>313270</v>
      </c>
      <c r="B7958" s="179" t="s">
        <v>456</v>
      </c>
      <c r="C7958" s="180">
        <v>38055</v>
      </c>
    </row>
    <row r="7959" spans="1:3" x14ac:dyDescent="0.25">
      <c r="A7959" s="178">
        <v>313360</v>
      </c>
      <c r="B7959" s="179" t="s">
        <v>456</v>
      </c>
      <c r="C7959" s="180">
        <v>54000</v>
      </c>
    </row>
    <row r="7960" spans="1:3" x14ac:dyDescent="0.25">
      <c r="A7960" s="178">
        <v>313884</v>
      </c>
      <c r="B7960" s="179" t="s">
        <v>456</v>
      </c>
      <c r="C7960" s="180">
        <v>1800</v>
      </c>
    </row>
    <row r="7961" spans="1:3" x14ac:dyDescent="0.25">
      <c r="A7961" s="178">
        <v>314210</v>
      </c>
      <c r="B7961" s="179" t="s">
        <v>456</v>
      </c>
      <c r="C7961" s="180">
        <v>270</v>
      </c>
    </row>
    <row r="7962" spans="1:3" x14ac:dyDescent="0.25">
      <c r="A7962" s="178">
        <v>314211</v>
      </c>
      <c r="B7962" s="179" t="s">
        <v>456</v>
      </c>
      <c r="C7962" s="180">
        <v>540</v>
      </c>
    </row>
    <row r="7963" spans="1:3" x14ac:dyDescent="0.25">
      <c r="A7963" s="178">
        <v>314212</v>
      </c>
      <c r="B7963" s="179" t="s">
        <v>456</v>
      </c>
      <c r="C7963" s="180">
        <v>1200</v>
      </c>
    </row>
    <row r="7964" spans="1:3" x14ac:dyDescent="0.25">
      <c r="A7964" s="178">
        <v>314281</v>
      </c>
      <c r="B7964" s="179" t="s">
        <v>456</v>
      </c>
      <c r="C7964" s="180">
        <v>3000</v>
      </c>
    </row>
    <row r="7965" spans="1:3" x14ac:dyDescent="0.25">
      <c r="A7965" s="178">
        <v>314390</v>
      </c>
      <c r="B7965" s="179" t="s">
        <v>456</v>
      </c>
      <c r="C7965" s="180">
        <v>3000</v>
      </c>
    </row>
    <row r="7966" spans="1:3" x14ac:dyDescent="0.25">
      <c r="A7966" s="178">
        <v>315070</v>
      </c>
      <c r="B7966" s="179" t="s">
        <v>456</v>
      </c>
      <c r="C7966" s="180">
        <v>9000</v>
      </c>
    </row>
    <row r="7967" spans="1:3" x14ac:dyDescent="0.25">
      <c r="A7967" s="178">
        <v>315167</v>
      </c>
      <c r="B7967" s="179" t="s">
        <v>456</v>
      </c>
      <c r="C7967" s="180">
        <v>3000</v>
      </c>
    </row>
    <row r="7968" spans="1:3" x14ac:dyDescent="0.25">
      <c r="A7968" s="178">
        <v>315540</v>
      </c>
      <c r="B7968" s="179" t="s">
        <v>456</v>
      </c>
      <c r="C7968" s="180">
        <v>3000</v>
      </c>
    </row>
    <row r="7969" spans="1:3" x14ac:dyDescent="0.25">
      <c r="A7969" s="178">
        <v>315583</v>
      </c>
      <c r="B7969" s="179" t="s">
        <v>456</v>
      </c>
      <c r="C7969" s="180">
        <v>8280</v>
      </c>
    </row>
    <row r="7970" spans="1:3" x14ac:dyDescent="0.25">
      <c r="A7970" s="178">
        <v>315661</v>
      </c>
      <c r="B7970" s="179" t="s">
        <v>456</v>
      </c>
      <c r="C7970" s="180">
        <v>54000</v>
      </c>
    </row>
    <row r="7971" spans="1:3" x14ac:dyDescent="0.25">
      <c r="A7971" s="178">
        <v>315819</v>
      </c>
      <c r="B7971" s="179" t="s">
        <v>456</v>
      </c>
      <c r="C7971" s="180">
        <v>540</v>
      </c>
    </row>
    <row r="7972" spans="1:3" x14ac:dyDescent="0.25">
      <c r="A7972" s="178">
        <v>316011</v>
      </c>
      <c r="B7972" s="179" t="s">
        <v>456</v>
      </c>
      <c r="C7972" s="180">
        <v>75891</v>
      </c>
    </row>
    <row r="7973" spans="1:3" x14ac:dyDescent="0.25">
      <c r="A7973" s="178">
        <v>316014</v>
      </c>
      <c r="B7973" s="179" t="s">
        <v>456</v>
      </c>
      <c r="C7973" s="180">
        <v>61362</v>
      </c>
    </row>
    <row r="7974" spans="1:3" x14ac:dyDescent="0.25">
      <c r="A7974" s="178">
        <v>316015</v>
      </c>
      <c r="B7974" s="179" t="s">
        <v>456</v>
      </c>
      <c r="C7974" s="180">
        <v>61362</v>
      </c>
    </row>
    <row r="7975" spans="1:3" x14ac:dyDescent="0.25">
      <c r="A7975" s="178">
        <v>316602</v>
      </c>
      <c r="B7975" s="179" t="s">
        <v>456</v>
      </c>
      <c r="C7975" s="180">
        <v>6670</v>
      </c>
    </row>
    <row r="7976" spans="1:3" x14ac:dyDescent="0.25">
      <c r="A7976" s="178">
        <v>316603</v>
      </c>
      <c r="B7976" s="179" t="s">
        <v>456</v>
      </c>
      <c r="C7976" s="180">
        <v>5520</v>
      </c>
    </row>
    <row r="7977" spans="1:3" x14ac:dyDescent="0.25">
      <c r="A7977" s="178">
        <v>316607</v>
      </c>
      <c r="B7977" s="179" t="s">
        <v>456</v>
      </c>
      <c r="C7977" s="180">
        <v>6210</v>
      </c>
    </row>
    <row r="7978" spans="1:3" x14ac:dyDescent="0.25">
      <c r="A7978" s="178">
        <v>316628</v>
      </c>
      <c r="B7978" s="179" t="s">
        <v>456</v>
      </c>
      <c r="C7978" s="180">
        <v>1040</v>
      </c>
    </row>
    <row r="7979" spans="1:3" x14ac:dyDescent="0.25">
      <c r="A7979" s="178">
        <v>317022</v>
      </c>
      <c r="B7979" s="179" t="s">
        <v>456</v>
      </c>
      <c r="C7979" s="180">
        <v>88000</v>
      </c>
    </row>
    <row r="7980" spans="1:3" x14ac:dyDescent="0.25">
      <c r="A7980" s="178">
        <v>317024</v>
      </c>
      <c r="B7980" s="179" t="s">
        <v>456</v>
      </c>
      <c r="C7980" s="180">
        <v>88000</v>
      </c>
    </row>
    <row r="7981" spans="1:3" x14ac:dyDescent="0.25">
      <c r="A7981" s="178">
        <v>317025</v>
      </c>
      <c r="B7981" s="179" t="s">
        <v>456</v>
      </c>
      <c r="C7981" s="180">
        <v>88000</v>
      </c>
    </row>
    <row r="7982" spans="1:3" x14ac:dyDescent="0.25">
      <c r="A7982" s="178">
        <v>317029</v>
      </c>
      <c r="B7982" s="179" t="s">
        <v>456</v>
      </c>
      <c r="C7982" s="180">
        <v>88000</v>
      </c>
    </row>
    <row r="7983" spans="1:3" x14ac:dyDescent="0.25">
      <c r="A7983" s="178">
        <v>317031</v>
      </c>
      <c r="B7983" s="179" t="s">
        <v>456</v>
      </c>
      <c r="C7983" s="180">
        <v>88000</v>
      </c>
    </row>
    <row r="7984" spans="1:3" x14ac:dyDescent="0.25">
      <c r="A7984" s="178">
        <v>317032</v>
      </c>
      <c r="B7984" s="179" t="s">
        <v>456</v>
      </c>
      <c r="C7984" s="180">
        <v>88000</v>
      </c>
    </row>
    <row r="7985" spans="1:3" x14ac:dyDescent="0.25">
      <c r="A7985" s="178">
        <v>317110</v>
      </c>
      <c r="B7985" s="179" t="s">
        <v>456</v>
      </c>
      <c r="C7985" s="180">
        <v>3000</v>
      </c>
    </row>
    <row r="7986" spans="1:3" x14ac:dyDescent="0.25">
      <c r="A7986" s="178">
        <v>317145</v>
      </c>
      <c r="B7986" s="179" t="s">
        <v>456</v>
      </c>
      <c r="C7986" s="180">
        <v>2880</v>
      </c>
    </row>
    <row r="7987" spans="1:3" x14ac:dyDescent="0.25">
      <c r="A7987" s="178">
        <v>317753</v>
      </c>
      <c r="B7987" s="179" t="s">
        <v>456</v>
      </c>
      <c r="C7987" s="180">
        <v>12000</v>
      </c>
    </row>
    <row r="7988" spans="1:3" x14ac:dyDescent="0.25">
      <c r="A7988" s="178">
        <v>317757</v>
      </c>
      <c r="B7988" s="179" t="s">
        <v>456</v>
      </c>
      <c r="C7988" s="180">
        <v>12000</v>
      </c>
    </row>
    <row r="7989" spans="1:3" x14ac:dyDescent="0.25">
      <c r="A7989" s="178">
        <v>317764</v>
      </c>
      <c r="B7989" s="179" t="s">
        <v>456</v>
      </c>
      <c r="C7989" s="180">
        <v>12000</v>
      </c>
    </row>
    <row r="7990" spans="1:3" x14ac:dyDescent="0.25">
      <c r="A7990" s="178">
        <v>317771</v>
      </c>
      <c r="B7990" s="179" t="s">
        <v>456</v>
      </c>
      <c r="C7990" s="180">
        <v>12000</v>
      </c>
    </row>
    <row r="7991" spans="1:3" x14ac:dyDescent="0.25">
      <c r="A7991" s="178">
        <v>317776</v>
      </c>
      <c r="B7991" s="179" t="s">
        <v>456</v>
      </c>
      <c r="C7991" s="180">
        <v>12000</v>
      </c>
    </row>
    <row r="7992" spans="1:3" x14ac:dyDescent="0.25">
      <c r="A7992" s="178">
        <v>317781</v>
      </c>
      <c r="B7992" s="179" t="s">
        <v>456</v>
      </c>
      <c r="C7992" s="180">
        <v>9000</v>
      </c>
    </row>
    <row r="7993" spans="1:3" x14ac:dyDescent="0.25">
      <c r="A7993" s="178">
        <v>317850</v>
      </c>
      <c r="B7993" s="179" t="s">
        <v>456</v>
      </c>
      <c r="C7993" s="180">
        <v>58680</v>
      </c>
    </row>
    <row r="7994" spans="1:3" x14ac:dyDescent="0.25">
      <c r="A7994" s="178">
        <v>317851</v>
      </c>
      <c r="B7994" s="179" t="s">
        <v>456</v>
      </c>
      <c r="C7994" s="180">
        <v>52938</v>
      </c>
    </row>
    <row r="7995" spans="1:3" x14ac:dyDescent="0.25">
      <c r="A7995" s="178">
        <v>317857</v>
      </c>
      <c r="B7995" s="179" t="s">
        <v>456</v>
      </c>
      <c r="C7995" s="180">
        <v>61362</v>
      </c>
    </row>
    <row r="7996" spans="1:3" x14ac:dyDescent="0.25">
      <c r="A7996" s="178">
        <v>317908</v>
      </c>
      <c r="B7996" s="179" t="s">
        <v>456</v>
      </c>
      <c r="C7996" s="180">
        <v>52938</v>
      </c>
    </row>
    <row r="7997" spans="1:3" x14ac:dyDescent="0.25">
      <c r="A7997" s="178">
        <v>317909</v>
      </c>
      <c r="B7997" s="179" t="s">
        <v>456</v>
      </c>
      <c r="C7997" s="180">
        <v>58680</v>
      </c>
    </row>
    <row r="7998" spans="1:3" x14ac:dyDescent="0.25">
      <c r="A7998" s="178">
        <v>317910</v>
      </c>
      <c r="B7998" s="179" t="s">
        <v>456</v>
      </c>
      <c r="C7998" s="180">
        <v>58680</v>
      </c>
    </row>
    <row r="7999" spans="1:3" x14ac:dyDescent="0.25">
      <c r="A7999" s="178">
        <v>317911</v>
      </c>
      <c r="B7999" s="179" t="s">
        <v>456</v>
      </c>
      <c r="C7999" s="180">
        <v>52938</v>
      </c>
    </row>
    <row r="8000" spans="1:3" x14ac:dyDescent="0.25">
      <c r="A8000" s="178">
        <v>317912</v>
      </c>
      <c r="B8000" s="179" t="s">
        <v>456</v>
      </c>
      <c r="C8000" s="180">
        <v>58680</v>
      </c>
    </row>
    <row r="8001" spans="1:3" x14ac:dyDescent="0.25">
      <c r="A8001" s="178">
        <v>317913</v>
      </c>
      <c r="B8001" s="179" t="s">
        <v>456</v>
      </c>
      <c r="C8001" s="180">
        <v>58680</v>
      </c>
    </row>
    <row r="8002" spans="1:3" x14ac:dyDescent="0.25">
      <c r="A8002" s="178">
        <v>317914</v>
      </c>
      <c r="B8002" s="179" t="s">
        <v>456</v>
      </c>
      <c r="C8002" s="180">
        <v>58680</v>
      </c>
    </row>
    <row r="8003" spans="1:3" x14ac:dyDescent="0.25">
      <c r="A8003" s="178">
        <v>317916</v>
      </c>
      <c r="B8003" s="179" t="s">
        <v>456</v>
      </c>
      <c r="C8003" s="180">
        <v>58680</v>
      </c>
    </row>
    <row r="8004" spans="1:3" x14ac:dyDescent="0.25">
      <c r="A8004" s="178">
        <v>317918</v>
      </c>
      <c r="B8004" s="179" t="s">
        <v>456</v>
      </c>
      <c r="C8004" s="180">
        <v>58680</v>
      </c>
    </row>
    <row r="8005" spans="1:3" x14ac:dyDescent="0.25">
      <c r="A8005" s="178">
        <v>317924</v>
      </c>
      <c r="B8005" s="179" t="s">
        <v>456</v>
      </c>
      <c r="C8005" s="180">
        <v>52938</v>
      </c>
    </row>
    <row r="8006" spans="1:3" x14ac:dyDescent="0.25">
      <c r="A8006" s="178">
        <v>318009</v>
      </c>
      <c r="B8006" s="179" t="s">
        <v>456</v>
      </c>
      <c r="C8006" s="180">
        <v>9000</v>
      </c>
    </row>
    <row r="8007" spans="1:3" x14ac:dyDescent="0.25">
      <c r="A8007" s="178">
        <v>318163</v>
      </c>
      <c r="B8007" s="179" t="s">
        <v>456</v>
      </c>
      <c r="C8007" s="180">
        <v>14500</v>
      </c>
    </row>
    <row r="8008" spans="1:3" x14ac:dyDescent="0.25">
      <c r="A8008" s="178">
        <v>318164</v>
      </c>
      <c r="B8008" s="179" t="s">
        <v>456</v>
      </c>
      <c r="C8008" s="180">
        <v>14500</v>
      </c>
    </row>
    <row r="8009" spans="1:3" x14ac:dyDescent="0.25">
      <c r="A8009" s="178">
        <v>318165</v>
      </c>
      <c r="B8009" s="179" t="s">
        <v>456</v>
      </c>
      <c r="C8009" s="180">
        <v>14500</v>
      </c>
    </row>
    <row r="8010" spans="1:3" x14ac:dyDescent="0.25">
      <c r="A8010" s="178">
        <v>318166</v>
      </c>
      <c r="B8010" s="179" t="s">
        <v>456</v>
      </c>
      <c r="C8010" s="180">
        <v>14500</v>
      </c>
    </row>
    <row r="8011" spans="1:3" x14ac:dyDescent="0.25">
      <c r="A8011" s="178">
        <v>318167</v>
      </c>
      <c r="B8011" s="179" t="s">
        <v>456</v>
      </c>
      <c r="C8011" s="180">
        <v>14500</v>
      </c>
    </row>
    <row r="8012" spans="1:3" x14ac:dyDescent="0.25">
      <c r="A8012" s="178">
        <v>318170</v>
      </c>
      <c r="B8012" s="179" t="s">
        <v>456</v>
      </c>
      <c r="C8012" s="180">
        <v>14500</v>
      </c>
    </row>
    <row r="8013" spans="1:3" x14ac:dyDescent="0.25">
      <c r="A8013" s="178">
        <v>318171</v>
      </c>
      <c r="B8013" s="179" t="s">
        <v>456</v>
      </c>
      <c r="C8013" s="180">
        <v>14500</v>
      </c>
    </row>
    <row r="8014" spans="1:3" x14ac:dyDescent="0.25">
      <c r="A8014" s="178">
        <v>318172</v>
      </c>
      <c r="B8014" s="179" t="s">
        <v>456</v>
      </c>
      <c r="C8014" s="180">
        <v>14500</v>
      </c>
    </row>
    <row r="8015" spans="1:3" x14ac:dyDescent="0.25">
      <c r="A8015" s="178">
        <v>318173</v>
      </c>
      <c r="B8015" s="179" t="s">
        <v>456</v>
      </c>
      <c r="C8015" s="180">
        <v>14500</v>
      </c>
    </row>
    <row r="8016" spans="1:3" x14ac:dyDescent="0.25">
      <c r="A8016" s="178">
        <v>318174</v>
      </c>
      <c r="B8016" s="179" t="s">
        <v>456</v>
      </c>
      <c r="C8016" s="180">
        <v>14500</v>
      </c>
    </row>
    <row r="8017" spans="1:3" x14ac:dyDescent="0.25">
      <c r="A8017" s="178">
        <v>318175</v>
      </c>
      <c r="B8017" s="179" t="s">
        <v>456</v>
      </c>
      <c r="C8017" s="180">
        <v>14500</v>
      </c>
    </row>
    <row r="8018" spans="1:3" x14ac:dyDescent="0.25">
      <c r="A8018" s="178">
        <v>318210</v>
      </c>
      <c r="B8018" s="179" t="s">
        <v>456</v>
      </c>
      <c r="C8018" s="180">
        <v>3480</v>
      </c>
    </row>
    <row r="8019" spans="1:3" x14ac:dyDescent="0.25">
      <c r="A8019" s="178">
        <v>318255</v>
      </c>
      <c r="B8019" s="179" t="s">
        <v>456</v>
      </c>
      <c r="C8019" s="180">
        <v>88000</v>
      </c>
    </row>
    <row r="8020" spans="1:3" x14ac:dyDescent="0.25">
      <c r="A8020" s="178">
        <v>318258</v>
      </c>
      <c r="B8020" s="179" t="s">
        <v>456</v>
      </c>
      <c r="C8020" s="180">
        <v>88000</v>
      </c>
    </row>
    <row r="8021" spans="1:3" x14ac:dyDescent="0.25">
      <c r="A8021" s="178">
        <v>318266</v>
      </c>
      <c r="B8021" s="179" t="s">
        <v>456</v>
      </c>
      <c r="C8021" s="180">
        <v>88000</v>
      </c>
    </row>
    <row r="8022" spans="1:3" x14ac:dyDescent="0.25">
      <c r="A8022" s="178">
        <v>318267</v>
      </c>
      <c r="B8022" s="179" t="s">
        <v>456</v>
      </c>
      <c r="C8022" s="180">
        <v>61362</v>
      </c>
    </row>
    <row r="8023" spans="1:3" x14ac:dyDescent="0.25">
      <c r="A8023" s="178">
        <v>318269</v>
      </c>
      <c r="B8023" s="179" t="s">
        <v>456</v>
      </c>
      <c r="C8023" s="180">
        <v>65844</v>
      </c>
    </row>
    <row r="8024" spans="1:3" x14ac:dyDescent="0.25">
      <c r="A8024" s="178">
        <v>318274</v>
      </c>
      <c r="B8024" s="179" t="s">
        <v>456</v>
      </c>
      <c r="C8024" s="180">
        <v>88000</v>
      </c>
    </row>
    <row r="8025" spans="1:3" x14ac:dyDescent="0.25">
      <c r="A8025" s="178">
        <v>318275</v>
      </c>
      <c r="B8025" s="179" t="s">
        <v>456</v>
      </c>
      <c r="C8025" s="180">
        <v>88000</v>
      </c>
    </row>
    <row r="8026" spans="1:3" x14ac:dyDescent="0.25">
      <c r="A8026" s="178">
        <v>318360</v>
      </c>
      <c r="B8026" s="179" t="s">
        <v>456</v>
      </c>
      <c r="C8026" s="180">
        <v>88000</v>
      </c>
    </row>
    <row r="8027" spans="1:3" x14ac:dyDescent="0.25">
      <c r="A8027" s="178">
        <v>318428</v>
      </c>
      <c r="B8027" s="179" t="s">
        <v>456</v>
      </c>
      <c r="C8027" s="180">
        <v>2100</v>
      </c>
    </row>
    <row r="8028" spans="1:3" x14ac:dyDescent="0.25">
      <c r="A8028" s="178">
        <v>318500</v>
      </c>
      <c r="B8028" s="179" t="s">
        <v>456</v>
      </c>
      <c r="C8028" s="180">
        <v>14500</v>
      </c>
    </row>
    <row r="8029" spans="1:3" x14ac:dyDescent="0.25">
      <c r="A8029" s="178">
        <v>318501</v>
      </c>
      <c r="B8029" s="179" t="s">
        <v>456</v>
      </c>
      <c r="C8029" s="180">
        <v>14500</v>
      </c>
    </row>
    <row r="8030" spans="1:3" x14ac:dyDescent="0.25">
      <c r="A8030" s="178">
        <v>318694</v>
      </c>
      <c r="B8030" s="179" t="s">
        <v>456</v>
      </c>
      <c r="C8030" s="180">
        <v>9000</v>
      </c>
    </row>
    <row r="8031" spans="1:3" x14ac:dyDescent="0.25">
      <c r="A8031" s="178">
        <v>318852</v>
      </c>
      <c r="B8031" s="179" t="s">
        <v>456</v>
      </c>
      <c r="C8031" s="180">
        <v>9000</v>
      </c>
    </row>
    <row r="8032" spans="1:3" x14ac:dyDescent="0.25">
      <c r="A8032" s="178">
        <v>318893</v>
      </c>
      <c r="B8032" s="179" t="s">
        <v>456</v>
      </c>
      <c r="C8032" s="180">
        <v>9000</v>
      </c>
    </row>
    <row r="8033" spans="1:3" x14ac:dyDescent="0.25">
      <c r="A8033" s="178">
        <v>318894</v>
      </c>
      <c r="B8033" s="179" t="s">
        <v>456</v>
      </c>
      <c r="C8033" s="180">
        <v>9000</v>
      </c>
    </row>
    <row r="8034" spans="1:3" x14ac:dyDescent="0.25">
      <c r="A8034" s="178">
        <v>318895</v>
      </c>
      <c r="B8034" s="179" t="s">
        <v>456</v>
      </c>
      <c r="C8034" s="180">
        <v>9000</v>
      </c>
    </row>
    <row r="8035" spans="1:3" x14ac:dyDescent="0.25">
      <c r="A8035" s="178">
        <v>319038</v>
      </c>
      <c r="B8035" s="179" t="s">
        <v>456</v>
      </c>
      <c r="C8035" s="180">
        <v>3000</v>
      </c>
    </row>
    <row r="8036" spans="1:3" x14ac:dyDescent="0.25">
      <c r="A8036" s="178">
        <v>319042</v>
      </c>
      <c r="B8036" s="179" t="s">
        <v>456</v>
      </c>
      <c r="C8036" s="180">
        <v>3000</v>
      </c>
    </row>
    <row r="8037" spans="1:3" x14ac:dyDescent="0.25">
      <c r="A8037" s="178">
        <v>319043</v>
      </c>
      <c r="B8037" s="179" t="s">
        <v>456</v>
      </c>
      <c r="C8037" s="180">
        <v>80</v>
      </c>
    </row>
    <row r="8038" spans="1:3" x14ac:dyDescent="0.25">
      <c r="A8038" s="178">
        <v>319044</v>
      </c>
      <c r="B8038" s="179" t="s">
        <v>456</v>
      </c>
      <c r="C8038" s="180">
        <v>80</v>
      </c>
    </row>
    <row r="8039" spans="1:3" x14ac:dyDescent="0.25">
      <c r="A8039" s="178">
        <v>319052</v>
      </c>
      <c r="B8039" s="179" t="s">
        <v>456</v>
      </c>
      <c r="C8039" s="180">
        <v>3000</v>
      </c>
    </row>
    <row r="8040" spans="1:3" x14ac:dyDescent="0.25">
      <c r="A8040" s="178">
        <v>319061</v>
      </c>
      <c r="B8040" s="179" t="s">
        <v>456</v>
      </c>
      <c r="C8040" s="180">
        <v>350</v>
      </c>
    </row>
    <row r="8041" spans="1:3" x14ac:dyDescent="0.25">
      <c r="A8041" s="178">
        <v>319910</v>
      </c>
      <c r="B8041" s="179" t="s">
        <v>456</v>
      </c>
      <c r="C8041" s="180">
        <v>2340</v>
      </c>
    </row>
    <row r="8042" spans="1:3" x14ac:dyDescent="0.25">
      <c r="A8042" s="178">
        <v>319911</v>
      </c>
      <c r="B8042" s="179" t="s">
        <v>456</v>
      </c>
      <c r="C8042" s="180">
        <v>2340</v>
      </c>
    </row>
    <row r="8043" spans="1:3" x14ac:dyDescent="0.25">
      <c r="A8043" s="178">
        <v>319915</v>
      </c>
      <c r="B8043" s="179" t="s">
        <v>456</v>
      </c>
      <c r="C8043" s="180">
        <v>2340</v>
      </c>
    </row>
    <row r="8044" spans="1:3" x14ac:dyDescent="0.25">
      <c r="A8044" s="178">
        <v>319922</v>
      </c>
      <c r="B8044" s="179" t="s">
        <v>456</v>
      </c>
      <c r="C8044" s="180">
        <v>4960</v>
      </c>
    </row>
    <row r="8045" spans="1:3" x14ac:dyDescent="0.25">
      <c r="A8045" s="178">
        <v>319923</v>
      </c>
      <c r="B8045" s="179" t="s">
        <v>456</v>
      </c>
      <c r="C8045" s="180">
        <v>3720</v>
      </c>
    </row>
    <row r="8046" spans="1:3" x14ac:dyDescent="0.25">
      <c r="A8046" s="178">
        <v>319924</v>
      </c>
      <c r="B8046" s="179" t="s">
        <v>456</v>
      </c>
      <c r="C8046" s="180">
        <v>2340</v>
      </c>
    </row>
    <row r="8047" spans="1:3" x14ac:dyDescent="0.25">
      <c r="A8047" s="178">
        <v>320219</v>
      </c>
      <c r="B8047" s="179" t="s">
        <v>456</v>
      </c>
      <c r="C8047" s="180">
        <v>10800</v>
      </c>
    </row>
    <row r="8048" spans="1:3" x14ac:dyDescent="0.25">
      <c r="A8048" s="178">
        <v>324143</v>
      </c>
      <c r="B8048" s="179" t="s">
        <v>456</v>
      </c>
      <c r="C8048" s="180">
        <v>9900</v>
      </c>
    </row>
    <row r="8049" spans="1:3" x14ac:dyDescent="0.25">
      <c r="A8049" s="178">
        <v>324194</v>
      </c>
      <c r="B8049" s="179" t="s">
        <v>456</v>
      </c>
      <c r="C8049" s="180">
        <v>9000</v>
      </c>
    </row>
    <row r="8050" spans="1:3" x14ac:dyDescent="0.25">
      <c r="A8050" s="178">
        <v>324212</v>
      </c>
      <c r="B8050" s="179" t="s">
        <v>456</v>
      </c>
      <c r="C8050" s="180">
        <v>9000</v>
      </c>
    </row>
    <row r="8051" spans="1:3" x14ac:dyDescent="0.25">
      <c r="A8051" s="178">
        <v>324281</v>
      </c>
      <c r="B8051" s="179" t="s">
        <v>456</v>
      </c>
      <c r="C8051" s="180">
        <v>9900</v>
      </c>
    </row>
    <row r="8052" spans="1:3" x14ac:dyDescent="0.25">
      <c r="A8052" s="178">
        <v>325032</v>
      </c>
      <c r="B8052" s="179" t="s">
        <v>456</v>
      </c>
      <c r="C8052" s="180">
        <v>9000</v>
      </c>
    </row>
    <row r="8053" spans="1:3" x14ac:dyDescent="0.25">
      <c r="A8053" s="178">
        <v>325033</v>
      </c>
      <c r="B8053" s="179" t="s">
        <v>456</v>
      </c>
      <c r="C8053" s="180">
        <v>9900</v>
      </c>
    </row>
    <row r="8054" spans="1:3" x14ac:dyDescent="0.25">
      <c r="A8054" s="178">
        <v>325051</v>
      </c>
      <c r="B8054" s="179" t="s">
        <v>456</v>
      </c>
      <c r="C8054" s="180">
        <v>9000</v>
      </c>
    </row>
    <row r="8055" spans="1:3" x14ac:dyDescent="0.25">
      <c r="A8055" s="178">
        <v>325580</v>
      </c>
      <c r="B8055" s="179" t="s">
        <v>456</v>
      </c>
      <c r="C8055" s="180">
        <v>9000</v>
      </c>
    </row>
    <row r="8056" spans="1:3" x14ac:dyDescent="0.25">
      <c r="A8056" s="178">
        <v>330002</v>
      </c>
      <c r="B8056" s="179" t="s">
        <v>456</v>
      </c>
      <c r="C8056" s="180">
        <v>972</v>
      </c>
    </row>
    <row r="8057" spans="1:3" x14ac:dyDescent="0.25">
      <c r="A8057" s="178">
        <v>330003</v>
      </c>
      <c r="B8057" s="179" t="s">
        <v>456</v>
      </c>
      <c r="C8057" s="180">
        <v>972</v>
      </c>
    </row>
    <row r="8058" spans="1:3" x14ac:dyDescent="0.25">
      <c r="A8058" s="178">
        <v>330014</v>
      </c>
      <c r="B8058" s="179" t="s">
        <v>456</v>
      </c>
      <c r="C8058" s="180">
        <v>1640</v>
      </c>
    </row>
    <row r="8059" spans="1:3" x14ac:dyDescent="0.25">
      <c r="A8059" s="178">
        <v>333002</v>
      </c>
      <c r="B8059" s="179" t="s">
        <v>456</v>
      </c>
      <c r="C8059" s="180">
        <v>3744</v>
      </c>
    </row>
    <row r="8060" spans="1:3" x14ac:dyDescent="0.25">
      <c r="A8060" s="178">
        <v>333034</v>
      </c>
      <c r="B8060" s="179" t="s">
        <v>456</v>
      </c>
      <c r="C8060" s="180">
        <v>1944</v>
      </c>
    </row>
    <row r="8061" spans="1:3" x14ac:dyDescent="0.25">
      <c r="A8061" s="178">
        <v>333035</v>
      </c>
      <c r="B8061" s="179" t="s">
        <v>456</v>
      </c>
      <c r="C8061" s="180">
        <v>11232</v>
      </c>
    </row>
    <row r="8062" spans="1:3" x14ac:dyDescent="0.25">
      <c r="A8062" s="178">
        <v>333037</v>
      </c>
      <c r="B8062" s="179" t="s">
        <v>456</v>
      </c>
      <c r="C8062" s="180">
        <v>3648</v>
      </c>
    </row>
    <row r="8063" spans="1:3" x14ac:dyDescent="0.25">
      <c r="A8063" s="178">
        <v>333038</v>
      </c>
      <c r="B8063" s="179" t="s">
        <v>456</v>
      </c>
      <c r="C8063" s="180">
        <v>3552</v>
      </c>
    </row>
    <row r="8064" spans="1:3" x14ac:dyDescent="0.25">
      <c r="A8064" s="178">
        <v>333051</v>
      </c>
      <c r="B8064" s="179" t="s">
        <v>456</v>
      </c>
      <c r="C8064" s="180">
        <v>8280</v>
      </c>
    </row>
    <row r="8065" spans="1:3" x14ac:dyDescent="0.25">
      <c r="A8065" s="178">
        <v>333075</v>
      </c>
      <c r="B8065" s="179" t="s">
        <v>456</v>
      </c>
      <c r="C8065" s="180">
        <v>12288</v>
      </c>
    </row>
    <row r="8066" spans="1:3" x14ac:dyDescent="0.25">
      <c r="A8066" s="178">
        <v>333077</v>
      </c>
      <c r="B8066" s="179" t="s">
        <v>456</v>
      </c>
      <c r="C8066" s="180">
        <v>12480</v>
      </c>
    </row>
    <row r="8067" spans="1:3" x14ac:dyDescent="0.25">
      <c r="A8067" s="178">
        <v>333160</v>
      </c>
      <c r="B8067" s="179" t="s">
        <v>456</v>
      </c>
      <c r="C8067" s="180">
        <v>1056</v>
      </c>
    </row>
    <row r="8068" spans="1:3" x14ac:dyDescent="0.25">
      <c r="A8068" s="178">
        <v>333162</v>
      </c>
      <c r="B8068" s="179" t="s">
        <v>456</v>
      </c>
      <c r="C8068" s="180">
        <v>324</v>
      </c>
    </row>
    <row r="8069" spans="1:3" x14ac:dyDescent="0.25">
      <c r="A8069" s="178">
        <v>333163</v>
      </c>
      <c r="B8069" s="179" t="s">
        <v>456</v>
      </c>
      <c r="C8069" s="180">
        <v>1334</v>
      </c>
    </row>
    <row r="8070" spans="1:3" x14ac:dyDescent="0.25">
      <c r="A8070" s="178">
        <v>333165</v>
      </c>
      <c r="B8070" s="179" t="s">
        <v>456</v>
      </c>
      <c r="C8070" s="180">
        <v>696</v>
      </c>
    </row>
    <row r="8071" spans="1:3" x14ac:dyDescent="0.25">
      <c r="A8071" s="178">
        <v>333166</v>
      </c>
      <c r="B8071" s="179" t="s">
        <v>456</v>
      </c>
      <c r="C8071" s="180">
        <v>960</v>
      </c>
    </row>
    <row r="8072" spans="1:3" x14ac:dyDescent="0.25">
      <c r="A8072" s="178">
        <v>334005</v>
      </c>
      <c r="B8072" s="179" t="s">
        <v>456</v>
      </c>
      <c r="C8072" s="180">
        <v>8280</v>
      </c>
    </row>
    <row r="8073" spans="1:3" x14ac:dyDescent="0.25">
      <c r="A8073" s="178">
        <v>340000</v>
      </c>
      <c r="B8073" s="179" t="s">
        <v>456</v>
      </c>
      <c r="C8073" s="180">
        <v>99999</v>
      </c>
    </row>
    <row r="8074" spans="1:3" x14ac:dyDescent="0.25">
      <c r="A8074" s="178">
        <v>340001</v>
      </c>
      <c r="B8074" s="179" t="s">
        <v>456</v>
      </c>
      <c r="C8074" s="180">
        <v>99999</v>
      </c>
    </row>
    <row r="8075" spans="1:3" x14ac:dyDescent="0.25">
      <c r="A8075" s="178">
        <v>340002</v>
      </c>
      <c r="B8075" s="179" t="s">
        <v>456</v>
      </c>
      <c r="C8075" s="180">
        <v>3240</v>
      </c>
    </row>
    <row r="8076" spans="1:3" x14ac:dyDescent="0.25">
      <c r="A8076" s="178">
        <v>340010</v>
      </c>
      <c r="B8076" s="179" t="s">
        <v>456</v>
      </c>
      <c r="C8076" s="180">
        <v>99999</v>
      </c>
    </row>
    <row r="8077" spans="1:3" x14ac:dyDescent="0.25">
      <c r="A8077" s="178">
        <v>340011</v>
      </c>
      <c r="B8077" s="179" t="s">
        <v>456</v>
      </c>
      <c r="C8077" s="180">
        <v>99999</v>
      </c>
    </row>
    <row r="8078" spans="1:3" x14ac:dyDescent="0.25">
      <c r="A8078" s="178">
        <v>340012</v>
      </c>
      <c r="B8078" s="179" t="s">
        <v>456</v>
      </c>
      <c r="C8078" s="180">
        <v>99999</v>
      </c>
    </row>
    <row r="8079" spans="1:3" x14ac:dyDescent="0.25">
      <c r="A8079" s="178">
        <v>340013</v>
      </c>
      <c r="B8079" s="179" t="s">
        <v>456</v>
      </c>
      <c r="C8079" s="180">
        <v>99999</v>
      </c>
    </row>
    <row r="8080" spans="1:3" x14ac:dyDescent="0.25">
      <c r="A8080" s="178">
        <v>340020</v>
      </c>
      <c r="B8080" s="179" t="s">
        <v>456</v>
      </c>
      <c r="C8080" s="180">
        <v>1400</v>
      </c>
    </row>
    <row r="8081" spans="1:3" x14ac:dyDescent="0.25">
      <c r="A8081" s="178">
        <v>340021</v>
      </c>
      <c r="B8081" s="179" t="s">
        <v>456</v>
      </c>
      <c r="C8081" s="180">
        <v>1400</v>
      </c>
    </row>
    <row r="8082" spans="1:3" x14ac:dyDescent="0.25">
      <c r="A8082" s="178">
        <v>340022</v>
      </c>
      <c r="B8082" s="179" t="s">
        <v>456</v>
      </c>
      <c r="C8082" s="180">
        <v>99999</v>
      </c>
    </row>
    <row r="8083" spans="1:3" x14ac:dyDescent="0.25">
      <c r="A8083" s="178">
        <v>340041</v>
      </c>
      <c r="B8083" s="179" t="s">
        <v>456</v>
      </c>
      <c r="C8083" s="180">
        <v>1250</v>
      </c>
    </row>
    <row r="8084" spans="1:3" x14ac:dyDescent="0.25">
      <c r="A8084" s="178">
        <v>340042</v>
      </c>
      <c r="B8084" s="179" t="s">
        <v>456</v>
      </c>
      <c r="C8084" s="180">
        <v>5600</v>
      </c>
    </row>
    <row r="8085" spans="1:3" x14ac:dyDescent="0.25">
      <c r="A8085" s="178">
        <v>340044</v>
      </c>
      <c r="B8085" s="179" t="s">
        <v>456</v>
      </c>
      <c r="C8085" s="180">
        <v>6600</v>
      </c>
    </row>
    <row r="8086" spans="1:3" x14ac:dyDescent="0.25">
      <c r="A8086" s="178">
        <v>340045</v>
      </c>
      <c r="B8086" s="179" t="s">
        <v>456</v>
      </c>
      <c r="C8086" s="180">
        <v>99999</v>
      </c>
    </row>
    <row r="8087" spans="1:3" x14ac:dyDescent="0.25">
      <c r="A8087" s="178">
        <v>340046</v>
      </c>
      <c r="B8087" s="179" t="s">
        <v>456</v>
      </c>
      <c r="C8087" s="180">
        <v>99999</v>
      </c>
    </row>
    <row r="8088" spans="1:3" x14ac:dyDescent="0.25">
      <c r="A8088" s="178">
        <v>340047</v>
      </c>
      <c r="B8088" s="179" t="s">
        <v>456</v>
      </c>
      <c r="C8088" s="180">
        <v>99999</v>
      </c>
    </row>
    <row r="8089" spans="1:3" x14ac:dyDescent="0.25">
      <c r="A8089" s="178">
        <v>340048</v>
      </c>
      <c r="B8089" s="179" t="s">
        <v>456</v>
      </c>
      <c r="C8089" s="180">
        <v>99999</v>
      </c>
    </row>
    <row r="8090" spans="1:3" x14ac:dyDescent="0.25">
      <c r="A8090" s="178">
        <v>340049</v>
      </c>
      <c r="B8090" s="179" t="s">
        <v>456</v>
      </c>
      <c r="C8090" s="180">
        <v>99999</v>
      </c>
    </row>
    <row r="8091" spans="1:3" x14ac:dyDescent="0.25">
      <c r="A8091" s="178">
        <v>340050</v>
      </c>
      <c r="B8091" s="179" t="s">
        <v>456</v>
      </c>
      <c r="C8091" s="180">
        <v>99999</v>
      </c>
    </row>
    <row r="8092" spans="1:3" x14ac:dyDescent="0.25">
      <c r="A8092" s="178">
        <v>340051</v>
      </c>
      <c r="B8092" s="179" t="s">
        <v>456</v>
      </c>
      <c r="C8092" s="180">
        <v>99999</v>
      </c>
    </row>
    <row r="8093" spans="1:3" x14ac:dyDescent="0.25">
      <c r="A8093" s="178">
        <v>340052</v>
      </c>
      <c r="B8093" s="179" t="s">
        <v>456</v>
      </c>
      <c r="C8093" s="180">
        <v>99999</v>
      </c>
    </row>
    <row r="8094" spans="1:3" x14ac:dyDescent="0.25">
      <c r="A8094" s="178">
        <v>340082</v>
      </c>
      <c r="B8094" s="179" t="s">
        <v>456</v>
      </c>
      <c r="C8094" s="180">
        <v>6600</v>
      </c>
    </row>
    <row r="8095" spans="1:3" x14ac:dyDescent="0.25">
      <c r="A8095" s="178">
        <v>340084</v>
      </c>
      <c r="B8095" s="179" t="s">
        <v>456</v>
      </c>
      <c r="C8095" s="180">
        <v>6600</v>
      </c>
    </row>
    <row r="8096" spans="1:3" x14ac:dyDescent="0.25">
      <c r="A8096" s="178">
        <v>340085</v>
      </c>
      <c r="B8096" s="179" t="s">
        <v>456</v>
      </c>
      <c r="C8096" s="180">
        <v>6600</v>
      </c>
    </row>
    <row r="8097" spans="1:3" x14ac:dyDescent="0.25">
      <c r="A8097" s="178">
        <v>340087</v>
      </c>
      <c r="B8097" s="179" t="s">
        <v>456</v>
      </c>
      <c r="C8097" s="180">
        <v>6600</v>
      </c>
    </row>
    <row r="8098" spans="1:3" x14ac:dyDescent="0.25">
      <c r="A8098" s="178">
        <v>340088</v>
      </c>
      <c r="B8098" s="179" t="s">
        <v>456</v>
      </c>
      <c r="C8098" s="180">
        <v>6600</v>
      </c>
    </row>
    <row r="8099" spans="1:3" x14ac:dyDescent="0.25">
      <c r="A8099" s="178">
        <v>340091</v>
      </c>
      <c r="B8099" s="179" t="s">
        <v>456</v>
      </c>
      <c r="C8099" s="180">
        <v>6600</v>
      </c>
    </row>
    <row r="8100" spans="1:3" x14ac:dyDescent="0.25">
      <c r="A8100" s="178">
        <v>340092</v>
      </c>
      <c r="B8100" s="179" t="s">
        <v>456</v>
      </c>
      <c r="C8100" s="180">
        <v>14400</v>
      </c>
    </row>
    <row r="8101" spans="1:3" x14ac:dyDescent="0.25">
      <c r="A8101" s="178">
        <v>340094</v>
      </c>
      <c r="B8101" s="179" t="s">
        <v>456</v>
      </c>
      <c r="C8101" s="180">
        <v>6600</v>
      </c>
    </row>
    <row r="8102" spans="1:3" x14ac:dyDescent="0.25">
      <c r="A8102" s="178">
        <v>340095</v>
      </c>
      <c r="B8102" s="179" t="s">
        <v>456</v>
      </c>
      <c r="C8102" s="180">
        <v>6800</v>
      </c>
    </row>
    <row r="8103" spans="1:3" x14ac:dyDescent="0.25">
      <c r="A8103" s="178">
        <v>340096</v>
      </c>
      <c r="B8103" s="179" t="s">
        <v>456</v>
      </c>
      <c r="C8103" s="180">
        <v>6600</v>
      </c>
    </row>
    <row r="8104" spans="1:3" x14ac:dyDescent="0.25">
      <c r="A8104" s="178">
        <v>340097</v>
      </c>
      <c r="B8104" s="179" t="s">
        <v>456</v>
      </c>
      <c r="C8104" s="180">
        <v>6800</v>
      </c>
    </row>
    <row r="8105" spans="1:3" x14ac:dyDescent="0.25">
      <c r="A8105" s="178">
        <v>340098</v>
      </c>
      <c r="B8105" s="179" t="s">
        <v>456</v>
      </c>
      <c r="C8105" s="180">
        <v>6600</v>
      </c>
    </row>
    <row r="8106" spans="1:3" x14ac:dyDescent="0.25">
      <c r="A8106" s="178">
        <v>340100</v>
      </c>
      <c r="B8106" s="179" t="s">
        <v>456</v>
      </c>
      <c r="C8106" s="180">
        <v>6600</v>
      </c>
    </row>
    <row r="8107" spans="1:3" x14ac:dyDescent="0.25">
      <c r="A8107" s="178">
        <v>340101</v>
      </c>
      <c r="B8107" s="179" t="s">
        <v>456</v>
      </c>
      <c r="C8107" s="180">
        <v>6600</v>
      </c>
    </row>
    <row r="8108" spans="1:3" x14ac:dyDescent="0.25">
      <c r="A8108" s="178">
        <v>340102</v>
      </c>
      <c r="B8108" s="179" t="s">
        <v>456</v>
      </c>
      <c r="C8108" s="180">
        <v>6600</v>
      </c>
    </row>
    <row r="8109" spans="1:3" x14ac:dyDescent="0.25">
      <c r="A8109" s="178">
        <v>340103</v>
      </c>
      <c r="B8109" s="179" t="s">
        <v>456</v>
      </c>
      <c r="C8109" s="180">
        <v>4800</v>
      </c>
    </row>
    <row r="8110" spans="1:3" x14ac:dyDescent="0.25">
      <c r="A8110" s="178">
        <v>340105</v>
      </c>
      <c r="B8110" s="179" t="s">
        <v>456</v>
      </c>
      <c r="C8110" s="180">
        <v>6000</v>
      </c>
    </row>
    <row r="8111" spans="1:3" x14ac:dyDescent="0.25">
      <c r="A8111" s="178">
        <v>340106</v>
      </c>
      <c r="B8111" s="179" t="s">
        <v>456</v>
      </c>
      <c r="C8111" s="180">
        <v>6600</v>
      </c>
    </row>
    <row r="8112" spans="1:3" x14ac:dyDescent="0.25">
      <c r="A8112" s="178">
        <v>340107</v>
      </c>
      <c r="B8112" s="179" t="s">
        <v>456</v>
      </c>
      <c r="C8112" s="180">
        <v>6800</v>
      </c>
    </row>
    <row r="8113" spans="1:3" x14ac:dyDescent="0.25">
      <c r="A8113" s="178">
        <v>340108</v>
      </c>
      <c r="B8113" s="179" t="s">
        <v>456</v>
      </c>
      <c r="C8113" s="180">
        <v>6800</v>
      </c>
    </row>
    <row r="8114" spans="1:3" x14ac:dyDescent="0.25">
      <c r="A8114" s="178">
        <v>340109</v>
      </c>
      <c r="B8114" s="179" t="s">
        <v>456</v>
      </c>
      <c r="C8114" s="180">
        <v>6800</v>
      </c>
    </row>
    <row r="8115" spans="1:3" x14ac:dyDescent="0.25">
      <c r="A8115" s="178">
        <v>340110</v>
      </c>
      <c r="B8115" s="179" t="s">
        <v>456</v>
      </c>
      <c r="C8115" s="180">
        <v>6800</v>
      </c>
    </row>
    <row r="8116" spans="1:3" x14ac:dyDescent="0.25">
      <c r="A8116" s="178">
        <v>340111</v>
      </c>
      <c r="B8116" s="179" t="s">
        <v>456</v>
      </c>
      <c r="C8116" s="180">
        <v>6600</v>
      </c>
    </row>
    <row r="8117" spans="1:3" x14ac:dyDescent="0.25">
      <c r="A8117" s="178">
        <v>340112</v>
      </c>
      <c r="B8117" s="179" t="s">
        <v>456</v>
      </c>
      <c r="C8117" s="180">
        <v>1400</v>
      </c>
    </row>
    <row r="8118" spans="1:3" x14ac:dyDescent="0.25">
      <c r="A8118" s="178">
        <v>340113</v>
      </c>
      <c r="B8118" s="179" t="s">
        <v>456</v>
      </c>
      <c r="C8118" s="180">
        <v>6600</v>
      </c>
    </row>
    <row r="8119" spans="1:3" x14ac:dyDescent="0.25">
      <c r="A8119" s="178">
        <v>340114</v>
      </c>
      <c r="B8119" s="179" t="s">
        <v>456</v>
      </c>
      <c r="C8119" s="180">
        <v>1008</v>
      </c>
    </row>
    <row r="8120" spans="1:3" x14ac:dyDescent="0.25">
      <c r="A8120" s="178">
        <v>340115</v>
      </c>
      <c r="B8120" s="179" t="s">
        <v>456</v>
      </c>
      <c r="C8120" s="180">
        <v>1008</v>
      </c>
    </row>
    <row r="8121" spans="1:3" x14ac:dyDescent="0.25">
      <c r="A8121" s="178">
        <v>340117</v>
      </c>
      <c r="B8121" s="179" t="s">
        <v>456</v>
      </c>
      <c r="C8121" s="180">
        <v>4800</v>
      </c>
    </row>
    <row r="8122" spans="1:3" x14ac:dyDescent="0.25">
      <c r="A8122" s="178">
        <v>340120</v>
      </c>
      <c r="B8122" s="179" t="s">
        <v>456</v>
      </c>
      <c r="C8122" s="180">
        <v>740</v>
      </c>
    </row>
    <row r="8123" spans="1:3" x14ac:dyDescent="0.25">
      <c r="A8123" s="178">
        <v>340121</v>
      </c>
      <c r="B8123" s="179" t="s">
        <v>456</v>
      </c>
      <c r="C8123" s="180">
        <v>740</v>
      </c>
    </row>
    <row r="8124" spans="1:3" x14ac:dyDescent="0.25">
      <c r="A8124" s="178">
        <v>340122</v>
      </c>
      <c r="B8124" s="179" t="s">
        <v>456</v>
      </c>
      <c r="C8124" s="180">
        <v>840</v>
      </c>
    </row>
    <row r="8125" spans="1:3" x14ac:dyDescent="0.25">
      <c r="A8125" s="178">
        <v>340123</v>
      </c>
      <c r="B8125" s="179" t="s">
        <v>456</v>
      </c>
      <c r="C8125" s="180">
        <v>840</v>
      </c>
    </row>
    <row r="8126" spans="1:3" x14ac:dyDescent="0.25">
      <c r="A8126" s="178">
        <v>340124</v>
      </c>
      <c r="B8126" s="179" t="s">
        <v>456</v>
      </c>
      <c r="C8126" s="180">
        <v>700</v>
      </c>
    </row>
    <row r="8127" spans="1:3" x14ac:dyDescent="0.25">
      <c r="A8127" s="178">
        <v>340125</v>
      </c>
      <c r="B8127" s="179" t="s">
        <v>456</v>
      </c>
      <c r="C8127" s="180">
        <v>2600</v>
      </c>
    </row>
    <row r="8128" spans="1:3" x14ac:dyDescent="0.25">
      <c r="A8128" s="178">
        <v>340126</v>
      </c>
      <c r="B8128" s="179" t="s">
        <v>456</v>
      </c>
      <c r="C8128" s="180">
        <v>2600</v>
      </c>
    </row>
    <row r="8129" spans="1:3" x14ac:dyDescent="0.25">
      <c r="A8129" s="178">
        <v>340127</v>
      </c>
      <c r="B8129" s="179" t="s">
        <v>456</v>
      </c>
      <c r="C8129" s="180">
        <v>2600</v>
      </c>
    </row>
    <row r="8130" spans="1:3" x14ac:dyDescent="0.25">
      <c r="A8130" s="178">
        <v>340132</v>
      </c>
      <c r="B8130" s="179" t="s">
        <v>456</v>
      </c>
      <c r="C8130" s="180">
        <v>6600</v>
      </c>
    </row>
    <row r="8131" spans="1:3" x14ac:dyDescent="0.25">
      <c r="A8131" s="178">
        <v>340133</v>
      </c>
      <c r="B8131" s="179" t="s">
        <v>456</v>
      </c>
      <c r="C8131" s="180">
        <v>99999</v>
      </c>
    </row>
    <row r="8132" spans="1:3" x14ac:dyDescent="0.25">
      <c r="A8132" s="178">
        <v>340134</v>
      </c>
      <c r="B8132" s="179" t="s">
        <v>456</v>
      </c>
      <c r="C8132" s="180">
        <v>99999</v>
      </c>
    </row>
    <row r="8133" spans="1:3" x14ac:dyDescent="0.25">
      <c r="A8133" s="178">
        <v>340135</v>
      </c>
      <c r="B8133" s="179" t="s">
        <v>456</v>
      </c>
      <c r="C8133" s="180">
        <v>99999</v>
      </c>
    </row>
    <row r="8134" spans="1:3" x14ac:dyDescent="0.25">
      <c r="A8134" s="178">
        <v>340137</v>
      </c>
      <c r="B8134" s="179" t="s">
        <v>456</v>
      </c>
      <c r="C8134" s="180">
        <v>99999</v>
      </c>
    </row>
    <row r="8135" spans="1:3" x14ac:dyDescent="0.25">
      <c r="A8135" s="178">
        <v>340138</v>
      </c>
      <c r="B8135" s="179" t="s">
        <v>456</v>
      </c>
      <c r="C8135" s="180">
        <v>99999</v>
      </c>
    </row>
    <row r="8136" spans="1:3" x14ac:dyDescent="0.25">
      <c r="A8136" s="178">
        <v>340139</v>
      </c>
      <c r="B8136" s="179" t="s">
        <v>456</v>
      </c>
      <c r="C8136" s="180">
        <v>99999</v>
      </c>
    </row>
    <row r="8137" spans="1:3" x14ac:dyDescent="0.25">
      <c r="A8137" s="178">
        <v>340140</v>
      </c>
      <c r="B8137" s="179" t="s">
        <v>456</v>
      </c>
      <c r="C8137" s="180">
        <v>99999</v>
      </c>
    </row>
    <row r="8138" spans="1:3" x14ac:dyDescent="0.25">
      <c r="A8138" s="178">
        <v>340141</v>
      </c>
      <c r="B8138" s="179" t="s">
        <v>456</v>
      </c>
      <c r="C8138" s="180">
        <v>99999</v>
      </c>
    </row>
    <row r="8139" spans="1:3" x14ac:dyDescent="0.25">
      <c r="A8139" s="178">
        <v>340142</v>
      </c>
      <c r="B8139" s="179" t="s">
        <v>456</v>
      </c>
      <c r="C8139" s="180">
        <v>99999</v>
      </c>
    </row>
    <row r="8140" spans="1:3" x14ac:dyDescent="0.25">
      <c r="A8140" s="178">
        <v>340144</v>
      </c>
      <c r="B8140" s="179" t="s">
        <v>456</v>
      </c>
      <c r="C8140" s="180">
        <v>6600</v>
      </c>
    </row>
    <row r="8141" spans="1:3" x14ac:dyDescent="0.25">
      <c r="A8141" s="178">
        <v>340145</v>
      </c>
      <c r="B8141" s="179" t="s">
        <v>456</v>
      </c>
      <c r="C8141" s="180">
        <v>6600</v>
      </c>
    </row>
    <row r="8142" spans="1:3" x14ac:dyDescent="0.25">
      <c r="A8142" s="178">
        <v>340152</v>
      </c>
      <c r="B8142" s="179" t="s">
        <v>456</v>
      </c>
      <c r="C8142" s="180">
        <v>99999</v>
      </c>
    </row>
    <row r="8143" spans="1:3" x14ac:dyDescent="0.25">
      <c r="A8143" s="178">
        <v>340153</v>
      </c>
      <c r="B8143" s="179" t="s">
        <v>456</v>
      </c>
      <c r="C8143" s="180">
        <v>99999</v>
      </c>
    </row>
    <row r="8144" spans="1:3" x14ac:dyDescent="0.25">
      <c r="A8144" s="178">
        <v>340154</v>
      </c>
      <c r="B8144" s="179" t="s">
        <v>456</v>
      </c>
      <c r="C8144" s="180">
        <v>99999</v>
      </c>
    </row>
    <row r="8145" spans="1:3" x14ac:dyDescent="0.25">
      <c r="A8145" s="178">
        <v>340155</v>
      </c>
      <c r="B8145" s="179" t="s">
        <v>456</v>
      </c>
      <c r="C8145" s="180">
        <v>99999</v>
      </c>
    </row>
    <row r="8146" spans="1:3" x14ac:dyDescent="0.25">
      <c r="A8146" s="178">
        <v>340157</v>
      </c>
      <c r="B8146" s="179" t="s">
        <v>456</v>
      </c>
      <c r="C8146" s="180">
        <v>6600</v>
      </c>
    </row>
    <row r="8147" spans="1:3" x14ac:dyDescent="0.25">
      <c r="A8147" s="178">
        <v>340158</v>
      </c>
      <c r="B8147" s="179" t="s">
        <v>456</v>
      </c>
      <c r="C8147" s="180">
        <v>6600</v>
      </c>
    </row>
    <row r="8148" spans="1:3" x14ac:dyDescent="0.25">
      <c r="A8148" s="178">
        <v>340159</v>
      </c>
      <c r="B8148" s="179" t="s">
        <v>456</v>
      </c>
      <c r="C8148" s="180">
        <v>6600</v>
      </c>
    </row>
    <row r="8149" spans="1:3" x14ac:dyDescent="0.25">
      <c r="A8149" s="178">
        <v>340162</v>
      </c>
      <c r="B8149" s="179" t="s">
        <v>456</v>
      </c>
      <c r="C8149" s="180">
        <v>9408</v>
      </c>
    </row>
    <row r="8150" spans="1:3" x14ac:dyDescent="0.25">
      <c r="A8150" s="178">
        <v>340163</v>
      </c>
      <c r="B8150" s="179" t="s">
        <v>456</v>
      </c>
      <c r="C8150" s="180">
        <v>13248</v>
      </c>
    </row>
    <row r="8151" spans="1:3" x14ac:dyDescent="0.25">
      <c r="A8151" s="178">
        <v>340164</v>
      </c>
      <c r="B8151" s="179" t="s">
        <v>456</v>
      </c>
      <c r="C8151" s="180">
        <v>13248</v>
      </c>
    </row>
    <row r="8152" spans="1:3" x14ac:dyDescent="0.25">
      <c r="A8152" s="178">
        <v>340165</v>
      </c>
      <c r="B8152" s="179" t="s">
        <v>456</v>
      </c>
      <c r="C8152" s="180">
        <v>13248</v>
      </c>
    </row>
    <row r="8153" spans="1:3" x14ac:dyDescent="0.25">
      <c r="A8153" s="178">
        <v>340166</v>
      </c>
      <c r="B8153" s="179" t="s">
        <v>456</v>
      </c>
      <c r="C8153" s="180">
        <v>14112</v>
      </c>
    </row>
    <row r="8154" spans="1:3" x14ac:dyDescent="0.25">
      <c r="A8154" s="178">
        <v>340167</v>
      </c>
      <c r="B8154" s="179" t="s">
        <v>456</v>
      </c>
      <c r="C8154" s="180">
        <v>14112</v>
      </c>
    </row>
    <row r="8155" spans="1:3" x14ac:dyDescent="0.25">
      <c r="A8155" s="178">
        <v>340168</v>
      </c>
      <c r="B8155" s="179" t="s">
        <v>456</v>
      </c>
      <c r="C8155" s="180">
        <v>14112</v>
      </c>
    </row>
    <row r="8156" spans="1:3" x14ac:dyDescent="0.25">
      <c r="A8156" s="178">
        <v>340169</v>
      </c>
      <c r="B8156" s="179" t="s">
        <v>456</v>
      </c>
      <c r="C8156" s="180">
        <v>23868</v>
      </c>
    </row>
    <row r="8157" spans="1:3" x14ac:dyDescent="0.25">
      <c r="A8157" s="178">
        <v>340170</v>
      </c>
      <c r="B8157" s="179" t="s">
        <v>456</v>
      </c>
      <c r="C8157" s="180">
        <v>23868</v>
      </c>
    </row>
    <row r="8158" spans="1:3" x14ac:dyDescent="0.25">
      <c r="A8158" s="178">
        <v>340171</v>
      </c>
      <c r="B8158" s="179" t="s">
        <v>456</v>
      </c>
      <c r="C8158" s="180">
        <v>23868</v>
      </c>
    </row>
    <row r="8159" spans="1:3" x14ac:dyDescent="0.25">
      <c r="A8159" s="178">
        <v>340172</v>
      </c>
      <c r="B8159" s="179" t="s">
        <v>456</v>
      </c>
      <c r="C8159" s="180">
        <v>23868</v>
      </c>
    </row>
    <row r="8160" spans="1:3" x14ac:dyDescent="0.25">
      <c r="A8160" s="178">
        <v>340173</v>
      </c>
      <c r="B8160" s="179" t="s">
        <v>456</v>
      </c>
      <c r="C8160" s="180">
        <v>23868</v>
      </c>
    </row>
    <row r="8161" spans="1:3" x14ac:dyDescent="0.25">
      <c r="A8161" s="178">
        <v>340174</v>
      </c>
      <c r="B8161" s="179" t="s">
        <v>456</v>
      </c>
      <c r="C8161" s="180">
        <v>23868</v>
      </c>
    </row>
    <row r="8162" spans="1:3" x14ac:dyDescent="0.25">
      <c r="A8162" s="178">
        <v>340175</v>
      </c>
      <c r="B8162" s="179" t="s">
        <v>456</v>
      </c>
      <c r="C8162" s="180">
        <v>23868</v>
      </c>
    </row>
    <row r="8163" spans="1:3" x14ac:dyDescent="0.25">
      <c r="A8163" s="178">
        <v>340178</v>
      </c>
      <c r="B8163" s="179" t="s">
        <v>456</v>
      </c>
      <c r="C8163" s="180">
        <v>99999</v>
      </c>
    </row>
    <row r="8164" spans="1:3" x14ac:dyDescent="0.25">
      <c r="A8164" s="178">
        <v>340179</v>
      </c>
      <c r="B8164" s="179" t="s">
        <v>456</v>
      </c>
      <c r="C8164" s="180">
        <v>260</v>
      </c>
    </row>
    <row r="8165" spans="1:3" x14ac:dyDescent="0.25">
      <c r="A8165" s="178">
        <v>340180</v>
      </c>
      <c r="B8165" s="179" t="s">
        <v>456</v>
      </c>
      <c r="C8165" s="180">
        <v>99999</v>
      </c>
    </row>
    <row r="8166" spans="1:3" x14ac:dyDescent="0.25">
      <c r="A8166" s="178">
        <v>340181</v>
      </c>
      <c r="B8166" s="179" t="s">
        <v>456</v>
      </c>
      <c r="C8166" s="180">
        <v>99999</v>
      </c>
    </row>
    <row r="8167" spans="1:3" x14ac:dyDescent="0.25">
      <c r="A8167" s="178">
        <v>340182</v>
      </c>
      <c r="B8167" s="179" t="s">
        <v>456</v>
      </c>
      <c r="C8167" s="180">
        <v>99999</v>
      </c>
    </row>
    <row r="8168" spans="1:3" x14ac:dyDescent="0.25">
      <c r="A8168" s="178">
        <v>340183</v>
      </c>
      <c r="B8168" s="179" t="s">
        <v>456</v>
      </c>
      <c r="C8168" s="180">
        <v>99999</v>
      </c>
    </row>
    <row r="8169" spans="1:3" x14ac:dyDescent="0.25">
      <c r="A8169" s="178">
        <v>340184</v>
      </c>
      <c r="B8169" s="179" t="s">
        <v>456</v>
      </c>
      <c r="C8169" s="180">
        <v>99999</v>
      </c>
    </row>
    <row r="8170" spans="1:3" x14ac:dyDescent="0.25">
      <c r="A8170" s="178">
        <v>340185</v>
      </c>
      <c r="B8170" s="179" t="s">
        <v>456</v>
      </c>
      <c r="C8170" s="180">
        <v>6600</v>
      </c>
    </row>
    <row r="8171" spans="1:3" x14ac:dyDescent="0.25">
      <c r="A8171" s="178">
        <v>340204</v>
      </c>
      <c r="B8171" s="179" t="s">
        <v>456</v>
      </c>
      <c r="C8171" s="180">
        <v>14</v>
      </c>
    </row>
    <row r="8172" spans="1:3" x14ac:dyDescent="0.25">
      <c r="A8172" s="178">
        <v>340205</v>
      </c>
      <c r="B8172" s="179" t="s">
        <v>456</v>
      </c>
      <c r="C8172" s="180">
        <v>175</v>
      </c>
    </row>
    <row r="8173" spans="1:3" x14ac:dyDescent="0.25">
      <c r="A8173" s="178">
        <v>340206</v>
      </c>
      <c r="B8173" s="179" t="s">
        <v>456</v>
      </c>
      <c r="C8173" s="180">
        <v>270</v>
      </c>
    </row>
    <row r="8174" spans="1:3" x14ac:dyDescent="0.25">
      <c r="A8174" s="178">
        <v>340207</v>
      </c>
      <c r="B8174" s="179" t="s">
        <v>456</v>
      </c>
      <c r="C8174" s="180">
        <v>840</v>
      </c>
    </row>
    <row r="8175" spans="1:3" x14ac:dyDescent="0.25">
      <c r="A8175" s="178">
        <v>340209</v>
      </c>
      <c r="B8175" s="179" t="s">
        <v>456</v>
      </c>
      <c r="C8175" s="180">
        <v>45</v>
      </c>
    </row>
    <row r="8176" spans="1:3" x14ac:dyDescent="0.25">
      <c r="A8176" s="178">
        <v>340210</v>
      </c>
      <c r="B8176" s="179" t="s">
        <v>456</v>
      </c>
      <c r="C8176" s="180">
        <v>190</v>
      </c>
    </row>
    <row r="8177" spans="1:3" x14ac:dyDescent="0.25">
      <c r="A8177" s="178">
        <v>340212</v>
      </c>
      <c r="B8177" s="179" t="s">
        <v>456</v>
      </c>
      <c r="C8177" s="180">
        <v>1120</v>
      </c>
    </row>
    <row r="8178" spans="1:3" x14ac:dyDescent="0.25">
      <c r="A8178" s="178">
        <v>340216</v>
      </c>
      <c r="B8178" s="179" t="s">
        <v>456</v>
      </c>
      <c r="C8178" s="180">
        <v>99999</v>
      </c>
    </row>
    <row r="8179" spans="1:3" x14ac:dyDescent="0.25">
      <c r="A8179" s="178">
        <v>340217</v>
      </c>
      <c r="B8179" s="179" t="s">
        <v>456</v>
      </c>
      <c r="C8179" s="180">
        <v>99999</v>
      </c>
    </row>
    <row r="8180" spans="1:3" x14ac:dyDescent="0.25">
      <c r="A8180" s="178">
        <v>340218</v>
      </c>
      <c r="B8180" s="179" t="s">
        <v>456</v>
      </c>
      <c r="C8180" s="180">
        <v>99999</v>
      </c>
    </row>
    <row r="8181" spans="1:3" x14ac:dyDescent="0.25">
      <c r="A8181" s="178">
        <v>340219</v>
      </c>
      <c r="B8181" s="179" t="s">
        <v>456</v>
      </c>
      <c r="C8181" s="180">
        <v>99999</v>
      </c>
    </row>
    <row r="8182" spans="1:3" x14ac:dyDescent="0.25">
      <c r="A8182" s="178">
        <v>340220</v>
      </c>
      <c r="B8182" s="179" t="s">
        <v>456</v>
      </c>
      <c r="C8182" s="180">
        <v>99999</v>
      </c>
    </row>
    <row r="8183" spans="1:3" x14ac:dyDescent="0.25">
      <c r="A8183" s="178">
        <v>340221</v>
      </c>
      <c r="B8183" s="179" t="s">
        <v>456</v>
      </c>
      <c r="C8183" s="180">
        <v>99999</v>
      </c>
    </row>
    <row r="8184" spans="1:3" x14ac:dyDescent="0.25">
      <c r="A8184" s="178">
        <v>340222</v>
      </c>
      <c r="B8184" s="179" t="s">
        <v>456</v>
      </c>
      <c r="C8184" s="180">
        <v>99999</v>
      </c>
    </row>
    <row r="8185" spans="1:3" x14ac:dyDescent="0.25">
      <c r="A8185" s="178">
        <v>340223</v>
      </c>
      <c r="B8185" s="179" t="s">
        <v>456</v>
      </c>
      <c r="C8185" s="180">
        <v>99999</v>
      </c>
    </row>
    <row r="8186" spans="1:3" x14ac:dyDescent="0.25">
      <c r="A8186" s="178">
        <v>340224</v>
      </c>
      <c r="B8186" s="179" t="s">
        <v>456</v>
      </c>
      <c r="C8186" s="180">
        <v>99999</v>
      </c>
    </row>
    <row r="8187" spans="1:3" x14ac:dyDescent="0.25">
      <c r="A8187" s="178">
        <v>340225</v>
      </c>
      <c r="B8187" s="179" t="s">
        <v>456</v>
      </c>
      <c r="C8187" s="180">
        <v>99999</v>
      </c>
    </row>
    <row r="8188" spans="1:3" x14ac:dyDescent="0.25">
      <c r="A8188" s="178">
        <v>340226</v>
      </c>
      <c r="B8188" s="179" t="s">
        <v>456</v>
      </c>
      <c r="C8188" s="180">
        <v>99999</v>
      </c>
    </row>
    <row r="8189" spans="1:3" x14ac:dyDescent="0.25">
      <c r="A8189" s="178">
        <v>340227</v>
      </c>
      <c r="B8189" s="179" t="s">
        <v>456</v>
      </c>
      <c r="C8189" s="180">
        <v>99999</v>
      </c>
    </row>
    <row r="8190" spans="1:3" x14ac:dyDescent="0.25">
      <c r="A8190" s="178">
        <v>340228</v>
      </c>
      <c r="B8190" s="179" t="s">
        <v>456</v>
      </c>
      <c r="C8190" s="180">
        <v>99999</v>
      </c>
    </row>
    <row r="8191" spans="1:3" x14ac:dyDescent="0.25">
      <c r="A8191" s="178">
        <v>340229</v>
      </c>
      <c r="B8191" s="179" t="s">
        <v>456</v>
      </c>
      <c r="C8191" s="180">
        <v>99999</v>
      </c>
    </row>
    <row r="8192" spans="1:3" x14ac:dyDescent="0.25">
      <c r="A8192" s="178">
        <v>340230</v>
      </c>
      <c r="B8192" s="179" t="s">
        <v>456</v>
      </c>
      <c r="C8192" s="180">
        <v>1</v>
      </c>
    </row>
    <row r="8193" spans="1:3" x14ac:dyDescent="0.25">
      <c r="A8193" s="178">
        <v>340231</v>
      </c>
      <c r="B8193" s="179" t="s">
        <v>456</v>
      </c>
      <c r="C8193" s="180">
        <v>1</v>
      </c>
    </row>
    <row r="8194" spans="1:3" x14ac:dyDescent="0.25">
      <c r="A8194" s="178">
        <v>340232</v>
      </c>
      <c r="B8194" s="179" t="s">
        <v>456</v>
      </c>
      <c r="C8194" s="180">
        <v>1250</v>
      </c>
    </row>
    <row r="8195" spans="1:3" x14ac:dyDescent="0.25">
      <c r="A8195" s="178">
        <v>340234</v>
      </c>
      <c r="B8195" s="179" t="s">
        <v>456</v>
      </c>
      <c r="C8195" s="180">
        <v>33000</v>
      </c>
    </row>
    <row r="8196" spans="1:3" x14ac:dyDescent="0.25">
      <c r="A8196" s="178">
        <v>340235</v>
      </c>
      <c r="B8196" s="179" t="s">
        <v>456</v>
      </c>
      <c r="C8196" s="180">
        <v>33000</v>
      </c>
    </row>
    <row r="8197" spans="1:3" x14ac:dyDescent="0.25">
      <c r="A8197" s="178">
        <v>340236</v>
      </c>
      <c r="B8197" s="179" t="s">
        <v>456</v>
      </c>
      <c r="C8197" s="180">
        <v>1372</v>
      </c>
    </row>
    <row r="8198" spans="1:3" x14ac:dyDescent="0.25">
      <c r="A8198" s="178">
        <v>340237</v>
      </c>
      <c r="B8198" s="179" t="s">
        <v>456</v>
      </c>
      <c r="C8198" s="180">
        <v>900</v>
      </c>
    </row>
    <row r="8199" spans="1:3" x14ac:dyDescent="0.25">
      <c r="A8199" s="178">
        <v>340238</v>
      </c>
      <c r="B8199" s="179" t="s">
        <v>456</v>
      </c>
      <c r="C8199" s="180">
        <v>99999</v>
      </c>
    </row>
    <row r="8200" spans="1:3" x14ac:dyDescent="0.25">
      <c r="A8200" s="178">
        <v>340239</v>
      </c>
      <c r="B8200" s="179" t="s">
        <v>456</v>
      </c>
      <c r="C8200" s="180">
        <v>99999</v>
      </c>
    </row>
    <row r="8201" spans="1:3" x14ac:dyDescent="0.25">
      <c r="A8201" s="178">
        <v>340240</v>
      </c>
      <c r="B8201" s="179" t="s">
        <v>456</v>
      </c>
      <c r="C8201" s="180">
        <v>99999</v>
      </c>
    </row>
    <row r="8202" spans="1:3" x14ac:dyDescent="0.25">
      <c r="A8202" s="178">
        <v>340241</v>
      </c>
      <c r="B8202" s="179" t="s">
        <v>456</v>
      </c>
      <c r="C8202" s="180">
        <v>99999</v>
      </c>
    </row>
    <row r="8203" spans="1:3" x14ac:dyDescent="0.25">
      <c r="A8203" s="178">
        <v>340242</v>
      </c>
      <c r="B8203" s="179" t="s">
        <v>456</v>
      </c>
      <c r="C8203" s="180">
        <v>99999</v>
      </c>
    </row>
    <row r="8204" spans="1:3" x14ac:dyDescent="0.25">
      <c r="A8204" s="178">
        <v>340243</v>
      </c>
      <c r="B8204" s="179" t="s">
        <v>456</v>
      </c>
      <c r="C8204" s="180">
        <v>99999</v>
      </c>
    </row>
    <row r="8205" spans="1:3" x14ac:dyDescent="0.25">
      <c r="A8205" s="178">
        <v>340244</v>
      </c>
      <c r="B8205" s="179" t="s">
        <v>456</v>
      </c>
      <c r="C8205" s="180">
        <v>99999</v>
      </c>
    </row>
    <row r="8206" spans="1:3" x14ac:dyDescent="0.25">
      <c r="A8206" s="178">
        <v>340245</v>
      </c>
      <c r="B8206" s="179" t="s">
        <v>456</v>
      </c>
      <c r="C8206" s="180">
        <v>99999</v>
      </c>
    </row>
    <row r="8207" spans="1:3" x14ac:dyDescent="0.25">
      <c r="A8207" s="178">
        <v>340246</v>
      </c>
      <c r="B8207" s="179" t="s">
        <v>456</v>
      </c>
      <c r="C8207" s="180">
        <v>99999</v>
      </c>
    </row>
    <row r="8208" spans="1:3" x14ac:dyDescent="0.25">
      <c r="A8208" s="178">
        <v>340247</v>
      </c>
      <c r="B8208" s="179" t="s">
        <v>456</v>
      </c>
      <c r="C8208" s="180">
        <v>99999</v>
      </c>
    </row>
    <row r="8209" spans="1:3" x14ac:dyDescent="0.25">
      <c r="A8209" s="178">
        <v>340248</v>
      </c>
      <c r="B8209" s="179" t="s">
        <v>456</v>
      </c>
      <c r="C8209" s="180">
        <v>99999</v>
      </c>
    </row>
    <row r="8210" spans="1:3" x14ac:dyDescent="0.25">
      <c r="A8210" s="178">
        <v>340249</v>
      </c>
      <c r="B8210" s="179" t="s">
        <v>456</v>
      </c>
      <c r="C8210" s="180">
        <v>99999</v>
      </c>
    </row>
    <row r="8211" spans="1:3" x14ac:dyDescent="0.25">
      <c r="A8211" s="178">
        <v>340250</v>
      </c>
      <c r="B8211" s="179" t="s">
        <v>456</v>
      </c>
      <c r="C8211" s="180">
        <v>99999</v>
      </c>
    </row>
    <row r="8212" spans="1:3" x14ac:dyDescent="0.25">
      <c r="A8212" s="178">
        <v>340251</v>
      </c>
      <c r="B8212" s="179" t="s">
        <v>456</v>
      </c>
      <c r="C8212" s="180">
        <v>99999</v>
      </c>
    </row>
    <row r="8213" spans="1:3" x14ac:dyDescent="0.25">
      <c r="A8213" s="178">
        <v>340252</v>
      </c>
      <c r="B8213" s="179" t="s">
        <v>456</v>
      </c>
      <c r="C8213" s="180">
        <v>99999</v>
      </c>
    </row>
    <row r="8214" spans="1:3" x14ac:dyDescent="0.25">
      <c r="A8214" s="178">
        <v>340253</v>
      </c>
      <c r="B8214" s="179" t="s">
        <v>456</v>
      </c>
      <c r="C8214" s="180">
        <v>99999</v>
      </c>
    </row>
    <row r="8215" spans="1:3" x14ac:dyDescent="0.25">
      <c r="A8215" s="178">
        <v>340254</v>
      </c>
      <c r="B8215" s="179" t="s">
        <v>456</v>
      </c>
      <c r="C8215" s="180">
        <v>6600</v>
      </c>
    </row>
    <row r="8216" spans="1:3" x14ac:dyDescent="0.25">
      <c r="A8216" s="178">
        <v>340255</v>
      </c>
      <c r="B8216" s="179" t="s">
        <v>456</v>
      </c>
      <c r="C8216" s="180">
        <v>6600</v>
      </c>
    </row>
    <row r="8217" spans="1:3" x14ac:dyDescent="0.25">
      <c r="A8217" s="178">
        <v>340256</v>
      </c>
      <c r="B8217" s="179" t="s">
        <v>456</v>
      </c>
      <c r="C8217" s="180">
        <v>99999</v>
      </c>
    </row>
    <row r="8218" spans="1:3" x14ac:dyDescent="0.25">
      <c r="A8218" s="178">
        <v>340257</v>
      </c>
      <c r="B8218" s="179" t="s">
        <v>456</v>
      </c>
      <c r="C8218" s="180">
        <v>99999</v>
      </c>
    </row>
    <row r="8219" spans="1:3" x14ac:dyDescent="0.25">
      <c r="A8219" s="178">
        <v>340258</v>
      </c>
      <c r="B8219" s="179" t="s">
        <v>456</v>
      </c>
      <c r="C8219" s="180">
        <v>99999</v>
      </c>
    </row>
    <row r="8220" spans="1:3" x14ac:dyDescent="0.25">
      <c r="A8220" s="178">
        <v>340259</v>
      </c>
      <c r="B8220" s="179" t="s">
        <v>456</v>
      </c>
      <c r="C8220" s="180">
        <v>99999</v>
      </c>
    </row>
    <row r="8221" spans="1:3" x14ac:dyDescent="0.25">
      <c r="A8221" s="178">
        <v>340260</v>
      </c>
      <c r="B8221" s="179" t="s">
        <v>456</v>
      </c>
      <c r="C8221" s="180">
        <v>99999</v>
      </c>
    </row>
    <row r="8222" spans="1:3" x14ac:dyDescent="0.25">
      <c r="A8222" s="178">
        <v>340261</v>
      </c>
      <c r="B8222" s="179" t="s">
        <v>456</v>
      </c>
      <c r="C8222" s="180">
        <v>99999</v>
      </c>
    </row>
    <row r="8223" spans="1:3" x14ac:dyDescent="0.25">
      <c r="A8223" s="178">
        <v>340262</v>
      </c>
      <c r="B8223" s="179" t="s">
        <v>456</v>
      </c>
      <c r="C8223" s="180">
        <v>99999</v>
      </c>
    </row>
    <row r="8224" spans="1:3" x14ac:dyDescent="0.25">
      <c r="A8224" s="178">
        <v>340263</v>
      </c>
      <c r="B8224" s="179" t="s">
        <v>456</v>
      </c>
      <c r="C8224" s="180">
        <v>600</v>
      </c>
    </row>
    <row r="8225" spans="1:3" x14ac:dyDescent="0.25">
      <c r="A8225" s="178">
        <v>340264</v>
      </c>
      <c r="B8225" s="179" t="s">
        <v>456</v>
      </c>
      <c r="C8225" s="180">
        <v>250</v>
      </c>
    </row>
    <row r="8226" spans="1:3" x14ac:dyDescent="0.25">
      <c r="A8226" s="178">
        <v>340265</v>
      </c>
      <c r="B8226" s="179" t="s">
        <v>456</v>
      </c>
      <c r="C8226" s="180">
        <v>250</v>
      </c>
    </row>
    <row r="8227" spans="1:3" x14ac:dyDescent="0.25">
      <c r="A8227" s="178">
        <v>340266</v>
      </c>
      <c r="B8227" s="179" t="s">
        <v>456</v>
      </c>
      <c r="C8227" s="180">
        <v>320</v>
      </c>
    </row>
    <row r="8228" spans="1:3" x14ac:dyDescent="0.25">
      <c r="A8228" s="178">
        <v>340268</v>
      </c>
      <c r="B8228" s="179" t="s">
        <v>456</v>
      </c>
      <c r="C8228" s="180">
        <v>1170</v>
      </c>
    </row>
    <row r="8229" spans="1:3" x14ac:dyDescent="0.25">
      <c r="A8229" s="178">
        <v>340270</v>
      </c>
      <c r="B8229" s="179" t="s">
        <v>456</v>
      </c>
      <c r="C8229" s="180">
        <v>1170</v>
      </c>
    </row>
    <row r="8230" spans="1:3" x14ac:dyDescent="0.25">
      <c r="A8230" s="178">
        <v>340271</v>
      </c>
      <c r="B8230" s="179" t="s">
        <v>456</v>
      </c>
      <c r="C8230" s="180">
        <v>1170</v>
      </c>
    </row>
    <row r="8231" spans="1:3" x14ac:dyDescent="0.25">
      <c r="A8231" s="178">
        <v>340273</v>
      </c>
      <c r="B8231" s="179" t="s">
        <v>456</v>
      </c>
      <c r="C8231" s="180">
        <v>99999</v>
      </c>
    </row>
    <row r="8232" spans="1:3" x14ac:dyDescent="0.25">
      <c r="A8232" s="178">
        <v>340274</v>
      </c>
      <c r="B8232" s="179" t="s">
        <v>456</v>
      </c>
      <c r="C8232" s="180">
        <v>99999</v>
      </c>
    </row>
    <row r="8233" spans="1:3" x14ac:dyDescent="0.25">
      <c r="A8233" s="178">
        <v>340275</v>
      </c>
      <c r="B8233" s="179" t="s">
        <v>456</v>
      </c>
      <c r="C8233" s="180">
        <v>99999</v>
      </c>
    </row>
    <row r="8234" spans="1:3" x14ac:dyDescent="0.25">
      <c r="A8234" s="178">
        <v>340276</v>
      </c>
      <c r="B8234" s="179" t="s">
        <v>456</v>
      </c>
      <c r="C8234" s="180">
        <v>99999</v>
      </c>
    </row>
    <row r="8235" spans="1:3" x14ac:dyDescent="0.25">
      <c r="A8235" s="178">
        <v>340277</v>
      </c>
      <c r="B8235" s="179" t="s">
        <v>456</v>
      </c>
      <c r="C8235" s="180">
        <v>99999</v>
      </c>
    </row>
    <row r="8236" spans="1:3" x14ac:dyDescent="0.25">
      <c r="A8236" s="178">
        <v>340278</v>
      </c>
      <c r="B8236" s="179" t="s">
        <v>456</v>
      </c>
      <c r="C8236" s="180">
        <v>99999</v>
      </c>
    </row>
    <row r="8237" spans="1:3" x14ac:dyDescent="0.25">
      <c r="A8237" s="178">
        <v>340279</v>
      </c>
      <c r="B8237" s="179" t="s">
        <v>456</v>
      </c>
      <c r="C8237" s="180">
        <v>99999</v>
      </c>
    </row>
    <row r="8238" spans="1:3" x14ac:dyDescent="0.25">
      <c r="A8238" s="178">
        <v>340280</v>
      </c>
      <c r="B8238" s="179" t="s">
        <v>456</v>
      </c>
      <c r="C8238" s="180">
        <v>99999</v>
      </c>
    </row>
    <row r="8239" spans="1:3" x14ac:dyDescent="0.25">
      <c r="A8239" s="178">
        <v>340281</v>
      </c>
      <c r="B8239" s="179" t="s">
        <v>456</v>
      </c>
      <c r="C8239" s="180">
        <v>99999</v>
      </c>
    </row>
    <row r="8240" spans="1:3" x14ac:dyDescent="0.25">
      <c r="A8240" s="178">
        <v>340282</v>
      </c>
      <c r="B8240" s="179" t="s">
        <v>456</v>
      </c>
      <c r="C8240" s="180">
        <v>99999</v>
      </c>
    </row>
    <row r="8241" spans="1:3" x14ac:dyDescent="0.25">
      <c r="A8241" s="178">
        <v>340284</v>
      </c>
      <c r="B8241" s="179" t="s">
        <v>456</v>
      </c>
      <c r="C8241" s="180">
        <v>4320</v>
      </c>
    </row>
    <row r="8242" spans="1:3" x14ac:dyDescent="0.25">
      <c r="A8242" s="178">
        <v>340286</v>
      </c>
      <c r="B8242" s="179" t="s">
        <v>456</v>
      </c>
      <c r="C8242" s="180">
        <v>7200</v>
      </c>
    </row>
    <row r="8243" spans="1:3" x14ac:dyDescent="0.25">
      <c r="A8243" s="178">
        <v>340330</v>
      </c>
      <c r="B8243" s="179" t="s">
        <v>456</v>
      </c>
      <c r="C8243" s="180">
        <v>2160</v>
      </c>
    </row>
    <row r="8244" spans="1:3" x14ac:dyDescent="0.25">
      <c r="A8244" s="178">
        <v>340331</v>
      </c>
      <c r="B8244" s="179" t="s">
        <v>456</v>
      </c>
      <c r="C8244" s="180">
        <v>2220</v>
      </c>
    </row>
    <row r="8245" spans="1:3" x14ac:dyDescent="0.25">
      <c r="A8245" s="178">
        <v>340332</v>
      </c>
      <c r="B8245" s="179" t="s">
        <v>456</v>
      </c>
      <c r="C8245" s="180">
        <v>1480</v>
      </c>
    </row>
    <row r="8246" spans="1:3" x14ac:dyDescent="0.25">
      <c r="A8246" s="178">
        <v>340333</v>
      </c>
      <c r="B8246" s="179" t="s">
        <v>456</v>
      </c>
      <c r="C8246" s="180">
        <v>99999</v>
      </c>
    </row>
    <row r="8247" spans="1:3" x14ac:dyDescent="0.25">
      <c r="A8247" s="178">
        <v>340334</v>
      </c>
      <c r="B8247" s="179" t="s">
        <v>456</v>
      </c>
      <c r="C8247" s="180">
        <v>120</v>
      </c>
    </row>
    <row r="8248" spans="1:3" x14ac:dyDescent="0.25">
      <c r="A8248" s="178">
        <v>340335</v>
      </c>
      <c r="B8248" s="179" t="s">
        <v>456</v>
      </c>
      <c r="C8248" s="180">
        <v>120</v>
      </c>
    </row>
    <row r="8249" spans="1:3" x14ac:dyDescent="0.25">
      <c r="A8249" s="178">
        <v>340337</v>
      </c>
      <c r="B8249" s="179" t="s">
        <v>456</v>
      </c>
      <c r="C8249" s="180">
        <v>4670</v>
      </c>
    </row>
    <row r="8250" spans="1:3" x14ac:dyDescent="0.25">
      <c r="A8250" s="178">
        <v>340338</v>
      </c>
      <c r="B8250" s="179" t="s">
        <v>456</v>
      </c>
      <c r="C8250" s="180">
        <v>4670</v>
      </c>
    </row>
    <row r="8251" spans="1:3" x14ac:dyDescent="0.25">
      <c r="A8251" s="178">
        <v>340339</v>
      </c>
      <c r="B8251" s="179" t="s">
        <v>456</v>
      </c>
      <c r="C8251" s="180">
        <v>750</v>
      </c>
    </row>
    <row r="8252" spans="1:3" x14ac:dyDescent="0.25">
      <c r="A8252" s="178">
        <v>340340</v>
      </c>
      <c r="B8252" s="179" t="s">
        <v>456</v>
      </c>
      <c r="C8252" s="180">
        <v>6600</v>
      </c>
    </row>
    <row r="8253" spans="1:3" x14ac:dyDescent="0.25">
      <c r="A8253" s="178">
        <v>340341</v>
      </c>
      <c r="B8253" s="179" t="s">
        <v>456</v>
      </c>
      <c r="C8253" s="180">
        <v>6800</v>
      </c>
    </row>
    <row r="8254" spans="1:3" x14ac:dyDescent="0.25">
      <c r="A8254" s="178">
        <v>340342</v>
      </c>
      <c r="B8254" s="179" t="s">
        <v>456</v>
      </c>
      <c r="C8254" s="180">
        <v>6600</v>
      </c>
    </row>
    <row r="8255" spans="1:3" x14ac:dyDescent="0.25">
      <c r="A8255" s="178">
        <v>340343</v>
      </c>
      <c r="B8255" s="179" t="s">
        <v>456</v>
      </c>
      <c r="C8255" s="180">
        <v>6600</v>
      </c>
    </row>
    <row r="8256" spans="1:3" x14ac:dyDescent="0.25">
      <c r="A8256" s="178">
        <v>340344</v>
      </c>
      <c r="B8256" s="179" t="s">
        <v>456</v>
      </c>
      <c r="C8256" s="180">
        <v>6800</v>
      </c>
    </row>
    <row r="8257" spans="1:3" x14ac:dyDescent="0.25">
      <c r="A8257" s="178">
        <v>340345</v>
      </c>
      <c r="B8257" s="179" t="s">
        <v>456</v>
      </c>
      <c r="C8257" s="180">
        <v>130</v>
      </c>
    </row>
    <row r="8258" spans="1:3" x14ac:dyDescent="0.25">
      <c r="A8258" s="178">
        <v>340346</v>
      </c>
      <c r="B8258" s="179" t="s">
        <v>456</v>
      </c>
      <c r="C8258" s="180">
        <v>46800</v>
      </c>
    </row>
    <row r="8259" spans="1:3" x14ac:dyDescent="0.25">
      <c r="A8259" s="178">
        <v>340348</v>
      </c>
      <c r="B8259" s="179" t="s">
        <v>456</v>
      </c>
      <c r="C8259" s="180">
        <v>6600</v>
      </c>
    </row>
    <row r="8260" spans="1:3" x14ac:dyDescent="0.25">
      <c r="A8260" s="178">
        <v>340349</v>
      </c>
      <c r="B8260" s="179" t="s">
        <v>456</v>
      </c>
      <c r="C8260" s="180">
        <v>1480</v>
      </c>
    </row>
    <row r="8261" spans="1:3" x14ac:dyDescent="0.25">
      <c r="A8261" s="178">
        <v>340350</v>
      </c>
      <c r="B8261" s="179" t="s">
        <v>456</v>
      </c>
      <c r="C8261" s="180">
        <v>4194</v>
      </c>
    </row>
    <row r="8262" spans="1:3" x14ac:dyDescent="0.25">
      <c r="A8262" s="178">
        <v>340352</v>
      </c>
      <c r="B8262" s="179" t="s">
        <v>456</v>
      </c>
      <c r="C8262" s="180">
        <v>33000</v>
      </c>
    </row>
    <row r="8263" spans="1:3" x14ac:dyDescent="0.25">
      <c r="A8263" s="178">
        <v>340353</v>
      </c>
      <c r="B8263" s="179" t="s">
        <v>456</v>
      </c>
      <c r="C8263" s="180">
        <v>99999</v>
      </c>
    </row>
    <row r="8264" spans="1:3" x14ac:dyDescent="0.25">
      <c r="A8264" s="178">
        <v>340355</v>
      </c>
      <c r="B8264" s="179" t="s">
        <v>456</v>
      </c>
      <c r="C8264" s="180">
        <v>99999</v>
      </c>
    </row>
    <row r="8265" spans="1:3" x14ac:dyDescent="0.25">
      <c r="A8265" s="178">
        <v>340356</v>
      </c>
      <c r="B8265" s="179" t="s">
        <v>456</v>
      </c>
      <c r="C8265" s="180">
        <v>1950</v>
      </c>
    </row>
    <row r="8266" spans="1:3" x14ac:dyDescent="0.25">
      <c r="A8266" s="178">
        <v>340357</v>
      </c>
      <c r="B8266" s="179" t="s">
        <v>456</v>
      </c>
      <c r="C8266" s="180">
        <v>6600</v>
      </c>
    </row>
    <row r="8267" spans="1:3" x14ac:dyDescent="0.25">
      <c r="A8267" s="178">
        <v>340358</v>
      </c>
      <c r="B8267" s="179" t="s">
        <v>456</v>
      </c>
      <c r="C8267" s="180">
        <v>130</v>
      </c>
    </row>
    <row r="8268" spans="1:3" x14ac:dyDescent="0.25">
      <c r="A8268" s="178">
        <v>340359</v>
      </c>
      <c r="B8268" s="179" t="s">
        <v>456</v>
      </c>
      <c r="C8268" s="180">
        <v>5126</v>
      </c>
    </row>
    <row r="8269" spans="1:3" x14ac:dyDescent="0.25">
      <c r="A8269" s="178">
        <v>340361</v>
      </c>
      <c r="B8269" s="179" t="s">
        <v>456</v>
      </c>
      <c r="C8269" s="180">
        <v>99999</v>
      </c>
    </row>
    <row r="8270" spans="1:3" x14ac:dyDescent="0.25">
      <c r="A8270" s="178">
        <v>340363</v>
      </c>
      <c r="B8270" s="179" t="s">
        <v>456</v>
      </c>
      <c r="C8270" s="180">
        <v>99999</v>
      </c>
    </row>
    <row r="8271" spans="1:3" x14ac:dyDescent="0.25">
      <c r="A8271" s="178">
        <v>340365</v>
      </c>
      <c r="B8271" s="179" t="s">
        <v>456</v>
      </c>
      <c r="C8271" s="180">
        <v>14500</v>
      </c>
    </row>
    <row r="8272" spans="1:3" x14ac:dyDescent="0.25">
      <c r="A8272" s="178">
        <v>340366</v>
      </c>
      <c r="B8272" s="179" t="s">
        <v>456</v>
      </c>
      <c r="C8272" s="180">
        <v>14500</v>
      </c>
    </row>
    <row r="8273" spans="1:3" x14ac:dyDescent="0.25">
      <c r="A8273" s="178">
        <v>340367</v>
      </c>
      <c r="B8273" s="179" t="s">
        <v>456</v>
      </c>
      <c r="C8273" s="180">
        <v>14500</v>
      </c>
    </row>
    <row r="8274" spans="1:3" x14ac:dyDescent="0.25">
      <c r="A8274" s="178">
        <v>340371</v>
      </c>
      <c r="B8274" s="179" t="s">
        <v>456</v>
      </c>
      <c r="C8274" s="180">
        <v>7200</v>
      </c>
    </row>
    <row r="8275" spans="1:3" x14ac:dyDescent="0.25">
      <c r="A8275" s="178">
        <v>340376</v>
      </c>
      <c r="B8275" s="179" t="s">
        <v>456</v>
      </c>
      <c r="C8275" s="180">
        <v>3600</v>
      </c>
    </row>
    <row r="8276" spans="1:3" x14ac:dyDescent="0.25">
      <c r="A8276" s="178">
        <v>340377</v>
      </c>
      <c r="B8276" s="179" t="s">
        <v>456</v>
      </c>
      <c r="C8276" s="180">
        <v>3600</v>
      </c>
    </row>
    <row r="8277" spans="1:3" x14ac:dyDescent="0.25">
      <c r="A8277" s="178">
        <v>340387</v>
      </c>
      <c r="B8277" s="179" t="s">
        <v>456</v>
      </c>
      <c r="C8277" s="180">
        <v>99999</v>
      </c>
    </row>
    <row r="8278" spans="1:3" x14ac:dyDescent="0.25">
      <c r="A8278" s="178">
        <v>340388</v>
      </c>
      <c r="B8278" s="179" t="s">
        <v>456</v>
      </c>
      <c r="C8278" s="180">
        <v>99999</v>
      </c>
    </row>
    <row r="8279" spans="1:3" x14ac:dyDescent="0.25">
      <c r="A8279" s="178">
        <v>340389</v>
      </c>
      <c r="B8279" s="179" t="s">
        <v>456</v>
      </c>
      <c r="C8279" s="180">
        <v>99999</v>
      </c>
    </row>
    <row r="8280" spans="1:3" x14ac:dyDescent="0.25">
      <c r="A8280" s="178">
        <v>340390</v>
      </c>
      <c r="B8280" s="179" t="s">
        <v>456</v>
      </c>
      <c r="C8280" s="180">
        <v>99999</v>
      </c>
    </row>
    <row r="8281" spans="1:3" x14ac:dyDescent="0.25">
      <c r="A8281" s="178">
        <v>340391</v>
      </c>
      <c r="B8281" s="179" t="s">
        <v>456</v>
      </c>
      <c r="C8281" s="180">
        <v>99999</v>
      </c>
    </row>
    <row r="8282" spans="1:3" x14ac:dyDescent="0.25">
      <c r="A8282" s="178">
        <v>340392</v>
      </c>
      <c r="B8282" s="179" t="s">
        <v>456</v>
      </c>
      <c r="C8282" s="180">
        <v>99999</v>
      </c>
    </row>
    <row r="8283" spans="1:3" x14ac:dyDescent="0.25">
      <c r="A8283" s="178">
        <v>340394</v>
      </c>
      <c r="B8283" s="179" t="s">
        <v>456</v>
      </c>
      <c r="C8283" s="180">
        <v>17250</v>
      </c>
    </row>
    <row r="8284" spans="1:3" x14ac:dyDescent="0.25">
      <c r="A8284" s="178">
        <v>340395</v>
      </c>
      <c r="B8284" s="179" t="s">
        <v>456</v>
      </c>
      <c r="C8284" s="180">
        <v>99999</v>
      </c>
    </row>
    <row r="8285" spans="1:3" x14ac:dyDescent="0.25">
      <c r="A8285" s="178">
        <v>340396</v>
      </c>
      <c r="B8285" s="179" t="s">
        <v>456</v>
      </c>
      <c r="C8285" s="180">
        <v>1950</v>
      </c>
    </row>
    <row r="8286" spans="1:3" x14ac:dyDescent="0.25">
      <c r="A8286" s="178">
        <v>340398</v>
      </c>
      <c r="B8286" s="179" t="s">
        <v>456</v>
      </c>
      <c r="C8286" s="180">
        <v>3000</v>
      </c>
    </row>
    <row r="8287" spans="1:3" x14ac:dyDescent="0.25">
      <c r="A8287" s="178">
        <v>340404</v>
      </c>
      <c r="B8287" s="179" t="s">
        <v>456</v>
      </c>
      <c r="C8287" s="180">
        <v>3000</v>
      </c>
    </row>
    <row r="8288" spans="1:3" x14ac:dyDescent="0.25">
      <c r="A8288" s="178">
        <v>340408</v>
      </c>
      <c r="B8288" s="179" t="s">
        <v>456</v>
      </c>
      <c r="C8288" s="180">
        <v>3000</v>
      </c>
    </row>
    <row r="8289" spans="1:3" x14ac:dyDescent="0.25">
      <c r="A8289" s="178">
        <v>340413</v>
      </c>
      <c r="B8289" s="179" t="s">
        <v>456</v>
      </c>
      <c r="C8289" s="180">
        <v>3000</v>
      </c>
    </row>
    <row r="8290" spans="1:3" x14ac:dyDescent="0.25">
      <c r="A8290" s="178">
        <v>340420</v>
      </c>
      <c r="B8290" s="179" t="s">
        <v>456</v>
      </c>
      <c r="C8290" s="180">
        <v>85800</v>
      </c>
    </row>
    <row r="8291" spans="1:3" x14ac:dyDescent="0.25">
      <c r="A8291" s="178">
        <v>340422</v>
      </c>
      <c r="B8291" s="179" t="s">
        <v>456</v>
      </c>
      <c r="C8291" s="180">
        <v>660</v>
      </c>
    </row>
    <row r="8292" spans="1:3" x14ac:dyDescent="0.25">
      <c r="A8292" s="178">
        <v>340426</v>
      </c>
      <c r="B8292" s="179" t="s">
        <v>456</v>
      </c>
      <c r="C8292" s="180">
        <v>4680</v>
      </c>
    </row>
    <row r="8293" spans="1:3" x14ac:dyDescent="0.25">
      <c r="A8293" s="178">
        <v>340427</v>
      </c>
      <c r="B8293" s="179" t="s">
        <v>456</v>
      </c>
      <c r="C8293" s="180">
        <v>99999</v>
      </c>
    </row>
    <row r="8294" spans="1:3" x14ac:dyDescent="0.25">
      <c r="A8294" s="178">
        <v>340428</v>
      </c>
      <c r="B8294" s="179" t="s">
        <v>456</v>
      </c>
      <c r="C8294" s="180">
        <v>99999</v>
      </c>
    </row>
    <row r="8295" spans="1:3" x14ac:dyDescent="0.25">
      <c r="A8295" s="178">
        <v>340430</v>
      </c>
      <c r="B8295" s="179" t="s">
        <v>456</v>
      </c>
      <c r="C8295" s="180">
        <v>99999</v>
      </c>
    </row>
    <row r="8296" spans="1:3" x14ac:dyDescent="0.25">
      <c r="A8296" s="178">
        <v>340432</v>
      </c>
      <c r="B8296" s="179" t="s">
        <v>456</v>
      </c>
      <c r="C8296" s="180">
        <v>99999</v>
      </c>
    </row>
    <row r="8297" spans="1:3" x14ac:dyDescent="0.25">
      <c r="A8297" s="178">
        <v>340433</v>
      </c>
      <c r="B8297" s="179" t="s">
        <v>456</v>
      </c>
      <c r="C8297" s="180">
        <v>99999</v>
      </c>
    </row>
    <row r="8298" spans="1:3" x14ac:dyDescent="0.25">
      <c r="A8298" s="178">
        <v>340441</v>
      </c>
      <c r="B8298" s="179" t="s">
        <v>456</v>
      </c>
      <c r="C8298" s="180">
        <v>1400</v>
      </c>
    </row>
    <row r="8299" spans="1:3" x14ac:dyDescent="0.25">
      <c r="A8299" s="178">
        <v>340442</v>
      </c>
      <c r="B8299" s="179" t="s">
        <v>456</v>
      </c>
      <c r="C8299" s="180">
        <v>99999</v>
      </c>
    </row>
    <row r="8300" spans="1:3" x14ac:dyDescent="0.25">
      <c r="A8300" s="178">
        <v>340443</v>
      </c>
      <c r="B8300" s="179" t="s">
        <v>456</v>
      </c>
      <c r="C8300" s="180">
        <v>99999</v>
      </c>
    </row>
    <row r="8301" spans="1:3" x14ac:dyDescent="0.25">
      <c r="A8301" s="178">
        <v>340444</v>
      </c>
      <c r="B8301" s="179" t="s">
        <v>456</v>
      </c>
      <c r="C8301" s="180">
        <v>3600</v>
      </c>
    </row>
    <row r="8302" spans="1:3" x14ac:dyDescent="0.25">
      <c r="A8302" s="178">
        <v>340445</v>
      </c>
      <c r="B8302" s="179" t="s">
        <v>456</v>
      </c>
      <c r="C8302" s="180">
        <v>60000</v>
      </c>
    </row>
    <row r="8303" spans="1:3" x14ac:dyDescent="0.25">
      <c r="A8303" s="178">
        <v>340446</v>
      </c>
      <c r="B8303" s="179" t="s">
        <v>456</v>
      </c>
      <c r="C8303" s="180">
        <v>60000</v>
      </c>
    </row>
    <row r="8304" spans="1:3" x14ac:dyDescent="0.25">
      <c r="A8304" s="178">
        <v>340447</v>
      </c>
      <c r="B8304" s="179" t="s">
        <v>456</v>
      </c>
      <c r="C8304" s="180">
        <v>60000</v>
      </c>
    </row>
    <row r="8305" spans="1:3" x14ac:dyDescent="0.25">
      <c r="A8305" s="178">
        <v>340448</v>
      </c>
      <c r="B8305" s="179" t="s">
        <v>456</v>
      </c>
      <c r="C8305" s="180">
        <v>60000</v>
      </c>
    </row>
    <row r="8306" spans="1:3" x14ac:dyDescent="0.25">
      <c r="A8306" s="178">
        <v>340449</v>
      </c>
      <c r="B8306" s="179" t="s">
        <v>456</v>
      </c>
      <c r="C8306" s="180">
        <v>22500</v>
      </c>
    </row>
    <row r="8307" spans="1:3" x14ac:dyDescent="0.25">
      <c r="A8307" s="178">
        <v>340450</v>
      </c>
      <c r="B8307" s="179" t="s">
        <v>456</v>
      </c>
      <c r="C8307" s="180">
        <v>1400</v>
      </c>
    </row>
    <row r="8308" spans="1:3" x14ac:dyDescent="0.25">
      <c r="A8308" s="178">
        <v>340453</v>
      </c>
      <c r="B8308" s="179" t="s">
        <v>456</v>
      </c>
      <c r="C8308" s="180">
        <v>3000</v>
      </c>
    </row>
    <row r="8309" spans="1:3" x14ac:dyDescent="0.25">
      <c r="A8309" s="178">
        <v>340454</v>
      </c>
      <c r="B8309" s="179" t="s">
        <v>456</v>
      </c>
      <c r="C8309" s="180">
        <v>3000</v>
      </c>
    </row>
    <row r="8310" spans="1:3" x14ac:dyDescent="0.25">
      <c r="A8310" s="178">
        <v>340463</v>
      </c>
      <c r="B8310" s="179" t="s">
        <v>456</v>
      </c>
      <c r="C8310" s="180">
        <v>3000</v>
      </c>
    </row>
    <row r="8311" spans="1:3" x14ac:dyDescent="0.25">
      <c r="A8311" s="178">
        <v>340466</v>
      </c>
      <c r="B8311" s="179" t="s">
        <v>456</v>
      </c>
      <c r="C8311" s="180">
        <v>14500</v>
      </c>
    </row>
    <row r="8312" spans="1:3" x14ac:dyDescent="0.25">
      <c r="A8312" s="178">
        <v>340467</v>
      </c>
      <c r="B8312" s="179" t="s">
        <v>456</v>
      </c>
      <c r="C8312" s="180">
        <v>7304</v>
      </c>
    </row>
    <row r="8313" spans="1:3" x14ac:dyDescent="0.25">
      <c r="A8313" s="178">
        <v>340468</v>
      </c>
      <c r="B8313" s="179" t="s">
        <v>456</v>
      </c>
      <c r="C8313" s="180">
        <v>60000</v>
      </c>
    </row>
    <row r="8314" spans="1:3" x14ac:dyDescent="0.25">
      <c r="A8314" s="178">
        <v>340469</v>
      </c>
      <c r="B8314" s="179" t="s">
        <v>456</v>
      </c>
      <c r="C8314" s="180">
        <v>60000</v>
      </c>
    </row>
    <row r="8315" spans="1:3" x14ac:dyDescent="0.25">
      <c r="A8315" s="178">
        <v>340470</v>
      </c>
      <c r="B8315" s="179" t="s">
        <v>456</v>
      </c>
      <c r="C8315" s="180">
        <v>22000</v>
      </c>
    </row>
    <row r="8316" spans="1:3" x14ac:dyDescent="0.25">
      <c r="A8316" s="178">
        <v>340471</v>
      </c>
      <c r="B8316" s="179" t="s">
        <v>456</v>
      </c>
      <c r="C8316" s="180">
        <v>320</v>
      </c>
    </row>
    <row r="8317" spans="1:3" x14ac:dyDescent="0.25">
      <c r="A8317" s="178">
        <v>340472</v>
      </c>
      <c r="B8317" s="179" t="s">
        <v>456</v>
      </c>
      <c r="C8317" s="180">
        <v>99999</v>
      </c>
    </row>
    <row r="8318" spans="1:3" x14ac:dyDescent="0.25">
      <c r="A8318" s="178">
        <v>340473</v>
      </c>
      <c r="B8318" s="179" t="s">
        <v>456</v>
      </c>
      <c r="C8318" s="180">
        <v>84000</v>
      </c>
    </row>
    <row r="8319" spans="1:3" x14ac:dyDescent="0.25">
      <c r="A8319" s="178">
        <v>340474</v>
      </c>
      <c r="B8319" s="179" t="s">
        <v>456</v>
      </c>
      <c r="C8319" s="180">
        <v>84000</v>
      </c>
    </row>
    <row r="8320" spans="1:3" x14ac:dyDescent="0.25">
      <c r="A8320" s="178">
        <v>340476</v>
      </c>
      <c r="B8320" s="179" t="s">
        <v>456</v>
      </c>
      <c r="C8320" s="180">
        <v>720</v>
      </c>
    </row>
    <row r="8321" spans="1:3" x14ac:dyDescent="0.25">
      <c r="A8321" s="178">
        <v>340478</v>
      </c>
      <c r="B8321" s="179" t="s">
        <v>456</v>
      </c>
      <c r="C8321" s="180">
        <v>774</v>
      </c>
    </row>
    <row r="8322" spans="1:3" x14ac:dyDescent="0.25">
      <c r="A8322" s="178">
        <v>340480</v>
      </c>
      <c r="B8322" s="179" t="s">
        <v>456</v>
      </c>
      <c r="C8322" s="180">
        <v>720</v>
      </c>
    </row>
    <row r="8323" spans="1:3" x14ac:dyDescent="0.25">
      <c r="A8323" s="178">
        <v>340481</v>
      </c>
      <c r="B8323" s="179" t="s">
        <v>456</v>
      </c>
      <c r="C8323" s="180">
        <v>13500</v>
      </c>
    </row>
    <row r="8324" spans="1:3" x14ac:dyDescent="0.25">
      <c r="A8324" s="178">
        <v>340482</v>
      </c>
      <c r="B8324" s="179" t="s">
        <v>456</v>
      </c>
      <c r="C8324" s="180">
        <v>9000</v>
      </c>
    </row>
    <row r="8325" spans="1:3" x14ac:dyDescent="0.25">
      <c r="A8325" s="178">
        <v>340483</v>
      </c>
      <c r="B8325" s="179" t="s">
        <v>456</v>
      </c>
      <c r="C8325" s="180">
        <v>774</v>
      </c>
    </row>
    <row r="8326" spans="1:3" x14ac:dyDescent="0.25">
      <c r="A8326" s="178">
        <v>340484</v>
      </c>
      <c r="B8326" s="179" t="s">
        <v>456</v>
      </c>
      <c r="C8326" s="180">
        <v>99999</v>
      </c>
    </row>
    <row r="8327" spans="1:3" x14ac:dyDescent="0.25">
      <c r="A8327" s="178">
        <v>340485</v>
      </c>
      <c r="B8327" s="179" t="s">
        <v>456</v>
      </c>
      <c r="C8327" s="180">
        <v>99999</v>
      </c>
    </row>
    <row r="8328" spans="1:3" x14ac:dyDescent="0.25">
      <c r="A8328" s="178">
        <v>340486</v>
      </c>
      <c r="B8328" s="179" t="s">
        <v>456</v>
      </c>
      <c r="C8328" s="180">
        <v>99999</v>
      </c>
    </row>
    <row r="8329" spans="1:3" x14ac:dyDescent="0.25">
      <c r="A8329" s="178">
        <v>340487</v>
      </c>
      <c r="B8329" s="179" t="s">
        <v>456</v>
      </c>
      <c r="C8329" s="180">
        <v>99999</v>
      </c>
    </row>
    <row r="8330" spans="1:3" x14ac:dyDescent="0.25">
      <c r="A8330" s="178">
        <v>340495</v>
      </c>
      <c r="B8330" s="179" t="s">
        <v>456</v>
      </c>
      <c r="C8330" s="180">
        <v>99999</v>
      </c>
    </row>
    <row r="8331" spans="1:3" x14ac:dyDescent="0.25">
      <c r="A8331" s="178">
        <v>340497</v>
      </c>
      <c r="B8331" s="179" t="s">
        <v>456</v>
      </c>
      <c r="C8331" s="180">
        <v>61362</v>
      </c>
    </row>
    <row r="8332" spans="1:3" x14ac:dyDescent="0.25">
      <c r="A8332" s="178">
        <v>340502</v>
      </c>
      <c r="B8332" s="179" t="s">
        <v>456</v>
      </c>
      <c r="C8332" s="180">
        <v>99999</v>
      </c>
    </row>
    <row r="8333" spans="1:3" x14ac:dyDescent="0.25">
      <c r="A8333" s="178">
        <v>340511</v>
      </c>
      <c r="B8333" s="179" t="s">
        <v>456</v>
      </c>
      <c r="C8333" s="180">
        <v>45</v>
      </c>
    </row>
    <row r="8334" spans="1:3" x14ac:dyDescent="0.25">
      <c r="A8334" s="178">
        <v>340513</v>
      </c>
      <c r="B8334" s="179" t="s">
        <v>456</v>
      </c>
      <c r="C8334" s="180">
        <v>14500</v>
      </c>
    </row>
    <row r="8335" spans="1:3" x14ac:dyDescent="0.25">
      <c r="A8335" s="178">
        <v>340516</v>
      </c>
      <c r="B8335" s="179" t="s">
        <v>456</v>
      </c>
      <c r="C8335" s="180">
        <v>24300</v>
      </c>
    </row>
    <row r="8336" spans="1:3" x14ac:dyDescent="0.25">
      <c r="A8336" s="178">
        <v>340517</v>
      </c>
      <c r="B8336" s="179" t="s">
        <v>456</v>
      </c>
      <c r="C8336" s="180">
        <v>24300</v>
      </c>
    </row>
    <row r="8337" spans="1:3" x14ac:dyDescent="0.25">
      <c r="A8337" s="178">
        <v>340518</v>
      </c>
      <c r="B8337" s="179" t="s">
        <v>456</v>
      </c>
      <c r="C8337" s="180">
        <v>40500</v>
      </c>
    </row>
    <row r="8338" spans="1:3" x14ac:dyDescent="0.25">
      <c r="A8338" s="178">
        <v>340519</v>
      </c>
      <c r="B8338" s="179" t="s">
        <v>456</v>
      </c>
      <c r="C8338" s="180">
        <v>14500</v>
      </c>
    </row>
    <row r="8339" spans="1:3" x14ac:dyDescent="0.25">
      <c r="A8339" s="178">
        <v>340520</v>
      </c>
      <c r="B8339" s="179" t="s">
        <v>456</v>
      </c>
      <c r="C8339" s="180">
        <v>2800</v>
      </c>
    </row>
    <row r="8340" spans="1:3" x14ac:dyDescent="0.25">
      <c r="A8340" s="178">
        <v>340521</v>
      </c>
      <c r="B8340" s="179" t="s">
        <v>456</v>
      </c>
      <c r="C8340" s="180">
        <v>4500</v>
      </c>
    </row>
    <row r="8341" spans="1:3" x14ac:dyDescent="0.25">
      <c r="A8341" s="178">
        <v>340534</v>
      </c>
      <c r="B8341" s="179" t="s">
        <v>456</v>
      </c>
      <c r="C8341" s="180">
        <v>14112</v>
      </c>
    </row>
    <row r="8342" spans="1:3" x14ac:dyDescent="0.25">
      <c r="A8342" s="178">
        <v>340535</v>
      </c>
      <c r="B8342" s="179" t="s">
        <v>456</v>
      </c>
      <c r="C8342" s="180">
        <v>23868</v>
      </c>
    </row>
    <row r="8343" spans="1:3" x14ac:dyDescent="0.25">
      <c r="A8343" s="178">
        <v>340536</v>
      </c>
      <c r="B8343" s="179" t="s">
        <v>456</v>
      </c>
      <c r="C8343" s="180">
        <v>1170</v>
      </c>
    </row>
    <row r="8344" spans="1:3" x14ac:dyDescent="0.25">
      <c r="A8344" s="178">
        <v>340538</v>
      </c>
      <c r="B8344" s="179" t="s">
        <v>456</v>
      </c>
      <c r="C8344" s="180">
        <v>99999</v>
      </c>
    </row>
    <row r="8345" spans="1:3" x14ac:dyDescent="0.25">
      <c r="A8345" s="178">
        <v>340539</v>
      </c>
      <c r="B8345" s="179" t="s">
        <v>456</v>
      </c>
      <c r="C8345" s="180">
        <v>99999</v>
      </c>
    </row>
    <row r="8346" spans="1:3" x14ac:dyDescent="0.25">
      <c r="A8346" s="178">
        <v>340540</v>
      </c>
      <c r="B8346" s="179" t="s">
        <v>456</v>
      </c>
      <c r="C8346" s="180">
        <v>99999</v>
      </c>
    </row>
    <row r="8347" spans="1:3" x14ac:dyDescent="0.25">
      <c r="A8347" s="178">
        <v>340543</v>
      </c>
      <c r="B8347" s="179" t="s">
        <v>456</v>
      </c>
      <c r="C8347" s="180">
        <v>99999</v>
      </c>
    </row>
    <row r="8348" spans="1:3" x14ac:dyDescent="0.25">
      <c r="A8348" s="178">
        <v>340546</v>
      </c>
      <c r="B8348" s="179" t="s">
        <v>456</v>
      </c>
      <c r="C8348" s="180">
        <v>99999</v>
      </c>
    </row>
    <row r="8349" spans="1:3" x14ac:dyDescent="0.25">
      <c r="A8349" s="178">
        <v>340547</v>
      </c>
      <c r="B8349" s="179" t="s">
        <v>456</v>
      </c>
      <c r="C8349" s="180">
        <v>99999</v>
      </c>
    </row>
    <row r="8350" spans="1:3" x14ac:dyDescent="0.25">
      <c r="A8350" s="178">
        <v>340548</v>
      </c>
      <c r="B8350" s="179" t="s">
        <v>456</v>
      </c>
      <c r="C8350" s="180">
        <v>99999</v>
      </c>
    </row>
    <row r="8351" spans="1:3" x14ac:dyDescent="0.25">
      <c r="A8351" s="178">
        <v>340549</v>
      </c>
      <c r="B8351" s="179" t="s">
        <v>456</v>
      </c>
      <c r="C8351" s="180">
        <v>99999</v>
      </c>
    </row>
    <row r="8352" spans="1:3" x14ac:dyDescent="0.25">
      <c r="A8352" s="178">
        <v>340550</v>
      </c>
      <c r="B8352" s="179" t="s">
        <v>456</v>
      </c>
      <c r="C8352" s="180">
        <v>99999</v>
      </c>
    </row>
    <row r="8353" spans="1:3" x14ac:dyDescent="0.25">
      <c r="A8353" s="178">
        <v>340551</v>
      </c>
      <c r="B8353" s="179" t="s">
        <v>456</v>
      </c>
      <c r="C8353" s="180">
        <v>99999</v>
      </c>
    </row>
    <row r="8354" spans="1:3" x14ac:dyDescent="0.25">
      <c r="A8354" s="178">
        <v>340552</v>
      </c>
      <c r="B8354" s="179" t="s">
        <v>456</v>
      </c>
      <c r="C8354" s="180">
        <v>99999</v>
      </c>
    </row>
    <row r="8355" spans="1:3" x14ac:dyDescent="0.25">
      <c r="A8355" s="178">
        <v>340553</v>
      </c>
      <c r="B8355" s="179" t="s">
        <v>456</v>
      </c>
      <c r="C8355" s="180">
        <v>99999</v>
      </c>
    </row>
    <row r="8356" spans="1:3" x14ac:dyDescent="0.25">
      <c r="A8356" s="178">
        <v>340554</v>
      </c>
      <c r="B8356" s="179" t="s">
        <v>456</v>
      </c>
      <c r="C8356" s="180">
        <v>99999</v>
      </c>
    </row>
    <row r="8357" spans="1:3" x14ac:dyDescent="0.25">
      <c r="A8357" s="178">
        <v>340555</v>
      </c>
      <c r="B8357" s="179" t="s">
        <v>456</v>
      </c>
      <c r="C8357" s="180">
        <v>99999</v>
      </c>
    </row>
    <row r="8358" spans="1:3" x14ac:dyDescent="0.25">
      <c r="A8358" s="178">
        <v>340556</v>
      </c>
      <c r="B8358" s="179" t="s">
        <v>456</v>
      </c>
      <c r="C8358" s="180">
        <v>99999</v>
      </c>
    </row>
    <row r="8359" spans="1:3" x14ac:dyDescent="0.25">
      <c r="A8359" s="178">
        <v>340557</v>
      </c>
      <c r="B8359" s="179" t="s">
        <v>456</v>
      </c>
      <c r="C8359" s="180">
        <v>99999</v>
      </c>
    </row>
    <row r="8360" spans="1:3" x14ac:dyDescent="0.25">
      <c r="A8360" s="178">
        <v>340558</v>
      </c>
      <c r="B8360" s="179" t="s">
        <v>456</v>
      </c>
      <c r="C8360" s="180">
        <v>99999</v>
      </c>
    </row>
    <row r="8361" spans="1:3" x14ac:dyDescent="0.25">
      <c r="A8361" s="178">
        <v>340559</v>
      </c>
      <c r="B8361" s="179" t="s">
        <v>456</v>
      </c>
      <c r="C8361" s="180">
        <v>99999</v>
      </c>
    </row>
    <row r="8362" spans="1:3" x14ac:dyDescent="0.25">
      <c r="A8362" s="178">
        <v>340560</v>
      </c>
      <c r="B8362" s="179" t="s">
        <v>456</v>
      </c>
      <c r="C8362" s="180">
        <v>99999</v>
      </c>
    </row>
    <row r="8363" spans="1:3" x14ac:dyDescent="0.25">
      <c r="A8363" s="178">
        <v>340561</v>
      </c>
      <c r="B8363" s="179" t="s">
        <v>456</v>
      </c>
      <c r="C8363" s="180">
        <v>99999</v>
      </c>
    </row>
    <row r="8364" spans="1:3" x14ac:dyDescent="0.25">
      <c r="A8364" s="178">
        <v>340562</v>
      </c>
      <c r="B8364" s="179" t="s">
        <v>456</v>
      </c>
      <c r="C8364" s="180">
        <v>99999</v>
      </c>
    </row>
    <row r="8365" spans="1:3" x14ac:dyDescent="0.25">
      <c r="A8365" s="178">
        <v>340563</v>
      </c>
      <c r="B8365" s="179" t="s">
        <v>456</v>
      </c>
      <c r="C8365" s="180">
        <v>99999</v>
      </c>
    </row>
    <row r="8366" spans="1:3" x14ac:dyDescent="0.25">
      <c r="A8366" s="178">
        <v>340564</v>
      </c>
      <c r="B8366" s="179" t="s">
        <v>456</v>
      </c>
      <c r="C8366" s="180">
        <v>99999</v>
      </c>
    </row>
    <row r="8367" spans="1:3" x14ac:dyDescent="0.25">
      <c r="A8367" s="178">
        <v>340565</v>
      </c>
      <c r="B8367" s="179" t="s">
        <v>456</v>
      </c>
      <c r="C8367" s="180">
        <v>99999</v>
      </c>
    </row>
    <row r="8368" spans="1:3" x14ac:dyDescent="0.25">
      <c r="A8368" s="178">
        <v>340566</v>
      </c>
      <c r="B8368" s="179" t="s">
        <v>456</v>
      </c>
      <c r="C8368" s="180">
        <v>99999</v>
      </c>
    </row>
    <row r="8369" spans="1:3" x14ac:dyDescent="0.25">
      <c r="A8369" s="178">
        <v>340567</v>
      </c>
      <c r="B8369" s="179" t="s">
        <v>456</v>
      </c>
      <c r="C8369" s="180">
        <v>99999</v>
      </c>
    </row>
    <row r="8370" spans="1:3" x14ac:dyDescent="0.25">
      <c r="A8370" s="178">
        <v>340568</v>
      </c>
      <c r="B8370" s="179" t="s">
        <v>456</v>
      </c>
      <c r="C8370" s="180">
        <v>99999</v>
      </c>
    </row>
    <row r="8371" spans="1:3" x14ac:dyDescent="0.25">
      <c r="A8371" s="178">
        <v>340569</v>
      </c>
      <c r="B8371" s="179" t="s">
        <v>456</v>
      </c>
      <c r="C8371" s="180">
        <v>99999</v>
      </c>
    </row>
    <row r="8372" spans="1:3" x14ac:dyDescent="0.25">
      <c r="A8372" s="178">
        <v>340570</v>
      </c>
      <c r="B8372" s="179" t="s">
        <v>456</v>
      </c>
      <c r="C8372" s="180">
        <v>500</v>
      </c>
    </row>
    <row r="8373" spans="1:3" x14ac:dyDescent="0.25">
      <c r="A8373" s="178">
        <v>340571</v>
      </c>
      <c r="B8373" s="179" t="s">
        <v>456</v>
      </c>
      <c r="C8373" s="180">
        <v>30000</v>
      </c>
    </row>
    <row r="8374" spans="1:3" x14ac:dyDescent="0.25">
      <c r="A8374" s="178">
        <v>340572</v>
      </c>
      <c r="B8374" s="179" t="s">
        <v>456</v>
      </c>
      <c r="C8374" s="180">
        <v>6600</v>
      </c>
    </row>
    <row r="8375" spans="1:3" x14ac:dyDescent="0.25">
      <c r="A8375" s="178">
        <v>340574</v>
      </c>
      <c r="B8375" s="179" t="s">
        <v>456</v>
      </c>
      <c r="C8375" s="180">
        <v>6600</v>
      </c>
    </row>
    <row r="8376" spans="1:3" x14ac:dyDescent="0.25">
      <c r="A8376" s="178">
        <v>340577</v>
      </c>
      <c r="B8376" s="179" t="s">
        <v>456</v>
      </c>
      <c r="C8376" s="180">
        <v>28500</v>
      </c>
    </row>
    <row r="8377" spans="1:3" x14ac:dyDescent="0.25">
      <c r="A8377" s="178">
        <v>340578</v>
      </c>
      <c r="B8377" s="179" t="s">
        <v>456</v>
      </c>
      <c r="C8377" s="180">
        <v>99999</v>
      </c>
    </row>
    <row r="8378" spans="1:3" x14ac:dyDescent="0.25">
      <c r="A8378" s="178">
        <v>340579</v>
      </c>
      <c r="B8378" s="179" t="s">
        <v>456</v>
      </c>
      <c r="C8378" s="180">
        <v>99999</v>
      </c>
    </row>
    <row r="8379" spans="1:3" x14ac:dyDescent="0.25">
      <c r="A8379" s="178">
        <v>340581</v>
      </c>
      <c r="B8379" s="179" t="s">
        <v>456</v>
      </c>
      <c r="C8379" s="180">
        <v>99999</v>
      </c>
    </row>
    <row r="8380" spans="1:3" x14ac:dyDescent="0.25">
      <c r="A8380" s="178">
        <v>340582</v>
      </c>
      <c r="B8380" s="179" t="s">
        <v>456</v>
      </c>
      <c r="C8380" s="180">
        <v>99999</v>
      </c>
    </row>
    <row r="8381" spans="1:3" x14ac:dyDescent="0.25">
      <c r="A8381" s="178">
        <v>340583</v>
      </c>
      <c r="B8381" s="179" t="s">
        <v>456</v>
      </c>
      <c r="C8381" s="180">
        <v>99999</v>
      </c>
    </row>
    <row r="8382" spans="1:3" x14ac:dyDescent="0.25">
      <c r="A8382" s="178">
        <v>340584</v>
      </c>
      <c r="B8382" s="179" t="s">
        <v>456</v>
      </c>
      <c r="C8382" s="180">
        <v>4670</v>
      </c>
    </row>
    <row r="8383" spans="1:3" x14ac:dyDescent="0.25">
      <c r="A8383" s="178">
        <v>340585</v>
      </c>
      <c r="B8383" s="179" t="s">
        <v>456</v>
      </c>
      <c r="C8383" s="180">
        <v>99999</v>
      </c>
    </row>
    <row r="8384" spans="1:3" x14ac:dyDescent="0.25">
      <c r="A8384" s="178">
        <v>340586</v>
      </c>
      <c r="B8384" s="179" t="s">
        <v>456</v>
      </c>
      <c r="C8384" s="180">
        <v>99999</v>
      </c>
    </row>
    <row r="8385" spans="1:3" x14ac:dyDescent="0.25">
      <c r="A8385" s="178">
        <v>340587</v>
      </c>
      <c r="B8385" s="179" t="s">
        <v>456</v>
      </c>
      <c r="C8385" s="180">
        <v>99999</v>
      </c>
    </row>
    <row r="8386" spans="1:3" x14ac:dyDescent="0.25">
      <c r="A8386" s="178">
        <v>340588</v>
      </c>
      <c r="B8386" s="179" t="s">
        <v>456</v>
      </c>
      <c r="C8386" s="180">
        <v>99999</v>
      </c>
    </row>
    <row r="8387" spans="1:3" x14ac:dyDescent="0.25">
      <c r="A8387" s="178">
        <v>340589</v>
      </c>
      <c r="B8387" s="179" t="s">
        <v>456</v>
      </c>
      <c r="C8387" s="180">
        <v>99999</v>
      </c>
    </row>
    <row r="8388" spans="1:3" x14ac:dyDescent="0.25">
      <c r="A8388" s="178">
        <v>340590</v>
      </c>
      <c r="B8388" s="179" t="s">
        <v>456</v>
      </c>
      <c r="C8388" s="180">
        <v>99999</v>
      </c>
    </row>
    <row r="8389" spans="1:3" x14ac:dyDescent="0.25">
      <c r="A8389" s="178">
        <v>340591</v>
      </c>
      <c r="B8389" s="179" t="s">
        <v>456</v>
      </c>
      <c r="C8389" s="180">
        <v>99999</v>
      </c>
    </row>
    <row r="8390" spans="1:3" x14ac:dyDescent="0.25">
      <c r="A8390" s="178">
        <v>340592</v>
      </c>
      <c r="B8390" s="179" t="s">
        <v>456</v>
      </c>
      <c r="C8390" s="180">
        <v>99999</v>
      </c>
    </row>
    <row r="8391" spans="1:3" x14ac:dyDescent="0.25">
      <c r="A8391" s="178">
        <v>340593</v>
      </c>
      <c r="B8391" s="179" t="s">
        <v>456</v>
      </c>
      <c r="C8391" s="180">
        <v>99999</v>
      </c>
    </row>
    <row r="8392" spans="1:3" x14ac:dyDescent="0.25">
      <c r="A8392" s="178">
        <v>340594</v>
      </c>
      <c r="B8392" s="179" t="s">
        <v>456</v>
      </c>
      <c r="C8392" s="180">
        <v>99999</v>
      </c>
    </row>
    <row r="8393" spans="1:3" x14ac:dyDescent="0.25">
      <c r="A8393" s="178">
        <v>340595</v>
      </c>
      <c r="B8393" s="179" t="s">
        <v>456</v>
      </c>
      <c r="C8393" s="180">
        <v>99999</v>
      </c>
    </row>
    <row r="8394" spans="1:3" x14ac:dyDescent="0.25">
      <c r="A8394" s="178">
        <v>340596</v>
      </c>
      <c r="B8394" s="179" t="s">
        <v>456</v>
      </c>
      <c r="C8394" s="180">
        <v>99999</v>
      </c>
    </row>
    <row r="8395" spans="1:3" x14ac:dyDescent="0.25">
      <c r="A8395" s="178">
        <v>340597</v>
      </c>
      <c r="B8395" s="179" t="s">
        <v>456</v>
      </c>
      <c r="C8395" s="180">
        <v>99999</v>
      </c>
    </row>
    <row r="8396" spans="1:3" x14ac:dyDescent="0.25">
      <c r="A8396" s="178">
        <v>340598</v>
      </c>
      <c r="B8396" s="179" t="s">
        <v>456</v>
      </c>
      <c r="C8396" s="180">
        <v>99999</v>
      </c>
    </row>
    <row r="8397" spans="1:3" x14ac:dyDescent="0.25">
      <c r="A8397" s="178">
        <v>340599</v>
      </c>
      <c r="B8397" s="179" t="s">
        <v>456</v>
      </c>
      <c r="C8397" s="180">
        <v>99999</v>
      </c>
    </row>
    <row r="8398" spans="1:3" x14ac:dyDescent="0.25">
      <c r="A8398" s="178">
        <v>340600</v>
      </c>
      <c r="B8398" s="179" t="s">
        <v>456</v>
      </c>
      <c r="C8398" s="180">
        <v>99999</v>
      </c>
    </row>
    <row r="8399" spans="1:3" x14ac:dyDescent="0.25">
      <c r="A8399" s="178">
        <v>340602</v>
      </c>
      <c r="B8399" s="179" t="s">
        <v>456</v>
      </c>
      <c r="C8399" s="180">
        <v>99999</v>
      </c>
    </row>
    <row r="8400" spans="1:3" x14ac:dyDescent="0.25">
      <c r="A8400" s="178">
        <v>340603</v>
      </c>
      <c r="B8400" s="179" t="s">
        <v>456</v>
      </c>
      <c r="C8400" s="180">
        <v>99999</v>
      </c>
    </row>
    <row r="8401" spans="1:3" x14ac:dyDescent="0.25">
      <c r="A8401" s="178">
        <v>340604</v>
      </c>
      <c r="B8401" s="179" t="s">
        <v>456</v>
      </c>
      <c r="C8401" s="180">
        <v>99999</v>
      </c>
    </row>
    <row r="8402" spans="1:3" x14ac:dyDescent="0.25">
      <c r="A8402" s="178">
        <v>340605</v>
      </c>
      <c r="B8402" s="179" t="s">
        <v>456</v>
      </c>
      <c r="C8402" s="180">
        <v>3510</v>
      </c>
    </row>
    <row r="8403" spans="1:3" x14ac:dyDescent="0.25">
      <c r="A8403" s="178">
        <v>340616</v>
      </c>
      <c r="B8403" s="179" t="s">
        <v>456</v>
      </c>
      <c r="C8403" s="180">
        <v>99999</v>
      </c>
    </row>
    <row r="8404" spans="1:3" x14ac:dyDescent="0.25">
      <c r="A8404" s="178">
        <v>340617</v>
      </c>
      <c r="B8404" s="179" t="s">
        <v>456</v>
      </c>
      <c r="C8404" s="180">
        <v>99999</v>
      </c>
    </row>
    <row r="8405" spans="1:3" x14ac:dyDescent="0.25">
      <c r="A8405" s="178">
        <v>340618</v>
      </c>
      <c r="B8405" s="179" t="s">
        <v>456</v>
      </c>
      <c r="C8405" s="180">
        <v>8000</v>
      </c>
    </row>
    <row r="8406" spans="1:3" x14ac:dyDescent="0.25">
      <c r="A8406" s="178">
        <v>340625</v>
      </c>
      <c r="B8406" s="179" t="s">
        <v>456</v>
      </c>
      <c r="C8406" s="180">
        <v>99999</v>
      </c>
    </row>
    <row r="8407" spans="1:3" x14ac:dyDescent="0.25">
      <c r="A8407" s="178">
        <v>340626</v>
      </c>
      <c r="B8407" s="179" t="s">
        <v>456</v>
      </c>
      <c r="C8407" s="180">
        <v>99999</v>
      </c>
    </row>
    <row r="8408" spans="1:3" x14ac:dyDescent="0.25">
      <c r="A8408" s="178">
        <v>340627</v>
      </c>
      <c r="B8408" s="179" t="s">
        <v>456</v>
      </c>
      <c r="C8408" s="180">
        <v>99999</v>
      </c>
    </row>
    <row r="8409" spans="1:3" x14ac:dyDescent="0.25">
      <c r="A8409" s="178">
        <v>340628</v>
      </c>
      <c r="B8409" s="179" t="s">
        <v>456</v>
      </c>
      <c r="C8409" s="180">
        <v>99999</v>
      </c>
    </row>
    <row r="8410" spans="1:3" x14ac:dyDescent="0.25">
      <c r="A8410" s="178">
        <v>340629</v>
      </c>
      <c r="B8410" s="179" t="s">
        <v>456</v>
      </c>
      <c r="C8410" s="180">
        <v>99999</v>
      </c>
    </row>
    <row r="8411" spans="1:3" x14ac:dyDescent="0.25">
      <c r="A8411" s="178">
        <v>340630</v>
      </c>
      <c r="B8411" s="179" t="s">
        <v>456</v>
      </c>
      <c r="C8411" s="180">
        <v>99999</v>
      </c>
    </row>
    <row r="8412" spans="1:3" x14ac:dyDescent="0.25">
      <c r="A8412" s="178">
        <v>340631</v>
      </c>
      <c r="B8412" s="179" t="s">
        <v>456</v>
      </c>
      <c r="C8412" s="180">
        <v>99999</v>
      </c>
    </row>
    <row r="8413" spans="1:3" x14ac:dyDescent="0.25">
      <c r="A8413" s="178">
        <v>340632</v>
      </c>
      <c r="B8413" s="179" t="s">
        <v>456</v>
      </c>
      <c r="C8413" s="180">
        <v>99999</v>
      </c>
    </row>
    <row r="8414" spans="1:3" x14ac:dyDescent="0.25">
      <c r="A8414" s="178">
        <v>340633</v>
      </c>
      <c r="B8414" s="179" t="s">
        <v>456</v>
      </c>
      <c r="C8414" s="180">
        <v>58680</v>
      </c>
    </row>
    <row r="8415" spans="1:3" x14ac:dyDescent="0.25">
      <c r="A8415" s="178">
        <v>340636</v>
      </c>
      <c r="B8415" s="179" t="s">
        <v>456</v>
      </c>
      <c r="C8415" s="180">
        <v>3000</v>
      </c>
    </row>
    <row r="8416" spans="1:3" x14ac:dyDescent="0.25">
      <c r="A8416" s="178">
        <v>340638</v>
      </c>
      <c r="B8416" s="179" t="s">
        <v>456</v>
      </c>
      <c r="C8416" s="180">
        <v>61362</v>
      </c>
    </row>
    <row r="8417" spans="1:3" x14ac:dyDescent="0.25">
      <c r="A8417" s="178">
        <v>340644</v>
      </c>
      <c r="B8417" s="179" t="s">
        <v>456</v>
      </c>
      <c r="C8417" s="180">
        <v>6800</v>
      </c>
    </row>
    <row r="8418" spans="1:3" x14ac:dyDescent="0.25">
      <c r="A8418" s="178">
        <v>340645</v>
      </c>
      <c r="B8418" s="179" t="s">
        <v>456</v>
      </c>
      <c r="C8418" s="180">
        <v>6800</v>
      </c>
    </row>
    <row r="8419" spans="1:3" x14ac:dyDescent="0.25">
      <c r="A8419" s="178">
        <v>340646</v>
      </c>
      <c r="B8419" s="179" t="s">
        <v>456</v>
      </c>
      <c r="C8419" s="180">
        <v>75</v>
      </c>
    </row>
    <row r="8420" spans="1:3" x14ac:dyDescent="0.25">
      <c r="A8420" s="178">
        <v>340647</v>
      </c>
      <c r="B8420" s="179" t="s">
        <v>456</v>
      </c>
      <c r="C8420" s="180">
        <v>80</v>
      </c>
    </row>
    <row r="8421" spans="1:3" x14ac:dyDescent="0.25">
      <c r="A8421" s="178">
        <v>342717</v>
      </c>
      <c r="B8421" s="179" t="s">
        <v>456</v>
      </c>
      <c r="C8421" s="180">
        <v>500</v>
      </c>
    </row>
    <row r="8422" spans="1:3" x14ac:dyDescent="0.25">
      <c r="A8422" s="178">
        <v>342718</v>
      </c>
      <c r="B8422" s="179" t="s">
        <v>456</v>
      </c>
      <c r="C8422" s="180">
        <v>99999</v>
      </c>
    </row>
    <row r="8423" spans="1:3" x14ac:dyDescent="0.25">
      <c r="A8423" s="178">
        <v>342720</v>
      </c>
      <c r="B8423" s="179" t="s">
        <v>456</v>
      </c>
      <c r="C8423" s="180">
        <v>6600</v>
      </c>
    </row>
    <row r="8424" spans="1:3" x14ac:dyDescent="0.25">
      <c r="A8424" s="178">
        <v>342756</v>
      </c>
      <c r="B8424" s="179" t="s">
        <v>456</v>
      </c>
      <c r="C8424" s="180">
        <v>30</v>
      </c>
    </row>
    <row r="8425" spans="1:3" x14ac:dyDescent="0.25">
      <c r="A8425" s="178">
        <v>342761</v>
      </c>
      <c r="B8425" s="179" t="s">
        <v>456</v>
      </c>
      <c r="C8425" s="180">
        <v>1480</v>
      </c>
    </row>
    <row r="8426" spans="1:3" x14ac:dyDescent="0.25">
      <c r="A8426" s="178">
        <v>342772</v>
      </c>
      <c r="B8426" s="179" t="s">
        <v>456</v>
      </c>
      <c r="C8426" s="180">
        <v>960</v>
      </c>
    </row>
    <row r="8427" spans="1:3" x14ac:dyDescent="0.25">
      <c r="A8427" s="178">
        <v>342773</v>
      </c>
      <c r="B8427" s="179" t="s">
        <v>456</v>
      </c>
      <c r="C8427" s="180">
        <v>960</v>
      </c>
    </row>
    <row r="8428" spans="1:3" x14ac:dyDescent="0.25">
      <c r="A8428" s="178">
        <v>342811</v>
      </c>
      <c r="B8428" s="179" t="s">
        <v>456</v>
      </c>
      <c r="C8428" s="180">
        <v>6600</v>
      </c>
    </row>
    <row r="8429" spans="1:3" x14ac:dyDescent="0.25">
      <c r="A8429" s="178">
        <v>342812</v>
      </c>
      <c r="B8429" s="179" t="s">
        <v>456</v>
      </c>
      <c r="C8429" s="180">
        <v>17712</v>
      </c>
    </row>
    <row r="8430" spans="1:3" x14ac:dyDescent="0.25">
      <c r="A8430" s="178">
        <v>342813</v>
      </c>
      <c r="B8430" s="179" t="s">
        <v>456</v>
      </c>
      <c r="C8430" s="180">
        <v>99999</v>
      </c>
    </row>
    <row r="8431" spans="1:3" x14ac:dyDescent="0.25">
      <c r="A8431" s="178">
        <v>342814</v>
      </c>
      <c r="B8431" s="179" t="s">
        <v>456</v>
      </c>
      <c r="C8431" s="180">
        <v>99999</v>
      </c>
    </row>
    <row r="8432" spans="1:3" x14ac:dyDescent="0.25">
      <c r="A8432" s="178">
        <v>342815</v>
      </c>
      <c r="B8432" s="179" t="s">
        <v>456</v>
      </c>
      <c r="C8432" s="180">
        <v>900</v>
      </c>
    </row>
    <row r="8433" spans="1:3" x14ac:dyDescent="0.25">
      <c r="A8433" s="178">
        <v>342817</v>
      </c>
      <c r="B8433" s="179" t="s">
        <v>456</v>
      </c>
      <c r="C8433" s="180">
        <v>28800</v>
      </c>
    </row>
    <row r="8434" spans="1:3" x14ac:dyDescent="0.25">
      <c r="A8434" s="178">
        <v>342818</v>
      </c>
      <c r="B8434" s="179" t="s">
        <v>456</v>
      </c>
      <c r="C8434" s="180">
        <v>28800</v>
      </c>
    </row>
    <row r="8435" spans="1:3" x14ac:dyDescent="0.25">
      <c r="A8435" s="178">
        <v>342819</v>
      </c>
      <c r="B8435" s="179" t="s">
        <v>456</v>
      </c>
      <c r="C8435" s="180">
        <v>28800</v>
      </c>
    </row>
    <row r="8436" spans="1:3" x14ac:dyDescent="0.25">
      <c r="A8436" s="178">
        <v>342936</v>
      </c>
      <c r="B8436" s="179" t="s">
        <v>456</v>
      </c>
      <c r="C8436" s="180">
        <v>2772</v>
      </c>
    </row>
    <row r="8437" spans="1:3" x14ac:dyDescent="0.25">
      <c r="A8437" s="178">
        <v>342937</v>
      </c>
      <c r="B8437" s="179" t="s">
        <v>456</v>
      </c>
      <c r="C8437" s="180">
        <v>16500</v>
      </c>
    </row>
    <row r="8438" spans="1:3" x14ac:dyDescent="0.25">
      <c r="A8438" s="178">
        <v>342938</v>
      </c>
      <c r="B8438" s="179" t="s">
        <v>456</v>
      </c>
      <c r="C8438" s="180">
        <v>756</v>
      </c>
    </row>
    <row r="8439" spans="1:3" x14ac:dyDescent="0.25">
      <c r="A8439" s="178">
        <v>342939</v>
      </c>
      <c r="B8439" s="179" t="s">
        <v>456</v>
      </c>
      <c r="C8439" s="180">
        <v>380</v>
      </c>
    </row>
    <row r="8440" spans="1:3" x14ac:dyDescent="0.25">
      <c r="A8440" s="178">
        <v>343035</v>
      </c>
      <c r="B8440" s="179" t="s">
        <v>456</v>
      </c>
      <c r="C8440" s="180">
        <v>1200</v>
      </c>
    </row>
    <row r="8441" spans="1:3" x14ac:dyDescent="0.25">
      <c r="A8441" s="178">
        <v>343036</v>
      </c>
      <c r="B8441" s="179" t="s">
        <v>456</v>
      </c>
      <c r="C8441" s="180">
        <v>756</v>
      </c>
    </row>
    <row r="8442" spans="1:3" x14ac:dyDescent="0.25">
      <c r="A8442" s="178">
        <v>343037</v>
      </c>
      <c r="B8442" s="179" t="s">
        <v>456</v>
      </c>
      <c r="C8442" s="180">
        <v>1512</v>
      </c>
    </row>
    <row r="8443" spans="1:3" x14ac:dyDescent="0.25">
      <c r="A8443" s="178">
        <v>343038</v>
      </c>
      <c r="B8443" s="179" t="s">
        <v>456</v>
      </c>
      <c r="C8443" s="180">
        <v>200</v>
      </c>
    </row>
    <row r="8444" spans="1:3" x14ac:dyDescent="0.25">
      <c r="A8444" s="178">
        <v>343039</v>
      </c>
      <c r="B8444" s="179" t="s">
        <v>456</v>
      </c>
      <c r="C8444" s="180">
        <v>3360</v>
      </c>
    </row>
    <row r="8445" spans="1:3" x14ac:dyDescent="0.25">
      <c r="A8445" s="178">
        <v>343040</v>
      </c>
      <c r="B8445" s="179" t="s">
        <v>456</v>
      </c>
      <c r="C8445" s="180">
        <v>1400</v>
      </c>
    </row>
    <row r="8446" spans="1:3" x14ac:dyDescent="0.25">
      <c r="A8446" s="178">
        <v>343044</v>
      </c>
      <c r="B8446" s="179" t="s">
        <v>456</v>
      </c>
      <c r="C8446" s="180">
        <v>770</v>
      </c>
    </row>
    <row r="8447" spans="1:3" x14ac:dyDescent="0.25">
      <c r="A8447" s="178">
        <v>343048</v>
      </c>
      <c r="B8447" s="179" t="s">
        <v>456</v>
      </c>
      <c r="C8447" s="180">
        <v>1500</v>
      </c>
    </row>
    <row r="8448" spans="1:3" x14ac:dyDescent="0.25">
      <c r="A8448" s="178">
        <v>343049</v>
      </c>
      <c r="B8448" s="179" t="s">
        <v>456</v>
      </c>
      <c r="C8448" s="180">
        <v>1500</v>
      </c>
    </row>
    <row r="8449" spans="1:3" x14ac:dyDescent="0.25">
      <c r="A8449" s="178">
        <v>343050</v>
      </c>
      <c r="B8449" s="179" t="s">
        <v>456</v>
      </c>
      <c r="C8449" s="180">
        <v>1500</v>
      </c>
    </row>
    <row r="8450" spans="1:3" x14ac:dyDescent="0.25">
      <c r="A8450" s="178">
        <v>343051</v>
      </c>
      <c r="B8450" s="179" t="s">
        <v>456</v>
      </c>
      <c r="C8450" s="180">
        <v>1500</v>
      </c>
    </row>
    <row r="8451" spans="1:3" x14ac:dyDescent="0.25">
      <c r="A8451" s="178">
        <v>343052</v>
      </c>
      <c r="B8451" s="179" t="s">
        <v>456</v>
      </c>
      <c r="C8451" s="180">
        <v>1500</v>
      </c>
    </row>
    <row r="8452" spans="1:3" x14ac:dyDescent="0.25">
      <c r="A8452" s="178">
        <v>343059</v>
      </c>
      <c r="B8452" s="179" t="s">
        <v>456</v>
      </c>
      <c r="C8452" s="180">
        <v>99999</v>
      </c>
    </row>
    <row r="8453" spans="1:3" x14ac:dyDescent="0.25">
      <c r="A8453" s="178">
        <v>343060</v>
      </c>
      <c r="B8453" s="179" t="s">
        <v>456</v>
      </c>
      <c r="C8453" s="180">
        <v>99999</v>
      </c>
    </row>
    <row r="8454" spans="1:3" x14ac:dyDescent="0.25">
      <c r="A8454" s="178">
        <v>343061</v>
      </c>
      <c r="B8454" s="179" t="s">
        <v>456</v>
      </c>
      <c r="C8454" s="180">
        <v>99999</v>
      </c>
    </row>
    <row r="8455" spans="1:3" x14ac:dyDescent="0.25">
      <c r="A8455" s="178">
        <v>343062</v>
      </c>
      <c r="B8455" s="179" t="s">
        <v>456</v>
      </c>
      <c r="C8455" s="180">
        <v>99999</v>
      </c>
    </row>
    <row r="8456" spans="1:3" x14ac:dyDescent="0.25">
      <c r="A8456" s="178">
        <v>343063</v>
      </c>
      <c r="B8456" s="179" t="s">
        <v>456</v>
      </c>
      <c r="C8456" s="180">
        <v>99999</v>
      </c>
    </row>
    <row r="8457" spans="1:3" x14ac:dyDescent="0.25">
      <c r="A8457" s="178">
        <v>343064</v>
      </c>
      <c r="B8457" s="179" t="s">
        <v>456</v>
      </c>
      <c r="C8457" s="180">
        <v>99999</v>
      </c>
    </row>
    <row r="8458" spans="1:3" x14ac:dyDescent="0.25">
      <c r="A8458" s="178">
        <v>343065</v>
      </c>
      <c r="B8458" s="179" t="s">
        <v>456</v>
      </c>
      <c r="C8458" s="180">
        <v>99999</v>
      </c>
    </row>
    <row r="8459" spans="1:3" x14ac:dyDescent="0.25">
      <c r="A8459" s="178">
        <v>343066</v>
      </c>
      <c r="B8459" s="179" t="s">
        <v>456</v>
      </c>
      <c r="C8459" s="180">
        <v>99999</v>
      </c>
    </row>
    <row r="8460" spans="1:3" x14ac:dyDescent="0.25">
      <c r="A8460" s="178">
        <v>343069</v>
      </c>
      <c r="B8460" s="179" t="s">
        <v>456</v>
      </c>
      <c r="C8460" s="180">
        <v>6600</v>
      </c>
    </row>
    <row r="8461" spans="1:3" x14ac:dyDescent="0.25">
      <c r="A8461" s="178">
        <v>343070</v>
      </c>
      <c r="B8461" s="179" t="s">
        <v>456</v>
      </c>
      <c r="C8461" s="180">
        <v>1161</v>
      </c>
    </row>
    <row r="8462" spans="1:3" x14ac:dyDescent="0.25">
      <c r="A8462" s="178">
        <v>343107</v>
      </c>
      <c r="B8462" s="179" t="s">
        <v>456</v>
      </c>
      <c r="C8462" s="180">
        <v>6056</v>
      </c>
    </row>
    <row r="8463" spans="1:3" x14ac:dyDescent="0.25">
      <c r="A8463" s="178">
        <v>343110</v>
      </c>
      <c r="B8463" s="179" t="s">
        <v>456</v>
      </c>
      <c r="C8463" s="180">
        <v>16320</v>
      </c>
    </row>
    <row r="8464" spans="1:3" x14ac:dyDescent="0.25">
      <c r="A8464" s="178">
        <v>343111</v>
      </c>
      <c r="B8464" s="179" t="s">
        <v>456</v>
      </c>
      <c r="C8464" s="180">
        <v>840</v>
      </c>
    </row>
    <row r="8465" spans="1:3" x14ac:dyDescent="0.25">
      <c r="A8465" s="178">
        <v>343112</v>
      </c>
      <c r="B8465" s="179" t="s">
        <v>456</v>
      </c>
      <c r="C8465" s="180">
        <v>16320</v>
      </c>
    </row>
    <row r="8466" spans="1:3" x14ac:dyDescent="0.25">
      <c r="A8466" s="178">
        <v>343113</v>
      </c>
      <c r="B8466" s="179" t="s">
        <v>456</v>
      </c>
      <c r="C8466" s="180">
        <v>840</v>
      </c>
    </row>
    <row r="8467" spans="1:3" x14ac:dyDescent="0.25">
      <c r="A8467" s="178">
        <v>343116</v>
      </c>
      <c r="B8467" s="179" t="s">
        <v>456</v>
      </c>
      <c r="C8467" s="180">
        <v>99999</v>
      </c>
    </row>
    <row r="8468" spans="1:3" x14ac:dyDescent="0.25">
      <c r="A8468" s="178">
        <v>343117</v>
      </c>
      <c r="B8468" s="179" t="s">
        <v>456</v>
      </c>
      <c r="C8468" s="180">
        <v>31200</v>
      </c>
    </row>
    <row r="8469" spans="1:3" x14ac:dyDescent="0.25">
      <c r="A8469" s="178">
        <v>343118</v>
      </c>
      <c r="B8469" s="179" t="s">
        <v>456</v>
      </c>
      <c r="C8469" s="180">
        <v>31200</v>
      </c>
    </row>
    <row r="8470" spans="1:3" x14ac:dyDescent="0.25">
      <c r="A8470" s="178">
        <v>343130</v>
      </c>
      <c r="B8470" s="179" t="s">
        <v>456</v>
      </c>
      <c r="C8470" s="180">
        <v>99999</v>
      </c>
    </row>
    <row r="8471" spans="1:3" x14ac:dyDescent="0.25">
      <c r="A8471" s="178">
        <v>343131</v>
      </c>
      <c r="B8471" s="179" t="s">
        <v>456</v>
      </c>
      <c r="C8471" s="180">
        <v>99999</v>
      </c>
    </row>
    <row r="8472" spans="1:3" x14ac:dyDescent="0.25">
      <c r="A8472" s="178">
        <v>343132</v>
      </c>
      <c r="B8472" s="179" t="s">
        <v>456</v>
      </c>
      <c r="C8472" s="180">
        <v>99999</v>
      </c>
    </row>
    <row r="8473" spans="1:3" x14ac:dyDescent="0.25">
      <c r="A8473" s="178">
        <v>343133</v>
      </c>
      <c r="B8473" s="179" t="s">
        <v>456</v>
      </c>
      <c r="C8473" s="180">
        <v>99999</v>
      </c>
    </row>
    <row r="8474" spans="1:3" x14ac:dyDescent="0.25">
      <c r="A8474" s="178">
        <v>343134</v>
      </c>
      <c r="B8474" s="179" t="s">
        <v>456</v>
      </c>
      <c r="C8474" s="180">
        <v>2100</v>
      </c>
    </row>
    <row r="8475" spans="1:3" x14ac:dyDescent="0.25">
      <c r="A8475" s="178">
        <v>343135</v>
      </c>
      <c r="B8475" s="179" t="s">
        <v>456</v>
      </c>
      <c r="C8475" s="180">
        <v>2100</v>
      </c>
    </row>
    <row r="8476" spans="1:3" x14ac:dyDescent="0.25">
      <c r="A8476" s="178">
        <v>343136</v>
      </c>
      <c r="B8476" s="179" t="s">
        <v>456</v>
      </c>
      <c r="C8476" s="180">
        <v>1000</v>
      </c>
    </row>
    <row r="8477" spans="1:3" x14ac:dyDescent="0.25">
      <c r="A8477" s="178">
        <v>343142</v>
      </c>
      <c r="B8477" s="179" t="s">
        <v>456</v>
      </c>
      <c r="C8477" s="180">
        <v>16000</v>
      </c>
    </row>
    <row r="8478" spans="1:3" x14ac:dyDescent="0.25">
      <c r="A8478" s="178">
        <v>343143</v>
      </c>
      <c r="B8478" s="179" t="s">
        <v>456</v>
      </c>
      <c r="C8478" s="180">
        <v>16000</v>
      </c>
    </row>
    <row r="8479" spans="1:3" x14ac:dyDescent="0.25">
      <c r="A8479" s="178">
        <v>343144</v>
      </c>
      <c r="B8479" s="179" t="s">
        <v>456</v>
      </c>
      <c r="C8479" s="180">
        <v>16000</v>
      </c>
    </row>
    <row r="8480" spans="1:3" x14ac:dyDescent="0.25">
      <c r="A8480" s="178">
        <v>343146</v>
      </c>
      <c r="B8480" s="179" t="s">
        <v>456</v>
      </c>
      <c r="C8480" s="180">
        <v>14500</v>
      </c>
    </row>
    <row r="8481" spans="1:3" x14ac:dyDescent="0.25">
      <c r="A8481" s="178">
        <v>343147</v>
      </c>
      <c r="B8481" s="179" t="s">
        <v>456</v>
      </c>
      <c r="C8481" s="180">
        <v>16000</v>
      </c>
    </row>
    <row r="8482" spans="1:3" x14ac:dyDescent="0.25">
      <c r="A8482" s="178">
        <v>343148</v>
      </c>
      <c r="B8482" s="179" t="s">
        <v>456</v>
      </c>
      <c r="C8482" s="180">
        <v>16000</v>
      </c>
    </row>
    <row r="8483" spans="1:3" x14ac:dyDescent="0.25">
      <c r="A8483" s="178">
        <v>343149</v>
      </c>
      <c r="B8483" s="179" t="s">
        <v>456</v>
      </c>
      <c r="C8483" s="180">
        <v>14500</v>
      </c>
    </row>
    <row r="8484" spans="1:3" x14ac:dyDescent="0.25">
      <c r="A8484" s="178">
        <v>343150</v>
      </c>
      <c r="B8484" s="179" t="s">
        <v>456</v>
      </c>
      <c r="C8484" s="180">
        <v>16000</v>
      </c>
    </row>
    <row r="8485" spans="1:3" x14ac:dyDescent="0.25">
      <c r="A8485" s="178">
        <v>343151</v>
      </c>
      <c r="B8485" s="179" t="s">
        <v>456</v>
      </c>
      <c r="C8485" s="180">
        <v>14500</v>
      </c>
    </row>
    <row r="8486" spans="1:3" x14ac:dyDescent="0.25">
      <c r="A8486" s="178">
        <v>343152</v>
      </c>
      <c r="B8486" s="179" t="s">
        <v>456</v>
      </c>
      <c r="C8486" s="180">
        <v>16000</v>
      </c>
    </row>
    <row r="8487" spans="1:3" x14ac:dyDescent="0.25">
      <c r="A8487" s="178">
        <v>343153</v>
      </c>
      <c r="B8487" s="179" t="s">
        <v>456</v>
      </c>
      <c r="C8487" s="180">
        <v>16000</v>
      </c>
    </row>
    <row r="8488" spans="1:3" x14ac:dyDescent="0.25">
      <c r="A8488" s="178">
        <v>343154</v>
      </c>
      <c r="B8488" s="179" t="s">
        <v>456</v>
      </c>
      <c r="C8488" s="180">
        <v>14500</v>
      </c>
    </row>
    <row r="8489" spans="1:3" x14ac:dyDescent="0.25">
      <c r="A8489" s="178">
        <v>343155</v>
      </c>
      <c r="B8489" s="179" t="s">
        <v>456</v>
      </c>
      <c r="C8489" s="180">
        <v>16000</v>
      </c>
    </row>
    <row r="8490" spans="1:3" x14ac:dyDescent="0.25">
      <c r="A8490" s="178">
        <v>343156</v>
      </c>
      <c r="B8490" s="179" t="s">
        <v>456</v>
      </c>
      <c r="C8490" s="180">
        <v>24300</v>
      </c>
    </row>
    <row r="8491" spans="1:3" x14ac:dyDescent="0.25">
      <c r="A8491" s="178">
        <v>343157</v>
      </c>
      <c r="B8491" s="179" t="s">
        <v>456</v>
      </c>
      <c r="C8491" s="180">
        <v>24300</v>
      </c>
    </row>
    <row r="8492" spans="1:3" x14ac:dyDescent="0.25">
      <c r="A8492" s="178">
        <v>343158</v>
      </c>
      <c r="B8492" s="179" t="s">
        <v>456</v>
      </c>
      <c r="C8492" s="180">
        <v>10000</v>
      </c>
    </row>
    <row r="8493" spans="1:3" x14ac:dyDescent="0.25">
      <c r="A8493" s="178">
        <v>343159</v>
      </c>
      <c r="B8493" s="179" t="s">
        <v>456</v>
      </c>
      <c r="C8493" s="180">
        <v>15750</v>
      </c>
    </row>
    <row r="8494" spans="1:3" x14ac:dyDescent="0.25">
      <c r="A8494" s="178">
        <v>343160</v>
      </c>
      <c r="B8494" s="179" t="s">
        <v>456</v>
      </c>
      <c r="C8494" s="180">
        <v>15750</v>
      </c>
    </row>
    <row r="8495" spans="1:3" x14ac:dyDescent="0.25">
      <c r="A8495" s="178">
        <v>343161</v>
      </c>
      <c r="B8495" s="179" t="s">
        <v>456</v>
      </c>
      <c r="C8495" s="180">
        <v>15750</v>
      </c>
    </row>
    <row r="8496" spans="1:3" x14ac:dyDescent="0.25">
      <c r="A8496" s="178">
        <v>343162</v>
      </c>
      <c r="B8496" s="179" t="s">
        <v>456</v>
      </c>
      <c r="C8496" s="180">
        <v>99999</v>
      </c>
    </row>
    <row r="8497" spans="1:3" x14ac:dyDescent="0.25">
      <c r="A8497" s="178">
        <v>343163</v>
      </c>
      <c r="B8497" s="179" t="s">
        <v>456</v>
      </c>
      <c r="C8497" s="180">
        <v>99999</v>
      </c>
    </row>
    <row r="8498" spans="1:3" x14ac:dyDescent="0.25">
      <c r="A8498" s="178">
        <v>343164</v>
      </c>
      <c r="B8498" s="179" t="s">
        <v>456</v>
      </c>
      <c r="C8498" s="180">
        <v>6600</v>
      </c>
    </row>
    <row r="8499" spans="1:3" x14ac:dyDescent="0.25">
      <c r="A8499" s="178">
        <v>343165</v>
      </c>
      <c r="B8499" s="179" t="s">
        <v>456</v>
      </c>
      <c r="C8499" s="180">
        <v>6600</v>
      </c>
    </row>
    <row r="8500" spans="1:3" x14ac:dyDescent="0.25">
      <c r="A8500" s="178">
        <v>343166</v>
      </c>
      <c r="B8500" s="179" t="s">
        <v>456</v>
      </c>
      <c r="C8500" s="180">
        <v>6600</v>
      </c>
    </row>
    <row r="8501" spans="1:3" x14ac:dyDescent="0.25">
      <c r="A8501" s="178">
        <v>343167</v>
      </c>
      <c r="B8501" s="179" t="s">
        <v>456</v>
      </c>
      <c r="C8501" s="180">
        <v>6600</v>
      </c>
    </row>
    <row r="8502" spans="1:3" x14ac:dyDescent="0.25">
      <c r="A8502" s="178">
        <v>343168</v>
      </c>
      <c r="B8502" s="179" t="s">
        <v>456</v>
      </c>
      <c r="C8502" s="180">
        <v>6600</v>
      </c>
    </row>
    <row r="8503" spans="1:3" x14ac:dyDescent="0.25">
      <c r="A8503" s="178">
        <v>343169</v>
      </c>
      <c r="B8503" s="179" t="s">
        <v>456</v>
      </c>
      <c r="C8503" s="180">
        <v>6600</v>
      </c>
    </row>
    <row r="8504" spans="1:3" x14ac:dyDescent="0.25">
      <c r="A8504" s="178">
        <v>343188</v>
      </c>
      <c r="B8504" s="179" t="s">
        <v>456</v>
      </c>
      <c r="C8504" s="180">
        <v>1944</v>
      </c>
    </row>
    <row r="8505" spans="1:3" x14ac:dyDescent="0.25">
      <c r="A8505" s="178">
        <v>343191</v>
      </c>
      <c r="B8505" s="179" t="s">
        <v>456</v>
      </c>
      <c r="C8505" s="180">
        <v>960</v>
      </c>
    </row>
    <row r="8506" spans="1:3" x14ac:dyDescent="0.25">
      <c r="A8506" s="178">
        <v>343192</v>
      </c>
      <c r="B8506" s="179" t="s">
        <v>456</v>
      </c>
      <c r="C8506" s="180">
        <v>2736</v>
      </c>
    </row>
    <row r="8507" spans="1:3" x14ac:dyDescent="0.25">
      <c r="A8507" s="178">
        <v>343193</v>
      </c>
      <c r="B8507" s="179" t="s">
        <v>456</v>
      </c>
      <c r="C8507" s="180">
        <v>1200</v>
      </c>
    </row>
    <row r="8508" spans="1:3" x14ac:dyDescent="0.25">
      <c r="A8508" s="178">
        <v>343194</v>
      </c>
      <c r="B8508" s="179" t="s">
        <v>456</v>
      </c>
      <c r="C8508" s="180">
        <v>6600</v>
      </c>
    </row>
    <row r="8509" spans="1:3" x14ac:dyDescent="0.25">
      <c r="A8509" s="178">
        <v>343195</v>
      </c>
      <c r="B8509" s="179" t="s">
        <v>456</v>
      </c>
      <c r="C8509" s="180">
        <v>2800</v>
      </c>
    </row>
    <row r="8510" spans="1:3" x14ac:dyDescent="0.25">
      <c r="A8510" s="178">
        <v>343215</v>
      </c>
      <c r="B8510" s="179" t="s">
        <v>456</v>
      </c>
      <c r="C8510" s="180">
        <v>4680</v>
      </c>
    </row>
    <row r="8511" spans="1:3" x14ac:dyDescent="0.25">
      <c r="A8511" s="178">
        <v>343217</v>
      </c>
      <c r="B8511" s="179" t="s">
        <v>456</v>
      </c>
      <c r="C8511" s="180">
        <v>130</v>
      </c>
    </row>
    <row r="8512" spans="1:3" x14ac:dyDescent="0.25">
      <c r="A8512" s="178">
        <v>343218</v>
      </c>
      <c r="B8512" s="179" t="s">
        <v>456</v>
      </c>
      <c r="C8512" s="180">
        <v>320</v>
      </c>
    </row>
    <row r="8513" spans="1:3" x14ac:dyDescent="0.25">
      <c r="A8513" s="178">
        <v>343224</v>
      </c>
      <c r="B8513" s="179" t="s">
        <v>456</v>
      </c>
      <c r="C8513" s="180">
        <v>22500</v>
      </c>
    </row>
    <row r="8514" spans="1:3" x14ac:dyDescent="0.25">
      <c r="A8514" s="178">
        <v>343588</v>
      </c>
      <c r="B8514" s="179" t="s">
        <v>456</v>
      </c>
      <c r="C8514" s="180">
        <v>1200</v>
      </c>
    </row>
    <row r="8515" spans="1:3" x14ac:dyDescent="0.25">
      <c r="A8515" s="178">
        <v>343591</v>
      </c>
      <c r="B8515" s="179" t="s">
        <v>456</v>
      </c>
      <c r="C8515" s="180">
        <v>16000</v>
      </c>
    </row>
    <row r="8516" spans="1:3" x14ac:dyDescent="0.25">
      <c r="A8516" s="178">
        <v>343594</v>
      </c>
      <c r="B8516" s="179" t="s">
        <v>456</v>
      </c>
      <c r="C8516" s="180">
        <v>3120</v>
      </c>
    </row>
    <row r="8517" spans="1:3" x14ac:dyDescent="0.25">
      <c r="A8517" s="178">
        <v>343595</v>
      </c>
      <c r="B8517" s="179" t="s">
        <v>456</v>
      </c>
      <c r="C8517" s="180">
        <v>20600</v>
      </c>
    </row>
    <row r="8518" spans="1:3" x14ac:dyDescent="0.25">
      <c r="A8518" s="178">
        <v>343596</v>
      </c>
      <c r="B8518" s="179" t="s">
        <v>456</v>
      </c>
      <c r="C8518" s="180">
        <v>400</v>
      </c>
    </row>
    <row r="8519" spans="1:3" x14ac:dyDescent="0.25">
      <c r="A8519" s="178">
        <v>343597</v>
      </c>
      <c r="B8519" s="179" t="s">
        <v>456</v>
      </c>
      <c r="C8519" s="180">
        <v>14500</v>
      </c>
    </row>
    <row r="8520" spans="1:3" x14ac:dyDescent="0.25">
      <c r="A8520" s="178">
        <v>343598</v>
      </c>
      <c r="B8520" s="179" t="s">
        <v>456</v>
      </c>
      <c r="C8520" s="180">
        <v>14500</v>
      </c>
    </row>
    <row r="8521" spans="1:3" x14ac:dyDescent="0.25">
      <c r="A8521" s="178">
        <v>343599</v>
      </c>
      <c r="B8521" s="179" t="s">
        <v>456</v>
      </c>
      <c r="C8521" s="180">
        <v>6800</v>
      </c>
    </row>
    <row r="8522" spans="1:3" x14ac:dyDescent="0.25">
      <c r="A8522" s="178">
        <v>343600</v>
      </c>
      <c r="B8522" s="179" t="s">
        <v>456</v>
      </c>
      <c r="C8522" s="180">
        <v>3100</v>
      </c>
    </row>
    <row r="8523" spans="1:3" x14ac:dyDescent="0.25">
      <c r="A8523" s="178">
        <v>343605</v>
      </c>
      <c r="B8523" s="179" t="s">
        <v>456</v>
      </c>
      <c r="C8523" s="180">
        <v>10200</v>
      </c>
    </row>
    <row r="8524" spans="1:3" x14ac:dyDescent="0.25">
      <c r="A8524" s="178">
        <v>343606</v>
      </c>
      <c r="B8524" s="179" t="s">
        <v>456</v>
      </c>
      <c r="C8524" s="180">
        <v>7600</v>
      </c>
    </row>
    <row r="8525" spans="1:3" x14ac:dyDescent="0.25">
      <c r="A8525" s="178">
        <v>343613</v>
      </c>
      <c r="B8525" s="179" t="s">
        <v>456</v>
      </c>
      <c r="C8525" s="180">
        <v>540</v>
      </c>
    </row>
    <row r="8526" spans="1:3" x14ac:dyDescent="0.25">
      <c r="A8526" s="178">
        <v>343614</v>
      </c>
      <c r="B8526" s="179" t="s">
        <v>456</v>
      </c>
      <c r="C8526" s="180">
        <v>99999</v>
      </c>
    </row>
    <row r="8527" spans="1:3" x14ac:dyDescent="0.25">
      <c r="A8527" s="178">
        <v>343615</v>
      </c>
      <c r="B8527" s="179" t="s">
        <v>456</v>
      </c>
      <c r="C8527" s="180">
        <v>99999</v>
      </c>
    </row>
    <row r="8528" spans="1:3" x14ac:dyDescent="0.25">
      <c r="A8528" s="178">
        <v>343616</v>
      </c>
      <c r="B8528" s="179" t="s">
        <v>456</v>
      </c>
      <c r="C8528" s="180">
        <v>99999</v>
      </c>
    </row>
    <row r="8529" spans="1:3" x14ac:dyDescent="0.25">
      <c r="A8529" s="178">
        <v>343617</v>
      </c>
      <c r="B8529" s="179" t="s">
        <v>456</v>
      </c>
      <c r="C8529" s="180">
        <v>99999</v>
      </c>
    </row>
    <row r="8530" spans="1:3" x14ac:dyDescent="0.25">
      <c r="A8530" s="178">
        <v>343620</v>
      </c>
      <c r="B8530" s="179" t="s">
        <v>456</v>
      </c>
      <c r="C8530" s="180">
        <v>99999</v>
      </c>
    </row>
    <row r="8531" spans="1:3" x14ac:dyDescent="0.25">
      <c r="A8531" s="178">
        <v>343621</v>
      </c>
      <c r="B8531" s="179" t="s">
        <v>456</v>
      </c>
      <c r="C8531" s="180">
        <v>99999</v>
      </c>
    </row>
    <row r="8532" spans="1:3" x14ac:dyDescent="0.25">
      <c r="A8532" s="178">
        <v>343622</v>
      </c>
      <c r="B8532" s="179" t="s">
        <v>456</v>
      </c>
      <c r="C8532" s="180">
        <v>99999</v>
      </c>
    </row>
    <row r="8533" spans="1:3" x14ac:dyDescent="0.25">
      <c r="A8533" s="178">
        <v>343623</v>
      </c>
      <c r="B8533" s="179" t="s">
        <v>456</v>
      </c>
      <c r="C8533" s="180">
        <v>16320</v>
      </c>
    </row>
    <row r="8534" spans="1:3" x14ac:dyDescent="0.25">
      <c r="A8534" s="178">
        <v>343624</v>
      </c>
      <c r="B8534" s="179" t="s">
        <v>456</v>
      </c>
      <c r="C8534" s="180">
        <v>1760</v>
      </c>
    </row>
    <row r="8535" spans="1:3" x14ac:dyDescent="0.25">
      <c r="A8535" s="178">
        <v>343625</v>
      </c>
      <c r="B8535" s="179" t="s">
        <v>456</v>
      </c>
      <c r="C8535" s="180">
        <v>840</v>
      </c>
    </row>
    <row r="8536" spans="1:3" x14ac:dyDescent="0.25">
      <c r="A8536" s="178">
        <v>343626</v>
      </c>
      <c r="B8536" s="179" t="s">
        <v>456</v>
      </c>
      <c r="C8536" s="180">
        <v>300</v>
      </c>
    </row>
    <row r="8537" spans="1:3" x14ac:dyDescent="0.25">
      <c r="A8537" s="178">
        <v>343627</v>
      </c>
      <c r="B8537" s="179" t="s">
        <v>456</v>
      </c>
      <c r="C8537" s="180">
        <v>400</v>
      </c>
    </row>
    <row r="8538" spans="1:3" x14ac:dyDescent="0.25">
      <c r="A8538" s="178">
        <v>343629</v>
      </c>
      <c r="B8538" s="179" t="s">
        <v>456</v>
      </c>
      <c r="C8538" s="180">
        <v>99999</v>
      </c>
    </row>
    <row r="8539" spans="1:3" x14ac:dyDescent="0.25">
      <c r="A8539" s="178">
        <v>343630</v>
      </c>
      <c r="B8539" s="179" t="s">
        <v>456</v>
      </c>
      <c r="C8539" s="180">
        <v>99999</v>
      </c>
    </row>
    <row r="8540" spans="1:3" x14ac:dyDescent="0.25">
      <c r="A8540" s="178">
        <v>343631</v>
      </c>
      <c r="B8540" s="179" t="s">
        <v>456</v>
      </c>
      <c r="C8540" s="180">
        <v>99999</v>
      </c>
    </row>
    <row r="8541" spans="1:3" x14ac:dyDescent="0.25">
      <c r="A8541" s="178">
        <v>343632</v>
      </c>
      <c r="B8541" s="179" t="s">
        <v>456</v>
      </c>
      <c r="C8541" s="180">
        <v>99999</v>
      </c>
    </row>
    <row r="8542" spans="1:3" x14ac:dyDescent="0.25">
      <c r="A8542" s="178">
        <v>343633</v>
      </c>
      <c r="B8542" s="179" t="s">
        <v>456</v>
      </c>
      <c r="C8542" s="180">
        <v>99999</v>
      </c>
    </row>
    <row r="8543" spans="1:3" x14ac:dyDescent="0.25">
      <c r="A8543" s="178">
        <v>343634</v>
      </c>
      <c r="B8543" s="179" t="s">
        <v>456</v>
      </c>
      <c r="C8543" s="180">
        <v>99999</v>
      </c>
    </row>
    <row r="8544" spans="1:3" x14ac:dyDescent="0.25">
      <c r="A8544" s="178">
        <v>343635</v>
      </c>
      <c r="B8544" s="179" t="s">
        <v>456</v>
      </c>
      <c r="C8544" s="180">
        <v>99999</v>
      </c>
    </row>
    <row r="8545" spans="1:3" x14ac:dyDescent="0.25">
      <c r="A8545" s="178">
        <v>343636</v>
      </c>
      <c r="B8545" s="179" t="s">
        <v>456</v>
      </c>
      <c r="C8545" s="180">
        <v>99999</v>
      </c>
    </row>
    <row r="8546" spans="1:3" x14ac:dyDescent="0.25">
      <c r="A8546" s="178">
        <v>343637</v>
      </c>
      <c r="B8546" s="179" t="s">
        <v>456</v>
      </c>
      <c r="C8546" s="180">
        <v>99999</v>
      </c>
    </row>
    <row r="8547" spans="1:3" x14ac:dyDescent="0.25">
      <c r="A8547" s="178">
        <v>343640</v>
      </c>
      <c r="B8547" s="179" t="s">
        <v>456</v>
      </c>
      <c r="C8547" s="180">
        <v>99999</v>
      </c>
    </row>
    <row r="8548" spans="1:3" x14ac:dyDescent="0.25">
      <c r="A8548" s="178">
        <v>343641</v>
      </c>
      <c r="B8548" s="179" t="s">
        <v>456</v>
      </c>
      <c r="C8548" s="180">
        <v>99999</v>
      </c>
    </row>
    <row r="8549" spans="1:3" x14ac:dyDescent="0.25">
      <c r="A8549" s="178">
        <v>343642</v>
      </c>
      <c r="B8549" s="179" t="s">
        <v>456</v>
      </c>
      <c r="C8549" s="180">
        <v>99999</v>
      </c>
    </row>
    <row r="8550" spans="1:3" x14ac:dyDescent="0.25">
      <c r="A8550" s="178">
        <v>343643</v>
      </c>
      <c r="B8550" s="179" t="s">
        <v>456</v>
      </c>
      <c r="C8550" s="180">
        <v>99999</v>
      </c>
    </row>
    <row r="8551" spans="1:3" x14ac:dyDescent="0.25">
      <c r="A8551" s="178">
        <v>343644</v>
      </c>
      <c r="B8551" s="179" t="s">
        <v>456</v>
      </c>
      <c r="C8551" s="180">
        <v>3700</v>
      </c>
    </row>
    <row r="8552" spans="1:3" x14ac:dyDescent="0.25">
      <c r="A8552" s="178">
        <v>343645</v>
      </c>
      <c r="B8552" s="179" t="s">
        <v>456</v>
      </c>
      <c r="C8552" s="180">
        <v>2640</v>
      </c>
    </row>
    <row r="8553" spans="1:3" x14ac:dyDescent="0.25">
      <c r="A8553" s="178">
        <v>343646</v>
      </c>
      <c r="B8553" s="179" t="s">
        <v>456</v>
      </c>
      <c r="C8553" s="180">
        <v>43750</v>
      </c>
    </row>
    <row r="8554" spans="1:3" x14ac:dyDescent="0.25">
      <c r="A8554" s="178">
        <v>343647</v>
      </c>
      <c r="B8554" s="179" t="s">
        <v>456</v>
      </c>
      <c r="C8554" s="180">
        <v>4200</v>
      </c>
    </row>
    <row r="8555" spans="1:3" x14ac:dyDescent="0.25">
      <c r="A8555" s="178">
        <v>343648</v>
      </c>
      <c r="B8555" s="179" t="s">
        <v>456</v>
      </c>
      <c r="C8555" s="180">
        <v>960</v>
      </c>
    </row>
    <row r="8556" spans="1:3" x14ac:dyDescent="0.25">
      <c r="A8556" s="178">
        <v>343717</v>
      </c>
      <c r="B8556" s="179" t="s">
        <v>456</v>
      </c>
      <c r="C8556" s="180">
        <v>99999</v>
      </c>
    </row>
    <row r="8557" spans="1:3" x14ac:dyDescent="0.25">
      <c r="A8557" s="178">
        <v>343718</v>
      </c>
      <c r="B8557" s="179" t="s">
        <v>456</v>
      </c>
      <c r="C8557" s="180">
        <v>99999</v>
      </c>
    </row>
    <row r="8558" spans="1:3" x14ac:dyDescent="0.25">
      <c r="A8558" s="178">
        <v>343720</v>
      </c>
      <c r="B8558" s="179" t="s">
        <v>456</v>
      </c>
      <c r="C8558" s="180">
        <v>99999</v>
      </c>
    </row>
    <row r="8559" spans="1:3" x14ac:dyDescent="0.25">
      <c r="A8559" s="178">
        <v>343721</v>
      </c>
      <c r="B8559" s="179" t="s">
        <v>456</v>
      </c>
      <c r="C8559" s="180">
        <v>93336</v>
      </c>
    </row>
    <row r="8560" spans="1:3" x14ac:dyDescent="0.25">
      <c r="A8560" s="178">
        <v>343722</v>
      </c>
      <c r="B8560" s="179" t="s">
        <v>456</v>
      </c>
      <c r="C8560" s="180">
        <v>93336</v>
      </c>
    </row>
    <row r="8561" spans="1:3" x14ac:dyDescent="0.25">
      <c r="A8561" s="178">
        <v>343755</v>
      </c>
      <c r="B8561" s="179" t="s">
        <v>456</v>
      </c>
      <c r="C8561" s="180">
        <v>3900</v>
      </c>
    </row>
    <row r="8562" spans="1:3" x14ac:dyDescent="0.25">
      <c r="A8562" s="178">
        <v>343756</v>
      </c>
      <c r="B8562" s="179" t="s">
        <v>456</v>
      </c>
      <c r="C8562" s="180">
        <v>2960</v>
      </c>
    </row>
    <row r="8563" spans="1:3" x14ac:dyDescent="0.25">
      <c r="A8563" s="178">
        <v>343757</v>
      </c>
      <c r="B8563" s="179" t="s">
        <v>456</v>
      </c>
      <c r="C8563" s="180">
        <v>2220</v>
      </c>
    </row>
    <row r="8564" spans="1:3" x14ac:dyDescent="0.25">
      <c r="A8564" s="178">
        <v>343771</v>
      </c>
      <c r="B8564" s="179" t="s">
        <v>456</v>
      </c>
      <c r="C8564" s="180">
        <v>52938</v>
      </c>
    </row>
    <row r="8565" spans="1:3" x14ac:dyDescent="0.25">
      <c r="A8565" s="178">
        <v>343772</v>
      </c>
      <c r="B8565" s="179" t="s">
        <v>456</v>
      </c>
      <c r="C8565" s="180">
        <v>61362</v>
      </c>
    </row>
    <row r="8566" spans="1:3" x14ac:dyDescent="0.25">
      <c r="A8566" s="178">
        <v>343773</v>
      </c>
      <c r="B8566" s="179" t="s">
        <v>456</v>
      </c>
      <c r="C8566" s="180">
        <v>58680</v>
      </c>
    </row>
    <row r="8567" spans="1:3" x14ac:dyDescent="0.25">
      <c r="A8567" s="178">
        <v>343787</v>
      </c>
      <c r="B8567" s="179" t="s">
        <v>456</v>
      </c>
      <c r="C8567" s="180">
        <v>99999</v>
      </c>
    </row>
    <row r="8568" spans="1:3" x14ac:dyDescent="0.25">
      <c r="A8568" s="178">
        <v>343788</v>
      </c>
      <c r="B8568" s="179" t="s">
        <v>456</v>
      </c>
      <c r="C8568" s="180">
        <v>99999</v>
      </c>
    </row>
    <row r="8569" spans="1:3" x14ac:dyDescent="0.25">
      <c r="A8569" s="178">
        <v>343789</v>
      </c>
      <c r="B8569" s="179" t="s">
        <v>456</v>
      </c>
      <c r="C8569" s="180">
        <v>99999</v>
      </c>
    </row>
    <row r="8570" spans="1:3" x14ac:dyDescent="0.25">
      <c r="A8570" s="178">
        <v>343790</v>
      </c>
      <c r="B8570" s="179" t="s">
        <v>456</v>
      </c>
      <c r="C8570" s="180">
        <v>99999</v>
      </c>
    </row>
    <row r="8571" spans="1:3" x14ac:dyDescent="0.25">
      <c r="A8571" s="178">
        <v>343791</v>
      </c>
      <c r="B8571" s="179" t="s">
        <v>456</v>
      </c>
      <c r="C8571" s="180">
        <v>99999</v>
      </c>
    </row>
    <row r="8572" spans="1:3" x14ac:dyDescent="0.25">
      <c r="A8572" s="178">
        <v>343792</v>
      </c>
      <c r="B8572" s="179" t="s">
        <v>456</v>
      </c>
      <c r="C8572" s="180">
        <v>99999</v>
      </c>
    </row>
    <row r="8573" spans="1:3" x14ac:dyDescent="0.25">
      <c r="A8573" s="178">
        <v>343793</v>
      </c>
      <c r="B8573" s="179" t="s">
        <v>456</v>
      </c>
      <c r="C8573" s="180">
        <v>99999</v>
      </c>
    </row>
    <row r="8574" spans="1:3" x14ac:dyDescent="0.25">
      <c r="A8574" s="178">
        <v>343794</v>
      </c>
      <c r="B8574" s="179" t="s">
        <v>456</v>
      </c>
      <c r="C8574" s="180">
        <v>99999</v>
      </c>
    </row>
    <row r="8575" spans="1:3" x14ac:dyDescent="0.25">
      <c r="A8575" s="178">
        <v>343795</v>
      </c>
      <c r="B8575" s="179" t="s">
        <v>456</v>
      </c>
      <c r="C8575" s="180">
        <v>99999</v>
      </c>
    </row>
    <row r="8576" spans="1:3" x14ac:dyDescent="0.25">
      <c r="A8576" s="178">
        <v>343796</v>
      </c>
      <c r="B8576" s="179" t="s">
        <v>456</v>
      </c>
      <c r="C8576" s="180">
        <v>99999</v>
      </c>
    </row>
    <row r="8577" spans="1:3" x14ac:dyDescent="0.25">
      <c r="A8577" s="178">
        <v>343797</v>
      </c>
      <c r="B8577" s="179" t="s">
        <v>456</v>
      </c>
      <c r="C8577" s="180">
        <v>99999</v>
      </c>
    </row>
    <row r="8578" spans="1:3" x14ac:dyDescent="0.25">
      <c r="A8578" s="178">
        <v>343798</v>
      </c>
      <c r="B8578" s="179" t="s">
        <v>456</v>
      </c>
      <c r="C8578" s="180">
        <v>99999</v>
      </c>
    </row>
    <row r="8579" spans="1:3" x14ac:dyDescent="0.25">
      <c r="A8579" s="178">
        <v>343799</v>
      </c>
      <c r="B8579" s="179" t="s">
        <v>456</v>
      </c>
      <c r="C8579" s="180">
        <v>99999</v>
      </c>
    </row>
    <row r="8580" spans="1:3" x14ac:dyDescent="0.25">
      <c r="A8580" s="178">
        <v>343800</v>
      </c>
      <c r="B8580" s="179" t="s">
        <v>456</v>
      </c>
      <c r="C8580" s="180">
        <v>99999</v>
      </c>
    </row>
    <row r="8581" spans="1:3" x14ac:dyDescent="0.25">
      <c r="A8581" s="178">
        <v>343801</v>
      </c>
      <c r="B8581" s="179" t="s">
        <v>456</v>
      </c>
      <c r="C8581" s="180">
        <v>99999</v>
      </c>
    </row>
    <row r="8582" spans="1:3" x14ac:dyDescent="0.25">
      <c r="A8582" s="178">
        <v>343802</v>
      </c>
      <c r="B8582" s="179" t="s">
        <v>456</v>
      </c>
      <c r="C8582" s="180">
        <v>99999</v>
      </c>
    </row>
    <row r="8583" spans="1:3" x14ac:dyDescent="0.25">
      <c r="A8583" s="178">
        <v>343803</v>
      </c>
      <c r="B8583" s="179" t="s">
        <v>456</v>
      </c>
      <c r="C8583" s="180">
        <v>99999</v>
      </c>
    </row>
    <row r="8584" spans="1:3" x14ac:dyDescent="0.25">
      <c r="A8584" s="178">
        <v>343804</v>
      </c>
      <c r="B8584" s="179" t="s">
        <v>456</v>
      </c>
      <c r="C8584" s="180">
        <v>99999</v>
      </c>
    </row>
    <row r="8585" spans="1:3" x14ac:dyDescent="0.25">
      <c r="A8585" s="178">
        <v>343805</v>
      </c>
      <c r="B8585" s="179" t="s">
        <v>456</v>
      </c>
      <c r="C8585" s="180">
        <v>99999</v>
      </c>
    </row>
    <row r="8586" spans="1:3" x14ac:dyDescent="0.25">
      <c r="A8586" s="178">
        <v>343806</v>
      </c>
      <c r="B8586" s="179" t="s">
        <v>456</v>
      </c>
      <c r="C8586" s="180">
        <v>99999</v>
      </c>
    </row>
    <row r="8587" spans="1:3" x14ac:dyDescent="0.25">
      <c r="A8587" s="178">
        <v>343807</v>
      </c>
      <c r="B8587" s="179" t="s">
        <v>456</v>
      </c>
      <c r="C8587" s="180">
        <v>99999</v>
      </c>
    </row>
    <row r="8588" spans="1:3" x14ac:dyDescent="0.25">
      <c r="A8588" s="178">
        <v>343808</v>
      </c>
      <c r="B8588" s="179" t="s">
        <v>456</v>
      </c>
      <c r="C8588" s="180">
        <v>14500</v>
      </c>
    </row>
    <row r="8589" spans="1:3" x14ac:dyDescent="0.25">
      <c r="A8589" s="178">
        <v>343809</v>
      </c>
      <c r="B8589" s="179" t="s">
        <v>456</v>
      </c>
      <c r="C8589" s="180">
        <v>14500</v>
      </c>
    </row>
    <row r="8590" spans="1:3" x14ac:dyDescent="0.25">
      <c r="A8590" s="178">
        <v>343810</v>
      </c>
      <c r="B8590" s="179" t="s">
        <v>456</v>
      </c>
      <c r="C8590" s="180">
        <v>6300</v>
      </c>
    </row>
    <row r="8591" spans="1:3" x14ac:dyDescent="0.25">
      <c r="A8591" s="178">
        <v>343811</v>
      </c>
      <c r="B8591" s="179" t="s">
        <v>456</v>
      </c>
      <c r="C8591" s="180">
        <v>6300</v>
      </c>
    </row>
    <row r="8592" spans="1:3" x14ac:dyDescent="0.25">
      <c r="A8592" s="178">
        <v>343814</v>
      </c>
      <c r="B8592" s="179" t="s">
        <v>456</v>
      </c>
      <c r="C8592" s="180">
        <v>99999</v>
      </c>
    </row>
    <row r="8593" spans="1:3" x14ac:dyDescent="0.25">
      <c r="A8593" s="178">
        <v>343815</v>
      </c>
      <c r="B8593" s="179" t="s">
        <v>456</v>
      </c>
      <c r="C8593" s="180">
        <v>99999</v>
      </c>
    </row>
    <row r="8594" spans="1:3" x14ac:dyDescent="0.25">
      <c r="A8594" s="178">
        <v>343816</v>
      </c>
      <c r="B8594" s="179" t="s">
        <v>456</v>
      </c>
      <c r="C8594" s="180">
        <v>99999</v>
      </c>
    </row>
    <row r="8595" spans="1:3" x14ac:dyDescent="0.25">
      <c r="A8595" s="178">
        <v>343817</v>
      </c>
      <c r="B8595" s="179" t="s">
        <v>456</v>
      </c>
      <c r="C8595" s="180">
        <v>20000</v>
      </c>
    </row>
    <row r="8596" spans="1:3" x14ac:dyDescent="0.25">
      <c r="A8596" s="178">
        <v>343818</v>
      </c>
      <c r="B8596" s="179" t="s">
        <v>456</v>
      </c>
      <c r="C8596" s="180">
        <v>4400</v>
      </c>
    </row>
    <row r="8597" spans="1:3" x14ac:dyDescent="0.25">
      <c r="A8597" s="178">
        <v>343820</v>
      </c>
      <c r="B8597" s="179" t="s">
        <v>456</v>
      </c>
      <c r="C8597" s="180">
        <v>84000</v>
      </c>
    </row>
    <row r="8598" spans="1:3" x14ac:dyDescent="0.25">
      <c r="A8598" s="178">
        <v>343821</v>
      </c>
      <c r="B8598" s="179" t="s">
        <v>456</v>
      </c>
      <c r="C8598" s="180">
        <v>84000</v>
      </c>
    </row>
    <row r="8599" spans="1:3" x14ac:dyDescent="0.25">
      <c r="A8599" s="178">
        <v>343822</v>
      </c>
      <c r="B8599" s="179" t="s">
        <v>456</v>
      </c>
      <c r="C8599" s="180">
        <v>740</v>
      </c>
    </row>
    <row r="8600" spans="1:3" x14ac:dyDescent="0.25">
      <c r="A8600" s="178">
        <v>343823</v>
      </c>
      <c r="B8600" s="179" t="s">
        <v>456</v>
      </c>
      <c r="C8600" s="180">
        <v>1161</v>
      </c>
    </row>
    <row r="8601" spans="1:3" x14ac:dyDescent="0.25">
      <c r="A8601" s="178">
        <v>343824</v>
      </c>
      <c r="B8601" s="179" t="s">
        <v>456</v>
      </c>
      <c r="C8601" s="180">
        <v>15984</v>
      </c>
    </row>
    <row r="8602" spans="1:3" x14ac:dyDescent="0.25">
      <c r="A8602" s="178">
        <v>343825</v>
      </c>
      <c r="B8602" s="179" t="s">
        <v>456</v>
      </c>
      <c r="C8602" s="180">
        <v>15984</v>
      </c>
    </row>
    <row r="8603" spans="1:3" x14ac:dyDescent="0.25">
      <c r="A8603" s="178">
        <v>343826</v>
      </c>
      <c r="B8603" s="179" t="s">
        <v>456</v>
      </c>
      <c r="C8603" s="180">
        <v>15984</v>
      </c>
    </row>
    <row r="8604" spans="1:3" x14ac:dyDescent="0.25">
      <c r="A8604" s="178">
        <v>343858</v>
      </c>
      <c r="B8604" s="179" t="s">
        <v>456</v>
      </c>
      <c r="C8604" s="180">
        <v>6600</v>
      </c>
    </row>
    <row r="8605" spans="1:3" x14ac:dyDescent="0.25">
      <c r="A8605" s="178">
        <v>343859</v>
      </c>
      <c r="B8605" s="179" t="s">
        <v>456</v>
      </c>
      <c r="C8605" s="180">
        <v>756</v>
      </c>
    </row>
    <row r="8606" spans="1:3" x14ac:dyDescent="0.25">
      <c r="A8606" s="178">
        <v>343860</v>
      </c>
      <c r="B8606" s="179" t="s">
        <v>456</v>
      </c>
      <c r="C8606" s="180">
        <v>84000</v>
      </c>
    </row>
    <row r="8607" spans="1:3" x14ac:dyDescent="0.25">
      <c r="A8607" s="178">
        <v>343867</v>
      </c>
      <c r="B8607" s="179" t="s">
        <v>456</v>
      </c>
      <c r="C8607" s="180">
        <v>60000</v>
      </c>
    </row>
    <row r="8608" spans="1:3" x14ac:dyDescent="0.25">
      <c r="A8608" s="178">
        <v>343868</v>
      </c>
      <c r="B8608" s="179" t="s">
        <v>456</v>
      </c>
      <c r="C8608" s="180">
        <v>60000</v>
      </c>
    </row>
    <row r="8609" spans="1:3" x14ac:dyDescent="0.25">
      <c r="A8609" s="178">
        <v>343869</v>
      </c>
      <c r="B8609" s="179" t="s">
        <v>456</v>
      </c>
      <c r="C8609" s="180">
        <v>60000</v>
      </c>
    </row>
    <row r="8610" spans="1:3" x14ac:dyDescent="0.25">
      <c r="A8610" s="178">
        <v>343871</v>
      </c>
      <c r="B8610" s="179" t="s">
        <v>456</v>
      </c>
      <c r="C8610" s="180">
        <v>14500</v>
      </c>
    </row>
    <row r="8611" spans="1:3" x14ac:dyDescent="0.25">
      <c r="A8611" s="178">
        <v>343874</v>
      </c>
      <c r="B8611" s="179" t="s">
        <v>456</v>
      </c>
      <c r="C8611" s="180">
        <v>742</v>
      </c>
    </row>
    <row r="8612" spans="1:3" x14ac:dyDescent="0.25">
      <c r="A8612" s="178">
        <v>343875</v>
      </c>
      <c r="B8612" s="179" t="s">
        <v>456</v>
      </c>
      <c r="C8612" s="180">
        <v>43750</v>
      </c>
    </row>
    <row r="8613" spans="1:3" x14ac:dyDescent="0.25">
      <c r="A8613" s="178">
        <v>343876</v>
      </c>
      <c r="B8613" s="179" t="s">
        <v>456</v>
      </c>
      <c r="C8613" s="180">
        <v>43750</v>
      </c>
    </row>
    <row r="8614" spans="1:3" x14ac:dyDescent="0.25">
      <c r="A8614" s="178">
        <v>343877</v>
      </c>
      <c r="B8614" s="179" t="s">
        <v>456</v>
      </c>
      <c r="C8614" s="180">
        <v>99999</v>
      </c>
    </row>
    <row r="8615" spans="1:3" x14ac:dyDescent="0.25">
      <c r="A8615" s="178">
        <v>343878</v>
      </c>
      <c r="B8615" s="179" t="s">
        <v>456</v>
      </c>
      <c r="C8615" s="180">
        <v>99999</v>
      </c>
    </row>
    <row r="8616" spans="1:3" x14ac:dyDescent="0.25">
      <c r="A8616" s="178">
        <v>343902</v>
      </c>
      <c r="B8616" s="179" t="s">
        <v>456</v>
      </c>
      <c r="C8616" s="180">
        <v>6300</v>
      </c>
    </row>
    <row r="8617" spans="1:3" x14ac:dyDescent="0.25">
      <c r="A8617" s="178">
        <v>343903</v>
      </c>
      <c r="B8617" s="179" t="s">
        <v>456</v>
      </c>
      <c r="C8617" s="180">
        <v>99999</v>
      </c>
    </row>
    <row r="8618" spans="1:3" x14ac:dyDescent="0.25">
      <c r="A8618" s="178">
        <v>343904</v>
      </c>
      <c r="B8618" s="179" t="s">
        <v>456</v>
      </c>
      <c r="C8618" s="180">
        <v>99999</v>
      </c>
    </row>
    <row r="8619" spans="1:3" x14ac:dyDescent="0.25">
      <c r="A8619" s="178">
        <v>343905</v>
      </c>
      <c r="B8619" s="179" t="s">
        <v>456</v>
      </c>
      <c r="C8619" s="180">
        <v>99999</v>
      </c>
    </row>
    <row r="8620" spans="1:3" x14ac:dyDescent="0.25">
      <c r="A8620" s="178">
        <v>343906</v>
      </c>
      <c r="B8620" s="179" t="s">
        <v>456</v>
      </c>
      <c r="C8620" s="180">
        <v>99999</v>
      </c>
    </row>
    <row r="8621" spans="1:3" x14ac:dyDescent="0.25">
      <c r="A8621" s="178">
        <v>343907</v>
      </c>
      <c r="B8621" s="179" t="s">
        <v>456</v>
      </c>
      <c r="C8621" s="180">
        <v>99999</v>
      </c>
    </row>
    <row r="8622" spans="1:3" x14ac:dyDescent="0.25">
      <c r="A8622" s="178">
        <v>343909</v>
      </c>
      <c r="B8622" s="179" t="s">
        <v>456</v>
      </c>
      <c r="C8622" s="180">
        <v>99999</v>
      </c>
    </row>
    <row r="8623" spans="1:3" x14ac:dyDescent="0.25">
      <c r="A8623" s="178">
        <v>343910</v>
      </c>
      <c r="B8623" s="179" t="s">
        <v>456</v>
      </c>
      <c r="C8623" s="180">
        <v>99999</v>
      </c>
    </row>
    <row r="8624" spans="1:3" x14ac:dyDescent="0.25">
      <c r="A8624" s="178">
        <v>343911</v>
      </c>
      <c r="B8624" s="179" t="s">
        <v>456</v>
      </c>
      <c r="C8624" s="180">
        <v>99999</v>
      </c>
    </row>
    <row r="8625" spans="1:3" x14ac:dyDescent="0.25">
      <c r="A8625" s="178">
        <v>343912</v>
      </c>
      <c r="B8625" s="179" t="s">
        <v>456</v>
      </c>
      <c r="C8625" s="180">
        <v>99999</v>
      </c>
    </row>
    <row r="8626" spans="1:3" x14ac:dyDescent="0.25">
      <c r="A8626" s="178">
        <v>343913</v>
      </c>
      <c r="B8626" s="179" t="s">
        <v>456</v>
      </c>
      <c r="C8626" s="180">
        <v>99999</v>
      </c>
    </row>
    <row r="8627" spans="1:3" x14ac:dyDescent="0.25">
      <c r="A8627" s="178">
        <v>343914</v>
      </c>
      <c r="B8627" s="179" t="s">
        <v>456</v>
      </c>
      <c r="C8627" s="180">
        <v>99999</v>
      </c>
    </row>
    <row r="8628" spans="1:3" x14ac:dyDescent="0.25">
      <c r="A8628" s="178">
        <v>343915</v>
      </c>
      <c r="B8628" s="179" t="s">
        <v>456</v>
      </c>
      <c r="C8628" s="180">
        <v>99999</v>
      </c>
    </row>
    <row r="8629" spans="1:3" x14ac:dyDescent="0.25">
      <c r="A8629" s="178">
        <v>343916</v>
      </c>
      <c r="B8629" s="179" t="s">
        <v>456</v>
      </c>
      <c r="C8629" s="180">
        <v>99999</v>
      </c>
    </row>
    <row r="8630" spans="1:3" x14ac:dyDescent="0.25">
      <c r="A8630" s="178">
        <v>343917</v>
      </c>
      <c r="B8630" s="179" t="s">
        <v>456</v>
      </c>
      <c r="C8630" s="180">
        <v>99999</v>
      </c>
    </row>
    <row r="8631" spans="1:3" x14ac:dyDescent="0.25">
      <c r="A8631" s="178">
        <v>343918</v>
      </c>
      <c r="B8631" s="179" t="s">
        <v>456</v>
      </c>
      <c r="C8631" s="180">
        <v>99999</v>
      </c>
    </row>
    <row r="8632" spans="1:3" x14ac:dyDescent="0.25">
      <c r="A8632" s="178">
        <v>343919</v>
      </c>
      <c r="B8632" s="179" t="s">
        <v>456</v>
      </c>
      <c r="C8632" s="180">
        <v>99999</v>
      </c>
    </row>
    <row r="8633" spans="1:3" x14ac:dyDescent="0.25">
      <c r="A8633" s="178">
        <v>343920</v>
      </c>
      <c r="B8633" s="179" t="s">
        <v>456</v>
      </c>
      <c r="C8633" s="180">
        <v>1</v>
      </c>
    </row>
    <row r="8634" spans="1:3" x14ac:dyDescent="0.25">
      <c r="A8634" s="178">
        <v>343921</v>
      </c>
      <c r="B8634" s="179" t="s">
        <v>456</v>
      </c>
      <c r="C8634" s="180">
        <v>1</v>
      </c>
    </row>
    <row r="8635" spans="1:3" x14ac:dyDescent="0.25">
      <c r="A8635" s="178">
        <v>343922</v>
      </c>
      <c r="B8635" s="179" t="s">
        <v>456</v>
      </c>
      <c r="C8635" s="180">
        <v>99999</v>
      </c>
    </row>
    <row r="8636" spans="1:3" x14ac:dyDescent="0.25">
      <c r="A8636" s="178">
        <v>343923</v>
      </c>
      <c r="B8636" s="179" t="s">
        <v>456</v>
      </c>
      <c r="C8636" s="180">
        <v>99999</v>
      </c>
    </row>
    <row r="8637" spans="1:3" x14ac:dyDescent="0.25">
      <c r="A8637" s="178">
        <v>343924</v>
      </c>
      <c r="B8637" s="179" t="s">
        <v>456</v>
      </c>
      <c r="C8637" s="180">
        <v>99999</v>
      </c>
    </row>
    <row r="8638" spans="1:3" x14ac:dyDescent="0.25">
      <c r="A8638" s="178">
        <v>343945</v>
      </c>
      <c r="B8638" s="179" t="s">
        <v>456</v>
      </c>
      <c r="C8638" s="180">
        <v>99999</v>
      </c>
    </row>
    <row r="8639" spans="1:3" x14ac:dyDescent="0.25">
      <c r="A8639" s="178">
        <v>343946</v>
      </c>
      <c r="B8639" s="179" t="s">
        <v>456</v>
      </c>
      <c r="C8639" s="180">
        <v>99999</v>
      </c>
    </row>
    <row r="8640" spans="1:3" x14ac:dyDescent="0.25">
      <c r="A8640" s="178">
        <v>343947</v>
      </c>
      <c r="B8640" s="179" t="s">
        <v>456</v>
      </c>
      <c r="C8640" s="180">
        <v>99999</v>
      </c>
    </row>
    <row r="8641" spans="1:3" x14ac:dyDescent="0.25">
      <c r="A8641" s="178">
        <v>343948</v>
      </c>
      <c r="B8641" s="179" t="s">
        <v>456</v>
      </c>
      <c r="C8641" s="180">
        <v>99999</v>
      </c>
    </row>
    <row r="8642" spans="1:3" x14ac:dyDescent="0.25">
      <c r="A8642" s="178">
        <v>343949</v>
      </c>
      <c r="B8642" s="179" t="s">
        <v>456</v>
      </c>
      <c r="C8642" s="180">
        <v>99999</v>
      </c>
    </row>
    <row r="8643" spans="1:3" x14ac:dyDescent="0.25">
      <c r="A8643" s="178">
        <v>343950</v>
      </c>
      <c r="B8643" s="179" t="s">
        <v>456</v>
      </c>
      <c r="C8643" s="180">
        <v>99999</v>
      </c>
    </row>
    <row r="8644" spans="1:3" x14ac:dyDescent="0.25">
      <c r="A8644" s="178">
        <v>343951</v>
      </c>
      <c r="B8644" s="179" t="s">
        <v>456</v>
      </c>
      <c r="C8644" s="180">
        <v>43750</v>
      </c>
    </row>
    <row r="8645" spans="1:3" x14ac:dyDescent="0.25">
      <c r="A8645" s="178">
        <v>343955</v>
      </c>
      <c r="B8645" s="179" t="s">
        <v>456</v>
      </c>
      <c r="C8645" s="180">
        <v>5750</v>
      </c>
    </row>
    <row r="8646" spans="1:3" x14ac:dyDescent="0.25">
      <c r="A8646" s="178">
        <v>343956</v>
      </c>
      <c r="B8646" s="179" t="s">
        <v>456</v>
      </c>
      <c r="C8646" s="180">
        <v>5300</v>
      </c>
    </row>
    <row r="8647" spans="1:3" x14ac:dyDescent="0.25">
      <c r="A8647" s="178">
        <v>343958</v>
      </c>
      <c r="B8647" s="179" t="s">
        <v>456</v>
      </c>
      <c r="C8647" s="180">
        <v>2800</v>
      </c>
    </row>
    <row r="8648" spans="1:3" x14ac:dyDescent="0.25">
      <c r="A8648" s="178">
        <v>343960</v>
      </c>
      <c r="B8648" s="179" t="s">
        <v>456</v>
      </c>
      <c r="C8648" s="180">
        <v>8640</v>
      </c>
    </row>
    <row r="8649" spans="1:3" x14ac:dyDescent="0.25">
      <c r="A8649" s="178">
        <v>343970</v>
      </c>
      <c r="B8649" s="179" t="s">
        <v>456</v>
      </c>
      <c r="C8649" s="180">
        <v>2772</v>
      </c>
    </row>
    <row r="8650" spans="1:3" x14ac:dyDescent="0.25">
      <c r="A8650" s="178">
        <v>343971</v>
      </c>
      <c r="B8650" s="179" t="s">
        <v>456</v>
      </c>
      <c r="C8650" s="180">
        <v>16500</v>
      </c>
    </row>
    <row r="8651" spans="1:3" x14ac:dyDescent="0.25">
      <c r="A8651" s="178">
        <v>343985</v>
      </c>
      <c r="B8651" s="179" t="s">
        <v>456</v>
      </c>
      <c r="C8651" s="180">
        <v>3000</v>
      </c>
    </row>
    <row r="8652" spans="1:3" x14ac:dyDescent="0.25">
      <c r="A8652" s="178">
        <v>343991</v>
      </c>
      <c r="B8652" s="179" t="s">
        <v>456</v>
      </c>
      <c r="C8652" s="180">
        <v>12096</v>
      </c>
    </row>
    <row r="8653" spans="1:3" x14ac:dyDescent="0.25">
      <c r="A8653" s="178">
        <v>343992</v>
      </c>
      <c r="B8653" s="179" t="s">
        <v>456</v>
      </c>
      <c r="C8653" s="180">
        <v>10000</v>
      </c>
    </row>
    <row r="8654" spans="1:3" x14ac:dyDescent="0.25">
      <c r="A8654" s="178">
        <v>344024</v>
      </c>
      <c r="B8654" s="179" t="s">
        <v>456</v>
      </c>
      <c r="C8654" s="180">
        <v>99999</v>
      </c>
    </row>
    <row r="8655" spans="1:3" x14ac:dyDescent="0.25">
      <c r="A8655" s="178">
        <v>344027</v>
      </c>
      <c r="B8655" s="179" t="s">
        <v>456</v>
      </c>
      <c r="C8655" s="180">
        <v>99999</v>
      </c>
    </row>
    <row r="8656" spans="1:3" x14ac:dyDescent="0.25">
      <c r="A8656" s="178">
        <v>344028</v>
      </c>
      <c r="B8656" s="179" t="s">
        <v>456</v>
      </c>
      <c r="C8656" s="180">
        <v>31200</v>
      </c>
    </row>
    <row r="8657" spans="1:3" x14ac:dyDescent="0.25">
      <c r="A8657" s="178">
        <v>344046</v>
      </c>
      <c r="B8657" s="179" t="s">
        <v>456</v>
      </c>
      <c r="C8657" s="180">
        <v>1500</v>
      </c>
    </row>
    <row r="8658" spans="1:3" x14ac:dyDescent="0.25">
      <c r="A8658" s="178">
        <v>344060</v>
      </c>
      <c r="B8658" s="179" t="s">
        <v>456</v>
      </c>
      <c r="C8658" s="180">
        <v>22000</v>
      </c>
    </row>
    <row r="8659" spans="1:3" x14ac:dyDescent="0.25">
      <c r="A8659" s="178">
        <v>344107</v>
      </c>
      <c r="B8659" s="179" t="s">
        <v>456</v>
      </c>
      <c r="C8659" s="180">
        <v>6600</v>
      </c>
    </row>
    <row r="8660" spans="1:3" x14ac:dyDescent="0.25">
      <c r="A8660" s="178">
        <v>344109</v>
      </c>
      <c r="B8660" s="179" t="s">
        <v>456</v>
      </c>
      <c r="C8660" s="180">
        <v>23275</v>
      </c>
    </row>
    <row r="8661" spans="1:3" x14ac:dyDescent="0.25">
      <c r="A8661" s="178">
        <v>344119</v>
      </c>
      <c r="B8661" s="179" t="s">
        <v>456</v>
      </c>
      <c r="C8661" s="180">
        <v>99999</v>
      </c>
    </row>
    <row r="8662" spans="1:3" x14ac:dyDescent="0.25">
      <c r="A8662" s="178">
        <v>344120</v>
      </c>
      <c r="B8662" s="179" t="s">
        <v>456</v>
      </c>
      <c r="C8662" s="180">
        <v>99999</v>
      </c>
    </row>
    <row r="8663" spans="1:3" x14ac:dyDescent="0.25">
      <c r="A8663" s="178">
        <v>344121</v>
      </c>
      <c r="B8663" s="179" t="s">
        <v>456</v>
      </c>
      <c r="C8663" s="180">
        <v>99999</v>
      </c>
    </row>
    <row r="8664" spans="1:3" x14ac:dyDescent="0.25">
      <c r="A8664" s="178">
        <v>344125</v>
      </c>
      <c r="B8664" s="179" t="s">
        <v>456</v>
      </c>
      <c r="C8664" s="180">
        <v>9408</v>
      </c>
    </row>
    <row r="8665" spans="1:3" x14ac:dyDescent="0.25">
      <c r="A8665" s="178">
        <v>344126</v>
      </c>
      <c r="B8665" s="179" t="s">
        <v>456</v>
      </c>
      <c r="C8665" s="180">
        <v>18240</v>
      </c>
    </row>
    <row r="8666" spans="1:3" x14ac:dyDescent="0.25">
      <c r="A8666" s="178">
        <v>344127</v>
      </c>
      <c r="B8666" s="179" t="s">
        <v>456</v>
      </c>
      <c r="C8666" s="180">
        <v>1170</v>
      </c>
    </row>
    <row r="8667" spans="1:3" x14ac:dyDescent="0.25">
      <c r="A8667" s="178">
        <v>344143</v>
      </c>
      <c r="B8667" s="179" t="s">
        <v>456</v>
      </c>
      <c r="C8667" s="180">
        <v>58680</v>
      </c>
    </row>
    <row r="8668" spans="1:3" x14ac:dyDescent="0.25">
      <c r="A8668" s="178">
        <v>344144</v>
      </c>
      <c r="B8668" s="179" t="s">
        <v>456</v>
      </c>
      <c r="C8668" s="180">
        <v>88000</v>
      </c>
    </row>
    <row r="8669" spans="1:3" x14ac:dyDescent="0.25">
      <c r="A8669" s="178">
        <v>344145</v>
      </c>
      <c r="B8669" s="179" t="s">
        <v>456</v>
      </c>
      <c r="C8669" s="180">
        <v>15750</v>
      </c>
    </row>
    <row r="8670" spans="1:3" x14ac:dyDescent="0.25">
      <c r="A8670" s="178">
        <v>344146</v>
      </c>
      <c r="B8670" s="179" t="s">
        <v>456</v>
      </c>
      <c r="C8670" s="180">
        <v>99999</v>
      </c>
    </row>
    <row r="8671" spans="1:3" x14ac:dyDescent="0.25">
      <c r="A8671" s="178">
        <v>344147</v>
      </c>
      <c r="B8671" s="179" t="s">
        <v>456</v>
      </c>
      <c r="C8671" s="180">
        <v>99999</v>
      </c>
    </row>
    <row r="8672" spans="1:3" x14ac:dyDescent="0.25">
      <c r="A8672" s="178">
        <v>344148</v>
      </c>
      <c r="B8672" s="179" t="s">
        <v>456</v>
      </c>
      <c r="C8672" s="180">
        <v>99999</v>
      </c>
    </row>
    <row r="8673" spans="1:3" x14ac:dyDescent="0.25">
      <c r="A8673" s="178">
        <v>344158</v>
      </c>
      <c r="B8673" s="179" t="s">
        <v>456</v>
      </c>
      <c r="C8673" s="180">
        <v>88000</v>
      </c>
    </row>
    <row r="8674" spans="1:3" x14ac:dyDescent="0.25">
      <c r="A8674" s="178">
        <v>344159</v>
      </c>
      <c r="B8674" s="179" t="s">
        <v>456</v>
      </c>
      <c r="C8674" s="180">
        <v>48000</v>
      </c>
    </row>
    <row r="8675" spans="1:3" x14ac:dyDescent="0.25">
      <c r="A8675" s="178">
        <v>344160</v>
      </c>
      <c r="B8675" s="179" t="s">
        <v>456</v>
      </c>
      <c r="C8675" s="180">
        <v>58680</v>
      </c>
    </row>
    <row r="8676" spans="1:3" x14ac:dyDescent="0.25">
      <c r="A8676" s="178">
        <v>344188</v>
      </c>
      <c r="B8676" s="179" t="s">
        <v>456</v>
      </c>
      <c r="C8676" s="180">
        <v>3000</v>
      </c>
    </row>
    <row r="8677" spans="1:3" x14ac:dyDescent="0.25">
      <c r="A8677" s="178">
        <v>344190</v>
      </c>
      <c r="B8677" s="179" t="s">
        <v>456</v>
      </c>
      <c r="C8677" s="180">
        <v>3000</v>
      </c>
    </row>
    <row r="8678" spans="1:3" x14ac:dyDescent="0.25">
      <c r="A8678" s="178">
        <v>344192</v>
      </c>
      <c r="B8678" s="179" t="s">
        <v>456</v>
      </c>
      <c r="C8678" s="180">
        <v>3000</v>
      </c>
    </row>
    <row r="8679" spans="1:3" x14ac:dyDescent="0.25">
      <c r="A8679" s="178">
        <v>344208</v>
      </c>
      <c r="B8679" s="179" t="s">
        <v>456</v>
      </c>
      <c r="C8679" s="180">
        <v>1000</v>
      </c>
    </row>
    <row r="8680" spans="1:3" x14ac:dyDescent="0.25">
      <c r="A8680" s="178">
        <v>344212</v>
      </c>
      <c r="B8680" s="179" t="s">
        <v>456</v>
      </c>
      <c r="C8680" s="180">
        <v>1040</v>
      </c>
    </row>
    <row r="8681" spans="1:3" x14ac:dyDescent="0.25">
      <c r="A8681" s="178">
        <v>344218</v>
      </c>
      <c r="B8681" s="179" t="s">
        <v>456</v>
      </c>
      <c r="C8681" s="180">
        <v>6600</v>
      </c>
    </row>
    <row r="8682" spans="1:3" x14ac:dyDescent="0.25">
      <c r="A8682" s="178">
        <v>344219</v>
      </c>
      <c r="B8682" s="179" t="s">
        <v>456</v>
      </c>
      <c r="C8682" s="180">
        <v>6600</v>
      </c>
    </row>
    <row r="8683" spans="1:3" x14ac:dyDescent="0.25">
      <c r="A8683" s="178">
        <v>344220</v>
      </c>
      <c r="B8683" s="179" t="s">
        <v>456</v>
      </c>
      <c r="C8683" s="180">
        <v>6600</v>
      </c>
    </row>
    <row r="8684" spans="1:3" x14ac:dyDescent="0.25">
      <c r="A8684" s="178">
        <v>344221</v>
      </c>
      <c r="B8684" s="179" t="s">
        <v>456</v>
      </c>
      <c r="C8684" s="180">
        <v>6600</v>
      </c>
    </row>
    <row r="8685" spans="1:3" x14ac:dyDescent="0.25">
      <c r="A8685" s="178">
        <v>344222</v>
      </c>
      <c r="B8685" s="179" t="s">
        <v>456</v>
      </c>
      <c r="C8685" s="180">
        <v>6600</v>
      </c>
    </row>
    <row r="8686" spans="1:3" x14ac:dyDescent="0.25">
      <c r="A8686" s="178">
        <v>344223</v>
      </c>
      <c r="B8686" s="179" t="s">
        <v>456</v>
      </c>
      <c r="C8686" s="180">
        <v>6600</v>
      </c>
    </row>
    <row r="8687" spans="1:3" x14ac:dyDescent="0.25">
      <c r="A8687" s="178">
        <v>344224</v>
      </c>
      <c r="B8687" s="179" t="s">
        <v>456</v>
      </c>
      <c r="C8687" s="180">
        <v>6600</v>
      </c>
    </row>
    <row r="8688" spans="1:3" x14ac:dyDescent="0.25">
      <c r="A8688" s="178">
        <v>344225</v>
      </c>
      <c r="B8688" s="179" t="s">
        <v>456</v>
      </c>
      <c r="C8688" s="180">
        <v>6600</v>
      </c>
    </row>
    <row r="8689" spans="1:3" x14ac:dyDescent="0.25">
      <c r="A8689" s="178">
        <v>344226</v>
      </c>
      <c r="B8689" s="179" t="s">
        <v>456</v>
      </c>
      <c r="C8689" s="180">
        <v>6600</v>
      </c>
    </row>
    <row r="8690" spans="1:3" x14ac:dyDescent="0.25">
      <c r="A8690" s="178">
        <v>344228</v>
      </c>
      <c r="B8690" s="179" t="s">
        <v>456</v>
      </c>
      <c r="C8690" s="180">
        <v>6600</v>
      </c>
    </row>
    <row r="8691" spans="1:3" x14ac:dyDescent="0.25">
      <c r="A8691" s="178">
        <v>344229</v>
      </c>
      <c r="B8691" s="179" t="s">
        <v>456</v>
      </c>
      <c r="C8691" s="180">
        <v>1512</v>
      </c>
    </row>
    <row r="8692" spans="1:3" x14ac:dyDescent="0.25">
      <c r="A8692" s="178">
        <v>344230</v>
      </c>
      <c r="B8692" s="179" t="s">
        <v>456</v>
      </c>
      <c r="C8692" s="180">
        <v>2800</v>
      </c>
    </row>
    <row r="8693" spans="1:3" x14ac:dyDescent="0.25">
      <c r="A8693" s="178">
        <v>344263</v>
      </c>
      <c r="B8693" s="179" t="s">
        <v>456</v>
      </c>
      <c r="C8693" s="180">
        <v>99999</v>
      </c>
    </row>
    <row r="8694" spans="1:3" x14ac:dyDescent="0.25">
      <c r="A8694" s="178">
        <v>344264</v>
      </c>
      <c r="B8694" s="179" t="s">
        <v>456</v>
      </c>
      <c r="C8694" s="180">
        <v>416</v>
      </c>
    </row>
    <row r="8695" spans="1:3" x14ac:dyDescent="0.25">
      <c r="A8695" s="178">
        <v>344265</v>
      </c>
      <c r="B8695" s="179" t="s">
        <v>456</v>
      </c>
      <c r="C8695" s="180">
        <v>416</v>
      </c>
    </row>
    <row r="8696" spans="1:3" x14ac:dyDescent="0.25">
      <c r="A8696" s="178">
        <v>344284</v>
      </c>
      <c r="B8696" s="179" t="s">
        <v>456</v>
      </c>
      <c r="C8696" s="180">
        <v>99999</v>
      </c>
    </row>
    <row r="8697" spans="1:3" x14ac:dyDescent="0.25">
      <c r="A8697" s="178">
        <v>344285</v>
      </c>
      <c r="B8697" s="179" t="s">
        <v>456</v>
      </c>
      <c r="C8697" s="180">
        <v>99999</v>
      </c>
    </row>
    <row r="8698" spans="1:3" x14ac:dyDescent="0.25">
      <c r="A8698" s="178">
        <v>344286</v>
      </c>
      <c r="B8698" s="179" t="s">
        <v>456</v>
      </c>
      <c r="C8698" s="180">
        <v>99999</v>
      </c>
    </row>
    <row r="8699" spans="1:3" x14ac:dyDescent="0.25">
      <c r="A8699" s="178">
        <v>344287</v>
      </c>
      <c r="B8699" s="179" t="s">
        <v>456</v>
      </c>
      <c r="C8699" s="180">
        <v>99999</v>
      </c>
    </row>
    <row r="8700" spans="1:3" x14ac:dyDescent="0.25">
      <c r="A8700" s="178">
        <v>344288</v>
      </c>
      <c r="B8700" s="179" t="s">
        <v>456</v>
      </c>
      <c r="C8700" s="180">
        <v>250</v>
      </c>
    </row>
    <row r="8701" spans="1:3" x14ac:dyDescent="0.25">
      <c r="A8701" s="178">
        <v>344289</v>
      </c>
      <c r="B8701" s="179" t="s">
        <v>456</v>
      </c>
      <c r="C8701" s="180">
        <v>260</v>
      </c>
    </row>
    <row r="8702" spans="1:3" x14ac:dyDescent="0.25">
      <c r="A8702" s="178">
        <v>344290</v>
      </c>
      <c r="B8702" s="179" t="s">
        <v>456</v>
      </c>
      <c r="C8702" s="180">
        <v>1120</v>
      </c>
    </row>
    <row r="8703" spans="1:3" x14ac:dyDescent="0.25">
      <c r="A8703" s="178">
        <v>344291</v>
      </c>
      <c r="B8703" s="179" t="s">
        <v>456</v>
      </c>
      <c r="C8703" s="180">
        <v>99999</v>
      </c>
    </row>
    <row r="8704" spans="1:3" x14ac:dyDescent="0.25">
      <c r="A8704" s="178">
        <v>344308</v>
      </c>
      <c r="B8704" s="179" t="s">
        <v>456</v>
      </c>
      <c r="C8704" s="180">
        <v>99999</v>
      </c>
    </row>
    <row r="8705" spans="1:3" x14ac:dyDescent="0.25">
      <c r="A8705" s="178">
        <v>344310</v>
      </c>
      <c r="B8705" s="179" t="s">
        <v>456</v>
      </c>
      <c r="C8705" s="180">
        <v>99999</v>
      </c>
    </row>
    <row r="8706" spans="1:3" x14ac:dyDescent="0.25">
      <c r="A8706" s="178">
        <v>344315</v>
      </c>
      <c r="B8706" s="179" t="s">
        <v>456</v>
      </c>
      <c r="C8706" s="180">
        <v>99999</v>
      </c>
    </row>
    <row r="8707" spans="1:3" x14ac:dyDescent="0.25">
      <c r="A8707" s="178">
        <v>344317</v>
      </c>
      <c r="B8707" s="179" t="s">
        <v>456</v>
      </c>
      <c r="C8707" s="180">
        <v>99999</v>
      </c>
    </row>
    <row r="8708" spans="1:3" x14ac:dyDescent="0.25">
      <c r="A8708" s="178">
        <v>344319</v>
      </c>
      <c r="B8708" s="179" t="s">
        <v>456</v>
      </c>
      <c r="C8708" s="180">
        <v>99999</v>
      </c>
    </row>
    <row r="8709" spans="1:3" x14ac:dyDescent="0.25">
      <c r="A8709" s="178">
        <v>344320</v>
      </c>
      <c r="B8709" s="179" t="s">
        <v>456</v>
      </c>
      <c r="C8709" s="180">
        <v>99999</v>
      </c>
    </row>
    <row r="8710" spans="1:3" x14ac:dyDescent="0.25">
      <c r="A8710" s="178">
        <v>344321</v>
      </c>
      <c r="B8710" s="179" t="s">
        <v>456</v>
      </c>
      <c r="C8710" s="180">
        <v>60000</v>
      </c>
    </row>
    <row r="8711" spans="1:3" x14ac:dyDescent="0.25">
      <c r="A8711" s="178">
        <v>344322</v>
      </c>
      <c r="B8711" s="179" t="s">
        <v>456</v>
      </c>
      <c r="C8711" s="180">
        <v>60000</v>
      </c>
    </row>
    <row r="8712" spans="1:3" x14ac:dyDescent="0.25">
      <c r="A8712" s="178">
        <v>344323</v>
      </c>
      <c r="B8712" s="179" t="s">
        <v>456</v>
      </c>
      <c r="C8712" s="180">
        <v>60000</v>
      </c>
    </row>
    <row r="8713" spans="1:3" x14ac:dyDescent="0.25">
      <c r="A8713" s="178">
        <v>344324</v>
      </c>
      <c r="B8713" s="179" t="s">
        <v>456</v>
      </c>
      <c r="C8713" s="180">
        <v>60000</v>
      </c>
    </row>
    <row r="8714" spans="1:3" x14ac:dyDescent="0.25">
      <c r="A8714" s="178">
        <v>344325</v>
      </c>
      <c r="B8714" s="179" t="s">
        <v>456</v>
      </c>
      <c r="C8714" s="180">
        <v>60000</v>
      </c>
    </row>
    <row r="8715" spans="1:3" x14ac:dyDescent="0.25">
      <c r="A8715" s="178">
        <v>344326</v>
      </c>
      <c r="B8715" s="179" t="s">
        <v>456</v>
      </c>
      <c r="C8715" s="180">
        <v>60000</v>
      </c>
    </row>
    <row r="8716" spans="1:3" x14ac:dyDescent="0.25">
      <c r="A8716" s="178">
        <v>344327</v>
      </c>
      <c r="B8716" s="179" t="s">
        <v>456</v>
      </c>
      <c r="C8716" s="180">
        <v>60000</v>
      </c>
    </row>
    <row r="8717" spans="1:3" x14ac:dyDescent="0.25">
      <c r="A8717" s="178">
        <v>344328</v>
      </c>
      <c r="B8717" s="179" t="s">
        <v>456</v>
      </c>
      <c r="C8717" s="180">
        <v>60000</v>
      </c>
    </row>
    <row r="8718" spans="1:3" x14ac:dyDescent="0.25">
      <c r="A8718" s="178">
        <v>344329</v>
      </c>
      <c r="B8718" s="179" t="s">
        <v>456</v>
      </c>
      <c r="C8718" s="180">
        <v>99999</v>
      </c>
    </row>
    <row r="8719" spans="1:3" x14ac:dyDescent="0.25">
      <c r="A8719" s="178">
        <v>344341</v>
      </c>
      <c r="B8719" s="179" t="s">
        <v>456</v>
      </c>
      <c r="C8719" s="180">
        <v>530</v>
      </c>
    </row>
    <row r="8720" spans="1:3" x14ac:dyDescent="0.25">
      <c r="A8720" s="178">
        <v>344360</v>
      </c>
      <c r="B8720" s="179" t="s">
        <v>456</v>
      </c>
      <c r="C8720" s="180">
        <v>684</v>
      </c>
    </row>
    <row r="8721" spans="1:3" x14ac:dyDescent="0.25">
      <c r="A8721" s="178">
        <v>344361</v>
      </c>
      <c r="B8721" s="179" t="s">
        <v>456</v>
      </c>
      <c r="C8721" s="180">
        <v>416</v>
      </c>
    </row>
    <row r="8722" spans="1:3" x14ac:dyDescent="0.25">
      <c r="A8722" s="178">
        <v>344362</v>
      </c>
      <c r="B8722" s="179" t="s">
        <v>456</v>
      </c>
      <c r="C8722" s="180">
        <v>6800</v>
      </c>
    </row>
    <row r="8723" spans="1:3" x14ac:dyDescent="0.25">
      <c r="A8723" s="178">
        <v>344414</v>
      </c>
      <c r="B8723" s="179" t="s">
        <v>456</v>
      </c>
      <c r="C8723" s="180">
        <v>54774</v>
      </c>
    </row>
    <row r="8724" spans="1:3" x14ac:dyDescent="0.25">
      <c r="A8724" s="178">
        <v>344415</v>
      </c>
      <c r="B8724" s="179" t="s">
        <v>456</v>
      </c>
      <c r="C8724" s="180">
        <v>54774</v>
      </c>
    </row>
    <row r="8725" spans="1:3" x14ac:dyDescent="0.25">
      <c r="A8725" s="178">
        <v>344443</v>
      </c>
      <c r="B8725" s="179" t="s">
        <v>456</v>
      </c>
      <c r="C8725" s="180">
        <v>99999</v>
      </c>
    </row>
    <row r="8726" spans="1:3" x14ac:dyDescent="0.25">
      <c r="A8726" s="178">
        <v>344444</v>
      </c>
      <c r="B8726" s="179" t="s">
        <v>456</v>
      </c>
      <c r="C8726" s="180">
        <v>99999</v>
      </c>
    </row>
    <row r="8727" spans="1:3" x14ac:dyDescent="0.25">
      <c r="A8727" s="178">
        <v>344445</v>
      </c>
      <c r="B8727" s="179" t="s">
        <v>456</v>
      </c>
      <c r="C8727" s="180">
        <v>99999</v>
      </c>
    </row>
    <row r="8728" spans="1:3" x14ac:dyDescent="0.25">
      <c r="A8728" s="178">
        <v>344464</v>
      </c>
      <c r="B8728" s="179" t="s">
        <v>456</v>
      </c>
      <c r="C8728" s="180">
        <v>2220</v>
      </c>
    </row>
    <row r="8729" spans="1:3" x14ac:dyDescent="0.25">
      <c r="A8729" s="178">
        <v>344476</v>
      </c>
      <c r="B8729" s="179" t="s">
        <v>456</v>
      </c>
      <c r="C8729" s="180">
        <v>99999</v>
      </c>
    </row>
    <row r="8730" spans="1:3" x14ac:dyDescent="0.25">
      <c r="A8730" s="178">
        <v>344522</v>
      </c>
      <c r="B8730" s="179" t="s">
        <v>456</v>
      </c>
      <c r="C8730" s="180">
        <v>14112</v>
      </c>
    </row>
    <row r="8731" spans="1:3" x14ac:dyDescent="0.25">
      <c r="A8731" s="178">
        <v>344523</v>
      </c>
      <c r="B8731" s="179" t="s">
        <v>456</v>
      </c>
      <c r="C8731" s="180">
        <v>18240</v>
      </c>
    </row>
    <row r="8732" spans="1:3" x14ac:dyDescent="0.25">
      <c r="A8732" s="178">
        <v>344524</v>
      </c>
      <c r="B8732" s="179" t="s">
        <v>456</v>
      </c>
      <c r="C8732" s="180">
        <v>1170</v>
      </c>
    </row>
    <row r="8733" spans="1:3" x14ac:dyDescent="0.25">
      <c r="A8733" s="178">
        <v>344525</v>
      </c>
      <c r="B8733" s="179" t="s">
        <v>456</v>
      </c>
      <c r="C8733" s="180">
        <v>13248</v>
      </c>
    </row>
    <row r="8734" spans="1:3" x14ac:dyDescent="0.25">
      <c r="A8734" s="178">
        <v>344526</v>
      </c>
      <c r="B8734" s="179" t="s">
        <v>456</v>
      </c>
      <c r="C8734" s="180">
        <v>23868</v>
      </c>
    </row>
    <row r="8735" spans="1:3" x14ac:dyDescent="0.25">
      <c r="A8735" s="178">
        <v>344527</v>
      </c>
      <c r="B8735" s="179" t="s">
        <v>456</v>
      </c>
      <c r="C8735" s="180">
        <v>1160</v>
      </c>
    </row>
    <row r="8736" spans="1:3" x14ac:dyDescent="0.25">
      <c r="A8736" s="178">
        <v>344537</v>
      </c>
      <c r="B8736" s="179" t="s">
        <v>456</v>
      </c>
      <c r="C8736" s="180">
        <v>99999</v>
      </c>
    </row>
    <row r="8737" spans="1:3" x14ac:dyDescent="0.25">
      <c r="A8737" s="178">
        <v>344538</v>
      </c>
      <c r="B8737" s="179" t="s">
        <v>456</v>
      </c>
      <c r="C8737" s="180">
        <v>99999</v>
      </c>
    </row>
    <row r="8738" spans="1:3" x14ac:dyDescent="0.25">
      <c r="A8738" s="178">
        <v>344539</v>
      </c>
      <c r="B8738" s="179" t="s">
        <v>456</v>
      </c>
      <c r="C8738" s="180">
        <v>99999</v>
      </c>
    </row>
    <row r="8739" spans="1:3" x14ac:dyDescent="0.25">
      <c r="A8739" s="178">
        <v>344540</v>
      </c>
      <c r="B8739" s="179" t="s">
        <v>456</v>
      </c>
      <c r="C8739" s="180">
        <v>99999</v>
      </c>
    </row>
    <row r="8740" spans="1:3" x14ac:dyDescent="0.25">
      <c r="A8740" s="178">
        <v>344541</v>
      </c>
      <c r="B8740" s="179" t="s">
        <v>456</v>
      </c>
      <c r="C8740" s="180">
        <v>99999</v>
      </c>
    </row>
    <row r="8741" spans="1:3" x14ac:dyDescent="0.25">
      <c r="A8741" s="178">
        <v>344542</v>
      </c>
      <c r="B8741" s="179" t="s">
        <v>456</v>
      </c>
      <c r="C8741" s="180">
        <v>99999</v>
      </c>
    </row>
    <row r="8742" spans="1:3" x14ac:dyDescent="0.25">
      <c r="A8742" s="178">
        <v>344543</v>
      </c>
      <c r="B8742" s="179" t="s">
        <v>456</v>
      </c>
      <c r="C8742" s="180">
        <v>99999</v>
      </c>
    </row>
    <row r="8743" spans="1:3" x14ac:dyDescent="0.25">
      <c r="A8743" s="178">
        <v>344544</v>
      </c>
      <c r="B8743" s="179" t="s">
        <v>456</v>
      </c>
      <c r="C8743" s="180">
        <v>99999</v>
      </c>
    </row>
    <row r="8744" spans="1:3" x14ac:dyDescent="0.25">
      <c r="A8744" s="178">
        <v>344545</v>
      </c>
      <c r="B8744" s="179" t="s">
        <v>456</v>
      </c>
      <c r="C8744" s="180">
        <v>99999</v>
      </c>
    </row>
    <row r="8745" spans="1:3" x14ac:dyDescent="0.25">
      <c r="A8745" s="178">
        <v>344546</v>
      </c>
      <c r="B8745" s="179" t="s">
        <v>456</v>
      </c>
      <c r="C8745" s="180">
        <v>99999</v>
      </c>
    </row>
    <row r="8746" spans="1:3" x14ac:dyDescent="0.25">
      <c r="A8746" s="178">
        <v>344547</v>
      </c>
      <c r="B8746" s="179" t="s">
        <v>456</v>
      </c>
      <c r="C8746" s="180">
        <v>99999</v>
      </c>
    </row>
    <row r="8747" spans="1:3" x14ac:dyDescent="0.25">
      <c r="A8747" s="178">
        <v>344548</v>
      </c>
      <c r="B8747" s="179" t="s">
        <v>456</v>
      </c>
      <c r="C8747" s="180">
        <v>99999</v>
      </c>
    </row>
    <row r="8748" spans="1:3" x14ac:dyDescent="0.25">
      <c r="A8748" s="178">
        <v>344550</v>
      </c>
      <c r="B8748" s="179" t="s">
        <v>456</v>
      </c>
      <c r="C8748" s="180">
        <v>99999</v>
      </c>
    </row>
    <row r="8749" spans="1:3" x14ac:dyDescent="0.25">
      <c r="A8749" s="178">
        <v>344551</v>
      </c>
      <c r="B8749" s="179" t="s">
        <v>456</v>
      </c>
      <c r="C8749" s="180">
        <v>99999</v>
      </c>
    </row>
    <row r="8750" spans="1:3" x14ac:dyDescent="0.25">
      <c r="A8750" s="178">
        <v>344552</v>
      </c>
      <c r="B8750" s="179" t="s">
        <v>456</v>
      </c>
      <c r="C8750" s="180">
        <v>99999</v>
      </c>
    </row>
    <row r="8751" spans="1:3" x14ac:dyDescent="0.25">
      <c r="A8751" s="178">
        <v>344553</v>
      </c>
      <c r="B8751" s="179" t="s">
        <v>456</v>
      </c>
      <c r="C8751" s="180">
        <v>99999</v>
      </c>
    </row>
    <row r="8752" spans="1:3" x14ac:dyDescent="0.25">
      <c r="A8752" s="178">
        <v>344554</v>
      </c>
      <c r="B8752" s="179" t="s">
        <v>456</v>
      </c>
      <c r="C8752" s="180">
        <v>6300</v>
      </c>
    </row>
    <row r="8753" spans="1:3" x14ac:dyDescent="0.25">
      <c r="A8753" s="178">
        <v>344555</v>
      </c>
      <c r="B8753" s="179" t="s">
        <v>456</v>
      </c>
      <c r="C8753" s="180">
        <v>6300</v>
      </c>
    </row>
    <row r="8754" spans="1:3" x14ac:dyDescent="0.25">
      <c r="A8754" s="178">
        <v>344556</v>
      </c>
      <c r="B8754" s="179" t="s">
        <v>456</v>
      </c>
      <c r="C8754" s="180">
        <v>4104</v>
      </c>
    </row>
    <row r="8755" spans="1:3" x14ac:dyDescent="0.25">
      <c r="A8755" s="178">
        <v>344557</v>
      </c>
      <c r="B8755" s="179" t="s">
        <v>456</v>
      </c>
      <c r="C8755" s="180">
        <v>18432</v>
      </c>
    </row>
    <row r="8756" spans="1:3" x14ac:dyDescent="0.25">
      <c r="A8756" s="178">
        <v>344558</v>
      </c>
      <c r="B8756" s="179" t="s">
        <v>456</v>
      </c>
      <c r="C8756" s="180">
        <v>4104</v>
      </c>
    </row>
    <row r="8757" spans="1:3" x14ac:dyDescent="0.25">
      <c r="A8757" s="178">
        <v>344559</v>
      </c>
      <c r="B8757" s="179" t="s">
        <v>456</v>
      </c>
      <c r="C8757" s="180">
        <v>18432</v>
      </c>
    </row>
    <row r="8758" spans="1:3" x14ac:dyDescent="0.25">
      <c r="A8758" s="178">
        <v>344560</v>
      </c>
      <c r="B8758" s="179" t="s">
        <v>456</v>
      </c>
      <c r="C8758" s="180">
        <v>4104</v>
      </c>
    </row>
    <row r="8759" spans="1:3" x14ac:dyDescent="0.25">
      <c r="A8759" s="178">
        <v>344561</v>
      </c>
      <c r="B8759" s="179" t="s">
        <v>456</v>
      </c>
      <c r="C8759" s="180">
        <v>18432</v>
      </c>
    </row>
    <row r="8760" spans="1:3" x14ac:dyDescent="0.25">
      <c r="A8760" s="178">
        <v>344562</v>
      </c>
      <c r="B8760" s="179" t="s">
        <v>456</v>
      </c>
      <c r="C8760" s="180">
        <v>1040</v>
      </c>
    </row>
    <row r="8761" spans="1:3" x14ac:dyDescent="0.25">
      <c r="A8761" s="178">
        <v>344564</v>
      </c>
      <c r="B8761" s="179" t="s">
        <v>456</v>
      </c>
      <c r="C8761" s="180">
        <v>6600</v>
      </c>
    </row>
    <row r="8762" spans="1:3" x14ac:dyDescent="0.25">
      <c r="A8762" s="178">
        <v>344565</v>
      </c>
      <c r="B8762" s="179" t="s">
        <v>456</v>
      </c>
      <c r="C8762" s="180">
        <v>542</v>
      </c>
    </row>
    <row r="8763" spans="1:3" x14ac:dyDescent="0.25">
      <c r="A8763" s="178">
        <v>344572</v>
      </c>
      <c r="B8763" s="179" t="s">
        <v>456</v>
      </c>
      <c r="C8763" s="180">
        <v>99999</v>
      </c>
    </row>
    <row r="8764" spans="1:3" x14ac:dyDescent="0.25">
      <c r="A8764" s="178">
        <v>344574</v>
      </c>
      <c r="B8764" s="179" t="s">
        <v>456</v>
      </c>
      <c r="C8764" s="180">
        <v>700</v>
      </c>
    </row>
    <row r="8765" spans="1:3" x14ac:dyDescent="0.25">
      <c r="A8765" s="178">
        <v>344577</v>
      </c>
      <c r="B8765" s="179" t="s">
        <v>456</v>
      </c>
      <c r="C8765" s="180">
        <v>5520</v>
      </c>
    </row>
    <row r="8766" spans="1:3" x14ac:dyDescent="0.25">
      <c r="A8766" s="178">
        <v>344579</v>
      </c>
      <c r="B8766" s="179" t="s">
        <v>456</v>
      </c>
      <c r="C8766" s="180">
        <v>6670</v>
      </c>
    </row>
    <row r="8767" spans="1:3" x14ac:dyDescent="0.25">
      <c r="A8767" s="178">
        <v>344581</v>
      </c>
      <c r="B8767" s="179" t="s">
        <v>456</v>
      </c>
      <c r="C8767" s="180">
        <v>5300</v>
      </c>
    </row>
    <row r="8768" spans="1:3" x14ac:dyDescent="0.25">
      <c r="A8768" s="178">
        <v>344612</v>
      </c>
      <c r="B8768" s="179" t="s">
        <v>456</v>
      </c>
      <c r="C8768" s="180">
        <v>700</v>
      </c>
    </row>
    <row r="8769" spans="1:3" x14ac:dyDescent="0.25">
      <c r="A8769" s="178">
        <v>344617</v>
      </c>
      <c r="B8769" s="179" t="s">
        <v>456</v>
      </c>
      <c r="C8769" s="180">
        <v>16800</v>
      </c>
    </row>
    <row r="8770" spans="1:3" x14ac:dyDescent="0.25">
      <c r="A8770" s="178">
        <v>344618</v>
      </c>
      <c r="B8770" s="179" t="s">
        <v>456</v>
      </c>
      <c r="C8770" s="180">
        <v>16800</v>
      </c>
    </row>
    <row r="8771" spans="1:3" x14ac:dyDescent="0.25">
      <c r="A8771" s="178">
        <v>344619</v>
      </c>
      <c r="B8771" s="179" t="s">
        <v>456</v>
      </c>
      <c r="C8771" s="180">
        <v>16800</v>
      </c>
    </row>
    <row r="8772" spans="1:3" x14ac:dyDescent="0.25">
      <c r="A8772" s="178">
        <v>344620</v>
      </c>
      <c r="B8772" s="179" t="s">
        <v>456</v>
      </c>
      <c r="C8772" s="180">
        <v>16800</v>
      </c>
    </row>
    <row r="8773" spans="1:3" x14ac:dyDescent="0.25">
      <c r="A8773" s="178">
        <v>344621</v>
      </c>
      <c r="B8773" s="179" t="s">
        <v>456</v>
      </c>
      <c r="C8773" s="180">
        <v>16800</v>
      </c>
    </row>
    <row r="8774" spans="1:3" x14ac:dyDescent="0.25">
      <c r="A8774" s="178">
        <v>344642</v>
      </c>
      <c r="B8774" s="179" t="s">
        <v>456</v>
      </c>
      <c r="C8774" s="180">
        <v>60000</v>
      </c>
    </row>
    <row r="8775" spans="1:3" x14ac:dyDescent="0.25">
      <c r="A8775" s="178">
        <v>344643</v>
      </c>
      <c r="B8775" s="179" t="s">
        <v>456</v>
      </c>
      <c r="C8775" s="180">
        <v>60000</v>
      </c>
    </row>
    <row r="8776" spans="1:3" x14ac:dyDescent="0.25">
      <c r="A8776" s="178">
        <v>344645</v>
      </c>
      <c r="B8776" s="179" t="s">
        <v>456</v>
      </c>
      <c r="C8776" s="180">
        <v>2400</v>
      </c>
    </row>
    <row r="8777" spans="1:3" x14ac:dyDescent="0.25">
      <c r="A8777" s="178">
        <v>344646</v>
      </c>
      <c r="B8777" s="179" t="s">
        <v>456</v>
      </c>
      <c r="C8777" s="180">
        <v>4375</v>
      </c>
    </row>
    <row r="8778" spans="1:3" x14ac:dyDescent="0.25">
      <c r="A8778" s="178">
        <v>344682</v>
      </c>
      <c r="B8778" s="179" t="s">
        <v>456</v>
      </c>
      <c r="C8778" s="180">
        <v>99999</v>
      </c>
    </row>
    <row r="8779" spans="1:3" x14ac:dyDescent="0.25">
      <c r="A8779" s="178">
        <v>344706</v>
      </c>
      <c r="B8779" s="179" t="s">
        <v>456</v>
      </c>
      <c r="C8779" s="180">
        <v>16000</v>
      </c>
    </row>
    <row r="8780" spans="1:3" x14ac:dyDescent="0.25">
      <c r="A8780" s="178">
        <v>344707</v>
      </c>
      <c r="B8780" s="179" t="s">
        <v>456</v>
      </c>
      <c r="C8780" s="180">
        <v>16000</v>
      </c>
    </row>
    <row r="8781" spans="1:3" x14ac:dyDescent="0.25">
      <c r="A8781" s="178">
        <v>344710</v>
      </c>
      <c r="B8781" s="179" t="s">
        <v>456</v>
      </c>
      <c r="C8781" s="180">
        <v>14500</v>
      </c>
    </row>
    <row r="8782" spans="1:3" x14ac:dyDescent="0.25">
      <c r="A8782" s="178">
        <v>344711</v>
      </c>
      <c r="B8782" s="179" t="s">
        <v>456</v>
      </c>
      <c r="C8782" s="180">
        <v>14500</v>
      </c>
    </row>
    <row r="8783" spans="1:3" x14ac:dyDescent="0.25">
      <c r="A8783" s="178">
        <v>344727</v>
      </c>
      <c r="B8783" s="179" t="s">
        <v>456</v>
      </c>
      <c r="C8783" s="180">
        <v>99999</v>
      </c>
    </row>
    <row r="8784" spans="1:3" x14ac:dyDescent="0.25">
      <c r="A8784" s="178">
        <v>344728</v>
      </c>
      <c r="B8784" s="179" t="s">
        <v>456</v>
      </c>
      <c r="C8784" s="180">
        <v>99999</v>
      </c>
    </row>
    <row r="8785" spans="1:3" x14ac:dyDescent="0.25">
      <c r="A8785" s="178">
        <v>344729</v>
      </c>
      <c r="B8785" s="179" t="s">
        <v>456</v>
      </c>
      <c r="C8785" s="180">
        <v>99999</v>
      </c>
    </row>
    <row r="8786" spans="1:3" x14ac:dyDescent="0.25">
      <c r="A8786" s="178">
        <v>344730</v>
      </c>
      <c r="B8786" s="179" t="s">
        <v>456</v>
      </c>
      <c r="C8786" s="180">
        <v>99999</v>
      </c>
    </row>
    <row r="8787" spans="1:3" x14ac:dyDescent="0.25">
      <c r="A8787" s="178">
        <v>344731</v>
      </c>
      <c r="B8787" s="179" t="s">
        <v>456</v>
      </c>
      <c r="C8787" s="180">
        <v>99999</v>
      </c>
    </row>
    <row r="8788" spans="1:3" x14ac:dyDescent="0.25">
      <c r="A8788" s="178">
        <v>344732</v>
      </c>
      <c r="B8788" s="179" t="s">
        <v>456</v>
      </c>
      <c r="C8788" s="180">
        <v>99999</v>
      </c>
    </row>
    <row r="8789" spans="1:3" x14ac:dyDescent="0.25">
      <c r="A8789" s="178">
        <v>344733</v>
      </c>
      <c r="B8789" s="179" t="s">
        <v>456</v>
      </c>
      <c r="C8789" s="180">
        <v>99999</v>
      </c>
    </row>
    <row r="8790" spans="1:3" x14ac:dyDescent="0.25">
      <c r="A8790" s="178">
        <v>344734</v>
      </c>
      <c r="B8790" s="179" t="s">
        <v>456</v>
      </c>
      <c r="C8790" s="180">
        <v>99999</v>
      </c>
    </row>
    <row r="8791" spans="1:3" x14ac:dyDescent="0.25">
      <c r="A8791" s="178">
        <v>344735</v>
      </c>
      <c r="B8791" s="179" t="s">
        <v>456</v>
      </c>
      <c r="C8791" s="180">
        <v>99999</v>
      </c>
    </row>
    <row r="8792" spans="1:3" x14ac:dyDescent="0.25">
      <c r="A8792" s="178">
        <v>344736</v>
      </c>
      <c r="B8792" s="179" t="s">
        <v>456</v>
      </c>
      <c r="C8792" s="180">
        <v>99999</v>
      </c>
    </row>
    <row r="8793" spans="1:3" x14ac:dyDescent="0.25">
      <c r="A8793" s="178">
        <v>344737</v>
      </c>
      <c r="B8793" s="179" t="s">
        <v>456</v>
      </c>
      <c r="C8793" s="180">
        <v>22500</v>
      </c>
    </row>
    <row r="8794" spans="1:3" x14ac:dyDescent="0.25">
      <c r="A8794" s="178">
        <v>344738</v>
      </c>
      <c r="B8794" s="179" t="s">
        <v>456</v>
      </c>
      <c r="C8794" s="180">
        <v>6600</v>
      </c>
    </row>
    <row r="8795" spans="1:3" x14ac:dyDescent="0.25">
      <c r="A8795" s="178">
        <v>344740</v>
      </c>
      <c r="B8795" s="179" t="s">
        <v>456</v>
      </c>
      <c r="C8795" s="180">
        <v>99999</v>
      </c>
    </row>
    <row r="8796" spans="1:3" x14ac:dyDescent="0.25">
      <c r="A8796" s="178">
        <v>344741</v>
      </c>
      <c r="B8796" s="179" t="s">
        <v>456</v>
      </c>
      <c r="C8796" s="180">
        <v>99999</v>
      </c>
    </row>
    <row r="8797" spans="1:3" x14ac:dyDescent="0.25">
      <c r="A8797" s="178">
        <v>344742</v>
      </c>
      <c r="B8797" s="179" t="s">
        <v>456</v>
      </c>
      <c r="C8797" s="180">
        <v>99999</v>
      </c>
    </row>
    <row r="8798" spans="1:3" x14ac:dyDescent="0.25">
      <c r="A8798" s="178">
        <v>344743</v>
      </c>
      <c r="B8798" s="179" t="s">
        <v>456</v>
      </c>
      <c r="C8798" s="180">
        <v>99999</v>
      </c>
    </row>
    <row r="8799" spans="1:3" x14ac:dyDescent="0.25">
      <c r="A8799" s="178">
        <v>344752</v>
      </c>
      <c r="B8799" s="179" t="s">
        <v>456</v>
      </c>
      <c r="C8799" s="180">
        <v>5600</v>
      </c>
    </row>
    <row r="8800" spans="1:3" x14ac:dyDescent="0.25">
      <c r="A8800" s="178">
        <v>344753</v>
      </c>
      <c r="B8800" s="179" t="s">
        <v>456</v>
      </c>
      <c r="C8800" s="180">
        <v>175</v>
      </c>
    </row>
    <row r="8801" spans="1:3" x14ac:dyDescent="0.25">
      <c r="A8801" s="178">
        <v>344754</v>
      </c>
      <c r="B8801" s="179" t="s">
        <v>456</v>
      </c>
      <c r="C8801" s="180">
        <v>99999</v>
      </c>
    </row>
    <row r="8802" spans="1:3" x14ac:dyDescent="0.25">
      <c r="A8802" s="178">
        <v>344783</v>
      </c>
      <c r="B8802" s="179" t="s">
        <v>456</v>
      </c>
      <c r="C8802" s="180">
        <v>6800</v>
      </c>
    </row>
    <row r="8803" spans="1:3" x14ac:dyDescent="0.25">
      <c r="A8803" s="178">
        <v>344784</v>
      </c>
      <c r="B8803" s="179" t="s">
        <v>456</v>
      </c>
      <c r="C8803" s="180">
        <v>6800</v>
      </c>
    </row>
    <row r="8804" spans="1:3" x14ac:dyDescent="0.25">
      <c r="A8804" s="178">
        <v>344796</v>
      </c>
      <c r="B8804" s="179" t="s">
        <v>456</v>
      </c>
      <c r="C8804" s="180">
        <v>6600</v>
      </c>
    </row>
    <row r="8805" spans="1:3" x14ac:dyDescent="0.25">
      <c r="A8805" s="178">
        <v>344797</v>
      </c>
      <c r="B8805" s="179" t="s">
        <v>456</v>
      </c>
      <c r="C8805" s="180">
        <v>6600</v>
      </c>
    </row>
    <row r="8806" spans="1:3" x14ac:dyDescent="0.25">
      <c r="A8806" s="178">
        <v>344816</v>
      </c>
      <c r="B8806" s="179" t="s">
        <v>456</v>
      </c>
      <c r="C8806" s="180">
        <v>6200</v>
      </c>
    </row>
    <row r="8807" spans="1:3" x14ac:dyDescent="0.25">
      <c r="A8807" s="178">
        <v>344817</v>
      </c>
      <c r="B8807" s="179" t="s">
        <v>456</v>
      </c>
      <c r="C8807" s="180">
        <v>6200</v>
      </c>
    </row>
    <row r="8808" spans="1:3" x14ac:dyDescent="0.25">
      <c r="A8808" s="178">
        <v>344874</v>
      </c>
      <c r="B8808" s="179" t="s">
        <v>456</v>
      </c>
      <c r="C8808" s="180">
        <v>530</v>
      </c>
    </row>
    <row r="8809" spans="1:3" x14ac:dyDescent="0.25">
      <c r="A8809" s="178">
        <v>344877</v>
      </c>
      <c r="B8809" s="179" t="s">
        <v>456</v>
      </c>
      <c r="C8809" s="180">
        <v>140</v>
      </c>
    </row>
    <row r="8810" spans="1:3" x14ac:dyDescent="0.25">
      <c r="A8810" s="178">
        <v>344878</v>
      </c>
      <c r="B8810" s="179" t="s">
        <v>456</v>
      </c>
      <c r="C8810" s="180">
        <v>30800</v>
      </c>
    </row>
    <row r="8811" spans="1:3" x14ac:dyDescent="0.25">
      <c r="A8811" s="178">
        <v>344903</v>
      </c>
      <c r="B8811" s="179" t="s">
        <v>456</v>
      </c>
      <c r="C8811" s="180">
        <v>6600</v>
      </c>
    </row>
    <row r="8812" spans="1:3" x14ac:dyDescent="0.25">
      <c r="A8812" s="178">
        <v>344904</v>
      </c>
      <c r="B8812" s="179" t="s">
        <v>456</v>
      </c>
      <c r="C8812" s="180">
        <v>6600</v>
      </c>
    </row>
    <row r="8813" spans="1:3" x14ac:dyDescent="0.25">
      <c r="A8813" s="178">
        <v>344905</v>
      </c>
      <c r="B8813" s="179" t="s">
        <v>456</v>
      </c>
      <c r="C8813" s="180">
        <v>6600</v>
      </c>
    </row>
    <row r="8814" spans="1:3" x14ac:dyDescent="0.25">
      <c r="A8814" s="178">
        <v>344906</v>
      </c>
      <c r="B8814" s="179" t="s">
        <v>456</v>
      </c>
      <c r="C8814" s="180">
        <v>6600</v>
      </c>
    </row>
    <row r="8815" spans="1:3" x14ac:dyDescent="0.25">
      <c r="A8815" s="178">
        <v>344907</v>
      </c>
      <c r="B8815" s="179" t="s">
        <v>456</v>
      </c>
      <c r="C8815" s="180">
        <v>6600</v>
      </c>
    </row>
    <row r="8816" spans="1:3" x14ac:dyDescent="0.25">
      <c r="A8816" s="178">
        <v>344908</v>
      </c>
      <c r="B8816" s="179" t="s">
        <v>456</v>
      </c>
      <c r="C8816" s="180">
        <v>6600</v>
      </c>
    </row>
    <row r="8817" spans="1:3" x14ac:dyDescent="0.25">
      <c r="A8817" s="178">
        <v>344909</v>
      </c>
      <c r="B8817" s="179" t="s">
        <v>456</v>
      </c>
      <c r="C8817" s="180">
        <v>6600</v>
      </c>
    </row>
    <row r="8818" spans="1:3" x14ac:dyDescent="0.25">
      <c r="A8818" s="178">
        <v>344910</v>
      </c>
      <c r="B8818" s="179" t="s">
        <v>456</v>
      </c>
      <c r="C8818" s="180">
        <v>6600</v>
      </c>
    </row>
    <row r="8819" spans="1:3" x14ac:dyDescent="0.25">
      <c r="A8819" s="178">
        <v>344911</v>
      </c>
      <c r="B8819" s="179" t="s">
        <v>456</v>
      </c>
      <c r="C8819" s="180">
        <v>6600</v>
      </c>
    </row>
    <row r="8820" spans="1:3" x14ac:dyDescent="0.25">
      <c r="A8820" s="178">
        <v>344912</v>
      </c>
      <c r="B8820" s="179" t="s">
        <v>456</v>
      </c>
      <c r="C8820" s="180">
        <v>6600</v>
      </c>
    </row>
    <row r="8821" spans="1:3" x14ac:dyDescent="0.25">
      <c r="A8821" s="178">
        <v>344913</v>
      </c>
      <c r="B8821" s="179" t="s">
        <v>456</v>
      </c>
      <c r="C8821" s="180">
        <v>6600</v>
      </c>
    </row>
    <row r="8822" spans="1:3" x14ac:dyDescent="0.25">
      <c r="A8822" s="178">
        <v>344914</v>
      </c>
      <c r="B8822" s="179" t="s">
        <v>456</v>
      </c>
      <c r="C8822" s="180">
        <v>6600</v>
      </c>
    </row>
    <row r="8823" spans="1:3" x14ac:dyDescent="0.25">
      <c r="A8823" s="178">
        <v>344915</v>
      </c>
      <c r="B8823" s="179" t="s">
        <v>456</v>
      </c>
      <c r="C8823" s="180">
        <v>6600</v>
      </c>
    </row>
    <row r="8824" spans="1:3" x14ac:dyDescent="0.25">
      <c r="A8824" s="178">
        <v>344916</v>
      </c>
      <c r="B8824" s="179" t="s">
        <v>456</v>
      </c>
      <c r="C8824" s="180">
        <v>6600</v>
      </c>
    </row>
    <row r="8825" spans="1:3" x14ac:dyDescent="0.25">
      <c r="A8825" s="178">
        <v>344917</v>
      </c>
      <c r="B8825" s="179" t="s">
        <v>456</v>
      </c>
      <c r="C8825" s="180">
        <v>6600</v>
      </c>
    </row>
    <row r="8826" spans="1:3" x14ac:dyDescent="0.25">
      <c r="A8826" s="178">
        <v>344918</v>
      </c>
      <c r="B8826" s="179" t="s">
        <v>456</v>
      </c>
      <c r="C8826" s="180">
        <v>6600</v>
      </c>
    </row>
    <row r="8827" spans="1:3" x14ac:dyDescent="0.25">
      <c r="A8827" s="178">
        <v>344919</v>
      </c>
      <c r="B8827" s="179" t="s">
        <v>456</v>
      </c>
      <c r="C8827" s="180">
        <v>6600</v>
      </c>
    </row>
    <row r="8828" spans="1:3" x14ac:dyDescent="0.25">
      <c r="A8828" s="178">
        <v>344920</v>
      </c>
      <c r="B8828" s="179" t="s">
        <v>456</v>
      </c>
      <c r="C8828" s="180">
        <v>6600</v>
      </c>
    </row>
    <row r="8829" spans="1:3" x14ac:dyDescent="0.25">
      <c r="A8829" s="178">
        <v>344921</v>
      </c>
      <c r="B8829" s="179" t="s">
        <v>456</v>
      </c>
      <c r="C8829" s="180">
        <v>6600</v>
      </c>
    </row>
    <row r="8830" spans="1:3" x14ac:dyDescent="0.25">
      <c r="A8830" s="178">
        <v>344922</v>
      </c>
      <c r="B8830" s="179" t="s">
        <v>456</v>
      </c>
      <c r="C8830" s="180">
        <v>6600</v>
      </c>
    </row>
    <row r="8831" spans="1:3" x14ac:dyDescent="0.25">
      <c r="A8831" s="178">
        <v>344923</v>
      </c>
      <c r="B8831" s="179" t="s">
        <v>456</v>
      </c>
      <c r="C8831" s="180">
        <v>6600</v>
      </c>
    </row>
    <row r="8832" spans="1:3" x14ac:dyDescent="0.25">
      <c r="A8832" s="178">
        <v>344924</v>
      </c>
      <c r="B8832" s="179" t="s">
        <v>456</v>
      </c>
      <c r="C8832" s="180">
        <v>6600</v>
      </c>
    </row>
    <row r="8833" spans="1:3" x14ac:dyDescent="0.25">
      <c r="A8833" s="178">
        <v>344925</v>
      </c>
      <c r="B8833" s="179" t="s">
        <v>456</v>
      </c>
      <c r="C8833" s="180">
        <v>6600</v>
      </c>
    </row>
    <row r="8834" spans="1:3" x14ac:dyDescent="0.25">
      <c r="A8834" s="178">
        <v>344926</v>
      </c>
      <c r="B8834" s="179" t="s">
        <v>456</v>
      </c>
      <c r="C8834" s="180">
        <v>6600</v>
      </c>
    </row>
    <row r="8835" spans="1:3" x14ac:dyDescent="0.25">
      <c r="A8835" s="178">
        <v>344927</v>
      </c>
      <c r="B8835" s="179" t="s">
        <v>456</v>
      </c>
      <c r="C8835" s="180">
        <v>6600</v>
      </c>
    </row>
    <row r="8836" spans="1:3" x14ac:dyDescent="0.25">
      <c r="A8836" s="178">
        <v>344928</v>
      </c>
      <c r="B8836" s="179" t="s">
        <v>456</v>
      </c>
      <c r="C8836" s="180">
        <v>6600</v>
      </c>
    </row>
    <row r="8837" spans="1:3" x14ac:dyDescent="0.25">
      <c r="A8837" s="178">
        <v>344929</v>
      </c>
      <c r="B8837" s="179" t="s">
        <v>456</v>
      </c>
      <c r="C8837" s="180">
        <v>6600</v>
      </c>
    </row>
    <row r="8838" spans="1:3" x14ac:dyDescent="0.25">
      <c r="A8838" s="178">
        <v>344930</v>
      </c>
      <c r="B8838" s="179" t="s">
        <v>456</v>
      </c>
      <c r="C8838" s="180">
        <v>6600</v>
      </c>
    </row>
    <row r="8839" spans="1:3" x14ac:dyDescent="0.25">
      <c r="A8839" s="178">
        <v>344931</v>
      </c>
      <c r="B8839" s="179" t="s">
        <v>456</v>
      </c>
      <c r="C8839" s="180">
        <v>6600</v>
      </c>
    </row>
    <row r="8840" spans="1:3" x14ac:dyDescent="0.25">
      <c r="A8840" s="178">
        <v>344932</v>
      </c>
      <c r="B8840" s="179" t="s">
        <v>456</v>
      </c>
      <c r="C8840" s="180">
        <v>6600</v>
      </c>
    </row>
    <row r="8841" spans="1:3" x14ac:dyDescent="0.25">
      <c r="A8841" s="178">
        <v>344933</v>
      </c>
      <c r="B8841" s="179" t="s">
        <v>456</v>
      </c>
      <c r="C8841" s="180">
        <v>88000</v>
      </c>
    </row>
    <row r="8842" spans="1:3" x14ac:dyDescent="0.25">
      <c r="A8842" s="178">
        <v>344934</v>
      </c>
      <c r="B8842" s="179" t="s">
        <v>456</v>
      </c>
      <c r="C8842" s="180">
        <v>88000</v>
      </c>
    </row>
    <row r="8843" spans="1:3" x14ac:dyDescent="0.25">
      <c r="A8843" s="178">
        <v>344935</v>
      </c>
      <c r="B8843" s="179" t="s">
        <v>456</v>
      </c>
      <c r="C8843" s="180">
        <v>48000</v>
      </c>
    </row>
    <row r="8844" spans="1:3" x14ac:dyDescent="0.25">
      <c r="A8844" s="178">
        <v>344936</v>
      </c>
      <c r="B8844" s="179" t="s">
        <v>456</v>
      </c>
      <c r="C8844" s="180">
        <v>75891</v>
      </c>
    </row>
    <row r="8845" spans="1:3" x14ac:dyDescent="0.25">
      <c r="A8845" s="178">
        <v>344961</v>
      </c>
      <c r="B8845" s="179" t="s">
        <v>456</v>
      </c>
      <c r="C8845" s="180">
        <v>99999</v>
      </c>
    </row>
    <row r="8846" spans="1:3" x14ac:dyDescent="0.25">
      <c r="A8846" s="178">
        <v>344962</v>
      </c>
      <c r="B8846" s="179" t="s">
        <v>456</v>
      </c>
      <c r="C8846" s="180">
        <v>99999</v>
      </c>
    </row>
    <row r="8847" spans="1:3" x14ac:dyDescent="0.25">
      <c r="A8847" s="178">
        <v>344963</v>
      </c>
      <c r="B8847" s="179" t="s">
        <v>456</v>
      </c>
      <c r="C8847" s="180">
        <v>99999</v>
      </c>
    </row>
    <row r="8848" spans="1:3" x14ac:dyDescent="0.25">
      <c r="A8848" s="178">
        <v>344964</v>
      </c>
      <c r="B8848" s="179" t="s">
        <v>456</v>
      </c>
      <c r="C8848" s="180">
        <v>99999</v>
      </c>
    </row>
    <row r="8849" spans="1:3" x14ac:dyDescent="0.25">
      <c r="A8849" s="178">
        <v>344965</v>
      </c>
      <c r="B8849" s="179" t="s">
        <v>456</v>
      </c>
      <c r="C8849" s="180">
        <v>99999</v>
      </c>
    </row>
    <row r="8850" spans="1:3" x14ac:dyDescent="0.25">
      <c r="A8850" s="178">
        <v>344966</v>
      </c>
      <c r="B8850" s="179" t="s">
        <v>456</v>
      </c>
      <c r="C8850" s="180">
        <v>14</v>
      </c>
    </row>
    <row r="8851" spans="1:3" x14ac:dyDescent="0.25">
      <c r="A8851" s="178">
        <v>344967</v>
      </c>
      <c r="B8851" s="179" t="s">
        <v>456</v>
      </c>
      <c r="C8851" s="180">
        <v>6600</v>
      </c>
    </row>
    <row r="8852" spans="1:3" x14ac:dyDescent="0.25">
      <c r="A8852" s="178">
        <v>344968</v>
      </c>
      <c r="B8852" s="179" t="s">
        <v>456</v>
      </c>
      <c r="C8852" s="180">
        <v>6600</v>
      </c>
    </row>
    <row r="8853" spans="1:3" x14ac:dyDescent="0.25">
      <c r="A8853" s="178">
        <v>344973</v>
      </c>
      <c r="B8853" s="179" t="s">
        <v>456</v>
      </c>
      <c r="C8853" s="180">
        <v>4104</v>
      </c>
    </row>
    <row r="8854" spans="1:3" x14ac:dyDescent="0.25">
      <c r="A8854" s="178">
        <v>344974</v>
      </c>
      <c r="B8854" s="179" t="s">
        <v>456</v>
      </c>
      <c r="C8854" s="180">
        <v>18432</v>
      </c>
    </row>
    <row r="8855" spans="1:3" x14ac:dyDescent="0.25">
      <c r="A8855" s="178">
        <v>344975</v>
      </c>
      <c r="B8855" s="179" t="s">
        <v>456</v>
      </c>
      <c r="C8855" s="180">
        <v>4104</v>
      </c>
    </row>
    <row r="8856" spans="1:3" x14ac:dyDescent="0.25">
      <c r="A8856" s="178">
        <v>344976</v>
      </c>
      <c r="B8856" s="179" t="s">
        <v>456</v>
      </c>
      <c r="C8856" s="180">
        <v>18432</v>
      </c>
    </row>
    <row r="8857" spans="1:3" x14ac:dyDescent="0.25">
      <c r="A8857" s="178">
        <v>344977</v>
      </c>
      <c r="B8857" s="179" t="s">
        <v>456</v>
      </c>
      <c r="C8857" s="180">
        <v>30800</v>
      </c>
    </row>
    <row r="8858" spans="1:3" x14ac:dyDescent="0.25">
      <c r="A8858" s="178">
        <v>344978</v>
      </c>
      <c r="B8858" s="179" t="s">
        <v>456</v>
      </c>
      <c r="C8858" s="180">
        <v>6600</v>
      </c>
    </row>
    <row r="8859" spans="1:3" x14ac:dyDescent="0.25">
      <c r="A8859" s="178">
        <v>344979</v>
      </c>
      <c r="B8859" s="179" t="s">
        <v>456</v>
      </c>
      <c r="C8859" s="180">
        <v>6600</v>
      </c>
    </row>
    <row r="8860" spans="1:3" x14ac:dyDescent="0.25">
      <c r="A8860" s="178">
        <v>344980</v>
      </c>
      <c r="B8860" s="179" t="s">
        <v>456</v>
      </c>
      <c r="C8860" s="180">
        <v>99999</v>
      </c>
    </row>
    <row r="8861" spans="1:3" x14ac:dyDescent="0.25">
      <c r="A8861" s="178">
        <v>344981</v>
      </c>
      <c r="B8861" s="179" t="s">
        <v>456</v>
      </c>
      <c r="C8861" s="180">
        <v>1056</v>
      </c>
    </row>
    <row r="8862" spans="1:3" x14ac:dyDescent="0.25">
      <c r="A8862" s="178">
        <v>344982</v>
      </c>
      <c r="B8862" s="179" t="s">
        <v>456</v>
      </c>
      <c r="C8862" s="180">
        <v>6600</v>
      </c>
    </row>
    <row r="8863" spans="1:3" x14ac:dyDescent="0.25">
      <c r="A8863" s="178">
        <v>345008</v>
      </c>
      <c r="B8863" s="179" t="s">
        <v>456</v>
      </c>
      <c r="C8863" s="180">
        <v>8400</v>
      </c>
    </row>
    <row r="8864" spans="1:3" x14ac:dyDescent="0.25">
      <c r="A8864" s="178">
        <v>345012</v>
      </c>
      <c r="B8864" s="179" t="s">
        <v>456</v>
      </c>
      <c r="C8864" s="180">
        <v>2100</v>
      </c>
    </row>
    <row r="8865" spans="1:3" x14ac:dyDescent="0.25">
      <c r="A8865" s="178">
        <v>345013</v>
      </c>
      <c r="B8865" s="179" t="s">
        <v>456</v>
      </c>
      <c r="C8865" s="180">
        <v>2100</v>
      </c>
    </row>
    <row r="8866" spans="1:3" x14ac:dyDescent="0.25">
      <c r="A8866" s="178">
        <v>345019</v>
      </c>
      <c r="B8866" s="179" t="s">
        <v>456</v>
      </c>
      <c r="C8866" s="180">
        <v>6600</v>
      </c>
    </row>
    <row r="8867" spans="1:3" x14ac:dyDescent="0.25">
      <c r="A8867" s="178">
        <v>345020</v>
      </c>
      <c r="B8867" s="179" t="s">
        <v>456</v>
      </c>
      <c r="C8867" s="180">
        <v>99999</v>
      </c>
    </row>
    <row r="8868" spans="1:3" x14ac:dyDescent="0.25">
      <c r="A8868" s="178">
        <v>345021</v>
      </c>
      <c r="B8868" s="179" t="s">
        <v>456</v>
      </c>
      <c r="C8868" s="180">
        <v>2800</v>
      </c>
    </row>
    <row r="8869" spans="1:3" x14ac:dyDescent="0.25">
      <c r="A8869" s="178">
        <v>345040</v>
      </c>
      <c r="B8869" s="179" t="s">
        <v>456</v>
      </c>
      <c r="C8869" s="180">
        <v>9000</v>
      </c>
    </row>
    <row r="8870" spans="1:3" x14ac:dyDescent="0.25">
      <c r="A8870" s="178">
        <v>345042</v>
      </c>
      <c r="B8870" s="179" t="s">
        <v>456</v>
      </c>
      <c r="C8870" s="180">
        <v>6800</v>
      </c>
    </row>
    <row r="8871" spans="1:3" x14ac:dyDescent="0.25">
      <c r="A8871" s="178">
        <v>345043</v>
      </c>
      <c r="B8871" s="179" t="s">
        <v>456</v>
      </c>
      <c r="C8871" s="180">
        <v>3762</v>
      </c>
    </row>
    <row r="8872" spans="1:3" x14ac:dyDescent="0.25">
      <c r="A8872" s="178">
        <v>345044</v>
      </c>
      <c r="B8872" s="179" t="s">
        <v>456</v>
      </c>
      <c r="C8872" s="180">
        <v>14256</v>
      </c>
    </row>
    <row r="8873" spans="1:3" x14ac:dyDescent="0.25">
      <c r="A8873" s="178">
        <v>345049</v>
      </c>
      <c r="B8873" s="179" t="s">
        <v>456</v>
      </c>
      <c r="C8873" s="180">
        <v>6912</v>
      </c>
    </row>
    <row r="8874" spans="1:3" x14ac:dyDescent="0.25">
      <c r="A8874" s="178">
        <v>345051</v>
      </c>
      <c r="B8874" s="179" t="s">
        <v>456</v>
      </c>
      <c r="C8874" s="180">
        <v>6912</v>
      </c>
    </row>
    <row r="8875" spans="1:3" x14ac:dyDescent="0.25">
      <c r="A8875" s="178">
        <v>345055</v>
      </c>
      <c r="B8875" s="179" t="s">
        <v>456</v>
      </c>
      <c r="C8875" s="180">
        <v>6912</v>
      </c>
    </row>
    <row r="8876" spans="1:3" x14ac:dyDescent="0.25">
      <c r="A8876" s="178">
        <v>345057</v>
      </c>
      <c r="B8876" s="179" t="s">
        <v>456</v>
      </c>
      <c r="C8876" s="180">
        <v>6912</v>
      </c>
    </row>
    <row r="8877" spans="1:3" x14ac:dyDescent="0.25">
      <c r="A8877" s="178">
        <v>345080</v>
      </c>
      <c r="B8877" s="179" t="s">
        <v>456</v>
      </c>
      <c r="C8877" s="180">
        <v>15984</v>
      </c>
    </row>
    <row r="8878" spans="1:3" x14ac:dyDescent="0.25">
      <c r="A8878" s="178">
        <v>345081</v>
      </c>
      <c r="B8878" s="179" t="s">
        <v>456</v>
      </c>
      <c r="C8878" s="180">
        <v>15984</v>
      </c>
    </row>
    <row r="8879" spans="1:3" x14ac:dyDescent="0.25">
      <c r="A8879" s="178">
        <v>345082</v>
      </c>
      <c r="B8879" s="179" t="s">
        <v>456</v>
      </c>
      <c r="C8879" s="180">
        <v>15984</v>
      </c>
    </row>
    <row r="8880" spans="1:3" x14ac:dyDescent="0.25">
      <c r="A8880" s="178">
        <v>345083</v>
      </c>
      <c r="B8880" s="179" t="s">
        <v>456</v>
      </c>
      <c r="C8880" s="180">
        <v>17712</v>
      </c>
    </row>
    <row r="8881" spans="1:3" x14ac:dyDescent="0.25">
      <c r="A8881" s="178">
        <v>345084</v>
      </c>
      <c r="B8881" s="179" t="s">
        <v>456</v>
      </c>
      <c r="C8881" s="180">
        <v>17712</v>
      </c>
    </row>
    <row r="8882" spans="1:3" x14ac:dyDescent="0.25">
      <c r="A8882" s="178">
        <v>345085</v>
      </c>
      <c r="B8882" s="179" t="s">
        <v>456</v>
      </c>
      <c r="C8882" s="180">
        <v>17712</v>
      </c>
    </row>
    <row r="8883" spans="1:3" x14ac:dyDescent="0.25">
      <c r="A8883" s="178">
        <v>345090</v>
      </c>
      <c r="B8883" s="179" t="s">
        <v>456</v>
      </c>
      <c r="C8883" s="180">
        <v>380</v>
      </c>
    </row>
    <row r="8884" spans="1:3" x14ac:dyDescent="0.25">
      <c r="A8884" s="178">
        <v>345094</v>
      </c>
      <c r="B8884" s="179" t="s">
        <v>456</v>
      </c>
      <c r="C8884" s="180">
        <v>6600</v>
      </c>
    </row>
    <row r="8885" spans="1:3" x14ac:dyDescent="0.25">
      <c r="A8885" s="178">
        <v>345095</v>
      </c>
      <c r="B8885" s="179" t="s">
        <v>456</v>
      </c>
      <c r="C8885" s="180">
        <v>6600</v>
      </c>
    </row>
    <row r="8886" spans="1:3" x14ac:dyDescent="0.25">
      <c r="A8886" s="178">
        <v>345096</v>
      </c>
      <c r="B8886" s="179" t="s">
        <v>456</v>
      </c>
      <c r="C8886" s="180">
        <v>6600</v>
      </c>
    </row>
    <row r="8887" spans="1:3" x14ac:dyDescent="0.25">
      <c r="A8887" s="178">
        <v>345097</v>
      </c>
      <c r="B8887" s="179" t="s">
        <v>456</v>
      </c>
      <c r="C8887" s="180">
        <v>6600</v>
      </c>
    </row>
    <row r="8888" spans="1:3" x14ac:dyDescent="0.25">
      <c r="A8888" s="178">
        <v>345098</v>
      </c>
      <c r="B8888" s="179" t="s">
        <v>456</v>
      </c>
      <c r="C8888" s="180">
        <v>6600</v>
      </c>
    </row>
    <row r="8889" spans="1:3" x14ac:dyDescent="0.25">
      <c r="A8889" s="178">
        <v>345099</v>
      </c>
      <c r="B8889" s="179" t="s">
        <v>456</v>
      </c>
      <c r="C8889" s="180">
        <v>6600</v>
      </c>
    </row>
    <row r="8890" spans="1:3" x14ac:dyDescent="0.25">
      <c r="A8890" s="178">
        <v>345100</v>
      </c>
      <c r="B8890" s="179" t="s">
        <v>456</v>
      </c>
      <c r="C8890" s="180">
        <v>6600</v>
      </c>
    </row>
    <row r="8891" spans="1:3" x14ac:dyDescent="0.25">
      <c r="A8891" s="178">
        <v>345101</v>
      </c>
      <c r="B8891" s="179" t="s">
        <v>456</v>
      </c>
      <c r="C8891" s="180">
        <v>6600</v>
      </c>
    </row>
    <row r="8892" spans="1:3" x14ac:dyDescent="0.25">
      <c r="A8892" s="178">
        <v>345102</v>
      </c>
      <c r="B8892" s="179" t="s">
        <v>456</v>
      </c>
      <c r="C8892" s="180">
        <v>6600</v>
      </c>
    </row>
    <row r="8893" spans="1:3" x14ac:dyDescent="0.25">
      <c r="A8893" s="178">
        <v>345103</v>
      </c>
      <c r="B8893" s="179" t="s">
        <v>456</v>
      </c>
      <c r="C8893" s="180">
        <v>6600</v>
      </c>
    </row>
    <row r="8894" spans="1:3" x14ac:dyDescent="0.25">
      <c r="A8894" s="178">
        <v>345104</v>
      </c>
      <c r="B8894" s="179" t="s">
        <v>456</v>
      </c>
      <c r="C8894" s="180">
        <v>6600</v>
      </c>
    </row>
    <row r="8895" spans="1:3" x14ac:dyDescent="0.25">
      <c r="A8895" s="178">
        <v>345105</v>
      </c>
      <c r="B8895" s="179" t="s">
        <v>456</v>
      </c>
      <c r="C8895" s="180">
        <v>6600</v>
      </c>
    </row>
    <row r="8896" spans="1:3" x14ac:dyDescent="0.25">
      <c r="A8896" s="178">
        <v>345128</v>
      </c>
      <c r="B8896" s="179" t="s">
        <v>456</v>
      </c>
      <c r="C8896" s="180">
        <v>99999</v>
      </c>
    </row>
    <row r="8897" spans="1:3" x14ac:dyDescent="0.25">
      <c r="A8897" s="178">
        <v>345129</v>
      </c>
      <c r="B8897" s="179" t="s">
        <v>456</v>
      </c>
      <c r="C8897" s="180">
        <v>4104</v>
      </c>
    </row>
    <row r="8898" spans="1:3" x14ac:dyDescent="0.25">
      <c r="A8898" s="178">
        <v>345130</v>
      </c>
      <c r="B8898" s="179" t="s">
        <v>456</v>
      </c>
      <c r="C8898" s="180">
        <v>18432</v>
      </c>
    </row>
    <row r="8899" spans="1:3" x14ac:dyDescent="0.25">
      <c r="A8899" s="178">
        <v>345131</v>
      </c>
      <c r="B8899" s="179" t="s">
        <v>456</v>
      </c>
      <c r="C8899" s="180">
        <v>4104</v>
      </c>
    </row>
    <row r="8900" spans="1:3" x14ac:dyDescent="0.25">
      <c r="A8900" s="178">
        <v>345132</v>
      </c>
      <c r="B8900" s="179" t="s">
        <v>456</v>
      </c>
      <c r="C8900" s="180">
        <v>18432</v>
      </c>
    </row>
    <row r="8901" spans="1:3" x14ac:dyDescent="0.25">
      <c r="A8901" s="178">
        <v>345133</v>
      </c>
      <c r="B8901" s="179" t="s">
        <v>456</v>
      </c>
      <c r="C8901" s="180">
        <v>4104</v>
      </c>
    </row>
    <row r="8902" spans="1:3" x14ac:dyDescent="0.25">
      <c r="A8902" s="178">
        <v>345134</v>
      </c>
      <c r="B8902" s="179" t="s">
        <v>456</v>
      </c>
      <c r="C8902" s="180">
        <v>18432</v>
      </c>
    </row>
    <row r="8903" spans="1:3" x14ac:dyDescent="0.25">
      <c r="A8903" s="178">
        <v>345135</v>
      </c>
      <c r="B8903" s="179" t="s">
        <v>456</v>
      </c>
      <c r="C8903" s="180">
        <v>4104</v>
      </c>
    </row>
    <row r="8904" spans="1:3" x14ac:dyDescent="0.25">
      <c r="A8904" s="178">
        <v>345136</v>
      </c>
      <c r="B8904" s="179" t="s">
        <v>456</v>
      </c>
      <c r="C8904" s="180">
        <v>18432</v>
      </c>
    </row>
    <row r="8905" spans="1:3" x14ac:dyDescent="0.25">
      <c r="A8905" s="178">
        <v>345144</v>
      </c>
      <c r="B8905" s="179" t="s">
        <v>456</v>
      </c>
      <c r="C8905" s="180">
        <v>49410</v>
      </c>
    </row>
    <row r="8906" spans="1:3" x14ac:dyDescent="0.25">
      <c r="A8906" s="178">
        <v>345145</v>
      </c>
      <c r="B8906" s="179" t="s">
        <v>456</v>
      </c>
      <c r="C8906" s="180">
        <v>49410</v>
      </c>
    </row>
    <row r="8907" spans="1:3" x14ac:dyDescent="0.25">
      <c r="A8907" s="178">
        <v>345146</v>
      </c>
      <c r="B8907" s="179" t="s">
        <v>456</v>
      </c>
      <c r="C8907" s="180">
        <v>49410</v>
      </c>
    </row>
    <row r="8908" spans="1:3" x14ac:dyDescent="0.25">
      <c r="A8908" s="178">
        <v>345147</v>
      </c>
      <c r="B8908" s="179" t="s">
        <v>456</v>
      </c>
      <c r="C8908" s="180">
        <v>49410</v>
      </c>
    </row>
    <row r="8909" spans="1:3" x14ac:dyDescent="0.25">
      <c r="A8909" s="178">
        <v>345148</v>
      </c>
      <c r="B8909" s="179" t="s">
        <v>456</v>
      </c>
      <c r="C8909" s="180">
        <v>57276</v>
      </c>
    </row>
    <row r="8910" spans="1:3" x14ac:dyDescent="0.25">
      <c r="A8910" s="178">
        <v>345149</v>
      </c>
      <c r="B8910" s="179" t="s">
        <v>456</v>
      </c>
      <c r="C8910" s="180">
        <v>54774</v>
      </c>
    </row>
    <row r="8911" spans="1:3" x14ac:dyDescent="0.25">
      <c r="A8911" s="178">
        <v>345150</v>
      </c>
      <c r="B8911" s="179" t="s">
        <v>456</v>
      </c>
      <c r="C8911" s="180">
        <v>15750</v>
      </c>
    </row>
    <row r="8912" spans="1:3" x14ac:dyDescent="0.25">
      <c r="A8912" s="178">
        <v>345151</v>
      </c>
      <c r="B8912" s="179" t="s">
        <v>456</v>
      </c>
      <c r="C8912" s="180">
        <v>16000</v>
      </c>
    </row>
    <row r="8913" spans="1:3" x14ac:dyDescent="0.25">
      <c r="A8913" s="178">
        <v>345152</v>
      </c>
      <c r="B8913" s="179" t="s">
        <v>456</v>
      </c>
      <c r="C8913" s="180">
        <v>16000</v>
      </c>
    </row>
    <row r="8914" spans="1:3" x14ac:dyDescent="0.25">
      <c r="A8914" s="178">
        <v>345153</v>
      </c>
      <c r="B8914" s="179" t="s">
        <v>456</v>
      </c>
      <c r="C8914" s="180">
        <v>16000</v>
      </c>
    </row>
    <row r="8915" spans="1:3" x14ac:dyDescent="0.25">
      <c r="A8915" s="178">
        <v>345154</v>
      </c>
      <c r="B8915" s="179" t="s">
        <v>456</v>
      </c>
      <c r="C8915" s="180">
        <v>16000</v>
      </c>
    </row>
    <row r="8916" spans="1:3" x14ac:dyDescent="0.25">
      <c r="A8916" s="178">
        <v>345155</v>
      </c>
      <c r="B8916" s="179" t="s">
        <v>456</v>
      </c>
      <c r="C8916" s="180">
        <v>16000</v>
      </c>
    </row>
    <row r="8917" spans="1:3" x14ac:dyDescent="0.25">
      <c r="A8917" s="178">
        <v>345156</v>
      </c>
      <c r="B8917" s="179" t="s">
        <v>456</v>
      </c>
      <c r="C8917" s="180">
        <v>16000</v>
      </c>
    </row>
    <row r="8918" spans="1:3" x14ac:dyDescent="0.25">
      <c r="A8918" s="178">
        <v>345157</v>
      </c>
      <c r="B8918" s="179" t="s">
        <v>456</v>
      </c>
      <c r="C8918" s="180">
        <v>14500</v>
      </c>
    </row>
    <row r="8919" spans="1:3" x14ac:dyDescent="0.25">
      <c r="A8919" s="178">
        <v>345158</v>
      </c>
      <c r="B8919" s="179" t="s">
        <v>456</v>
      </c>
      <c r="C8919" s="180">
        <v>16000</v>
      </c>
    </row>
    <row r="8920" spans="1:3" x14ac:dyDescent="0.25">
      <c r="A8920" s="178">
        <v>345159</v>
      </c>
      <c r="B8920" s="179" t="s">
        <v>456</v>
      </c>
      <c r="C8920" s="180">
        <v>16000</v>
      </c>
    </row>
    <row r="8921" spans="1:3" x14ac:dyDescent="0.25">
      <c r="A8921" s="178">
        <v>345160</v>
      </c>
      <c r="B8921" s="179" t="s">
        <v>456</v>
      </c>
      <c r="C8921" s="180">
        <v>16000</v>
      </c>
    </row>
    <row r="8922" spans="1:3" x14ac:dyDescent="0.25">
      <c r="A8922" s="178">
        <v>345162</v>
      </c>
      <c r="B8922" s="179" t="s">
        <v>456</v>
      </c>
      <c r="C8922" s="180">
        <v>16000</v>
      </c>
    </row>
    <row r="8923" spans="1:3" x14ac:dyDescent="0.25">
      <c r="A8923" s="178">
        <v>345163</v>
      </c>
      <c r="B8923" s="179" t="s">
        <v>456</v>
      </c>
      <c r="C8923" s="180">
        <v>16000</v>
      </c>
    </row>
    <row r="8924" spans="1:3" x14ac:dyDescent="0.25">
      <c r="A8924" s="178">
        <v>345164</v>
      </c>
      <c r="B8924" s="179" t="s">
        <v>456</v>
      </c>
      <c r="C8924" s="180">
        <v>16000</v>
      </c>
    </row>
    <row r="8925" spans="1:3" x14ac:dyDescent="0.25">
      <c r="A8925" s="178">
        <v>345165</v>
      </c>
      <c r="B8925" s="179" t="s">
        <v>456</v>
      </c>
      <c r="C8925" s="180">
        <v>14500</v>
      </c>
    </row>
    <row r="8926" spans="1:3" x14ac:dyDescent="0.25">
      <c r="A8926" s="178">
        <v>345166</v>
      </c>
      <c r="B8926" s="179" t="s">
        <v>456</v>
      </c>
      <c r="C8926" s="180">
        <v>16500</v>
      </c>
    </row>
    <row r="8927" spans="1:3" x14ac:dyDescent="0.25">
      <c r="A8927" s="178">
        <v>345167</v>
      </c>
      <c r="B8927" s="179" t="s">
        <v>456</v>
      </c>
      <c r="C8927" s="180">
        <v>30800</v>
      </c>
    </row>
    <row r="8928" spans="1:3" x14ac:dyDescent="0.25">
      <c r="A8928" s="178">
        <v>345168</v>
      </c>
      <c r="B8928" s="179" t="s">
        <v>456</v>
      </c>
      <c r="C8928" s="180">
        <v>30800</v>
      </c>
    </row>
    <row r="8929" spans="1:3" x14ac:dyDescent="0.25">
      <c r="A8929" s="178">
        <v>345177</v>
      </c>
      <c r="B8929" s="179" t="s">
        <v>456</v>
      </c>
      <c r="C8929" s="180">
        <v>6912</v>
      </c>
    </row>
    <row r="8930" spans="1:3" x14ac:dyDescent="0.25">
      <c r="A8930" s="178">
        <v>345210</v>
      </c>
      <c r="B8930" s="179" t="s">
        <v>456</v>
      </c>
      <c r="C8930" s="180">
        <v>6600</v>
      </c>
    </row>
    <row r="8931" spans="1:3" x14ac:dyDescent="0.25">
      <c r="A8931" s="178">
        <v>345213</v>
      </c>
      <c r="B8931" s="179" t="s">
        <v>456</v>
      </c>
      <c r="C8931" s="180">
        <v>6600</v>
      </c>
    </row>
    <row r="8932" spans="1:3" x14ac:dyDescent="0.25">
      <c r="A8932" s="178">
        <v>345214</v>
      </c>
      <c r="B8932" s="179" t="s">
        <v>456</v>
      </c>
      <c r="C8932" s="180">
        <v>6600</v>
      </c>
    </row>
    <row r="8933" spans="1:3" x14ac:dyDescent="0.25">
      <c r="A8933" s="178">
        <v>345215</v>
      </c>
      <c r="B8933" s="179" t="s">
        <v>456</v>
      </c>
      <c r="C8933" s="180">
        <v>6600</v>
      </c>
    </row>
    <row r="8934" spans="1:3" x14ac:dyDescent="0.25">
      <c r="A8934" s="178">
        <v>345216</v>
      </c>
      <c r="B8934" s="179" t="s">
        <v>456</v>
      </c>
      <c r="C8934" s="180">
        <v>6600</v>
      </c>
    </row>
    <row r="8935" spans="1:3" x14ac:dyDescent="0.25">
      <c r="A8935" s="178">
        <v>345217</v>
      </c>
      <c r="B8935" s="179" t="s">
        <v>456</v>
      </c>
      <c r="C8935" s="180">
        <v>6600</v>
      </c>
    </row>
    <row r="8936" spans="1:3" x14ac:dyDescent="0.25">
      <c r="A8936" s="178">
        <v>345218</v>
      </c>
      <c r="B8936" s="179" t="s">
        <v>456</v>
      </c>
      <c r="C8936" s="180">
        <v>6600</v>
      </c>
    </row>
    <row r="8937" spans="1:3" x14ac:dyDescent="0.25">
      <c r="A8937" s="178">
        <v>345219</v>
      </c>
      <c r="B8937" s="179" t="s">
        <v>456</v>
      </c>
      <c r="C8937" s="180">
        <v>6600</v>
      </c>
    </row>
    <row r="8938" spans="1:3" x14ac:dyDescent="0.25">
      <c r="A8938" s="178">
        <v>345220</v>
      </c>
      <c r="B8938" s="179" t="s">
        <v>456</v>
      </c>
      <c r="C8938" s="180">
        <v>6800</v>
      </c>
    </row>
    <row r="8939" spans="1:3" x14ac:dyDescent="0.25">
      <c r="A8939" s="178">
        <v>345223</v>
      </c>
      <c r="B8939" s="179" t="s">
        <v>456</v>
      </c>
      <c r="C8939" s="180">
        <v>99999</v>
      </c>
    </row>
    <row r="8940" spans="1:3" x14ac:dyDescent="0.25">
      <c r="A8940" s="178">
        <v>345224</v>
      </c>
      <c r="B8940" s="179" t="s">
        <v>456</v>
      </c>
      <c r="C8940" s="180">
        <v>48000</v>
      </c>
    </row>
    <row r="8941" spans="1:3" x14ac:dyDescent="0.25">
      <c r="A8941" s="178">
        <v>345229</v>
      </c>
      <c r="B8941" s="179" t="s">
        <v>456</v>
      </c>
      <c r="C8941" s="180">
        <v>8800</v>
      </c>
    </row>
    <row r="8942" spans="1:3" x14ac:dyDescent="0.25">
      <c r="A8942" s="178">
        <v>345230</v>
      </c>
      <c r="B8942" s="179" t="s">
        <v>456</v>
      </c>
      <c r="C8942" s="180">
        <v>6600</v>
      </c>
    </row>
    <row r="8943" spans="1:3" x14ac:dyDescent="0.25">
      <c r="A8943" s="178">
        <v>345231</v>
      </c>
      <c r="B8943" s="179" t="s">
        <v>456</v>
      </c>
      <c r="C8943" s="180">
        <v>6600</v>
      </c>
    </row>
    <row r="8944" spans="1:3" x14ac:dyDescent="0.25">
      <c r="A8944" s="178">
        <v>345232</v>
      </c>
      <c r="B8944" s="179" t="s">
        <v>456</v>
      </c>
      <c r="C8944" s="180">
        <v>6600</v>
      </c>
    </row>
    <row r="8945" spans="1:3" x14ac:dyDescent="0.25">
      <c r="A8945" s="178">
        <v>345233</v>
      </c>
      <c r="B8945" s="179" t="s">
        <v>456</v>
      </c>
      <c r="C8945" s="180">
        <v>99999</v>
      </c>
    </row>
    <row r="8946" spans="1:3" x14ac:dyDescent="0.25">
      <c r="A8946" s="178">
        <v>345234</v>
      </c>
      <c r="B8946" s="179" t="s">
        <v>456</v>
      </c>
      <c r="C8946" s="180">
        <v>99999</v>
      </c>
    </row>
    <row r="8947" spans="1:3" x14ac:dyDescent="0.25">
      <c r="A8947" s="178">
        <v>345235</v>
      </c>
      <c r="B8947" s="179" t="s">
        <v>456</v>
      </c>
      <c r="C8947" s="180">
        <v>99999</v>
      </c>
    </row>
    <row r="8948" spans="1:3" x14ac:dyDescent="0.25">
      <c r="A8948" s="178">
        <v>345236</v>
      </c>
      <c r="B8948" s="179" t="s">
        <v>456</v>
      </c>
      <c r="C8948" s="180">
        <v>99999</v>
      </c>
    </row>
    <row r="8949" spans="1:3" x14ac:dyDescent="0.25">
      <c r="A8949" s="178">
        <v>345237</v>
      </c>
      <c r="B8949" s="179" t="s">
        <v>456</v>
      </c>
      <c r="C8949" s="180">
        <v>99999</v>
      </c>
    </row>
    <row r="8950" spans="1:3" x14ac:dyDescent="0.25">
      <c r="A8950" s="178">
        <v>345238</v>
      </c>
      <c r="B8950" s="179" t="s">
        <v>456</v>
      </c>
      <c r="C8950" s="180">
        <v>99999</v>
      </c>
    </row>
    <row r="8951" spans="1:3" x14ac:dyDescent="0.25">
      <c r="A8951" s="178">
        <v>345239</v>
      </c>
      <c r="B8951" s="179" t="s">
        <v>456</v>
      </c>
      <c r="C8951" s="180">
        <v>99999</v>
      </c>
    </row>
    <row r="8952" spans="1:3" x14ac:dyDescent="0.25">
      <c r="A8952" s="178">
        <v>345240</v>
      </c>
      <c r="B8952" s="179" t="s">
        <v>456</v>
      </c>
      <c r="C8952" s="180">
        <v>99999</v>
      </c>
    </row>
    <row r="8953" spans="1:3" x14ac:dyDescent="0.25">
      <c r="A8953" s="178">
        <v>345242</v>
      </c>
      <c r="B8953" s="179" t="s">
        <v>456</v>
      </c>
      <c r="C8953" s="180">
        <v>99999</v>
      </c>
    </row>
    <row r="8954" spans="1:3" x14ac:dyDescent="0.25">
      <c r="A8954" s="178">
        <v>345243</v>
      </c>
      <c r="B8954" s="179" t="s">
        <v>456</v>
      </c>
      <c r="C8954" s="180">
        <v>99999</v>
      </c>
    </row>
    <row r="8955" spans="1:3" x14ac:dyDescent="0.25">
      <c r="A8955" s="178">
        <v>345244</v>
      </c>
      <c r="B8955" s="179" t="s">
        <v>456</v>
      </c>
      <c r="C8955" s="180">
        <v>99999</v>
      </c>
    </row>
    <row r="8956" spans="1:3" x14ac:dyDescent="0.25">
      <c r="A8956" s="178">
        <v>345245</v>
      </c>
      <c r="B8956" s="179" t="s">
        <v>456</v>
      </c>
      <c r="C8956" s="180">
        <v>99999</v>
      </c>
    </row>
    <row r="8957" spans="1:3" x14ac:dyDescent="0.25">
      <c r="A8957" s="178">
        <v>345246</v>
      </c>
      <c r="B8957" s="179" t="s">
        <v>456</v>
      </c>
      <c r="C8957" s="180">
        <v>99999</v>
      </c>
    </row>
    <row r="8958" spans="1:3" x14ac:dyDescent="0.25">
      <c r="A8958" s="178">
        <v>345247</v>
      </c>
      <c r="B8958" s="179" t="s">
        <v>456</v>
      </c>
      <c r="C8958" s="180">
        <v>99999</v>
      </c>
    </row>
    <row r="8959" spans="1:3" x14ac:dyDescent="0.25">
      <c r="A8959" s="178">
        <v>345248</v>
      </c>
      <c r="B8959" s="179" t="s">
        <v>456</v>
      </c>
      <c r="C8959" s="180">
        <v>99999</v>
      </c>
    </row>
    <row r="8960" spans="1:3" x14ac:dyDescent="0.25">
      <c r="A8960" s="178">
        <v>345249</v>
      </c>
      <c r="B8960" s="179" t="s">
        <v>456</v>
      </c>
      <c r="C8960" s="180">
        <v>99999</v>
      </c>
    </row>
    <row r="8961" spans="1:3" x14ac:dyDescent="0.25">
      <c r="A8961" s="178">
        <v>345250</v>
      </c>
      <c r="B8961" s="179" t="s">
        <v>456</v>
      </c>
      <c r="C8961" s="180">
        <v>99999</v>
      </c>
    </row>
    <row r="8962" spans="1:3" x14ac:dyDescent="0.25">
      <c r="A8962" s="178">
        <v>345251</v>
      </c>
      <c r="B8962" s="179" t="s">
        <v>456</v>
      </c>
      <c r="C8962" s="180">
        <v>99999</v>
      </c>
    </row>
    <row r="8963" spans="1:3" x14ac:dyDescent="0.25">
      <c r="A8963" s="178">
        <v>345252</v>
      </c>
      <c r="B8963" s="179" t="s">
        <v>456</v>
      </c>
      <c r="C8963" s="180">
        <v>99999</v>
      </c>
    </row>
    <row r="8964" spans="1:3" x14ac:dyDescent="0.25">
      <c r="A8964" s="178">
        <v>345253</v>
      </c>
      <c r="B8964" s="179" t="s">
        <v>456</v>
      </c>
      <c r="C8964" s="180">
        <v>99999</v>
      </c>
    </row>
    <row r="8965" spans="1:3" x14ac:dyDescent="0.25">
      <c r="A8965" s="178">
        <v>345254</v>
      </c>
      <c r="B8965" s="179" t="s">
        <v>456</v>
      </c>
      <c r="C8965" s="180">
        <v>99999</v>
      </c>
    </row>
    <row r="8966" spans="1:3" x14ac:dyDescent="0.25">
      <c r="A8966" s="178">
        <v>345255</v>
      </c>
      <c r="B8966" s="179" t="s">
        <v>456</v>
      </c>
      <c r="C8966" s="180">
        <v>99999</v>
      </c>
    </row>
    <row r="8967" spans="1:3" x14ac:dyDescent="0.25">
      <c r="A8967" s="178">
        <v>345272</v>
      </c>
      <c r="B8967" s="179" t="s">
        <v>456</v>
      </c>
      <c r="C8967" s="180">
        <v>6600</v>
      </c>
    </row>
    <row r="8968" spans="1:3" x14ac:dyDescent="0.25">
      <c r="A8968" s="178">
        <v>345274</v>
      </c>
      <c r="B8968" s="179" t="s">
        <v>456</v>
      </c>
      <c r="C8968" s="180">
        <v>6600</v>
      </c>
    </row>
    <row r="8969" spans="1:3" x14ac:dyDescent="0.25">
      <c r="A8969" s="178">
        <v>345281</v>
      </c>
      <c r="B8969" s="179" t="s">
        <v>456</v>
      </c>
      <c r="C8969" s="180">
        <v>1755</v>
      </c>
    </row>
    <row r="8970" spans="1:3" x14ac:dyDescent="0.25">
      <c r="A8970" s="178">
        <v>345286</v>
      </c>
      <c r="B8970" s="179" t="s">
        <v>456</v>
      </c>
      <c r="C8970" s="180">
        <v>6600</v>
      </c>
    </row>
    <row r="8971" spans="1:3" x14ac:dyDescent="0.25">
      <c r="A8971" s="178">
        <v>345289</v>
      </c>
      <c r="B8971" s="179" t="s">
        <v>456</v>
      </c>
      <c r="C8971" s="180">
        <v>32004</v>
      </c>
    </row>
    <row r="8972" spans="1:3" x14ac:dyDescent="0.25">
      <c r="A8972" s="178">
        <v>345295</v>
      </c>
      <c r="B8972" s="179" t="s">
        <v>456</v>
      </c>
      <c r="C8972" s="180">
        <v>5750</v>
      </c>
    </row>
    <row r="8973" spans="1:3" x14ac:dyDescent="0.25">
      <c r="A8973" s="178">
        <v>345296</v>
      </c>
      <c r="B8973" s="179" t="s">
        <v>456</v>
      </c>
      <c r="C8973" s="180">
        <v>6210</v>
      </c>
    </row>
    <row r="8974" spans="1:3" x14ac:dyDescent="0.25">
      <c r="A8974" s="178">
        <v>345298</v>
      </c>
      <c r="B8974" s="179" t="s">
        <v>456</v>
      </c>
      <c r="C8974" s="180">
        <v>6670</v>
      </c>
    </row>
    <row r="8975" spans="1:3" x14ac:dyDescent="0.25">
      <c r="A8975" s="178">
        <v>345299</v>
      </c>
      <c r="B8975" s="179" t="s">
        <v>456</v>
      </c>
      <c r="C8975" s="180">
        <v>6800</v>
      </c>
    </row>
    <row r="8976" spans="1:3" x14ac:dyDescent="0.25">
      <c r="A8976" s="178">
        <v>345302</v>
      </c>
      <c r="B8976" s="179" t="s">
        <v>456</v>
      </c>
      <c r="C8976" s="180">
        <v>1170</v>
      </c>
    </row>
    <row r="8977" spans="1:3" x14ac:dyDescent="0.25">
      <c r="A8977" s="178">
        <v>345310</v>
      </c>
      <c r="B8977" s="179" t="s">
        <v>456</v>
      </c>
      <c r="C8977" s="180">
        <v>28500</v>
      </c>
    </row>
    <row r="8978" spans="1:3" x14ac:dyDescent="0.25">
      <c r="A8978" s="178">
        <v>345311</v>
      </c>
      <c r="B8978" s="179" t="s">
        <v>456</v>
      </c>
      <c r="C8978" s="180">
        <v>2100</v>
      </c>
    </row>
    <row r="8979" spans="1:3" x14ac:dyDescent="0.25">
      <c r="A8979" s="178">
        <v>345312</v>
      </c>
      <c r="B8979" s="179" t="s">
        <v>456</v>
      </c>
      <c r="C8979" s="180">
        <v>14112</v>
      </c>
    </row>
    <row r="8980" spans="1:3" x14ac:dyDescent="0.25">
      <c r="A8980" s="178">
        <v>345313</v>
      </c>
      <c r="B8980" s="179" t="s">
        <v>456</v>
      </c>
      <c r="C8980" s="180">
        <v>23868</v>
      </c>
    </row>
    <row r="8981" spans="1:3" x14ac:dyDescent="0.25">
      <c r="A8981" s="178">
        <v>345314</v>
      </c>
      <c r="B8981" s="179" t="s">
        <v>456</v>
      </c>
      <c r="C8981" s="180">
        <v>99999</v>
      </c>
    </row>
    <row r="8982" spans="1:3" x14ac:dyDescent="0.25">
      <c r="A8982" s="178">
        <v>345315</v>
      </c>
      <c r="B8982" s="179" t="s">
        <v>456</v>
      </c>
      <c r="C8982" s="180">
        <v>99999</v>
      </c>
    </row>
    <row r="8983" spans="1:3" x14ac:dyDescent="0.25">
      <c r="A8983" s="178">
        <v>345316</v>
      </c>
      <c r="B8983" s="179" t="s">
        <v>456</v>
      </c>
      <c r="C8983" s="180">
        <v>99999</v>
      </c>
    </row>
    <row r="8984" spans="1:3" x14ac:dyDescent="0.25">
      <c r="A8984" s="178">
        <v>345318</v>
      </c>
      <c r="B8984" s="179" t="s">
        <v>456</v>
      </c>
      <c r="C8984" s="180">
        <v>99999</v>
      </c>
    </row>
    <row r="8985" spans="1:3" x14ac:dyDescent="0.25">
      <c r="A8985" s="178">
        <v>345319</v>
      </c>
      <c r="B8985" s="179" t="s">
        <v>456</v>
      </c>
      <c r="C8985" s="180">
        <v>99999</v>
      </c>
    </row>
    <row r="8986" spans="1:3" x14ac:dyDescent="0.25">
      <c r="A8986" s="178">
        <v>345320</v>
      </c>
      <c r="B8986" s="179" t="s">
        <v>456</v>
      </c>
      <c r="C8986" s="180">
        <v>99999</v>
      </c>
    </row>
    <row r="8987" spans="1:3" x14ac:dyDescent="0.25">
      <c r="A8987" s="178">
        <v>345321</v>
      </c>
      <c r="B8987" s="179" t="s">
        <v>456</v>
      </c>
      <c r="C8987" s="180">
        <v>99999</v>
      </c>
    </row>
    <row r="8988" spans="1:3" x14ac:dyDescent="0.25">
      <c r="A8988" s="178">
        <v>345322</v>
      </c>
      <c r="B8988" s="179" t="s">
        <v>456</v>
      </c>
      <c r="C8988" s="180">
        <v>99999</v>
      </c>
    </row>
    <row r="8989" spans="1:3" x14ac:dyDescent="0.25">
      <c r="A8989" s="178">
        <v>345323</v>
      </c>
      <c r="B8989" s="179" t="s">
        <v>456</v>
      </c>
      <c r="C8989" s="180">
        <v>99999</v>
      </c>
    </row>
    <row r="8990" spans="1:3" x14ac:dyDescent="0.25">
      <c r="A8990" s="178">
        <v>345324</v>
      </c>
      <c r="B8990" s="179" t="s">
        <v>456</v>
      </c>
      <c r="C8990" s="180">
        <v>99999</v>
      </c>
    </row>
    <row r="8991" spans="1:3" x14ac:dyDescent="0.25">
      <c r="A8991" s="178">
        <v>345325</v>
      </c>
      <c r="B8991" s="179" t="s">
        <v>456</v>
      </c>
      <c r="C8991" s="180">
        <v>99999</v>
      </c>
    </row>
    <row r="8992" spans="1:3" x14ac:dyDescent="0.25">
      <c r="A8992" s="178">
        <v>345326</v>
      </c>
      <c r="B8992" s="179" t="s">
        <v>456</v>
      </c>
      <c r="C8992" s="180">
        <v>99999</v>
      </c>
    </row>
    <row r="8993" spans="1:3" x14ac:dyDescent="0.25">
      <c r="A8993" s="178">
        <v>345327</v>
      </c>
      <c r="B8993" s="179" t="s">
        <v>456</v>
      </c>
      <c r="C8993" s="180">
        <v>99999</v>
      </c>
    </row>
    <row r="8994" spans="1:3" x14ac:dyDescent="0.25">
      <c r="A8994" s="178">
        <v>345329</v>
      </c>
      <c r="B8994" s="179" t="s">
        <v>456</v>
      </c>
      <c r="C8994" s="180">
        <v>756</v>
      </c>
    </row>
    <row r="8995" spans="1:3" x14ac:dyDescent="0.25">
      <c r="A8995" s="178">
        <v>345330</v>
      </c>
      <c r="B8995" s="179" t="s">
        <v>456</v>
      </c>
      <c r="C8995" s="180">
        <v>6600</v>
      </c>
    </row>
    <row r="8996" spans="1:3" x14ac:dyDescent="0.25">
      <c r="A8996" s="178">
        <v>345331</v>
      </c>
      <c r="B8996" s="179" t="s">
        <v>456</v>
      </c>
      <c r="C8996" s="180">
        <v>6600</v>
      </c>
    </row>
    <row r="8997" spans="1:3" x14ac:dyDescent="0.25">
      <c r="A8997" s="178">
        <v>345332</v>
      </c>
      <c r="B8997" s="179" t="s">
        <v>456</v>
      </c>
      <c r="C8997" s="180">
        <v>6600</v>
      </c>
    </row>
    <row r="8998" spans="1:3" x14ac:dyDescent="0.25">
      <c r="A8998" s="178">
        <v>345333</v>
      </c>
      <c r="B8998" s="179" t="s">
        <v>456</v>
      </c>
      <c r="C8998" s="180">
        <v>6600</v>
      </c>
    </row>
    <row r="8999" spans="1:3" x14ac:dyDescent="0.25">
      <c r="A8999" s="178">
        <v>345334</v>
      </c>
      <c r="B8999" s="179" t="s">
        <v>456</v>
      </c>
      <c r="C8999" s="180">
        <v>6600</v>
      </c>
    </row>
    <row r="9000" spans="1:3" x14ac:dyDescent="0.25">
      <c r="A9000" s="178">
        <v>345335</v>
      </c>
      <c r="B9000" s="179" t="s">
        <v>456</v>
      </c>
      <c r="C9000" s="180">
        <v>6600</v>
      </c>
    </row>
    <row r="9001" spans="1:3" x14ac:dyDescent="0.25">
      <c r="A9001" s="178">
        <v>345336</v>
      </c>
      <c r="B9001" s="179" t="s">
        <v>456</v>
      </c>
      <c r="C9001" s="180">
        <v>1040</v>
      </c>
    </row>
    <row r="9002" spans="1:3" x14ac:dyDescent="0.25">
      <c r="A9002" s="178">
        <v>345338</v>
      </c>
      <c r="B9002" s="179" t="s">
        <v>456</v>
      </c>
      <c r="C9002" s="180">
        <v>1040</v>
      </c>
    </row>
    <row r="9003" spans="1:3" x14ac:dyDescent="0.25">
      <c r="A9003" s="178">
        <v>345339</v>
      </c>
      <c r="B9003" s="179" t="s">
        <v>456</v>
      </c>
      <c r="C9003" s="180">
        <v>1040</v>
      </c>
    </row>
    <row r="9004" spans="1:3" x14ac:dyDescent="0.25">
      <c r="A9004" s="178">
        <v>345354</v>
      </c>
      <c r="B9004" s="179" t="s">
        <v>456</v>
      </c>
      <c r="C9004" s="180">
        <v>32004</v>
      </c>
    </row>
    <row r="9005" spans="1:3" x14ac:dyDescent="0.25">
      <c r="A9005" s="178">
        <v>345361</v>
      </c>
      <c r="B9005" s="179" t="s">
        <v>456</v>
      </c>
      <c r="C9005" s="180">
        <v>6600</v>
      </c>
    </row>
    <row r="9006" spans="1:3" x14ac:dyDescent="0.25">
      <c r="A9006" s="178">
        <v>345362</v>
      </c>
      <c r="B9006" s="179" t="s">
        <v>456</v>
      </c>
      <c r="C9006" s="180">
        <v>6600</v>
      </c>
    </row>
    <row r="9007" spans="1:3" x14ac:dyDescent="0.25">
      <c r="A9007" s="178">
        <v>345364</v>
      </c>
      <c r="B9007" s="179" t="s">
        <v>456</v>
      </c>
      <c r="C9007" s="180">
        <v>3300</v>
      </c>
    </row>
    <row r="9008" spans="1:3" x14ac:dyDescent="0.25">
      <c r="A9008" s="178">
        <v>345381</v>
      </c>
      <c r="B9008" s="179" t="s">
        <v>456</v>
      </c>
      <c r="C9008" s="180">
        <v>9408</v>
      </c>
    </row>
    <row r="9009" spans="1:3" x14ac:dyDescent="0.25">
      <c r="A9009" s="178">
        <v>345382</v>
      </c>
      <c r="B9009" s="179" t="s">
        <v>456</v>
      </c>
      <c r="C9009" s="180">
        <v>23868</v>
      </c>
    </row>
    <row r="9010" spans="1:3" x14ac:dyDescent="0.25">
      <c r="A9010" s="178">
        <v>345383</v>
      </c>
      <c r="B9010" s="179" t="s">
        <v>456</v>
      </c>
      <c r="C9010" s="180">
        <v>13248</v>
      </c>
    </row>
    <row r="9011" spans="1:3" x14ac:dyDescent="0.25">
      <c r="A9011" s="178">
        <v>345384</v>
      </c>
      <c r="B9011" s="179" t="s">
        <v>456</v>
      </c>
      <c r="C9011" s="180">
        <v>23868</v>
      </c>
    </row>
    <row r="9012" spans="1:3" x14ac:dyDescent="0.25">
      <c r="A9012" s="178">
        <v>345385</v>
      </c>
      <c r="B9012" s="179" t="s">
        <v>456</v>
      </c>
      <c r="C9012" s="180">
        <v>13248</v>
      </c>
    </row>
    <row r="9013" spans="1:3" x14ac:dyDescent="0.25">
      <c r="A9013" s="178">
        <v>345386</v>
      </c>
      <c r="B9013" s="179" t="s">
        <v>456</v>
      </c>
      <c r="C9013" s="180">
        <v>23868</v>
      </c>
    </row>
    <row r="9014" spans="1:3" x14ac:dyDescent="0.25">
      <c r="A9014" s="178">
        <v>345396</v>
      </c>
      <c r="B9014" s="179" t="s">
        <v>456</v>
      </c>
      <c r="C9014" s="180">
        <v>48000</v>
      </c>
    </row>
    <row r="9015" spans="1:3" x14ac:dyDescent="0.25">
      <c r="A9015" s="178">
        <v>345397</v>
      </c>
      <c r="B9015" s="179" t="s">
        <v>456</v>
      </c>
      <c r="C9015" s="180">
        <v>58680</v>
      </c>
    </row>
    <row r="9016" spans="1:3" x14ac:dyDescent="0.25">
      <c r="A9016" s="178">
        <v>345404</v>
      </c>
      <c r="B9016" s="179" t="s">
        <v>456</v>
      </c>
      <c r="C9016" s="180">
        <v>88000</v>
      </c>
    </row>
    <row r="9017" spans="1:3" x14ac:dyDescent="0.25">
      <c r="A9017" s="178">
        <v>345406</v>
      </c>
      <c r="B9017" s="179" t="s">
        <v>456</v>
      </c>
      <c r="C9017" s="180">
        <v>88000</v>
      </c>
    </row>
    <row r="9018" spans="1:3" x14ac:dyDescent="0.25">
      <c r="A9018" s="178">
        <v>345408</v>
      </c>
      <c r="B9018" s="179" t="s">
        <v>456</v>
      </c>
      <c r="C9018" s="180">
        <v>88000</v>
      </c>
    </row>
    <row r="9019" spans="1:3" x14ac:dyDescent="0.25">
      <c r="A9019" s="178">
        <v>345411</v>
      </c>
      <c r="B9019" s="179" t="s">
        <v>456</v>
      </c>
      <c r="C9019" s="180">
        <v>88000</v>
      </c>
    </row>
    <row r="9020" spans="1:3" x14ac:dyDescent="0.25">
      <c r="A9020" s="178">
        <v>345418</v>
      </c>
      <c r="B9020" s="179" t="s">
        <v>456</v>
      </c>
      <c r="C9020" s="180">
        <v>88000</v>
      </c>
    </row>
    <row r="9021" spans="1:3" x14ac:dyDescent="0.25">
      <c r="A9021" s="178">
        <v>345422</v>
      </c>
      <c r="B9021" s="179" t="s">
        <v>456</v>
      </c>
      <c r="C9021" s="180">
        <v>88000</v>
      </c>
    </row>
    <row r="9022" spans="1:3" x14ac:dyDescent="0.25">
      <c r="A9022" s="178">
        <v>345424</v>
      </c>
      <c r="B9022" s="179" t="s">
        <v>456</v>
      </c>
      <c r="C9022" s="180">
        <v>88000</v>
      </c>
    </row>
    <row r="9023" spans="1:3" x14ac:dyDescent="0.25">
      <c r="A9023" s="178">
        <v>345425</v>
      </c>
      <c r="B9023" s="179" t="s">
        <v>456</v>
      </c>
      <c r="C9023" s="180">
        <v>88000</v>
      </c>
    </row>
    <row r="9024" spans="1:3" x14ac:dyDescent="0.25">
      <c r="A9024" s="178">
        <v>345426</v>
      </c>
      <c r="B9024" s="179" t="s">
        <v>456</v>
      </c>
      <c r="C9024" s="180">
        <v>88000</v>
      </c>
    </row>
    <row r="9025" spans="1:3" x14ac:dyDescent="0.25">
      <c r="A9025" s="178">
        <v>345431</v>
      </c>
      <c r="B9025" s="179" t="s">
        <v>456</v>
      </c>
      <c r="C9025" s="180">
        <v>99999</v>
      </c>
    </row>
    <row r="9026" spans="1:3" x14ac:dyDescent="0.25">
      <c r="A9026" s="178">
        <v>345432</v>
      </c>
      <c r="B9026" s="179" t="s">
        <v>456</v>
      </c>
      <c r="C9026" s="180">
        <v>99999</v>
      </c>
    </row>
    <row r="9027" spans="1:3" x14ac:dyDescent="0.25">
      <c r="A9027" s="178">
        <v>345433</v>
      </c>
      <c r="B9027" s="179" t="s">
        <v>456</v>
      </c>
      <c r="C9027" s="180">
        <v>99999</v>
      </c>
    </row>
    <row r="9028" spans="1:3" x14ac:dyDescent="0.25">
      <c r="A9028" s="178">
        <v>345434</v>
      </c>
      <c r="B9028" s="179" t="s">
        <v>456</v>
      </c>
      <c r="C9028" s="180">
        <v>99999</v>
      </c>
    </row>
    <row r="9029" spans="1:3" x14ac:dyDescent="0.25">
      <c r="A9029" s="178">
        <v>345437</v>
      </c>
      <c r="B9029" s="179" t="s">
        <v>456</v>
      </c>
      <c r="C9029" s="180">
        <v>99999</v>
      </c>
    </row>
    <row r="9030" spans="1:3" x14ac:dyDescent="0.25">
      <c r="A9030" s="178">
        <v>345438</v>
      </c>
      <c r="B9030" s="179" t="s">
        <v>456</v>
      </c>
      <c r="C9030" s="180">
        <v>99999</v>
      </c>
    </row>
    <row r="9031" spans="1:3" x14ac:dyDescent="0.25">
      <c r="A9031" s="178">
        <v>345439</v>
      </c>
      <c r="B9031" s="179" t="s">
        <v>456</v>
      </c>
      <c r="C9031" s="180">
        <v>99999</v>
      </c>
    </row>
    <row r="9032" spans="1:3" x14ac:dyDescent="0.25">
      <c r="A9032" s="178">
        <v>345440</v>
      </c>
      <c r="B9032" s="179" t="s">
        <v>456</v>
      </c>
      <c r="C9032" s="180">
        <v>99999</v>
      </c>
    </row>
    <row r="9033" spans="1:3" x14ac:dyDescent="0.25">
      <c r="A9033" s="178">
        <v>345441</v>
      </c>
      <c r="B9033" s="179" t="s">
        <v>456</v>
      </c>
      <c r="C9033" s="180">
        <v>99999</v>
      </c>
    </row>
    <row r="9034" spans="1:3" x14ac:dyDescent="0.25">
      <c r="A9034" s="178">
        <v>345442</v>
      </c>
      <c r="B9034" s="179" t="s">
        <v>456</v>
      </c>
      <c r="C9034" s="180">
        <v>99999</v>
      </c>
    </row>
    <row r="9035" spans="1:3" x14ac:dyDescent="0.25">
      <c r="A9035" s="178">
        <v>345443</v>
      </c>
      <c r="B9035" s="179" t="s">
        <v>456</v>
      </c>
      <c r="C9035" s="180">
        <v>99999</v>
      </c>
    </row>
    <row r="9036" spans="1:3" x14ac:dyDescent="0.25">
      <c r="A9036" s="178">
        <v>345444</v>
      </c>
      <c r="B9036" s="179" t="s">
        <v>456</v>
      </c>
      <c r="C9036" s="180">
        <v>99999</v>
      </c>
    </row>
    <row r="9037" spans="1:3" x14ac:dyDescent="0.25">
      <c r="A9037" s="178">
        <v>345447</v>
      </c>
      <c r="B9037" s="179" t="s">
        <v>456</v>
      </c>
      <c r="C9037" s="180">
        <v>99999</v>
      </c>
    </row>
    <row r="9038" spans="1:3" x14ac:dyDescent="0.25">
      <c r="A9038" s="178">
        <v>345448</v>
      </c>
      <c r="B9038" s="179" t="s">
        <v>456</v>
      </c>
      <c r="C9038" s="180">
        <v>99999</v>
      </c>
    </row>
    <row r="9039" spans="1:3" x14ac:dyDescent="0.25">
      <c r="A9039" s="178">
        <v>345449</v>
      </c>
      <c r="B9039" s="179" t="s">
        <v>456</v>
      </c>
      <c r="C9039" s="180">
        <v>99999</v>
      </c>
    </row>
    <row r="9040" spans="1:3" x14ac:dyDescent="0.25">
      <c r="A9040" s="178">
        <v>345450</v>
      </c>
      <c r="B9040" s="179" t="s">
        <v>456</v>
      </c>
      <c r="C9040" s="180">
        <v>99999</v>
      </c>
    </row>
    <row r="9041" spans="1:3" x14ac:dyDescent="0.25">
      <c r="A9041" s="178">
        <v>345454</v>
      </c>
      <c r="B9041" s="179" t="s">
        <v>456</v>
      </c>
      <c r="C9041" s="180">
        <v>88000</v>
      </c>
    </row>
    <row r="9042" spans="1:3" x14ac:dyDescent="0.25">
      <c r="A9042" s="178">
        <v>345455</v>
      </c>
      <c r="B9042" s="179" t="s">
        <v>456</v>
      </c>
      <c r="C9042" s="180">
        <v>88000</v>
      </c>
    </row>
    <row r="9043" spans="1:3" x14ac:dyDescent="0.25">
      <c r="A9043" s="178">
        <v>345459</v>
      </c>
      <c r="B9043" s="179" t="s">
        <v>456</v>
      </c>
      <c r="C9043" s="180">
        <v>88000</v>
      </c>
    </row>
    <row r="9044" spans="1:3" x14ac:dyDescent="0.25">
      <c r="A9044" s="178">
        <v>345462</v>
      </c>
      <c r="B9044" s="179" t="s">
        <v>456</v>
      </c>
      <c r="C9044" s="180">
        <v>88000</v>
      </c>
    </row>
    <row r="9045" spans="1:3" x14ac:dyDescent="0.25">
      <c r="A9045" s="178">
        <v>345463</v>
      </c>
      <c r="B9045" s="179" t="s">
        <v>456</v>
      </c>
      <c r="C9045" s="180">
        <v>88000</v>
      </c>
    </row>
    <row r="9046" spans="1:3" x14ac:dyDescent="0.25">
      <c r="A9046" s="178">
        <v>345465</v>
      </c>
      <c r="B9046" s="179" t="s">
        <v>456</v>
      </c>
      <c r="C9046" s="180">
        <v>88000</v>
      </c>
    </row>
    <row r="9047" spans="1:3" x14ac:dyDescent="0.25">
      <c r="A9047" s="178">
        <v>345469</v>
      </c>
      <c r="B9047" s="179" t="s">
        <v>456</v>
      </c>
      <c r="C9047" s="180">
        <v>61362</v>
      </c>
    </row>
    <row r="9048" spans="1:3" x14ac:dyDescent="0.25">
      <c r="A9048" s="178">
        <v>345470</v>
      </c>
      <c r="B9048" s="179" t="s">
        <v>456</v>
      </c>
      <c r="C9048" s="180">
        <v>65844</v>
      </c>
    </row>
    <row r="9049" spans="1:3" x14ac:dyDescent="0.25">
      <c r="A9049" s="178">
        <v>345487</v>
      </c>
      <c r="B9049" s="179" t="s">
        <v>456</v>
      </c>
      <c r="C9049" s="180">
        <v>99999</v>
      </c>
    </row>
    <row r="9050" spans="1:3" x14ac:dyDescent="0.25">
      <c r="A9050" s="178">
        <v>345488</v>
      </c>
      <c r="B9050" s="179" t="s">
        <v>456</v>
      </c>
      <c r="C9050" s="180">
        <v>99999</v>
      </c>
    </row>
    <row r="9051" spans="1:3" x14ac:dyDescent="0.25">
      <c r="A9051" s="178">
        <v>345503</v>
      </c>
      <c r="B9051" s="179" t="s">
        <v>456</v>
      </c>
      <c r="C9051" s="180">
        <v>99999</v>
      </c>
    </row>
    <row r="9052" spans="1:3" x14ac:dyDescent="0.25">
      <c r="A9052" s="178">
        <v>345504</v>
      </c>
      <c r="B9052" s="179" t="s">
        <v>456</v>
      </c>
      <c r="C9052" s="180">
        <v>99999</v>
      </c>
    </row>
    <row r="9053" spans="1:3" x14ac:dyDescent="0.25">
      <c r="A9053" s="178">
        <v>345505</v>
      </c>
      <c r="B9053" s="179" t="s">
        <v>456</v>
      </c>
      <c r="C9053" s="180">
        <v>99999</v>
      </c>
    </row>
    <row r="9054" spans="1:3" x14ac:dyDescent="0.25">
      <c r="A9054" s="178">
        <v>345506</v>
      </c>
      <c r="B9054" s="179" t="s">
        <v>456</v>
      </c>
      <c r="C9054" s="180">
        <v>99999</v>
      </c>
    </row>
    <row r="9055" spans="1:3" x14ac:dyDescent="0.25">
      <c r="A9055" s="178">
        <v>345507</v>
      </c>
      <c r="B9055" s="179" t="s">
        <v>456</v>
      </c>
      <c r="C9055" s="180">
        <v>99999</v>
      </c>
    </row>
    <row r="9056" spans="1:3" x14ac:dyDescent="0.25">
      <c r="A9056" s="178">
        <v>345508</v>
      </c>
      <c r="B9056" s="179" t="s">
        <v>456</v>
      </c>
      <c r="C9056" s="180">
        <v>99999</v>
      </c>
    </row>
    <row r="9057" spans="1:3" x14ac:dyDescent="0.25">
      <c r="A9057" s="178">
        <v>345509</v>
      </c>
      <c r="B9057" s="179" t="s">
        <v>456</v>
      </c>
      <c r="C9057" s="180">
        <v>99999</v>
      </c>
    </row>
    <row r="9058" spans="1:3" x14ac:dyDescent="0.25">
      <c r="A9058" s="178">
        <v>345510</v>
      </c>
      <c r="B9058" s="179" t="s">
        <v>456</v>
      </c>
      <c r="C9058" s="180">
        <v>99999</v>
      </c>
    </row>
    <row r="9059" spans="1:3" x14ac:dyDescent="0.25">
      <c r="A9059" s="178">
        <v>345511</v>
      </c>
      <c r="B9059" s="179" t="s">
        <v>456</v>
      </c>
      <c r="C9059" s="180">
        <v>99999</v>
      </c>
    </row>
    <row r="9060" spans="1:3" x14ac:dyDescent="0.25">
      <c r="A9060" s="178">
        <v>345512</v>
      </c>
      <c r="B9060" s="179" t="s">
        <v>456</v>
      </c>
      <c r="C9060" s="180">
        <v>99999</v>
      </c>
    </row>
    <row r="9061" spans="1:3" x14ac:dyDescent="0.25">
      <c r="A9061" s="178">
        <v>345513</v>
      </c>
      <c r="B9061" s="179" t="s">
        <v>456</v>
      </c>
      <c r="C9061" s="180">
        <v>99999</v>
      </c>
    </row>
    <row r="9062" spans="1:3" x14ac:dyDescent="0.25">
      <c r="A9062" s="178">
        <v>345514</v>
      </c>
      <c r="B9062" s="179" t="s">
        <v>456</v>
      </c>
      <c r="C9062" s="180">
        <v>99999</v>
      </c>
    </row>
    <row r="9063" spans="1:3" x14ac:dyDescent="0.25">
      <c r="A9063" s="178">
        <v>345515</v>
      </c>
      <c r="B9063" s="179" t="s">
        <v>456</v>
      </c>
      <c r="C9063" s="180">
        <v>99999</v>
      </c>
    </row>
    <row r="9064" spans="1:3" x14ac:dyDescent="0.25">
      <c r="A9064" s="178">
        <v>345516</v>
      </c>
      <c r="B9064" s="179" t="s">
        <v>456</v>
      </c>
      <c r="C9064" s="180">
        <v>99999</v>
      </c>
    </row>
    <row r="9065" spans="1:3" x14ac:dyDescent="0.25">
      <c r="A9065" s="178">
        <v>379998</v>
      </c>
      <c r="B9065" s="179" t="s">
        <v>456</v>
      </c>
      <c r="C9065" s="180">
        <v>150</v>
      </c>
    </row>
    <row r="9066" spans="1:3" x14ac:dyDescent="0.25">
      <c r="A9066" s="178">
        <v>393884</v>
      </c>
      <c r="B9066" s="179" t="s">
        <v>456</v>
      </c>
      <c r="C9066" s="180">
        <v>3762</v>
      </c>
    </row>
    <row r="9067" spans="1:3" x14ac:dyDescent="0.25">
      <c r="A9067" s="178">
        <v>393885</v>
      </c>
      <c r="B9067" s="179" t="s">
        <v>456</v>
      </c>
      <c r="C9067" s="180">
        <v>14256</v>
      </c>
    </row>
    <row r="9068" spans="1:3" x14ac:dyDescent="0.25">
      <c r="A9068" s="178">
        <v>399510</v>
      </c>
      <c r="B9068" s="179" t="s">
        <v>456</v>
      </c>
      <c r="C9068" s="180">
        <v>534</v>
      </c>
    </row>
    <row r="9069" spans="1:3" x14ac:dyDescent="0.25">
      <c r="A9069" s="178">
        <v>399513</v>
      </c>
      <c r="B9069" s="179" t="s">
        <v>456</v>
      </c>
      <c r="C9069" s="180">
        <v>20</v>
      </c>
    </row>
    <row r="9070" spans="1:3" x14ac:dyDescent="0.25">
      <c r="A9070" s="178">
        <v>399954</v>
      </c>
      <c r="B9070" s="179" t="s">
        <v>456</v>
      </c>
      <c r="C9070" s="180">
        <v>80780</v>
      </c>
    </row>
    <row r="9071" spans="1:3" x14ac:dyDescent="0.25">
      <c r="A9071" s="178">
        <v>399957</v>
      </c>
      <c r="B9071" s="179" t="s">
        <v>456</v>
      </c>
      <c r="C9071" s="180">
        <v>94200</v>
      </c>
    </row>
    <row r="9072" spans="1:3" x14ac:dyDescent="0.25">
      <c r="A9072" s="178">
        <v>500033</v>
      </c>
      <c r="B9072" s="179" t="s">
        <v>456</v>
      </c>
      <c r="C9072" s="180">
        <v>500</v>
      </c>
    </row>
    <row r="9073" spans="1:3" x14ac:dyDescent="0.25">
      <c r="A9073" s="178">
        <v>500035</v>
      </c>
      <c r="B9073" s="179" t="s">
        <v>456</v>
      </c>
      <c r="C9073" s="180">
        <v>500</v>
      </c>
    </row>
    <row r="9074" spans="1:3" x14ac:dyDescent="0.25">
      <c r="A9074" s="178">
        <v>500076</v>
      </c>
      <c r="B9074" s="179" t="s">
        <v>456</v>
      </c>
      <c r="C9074" s="180">
        <v>100</v>
      </c>
    </row>
    <row r="9075" spans="1:3" x14ac:dyDescent="0.25">
      <c r="A9075" s="178">
        <v>500086</v>
      </c>
      <c r="B9075" s="179" t="s">
        <v>456</v>
      </c>
      <c r="C9075" s="180">
        <v>900</v>
      </c>
    </row>
    <row r="9076" spans="1:3" x14ac:dyDescent="0.25">
      <c r="A9076" s="178">
        <v>500111</v>
      </c>
      <c r="B9076" s="179" t="s">
        <v>456</v>
      </c>
      <c r="C9076" s="180">
        <v>672</v>
      </c>
    </row>
    <row r="9077" spans="1:3" x14ac:dyDescent="0.25">
      <c r="A9077" s="178">
        <v>500125</v>
      </c>
      <c r="B9077" s="179" t="s">
        <v>456</v>
      </c>
      <c r="C9077" s="180">
        <v>1310</v>
      </c>
    </row>
    <row r="9078" spans="1:3" x14ac:dyDescent="0.25">
      <c r="A9078" s="178">
        <v>500260</v>
      </c>
      <c r="B9078" s="179" t="s">
        <v>456</v>
      </c>
      <c r="C9078" s="180">
        <v>495</v>
      </c>
    </row>
    <row r="9079" spans="1:3" x14ac:dyDescent="0.25">
      <c r="A9079" s="178">
        <v>500270</v>
      </c>
      <c r="B9079" s="179" t="s">
        <v>456</v>
      </c>
      <c r="C9079" s="180">
        <v>450</v>
      </c>
    </row>
    <row r="9080" spans="1:3" x14ac:dyDescent="0.25">
      <c r="A9080" s="178">
        <v>500442</v>
      </c>
      <c r="B9080" s="179" t="s">
        <v>456</v>
      </c>
      <c r="C9080" s="180">
        <v>1000</v>
      </c>
    </row>
    <row r="9081" spans="1:3" x14ac:dyDescent="0.25">
      <c r="A9081" s="178">
        <v>500528</v>
      </c>
      <c r="B9081" s="179" t="s">
        <v>456</v>
      </c>
      <c r="C9081" s="180">
        <v>300</v>
      </c>
    </row>
    <row r="9082" spans="1:3" x14ac:dyDescent="0.25">
      <c r="A9082" s="178">
        <v>500540</v>
      </c>
      <c r="B9082" s="179" t="s">
        <v>456</v>
      </c>
      <c r="C9082" s="180">
        <v>500</v>
      </c>
    </row>
    <row r="9083" spans="1:3" x14ac:dyDescent="0.25">
      <c r="A9083" s="178">
        <v>500605</v>
      </c>
      <c r="B9083" s="179" t="s">
        <v>456</v>
      </c>
      <c r="C9083" s="180">
        <v>500</v>
      </c>
    </row>
    <row r="9084" spans="1:3" x14ac:dyDescent="0.25">
      <c r="A9084" s="178">
        <v>501005</v>
      </c>
      <c r="B9084" s="179" t="s">
        <v>456</v>
      </c>
      <c r="C9084" s="180">
        <v>750</v>
      </c>
    </row>
    <row r="9085" spans="1:3" x14ac:dyDescent="0.25">
      <c r="A9085" s="178">
        <v>501014</v>
      </c>
      <c r="B9085" s="179" t="s">
        <v>456</v>
      </c>
      <c r="C9085" s="180">
        <v>1000</v>
      </c>
    </row>
    <row r="9086" spans="1:3" x14ac:dyDescent="0.25">
      <c r="A9086" s="178">
        <v>501016</v>
      </c>
      <c r="B9086" s="179" t="s">
        <v>456</v>
      </c>
      <c r="C9086" s="180">
        <v>1000</v>
      </c>
    </row>
    <row r="9087" spans="1:3" x14ac:dyDescent="0.25">
      <c r="A9087" s="178">
        <v>501026</v>
      </c>
      <c r="B9087" s="179" t="s">
        <v>456</v>
      </c>
      <c r="C9087" s="180">
        <v>450</v>
      </c>
    </row>
    <row r="9088" spans="1:3" x14ac:dyDescent="0.25">
      <c r="A9088" s="178">
        <v>501107</v>
      </c>
      <c r="B9088" s="179" t="s">
        <v>456</v>
      </c>
      <c r="C9088" s="180">
        <v>1000</v>
      </c>
    </row>
    <row r="9089" spans="1:3" x14ac:dyDescent="0.25">
      <c r="A9089" s="178">
        <v>501135</v>
      </c>
      <c r="B9089" s="179" t="s">
        <v>456</v>
      </c>
      <c r="C9089" s="180">
        <v>750</v>
      </c>
    </row>
    <row r="9090" spans="1:3" x14ac:dyDescent="0.25">
      <c r="A9090" s="178">
        <v>501177</v>
      </c>
      <c r="B9090" s="179" t="s">
        <v>456</v>
      </c>
      <c r="C9090" s="180">
        <v>1000</v>
      </c>
    </row>
    <row r="9091" spans="1:3" x14ac:dyDescent="0.25">
      <c r="A9091" s="178">
        <v>501183</v>
      </c>
      <c r="B9091" s="179" t="s">
        <v>456</v>
      </c>
      <c r="C9091" s="180">
        <v>1000</v>
      </c>
    </row>
    <row r="9092" spans="1:3" x14ac:dyDescent="0.25">
      <c r="A9092" s="178">
        <v>501210</v>
      </c>
      <c r="B9092" s="179" t="s">
        <v>456</v>
      </c>
      <c r="C9092" s="180">
        <v>500</v>
      </c>
    </row>
    <row r="9093" spans="1:3" x14ac:dyDescent="0.25">
      <c r="A9093" s="178">
        <v>501230</v>
      </c>
      <c r="B9093" s="179" t="s">
        <v>456</v>
      </c>
      <c r="C9093" s="180">
        <v>500</v>
      </c>
    </row>
    <row r="9094" spans="1:3" x14ac:dyDescent="0.25">
      <c r="A9094" s="178">
        <v>501293</v>
      </c>
      <c r="B9094" s="179" t="s">
        <v>456</v>
      </c>
      <c r="C9094" s="180">
        <v>300</v>
      </c>
    </row>
    <row r="9095" spans="1:3" x14ac:dyDescent="0.25">
      <c r="A9095" s="178">
        <v>501325</v>
      </c>
      <c r="B9095" s="179" t="s">
        <v>456</v>
      </c>
      <c r="C9095" s="180">
        <v>750</v>
      </c>
    </row>
    <row r="9096" spans="1:3" x14ac:dyDescent="0.25">
      <c r="A9096" s="178">
        <v>501412</v>
      </c>
      <c r="B9096" s="179" t="s">
        <v>456</v>
      </c>
      <c r="C9096" s="180">
        <v>650</v>
      </c>
    </row>
    <row r="9097" spans="1:3" x14ac:dyDescent="0.25">
      <c r="A9097" s="178">
        <v>501432</v>
      </c>
      <c r="B9097" s="179" t="s">
        <v>456</v>
      </c>
      <c r="C9097" s="180">
        <v>280</v>
      </c>
    </row>
    <row r="9098" spans="1:3" x14ac:dyDescent="0.25">
      <c r="A9098" s="178">
        <v>501433</v>
      </c>
      <c r="B9098" s="179" t="s">
        <v>456</v>
      </c>
      <c r="C9098" s="180">
        <v>280</v>
      </c>
    </row>
    <row r="9099" spans="1:3" x14ac:dyDescent="0.25">
      <c r="A9099" s="178">
        <v>501434</v>
      </c>
      <c r="B9099" s="179" t="s">
        <v>456</v>
      </c>
      <c r="C9099" s="180">
        <v>280</v>
      </c>
    </row>
    <row r="9100" spans="1:3" x14ac:dyDescent="0.25">
      <c r="A9100" s="178">
        <v>501435</v>
      </c>
      <c r="B9100" s="179" t="s">
        <v>456</v>
      </c>
      <c r="C9100" s="180">
        <v>280</v>
      </c>
    </row>
    <row r="9101" spans="1:3" x14ac:dyDescent="0.25">
      <c r="A9101" s="178">
        <v>501446</v>
      </c>
      <c r="B9101" s="179" t="s">
        <v>456</v>
      </c>
      <c r="C9101" s="180">
        <v>280</v>
      </c>
    </row>
    <row r="9102" spans="1:3" x14ac:dyDescent="0.25">
      <c r="A9102" s="178">
        <v>501453</v>
      </c>
      <c r="B9102" s="179" t="s">
        <v>456</v>
      </c>
      <c r="C9102" s="180">
        <v>1008</v>
      </c>
    </row>
    <row r="9103" spans="1:3" x14ac:dyDescent="0.25">
      <c r="A9103" s="178">
        <v>501458</v>
      </c>
      <c r="B9103" s="179" t="s">
        <v>456</v>
      </c>
      <c r="C9103" s="180">
        <v>600</v>
      </c>
    </row>
    <row r="9104" spans="1:3" x14ac:dyDescent="0.25">
      <c r="A9104" s="178">
        <v>501475</v>
      </c>
      <c r="B9104" s="179" t="s">
        <v>456</v>
      </c>
      <c r="C9104" s="180">
        <v>655</v>
      </c>
    </row>
    <row r="9105" spans="1:3" x14ac:dyDescent="0.25">
      <c r="A9105" s="178">
        <v>501476</v>
      </c>
      <c r="B9105" s="179" t="s">
        <v>456</v>
      </c>
      <c r="C9105" s="180">
        <v>747</v>
      </c>
    </row>
    <row r="9106" spans="1:3" x14ac:dyDescent="0.25">
      <c r="A9106" s="178">
        <v>501503</v>
      </c>
      <c r="B9106" s="179" t="s">
        <v>456</v>
      </c>
      <c r="C9106" s="180">
        <v>300</v>
      </c>
    </row>
    <row r="9107" spans="1:3" x14ac:dyDescent="0.25">
      <c r="A9107" s="178">
        <v>501650</v>
      </c>
      <c r="B9107" s="179" t="s">
        <v>456</v>
      </c>
      <c r="C9107" s="180">
        <v>900</v>
      </c>
    </row>
    <row r="9108" spans="1:3" x14ac:dyDescent="0.25">
      <c r="A9108" s="178">
        <v>502106</v>
      </c>
      <c r="B9108" s="179" t="s">
        <v>456</v>
      </c>
      <c r="C9108" s="180">
        <v>360</v>
      </c>
    </row>
    <row r="9109" spans="1:3" x14ac:dyDescent="0.25">
      <c r="A9109" s="178">
        <v>502165</v>
      </c>
      <c r="B9109" s="179" t="s">
        <v>456</v>
      </c>
      <c r="C9109" s="180">
        <v>195</v>
      </c>
    </row>
    <row r="9110" spans="1:3" x14ac:dyDescent="0.25">
      <c r="A9110" s="178">
        <v>502185</v>
      </c>
      <c r="B9110" s="179" t="s">
        <v>456</v>
      </c>
      <c r="C9110" s="180">
        <v>1000</v>
      </c>
    </row>
    <row r="9111" spans="1:3" x14ac:dyDescent="0.25">
      <c r="A9111" s="178">
        <v>502190</v>
      </c>
      <c r="B9111" s="179" t="s">
        <v>456</v>
      </c>
      <c r="C9111" s="180">
        <v>750</v>
      </c>
    </row>
    <row r="9112" spans="1:3" x14ac:dyDescent="0.25">
      <c r="A9112" s="178">
        <v>502211</v>
      </c>
      <c r="B9112" s="179" t="s">
        <v>456</v>
      </c>
      <c r="C9112" s="180">
        <v>300</v>
      </c>
    </row>
    <row r="9113" spans="1:3" x14ac:dyDescent="0.25">
      <c r="A9113" s="178">
        <v>502220</v>
      </c>
      <c r="B9113" s="179" t="s">
        <v>456</v>
      </c>
      <c r="C9113" s="180">
        <v>108</v>
      </c>
    </row>
    <row r="9114" spans="1:3" x14ac:dyDescent="0.25">
      <c r="A9114" s="178">
        <v>502235</v>
      </c>
      <c r="B9114" s="179" t="s">
        <v>456</v>
      </c>
      <c r="C9114" s="180">
        <v>350</v>
      </c>
    </row>
    <row r="9115" spans="1:3" x14ac:dyDescent="0.25">
      <c r="A9115" s="178">
        <v>502236</v>
      </c>
      <c r="B9115" s="179" t="s">
        <v>456</v>
      </c>
      <c r="C9115" s="180">
        <v>240</v>
      </c>
    </row>
    <row r="9116" spans="1:3" x14ac:dyDescent="0.25">
      <c r="A9116" s="178">
        <v>502246</v>
      </c>
      <c r="B9116" s="179" t="s">
        <v>456</v>
      </c>
      <c r="C9116" s="180">
        <v>500</v>
      </c>
    </row>
    <row r="9117" spans="1:3" x14ac:dyDescent="0.25">
      <c r="A9117" s="178">
        <v>502255</v>
      </c>
      <c r="B9117" s="179" t="s">
        <v>456</v>
      </c>
      <c r="C9117" s="180">
        <v>400</v>
      </c>
    </row>
    <row r="9118" spans="1:3" x14ac:dyDescent="0.25">
      <c r="A9118" s="178">
        <v>502323</v>
      </c>
      <c r="B9118" s="179" t="s">
        <v>456</v>
      </c>
      <c r="C9118" s="180">
        <v>1000</v>
      </c>
    </row>
    <row r="9119" spans="1:3" x14ac:dyDescent="0.25">
      <c r="A9119" s="178">
        <v>502326</v>
      </c>
      <c r="B9119" s="179" t="s">
        <v>456</v>
      </c>
      <c r="C9119" s="180">
        <v>300</v>
      </c>
    </row>
    <row r="9120" spans="1:3" x14ac:dyDescent="0.25">
      <c r="A9120" s="178">
        <v>502330</v>
      </c>
      <c r="B9120" s="179" t="s">
        <v>456</v>
      </c>
      <c r="C9120" s="180">
        <v>1000</v>
      </c>
    </row>
    <row r="9121" spans="1:3" x14ac:dyDescent="0.25">
      <c r="A9121" s="178">
        <v>502555</v>
      </c>
      <c r="B9121" s="179" t="s">
        <v>456</v>
      </c>
      <c r="C9121" s="180">
        <v>360</v>
      </c>
    </row>
    <row r="9122" spans="1:3" x14ac:dyDescent="0.25">
      <c r="A9122" s="178">
        <v>502570</v>
      </c>
      <c r="B9122" s="179" t="s">
        <v>456</v>
      </c>
      <c r="C9122" s="180">
        <v>1000</v>
      </c>
    </row>
    <row r="9123" spans="1:3" x14ac:dyDescent="0.25">
      <c r="A9123" s="178">
        <v>502580</v>
      </c>
      <c r="B9123" s="179" t="s">
        <v>456</v>
      </c>
      <c r="C9123" s="180">
        <v>1000</v>
      </c>
    </row>
    <row r="9124" spans="1:3" x14ac:dyDescent="0.25">
      <c r="A9124" s="178">
        <v>502590</v>
      </c>
      <c r="B9124" s="179" t="s">
        <v>456</v>
      </c>
      <c r="C9124" s="180">
        <v>1000</v>
      </c>
    </row>
    <row r="9125" spans="1:3" x14ac:dyDescent="0.25">
      <c r="A9125" s="178">
        <v>502705</v>
      </c>
      <c r="B9125" s="179" t="s">
        <v>456</v>
      </c>
      <c r="C9125" s="180">
        <v>875</v>
      </c>
    </row>
    <row r="9126" spans="1:3" x14ac:dyDescent="0.25">
      <c r="A9126" s="178">
        <v>502740</v>
      </c>
      <c r="B9126" s="179" t="s">
        <v>456</v>
      </c>
      <c r="C9126" s="180">
        <v>875</v>
      </c>
    </row>
    <row r="9127" spans="1:3" x14ac:dyDescent="0.25">
      <c r="A9127" s="178">
        <v>502755</v>
      </c>
      <c r="B9127" s="179" t="s">
        <v>456</v>
      </c>
      <c r="C9127" s="180">
        <v>1224</v>
      </c>
    </row>
    <row r="9128" spans="1:3" x14ac:dyDescent="0.25">
      <c r="A9128" s="178">
        <v>502771</v>
      </c>
      <c r="B9128" s="179" t="s">
        <v>456</v>
      </c>
      <c r="C9128" s="180">
        <v>900</v>
      </c>
    </row>
    <row r="9129" spans="1:3" x14ac:dyDescent="0.25">
      <c r="A9129" s="178">
        <v>502801</v>
      </c>
      <c r="B9129" s="179" t="s">
        <v>456</v>
      </c>
      <c r="C9129" s="180">
        <v>1000</v>
      </c>
    </row>
    <row r="9130" spans="1:3" x14ac:dyDescent="0.25">
      <c r="A9130" s="178">
        <v>502816</v>
      </c>
      <c r="B9130" s="179" t="s">
        <v>456</v>
      </c>
      <c r="C9130" s="180">
        <v>1000</v>
      </c>
    </row>
    <row r="9131" spans="1:3" x14ac:dyDescent="0.25">
      <c r="A9131" s="178">
        <v>502847</v>
      </c>
      <c r="B9131" s="179" t="s">
        <v>456</v>
      </c>
      <c r="C9131" s="180">
        <v>750</v>
      </c>
    </row>
    <row r="9132" spans="1:3" x14ac:dyDescent="0.25">
      <c r="A9132" s="178">
        <v>502910</v>
      </c>
      <c r="B9132" s="179" t="s">
        <v>456</v>
      </c>
      <c r="C9132" s="180">
        <v>350</v>
      </c>
    </row>
    <row r="9133" spans="1:3" x14ac:dyDescent="0.25">
      <c r="A9133" s="178">
        <v>503012</v>
      </c>
      <c r="B9133" s="179" t="s">
        <v>456</v>
      </c>
      <c r="C9133" s="180">
        <v>420</v>
      </c>
    </row>
    <row r="9134" spans="1:3" x14ac:dyDescent="0.25">
      <c r="A9134" s="178">
        <v>503049</v>
      </c>
      <c r="B9134" s="179" t="s">
        <v>456</v>
      </c>
      <c r="C9134" s="180">
        <v>350</v>
      </c>
    </row>
    <row r="9135" spans="1:3" x14ac:dyDescent="0.25">
      <c r="A9135" s="178">
        <v>503056</v>
      </c>
      <c r="B9135" s="179" t="s">
        <v>456</v>
      </c>
      <c r="C9135" s="180">
        <v>240</v>
      </c>
    </row>
    <row r="9136" spans="1:3" x14ac:dyDescent="0.25">
      <c r="A9136" s="178">
        <v>503170</v>
      </c>
      <c r="B9136" s="179" t="s">
        <v>456</v>
      </c>
      <c r="C9136" s="180">
        <v>450</v>
      </c>
    </row>
    <row r="9137" spans="1:3" x14ac:dyDescent="0.25">
      <c r="A9137" s="178">
        <v>503382</v>
      </c>
      <c r="B9137" s="179" t="s">
        <v>456</v>
      </c>
      <c r="C9137" s="180">
        <v>800</v>
      </c>
    </row>
    <row r="9138" spans="1:3" x14ac:dyDescent="0.25">
      <c r="A9138" s="178">
        <v>503413</v>
      </c>
      <c r="B9138" s="179" t="s">
        <v>456</v>
      </c>
      <c r="C9138" s="180">
        <v>540</v>
      </c>
    </row>
    <row r="9139" spans="1:3" x14ac:dyDescent="0.25">
      <c r="A9139" s="178">
        <v>503440</v>
      </c>
      <c r="B9139" s="179" t="s">
        <v>456</v>
      </c>
      <c r="C9139" s="180">
        <v>105</v>
      </c>
    </row>
    <row r="9140" spans="1:3" x14ac:dyDescent="0.25">
      <c r="A9140" s="178">
        <v>503792</v>
      </c>
      <c r="B9140" s="179" t="s">
        <v>456</v>
      </c>
      <c r="C9140" s="180">
        <v>270</v>
      </c>
    </row>
    <row r="9141" spans="1:3" x14ac:dyDescent="0.25">
      <c r="A9141" s="178">
        <v>503796</v>
      </c>
      <c r="B9141" s="179" t="s">
        <v>456</v>
      </c>
      <c r="C9141" s="180">
        <v>108</v>
      </c>
    </row>
    <row r="9142" spans="1:3" x14ac:dyDescent="0.25">
      <c r="A9142" s="178">
        <v>503849</v>
      </c>
      <c r="B9142" s="179" t="s">
        <v>456</v>
      </c>
      <c r="C9142" s="180">
        <v>600</v>
      </c>
    </row>
    <row r="9143" spans="1:3" x14ac:dyDescent="0.25">
      <c r="A9143" s="178">
        <v>504110</v>
      </c>
      <c r="B9143" s="179" t="s">
        <v>456</v>
      </c>
      <c r="C9143" s="180">
        <v>600</v>
      </c>
    </row>
    <row r="9144" spans="1:3" x14ac:dyDescent="0.25">
      <c r="A9144" s="178">
        <v>504113</v>
      </c>
      <c r="B9144" s="179" t="s">
        <v>456</v>
      </c>
      <c r="C9144" s="180">
        <v>525</v>
      </c>
    </row>
    <row r="9145" spans="1:3" x14ac:dyDescent="0.25">
      <c r="A9145" s="178">
        <v>504210</v>
      </c>
      <c r="B9145" s="179" t="s">
        <v>456</v>
      </c>
      <c r="C9145" s="180">
        <v>600</v>
      </c>
    </row>
    <row r="9146" spans="1:3" x14ac:dyDescent="0.25">
      <c r="A9146" s="178">
        <v>504450</v>
      </c>
      <c r="B9146" s="179" t="s">
        <v>456</v>
      </c>
      <c r="C9146" s="180">
        <v>750</v>
      </c>
    </row>
    <row r="9147" spans="1:3" x14ac:dyDescent="0.25">
      <c r="A9147" s="178">
        <v>504470</v>
      </c>
      <c r="B9147" s="179" t="s">
        <v>456</v>
      </c>
      <c r="C9147" s="180">
        <v>500</v>
      </c>
    </row>
    <row r="9148" spans="1:3" x14ac:dyDescent="0.25">
      <c r="A9148" s="178">
        <v>504923</v>
      </c>
      <c r="B9148" s="179" t="s">
        <v>456</v>
      </c>
      <c r="C9148" s="180">
        <v>600</v>
      </c>
    </row>
    <row r="9149" spans="1:3" x14ac:dyDescent="0.25">
      <c r="A9149" s="178">
        <v>505032</v>
      </c>
      <c r="B9149" s="179" t="s">
        <v>456</v>
      </c>
      <c r="C9149" s="180">
        <v>1000</v>
      </c>
    </row>
    <row r="9150" spans="1:3" x14ac:dyDescent="0.25">
      <c r="A9150" s="178">
        <v>505216</v>
      </c>
      <c r="B9150" s="179" t="s">
        <v>456</v>
      </c>
      <c r="C9150" s="180">
        <v>640</v>
      </c>
    </row>
    <row r="9151" spans="1:3" x14ac:dyDescent="0.25">
      <c r="A9151" s="178">
        <v>505300</v>
      </c>
      <c r="B9151" s="179" t="s">
        <v>456</v>
      </c>
      <c r="C9151" s="180">
        <v>600</v>
      </c>
    </row>
    <row r="9152" spans="1:3" x14ac:dyDescent="0.25">
      <c r="A9152" s="178">
        <v>505310</v>
      </c>
      <c r="B9152" s="179" t="s">
        <v>456</v>
      </c>
      <c r="C9152" s="180">
        <v>300</v>
      </c>
    </row>
    <row r="9153" spans="1:3" x14ac:dyDescent="0.25">
      <c r="A9153" s="178">
        <v>505934</v>
      </c>
      <c r="B9153" s="179" t="s">
        <v>456</v>
      </c>
      <c r="C9153" s="180">
        <v>360</v>
      </c>
    </row>
    <row r="9154" spans="1:3" x14ac:dyDescent="0.25">
      <c r="A9154" s="178">
        <v>506600</v>
      </c>
      <c r="B9154" s="179" t="s">
        <v>456</v>
      </c>
      <c r="C9154" s="180">
        <v>200</v>
      </c>
    </row>
    <row r="9155" spans="1:3" x14ac:dyDescent="0.25">
      <c r="A9155" s="178">
        <v>506620</v>
      </c>
      <c r="B9155" s="179" t="s">
        <v>456</v>
      </c>
      <c r="C9155" s="180">
        <v>1000</v>
      </c>
    </row>
    <row r="9156" spans="1:3" x14ac:dyDescent="0.25">
      <c r="A9156" s="178">
        <v>506674</v>
      </c>
      <c r="B9156" s="179" t="s">
        <v>456</v>
      </c>
      <c r="C9156" s="180">
        <v>550</v>
      </c>
    </row>
    <row r="9157" spans="1:3" x14ac:dyDescent="0.25">
      <c r="A9157" s="178">
        <v>507003</v>
      </c>
      <c r="B9157" s="179" t="s">
        <v>456</v>
      </c>
      <c r="C9157" s="180">
        <v>1000</v>
      </c>
    </row>
    <row r="9158" spans="1:3" x14ac:dyDescent="0.25">
      <c r="A9158" s="178">
        <v>507046</v>
      </c>
      <c r="B9158" s="179" t="s">
        <v>456</v>
      </c>
      <c r="C9158" s="180">
        <v>500</v>
      </c>
    </row>
    <row r="9159" spans="1:3" x14ac:dyDescent="0.25">
      <c r="A9159" s="178">
        <v>507065</v>
      </c>
      <c r="B9159" s="179" t="s">
        <v>456</v>
      </c>
      <c r="C9159" s="180">
        <v>1000</v>
      </c>
    </row>
    <row r="9160" spans="1:3" x14ac:dyDescent="0.25">
      <c r="A9160" s="178">
        <v>507070</v>
      </c>
      <c r="B9160" s="179" t="s">
        <v>456</v>
      </c>
      <c r="C9160" s="180">
        <v>1050</v>
      </c>
    </row>
    <row r="9161" spans="1:3" x14ac:dyDescent="0.25">
      <c r="A9161" s="178">
        <v>507080</v>
      </c>
      <c r="B9161" s="179" t="s">
        <v>456</v>
      </c>
      <c r="C9161" s="180">
        <v>210</v>
      </c>
    </row>
    <row r="9162" spans="1:3" x14ac:dyDescent="0.25">
      <c r="A9162" s="178">
        <v>507101</v>
      </c>
      <c r="B9162" s="179" t="s">
        <v>456</v>
      </c>
      <c r="C9162" s="180">
        <v>200</v>
      </c>
    </row>
    <row r="9163" spans="1:3" x14ac:dyDescent="0.25">
      <c r="A9163" s="178">
        <v>507103</v>
      </c>
      <c r="B9163" s="179" t="s">
        <v>456</v>
      </c>
      <c r="C9163" s="180">
        <v>630</v>
      </c>
    </row>
    <row r="9164" spans="1:3" x14ac:dyDescent="0.25">
      <c r="A9164" s="178">
        <v>507130</v>
      </c>
      <c r="B9164" s="179" t="s">
        <v>456</v>
      </c>
      <c r="C9164" s="180">
        <v>1000</v>
      </c>
    </row>
    <row r="9165" spans="1:3" x14ac:dyDescent="0.25">
      <c r="A9165" s="178">
        <v>507156</v>
      </c>
      <c r="B9165" s="179" t="s">
        <v>456</v>
      </c>
      <c r="C9165" s="180">
        <v>108</v>
      </c>
    </row>
    <row r="9166" spans="1:3" x14ac:dyDescent="0.25">
      <c r="A9166" s="178">
        <v>507291</v>
      </c>
      <c r="B9166" s="179" t="s">
        <v>456</v>
      </c>
      <c r="C9166" s="180">
        <v>500</v>
      </c>
    </row>
    <row r="9167" spans="1:3" x14ac:dyDescent="0.25">
      <c r="A9167" s="178">
        <v>507710</v>
      </c>
      <c r="B9167" s="179" t="s">
        <v>456</v>
      </c>
      <c r="C9167" s="180">
        <v>1000</v>
      </c>
    </row>
    <row r="9168" spans="1:3" x14ac:dyDescent="0.25">
      <c r="A9168" s="178">
        <v>507820</v>
      </c>
      <c r="B9168" s="179" t="s">
        <v>456</v>
      </c>
      <c r="C9168" s="180">
        <v>4536</v>
      </c>
    </row>
    <row r="9169" spans="1:3" x14ac:dyDescent="0.25">
      <c r="A9169" s="178">
        <v>508581</v>
      </c>
      <c r="B9169" s="179" t="s">
        <v>456</v>
      </c>
      <c r="C9169" s="180">
        <v>1000</v>
      </c>
    </row>
    <row r="9170" spans="1:3" x14ac:dyDescent="0.25">
      <c r="A9170" s="178">
        <v>508586</v>
      </c>
      <c r="B9170" s="179" t="s">
        <v>456</v>
      </c>
      <c r="C9170" s="180">
        <v>1000</v>
      </c>
    </row>
    <row r="9171" spans="1:3" x14ac:dyDescent="0.25">
      <c r="A9171" s="178">
        <v>508588</v>
      </c>
      <c r="B9171" s="179" t="s">
        <v>456</v>
      </c>
      <c r="C9171" s="180">
        <v>1000</v>
      </c>
    </row>
    <row r="9172" spans="1:3" x14ac:dyDescent="0.25">
      <c r="A9172" s="178">
        <v>508590</v>
      </c>
      <c r="B9172" s="179" t="s">
        <v>456</v>
      </c>
      <c r="C9172" s="180">
        <v>1000</v>
      </c>
    </row>
    <row r="9173" spans="1:3" x14ac:dyDescent="0.25">
      <c r="A9173" s="178">
        <v>508591</v>
      </c>
      <c r="B9173" s="179" t="s">
        <v>456</v>
      </c>
      <c r="C9173" s="180">
        <v>1000</v>
      </c>
    </row>
    <row r="9174" spans="1:3" x14ac:dyDescent="0.25">
      <c r="A9174" s="178">
        <v>508593</v>
      </c>
      <c r="B9174" s="179" t="s">
        <v>456</v>
      </c>
      <c r="C9174" s="180">
        <v>1000</v>
      </c>
    </row>
    <row r="9175" spans="1:3" x14ac:dyDescent="0.25">
      <c r="A9175" s="178">
        <v>508595</v>
      </c>
      <c r="B9175" s="179" t="s">
        <v>456</v>
      </c>
      <c r="C9175" s="180">
        <v>1000</v>
      </c>
    </row>
    <row r="9176" spans="1:3" x14ac:dyDescent="0.25">
      <c r="A9176" s="178">
        <v>508598</v>
      </c>
      <c r="B9176" s="179" t="s">
        <v>456</v>
      </c>
      <c r="C9176" s="180">
        <v>1000</v>
      </c>
    </row>
    <row r="9177" spans="1:3" x14ac:dyDescent="0.25">
      <c r="A9177" s="178">
        <v>508611</v>
      </c>
      <c r="B9177" s="179" t="s">
        <v>456</v>
      </c>
      <c r="C9177" s="180">
        <v>1000</v>
      </c>
    </row>
    <row r="9178" spans="1:3" x14ac:dyDescent="0.25">
      <c r="A9178" s="178">
        <v>508614</v>
      </c>
      <c r="B9178" s="179" t="s">
        <v>456</v>
      </c>
      <c r="C9178" s="180">
        <v>1000</v>
      </c>
    </row>
    <row r="9179" spans="1:3" x14ac:dyDescent="0.25">
      <c r="A9179" s="178">
        <v>508615</v>
      </c>
      <c r="B9179" s="179" t="s">
        <v>456</v>
      </c>
      <c r="C9179" s="180">
        <v>1000</v>
      </c>
    </row>
    <row r="9180" spans="1:3" x14ac:dyDescent="0.25">
      <c r="A9180" s="178">
        <v>508625</v>
      </c>
      <c r="B9180" s="179" t="s">
        <v>456</v>
      </c>
      <c r="C9180" s="180">
        <v>1000</v>
      </c>
    </row>
    <row r="9181" spans="1:3" x14ac:dyDescent="0.25">
      <c r="A9181" s="178">
        <v>508632</v>
      </c>
      <c r="B9181" s="179" t="s">
        <v>456</v>
      </c>
      <c r="C9181" s="180">
        <v>480</v>
      </c>
    </row>
    <row r="9182" spans="1:3" x14ac:dyDescent="0.25">
      <c r="A9182" s="178">
        <v>508653</v>
      </c>
      <c r="B9182" s="179" t="s">
        <v>456</v>
      </c>
      <c r="C9182" s="180">
        <v>875</v>
      </c>
    </row>
    <row r="9183" spans="1:3" x14ac:dyDescent="0.25">
      <c r="A9183" s="178">
        <v>509163</v>
      </c>
      <c r="B9183" s="179" t="s">
        <v>456</v>
      </c>
      <c r="C9183" s="180">
        <v>900</v>
      </c>
    </row>
    <row r="9184" spans="1:3" x14ac:dyDescent="0.25">
      <c r="A9184" s="178">
        <v>509331</v>
      </c>
      <c r="B9184" s="179" t="s">
        <v>456</v>
      </c>
      <c r="C9184" s="180">
        <v>1000</v>
      </c>
    </row>
    <row r="9185" spans="1:3" x14ac:dyDescent="0.25">
      <c r="A9185" s="178">
        <v>509370</v>
      </c>
      <c r="B9185" s="179" t="s">
        <v>456</v>
      </c>
      <c r="C9185" s="180">
        <v>1000</v>
      </c>
    </row>
    <row r="9186" spans="1:3" x14ac:dyDescent="0.25">
      <c r="A9186" s="178">
        <v>509371</v>
      </c>
      <c r="B9186" s="179" t="s">
        <v>456</v>
      </c>
      <c r="C9186" s="180">
        <v>1000</v>
      </c>
    </row>
    <row r="9187" spans="1:3" x14ac:dyDescent="0.25">
      <c r="A9187" s="178">
        <v>509373</v>
      </c>
      <c r="B9187" s="179" t="s">
        <v>456</v>
      </c>
      <c r="C9187" s="180">
        <v>1000</v>
      </c>
    </row>
    <row r="9188" spans="1:3" x14ac:dyDescent="0.25">
      <c r="A9188" s="178">
        <v>509730</v>
      </c>
      <c r="B9188" s="179" t="s">
        <v>456</v>
      </c>
      <c r="C9188" s="180">
        <v>640</v>
      </c>
    </row>
    <row r="9189" spans="1:3" x14ac:dyDescent="0.25">
      <c r="A9189" s="178">
        <v>509780</v>
      </c>
      <c r="B9189" s="179" t="s">
        <v>456</v>
      </c>
      <c r="C9189" s="180">
        <v>600</v>
      </c>
    </row>
    <row r="9190" spans="1:3" x14ac:dyDescent="0.25">
      <c r="A9190" s="178">
        <v>509792</v>
      </c>
      <c r="B9190" s="179" t="s">
        <v>456</v>
      </c>
      <c r="C9190" s="180">
        <v>600</v>
      </c>
    </row>
    <row r="9191" spans="1:3" x14ac:dyDescent="0.25">
      <c r="A9191" s="178">
        <v>520030</v>
      </c>
      <c r="B9191" s="179" t="s">
        <v>456</v>
      </c>
      <c r="C9191" s="180">
        <v>600</v>
      </c>
    </row>
    <row r="9192" spans="1:3" x14ac:dyDescent="0.25">
      <c r="A9192" s="178">
        <v>520045</v>
      </c>
      <c r="B9192" s="179" t="s">
        <v>456</v>
      </c>
      <c r="C9192" s="180">
        <v>600</v>
      </c>
    </row>
    <row r="9193" spans="1:3" x14ac:dyDescent="0.25">
      <c r="A9193" s="178">
        <v>520046</v>
      </c>
      <c r="B9193" s="179" t="s">
        <v>456</v>
      </c>
      <c r="C9193" s="180">
        <v>600</v>
      </c>
    </row>
    <row r="9194" spans="1:3" x14ac:dyDescent="0.25">
      <c r="A9194" s="178">
        <v>520047</v>
      </c>
      <c r="B9194" s="179" t="s">
        <v>456</v>
      </c>
      <c r="C9194" s="180">
        <v>600</v>
      </c>
    </row>
    <row r="9195" spans="1:3" x14ac:dyDescent="0.25">
      <c r="A9195" s="178">
        <v>520048</v>
      </c>
      <c r="B9195" s="179" t="s">
        <v>456</v>
      </c>
      <c r="C9195" s="180">
        <v>600</v>
      </c>
    </row>
    <row r="9196" spans="1:3" x14ac:dyDescent="0.25">
      <c r="A9196" s="178">
        <v>520050</v>
      </c>
      <c r="B9196" s="179" t="s">
        <v>456</v>
      </c>
      <c r="C9196" s="180">
        <v>600</v>
      </c>
    </row>
    <row r="9197" spans="1:3" x14ac:dyDescent="0.25">
      <c r="A9197" s="178">
        <v>520051</v>
      </c>
      <c r="B9197" s="179" t="s">
        <v>456</v>
      </c>
      <c r="C9197" s="180">
        <v>600</v>
      </c>
    </row>
    <row r="9198" spans="1:3" x14ac:dyDescent="0.25">
      <c r="A9198" s="178">
        <v>520055</v>
      </c>
      <c r="B9198" s="179" t="s">
        <v>456</v>
      </c>
      <c r="C9198" s="180">
        <v>600</v>
      </c>
    </row>
    <row r="9199" spans="1:3" x14ac:dyDescent="0.25">
      <c r="A9199" s="178">
        <v>520059</v>
      </c>
      <c r="B9199" s="179" t="s">
        <v>456</v>
      </c>
      <c r="C9199" s="180">
        <v>280</v>
      </c>
    </row>
    <row r="9200" spans="1:3" x14ac:dyDescent="0.25">
      <c r="A9200" s="178">
        <v>520060</v>
      </c>
      <c r="B9200" s="179" t="s">
        <v>456</v>
      </c>
      <c r="C9200" s="180">
        <v>1000</v>
      </c>
    </row>
    <row r="9201" spans="1:3" x14ac:dyDescent="0.25">
      <c r="A9201" s="178">
        <v>520061</v>
      </c>
      <c r="B9201" s="179" t="s">
        <v>456</v>
      </c>
      <c r="C9201" s="180">
        <v>320</v>
      </c>
    </row>
    <row r="9202" spans="1:3" x14ac:dyDescent="0.25">
      <c r="A9202" s="178">
        <v>520065</v>
      </c>
      <c r="B9202" s="179" t="s">
        <v>456</v>
      </c>
      <c r="C9202" s="180">
        <v>630</v>
      </c>
    </row>
    <row r="9203" spans="1:3" x14ac:dyDescent="0.25">
      <c r="A9203" s="178">
        <v>520080</v>
      </c>
      <c r="B9203" s="179" t="s">
        <v>456</v>
      </c>
      <c r="C9203" s="180">
        <v>500</v>
      </c>
    </row>
    <row r="9204" spans="1:3" x14ac:dyDescent="0.25">
      <c r="A9204" s="178">
        <v>520081</v>
      </c>
      <c r="B9204" s="179" t="s">
        <v>456</v>
      </c>
      <c r="C9204" s="180">
        <v>600</v>
      </c>
    </row>
    <row r="9205" spans="1:3" x14ac:dyDescent="0.25">
      <c r="A9205" s="178">
        <v>520082</v>
      </c>
      <c r="B9205" s="179" t="s">
        <v>456</v>
      </c>
      <c r="C9205" s="180">
        <v>300</v>
      </c>
    </row>
    <row r="9206" spans="1:3" x14ac:dyDescent="0.25">
      <c r="A9206" s="178">
        <v>520083</v>
      </c>
      <c r="B9206" s="179" t="s">
        <v>456</v>
      </c>
      <c r="C9206" s="180">
        <v>1600</v>
      </c>
    </row>
    <row r="9207" spans="1:3" x14ac:dyDescent="0.25">
      <c r="A9207" s="178">
        <v>520087</v>
      </c>
      <c r="B9207" s="179" t="s">
        <v>456</v>
      </c>
      <c r="C9207" s="180">
        <v>600</v>
      </c>
    </row>
    <row r="9208" spans="1:3" x14ac:dyDescent="0.25">
      <c r="A9208" s="178">
        <v>520089</v>
      </c>
      <c r="B9208" s="179" t="s">
        <v>456</v>
      </c>
      <c r="C9208" s="180">
        <v>375</v>
      </c>
    </row>
    <row r="9209" spans="1:3" x14ac:dyDescent="0.25">
      <c r="A9209" s="178">
        <v>520091</v>
      </c>
      <c r="B9209" s="179" t="s">
        <v>456</v>
      </c>
      <c r="C9209" s="180">
        <v>600</v>
      </c>
    </row>
    <row r="9210" spans="1:3" x14ac:dyDescent="0.25">
      <c r="A9210" s="178">
        <v>520094</v>
      </c>
      <c r="B9210" s="179" t="s">
        <v>456</v>
      </c>
      <c r="C9210" s="180">
        <v>270</v>
      </c>
    </row>
    <row r="9211" spans="1:3" x14ac:dyDescent="0.25">
      <c r="A9211" s="178">
        <v>520108</v>
      </c>
      <c r="B9211" s="179" t="s">
        <v>456</v>
      </c>
      <c r="C9211" s="180">
        <v>720</v>
      </c>
    </row>
    <row r="9212" spans="1:3" x14ac:dyDescent="0.25">
      <c r="A9212" s="178">
        <v>520111</v>
      </c>
      <c r="B9212" s="179" t="s">
        <v>456</v>
      </c>
      <c r="C9212" s="180">
        <v>490</v>
      </c>
    </row>
    <row r="9213" spans="1:3" x14ac:dyDescent="0.25">
      <c r="A9213" s="178">
        <v>520113</v>
      </c>
      <c r="B9213" s="179" t="s">
        <v>456</v>
      </c>
      <c r="C9213" s="180">
        <v>490</v>
      </c>
    </row>
    <row r="9214" spans="1:3" x14ac:dyDescent="0.25">
      <c r="A9214" s="178">
        <v>520125</v>
      </c>
      <c r="B9214" s="179" t="s">
        <v>456</v>
      </c>
      <c r="C9214" s="180">
        <v>450</v>
      </c>
    </row>
    <row r="9215" spans="1:3" x14ac:dyDescent="0.25">
      <c r="A9215" s="178">
        <v>520127</v>
      </c>
      <c r="B9215" s="179" t="s">
        <v>456</v>
      </c>
      <c r="C9215" s="180">
        <v>600</v>
      </c>
    </row>
    <row r="9216" spans="1:3" x14ac:dyDescent="0.25">
      <c r="A9216" s="178">
        <v>520141</v>
      </c>
      <c r="B9216" s="179" t="s">
        <v>456</v>
      </c>
      <c r="C9216" s="180">
        <v>1000</v>
      </c>
    </row>
    <row r="9217" spans="1:3" x14ac:dyDescent="0.25">
      <c r="A9217" s="178">
        <v>520150</v>
      </c>
      <c r="B9217" s="179" t="s">
        <v>456</v>
      </c>
      <c r="C9217" s="180">
        <v>440</v>
      </c>
    </row>
    <row r="9218" spans="1:3" x14ac:dyDescent="0.25">
      <c r="A9218" s="178">
        <v>520162</v>
      </c>
      <c r="B9218" s="179" t="s">
        <v>456</v>
      </c>
      <c r="C9218" s="180">
        <v>600</v>
      </c>
    </row>
    <row r="9219" spans="1:3" x14ac:dyDescent="0.25">
      <c r="A9219" s="178">
        <v>520163</v>
      </c>
      <c r="B9219" s="179" t="s">
        <v>456</v>
      </c>
      <c r="C9219" s="180">
        <v>600</v>
      </c>
    </row>
    <row r="9220" spans="1:3" x14ac:dyDescent="0.25">
      <c r="A9220" s="178">
        <v>520168</v>
      </c>
      <c r="B9220" s="179" t="s">
        <v>456</v>
      </c>
      <c r="C9220" s="180">
        <v>1</v>
      </c>
    </row>
    <row r="9221" spans="1:3" x14ac:dyDescent="0.25">
      <c r="A9221" s="178">
        <v>520180</v>
      </c>
      <c r="B9221" s="179" t="s">
        <v>456</v>
      </c>
      <c r="C9221" s="180">
        <v>4800</v>
      </c>
    </row>
    <row r="9222" spans="1:3" x14ac:dyDescent="0.25">
      <c r="A9222" s="178">
        <v>520181</v>
      </c>
      <c r="B9222" s="179" t="s">
        <v>456</v>
      </c>
      <c r="C9222" s="180">
        <v>4800</v>
      </c>
    </row>
    <row r="9223" spans="1:3" x14ac:dyDescent="0.25">
      <c r="A9223" s="178">
        <v>520184</v>
      </c>
      <c r="B9223" s="179" t="s">
        <v>456</v>
      </c>
      <c r="C9223" s="180">
        <v>1</v>
      </c>
    </row>
    <row r="9224" spans="1:3" x14ac:dyDescent="0.25">
      <c r="A9224" s="178">
        <v>520642</v>
      </c>
      <c r="B9224" s="179" t="s">
        <v>456</v>
      </c>
      <c r="C9224" s="180">
        <v>270</v>
      </c>
    </row>
    <row r="9225" spans="1:3" x14ac:dyDescent="0.25">
      <c r="A9225" s="178">
        <v>520644</v>
      </c>
      <c r="B9225" s="179" t="s">
        <v>456</v>
      </c>
      <c r="C9225" s="180">
        <v>1000</v>
      </c>
    </row>
    <row r="9226" spans="1:3" x14ac:dyDescent="0.25">
      <c r="A9226" s="178">
        <v>520646</v>
      </c>
      <c r="B9226" s="179" t="s">
        <v>456</v>
      </c>
      <c r="C9226" s="180">
        <v>420</v>
      </c>
    </row>
    <row r="9227" spans="1:3" x14ac:dyDescent="0.25">
      <c r="A9227" s="178">
        <v>520648</v>
      </c>
      <c r="B9227" s="179" t="s">
        <v>456</v>
      </c>
      <c r="C9227" s="180">
        <v>640</v>
      </c>
    </row>
    <row r="9228" spans="1:3" x14ac:dyDescent="0.25">
      <c r="A9228" s="178">
        <v>520649</v>
      </c>
      <c r="B9228" s="179" t="s">
        <v>456</v>
      </c>
      <c r="C9228" s="180">
        <v>640</v>
      </c>
    </row>
    <row r="9229" spans="1:3" x14ac:dyDescent="0.25">
      <c r="A9229" s="178">
        <v>520651</v>
      </c>
      <c r="B9229" s="179" t="s">
        <v>456</v>
      </c>
      <c r="C9229" s="180">
        <v>720</v>
      </c>
    </row>
    <row r="9230" spans="1:3" x14ac:dyDescent="0.25">
      <c r="A9230" s="178">
        <v>520652</v>
      </c>
      <c r="B9230" s="179" t="s">
        <v>456</v>
      </c>
      <c r="C9230" s="180">
        <v>1500</v>
      </c>
    </row>
    <row r="9231" spans="1:3" x14ac:dyDescent="0.25">
      <c r="A9231" s="178">
        <v>520654</v>
      </c>
      <c r="B9231" s="179" t="s">
        <v>456</v>
      </c>
      <c r="C9231" s="180">
        <v>30000</v>
      </c>
    </row>
    <row r="9232" spans="1:3" x14ac:dyDescent="0.25">
      <c r="A9232" s="178">
        <v>520657</v>
      </c>
      <c r="B9232" s="179" t="s">
        <v>456</v>
      </c>
      <c r="C9232" s="180">
        <v>480</v>
      </c>
    </row>
    <row r="9233" spans="1:3" x14ac:dyDescent="0.25">
      <c r="A9233" s="178">
        <v>520675</v>
      </c>
      <c r="B9233" s="179" t="s">
        <v>456</v>
      </c>
      <c r="C9233" s="180">
        <v>600</v>
      </c>
    </row>
    <row r="9234" spans="1:3" x14ac:dyDescent="0.25">
      <c r="A9234" s="178">
        <v>520679</v>
      </c>
      <c r="B9234" s="179" t="s">
        <v>456</v>
      </c>
      <c r="C9234" s="180">
        <v>800</v>
      </c>
    </row>
    <row r="9235" spans="1:3" x14ac:dyDescent="0.25">
      <c r="A9235" s="178">
        <v>520712</v>
      </c>
      <c r="B9235" s="179" t="s">
        <v>456</v>
      </c>
      <c r="C9235" s="180">
        <v>1500</v>
      </c>
    </row>
    <row r="9236" spans="1:3" x14ac:dyDescent="0.25">
      <c r="A9236" s="178">
        <v>520727</v>
      </c>
      <c r="B9236" s="179" t="s">
        <v>456</v>
      </c>
      <c r="C9236" s="180">
        <v>240</v>
      </c>
    </row>
    <row r="9237" spans="1:3" x14ac:dyDescent="0.25">
      <c r="A9237" s="178">
        <v>520733</v>
      </c>
      <c r="B9237" s="179" t="s">
        <v>456</v>
      </c>
      <c r="C9237" s="180">
        <v>640</v>
      </c>
    </row>
    <row r="9238" spans="1:3" x14ac:dyDescent="0.25">
      <c r="A9238" s="178">
        <v>520739</v>
      </c>
      <c r="B9238" s="179" t="s">
        <v>456</v>
      </c>
      <c r="C9238" s="180">
        <v>640</v>
      </c>
    </row>
    <row r="9239" spans="1:3" x14ac:dyDescent="0.25">
      <c r="A9239" s="178">
        <v>520754</v>
      </c>
      <c r="B9239" s="179" t="s">
        <v>456</v>
      </c>
      <c r="C9239" s="180">
        <v>675</v>
      </c>
    </row>
    <row r="9240" spans="1:3" x14ac:dyDescent="0.25">
      <c r="A9240" s="178">
        <v>520755</v>
      </c>
      <c r="B9240" s="179" t="s">
        <v>456</v>
      </c>
      <c r="C9240" s="180">
        <v>640</v>
      </c>
    </row>
    <row r="9241" spans="1:3" x14ac:dyDescent="0.25">
      <c r="A9241" s="178">
        <v>520761</v>
      </c>
      <c r="B9241" s="179" t="s">
        <v>456</v>
      </c>
      <c r="C9241" s="180">
        <v>525</v>
      </c>
    </row>
    <row r="9242" spans="1:3" x14ac:dyDescent="0.25">
      <c r="A9242" s="178">
        <v>520936</v>
      </c>
      <c r="B9242" s="179" t="s">
        <v>456</v>
      </c>
      <c r="C9242" s="180">
        <v>600</v>
      </c>
    </row>
    <row r="9243" spans="1:3" x14ac:dyDescent="0.25">
      <c r="A9243" s="178">
        <v>520937</v>
      </c>
      <c r="B9243" s="179" t="s">
        <v>456</v>
      </c>
      <c r="C9243" s="180">
        <v>480</v>
      </c>
    </row>
    <row r="9244" spans="1:3" x14ac:dyDescent="0.25">
      <c r="A9244" s="178">
        <v>520944</v>
      </c>
      <c r="B9244" s="179" t="s">
        <v>456</v>
      </c>
      <c r="C9244" s="180">
        <v>600</v>
      </c>
    </row>
    <row r="9245" spans="1:3" x14ac:dyDescent="0.25">
      <c r="A9245" s="178">
        <v>520947</v>
      </c>
      <c r="B9245" s="179" t="s">
        <v>456</v>
      </c>
      <c r="C9245" s="180">
        <v>480</v>
      </c>
    </row>
    <row r="9246" spans="1:3" x14ac:dyDescent="0.25">
      <c r="A9246" s="178">
        <v>520949</v>
      </c>
      <c r="B9246" s="179" t="s">
        <v>456</v>
      </c>
      <c r="C9246" s="180">
        <v>480</v>
      </c>
    </row>
    <row r="9247" spans="1:3" x14ac:dyDescent="0.25">
      <c r="A9247" s="178">
        <v>520952</v>
      </c>
      <c r="B9247" s="179" t="s">
        <v>456</v>
      </c>
      <c r="C9247" s="180">
        <v>480</v>
      </c>
    </row>
    <row r="9248" spans="1:3" x14ac:dyDescent="0.25">
      <c r="A9248" s="178">
        <v>520953</v>
      </c>
      <c r="B9248" s="179" t="s">
        <v>456</v>
      </c>
      <c r="C9248" s="180">
        <v>240</v>
      </c>
    </row>
    <row r="9249" spans="1:3" x14ac:dyDescent="0.25">
      <c r="A9249" s="178">
        <v>520956</v>
      </c>
      <c r="B9249" s="179" t="s">
        <v>456</v>
      </c>
      <c r="C9249" s="180">
        <v>500</v>
      </c>
    </row>
    <row r="9250" spans="1:3" x14ac:dyDescent="0.25">
      <c r="A9250" s="178">
        <v>520957</v>
      </c>
      <c r="B9250" s="179" t="s">
        <v>456</v>
      </c>
      <c r="C9250" s="180">
        <v>500</v>
      </c>
    </row>
    <row r="9251" spans="1:3" x14ac:dyDescent="0.25">
      <c r="A9251" s="178">
        <v>520958</v>
      </c>
      <c r="B9251" s="179" t="s">
        <v>456</v>
      </c>
      <c r="C9251" s="180">
        <v>500</v>
      </c>
    </row>
    <row r="9252" spans="1:3" x14ac:dyDescent="0.25">
      <c r="A9252" s="178">
        <v>520961</v>
      </c>
      <c r="B9252" s="179" t="s">
        <v>456</v>
      </c>
      <c r="C9252" s="180">
        <v>1000</v>
      </c>
    </row>
    <row r="9253" spans="1:3" x14ac:dyDescent="0.25">
      <c r="A9253" s="178">
        <v>520978</v>
      </c>
      <c r="B9253" s="179" t="s">
        <v>456</v>
      </c>
      <c r="C9253" s="180">
        <v>500</v>
      </c>
    </row>
    <row r="9254" spans="1:3" x14ac:dyDescent="0.25">
      <c r="A9254" s="178">
        <v>520979</v>
      </c>
      <c r="B9254" s="179" t="s">
        <v>456</v>
      </c>
      <c r="C9254" s="180">
        <v>600</v>
      </c>
    </row>
    <row r="9255" spans="1:3" x14ac:dyDescent="0.25">
      <c r="A9255" s="178">
        <v>520980</v>
      </c>
      <c r="B9255" s="179" t="s">
        <v>456</v>
      </c>
      <c r="C9255" s="180">
        <v>600</v>
      </c>
    </row>
    <row r="9256" spans="1:3" x14ac:dyDescent="0.25">
      <c r="A9256" s="178">
        <v>520982</v>
      </c>
      <c r="B9256" s="179" t="s">
        <v>456</v>
      </c>
      <c r="C9256" s="180">
        <v>500</v>
      </c>
    </row>
    <row r="9257" spans="1:3" x14ac:dyDescent="0.25">
      <c r="A9257" s="178">
        <v>520989</v>
      </c>
      <c r="B9257" s="179" t="s">
        <v>456</v>
      </c>
      <c r="C9257" s="180">
        <v>300</v>
      </c>
    </row>
    <row r="9258" spans="1:3" x14ac:dyDescent="0.25">
      <c r="A9258" s="178">
        <v>520995</v>
      </c>
      <c r="B9258" s="179" t="s">
        <v>456</v>
      </c>
      <c r="C9258" s="180">
        <v>400</v>
      </c>
    </row>
    <row r="9259" spans="1:3" x14ac:dyDescent="0.25">
      <c r="A9259" s="178">
        <v>520996</v>
      </c>
      <c r="B9259" s="179" t="s">
        <v>456</v>
      </c>
      <c r="C9259" s="180">
        <v>400</v>
      </c>
    </row>
    <row r="9260" spans="1:3" x14ac:dyDescent="0.25">
      <c r="A9260" s="178">
        <v>520998</v>
      </c>
      <c r="B9260" s="179" t="s">
        <v>456</v>
      </c>
      <c r="C9260" s="180">
        <v>720</v>
      </c>
    </row>
    <row r="9261" spans="1:3" x14ac:dyDescent="0.25">
      <c r="A9261" s="178">
        <v>521015</v>
      </c>
      <c r="B9261" s="179" t="s">
        <v>456</v>
      </c>
      <c r="C9261" s="180">
        <v>1250</v>
      </c>
    </row>
    <row r="9262" spans="1:3" x14ac:dyDescent="0.25">
      <c r="A9262" s="178">
        <v>521017</v>
      </c>
      <c r="B9262" s="179" t="s">
        <v>456</v>
      </c>
      <c r="C9262" s="180">
        <v>750</v>
      </c>
    </row>
    <row r="9263" spans="1:3" x14ac:dyDescent="0.25">
      <c r="A9263" s="178">
        <v>521021</v>
      </c>
      <c r="B9263" s="179" t="s">
        <v>456</v>
      </c>
      <c r="C9263" s="180">
        <v>1000</v>
      </c>
    </row>
    <row r="9264" spans="1:3" x14ac:dyDescent="0.25">
      <c r="A9264" s="178">
        <v>521025</v>
      </c>
      <c r="B9264" s="179" t="s">
        <v>456</v>
      </c>
      <c r="C9264" s="180">
        <v>480</v>
      </c>
    </row>
    <row r="9265" spans="1:3" x14ac:dyDescent="0.25">
      <c r="A9265" s="178">
        <v>521028</v>
      </c>
      <c r="B9265" s="179" t="s">
        <v>456</v>
      </c>
      <c r="C9265" s="180">
        <v>250</v>
      </c>
    </row>
    <row r="9266" spans="1:3" x14ac:dyDescent="0.25">
      <c r="A9266" s="178">
        <v>521029</v>
      </c>
      <c r="B9266" s="179" t="s">
        <v>456</v>
      </c>
      <c r="C9266" s="180">
        <v>625</v>
      </c>
    </row>
    <row r="9267" spans="1:3" x14ac:dyDescent="0.25">
      <c r="A9267" s="178">
        <v>521030</v>
      </c>
      <c r="B9267" s="179" t="s">
        <v>456</v>
      </c>
      <c r="C9267" s="180">
        <v>825</v>
      </c>
    </row>
    <row r="9268" spans="1:3" x14ac:dyDescent="0.25">
      <c r="A9268" s="178">
        <v>521031</v>
      </c>
      <c r="B9268" s="179" t="s">
        <v>456</v>
      </c>
      <c r="C9268" s="180">
        <v>25000</v>
      </c>
    </row>
    <row r="9269" spans="1:3" x14ac:dyDescent="0.25">
      <c r="A9269" s="178">
        <v>521032</v>
      </c>
      <c r="B9269" s="179" t="s">
        <v>456</v>
      </c>
      <c r="C9269" s="180">
        <v>960</v>
      </c>
    </row>
    <row r="9270" spans="1:3" x14ac:dyDescent="0.25">
      <c r="A9270" s="178">
        <v>521035</v>
      </c>
      <c r="B9270" s="179" t="s">
        <v>456</v>
      </c>
      <c r="C9270" s="180">
        <v>600</v>
      </c>
    </row>
    <row r="9271" spans="1:3" x14ac:dyDescent="0.25">
      <c r="A9271" s="178">
        <v>521037</v>
      </c>
      <c r="B9271" s="179" t="s">
        <v>456</v>
      </c>
      <c r="C9271" s="180">
        <v>600</v>
      </c>
    </row>
    <row r="9272" spans="1:3" x14ac:dyDescent="0.25">
      <c r="A9272" s="178">
        <v>521038</v>
      </c>
      <c r="B9272" s="179" t="s">
        <v>456</v>
      </c>
      <c r="C9272" s="180">
        <v>750</v>
      </c>
    </row>
    <row r="9273" spans="1:3" x14ac:dyDescent="0.25">
      <c r="A9273" s="178">
        <v>521041</v>
      </c>
      <c r="B9273" s="179" t="s">
        <v>456</v>
      </c>
      <c r="C9273" s="180">
        <v>750</v>
      </c>
    </row>
    <row r="9274" spans="1:3" x14ac:dyDescent="0.25">
      <c r="A9274" s="178">
        <v>521042</v>
      </c>
      <c r="B9274" s="179" t="s">
        <v>456</v>
      </c>
      <c r="C9274" s="180">
        <v>100</v>
      </c>
    </row>
    <row r="9275" spans="1:3" x14ac:dyDescent="0.25">
      <c r="A9275" s="178">
        <v>521050</v>
      </c>
      <c r="B9275" s="179" t="s">
        <v>456</v>
      </c>
      <c r="C9275" s="180">
        <v>640</v>
      </c>
    </row>
    <row r="9276" spans="1:3" x14ac:dyDescent="0.25">
      <c r="A9276" s="178">
        <v>521052</v>
      </c>
      <c r="B9276" s="179" t="s">
        <v>456</v>
      </c>
      <c r="C9276" s="180">
        <v>640</v>
      </c>
    </row>
    <row r="9277" spans="1:3" x14ac:dyDescent="0.25">
      <c r="A9277" s="178">
        <v>521054</v>
      </c>
      <c r="B9277" s="179" t="s">
        <v>456</v>
      </c>
      <c r="C9277" s="180">
        <v>500</v>
      </c>
    </row>
    <row r="9278" spans="1:3" x14ac:dyDescent="0.25">
      <c r="A9278" s="178">
        <v>521064</v>
      </c>
      <c r="B9278" s="179" t="s">
        <v>456</v>
      </c>
      <c r="C9278" s="180">
        <v>500</v>
      </c>
    </row>
    <row r="9279" spans="1:3" x14ac:dyDescent="0.25">
      <c r="A9279" s="178">
        <v>521068</v>
      </c>
      <c r="B9279" s="179" t="s">
        <v>456</v>
      </c>
      <c r="C9279" s="180">
        <v>1250</v>
      </c>
    </row>
    <row r="9280" spans="1:3" x14ac:dyDescent="0.25">
      <c r="A9280" s="178">
        <v>521069</v>
      </c>
      <c r="B9280" s="179" t="s">
        <v>456</v>
      </c>
      <c r="C9280" s="180">
        <v>750</v>
      </c>
    </row>
    <row r="9281" spans="1:3" x14ac:dyDescent="0.25">
      <c r="A9281" s="178">
        <v>521075</v>
      </c>
      <c r="B9281" s="179" t="s">
        <v>456</v>
      </c>
      <c r="C9281" s="180">
        <v>550</v>
      </c>
    </row>
    <row r="9282" spans="1:3" x14ac:dyDescent="0.25">
      <c r="A9282" s="178">
        <v>521077</v>
      </c>
      <c r="B9282" s="179" t="s">
        <v>456</v>
      </c>
      <c r="C9282" s="180">
        <v>500</v>
      </c>
    </row>
    <row r="9283" spans="1:3" x14ac:dyDescent="0.25">
      <c r="A9283" s="178">
        <v>521078</v>
      </c>
      <c r="B9283" s="179" t="s">
        <v>456</v>
      </c>
      <c r="C9283" s="180">
        <v>1000</v>
      </c>
    </row>
    <row r="9284" spans="1:3" x14ac:dyDescent="0.25">
      <c r="A9284" s="178">
        <v>521089</v>
      </c>
      <c r="B9284" s="179" t="s">
        <v>456</v>
      </c>
      <c r="C9284" s="180">
        <v>500</v>
      </c>
    </row>
    <row r="9285" spans="1:3" x14ac:dyDescent="0.25">
      <c r="A9285" s="178">
        <v>521093</v>
      </c>
      <c r="B9285" s="179" t="s">
        <v>456</v>
      </c>
      <c r="C9285" s="180">
        <v>640</v>
      </c>
    </row>
    <row r="9286" spans="1:3" x14ac:dyDescent="0.25">
      <c r="A9286" s="178">
        <v>521097</v>
      </c>
      <c r="B9286" s="179" t="s">
        <v>456</v>
      </c>
      <c r="C9286" s="180">
        <v>500</v>
      </c>
    </row>
    <row r="9287" spans="1:3" x14ac:dyDescent="0.25">
      <c r="A9287" s="178">
        <v>521105</v>
      </c>
      <c r="B9287" s="179" t="s">
        <v>456</v>
      </c>
      <c r="C9287" s="180">
        <v>600</v>
      </c>
    </row>
    <row r="9288" spans="1:3" x14ac:dyDescent="0.25">
      <c r="A9288" s="178">
        <v>521110</v>
      </c>
      <c r="B9288" s="179" t="s">
        <v>456</v>
      </c>
      <c r="C9288" s="180">
        <v>500</v>
      </c>
    </row>
    <row r="9289" spans="1:3" x14ac:dyDescent="0.25">
      <c r="A9289" s="178">
        <v>521111</v>
      </c>
      <c r="B9289" s="179" t="s">
        <v>456</v>
      </c>
      <c r="C9289" s="180">
        <v>700</v>
      </c>
    </row>
    <row r="9290" spans="1:3" x14ac:dyDescent="0.25">
      <c r="A9290" s="178">
        <v>521119</v>
      </c>
      <c r="B9290" s="179" t="s">
        <v>456</v>
      </c>
      <c r="C9290" s="180">
        <v>240</v>
      </c>
    </row>
    <row r="9291" spans="1:3" x14ac:dyDescent="0.25">
      <c r="A9291" s="178">
        <v>521120</v>
      </c>
      <c r="B9291" s="179" t="s">
        <v>456</v>
      </c>
      <c r="C9291" s="180">
        <v>240</v>
      </c>
    </row>
    <row r="9292" spans="1:3" x14ac:dyDescent="0.25">
      <c r="A9292" s="178">
        <v>521121</v>
      </c>
      <c r="B9292" s="179" t="s">
        <v>456</v>
      </c>
      <c r="C9292" s="180">
        <v>240</v>
      </c>
    </row>
    <row r="9293" spans="1:3" x14ac:dyDescent="0.25">
      <c r="A9293" s="178">
        <v>521122</v>
      </c>
      <c r="B9293" s="179" t="s">
        <v>456</v>
      </c>
      <c r="C9293" s="180">
        <v>240</v>
      </c>
    </row>
    <row r="9294" spans="1:3" x14ac:dyDescent="0.25">
      <c r="A9294" s="178">
        <v>521124</v>
      </c>
      <c r="B9294" s="179" t="s">
        <v>456</v>
      </c>
      <c r="C9294" s="180">
        <v>300</v>
      </c>
    </row>
    <row r="9295" spans="1:3" x14ac:dyDescent="0.25">
      <c r="A9295" s="178">
        <v>521125</v>
      </c>
      <c r="B9295" s="179" t="s">
        <v>456</v>
      </c>
      <c r="C9295" s="180">
        <v>500</v>
      </c>
    </row>
    <row r="9296" spans="1:3" x14ac:dyDescent="0.25">
      <c r="A9296" s="178">
        <v>521132</v>
      </c>
      <c r="B9296" s="179" t="s">
        <v>456</v>
      </c>
      <c r="C9296" s="180">
        <v>500</v>
      </c>
    </row>
    <row r="9297" spans="1:3" x14ac:dyDescent="0.25">
      <c r="A9297" s="178">
        <v>521133</v>
      </c>
      <c r="B9297" s="179" t="s">
        <v>456</v>
      </c>
      <c r="C9297" s="180">
        <v>500</v>
      </c>
    </row>
    <row r="9298" spans="1:3" x14ac:dyDescent="0.25">
      <c r="A9298" s="178">
        <v>521134</v>
      </c>
      <c r="B9298" s="179" t="s">
        <v>456</v>
      </c>
      <c r="C9298" s="180">
        <v>500</v>
      </c>
    </row>
    <row r="9299" spans="1:3" x14ac:dyDescent="0.25">
      <c r="A9299" s="178">
        <v>521135</v>
      </c>
      <c r="B9299" s="179" t="s">
        <v>456</v>
      </c>
      <c r="C9299" s="180">
        <v>500</v>
      </c>
    </row>
    <row r="9300" spans="1:3" x14ac:dyDescent="0.25">
      <c r="A9300" s="178">
        <v>521140</v>
      </c>
      <c r="B9300" s="179" t="s">
        <v>456</v>
      </c>
      <c r="C9300" s="180">
        <v>375</v>
      </c>
    </row>
    <row r="9301" spans="1:3" x14ac:dyDescent="0.25">
      <c r="A9301" s="178">
        <v>521142</v>
      </c>
      <c r="B9301" s="179" t="s">
        <v>456</v>
      </c>
      <c r="C9301" s="180">
        <v>400</v>
      </c>
    </row>
    <row r="9302" spans="1:3" x14ac:dyDescent="0.25">
      <c r="A9302" s="178">
        <v>521144</v>
      </c>
      <c r="B9302" s="179" t="s">
        <v>456</v>
      </c>
      <c r="C9302" s="180">
        <v>500</v>
      </c>
    </row>
    <row r="9303" spans="1:3" x14ac:dyDescent="0.25">
      <c r="A9303" s="178">
        <v>521152</v>
      </c>
      <c r="B9303" s="179" t="s">
        <v>456</v>
      </c>
      <c r="C9303" s="180">
        <v>400</v>
      </c>
    </row>
    <row r="9304" spans="1:3" x14ac:dyDescent="0.25">
      <c r="A9304" s="178">
        <v>521153</v>
      </c>
      <c r="B9304" s="179" t="s">
        <v>456</v>
      </c>
      <c r="C9304" s="180">
        <v>250</v>
      </c>
    </row>
    <row r="9305" spans="1:3" x14ac:dyDescent="0.25">
      <c r="A9305" s="178">
        <v>521163</v>
      </c>
      <c r="B9305" s="179" t="s">
        <v>456</v>
      </c>
      <c r="C9305" s="180">
        <v>672</v>
      </c>
    </row>
    <row r="9306" spans="1:3" x14ac:dyDescent="0.25">
      <c r="A9306" s="178">
        <v>521166</v>
      </c>
      <c r="B9306" s="179" t="s">
        <v>456</v>
      </c>
      <c r="C9306" s="180">
        <v>1000</v>
      </c>
    </row>
    <row r="9307" spans="1:3" x14ac:dyDescent="0.25">
      <c r="A9307" s="178">
        <v>521167</v>
      </c>
      <c r="B9307" s="179" t="s">
        <v>456</v>
      </c>
      <c r="C9307" s="180">
        <v>108</v>
      </c>
    </row>
    <row r="9308" spans="1:3" x14ac:dyDescent="0.25">
      <c r="A9308" s="178">
        <v>521230</v>
      </c>
      <c r="B9308" s="179" t="s">
        <v>456</v>
      </c>
      <c r="C9308" s="180">
        <v>1000</v>
      </c>
    </row>
    <row r="9309" spans="1:3" x14ac:dyDescent="0.25">
      <c r="A9309" s="178">
        <v>521256</v>
      </c>
      <c r="B9309" s="179" t="s">
        <v>456</v>
      </c>
      <c r="C9309" s="180">
        <v>500</v>
      </c>
    </row>
    <row r="9310" spans="1:3" x14ac:dyDescent="0.25">
      <c r="A9310" s="178">
        <v>521258</v>
      </c>
      <c r="B9310" s="179" t="s">
        <v>456</v>
      </c>
      <c r="C9310" s="180">
        <v>640</v>
      </c>
    </row>
    <row r="9311" spans="1:3" x14ac:dyDescent="0.25">
      <c r="A9311" s="178">
        <v>521267</v>
      </c>
      <c r="B9311" s="179" t="s">
        <v>456</v>
      </c>
      <c r="C9311" s="180">
        <v>1000</v>
      </c>
    </row>
    <row r="9312" spans="1:3" x14ac:dyDescent="0.25">
      <c r="A9312" s="178">
        <v>521270</v>
      </c>
      <c r="B9312" s="179" t="s">
        <v>456</v>
      </c>
      <c r="C9312" s="180">
        <v>1000</v>
      </c>
    </row>
    <row r="9313" spans="1:3" x14ac:dyDescent="0.25">
      <c r="A9313" s="178">
        <v>521271</v>
      </c>
      <c r="B9313" s="179" t="s">
        <v>456</v>
      </c>
      <c r="C9313" s="180">
        <v>640</v>
      </c>
    </row>
    <row r="9314" spans="1:3" x14ac:dyDescent="0.25">
      <c r="A9314" s="178">
        <v>521284</v>
      </c>
      <c r="B9314" s="179" t="s">
        <v>456</v>
      </c>
      <c r="C9314" s="180">
        <v>1000</v>
      </c>
    </row>
    <row r="9315" spans="1:3" x14ac:dyDescent="0.25">
      <c r="A9315" s="178">
        <v>521287</v>
      </c>
      <c r="B9315" s="179" t="s">
        <v>456</v>
      </c>
      <c r="C9315" s="180">
        <v>432</v>
      </c>
    </row>
    <row r="9316" spans="1:3" x14ac:dyDescent="0.25">
      <c r="A9316" s="178">
        <v>521291</v>
      </c>
      <c r="B9316" s="179" t="s">
        <v>456</v>
      </c>
      <c r="C9316" s="180">
        <v>720</v>
      </c>
    </row>
    <row r="9317" spans="1:3" x14ac:dyDescent="0.25">
      <c r="A9317" s="178">
        <v>521295</v>
      </c>
      <c r="B9317" s="179" t="s">
        <v>456</v>
      </c>
      <c r="C9317" s="180">
        <v>980</v>
      </c>
    </row>
    <row r="9318" spans="1:3" x14ac:dyDescent="0.25">
      <c r="A9318" s="178">
        <v>521304</v>
      </c>
      <c r="B9318" s="179" t="s">
        <v>456</v>
      </c>
      <c r="C9318" s="180">
        <v>825</v>
      </c>
    </row>
    <row r="9319" spans="1:3" x14ac:dyDescent="0.25">
      <c r="A9319" s="178">
        <v>521305</v>
      </c>
      <c r="B9319" s="179" t="s">
        <v>456</v>
      </c>
      <c r="C9319" s="180">
        <v>675</v>
      </c>
    </row>
    <row r="9320" spans="1:3" x14ac:dyDescent="0.25">
      <c r="A9320" s="178">
        <v>521306</v>
      </c>
      <c r="B9320" s="179" t="s">
        <v>456</v>
      </c>
      <c r="C9320" s="180">
        <v>675</v>
      </c>
    </row>
    <row r="9321" spans="1:3" x14ac:dyDescent="0.25">
      <c r="A9321" s="178">
        <v>521315</v>
      </c>
      <c r="B9321" s="179" t="s">
        <v>456</v>
      </c>
      <c r="C9321" s="180">
        <v>480</v>
      </c>
    </row>
    <row r="9322" spans="1:3" x14ac:dyDescent="0.25">
      <c r="A9322" s="178">
        <v>521318</v>
      </c>
      <c r="B9322" s="179" t="s">
        <v>456</v>
      </c>
      <c r="C9322" s="180">
        <v>825</v>
      </c>
    </row>
    <row r="9323" spans="1:3" x14ac:dyDescent="0.25">
      <c r="A9323" s="178">
        <v>521320</v>
      </c>
      <c r="B9323" s="179" t="s">
        <v>456</v>
      </c>
      <c r="C9323" s="180">
        <v>250</v>
      </c>
    </row>
    <row r="9324" spans="1:3" x14ac:dyDescent="0.25">
      <c r="A9324" s="178">
        <v>521321</v>
      </c>
      <c r="B9324" s="179" t="s">
        <v>456</v>
      </c>
      <c r="C9324" s="180">
        <v>250</v>
      </c>
    </row>
    <row r="9325" spans="1:3" x14ac:dyDescent="0.25">
      <c r="A9325" s="178">
        <v>521323</v>
      </c>
      <c r="B9325" s="179" t="s">
        <v>456</v>
      </c>
      <c r="C9325" s="180">
        <v>525</v>
      </c>
    </row>
    <row r="9326" spans="1:3" x14ac:dyDescent="0.25">
      <c r="A9326" s="178">
        <v>521326</v>
      </c>
      <c r="B9326" s="179" t="s">
        <v>456</v>
      </c>
      <c r="C9326" s="180">
        <v>1000</v>
      </c>
    </row>
    <row r="9327" spans="1:3" x14ac:dyDescent="0.25">
      <c r="A9327" s="178">
        <v>521327</v>
      </c>
      <c r="B9327" s="179" t="s">
        <v>456</v>
      </c>
      <c r="C9327" s="180">
        <v>720</v>
      </c>
    </row>
    <row r="9328" spans="1:3" x14ac:dyDescent="0.25">
      <c r="A9328" s="178">
        <v>521335</v>
      </c>
      <c r="B9328" s="179" t="s">
        <v>456</v>
      </c>
      <c r="C9328" s="180">
        <v>640</v>
      </c>
    </row>
    <row r="9329" spans="1:3" x14ac:dyDescent="0.25">
      <c r="A9329" s="178">
        <v>521336</v>
      </c>
      <c r="B9329" s="179" t="s">
        <v>456</v>
      </c>
      <c r="C9329" s="180">
        <v>540</v>
      </c>
    </row>
    <row r="9330" spans="1:3" x14ac:dyDescent="0.25">
      <c r="A9330" s="178">
        <v>521341</v>
      </c>
      <c r="B9330" s="179" t="s">
        <v>456</v>
      </c>
      <c r="C9330" s="180">
        <v>540</v>
      </c>
    </row>
    <row r="9331" spans="1:3" x14ac:dyDescent="0.25">
      <c r="A9331" s="178">
        <v>521342</v>
      </c>
      <c r="B9331" s="179" t="s">
        <v>456</v>
      </c>
      <c r="C9331" s="180">
        <v>500</v>
      </c>
    </row>
    <row r="9332" spans="1:3" x14ac:dyDescent="0.25">
      <c r="A9332" s="178">
        <v>521343</v>
      </c>
      <c r="B9332" s="179" t="s">
        <v>456</v>
      </c>
      <c r="C9332" s="180">
        <v>640</v>
      </c>
    </row>
    <row r="9333" spans="1:3" x14ac:dyDescent="0.25">
      <c r="A9333" s="178">
        <v>521345</v>
      </c>
      <c r="B9333" s="179" t="s">
        <v>456</v>
      </c>
      <c r="C9333" s="180">
        <v>1000</v>
      </c>
    </row>
    <row r="9334" spans="1:3" x14ac:dyDescent="0.25">
      <c r="A9334" s="178">
        <v>521347</v>
      </c>
      <c r="B9334" s="179" t="s">
        <v>456</v>
      </c>
      <c r="C9334" s="180">
        <v>825</v>
      </c>
    </row>
    <row r="9335" spans="1:3" x14ac:dyDescent="0.25">
      <c r="A9335" s="178">
        <v>521350</v>
      </c>
      <c r="B9335" s="179" t="s">
        <v>456</v>
      </c>
      <c r="C9335" s="180">
        <v>675</v>
      </c>
    </row>
    <row r="9336" spans="1:3" x14ac:dyDescent="0.25">
      <c r="A9336" s="178">
        <v>521351</v>
      </c>
      <c r="B9336" s="179" t="s">
        <v>456</v>
      </c>
      <c r="C9336" s="180">
        <v>625</v>
      </c>
    </row>
    <row r="9337" spans="1:3" x14ac:dyDescent="0.25">
      <c r="A9337" s="178">
        <v>521356</v>
      </c>
      <c r="B9337" s="179" t="s">
        <v>456</v>
      </c>
      <c r="C9337" s="180">
        <v>640</v>
      </c>
    </row>
    <row r="9338" spans="1:3" x14ac:dyDescent="0.25">
      <c r="A9338" s="178">
        <v>521361</v>
      </c>
      <c r="B9338" s="179" t="s">
        <v>456</v>
      </c>
      <c r="C9338" s="180">
        <v>860</v>
      </c>
    </row>
    <row r="9339" spans="1:3" x14ac:dyDescent="0.25">
      <c r="A9339" s="178">
        <v>521362</v>
      </c>
      <c r="B9339" s="179" t="s">
        <v>456</v>
      </c>
      <c r="C9339" s="180">
        <v>500</v>
      </c>
    </row>
    <row r="9340" spans="1:3" x14ac:dyDescent="0.25">
      <c r="A9340" s="178">
        <v>521364</v>
      </c>
      <c r="B9340" s="179" t="s">
        <v>456</v>
      </c>
      <c r="C9340" s="180">
        <v>860</v>
      </c>
    </row>
    <row r="9341" spans="1:3" x14ac:dyDescent="0.25">
      <c r="A9341" s="178">
        <v>521368</v>
      </c>
      <c r="B9341" s="179" t="s">
        <v>456</v>
      </c>
      <c r="C9341" s="180">
        <v>396</v>
      </c>
    </row>
    <row r="9342" spans="1:3" x14ac:dyDescent="0.25">
      <c r="A9342" s="178">
        <v>521370</v>
      </c>
      <c r="B9342" s="179" t="s">
        <v>456</v>
      </c>
      <c r="C9342" s="180">
        <v>500</v>
      </c>
    </row>
    <row r="9343" spans="1:3" x14ac:dyDescent="0.25">
      <c r="A9343" s="178">
        <v>521371</v>
      </c>
      <c r="B9343" s="179" t="s">
        <v>456</v>
      </c>
      <c r="C9343" s="180">
        <v>1260</v>
      </c>
    </row>
    <row r="9344" spans="1:3" x14ac:dyDescent="0.25">
      <c r="A9344" s="178">
        <v>521372</v>
      </c>
      <c r="B9344" s="179" t="s">
        <v>456</v>
      </c>
      <c r="C9344" s="180">
        <v>1260</v>
      </c>
    </row>
    <row r="9345" spans="1:3" x14ac:dyDescent="0.25">
      <c r="A9345" s="178">
        <v>540907</v>
      </c>
      <c r="B9345" s="179" t="s">
        <v>456</v>
      </c>
      <c r="C9345" s="180">
        <v>1000</v>
      </c>
    </row>
    <row r="9346" spans="1:3" x14ac:dyDescent="0.25">
      <c r="A9346" s="178">
        <v>701887</v>
      </c>
      <c r="B9346" s="179" t="s">
        <v>456</v>
      </c>
      <c r="C9346" s="180">
        <v>5670</v>
      </c>
    </row>
    <row r="9347" spans="1:3" x14ac:dyDescent="0.25">
      <c r="A9347" s="178">
        <v>701893</v>
      </c>
      <c r="B9347" s="179" t="s">
        <v>456</v>
      </c>
      <c r="C9347" s="180">
        <v>805</v>
      </c>
    </row>
    <row r="9348" spans="1:3" x14ac:dyDescent="0.25">
      <c r="A9348" s="178">
        <v>702410</v>
      </c>
      <c r="B9348" s="179" t="s">
        <v>456</v>
      </c>
      <c r="C9348" s="180">
        <v>312</v>
      </c>
    </row>
    <row r="9349" spans="1:3" x14ac:dyDescent="0.25">
      <c r="A9349" s="178">
        <v>703320</v>
      </c>
      <c r="B9349" s="179" t="s">
        <v>456</v>
      </c>
      <c r="C9349" s="180">
        <v>600</v>
      </c>
    </row>
    <row r="9350" spans="1:3" x14ac:dyDescent="0.25">
      <c r="A9350" s="178">
        <v>704070</v>
      </c>
      <c r="B9350" s="179" t="s">
        <v>456</v>
      </c>
      <c r="C9350" s="180">
        <v>600</v>
      </c>
    </row>
    <row r="9351" spans="1:3" x14ac:dyDescent="0.25">
      <c r="A9351" s="178">
        <v>704440</v>
      </c>
      <c r="B9351" s="179" t="s">
        <v>456</v>
      </c>
      <c r="C9351" s="180">
        <v>312</v>
      </c>
    </row>
    <row r="9352" spans="1:3" x14ac:dyDescent="0.25">
      <c r="A9352" s="178">
        <v>704850</v>
      </c>
      <c r="B9352" s="179" t="s">
        <v>456</v>
      </c>
      <c r="C9352" s="180">
        <v>700</v>
      </c>
    </row>
    <row r="9353" spans="1:3" x14ac:dyDescent="0.25">
      <c r="A9353" s="178">
        <v>704910</v>
      </c>
      <c r="B9353" s="179" t="s">
        <v>456</v>
      </c>
      <c r="C9353" s="180">
        <v>4374</v>
      </c>
    </row>
    <row r="9354" spans="1:3" x14ac:dyDescent="0.25">
      <c r="A9354" s="178">
        <v>705021</v>
      </c>
      <c r="B9354" s="179" t="s">
        <v>456</v>
      </c>
      <c r="C9354" s="180">
        <v>6480</v>
      </c>
    </row>
    <row r="9355" spans="1:3" x14ac:dyDescent="0.25">
      <c r="A9355" s="178">
        <v>705023</v>
      </c>
      <c r="B9355" s="179" t="s">
        <v>456</v>
      </c>
      <c r="C9355" s="180">
        <v>6480</v>
      </c>
    </row>
    <row r="9356" spans="1:3" x14ac:dyDescent="0.25">
      <c r="A9356" s="178">
        <v>705025</v>
      </c>
      <c r="B9356" s="179" t="s">
        <v>456</v>
      </c>
      <c r="C9356" s="180">
        <v>6480</v>
      </c>
    </row>
    <row r="9357" spans="1:3" x14ac:dyDescent="0.25">
      <c r="A9357" s="178">
        <v>705040</v>
      </c>
      <c r="B9357" s="179" t="s">
        <v>456</v>
      </c>
      <c r="C9357" s="180">
        <v>162</v>
      </c>
    </row>
    <row r="9358" spans="1:3" x14ac:dyDescent="0.25">
      <c r="A9358" s="178">
        <v>705041</v>
      </c>
      <c r="B9358" s="179" t="s">
        <v>456</v>
      </c>
      <c r="C9358" s="180">
        <v>162</v>
      </c>
    </row>
    <row r="9359" spans="1:3" x14ac:dyDescent="0.25">
      <c r="A9359" s="178">
        <v>705101</v>
      </c>
      <c r="B9359" s="179" t="s">
        <v>456</v>
      </c>
      <c r="C9359" s="180">
        <v>162</v>
      </c>
    </row>
    <row r="9360" spans="1:3" x14ac:dyDescent="0.25">
      <c r="A9360" s="178">
        <v>705102</v>
      </c>
      <c r="B9360" s="179" t="s">
        <v>456</v>
      </c>
      <c r="C9360" s="180">
        <v>162</v>
      </c>
    </row>
    <row r="9361" spans="1:3" x14ac:dyDescent="0.25">
      <c r="A9361" s="178">
        <v>710041</v>
      </c>
      <c r="B9361" s="179" t="s">
        <v>456</v>
      </c>
      <c r="C9361" s="180">
        <v>99999</v>
      </c>
    </row>
    <row r="9362" spans="1:3" x14ac:dyDescent="0.25">
      <c r="A9362" s="178">
        <v>710042</v>
      </c>
      <c r="B9362" s="179" t="s">
        <v>456</v>
      </c>
      <c r="C9362" s="180">
        <v>99999</v>
      </c>
    </row>
    <row r="9363" spans="1:3" x14ac:dyDescent="0.25">
      <c r="A9363" s="178">
        <v>710043</v>
      </c>
      <c r="B9363" s="179" t="s">
        <v>456</v>
      </c>
      <c r="C9363" s="180">
        <v>99999</v>
      </c>
    </row>
    <row r="9364" spans="1:3" x14ac:dyDescent="0.25">
      <c r="A9364" s="178">
        <v>710046</v>
      </c>
      <c r="B9364" s="179" t="s">
        <v>456</v>
      </c>
      <c r="C9364" s="180">
        <v>99999</v>
      </c>
    </row>
    <row r="9365" spans="1:3" x14ac:dyDescent="0.25">
      <c r="A9365" s="178">
        <v>710055</v>
      </c>
      <c r="B9365" s="179" t="s">
        <v>456</v>
      </c>
      <c r="C9365" s="180">
        <v>80</v>
      </c>
    </row>
    <row r="9366" spans="1:3" x14ac:dyDescent="0.25">
      <c r="A9366" s="178">
        <v>710117</v>
      </c>
      <c r="B9366" s="179" t="s">
        <v>456</v>
      </c>
      <c r="C9366" s="180">
        <v>400</v>
      </c>
    </row>
    <row r="9367" spans="1:3" x14ac:dyDescent="0.25">
      <c r="A9367" s="178">
        <v>710135</v>
      </c>
      <c r="B9367" s="179" t="s">
        <v>456</v>
      </c>
      <c r="C9367" s="180">
        <v>600</v>
      </c>
    </row>
    <row r="9368" spans="1:3" x14ac:dyDescent="0.25">
      <c r="A9368" s="178">
        <v>710139</v>
      </c>
      <c r="B9368" s="179" t="s">
        <v>456</v>
      </c>
      <c r="C9368" s="180">
        <v>600</v>
      </c>
    </row>
    <row r="9369" spans="1:3" x14ac:dyDescent="0.25">
      <c r="A9369" s="178">
        <v>710157</v>
      </c>
      <c r="B9369" s="179" t="s">
        <v>456</v>
      </c>
      <c r="C9369" s="180">
        <v>80</v>
      </c>
    </row>
    <row r="9370" spans="1:3" x14ac:dyDescent="0.25">
      <c r="A9370" s="178">
        <v>710161</v>
      </c>
      <c r="B9370" s="179" t="s">
        <v>456</v>
      </c>
      <c r="C9370" s="180">
        <v>670</v>
      </c>
    </row>
    <row r="9371" spans="1:3" x14ac:dyDescent="0.25">
      <c r="A9371" s="178">
        <v>710177</v>
      </c>
      <c r="B9371" s="179" t="s">
        <v>456</v>
      </c>
      <c r="C9371" s="180">
        <v>400</v>
      </c>
    </row>
    <row r="9372" spans="1:3" x14ac:dyDescent="0.25">
      <c r="A9372" s="178">
        <v>710181</v>
      </c>
      <c r="B9372" s="179" t="s">
        <v>456</v>
      </c>
      <c r="C9372" s="180">
        <v>400</v>
      </c>
    </row>
    <row r="9373" spans="1:3" x14ac:dyDescent="0.25">
      <c r="A9373" s="178">
        <v>710207</v>
      </c>
      <c r="B9373" s="179" t="s">
        <v>456</v>
      </c>
      <c r="C9373" s="180">
        <v>450</v>
      </c>
    </row>
    <row r="9374" spans="1:3" x14ac:dyDescent="0.25">
      <c r="A9374" s="178">
        <v>710208</v>
      </c>
      <c r="B9374" s="179" t="s">
        <v>456</v>
      </c>
      <c r="C9374" s="180">
        <v>99999</v>
      </c>
    </row>
    <row r="9375" spans="1:3" x14ac:dyDescent="0.25">
      <c r="A9375" s="178">
        <v>710227</v>
      </c>
      <c r="B9375" s="179" t="s">
        <v>456</v>
      </c>
      <c r="C9375" s="180">
        <v>400</v>
      </c>
    </row>
    <row r="9376" spans="1:3" x14ac:dyDescent="0.25">
      <c r="A9376" s="178">
        <v>710233</v>
      </c>
      <c r="B9376" s="179" t="s">
        <v>456</v>
      </c>
      <c r="C9376" s="180">
        <v>350</v>
      </c>
    </row>
    <row r="9377" spans="1:3" x14ac:dyDescent="0.25">
      <c r="A9377" s="178">
        <v>710235</v>
      </c>
      <c r="B9377" s="179" t="s">
        <v>456</v>
      </c>
      <c r="C9377" s="180">
        <v>1000</v>
      </c>
    </row>
    <row r="9378" spans="1:3" x14ac:dyDescent="0.25">
      <c r="A9378" s="178">
        <v>710236</v>
      </c>
      <c r="B9378" s="179" t="s">
        <v>456</v>
      </c>
      <c r="C9378" s="180">
        <v>1000</v>
      </c>
    </row>
    <row r="9379" spans="1:3" x14ac:dyDescent="0.25">
      <c r="A9379" s="178">
        <v>710244</v>
      </c>
      <c r="B9379" s="179" t="s">
        <v>456</v>
      </c>
      <c r="C9379" s="180">
        <v>80</v>
      </c>
    </row>
    <row r="9380" spans="1:3" x14ac:dyDescent="0.25">
      <c r="A9380" s="178">
        <v>710265</v>
      </c>
      <c r="B9380" s="179" t="s">
        <v>456</v>
      </c>
      <c r="C9380" s="180">
        <v>420</v>
      </c>
    </row>
    <row r="9381" spans="1:3" x14ac:dyDescent="0.25">
      <c r="A9381" s="178">
        <v>710267</v>
      </c>
      <c r="B9381" s="179" t="s">
        <v>456</v>
      </c>
      <c r="C9381" s="180">
        <v>250</v>
      </c>
    </row>
    <row r="9382" spans="1:3" x14ac:dyDescent="0.25">
      <c r="A9382" s="178">
        <v>710295</v>
      </c>
      <c r="B9382" s="179" t="s">
        <v>456</v>
      </c>
      <c r="C9382" s="180">
        <v>80</v>
      </c>
    </row>
    <row r="9383" spans="1:3" x14ac:dyDescent="0.25">
      <c r="A9383" s="178">
        <v>710302</v>
      </c>
      <c r="B9383" s="179" t="s">
        <v>456</v>
      </c>
      <c r="C9383" s="180">
        <v>400</v>
      </c>
    </row>
    <row r="9384" spans="1:3" x14ac:dyDescent="0.25">
      <c r="A9384" s="178">
        <v>710307</v>
      </c>
      <c r="B9384" s="179" t="s">
        <v>456</v>
      </c>
      <c r="C9384" s="180">
        <v>400</v>
      </c>
    </row>
    <row r="9385" spans="1:3" x14ac:dyDescent="0.25">
      <c r="A9385" s="178">
        <v>710333</v>
      </c>
      <c r="B9385" s="179" t="s">
        <v>456</v>
      </c>
      <c r="C9385" s="180">
        <v>700</v>
      </c>
    </row>
    <row r="9386" spans="1:3" x14ac:dyDescent="0.25">
      <c r="A9386" s="178">
        <v>710334</v>
      </c>
      <c r="B9386" s="179" t="s">
        <v>456</v>
      </c>
      <c r="C9386" s="180">
        <v>700</v>
      </c>
    </row>
    <row r="9387" spans="1:3" x14ac:dyDescent="0.25">
      <c r="A9387" s="178">
        <v>710343</v>
      </c>
      <c r="B9387" s="179" t="s">
        <v>456</v>
      </c>
      <c r="C9387" s="180">
        <v>115</v>
      </c>
    </row>
    <row r="9388" spans="1:3" x14ac:dyDescent="0.25">
      <c r="A9388" s="178">
        <v>710344</v>
      </c>
      <c r="B9388" s="179" t="s">
        <v>456</v>
      </c>
      <c r="C9388" s="180">
        <v>115</v>
      </c>
    </row>
    <row r="9389" spans="1:3" x14ac:dyDescent="0.25">
      <c r="A9389" s="178">
        <v>710345</v>
      </c>
      <c r="B9389" s="179" t="s">
        <v>456</v>
      </c>
      <c r="C9389" s="180">
        <v>115</v>
      </c>
    </row>
    <row r="9390" spans="1:3" x14ac:dyDescent="0.25">
      <c r="A9390" s="178">
        <v>710346</v>
      </c>
      <c r="B9390" s="179" t="s">
        <v>456</v>
      </c>
      <c r="C9390" s="180">
        <v>115</v>
      </c>
    </row>
    <row r="9391" spans="1:3" x14ac:dyDescent="0.25">
      <c r="A9391" s="178">
        <v>710347</v>
      </c>
      <c r="B9391" s="179" t="s">
        <v>456</v>
      </c>
      <c r="C9391" s="180">
        <v>115</v>
      </c>
    </row>
    <row r="9392" spans="1:3" x14ac:dyDescent="0.25">
      <c r="A9392" s="178">
        <v>710348</v>
      </c>
      <c r="B9392" s="179" t="s">
        <v>456</v>
      </c>
      <c r="C9392" s="180">
        <v>115</v>
      </c>
    </row>
    <row r="9393" spans="1:3" x14ac:dyDescent="0.25">
      <c r="A9393" s="178">
        <v>710378</v>
      </c>
      <c r="B9393" s="179" t="s">
        <v>456</v>
      </c>
      <c r="C9393" s="180">
        <v>80</v>
      </c>
    </row>
    <row r="9394" spans="1:3" x14ac:dyDescent="0.25">
      <c r="A9394" s="178">
        <v>710391</v>
      </c>
      <c r="B9394" s="179" t="s">
        <v>456</v>
      </c>
      <c r="C9394" s="180">
        <v>250</v>
      </c>
    </row>
    <row r="9395" spans="1:3" x14ac:dyDescent="0.25">
      <c r="A9395" s="178">
        <v>710392</v>
      </c>
      <c r="B9395" s="179" t="s">
        <v>456</v>
      </c>
      <c r="C9395" s="180">
        <v>250</v>
      </c>
    </row>
    <row r="9396" spans="1:3" x14ac:dyDescent="0.25">
      <c r="A9396" s="178">
        <v>710393</v>
      </c>
      <c r="B9396" s="179" t="s">
        <v>456</v>
      </c>
      <c r="C9396" s="180">
        <v>80</v>
      </c>
    </row>
    <row r="9397" spans="1:3" x14ac:dyDescent="0.25">
      <c r="A9397" s="178">
        <v>710398</v>
      </c>
      <c r="B9397" s="179" t="s">
        <v>456</v>
      </c>
      <c r="C9397" s="180">
        <v>250</v>
      </c>
    </row>
    <row r="9398" spans="1:3" x14ac:dyDescent="0.25">
      <c r="A9398" s="178">
        <v>710401</v>
      </c>
      <c r="B9398" s="179" t="s">
        <v>456</v>
      </c>
      <c r="C9398" s="180">
        <v>99999</v>
      </c>
    </row>
    <row r="9399" spans="1:3" x14ac:dyDescent="0.25">
      <c r="A9399" s="178">
        <v>710406</v>
      </c>
      <c r="B9399" s="179" t="s">
        <v>456</v>
      </c>
      <c r="C9399" s="180">
        <v>720</v>
      </c>
    </row>
    <row r="9400" spans="1:3" x14ac:dyDescent="0.25">
      <c r="A9400" s="178">
        <v>711588</v>
      </c>
      <c r="B9400" s="179" t="s">
        <v>456</v>
      </c>
      <c r="C9400" s="180">
        <v>400</v>
      </c>
    </row>
    <row r="9401" spans="1:3" x14ac:dyDescent="0.25">
      <c r="A9401" s="178">
        <v>711606</v>
      </c>
      <c r="B9401" s="179" t="s">
        <v>456</v>
      </c>
      <c r="C9401" s="180">
        <v>99999</v>
      </c>
    </row>
    <row r="9402" spans="1:3" x14ac:dyDescent="0.25">
      <c r="A9402" s="178">
        <v>711607</v>
      </c>
      <c r="B9402" s="179" t="s">
        <v>456</v>
      </c>
      <c r="C9402" s="180">
        <v>99999</v>
      </c>
    </row>
    <row r="9403" spans="1:3" x14ac:dyDescent="0.25">
      <c r="A9403" s="178">
        <v>711742</v>
      </c>
      <c r="B9403" s="179" t="s">
        <v>456</v>
      </c>
      <c r="C9403" s="180">
        <v>3</v>
      </c>
    </row>
    <row r="9404" spans="1:3" x14ac:dyDescent="0.25">
      <c r="A9404" s="178">
        <v>711774</v>
      </c>
      <c r="B9404" s="179" t="s">
        <v>456</v>
      </c>
      <c r="C9404" s="180">
        <v>445</v>
      </c>
    </row>
    <row r="9405" spans="1:3" x14ac:dyDescent="0.25">
      <c r="A9405" s="178">
        <v>711776</v>
      </c>
      <c r="B9405" s="179" t="s">
        <v>456</v>
      </c>
      <c r="C9405" s="180">
        <v>99999</v>
      </c>
    </row>
    <row r="9406" spans="1:3" x14ac:dyDescent="0.25">
      <c r="A9406" s="178">
        <v>711808</v>
      </c>
      <c r="B9406" s="179" t="s">
        <v>456</v>
      </c>
      <c r="C9406" s="180">
        <v>450</v>
      </c>
    </row>
    <row r="9407" spans="1:3" x14ac:dyDescent="0.25">
      <c r="A9407" s="178">
        <v>712108</v>
      </c>
      <c r="B9407" s="179" t="s">
        <v>456</v>
      </c>
      <c r="C9407" s="180">
        <v>400</v>
      </c>
    </row>
    <row r="9408" spans="1:3" x14ac:dyDescent="0.25">
      <c r="A9408" s="178">
        <v>712120</v>
      </c>
      <c r="B9408" s="179" t="s">
        <v>456</v>
      </c>
      <c r="C9408" s="180">
        <v>445</v>
      </c>
    </row>
    <row r="9409" spans="1:3" x14ac:dyDescent="0.25">
      <c r="A9409" s="178">
        <v>712131</v>
      </c>
      <c r="B9409" s="179" t="s">
        <v>456</v>
      </c>
      <c r="C9409" s="180">
        <v>450</v>
      </c>
    </row>
    <row r="9410" spans="1:3" x14ac:dyDescent="0.25">
      <c r="A9410" s="178">
        <v>712136</v>
      </c>
      <c r="B9410" s="179" t="s">
        <v>456</v>
      </c>
      <c r="C9410" s="180">
        <v>3</v>
      </c>
    </row>
    <row r="9411" spans="1:3" x14ac:dyDescent="0.25">
      <c r="A9411" s="178">
        <v>712142</v>
      </c>
      <c r="B9411" s="179" t="s">
        <v>456</v>
      </c>
      <c r="C9411" s="180">
        <v>500</v>
      </c>
    </row>
    <row r="9412" spans="1:3" x14ac:dyDescent="0.25">
      <c r="A9412" s="178">
        <v>712172</v>
      </c>
      <c r="B9412" s="179" t="s">
        <v>456</v>
      </c>
      <c r="C9412" s="180">
        <v>300</v>
      </c>
    </row>
    <row r="9413" spans="1:3" x14ac:dyDescent="0.25">
      <c r="A9413" s="178">
        <v>712177</v>
      </c>
      <c r="B9413" s="179" t="s">
        <v>456</v>
      </c>
      <c r="C9413" s="180">
        <v>300</v>
      </c>
    </row>
    <row r="9414" spans="1:3" x14ac:dyDescent="0.25">
      <c r="A9414" s="178">
        <v>712231</v>
      </c>
      <c r="B9414" s="179" t="s">
        <v>456</v>
      </c>
      <c r="C9414" s="180">
        <v>99999</v>
      </c>
    </row>
    <row r="9415" spans="1:3" x14ac:dyDescent="0.25">
      <c r="A9415" s="178">
        <v>712237</v>
      </c>
      <c r="B9415" s="179" t="s">
        <v>456</v>
      </c>
      <c r="C9415" s="180">
        <v>500</v>
      </c>
    </row>
    <row r="9416" spans="1:3" x14ac:dyDescent="0.25">
      <c r="A9416" s="178">
        <v>712238</v>
      </c>
      <c r="B9416" s="179" t="s">
        <v>456</v>
      </c>
      <c r="C9416" s="180">
        <v>500</v>
      </c>
    </row>
    <row r="9417" spans="1:3" x14ac:dyDescent="0.25">
      <c r="A9417" s="178">
        <v>712239</v>
      </c>
      <c r="B9417" s="179" t="s">
        <v>456</v>
      </c>
      <c r="C9417" s="180">
        <v>500</v>
      </c>
    </row>
    <row r="9418" spans="1:3" x14ac:dyDescent="0.25">
      <c r="A9418" s="178">
        <v>712240</v>
      </c>
      <c r="B9418" s="179" t="s">
        <v>456</v>
      </c>
      <c r="C9418" s="180">
        <v>500</v>
      </c>
    </row>
    <row r="9419" spans="1:3" x14ac:dyDescent="0.25">
      <c r="A9419" s="178">
        <v>712241</v>
      </c>
      <c r="B9419" s="179" t="s">
        <v>456</v>
      </c>
      <c r="C9419" s="180">
        <v>500</v>
      </c>
    </row>
    <row r="9420" spans="1:3" x14ac:dyDescent="0.25">
      <c r="A9420" s="178">
        <v>712242</v>
      </c>
      <c r="B9420" s="179" t="s">
        <v>456</v>
      </c>
      <c r="C9420" s="180">
        <v>500</v>
      </c>
    </row>
    <row r="9421" spans="1:3" x14ac:dyDescent="0.25">
      <c r="A9421" s="178">
        <v>712243</v>
      </c>
      <c r="B9421" s="179" t="s">
        <v>456</v>
      </c>
      <c r="C9421" s="180">
        <v>500</v>
      </c>
    </row>
    <row r="9422" spans="1:3" x14ac:dyDescent="0.25">
      <c r="A9422" s="178">
        <v>712244</v>
      </c>
      <c r="B9422" s="179" t="s">
        <v>456</v>
      </c>
      <c r="C9422" s="180">
        <v>600</v>
      </c>
    </row>
    <row r="9423" spans="1:3" x14ac:dyDescent="0.25">
      <c r="A9423" s="178">
        <v>712245</v>
      </c>
      <c r="B9423" s="179" t="s">
        <v>456</v>
      </c>
      <c r="C9423" s="180">
        <v>500</v>
      </c>
    </row>
    <row r="9424" spans="1:3" x14ac:dyDescent="0.25">
      <c r="A9424" s="178">
        <v>712246</v>
      </c>
      <c r="B9424" s="179" t="s">
        <v>456</v>
      </c>
      <c r="C9424" s="180">
        <v>500</v>
      </c>
    </row>
    <row r="9425" spans="1:3" x14ac:dyDescent="0.25">
      <c r="A9425" s="178">
        <v>712247</v>
      </c>
      <c r="B9425" s="179" t="s">
        <v>456</v>
      </c>
      <c r="C9425" s="180">
        <v>500</v>
      </c>
    </row>
    <row r="9426" spans="1:3" x14ac:dyDescent="0.25">
      <c r="A9426" s="178">
        <v>712248</v>
      </c>
      <c r="B9426" s="179" t="s">
        <v>456</v>
      </c>
      <c r="C9426" s="180">
        <v>500</v>
      </c>
    </row>
    <row r="9427" spans="1:3" x14ac:dyDescent="0.25">
      <c r="A9427" s="178">
        <v>712368</v>
      </c>
      <c r="B9427" s="179" t="s">
        <v>456</v>
      </c>
      <c r="C9427" s="180">
        <v>450</v>
      </c>
    </row>
    <row r="9428" spans="1:3" x14ac:dyDescent="0.25">
      <c r="A9428" s="178">
        <v>712452</v>
      </c>
      <c r="B9428" s="179" t="s">
        <v>456</v>
      </c>
      <c r="C9428" s="180">
        <v>60</v>
      </c>
    </row>
    <row r="9429" spans="1:3" x14ac:dyDescent="0.25">
      <c r="A9429" s="178">
        <v>712530</v>
      </c>
      <c r="B9429" s="179" t="s">
        <v>456</v>
      </c>
      <c r="C9429" s="180">
        <v>250</v>
      </c>
    </row>
    <row r="9430" spans="1:3" x14ac:dyDescent="0.25">
      <c r="A9430" s="178">
        <v>712549</v>
      </c>
      <c r="B9430" s="179" t="s">
        <v>456</v>
      </c>
      <c r="C9430" s="180">
        <v>445</v>
      </c>
    </row>
    <row r="9431" spans="1:3" x14ac:dyDescent="0.25">
      <c r="A9431" s="178">
        <v>712554</v>
      </c>
      <c r="B9431" s="179" t="s">
        <v>456</v>
      </c>
      <c r="C9431" s="180">
        <v>450</v>
      </c>
    </row>
    <row r="9432" spans="1:3" x14ac:dyDescent="0.25">
      <c r="A9432" s="178">
        <v>712597</v>
      </c>
      <c r="B9432" s="179" t="s">
        <v>456</v>
      </c>
      <c r="C9432" s="180">
        <v>500</v>
      </c>
    </row>
    <row r="9433" spans="1:3" x14ac:dyDescent="0.25">
      <c r="A9433" s="178">
        <v>712599</v>
      </c>
      <c r="B9433" s="179" t="s">
        <v>456</v>
      </c>
      <c r="C9433" s="180">
        <v>320</v>
      </c>
    </row>
    <row r="9434" spans="1:3" x14ac:dyDescent="0.25">
      <c r="A9434" s="178">
        <v>712615</v>
      </c>
      <c r="B9434" s="179" t="s">
        <v>456</v>
      </c>
      <c r="C9434" s="180">
        <v>445</v>
      </c>
    </row>
    <row r="9435" spans="1:3" x14ac:dyDescent="0.25">
      <c r="A9435" s="178">
        <v>712619</v>
      </c>
      <c r="B9435" s="179" t="s">
        <v>456</v>
      </c>
      <c r="C9435" s="180">
        <v>250</v>
      </c>
    </row>
    <row r="9436" spans="1:3" x14ac:dyDescent="0.25">
      <c r="A9436" s="178">
        <v>712624</v>
      </c>
      <c r="B9436" s="179" t="s">
        <v>456</v>
      </c>
      <c r="C9436" s="180">
        <v>300</v>
      </c>
    </row>
    <row r="9437" spans="1:3" x14ac:dyDescent="0.25">
      <c r="A9437" s="178">
        <v>712676</v>
      </c>
      <c r="B9437" s="179" t="s">
        <v>456</v>
      </c>
      <c r="C9437" s="180">
        <v>300</v>
      </c>
    </row>
    <row r="9438" spans="1:3" x14ac:dyDescent="0.25">
      <c r="A9438" s="178">
        <v>712712</v>
      </c>
      <c r="B9438" s="179" t="s">
        <v>456</v>
      </c>
      <c r="C9438" s="180">
        <v>500</v>
      </c>
    </row>
    <row r="9439" spans="1:3" x14ac:dyDescent="0.25">
      <c r="A9439" s="178">
        <v>712713</v>
      </c>
      <c r="B9439" s="179" t="s">
        <v>456</v>
      </c>
      <c r="C9439" s="180">
        <v>500</v>
      </c>
    </row>
    <row r="9440" spans="1:3" x14ac:dyDescent="0.25">
      <c r="A9440" s="178">
        <v>712735</v>
      </c>
      <c r="B9440" s="179" t="s">
        <v>456</v>
      </c>
      <c r="C9440" s="180">
        <v>250</v>
      </c>
    </row>
    <row r="9441" spans="1:3" x14ac:dyDescent="0.25">
      <c r="A9441" s="178">
        <v>712873</v>
      </c>
      <c r="B9441" s="179" t="s">
        <v>456</v>
      </c>
      <c r="C9441" s="180">
        <v>300</v>
      </c>
    </row>
    <row r="9442" spans="1:3" x14ac:dyDescent="0.25">
      <c r="A9442" s="178">
        <v>712880</v>
      </c>
      <c r="B9442" s="179" t="s">
        <v>456</v>
      </c>
      <c r="C9442" s="180">
        <v>300</v>
      </c>
    </row>
    <row r="9443" spans="1:3" x14ac:dyDescent="0.25">
      <c r="A9443" s="178">
        <v>712896</v>
      </c>
      <c r="B9443" s="179" t="s">
        <v>456</v>
      </c>
      <c r="C9443" s="180">
        <v>1000</v>
      </c>
    </row>
    <row r="9444" spans="1:3" x14ac:dyDescent="0.25">
      <c r="A9444" s="178">
        <v>712897</v>
      </c>
      <c r="B9444" s="179" t="s">
        <v>456</v>
      </c>
      <c r="C9444" s="180">
        <v>500</v>
      </c>
    </row>
    <row r="9445" spans="1:3" x14ac:dyDescent="0.25">
      <c r="A9445" s="178">
        <v>712898</v>
      </c>
      <c r="B9445" s="179" t="s">
        <v>456</v>
      </c>
      <c r="C9445" s="180">
        <v>99999</v>
      </c>
    </row>
    <row r="9446" spans="1:3" x14ac:dyDescent="0.25">
      <c r="A9446" s="178">
        <v>712902</v>
      </c>
      <c r="B9446" s="179" t="s">
        <v>456</v>
      </c>
      <c r="C9446" s="180">
        <v>500</v>
      </c>
    </row>
    <row r="9447" spans="1:3" x14ac:dyDescent="0.25">
      <c r="A9447" s="178">
        <v>712903</v>
      </c>
      <c r="B9447" s="179" t="s">
        <v>456</v>
      </c>
      <c r="C9447" s="180">
        <v>500</v>
      </c>
    </row>
    <row r="9448" spans="1:3" x14ac:dyDescent="0.25">
      <c r="A9448" s="178">
        <v>712904</v>
      </c>
      <c r="B9448" s="179" t="s">
        <v>456</v>
      </c>
      <c r="C9448" s="180">
        <v>500</v>
      </c>
    </row>
    <row r="9449" spans="1:3" x14ac:dyDescent="0.25">
      <c r="A9449" s="178">
        <v>712905</v>
      </c>
      <c r="B9449" s="179" t="s">
        <v>456</v>
      </c>
      <c r="C9449" s="180">
        <v>500</v>
      </c>
    </row>
    <row r="9450" spans="1:3" x14ac:dyDescent="0.25">
      <c r="A9450" s="178">
        <v>712907</v>
      </c>
      <c r="B9450" s="179" t="s">
        <v>456</v>
      </c>
      <c r="C9450" s="180">
        <v>500</v>
      </c>
    </row>
    <row r="9451" spans="1:3" x14ac:dyDescent="0.25">
      <c r="A9451" s="178">
        <v>712913</v>
      </c>
      <c r="B9451" s="179" t="s">
        <v>456</v>
      </c>
      <c r="C9451" s="180">
        <v>80</v>
      </c>
    </row>
    <row r="9452" spans="1:3" x14ac:dyDescent="0.25">
      <c r="A9452" s="178">
        <v>712914</v>
      </c>
      <c r="B9452" s="179" t="s">
        <v>456</v>
      </c>
      <c r="C9452" s="180">
        <v>250</v>
      </c>
    </row>
    <row r="9453" spans="1:3" x14ac:dyDescent="0.25">
      <c r="A9453" s="178">
        <v>712916</v>
      </c>
      <c r="B9453" s="179" t="s">
        <v>456</v>
      </c>
      <c r="C9453" s="180">
        <v>500</v>
      </c>
    </row>
    <row r="9454" spans="1:3" x14ac:dyDescent="0.25">
      <c r="A9454" s="178">
        <v>712919</v>
      </c>
      <c r="B9454" s="179" t="s">
        <v>456</v>
      </c>
      <c r="C9454" s="180">
        <v>1000</v>
      </c>
    </row>
    <row r="9455" spans="1:3" x14ac:dyDescent="0.25">
      <c r="A9455" s="178">
        <v>712920</v>
      </c>
      <c r="B9455" s="179" t="s">
        <v>456</v>
      </c>
      <c r="C9455" s="180">
        <v>1000</v>
      </c>
    </row>
    <row r="9456" spans="1:3" x14ac:dyDescent="0.25">
      <c r="A9456" s="178">
        <v>712924</v>
      </c>
      <c r="B9456" s="179" t="s">
        <v>456</v>
      </c>
      <c r="C9456" s="180">
        <v>1000</v>
      </c>
    </row>
    <row r="9457" spans="1:3" x14ac:dyDescent="0.25">
      <c r="A9457" s="178">
        <v>712964</v>
      </c>
      <c r="B9457" s="179" t="s">
        <v>456</v>
      </c>
      <c r="C9457" s="180">
        <v>300</v>
      </c>
    </row>
    <row r="9458" spans="1:3" x14ac:dyDescent="0.25">
      <c r="A9458" s="178">
        <v>712997</v>
      </c>
      <c r="B9458" s="179" t="s">
        <v>456</v>
      </c>
      <c r="C9458" s="180">
        <v>700</v>
      </c>
    </row>
    <row r="9459" spans="1:3" x14ac:dyDescent="0.25">
      <c r="A9459" s="178">
        <v>712998</v>
      </c>
      <c r="B9459" s="179" t="s">
        <v>456</v>
      </c>
      <c r="C9459" s="180">
        <v>700</v>
      </c>
    </row>
    <row r="9460" spans="1:3" x14ac:dyDescent="0.25">
      <c r="A9460" s="178">
        <v>712999</v>
      </c>
      <c r="B9460" s="179" t="s">
        <v>456</v>
      </c>
      <c r="C9460" s="180">
        <v>99999</v>
      </c>
    </row>
    <row r="9461" spans="1:3" x14ac:dyDescent="0.25">
      <c r="A9461" s="178">
        <v>713022</v>
      </c>
      <c r="B9461" s="179" t="s">
        <v>456</v>
      </c>
      <c r="C9461" s="180">
        <v>1000</v>
      </c>
    </row>
    <row r="9462" spans="1:3" x14ac:dyDescent="0.25">
      <c r="A9462" s="178">
        <v>713023</v>
      </c>
      <c r="B9462" s="179" t="s">
        <v>456</v>
      </c>
      <c r="C9462" s="180">
        <v>1000</v>
      </c>
    </row>
    <row r="9463" spans="1:3" x14ac:dyDescent="0.25">
      <c r="A9463" s="178">
        <v>713032</v>
      </c>
      <c r="B9463" s="179" t="s">
        <v>456</v>
      </c>
      <c r="C9463" s="180">
        <v>1000</v>
      </c>
    </row>
    <row r="9464" spans="1:3" x14ac:dyDescent="0.25">
      <c r="A9464" s="178">
        <v>713041</v>
      </c>
      <c r="B9464" s="179" t="s">
        <v>456</v>
      </c>
      <c r="C9464" s="180">
        <v>300</v>
      </c>
    </row>
    <row r="9465" spans="1:3" x14ac:dyDescent="0.25">
      <c r="A9465" s="178">
        <v>713043</v>
      </c>
      <c r="B9465" s="179" t="s">
        <v>456</v>
      </c>
      <c r="C9465" s="180">
        <v>1000</v>
      </c>
    </row>
    <row r="9466" spans="1:3" x14ac:dyDescent="0.25">
      <c r="A9466" s="178">
        <v>713044</v>
      </c>
      <c r="B9466" s="179" t="s">
        <v>456</v>
      </c>
      <c r="C9466" s="180">
        <v>1000</v>
      </c>
    </row>
    <row r="9467" spans="1:3" x14ac:dyDescent="0.25">
      <c r="A9467" s="178">
        <v>713045</v>
      </c>
      <c r="B9467" s="179" t="s">
        <v>456</v>
      </c>
      <c r="C9467" s="180">
        <v>1000</v>
      </c>
    </row>
    <row r="9468" spans="1:3" x14ac:dyDescent="0.25">
      <c r="A9468" s="178">
        <v>713049</v>
      </c>
      <c r="B9468" s="179" t="s">
        <v>456</v>
      </c>
      <c r="C9468" s="180">
        <v>300</v>
      </c>
    </row>
    <row r="9469" spans="1:3" x14ac:dyDescent="0.25">
      <c r="A9469" s="178">
        <v>713053</v>
      </c>
      <c r="B9469" s="179" t="s">
        <v>456</v>
      </c>
      <c r="C9469" s="180">
        <v>300</v>
      </c>
    </row>
    <row r="9470" spans="1:3" x14ac:dyDescent="0.25">
      <c r="A9470" s="178">
        <v>713070</v>
      </c>
      <c r="B9470" s="179" t="s">
        <v>456</v>
      </c>
      <c r="C9470" s="180">
        <v>780</v>
      </c>
    </row>
    <row r="9471" spans="1:3" x14ac:dyDescent="0.25">
      <c r="A9471" s="178">
        <v>713088</v>
      </c>
      <c r="B9471" s="179" t="s">
        <v>456</v>
      </c>
      <c r="C9471" s="180">
        <v>350</v>
      </c>
    </row>
    <row r="9472" spans="1:3" x14ac:dyDescent="0.25">
      <c r="A9472" s="178">
        <v>713091</v>
      </c>
      <c r="B9472" s="179" t="s">
        <v>456</v>
      </c>
      <c r="C9472" s="180">
        <v>450</v>
      </c>
    </row>
    <row r="9473" spans="1:3" x14ac:dyDescent="0.25">
      <c r="A9473" s="178">
        <v>713098</v>
      </c>
      <c r="B9473" s="179" t="s">
        <v>456</v>
      </c>
      <c r="C9473" s="180">
        <v>200</v>
      </c>
    </row>
    <row r="9474" spans="1:3" x14ac:dyDescent="0.25">
      <c r="A9474" s="178">
        <v>713102</v>
      </c>
      <c r="B9474" s="179" t="s">
        <v>456</v>
      </c>
      <c r="C9474" s="180">
        <v>700</v>
      </c>
    </row>
    <row r="9475" spans="1:3" x14ac:dyDescent="0.25">
      <c r="A9475" s="178">
        <v>713106</v>
      </c>
      <c r="B9475" s="179" t="s">
        <v>456</v>
      </c>
      <c r="C9475" s="180">
        <v>1000</v>
      </c>
    </row>
    <row r="9476" spans="1:3" x14ac:dyDescent="0.25">
      <c r="A9476" s="178">
        <v>713119</v>
      </c>
      <c r="B9476" s="179" t="s">
        <v>456</v>
      </c>
      <c r="C9476" s="180">
        <v>80</v>
      </c>
    </row>
    <row r="9477" spans="1:3" x14ac:dyDescent="0.25">
      <c r="A9477" s="178">
        <v>713120</v>
      </c>
      <c r="B9477" s="179" t="s">
        <v>456</v>
      </c>
      <c r="C9477" s="180">
        <v>250</v>
      </c>
    </row>
    <row r="9478" spans="1:3" x14ac:dyDescent="0.25">
      <c r="A9478" s="178">
        <v>713126</v>
      </c>
      <c r="B9478" s="179" t="s">
        <v>456</v>
      </c>
      <c r="C9478" s="180">
        <v>80</v>
      </c>
    </row>
    <row r="9479" spans="1:3" x14ac:dyDescent="0.25">
      <c r="A9479" s="178">
        <v>713163</v>
      </c>
      <c r="B9479" s="179" t="s">
        <v>456</v>
      </c>
      <c r="C9479" s="180">
        <v>500</v>
      </c>
    </row>
    <row r="9480" spans="1:3" x14ac:dyDescent="0.25">
      <c r="A9480" s="178">
        <v>713164</v>
      </c>
      <c r="B9480" s="179" t="s">
        <v>456</v>
      </c>
      <c r="C9480" s="180">
        <v>500</v>
      </c>
    </row>
    <row r="9481" spans="1:3" x14ac:dyDescent="0.25">
      <c r="A9481" s="178">
        <v>713165</v>
      </c>
      <c r="B9481" s="179" t="s">
        <v>456</v>
      </c>
      <c r="C9481" s="180">
        <v>450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31">
    <tabColor rgb="FFFF8080"/>
  </sheetPr>
  <dimension ref="A1:B77"/>
  <sheetViews>
    <sheetView showGridLines="0" zoomScale="85" zoomScaleNormal="85" workbookViewId="0"/>
  </sheetViews>
  <sheetFormatPr defaultColWidth="11.42578125" defaultRowHeight="15" x14ac:dyDescent="0.25"/>
  <cols>
    <col min="1" max="1" width="29.140625" bestFit="1" customWidth="1"/>
    <col min="2" max="2" width="81.85546875" bestFit="1" customWidth="1"/>
  </cols>
  <sheetData>
    <row r="1" spans="1:2" x14ac:dyDescent="0.25">
      <c r="A1" s="8" t="s">
        <v>23</v>
      </c>
      <c r="B1" s="8" t="s">
        <v>11</v>
      </c>
    </row>
    <row r="2" spans="1:2" x14ac:dyDescent="0.25">
      <c r="A2" s="20" t="s">
        <v>109</v>
      </c>
      <c r="B2" s="21" t="s">
        <v>110</v>
      </c>
    </row>
    <row r="3" spans="1:2" x14ac:dyDescent="0.25">
      <c r="A3" s="20" t="s">
        <v>111</v>
      </c>
      <c r="B3" s="21" t="s">
        <v>112</v>
      </c>
    </row>
    <row r="4" spans="1:2" x14ac:dyDescent="0.25">
      <c r="A4" s="20" t="s">
        <v>113</v>
      </c>
      <c r="B4" s="21" t="s">
        <v>114</v>
      </c>
    </row>
    <row r="5" spans="1:2" x14ac:dyDescent="0.25">
      <c r="A5" s="20" t="s">
        <v>3</v>
      </c>
      <c r="B5" s="21" t="s">
        <v>115</v>
      </c>
    </row>
    <row r="6" spans="1:2" x14ac:dyDescent="0.25">
      <c r="A6" s="20" t="s">
        <v>2</v>
      </c>
      <c r="B6" s="21" t="s">
        <v>24</v>
      </c>
    </row>
    <row r="7" spans="1:2" x14ac:dyDescent="0.25">
      <c r="A7" s="20" t="s">
        <v>4</v>
      </c>
      <c r="B7" s="21" t="s">
        <v>116</v>
      </c>
    </row>
    <row r="8" spans="1:2" x14ac:dyDescent="0.25">
      <c r="A8" s="20" t="s">
        <v>117</v>
      </c>
      <c r="B8" s="21" t="s">
        <v>118</v>
      </c>
    </row>
    <row r="9" spans="1:2" x14ac:dyDescent="0.25">
      <c r="A9" s="21" t="s">
        <v>119</v>
      </c>
      <c r="B9" s="21" t="s">
        <v>120</v>
      </c>
    </row>
    <row r="10" spans="1:2" x14ac:dyDescent="0.25">
      <c r="A10" s="20" t="s">
        <v>5</v>
      </c>
      <c r="B10" s="21" t="s">
        <v>121</v>
      </c>
    </row>
    <row r="11" spans="1:2" x14ac:dyDescent="0.25">
      <c r="A11" s="20" t="s">
        <v>122</v>
      </c>
      <c r="B11" s="21" t="s">
        <v>123</v>
      </c>
    </row>
    <row r="12" spans="1:2" x14ac:dyDescent="0.25">
      <c r="A12" s="20" t="s">
        <v>124</v>
      </c>
      <c r="B12" s="21" t="s">
        <v>114</v>
      </c>
    </row>
    <row r="13" spans="1:2" x14ac:dyDescent="0.25">
      <c r="A13" s="20" t="s">
        <v>125</v>
      </c>
      <c r="B13" s="21" t="s">
        <v>126</v>
      </c>
    </row>
    <row r="14" spans="1:2" x14ac:dyDescent="0.25">
      <c r="A14" s="20" t="s">
        <v>127</v>
      </c>
      <c r="B14" s="21" t="s">
        <v>128</v>
      </c>
    </row>
    <row r="15" spans="1:2" x14ac:dyDescent="0.25">
      <c r="A15" s="20" t="s">
        <v>129</v>
      </c>
      <c r="B15" s="21" t="s">
        <v>130</v>
      </c>
    </row>
    <row r="16" spans="1:2" x14ac:dyDescent="0.25">
      <c r="A16" s="20" t="s">
        <v>131</v>
      </c>
      <c r="B16" s="21" t="s">
        <v>132</v>
      </c>
    </row>
    <row r="17" spans="1:2" x14ac:dyDescent="0.25">
      <c r="A17" s="20" t="s">
        <v>133</v>
      </c>
      <c r="B17" s="21" t="s">
        <v>134</v>
      </c>
    </row>
    <row r="18" spans="1:2" x14ac:dyDescent="0.25">
      <c r="A18" s="20" t="s">
        <v>135</v>
      </c>
      <c r="B18" s="21" t="s">
        <v>135</v>
      </c>
    </row>
    <row r="19" spans="1:2" x14ac:dyDescent="0.25">
      <c r="A19" s="20" t="s">
        <v>136</v>
      </c>
      <c r="B19" s="21" t="s">
        <v>137</v>
      </c>
    </row>
    <row r="20" spans="1:2" x14ac:dyDescent="0.25">
      <c r="A20" s="20" t="s">
        <v>138</v>
      </c>
      <c r="B20" s="21" t="s">
        <v>139</v>
      </c>
    </row>
    <row r="21" spans="1:2" x14ac:dyDescent="0.25">
      <c r="A21" s="20" t="s">
        <v>140</v>
      </c>
      <c r="B21" s="21" t="s">
        <v>141</v>
      </c>
    </row>
    <row r="22" spans="1:2" x14ac:dyDescent="0.25">
      <c r="A22" s="20" t="s">
        <v>142</v>
      </c>
      <c r="B22" s="21" t="s">
        <v>143</v>
      </c>
    </row>
    <row r="23" spans="1:2" x14ac:dyDescent="0.25">
      <c r="A23" s="20" t="s">
        <v>144</v>
      </c>
      <c r="B23" s="21" t="s">
        <v>145</v>
      </c>
    </row>
    <row r="24" spans="1:2" x14ac:dyDescent="0.25">
      <c r="A24" s="20" t="s">
        <v>146</v>
      </c>
      <c r="B24" s="21" t="s">
        <v>147</v>
      </c>
    </row>
    <row r="25" spans="1:2" x14ac:dyDescent="0.25">
      <c r="A25" s="20" t="s">
        <v>131</v>
      </c>
      <c r="B25" s="21" t="s">
        <v>132</v>
      </c>
    </row>
    <row r="26" spans="1:2" x14ac:dyDescent="0.25">
      <c r="A26" s="20" t="s">
        <v>148</v>
      </c>
      <c r="B26" s="21" t="s">
        <v>149</v>
      </c>
    </row>
    <row r="27" spans="1:2" x14ac:dyDescent="0.25">
      <c r="A27" s="20" t="s">
        <v>150</v>
      </c>
      <c r="B27" s="21" t="s">
        <v>151</v>
      </c>
    </row>
    <row r="28" spans="1:2" x14ac:dyDescent="0.25">
      <c r="A28" s="20" t="s">
        <v>5</v>
      </c>
      <c r="B28" s="21" t="s">
        <v>121</v>
      </c>
    </row>
    <row r="29" spans="1:2" x14ac:dyDescent="0.25">
      <c r="A29" s="20" t="s">
        <v>152</v>
      </c>
      <c r="B29" s="21" t="s">
        <v>153</v>
      </c>
    </row>
    <row r="30" spans="1:2" x14ac:dyDescent="0.25">
      <c r="A30" s="20" t="s">
        <v>30</v>
      </c>
      <c r="B30" s="21" t="s">
        <v>30</v>
      </c>
    </row>
    <row r="31" spans="1:2" x14ac:dyDescent="0.25">
      <c r="A31" s="20" t="s">
        <v>154</v>
      </c>
      <c r="B31" s="21" t="s">
        <v>155</v>
      </c>
    </row>
    <row r="32" spans="1:2" x14ac:dyDescent="0.25">
      <c r="A32" s="20" t="s">
        <v>156</v>
      </c>
      <c r="B32" s="21" t="s">
        <v>156</v>
      </c>
    </row>
    <row r="33" spans="1:2" x14ac:dyDescent="0.25">
      <c r="A33" s="21" t="s">
        <v>157</v>
      </c>
      <c r="B33" s="21" t="s">
        <v>158</v>
      </c>
    </row>
    <row r="34" spans="1:2" x14ac:dyDescent="0.25">
      <c r="A34" s="20" t="s">
        <v>159</v>
      </c>
      <c r="B34" s="21" t="s">
        <v>160</v>
      </c>
    </row>
    <row r="35" spans="1:2" x14ac:dyDescent="0.25">
      <c r="A35" s="20" t="s">
        <v>161</v>
      </c>
      <c r="B35" s="21" t="s">
        <v>162</v>
      </c>
    </row>
    <row r="36" spans="1:2" x14ac:dyDescent="0.25">
      <c r="A36" s="20" t="s">
        <v>163</v>
      </c>
      <c r="B36" s="21" t="s">
        <v>162</v>
      </c>
    </row>
    <row r="37" spans="1:2" x14ac:dyDescent="0.25">
      <c r="A37" s="20" t="s">
        <v>164</v>
      </c>
      <c r="B37" s="21" t="s">
        <v>165</v>
      </c>
    </row>
    <row r="38" spans="1:2" x14ac:dyDescent="0.25">
      <c r="A38" s="20"/>
      <c r="B38" s="21"/>
    </row>
    <row r="39" spans="1:2" x14ac:dyDescent="0.25">
      <c r="A39" s="20" t="s">
        <v>166</v>
      </c>
      <c r="B39" s="21" t="s">
        <v>167</v>
      </c>
    </row>
    <row r="40" spans="1:2" x14ac:dyDescent="0.25">
      <c r="A40" s="20" t="s">
        <v>168</v>
      </c>
      <c r="B40" s="21" t="s">
        <v>169</v>
      </c>
    </row>
    <row r="41" spans="1:2" x14ac:dyDescent="0.25">
      <c r="A41" s="20" t="s">
        <v>170</v>
      </c>
      <c r="B41" s="21" t="s">
        <v>171</v>
      </c>
    </row>
    <row r="42" spans="1:2" x14ac:dyDescent="0.25">
      <c r="A42" s="20" t="s">
        <v>172</v>
      </c>
      <c r="B42" s="21" t="s">
        <v>173</v>
      </c>
    </row>
    <row r="43" spans="1:2" x14ac:dyDescent="0.25">
      <c r="A43" s="21" t="s">
        <v>174</v>
      </c>
      <c r="B43" s="21" t="s">
        <v>175</v>
      </c>
    </row>
    <row r="44" spans="1:2" x14ac:dyDescent="0.25">
      <c r="A44" s="20" t="s">
        <v>176</v>
      </c>
      <c r="B44" s="21" t="s">
        <v>177</v>
      </c>
    </row>
    <row r="45" spans="1:2" x14ac:dyDescent="0.25">
      <c r="A45" s="20" t="s">
        <v>178</v>
      </c>
      <c r="B45" s="21" t="s">
        <v>179</v>
      </c>
    </row>
    <row r="46" spans="1:2" x14ac:dyDescent="0.25">
      <c r="A46" s="20" t="s">
        <v>180</v>
      </c>
      <c r="B46" s="21" t="s">
        <v>181</v>
      </c>
    </row>
    <row r="47" spans="1:2" x14ac:dyDescent="0.25">
      <c r="A47" s="20" t="s">
        <v>182</v>
      </c>
      <c r="B47" s="21" t="s">
        <v>183</v>
      </c>
    </row>
    <row r="48" spans="1:2" x14ac:dyDescent="0.25">
      <c r="A48" s="20" t="s">
        <v>184</v>
      </c>
      <c r="B48" s="21" t="s">
        <v>185</v>
      </c>
    </row>
    <row r="49" spans="1:2" x14ac:dyDescent="0.25">
      <c r="A49" s="20"/>
      <c r="B49" s="20"/>
    </row>
    <row r="50" spans="1:2" x14ac:dyDescent="0.25">
      <c r="A50" s="20" t="s">
        <v>186</v>
      </c>
      <c r="B50" s="20" t="s">
        <v>187</v>
      </c>
    </row>
    <row r="51" spans="1:2" x14ac:dyDescent="0.25">
      <c r="A51" s="20" t="s">
        <v>188</v>
      </c>
      <c r="B51" s="21" t="s">
        <v>189</v>
      </c>
    </row>
    <row r="52" spans="1:2" x14ac:dyDescent="0.25">
      <c r="A52" s="20" t="s">
        <v>190</v>
      </c>
      <c r="B52" s="20" t="s">
        <v>191</v>
      </c>
    </row>
    <row r="53" spans="1:2" x14ac:dyDescent="0.25">
      <c r="A53" s="20" t="s">
        <v>192</v>
      </c>
      <c r="B53" s="20" t="s">
        <v>193</v>
      </c>
    </row>
    <row r="54" spans="1:2" x14ac:dyDescent="0.25">
      <c r="A54" s="20" t="s">
        <v>194</v>
      </c>
      <c r="B54" s="20" t="s">
        <v>195</v>
      </c>
    </row>
    <row r="55" spans="1:2" x14ac:dyDescent="0.25">
      <c r="A55" s="20" t="s">
        <v>196</v>
      </c>
      <c r="B55" s="20" t="s">
        <v>197</v>
      </c>
    </row>
    <row r="56" spans="1:2" x14ac:dyDescent="0.25">
      <c r="A56" s="21" t="s">
        <v>198</v>
      </c>
      <c r="B56" s="20" t="s">
        <v>199</v>
      </c>
    </row>
    <row r="57" spans="1:2" x14ac:dyDescent="0.25">
      <c r="A57" s="20" t="s">
        <v>200</v>
      </c>
      <c r="B57" s="20" t="s">
        <v>201</v>
      </c>
    </row>
    <row r="58" spans="1:2" x14ac:dyDescent="0.25">
      <c r="A58" s="20" t="s">
        <v>202</v>
      </c>
      <c r="B58" s="20" t="s">
        <v>203</v>
      </c>
    </row>
    <row r="59" spans="1:2" x14ac:dyDescent="0.25">
      <c r="A59" s="20" t="s">
        <v>204</v>
      </c>
      <c r="B59" s="20" t="s">
        <v>205</v>
      </c>
    </row>
    <row r="60" spans="1:2" x14ac:dyDescent="0.25">
      <c r="A60" s="20" t="s">
        <v>206</v>
      </c>
      <c r="B60" s="20" t="s">
        <v>207</v>
      </c>
    </row>
    <row r="61" spans="1:2" x14ac:dyDescent="0.25">
      <c r="A61" s="20" t="s">
        <v>208</v>
      </c>
      <c r="B61" s="20" t="s">
        <v>209</v>
      </c>
    </row>
    <row r="62" spans="1:2" x14ac:dyDescent="0.25">
      <c r="A62" s="20" t="s">
        <v>210</v>
      </c>
      <c r="B62" s="20" t="s">
        <v>211</v>
      </c>
    </row>
    <row r="63" spans="1:2" x14ac:dyDescent="0.25">
      <c r="A63" s="20" t="s">
        <v>212</v>
      </c>
      <c r="B63" s="20" t="s">
        <v>213</v>
      </c>
    </row>
    <row r="64" spans="1:2" x14ac:dyDescent="0.25">
      <c r="A64" s="20" t="s">
        <v>214</v>
      </c>
      <c r="B64" s="20" t="s">
        <v>213</v>
      </c>
    </row>
    <row r="65" spans="1:2" x14ac:dyDescent="0.25">
      <c r="A65" s="20" t="s">
        <v>215</v>
      </c>
      <c r="B65" s="20" t="s">
        <v>216</v>
      </c>
    </row>
    <row r="66" spans="1:2" x14ac:dyDescent="0.25">
      <c r="A66" s="20" t="s">
        <v>217</v>
      </c>
      <c r="B66" s="20" t="s">
        <v>116</v>
      </c>
    </row>
    <row r="67" spans="1:2" x14ac:dyDescent="0.25">
      <c r="A67" s="20" t="s">
        <v>218</v>
      </c>
      <c r="B67" s="20" t="s">
        <v>219</v>
      </c>
    </row>
    <row r="68" spans="1:2" x14ac:dyDescent="0.25">
      <c r="A68" s="20" t="s">
        <v>220</v>
      </c>
      <c r="B68" s="20" t="s">
        <v>221</v>
      </c>
    </row>
    <row r="69" spans="1:2" x14ac:dyDescent="0.25">
      <c r="A69" s="20" t="s">
        <v>222</v>
      </c>
      <c r="B69" s="20" t="s">
        <v>223</v>
      </c>
    </row>
    <row r="70" spans="1:2" x14ac:dyDescent="0.25">
      <c r="A70" s="20" t="s">
        <v>224</v>
      </c>
      <c r="B70" s="20" t="s">
        <v>225</v>
      </c>
    </row>
    <row r="71" spans="1:2" x14ac:dyDescent="0.25">
      <c r="A71" s="20" t="s">
        <v>44</v>
      </c>
      <c r="B71" s="21" t="s">
        <v>226</v>
      </c>
    </row>
    <row r="72" spans="1:2" x14ac:dyDescent="0.25">
      <c r="A72" s="20" t="s">
        <v>227</v>
      </c>
      <c r="B72" s="21" t="s">
        <v>228</v>
      </c>
    </row>
    <row r="73" spans="1:2" x14ac:dyDescent="0.25">
      <c r="A73" s="20" t="s">
        <v>229</v>
      </c>
      <c r="B73" s="21" t="s">
        <v>230</v>
      </c>
    </row>
    <row r="74" spans="1:2" x14ac:dyDescent="0.25">
      <c r="A74" s="20" t="s">
        <v>184</v>
      </c>
      <c r="B74" s="21" t="s">
        <v>231</v>
      </c>
    </row>
    <row r="75" spans="1:2" x14ac:dyDescent="0.25">
      <c r="A75" s="20" t="s">
        <v>182</v>
      </c>
      <c r="B75" s="21" t="s">
        <v>232</v>
      </c>
    </row>
    <row r="76" spans="1:2" x14ac:dyDescent="0.25">
      <c r="A76" s="20" t="s">
        <v>180</v>
      </c>
      <c r="B76" s="21" t="s">
        <v>233</v>
      </c>
    </row>
    <row r="77" spans="1:2" x14ac:dyDescent="0.25">
      <c r="A77" s="20" t="s">
        <v>164</v>
      </c>
      <c r="B77" s="21" t="s">
        <v>234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>
    <tabColor rgb="FFFF8080"/>
  </sheetPr>
  <dimension ref="A1:AG76"/>
  <sheetViews>
    <sheetView workbookViewId="0"/>
  </sheetViews>
  <sheetFormatPr defaultRowHeight="15" x14ac:dyDescent="0.25"/>
  <cols>
    <col min="1" max="1" width="11" customWidth="1"/>
    <col min="2" max="2" width="11.140625" bestFit="1" customWidth="1"/>
    <col min="3" max="3" width="11.5703125" bestFit="1" customWidth="1"/>
    <col min="4" max="4" width="13.7109375" customWidth="1"/>
    <col min="5" max="5" width="13.42578125" bestFit="1" customWidth="1"/>
    <col min="6" max="6" width="11" customWidth="1"/>
    <col min="7" max="7" width="15.42578125" bestFit="1" customWidth="1"/>
    <col min="8" max="8" width="14.5703125" bestFit="1" customWidth="1"/>
    <col min="9" max="9" width="15.7109375" bestFit="1" customWidth="1"/>
    <col min="10" max="10" width="12.5703125" bestFit="1" customWidth="1"/>
    <col min="11" max="11" width="19.28515625" bestFit="1" customWidth="1"/>
    <col min="12" max="12" width="12.28515625" bestFit="1" customWidth="1"/>
    <col min="13" max="14" width="12" customWidth="1"/>
    <col min="15" max="15" width="17" customWidth="1"/>
    <col min="16" max="16" width="20.85546875" bestFit="1" customWidth="1"/>
    <col min="17" max="17" width="12" customWidth="1"/>
    <col min="18" max="18" width="8.5703125" customWidth="1"/>
    <col min="19" max="19" width="9.28515625" customWidth="1"/>
    <col min="20" max="20" width="13.5703125" customWidth="1"/>
    <col min="21" max="21" width="11" customWidth="1"/>
    <col min="22" max="23" width="12" customWidth="1"/>
    <col min="24" max="24" width="12.85546875" customWidth="1"/>
    <col min="25" max="51" width="12" customWidth="1"/>
  </cols>
  <sheetData>
    <row r="1" spans="1:33" x14ac:dyDescent="0.25">
      <c r="A1" t="s">
        <v>72</v>
      </c>
      <c r="B1" t="s">
        <v>1</v>
      </c>
      <c r="C1" t="s">
        <v>73</v>
      </c>
      <c r="D1" t="s">
        <v>74</v>
      </c>
      <c r="E1" t="s">
        <v>75</v>
      </c>
      <c r="F1" t="s">
        <v>76</v>
      </c>
      <c r="G1" t="s">
        <v>77</v>
      </c>
      <c r="H1" t="s">
        <v>78</v>
      </c>
      <c r="I1" t="s">
        <v>79</v>
      </c>
      <c r="J1" t="s">
        <v>80</v>
      </c>
      <c r="K1" t="s">
        <v>81</v>
      </c>
      <c r="L1" t="s">
        <v>82</v>
      </c>
      <c r="M1" t="s">
        <v>83</v>
      </c>
      <c r="N1" t="s">
        <v>84</v>
      </c>
      <c r="O1" t="s">
        <v>85</v>
      </c>
      <c r="P1" t="s">
        <v>86</v>
      </c>
      <c r="Q1" t="s">
        <v>87</v>
      </c>
      <c r="R1" t="s">
        <v>88</v>
      </c>
      <c r="S1" t="s">
        <v>89</v>
      </c>
      <c r="T1" t="s">
        <v>90</v>
      </c>
      <c r="U1" t="s">
        <v>91</v>
      </c>
      <c r="V1" t="s">
        <v>92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  <c r="AE1" t="s">
        <v>101</v>
      </c>
      <c r="AF1" t="s">
        <v>102</v>
      </c>
      <c r="AG1" t="s">
        <v>103</v>
      </c>
    </row>
    <row r="2" spans="1:33" x14ac:dyDescent="0.25">
      <c r="A2" s="11"/>
      <c r="C2" s="11"/>
      <c r="D2" s="11"/>
      <c r="E2" s="11"/>
      <c r="F2" s="11"/>
      <c r="G2" s="11"/>
      <c r="H2" s="11"/>
      <c r="I2" s="11"/>
      <c r="L2" s="11"/>
      <c r="M2" s="11"/>
      <c r="N2" s="11"/>
      <c r="O2" s="11"/>
      <c r="P2" s="11"/>
      <c r="Q2" s="11"/>
      <c r="R2" s="11"/>
      <c r="S2" s="11"/>
      <c r="U2" s="11"/>
      <c r="V2" s="11"/>
      <c r="W2" s="11"/>
      <c r="X2" s="11"/>
      <c r="AA2" s="11"/>
      <c r="AE2" s="11"/>
      <c r="AF2" s="11"/>
    </row>
    <row r="3" spans="1:33" x14ac:dyDescent="0.25">
      <c r="D3" s="11"/>
      <c r="E3" s="11"/>
      <c r="G3" s="11"/>
      <c r="H3" s="11"/>
      <c r="L3" s="11"/>
      <c r="M3" s="11"/>
      <c r="N3" s="11"/>
      <c r="O3" s="11"/>
      <c r="Q3" s="11"/>
      <c r="R3" s="11"/>
      <c r="S3" s="11"/>
      <c r="U3" s="11"/>
    </row>
    <row r="4" spans="1:33" x14ac:dyDescent="0.25">
      <c r="D4" s="11"/>
      <c r="E4" s="11"/>
      <c r="G4" s="11"/>
      <c r="H4" s="11"/>
      <c r="L4" s="11"/>
      <c r="M4" s="11"/>
      <c r="N4" s="11"/>
      <c r="O4" s="11"/>
      <c r="Q4" s="11"/>
      <c r="R4" s="11"/>
      <c r="S4" s="11"/>
      <c r="U4" s="11"/>
    </row>
    <row r="5" spans="1:33" x14ac:dyDescent="0.25">
      <c r="D5" s="11"/>
      <c r="E5" s="11"/>
      <c r="G5" s="11"/>
      <c r="H5" s="11"/>
      <c r="L5" s="11"/>
      <c r="M5" s="11"/>
      <c r="N5" s="11"/>
      <c r="O5" s="11"/>
      <c r="Q5" s="11"/>
      <c r="R5" s="11"/>
      <c r="S5" s="11"/>
      <c r="U5" s="11"/>
    </row>
    <row r="6" spans="1:33" x14ac:dyDescent="0.25">
      <c r="D6" s="11"/>
      <c r="E6" s="11"/>
      <c r="G6" s="11"/>
      <c r="H6" s="11"/>
      <c r="L6" s="11"/>
      <c r="M6" s="11"/>
      <c r="N6" s="11"/>
      <c r="O6" s="11"/>
      <c r="Q6" s="11"/>
      <c r="R6" s="11"/>
      <c r="S6" s="11"/>
      <c r="U6" s="11"/>
    </row>
    <row r="7" spans="1:33" x14ac:dyDescent="0.25">
      <c r="D7" s="11"/>
      <c r="E7" s="11"/>
      <c r="G7" s="11"/>
      <c r="H7" s="11"/>
      <c r="L7" s="11"/>
      <c r="M7" s="11"/>
      <c r="N7" s="11"/>
      <c r="O7" s="11"/>
      <c r="Q7" s="11"/>
      <c r="R7" s="11"/>
      <c r="S7" s="11"/>
      <c r="U7" s="11"/>
    </row>
    <row r="8" spans="1:33" x14ac:dyDescent="0.25">
      <c r="D8" s="11"/>
      <c r="E8" s="11"/>
      <c r="G8" s="11"/>
      <c r="H8" s="11"/>
      <c r="L8" s="11"/>
      <c r="M8" s="11"/>
      <c r="N8" s="11"/>
      <c r="O8" s="11"/>
      <c r="Q8" s="11"/>
      <c r="R8" s="11"/>
      <c r="S8" s="11"/>
      <c r="U8" s="11"/>
    </row>
    <row r="9" spans="1:33" x14ac:dyDescent="0.25">
      <c r="D9" s="11"/>
      <c r="E9" s="11"/>
      <c r="G9" s="11"/>
      <c r="H9" s="11"/>
      <c r="L9" s="11"/>
      <c r="M9" s="11"/>
      <c r="N9" s="11"/>
      <c r="O9" s="11"/>
      <c r="Q9" s="11"/>
      <c r="R9" s="11"/>
      <c r="S9" s="11"/>
      <c r="U9" s="11"/>
    </row>
    <row r="10" spans="1:33" x14ac:dyDescent="0.25">
      <c r="D10" s="11"/>
      <c r="E10" s="11"/>
      <c r="G10" s="11"/>
      <c r="H10" s="11"/>
      <c r="L10" s="11"/>
      <c r="M10" s="11"/>
      <c r="N10" s="11"/>
      <c r="O10" s="11"/>
      <c r="Q10" s="11"/>
      <c r="R10" s="11"/>
      <c r="S10" s="11"/>
      <c r="U10" s="11"/>
    </row>
    <row r="11" spans="1:33" x14ac:dyDescent="0.25">
      <c r="D11" s="11"/>
      <c r="E11" s="11"/>
      <c r="G11" s="11"/>
      <c r="H11" s="11"/>
      <c r="L11" s="11"/>
      <c r="M11" s="11"/>
      <c r="N11" s="11"/>
      <c r="O11" s="11"/>
      <c r="Q11" s="11"/>
      <c r="R11" s="11"/>
      <c r="S11" s="11"/>
      <c r="U11" s="11"/>
    </row>
    <row r="12" spans="1:33" x14ac:dyDescent="0.25">
      <c r="D12" s="11"/>
      <c r="E12" s="11"/>
      <c r="G12" s="11"/>
      <c r="H12" s="11"/>
      <c r="L12" s="11"/>
      <c r="M12" s="11"/>
      <c r="N12" s="11"/>
      <c r="O12" s="11"/>
      <c r="Q12" s="11"/>
      <c r="R12" s="11"/>
      <c r="S12" s="11"/>
      <c r="U12" s="11"/>
    </row>
    <row r="13" spans="1:33" x14ac:dyDescent="0.25">
      <c r="D13" s="11"/>
      <c r="E13" s="11"/>
      <c r="G13" s="11"/>
      <c r="H13" s="11"/>
      <c r="L13" s="11"/>
      <c r="M13" s="11"/>
      <c r="N13" s="11"/>
      <c r="O13" s="11"/>
      <c r="Q13" s="11"/>
      <c r="R13" s="11"/>
      <c r="S13" s="11"/>
      <c r="U13" s="11"/>
    </row>
    <row r="14" spans="1:33" x14ac:dyDescent="0.25">
      <c r="D14" s="11"/>
      <c r="E14" s="11"/>
      <c r="G14" s="11"/>
      <c r="H14" s="11"/>
      <c r="L14" s="11"/>
      <c r="M14" s="11"/>
      <c r="N14" s="11"/>
      <c r="O14" s="11"/>
      <c r="Q14" s="11"/>
      <c r="R14" s="11"/>
      <c r="S14" s="11"/>
      <c r="U14" s="11"/>
    </row>
    <row r="15" spans="1:33" x14ac:dyDescent="0.25">
      <c r="D15" s="11"/>
      <c r="E15" s="11"/>
      <c r="G15" s="11"/>
      <c r="H15" s="11"/>
      <c r="L15" s="11"/>
      <c r="M15" s="11"/>
      <c r="N15" s="11"/>
      <c r="O15" s="11"/>
      <c r="Q15" s="11"/>
      <c r="R15" s="11"/>
      <c r="S15" s="11"/>
      <c r="U15" s="11"/>
    </row>
    <row r="16" spans="1:33" x14ac:dyDescent="0.25">
      <c r="D16" s="11"/>
      <c r="E16" s="11"/>
      <c r="G16" s="11"/>
      <c r="H16" s="11"/>
      <c r="L16" s="11"/>
      <c r="M16" s="11"/>
      <c r="N16" s="11"/>
      <c r="O16" s="11"/>
      <c r="Q16" s="11"/>
      <c r="R16" s="11"/>
      <c r="S16" s="11"/>
      <c r="U16" s="11"/>
    </row>
    <row r="17" spans="4:21" x14ac:dyDescent="0.25">
      <c r="D17" s="11"/>
      <c r="E17" s="11"/>
      <c r="G17" s="11"/>
      <c r="H17" s="11"/>
      <c r="L17" s="11"/>
      <c r="M17" s="11"/>
      <c r="N17" s="11"/>
      <c r="O17" s="11"/>
      <c r="Q17" s="11"/>
      <c r="R17" s="11"/>
      <c r="S17" s="11"/>
      <c r="U17" s="11"/>
    </row>
    <row r="18" spans="4:21" x14ac:dyDescent="0.25">
      <c r="D18" s="11"/>
      <c r="E18" s="11"/>
      <c r="G18" s="11"/>
      <c r="H18" s="11"/>
      <c r="L18" s="11"/>
      <c r="M18" s="11"/>
      <c r="N18" s="11"/>
      <c r="O18" s="11"/>
      <c r="Q18" s="11"/>
      <c r="R18" s="11"/>
      <c r="S18" s="11"/>
      <c r="U18" s="11"/>
    </row>
    <row r="19" spans="4:21" x14ac:dyDescent="0.25">
      <c r="D19" s="11"/>
      <c r="E19" s="11"/>
      <c r="G19" s="11"/>
      <c r="H19" s="11"/>
      <c r="L19" s="11"/>
      <c r="M19" s="11"/>
      <c r="N19" s="11"/>
      <c r="O19" s="11"/>
      <c r="Q19" s="11"/>
      <c r="R19" s="11"/>
      <c r="S19" s="11"/>
      <c r="U19" s="11"/>
    </row>
    <row r="20" spans="4:21" x14ac:dyDescent="0.25">
      <c r="D20" s="11"/>
      <c r="E20" s="11"/>
      <c r="G20" s="11"/>
      <c r="H20" s="11"/>
      <c r="L20" s="11"/>
      <c r="M20" s="11"/>
      <c r="N20" s="11"/>
      <c r="O20" s="11"/>
      <c r="Q20" s="11"/>
      <c r="R20" s="11"/>
      <c r="S20" s="11"/>
      <c r="U20" s="11"/>
    </row>
    <row r="21" spans="4:21" x14ac:dyDescent="0.25">
      <c r="D21" s="11"/>
      <c r="E21" s="11"/>
      <c r="G21" s="11"/>
      <c r="H21" s="11"/>
      <c r="L21" s="11"/>
      <c r="M21" s="11"/>
      <c r="N21" s="11"/>
      <c r="O21" s="11"/>
      <c r="Q21" s="11"/>
      <c r="R21" s="11"/>
      <c r="S21" s="11"/>
      <c r="U21" s="11"/>
    </row>
    <row r="22" spans="4:21" x14ac:dyDescent="0.25">
      <c r="D22" s="11"/>
      <c r="E22" s="11"/>
      <c r="G22" s="11"/>
      <c r="H22" s="11"/>
      <c r="L22" s="11"/>
      <c r="M22" s="11"/>
      <c r="N22" s="11"/>
      <c r="O22" s="11"/>
      <c r="Q22" s="11"/>
      <c r="R22" s="11"/>
      <c r="S22" s="11"/>
      <c r="U22" s="11"/>
    </row>
    <row r="23" spans="4:21" x14ac:dyDescent="0.25">
      <c r="D23" s="11"/>
      <c r="E23" s="11"/>
      <c r="G23" s="11"/>
      <c r="H23" s="11"/>
      <c r="L23" s="11"/>
      <c r="M23" s="11"/>
      <c r="N23" s="11"/>
      <c r="O23" s="11"/>
      <c r="Q23" s="11"/>
      <c r="R23" s="11"/>
      <c r="S23" s="11"/>
      <c r="U23" s="11"/>
    </row>
    <row r="24" spans="4:21" x14ac:dyDescent="0.25">
      <c r="D24" s="11"/>
      <c r="E24" s="11"/>
      <c r="G24" s="11"/>
      <c r="H24" s="11"/>
      <c r="L24" s="11"/>
      <c r="M24" s="11"/>
      <c r="N24" s="11"/>
      <c r="O24" s="11"/>
      <c r="Q24" s="11"/>
      <c r="R24" s="11"/>
      <c r="S24" s="11"/>
      <c r="U24" s="11"/>
    </row>
    <row r="25" spans="4:21" x14ac:dyDescent="0.25">
      <c r="D25" s="11"/>
      <c r="E25" s="11"/>
      <c r="G25" s="11"/>
      <c r="H25" s="11"/>
      <c r="L25" s="11"/>
      <c r="M25" s="11"/>
      <c r="N25" s="11"/>
      <c r="O25" s="11"/>
      <c r="Q25" s="11"/>
      <c r="R25" s="11"/>
      <c r="S25" s="11"/>
      <c r="U25" s="11"/>
    </row>
    <row r="26" spans="4:21" x14ac:dyDescent="0.25">
      <c r="D26" s="11"/>
      <c r="E26" s="11"/>
      <c r="G26" s="11"/>
      <c r="H26" s="11"/>
      <c r="L26" s="11"/>
      <c r="M26" s="11"/>
      <c r="N26" s="11"/>
      <c r="O26" s="11"/>
      <c r="Q26" s="11"/>
      <c r="R26" s="11"/>
      <c r="S26" s="11"/>
      <c r="U26" s="11"/>
    </row>
    <row r="27" spans="4:21" x14ac:dyDescent="0.25">
      <c r="D27" s="11"/>
      <c r="E27" s="11"/>
      <c r="G27" s="11"/>
      <c r="H27" s="11"/>
      <c r="L27" s="11"/>
      <c r="M27" s="11"/>
      <c r="N27" s="11"/>
      <c r="O27" s="11"/>
      <c r="Q27" s="11"/>
      <c r="R27" s="11"/>
      <c r="S27" s="11"/>
      <c r="U27" s="11"/>
    </row>
    <row r="28" spans="4:21" x14ac:dyDescent="0.25">
      <c r="D28" s="11"/>
      <c r="E28" s="11"/>
      <c r="G28" s="11"/>
      <c r="H28" s="11"/>
      <c r="L28" s="11"/>
      <c r="M28" s="11"/>
      <c r="N28" s="11"/>
      <c r="O28" s="11"/>
      <c r="Q28" s="11"/>
      <c r="R28" s="11"/>
      <c r="S28" s="11"/>
      <c r="U28" s="11"/>
    </row>
    <row r="29" spans="4:21" x14ac:dyDescent="0.25">
      <c r="D29" s="11"/>
      <c r="E29" s="11"/>
      <c r="G29" s="11"/>
      <c r="H29" s="11"/>
      <c r="L29" s="11"/>
      <c r="M29" s="11"/>
      <c r="N29" s="11"/>
      <c r="O29" s="11"/>
      <c r="Q29" s="11"/>
      <c r="R29" s="11"/>
      <c r="S29" s="11"/>
      <c r="U29" s="11"/>
    </row>
    <row r="30" spans="4:21" x14ac:dyDescent="0.25">
      <c r="D30" s="11"/>
      <c r="E30" s="11"/>
      <c r="G30" s="11"/>
      <c r="H30" s="11"/>
      <c r="L30" s="11"/>
      <c r="M30" s="11"/>
      <c r="N30" s="11"/>
      <c r="O30" s="11"/>
      <c r="Q30" s="11"/>
      <c r="R30" s="11"/>
      <c r="S30" s="11"/>
      <c r="U30" s="11"/>
    </row>
    <row r="31" spans="4:21" x14ac:dyDescent="0.25">
      <c r="D31" s="11"/>
      <c r="E31" s="11"/>
      <c r="G31" s="11"/>
      <c r="H31" s="11"/>
      <c r="L31" s="11"/>
      <c r="M31" s="11"/>
      <c r="N31" s="11"/>
      <c r="O31" s="11"/>
      <c r="Q31" s="11"/>
      <c r="R31" s="11"/>
      <c r="S31" s="11"/>
      <c r="U31" s="11"/>
    </row>
    <row r="32" spans="4:21" x14ac:dyDescent="0.25">
      <c r="D32" s="11"/>
      <c r="E32" s="11"/>
      <c r="G32" s="11"/>
      <c r="H32" s="11"/>
      <c r="L32" s="11"/>
      <c r="M32" s="11"/>
      <c r="N32" s="11"/>
      <c r="O32" s="11"/>
      <c r="Q32" s="11"/>
      <c r="R32" s="11"/>
      <c r="S32" s="11"/>
      <c r="U32" s="11"/>
    </row>
    <row r="33" spans="4:21" x14ac:dyDescent="0.25">
      <c r="D33" s="11"/>
      <c r="E33" s="11"/>
      <c r="G33" s="11"/>
      <c r="H33" s="11"/>
      <c r="L33" s="11"/>
      <c r="M33" s="11"/>
      <c r="N33" s="11"/>
      <c r="O33" s="11"/>
      <c r="Q33" s="11"/>
      <c r="R33" s="11"/>
      <c r="S33" s="11"/>
      <c r="U33" s="11"/>
    </row>
    <row r="34" spans="4:21" x14ac:dyDescent="0.25">
      <c r="D34" s="11"/>
      <c r="E34" s="11"/>
      <c r="G34" s="11"/>
      <c r="H34" s="11"/>
      <c r="L34" s="11"/>
      <c r="M34" s="11"/>
      <c r="N34" s="11"/>
      <c r="O34" s="11"/>
      <c r="Q34" s="11"/>
      <c r="R34" s="11"/>
      <c r="S34" s="11"/>
      <c r="U34" s="11"/>
    </row>
    <row r="35" spans="4:21" x14ac:dyDescent="0.25">
      <c r="D35" s="11"/>
      <c r="E35" s="11"/>
      <c r="G35" s="11"/>
      <c r="H35" s="11"/>
      <c r="L35" s="11"/>
      <c r="M35" s="11"/>
      <c r="N35" s="11"/>
      <c r="O35" s="11"/>
      <c r="Q35" s="11"/>
      <c r="R35" s="11"/>
      <c r="S35" s="11"/>
      <c r="U35" s="11"/>
    </row>
    <row r="36" spans="4:21" x14ac:dyDescent="0.25">
      <c r="D36" s="11"/>
      <c r="E36" s="11"/>
      <c r="G36" s="11"/>
      <c r="H36" s="11"/>
      <c r="L36" s="11"/>
      <c r="M36" s="11"/>
      <c r="N36" s="11"/>
      <c r="O36" s="11"/>
      <c r="Q36" s="11"/>
      <c r="R36" s="11"/>
      <c r="S36" s="11"/>
      <c r="U36" s="11"/>
    </row>
    <row r="37" spans="4:21" x14ac:dyDescent="0.25">
      <c r="D37" s="11"/>
      <c r="E37" s="11"/>
      <c r="G37" s="11"/>
      <c r="H37" s="11"/>
      <c r="L37" s="11"/>
      <c r="M37" s="11"/>
      <c r="N37" s="11"/>
      <c r="O37" s="11"/>
      <c r="Q37" s="11"/>
      <c r="R37" s="11"/>
      <c r="S37" s="11"/>
      <c r="U37" s="11"/>
    </row>
    <row r="38" spans="4:21" x14ac:dyDescent="0.25">
      <c r="D38" s="11"/>
      <c r="E38" s="11"/>
      <c r="G38" s="11"/>
      <c r="H38" s="11"/>
      <c r="L38" s="11"/>
      <c r="M38" s="11"/>
      <c r="N38" s="11"/>
      <c r="O38" s="11"/>
      <c r="Q38" s="11"/>
      <c r="R38" s="11"/>
      <c r="S38" s="11"/>
      <c r="U38" s="11"/>
    </row>
    <row r="39" spans="4:21" x14ac:dyDescent="0.25">
      <c r="D39" s="11"/>
      <c r="E39" s="11"/>
      <c r="G39" s="11"/>
      <c r="H39" s="11"/>
      <c r="L39" s="11"/>
      <c r="M39" s="11"/>
      <c r="N39" s="11"/>
      <c r="O39" s="11"/>
      <c r="Q39" s="11"/>
      <c r="R39" s="11"/>
      <c r="S39" s="11"/>
      <c r="U39" s="11"/>
    </row>
    <row r="40" spans="4:21" x14ac:dyDescent="0.25">
      <c r="D40" s="11"/>
      <c r="E40" s="11"/>
      <c r="G40" s="11"/>
      <c r="H40" s="11"/>
      <c r="L40" s="11"/>
      <c r="M40" s="11"/>
      <c r="N40" s="11"/>
      <c r="O40" s="11"/>
      <c r="Q40" s="11"/>
      <c r="R40" s="11"/>
      <c r="S40" s="11"/>
      <c r="U40" s="11"/>
    </row>
    <row r="41" spans="4:21" x14ac:dyDescent="0.25">
      <c r="D41" s="11"/>
      <c r="E41" s="11"/>
      <c r="G41" s="11"/>
      <c r="H41" s="11"/>
      <c r="L41" s="11"/>
      <c r="M41" s="11"/>
      <c r="N41" s="11"/>
      <c r="O41" s="11"/>
      <c r="Q41" s="11"/>
      <c r="R41" s="11"/>
      <c r="S41" s="11"/>
      <c r="U41" s="11"/>
    </row>
    <row r="42" spans="4:21" x14ac:dyDescent="0.25">
      <c r="D42" s="11"/>
      <c r="E42" s="11"/>
      <c r="G42" s="11"/>
      <c r="H42" s="11"/>
      <c r="L42" s="11"/>
      <c r="M42" s="11"/>
      <c r="N42" s="11"/>
      <c r="O42" s="11"/>
      <c r="Q42" s="11"/>
      <c r="R42" s="11"/>
      <c r="S42" s="11"/>
      <c r="U42" s="11"/>
    </row>
    <row r="43" spans="4:21" x14ac:dyDescent="0.25">
      <c r="D43" s="11"/>
      <c r="E43" s="11"/>
      <c r="G43" s="11"/>
      <c r="H43" s="11"/>
      <c r="L43" s="11"/>
      <c r="M43" s="11"/>
      <c r="N43" s="11"/>
      <c r="O43" s="11"/>
      <c r="Q43" s="11"/>
      <c r="R43" s="11"/>
      <c r="S43" s="11"/>
      <c r="U43" s="11"/>
    </row>
    <row r="44" spans="4:21" x14ac:dyDescent="0.25">
      <c r="D44" s="11"/>
      <c r="E44" s="11"/>
      <c r="G44" s="11"/>
      <c r="H44" s="11"/>
      <c r="L44" s="11"/>
      <c r="M44" s="11"/>
      <c r="N44" s="11"/>
      <c r="O44" s="11"/>
      <c r="Q44" s="11"/>
      <c r="R44" s="11"/>
      <c r="S44" s="11"/>
      <c r="U44" s="11"/>
    </row>
    <row r="45" spans="4:21" x14ac:dyDescent="0.25">
      <c r="D45" s="11"/>
      <c r="E45" s="11"/>
      <c r="G45" s="11"/>
      <c r="H45" s="11"/>
      <c r="L45" s="11"/>
      <c r="M45" s="11"/>
      <c r="N45" s="11"/>
      <c r="O45" s="11"/>
      <c r="Q45" s="11"/>
      <c r="R45" s="11"/>
      <c r="S45" s="11"/>
      <c r="U45" s="11"/>
    </row>
    <row r="46" spans="4:21" x14ac:dyDescent="0.25">
      <c r="D46" s="11"/>
      <c r="E46" s="11"/>
      <c r="G46" s="11"/>
      <c r="H46" s="11"/>
      <c r="L46" s="11"/>
      <c r="M46" s="11"/>
      <c r="N46" s="11"/>
      <c r="O46" s="11"/>
      <c r="Q46" s="11"/>
      <c r="R46" s="11"/>
      <c r="S46" s="11"/>
      <c r="U46" s="11"/>
    </row>
    <row r="47" spans="4:21" x14ac:dyDescent="0.25">
      <c r="D47" s="11"/>
      <c r="E47" s="11"/>
      <c r="G47" s="11"/>
      <c r="H47" s="11"/>
      <c r="L47" s="11"/>
      <c r="M47" s="11"/>
      <c r="N47" s="11"/>
      <c r="O47" s="11"/>
      <c r="Q47" s="11"/>
      <c r="R47" s="11"/>
      <c r="S47" s="11"/>
      <c r="U47" s="11"/>
    </row>
    <row r="48" spans="4:21" x14ac:dyDescent="0.25">
      <c r="D48" s="11"/>
      <c r="E48" s="11"/>
      <c r="G48" s="11"/>
      <c r="H48" s="11"/>
      <c r="L48" s="11"/>
      <c r="M48" s="11"/>
      <c r="N48" s="11"/>
      <c r="O48" s="11"/>
      <c r="Q48" s="11"/>
      <c r="R48" s="11"/>
      <c r="S48" s="11"/>
      <c r="U48" s="11"/>
    </row>
    <row r="49" spans="4:21" x14ac:dyDescent="0.25">
      <c r="D49" s="11"/>
      <c r="E49" s="11"/>
      <c r="G49" s="11"/>
      <c r="H49" s="11"/>
      <c r="L49" s="11"/>
      <c r="M49" s="11"/>
      <c r="N49" s="11"/>
      <c r="O49" s="11"/>
      <c r="Q49" s="11"/>
      <c r="R49" s="11"/>
      <c r="S49" s="11"/>
      <c r="U49" s="11"/>
    </row>
    <row r="50" spans="4:21" x14ac:dyDescent="0.25">
      <c r="D50" s="11"/>
      <c r="E50" s="11"/>
      <c r="G50" s="11"/>
      <c r="H50" s="11"/>
      <c r="L50" s="11"/>
      <c r="M50" s="11"/>
      <c r="N50" s="11"/>
      <c r="O50" s="11"/>
      <c r="Q50" s="11"/>
      <c r="R50" s="11"/>
      <c r="S50" s="11"/>
      <c r="U50" s="11"/>
    </row>
    <row r="51" spans="4:21" x14ac:dyDescent="0.25">
      <c r="D51" s="11"/>
      <c r="E51" s="11"/>
      <c r="G51" s="11"/>
      <c r="H51" s="11"/>
      <c r="L51" s="11"/>
      <c r="M51" s="11"/>
      <c r="N51" s="11"/>
      <c r="O51" s="11"/>
      <c r="Q51" s="11"/>
      <c r="R51" s="11"/>
      <c r="S51" s="11"/>
      <c r="U51" s="11"/>
    </row>
    <row r="52" spans="4:21" x14ac:dyDescent="0.25">
      <c r="D52" s="11"/>
      <c r="E52" s="11"/>
      <c r="G52" s="11"/>
      <c r="H52" s="11"/>
      <c r="L52" s="11"/>
      <c r="M52" s="11"/>
      <c r="N52" s="11"/>
      <c r="O52" s="11"/>
      <c r="Q52" s="11"/>
      <c r="R52" s="11"/>
      <c r="S52" s="11"/>
      <c r="U52" s="11"/>
    </row>
    <row r="53" spans="4:21" x14ac:dyDescent="0.25">
      <c r="D53" s="11"/>
      <c r="E53" s="11"/>
      <c r="G53" s="11"/>
      <c r="H53" s="11"/>
      <c r="L53" s="11"/>
      <c r="M53" s="11"/>
      <c r="N53" s="11"/>
      <c r="O53" s="11"/>
      <c r="Q53" s="11"/>
      <c r="R53" s="11"/>
      <c r="S53" s="11"/>
      <c r="U53" s="11"/>
    </row>
    <row r="54" spans="4:21" x14ac:dyDescent="0.25">
      <c r="D54" s="11"/>
      <c r="E54" s="11"/>
      <c r="G54" s="11"/>
      <c r="H54" s="11"/>
      <c r="L54" s="11"/>
      <c r="M54" s="11"/>
      <c r="N54" s="11"/>
      <c r="O54" s="11"/>
      <c r="Q54" s="11"/>
      <c r="R54" s="11"/>
      <c r="S54" s="11"/>
      <c r="U54" s="11"/>
    </row>
    <row r="55" spans="4:21" x14ac:dyDescent="0.25">
      <c r="D55" s="11"/>
      <c r="E55" s="11"/>
      <c r="G55" s="11"/>
      <c r="H55" s="11"/>
      <c r="L55" s="11"/>
      <c r="M55" s="11"/>
      <c r="N55" s="11"/>
      <c r="O55" s="11"/>
      <c r="Q55" s="11"/>
      <c r="R55" s="11"/>
      <c r="S55" s="11"/>
      <c r="U55" s="11"/>
    </row>
    <row r="56" spans="4:21" x14ac:dyDescent="0.25">
      <c r="D56" s="11"/>
      <c r="E56" s="11"/>
      <c r="G56" s="11"/>
      <c r="H56" s="11"/>
      <c r="L56" s="11"/>
      <c r="M56" s="11"/>
      <c r="N56" s="11"/>
      <c r="O56" s="11"/>
      <c r="Q56" s="11"/>
      <c r="R56" s="11"/>
      <c r="S56" s="11"/>
      <c r="U56" s="11"/>
    </row>
    <row r="57" spans="4:21" x14ac:dyDescent="0.25">
      <c r="D57" s="11"/>
      <c r="E57" s="11"/>
      <c r="G57" s="11"/>
      <c r="H57" s="11"/>
      <c r="L57" s="11"/>
      <c r="M57" s="11"/>
      <c r="N57" s="11"/>
      <c r="O57" s="11"/>
      <c r="Q57" s="11"/>
      <c r="R57" s="11"/>
      <c r="S57" s="11"/>
      <c r="U57" s="11"/>
    </row>
    <row r="58" spans="4:21" x14ac:dyDescent="0.25">
      <c r="D58" s="11"/>
      <c r="E58" s="11"/>
      <c r="G58" s="11"/>
      <c r="H58" s="11"/>
      <c r="L58" s="11"/>
      <c r="M58" s="11"/>
      <c r="N58" s="11"/>
      <c r="O58" s="11"/>
      <c r="Q58" s="11"/>
      <c r="R58" s="11"/>
      <c r="S58" s="11"/>
      <c r="U58" s="11"/>
    </row>
    <row r="59" spans="4:21" x14ac:dyDescent="0.25">
      <c r="D59" s="11"/>
      <c r="E59" s="11"/>
      <c r="G59" s="11"/>
      <c r="H59" s="11"/>
      <c r="L59" s="11"/>
      <c r="M59" s="11"/>
      <c r="N59" s="11"/>
      <c r="O59" s="11"/>
      <c r="Q59" s="11"/>
      <c r="R59" s="11"/>
      <c r="S59" s="11"/>
      <c r="U59" s="11"/>
    </row>
    <row r="60" spans="4:21" x14ac:dyDescent="0.25">
      <c r="D60" s="11"/>
      <c r="E60" s="11"/>
      <c r="G60" s="11"/>
      <c r="H60" s="11"/>
      <c r="L60" s="11"/>
      <c r="M60" s="11"/>
      <c r="N60" s="11"/>
      <c r="O60" s="11"/>
      <c r="Q60" s="11"/>
      <c r="R60" s="11"/>
      <c r="S60" s="11"/>
      <c r="U60" s="11"/>
    </row>
    <row r="61" spans="4:21" x14ac:dyDescent="0.25">
      <c r="D61" s="11"/>
      <c r="E61" s="11"/>
      <c r="G61" s="11"/>
      <c r="H61" s="11"/>
      <c r="L61" s="11"/>
      <c r="M61" s="11"/>
      <c r="N61" s="11"/>
      <c r="O61" s="11"/>
      <c r="Q61" s="11"/>
      <c r="R61" s="11"/>
      <c r="S61" s="11"/>
      <c r="U61" s="11"/>
    </row>
    <row r="62" spans="4:21" x14ac:dyDescent="0.25">
      <c r="D62" s="11"/>
      <c r="E62" s="11"/>
      <c r="G62" s="11"/>
      <c r="H62" s="11"/>
      <c r="L62" s="11"/>
      <c r="M62" s="11"/>
      <c r="N62" s="11"/>
      <c r="O62" s="11"/>
      <c r="Q62" s="11"/>
      <c r="R62" s="11"/>
      <c r="S62" s="11"/>
      <c r="U62" s="11"/>
    </row>
    <row r="63" spans="4:21" x14ac:dyDescent="0.25">
      <c r="D63" s="11"/>
      <c r="E63" s="11"/>
      <c r="G63" s="11"/>
      <c r="H63" s="11"/>
      <c r="L63" s="11"/>
      <c r="M63" s="11"/>
      <c r="N63" s="11"/>
      <c r="O63" s="11"/>
      <c r="Q63" s="11"/>
      <c r="R63" s="11"/>
      <c r="S63" s="11"/>
      <c r="U63" s="11"/>
    </row>
    <row r="64" spans="4:21" x14ac:dyDescent="0.25">
      <c r="D64" s="11"/>
      <c r="E64" s="11"/>
      <c r="G64" s="11"/>
      <c r="H64" s="11"/>
      <c r="L64" s="11"/>
      <c r="M64" s="11"/>
      <c r="N64" s="11"/>
      <c r="O64" s="11"/>
      <c r="Q64" s="11"/>
      <c r="R64" s="11"/>
      <c r="S64" s="11"/>
      <c r="U64" s="11"/>
    </row>
    <row r="65" spans="4:21" x14ac:dyDescent="0.25">
      <c r="D65" s="11"/>
      <c r="E65" s="11"/>
      <c r="G65" s="11"/>
      <c r="H65" s="11"/>
      <c r="L65" s="11"/>
      <c r="M65" s="11"/>
      <c r="N65" s="11"/>
      <c r="O65" s="11"/>
      <c r="Q65" s="11"/>
      <c r="R65" s="11"/>
      <c r="S65" s="11"/>
      <c r="U65" s="11"/>
    </row>
    <row r="66" spans="4:21" x14ac:dyDescent="0.25">
      <c r="D66" s="11"/>
      <c r="E66" s="11"/>
      <c r="G66" s="11"/>
      <c r="H66" s="11"/>
      <c r="L66" s="11"/>
      <c r="M66" s="11"/>
      <c r="N66" s="11"/>
      <c r="O66" s="11"/>
      <c r="Q66" s="11"/>
      <c r="R66" s="11"/>
      <c r="S66" s="11"/>
      <c r="U66" s="11"/>
    </row>
    <row r="67" spans="4:21" x14ac:dyDescent="0.25">
      <c r="D67" s="11"/>
      <c r="E67" s="11"/>
      <c r="G67" s="11"/>
      <c r="H67" s="11"/>
      <c r="L67" s="11"/>
      <c r="M67" s="11"/>
      <c r="N67" s="11"/>
      <c r="O67" s="11"/>
      <c r="Q67" s="11"/>
      <c r="R67" s="11"/>
      <c r="S67" s="11"/>
      <c r="U67" s="11"/>
    </row>
    <row r="68" spans="4:21" x14ac:dyDescent="0.25">
      <c r="D68" s="11"/>
      <c r="E68" s="11"/>
      <c r="G68" s="11"/>
      <c r="H68" s="11"/>
      <c r="L68" s="11"/>
      <c r="M68" s="11"/>
      <c r="N68" s="11"/>
      <c r="O68" s="11"/>
      <c r="Q68" s="11"/>
      <c r="R68" s="11"/>
      <c r="S68" s="11"/>
      <c r="U68" s="11"/>
    </row>
    <row r="69" spans="4:21" x14ac:dyDescent="0.25">
      <c r="D69" s="11"/>
      <c r="E69" s="11"/>
      <c r="G69" s="11"/>
      <c r="H69" s="11"/>
      <c r="L69" s="11"/>
      <c r="M69" s="11"/>
      <c r="N69" s="11"/>
      <c r="O69" s="11"/>
      <c r="Q69" s="11"/>
      <c r="R69" s="11"/>
      <c r="S69" s="11"/>
      <c r="U69" s="11"/>
    </row>
    <row r="70" spans="4:21" x14ac:dyDescent="0.25">
      <c r="D70" s="11"/>
      <c r="E70" s="11"/>
      <c r="G70" s="11"/>
      <c r="H70" s="11"/>
      <c r="L70" s="11"/>
      <c r="M70" s="11"/>
      <c r="N70" s="11"/>
      <c r="O70" s="11"/>
      <c r="Q70" s="11"/>
      <c r="R70" s="11"/>
      <c r="S70" s="11"/>
      <c r="U70" s="11"/>
    </row>
    <row r="71" spans="4:21" x14ac:dyDescent="0.25">
      <c r="D71" s="11"/>
      <c r="E71" s="11"/>
      <c r="G71" s="11"/>
      <c r="H71" s="11"/>
      <c r="L71" s="11"/>
      <c r="M71" s="11"/>
      <c r="N71" s="11"/>
      <c r="O71" s="11"/>
      <c r="Q71" s="11"/>
      <c r="R71" s="11"/>
      <c r="S71" s="11"/>
      <c r="U71" s="11"/>
    </row>
    <row r="72" spans="4:21" x14ac:dyDescent="0.25">
      <c r="D72" s="11"/>
      <c r="E72" s="11"/>
      <c r="G72" s="11"/>
      <c r="H72" s="11"/>
      <c r="L72" s="11"/>
      <c r="M72" s="11"/>
      <c r="N72" s="11"/>
      <c r="O72" s="11"/>
      <c r="Q72" s="11"/>
      <c r="R72" s="11"/>
      <c r="S72" s="11"/>
      <c r="U72" s="11"/>
    </row>
    <row r="73" spans="4:21" x14ac:dyDescent="0.25">
      <c r="D73" s="11"/>
      <c r="E73" s="11"/>
      <c r="G73" s="11"/>
      <c r="H73" s="11"/>
      <c r="L73" s="11"/>
      <c r="M73" s="11"/>
      <c r="N73" s="11"/>
      <c r="O73" s="11"/>
      <c r="Q73" s="11"/>
      <c r="R73" s="11"/>
      <c r="S73" s="11"/>
      <c r="U73" s="11"/>
    </row>
    <row r="74" spans="4:21" x14ac:dyDescent="0.25">
      <c r="D74" s="11"/>
      <c r="E74" s="11"/>
      <c r="G74" s="11"/>
      <c r="H74" s="11"/>
      <c r="L74" s="11"/>
      <c r="M74" s="11"/>
      <c r="N74" s="11"/>
      <c r="O74" s="11"/>
      <c r="Q74" s="11"/>
      <c r="R74" s="11"/>
      <c r="S74" s="11"/>
      <c r="U74" s="11"/>
    </row>
    <row r="75" spans="4:21" x14ac:dyDescent="0.25">
      <c r="D75" s="11"/>
      <c r="E75" s="11"/>
      <c r="G75" s="11"/>
      <c r="H75" s="11"/>
      <c r="L75" s="11"/>
      <c r="M75" s="11"/>
      <c r="N75" s="11"/>
      <c r="O75" s="11"/>
      <c r="Q75" s="11"/>
      <c r="R75" s="11"/>
      <c r="S75" s="11"/>
      <c r="U75" s="11"/>
    </row>
    <row r="76" spans="4:21" x14ac:dyDescent="0.25">
      <c r="D76" s="11"/>
      <c r="E76" s="11"/>
      <c r="G76" s="11"/>
      <c r="H76" s="11"/>
      <c r="L76" s="11"/>
      <c r="M76" s="11"/>
      <c r="N76" s="11"/>
      <c r="O76" s="11"/>
      <c r="Q76" s="11"/>
      <c r="R76" s="11"/>
      <c r="S76" s="11"/>
      <c r="U76" s="1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16">
    <tabColor rgb="FFFF8080"/>
  </sheetPr>
  <dimension ref="A1:F6"/>
  <sheetViews>
    <sheetView showGridLines="0" zoomScale="85" zoomScaleNormal="85" workbookViewId="0">
      <selection activeCell="E1" sqref="E1"/>
    </sheetView>
  </sheetViews>
  <sheetFormatPr defaultColWidth="11.42578125" defaultRowHeight="15" x14ac:dyDescent="0.25"/>
  <cols>
    <col min="1" max="2" width="11.28515625" bestFit="1" customWidth="1"/>
    <col min="3" max="3" width="18.85546875" bestFit="1" customWidth="1"/>
    <col min="5" max="5" width="14.42578125" bestFit="1" customWidth="1"/>
    <col min="6" max="6" width="9.28515625" bestFit="1" customWidth="1"/>
  </cols>
  <sheetData>
    <row r="1" spans="1:6" x14ac:dyDescent="0.25">
      <c r="A1" t="s">
        <v>43</v>
      </c>
      <c r="B1" t="s">
        <v>42</v>
      </c>
      <c r="C1" t="s">
        <v>11</v>
      </c>
      <c r="E1" t="s">
        <v>22</v>
      </c>
      <c r="F1" t="s">
        <v>68</v>
      </c>
    </row>
    <row r="2" spans="1:6" x14ac:dyDescent="0.25">
      <c r="C2" t="s">
        <v>41</v>
      </c>
      <c r="E2" t="s">
        <v>6</v>
      </c>
      <c r="F2" t="s">
        <v>62</v>
      </c>
    </row>
    <row r="3" spans="1:6" x14ac:dyDescent="0.25">
      <c r="A3" t="s">
        <v>33</v>
      </c>
      <c r="B3" t="s">
        <v>40</v>
      </c>
      <c r="C3" t="s">
        <v>39</v>
      </c>
      <c r="E3" t="s">
        <v>31</v>
      </c>
      <c r="F3" t="s">
        <v>63</v>
      </c>
    </row>
    <row r="4" spans="1:6" x14ac:dyDescent="0.25">
      <c r="A4" t="s">
        <v>38</v>
      </c>
      <c r="B4" t="s">
        <v>37</v>
      </c>
      <c r="C4" t="s">
        <v>36</v>
      </c>
      <c r="E4" t="s">
        <v>64</v>
      </c>
      <c r="F4" t="s">
        <v>65</v>
      </c>
    </row>
    <row r="5" spans="1:6" x14ac:dyDescent="0.25">
      <c r="A5" t="s">
        <v>32</v>
      </c>
      <c r="B5" t="s">
        <v>35</v>
      </c>
      <c r="C5" t="s">
        <v>34</v>
      </c>
      <c r="E5" t="s">
        <v>66</v>
      </c>
      <c r="F5" t="s">
        <v>62</v>
      </c>
    </row>
    <row r="6" spans="1:6" x14ac:dyDescent="0.25">
      <c r="E6" t="s">
        <v>67</v>
      </c>
      <c r="F6" t="s">
        <v>62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7">
    <tabColor rgb="FFFF8080"/>
  </sheetPr>
  <dimension ref="A1:O10"/>
  <sheetViews>
    <sheetView showGridLines="0" zoomScale="85" zoomScaleNormal="85" workbookViewId="0"/>
  </sheetViews>
  <sheetFormatPr defaultColWidth="11.42578125" defaultRowHeight="15" x14ac:dyDescent="0.25"/>
  <cols>
    <col min="1" max="1" width="17.140625" customWidth="1"/>
    <col min="2" max="2" width="13.140625" customWidth="1"/>
    <col min="3" max="3" width="11.85546875" customWidth="1"/>
    <col min="4" max="4" width="5.28515625" customWidth="1"/>
    <col min="5" max="5" width="15.5703125" customWidth="1"/>
    <col min="6" max="6" width="8" customWidth="1"/>
    <col min="7" max="7" width="34.5703125" bestFit="1" customWidth="1"/>
    <col min="8" max="8" width="4" customWidth="1"/>
    <col min="9" max="9" width="8.140625" customWidth="1"/>
    <col min="10" max="10" width="10.28515625" customWidth="1"/>
    <col min="11" max="11" width="13.5703125" bestFit="1" customWidth="1"/>
    <col min="12" max="12" width="3" customWidth="1"/>
    <col min="13" max="13" width="8.140625" customWidth="1"/>
    <col min="14" max="14" width="12.85546875" customWidth="1"/>
    <col min="15" max="15" width="22.42578125" bestFit="1" customWidth="1"/>
  </cols>
  <sheetData>
    <row r="1" spans="1:15" ht="23.25" x14ac:dyDescent="0.35">
      <c r="A1" s="9" t="s">
        <v>10</v>
      </c>
    </row>
    <row r="4" spans="1:15" x14ac:dyDescent="0.25">
      <c r="A4" s="13" t="s">
        <v>12</v>
      </c>
      <c r="B4" s="14" t="s">
        <v>17</v>
      </c>
      <c r="C4" s="15" t="s">
        <v>13</v>
      </c>
      <c r="E4" s="8" t="s">
        <v>69</v>
      </c>
      <c r="F4" s="10" t="s">
        <v>13</v>
      </c>
      <c r="G4" s="8" t="s">
        <v>11</v>
      </c>
      <c r="I4" t="s">
        <v>51</v>
      </c>
      <c r="J4" t="s">
        <v>52</v>
      </c>
      <c r="K4" t="s">
        <v>11</v>
      </c>
      <c r="M4" t="s">
        <v>51</v>
      </c>
      <c r="N4" t="s">
        <v>57</v>
      </c>
      <c r="O4" t="s">
        <v>11</v>
      </c>
    </row>
    <row r="5" spans="1:15" x14ac:dyDescent="0.25">
      <c r="A5" t="s">
        <v>29</v>
      </c>
      <c r="B5" s="7"/>
      <c r="C5" t="str">
        <f>IFERROR(VLOOKUP(MaterialPrice,tMaterialPrice[],2,FALSE),"")</f>
        <v/>
      </c>
      <c r="E5" s="3" t="s">
        <v>15</v>
      </c>
      <c r="G5" t="s">
        <v>8</v>
      </c>
      <c r="I5" t="s">
        <v>53</v>
      </c>
      <c r="J5" t="e">
        <f>COLUMN(#REF!)</f>
        <v>#REF!</v>
      </c>
      <c r="K5" t="s">
        <v>47</v>
      </c>
      <c r="M5" t="s">
        <v>53</v>
      </c>
      <c r="N5">
        <v>2</v>
      </c>
      <c r="O5" t="s">
        <v>58</v>
      </c>
    </row>
    <row r="6" spans="1:15" x14ac:dyDescent="0.25">
      <c r="A6" t="s">
        <v>28</v>
      </c>
      <c r="B6" s="7" t="s">
        <v>53</v>
      </c>
      <c r="C6">
        <f>IFERROR(VLOOKUP(ProductHierarchy,tProductHierarchyLevel[],2,FALSE),"")</f>
        <v>2</v>
      </c>
      <c r="E6" s="3" t="s">
        <v>14</v>
      </c>
      <c r="G6" t="s">
        <v>18</v>
      </c>
      <c r="I6" t="s">
        <v>54</v>
      </c>
      <c r="J6" t="e">
        <f>COLUMN(#REF!)</f>
        <v>#REF!</v>
      </c>
      <c r="K6" t="s">
        <v>48</v>
      </c>
      <c r="M6" t="s">
        <v>54</v>
      </c>
      <c r="N6">
        <v>5</v>
      </c>
      <c r="O6" t="s">
        <v>59</v>
      </c>
    </row>
    <row r="7" spans="1:15" x14ac:dyDescent="0.25">
      <c r="A7" t="s">
        <v>27</v>
      </c>
      <c r="B7" s="7" t="s">
        <v>55</v>
      </c>
      <c r="C7" t="str">
        <f>IFERROR(VLOOKUP(CustomerHierarchy,tCustomerLevel[],2,FALSE),"")</f>
        <v/>
      </c>
      <c r="E7" s="3" t="s">
        <v>16</v>
      </c>
      <c r="G7" t="s">
        <v>9</v>
      </c>
      <c r="I7" t="s">
        <v>55</v>
      </c>
      <c r="J7" t="e">
        <f>COLUMN(#REF!)</f>
        <v>#REF!</v>
      </c>
      <c r="K7" t="s">
        <v>49</v>
      </c>
      <c r="M7" t="s">
        <v>55</v>
      </c>
      <c r="N7">
        <v>8</v>
      </c>
      <c r="O7" t="s">
        <v>60</v>
      </c>
    </row>
    <row r="8" spans="1:15" x14ac:dyDescent="0.25">
      <c r="A8" t="s">
        <v>26</v>
      </c>
      <c r="B8" s="7" t="s">
        <v>104</v>
      </c>
      <c r="C8" t="str">
        <f t="shared" ref="C8:C10" si="0">B8</f>
        <v>Gross</v>
      </c>
      <c r="I8" t="s">
        <v>56</v>
      </c>
      <c r="J8" t="e">
        <f>COLUMN(#REF!)</f>
        <v>#REF!</v>
      </c>
      <c r="K8" t="s">
        <v>50</v>
      </c>
      <c r="M8" t="s">
        <v>56</v>
      </c>
      <c r="N8">
        <v>12</v>
      </c>
      <c r="O8" t="s">
        <v>61</v>
      </c>
    </row>
    <row r="9" spans="1:15" x14ac:dyDescent="0.25">
      <c r="A9" t="s">
        <v>25</v>
      </c>
      <c r="B9" s="7">
        <v>1</v>
      </c>
      <c r="C9">
        <f t="shared" si="0"/>
        <v>1</v>
      </c>
    </row>
    <row r="10" spans="1:15" x14ac:dyDescent="0.25">
      <c r="A10" t="s">
        <v>7</v>
      </c>
      <c r="B10" s="7" t="s">
        <v>105</v>
      </c>
      <c r="C10" t="str">
        <f t="shared" si="0"/>
        <v>Default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4">
    <tabColor rgb="FFFF8080"/>
  </sheetPr>
  <dimension ref="A1:B8"/>
  <sheetViews>
    <sheetView showGridLines="0" zoomScale="85" zoomScaleNormal="85" workbookViewId="0"/>
  </sheetViews>
  <sheetFormatPr defaultColWidth="11.42578125" defaultRowHeight="15" x14ac:dyDescent="0.25"/>
  <cols>
    <col min="1" max="1" width="13.140625" bestFit="1" customWidth="1"/>
    <col min="2" max="2" width="42.140625" bestFit="1" customWidth="1"/>
  </cols>
  <sheetData>
    <row r="1" spans="1:2" ht="23.25" x14ac:dyDescent="0.35">
      <c r="A1" s="9" t="s">
        <v>46</v>
      </c>
    </row>
    <row r="4" spans="1:2" x14ac:dyDescent="0.25">
      <c r="A4" t="s">
        <v>1</v>
      </c>
      <c r="B4" s="17">
        <v>34</v>
      </c>
    </row>
    <row r="5" spans="1:2" x14ac:dyDescent="0.25">
      <c r="A5" t="s">
        <v>0</v>
      </c>
      <c r="B5" s="17" t="s">
        <v>448</v>
      </c>
    </row>
    <row r="6" spans="1:2" x14ac:dyDescent="0.25">
      <c r="A6" t="s">
        <v>19</v>
      </c>
      <c r="B6" s="17" t="s">
        <v>410</v>
      </c>
    </row>
    <row r="7" spans="1:2" x14ac:dyDescent="0.25">
      <c r="A7" t="s">
        <v>20</v>
      </c>
      <c r="B7" s="17"/>
    </row>
    <row r="8" spans="1:2" x14ac:dyDescent="0.25">
      <c r="A8" t="s">
        <v>70</v>
      </c>
      <c r="B8" s="17" t="str">
        <f>"Stock History   -   " &amp; Database!I2</f>
        <v>Stock History   -   Stabburet Bayersk postei 8x6x22g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1">
    <tabColor indexed="29"/>
  </sheetPr>
  <dimension ref="A1:B11"/>
  <sheetViews>
    <sheetView showGridLines="0" zoomScale="85" workbookViewId="0">
      <pane xSplit="1" ySplit="9" topLeftCell="B10" activePane="bottomRight" state="frozen"/>
      <selection activeCell="A9" sqref="A9"/>
      <selection pane="topRight" activeCell="A9" sqref="A9"/>
      <selection pane="bottomLeft" activeCell="A9" sqref="A9"/>
      <selection pane="bottomRight" activeCell="B10" sqref="B10"/>
    </sheetView>
  </sheetViews>
  <sheetFormatPr defaultColWidth="11.42578125" defaultRowHeight="12.75" x14ac:dyDescent="0.2"/>
  <cols>
    <col min="1" max="1" width="11.5703125" style="22" customWidth="1"/>
    <col min="2" max="2" width="13.5703125" style="22" customWidth="1"/>
    <col min="3" max="3" width="14.5703125" style="22" customWidth="1"/>
    <col min="4" max="4" width="7.42578125" style="22" customWidth="1"/>
    <col min="5" max="16384" width="11.42578125" style="22"/>
  </cols>
  <sheetData>
    <row r="1" spans="1:2" x14ac:dyDescent="0.2">
      <c r="A1" s="22" t="s">
        <v>336</v>
      </c>
    </row>
    <row r="4" spans="1:2" ht="15" x14ac:dyDescent="0.25">
      <c r="A4" s="139" t="s">
        <v>329</v>
      </c>
      <c r="B4" s="167">
        <v>1</v>
      </c>
    </row>
    <row r="5" spans="1:2" ht="15" x14ac:dyDescent="0.25">
      <c r="A5" s="139" t="s">
        <v>140</v>
      </c>
      <c r="B5" s="140" t="s">
        <v>337</v>
      </c>
    </row>
    <row r="6" spans="1:2" ht="15" x14ac:dyDescent="0.25">
      <c r="A6" s="139" t="s">
        <v>154</v>
      </c>
      <c r="B6" s="167">
        <v>2</v>
      </c>
    </row>
    <row r="8" spans="1:2" ht="15" x14ac:dyDescent="0.25">
      <c r="A8" s="46" t="s">
        <v>332</v>
      </c>
      <c r="B8" s="47" t="s">
        <v>328</v>
      </c>
    </row>
    <row r="9" spans="1:2" ht="15" x14ac:dyDescent="0.25">
      <c r="A9" s="141">
        <v>41799</v>
      </c>
      <c r="B9" s="143">
        <v>-306</v>
      </c>
    </row>
    <row r="10" spans="1:2" ht="15.75" thickBot="1" x14ac:dyDescent="0.3">
      <c r="A10" s="48" t="s">
        <v>338</v>
      </c>
      <c r="B10" s="50">
        <v>-306</v>
      </c>
    </row>
    <row r="11" spans="1:2" ht="13.5" thickTop="1" x14ac:dyDescent="0.2"/>
  </sheetData>
  <pageMargins left="0.78740157499999996" right="0.78740157499999996" top="0.984251969" bottom="0.984251969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">
    <tabColor indexed="29"/>
  </sheetPr>
  <dimension ref="A1:D286"/>
  <sheetViews>
    <sheetView showGridLines="0" zoomScale="85" workbookViewId="0">
      <pane xSplit="1" ySplit="11" topLeftCell="B12" activePane="bottomRight" state="frozen"/>
      <selection activeCell="A9" sqref="A9"/>
      <selection pane="topRight" activeCell="A9" sqref="A9"/>
      <selection pane="bottomLeft" activeCell="A9" sqref="A9"/>
      <selection pane="bottomRight" activeCell="B12" sqref="B12"/>
    </sheetView>
  </sheetViews>
  <sheetFormatPr defaultColWidth="11.42578125" defaultRowHeight="12.75" x14ac:dyDescent="0.2"/>
  <cols>
    <col min="1" max="1" width="11.7109375" style="22" bestFit="1" customWidth="1"/>
    <col min="2" max="3" width="14.28515625" style="22" bestFit="1" customWidth="1"/>
    <col min="4" max="4" width="10.5703125" style="22" customWidth="1"/>
    <col min="5" max="16384" width="11.42578125" style="22"/>
  </cols>
  <sheetData>
    <row r="1" spans="1:4" x14ac:dyDescent="0.2">
      <c r="A1" s="22" t="s">
        <v>336</v>
      </c>
    </row>
    <row r="5" spans="1:4" ht="15" x14ac:dyDescent="0.25">
      <c r="A5" s="168" t="s">
        <v>140</v>
      </c>
      <c r="B5" s="169" t="s">
        <v>337</v>
      </c>
    </row>
    <row r="6" spans="1:4" ht="15" x14ac:dyDescent="0.25">
      <c r="A6" s="168" t="s">
        <v>136</v>
      </c>
      <c r="B6" s="175" t="s">
        <v>337</v>
      </c>
    </row>
    <row r="7" spans="1:4" ht="15" x14ac:dyDescent="0.25">
      <c r="A7" s="168" t="s">
        <v>154</v>
      </c>
      <c r="B7" s="169" t="s">
        <v>337</v>
      </c>
    </row>
    <row r="8" spans="1:4" ht="15" x14ac:dyDescent="0.25">
      <c r="A8" s="168" t="s">
        <v>330</v>
      </c>
      <c r="B8" s="169" t="s">
        <v>337</v>
      </c>
    </row>
    <row r="10" spans="1:4" ht="15" x14ac:dyDescent="0.25">
      <c r="A10" s="46" t="s">
        <v>332</v>
      </c>
      <c r="B10" s="171" t="s">
        <v>339</v>
      </c>
      <c r="C10" s="172" t="s">
        <v>328</v>
      </c>
      <c r="D10" s="45" t="s">
        <v>161</v>
      </c>
    </row>
    <row r="11" spans="1:4" ht="15" x14ac:dyDescent="0.25">
      <c r="A11" s="170">
        <v>41799</v>
      </c>
      <c r="B11" s="173">
        <v>3804</v>
      </c>
      <c r="C11" s="174">
        <v>0</v>
      </c>
      <c r="D11" s="26">
        <f>StockIn+C11</f>
        <v>3804</v>
      </c>
    </row>
    <row r="12" spans="1:4" x14ac:dyDescent="0.2">
      <c r="D12" s="26">
        <f>IF(D11+C12&lt;0,0,D11+C12)</f>
        <v>3804</v>
      </c>
    </row>
    <row r="13" spans="1:4" x14ac:dyDescent="0.2">
      <c r="D13" s="26">
        <f t="shared" ref="D13:D76" si="0">IF(D12+C13&lt;0,0,D12+C13)</f>
        <v>3804</v>
      </c>
    </row>
    <row r="14" spans="1:4" x14ac:dyDescent="0.2">
      <c r="D14" s="26">
        <f t="shared" si="0"/>
        <v>3804</v>
      </c>
    </row>
    <row r="15" spans="1:4" x14ac:dyDescent="0.2">
      <c r="D15" s="26">
        <f t="shared" si="0"/>
        <v>3804</v>
      </c>
    </row>
    <row r="16" spans="1:4" x14ac:dyDescent="0.2">
      <c r="D16" s="26">
        <f t="shared" si="0"/>
        <v>3804</v>
      </c>
    </row>
    <row r="17" spans="4:4" x14ac:dyDescent="0.2">
      <c r="D17" s="26">
        <f t="shared" si="0"/>
        <v>3804</v>
      </c>
    </row>
    <row r="18" spans="4:4" x14ac:dyDescent="0.2">
      <c r="D18" s="26">
        <f t="shared" si="0"/>
        <v>3804</v>
      </c>
    </row>
    <row r="19" spans="4:4" x14ac:dyDescent="0.2">
      <c r="D19" s="26">
        <f t="shared" si="0"/>
        <v>3804</v>
      </c>
    </row>
    <row r="20" spans="4:4" x14ac:dyDescent="0.2">
      <c r="D20" s="26">
        <f t="shared" si="0"/>
        <v>3804</v>
      </c>
    </row>
    <row r="21" spans="4:4" x14ac:dyDescent="0.2">
      <c r="D21" s="26">
        <f t="shared" si="0"/>
        <v>3804</v>
      </c>
    </row>
    <row r="22" spans="4:4" x14ac:dyDescent="0.2">
      <c r="D22" s="26">
        <f t="shared" si="0"/>
        <v>3804</v>
      </c>
    </row>
    <row r="23" spans="4:4" x14ac:dyDescent="0.2">
      <c r="D23" s="26">
        <f t="shared" si="0"/>
        <v>3804</v>
      </c>
    </row>
    <row r="24" spans="4:4" x14ac:dyDescent="0.2">
      <c r="D24" s="26">
        <f t="shared" si="0"/>
        <v>3804</v>
      </c>
    </row>
    <row r="25" spans="4:4" x14ac:dyDescent="0.2">
      <c r="D25" s="26">
        <f t="shared" si="0"/>
        <v>3804</v>
      </c>
    </row>
    <row r="26" spans="4:4" x14ac:dyDescent="0.2">
      <c r="D26" s="26">
        <f t="shared" si="0"/>
        <v>3804</v>
      </c>
    </row>
    <row r="27" spans="4:4" x14ac:dyDescent="0.2">
      <c r="D27" s="26">
        <f t="shared" si="0"/>
        <v>3804</v>
      </c>
    </row>
    <row r="28" spans="4:4" x14ac:dyDescent="0.2">
      <c r="D28" s="26">
        <f t="shared" si="0"/>
        <v>3804</v>
      </c>
    </row>
    <row r="29" spans="4:4" x14ac:dyDescent="0.2">
      <c r="D29" s="26">
        <f t="shared" si="0"/>
        <v>3804</v>
      </c>
    </row>
    <row r="30" spans="4:4" x14ac:dyDescent="0.2">
      <c r="D30" s="26">
        <f t="shared" si="0"/>
        <v>3804</v>
      </c>
    </row>
    <row r="31" spans="4:4" x14ac:dyDescent="0.2">
      <c r="D31" s="26">
        <f t="shared" si="0"/>
        <v>3804</v>
      </c>
    </row>
    <row r="32" spans="4:4" x14ac:dyDescent="0.2">
      <c r="D32" s="26">
        <f t="shared" si="0"/>
        <v>3804</v>
      </c>
    </row>
    <row r="33" spans="4:4" x14ac:dyDescent="0.2">
      <c r="D33" s="26">
        <f t="shared" si="0"/>
        <v>3804</v>
      </c>
    </row>
    <row r="34" spans="4:4" x14ac:dyDescent="0.2">
      <c r="D34" s="26">
        <f t="shared" si="0"/>
        <v>3804</v>
      </c>
    </row>
    <row r="35" spans="4:4" x14ac:dyDescent="0.2">
      <c r="D35" s="26">
        <f t="shared" si="0"/>
        <v>3804</v>
      </c>
    </row>
    <row r="36" spans="4:4" x14ac:dyDescent="0.2">
      <c r="D36" s="26">
        <f t="shared" si="0"/>
        <v>3804</v>
      </c>
    </row>
    <row r="37" spans="4:4" x14ac:dyDescent="0.2">
      <c r="D37" s="26">
        <f t="shared" si="0"/>
        <v>3804</v>
      </c>
    </row>
    <row r="38" spans="4:4" x14ac:dyDescent="0.2">
      <c r="D38" s="26">
        <f t="shared" si="0"/>
        <v>3804</v>
      </c>
    </row>
    <row r="39" spans="4:4" x14ac:dyDescent="0.2">
      <c r="D39" s="26">
        <f t="shared" si="0"/>
        <v>3804</v>
      </c>
    </row>
    <row r="40" spans="4:4" x14ac:dyDescent="0.2">
      <c r="D40" s="26">
        <f t="shared" si="0"/>
        <v>3804</v>
      </c>
    </row>
    <row r="41" spans="4:4" x14ac:dyDescent="0.2">
      <c r="D41" s="26">
        <f t="shared" si="0"/>
        <v>3804</v>
      </c>
    </row>
    <row r="42" spans="4:4" x14ac:dyDescent="0.2">
      <c r="D42" s="26">
        <f t="shared" si="0"/>
        <v>3804</v>
      </c>
    </row>
    <row r="43" spans="4:4" x14ac:dyDescent="0.2">
      <c r="D43" s="26">
        <f t="shared" si="0"/>
        <v>3804</v>
      </c>
    </row>
    <row r="44" spans="4:4" x14ac:dyDescent="0.2">
      <c r="D44" s="26">
        <f t="shared" si="0"/>
        <v>3804</v>
      </c>
    </row>
    <row r="45" spans="4:4" x14ac:dyDescent="0.2">
      <c r="D45" s="26">
        <f t="shared" si="0"/>
        <v>3804</v>
      </c>
    </row>
    <row r="46" spans="4:4" x14ac:dyDescent="0.2">
      <c r="D46" s="26">
        <f t="shared" si="0"/>
        <v>3804</v>
      </c>
    </row>
    <row r="47" spans="4:4" x14ac:dyDescent="0.2">
      <c r="D47" s="26">
        <f t="shared" si="0"/>
        <v>3804</v>
      </c>
    </row>
    <row r="48" spans="4:4" x14ac:dyDescent="0.2">
      <c r="D48" s="26">
        <f t="shared" si="0"/>
        <v>3804</v>
      </c>
    </row>
    <row r="49" spans="4:4" x14ac:dyDescent="0.2">
      <c r="D49" s="26">
        <f t="shared" si="0"/>
        <v>3804</v>
      </c>
    </row>
    <row r="50" spans="4:4" x14ac:dyDescent="0.2">
      <c r="D50" s="26">
        <f t="shared" si="0"/>
        <v>3804</v>
      </c>
    </row>
    <row r="51" spans="4:4" x14ac:dyDescent="0.2">
      <c r="D51" s="26">
        <f t="shared" si="0"/>
        <v>3804</v>
      </c>
    </row>
    <row r="52" spans="4:4" x14ac:dyDescent="0.2">
      <c r="D52" s="26">
        <f t="shared" si="0"/>
        <v>3804</v>
      </c>
    </row>
    <row r="53" spans="4:4" x14ac:dyDescent="0.2">
      <c r="D53" s="26">
        <f t="shared" si="0"/>
        <v>3804</v>
      </c>
    </row>
    <row r="54" spans="4:4" x14ac:dyDescent="0.2">
      <c r="D54" s="26">
        <f t="shared" si="0"/>
        <v>3804</v>
      </c>
    </row>
    <row r="55" spans="4:4" x14ac:dyDescent="0.2">
      <c r="D55" s="26">
        <f t="shared" si="0"/>
        <v>3804</v>
      </c>
    </row>
    <row r="56" spans="4:4" x14ac:dyDescent="0.2">
      <c r="D56" s="26">
        <f t="shared" si="0"/>
        <v>3804</v>
      </c>
    </row>
    <row r="57" spans="4:4" x14ac:dyDescent="0.2">
      <c r="D57" s="26">
        <f t="shared" si="0"/>
        <v>3804</v>
      </c>
    </row>
    <row r="58" spans="4:4" x14ac:dyDescent="0.2">
      <c r="D58" s="26">
        <f t="shared" si="0"/>
        <v>3804</v>
      </c>
    </row>
    <row r="59" spans="4:4" x14ac:dyDescent="0.2">
      <c r="D59" s="26">
        <f t="shared" si="0"/>
        <v>3804</v>
      </c>
    </row>
    <row r="60" spans="4:4" x14ac:dyDescent="0.2">
      <c r="D60" s="26">
        <f t="shared" si="0"/>
        <v>3804</v>
      </c>
    </row>
    <row r="61" spans="4:4" x14ac:dyDescent="0.2">
      <c r="D61" s="26">
        <f t="shared" si="0"/>
        <v>3804</v>
      </c>
    </row>
    <row r="62" spans="4:4" x14ac:dyDescent="0.2">
      <c r="D62" s="26">
        <f t="shared" si="0"/>
        <v>3804</v>
      </c>
    </row>
    <row r="63" spans="4:4" x14ac:dyDescent="0.2">
      <c r="D63" s="26">
        <f t="shared" si="0"/>
        <v>3804</v>
      </c>
    </row>
    <row r="64" spans="4:4" x14ac:dyDescent="0.2">
      <c r="D64" s="26">
        <f t="shared" si="0"/>
        <v>3804</v>
      </c>
    </row>
    <row r="65" spans="4:4" x14ac:dyDescent="0.2">
      <c r="D65" s="26">
        <f t="shared" si="0"/>
        <v>3804</v>
      </c>
    </row>
    <row r="66" spans="4:4" x14ac:dyDescent="0.2">
      <c r="D66" s="26">
        <f t="shared" si="0"/>
        <v>3804</v>
      </c>
    </row>
    <row r="67" spans="4:4" x14ac:dyDescent="0.2">
      <c r="D67" s="26">
        <f t="shared" si="0"/>
        <v>3804</v>
      </c>
    </row>
    <row r="68" spans="4:4" x14ac:dyDescent="0.2">
      <c r="D68" s="26">
        <f t="shared" si="0"/>
        <v>3804</v>
      </c>
    </row>
    <row r="69" spans="4:4" x14ac:dyDescent="0.2">
      <c r="D69" s="26">
        <f t="shared" si="0"/>
        <v>3804</v>
      </c>
    </row>
    <row r="70" spans="4:4" x14ac:dyDescent="0.2">
      <c r="D70" s="26">
        <f t="shared" si="0"/>
        <v>3804</v>
      </c>
    </row>
    <row r="71" spans="4:4" x14ac:dyDescent="0.2">
      <c r="D71" s="26">
        <f t="shared" si="0"/>
        <v>3804</v>
      </c>
    </row>
    <row r="72" spans="4:4" x14ac:dyDescent="0.2">
      <c r="D72" s="26">
        <f t="shared" si="0"/>
        <v>3804</v>
      </c>
    </row>
    <row r="73" spans="4:4" x14ac:dyDescent="0.2">
      <c r="D73" s="26">
        <f t="shared" si="0"/>
        <v>3804</v>
      </c>
    </row>
    <row r="74" spans="4:4" x14ac:dyDescent="0.2">
      <c r="D74" s="26">
        <f t="shared" si="0"/>
        <v>3804</v>
      </c>
    </row>
    <row r="75" spans="4:4" x14ac:dyDescent="0.2">
      <c r="D75" s="26">
        <f t="shared" si="0"/>
        <v>3804</v>
      </c>
    </row>
    <row r="76" spans="4:4" x14ac:dyDescent="0.2">
      <c r="D76" s="26">
        <f t="shared" si="0"/>
        <v>3804</v>
      </c>
    </row>
    <row r="77" spans="4:4" x14ac:dyDescent="0.2">
      <c r="D77" s="26">
        <f t="shared" ref="D77:D140" si="1">IF(D76+C77&lt;0,0,D76+C77)</f>
        <v>3804</v>
      </c>
    </row>
    <row r="78" spans="4:4" x14ac:dyDescent="0.2">
      <c r="D78" s="26">
        <f t="shared" si="1"/>
        <v>3804</v>
      </c>
    </row>
    <row r="79" spans="4:4" x14ac:dyDescent="0.2">
      <c r="D79" s="26">
        <f t="shared" si="1"/>
        <v>3804</v>
      </c>
    </row>
    <row r="80" spans="4:4" x14ac:dyDescent="0.2">
      <c r="D80" s="26">
        <f t="shared" si="1"/>
        <v>3804</v>
      </c>
    </row>
    <row r="81" spans="4:4" x14ac:dyDescent="0.2">
      <c r="D81" s="26">
        <f t="shared" si="1"/>
        <v>3804</v>
      </c>
    </row>
    <row r="82" spans="4:4" x14ac:dyDescent="0.2">
      <c r="D82" s="26">
        <f t="shared" si="1"/>
        <v>3804</v>
      </c>
    </row>
    <row r="83" spans="4:4" x14ac:dyDescent="0.2">
      <c r="D83" s="26">
        <f t="shared" si="1"/>
        <v>3804</v>
      </c>
    </row>
    <row r="84" spans="4:4" x14ac:dyDescent="0.2">
      <c r="D84" s="26">
        <f t="shared" si="1"/>
        <v>3804</v>
      </c>
    </row>
    <row r="85" spans="4:4" x14ac:dyDescent="0.2">
      <c r="D85" s="26">
        <f t="shared" si="1"/>
        <v>3804</v>
      </c>
    </row>
    <row r="86" spans="4:4" x14ac:dyDescent="0.2">
      <c r="D86" s="26">
        <f t="shared" si="1"/>
        <v>3804</v>
      </c>
    </row>
    <row r="87" spans="4:4" x14ac:dyDescent="0.2">
      <c r="D87" s="26">
        <f t="shared" si="1"/>
        <v>3804</v>
      </c>
    </row>
    <row r="88" spans="4:4" x14ac:dyDescent="0.2">
      <c r="D88" s="26">
        <f t="shared" si="1"/>
        <v>3804</v>
      </c>
    </row>
    <row r="89" spans="4:4" x14ac:dyDescent="0.2">
      <c r="D89" s="26">
        <f t="shared" si="1"/>
        <v>3804</v>
      </c>
    </row>
    <row r="90" spans="4:4" x14ac:dyDescent="0.2">
      <c r="D90" s="26">
        <f t="shared" si="1"/>
        <v>3804</v>
      </c>
    </row>
    <row r="91" spans="4:4" x14ac:dyDescent="0.2">
      <c r="D91" s="26">
        <f t="shared" si="1"/>
        <v>3804</v>
      </c>
    </row>
    <row r="92" spans="4:4" x14ac:dyDescent="0.2">
      <c r="D92" s="26">
        <f t="shared" si="1"/>
        <v>3804</v>
      </c>
    </row>
    <row r="93" spans="4:4" x14ac:dyDescent="0.2">
      <c r="D93" s="26">
        <f t="shared" si="1"/>
        <v>3804</v>
      </c>
    </row>
    <row r="94" spans="4:4" x14ac:dyDescent="0.2">
      <c r="D94" s="26">
        <f t="shared" si="1"/>
        <v>3804</v>
      </c>
    </row>
    <row r="95" spans="4:4" x14ac:dyDescent="0.2">
      <c r="D95" s="26">
        <f t="shared" si="1"/>
        <v>3804</v>
      </c>
    </row>
    <row r="96" spans="4:4" x14ac:dyDescent="0.2">
      <c r="D96" s="26">
        <f t="shared" si="1"/>
        <v>3804</v>
      </c>
    </row>
    <row r="97" spans="4:4" x14ac:dyDescent="0.2">
      <c r="D97" s="26">
        <f t="shared" si="1"/>
        <v>3804</v>
      </c>
    </row>
    <row r="98" spans="4:4" x14ac:dyDescent="0.2">
      <c r="D98" s="26">
        <f t="shared" si="1"/>
        <v>3804</v>
      </c>
    </row>
    <row r="99" spans="4:4" x14ac:dyDescent="0.2">
      <c r="D99" s="26">
        <f t="shared" si="1"/>
        <v>3804</v>
      </c>
    </row>
    <row r="100" spans="4:4" x14ac:dyDescent="0.2">
      <c r="D100" s="26">
        <f t="shared" si="1"/>
        <v>3804</v>
      </c>
    </row>
    <row r="101" spans="4:4" x14ac:dyDescent="0.2">
      <c r="D101" s="26">
        <f t="shared" si="1"/>
        <v>3804</v>
      </c>
    </row>
    <row r="102" spans="4:4" x14ac:dyDescent="0.2">
      <c r="D102" s="26">
        <f t="shared" si="1"/>
        <v>3804</v>
      </c>
    </row>
    <row r="103" spans="4:4" x14ac:dyDescent="0.2">
      <c r="D103" s="26">
        <f t="shared" si="1"/>
        <v>3804</v>
      </c>
    </row>
    <row r="104" spans="4:4" x14ac:dyDescent="0.2">
      <c r="D104" s="26">
        <f t="shared" si="1"/>
        <v>3804</v>
      </c>
    </row>
    <row r="105" spans="4:4" x14ac:dyDescent="0.2">
      <c r="D105" s="26">
        <f t="shared" si="1"/>
        <v>3804</v>
      </c>
    </row>
    <row r="106" spans="4:4" x14ac:dyDescent="0.2">
      <c r="D106" s="26">
        <f t="shared" si="1"/>
        <v>3804</v>
      </c>
    </row>
    <row r="107" spans="4:4" x14ac:dyDescent="0.2">
      <c r="D107" s="26">
        <f t="shared" si="1"/>
        <v>3804</v>
      </c>
    </row>
    <row r="108" spans="4:4" x14ac:dyDescent="0.2">
      <c r="D108" s="26">
        <f t="shared" si="1"/>
        <v>3804</v>
      </c>
    </row>
    <row r="109" spans="4:4" x14ac:dyDescent="0.2">
      <c r="D109" s="26">
        <f t="shared" si="1"/>
        <v>3804</v>
      </c>
    </row>
    <row r="110" spans="4:4" x14ac:dyDescent="0.2">
      <c r="D110" s="26">
        <f t="shared" si="1"/>
        <v>3804</v>
      </c>
    </row>
    <row r="111" spans="4:4" x14ac:dyDescent="0.2">
      <c r="D111" s="26">
        <f t="shared" si="1"/>
        <v>3804</v>
      </c>
    </row>
    <row r="112" spans="4:4" x14ac:dyDescent="0.2">
      <c r="D112" s="26">
        <f t="shared" si="1"/>
        <v>3804</v>
      </c>
    </row>
    <row r="113" spans="4:4" x14ac:dyDescent="0.2">
      <c r="D113" s="26">
        <f t="shared" si="1"/>
        <v>3804</v>
      </c>
    </row>
    <row r="114" spans="4:4" x14ac:dyDescent="0.2">
      <c r="D114" s="26">
        <f t="shared" si="1"/>
        <v>3804</v>
      </c>
    </row>
    <row r="115" spans="4:4" x14ac:dyDescent="0.2">
      <c r="D115" s="26">
        <f t="shared" si="1"/>
        <v>3804</v>
      </c>
    </row>
    <row r="116" spans="4:4" x14ac:dyDescent="0.2">
      <c r="D116" s="26">
        <f t="shared" si="1"/>
        <v>3804</v>
      </c>
    </row>
    <row r="117" spans="4:4" x14ac:dyDescent="0.2">
      <c r="D117" s="26">
        <f t="shared" si="1"/>
        <v>3804</v>
      </c>
    </row>
    <row r="118" spans="4:4" x14ac:dyDescent="0.2">
      <c r="D118" s="26">
        <f t="shared" si="1"/>
        <v>3804</v>
      </c>
    </row>
    <row r="119" spans="4:4" x14ac:dyDescent="0.2">
      <c r="D119" s="26">
        <f t="shared" si="1"/>
        <v>3804</v>
      </c>
    </row>
    <row r="120" spans="4:4" x14ac:dyDescent="0.2">
      <c r="D120" s="26">
        <f t="shared" si="1"/>
        <v>3804</v>
      </c>
    </row>
    <row r="121" spans="4:4" x14ac:dyDescent="0.2">
      <c r="D121" s="26">
        <f t="shared" si="1"/>
        <v>3804</v>
      </c>
    </row>
    <row r="122" spans="4:4" x14ac:dyDescent="0.2">
      <c r="D122" s="26">
        <f t="shared" si="1"/>
        <v>3804</v>
      </c>
    </row>
    <row r="123" spans="4:4" x14ac:dyDescent="0.2">
      <c r="D123" s="26">
        <f t="shared" si="1"/>
        <v>3804</v>
      </c>
    </row>
    <row r="124" spans="4:4" x14ac:dyDescent="0.2">
      <c r="D124" s="26">
        <f t="shared" si="1"/>
        <v>3804</v>
      </c>
    </row>
    <row r="125" spans="4:4" x14ac:dyDescent="0.2">
      <c r="D125" s="26">
        <f t="shared" si="1"/>
        <v>3804</v>
      </c>
    </row>
    <row r="126" spans="4:4" x14ac:dyDescent="0.2">
      <c r="D126" s="26">
        <f t="shared" si="1"/>
        <v>3804</v>
      </c>
    </row>
    <row r="127" spans="4:4" x14ac:dyDescent="0.2">
      <c r="D127" s="26">
        <f t="shared" si="1"/>
        <v>3804</v>
      </c>
    </row>
    <row r="128" spans="4:4" x14ac:dyDescent="0.2">
      <c r="D128" s="26">
        <f t="shared" si="1"/>
        <v>3804</v>
      </c>
    </row>
    <row r="129" spans="4:4" x14ac:dyDescent="0.2">
      <c r="D129" s="26">
        <f t="shared" si="1"/>
        <v>3804</v>
      </c>
    </row>
    <row r="130" spans="4:4" x14ac:dyDescent="0.2">
      <c r="D130" s="26">
        <f t="shared" si="1"/>
        <v>3804</v>
      </c>
    </row>
    <row r="131" spans="4:4" x14ac:dyDescent="0.2">
      <c r="D131" s="26">
        <f t="shared" si="1"/>
        <v>3804</v>
      </c>
    </row>
    <row r="132" spans="4:4" x14ac:dyDescent="0.2">
      <c r="D132" s="26">
        <f t="shared" si="1"/>
        <v>3804</v>
      </c>
    </row>
    <row r="133" spans="4:4" x14ac:dyDescent="0.2">
      <c r="D133" s="26">
        <f t="shared" si="1"/>
        <v>3804</v>
      </c>
    </row>
    <row r="134" spans="4:4" x14ac:dyDescent="0.2">
      <c r="D134" s="26">
        <f t="shared" si="1"/>
        <v>3804</v>
      </c>
    </row>
    <row r="135" spans="4:4" x14ac:dyDescent="0.2">
      <c r="D135" s="26">
        <f t="shared" si="1"/>
        <v>3804</v>
      </c>
    </row>
    <row r="136" spans="4:4" x14ac:dyDescent="0.2">
      <c r="D136" s="26">
        <f t="shared" si="1"/>
        <v>3804</v>
      </c>
    </row>
    <row r="137" spans="4:4" x14ac:dyDescent="0.2">
      <c r="D137" s="26">
        <f t="shared" si="1"/>
        <v>3804</v>
      </c>
    </row>
    <row r="138" spans="4:4" x14ac:dyDescent="0.2">
      <c r="D138" s="26">
        <f t="shared" si="1"/>
        <v>3804</v>
      </c>
    </row>
    <row r="139" spans="4:4" x14ac:dyDescent="0.2">
      <c r="D139" s="26">
        <f t="shared" si="1"/>
        <v>3804</v>
      </c>
    </row>
    <row r="140" spans="4:4" x14ac:dyDescent="0.2">
      <c r="D140" s="26">
        <f t="shared" si="1"/>
        <v>3804</v>
      </c>
    </row>
    <row r="141" spans="4:4" x14ac:dyDescent="0.2">
      <c r="D141" s="26">
        <f t="shared" ref="D141:D204" si="2">IF(D140+C141&lt;0,0,D140+C141)</f>
        <v>3804</v>
      </c>
    </row>
    <row r="142" spans="4:4" x14ac:dyDescent="0.2">
      <c r="D142" s="26">
        <f t="shared" si="2"/>
        <v>3804</v>
      </c>
    </row>
    <row r="143" spans="4:4" x14ac:dyDescent="0.2">
      <c r="D143" s="26">
        <f t="shared" si="2"/>
        <v>3804</v>
      </c>
    </row>
    <row r="144" spans="4:4" x14ac:dyDescent="0.2">
      <c r="D144" s="26">
        <f t="shared" si="2"/>
        <v>3804</v>
      </c>
    </row>
    <row r="145" spans="4:4" x14ac:dyDescent="0.2">
      <c r="D145" s="26">
        <f t="shared" si="2"/>
        <v>3804</v>
      </c>
    </row>
    <row r="146" spans="4:4" x14ac:dyDescent="0.2">
      <c r="D146" s="26">
        <f t="shared" si="2"/>
        <v>3804</v>
      </c>
    </row>
    <row r="147" spans="4:4" x14ac:dyDescent="0.2">
      <c r="D147" s="26">
        <f t="shared" si="2"/>
        <v>3804</v>
      </c>
    </row>
    <row r="148" spans="4:4" x14ac:dyDescent="0.2">
      <c r="D148" s="26">
        <f t="shared" si="2"/>
        <v>3804</v>
      </c>
    </row>
    <row r="149" spans="4:4" x14ac:dyDescent="0.2">
      <c r="D149" s="26">
        <f t="shared" si="2"/>
        <v>3804</v>
      </c>
    </row>
    <row r="150" spans="4:4" x14ac:dyDescent="0.2">
      <c r="D150" s="26">
        <f t="shared" si="2"/>
        <v>3804</v>
      </c>
    </row>
    <row r="151" spans="4:4" x14ac:dyDescent="0.2">
      <c r="D151" s="26">
        <f t="shared" si="2"/>
        <v>3804</v>
      </c>
    </row>
    <row r="152" spans="4:4" x14ac:dyDescent="0.2">
      <c r="D152" s="26">
        <f t="shared" si="2"/>
        <v>3804</v>
      </c>
    </row>
    <row r="153" spans="4:4" x14ac:dyDescent="0.2">
      <c r="D153" s="26">
        <f t="shared" si="2"/>
        <v>3804</v>
      </c>
    </row>
    <row r="154" spans="4:4" x14ac:dyDescent="0.2">
      <c r="D154" s="26">
        <f t="shared" si="2"/>
        <v>3804</v>
      </c>
    </row>
    <row r="155" spans="4:4" x14ac:dyDescent="0.2">
      <c r="D155" s="26">
        <f t="shared" si="2"/>
        <v>3804</v>
      </c>
    </row>
    <row r="156" spans="4:4" x14ac:dyDescent="0.2">
      <c r="D156" s="26">
        <f t="shared" si="2"/>
        <v>3804</v>
      </c>
    </row>
    <row r="157" spans="4:4" x14ac:dyDescent="0.2">
      <c r="D157" s="26">
        <f t="shared" si="2"/>
        <v>3804</v>
      </c>
    </row>
    <row r="158" spans="4:4" x14ac:dyDescent="0.2">
      <c r="D158" s="26">
        <f t="shared" si="2"/>
        <v>3804</v>
      </c>
    </row>
    <row r="159" spans="4:4" x14ac:dyDescent="0.2">
      <c r="D159" s="26">
        <f t="shared" si="2"/>
        <v>3804</v>
      </c>
    </row>
    <row r="160" spans="4:4" x14ac:dyDescent="0.2">
      <c r="D160" s="26">
        <f t="shared" si="2"/>
        <v>3804</v>
      </c>
    </row>
    <row r="161" spans="4:4" x14ac:dyDescent="0.2">
      <c r="D161" s="26">
        <f t="shared" si="2"/>
        <v>3804</v>
      </c>
    </row>
    <row r="162" spans="4:4" x14ac:dyDescent="0.2">
      <c r="D162" s="26">
        <f t="shared" si="2"/>
        <v>3804</v>
      </c>
    </row>
    <row r="163" spans="4:4" x14ac:dyDescent="0.2">
      <c r="D163" s="26">
        <f t="shared" si="2"/>
        <v>3804</v>
      </c>
    </row>
    <row r="164" spans="4:4" x14ac:dyDescent="0.2">
      <c r="D164" s="26">
        <f t="shared" si="2"/>
        <v>3804</v>
      </c>
    </row>
    <row r="165" spans="4:4" x14ac:dyDescent="0.2">
      <c r="D165" s="26">
        <f t="shared" si="2"/>
        <v>3804</v>
      </c>
    </row>
    <row r="166" spans="4:4" x14ac:dyDescent="0.2">
      <c r="D166" s="26">
        <f t="shared" si="2"/>
        <v>3804</v>
      </c>
    </row>
    <row r="167" spans="4:4" x14ac:dyDescent="0.2">
      <c r="D167" s="26">
        <f t="shared" si="2"/>
        <v>3804</v>
      </c>
    </row>
    <row r="168" spans="4:4" x14ac:dyDescent="0.2">
      <c r="D168" s="26">
        <f t="shared" si="2"/>
        <v>3804</v>
      </c>
    </row>
    <row r="169" spans="4:4" x14ac:dyDescent="0.2">
      <c r="D169" s="26">
        <f t="shared" si="2"/>
        <v>3804</v>
      </c>
    </row>
    <row r="170" spans="4:4" x14ac:dyDescent="0.2">
      <c r="D170" s="26">
        <f t="shared" si="2"/>
        <v>3804</v>
      </c>
    </row>
    <row r="171" spans="4:4" x14ac:dyDescent="0.2">
      <c r="D171" s="26">
        <f t="shared" si="2"/>
        <v>3804</v>
      </c>
    </row>
    <row r="172" spans="4:4" x14ac:dyDescent="0.2">
      <c r="D172" s="26">
        <f t="shared" si="2"/>
        <v>3804</v>
      </c>
    </row>
    <row r="173" spans="4:4" x14ac:dyDescent="0.2">
      <c r="D173" s="26">
        <f t="shared" si="2"/>
        <v>3804</v>
      </c>
    </row>
    <row r="174" spans="4:4" x14ac:dyDescent="0.2">
      <c r="D174" s="26">
        <f t="shared" si="2"/>
        <v>3804</v>
      </c>
    </row>
    <row r="175" spans="4:4" x14ac:dyDescent="0.2">
      <c r="D175" s="26">
        <f t="shared" si="2"/>
        <v>3804</v>
      </c>
    </row>
    <row r="176" spans="4:4" x14ac:dyDescent="0.2">
      <c r="D176" s="26">
        <f t="shared" si="2"/>
        <v>3804</v>
      </c>
    </row>
    <row r="177" spans="4:4" x14ac:dyDescent="0.2">
      <c r="D177" s="26">
        <f t="shared" si="2"/>
        <v>3804</v>
      </c>
    </row>
    <row r="178" spans="4:4" x14ac:dyDescent="0.2">
      <c r="D178" s="26">
        <f t="shared" si="2"/>
        <v>3804</v>
      </c>
    </row>
    <row r="179" spans="4:4" x14ac:dyDescent="0.2">
      <c r="D179" s="26">
        <f t="shared" si="2"/>
        <v>3804</v>
      </c>
    </row>
    <row r="180" spans="4:4" x14ac:dyDescent="0.2">
      <c r="D180" s="26">
        <f t="shared" si="2"/>
        <v>3804</v>
      </c>
    </row>
    <row r="181" spans="4:4" x14ac:dyDescent="0.2">
      <c r="D181" s="26">
        <f t="shared" si="2"/>
        <v>3804</v>
      </c>
    </row>
    <row r="182" spans="4:4" x14ac:dyDescent="0.2">
      <c r="D182" s="26">
        <f t="shared" si="2"/>
        <v>3804</v>
      </c>
    </row>
    <row r="183" spans="4:4" x14ac:dyDescent="0.2">
      <c r="D183" s="26">
        <f t="shared" si="2"/>
        <v>3804</v>
      </c>
    </row>
    <row r="184" spans="4:4" x14ac:dyDescent="0.2">
      <c r="D184" s="26">
        <f t="shared" si="2"/>
        <v>3804</v>
      </c>
    </row>
    <row r="185" spans="4:4" x14ac:dyDescent="0.2">
      <c r="D185" s="26">
        <f t="shared" si="2"/>
        <v>3804</v>
      </c>
    </row>
    <row r="186" spans="4:4" x14ac:dyDescent="0.2">
      <c r="D186" s="26">
        <f t="shared" si="2"/>
        <v>3804</v>
      </c>
    </row>
    <row r="187" spans="4:4" x14ac:dyDescent="0.2">
      <c r="D187" s="26">
        <f t="shared" si="2"/>
        <v>3804</v>
      </c>
    </row>
    <row r="188" spans="4:4" x14ac:dyDescent="0.2">
      <c r="D188" s="26">
        <f t="shared" si="2"/>
        <v>3804</v>
      </c>
    </row>
    <row r="189" spans="4:4" x14ac:dyDescent="0.2">
      <c r="D189" s="26">
        <f t="shared" si="2"/>
        <v>3804</v>
      </c>
    </row>
    <row r="190" spans="4:4" x14ac:dyDescent="0.2">
      <c r="D190" s="26">
        <f t="shared" si="2"/>
        <v>3804</v>
      </c>
    </row>
    <row r="191" spans="4:4" x14ac:dyDescent="0.2">
      <c r="D191" s="26">
        <f t="shared" si="2"/>
        <v>3804</v>
      </c>
    </row>
    <row r="192" spans="4:4" x14ac:dyDescent="0.2">
      <c r="D192" s="26">
        <f t="shared" si="2"/>
        <v>3804</v>
      </c>
    </row>
    <row r="193" spans="4:4" x14ac:dyDescent="0.2">
      <c r="D193" s="26">
        <f t="shared" si="2"/>
        <v>3804</v>
      </c>
    </row>
    <row r="194" spans="4:4" x14ac:dyDescent="0.2">
      <c r="D194" s="26">
        <f t="shared" si="2"/>
        <v>3804</v>
      </c>
    </row>
    <row r="195" spans="4:4" x14ac:dyDescent="0.2">
      <c r="D195" s="26">
        <f t="shared" si="2"/>
        <v>3804</v>
      </c>
    </row>
    <row r="196" spans="4:4" x14ac:dyDescent="0.2">
      <c r="D196" s="26">
        <f t="shared" si="2"/>
        <v>3804</v>
      </c>
    </row>
    <row r="197" spans="4:4" x14ac:dyDescent="0.2">
      <c r="D197" s="26">
        <f t="shared" si="2"/>
        <v>3804</v>
      </c>
    </row>
    <row r="198" spans="4:4" x14ac:dyDescent="0.2">
      <c r="D198" s="26">
        <f t="shared" si="2"/>
        <v>3804</v>
      </c>
    </row>
    <row r="199" spans="4:4" x14ac:dyDescent="0.2">
      <c r="D199" s="26">
        <f t="shared" si="2"/>
        <v>3804</v>
      </c>
    </row>
    <row r="200" spans="4:4" x14ac:dyDescent="0.2">
      <c r="D200" s="26">
        <f t="shared" si="2"/>
        <v>3804</v>
      </c>
    </row>
    <row r="201" spans="4:4" x14ac:dyDescent="0.2">
      <c r="D201" s="26">
        <f t="shared" si="2"/>
        <v>3804</v>
      </c>
    </row>
    <row r="202" spans="4:4" x14ac:dyDescent="0.2">
      <c r="D202" s="26">
        <f t="shared" si="2"/>
        <v>3804</v>
      </c>
    </row>
    <row r="203" spans="4:4" x14ac:dyDescent="0.2">
      <c r="D203" s="26">
        <f t="shared" si="2"/>
        <v>3804</v>
      </c>
    </row>
    <row r="204" spans="4:4" x14ac:dyDescent="0.2">
      <c r="D204" s="26">
        <f t="shared" si="2"/>
        <v>3804</v>
      </c>
    </row>
    <row r="205" spans="4:4" x14ac:dyDescent="0.2">
      <c r="D205" s="26">
        <f t="shared" ref="D205:D268" si="3">IF(D204+C205&lt;0,0,D204+C205)</f>
        <v>3804</v>
      </c>
    </row>
    <row r="206" spans="4:4" x14ac:dyDescent="0.2">
      <c r="D206" s="26">
        <f t="shared" si="3"/>
        <v>3804</v>
      </c>
    </row>
    <row r="207" spans="4:4" x14ac:dyDescent="0.2">
      <c r="D207" s="26">
        <f t="shared" si="3"/>
        <v>3804</v>
      </c>
    </row>
    <row r="208" spans="4:4" x14ac:dyDescent="0.2">
      <c r="D208" s="26">
        <f t="shared" si="3"/>
        <v>3804</v>
      </c>
    </row>
    <row r="209" spans="4:4" x14ac:dyDescent="0.2">
      <c r="D209" s="26">
        <f t="shared" si="3"/>
        <v>3804</v>
      </c>
    </row>
    <row r="210" spans="4:4" x14ac:dyDescent="0.2">
      <c r="D210" s="26">
        <f t="shared" si="3"/>
        <v>3804</v>
      </c>
    </row>
    <row r="211" spans="4:4" x14ac:dyDescent="0.2">
      <c r="D211" s="26">
        <f t="shared" si="3"/>
        <v>3804</v>
      </c>
    </row>
    <row r="212" spans="4:4" x14ac:dyDescent="0.2">
      <c r="D212" s="26">
        <f t="shared" si="3"/>
        <v>3804</v>
      </c>
    </row>
    <row r="213" spans="4:4" x14ac:dyDescent="0.2">
      <c r="D213" s="26">
        <f t="shared" si="3"/>
        <v>3804</v>
      </c>
    </row>
    <row r="214" spans="4:4" x14ac:dyDescent="0.2">
      <c r="D214" s="26">
        <f t="shared" si="3"/>
        <v>3804</v>
      </c>
    </row>
    <row r="215" spans="4:4" x14ac:dyDescent="0.2">
      <c r="D215" s="26">
        <f t="shared" si="3"/>
        <v>3804</v>
      </c>
    </row>
    <row r="216" spans="4:4" x14ac:dyDescent="0.2">
      <c r="D216" s="26">
        <f t="shared" si="3"/>
        <v>3804</v>
      </c>
    </row>
    <row r="217" spans="4:4" x14ac:dyDescent="0.2">
      <c r="D217" s="26">
        <f t="shared" si="3"/>
        <v>3804</v>
      </c>
    </row>
    <row r="218" spans="4:4" x14ac:dyDescent="0.2">
      <c r="D218" s="26">
        <f t="shared" si="3"/>
        <v>3804</v>
      </c>
    </row>
    <row r="219" spans="4:4" x14ac:dyDescent="0.2">
      <c r="D219" s="26">
        <f t="shared" si="3"/>
        <v>3804</v>
      </c>
    </row>
    <row r="220" spans="4:4" x14ac:dyDescent="0.2">
      <c r="D220" s="26">
        <f t="shared" si="3"/>
        <v>3804</v>
      </c>
    </row>
    <row r="221" spans="4:4" x14ac:dyDescent="0.2">
      <c r="D221" s="26">
        <f t="shared" si="3"/>
        <v>3804</v>
      </c>
    </row>
    <row r="222" spans="4:4" x14ac:dyDescent="0.2">
      <c r="D222" s="26">
        <f t="shared" si="3"/>
        <v>3804</v>
      </c>
    </row>
    <row r="223" spans="4:4" x14ac:dyDescent="0.2">
      <c r="D223" s="26">
        <f t="shared" si="3"/>
        <v>3804</v>
      </c>
    </row>
    <row r="224" spans="4:4" x14ac:dyDescent="0.2">
      <c r="D224" s="26">
        <f t="shared" si="3"/>
        <v>3804</v>
      </c>
    </row>
    <row r="225" spans="4:4" x14ac:dyDescent="0.2">
      <c r="D225" s="26">
        <f t="shared" si="3"/>
        <v>3804</v>
      </c>
    </row>
    <row r="226" spans="4:4" x14ac:dyDescent="0.2">
      <c r="D226" s="26">
        <f t="shared" si="3"/>
        <v>3804</v>
      </c>
    </row>
    <row r="227" spans="4:4" x14ac:dyDescent="0.2">
      <c r="D227" s="26">
        <f t="shared" si="3"/>
        <v>3804</v>
      </c>
    </row>
    <row r="228" spans="4:4" x14ac:dyDescent="0.2">
      <c r="D228" s="26">
        <f t="shared" si="3"/>
        <v>3804</v>
      </c>
    </row>
    <row r="229" spans="4:4" x14ac:dyDescent="0.2">
      <c r="D229" s="26">
        <f t="shared" si="3"/>
        <v>3804</v>
      </c>
    </row>
    <row r="230" spans="4:4" x14ac:dyDescent="0.2">
      <c r="D230" s="26">
        <f t="shared" si="3"/>
        <v>3804</v>
      </c>
    </row>
    <row r="231" spans="4:4" x14ac:dyDescent="0.2">
      <c r="D231" s="26">
        <f t="shared" si="3"/>
        <v>3804</v>
      </c>
    </row>
    <row r="232" spans="4:4" x14ac:dyDescent="0.2">
      <c r="D232" s="26">
        <f t="shared" si="3"/>
        <v>3804</v>
      </c>
    </row>
    <row r="233" spans="4:4" x14ac:dyDescent="0.2">
      <c r="D233" s="26">
        <f t="shared" si="3"/>
        <v>3804</v>
      </c>
    </row>
    <row r="234" spans="4:4" x14ac:dyDescent="0.2">
      <c r="D234" s="26">
        <f t="shared" si="3"/>
        <v>3804</v>
      </c>
    </row>
    <row r="235" spans="4:4" x14ac:dyDescent="0.2">
      <c r="D235" s="26">
        <f t="shared" si="3"/>
        <v>3804</v>
      </c>
    </row>
    <row r="236" spans="4:4" x14ac:dyDescent="0.2">
      <c r="D236" s="26">
        <f t="shared" si="3"/>
        <v>3804</v>
      </c>
    </row>
    <row r="237" spans="4:4" x14ac:dyDescent="0.2">
      <c r="D237" s="26">
        <f t="shared" si="3"/>
        <v>3804</v>
      </c>
    </row>
    <row r="238" spans="4:4" x14ac:dyDescent="0.2">
      <c r="D238" s="26">
        <f t="shared" si="3"/>
        <v>3804</v>
      </c>
    </row>
    <row r="239" spans="4:4" x14ac:dyDescent="0.2">
      <c r="D239" s="26">
        <f t="shared" si="3"/>
        <v>3804</v>
      </c>
    </row>
    <row r="240" spans="4:4" x14ac:dyDescent="0.2">
      <c r="D240" s="26">
        <f t="shared" si="3"/>
        <v>3804</v>
      </c>
    </row>
    <row r="241" spans="4:4" x14ac:dyDescent="0.2">
      <c r="D241" s="26">
        <f t="shared" si="3"/>
        <v>3804</v>
      </c>
    </row>
    <row r="242" spans="4:4" x14ac:dyDescent="0.2">
      <c r="D242" s="26">
        <f t="shared" si="3"/>
        <v>3804</v>
      </c>
    </row>
    <row r="243" spans="4:4" x14ac:dyDescent="0.2">
      <c r="D243" s="26">
        <f t="shared" si="3"/>
        <v>3804</v>
      </c>
    </row>
    <row r="244" spans="4:4" x14ac:dyDescent="0.2">
      <c r="D244" s="26">
        <f t="shared" si="3"/>
        <v>3804</v>
      </c>
    </row>
    <row r="245" spans="4:4" x14ac:dyDescent="0.2">
      <c r="D245" s="26">
        <f t="shared" si="3"/>
        <v>3804</v>
      </c>
    </row>
    <row r="246" spans="4:4" x14ac:dyDescent="0.2">
      <c r="D246" s="26">
        <f t="shared" si="3"/>
        <v>3804</v>
      </c>
    </row>
    <row r="247" spans="4:4" x14ac:dyDescent="0.2">
      <c r="D247" s="26">
        <f t="shared" si="3"/>
        <v>3804</v>
      </c>
    </row>
    <row r="248" spans="4:4" x14ac:dyDescent="0.2">
      <c r="D248" s="26">
        <f t="shared" si="3"/>
        <v>3804</v>
      </c>
    </row>
    <row r="249" spans="4:4" x14ac:dyDescent="0.2">
      <c r="D249" s="26">
        <f t="shared" si="3"/>
        <v>3804</v>
      </c>
    </row>
    <row r="250" spans="4:4" x14ac:dyDescent="0.2">
      <c r="D250" s="26">
        <f t="shared" si="3"/>
        <v>3804</v>
      </c>
    </row>
    <row r="251" spans="4:4" x14ac:dyDescent="0.2">
      <c r="D251" s="26">
        <f t="shared" si="3"/>
        <v>3804</v>
      </c>
    </row>
    <row r="252" spans="4:4" x14ac:dyDescent="0.2">
      <c r="D252" s="26">
        <f t="shared" si="3"/>
        <v>3804</v>
      </c>
    </row>
    <row r="253" spans="4:4" x14ac:dyDescent="0.2">
      <c r="D253" s="26">
        <f t="shared" si="3"/>
        <v>3804</v>
      </c>
    </row>
    <row r="254" spans="4:4" x14ac:dyDescent="0.2">
      <c r="D254" s="26">
        <f t="shared" si="3"/>
        <v>3804</v>
      </c>
    </row>
    <row r="255" spans="4:4" x14ac:dyDescent="0.2">
      <c r="D255" s="26">
        <f t="shared" si="3"/>
        <v>3804</v>
      </c>
    </row>
    <row r="256" spans="4:4" x14ac:dyDescent="0.2">
      <c r="D256" s="26">
        <f t="shared" si="3"/>
        <v>3804</v>
      </c>
    </row>
    <row r="257" spans="4:4" x14ac:dyDescent="0.2">
      <c r="D257" s="26">
        <f t="shared" si="3"/>
        <v>3804</v>
      </c>
    </row>
    <row r="258" spans="4:4" x14ac:dyDescent="0.2">
      <c r="D258" s="26">
        <f t="shared" si="3"/>
        <v>3804</v>
      </c>
    </row>
    <row r="259" spans="4:4" x14ac:dyDescent="0.2">
      <c r="D259" s="26">
        <f t="shared" si="3"/>
        <v>3804</v>
      </c>
    </row>
    <row r="260" spans="4:4" x14ac:dyDescent="0.2">
      <c r="D260" s="26">
        <f t="shared" si="3"/>
        <v>3804</v>
      </c>
    </row>
    <row r="261" spans="4:4" x14ac:dyDescent="0.2">
      <c r="D261" s="26">
        <f t="shared" si="3"/>
        <v>3804</v>
      </c>
    </row>
    <row r="262" spans="4:4" x14ac:dyDescent="0.2">
      <c r="D262" s="26">
        <f t="shared" si="3"/>
        <v>3804</v>
      </c>
    </row>
    <row r="263" spans="4:4" x14ac:dyDescent="0.2">
      <c r="D263" s="26">
        <f t="shared" si="3"/>
        <v>3804</v>
      </c>
    </row>
    <row r="264" spans="4:4" x14ac:dyDescent="0.2">
      <c r="D264" s="26">
        <f t="shared" si="3"/>
        <v>3804</v>
      </c>
    </row>
    <row r="265" spans="4:4" x14ac:dyDescent="0.2">
      <c r="D265" s="26">
        <f t="shared" si="3"/>
        <v>3804</v>
      </c>
    </row>
    <row r="266" spans="4:4" x14ac:dyDescent="0.2">
      <c r="D266" s="26">
        <f t="shared" si="3"/>
        <v>3804</v>
      </c>
    </row>
    <row r="267" spans="4:4" x14ac:dyDescent="0.2">
      <c r="D267" s="26">
        <f t="shared" si="3"/>
        <v>3804</v>
      </c>
    </row>
    <row r="268" spans="4:4" x14ac:dyDescent="0.2">
      <c r="D268" s="26">
        <f t="shared" si="3"/>
        <v>3804</v>
      </c>
    </row>
    <row r="269" spans="4:4" x14ac:dyDescent="0.2">
      <c r="D269" s="26">
        <f t="shared" ref="D269:D286" si="4">IF(D268+C269&lt;0,0,D268+C269)</f>
        <v>3804</v>
      </c>
    </row>
    <row r="270" spans="4:4" x14ac:dyDescent="0.2">
      <c r="D270" s="26">
        <f t="shared" si="4"/>
        <v>3804</v>
      </c>
    </row>
    <row r="271" spans="4:4" x14ac:dyDescent="0.2">
      <c r="D271" s="26">
        <f t="shared" si="4"/>
        <v>3804</v>
      </c>
    </row>
    <row r="272" spans="4:4" x14ac:dyDescent="0.2">
      <c r="D272" s="26">
        <f t="shared" si="4"/>
        <v>3804</v>
      </c>
    </row>
    <row r="273" spans="4:4" x14ac:dyDescent="0.2">
      <c r="D273" s="26">
        <f t="shared" si="4"/>
        <v>3804</v>
      </c>
    </row>
    <row r="274" spans="4:4" x14ac:dyDescent="0.2">
      <c r="D274" s="26">
        <f t="shared" si="4"/>
        <v>3804</v>
      </c>
    </row>
    <row r="275" spans="4:4" x14ac:dyDescent="0.2">
      <c r="D275" s="26">
        <f t="shared" si="4"/>
        <v>3804</v>
      </c>
    </row>
    <row r="276" spans="4:4" x14ac:dyDescent="0.2">
      <c r="D276" s="26">
        <f t="shared" si="4"/>
        <v>3804</v>
      </c>
    </row>
    <row r="277" spans="4:4" x14ac:dyDescent="0.2">
      <c r="D277" s="26">
        <f t="shared" si="4"/>
        <v>3804</v>
      </c>
    </row>
    <row r="278" spans="4:4" x14ac:dyDescent="0.2">
      <c r="D278" s="26">
        <f t="shared" si="4"/>
        <v>3804</v>
      </c>
    </row>
    <row r="279" spans="4:4" x14ac:dyDescent="0.2">
      <c r="D279" s="26">
        <f t="shared" si="4"/>
        <v>3804</v>
      </c>
    </row>
    <row r="280" spans="4:4" x14ac:dyDescent="0.2">
      <c r="D280" s="26">
        <f t="shared" si="4"/>
        <v>3804</v>
      </c>
    </row>
    <row r="281" spans="4:4" x14ac:dyDescent="0.2">
      <c r="D281" s="26">
        <f t="shared" si="4"/>
        <v>3804</v>
      </c>
    </row>
    <row r="282" spans="4:4" x14ac:dyDescent="0.2">
      <c r="D282" s="26">
        <f t="shared" si="4"/>
        <v>3804</v>
      </c>
    </row>
    <row r="283" spans="4:4" x14ac:dyDescent="0.2">
      <c r="D283" s="26">
        <f t="shared" si="4"/>
        <v>3804</v>
      </c>
    </row>
    <row r="284" spans="4:4" x14ac:dyDescent="0.2">
      <c r="D284" s="26">
        <f t="shared" si="4"/>
        <v>3804</v>
      </c>
    </row>
    <row r="285" spans="4:4" x14ac:dyDescent="0.2">
      <c r="D285" s="26">
        <f t="shared" si="4"/>
        <v>3804</v>
      </c>
    </row>
    <row r="286" spans="4:4" x14ac:dyDescent="0.2">
      <c r="D286" s="26">
        <f t="shared" si="4"/>
        <v>3804</v>
      </c>
    </row>
  </sheetData>
  <pageMargins left="0.78740157499999996" right="0.78740157499999996" top="0.984251969" bottom="0.984251969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Ark11"/>
  <dimension ref="B2:K25"/>
  <sheetViews>
    <sheetView showGridLines="0" showRowColHeaders="0" tabSelected="1" zoomScale="85" zoomScaleNormal="85" workbookViewId="0">
      <pane ySplit="64" topLeftCell="A65" activePane="bottomLeft" state="frozen"/>
      <selection activeCell="B2" sqref="B2"/>
      <selection pane="bottomLeft" activeCell="A65" sqref="A65"/>
    </sheetView>
  </sheetViews>
  <sheetFormatPr defaultColWidth="11" defaultRowHeight="15.75" x14ac:dyDescent="0.25"/>
  <cols>
    <col min="1" max="1" width="4.42578125" style="3" customWidth="1"/>
    <col min="2" max="3" width="11" style="5"/>
    <col min="4" max="16384" width="11" style="3"/>
  </cols>
  <sheetData>
    <row r="2" spans="2:11" ht="18" x14ac:dyDescent="0.25">
      <c r="K2" s="4"/>
    </row>
    <row r="5" spans="2:11" x14ac:dyDescent="0.25">
      <c r="E5" s="5" t="s">
        <v>451</v>
      </c>
    </row>
    <row r="9" spans="2:11" ht="21" x14ac:dyDescent="0.35">
      <c r="B9" s="6" t="s">
        <v>450</v>
      </c>
      <c r="J9" s="12"/>
      <c r="K9" s="12" t="s">
        <v>449</v>
      </c>
    </row>
    <row r="10" spans="2:11" x14ac:dyDescent="0.25">
      <c r="B10" s="5" t="s">
        <v>411</v>
      </c>
    </row>
    <row r="11" spans="2:11" x14ac:dyDescent="0.25">
      <c r="B11" s="5" t="s">
        <v>412</v>
      </c>
    </row>
    <row r="12" spans="2:11" x14ac:dyDescent="0.25">
      <c r="B12" s="5" t="s">
        <v>413</v>
      </c>
    </row>
    <row r="13" spans="2:11" x14ac:dyDescent="0.25">
      <c r="B13" s="5" t="s">
        <v>414</v>
      </c>
    </row>
    <row r="14" spans="2:11" x14ac:dyDescent="0.25">
      <c r="B14" s="5" t="s">
        <v>415</v>
      </c>
    </row>
    <row r="15" spans="2:11" x14ac:dyDescent="0.25">
      <c r="B15" s="5" t="s">
        <v>416</v>
      </c>
    </row>
    <row r="17" spans="2:2" x14ac:dyDescent="0.25">
      <c r="B17" s="5" t="s">
        <v>417</v>
      </c>
    </row>
    <row r="19" spans="2:2" x14ac:dyDescent="0.25">
      <c r="B19" s="16" t="s">
        <v>418</v>
      </c>
    </row>
    <row r="22" spans="2:2" x14ac:dyDescent="0.25">
      <c r="B22" s="18"/>
    </row>
    <row r="24" spans="2:2" x14ac:dyDescent="0.25">
      <c r="B24" s="16"/>
    </row>
    <row r="25" spans="2:2" x14ac:dyDescent="0.25">
      <c r="B25" s="19"/>
    </row>
  </sheetData>
  <sheetProtection algorithmName="SHA-512" hashValue="54qfWrwm0QghsLRVfs3/45RQq61PHuvc1G8YqF5sqQKdtT5iymBVvtKG7UT2jIM6D7Rlk8phgCCOxge8k3Qu6g==" saltValue="knqEvVwAXJ0uR1Pxoxk3ow==" spinCount="100000" sheet="1" objects="1" scenarios="1" pivotTables="0"/>
  <pageMargins left="0.7" right="0.7" top="0.75" bottom="0.75" header="0.3" footer="0.3"/>
  <pageSetup paperSize="9" orientation="portrait" horizontalDpi="300" verticalDpi="300" r:id="rId1"/>
  <customProperties>
    <customPr name="EpmWorksheetKeyString_GUID" r:id="rId2"/>
  </customProperties>
  <drawing r:id="rId3"/>
  <picture r:id="rId4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Ark9">
    <tabColor rgb="FFC00000"/>
    <pageSetUpPr fitToPage="1"/>
  </sheetPr>
  <dimension ref="A1:N26"/>
  <sheetViews>
    <sheetView showGridLines="0" showRowColHeaders="0" zoomScale="85" zoomScaleNormal="85" workbookViewId="0"/>
  </sheetViews>
  <sheetFormatPr defaultColWidth="11.42578125" defaultRowHeight="12.75" x14ac:dyDescent="0.2"/>
  <cols>
    <col min="1" max="1" width="9.85546875" style="55" customWidth="1"/>
    <col min="2" max="2" width="17.85546875" style="55" customWidth="1"/>
    <col min="3" max="3" width="10.85546875" style="55" customWidth="1"/>
    <col min="4" max="5" width="11.28515625" style="55" customWidth="1"/>
    <col min="6" max="6" width="11.42578125" style="55" customWidth="1"/>
    <col min="7" max="7" width="31" style="55" customWidth="1"/>
    <col min="8" max="8" width="4.42578125" style="55" customWidth="1"/>
    <col min="9" max="9" width="3" style="55" customWidth="1"/>
    <col min="10" max="10" width="24.140625" style="55" customWidth="1"/>
    <col min="11" max="11" width="9.28515625" style="55" bestFit="1" customWidth="1"/>
    <col min="12" max="12" width="4.7109375" style="55" bestFit="1" customWidth="1"/>
    <col min="13" max="13" width="4.140625" style="55" customWidth="1"/>
    <col min="14" max="14" width="19.42578125" style="55" customWidth="1"/>
    <col min="15" max="15" width="30.7109375" style="55" customWidth="1"/>
    <col min="16" max="16" width="2.7109375" style="55" customWidth="1"/>
    <col min="17" max="16384" width="11.42578125" style="55"/>
  </cols>
  <sheetData>
    <row r="1" spans="1:13" ht="20.25" x14ac:dyDescent="0.3">
      <c r="A1" s="52"/>
      <c r="B1" s="53"/>
      <c r="C1" s="54"/>
      <c r="D1" s="54"/>
      <c r="E1" s="54"/>
      <c r="F1" s="54"/>
      <c r="G1" s="52"/>
      <c r="H1" s="54"/>
      <c r="I1" s="54"/>
      <c r="J1" s="54"/>
      <c r="K1" s="54"/>
    </row>
    <row r="2" spans="1:13" x14ac:dyDescent="0.2">
      <c r="B2" s="22"/>
      <c r="G2" s="56"/>
      <c r="H2" s="57"/>
      <c r="I2" s="57"/>
      <c r="J2" s="57"/>
      <c r="K2" s="57"/>
      <c r="L2" s="57"/>
      <c r="M2" s="57"/>
    </row>
    <row r="3" spans="1:13" x14ac:dyDescent="0.2">
      <c r="B3" s="22"/>
      <c r="G3" s="58" t="s">
        <v>341</v>
      </c>
      <c r="H3" s="59"/>
      <c r="I3" s="57"/>
      <c r="J3" s="58" t="s">
        <v>342</v>
      </c>
      <c r="K3" s="60"/>
      <c r="L3" s="61"/>
      <c r="M3" s="57"/>
    </row>
    <row r="4" spans="1:13" x14ac:dyDescent="0.2">
      <c r="B4" s="22"/>
      <c r="D4" s="62"/>
      <c r="G4" s="63" t="s">
        <v>343</v>
      </c>
      <c r="H4" s="64">
        <f>MinCov</f>
        <v>0</v>
      </c>
      <c r="I4" s="57"/>
      <c r="J4" s="63" t="s">
        <v>344</v>
      </c>
      <c r="K4" s="65">
        <f ca="1">OFFSET(TotStock,1,0)</f>
        <v>622660.6</v>
      </c>
      <c r="L4" s="66">
        <f ca="1">OFFSET(MaterialName,1,-13)</f>
        <v>2006</v>
      </c>
      <c r="M4" s="67"/>
    </row>
    <row r="5" spans="1:13" x14ac:dyDescent="0.2">
      <c r="B5" s="22"/>
      <c r="G5" s="63" t="s">
        <v>345</v>
      </c>
      <c r="H5" s="64">
        <f>MaxCov</f>
        <v>0</v>
      </c>
      <c r="I5" s="68"/>
      <c r="J5" s="63" t="s">
        <v>346</v>
      </c>
      <c r="K5" s="65">
        <f>SourceData!UnresStock</f>
        <v>622660.6</v>
      </c>
      <c r="L5" s="66">
        <f ca="1">L4</f>
        <v>2006</v>
      </c>
      <c r="M5" s="68"/>
    </row>
    <row r="6" spans="1:13" x14ac:dyDescent="0.2">
      <c r="B6" s="22"/>
      <c r="G6" s="69" t="s">
        <v>347</v>
      </c>
      <c r="H6" s="70">
        <f>ActCov</f>
        <v>0</v>
      </c>
      <c r="I6" s="57"/>
      <c r="J6" s="71" t="s">
        <v>348</v>
      </c>
      <c r="K6" s="65">
        <f ca="1">OFFSET(RngToDay,0,3)/K4*SourceData!UnresStock</f>
        <v>0</v>
      </c>
      <c r="L6" s="66" t="s">
        <v>349</v>
      </c>
      <c r="M6" s="22"/>
    </row>
    <row r="7" spans="1:13" x14ac:dyDescent="0.2">
      <c r="B7" s="22"/>
      <c r="G7" s="69" t="s">
        <v>350</v>
      </c>
      <c r="H7" s="70" t="e">
        <f>SourceData!AvgSafStockCov</f>
        <v>#DIV/0!</v>
      </c>
      <c r="I7" s="72"/>
      <c r="J7" s="73" t="s">
        <v>251</v>
      </c>
      <c r="K7" s="74">
        <f>SourceData!SafStock</f>
        <v>0</v>
      </c>
      <c r="L7" s="75">
        <f ca="1">$L$4</f>
        <v>2006</v>
      </c>
      <c r="M7" s="22"/>
    </row>
    <row r="8" spans="1:13" x14ac:dyDescent="0.2">
      <c r="B8" s="22"/>
      <c r="G8" s="73" t="s">
        <v>351</v>
      </c>
      <c r="H8" s="76" t="e">
        <f ca="1">SourceData!U247</f>
        <v>#DIV/0!</v>
      </c>
      <c r="I8" s="72"/>
      <c r="M8" s="22"/>
    </row>
    <row r="9" spans="1:13" x14ac:dyDescent="0.2">
      <c r="G9" s="56"/>
      <c r="H9" s="72"/>
      <c r="I9" s="72"/>
      <c r="J9" s="72"/>
      <c r="K9" s="22"/>
      <c r="L9" s="22"/>
      <c r="M9" s="22"/>
    </row>
    <row r="10" spans="1:13" x14ac:dyDescent="0.2">
      <c r="G10" s="56"/>
      <c r="H10" s="72"/>
      <c r="I10" s="72"/>
      <c r="J10" s="72"/>
      <c r="K10" s="22"/>
      <c r="L10" s="22"/>
      <c r="M10" s="22"/>
    </row>
    <row r="11" spans="1:13" x14ac:dyDescent="0.2">
      <c r="G11" s="72"/>
      <c r="H11" s="72"/>
      <c r="I11" s="72"/>
      <c r="J11" s="72"/>
      <c r="K11" s="22"/>
      <c r="L11" s="22"/>
      <c r="M11" s="22"/>
    </row>
    <row r="12" spans="1:13" x14ac:dyDescent="0.2">
      <c r="G12" s="72"/>
      <c r="H12" s="72"/>
      <c r="I12" s="72"/>
      <c r="J12" s="72"/>
      <c r="K12" s="22"/>
      <c r="L12" s="22"/>
      <c r="M12" s="22"/>
    </row>
    <row r="13" spans="1:13" x14ac:dyDescent="0.2">
      <c r="G13" s="72"/>
      <c r="H13" s="72"/>
      <c r="J13" s="72"/>
      <c r="K13" s="22"/>
      <c r="L13" s="22"/>
      <c r="M13" s="22"/>
    </row>
    <row r="14" spans="1:13" x14ac:dyDescent="0.2">
      <c r="K14" s="22"/>
      <c r="L14" s="22"/>
      <c r="M14" s="22"/>
    </row>
    <row r="15" spans="1:13" x14ac:dyDescent="0.2">
      <c r="K15" s="22"/>
      <c r="L15" s="22"/>
      <c r="M15" s="22"/>
    </row>
    <row r="16" spans="1:13" x14ac:dyDescent="0.2">
      <c r="K16" s="22"/>
      <c r="L16" s="22"/>
      <c r="M16" s="22"/>
    </row>
    <row r="17" spans="2:14" x14ac:dyDescent="0.2">
      <c r="B17" s="22"/>
      <c r="C17" s="22"/>
      <c r="D17" s="22"/>
      <c r="E17" s="22"/>
      <c r="F17" s="22"/>
      <c r="I17" s="22"/>
      <c r="K17" s="22"/>
      <c r="L17" s="22"/>
    </row>
    <row r="18" spans="2:14" x14ac:dyDescent="0.2">
      <c r="B18" s="22"/>
      <c r="C18" s="22"/>
      <c r="D18" s="22"/>
      <c r="E18" s="22"/>
      <c r="F18" s="22"/>
      <c r="G18" s="22"/>
      <c r="H18" s="22"/>
      <c r="I18" s="22"/>
    </row>
    <row r="19" spans="2:14" x14ac:dyDescent="0.2">
      <c r="B19" s="22"/>
      <c r="C19" s="22"/>
      <c r="D19" s="22"/>
      <c r="E19" s="22"/>
      <c r="F19" s="22"/>
      <c r="G19" s="22"/>
      <c r="H19" s="22"/>
      <c r="I19" s="22"/>
      <c r="N19" s="77"/>
    </row>
    <row r="20" spans="2:14" x14ac:dyDescent="0.2">
      <c r="B20" s="22"/>
      <c r="C20" s="22"/>
      <c r="D20" s="22"/>
      <c r="E20" s="22"/>
      <c r="F20" s="22"/>
      <c r="G20" s="22"/>
      <c r="H20" s="22"/>
      <c r="I20" s="22"/>
      <c r="N20" s="77"/>
    </row>
    <row r="21" spans="2:14" x14ac:dyDescent="0.2">
      <c r="B21" s="22"/>
      <c r="C21" s="22"/>
      <c r="D21" s="22"/>
      <c r="E21" s="22"/>
      <c r="F21" s="22"/>
      <c r="G21" s="22"/>
      <c r="H21" s="22"/>
      <c r="I21" s="22"/>
      <c r="M21" s="22"/>
    </row>
    <row r="22" spans="2:14" x14ac:dyDescent="0.2">
      <c r="G22" s="22"/>
      <c r="H22" s="22"/>
      <c r="K22" s="22"/>
      <c r="L22" s="22"/>
      <c r="M22" s="22"/>
    </row>
    <row r="23" spans="2:14" x14ac:dyDescent="0.2">
      <c r="G23" s="78"/>
      <c r="K23" s="22"/>
      <c r="L23" s="22"/>
      <c r="M23" s="22"/>
    </row>
    <row r="24" spans="2:14" x14ac:dyDescent="0.2">
      <c r="K24" s="22"/>
      <c r="L24" s="22"/>
      <c r="M24" s="22"/>
    </row>
    <row r="25" spans="2:14" x14ac:dyDescent="0.2">
      <c r="K25" s="22"/>
      <c r="L25" s="22"/>
      <c r="M25" s="22"/>
    </row>
    <row r="26" spans="2:14" x14ac:dyDescent="0.2">
      <c r="K26" s="22"/>
      <c r="L26" s="22"/>
    </row>
  </sheetData>
  <sheetProtection pivotTables="0"/>
  <pageMargins left="0.78740157499999996" right="0.78740157499999996" top="0.984251969" bottom="0.984251969" header="0.5" footer="0.5"/>
  <pageSetup paperSize="9" scale="90" orientation="landscape" verticalDpi="0" r:id="rId1"/>
  <headerFooter alignWithMargins="0">
    <oddHeader>&amp;LRieber SapExl Reports</oddHeader>
    <oddFooter xml:space="preserve">&amp;LPrinting date: &amp;D&amp;CPage &amp;P / &amp;N&amp;R&amp;F - &amp;A </oddFoot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Ark18">
    <tabColor rgb="FFC00000"/>
  </sheetPr>
  <dimension ref="A1:E46"/>
  <sheetViews>
    <sheetView showGridLines="0" showRowColHeaders="0" zoomScale="85" workbookViewId="0">
      <pane ySplit="10" topLeftCell="A11" activePane="bottomLeft" state="frozen"/>
      <selection pane="bottomLeft" activeCell="A11" sqref="A11"/>
    </sheetView>
  </sheetViews>
  <sheetFormatPr defaultColWidth="11.42578125" defaultRowHeight="12.75" x14ac:dyDescent="0.2"/>
  <cols>
    <col min="1" max="1" width="9.7109375" style="22" customWidth="1"/>
    <col min="2" max="2" width="9.28515625" style="22" customWidth="1"/>
    <col min="3" max="3" width="7.85546875" style="22" customWidth="1"/>
    <col min="4" max="4" width="11.28515625" style="22" customWidth="1"/>
    <col min="5" max="5" width="6.42578125" style="22" customWidth="1"/>
    <col min="6" max="6" width="8.42578125" style="22" customWidth="1"/>
    <col min="7" max="7" width="14.42578125" style="22" customWidth="1"/>
    <col min="8" max="8" width="10.85546875" style="22" customWidth="1"/>
    <col min="9" max="9" width="6.42578125" style="22" customWidth="1"/>
    <col min="10" max="14" width="9.7109375" style="22" customWidth="1"/>
    <col min="15" max="15" width="8.42578125" style="22" customWidth="1"/>
    <col min="16" max="16384" width="11.42578125" style="22"/>
  </cols>
  <sheetData>
    <row r="1" spans="1:5" ht="20.25" x14ac:dyDescent="0.3">
      <c r="A1" s="52"/>
    </row>
    <row r="6" spans="1:5" ht="15" x14ac:dyDescent="0.25">
      <c r="A6" s="2" t="s">
        <v>166</v>
      </c>
      <c r="B6" s="1" t="s">
        <v>337</v>
      </c>
    </row>
    <row r="7" spans="1:5" ht="15" x14ac:dyDescent="0.25">
      <c r="A7" s="2" t="s">
        <v>184</v>
      </c>
      <c r="B7" s="1" t="s">
        <v>337</v>
      </c>
    </row>
    <row r="9" spans="1:5" ht="15" x14ac:dyDescent="0.25">
      <c r="A9" s="103" t="s">
        <v>405</v>
      </c>
      <c r="B9" s="103"/>
      <c r="C9" s="103" t="s">
        <v>178</v>
      </c>
      <c r="D9" s="103"/>
      <c r="E9"/>
    </row>
    <row r="10" spans="1:5" ht="15" x14ac:dyDescent="0.25">
      <c r="A10" s="46" t="s">
        <v>180</v>
      </c>
      <c r="B10" s="46" t="s">
        <v>182</v>
      </c>
      <c r="C10" s="51" t="s">
        <v>352</v>
      </c>
      <c r="D10" s="115" t="s">
        <v>338</v>
      </c>
      <c r="E10"/>
    </row>
    <row r="11" spans="1:5" ht="15" x14ac:dyDescent="0.25">
      <c r="A11" s="106">
        <v>2009</v>
      </c>
      <c r="B11" s="104">
        <v>1</v>
      </c>
      <c r="C11" s="109"/>
      <c r="D11" s="49"/>
      <c r="E11"/>
    </row>
    <row r="12" spans="1:5" ht="15" x14ac:dyDescent="0.25">
      <c r="A12" s="100"/>
      <c r="B12" s="105">
        <v>2</v>
      </c>
      <c r="C12" s="110"/>
      <c r="D12" s="116"/>
      <c r="E12"/>
    </row>
    <row r="13" spans="1:5" ht="15" x14ac:dyDescent="0.25">
      <c r="A13" s="100"/>
      <c r="B13" s="105">
        <v>3</v>
      </c>
      <c r="C13" s="110"/>
      <c r="D13" s="116"/>
      <c r="E13"/>
    </row>
    <row r="14" spans="1:5" ht="15" x14ac:dyDescent="0.25">
      <c r="A14" s="100"/>
      <c r="B14" s="105">
        <v>4</v>
      </c>
      <c r="C14" s="110"/>
      <c r="D14" s="116"/>
      <c r="E14"/>
    </row>
    <row r="15" spans="1:5" ht="15" x14ac:dyDescent="0.25">
      <c r="A15" s="100"/>
      <c r="B15" s="105">
        <v>5</v>
      </c>
      <c r="C15" s="110"/>
      <c r="D15" s="116"/>
      <c r="E15"/>
    </row>
    <row r="16" spans="1:5" ht="15" x14ac:dyDescent="0.25">
      <c r="A16" s="100"/>
      <c r="B16" s="105">
        <v>6</v>
      </c>
      <c r="C16" s="110"/>
      <c r="D16" s="116"/>
      <c r="E16"/>
    </row>
    <row r="17" spans="1:5" ht="15" x14ac:dyDescent="0.25">
      <c r="A17" s="100"/>
      <c r="B17" s="105">
        <v>7</v>
      </c>
      <c r="C17" s="110"/>
      <c r="D17" s="116"/>
      <c r="E17"/>
    </row>
    <row r="18" spans="1:5" ht="15" x14ac:dyDescent="0.25">
      <c r="A18" s="100"/>
      <c r="B18" s="105">
        <v>8</v>
      </c>
      <c r="C18" s="110"/>
      <c r="D18" s="116"/>
      <c r="E18"/>
    </row>
    <row r="19" spans="1:5" ht="15" x14ac:dyDescent="0.25">
      <c r="A19" s="100"/>
      <c r="B19" s="105">
        <v>9</v>
      </c>
      <c r="C19" s="110"/>
      <c r="D19" s="116"/>
      <c r="E19"/>
    </row>
    <row r="20" spans="1:5" ht="15" x14ac:dyDescent="0.25">
      <c r="A20" s="100"/>
      <c r="B20" s="105">
        <v>10</v>
      </c>
      <c r="C20" s="110"/>
      <c r="D20" s="116"/>
      <c r="E20"/>
    </row>
    <row r="21" spans="1:5" ht="15" x14ac:dyDescent="0.25">
      <c r="A21" s="100"/>
      <c r="B21" s="105">
        <v>11</v>
      </c>
      <c r="C21" s="110"/>
      <c r="D21" s="116"/>
      <c r="E21"/>
    </row>
    <row r="22" spans="1:5" ht="15" x14ac:dyDescent="0.25">
      <c r="A22" s="100"/>
      <c r="B22" s="105">
        <v>12</v>
      </c>
      <c r="C22" s="110"/>
      <c r="D22" s="116"/>
      <c r="E22"/>
    </row>
    <row r="23" spans="1:5" ht="15.75" thickBot="1" x14ac:dyDescent="0.3">
      <c r="A23" s="107" t="s">
        <v>406</v>
      </c>
      <c r="B23" s="108"/>
      <c r="C23" s="111"/>
      <c r="D23" s="117"/>
      <c r="E23"/>
    </row>
    <row r="24" spans="1:5" ht="15.75" thickTop="1" x14ac:dyDescent="0.25">
      <c r="A24" s="118"/>
      <c r="B24" s="119"/>
      <c r="C24" s="120"/>
      <c r="D24" s="121"/>
      <c r="E24"/>
    </row>
    <row r="25" spans="1:5" ht="15" x14ac:dyDescent="0.25">
      <c r="A25" s="106">
        <v>2010</v>
      </c>
      <c r="B25" s="104">
        <v>1</v>
      </c>
      <c r="C25" s="109"/>
      <c r="D25" s="49"/>
      <c r="E25"/>
    </row>
    <row r="26" spans="1:5" ht="15" x14ac:dyDescent="0.25">
      <c r="A26" s="100"/>
      <c r="B26" s="105">
        <v>2</v>
      </c>
      <c r="C26" s="110"/>
      <c r="D26" s="116"/>
      <c r="E26"/>
    </row>
    <row r="27" spans="1:5" ht="15" x14ac:dyDescent="0.25">
      <c r="A27" s="100"/>
      <c r="B27" s="105">
        <v>3</v>
      </c>
      <c r="C27" s="110"/>
      <c r="D27" s="116"/>
      <c r="E27"/>
    </row>
    <row r="28" spans="1:5" ht="15" x14ac:dyDescent="0.25">
      <c r="A28" s="100"/>
      <c r="B28" s="105">
        <v>4</v>
      </c>
      <c r="C28" s="110"/>
      <c r="D28" s="116"/>
      <c r="E28"/>
    </row>
    <row r="29" spans="1:5" ht="15" x14ac:dyDescent="0.25">
      <c r="A29" s="100"/>
      <c r="B29" s="105">
        <v>5</v>
      </c>
      <c r="C29" s="110"/>
      <c r="D29" s="116"/>
      <c r="E29"/>
    </row>
    <row r="30" spans="1:5" ht="15" x14ac:dyDescent="0.25">
      <c r="A30" s="100"/>
      <c r="B30" s="105">
        <v>6</v>
      </c>
      <c r="C30" s="110"/>
      <c r="D30" s="116"/>
      <c r="E30"/>
    </row>
    <row r="31" spans="1:5" ht="15" x14ac:dyDescent="0.25">
      <c r="A31" s="100"/>
      <c r="B31" s="105">
        <v>7</v>
      </c>
      <c r="C31" s="110"/>
      <c r="D31" s="116"/>
      <c r="E31"/>
    </row>
    <row r="32" spans="1:5" ht="15" x14ac:dyDescent="0.25">
      <c r="A32" s="100"/>
      <c r="B32" s="105">
        <v>8</v>
      </c>
      <c r="C32" s="110"/>
      <c r="D32" s="116"/>
      <c r="E32"/>
    </row>
    <row r="33" spans="1:5" ht="15" x14ac:dyDescent="0.25">
      <c r="A33" s="100"/>
      <c r="B33" s="105">
        <v>9</v>
      </c>
      <c r="C33" s="110"/>
      <c r="D33" s="116"/>
      <c r="E33"/>
    </row>
    <row r="34" spans="1:5" ht="15" x14ac:dyDescent="0.25">
      <c r="A34" s="100"/>
      <c r="B34" s="105">
        <v>10</v>
      </c>
      <c r="C34" s="110"/>
      <c r="D34" s="116"/>
      <c r="E34"/>
    </row>
    <row r="35" spans="1:5" ht="15" x14ac:dyDescent="0.25">
      <c r="A35" s="100"/>
      <c r="B35" s="105">
        <v>11</v>
      </c>
      <c r="C35" s="110"/>
      <c r="D35" s="116"/>
      <c r="E35"/>
    </row>
    <row r="36" spans="1:5" ht="15" x14ac:dyDescent="0.25">
      <c r="A36" s="100"/>
      <c r="B36" s="105">
        <v>12</v>
      </c>
      <c r="C36" s="110"/>
      <c r="D36" s="116"/>
      <c r="E36"/>
    </row>
    <row r="37" spans="1:5" ht="15.75" thickBot="1" x14ac:dyDescent="0.3">
      <c r="A37" s="107" t="s">
        <v>407</v>
      </c>
      <c r="B37" s="108"/>
      <c r="C37" s="111"/>
      <c r="D37" s="117"/>
      <c r="E37"/>
    </row>
    <row r="38" spans="1:5" ht="15.75" thickTop="1" x14ac:dyDescent="0.25">
      <c r="A38" s="118"/>
      <c r="B38" s="119"/>
      <c r="C38" s="120"/>
      <c r="D38" s="121"/>
      <c r="E38"/>
    </row>
    <row r="39" spans="1:5" ht="15" x14ac:dyDescent="0.25">
      <c r="A39" s="106">
        <v>2011</v>
      </c>
      <c r="B39" s="104">
        <v>1</v>
      </c>
      <c r="C39" s="109"/>
      <c r="D39" s="49"/>
      <c r="E39"/>
    </row>
    <row r="40" spans="1:5" ht="15.75" thickBot="1" x14ac:dyDescent="0.3">
      <c r="A40" s="107" t="s">
        <v>408</v>
      </c>
      <c r="B40" s="108"/>
      <c r="C40" s="111"/>
      <c r="D40" s="117"/>
      <c r="E40"/>
    </row>
    <row r="41" spans="1:5" ht="15.75" thickTop="1" x14ac:dyDescent="0.25">
      <c r="A41" s="118"/>
      <c r="B41" s="119"/>
      <c r="C41" s="120"/>
      <c r="D41" s="121"/>
      <c r="E41"/>
    </row>
    <row r="42" spans="1:5" ht="15" x14ac:dyDescent="0.25">
      <c r="A42" s="106">
        <v>2013</v>
      </c>
      <c r="B42" s="104">
        <v>12</v>
      </c>
      <c r="C42" s="109"/>
      <c r="D42" s="49"/>
      <c r="E42"/>
    </row>
    <row r="43" spans="1:5" ht="15.75" thickBot="1" x14ac:dyDescent="0.3">
      <c r="A43" s="107" t="s">
        <v>409</v>
      </c>
      <c r="B43" s="108"/>
      <c r="C43" s="111"/>
      <c r="D43" s="117"/>
    </row>
    <row r="44" spans="1:5" ht="15.75" thickTop="1" x14ac:dyDescent="0.25">
      <c r="A44" s="118"/>
      <c r="B44" s="119"/>
      <c r="C44" s="120"/>
      <c r="D44" s="121"/>
    </row>
    <row r="45" spans="1:5" ht="15.75" thickBot="1" x14ac:dyDescent="0.3">
      <c r="A45" s="112" t="s">
        <v>338</v>
      </c>
      <c r="B45" s="113"/>
      <c r="C45" s="114"/>
      <c r="D45" s="50"/>
    </row>
    <row r="46" spans="1:5" ht="13.5" thickTop="1" x14ac:dyDescent="0.2"/>
  </sheetData>
  <pageMargins left="0.78740157499999996" right="0.78740157499999996" top="0.984251969" bottom="0.984251969" header="0.5" footer="0.5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5">
    <tabColor rgb="FFC00000"/>
    <pageSetUpPr fitToPage="1"/>
  </sheetPr>
  <dimension ref="A1:L6"/>
  <sheetViews>
    <sheetView showGridLines="0" zoomScale="85" zoomScaleNormal="85" workbookViewId="0"/>
  </sheetViews>
  <sheetFormatPr defaultColWidth="11.42578125" defaultRowHeight="12.75" x14ac:dyDescent="0.2"/>
  <cols>
    <col min="1" max="1" width="24.7109375" style="22" customWidth="1"/>
    <col min="2" max="2" width="7.5703125" style="22" customWidth="1"/>
    <col min="3" max="3" width="3.85546875" style="22" customWidth="1"/>
    <col min="4" max="4" width="19.28515625" style="22" bestFit="1" customWidth="1"/>
    <col min="5" max="5" width="9.42578125" style="22" customWidth="1"/>
    <col min="6" max="6" width="2.85546875" style="22" customWidth="1"/>
    <col min="7" max="7" width="25.7109375" style="22" bestFit="1" customWidth="1"/>
    <col min="8" max="8" width="10.28515625" style="22" customWidth="1"/>
    <col min="9" max="9" width="2" style="22" customWidth="1"/>
    <col min="10" max="10" width="23.5703125" style="22" customWidth="1"/>
    <col min="11" max="12" width="8.5703125" style="22" customWidth="1"/>
    <col min="13" max="16384" width="11.42578125" style="22"/>
  </cols>
  <sheetData>
    <row r="1" spans="1:12" ht="20.25" x14ac:dyDescent="0.3">
      <c r="A1" s="52"/>
    </row>
    <row r="2" spans="1:12" x14ac:dyDescent="0.2">
      <c r="K2" s="79" t="s">
        <v>353</v>
      </c>
      <c r="L2" s="79" t="s">
        <v>354</v>
      </c>
    </row>
    <row r="3" spans="1:12" x14ac:dyDescent="0.2">
      <c r="A3" s="80" t="s">
        <v>355</v>
      </c>
      <c r="B3" s="81">
        <v>0.95</v>
      </c>
      <c r="D3" s="80" t="s">
        <v>356</v>
      </c>
      <c r="E3" s="82" t="e">
        <f ca="1">SL_Days</f>
        <v>#DIV/0!</v>
      </c>
      <c r="G3" s="22" t="s">
        <v>357</v>
      </c>
      <c r="H3" s="26" t="e">
        <f>SourceData!T253</f>
        <v>#DIV/0!</v>
      </c>
      <c r="J3" s="22" t="s">
        <v>358</v>
      </c>
      <c r="K3" s="26" t="e">
        <f>SourceData!T259</f>
        <v>#DIV/0!</v>
      </c>
      <c r="L3" s="26">
        <f>SourceData!U259</f>
        <v>0</v>
      </c>
    </row>
    <row r="4" spans="1:12" x14ac:dyDescent="0.2">
      <c r="A4" s="80" t="s">
        <v>359</v>
      </c>
      <c r="B4" s="83">
        <v>3</v>
      </c>
      <c r="D4" s="80" t="s">
        <v>360</v>
      </c>
      <c r="E4" s="84" t="e">
        <f ca="1">Saf_Stock</f>
        <v>#DIV/0!</v>
      </c>
      <c r="G4" s="22" t="s">
        <v>361</v>
      </c>
      <c r="H4" s="26" t="e">
        <f ca="1">SourceData!T254</f>
        <v>#DIV/0!</v>
      </c>
      <c r="J4" s="22" t="s">
        <v>362</v>
      </c>
      <c r="K4" s="85" t="e">
        <f ca="1">SourceData!T260</f>
        <v>#DIV/0!</v>
      </c>
    </row>
    <row r="5" spans="1:12" x14ac:dyDescent="0.2">
      <c r="A5" s="22" t="s">
        <v>363</v>
      </c>
      <c r="B5" s="86">
        <v>12</v>
      </c>
      <c r="D5" s="22" t="s">
        <v>364</v>
      </c>
      <c r="E5" s="26">
        <f ca="1">SourceData!T270</f>
        <v>0</v>
      </c>
      <c r="G5" s="22" t="s">
        <v>365</v>
      </c>
      <c r="H5" s="84">
        <f>SourceData!T246</f>
        <v>0</v>
      </c>
      <c r="J5" s="22" t="s">
        <v>366</v>
      </c>
      <c r="K5" s="26" t="e">
        <f>SourceData!T261</f>
        <v>#DIV/0!</v>
      </c>
      <c r="L5" s="26">
        <f>SourceData!U261</f>
        <v>0</v>
      </c>
    </row>
    <row r="6" spans="1:12" x14ac:dyDescent="0.2">
      <c r="A6" s="45" t="s">
        <v>367</v>
      </c>
      <c r="B6" s="87" t="e">
        <f ca="1">SourceData!T263</f>
        <v>#DIV/0!</v>
      </c>
      <c r="D6" s="22" t="s">
        <v>368</v>
      </c>
      <c r="E6" s="26" t="e">
        <f ca="1">H5*(1-B6)</f>
        <v>#DIV/0!</v>
      </c>
      <c r="G6" s="22" t="s">
        <v>369</v>
      </c>
      <c r="H6" s="88" t="e">
        <f ca="1">SourceData!T255/H4</f>
        <v>#DIV/0!</v>
      </c>
      <c r="J6" s="22" t="s">
        <v>370</v>
      </c>
      <c r="K6" s="85" t="e">
        <f>SourceData!T262</f>
        <v>#DIV/0!</v>
      </c>
    </row>
  </sheetData>
  <pageMargins left="0.70866141732283472" right="0.70866141732283472" top="0.78740157480314965" bottom="0.78740157480314965" header="0.31496062992125984" footer="0.31496062992125984"/>
  <pageSetup paperSize="9" scale="83" fitToHeight="0" orientation="landscape" horizontalDpi="1200" verticalDpi="1200" r:id="rId1"/>
  <headerFooter>
    <oddHeader>&amp;LRieber SapExl Reports</oddHeader>
    <oddFooter xml:space="preserve">&amp;LPrinting date: &amp;D&amp;CPage &amp;P / &amp;N&amp;R&amp;F - &amp;A </oddFooter>
  </headerFooter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5">
    <tabColor rgb="FFC00000"/>
    <pageSetUpPr fitToPage="1"/>
  </sheetPr>
  <dimension ref="A1:C16"/>
  <sheetViews>
    <sheetView showGridLines="0" zoomScale="85" workbookViewId="0">
      <pane xSplit="1" ySplit="13" topLeftCell="B14" activePane="bottomRight" state="frozen"/>
      <selection pane="topRight"/>
      <selection pane="bottomLeft"/>
      <selection pane="bottomRight" activeCell="A14" sqref="A14"/>
    </sheetView>
  </sheetViews>
  <sheetFormatPr defaultColWidth="11.42578125" defaultRowHeight="12.75" x14ac:dyDescent="0.2"/>
  <cols>
    <col min="1" max="1" width="21.85546875" style="22" customWidth="1"/>
    <col min="2" max="2" width="13.85546875" style="22" customWidth="1"/>
    <col min="3" max="3" width="10.85546875" style="22" customWidth="1"/>
    <col min="4" max="4" width="9.85546875" style="22" customWidth="1"/>
    <col min="5" max="5" width="7.42578125" style="22" customWidth="1"/>
    <col min="6" max="7" width="8.42578125" style="22" customWidth="1"/>
    <col min="8" max="8" width="6.7109375" style="22" customWidth="1"/>
    <col min="9" max="9" width="6.42578125" style="22" customWidth="1"/>
    <col min="10" max="13" width="7.7109375" style="22" customWidth="1"/>
    <col min="14" max="14" width="8" style="22" customWidth="1"/>
    <col min="15" max="15" width="7.42578125" style="22" customWidth="1"/>
    <col min="16" max="16" width="20.7109375" style="22" customWidth="1"/>
    <col min="17" max="18" width="20.42578125" style="22" bestFit="1" customWidth="1"/>
    <col min="19" max="19" width="16.7109375" style="22" bestFit="1" customWidth="1"/>
    <col min="20" max="20" width="17" style="22" bestFit="1" customWidth="1"/>
    <col min="21" max="21" width="34.5703125" style="22" bestFit="1" customWidth="1"/>
    <col min="22" max="22" width="35" style="22" bestFit="1" customWidth="1"/>
    <col min="23" max="24" width="16.42578125" style="22" bestFit="1" customWidth="1"/>
    <col min="25" max="25" width="16.7109375" style="22" bestFit="1" customWidth="1"/>
    <col min="26" max="26" width="17" style="22" bestFit="1" customWidth="1"/>
    <col min="27" max="27" width="30.5703125" style="22" bestFit="1" customWidth="1"/>
    <col min="28" max="28" width="31" style="22" bestFit="1" customWidth="1"/>
    <col min="29" max="32" width="16.140625" style="22" bestFit="1" customWidth="1"/>
    <col min="33" max="33" width="16.7109375" style="22" bestFit="1" customWidth="1"/>
    <col min="34" max="34" width="17" style="22" bestFit="1" customWidth="1"/>
    <col min="35" max="35" width="30.28515625" style="22" bestFit="1" customWidth="1"/>
    <col min="36" max="36" width="30.5703125" style="22" bestFit="1" customWidth="1"/>
    <col min="37" max="38" width="14.85546875" style="22" bestFit="1" customWidth="1"/>
    <col min="39" max="39" width="16.7109375" style="22" bestFit="1" customWidth="1"/>
    <col min="40" max="40" width="17" style="22" bestFit="1" customWidth="1"/>
    <col min="41" max="41" width="26.7109375" style="22" bestFit="1" customWidth="1"/>
    <col min="42" max="42" width="27" style="22" bestFit="1" customWidth="1"/>
    <col min="43" max="44" width="14.85546875" style="22" bestFit="1" customWidth="1"/>
    <col min="45" max="45" width="16.7109375" style="22" bestFit="1" customWidth="1"/>
    <col min="46" max="46" width="17" style="22" bestFit="1" customWidth="1"/>
    <col min="47" max="47" width="26.5703125" style="22" bestFit="1" customWidth="1"/>
    <col min="48" max="48" width="26.85546875" style="22" bestFit="1" customWidth="1"/>
    <col min="49" max="53" width="16.7109375" style="22" bestFit="1" customWidth="1"/>
    <col min="54" max="54" width="17" style="22" bestFit="1" customWidth="1"/>
    <col min="55" max="55" width="31.140625" style="22" bestFit="1" customWidth="1"/>
    <col min="56" max="56" width="31.28515625" style="22" bestFit="1" customWidth="1"/>
    <col min="57" max="58" width="19" style="22" bestFit="1" customWidth="1"/>
    <col min="59" max="59" width="16.7109375" style="22" bestFit="1" customWidth="1"/>
    <col min="60" max="60" width="17" style="22" bestFit="1" customWidth="1"/>
    <col min="61" max="61" width="33.140625" style="22" bestFit="1" customWidth="1"/>
    <col min="62" max="62" width="33.42578125" style="22" bestFit="1" customWidth="1"/>
    <col min="63" max="63" width="20.42578125" style="22" bestFit="1" customWidth="1"/>
    <col min="64" max="64" width="20.7109375" style="22" bestFit="1" customWidth="1"/>
    <col min="65" max="16384" width="11.42578125" style="22"/>
  </cols>
  <sheetData>
    <row r="1" spans="1:3" ht="20.25" x14ac:dyDescent="0.3">
      <c r="A1" s="52"/>
    </row>
    <row r="5" spans="1:3" ht="15" x14ac:dyDescent="0.25">
      <c r="A5" s="139" t="s">
        <v>146</v>
      </c>
      <c r="B5" s="140" t="s">
        <v>337</v>
      </c>
    </row>
    <row r="6" spans="1:3" ht="15" x14ac:dyDescent="0.25">
      <c r="A6" s="139" t="s">
        <v>154</v>
      </c>
      <c r="B6" s="140" t="s">
        <v>337</v>
      </c>
    </row>
    <row r="7" spans="1:3" ht="15" x14ac:dyDescent="0.25">
      <c r="A7" s="139" t="s">
        <v>144</v>
      </c>
      <c r="B7" s="140" t="s">
        <v>337</v>
      </c>
    </row>
    <row r="8" spans="1:3" ht="15" x14ac:dyDescent="0.25">
      <c r="A8" s="139" t="s">
        <v>133</v>
      </c>
      <c r="B8" s="140" t="s">
        <v>337</v>
      </c>
    </row>
    <row r="9" spans="1:3" ht="15" x14ac:dyDescent="0.25">
      <c r="A9" s="139" t="s">
        <v>140</v>
      </c>
      <c r="B9" s="140" t="s">
        <v>337</v>
      </c>
    </row>
    <row r="10" spans="1:3" ht="15" x14ac:dyDescent="0.25">
      <c r="A10" s="139" t="s">
        <v>109</v>
      </c>
      <c r="B10" s="140" t="s">
        <v>337</v>
      </c>
    </row>
    <row r="12" spans="1:3" ht="15" x14ac:dyDescent="0.25">
      <c r="A12" s="103" t="s">
        <v>328</v>
      </c>
      <c r="B12" s="103" t="s">
        <v>424</v>
      </c>
      <c r="C12" s="103"/>
    </row>
    <row r="13" spans="1:3" ht="15" x14ac:dyDescent="0.25">
      <c r="A13" s="46" t="s">
        <v>142</v>
      </c>
      <c r="B13" s="144" t="s">
        <v>436</v>
      </c>
      <c r="C13" s="147" t="s">
        <v>338</v>
      </c>
    </row>
    <row r="14" spans="1:3" ht="15" x14ac:dyDescent="0.25">
      <c r="A14" s="145" t="s">
        <v>438</v>
      </c>
      <c r="B14" s="146">
        <v>0</v>
      </c>
      <c r="C14" s="143">
        <v>0</v>
      </c>
    </row>
    <row r="15" spans="1:3" ht="15.75" thickBot="1" x14ac:dyDescent="0.3">
      <c r="A15" s="112" t="s">
        <v>338</v>
      </c>
      <c r="B15" s="114">
        <v>0</v>
      </c>
      <c r="C15" s="50">
        <v>0</v>
      </c>
    </row>
    <row r="16" spans="1:3" ht="13.5" thickTop="1" x14ac:dyDescent="0.2"/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12">
    <tabColor rgb="FFC00000"/>
    <pageSetUpPr fitToPage="1"/>
  </sheetPr>
  <dimension ref="A1:G17"/>
  <sheetViews>
    <sheetView showGridLines="0" zoomScale="85" workbookViewId="0">
      <pane xSplit="6" ySplit="14" topLeftCell="G15" activePane="bottomRight" state="frozen"/>
      <selection pane="topRight"/>
      <selection pane="bottomLeft"/>
      <selection pane="bottomRight" activeCell="G15" sqref="G15"/>
    </sheetView>
  </sheetViews>
  <sheetFormatPr defaultColWidth="11.42578125" defaultRowHeight="12.75" x14ac:dyDescent="0.2"/>
  <cols>
    <col min="1" max="1" width="15.5703125" style="22" customWidth="1"/>
    <col min="2" max="2" width="16.28515625" style="22" customWidth="1"/>
    <col min="3" max="3" width="13.42578125" style="22" customWidth="1"/>
    <col min="4" max="4" width="27.28515625" style="22" customWidth="1"/>
    <col min="5" max="5" width="8.5703125" style="22" customWidth="1"/>
    <col min="6" max="6" width="8.42578125" style="22" customWidth="1"/>
    <col min="7" max="7" width="13.85546875" style="22" customWidth="1"/>
    <col min="8" max="9" width="6.42578125" style="22" customWidth="1"/>
    <col min="10" max="10" width="6" style="22" customWidth="1"/>
    <col min="11" max="16384" width="11.42578125" style="22"/>
  </cols>
  <sheetData>
    <row r="1" spans="1:7" ht="20.25" x14ac:dyDescent="0.3">
      <c r="A1" s="52"/>
    </row>
    <row r="8" spans="1:7" ht="15" x14ac:dyDescent="0.25">
      <c r="A8" s="139" t="s">
        <v>133</v>
      </c>
      <c r="B8" s="140" t="s">
        <v>432</v>
      </c>
    </row>
    <row r="9" spans="1:7" ht="15" x14ac:dyDescent="0.25">
      <c r="A9" s="139" t="s">
        <v>136</v>
      </c>
      <c r="B9" s="140" t="s">
        <v>337</v>
      </c>
    </row>
    <row r="10" spans="1:7" ht="15" x14ac:dyDescent="0.25">
      <c r="A10" s="139" t="s">
        <v>135</v>
      </c>
      <c r="B10" s="140" t="s">
        <v>337</v>
      </c>
    </row>
    <row r="11" spans="1:7" ht="15" x14ac:dyDescent="0.25">
      <c r="A11" s="139" t="s">
        <v>154</v>
      </c>
      <c r="B11" s="140" t="s">
        <v>337</v>
      </c>
    </row>
    <row r="13" spans="1:7" ht="15" x14ac:dyDescent="0.25">
      <c r="A13" s="103" t="s">
        <v>328</v>
      </c>
      <c r="B13" s="103"/>
      <c r="C13" s="103"/>
      <c r="D13" s="103"/>
      <c r="E13" s="103"/>
      <c r="F13" s="103"/>
      <c r="G13" s="103" t="s">
        <v>424</v>
      </c>
    </row>
    <row r="14" spans="1:7" ht="15" x14ac:dyDescent="0.25">
      <c r="A14" s="46" t="s">
        <v>144</v>
      </c>
      <c r="B14" s="142" t="s">
        <v>146</v>
      </c>
      <c r="C14" s="142" t="s">
        <v>109</v>
      </c>
      <c r="D14" s="142" t="s">
        <v>142</v>
      </c>
      <c r="E14" s="142" t="s">
        <v>117</v>
      </c>
      <c r="F14" s="142" t="s">
        <v>138</v>
      </c>
      <c r="G14" s="147" t="s">
        <v>436</v>
      </c>
    </row>
    <row r="15" spans="1:7" ht="15" x14ac:dyDescent="0.25">
      <c r="A15" s="106">
        <v>1206296</v>
      </c>
      <c r="B15" s="149" t="s">
        <v>371</v>
      </c>
      <c r="C15" s="145">
        <v>4902095668</v>
      </c>
      <c r="D15" s="149" t="s">
        <v>438</v>
      </c>
      <c r="E15" s="145">
        <v>1206296</v>
      </c>
      <c r="F15" s="148">
        <v>6.3206018518518522E-2</v>
      </c>
      <c r="G15" s="143">
        <v>0</v>
      </c>
    </row>
    <row r="16" spans="1:7" ht="15" x14ac:dyDescent="0.25">
      <c r="A16" s="150"/>
      <c r="B16" s="151"/>
      <c r="C16" s="151"/>
      <c r="D16" s="151"/>
      <c r="E16" s="151"/>
      <c r="F16" s="151"/>
      <c r="G16" s="152"/>
    </row>
    <row r="17" spans="1:7" ht="15" x14ac:dyDescent="0.25">
      <c r="A17"/>
      <c r="B17"/>
      <c r="C17"/>
      <c r="D17"/>
      <c r="E17"/>
      <c r="F17"/>
      <c r="G17"/>
    </row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111">
    <tabColor rgb="FFC00000"/>
    <pageSetUpPr fitToPage="1"/>
  </sheetPr>
  <dimension ref="A1:G18"/>
  <sheetViews>
    <sheetView showGridLines="0" zoomScale="85" workbookViewId="0">
      <pane xSplit="1" ySplit="15" topLeftCell="B16" activePane="bottomRight" state="frozen"/>
      <selection pane="topRight"/>
      <selection pane="bottomLeft"/>
      <selection pane="bottomRight" activeCell="B16" sqref="B16"/>
    </sheetView>
  </sheetViews>
  <sheetFormatPr defaultColWidth="11.42578125" defaultRowHeight="12.75" x14ac:dyDescent="0.2"/>
  <cols>
    <col min="1" max="1" width="18.5703125" style="22" customWidth="1"/>
    <col min="2" max="5" width="16.85546875" style="22" customWidth="1"/>
    <col min="6" max="6" width="18.5703125" style="22" customWidth="1"/>
    <col min="7" max="7" width="21.5703125" style="22" customWidth="1"/>
    <col min="8" max="9" width="11.5703125" style="22" customWidth="1"/>
    <col min="10" max="10" width="20.42578125" style="22" customWidth="1"/>
    <col min="11" max="11" width="24.85546875" style="22" customWidth="1"/>
    <col min="12" max="13" width="11.5703125" style="22" customWidth="1"/>
    <col min="14" max="14" width="20.42578125" style="22" customWidth="1"/>
    <col min="15" max="15" width="24.85546875" style="22" customWidth="1"/>
    <col min="16" max="19" width="11.5703125" style="22" customWidth="1"/>
    <col min="20" max="20" width="20.42578125" style="22" customWidth="1"/>
    <col min="21" max="21" width="24.85546875" style="22" customWidth="1"/>
    <col min="22" max="22" width="20.42578125" style="22" customWidth="1"/>
    <col min="23" max="23" width="24.85546875" style="22" bestFit="1" customWidth="1"/>
    <col min="24" max="24" width="16.42578125" style="22" bestFit="1" customWidth="1"/>
    <col min="25" max="25" width="16.7109375" style="22" bestFit="1" customWidth="1"/>
    <col min="26" max="26" width="17" style="22" bestFit="1" customWidth="1"/>
    <col min="27" max="27" width="30.5703125" style="22" bestFit="1" customWidth="1"/>
    <col min="28" max="28" width="31" style="22" bestFit="1" customWidth="1"/>
    <col min="29" max="32" width="16.140625" style="22" bestFit="1" customWidth="1"/>
    <col min="33" max="33" width="16.7109375" style="22" bestFit="1" customWidth="1"/>
    <col min="34" max="34" width="17" style="22" bestFit="1" customWidth="1"/>
    <col min="35" max="35" width="30.28515625" style="22" bestFit="1" customWidth="1"/>
    <col min="36" max="36" width="30.5703125" style="22" bestFit="1" customWidth="1"/>
    <col min="37" max="38" width="14.85546875" style="22" bestFit="1" customWidth="1"/>
    <col min="39" max="39" width="16.7109375" style="22" bestFit="1" customWidth="1"/>
    <col min="40" max="40" width="17" style="22" bestFit="1" customWidth="1"/>
    <col min="41" max="41" width="26.7109375" style="22" bestFit="1" customWidth="1"/>
    <col min="42" max="42" width="27" style="22" bestFit="1" customWidth="1"/>
    <col min="43" max="44" width="14.85546875" style="22" bestFit="1" customWidth="1"/>
    <col min="45" max="45" width="16.7109375" style="22" bestFit="1" customWidth="1"/>
    <col min="46" max="46" width="17" style="22" bestFit="1" customWidth="1"/>
    <col min="47" max="47" width="26.5703125" style="22" bestFit="1" customWidth="1"/>
    <col min="48" max="48" width="26.85546875" style="22" bestFit="1" customWidth="1"/>
    <col min="49" max="53" width="16.7109375" style="22" bestFit="1" customWidth="1"/>
    <col min="54" max="54" width="17" style="22" bestFit="1" customWidth="1"/>
    <col min="55" max="55" width="31.140625" style="22" bestFit="1" customWidth="1"/>
    <col min="56" max="56" width="31.28515625" style="22" bestFit="1" customWidth="1"/>
    <col min="57" max="58" width="19" style="22" bestFit="1" customWidth="1"/>
    <col min="59" max="59" width="16.7109375" style="22" bestFit="1" customWidth="1"/>
    <col min="60" max="60" width="17" style="22" bestFit="1" customWidth="1"/>
    <col min="61" max="61" width="33.140625" style="22" bestFit="1" customWidth="1"/>
    <col min="62" max="62" width="33.42578125" style="22" bestFit="1" customWidth="1"/>
    <col min="63" max="63" width="20.42578125" style="22" bestFit="1" customWidth="1"/>
    <col min="64" max="64" width="20.7109375" style="22" bestFit="1" customWidth="1"/>
    <col min="65" max="16384" width="11.42578125" style="22"/>
  </cols>
  <sheetData>
    <row r="1" spans="1:7" ht="20.25" x14ac:dyDescent="0.3">
      <c r="A1" s="52"/>
    </row>
    <row r="6" spans="1:7" ht="15" x14ac:dyDescent="0.25">
      <c r="A6" s="139" t="s">
        <v>142</v>
      </c>
      <c r="B6" s="140" t="s">
        <v>337</v>
      </c>
    </row>
    <row r="7" spans="1:7" ht="15" x14ac:dyDescent="0.25">
      <c r="A7" s="139" t="s">
        <v>146</v>
      </c>
      <c r="B7" s="140" t="s">
        <v>337</v>
      </c>
    </row>
    <row r="8" spans="1:7" ht="15" x14ac:dyDescent="0.25">
      <c r="A8" s="139" t="s">
        <v>154</v>
      </c>
      <c r="B8" s="140" t="s">
        <v>337</v>
      </c>
    </row>
    <row r="9" spans="1:7" ht="15" x14ac:dyDescent="0.25">
      <c r="A9" s="139" t="s">
        <v>144</v>
      </c>
      <c r="B9" s="140" t="s">
        <v>337</v>
      </c>
    </row>
    <row r="10" spans="1:7" ht="15" x14ac:dyDescent="0.25">
      <c r="A10" s="139" t="s">
        <v>109</v>
      </c>
      <c r="B10" s="140" t="s">
        <v>337</v>
      </c>
    </row>
    <row r="12" spans="1:7" ht="15" x14ac:dyDescent="0.25">
      <c r="A12" s="103"/>
      <c r="B12" s="103" t="s">
        <v>140</v>
      </c>
      <c r="C12" s="103" t="s">
        <v>424</v>
      </c>
      <c r="D12" s="103" t="s">
        <v>372</v>
      </c>
      <c r="E12" s="103"/>
      <c r="F12" s="103"/>
      <c r="G12" s="103"/>
    </row>
    <row r="13" spans="1:7" ht="15" x14ac:dyDescent="0.25">
      <c r="A13" s="103"/>
      <c r="B13" s="153" t="s">
        <v>334</v>
      </c>
      <c r="C13" s="154"/>
      <c r="D13" s="155" t="s">
        <v>131</v>
      </c>
      <c r="E13" s="156"/>
      <c r="F13" s="144" t="s">
        <v>373</v>
      </c>
      <c r="G13" s="147" t="s">
        <v>374</v>
      </c>
    </row>
    <row r="14" spans="1:7" ht="15" x14ac:dyDescent="0.25">
      <c r="A14" s="103"/>
      <c r="B14" s="153" t="s">
        <v>436</v>
      </c>
      <c r="C14" s="154"/>
      <c r="D14" s="153" t="s">
        <v>436</v>
      </c>
      <c r="E14" s="154"/>
      <c r="F14" s="163"/>
      <c r="G14" s="164"/>
    </row>
    <row r="15" spans="1:7" ht="15" x14ac:dyDescent="0.25">
      <c r="A15" s="46" t="s">
        <v>133</v>
      </c>
      <c r="B15" s="144" t="s">
        <v>328</v>
      </c>
      <c r="C15" s="157" t="s">
        <v>375</v>
      </c>
      <c r="D15" s="144" t="s">
        <v>328</v>
      </c>
      <c r="E15" s="157" t="s">
        <v>375</v>
      </c>
      <c r="F15" s="163"/>
      <c r="G15" s="164"/>
    </row>
    <row r="16" spans="1:7" ht="15" x14ac:dyDescent="0.25">
      <c r="A16" s="145" t="s">
        <v>432</v>
      </c>
      <c r="B16" s="158">
        <v>-306</v>
      </c>
      <c r="C16" s="159">
        <v>76.523911671924296</v>
      </c>
      <c r="D16" s="160">
        <v>306</v>
      </c>
      <c r="E16" s="161">
        <v>76.523911671924296</v>
      </c>
      <c r="F16" s="146">
        <v>0</v>
      </c>
      <c r="G16" s="162">
        <v>76.523911671924296</v>
      </c>
    </row>
    <row r="17" spans="1:7" ht="15.75" thickBot="1" x14ac:dyDescent="0.3">
      <c r="A17" s="112" t="s">
        <v>338</v>
      </c>
      <c r="B17" s="123">
        <v>-306</v>
      </c>
      <c r="C17" s="124">
        <v>76.523911671924296</v>
      </c>
      <c r="D17" s="114">
        <v>306</v>
      </c>
      <c r="E17" s="124">
        <v>76.523911671924296</v>
      </c>
      <c r="F17" s="114">
        <v>0</v>
      </c>
      <c r="G17" s="125">
        <v>76.523911671924296</v>
      </c>
    </row>
    <row r="18" spans="1:7" ht="13.5" thickTop="1" x14ac:dyDescent="0.2"/>
  </sheetData>
  <pageMargins left="0.78740157499999996" right="0.78740157499999996" top="0.984251969" bottom="0.984251969" header="0.5" footer="0.5"/>
  <pageSetup paperSize="9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41">
    <tabColor rgb="FFC00000"/>
    <pageSetUpPr fitToPage="1"/>
  </sheetPr>
  <dimension ref="A1:H39"/>
  <sheetViews>
    <sheetView showGridLines="0" zoomScale="85" workbookViewId="0">
      <pane ySplit="12" topLeftCell="A13" activePane="bottomLeft" state="frozen"/>
      <selection pane="bottomLeft" activeCell="A13" sqref="A13"/>
    </sheetView>
  </sheetViews>
  <sheetFormatPr defaultColWidth="11.42578125" defaultRowHeight="12.75" x14ac:dyDescent="0.2"/>
  <cols>
    <col min="1" max="1" width="13.5703125" style="22" bestFit="1" customWidth="1"/>
    <col min="2" max="2" width="9.28515625" style="22" bestFit="1" customWidth="1"/>
    <col min="3" max="3" width="22.7109375" style="22" customWidth="1"/>
    <col min="4" max="4" width="36" style="22" bestFit="1" customWidth="1"/>
    <col min="5" max="5" width="12.42578125" style="22" customWidth="1"/>
    <col min="6" max="6" width="9.42578125" style="22" customWidth="1"/>
    <col min="7" max="8" width="7.7109375" style="22" customWidth="1"/>
    <col min="9" max="16384" width="11.42578125" style="22"/>
  </cols>
  <sheetData>
    <row r="1" spans="1:8" ht="20.25" x14ac:dyDescent="0.3">
      <c r="A1" s="52"/>
    </row>
    <row r="8" spans="1:8" ht="15" x14ac:dyDescent="0.25">
      <c r="A8" s="2" t="s">
        <v>182</v>
      </c>
      <c r="B8" s="1" t="s">
        <v>337</v>
      </c>
    </row>
    <row r="9" spans="1:8" ht="15" x14ac:dyDescent="0.25">
      <c r="A9" s="2" t="s">
        <v>184</v>
      </c>
      <c r="B9" s="1" t="s">
        <v>337</v>
      </c>
    </row>
    <row r="11" spans="1:8" ht="15" x14ac:dyDescent="0.25">
      <c r="A11" s="42" t="s">
        <v>328</v>
      </c>
      <c r="B11" s="97"/>
      <c r="C11" s="97"/>
      <c r="D11" s="97"/>
      <c r="E11" s="97"/>
      <c r="F11" s="42" t="s">
        <v>194</v>
      </c>
      <c r="G11" s="97"/>
      <c r="H11" s="98"/>
    </row>
    <row r="12" spans="1:8" ht="15" x14ac:dyDescent="0.25">
      <c r="A12" s="42" t="s">
        <v>196</v>
      </c>
      <c r="B12" s="42" t="s">
        <v>200</v>
      </c>
      <c r="C12" s="42" t="s">
        <v>202</v>
      </c>
      <c r="D12" s="42" t="s">
        <v>227</v>
      </c>
      <c r="E12" s="42" t="s">
        <v>44</v>
      </c>
      <c r="F12" s="96" t="s">
        <v>292</v>
      </c>
      <c r="G12" s="104" t="s">
        <v>309</v>
      </c>
      <c r="H12" s="126" t="s">
        <v>38</v>
      </c>
    </row>
    <row r="13" spans="1:8" ht="15" x14ac:dyDescent="0.25">
      <c r="A13" s="122">
        <v>40212</v>
      </c>
      <c r="B13" s="96" t="s">
        <v>289</v>
      </c>
      <c r="C13" s="96" t="s">
        <v>371</v>
      </c>
      <c r="D13" s="96" t="s">
        <v>340</v>
      </c>
      <c r="E13" s="96"/>
      <c r="F13" s="99"/>
      <c r="G13" s="127"/>
      <c r="H13" s="128">
        <v>622660.6</v>
      </c>
    </row>
    <row r="14" spans="1:8" ht="15" x14ac:dyDescent="0.25">
      <c r="A14" s="122">
        <v>40214</v>
      </c>
      <c r="B14" s="96" t="s">
        <v>293</v>
      </c>
      <c r="C14" s="96">
        <v>1451</v>
      </c>
      <c r="D14" s="96" t="s">
        <v>340</v>
      </c>
      <c r="E14" s="96"/>
      <c r="F14" s="99">
        <v>-75691</v>
      </c>
      <c r="G14" s="127"/>
      <c r="H14" s="128"/>
    </row>
    <row r="15" spans="1:8" ht="15" x14ac:dyDescent="0.25">
      <c r="A15" s="122">
        <v>40231</v>
      </c>
      <c r="B15" s="96" t="s">
        <v>296</v>
      </c>
      <c r="C15" s="96">
        <v>1451</v>
      </c>
      <c r="D15" s="96" t="s">
        <v>340</v>
      </c>
      <c r="E15" s="96"/>
      <c r="F15" s="99">
        <v>-51383</v>
      </c>
      <c r="G15" s="127"/>
      <c r="H15" s="128"/>
    </row>
    <row r="16" spans="1:8" ht="15" x14ac:dyDescent="0.25">
      <c r="A16" s="122">
        <v>40238</v>
      </c>
      <c r="B16" s="96" t="s">
        <v>296</v>
      </c>
      <c r="C16" s="96">
        <v>1451</v>
      </c>
      <c r="D16" s="96" t="s">
        <v>340</v>
      </c>
      <c r="E16" s="96"/>
      <c r="F16" s="99">
        <v>-53513</v>
      </c>
      <c r="G16" s="127"/>
      <c r="H16" s="128"/>
    </row>
    <row r="17" spans="1:8" ht="15" x14ac:dyDescent="0.25">
      <c r="A17" s="122">
        <v>40256</v>
      </c>
      <c r="B17" s="96" t="s">
        <v>296</v>
      </c>
      <c r="C17" s="96">
        <v>1451</v>
      </c>
      <c r="D17" s="96" t="s">
        <v>340</v>
      </c>
      <c r="E17" s="96"/>
      <c r="F17" s="99">
        <v>-46879</v>
      </c>
      <c r="G17" s="127"/>
      <c r="H17" s="128"/>
    </row>
    <row r="18" spans="1:8" ht="15" x14ac:dyDescent="0.25">
      <c r="A18" s="122">
        <v>40276</v>
      </c>
      <c r="B18" s="96" t="s">
        <v>296</v>
      </c>
      <c r="C18" s="96">
        <v>1451</v>
      </c>
      <c r="D18" s="96" t="s">
        <v>340</v>
      </c>
      <c r="E18" s="96"/>
      <c r="F18" s="99">
        <v>-34767</v>
      </c>
      <c r="G18" s="127"/>
      <c r="H18" s="128"/>
    </row>
    <row r="19" spans="1:8" ht="15" x14ac:dyDescent="0.25">
      <c r="A19" s="122">
        <v>40290</v>
      </c>
      <c r="B19" s="96" t="s">
        <v>296</v>
      </c>
      <c r="C19" s="96">
        <v>1451</v>
      </c>
      <c r="D19" s="96" t="s">
        <v>340</v>
      </c>
      <c r="E19" s="96"/>
      <c r="F19" s="99">
        <v>-42464</v>
      </c>
      <c r="G19" s="127"/>
      <c r="H19" s="128"/>
    </row>
    <row r="20" spans="1:8" ht="15" x14ac:dyDescent="0.25">
      <c r="A20" s="122">
        <v>40304</v>
      </c>
      <c r="B20" s="96" t="s">
        <v>296</v>
      </c>
      <c r="C20" s="96">
        <v>1451</v>
      </c>
      <c r="D20" s="96" t="s">
        <v>340</v>
      </c>
      <c r="E20" s="96"/>
      <c r="F20" s="99">
        <v>-55623</v>
      </c>
      <c r="G20" s="127"/>
      <c r="H20" s="128"/>
    </row>
    <row r="21" spans="1:8" ht="15" x14ac:dyDescent="0.25">
      <c r="A21" s="122">
        <v>40324</v>
      </c>
      <c r="B21" s="96" t="s">
        <v>296</v>
      </c>
      <c r="C21" s="96">
        <v>1451</v>
      </c>
      <c r="D21" s="96" t="s">
        <v>340</v>
      </c>
      <c r="E21" s="96"/>
      <c r="F21" s="99">
        <v>-41493</v>
      </c>
      <c r="G21" s="127"/>
      <c r="H21" s="128"/>
    </row>
    <row r="22" spans="1:8" ht="15" x14ac:dyDescent="0.25">
      <c r="A22" s="122">
        <v>40338</v>
      </c>
      <c r="B22" s="96" t="s">
        <v>296</v>
      </c>
      <c r="C22" s="96">
        <v>1451</v>
      </c>
      <c r="D22" s="96" t="s">
        <v>340</v>
      </c>
      <c r="E22" s="96"/>
      <c r="F22" s="99">
        <v>-33258</v>
      </c>
      <c r="G22" s="127"/>
      <c r="H22" s="128"/>
    </row>
    <row r="23" spans="1:8" ht="15" x14ac:dyDescent="0.25">
      <c r="A23" s="122">
        <v>40352</v>
      </c>
      <c r="B23" s="96" t="s">
        <v>296</v>
      </c>
      <c r="C23" s="96">
        <v>1451</v>
      </c>
      <c r="D23" s="96" t="s">
        <v>340</v>
      </c>
      <c r="E23" s="96"/>
      <c r="F23" s="99">
        <v>-39012</v>
      </c>
      <c r="G23" s="127"/>
      <c r="H23" s="128"/>
    </row>
    <row r="24" spans="1:8" ht="15" x14ac:dyDescent="0.25">
      <c r="A24" s="122">
        <v>40366</v>
      </c>
      <c r="B24" s="96" t="s">
        <v>296</v>
      </c>
      <c r="C24" s="96">
        <v>1451</v>
      </c>
      <c r="D24" s="96" t="s">
        <v>340</v>
      </c>
      <c r="E24" s="96"/>
      <c r="F24" s="99">
        <v>-42805</v>
      </c>
      <c r="G24" s="127"/>
      <c r="H24" s="128"/>
    </row>
    <row r="25" spans="1:8" ht="15" x14ac:dyDescent="0.25">
      <c r="A25" s="122">
        <v>40374</v>
      </c>
      <c r="B25" s="96" t="s">
        <v>296</v>
      </c>
      <c r="C25" s="96">
        <v>1451</v>
      </c>
      <c r="D25" s="96" t="s">
        <v>340</v>
      </c>
      <c r="E25" s="96"/>
      <c r="F25" s="99">
        <v>-44815</v>
      </c>
      <c r="G25" s="127"/>
      <c r="H25" s="128"/>
    </row>
    <row r="26" spans="1:8" ht="15" x14ac:dyDescent="0.25">
      <c r="A26" s="122">
        <v>40387</v>
      </c>
      <c r="B26" s="96" t="s">
        <v>310</v>
      </c>
      <c r="C26" s="96" t="s">
        <v>311</v>
      </c>
      <c r="D26" s="96" t="s">
        <v>376</v>
      </c>
      <c r="E26" s="96"/>
      <c r="F26" s="99"/>
      <c r="G26" s="127">
        <v>165000</v>
      </c>
      <c r="H26" s="128"/>
    </row>
    <row r="27" spans="1:8" ht="15" x14ac:dyDescent="0.25">
      <c r="A27" s="122">
        <v>40394</v>
      </c>
      <c r="B27" s="96" t="s">
        <v>296</v>
      </c>
      <c r="C27" s="96">
        <v>1451</v>
      </c>
      <c r="D27" s="96" t="s">
        <v>340</v>
      </c>
      <c r="E27" s="96"/>
      <c r="F27" s="99">
        <v>-50058</v>
      </c>
      <c r="G27" s="127"/>
      <c r="H27" s="128"/>
    </row>
    <row r="28" spans="1:8" ht="15" x14ac:dyDescent="0.25">
      <c r="A28" s="122">
        <v>40408</v>
      </c>
      <c r="B28" s="96" t="s">
        <v>296</v>
      </c>
      <c r="C28" s="96">
        <v>1451</v>
      </c>
      <c r="D28" s="96" t="s">
        <v>340</v>
      </c>
      <c r="E28" s="96"/>
      <c r="F28" s="99">
        <v>-49361</v>
      </c>
      <c r="G28" s="127"/>
      <c r="H28" s="128"/>
    </row>
    <row r="29" spans="1:8" ht="15" x14ac:dyDescent="0.25">
      <c r="A29" s="122">
        <v>40422</v>
      </c>
      <c r="B29" s="96" t="s">
        <v>296</v>
      </c>
      <c r="C29" s="96">
        <v>1451</v>
      </c>
      <c r="D29" s="96" t="s">
        <v>340</v>
      </c>
      <c r="E29" s="96"/>
      <c r="F29" s="99">
        <v>-45297</v>
      </c>
      <c r="G29" s="127"/>
      <c r="H29" s="128"/>
    </row>
    <row r="30" spans="1:8" ht="15" x14ac:dyDescent="0.25">
      <c r="A30" s="122">
        <v>40429</v>
      </c>
      <c r="B30" s="96" t="s">
        <v>310</v>
      </c>
      <c r="C30" s="96" t="s">
        <v>318</v>
      </c>
      <c r="D30" s="96" t="s">
        <v>376</v>
      </c>
      <c r="E30" s="96"/>
      <c r="F30" s="99"/>
      <c r="G30" s="127">
        <v>165000</v>
      </c>
      <c r="H30" s="128"/>
    </row>
    <row r="31" spans="1:8" ht="15" x14ac:dyDescent="0.25">
      <c r="A31" s="122">
        <v>40436</v>
      </c>
      <c r="B31" s="96" t="s">
        <v>296</v>
      </c>
      <c r="C31" s="96">
        <v>1451</v>
      </c>
      <c r="D31" s="96" t="s">
        <v>340</v>
      </c>
      <c r="E31" s="96"/>
      <c r="F31" s="99">
        <v>-44764</v>
      </c>
      <c r="G31" s="127"/>
      <c r="H31" s="128"/>
    </row>
    <row r="32" spans="1:8" ht="15" x14ac:dyDescent="0.25">
      <c r="A32" s="122">
        <v>40450</v>
      </c>
      <c r="B32" s="96" t="s">
        <v>296</v>
      </c>
      <c r="C32" s="96">
        <v>1451</v>
      </c>
      <c r="D32" s="96" t="s">
        <v>340</v>
      </c>
      <c r="E32" s="96"/>
      <c r="F32" s="99">
        <v>-44527</v>
      </c>
      <c r="G32" s="127"/>
      <c r="H32" s="128"/>
    </row>
    <row r="33" spans="1:8" ht="15" x14ac:dyDescent="0.25">
      <c r="A33" s="122">
        <v>40464</v>
      </c>
      <c r="B33" s="96" t="s">
        <v>296</v>
      </c>
      <c r="C33" s="96">
        <v>1451</v>
      </c>
      <c r="D33" s="96" t="s">
        <v>340</v>
      </c>
      <c r="E33" s="96"/>
      <c r="F33" s="99">
        <v>-43009</v>
      </c>
      <c r="G33" s="127"/>
      <c r="H33" s="128"/>
    </row>
    <row r="34" spans="1:8" ht="15" x14ac:dyDescent="0.25">
      <c r="A34" s="122">
        <v>40478</v>
      </c>
      <c r="B34" s="96" t="s">
        <v>296</v>
      </c>
      <c r="C34" s="96">
        <v>1451</v>
      </c>
      <c r="D34" s="96" t="s">
        <v>340</v>
      </c>
      <c r="E34" s="96"/>
      <c r="F34" s="99">
        <v>-42446</v>
      </c>
      <c r="G34" s="127"/>
      <c r="H34" s="128"/>
    </row>
    <row r="35" spans="1:8" ht="15" x14ac:dyDescent="0.25">
      <c r="A35" s="122">
        <v>40485</v>
      </c>
      <c r="B35" s="96" t="s">
        <v>310</v>
      </c>
      <c r="C35" s="96" t="s">
        <v>323</v>
      </c>
      <c r="D35" s="96" t="s">
        <v>376</v>
      </c>
      <c r="E35" s="96"/>
      <c r="F35" s="99"/>
      <c r="G35" s="127">
        <v>165000</v>
      </c>
      <c r="H35" s="128"/>
    </row>
    <row r="36" spans="1:8" ht="15" x14ac:dyDescent="0.25">
      <c r="A36" s="122">
        <v>40492</v>
      </c>
      <c r="B36" s="96" t="s">
        <v>296</v>
      </c>
      <c r="C36" s="96">
        <v>1451</v>
      </c>
      <c r="D36" s="96" t="s">
        <v>340</v>
      </c>
      <c r="E36" s="96"/>
      <c r="F36" s="99">
        <v>-48204</v>
      </c>
      <c r="G36" s="127"/>
      <c r="H36" s="128"/>
    </row>
    <row r="37" spans="1:8" ht="15" x14ac:dyDescent="0.25">
      <c r="A37" s="122">
        <v>40506</v>
      </c>
      <c r="B37" s="96" t="s">
        <v>296</v>
      </c>
      <c r="C37" s="96">
        <v>1451</v>
      </c>
      <c r="D37" s="96" t="s">
        <v>340</v>
      </c>
      <c r="E37" s="96"/>
      <c r="F37" s="99">
        <v>-47628</v>
      </c>
      <c r="G37" s="127"/>
      <c r="H37" s="128"/>
    </row>
    <row r="38" spans="1:8" ht="15" x14ac:dyDescent="0.25">
      <c r="A38" s="122">
        <v>40519</v>
      </c>
      <c r="B38" s="96" t="s">
        <v>296</v>
      </c>
      <c r="C38" s="96">
        <v>1451</v>
      </c>
      <c r="D38" s="96" t="s">
        <v>340</v>
      </c>
      <c r="E38" s="96"/>
      <c r="F38" s="99">
        <v>-58610</v>
      </c>
      <c r="G38" s="127"/>
      <c r="H38" s="128"/>
    </row>
    <row r="39" spans="1:8" ht="15" x14ac:dyDescent="0.25">
      <c r="A39" s="44">
        <v>40534</v>
      </c>
      <c r="B39" s="101" t="s">
        <v>296</v>
      </c>
      <c r="C39" s="101">
        <v>1451</v>
      </c>
      <c r="D39" s="101" t="s">
        <v>340</v>
      </c>
      <c r="E39" s="101"/>
      <c r="F39" s="102">
        <v>-33879</v>
      </c>
      <c r="G39" s="129"/>
      <c r="H39" s="130"/>
    </row>
  </sheetData>
  <pageMargins left="0.78740157499999996" right="0.78740157499999996" top="0.984251969" bottom="0.984251969" header="0.5" footer="0.5"/>
  <pageSetup paperSize="9" scale="73" fitToHeight="0" orientation="portrait" verticalDpi="0" r:id="rId2"/>
  <headerFooter alignWithMargins="0">
    <oddHeader>&amp;LRieber SapExl Reports</oddHeader>
    <oddFooter xml:space="preserve">&amp;LPrinting date: &amp;D&amp;CPage &amp;P / &amp;N&amp;R&amp;F - &amp;A 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10">
    <tabColor rgb="FFFF8080"/>
  </sheetPr>
  <dimension ref="A1:W633"/>
  <sheetViews>
    <sheetView showGridLines="0" zoomScale="85" workbookViewId="0">
      <pane ySplit="1" topLeftCell="A250" activePane="bottomLeft" state="frozen"/>
      <selection pane="bottomLeft" activeCell="T1" sqref="T1"/>
    </sheetView>
  </sheetViews>
  <sheetFormatPr defaultColWidth="11.42578125" defaultRowHeight="12.75" x14ac:dyDescent="0.2"/>
  <cols>
    <col min="1" max="1" width="10.28515625" style="136" customWidth="1"/>
    <col min="2" max="2" width="13.28515625" style="22" bestFit="1" customWidth="1"/>
    <col min="3" max="3" width="10.28515625" style="22" customWidth="1"/>
    <col min="4" max="4" width="20.42578125" style="22" bestFit="1" customWidth="1"/>
    <col min="5" max="5" width="9.5703125" style="22" customWidth="1"/>
    <col min="6" max="6" width="14.5703125" style="22" bestFit="1" customWidth="1"/>
    <col min="7" max="7" width="12.42578125" style="22" customWidth="1"/>
    <col min="8" max="8" width="5.28515625" style="22" customWidth="1"/>
    <col min="9" max="9" width="7" style="22" customWidth="1"/>
    <col min="10" max="10" width="9.5703125" style="22" customWidth="1"/>
    <col min="11" max="11" width="8.28515625" style="22" bestFit="1" customWidth="1"/>
    <col min="12" max="12" width="9.42578125" style="22" customWidth="1"/>
    <col min="13" max="13" width="16.5703125" style="22" bestFit="1" customWidth="1"/>
    <col min="14" max="14" width="14.85546875" style="22" bestFit="1" customWidth="1"/>
    <col min="15" max="15" width="9.42578125" style="22" customWidth="1"/>
    <col min="16" max="16" width="5.140625" style="22" bestFit="1" customWidth="1"/>
    <col min="17" max="17" width="12.28515625" style="22" bestFit="1" customWidth="1"/>
    <col min="18" max="18" width="5.85546875" style="22" customWidth="1"/>
    <col min="19" max="19" width="25.28515625" style="22" bestFit="1" customWidth="1"/>
    <col min="20" max="16384" width="11.42578125" style="22"/>
  </cols>
  <sheetData>
    <row r="1" spans="1:20" x14ac:dyDescent="0.2">
      <c r="A1" s="132" t="s">
        <v>166</v>
      </c>
      <c r="B1" s="79" t="s">
        <v>168</v>
      </c>
      <c r="C1" s="79" t="s">
        <v>170</v>
      </c>
      <c r="D1" s="45" t="s">
        <v>172</v>
      </c>
      <c r="E1" s="79" t="s">
        <v>174</v>
      </c>
      <c r="F1" s="79" t="s">
        <v>176</v>
      </c>
      <c r="G1" s="90" t="s">
        <v>178</v>
      </c>
      <c r="H1" s="79" t="s">
        <v>180</v>
      </c>
      <c r="I1" s="79" t="s">
        <v>182</v>
      </c>
      <c r="J1" s="79" t="s">
        <v>184</v>
      </c>
      <c r="K1" s="79" t="s">
        <v>377</v>
      </c>
      <c r="L1" s="79" t="s">
        <v>378</v>
      </c>
      <c r="M1" s="79" t="str">
        <f>"Roll Sales "&amp;LeadTime&amp;" days"</f>
        <v>Roll Sales 3 days</v>
      </c>
      <c r="N1" s="79" t="s">
        <v>379</v>
      </c>
      <c r="O1" s="79" t="s">
        <v>380</v>
      </c>
      <c r="P1" s="79" t="s">
        <v>381</v>
      </c>
      <c r="Q1" s="79" t="s">
        <v>382</v>
      </c>
      <c r="S1" s="79" t="s">
        <v>383</v>
      </c>
      <c r="T1" s="22">
        <v>273</v>
      </c>
    </row>
    <row r="2" spans="1:20" x14ac:dyDescent="0.2">
      <c r="A2" s="133">
        <v>40570</v>
      </c>
      <c r="B2" s="26"/>
      <c r="C2" s="26"/>
      <c r="E2" s="26"/>
      <c r="F2" s="26">
        <f t="shared" ref="F2:F65" si="0">ActCov</f>
        <v>0</v>
      </c>
      <c r="G2" s="22" t="str">
        <f ca="1">IF(A2&gt;TODAY(),"Requirements","History")</f>
        <v>History</v>
      </c>
      <c r="H2" s="22">
        <f>YEAR(A2)</f>
        <v>2011</v>
      </c>
      <c r="I2" s="22">
        <f>MONTH(A2)</f>
        <v>1</v>
      </c>
      <c r="J2" s="22">
        <f t="shared" ref="J2:J65" si="1">IF(WEEKDAY(DATE(YEAR(A2),1,1),2)&gt;4,WEEKNUM(A2,2)-1,WEEKNUM(A2,2))</f>
        <v>4</v>
      </c>
      <c r="K2" s="22">
        <v>1</v>
      </c>
      <c r="L2" s="22">
        <f ca="1">SUM(K2:OFFSET(RngToDay,ROWS(Dates),10))</f>
        <v>522</v>
      </c>
      <c r="O2" s="22">
        <v>2</v>
      </c>
      <c r="P2" s="26"/>
      <c r="Q2" s="26"/>
      <c r="S2" s="22" t="s">
        <v>384</v>
      </c>
      <c r="T2" s="22">
        <v>0</v>
      </c>
    </row>
    <row r="3" spans="1:20" x14ac:dyDescent="0.2">
      <c r="A3" s="133">
        <v>40569</v>
      </c>
      <c r="B3" s="26"/>
      <c r="C3" s="26"/>
      <c r="E3" s="26"/>
      <c r="F3" s="26">
        <f t="shared" si="0"/>
        <v>0</v>
      </c>
      <c r="G3" s="22" t="str">
        <f t="shared" ref="G3:G66" ca="1" si="2">IF(A3&gt;TODAY(),"Requirements","History")</f>
        <v>History</v>
      </c>
      <c r="H3" s="22">
        <f t="shared" ref="H3:H66" si="3">YEAR(A3)</f>
        <v>2011</v>
      </c>
      <c r="I3" s="22">
        <f t="shared" ref="I3:I66" si="4">MONTH(A3)</f>
        <v>1</v>
      </c>
      <c r="J3" s="22">
        <f t="shared" si="1"/>
        <v>4</v>
      </c>
      <c r="K3" s="22">
        <v>1</v>
      </c>
      <c r="L3" s="22">
        <f ca="1">SUM(K3:OFFSET(RngToDay,ROWS(Dates),10))</f>
        <v>521</v>
      </c>
      <c r="O3" s="22">
        <f>O2+1</f>
        <v>3</v>
      </c>
      <c r="P3" s="26"/>
      <c r="Q3" s="26"/>
    </row>
    <row r="4" spans="1:20" x14ac:dyDescent="0.2">
      <c r="A4" s="133">
        <v>40568</v>
      </c>
      <c r="B4" s="26"/>
      <c r="C4" s="26"/>
      <c r="E4" s="26"/>
      <c r="F4" s="26">
        <f t="shared" si="0"/>
        <v>0</v>
      </c>
      <c r="G4" s="22" t="str">
        <f t="shared" ca="1" si="2"/>
        <v>History</v>
      </c>
      <c r="H4" s="22">
        <f t="shared" si="3"/>
        <v>2011</v>
      </c>
      <c r="I4" s="22">
        <f t="shared" si="4"/>
        <v>1</v>
      </c>
      <c r="J4" s="22">
        <f t="shared" si="1"/>
        <v>4</v>
      </c>
      <c r="K4" s="22">
        <v>1</v>
      </c>
      <c r="L4" s="22">
        <f ca="1">SUM(K4:OFFSET(RngToDay,ROWS(Dates),10))</f>
        <v>520</v>
      </c>
      <c r="O4" s="22">
        <f t="shared" ref="O4:O67" si="5">O3+1</f>
        <v>4</v>
      </c>
      <c r="P4" s="26"/>
      <c r="Q4" s="26"/>
    </row>
    <row r="5" spans="1:20" x14ac:dyDescent="0.2">
      <c r="A5" s="133">
        <v>40567</v>
      </c>
      <c r="B5" s="26"/>
      <c r="C5" s="26"/>
      <c r="E5" s="26"/>
      <c r="F5" s="26">
        <f t="shared" si="0"/>
        <v>0</v>
      </c>
      <c r="G5" s="22" t="str">
        <f t="shared" ca="1" si="2"/>
        <v>History</v>
      </c>
      <c r="H5" s="22">
        <f t="shared" si="3"/>
        <v>2011</v>
      </c>
      <c r="I5" s="22">
        <f t="shared" si="4"/>
        <v>1</v>
      </c>
      <c r="J5" s="22">
        <f t="shared" si="1"/>
        <v>4</v>
      </c>
      <c r="K5" s="22">
        <v>1</v>
      </c>
      <c r="L5" s="22">
        <f ca="1">SUM(K5:OFFSET(RngToDay,ROWS(Dates),10))</f>
        <v>519</v>
      </c>
      <c r="O5" s="22">
        <f t="shared" si="5"/>
        <v>5</v>
      </c>
      <c r="P5" s="26"/>
      <c r="Q5" s="26"/>
    </row>
    <row r="6" spans="1:20" x14ac:dyDescent="0.2">
      <c r="A6" s="133">
        <v>40564</v>
      </c>
      <c r="B6" s="26"/>
      <c r="C6" s="26"/>
      <c r="E6" s="26"/>
      <c r="F6" s="26">
        <f t="shared" si="0"/>
        <v>0</v>
      </c>
      <c r="G6" s="22" t="str">
        <f t="shared" ca="1" si="2"/>
        <v>History</v>
      </c>
      <c r="H6" s="22">
        <f t="shared" si="3"/>
        <v>2011</v>
      </c>
      <c r="I6" s="22">
        <f t="shared" si="4"/>
        <v>1</v>
      </c>
      <c r="J6" s="22">
        <f t="shared" si="1"/>
        <v>3</v>
      </c>
      <c r="K6" s="22">
        <v>1</v>
      </c>
      <c r="L6" s="22">
        <f ca="1">SUM(K6:OFFSET(RngToDay,ROWS(Dates),10))</f>
        <v>518</v>
      </c>
      <c r="O6" s="22">
        <f t="shared" si="5"/>
        <v>6</v>
      </c>
      <c r="P6" s="26"/>
      <c r="Q6" s="26"/>
    </row>
    <row r="7" spans="1:20" x14ac:dyDescent="0.2">
      <c r="A7" s="133">
        <v>40563</v>
      </c>
      <c r="B7" s="26"/>
      <c r="C7" s="26"/>
      <c r="E7" s="26"/>
      <c r="F7" s="26">
        <f t="shared" si="0"/>
        <v>0</v>
      </c>
      <c r="G7" s="22" t="str">
        <f t="shared" ca="1" si="2"/>
        <v>History</v>
      </c>
      <c r="H7" s="22">
        <f t="shared" si="3"/>
        <v>2011</v>
      </c>
      <c r="I7" s="22">
        <f t="shared" si="4"/>
        <v>1</v>
      </c>
      <c r="J7" s="22">
        <f t="shared" si="1"/>
        <v>3</v>
      </c>
      <c r="K7" s="22">
        <v>1</v>
      </c>
      <c r="L7" s="22">
        <f ca="1">SUM(K7:OFFSET(RngToDay,ROWS(Dates),10))</f>
        <v>517</v>
      </c>
      <c r="O7" s="22">
        <f t="shared" si="5"/>
        <v>7</v>
      </c>
      <c r="P7" s="26"/>
      <c r="Q7" s="26"/>
    </row>
    <row r="8" spans="1:20" x14ac:dyDescent="0.2">
      <c r="A8" s="133">
        <v>40562</v>
      </c>
      <c r="B8" s="26"/>
      <c r="C8" s="26"/>
      <c r="E8" s="26"/>
      <c r="F8" s="26">
        <f t="shared" si="0"/>
        <v>0</v>
      </c>
      <c r="G8" s="22" t="str">
        <f t="shared" ca="1" si="2"/>
        <v>History</v>
      </c>
      <c r="H8" s="22">
        <f t="shared" si="3"/>
        <v>2011</v>
      </c>
      <c r="I8" s="22">
        <f t="shared" si="4"/>
        <v>1</v>
      </c>
      <c r="J8" s="22">
        <f t="shared" si="1"/>
        <v>3</v>
      </c>
      <c r="K8" s="22">
        <v>1</v>
      </c>
      <c r="L8" s="22">
        <f ca="1">SUM(K8:OFFSET(RngToDay,ROWS(Dates),10))</f>
        <v>516</v>
      </c>
      <c r="O8" s="22">
        <f t="shared" si="5"/>
        <v>8</v>
      </c>
      <c r="P8" s="26"/>
      <c r="Q8" s="26"/>
    </row>
    <row r="9" spans="1:20" x14ac:dyDescent="0.2">
      <c r="A9" s="133">
        <v>40561</v>
      </c>
      <c r="B9" s="26"/>
      <c r="C9" s="26"/>
      <c r="E9" s="26"/>
      <c r="F9" s="26">
        <f t="shared" si="0"/>
        <v>0</v>
      </c>
      <c r="G9" s="22" t="str">
        <f t="shared" ca="1" si="2"/>
        <v>History</v>
      </c>
      <c r="H9" s="22">
        <f t="shared" si="3"/>
        <v>2011</v>
      </c>
      <c r="I9" s="22">
        <f t="shared" si="4"/>
        <v>1</v>
      </c>
      <c r="J9" s="22">
        <f t="shared" si="1"/>
        <v>3</v>
      </c>
      <c r="K9" s="22">
        <v>1</v>
      </c>
      <c r="L9" s="22">
        <f ca="1">SUM(K9:OFFSET(RngToDay,ROWS(Dates),10))</f>
        <v>515</v>
      </c>
      <c r="O9" s="22">
        <f t="shared" si="5"/>
        <v>9</v>
      </c>
      <c r="P9" s="26"/>
      <c r="Q9" s="26"/>
    </row>
    <row r="10" spans="1:20" x14ac:dyDescent="0.2">
      <c r="A10" s="133">
        <v>40560</v>
      </c>
      <c r="B10" s="26"/>
      <c r="C10" s="26"/>
      <c r="E10" s="26"/>
      <c r="F10" s="26">
        <f t="shared" si="0"/>
        <v>0</v>
      </c>
      <c r="G10" s="22" t="str">
        <f t="shared" ca="1" si="2"/>
        <v>History</v>
      </c>
      <c r="H10" s="22">
        <f t="shared" si="3"/>
        <v>2011</v>
      </c>
      <c r="I10" s="22">
        <f t="shared" si="4"/>
        <v>1</v>
      </c>
      <c r="J10" s="22">
        <f t="shared" si="1"/>
        <v>3</v>
      </c>
      <c r="K10" s="22">
        <v>1</v>
      </c>
      <c r="L10" s="22">
        <f ca="1">SUM(K10:OFFSET(RngToDay,ROWS(Dates),10))</f>
        <v>514</v>
      </c>
      <c r="O10" s="22">
        <f t="shared" si="5"/>
        <v>10</v>
      </c>
      <c r="P10" s="26"/>
      <c r="Q10" s="26"/>
    </row>
    <row r="11" spans="1:20" x14ac:dyDescent="0.2">
      <c r="A11" s="133">
        <v>40557</v>
      </c>
      <c r="B11" s="26"/>
      <c r="C11" s="26"/>
      <c r="E11" s="26"/>
      <c r="F11" s="26">
        <f t="shared" si="0"/>
        <v>0</v>
      </c>
      <c r="G11" s="22" t="str">
        <f t="shared" ca="1" si="2"/>
        <v>History</v>
      </c>
      <c r="H11" s="22">
        <f t="shared" si="3"/>
        <v>2011</v>
      </c>
      <c r="I11" s="22">
        <f t="shared" si="4"/>
        <v>1</v>
      </c>
      <c r="J11" s="22">
        <f t="shared" si="1"/>
        <v>2</v>
      </c>
      <c r="K11" s="22">
        <v>1</v>
      </c>
      <c r="L11" s="22">
        <f ca="1">SUM(K11:OFFSET(RngToDay,ROWS(Dates),10))</f>
        <v>513</v>
      </c>
      <c r="O11" s="22">
        <f t="shared" si="5"/>
        <v>11</v>
      </c>
      <c r="P11" s="26"/>
      <c r="Q11" s="26"/>
    </row>
    <row r="12" spans="1:20" x14ac:dyDescent="0.2">
      <c r="A12" s="133">
        <v>40556</v>
      </c>
      <c r="B12" s="26"/>
      <c r="C12" s="26"/>
      <c r="E12" s="26"/>
      <c r="F12" s="26">
        <f t="shared" si="0"/>
        <v>0</v>
      </c>
      <c r="G12" s="22" t="str">
        <f t="shared" ca="1" si="2"/>
        <v>History</v>
      </c>
      <c r="H12" s="22">
        <f t="shared" si="3"/>
        <v>2011</v>
      </c>
      <c r="I12" s="22">
        <f t="shared" si="4"/>
        <v>1</v>
      </c>
      <c r="J12" s="22">
        <f t="shared" si="1"/>
        <v>2</v>
      </c>
      <c r="K12" s="22">
        <v>1</v>
      </c>
      <c r="L12" s="22">
        <f ca="1">SUM(K12:OFFSET(RngToDay,ROWS(Dates),10))</f>
        <v>512</v>
      </c>
      <c r="O12" s="22">
        <f t="shared" si="5"/>
        <v>12</v>
      </c>
      <c r="P12" s="26"/>
      <c r="Q12" s="26"/>
    </row>
    <row r="13" spans="1:20" x14ac:dyDescent="0.2">
      <c r="A13" s="133">
        <v>40555</v>
      </c>
      <c r="B13" s="26"/>
      <c r="C13" s="26"/>
      <c r="E13" s="26"/>
      <c r="F13" s="26">
        <f t="shared" si="0"/>
        <v>0</v>
      </c>
      <c r="G13" s="22" t="str">
        <f t="shared" ca="1" si="2"/>
        <v>History</v>
      </c>
      <c r="H13" s="22">
        <f t="shared" si="3"/>
        <v>2011</v>
      </c>
      <c r="I13" s="22">
        <f t="shared" si="4"/>
        <v>1</v>
      </c>
      <c r="J13" s="22">
        <f t="shared" si="1"/>
        <v>2</v>
      </c>
      <c r="K13" s="22">
        <v>1</v>
      </c>
      <c r="L13" s="22">
        <f ca="1">SUM(K13:OFFSET(RngToDay,ROWS(Dates),10))</f>
        <v>511</v>
      </c>
      <c r="O13" s="22">
        <f t="shared" si="5"/>
        <v>13</v>
      </c>
      <c r="P13" s="26"/>
      <c r="Q13" s="26"/>
    </row>
    <row r="14" spans="1:20" x14ac:dyDescent="0.2">
      <c r="A14" s="133">
        <v>40554</v>
      </c>
      <c r="B14" s="26"/>
      <c r="C14" s="26"/>
      <c r="E14" s="26"/>
      <c r="F14" s="26">
        <f t="shared" si="0"/>
        <v>0</v>
      </c>
      <c r="G14" s="22" t="str">
        <f t="shared" ca="1" si="2"/>
        <v>History</v>
      </c>
      <c r="H14" s="22">
        <f t="shared" si="3"/>
        <v>2011</v>
      </c>
      <c r="I14" s="22">
        <f t="shared" si="4"/>
        <v>1</v>
      </c>
      <c r="J14" s="22">
        <f t="shared" si="1"/>
        <v>2</v>
      </c>
      <c r="K14" s="22">
        <v>1</v>
      </c>
      <c r="L14" s="22">
        <f ca="1">SUM(K14:OFFSET(RngToDay,ROWS(Dates),10))</f>
        <v>510</v>
      </c>
      <c r="O14" s="22">
        <f t="shared" si="5"/>
        <v>14</v>
      </c>
      <c r="P14" s="26"/>
      <c r="Q14" s="26"/>
    </row>
    <row r="15" spans="1:20" x14ac:dyDescent="0.2">
      <c r="A15" s="133">
        <v>40553</v>
      </c>
      <c r="B15" s="26"/>
      <c r="C15" s="26"/>
      <c r="E15" s="26"/>
      <c r="F15" s="26">
        <f t="shared" si="0"/>
        <v>0</v>
      </c>
      <c r="G15" s="22" t="str">
        <f t="shared" ca="1" si="2"/>
        <v>History</v>
      </c>
      <c r="H15" s="22">
        <f t="shared" si="3"/>
        <v>2011</v>
      </c>
      <c r="I15" s="22">
        <f t="shared" si="4"/>
        <v>1</v>
      </c>
      <c r="J15" s="22">
        <f t="shared" si="1"/>
        <v>2</v>
      </c>
      <c r="K15" s="22">
        <v>1</v>
      </c>
      <c r="L15" s="22">
        <f ca="1">SUM(K15:OFFSET(RngToDay,ROWS(Dates),10))</f>
        <v>509</v>
      </c>
      <c r="O15" s="22">
        <f t="shared" si="5"/>
        <v>15</v>
      </c>
      <c r="P15" s="26"/>
      <c r="Q15" s="26"/>
    </row>
    <row r="16" spans="1:20" x14ac:dyDescent="0.2">
      <c r="A16" s="133">
        <v>40550</v>
      </c>
      <c r="B16" s="26"/>
      <c r="C16" s="26"/>
      <c r="E16" s="26"/>
      <c r="F16" s="26">
        <f t="shared" si="0"/>
        <v>0</v>
      </c>
      <c r="G16" s="22" t="str">
        <f t="shared" ca="1" si="2"/>
        <v>History</v>
      </c>
      <c r="H16" s="22">
        <f t="shared" si="3"/>
        <v>2011</v>
      </c>
      <c r="I16" s="22">
        <f t="shared" si="4"/>
        <v>1</v>
      </c>
      <c r="J16" s="22">
        <f t="shared" si="1"/>
        <v>1</v>
      </c>
      <c r="K16" s="22">
        <v>1</v>
      </c>
      <c r="L16" s="22">
        <f ca="1">SUM(K16:OFFSET(RngToDay,ROWS(Dates),10))</f>
        <v>508</v>
      </c>
      <c r="O16" s="22">
        <f t="shared" si="5"/>
        <v>16</v>
      </c>
      <c r="P16" s="26"/>
      <c r="Q16" s="26"/>
    </row>
    <row r="17" spans="1:17" x14ac:dyDescent="0.2">
      <c r="A17" s="133">
        <v>40549</v>
      </c>
      <c r="B17" s="26"/>
      <c r="C17" s="26"/>
      <c r="E17" s="26"/>
      <c r="F17" s="26">
        <f t="shared" si="0"/>
        <v>0</v>
      </c>
      <c r="G17" s="22" t="str">
        <f t="shared" ca="1" si="2"/>
        <v>History</v>
      </c>
      <c r="H17" s="22">
        <f t="shared" si="3"/>
        <v>2011</v>
      </c>
      <c r="I17" s="22">
        <f t="shared" si="4"/>
        <v>1</v>
      </c>
      <c r="J17" s="22">
        <f t="shared" si="1"/>
        <v>1</v>
      </c>
      <c r="K17" s="22">
        <v>1</v>
      </c>
      <c r="L17" s="22">
        <f ca="1">SUM(K17:OFFSET(RngToDay,ROWS(Dates),10))</f>
        <v>507</v>
      </c>
      <c r="O17" s="22">
        <f t="shared" si="5"/>
        <v>17</v>
      </c>
      <c r="P17" s="26"/>
      <c r="Q17" s="26"/>
    </row>
    <row r="18" spans="1:17" x14ac:dyDescent="0.2">
      <c r="A18" s="133">
        <v>40548</v>
      </c>
      <c r="B18" s="26"/>
      <c r="C18" s="26"/>
      <c r="E18" s="26"/>
      <c r="F18" s="26">
        <f t="shared" si="0"/>
        <v>0</v>
      </c>
      <c r="G18" s="22" t="str">
        <f t="shared" ca="1" si="2"/>
        <v>History</v>
      </c>
      <c r="H18" s="22">
        <f t="shared" si="3"/>
        <v>2011</v>
      </c>
      <c r="I18" s="22">
        <f t="shared" si="4"/>
        <v>1</v>
      </c>
      <c r="J18" s="22">
        <f t="shared" si="1"/>
        <v>1</v>
      </c>
      <c r="K18" s="22">
        <v>1</v>
      </c>
      <c r="L18" s="22">
        <f ca="1">SUM(K18:OFFSET(RngToDay,ROWS(Dates),10))</f>
        <v>506</v>
      </c>
      <c r="O18" s="22">
        <f t="shared" si="5"/>
        <v>18</v>
      </c>
      <c r="P18" s="26"/>
      <c r="Q18" s="26"/>
    </row>
    <row r="19" spans="1:17" x14ac:dyDescent="0.2">
      <c r="A19" s="133">
        <v>40547</v>
      </c>
      <c r="B19" s="26"/>
      <c r="C19" s="26"/>
      <c r="E19" s="26"/>
      <c r="F19" s="26">
        <f t="shared" si="0"/>
        <v>0</v>
      </c>
      <c r="G19" s="22" t="str">
        <f t="shared" ca="1" si="2"/>
        <v>History</v>
      </c>
      <c r="H19" s="22">
        <f t="shared" si="3"/>
        <v>2011</v>
      </c>
      <c r="I19" s="22">
        <f t="shared" si="4"/>
        <v>1</v>
      </c>
      <c r="J19" s="22">
        <f t="shared" si="1"/>
        <v>1</v>
      </c>
      <c r="K19" s="22">
        <v>1</v>
      </c>
      <c r="L19" s="22">
        <f ca="1">SUM(K19:OFFSET(RngToDay,ROWS(Dates),10))</f>
        <v>505</v>
      </c>
      <c r="O19" s="22">
        <f t="shared" si="5"/>
        <v>19</v>
      </c>
      <c r="P19" s="26"/>
      <c r="Q19" s="26"/>
    </row>
    <row r="20" spans="1:17" x14ac:dyDescent="0.2">
      <c r="A20" s="133">
        <v>40546</v>
      </c>
      <c r="B20" s="26"/>
      <c r="C20" s="26"/>
      <c r="E20" s="26"/>
      <c r="F20" s="26">
        <f t="shared" si="0"/>
        <v>0</v>
      </c>
      <c r="G20" s="22" t="str">
        <f t="shared" ca="1" si="2"/>
        <v>History</v>
      </c>
      <c r="H20" s="22">
        <f t="shared" si="3"/>
        <v>2011</v>
      </c>
      <c r="I20" s="22">
        <f t="shared" si="4"/>
        <v>1</v>
      </c>
      <c r="J20" s="22">
        <f t="shared" si="1"/>
        <v>1</v>
      </c>
      <c r="K20" s="22">
        <v>1</v>
      </c>
      <c r="L20" s="22">
        <f ca="1">SUM(K20:OFFSET(RngToDay,ROWS(Dates),10))</f>
        <v>504</v>
      </c>
      <c r="O20" s="22">
        <f t="shared" si="5"/>
        <v>20</v>
      </c>
      <c r="P20" s="26"/>
      <c r="Q20" s="26"/>
    </row>
    <row r="21" spans="1:17" x14ac:dyDescent="0.2">
      <c r="A21" s="133">
        <v>40542</v>
      </c>
      <c r="B21" s="26"/>
      <c r="C21" s="26"/>
      <c r="E21" s="26"/>
      <c r="F21" s="26">
        <f t="shared" si="0"/>
        <v>0</v>
      </c>
      <c r="G21" s="22" t="str">
        <f t="shared" ca="1" si="2"/>
        <v>History</v>
      </c>
      <c r="H21" s="22">
        <f t="shared" si="3"/>
        <v>2010</v>
      </c>
      <c r="I21" s="22">
        <f t="shared" si="4"/>
        <v>12</v>
      </c>
      <c r="J21" s="22">
        <f t="shared" si="1"/>
        <v>52</v>
      </c>
      <c r="K21" s="22">
        <v>1</v>
      </c>
      <c r="L21" s="22">
        <f ca="1">SUM(K21:OFFSET(RngToDay,ROWS(Dates),10))</f>
        <v>503</v>
      </c>
      <c r="O21" s="22">
        <f t="shared" si="5"/>
        <v>21</v>
      </c>
      <c r="P21" s="26"/>
      <c r="Q21" s="26"/>
    </row>
    <row r="22" spans="1:17" x14ac:dyDescent="0.2">
      <c r="A22" s="133">
        <v>40541</v>
      </c>
      <c r="B22" s="26"/>
      <c r="C22" s="26"/>
      <c r="E22" s="26"/>
      <c r="F22" s="26">
        <f t="shared" si="0"/>
        <v>0</v>
      </c>
      <c r="G22" s="22" t="str">
        <f t="shared" ca="1" si="2"/>
        <v>History</v>
      </c>
      <c r="H22" s="22">
        <f t="shared" si="3"/>
        <v>2010</v>
      </c>
      <c r="I22" s="22">
        <f t="shared" si="4"/>
        <v>12</v>
      </c>
      <c r="J22" s="22">
        <f t="shared" si="1"/>
        <v>52</v>
      </c>
      <c r="K22" s="22">
        <v>1</v>
      </c>
      <c r="L22" s="22">
        <f ca="1">SUM(K22:OFFSET(RngToDay,ROWS(Dates),10))</f>
        <v>502</v>
      </c>
      <c r="O22" s="22">
        <f t="shared" si="5"/>
        <v>22</v>
      </c>
      <c r="P22" s="26"/>
      <c r="Q22" s="26"/>
    </row>
    <row r="23" spans="1:17" x14ac:dyDescent="0.2">
      <c r="A23" s="133">
        <v>40540</v>
      </c>
      <c r="B23" s="26"/>
      <c r="C23" s="26"/>
      <c r="E23" s="26"/>
      <c r="F23" s="26">
        <f t="shared" si="0"/>
        <v>0</v>
      </c>
      <c r="G23" s="22" t="str">
        <f t="shared" ca="1" si="2"/>
        <v>History</v>
      </c>
      <c r="H23" s="22">
        <f t="shared" si="3"/>
        <v>2010</v>
      </c>
      <c r="I23" s="22">
        <f t="shared" si="4"/>
        <v>12</v>
      </c>
      <c r="J23" s="22">
        <f t="shared" si="1"/>
        <v>52</v>
      </c>
      <c r="K23" s="22">
        <v>1</v>
      </c>
      <c r="L23" s="22">
        <f ca="1">SUM(K23:OFFSET(RngToDay,ROWS(Dates),10))</f>
        <v>501</v>
      </c>
      <c r="O23" s="22">
        <f t="shared" si="5"/>
        <v>23</v>
      </c>
      <c r="P23" s="26"/>
      <c r="Q23" s="26"/>
    </row>
    <row r="24" spans="1:17" x14ac:dyDescent="0.2">
      <c r="A24" s="133">
        <v>40539</v>
      </c>
      <c r="B24" s="26"/>
      <c r="C24" s="26"/>
      <c r="E24" s="26"/>
      <c r="F24" s="26">
        <f t="shared" si="0"/>
        <v>0</v>
      </c>
      <c r="G24" s="22" t="str">
        <f t="shared" ca="1" si="2"/>
        <v>History</v>
      </c>
      <c r="H24" s="22">
        <f t="shared" si="3"/>
        <v>2010</v>
      </c>
      <c r="I24" s="22">
        <f t="shared" si="4"/>
        <v>12</v>
      </c>
      <c r="J24" s="22">
        <f t="shared" si="1"/>
        <v>52</v>
      </c>
      <c r="K24" s="22">
        <v>1</v>
      </c>
      <c r="L24" s="22">
        <f ca="1">SUM(K24:OFFSET(RngToDay,ROWS(Dates),10))</f>
        <v>500</v>
      </c>
      <c r="O24" s="22">
        <f t="shared" si="5"/>
        <v>24</v>
      </c>
      <c r="P24" s="26"/>
      <c r="Q24" s="26"/>
    </row>
    <row r="25" spans="1:17" x14ac:dyDescent="0.2">
      <c r="A25" s="133">
        <v>40535</v>
      </c>
      <c r="B25" s="26"/>
      <c r="C25" s="26"/>
      <c r="E25" s="26"/>
      <c r="F25" s="26">
        <f t="shared" si="0"/>
        <v>0</v>
      </c>
      <c r="G25" s="22" t="str">
        <f t="shared" ca="1" si="2"/>
        <v>History</v>
      </c>
      <c r="H25" s="22">
        <f t="shared" si="3"/>
        <v>2010</v>
      </c>
      <c r="I25" s="22">
        <f t="shared" si="4"/>
        <v>12</v>
      </c>
      <c r="J25" s="22">
        <f t="shared" si="1"/>
        <v>51</v>
      </c>
      <c r="K25" s="22">
        <v>1</v>
      </c>
      <c r="L25" s="22">
        <f ca="1">SUM(K25:OFFSET(RngToDay,ROWS(Dates),10))</f>
        <v>499</v>
      </c>
      <c r="O25" s="22">
        <f t="shared" si="5"/>
        <v>25</v>
      </c>
      <c r="P25" s="26"/>
      <c r="Q25" s="26"/>
    </row>
    <row r="26" spans="1:17" x14ac:dyDescent="0.2">
      <c r="A26" s="133">
        <v>40534</v>
      </c>
      <c r="B26" s="26"/>
      <c r="C26" s="26"/>
      <c r="E26" s="26"/>
      <c r="F26" s="26">
        <f t="shared" si="0"/>
        <v>0</v>
      </c>
      <c r="G26" s="22" t="str">
        <f t="shared" ca="1" si="2"/>
        <v>History</v>
      </c>
      <c r="H26" s="22">
        <f t="shared" si="3"/>
        <v>2010</v>
      </c>
      <c r="I26" s="22">
        <f t="shared" si="4"/>
        <v>12</v>
      </c>
      <c r="J26" s="22">
        <f t="shared" si="1"/>
        <v>51</v>
      </c>
      <c r="K26" s="22">
        <v>1</v>
      </c>
      <c r="L26" s="22">
        <f ca="1">SUM(K26:OFFSET(RngToDay,ROWS(Dates),10))</f>
        <v>498</v>
      </c>
      <c r="O26" s="22">
        <f t="shared" si="5"/>
        <v>26</v>
      </c>
      <c r="P26" s="26"/>
      <c r="Q26" s="26"/>
    </row>
    <row r="27" spans="1:17" x14ac:dyDescent="0.2">
      <c r="A27" s="133">
        <v>40533</v>
      </c>
      <c r="B27" s="26"/>
      <c r="C27" s="26"/>
      <c r="E27" s="26"/>
      <c r="F27" s="26">
        <f t="shared" si="0"/>
        <v>0</v>
      </c>
      <c r="G27" s="22" t="str">
        <f t="shared" ca="1" si="2"/>
        <v>History</v>
      </c>
      <c r="H27" s="22">
        <f t="shared" si="3"/>
        <v>2010</v>
      </c>
      <c r="I27" s="22">
        <f t="shared" si="4"/>
        <v>12</v>
      </c>
      <c r="J27" s="22">
        <f t="shared" si="1"/>
        <v>51</v>
      </c>
      <c r="K27" s="22">
        <v>1</v>
      </c>
      <c r="L27" s="22">
        <f ca="1">SUM(K27:OFFSET(RngToDay,ROWS(Dates),10))</f>
        <v>497</v>
      </c>
      <c r="O27" s="22">
        <f t="shared" si="5"/>
        <v>27</v>
      </c>
      <c r="P27" s="26"/>
      <c r="Q27" s="26"/>
    </row>
    <row r="28" spans="1:17" x14ac:dyDescent="0.2">
      <c r="A28" s="133">
        <v>40532</v>
      </c>
      <c r="B28" s="26"/>
      <c r="C28" s="26"/>
      <c r="E28" s="26"/>
      <c r="F28" s="26">
        <f t="shared" si="0"/>
        <v>0</v>
      </c>
      <c r="G28" s="22" t="str">
        <f t="shared" ca="1" si="2"/>
        <v>History</v>
      </c>
      <c r="H28" s="22">
        <f t="shared" si="3"/>
        <v>2010</v>
      </c>
      <c r="I28" s="22">
        <f t="shared" si="4"/>
        <v>12</v>
      </c>
      <c r="J28" s="22">
        <f t="shared" si="1"/>
        <v>51</v>
      </c>
      <c r="K28" s="22">
        <v>1</v>
      </c>
      <c r="L28" s="22">
        <f ca="1">SUM(K28:OFFSET(RngToDay,ROWS(Dates),10))</f>
        <v>496</v>
      </c>
      <c r="O28" s="22">
        <f t="shared" si="5"/>
        <v>28</v>
      </c>
      <c r="P28" s="26"/>
      <c r="Q28" s="26"/>
    </row>
    <row r="29" spans="1:17" x14ac:dyDescent="0.2">
      <c r="A29" s="133">
        <v>40529</v>
      </c>
      <c r="B29" s="26"/>
      <c r="C29" s="26"/>
      <c r="E29" s="26"/>
      <c r="F29" s="26">
        <f t="shared" si="0"/>
        <v>0</v>
      </c>
      <c r="G29" s="22" t="str">
        <f t="shared" ca="1" si="2"/>
        <v>History</v>
      </c>
      <c r="H29" s="22">
        <f t="shared" si="3"/>
        <v>2010</v>
      </c>
      <c r="I29" s="22">
        <f t="shared" si="4"/>
        <v>12</v>
      </c>
      <c r="J29" s="22">
        <f t="shared" si="1"/>
        <v>50</v>
      </c>
      <c r="K29" s="22">
        <v>1</v>
      </c>
      <c r="L29" s="22">
        <f ca="1">SUM(K29:OFFSET(RngToDay,ROWS(Dates),10))</f>
        <v>495</v>
      </c>
      <c r="O29" s="22">
        <f t="shared" si="5"/>
        <v>29</v>
      </c>
      <c r="P29" s="26"/>
      <c r="Q29" s="26"/>
    </row>
    <row r="30" spans="1:17" x14ac:dyDescent="0.2">
      <c r="A30" s="133">
        <v>40528</v>
      </c>
      <c r="B30" s="26"/>
      <c r="C30" s="26"/>
      <c r="E30" s="26"/>
      <c r="F30" s="26">
        <f t="shared" si="0"/>
        <v>0</v>
      </c>
      <c r="G30" s="22" t="str">
        <f t="shared" ca="1" si="2"/>
        <v>History</v>
      </c>
      <c r="H30" s="22">
        <f t="shared" si="3"/>
        <v>2010</v>
      </c>
      <c r="I30" s="22">
        <f t="shared" si="4"/>
        <v>12</v>
      </c>
      <c r="J30" s="22">
        <f t="shared" si="1"/>
        <v>50</v>
      </c>
      <c r="K30" s="22">
        <v>1</v>
      </c>
      <c r="L30" s="22">
        <f ca="1">SUM(K30:OFFSET(RngToDay,ROWS(Dates),10))</f>
        <v>494</v>
      </c>
      <c r="O30" s="22">
        <f t="shared" si="5"/>
        <v>30</v>
      </c>
      <c r="P30" s="26"/>
      <c r="Q30" s="26"/>
    </row>
    <row r="31" spans="1:17" x14ac:dyDescent="0.2">
      <c r="A31" s="133">
        <v>40527</v>
      </c>
      <c r="B31" s="26"/>
      <c r="C31" s="26"/>
      <c r="E31" s="26"/>
      <c r="F31" s="26">
        <f t="shared" si="0"/>
        <v>0</v>
      </c>
      <c r="G31" s="22" t="str">
        <f t="shared" ca="1" si="2"/>
        <v>History</v>
      </c>
      <c r="H31" s="22">
        <f t="shared" si="3"/>
        <v>2010</v>
      </c>
      <c r="I31" s="22">
        <f t="shared" si="4"/>
        <v>12</v>
      </c>
      <c r="J31" s="22">
        <f t="shared" si="1"/>
        <v>50</v>
      </c>
      <c r="K31" s="22">
        <v>1</v>
      </c>
      <c r="L31" s="22">
        <f ca="1">SUM(K31:OFFSET(RngToDay,ROWS(Dates),10))</f>
        <v>493</v>
      </c>
      <c r="O31" s="22">
        <f t="shared" si="5"/>
        <v>31</v>
      </c>
      <c r="P31" s="26"/>
      <c r="Q31" s="26"/>
    </row>
    <row r="32" spans="1:17" x14ac:dyDescent="0.2">
      <c r="A32" s="133">
        <v>40526</v>
      </c>
      <c r="B32" s="26"/>
      <c r="C32" s="26"/>
      <c r="E32" s="26"/>
      <c r="F32" s="26">
        <f t="shared" si="0"/>
        <v>0</v>
      </c>
      <c r="G32" s="22" t="str">
        <f t="shared" ca="1" si="2"/>
        <v>History</v>
      </c>
      <c r="H32" s="22">
        <f t="shared" si="3"/>
        <v>2010</v>
      </c>
      <c r="I32" s="22">
        <f t="shared" si="4"/>
        <v>12</v>
      </c>
      <c r="J32" s="22">
        <f t="shared" si="1"/>
        <v>50</v>
      </c>
      <c r="K32" s="22">
        <v>1</v>
      </c>
      <c r="L32" s="22">
        <f ca="1">SUM(K32:OFFSET(RngToDay,ROWS(Dates),10))</f>
        <v>492</v>
      </c>
      <c r="O32" s="22">
        <f t="shared" si="5"/>
        <v>32</v>
      </c>
      <c r="P32" s="26"/>
      <c r="Q32" s="26"/>
    </row>
    <row r="33" spans="1:17" x14ac:dyDescent="0.2">
      <c r="A33" s="133">
        <v>40525</v>
      </c>
      <c r="B33" s="26"/>
      <c r="C33" s="26"/>
      <c r="E33" s="26"/>
      <c r="F33" s="26">
        <f t="shared" si="0"/>
        <v>0</v>
      </c>
      <c r="G33" s="22" t="str">
        <f t="shared" ca="1" si="2"/>
        <v>History</v>
      </c>
      <c r="H33" s="22">
        <f t="shared" si="3"/>
        <v>2010</v>
      </c>
      <c r="I33" s="22">
        <f t="shared" si="4"/>
        <v>12</v>
      </c>
      <c r="J33" s="22">
        <f t="shared" si="1"/>
        <v>50</v>
      </c>
      <c r="K33" s="22">
        <v>1</v>
      </c>
      <c r="L33" s="22">
        <f ca="1">SUM(K33:OFFSET(RngToDay,ROWS(Dates),10))</f>
        <v>491</v>
      </c>
      <c r="O33" s="22">
        <f t="shared" si="5"/>
        <v>33</v>
      </c>
      <c r="P33" s="26"/>
      <c r="Q33" s="26"/>
    </row>
    <row r="34" spans="1:17" x14ac:dyDescent="0.2">
      <c r="A34" s="133">
        <v>40522</v>
      </c>
      <c r="B34" s="26"/>
      <c r="C34" s="26"/>
      <c r="E34" s="26"/>
      <c r="F34" s="26">
        <f t="shared" si="0"/>
        <v>0</v>
      </c>
      <c r="G34" s="22" t="str">
        <f t="shared" ca="1" si="2"/>
        <v>History</v>
      </c>
      <c r="H34" s="22">
        <f t="shared" si="3"/>
        <v>2010</v>
      </c>
      <c r="I34" s="22">
        <f t="shared" si="4"/>
        <v>12</v>
      </c>
      <c r="J34" s="22">
        <f t="shared" si="1"/>
        <v>49</v>
      </c>
      <c r="K34" s="22">
        <v>1</v>
      </c>
      <c r="L34" s="22">
        <f ca="1">SUM(K34:OFFSET(RngToDay,ROWS(Dates),10))</f>
        <v>490</v>
      </c>
      <c r="O34" s="22">
        <f t="shared" si="5"/>
        <v>34</v>
      </c>
      <c r="P34" s="26"/>
      <c r="Q34" s="26"/>
    </row>
    <row r="35" spans="1:17" x14ac:dyDescent="0.2">
      <c r="A35" s="133">
        <v>40521</v>
      </c>
      <c r="B35" s="26"/>
      <c r="C35" s="26"/>
      <c r="E35" s="26"/>
      <c r="F35" s="26">
        <f t="shared" si="0"/>
        <v>0</v>
      </c>
      <c r="G35" s="22" t="str">
        <f t="shared" ca="1" si="2"/>
        <v>History</v>
      </c>
      <c r="H35" s="22">
        <f t="shared" si="3"/>
        <v>2010</v>
      </c>
      <c r="I35" s="22">
        <f t="shared" si="4"/>
        <v>12</v>
      </c>
      <c r="J35" s="22">
        <f t="shared" si="1"/>
        <v>49</v>
      </c>
      <c r="K35" s="22">
        <v>1</v>
      </c>
      <c r="L35" s="22">
        <f ca="1">SUM(K35:OFFSET(RngToDay,ROWS(Dates),10))</f>
        <v>489</v>
      </c>
      <c r="O35" s="22">
        <f t="shared" si="5"/>
        <v>35</v>
      </c>
      <c r="P35" s="26"/>
      <c r="Q35" s="26"/>
    </row>
    <row r="36" spans="1:17" x14ac:dyDescent="0.2">
      <c r="A36" s="133">
        <v>40520</v>
      </c>
      <c r="B36" s="26"/>
      <c r="C36" s="26"/>
      <c r="E36" s="26"/>
      <c r="F36" s="26">
        <f t="shared" si="0"/>
        <v>0</v>
      </c>
      <c r="G36" s="22" t="str">
        <f t="shared" ca="1" si="2"/>
        <v>History</v>
      </c>
      <c r="H36" s="22">
        <f t="shared" si="3"/>
        <v>2010</v>
      </c>
      <c r="I36" s="22">
        <f t="shared" si="4"/>
        <v>12</v>
      </c>
      <c r="J36" s="22">
        <f t="shared" si="1"/>
        <v>49</v>
      </c>
      <c r="K36" s="22">
        <v>1</v>
      </c>
      <c r="L36" s="22">
        <f ca="1">SUM(K36:OFFSET(RngToDay,ROWS(Dates),10))</f>
        <v>488</v>
      </c>
      <c r="O36" s="22">
        <f t="shared" si="5"/>
        <v>36</v>
      </c>
      <c r="P36" s="26"/>
      <c r="Q36" s="26"/>
    </row>
    <row r="37" spans="1:17" x14ac:dyDescent="0.2">
      <c r="A37" s="133">
        <v>40519</v>
      </c>
      <c r="B37" s="26"/>
      <c r="C37" s="26"/>
      <c r="E37" s="26"/>
      <c r="F37" s="26">
        <f t="shared" si="0"/>
        <v>0</v>
      </c>
      <c r="G37" s="22" t="str">
        <f t="shared" ca="1" si="2"/>
        <v>History</v>
      </c>
      <c r="H37" s="22">
        <f t="shared" si="3"/>
        <v>2010</v>
      </c>
      <c r="I37" s="22">
        <f t="shared" si="4"/>
        <v>12</v>
      </c>
      <c r="J37" s="22">
        <f t="shared" si="1"/>
        <v>49</v>
      </c>
      <c r="K37" s="22">
        <v>1</v>
      </c>
      <c r="L37" s="22">
        <f ca="1">SUM(K37:OFFSET(RngToDay,ROWS(Dates),10))</f>
        <v>487</v>
      </c>
      <c r="O37" s="22">
        <f t="shared" si="5"/>
        <v>37</v>
      </c>
      <c r="P37" s="26"/>
      <c r="Q37" s="26"/>
    </row>
    <row r="38" spans="1:17" x14ac:dyDescent="0.2">
      <c r="A38" s="133">
        <v>40518</v>
      </c>
      <c r="B38" s="26"/>
      <c r="C38" s="26"/>
      <c r="E38" s="26"/>
      <c r="F38" s="26">
        <f t="shared" si="0"/>
        <v>0</v>
      </c>
      <c r="G38" s="22" t="str">
        <f t="shared" ca="1" si="2"/>
        <v>History</v>
      </c>
      <c r="H38" s="22">
        <f t="shared" si="3"/>
        <v>2010</v>
      </c>
      <c r="I38" s="22">
        <f t="shared" si="4"/>
        <v>12</v>
      </c>
      <c r="J38" s="22">
        <f t="shared" si="1"/>
        <v>49</v>
      </c>
      <c r="K38" s="22">
        <v>1</v>
      </c>
      <c r="L38" s="22">
        <f ca="1">SUM(K38:OFFSET(RngToDay,ROWS(Dates),10))</f>
        <v>486</v>
      </c>
      <c r="O38" s="22">
        <f t="shared" si="5"/>
        <v>38</v>
      </c>
      <c r="P38" s="26"/>
      <c r="Q38" s="26"/>
    </row>
    <row r="39" spans="1:17" x14ac:dyDescent="0.2">
      <c r="A39" s="133">
        <v>40515</v>
      </c>
      <c r="B39" s="26"/>
      <c r="C39" s="26"/>
      <c r="E39" s="26"/>
      <c r="F39" s="26">
        <f t="shared" si="0"/>
        <v>0</v>
      </c>
      <c r="G39" s="22" t="str">
        <f t="shared" ca="1" si="2"/>
        <v>History</v>
      </c>
      <c r="H39" s="22">
        <f t="shared" si="3"/>
        <v>2010</v>
      </c>
      <c r="I39" s="22">
        <f t="shared" si="4"/>
        <v>12</v>
      </c>
      <c r="J39" s="22">
        <f t="shared" si="1"/>
        <v>48</v>
      </c>
      <c r="K39" s="22">
        <v>1</v>
      </c>
      <c r="L39" s="22">
        <f ca="1">SUM(K39:OFFSET(RngToDay,ROWS(Dates),10))</f>
        <v>485</v>
      </c>
      <c r="O39" s="22">
        <f t="shared" si="5"/>
        <v>39</v>
      </c>
      <c r="P39" s="26"/>
      <c r="Q39" s="26"/>
    </row>
    <row r="40" spans="1:17" x14ac:dyDescent="0.2">
      <c r="A40" s="133">
        <v>40514</v>
      </c>
      <c r="B40" s="26"/>
      <c r="C40" s="26"/>
      <c r="E40" s="26"/>
      <c r="F40" s="26">
        <f t="shared" si="0"/>
        <v>0</v>
      </c>
      <c r="G40" s="22" t="str">
        <f t="shared" ca="1" si="2"/>
        <v>History</v>
      </c>
      <c r="H40" s="22">
        <f t="shared" si="3"/>
        <v>2010</v>
      </c>
      <c r="I40" s="22">
        <f t="shared" si="4"/>
        <v>12</v>
      </c>
      <c r="J40" s="22">
        <f t="shared" si="1"/>
        <v>48</v>
      </c>
      <c r="K40" s="22">
        <v>1</v>
      </c>
      <c r="L40" s="22">
        <f ca="1">SUM(K40:OFFSET(RngToDay,ROWS(Dates),10))</f>
        <v>484</v>
      </c>
      <c r="O40" s="22">
        <f t="shared" si="5"/>
        <v>40</v>
      </c>
      <c r="P40" s="26"/>
      <c r="Q40" s="26"/>
    </row>
    <row r="41" spans="1:17" x14ac:dyDescent="0.2">
      <c r="A41" s="133">
        <v>40513</v>
      </c>
      <c r="B41" s="26"/>
      <c r="C41" s="26"/>
      <c r="E41" s="26"/>
      <c r="F41" s="26">
        <f t="shared" si="0"/>
        <v>0</v>
      </c>
      <c r="G41" s="22" t="str">
        <f t="shared" ca="1" si="2"/>
        <v>History</v>
      </c>
      <c r="H41" s="22">
        <f t="shared" si="3"/>
        <v>2010</v>
      </c>
      <c r="I41" s="22">
        <f t="shared" si="4"/>
        <v>12</v>
      </c>
      <c r="J41" s="22">
        <f t="shared" si="1"/>
        <v>48</v>
      </c>
      <c r="K41" s="22">
        <v>1</v>
      </c>
      <c r="L41" s="22">
        <f ca="1">SUM(K41:OFFSET(RngToDay,ROWS(Dates),10))</f>
        <v>483</v>
      </c>
      <c r="O41" s="22">
        <f t="shared" si="5"/>
        <v>41</v>
      </c>
      <c r="P41" s="26"/>
      <c r="Q41" s="26"/>
    </row>
    <row r="42" spans="1:17" x14ac:dyDescent="0.2">
      <c r="A42" s="133">
        <v>40512</v>
      </c>
      <c r="B42" s="26"/>
      <c r="C42" s="26"/>
      <c r="E42" s="26"/>
      <c r="F42" s="26">
        <f t="shared" si="0"/>
        <v>0</v>
      </c>
      <c r="G42" s="22" t="str">
        <f t="shared" ca="1" si="2"/>
        <v>History</v>
      </c>
      <c r="H42" s="22">
        <f t="shared" si="3"/>
        <v>2010</v>
      </c>
      <c r="I42" s="22">
        <f t="shared" si="4"/>
        <v>11</v>
      </c>
      <c r="J42" s="22">
        <f t="shared" si="1"/>
        <v>48</v>
      </c>
      <c r="K42" s="22">
        <v>1</v>
      </c>
      <c r="L42" s="22">
        <f ca="1">SUM(K42:OFFSET(RngToDay,ROWS(Dates),10))</f>
        <v>482</v>
      </c>
      <c r="O42" s="22">
        <f t="shared" si="5"/>
        <v>42</v>
      </c>
      <c r="P42" s="26"/>
      <c r="Q42" s="26"/>
    </row>
    <row r="43" spans="1:17" x14ac:dyDescent="0.2">
      <c r="A43" s="133">
        <v>40511</v>
      </c>
      <c r="B43" s="26"/>
      <c r="C43" s="26"/>
      <c r="E43" s="26"/>
      <c r="F43" s="26">
        <f t="shared" si="0"/>
        <v>0</v>
      </c>
      <c r="G43" s="22" t="str">
        <f t="shared" ca="1" si="2"/>
        <v>History</v>
      </c>
      <c r="H43" s="22">
        <f t="shared" si="3"/>
        <v>2010</v>
      </c>
      <c r="I43" s="22">
        <f t="shared" si="4"/>
        <v>11</v>
      </c>
      <c r="J43" s="22">
        <f t="shared" si="1"/>
        <v>48</v>
      </c>
      <c r="K43" s="22">
        <v>1</v>
      </c>
      <c r="L43" s="22">
        <f ca="1">SUM(K43:OFFSET(RngToDay,ROWS(Dates),10))</f>
        <v>481</v>
      </c>
      <c r="O43" s="22">
        <f t="shared" si="5"/>
        <v>43</v>
      </c>
      <c r="P43" s="26"/>
      <c r="Q43" s="26"/>
    </row>
    <row r="44" spans="1:17" x14ac:dyDescent="0.2">
      <c r="A44" s="133">
        <v>40508</v>
      </c>
      <c r="B44" s="26"/>
      <c r="C44" s="26"/>
      <c r="E44" s="26"/>
      <c r="F44" s="26">
        <f t="shared" si="0"/>
        <v>0</v>
      </c>
      <c r="G44" s="22" t="str">
        <f t="shared" ca="1" si="2"/>
        <v>History</v>
      </c>
      <c r="H44" s="22">
        <f t="shared" si="3"/>
        <v>2010</v>
      </c>
      <c r="I44" s="22">
        <f t="shared" si="4"/>
        <v>11</v>
      </c>
      <c r="J44" s="22">
        <f t="shared" si="1"/>
        <v>47</v>
      </c>
      <c r="K44" s="22">
        <v>1</v>
      </c>
      <c r="L44" s="22">
        <f ca="1">SUM(K44:OFFSET(RngToDay,ROWS(Dates),10))</f>
        <v>480</v>
      </c>
      <c r="O44" s="22">
        <f t="shared" si="5"/>
        <v>44</v>
      </c>
      <c r="P44" s="26"/>
      <c r="Q44" s="26"/>
    </row>
    <row r="45" spans="1:17" x14ac:dyDescent="0.2">
      <c r="A45" s="133">
        <v>40507</v>
      </c>
      <c r="B45" s="26"/>
      <c r="C45" s="26"/>
      <c r="E45" s="26"/>
      <c r="F45" s="26">
        <f t="shared" si="0"/>
        <v>0</v>
      </c>
      <c r="G45" s="22" t="str">
        <f t="shared" ca="1" si="2"/>
        <v>History</v>
      </c>
      <c r="H45" s="22">
        <f t="shared" si="3"/>
        <v>2010</v>
      </c>
      <c r="I45" s="22">
        <f t="shared" si="4"/>
        <v>11</v>
      </c>
      <c r="J45" s="22">
        <f t="shared" si="1"/>
        <v>47</v>
      </c>
      <c r="K45" s="22">
        <v>1</v>
      </c>
      <c r="L45" s="22">
        <f ca="1">SUM(K45:OFFSET(RngToDay,ROWS(Dates),10))</f>
        <v>479</v>
      </c>
      <c r="O45" s="22">
        <f t="shared" si="5"/>
        <v>45</v>
      </c>
      <c r="P45" s="26"/>
      <c r="Q45" s="26"/>
    </row>
    <row r="46" spans="1:17" x14ac:dyDescent="0.2">
      <c r="A46" s="133">
        <v>40506</v>
      </c>
      <c r="B46" s="26"/>
      <c r="C46" s="26"/>
      <c r="E46" s="26"/>
      <c r="F46" s="26">
        <f t="shared" si="0"/>
        <v>0</v>
      </c>
      <c r="G46" s="22" t="str">
        <f t="shared" ca="1" si="2"/>
        <v>History</v>
      </c>
      <c r="H46" s="22">
        <f t="shared" si="3"/>
        <v>2010</v>
      </c>
      <c r="I46" s="22">
        <f t="shared" si="4"/>
        <v>11</v>
      </c>
      <c r="J46" s="22">
        <f t="shared" si="1"/>
        <v>47</v>
      </c>
      <c r="K46" s="22">
        <v>1</v>
      </c>
      <c r="L46" s="22">
        <f ca="1">SUM(K46:OFFSET(RngToDay,ROWS(Dates),10))</f>
        <v>478</v>
      </c>
      <c r="O46" s="22">
        <f t="shared" si="5"/>
        <v>46</v>
      </c>
      <c r="P46" s="26"/>
      <c r="Q46" s="26"/>
    </row>
    <row r="47" spans="1:17" x14ac:dyDescent="0.2">
      <c r="A47" s="133">
        <v>40505</v>
      </c>
      <c r="B47" s="26"/>
      <c r="C47" s="26"/>
      <c r="E47" s="26"/>
      <c r="F47" s="26">
        <f t="shared" si="0"/>
        <v>0</v>
      </c>
      <c r="G47" s="22" t="str">
        <f t="shared" ca="1" si="2"/>
        <v>History</v>
      </c>
      <c r="H47" s="22">
        <f t="shared" si="3"/>
        <v>2010</v>
      </c>
      <c r="I47" s="22">
        <f t="shared" si="4"/>
        <v>11</v>
      </c>
      <c r="J47" s="22">
        <f t="shared" si="1"/>
        <v>47</v>
      </c>
      <c r="K47" s="22">
        <v>1</v>
      </c>
      <c r="L47" s="22">
        <f ca="1">SUM(K47:OFFSET(RngToDay,ROWS(Dates),10))</f>
        <v>477</v>
      </c>
      <c r="O47" s="22">
        <f t="shared" si="5"/>
        <v>47</v>
      </c>
      <c r="P47" s="26"/>
      <c r="Q47" s="26"/>
    </row>
    <row r="48" spans="1:17" x14ac:dyDescent="0.2">
      <c r="A48" s="133">
        <v>40504</v>
      </c>
      <c r="B48" s="26"/>
      <c r="C48" s="26"/>
      <c r="E48" s="26"/>
      <c r="F48" s="26">
        <f t="shared" si="0"/>
        <v>0</v>
      </c>
      <c r="G48" s="22" t="str">
        <f t="shared" ca="1" si="2"/>
        <v>History</v>
      </c>
      <c r="H48" s="22">
        <f t="shared" si="3"/>
        <v>2010</v>
      </c>
      <c r="I48" s="22">
        <f t="shared" si="4"/>
        <v>11</v>
      </c>
      <c r="J48" s="22">
        <f t="shared" si="1"/>
        <v>47</v>
      </c>
      <c r="K48" s="22">
        <v>1</v>
      </c>
      <c r="L48" s="22">
        <f ca="1">SUM(K48:OFFSET(RngToDay,ROWS(Dates),10))</f>
        <v>476</v>
      </c>
      <c r="O48" s="22">
        <f t="shared" si="5"/>
        <v>48</v>
      </c>
      <c r="P48" s="26"/>
      <c r="Q48" s="26"/>
    </row>
    <row r="49" spans="1:17" x14ac:dyDescent="0.2">
      <c r="A49" s="133">
        <v>40501</v>
      </c>
      <c r="B49" s="26"/>
      <c r="C49" s="26"/>
      <c r="E49" s="26"/>
      <c r="F49" s="26">
        <f t="shared" si="0"/>
        <v>0</v>
      </c>
      <c r="G49" s="22" t="str">
        <f t="shared" ca="1" si="2"/>
        <v>History</v>
      </c>
      <c r="H49" s="22">
        <f t="shared" si="3"/>
        <v>2010</v>
      </c>
      <c r="I49" s="22">
        <f t="shared" si="4"/>
        <v>11</v>
      </c>
      <c r="J49" s="22">
        <f t="shared" si="1"/>
        <v>46</v>
      </c>
      <c r="K49" s="22">
        <v>1</v>
      </c>
      <c r="L49" s="22">
        <f ca="1">SUM(K49:OFFSET(RngToDay,ROWS(Dates),10))</f>
        <v>475</v>
      </c>
      <c r="O49" s="22">
        <f t="shared" si="5"/>
        <v>49</v>
      </c>
      <c r="P49" s="26"/>
      <c r="Q49" s="26"/>
    </row>
    <row r="50" spans="1:17" x14ac:dyDescent="0.2">
      <c r="A50" s="133">
        <v>40500</v>
      </c>
      <c r="B50" s="26"/>
      <c r="C50" s="26"/>
      <c r="E50" s="26"/>
      <c r="F50" s="26">
        <f t="shared" si="0"/>
        <v>0</v>
      </c>
      <c r="G50" s="22" t="str">
        <f t="shared" ca="1" si="2"/>
        <v>History</v>
      </c>
      <c r="H50" s="22">
        <f t="shared" si="3"/>
        <v>2010</v>
      </c>
      <c r="I50" s="22">
        <f t="shared" si="4"/>
        <v>11</v>
      </c>
      <c r="J50" s="22">
        <f t="shared" si="1"/>
        <v>46</v>
      </c>
      <c r="K50" s="22">
        <v>1</v>
      </c>
      <c r="L50" s="22">
        <f ca="1">SUM(K50:OFFSET(RngToDay,ROWS(Dates),10))</f>
        <v>474</v>
      </c>
      <c r="O50" s="22">
        <f t="shared" si="5"/>
        <v>50</v>
      </c>
      <c r="P50" s="26"/>
      <c r="Q50" s="26"/>
    </row>
    <row r="51" spans="1:17" x14ac:dyDescent="0.2">
      <c r="A51" s="133">
        <v>40499</v>
      </c>
      <c r="B51" s="26"/>
      <c r="C51" s="26"/>
      <c r="E51" s="26"/>
      <c r="F51" s="26">
        <f t="shared" si="0"/>
        <v>0</v>
      </c>
      <c r="G51" s="22" t="str">
        <f t="shared" ca="1" si="2"/>
        <v>History</v>
      </c>
      <c r="H51" s="22">
        <f t="shared" si="3"/>
        <v>2010</v>
      </c>
      <c r="I51" s="22">
        <f t="shared" si="4"/>
        <v>11</v>
      </c>
      <c r="J51" s="22">
        <f t="shared" si="1"/>
        <v>46</v>
      </c>
      <c r="K51" s="22">
        <v>1</v>
      </c>
      <c r="L51" s="22">
        <f ca="1">SUM(K51:OFFSET(RngToDay,ROWS(Dates),10))</f>
        <v>473</v>
      </c>
      <c r="O51" s="22">
        <f t="shared" si="5"/>
        <v>51</v>
      </c>
      <c r="P51" s="26"/>
      <c r="Q51" s="26"/>
    </row>
    <row r="52" spans="1:17" x14ac:dyDescent="0.2">
      <c r="A52" s="133">
        <v>40498</v>
      </c>
      <c r="B52" s="26"/>
      <c r="C52" s="26"/>
      <c r="E52" s="26"/>
      <c r="F52" s="26">
        <f t="shared" si="0"/>
        <v>0</v>
      </c>
      <c r="G52" s="22" t="str">
        <f t="shared" ca="1" si="2"/>
        <v>History</v>
      </c>
      <c r="H52" s="22">
        <f t="shared" si="3"/>
        <v>2010</v>
      </c>
      <c r="I52" s="22">
        <f t="shared" si="4"/>
        <v>11</v>
      </c>
      <c r="J52" s="22">
        <f t="shared" si="1"/>
        <v>46</v>
      </c>
      <c r="K52" s="22">
        <v>1</v>
      </c>
      <c r="L52" s="22">
        <f ca="1">SUM(K52:OFFSET(RngToDay,ROWS(Dates),10))</f>
        <v>472</v>
      </c>
      <c r="O52" s="22">
        <f t="shared" si="5"/>
        <v>52</v>
      </c>
      <c r="P52" s="26"/>
      <c r="Q52" s="26"/>
    </row>
    <row r="53" spans="1:17" x14ac:dyDescent="0.2">
      <c r="A53" s="133">
        <v>40497</v>
      </c>
      <c r="B53" s="26"/>
      <c r="C53" s="26"/>
      <c r="E53" s="26"/>
      <c r="F53" s="26">
        <f t="shared" si="0"/>
        <v>0</v>
      </c>
      <c r="G53" s="22" t="str">
        <f t="shared" ca="1" si="2"/>
        <v>History</v>
      </c>
      <c r="H53" s="22">
        <f t="shared" si="3"/>
        <v>2010</v>
      </c>
      <c r="I53" s="22">
        <f t="shared" si="4"/>
        <v>11</v>
      </c>
      <c r="J53" s="22">
        <f t="shared" si="1"/>
        <v>46</v>
      </c>
      <c r="K53" s="22">
        <v>1</v>
      </c>
      <c r="L53" s="22">
        <f ca="1">SUM(K53:OFFSET(RngToDay,ROWS(Dates),10))</f>
        <v>471</v>
      </c>
      <c r="O53" s="22">
        <f t="shared" si="5"/>
        <v>53</v>
      </c>
      <c r="P53" s="26"/>
      <c r="Q53" s="26"/>
    </row>
    <row r="54" spans="1:17" x14ac:dyDescent="0.2">
      <c r="A54" s="133">
        <v>40494</v>
      </c>
      <c r="B54" s="26"/>
      <c r="C54" s="26"/>
      <c r="E54" s="26"/>
      <c r="F54" s="26">
        <f t="shared" si="0"/>
        <v>0</v>
      </c>
      <c r="G54" s="22" t="str">
        <f t="shared" ca="1" si="2"/>
        <v>History</v>
      </c>
      <c r="H54" s="22">
        <f t="shared" si="3"/>
        <v>2010</v>
      </c>
      <c r="I54" s="22">
        <f t="shared" si="4"/>
        <v>11</v>
      </c>
      <c r="J54" s="22">
        <f t="shared" si="1"/>
        <v>45</v>
      </c>
      <c r="K54" s="22">
        <v>1</v>
      </c>
      <c r="L54" s="22">
        <f ca="1">SUM(K54:OFFSET(RngToDay,ROWS(Dates),10))</f>
        <v>470</v>
      </c>
      <c r="O54" s="22">
        <f t="shared" si="5"/>
        <v>54</v>
      </c>
      <c r="P54" s="26"/>
      <c r="Q54" s="26"/>
    </row>
    <row r="55" spans="1:17" x14ac:dyDescent="0.2">
      <c r="A55" s="133">
        <v>40493</v>
      </c>
      <c r="B55" s="26"/>
      <c r="C55" s="26"/>
      <c r="E55" s="26"/>
      <c r="F55" s="26">
        <f t="shared" si="0"/>
        <v>0</v>
      </c>
      <c r="G55" s="22" t="str">
        <f t="shared" ca="1" si="2"/>
        <v>History</v>
      </c>
      <c r="H55" s="22">
        <f t="shared" si="3"/>
        <v>2010</v>
      </c>
      <c r="I55" s="22">
        <f t="shared" si="4"/>
        <v>11</v>
      </c>
      <c r="J55" s="22">
        <f t="shared" si="1"/>
        <v>45</v>
      </c>
      <c r="K55" s="22">
        <v>1</v>
      </c>
      <c r="L55" s="22">
        <f ca="1">SUM(K55:OFFSET(RngToDay,ROWS(Dates),10))</f>
        <v>469</v>
      </c>
      <c r="O55" s="22">
        <f t="shared" si="5"/>
        <v>55</v>
      </c>
      <c r="P55" s="26"/>
      <c r="Q55" s="26"/>
    </row>
    <row r="56" spans="1:17" x14ac:dyDescent="0.2">
      <c r="A56" s="133">
        <v>40492</v>
      </c>
      <c r="B56" s="26"/>
      <c r="C56" s="26"/>
      <c r="E56" s="26"/>
      <c r="F56" s="26">
        <f t="shared" si="0"/>
        <v>0</v>
      </c>
      <c r="G56" s="22" t="str">
        <f t="shared" ca="1" si="2"/>
        <v>History</v>
      </c>
      <c r="H56" s="22">
        <f t="shared" si="3"/>
        <v>2010</v>
      </c>
      <c r="I56" s="22">
        <f t="shared" si="4"/>
        <v>11</v>
      </c>
      <c r="J56" s="22">
        <f t="shared" si="1"/>
        <v>45</v>
      </c>
      <c r="K56" s="22">
        <v>1</v>
      </c>
      <c r="L56" s="22">
        <f ca="1">SUM(K56:OFFSET(RngToDay,ROWS(Dates),10))</f>
        <v>468</v>
      </c>
      <c r="O56" s="22">
        <f t="shared" si="5"/>
        <v>56</v>
      </c>
      <c r="P56" s="26"/>
      <c r="Q56" s="26"/>
    </row>
    <row r="57" spans="1:17" x14ac:dyDescent="0.2">
      <c r="A57" s="133">
        <v>40491</v>
      </c>
      <c r="B57" s="26"/>
      <c r="C57" s="26"/>
      <c r="E57" s="26"/>
      <c r="F57" s="26">
        <f t="shared" si="0"/>
        <v>0</v>
      </c>
      <c r="G57" s="22" t="str">
        <f t="shared" ca="1" si="2"/>
        <v>History</v>
      </c>
      <c r="H57" s="22">
        <f t="shared" si="3"/>
        <v>2010</v>
      </c>
      <c r="I57" s="22">
        <f t="shared" si="4"/>
        <v>11</v>
      </c>
      <c r="J57" s="22">
        <f t="shared" si="1"/>
        <v>45</v>
      </c>
      <c r="K57" s="22">
        <v>1</v>
      </c>
      <c r="L57" s="22">
        <f ca="1">SUM(K57:OFFSET(RngToDay,ROWS(Dates),10))</f>
        <v>467</v>
      </c>
      <c r="O57" s="22">
        <f t="shared" si="5"/>
        <v>57</v>
      </c>
      <c r="P57" s="26"/>
      <c r="Q57" s="26"/>
    </row>
    <row r="58" spans="1:17" x14ac:dyDescent="0.2">
      <c r="A58" s="133">
        <v>40490</v>
      </c>
      <c r="B58" s="26"/>
      <c r="C58" s="26"/>
      <c r="E58" s="26"/>
      <c r="F58" s="26">
        <f t="shared" si="0"/>
        <v>0</v>
      </c>
      <c r="G58" s="22" t="str">
        <f t="shared" ca="1" si="2"/>
        <v>History</v>
      </c>
      <c r="H58" s="22">
        <f t="shared" si="3"/>
        <v>2010</v>
      </c>
      <c r="I58" s="22">
        <f t="shared" si="4"/>
        <v>11</v>
      </c>
      <c r="J58" s="22">
        <f t="shared" si="1"/>
        <v>45</v>
      </c>
      <c r="K58" s="22">
        <v>1</v>
      </c>
      <c r="L58" s="22">
        <f ca="1">SUM(K58:OFFSET(RngToDay,ROWS(Dates),10))</f>
        <v>466</v>
      </c>
      <c r="O58" s="22">
        <f t="shared" si="5"/>
        <v>58</v>
      </c>
      <c r="P58" s="26"/>
      <c r="Q58" s="26"/>
    </row>
    <row r="59" spans="1:17" x14ac:dyDescent="0.2">
      <c r="A59" s="133">
        <v>40487</v>
      </c>
      <c r="B59" s="26"/>
      <c r="C59" s="26"/>
      <c r="E59" s="26"/>
      <c r="F59" s="26">
        <f t="shared" si="0"/>
        <v>0</v>
      </c>
      <c r="G59" s="22" t="str">
        <f t="shared" ca="1" si="2"/>
        <v>History</v>
      </c>
      <c r="H59" s="22">
        <f t="shared" si="3"/>
        <v>2010</v>
      </c>
      <c r="I59" s="22">
        <f t="shared" si="4"/>
        <v>11</v>
      </c>
      <c r="J59" s="22">
        <f t="shared" si="1"/>
        <v>44</v>
      </c>
      <c r="K59" s="22">
        <v>1</v>
      </c>
      <c r="L59" s="22">
        <f ca="1">SUM(K59:OFFSET(RngToDay,ROWS(Dates),10))</f>
        <v>465</v>
      </c>
      <c r="O59" s="22">
        <f t="shared" si="5"/>
        <v>59</v>
      </c>
      <c r="P59" s="26"/>
      <c r="Q59" s="26"/>
    </row>
    <row r="60" spans="1:17" x14ac:dyDescent="0.2">
      <c r="A60" s="133">
        <v>40486</v>
      </c>
      <c r="B60" s="26"/>
      <c r="C60" s="26"/>
      <c r="E60" s="26"/>
      <c r="F60" s="26">
        <f t="shared" si="0"/>
        <v>0</v>
      </c>
      <c r="G60" s="22" t="str">
        <f t="shared" ca="1" si="2"/>
        <v>History</v>
      </c>
      <c r="H60" s="22">
        <f t="shared" si="3"/>
        <v>2010</v>
      </c>
      <c r="I60" s="22">
        <f t="shared" si="4"/>
        <v>11</v>
      </c>
      <c r="J60" s="22">
        <f t="shared" si="1"/>
        <v>44</v>
      </c>
      <c r="K60" s="22">
        <v>1</v>
      </c>
      <c r="L60" s="22">
        <f ca="1">SUM(K60:OFFSET(RngToDay,ROWS(Dates),10))</f>
        <v>464</v>
      </c>
      <c r="O60" s="22">
        <f t="shared" si="5"/>
        <v>60</v>
      </c>
      <c r="P60" s="26"/>
      <c r="Q60" s="26"/>
    </row>
    <row r="61" spans="1:17" x14ac:dyDescent="0.2">
      <c r="A61" s="133">
        <v>40485</v>
      </c>
      <c r="B61" s="26"/>
      <c r="C61" s="26"/>
      <c r="E61" s="26"/>
      <c r="F61" s="26">
        <f t="shared" si="0"/>
        <v>0</v>
      </c>
      <c r="G61" s="22" t="str">
        <f t="shared" ca="1" si="2"/>
        <v>History</v>
      </c>
      <c r="H61" s="22">
        <f t="shared" si="3"/>
        <v>2010</v>
      </c>
      <c r="I61" s="22">
        <f t="shared" si="4"/>
        <v>11</v>
      </c>
      <c r="J61" s="22">
        <f t="shared" si="1"/>
        <v>44</v>
      </c>
      <c r="K61" s="22">
        <v>1</v>
      </c>
      <c r="L61" s="22">
        <f ca="1">SUM(K61:OFFSET(RngToDay,ROWS(Dates),10))</f>
        <v>463</v>
      </c>
      <c r="O61" s="22">
        <f t="shared" si="5"/>
        <v>61</v>
      </c>
      <c r="P61" s="26"/>
      <c r="Q61" s="26"/>
    </row>
    <row r="62" spans="1:17" x14ac:dyDescent="0.2">
      <c r="A62" s="133">
        <v>40484</v>
      </c>
      <c r="B62" s="26"/>
      <c r="C62" s="26"/>
      <c r="E62" s="26"/>
      <c r="F62" s="26">
        <f t="shared" si="0"/>
        <v>0</v>
      </c>
      <c r="G62" s="22" t="str">
        <f t="shared" ca="1" si="2"/>
        <v>History</v>
      </c>
      <c r="H62" s="22">
        <f t="shared" si="3"/>
        <v>2010</v>
      </c>
      <c r="I62" s="22">
        <f t="shared" si="4"/>
        <v>11</v>
      </c>
      <c r="J62" s="22">
        <f t="shared" si="1"/>
        <v>44</v>
      </c>
      <c r="K62" s="22">
        <v>1</v>
      </c>
      <c r="L62" s="22">
        <f ca="1">SUM(K62:OFFSET(RngToDay,ROWS(Dates),10))</f>
        <v>462</v>
      </c>
      <c r="O62" s="22">
        <f t="shared" si="5"/>
        <v>62</v>
      </c>
      <c r="P62" s="26"/>
      <c r="Q62" s="26"/>
    </row>
    <row r="63" spans="1:17" x14ac:dyDescent="0.2">
      <c r="A63" s="133">
        <v>40483</v>
      </c>
      <c r="B63" s="26"/>
      <c r="C63" s="26"/>
      <c r="E63" s="26"/>
      <c r="F63" s="26">
        <f t="shared" si="0"/>
        <v>0</v>
      </c>
      <c r="G63" s="22" t="str">
        <f t="shared" ca="1" si="2"/>
        <v>History</v>
      </c>
      <c r="H63" s="22">
        <f t="shared" si="3"/>
        <v>2010</v>
      </c>
      <c r="I63" s="22">
        <f t="shared" si="4"/>
        <v>11</v>
      </c>
      <c r="J63" s="22">
        <f t="shared" si="1"/>
        <v>44</v>
      </c>
      <c r="K63" s="22">
        <v>1</v>
      </c>
      <c r="L63" s="22">
        <f ca="1">SUM(K63:OFFSET(RngToDay,ROWS(Dates),10))</f>
        <v>461</v>
      </c>
      <c r="O63" s="22">
        <f t="shared" si="5"/>
        <v>63</v>
      </c>
      <c r="P63" s="26"/>
      <c r="Q63" s="26"/>
    </row>
    <row r="64" spans="1:17" x14ac:dyDescent="0.2">
      <c r="A64" s="133">
        <v>40480</v>
      </c>
      <c r="B64" s="26"/>
      <c r="C64" s="26"/>
      <c r="E64" s="26"/>
      <c r="F64" s="26">
        <f t="shared" si="0"/>
        <v>0</v>
      </c>
      <c r="G64" s="22" t="str">
        <f t="shared" ca="1" si="2"/>
        <v>History</v>
      </c>
      <c r="H64" s="22">
        <f t="shared" si="3"/>
        <v>2010</v>
      </c>
      <c r="I64" s="22">
        <f t="shared" si="4"/>
        <v>10</v>
      </c>
      <c r="J64" s="22">
        <f t="shared" si="1"/>
        <v>43</v>
      </c>
      <c r="K64" s="22">
        <v>1</v>
      </c>
      <c r="L64" s="22">
        <f ca="1">SUM(K64:OFFSET(RngToDay,ROWS(Dates),10))</f>
        <v>460</v>
      </c>
      <c r="O64" s="22">
        <f t="shared" si="5"/>
        <v>64</v>
      </c>
      <c r="P64" s="26"/>
      <c r="Q64" s="26"/>
    </row>
    <row r="65" spans="1:17" x14ac:dyDescent="0.2">
      <c r="A65" s="133">
        <v>40479</v>
      </c>
      <c r="B65" s="26"/>
      <c r="C65" s="26"/>
      <c r="E65" s="26"/>
      <c r="F65" s="26">
        <f t="shared" si="0"/>
        <v>0</v>
      </c>
      <c r="G65" s="22" t="str">
        <f t="shared" ca="1" si="2"/>
        <v>History</v>
      </c>
      <c r="H65" s="22">
        <f t="shared" si="3"/>
        <v>2010</v>
      </c>
      <c r="I65" s="22">
        <f t="shared" si="4"/>
        <v>10</v>
      </c>
      <c r="J65" s="22">
        <f t="shared" si="1"/>
        <v>43</v>
      </c>
      <c r="K65" s="22">
        <v>1</v>
      </c>
      <c r="L65" s="22">
        <f ca="1">SUM(K65:OFFSET(RngToDay,ROWS(Dates),10))</f>
        <v>459</v>
      </c>
      <c r="O65" s="22">
        <f t="shared" si="5"/>
        <v>65</v>
      </c>
      <c r="P65" s="26"/>
      <c r="Q65" s="26"/>
    </row>
    <row r="66" spans="1:17" x14ac:dyDescent="0.2">
      <c r="A66" s="133">
        <v>40478</v>
      </c>
      <c r="B66" s="26"/>
      <c r="C66" s="26"/>
      <c r="E66" s="26"/>
      <c r="F66" s="26">
        <f t="shared" ref="F66:F80" si="6">ActCov</f>
        <v>0</v>
      </c>
      <c r="G66" s="22" t="str">
        <f t="shared" ca="1" si="2"/>
        <v>History</v>
      </c>
      <c r="H66" s="22">
        <f t="shared" si="3"/>
        <v>2010</v>
      </c>
      <c r="I66" s="22">
        <f t="shared" si="4"/>
        <v>10</v>
      </c>
      <c r="J66" s="22">
        <f t="shared" ref="J66:J129" si="7">IF(WEEKDAY(DATE(YEAR(A66),1,1),2)&gt;4,WEEKNUM(A66,2)-1,WEEKNUM(A66,2))</f>
        <v>43</v>
      </c>
      <c r="K66" s="22">
        <v>1</v>
      </c>
      <c r="L66" s="22">
        <f ca="1">SUM(K66:OFFSET(RngToDay,ROWS(Dates),10))</f>
        <v>458</v>
      </c>
      <c r="O66" s="22">
        <f t="shared" si="5"/>
        <v>66</v>
      </c>
      <c r="P66" s="26"/>
      <c r="Q66" s="26"/>
    </row>
    <row r="67" spans="1:17" x14ac:dyDescent="0.2">
      <c r="A67" s="133">
        <v>40477</v>
      </c>
      <c r="B67" s="26"/>
      <c r="C67" s="26"/>
      <c r="E67" s="26"/>
      <c r="F67" s="26">
        <f t="shared" si="6"/>
        <v>0</v>
      </c>
      <c r="G67" s="22" t="str">
        <f t="shared" ref="G67:G130" ca="1" si="8">IF(A67&gt;TODAY(),"Requirements","History")</f>
        <v>History</v>
      </c>
      <c r="H67" s="22">
        <f t="shared" ref="H67:H130" si="9">YEAR(A67)</f>
        <v>2010</v>
      </c>
      <c r="I67" s="22">
        <f t="shared" ref="I67:I130" si="10">MONTH(A67)</f>
        <v>10</v>
      </c>
      <c r="J67" s="22">
        <f t="shared" si="7"/>
        <v>43</v>
      </c>
      <c r="K67" s="22">
        <v>1</v>
      </c>
      <c r="L67" s="22">
        <f ca="1">SUM(K67:OFFSET(RngToDay,ROWS(Dates),10))</f>
        <v>457</v>
      </c>
      <c r="O67" s="22">
        <f t="shared" si="5"/>
        <v>67</v>
      </c>
      <c r="P67" s="26"/>
      <c r="Q67" s="26"/>
    </row>
    <row r="68" spans="1:17" x14ac:dyDescent="0.2">
      <c r="A68" s="133">
        <v>40476</v>
      </c>
      <c r="B68" s="26"/>
      <c r="C68" s="26"/>
      <c r="E68" s="26"/>
      <c r="F68" s="26">
        <f t="shared" si="6"/>
        <v>0</v>
      </c>
      <c r="G68" s="22" t="str">
        <f t="shared" ca="1" si="8"/>
        <v>History</v>
      </c>
      <c r="H68" s="22">
        <f t="shared" si="9"/>
        <v>2010</v>
      </c>
      <c r="I68" s="22">
        <f t="shared" si="10"/>
        <v>10</v>
      </c>
      <c r="J68" s="22">
        <f t="shared" si="7"/>
        <v>43</v>
      </c>
      <c r="K68" s="22">
        <v>1</v>
      </c>
      <c r="L68" s="22">
        <f ca="1">SUM(K68:OFFSET(RngToDay,ROWS(Dates),10))</f>
        <v>456</v>
      </c>
      <c r="O68" s="22">
        <f t="shared" ref="O68:O131" si="11">O67+1</f>
        <v>68</v>
      </c>
      <c r="P68" s="26"/>
      <c r="Q68" s="26"/>
    </row>
    <row r="69" spans="1:17" x14ac:dyDescent="0.2">
      <c r="A69" s="133">
        <v>40473</v>
      </c>
      <c r="B69" s="26"/>
      <c r="C69" s="26"/>
      <c r="E69" s="26"/>
      <c r="F69" s="26">
        <f t="shared" si="6"/>
        <v>0</v>
      </c>
      <c r="G69" s="22" t="str">
        <f t="shared" ca="1" si="8"/>
        <v>History</v>
      </c>
      <c r="H69" s="22">
        <f t="shared" si="9"/>
        <v>2010</v>
      </c>
      <c r="I69" s="22">
        <f t="shared" si="10"/>
        <v>10</v>
      </c>
      <c r="J69" s="22">
        <f t="shared" si="7"/>
        <v>42</v>
      </c>
      <c r="K69" s="22">
        <v>1</v>
      </c>
      <c r="L69" s="22">
        <f ca="1">SUM(K69:OFFSET(RngToDay,ROWS(Dates),10))</f>
        <v>455</v>
      </c>
      <c r="O69" s="22">
        <f t="shared" si="11"/>
        <v>69</v>
      </c>
      <c r="P69" s="26"/>
      <c r="Q69" s="26"/>
    </row>
    <row r="70" spans="1:17" x14ac:dyDescent="0.2">
      <c r="A70" s="133">
        <v>40472</v>
      </c>
      <c r="B70" s="26"/>
      <c r="C70" s="26"/>
      <c r="E70" s="26"/>
      <c r="F70" s="26">
        <f t="shared" si="6"/>
        <v>0</v>
      </c>
      <c r="G70" s="22" t="str">
        <f t="shared" ca="1" si="8"/>
        <v>History</v>
      </c>
      <c r="H70" s="22">
        <f t="shared" si="9"/>
        <v>2010</v>
      </c>
      <c r="I70" s="22">
        <f t="shared" si="10"/>
        <v>10</v>
      </c>
      <c r="J70" s="22">
        <f t="shared" si="7"/>
        <v>42</v>
      </c>
      <c r="K70" s="22">
        <v>1</v>
      </c>
      <c r="L70" s="22">
        <f ca="1">SUM(K70:OFFSET(RngToDay,ROWS(Dates),10))</f>
        <v>454</v>
      </c>
      <c r="O70" s="22">
        <f t="shared" si="11"/>
        <v>70</v>
      </c>
      <c r="P70" s="26"/>
      <c r="Q70" s="26"/>
    </row>
    <row r="71" spans="1:17" x14ac:dyDescent="0.2">
      <c r="A71" s="133">
        <v>40471</v>
      </c>
      <c r="B71" s="26"/>
      <c r="C71" s="26"/>
      <c r="E71" s="26"/>
      <c r="F71" s="26">
        <f t="shared" si="6"/>
        <v>0</v>
      </c>
      <c r="G71" s="22" t="str">
        <f t="shared" ca="1" si="8"/>
        <v>History</v>
      </c>
      <c r="H71" s="22">
        <f t="shared" si="9"/>
        <v>2010</v>
      </c>
      <c r="I71" s="22">
        <f t="shared" si="10"/>
        <v>10</v>
      </c>
      <c r="J71" s="22">
        <f t="shared" si="7"/>
        <v>42</v>
      </c>
      <c r="K71" s="22">
        <v>1</v>
      </c>
      <c r="L71" s="22">
        <f ca="1">SUM(K71:OFFSET(RngToDay,ROWS(Dates),10))</f>
        <v>453</v>
      </c>
      <c r="O71" s="22">
        <f t="shared" si="11"/>
        <v>71</v>
      </c>
      <c r="P71" s="26"/>
      <c r="Q71" s="26"/>
    </row>
    <row r="72" spans="1:17" x14ac:dyDescent="0.2">
      <c r="A72" s="133">
        <v>40470</v>
      </c>
      <c r="B72" s="26"/>
      <c r="C72" s="26"/>
      <c r="E72" s="26"/>
      <c r="F72" s="26">
        <f t="shared" si="6"/>
        <v>0</v>
      </c>
      <c r="G72" s="22" t="str">
        <f t="shared" ca="1" si="8"/>
        <v>History</v>
      </c>
      <c r="H72" s="22">
        <f t="shared" si="9"/>
        <v>2010</v>
      </c>
      <c r="I72" s="22">
        <f t="shared" si="10"/>
        <v>10</v>
      </c>
      <c r="J72" s="22">
        <f t="shared" si="7"/>
        <v>42</v>
      </c>
      <c r="K72" s="22">
        <v>1</v>
      </c>
      <c r="L72" s="22">
        <f ca="1">SUM(K72:OFFSET(RngToDay,ROWS(Dates),10))</f>
        <v>452</v>
      </c>
      <c r="O72" s="22">
        <f t="shared" si="11"/>
        <v>72</v>
      </c>
      <c r="P72" s="26"/>
      <c r="Q72" s="26"/>
    </row>
    <row r="73" spans="1:17" x14ac:dyDescent="0.2">
      <c r="A73" s="133">
        <v>40469</v>
      </c>
      <c r="B73" s="26"/>
      <c r="C73" s="26"/>
      <c r="E73" s="26"/>
      <c r="F73" s="26">
        <f t="shared" si="6"/>
        <v>0</v>
      </c>
      <c r="G73" s="22" t="str">
        <f t="shared" ca="1" si="8"/>
        <v>History</v>
      </c>
      <c r="H73" s="22">
        <f t="shared" si="9"/>
        <v>2010</v>
      </c>
      <c r="I73" s="22">
        <f t="shared" si="10"/>
        <v>10</v>
      </c>
      <c r="J73" s="22">
        <f t="shared" si="7"/>
        <v>42</v>
      </c>
      <c r="K73" s="22">
        <v>1</v>
      </c>
      <c r="L73" s="22">
        <f ca="1">SUM(K73:OFFSET(RngToDay,ROWS(Dates),10))</f>
        <v>451</v>
      </c>
      <c r="O73" s="22">
        <f t="shared" si="11"/>
        <v>73</v>
      </c>
      <c r="P73" s="26"/>
      <c r="Q73" s="26"/>
    </row>
    <row r="74" spans="1:17" x14ac:dyDescent="0.2">
      <c r="A74" s="133">
        <v>40466</v>
      </c>
      <c r="B74" s="26"/>
      <c r="C74" s="26"/>
      <c r="E74" s="26"/>
      <c r="F74" s="26">
        <f t="shared" si="6"/>
        <v>0</v>
      </c>
      <c r="G74" s="22" t="str">
        <f t="shared" ca="1" si="8"/>
        <v>History</v>
      </c>
      <c r="H74" s="22">
        <f t="shared" si="9"/>
        <v>2010</v>
      </c>
      <c r="I74" s="22">
        <f t="shared" si="10"/>
        <v>10</v>
      </c>
      <c r="J74" s="22">
        <f t="shared" si="7"/>
        <v>41</v>
      </c>
      <c r="K74" s="22">
        <v>1</v>
      </c>
      <c r="L74" s="22">
        <f ca="1">SUM(K74:OFFSET(RngToDay,ROWS(Dates),10))</f>
        <v>450</v>
      </c>
      <c r="O74" s="22">
        <f t="shared" si="11"/>
        <v>74</v>
      </c>
      <c r="P74" s="26"/>
      <c r="Q74" s="26"/>
    </row>
    <row r="75" spans="1:17" x14ac:dyDescent="0.2">
      <c r="A75" s="133">
        <v>40465</v>
      </c>
      <c r="B75" s="26"/>
      <c r="C75" s="26"/>
      <c r="E75" s="26"/>
      <c r="F75" s="26">
        <f t="shared" si="6"/>
        <v>0</v>
      </c>
      <c r="G75" s="22" t="str">
        <f t="shared" ca="1" si="8"/>
        <v>History</v>
      </c>
      <c r="H75" s="22">
        <f t="shared" si="9"/>
        <v>2010</v>
      </c>
      <c r="I75" s="22">
        <f t="shared" si="10"/>
        <v>10</v>
      </c>
      <c r="J75" s="22">
        <f t="shared" si="7"/>
        <v>41</v>
      </c>
      <c r="K75" s="22">
        <v>1</v>
      </c>
      <c r="L75" s="22">
        <f ca="1">SUM(K75:OFFSET(RngToDay,ROWS(Dates),10))</f>
        <v>449</v>
      </c>
      <c r="O75" s="22">
        <f t="shared" si="11"/>
        <v>75</v>
      </c>
      <c r="P75" s="26"/>
      <c r="Q75" s="26"/>
    </row>
    <row r="76" spans="1:17" x14ac:dyDescent="0.2">
      <c r="A76" s="133">
        <v>40464</v>
      </c>
      <c r="B76" s="26"/>
      <c r="C76" s="26"/>
      <c r="E76" s="26"/>
      <c r="F76" s="26">
        <f t="shared" si="6"/>
        <v>0</v>
      </c>
      <c r="G76" s="22" t="str">
        <f t="shared" ca="1" si="8"/>
        <v>History</v>
      </c>
      <c r="H76" s="22">
        <f t="shared" si="9"/>
        <v>2010</v>
      </c>
      <c r="I76" s="22">
        <f t="shared" si="10"/>
        <v>10</v>
      </c>
      <c r="J76" s="22">
        <f t="shared" si="7"/>
        <v>41</v>
      </c>
      <c r="K76" s="22">
        <v>1</v>
      </c>
      <c r="L76" s="22">
        <f ca="1">SUM(K76:OFFSET(RngToDay,ROWS(Dates),10))</f>
        <v>448</v>
      </c>
      <c r="O76" s="22">
        <f t="shared" si="11"/>
        <v>76</v>
      </c>
      <c r="P76" s="26"/>
      <c r="Q76" s="26"/>
    </row>
    <row r="77" spans="1:17" x14ac:dyDescent="0.2">
      <c r="A77" s="133">
        <v>40463</v>
      </c>
      <c r="B77" s="26"/>
      <c r="C77" s="26"/>
      <c r="E77" s="26"/>
      <c r="F77" s="26">
        <f t="shared" si="6"/>
        <v>0</v>
      </c>
      <c r="G77" s="22" t="str">
        <f t="shared" ca="1" si="8"/>
        <v>History</v>
      </c>
      <c r="H77" s="22">
        <f t="shared" si="9"/>
        <v>2010</v>
      </c>
      <c r="I77" s="22">
        <f t="shared" si="10"/>
        <v>10</v>
      </c>
      <c r="J77" s="22">
        <f t="shared" si="7"/>
        <v>41</v>
      </c>
      <c r="K77" s="22">
        <v>1</v>
      </c>
      <c r="L77" s="22">
        <f ca="1">SUM(K77:OFFSET(RngToDay,ROWS(Dates),10))</f>
        <v>447</v>
      </c>
      <c r="O77" s="22">
        <f t="shared" si="11"/>
        <v>77</v>
      </c>
      <c r="P77" s="26"/>
      <c r="Q77" s="26"/>
    </row>
    <row r="78" spans="1:17" x14ac:dyDescent="0.2">
      <c r="A78" s="133">
        <v>40462</v>
      </c>
      <c r="B78" s="26"/>
      <c r="C78" s="26"/>
      <c r="E78" s="26"/>
      <c r="F78" s="26">
        <f t="shared" si="6"/>
        <v>0</v>
      </c>
      <c r="G78" s="22" t="str">
        <f t="shared" ca="1" si="8"/>
        <v>History</v>
      </c>
      <c r="H78" s="22">
        <f t="shared" si="9"/>
        <v>2010</v>
      </c>
      <c r="I78" s="22">
        <f t="shared" si="10"/>
        <v>10</v>
      </c>
      <c r="J78" s="22">
        <f t="shared" si="7"/>
        <v>41</v>
      </c>
      <c r="K78" s="22">
        <v>1</v>
      </c>
      <c r="L78" s="22">
        <f ca="1">SUM(K78:OFFSET(RngToDay,ROWS(Dates),10))</f>
        <v>446</v>
      </c>
      <c r="O78" s="22">
        <f t="shared" si="11"/>
        <v>78</v>
      </c>
      <c r="P78" s="26"/>
      <c r="Q78" s="26"/>
    </row>
    <row r="79" spans="1:17" x14ac:dyDescent="0.2">
      <c r="A79" s="133">
        <v>40459</v>
      </c>
      <c r="B79" s="26"/>
      <c r="C79" s="26"/>
      <c r="E79" s="26"/>
      <c r="F79" s="26">
        <f t="shared" si="6"/>
        <v>0</v>
      </c>
      <c r="G79" s="22" t="str">
        <f t="shared" ca="1" si="8"/>
        <v>History</v>
      </c>
      <c r="H79" s="22">
        <f t="shared" si="9"/>
        <v>2010</v>
      </c>
      <c r="I79" s="22">
        <f t="shared" si="10"/>
        <v>10</v>
      </c>
      <c r="J79" s="22">
        <f t="shared" si="7"/>
        <v>40</v>
      </c>
      <c r="K79" s="22">
        <v>1</v>
      </c>
      <c r="L79" s="22">
        <f ca="1">SUM(K79:OFFSET(RngToDay,ROWS(Dates),10))</f>
        <v>445</v>
      </c>
      <c r="O79" s="22">
        <f t="shared" si="11"/>
        <v>79</v>
      </c>
      <c r="P79" s="26"/>
      <c r="Q79" s="26"/>
    </row>
    <row r="80" spans="1:17" x14ac:dyDescent="0.2">
      <c r="A80" s="133">
        <v>40458</v>
      </c>
      <c r="B80" s="26"/>
      <c r="C80" s="26"/>
      <c r="E80" s="26"/>
      <c r="F80" s="26">
        <f t="shared" si="6"/>
        <v>0</v>
      </c>
      <c r="G80" s="22" t="str">
        <f t="shared" ca="1" si="8"/>
        <v>History</v>
      </c>
      <c r="H80" s="22">
        <f t="shared" si="9"/>
        <v>2010</v>
      </c>
      <c r="I80" s="22">
        <f t="shared" si="10"/>
        <v>10</v>
      </c>
      <c r="J80" s="22">
        <f t="shared" si="7"/>
        <v>40</v>
      </c>
      <c r="K80" s="22">
        <v>1</v>
      </c>
      <c r="L80" s="22">
        <f ca="1">SUM(K80:OFFSET(RngToDay,ROWS(Dates),10))</f>
        <v>444</v>
      </c>
      <c r="O80" s="22">
        <f t="shared" si="11"/>
        <v>80</v>
      </c>
      <c r="P80" s="26"/>
      <c r="Q80" s="26"/>
    </row>
    <row r="81" spans="1:17" x14ac:dyDescent="0.2">
      <c r="A81" s="133">
        <v>40457</v>
      </c>
      <c r="B81" s="26"/>
      <c r="C81" s="26"/>
      <c r="E81" s="26"/>
      <c r="F81" s="26">
        <f t="shared" ref="F81:F122" si="12">ActCov</f>
        <v>0</v>
      </c>
      <c r="G81" s="22" t="str">
        <f t="shared" ca="1" si="8"/>
        <v>History</v>
      </c>
      <c r="H81" s="22">
        <f t="shared" si="9"/>
        <v>2010</v>
      </c>
      <c r="I81" s="22">
        <f t="shared" si="10"/>
        <v>10</v>
      </c>
      <c r="J81" s="22">
        <f t="shared" si="7"/>
        <v>40</v>
      </c>
      <c r="K81" s="22">
        <v>1</v>
      </c>
      <c r="L81" s="22">
        <f ca="1">SUM(K81:OFFSET(RngToDay,ROWS(Dates),10))</f>
        <v>443</v>
      </c>
      <c r="O81" s="22">
        <f t="shared" si="11"/>
        <v>81</v>
      </c>
      <c r="P81" s="26"/>
      <c r="Q81" s="26"/>
    </row>
    <row r="82" spans="1:17" x14ac:dyDescent="0.2">
      <c r="A82" s="133">
        <v>40456</v>
      </c>
      <c r="B82" s="26"/>
      <c r="C82" s="26"/>
      <c r="E82" s="26"/>
      <c r="F82" s="26">
        <f t="shared" si="12"/>
        <v>0</v>
      </c>
      <c r="G82" s="22" t="str">
        <f t="shared" ca="1" si="8"/>
        <v>History</v>
      </c>
      <c r="H82" s="22">
        <f t="shared" si="9"/>
        <v>2010</v>
      </c>
      <c r="I82" s="22">
        <f t="shared" si="10"/>
        <v>10</v>
      </c>
      <c r="J82" s="22">
        <f t="shared" si="7"/>
        <v>40</v>
      </c>
      <c r="K82" s="22">
        <v>1</v>
      </c>
      <c r="L82" s="22">
        <f ca="1">SUM(K82:OFFSET(RngToDay,ROWS(Dates),10))</f>
        <v>442</v>
      </c>
      <c r="O82" s="22">
        <f t="shared" si="11"/>
        <v>82</v>
      </c>
      <c r="P82" s="26"/>
      <c r="Q82" s="26"/>
    </row>
    <row r="83" spans="1:17" x14ac:dyDescent="0.2">
      <c r="A83" s="133">
        <v>40455</v>
      </c>
      <c r="B83" s="26"/>
      <c r="C83" s="26"/>
      <c r="E83" s="26"/>
      <c r="F83" s="26">
        <f t="shared" si="12"/>
        <v>0</v>
      </c>
      <c r="G83" s="22" t="str">
        <f t="shared" ca="1" si="8"/>
        <v>History</v>
      </c>
      <c r="H83" s="22">
        <f t="shared" si="9"/>
        <v>2010</v>
      </c>
      <c r="I83" s="22">
        <f t="shared" si="10"/>
        <v>10</v>
      </c>
      <c r="J83" s="22">
        <f t="shared" si="7"/>
        <v>40</v>
      </c>
      <c r="K83" s="22">
        <v>1</v>
      </c>
      <c r="L83" s="22">
        <f ca="1">SUM(K83:OFFSET(RngToDay,ROWS(Dates),10))</f>
        <v>441</v>
      </c>
      <c r="O83" s="22">
        <f t="shared" si="11"/>
        <v>83</v>
      </c>
      <c r="P83" s="26"/>
      <c r="Q83" s="26"/>
    </row>
    <row r="84" spans="1:17" x14ac:dyDescent="0.2">
      <c r="A84" s="133">
        <v>40452</v>
      </c>
      <c r="B84" s="26"/>
      <c r="C84" s="26"/>
      <c r="E84" s="26"/>
      <c r="F84" s="26">
        <f t="shared" si="12"/>
        <v>0</v>
      </c>
      <c r="G84" s="22" t="str">
        <f t="shared" ca="1" si="8"/>
        <v>History</v>
      </c>
      <c r="H84" s="22">
        <f t="shared" si="9"/>
        <v>2010</v>
      </c>
      <c r="I84" s="22">
        <f t="shared" si="10"/>
        <v>10</v>
      </c>
      <c r="J84" s="22">
        <f t="shared" si="7"/>
        <v>39</v>
      </c>
      <c r="K84" s="22">
        <v>1</v>
      </c>
      <c r="L84" s="22">
        <f ca="1">SUM(K84:OFFSET(RngToDay,ROWS(Dates),10))</f>
        <v>440</v>
      </c>
      <c r="O84" s="22">
        <f t="shared" si="11"/>
        <v>84</v>
      </c>
      <c r="P84" s="26"/>
      <c r="Q84" s="26"/>
    </row>
    <row r="85" spans="1:17" x14ac:dyDescent="0.2">
      <c r="A85" s="133">
        <v>40451</v>
      </c>
      <c r="B85" s="26"/>
      <c r="C85" s="26"/>
      <c r="E85" s="26"/>
      <c r="F85" s="26">
        <f t="shared" si="12"/>
        <v>0</v>
      </c>
      <c r="G85" s="22" t="str">
        <f t="shared" ca="1" si="8"/>
        <v>History</v>
      </c>
      <c r="H85" s="22">
        <f t="shared" si="9"/>
        <v>2010</v>
      </c>
      <c r="I85" s="22">
        <f t="shared" si="10"/>
        <v>9</v>
      </c>
      <c r="J85" s="22">
        <f t="shared" si="7"/>
        <v>39</v>
      </c>
      <c r="K85" s="22">
        <v>1</v>
      </c>
      <c r="L85" s="22">
        <f ca="1">SUM(K85:OFFSET(RngToDay,ROWS(Dates),10))</f>
        <v>439</v>
      </c>
      <c r="O85" s="22">
        <f t="shared" si="11"/>
        <v>85</v>
      </c>
      <c r="P85" s="26"/>
      <c r="Q85" s="26"/>
    </row>
    <row r="86" spans="1:17" x14ac:dyDescent="0.2">
      <c r="A86" s="133">
        <v>40450</v>
      </c>
      <c r="B86" s="26"/>
      <c r="C86" s="26"/>
      <c r="E86" s="26"/>
      <c r="F86" s="26">
        <f t="shared" si="12"/>
        <v>0</v>
      </c>
      <c r="G86" s="22" t="str">
        <f t="shared" ca="1" si="8"/>
        <v>History</v>
      </c>
      <c r="H86" s="22">
        <f t="shared" si="9"/>
        <v>2010</v>
      </c>
      <c r="I86" s="22">
        <f t="shared" si="10"/>
        <v>9</v>
      </c>
      <c r="J86" s="22">
        <f t="shared" si="7"/>
        <v>39</v>
      </c>
      <c r="K86" s="22">
        <v>1</v>
      </c>
      <c r="L86" s="22">
        <f ca="1">SUM(K86:OFFSET(RngToDay,ROWS(Dates),10))</f>
        <v>438</v>
      </c>
      <c r="O86" s="22">
        <f t="shared" si="11"/>
        <v>86</v>
      </c>
      <c r="P86" s="26"/>
      <c r="Q86" s="26"/>
    </row>
    <row r="87" spans="1:17" x14ac:dyDescent="0.2">
      <c r="A87" s="133">
        <v>40449</v>
      </c>
      <c r="B87" s="26"/>
      <c r="C87" s="26"/>
      <c r="E87" s="26"/>
      <c r="F87" s="26">
        <f t="shared" si="12"/>
        <v>0</v>
      </c>
      <c r="G87" s="22" t="str">
        <f t="shared" ca="1" si="8"/>
        <v>History</v>
      </c>
      <c r="H87" s="22">
        <f t="shared" si="9"/>
        <v>2010</v>
      </c>
      <c r="I87" s="22">
        <f t="shared" si="10"/>
        <v>9</v>
      </c>
      <c r="J87" s="22">
        <f t="shared" si="7"/>
        <v>39</v>
      </c>
      <c r="K87" s="22">
        <v>1</v>
      </c>
      <c r="L87" s="22">
        <f ca="1">SUM(K87:OFFSET(RngToDay,ROWS(Dates),10))</f>
        <v>437</v>
      </c>
      <c r="O87" s="22">
        <f t="shared" si="11"/>
        <v>87</v>
      </c>
      <c r="P87" s="26"/>
      <c r="Q87" s="26"/>
    </row>
    <row r="88" spans="1:17" x14ac:dyDescent="0.2">
      <c r="A88" s="133">
        <v>40448</v>
      </c>
      <c r="B88" s="26"/>
      <c r="C88" s="26"/>
      <c r="E88" s="26"/>
      <c r="F88" s="26">
        <f t="shared" si="12"/>
        <v>0</v>
      </c>
      <c r="G88" s="22" t="str">
        <f t="shared" ca="1" si="8"/>
        <v>History</v>
      </c>
      <c r="H88" s="22">
        <f t="shared" si="9"/>
        <v>2010</v>
      </c>
      <c r="I88" s="22">
        <f t="shared" si="10"/>
        <v>9</v>
      </c>
      <c r="J88" s="22">
        <f t="shared" si="7"/>
        <v>39</v>
      </c>
      <c r="K88" s="22">
        <v>1</v>
      </c>
      <c r="L88" s="22">
        <f ca="1">SUM(K88:OFFSET(RngToDay,ROWS(Dates),10))</f>
        <v>436</v>
      </c>
      <c r="O88" s="22">
        <f t="shared" si="11"/>
        <v>88</v>
      </c>
      <c r="P88" s="26"/>
      <c r="Q88" s="26"/>
    </row>
    <row r="89" spans="1:17" x14ac:dyDescent="0.2">
      <c r="A89" s="133">
        <v>40445</v>
      </c>
      <c r="B89" s="26"/>
      <c r="C89" s="26"/>
      <c r="E89" s="26"/>
      <c r="F89" s="26">
        <f t="shared" si="12"/>
        <v>0</v>
      </c>
      <c r="G89" s="22" t="str">
        <f t="shared" ca="1" si="8"/>
        <v>History</v>
      </c>
      <c r="H89" s="22">
        <f t="shared" si="9"/>
        <v>2010</v>
      </c>
      <c r="I89" s="22">
        <f t="shared" si="10"/>
        <v>9</v>
      </c>
      <c r="J89" s="22">
        <f t="shared" si="7"/>
        <v>38</v>
      </c>
      <c r="K89" s="22">
        <v>1</v>
      </c>
      <c r="L89" s="22">
        <f ca="1">SUM(K89:OFFSET(RngToDay,ROWS(Dates),10))</f>
        <v>435</v>
      </c>
      <c r="O89" s="22">
        <f t="shared" si="11"/>
        <v>89</v>
      </c>
      <c r="P89" s="26"/>
      <c r="Q89" s="26"/>
    </row>
    <row r="90" spans="1:17" x14ac:dyDescent="0.2">
      <c r="A90" s="133">
        <v>40444</v>
      </c>
      <c r="B90" s="26"/>
      <c r="C90" s="26"/>
      <c r="E90" s="26"/>
      <c r="F90" s="26">
        <f t="shared" si="12"/>
        <v>0</v>
      </c>
      <c r="G90" s="22" t="str">
        <f t="shared" ca="1" si="8"/>
        <v>History</v>
      </c>
      <c r="H90" s="22">
        <f t="shared" si="9"/>
        <v>2010</v>
      </c>
      <c r="I90" s="22">
        <f t="shared" si="10"/>
        <v>9</v>
      </c>
      <c r="J90" s="22">
        <f t="shared" si="7"/>
        <v>38</v>
      </c>
      <c r="K90" s="22">
        <v>1</v>
      </c>
      <c r="L90" s="22">
        <f ca="1">SUM(K90:OFFSET(RngToDay,ROWS(Dates),10))</f>
        <v>434</v>
      </c>
      <c r="O90" s="22">
        <f t="shared" si="11"/>
        <v>90</v>
      </c>
      <c r="P90" s="26"/>
      <c r="Q90" s="26"/>
    </row>
    <row r="91" spans="1:17" x14ac:dyDescent="0.2">
      <c r="A91" s="133">
        <v>40443</v>
      </c>
      <c r="B91" s="26"/>
      <c r="C91" s="26"/>
      <c r="E91" s="26"/>
      <c r="F91" s="26">
        <f t="shared" si="12"/>
        <v>0</v>
      </c>
      <c r="G91" s="22" t="str">
        <f t="shared" ca="1" si="8"/>
        <v>History</v>
      </c>
      <c r="H91" s="22">
        <f t="shared" si="9"/>
        <v>2010</v>
      </c>
      <c r="I91" s="22">
        <f t="shared" si="10"/>
        <v>9</v>
      </c>
      <c r="J91" s="22">
        <f t="shared" si="7"/>
        <v>38</v>
      </c>
      <c r="K91" s="22">
        <v>1</v>
      </c>
      <c r="L91" s="22">
        <f ca="1">SUM(K91:OFFSET(RngToDay,ROWS(Dates),10))</f>
        <v>433</v>
      </c>
      <c r="O91" s="22">
        <f t="shared" si="11"/>
        <v>91</v>
      </c>
      <c r="P91" s="26"/>
      <c r="Q91" s="26"/>
    </row>
    <row r="92" spans="1:17" x14ac:dyDescent="0.2">
      <c r="A92" s="133">
        <v>40442</v>
      </c>
      <c r="B92" s="26"/>
      <c r="C92" s="26"/>
      <c r="E92" s="26"/>
      <c r="F92" s="26">
        <f t="shared" si="12"/>
        <v>0</v>
      </c>
      <c r="G92" s="22" t="str">
        <f t="shared" ca="1" si="8"/>
        <v>History</v>
      </c>
      <c r="H92" s="22">
        <f t="shared" si="9"/>
        <v>2010</v>
      </c>
      <c r="I92" s="22">
        <f t="shared" si="10"/>
        <v>9</v>
      </c>
      <c r="J92" s="22">
        <f t="shared" si="7"/>
        <v>38</v>
      </c>
      <c r="K92" s="22">
        <v>1</v>
      </c>
      <c r="L92" s="22">
        <f ca="1">SUM(K92:OFFSET(RngToDay,ROWS(Dates),10))</f>
        <v>432</v>
      </c>
      <c r="O92" s="22">
        <f t="shared" si="11"/>
        <v>92</v>
      </c>
      <c r="P92" s="26"/>
      <c r="Q92" s="26"/>
    </row>
    <row r="93" spans="1:17" x14ac:dyDescent="0.2">
      <c r="A93" s="133">
        <v>40441</v>
      </c>
      <c r="B93" s="26"/>
      <c r="C93" s="26"/>
      <c r="E93" s="26"/>
      <c r="F93" s="26">
        <f t="shared" si="12"/>
        <v>0</v>
      </c>
      <c r="G93" s="22" t="str">
        <f t="shared" ca="1" si="8"/>
        <v>History</v>
      </c>
      <c r="H93" s="22">
        <f t="shared" si="9"/>
        <v>2010</v>
      </c>
      <c r="I93" s="22">
        <f t="shared" si="10"/>
        <v>9</v>
      </c>
      <c r="J93" s="22">
        <f t="shared" si="7"/>
        <v>38</v>
      </c>
      <c r="K93" s="22">
        <v>1</v>
      </c>
      <c r="L93" s="22">
        <f ca="1">SUM(K93:OFFSET(RngToDay,ROWS(Dates),10))</f>
        <v>431</v>
      </c>
      <c r="O93" s="22">
        <f t="shared" si="11"/>
        <v>93</v>
      </c>
      <c r="P93" s="26"/>
      <c r="Q93" s="26"/>
    </row>
    <row r="94" spans="1:17" x14ac:dyDescent="0.2">
      <c r="A94" s="133">
        <v>40438</v>
      </c>
      <c r="B94" s="26"/>
      <c r="C94" s="26"/>
      <c r="E94" s="26"/>
      <c r="F94" s="26">
        <f t="shared" si="12"/>
        <v>0</v>
      </c>
      <c r="G94" s="22" t="str">
        <f t="shared" ca="1" si="8"/>
        <v>History</v>
      </c>
      <c r="H94" s="22">
        <f t="shared" si="9"/>
        <v>2010</v>
      </c>
      <c r="I94" s="22">
        <f t="shared" si="10"/>
        <v>9</v>
      </c>
      <c r="J94" s="22">
        <f t="shared" si="7"/>
        <v>37</v>
      </c>
      <c r="K94" s="22">
        <v>1</v>
      </c>
      <c r="L94" s="22">
        <f ca="1">SUM(K94:OFFSET(RngToDay,ROWS(Dates),10))</f>
        <v>430</v>
      </c>
      <c r="O94" s="22">
        <f t="shared" si="11"/>
        <v>94</v>
      </c>
      <c r="P94" s="26"/>
      <c r="Q94" s="26"/>
    </row>
    <row r="95" spans="1:17" x14ac:dyDescent="0.2">
      <c r="A95" s="133">
        <v>40437</v>
      </c>
      <c r="B95" s="26"/>
      <c r="C95" s="26"/>
      <c r="E95" s="26"/>
      <c r="F95" s="26">
        <f t="shared" si="12"/>
        <v>0</v>
      </c>
      <c r="G95" s="22" t="str">
        <f t="shared" ca="1" si="8"/>
        <v>History</v>
      </c>
      <c r="H95" s="22">
        <f t="shared" si="9"/>
        <v>2010</v>
      </c>
      <c r="I95" s="22">
        <f t="shared" si="10"/>
        <v>9</v>
      </c>
      <c r="J95" s="22">
        <f t="shared" si="7"/>
        <v>37</v>
      </c>
      <c r="K95" s="22">
        <v>1</v>
      </c>
      <c r="L95" s="22">
        <f ca="1">SUM(K95:OFFSET(RngToDay,ROWS(Dates),10))</f>
        <v>429</v>
      </c>
      <c r="O95" s="22">
        <f t="shared" si="11"/>
        <v>95</v>
      </c>
      <c r="P95" s="26"/>
      <c r="Q95" s="26"/>
    </row>
    <row r="96" spans="1:17" x14ac:dyDescent="0.2">
      <c r="A96" s="133">
        <v>40436</v>
      </c>
      <c r="B96" s="26"/>
      <c r="C96" s="26"/>
      <c r="E96" s="26"/>
      <c r="F96" s="26">
        <f t="shared" si="12"/>
        <v>0</v>
      </c>
      <c r="G96" s="22" t="str">
        <f t="shared" ca="1" si="8"/>
        <v>History</v>
      </c>
      <c r="H96" s="22">
        <f t="shared" si="9"/>
        <v>2010</v>
      </c>
      <c r="I96" s="22">
        <f t="shared" si="10"/>
        <v>9</v>
      </c>
      <c r="J96" s="22">
        <f t="shared" si="7"/>
        <v>37</v>
      </c>
      <c r="K96" s="22">
        <v>1</v>
      </c>
      <c r="L96" s="22">
        <f ca="1">SUM(K96:OFFSET(RngToDay,ROWS(Dates),10))</f>
        <v>428</v>
      </c>
      <c r="O96" s="22">
        <f t="shared" si="11"/>
        <v>96</v>
      </c>
      <c r="P96" s="26"/>
      <c r="Q96" s="26"/>
    </row>
    <row r="97" spans="1:17" x14ac:dyDescent="0.2">
      <c r="A97" s="133">
        <v>40435</v>
      </c>
      <c r="B97" s="26"/>
      <c r="C97" s="26"/>
      <c r="E97" s="26"/>
      <c r="F97" s="26">
        <f t="shared" si="12"/>
        <v>0</v>
      </c>
      <c r="G97" s="22" t="str">
        <f t="shared" ca="1" si="8"/>
        <v>History</v>
      </c>
      <c r="H97" s="22">
        <f t="shared" si="9"/>
        <v>2010</v>
      </c>
      <c r="I97" s="22">
        <f t="shared" si="10"/>
        <v>9</v>
      </c>
      <c r="J97" s="22">
        <f t="shared" si="7"/>
        <v>37</v>
      </c>
      <c r="K97" s="22">
        <v>1</v>
      </c>
      <c r="L97" s="22">
        <f ca="1">SUM(K97:OFFSET(RngToDay,ROWS(Dates),10))</f>
        <v>427</v>
      </c>
      <c r="O97" s="22">
        <f t="shared" si="11"/>
        <v>97</v>
      </c>
      <c r="P97" s="26"/>
      <c r="Q97" s="26"/>
    </row>
    <row r="98" spans="1:17" x14ac:dyDescent="0.2">
      <c r="A98" s="133">
        <v>40434</v>
      </c>
      <c r="B98" s="26"/>
      <c r="C98" s="26"/>
      <c r="E98" s="26"/>
      <c r="F98" s="26">
        <f t="shared" si="12"/>
        <v>0</v>
      </c>
      <c r="G98" s="22" t="str">
        <f t="shared" ca="1" si="8"/>
        <v>History</v>
      </c>
      <c r="H98" s="22">
        <f t="shared" si="9"/>
        <v>2010</v>
      </c>
      <c r="I98" s="22">
        <f t="shared" si="10"/>
        <v>9</v>
      </c>
      <c r="J98" s="22">
        <f t="shared" si="7"/>
        <v>37</v>
      </c>
      <c r="K98" s="22">
        <v>1</v>
      </c>
      <c r="L98" s="22">
        <f ca="1">SUM(K98:OFFSET(RngToDay,ROWS(Dates),10))</f>
        <v>426</v>
      </c>
      <c r="O98" s="22">
        <f t="shared" si="11"/>
        <v>98</v>
      </c>
      <c r="P98" s="26"/>
      <c r="Q98" s="26"/>
    </row>
    <row r="99" spans="1:17" x14ac:dyDescent="0.2">
      <c r="A99" s="133">
        <v>40431</v>
      </c>
      <c r="B99" s="26"/>
      <c r="C99" s="26"/>
      <c r="E99" s="26"/>
      <c r="F99" s="26">
        <f t="shared" si="12"/>
        <v>0</v>
      </c>
      <c r="G99" s="22" t="str">
        <f t="shared" ca="1" si="8"/>
        <v>History</v>
      </c>
      <c r="H99" s="22">
        <f t="shared" si="9"/>
        <v>2010</v>
      </c>
      <c r="I99" s="22">
        <f t="shared" si="10"/>
        <v>9</v>
      </c>
      <c r="J99" s="22">
        <f t="shared" si="7"/>
        <v>36</v>
      </c>
      <c r="K99" s="22">
        <v>1</v>
      </c>
      <c r="L99" s="22">
        <f ca="1">SUM(K99:OFFSET(RngToDay,ROWS(Dates),10))</f>
        <v>425</v>
      </c>
      <c r="O99" s="22">
        <f t="shared" si="11"/>
        <v>99</v>
      </c>
      <c r="P99" s="26"/>
      <c r="Q99" s="26"/>
    </row>
    <row r="100" spans="1:17" x14ac:dyDescent="0.2">
      <c r="A100" s="133">
        <v>40430</v>
      </c>
      <c r="B100" s="26"/>
      <c r="C100" s="26"/>
      <c r="E100" s="26"/>
      <c r="F100" s="26">
        <f t="shared" si="12"/>
        <v>0</v>
      </c>
      <c r="G100" s="22" t="str">
        <f t="shared" ca="1" si="8"/>
        <v>History</v>
      </c>
      <c r="H100" s="22">
        <f t="shared" si="9"/>
        <v>2010</v>
      </c>
      <c r="I100" s="22">
        <f t="shared" si="10"/>
        <v>9</v>
      </c>
      <c r="J100" s="22">
        <f t="shared" si="7"/>
        <v>36</v>
      </c>
      <c r="K100" s="22">
        <v>1</v>
      </c>
      <c r="L100" s="22">
        <f ca="1">SUM(K100:OFFSET(RngToDay,ROWS(Dates),10))</f>
        <v>424</v>
      </c>
      <c r="O100" s="22">
        <f t="shared" si="11"/>
        <v>100</v>
      </c>
      <c r="P100" s="26"/>
      <c r="Q100" s="26"/>
    </row>
    <row r="101" spans="1:17" x14ac:dyDescent="0.2">
      <c r="A101" s="133">
        <v>40429</v>
      </c>
      <c r="B101" s="26"/>
      <c r="C101" s="26"/>
      <c r="E101" s="26"/>
      <c r="F101" s="26">
        <f t="shared" si="12"/>
        <v>0</v>
      </c>
      <c r="G101" s="22" t="str">
        <f t="shared" ca="1" si="8"/>
        <v>History</v>
      </c>
      <c r="H101" s="22">
        <f t="shared" si="9"/>
        <v>2010</v>
      </c>
      <c r="I101" s="22">
        <f t="shared" si="10"/>
        <v>9</v>
      </c>
      <c r="J101" s="22">
        <f t="shared" si="7"/>
        <v>36</v>
      </c>
      <c r="K101" s="22">
        <v>1</v>
      </c>
      <c r="L101" s="22">
        <f ca="1">SUM(K101:OFFSET(RngToDay,ROWS(Dates),10))</f>
        <v>423</v>
      </c>
      <c r="O101" s="22">
        <f t="shared" si="11"/>
        <v>101</v>
      </c>
      <c r="P101" s="26"/>
      <c r="Q101" s="26"/>
    </row>
    <row r="102" spans="1:17" x14ac:dyDescent="0.2">
      <c r="A102" s="133">
        <v>40428</v>
      </c>
      <c r="B102" s="26"/>
      <c r="C102" s="26"/>
      <c r="E102" s="26"/>
      <c r="F102" s="26">
        <f t="shared" si="12"/>
        <v>0</v>
      </c>
      <c r="G102" s="22" t="str">
        <f t="shared" ca="1" si="8"/>
        <v>History</v>
      </c>
      <c r="H102" s="22">
        <f t="shared" si="9"/>
        <v>2010</v>
      </c>
      <c r="I102" s="22">
        <f t="shared" si="10"/>
        <v>9</v>
      </c>
      <c r="J102" s="22">
        <f t="shared" si="7"/>
        <v>36</v>
      </c>
      <c r="K102" s="22">
        <v>1</v>
      </c>
      <c r="L102" s="22">
        <f ca="1">SUM(K102:OFFSET(RngToDay,ROWS(Dates),10))</f>
        <v>422</v>
      </c>
      <c r="O102" s="22">
        <f t="shared" si="11"/>
        <v>102</v>
      </c>
      <c r="P102" s="26"/>
      <c r="Q102" s="26"/>
    </row>
    <row r="103" spans="1:17" x14ac:dyDescent="0.2">
      <c r="A103" s="133">
        <v>40427</v>
      </c>
      <c r="B103" s="26"/>
      <c r="C103" s="26"/>
      <c r="E103" s="26"/>
      <c r="F103" s="26">
        <f t="shared" si="12"/>
        <v>0</v>
      </c>
      <c r="G103" s="22" t="str">
        <f t="shared" ca="1" si="8"/>
        <v>History</v>
      </c>
      <c r="H103" s="22">
        <f t="shared" si="9"/>
        <v>2010</v>
      </c>
      <c r="I103" s="22">
        <f t="shared" si="10"/>
        <v>9</v>
      </c>
      <c r="J103" s="22">
        <f t="shared" si="7"/>
        <v>36</v>
      </c>
      <c r="K103" s="22">
        <v>1</v>
      </c>
      <c r="L103" s="22">
        <f ca="1">SUM(K103:OFFSET(RngToDay,ROWS(Dates),10))</f>
        <v>421</v>
      </c>
      <c r="O103" s="22">
        <f t="shared" si="11"/>
        <v>103</v>
      </c>
      <c r="P103" s="26"/>
      <c r="Q103" s="26"/>
    </row>
    <row r="104" spans="1:17" x14ac:dyDescent="0.2">
      <c r="A104" s="133">
        <v>40424</v>
      </c>
      <c r="B104" s="26"/>
      <c r="C104" s="26"/>
      <c r="E104" s="26"/>
      <c r="F104" s="26">
        <f t="shared" si="12"/>
        <v>0</v>
      </c>
      <c r="G104" s="22" t="str">
        <f t="shared" ca="1" si="8"/>
        <v>History</v>
      </c>
      <c r="H104" s="22">
        <f t="shared" si="9"/>
        <v>2010</v>
      </c>
      <c r="I104" s="22">
        <f t="shared" si="10"/>
        <v>9</v>
      </c>
      <c r="J104" s="22">
        <f t="shared" si="7"/>
        <v>35</v>
      </c>
      <c r="K104" s="22">
        <v>1</v>
      </c>
      <c r="L104" s="22">
        <f ca="1">SUM(K104:OFFSET(RngToDay,ROWS(Dates),10))</f>
        <v>420</v>
      </c>
      <c r="O104" s="22">
        <f t="shared" si="11"/>
        <v>104</v>
      </c>
      <c r="P104" s="26"/>
      <c r="Q104" s="26"/>
    </row>
    <row r="105" spans="1:17" x14ac:dyDescent="0.2">
      <c r="A105" s="133">
        <v>40423</v>
      </c>
      <c r="B105" s="26"/>
      <c r="C105" s="26"/>
      <c r="E105" s="26"/>
      <c r="F105" s="26">
        <f t="shared" si="12"/>
        <v>0</v>
      </c>
      <c r="G105" s="22" t="str">
        <f t="shared" ca="1" si="8"/>
        <v>History</v>
      </c>
      <c r="H105" s="22">
        <f t="shared" si="9"/>
        <v>2010</v>
      </c>
      <c r="I105" s="22">
        <f t="shared" si="10"/>
        <v>9</v>
      </c>
      <c r="J105" s="22">
        <f t="shared" si="7"/>
        <v>35</v>
      </c>
      <c r="K105" s="22">
        <v>1</v>
      </c>
      <c r="L105" s="22">
        <f ca="1">SUM(K105:OFFSET(RngToDay,ROWS(Dates),10))</f>
        <v>419</v>
      </c>
      <c r="O105" s="22">
        <f t="shared" si="11"/>
        <v>105</v>
      </c>
      <c r="P105" s="26"/>
      <c r="Q105" s="26"/>
    </row>
    <row r="106" spans="1:17" x14ac:dyDescent="0.2">
      <c r="A106" s="133">
        <v>40422</v>
      </c>
      <c r="B106" s="26"/>
      <c r="C106" s="26"/>
      <c r="E106" s="26"/>
      <c r="F106" s="26">
        <f t="shared" si="12"/>
        <v>0</v>
      </c>
      <c r="G106" s="22" t="str">
        <f t="shared" ca="1" si="8"/>
        <v>History</v>
      </c>
      <c r="H106" s="22">
        <f t="shared" si="9"/>
        <v>2010</v>
      </c>
      <c r="I106" s="22">
        <f t="shared" si="10"/>
        <v>9</v>
      </c>
      <c r="J106" s="22">
        <f t="shared" si="7"/>
        <v>35</v>
      </c>
      <c r="K106" s="22">
        <v>1</v>
      </c>
      <c r="L106" s="22">
        <f ca="1">SUM(K106:OFFSET(RngToDay,ROWS(Dates),10))</f>
        <v>418</v>
      </c>
      <c r="O106" s="22">
        <f t="shared" si="11"/>
        <v>106</v>
      </c>
      <c r="P106" s="26"/>
      <c r="Q106" s="26"/>
    </row>
    <row r="107" spans="1:17" x14ac:dyDescent="0.2">
      <c r="A107" s="133">
        <v>40421</v>
      </c>
      <c r="B107" s="26"/>
      <c r="C107" s="26"/>
      <c r="E107" s="26"/>
      <c r="F107" s="26">
        <f t="shared" si="12"/>
        <v>0</v>
      </c>
      <c r="G107" s="22" t="str">
        <f t="shared" ca="1" si="8"/>
        <v>History</v>
      </c>
      <c r="H107" s="22">
        <f t="shared" si="9"/>
        <v>2010</v>
      </c>
      <c r="I107" s="22">
        <f t="shared" si="10"/>
        <v>8</v>
      </c>
      <c r="J107" s="22">
        <f t="shared" si="7"/>
        <v>35</v>
      </c>
      <c r="K107" s="22">
        <v>1</v>
      </c>
      <c r="L107" s="22">
        <f ca="1">SUM(K107:OFFSET(RngToDay,ROWS(Dates),10))</f>
        <v>417</v>
      </c>
      <c r="O107" s="22">
        <f t="shared" si="11"/>
        <v>107</v>
      </c>
      <c r="P107" s="26"/>
      <c r="Q107" s="26"/>
    </row>
    <row r="108" spans="1:17" x14ac:dyDescent="0.2">
      <c r="A108" s="133">
        <v>40420</v>
      </c>
      <c r="B108" s="26"/>
      <c r="C108" s="26"/>
      <c r="E108" s="26"/>
      <c r="F108" s="26">
        <f t="shared" si="12"/>
        <v>0</v>
      </c>
      <c r="G108" s="22" t="str">
        <f t="shared" ca="1" si="8"/>
        <v>History</v>
      </c>
      <c r="H108" s="22">
        <f t="shared" si="9"/>
        <v>2010</v>
      </c>
      <c r="I108" s="22">
        <f t="shared" si="10"/>
        <v>8</v>
      </c>
      <c r="J108" s="22">
        <f t="shared" si="7"/>
        <v>35</v>
      </c>
      <c r="K108" s="22">
        <v>1</v>
      </c>
      <c r="L108" s="22">
        <f ca="1">SUM(K108:OFFSET(RngToDay,ROWS(Dates),10))</f>
        <v>416</v>
      </c>
      <c r="O108" s="22">
        <f t="shared" si="11"/>
        <v>108</v>
      </c>
      <c r="P108" s="26"/>
      <c r="Q108" s="26"/>
    </row>
    <row r="109" spans="1:17" x14ac:dyDescent="0.2">
      <c r="A109" s="133">
        <v>40417</v>
      </c>
      <c r="B109" s="26"/>
      <c r="C109" s="26"/>
      <c r="E109" s="26"/>
      <c r="F109" s="26">
        <f t="shared" si="12"/>
        <v>0</v>
      </c>
      <c r="G109" s="22" t="str">
        <f t="shared" ca="1" si="8"/>
        <v>History</v>
      </c>
      <c r="H109" s="22">
        <f t="shared" si="9"/>
        <v>2010</v>
      </c>
      <c r="I109" s="22">
        <f t="shared" si="10"/>
        <v>8</v>
      </c>
      <c r="J109" s="22">
        <f t="shared" si="7"/>
        <v>34</v>
      </c>
      <c r="K109" s="22">
        <v>1</v>
      </c>
      <c r="L109" s="22">
        <f ca="1">SUM(K109:OFFSET(RngToDay,ROWS(Dates),10))</f>
        <v>415</v>
      </c>
      <c r="O109" s="22">
        <f t="shared" si="11"/>
        <v>109</v>
      </c>
      <c r="P109" s="26"/>
      <c r="Q109" s="26"/>
    </row>
    <row r="110" spans="1:17" x14ac:dyDescent="0.2">
      <c r="A110" s="133">
        <v>40416</v>
      </c>
      <c r="B110" s="26"/>
      <c r="C110" s="26"/>
      <c r="E110" s="26"/>
      <c r="F110" s="26">
        <f t="shared" si="12"/>
        <v>0</v>
      </c>
      <c r="G110" s="22" t="str">
        <f t="shared" ca="1" si="8"/>
        <v>History</v>
      </c>
      <c r="H110" s="22">
        <f t="shared" si="9"/>
        <v>2010</v>
      </c>
      <c r="I110" s="22">
        <f t="shared" si="10"/>
        <v>8</v>
      </c>
      <c r="J110" s="22">
        <f t="shared" si="7"/>
        <v>34</v>
      </c>
      <c r="K110" s="22">
        <v>1</v>
      </c>
      <c r="L110" s="22">
        <f ca="1">SUM(K110:OFFSET(RngToDay,ROWS(Dates),10))</f>
        <v>414</v>
      </c>
      <c r="O110" s="22">
        <f t="shared" si="11"/>
        <v>110</v>
      </c>
      <c r="P110" s="26"/>
      <c r="Q110" s="26"/>
    </row>
    <row r="111" spans="1:17" x14ac:dyDescent="0.2">
      <c r="A111" s="133">
        <v>40415</v>
      </c>
      <c r="B111" s="26"/>
      <c r="C111" s="26"/>
      <c r="E111" s="26"/>
      <c r="F111" s="26">
        <f t="shared" si="12"/>
        <v>0</v>
      </c>
      <c r="G111" s="22" t="str">
        <f t="shared" ca="1" si="8"/>
        <v>History</v>
      </c>
      <c r="H111" s="22">
        <f t="shared" si="9"/>
        <v>2010</v>
      </c>
      <c r="I111" s="22">
        <f t="shared" si="10"/>
        <v>8</v>
      </c>
      <c r="J111" s="22">
        <f t="shared" si="7"/>
        <v>34</v>
      </c>
      <c r="K111" s="22">
        <v>1</v>
      </c>
      <c r="L111" s="22">
        <f ca="1">SUM(K111:OFFSET(RngToDay,ROWS(Dates),10))</f>
        <v>413</v>
      </c>
      <c r="O111" s="22">
        <f t="shared" si="11"/>
        <v>111</v>
      </c>
      <c r="P111" s="26"/>
      <c r="Q111" s="26"/>
    </row>
    <row r="112" spans="1:17" x14ac:dyDescent="0.2">
      <c r="A112" s="133">
        <v>40414</v>
      </c>
      <c r="B112" s="26"/>
      <c r="C112" s="26"/>
      <c r="E112" s="26"/>
      <c r="F112" s="26">
        <f t="shared" si="12"/>
        <v>0</v>
      </c>
      <c r="G112" s="22" t="str">
        <f t="shared" ca="1" si="8"/>
        <v>History</v>
      </c>
      <c r="H112" s="22">
        <f t="shared" si="9"/>
        <v>2010</v>
      </c>
      <c r="I112" s="22">
        <f t="shared" si="10"/>
        <v>8</v>
      </c>
      <c r="J112" s="22">
        <f t="shared" si="7"/>
        <v>34</v>
      </c>
      <c r="K112" s="22">
        <v>1</v>
      </c>
      <c r="L112" s="22">
        <f ca="1">SUM(K112:OFFSET(RngToDay,ROWS(Dates),10))</f>
        <v>412</v>
      </c>
      <c r="O112" s="22">
        <f t="shared" si="11"/>
        <v>112</v>
      </c>
      <c r="P112" s="26"/>
      <c r="Q112" s="26"/>
    </row>
    <row r="113" spans="1:17" x14ac:dyDescent="0.2">
      <c r="A113" s="133">
        <v>40413</v>
      </c>
      <c r="B113" s="26"/>
      <c r="C113" s="26"/>
      <c r="E113" s="26"/>
      <c r="F113" s="26">
        <f t="shared" si="12"/>
        <v>0</v>
      </c>
      <c r="G113" s="22" t="str">
        <f t="shared" ca="1" si="8"/>
        <v>History</v>
      </c>
      <c r="H113" s="22">
        <f t="shared" si="9"/>
        <v>2010</v>
      </c>
      <c r="I113" s="22">
        <f t="shared" si="10"/>
        <v>8</v>
      </c>
      <c r="J113" s="22">
        <f t="shared" si="7"/>
        <v>34</v>
      </c>
      <c r="K113" s="22">
        <v>1</v>
      </c>
      <c r="L113" s="22">
        <f ca="1">SUM(K113:OFFSET(RngToDay,ROWS(Dates),10))</f>
        <v>411</v>
      </c>
      <c r="O113" s="22">
        <f t="shared" si="11"/>
        <v>113</v>
      </c>
      <c r="P113" s="26"/>
      <c r="Q113" s="26"/>
    </row>
    <row r="114" spans="1:17" x14ac:dyDescent="0.2">
      <c r="A114" s="133">
        <v>40410</v>
      </c>
      <c r="B114" s="26"/>
      <c r="C114" s="26"/>
      <c r="E114" s="26"/>
      <c r="F114" s="26">
        <f t="shared" si="12"/>
        <v>0</v>
      </c>
      <c r="G114" s="22" t="str">
        <f t="shared" ca="1" si="8"/>
        <v>History</v>
      </c>
      <c r="H114" s="22">
        <f t="shared" si="9"/>
        <v>2010</v>
      </c>
      <c r="I114" s="22">
        <f t="shared" si="10"/>
        <v>8</v>
      </c>
      <c r="J114" s="22">
        <f t="shared" si="7"/>
        <v>33</v>
      </c>
      <c r="K114" s="22">
        <v>1</v>
      </c>
      <c r="L114" s="22">
        <f ca="1">SUM(K114:OFFSET(RngToDay,ROWS(Dates),10))</f>
        <v>410</v>
      </c>
      <c r="O114" s="22">
        <f t="shared" si="11"/>
        <v>114</v>
      </c>
      <c r="P114" s="26"/>
      <c r="Q114" s="26"/>
    </row>
    <row r="115" spans="1:17" x14ac:dyDescent="0.2">
      <c r="A115" s="133">
        <v>40409</v>
      </c>
      <c r="B115" s="26"/>
      <c r="C115" s="26"/>
      <c r="E115" s="26"/>
      <c r="F115" s="26">
        <f t="shared" si="12"/>
        <v>0</v>
      </c>
      <c r="G115" s="22" t="str">
        <f t="shared" ca="1" si="8"/>
        <v>History</v>
      </c>
      <c r="H115" s="22">
        <f t="shared" si="9"/>
        <v>2010</v>
      </c>
      <c r="I115" s="22">
        <f t="shared" si="10"/>
        <v>8</v>
      </c>
      <c r="J115" s="22">
        <f t="shared" si="7"/>
        <v>33</v>
      </c>
      <c r="K115" s="22">
        <v>1</v>
      </c>
      <c r="L115" s="22">
        <f ca="1">SUM(K115:OFFSET(RngToDay,ROWS(Dates),10))</f>
        <v>409</v>
      </c>
      <c r="O115" s="22">
        <f t="shared" si="11"/>
        <v>115</v>
      </c>
      <c r="P115" s="26"/>
      <c r="Q115" s="26"/>
    </row>
    <row r="116" spans="1:17" x14ac:dyDescent="0.2">
      <c r="A116" s="133">
        <v>40408</v>
      </c>
      <c r="B116" s="26"/>
      <c r="C116" s="26"/>
      <c r="E116" s="26"/>
      <c r="F116" s="26">
        <f t="shared" si="12"/>
        <v>0</v>
      </c>
      <c r="G116" s="22" t="str">
        <f t="shared" ca="1" si="8"/>
        <v>History</v>
      </c>
      <c r="H116" s="22">
        <f t="shared" si="9"/>
        <v>2010</v>
      </c>
      <c r="I116" s="22">
        <f t="shared" si="10"/>
        <v>8</v>
      </c>
      <c r="J116" s="22">
        <f t="shared" si="7"/>
        <v>33</v>
      </c>
      <c r="K116" s="22">
        <v>1</v>
      </c>
      <c r="L116" s="22">
        <f ca="1">SUM(K116:OFFSET(RngToDay,ROWS(Dates),10))</f>
        <v>408</v>
      </c>
      <c r="O116" s="22">
        <f t="shared" si="11"/>
        <v>116</v>
      </c>
      <c r="P116" s="26"/>
      <c r="Q116" s="26"/>
    </row>
    <row r="117" spans="1:17" x14ac:dyDescent="0.2">
      <c r="A117" s="133">
        <v>40407</v>
      </c>
      <c r="B117" s="26"/>
      <c r="C117" s="26"/>
      <c r="E117" s="26"/>
      <c r="F117" s="26">
        <f t="shared" si="12"/>
        <v>0</v>
      </c>
      <c r="G117" s="22" t="str">
        <f t="shared" ca="1" si="8"/>
        <v>History</v>
      </c>
      <c r="H117" s="22">
        <f t="shared" si="9"/>
        <v>2010</v>
      </c>
      <c r="I117" s="22">
        <f t="shared" si="10"/>
        <v>8</v>
      </c>
      <c r="J117" s="22">
        <f t="shared" si="7"/>
        <v>33</v>
      </c>
      <c r="K117" s="22">
        <v>1</v>
      </c>
      <c r="L117" s="22">
        <f ca="1">SUM(K117:OFFSET(RngToDay,ROWS(Dates),10))</f>
        <v>407</v>
      </c>
      <c r="O117" s="22">
        <f t="shared" si="11"/>
        <v>117</v>
      </c>
      <c r="P117" s="26"/>
      <c r="Q117" s="26"/>
    </row>
    <row r="118" spans="1:17" x14ac:dyDescent="0.2">
      <c r="A118" s="133">
        <v>40406</v>
      </c>
      <c r="B118" s="26"/>
      <c r="C118" s="26"/>
      <c r="E118" s="26"/>
      <c r="F118" s="26">
        <f t="shared" si="12"/>
        <v>0</v>
      </c>
      <c r="G118" s="22" t="str">
        <f t="shared" ca="1" si="8"/>
        <v>History</v>
      </c>
      <c r="H118" s="22">
        <f t="shared" si="9"/>
        <v>2010</v>
      </c>
      <c r="I118" s="22">
        <f t="shared" si="10"/>
        <v>8</v>
      </c>
      <c r="J118" s="22">
        <f t="shared" si="7"/>
        <v>33</v>
      </c>
      <c r="K118" s="22">
        <v>1</v>
      </c>
      <c r="L118" s="22">
        <f ca="1">SUM(K118:OFFSET(RngToDay,ROWS(Dates),10))</f>
        <v>406</v>
      </c>
      <c r="O118" s="22">
        <f t="shared" si="11"/>
        <v>118</v>
      </c>
      <c r="P118" s="26"/>
      <c r="Q118" s="26"/>
    </row>
    <row r="119" spans="1:17" x14ac:dyDescent="0.2">
      <c r="A119" s="133">
        <v>40403</v>
      </c>
      <c r="B119" s="26"/>
      <c r="C119" s="26"/>
      <c r="E119" s="26"/>
      <c r="F119" s="26">
        <f t="shared" si="12"/>
        <v>0</v>
      </c>
      <c r="G119" s="22" t="str">
        <f t="shared" ca="1" si="8"/>
        <v>History</v>
      </c>
      <c r="H119" s="22">
        <f t="shared" si="9"/>
        <v>2010</v>
      </c>
      <c r="I119" s="22">
        <f t="shared" si="10"/>
        <v>8</v>
      </c>
      <c r="J119" s="22">
        <f t="shared" si="7"/>
        <v>32</v>
      </c>
      <c r="K119" s="22">
        <v>1</v>
      </c>
      <c r="L119" s="22">
        <f ca="1">SUM(K119:OFFSET(RngToDay,ROWS(Dates),10))</f>
        <v>405</v>
      </c>
      <c r="O119" s="22">
        <f t="shared" si="11"/>
        <v>119</v>
      </c>
      <c r="P119" s="26"/>
      <c r="Q119" s="26"/>
    </row>
    <row r="120" spans="1:17" x14ac:dyDescent="0.2">
      <c r="A120" s="133">
        <v>40402</v>
      </c>
      <c r="B120" s="26"/>
      <c r="C120" s="26"/>
      <c r="E120" s="26"/>
      <c r="F120" s="26">
        <f t="shared" si="12"/>
        <v>0</v>
      </c>
      <c r="G120" s="22" t="str">
        <f t="shared" ca="1" si="8"/>
        <v>History</v>
      </c>
      <c r="H120" s="22">
        <f t="shared" si="9"/>
        <v>2010</v>
      </c>
      <c r="I120" s="22">
        <f t="shared" si="10"/>
        <v>8</v>
      </c>
      <c r="J120" s="22">
        <f t="shared" si="7"/>
        <v>32</v>
      </c>
      <c r="K120" s="22">
        <v>1</v>
      </c>
      <c r="L120" s="22">
        <f ca="1">SUM(K120:OFFSET(RngToDay,ROWS(Dates),10))</f>
        <v>404</v>
      </c>
      <c r="O120" s="22">
        <f t="shared" si="11"/>
        <v>120</v>
      </c>
      <c r="P120" s="26"/>
      <c r="Q120" s="26"/>
    </row>
    <row r="121" spans="1:17" x14ac:dyDescent="0.2">
      <c r="A121" s="133">
        <v>40401</v>
      </c>
      <c r="B121" s="26"/>
      <c r="C121" s="26"/>
      <c r="E121" s="26"/>
      <c r="F121" s="26">
        <f t="shared" si="12"/>
        <v>0</v>
      </c>
      <c r="G121" s="22" t="str">
        <f t="shared" ca="1" si="8"/>
        <v>History</v>
      </c>
      <c r="H121" s="22">
        <f t="shared" si="9"/>
        <v>2010</v>
      </c>
      <c r="I121" s="22">
        <f t="shared" si="10"/>
        <v>8</v>
      </c>
      <c r="J121" s="22">
        <f t="shared" si="7"/>
        <v>32</v>
      </c>
      <c r="K121" s="22">
        <v>1</v>
      </c>
      <c r="L121" s="22">
        <f ca="1">SUM(K121:OFFSET(RngToDay,ROWS(Dates),10))</f>
        <v>403</v>
      </c>
      <c r="O121" s="22">
        <f t="shared" si="11"/>
        <v>121</v>
      </c>
      <c r="P121" s="26"/>
      <c r="Q121" s="26"/>
    </row>
    <row r="122" spans="1:17" x14ac:dyDescent="0.2">
      <c r="A122" s="133">
        <v>40400</v>
      </c>
      <c r="B122" s="26"/>
      <c r="C122" s="26"/>
      <c r="E122" s="26"/>
      <c r="F122" s="26">
        <f t="shared" si="12"/>
        <v>0</v>
      </c>
      <c r="G122" s="22" t="str">
        <f t="shared" ca="1" si="8"/>
        <v>History</v>
      </c>
      <c r="H122" s="22">
        <f t="shared" si="9"/>
        <v>2010</v>
      </c>
      <c r="I122" s="22">
        <f t="shared" si="10"/>
        <v>8</v>
      </c>
      <c r="J122" s="22">
        <f t="shared" si="7"/>
        <v>32</v>
      </c>
      <c r="K122" s="22">
        <v>1</v>
      </c>
      <c r="L122" s="22">
        <f ca="1">SUM(K122:OFFSET(RngToDay,ROWS(Dates),10))</f>
        <v>402</v>
      </c>
      <c r="O122" s="22">
        <f t="shared" si="11"/>
        <v>122</v>
      </c>
      <c r="P122" s="26"/>
      <c r="Q122" s="26"/>
    </row>
    <row r="123" spans="1:17" x14ac:dyDescent="0.2">
      <c r="A123" s="133">
        <v>40399</v>
      </c>
      <c r="B123" s="26"/>
      <c r="C123" s="26"/>
      <c r="E123" s="26"/>
      <c r="F123" s="26">
        <f t="shared" ref="F123:F186" si="13">ActCov</f>
        <v>0</v>
      </c>
      <c r="G123" s="22" t="str">
        <f t="shared" ca="1" si="8"/>
        <v>History</v>
      </c>
      <c r="H123" s="22">
        <f t="shared" si="9"/>
        <v>2010</v>
      </c>
      <c r="I123" s="22">
        <f t="shared" si="10"/>
        <v>8</v>
      </c>
      <c r="J123" s="22">
        <f t="shared" si="7"/>
        <v>32</v>
      </c>
      <c r="K123" s="22">
        <v>1</v>
      </c>
      <c r="L123" s="22">
        <f ca="1">SUM(K123:OFFSET(RngToDay,ROWS(Dates),10))</f>
        <v>401</v>
      </c>
      <c r="O123" s="22">
        <f t="shared" si="11"/>
        <v>123</v>
      </c>
      <c r="P123" s="26"/>
      <c r="Q123" s="26"/>
    </row>
    <row r="124" spans="1:17" x14ac:dyDescent="0.2">
      <c r="A124" s="133">
        <v>40396</v>
      </c>
      <c r="B124" s="26"/>
      <c r="C124" s="26"/>
      <c r="E124" s="26"/>
      <c r="F124" s="26">
        <f t="shared" si="13"/>
        <v>0</v>
      </c>
      <c r="G124" s="22" t="str">
        <f t="shared" ca="1" si="8"/>
        <v>History</v>
      </c>
      <c r="H124" s="22">
        <f t="shared" si="9"/>
        <v>2010</v>
      </c>
      <c r="I124" s="22">
        <f t="shared" si="10"/>
        <v>8</v>
      </c>
      <c r="J124" s="22">
        <f t="shared" si="7"/>
        <v>31</v>
      </c>
      <c r="K124" s="22">
        <v>1</v>
      </c>
      <c r="L124" s="22">
        <f ca="1">SUM(K124:OFFSET(RngToDay,ROWS(Dates),10))</f>
        <v>400</v>
      </c>
      <c r="O124" s="22">
        <f t="shared" si="11"/>
        <v>124</v>
      </c>
      <c r="P124" s="26"/>
      <c r="Q124" s="26"/>
    </row>
    <row r="125" spans="1:17" x14ac:dyDescent="0.2">
      <c r="A125" s="133">
        <v>40395</v>
      </c>
      <c r="B125" s="26"/>
      <c r="C125" s="26"/>
      <c r="E125" s="26"/>
      <c r="F125" s="26">
        <f t="shared" si="13"/>
        <v>0</v>
      </c>
      <c r="G125" s="22" t="str">
        <f t="shared" ca="1" si="8"/>
        <v>History</v>
      </c>
      <c r="H125" s="22">
        <f t="shared" si="9"/>
        <v>2010</v>
      </c>
      <c r="I125" s="22">
        <f t="shared" si="10"/>
        <v>8</v>
      </c>
      <c r="J125" s="22">
        <f t="shared" si="7"/>
        <v>31</v>
      </c>
      <c r="K125" s="22">
        <v>1</v>
      </c>
      <c r="L125" s="22">
        <f ca="1">SUM(K125:OFFSET(RngToDay,ROWS(Dates),10))</f>
        <v>399</v>
      </c>
      <c r="O125" s="22">
        <f t="shared" si="11"/>
        <v>125</v>
      </c>
      <c r="P125" s="26"/>
      <c r="Q125" s="26"/>
    </row>
    <row r="126" spans="1:17" x14ac:dyDescent="0.2">
      <c r="A126" s="133">
        <v>40394</v>
      </c>
      <c r="B126" s="26"/>
      <c r="C126" s="26"/>
      <c r="E126" s="26"/>
      <c r="F126" s="26">
        <f t="shared" si="13"/>
        <v>0</v>
      </c>
      <c r="G126" s="22" t="str">
        <f t="shared" ca="1" si="8"/>
        <v>History</v>
      </c>
      <c r="H126" s="22">
        <f t="shared" si="9"/>
        <v>2010</v>
      </c>
      <c r="I126" s="22">
        <f t="shared" si="10"/>
        <v>8</v>
      </c>
      <c r="J126" s="22">
        <f t="shared" si="7"/>
        <v>31</v>
      </c>
      <c r="K126" s="22">
        <v>1</v>
      </c>
      <c r="L126" s="22">
        <f ca="1">SUM(K126:OFFSET(RngToDay,ROWS(Dates),10))</f>
        <v>398</v>
      </c>
      <c r="O126" s="22">
        <f t="shared" si="11"/>
        <v>126</v>
      </c>
      <c r="P126" s="26"/>
      <c r="Q126" s="26"/>
    </row>
    <row r="127" spans="1:17" x14ac:dyDescent="0.2">
      <c r="A127" s="133">
        <v>40393</v>
      </c>
      <c r="B127" s="26"/>
      <c r="C127" s="26"/>
      <c r="E127" s="26"/>
      <c r="F127" s="26">
        <f t="shared" si="13"/>
        <v>0</v>
      </c>
      <c r="G127" s="22" t="str">
        <f t="shared" ca="1" si="8"/>
        <v>History</v>
      </c>
      <c r="H127" s="22">
        <f t="shared" si="9"/>
        <v>2010</v>
      </c>
      <c r="I127" s="22">
        <f t="shared" si="10"/>
        <v>8</v>
      </c>
      <c r="J127" s="22">
        <f t="shared" si="7"/>
        <v>31</v>
      </c>
      <c r="K127" s="22">
        <v>1</v>
      </c>
      <c r="L127" s="22">
        <f ca="1">SUM(K127:OFFSET(RngToDay,ROWS(Dates),10))</f>
        <v>397</v>
      </c>
      <c r="O127" s="22">
        <f t="shared" si="11"/>
        <v>127</v>
      </c>
      <c r="P127" s="26"/>
      <c r="Q127" s="26"/>
    </row>
    <row r="128" spans="1:17" x14ac:dyDescent="0.2">
      <c r="A128" s="133">
        <v>40392</v>
      </c>
      <c r="B128" s="26"/>
      <c r="C128" s="26"/>
      <c r="E128" s="26"/>
      <c r="F128" s="26">
        <f t="shared" si="13"/>
        <v>0</v>
      </c>
      <c r="G128" s="22" t="str">
        <f t="shared" ca="1" si="8"/>
        <v>History</v>
      </c>
      <c r="H128" s="22">
        <f t="shared" si="9"/>
        <v>2010</v>
      </c>
      <c r="I128" s="22">
        <f t="shared" si="10"/>
        <v>8</v>
      </c>
      <c r="J128" s="22">
        <f t="shared" si="7"/>
        <v>31</v>
      </c>
      <c r="K128" s="22">
        <v>1</v>
      </c>
      <c r="L128" s="22">
        <f ca="1">SUM(K128:OFFSET(RngToDay,ROWS(Dates),10))</f>
        <v>396</v>
      </c>
      <c r="O128" s="22">
        <f t="shared" si="11"/>
        <v>128</v>
      </c>
      <c r="P128" s="26"/>
      <c r="Q128" s="26"/>
    </row>
    <row r="129" spans="1:17" x14ac:dyDescent="0.2">
      <c r="A129" s="133">
        <v>40389</v>
      </c>
      <c r="B129" s="26"/>
      <c r="C129" s="26"/>
      <c r="E129" s="26"/>
      <c r="F129" s="26">
        <f t="shared" si="13"/>
        <v>0</v>
      </c>
      <c r="G129" s="22" t="str">
        <f t="shared" ca="1" si="8"/>
        <v>History</v>
      </c>
      <c r="H129" s="22">
        <f t="shared" si="9"/>
        <v>2010</v>
      </c>
      <c r="I129" s="22">
        <f t="shared" si="10"/>
        <v>7</v>
      </c>
      <c r="J129" s="22">
        <f t="shared" si="7"/>
        <v>30</v>
      </c>
      <c r="K129" s="22">
        <v>1</v>
      </c>
      <c r="L129" s="22">
        <f ca="1">SUM(K129:OFFSET(RngToDay,ROWS(Dates),10))</f>
        <v>395</v>
      </c>
      <c r="O129" s="22">
        <f t="shared" si="11"/>
        <v>129</v>
      </c>
      <c r="P129" s="26"/>
      <c r="Q129" s="26"/>
    </row>
    <row r="130" spans="1:17" x14ac:dyDescent="0.2">
      <c r="A130" s="133">
        <v>40388</v>
      </c>
      <c r="B130" s="26"/>
      <c r="C130" s="26"/>
      <c r="E130" s="26"/>
      <c r="F130" s="26">
        <f t="shared" si="13"/>
        <v>0</v>
      </c>
      <c r="G130" s="22" t="str">
        <f t="shared" ca="1" si="8"/>
        <v>History</v>
      </c>
      <c r="H130" s="22">
        <f t="shared" si="9"/>
        <v>2010</v>
      </c>
      <c r="I130" s="22">
        <f t="shared" si="10"/>
        <v>7</v>
      </c>
      <c r="J130" s="22">
        <f t="shared" ref="J130:J193" si="14">IF(WEEKDAY(DATE(YEAR(A130),1,1),2)&gt;4,WEEKNUM(A130,2)-1,WEEKNUM(A130,2))</f>
        <v>30</v>
      </c>
      <c r="K130" s="22">
        <v>1</v>
      </c>
      <c r="L130" s="22">
        <f ca="1">SUM(K130:OFFSET(RngToDay,ROWS(Dates),10))</f>
        <v>394</v>
      </c>
      <c r="O130" s="22">
        <f t="shared" si="11"/>
        <v>130</v>
      </c>
      <c r="P130" s="26"/>
      <c r="Q130" s="26"/>
    </row>
    <row r="131" spans="1:17" x14ac:dyDescent="0.2">
      <c r="A131" s="133">
        <v>40387</v>
      </c>
      <c r="B131" s="26"/>
      <c r="C131" s="26"/>
      <c r="E131" s="26"/>
      <c r="F131" s="26">
        <f t="shared" si="13"/>
        <v>0</v>
      </c>
      <c r="G131" s="22" t="str">
        <f t="shared" ref="G131:G194" ca="1" si="15">IF(A131&gt;TODAY(),"Requirements","History")</f>
        <v>History</v>
      </c>
      <c r="H131" s="22">
        <f t="shared" ref="H131:H194" si="16">YEAR(A131)</f>
        <v>2010</v>
      </c>
      <c r="I131" s="22">
        <f t="shared" ref="I131:I194" si="17">MONTH(A131)</f>
        <v>7</v>
      </c>
      <c r="J131" s="22">
        <f t="shared" si="14"/>
        <v>30</v>
      </c>
      <c r="K131" s="22">
        <v>1</v>
      </c>
      <c r="L131" s="22">
        <f ca="1">SUM(K131:OFFSET(RngToDay,ROWS(Dates),10))</f>
        <v>393</v>
      </c>
      <c r="O131" s="22">
        <f t="shared" si="11"/>
        <v>131</v>
      </c>
      <c r="P131" s="26"/>
      <c r="Q131" s="26"/>
    </row>
    <row r="132" spans="1:17" x14ac:dyDescent="0.2">
      <c r="A132" s="133">
        <v>40386</v>
      </c>
      <c r="B132" s="26"/>
      <c r="C132" s="26"/>
      <c r="E132" s="26"/>
      <c r="F132" s="26">
        <f t="shared" si="13"/>
        <v>0</v>
      </c>
      <c r="G132" s="22" t="str">
        <f t="shared" ca="1" si="15"/>
        <v>History</v>
      </c>
      <c r="H132" s="22">
        <f t="shared" si="16"/>
        <v>2010</v>
      </c>
      <c r="I132" s="22">
        <f t="shared" si="17"/>
        <v>7</v>
      </c>
      <c r="J132" s="22">
        <f t="shared" si="14"/>
        <v>30</v>
      </c>
      <c r="K132" s="22">
        <v>1</v>
      </c>
      <c r="L132" s="22">
        <f ca="1">SUM(K132:OFFSET(RngToDay,ROWS(Dates),10))</f>
        <v>392</v>
      </c>
      <c r="O132" s="22">
        <f t="shared" ref="O132:O195" si="18">O131+1</f>
        <v>132</v>
      </c>
      <c r="P132" s="26"/>
      <c r="Q132" s="26"/>
    </row>
    <row r="133" spans="1:17" x14ac:dyDescent="0.2">
      <c r="A133" s="133">
        <v>40385</v>
      </c>
      <c r="B133" s="26"/>
      <c r="C133" s="26"/>
      <c r="E133" s="26"/>
      <c r="F133" s="26">
        <f t="shared" si="13"/>
        <v>0</v>
      </c>
      <c r="G133" s="22" t="str">
        <f t="shared" ca="1" si="15"/>
        <v>History</v>
      </c>
      <c r="H133" s="22">
        <f t="shared" si="16"/>
        <v>2010</v>
      </c>
      <c r="I133" s="22">
        <f t="shared" si="17"/>
        <v>7</v>
      </c>
      <c r="J133" s="22">
        <f t="shared" si="14"/>
        <v>30</v>
      </c>
      <c r="K133" s="22">
        <v>1</v>
      </c>
      <c r="L133" s="22">
        <f ca="1">SUM(K133:OFFSET(RngToDay,ROWS(Dates),10))</f>
        <v>391</v>
      </c>
      <c r="O133" s="22">
        <f t="shared" si="18"/>
        <v>133</v>
      </c>
      <c r="P133" s="26"/>
      <c r="Q133" s="26"/>
    </row>
    <row r="134" spans="1:17" x14ac:dyDescent="0.2">
      <c r="A134" s="133">
        <v>40382</v>
      </c>
      <c r="B134" s="26"/>
      <c r="C134" s="26"/>
      <c r="E134" s="26"/>
      <c r="F134" s="26">
        <f t="shared" si="13"/>
        <v>0</v>
      </c>
      <c r="G134" s="22" t="str">
        <f t="shared" ca="1" si="15"/>
        <v>History</v>
      </c>
      <c r="H134" s="22">
        <f t="shared" si="16"/>
        <v>2010</v>
      </c>
      <c r="I134" s="22">
        <f t="shared" si="17"/>
        <v>7</v>
      </c>
      <c r="J134" s="22">
        <f t="shared" si="14"/>
        <v>29</v>
      </c>
      <c r="K134" s="22">
        <v>1</v>
      </c>
      <c r="L134" s="22">
        <f ca="1">SUM(K134:OFFSET(RngToDay,ROWS(Dates),10))</f>
        <v>390</v>
      </c>
      <c r="O134" s="22">
        <f t="shared" si="18"/>
        <v>134</v>
      </c>
      <c r="P134" s="26"/>
      <c r="Q134" s="26"/>
    </row>
    <row r="135" spans="1:17" x14ac:dyDescent="0.2">
      <c r="A135" s="133">
        <v>40381</v>
      </c>
      <c r="B135" s="26"/>
      <c r="C135" s="26"/>
      <c r="E135" s="26"/>
      <c r="F135" s="26">
        <f t="shared" si="13"/>
        <v>0</v>
      </c>
      <c r="G135" s="22" t="str">
        <f t="shared" ca="1" si="15"/>
        <v>History</v>
      </c>
      <c r="H135" s="22">
        <f t="shared" si="16"/>
        <v>2010</v>
      </c>
      <c r="I135" s="22">
        <f t="shared" si="17"/>
        <v>7</v>
      </c>
      <c r="J135" s="22">
        <f t="shared" si="14"/>
        <v>29</v>
      </c>
      <c r="K135" s="22">
        <v>1</v>
      </c>
      <c r="L135" s="22">
        <f ca="1">SUM(K135:OFFSET(RngToDay,ROWS(Dates),10))</f>
        <v>389</v>
      </c>
      <c r="O135" s="22">
        <f t="shared" si="18"/>
        <v>135</v>
      </c>
      <c r="P135" s="26"/>
      <c r="Q135" s="26"/>
    </row>
    <row r="136" spans="1:17" x14ac:dyDescent="0.2">
      <c r="A136" s="133">
        <v>40380</v>
      </c>
      <c r="B136" s="26"/>
      <c r="C136" s="26"/>
      <c r="E136" s="26"/>
      <c r="F136" s="26">
        <f t="shared" si="13"/>
        <v>0</v>
      </c>
      <c r="G136" s="22" t="str">
        <f t="shared" ca="1" si="15"/>
        <v>History</v>
      </c>
      <c r="H136" s="22">
        <f t="shared" si="16"/>
        <v>2010</v>
      </c>
      <c r="I136" s="22">
        <f t="shared" si="17"/>
        <v>7</v>
      </c>
      <c r="J136" s="22">
        <f t="shared" si="14"/>
        <v>29</v>
      </c>
      <c r="K136" s="22">
        <v>1</v>
      </c>
      <c r="L136" s="22">
        <f ca="1">SUM(K136:OFFSET(RngToDay,ROWS(Dates),10))</f>
        <v>388</v>
      </c>
      <c r="O136" s="22">
        <f t="shared" si="18"/>
        <v>136</v>
      </c>
      <c r="P136" s="26"/>
      <c r="Q136" s="26"/>
    </row>
    <row r="137" spans="1:17" x14ac:dyDescent="0.2">
      <c r="A137" s="133">
        <v>40379</v>
      </c>
      <c r="B137" s="26"/>
      <c r="C137" s="26"/>
      <c r="E137" s="26"/>
      <c r="F137" s="26">
        <f t="shared" si="13"/>
        <v>0</v>
      </c>
      <c r="G137" s="22" t="str">
        <f t="shared" ca="1" si="15"/>
        <v>History</v>
      </c>
      <c r="H137" s="22">
        <f t="shared" si="16"/>
        <v>2010</v>
      </c>
      <c r="I137" s="22">
        <f t="shared" si="17"/>
        <v>7</v>
      </c>
      <c r="J137" s="22">
        <f t="shared" si="14"/>
        <v>29</v>
      </c>
      <c r="K137" s="22">
        <v>1</v>
      </c>
      <c r="L137" s="22">
        <f ca="1">SUM(K137:OFFSET(RngToDay,ROWS(Dates),10))</f>
        <v>387</v>
      </c>
      <c r="O137" s="22">
        <f t="shared" si="18"/>
        <v>137</v>
      </c>
      <c r="P137" s="26"/>
      <c r="Q137" s="26"/>
    </row>
    <row r="138" spans="1:17" x14ac:dyDescent="0.2">
      <c r="A138" s="133">
        <v>40378</v>
      </c>
      <c r="B138" s="26"/>
      <c r="C138" s="26"/>
      <c r="E138" s="26"/>
      <c r="F138" s="26">
        <f t="shared" si="13"/>
        <v>0</v>
      </c>
      <c r="G138" s="22" t="str">
        <f t="shared" ca="1" si="15"/>
        <v>History</v>
      </c>
      <c r="H138" s="22">
        <f t="shared" si="16"/>
        <v>2010</v>
      </c>
      <c r="I138" s="22">
        <f t="shared" si="17"/>
        <v>7</v>
      </c>
      <c r="J138" s="22">
        <f t="shared" si="14"/>
        <v>29</v>
      </c>
      <c r="K138" s="22">
        <v>1</v>
      </c>
      <c r="L138" s="22">
        <f ca="1">SUM(K138:OFFSET(RngToDay,ROWS(Dates),10))</f>
        <v>386</v>
      </c>
      <c r="O138" s="22">
        <f t="shared" si="18"/>
        <v>138</v>
      </c>
      <c r="P138" s="26"/>
      <c r="Q138" s="26"/>
    </row>
    <row r="139" spans="1:17" x14ac:dyDescent="0.2">
      <c r="A139" s="133">
        <v>40375</v>
      </c>
      <c r="B139" s="26"/>
      <c r="C139" s="26"/>
      <c r="E139" s="26"/>
      <c r="F139" s="26">
        <f t="shared" si="13"/>
        <v>0</v>
      </c>
      <c r="G139" s="22" t="str">
        <f t="shared" ca="1" si="15"/>
        <v>History</v>
      </c>
      <c r="H139" s="22">
        <f t="shared" si="16"/>
        <v>2010</v>
      </c>
      <c r="I139" s="22">
        <f t="shared" si="17"/>
        <v>7</v>
      </c>
      <c r="J139" s="22">
        <f t="shared" si="14"/>
        <v>28</v>
      </c>
      <c r="K139" s="22">
        <v>1</v>
      </c>
      <c r="L139" s="22">
        <f ca="1">SUM(K139:OFFSET(RngToDay,ROWS(Dates),10))</f>
        <v>385</v>
      </c>
      <c r="O139" s="22">
        <f t="shared" si="18"/>
        <v>139</v>
      </c>
      <c r="P139" s="26"/>
      <c r="Q139" s="26"/>
    </row>
    <row r="140" spans="1:17" x14ac:dyDescent="0.2">
      <c r="A140" s="133">
        <v>40374</v>
      </c>
      <c r="B140" s="26"/>
      <c r="C140" s="26"/>
      <c r="E140" s="26"/>
      <c r="F140" s="26">
        <f t="shared" si="13"/>
        <v>0</v>
      </c>
      <c r="G140" s="22" t="str">
        <f t="shared" ca="1" si="15"/>
        <v>History</v>
      </c>
      <c r="H140" s="22">
        <f t="shared" si="16"/>
        <v>2010</v>
      </c>
      <c r="I140" s="22">
        <f t="shared" si="17"/>
        <v>7</v>
      </c>
      <c r="J140" s="22">
        <f t="shared" si="14"/>
        <v>28</v>
      </c>
      <c r="K140" s="22">
        <v>1</v>
      </c>
      <c r="L140" s="22">
        <f ca="1">SUM(K140:OFFSET(RngToDay,ROWS(Dates),10))</f>
        <v>384</v>
      </c>
      <c r="O140" s="22">
        <f t="shared" si="18"/>
        <v>140</v>
      </c>
      <c r="P140" s="26"/>
      <c r="Q140" s="26"/>
    </row>
    <row r="141" spans="1:17" x14ac:dyDescent="0.2">
      <c r="A141" s="133">
        <v>40373</v>
      </c>
      <c r="B141" s="26"/>
      <c r="C141" s="26"/>
      <c r="E141" s="26"/>
      <c r="F141" s="26">
        <f t="shared" si="13"/>
        <v>0</v>
      </c>
      <c r="G141" s="22" t="str">
        <f t="shared" ca="1" si="15"/>
        <v>History</v>
      </c>
      <c r="H141" s="22">
        <f t="shared" si="16"/>
        <v>2010</v>
      </c>
      <c r="I141" s="22">
        <f t="shared" si="17"/>
        <v>7</v>
      </c>
      <c r="J141" s="22">
        <f t="shared" si="14"/>
        <v>28</v>
      </c>
      <c r="K141" s="22">
        <v>1</v>
      </c>
      <c r="L141" s="22">
        <f ca="1">SUM(K141:OFFSET(RngToDay,ROWS(Dates),10))</f>
        <v>383</v>
      </c>
      <c r="O141" s="22">
        <f t="shared" si="18"/>
        <v>141</v>
      </c>
      <c r="P141" s="26"/>
      <c r="Q141" s="26"/>
    </row>
    <row r="142" spans="1:17" x14ac:dyDescent="0.2">
      <c r="A142" s="133">
        <v>40372</v>
      </c>
      <c r="B142" s="26"/>
      <c r="C142" s="26"/>
      <c r="E142" s="26"/>
      <c r="F142" s="26">
        <f t="shared" si="13"/>
        <v>0</v>
      </c>
      <c r="G142" s="22" t="str">
        <f t="shared" ca="1" si="15"/>
        <v>History</v>
      </c>
      <c r="H142" s="22">
        <f t="shared" si="16"/>
        <v>2010</v>
      </c>
      <c r="I142" s="22">
        <f t="shared" si="17"/>
        <v>7</v>
      </c>
      <c r="J142" s="22">
        <f t="shared" si="14"/>
        <v>28</v>
      </c>
      <c r="K142" s="22">
        <v>1</v>
      </c>
      <c r="L142" s="22">
        <f ca="1">SUM(K142:OFFSET(RngToDay,ROWS(Dates),10))</f>
        <v>382</v>
      </c>
      <c r="O142" s="22">
        <f t="shared" si="18"/>
        <v>142</v>
      </c>
      <c r="P142" s="26"/>
      <c r="Q142" s="26"/>
    </row>
    <row r="143" spans="1:17" x14ac:dyDescent="0.2">
      <c r="A143" s="133">
        <v>40371</v>
      </c>
      <c r="B143" s="26"/>
      <c r="C143" s="26"/>
      <c r="E143" s="26"/>
      <c r="F143" s="26">
        <f t="shared" si="13"/>
        <v>0</v>
      </c>
      <c r="G143" s="22" t="str">
        <f t="shared" ca="1" si="15"/>
        <v>History</v>
      </c>
      <c r="H143" s="22">
        <f t="shared" si="16"/>
        <v>2010</v>
      </c>
      <c r="I143" s="22">
        <f t="shared" si="17"/>
        <v>7</v>
      </c>
      <c r="J143" s="22">
        <f t="shared" si="14"/>
        <v>28</v>
      </c>
      <c r="K143" s="22">
        <v>1</v>
      </c>
      <c r="L143" s="22">
        <f ca="1">SUM(K143:OFFSET(RngToDay,ROWS(Dates),10))</f>
        <v>381</v>
      </c>
      <c r="O143" s="22">
        <f t="shared" si="18"/>
        <v>143</v>
      </c>
      <c r="P143" s="26"/>
      <c r="Q143" s="26"/>
    </row>
    <row r="144" spans="1:17" x14ac:dyDescent="0.2">
      <c r="A144" s="133">
        <v>40368</v>
      </c>
      <c r="B144" s="26"/>
      <c r="C144" s="26"/>
      <c r="E144" s="26"/>
      <c r="F144" s="26">
        <f t="shared" si="13"/>
        <v>0</v>
      </c>
      <c r="G144" s="22" t="str">
        <f t="shared" ca="1" si="15"/>
        <v>History</v>
      </c>
      <c r="H144" s="22">
        <f t="shared" si="16"/>
        <v>2010</v>
      </c>
      <c r="I144" s="22">
        <f t="shared" si="17"/>
        <v>7</v>
      </c>
      <c r="J144" s="22">
        <f t="shared" si="14"/>
        <v>27</v>
      </c>
      <c r="K144" s="22">
        <v>1</v>
      </c>
      <c r="L144" s="22">
        <f ca="1">SUM(K144:OFFSET(RngToDay,ROWS(Dates),10))</f>
        <v>380</v>
      </c>
      <c r="O144" s="22">
        <f t="shared" si="18"/>
        <v>144</v>
      </c>
      <c r="P144" s="26"/>
      <c r="Q144" s="26"/>
    </row>
    <row r="145" spans="1:17" x14ac:dyDescent="0.2">
      <c r="A145" s="133">
        <v>40367</v>
      </c>
      <c r="B145" s="26"/>
      <c r="C145" s="26"/>
      <c r="E145" s="26"/>
      <c r="F145" s="26">
        <f t="shared" si="13"/>
        <v>0</v>
      </c>
      <c r="G145" s="22" t="str">
        <f t="shared" ca="1" si="15"/>
        <v>History</v>
      </c>
      <c r="H145" s="22">
        <f t="shared" si="16"/>
        <v>2010</v>
      </c>
      <c r="I145" s="22">
        <f t="shared" si="17"/>
        <v>7</v>
      </c>
      <c r="J145" s="22">
        <f t="shared" si="14"/>
        <v>27</v>
      </c>
      <c r="K145" s="22">
        <v>1</v>
      </c>
      <c r="L145" s="22">
        <f ca="1">SUM(K145:OFFSET(RngToDay,ROWS(Dates),10))</f>
        <v>379</v>
      </c>
      <c r="O145" s="22">
        <f t="shared" si="18"/>
        <v>145</v>
      </c>
      <c r="P145" s="26"/>
      <c r="Q145" s="26"/>
    </row>
    <row r="146" spans="1:17" x14ac:dyDescent="0.2">
      <c r="A146" s="133">
        <v>40366</v>
      </c>
      <c r="B146" s="26"/>
      <c r="C146" s="26"/>
      <c r="E146" s="26"/>
      <c r="F146" s="26">
        <f t="shared" si="13"/>
        <v>0</v>
      </c>
      <c r="G146" s="22" t="str">
        <f t="shared" ca="1" si="15"/>
        <v>History</v>
      </c>
      <c r="H146" s="22">
        <f t="shared" si="16"/>
        <v>2010</v>
      </c>
      <c r="I146" s="22">
        <f t="shared" si="17"/>
        <v>7</v>
      </c>
      <c r="J146" s="22">
        <f t="shared" si="14"/>
        <v>27</v>
      </c>
      <c r="K146" s="22">
        <v>1</v>
      </c>
      <c r="L146" s="22">
        <f ca="1">SUM(K146:OFFSET(RngToDay,ROWS(Dates),10))</f>
        <v>378</v>
      </c>
      <c r="O146" s="22">
        <f t="shared" si="18"/>
        <v>146</v>
      </c>
      <c r="P146" s="26"/>
      <c r="Q146" s="26"/>
    </row>
    <row r="147" spans="1:17" x14ac:dyDescent="0.2">
      <c r="A147" s="133">
        <v>40365</v>
      </c>
      <c r="B147" s="26"/>
      <c r="C147" s="26"/>
      <c r="E147" s="26"/>
      <c r="F147" s="26">
        <f t="shared" si="13"/>
        <v>0</v>
      </c>
      <c r="G147" s="22" t="str">
        <f t="shared" ca="1" si="15"/>
        <v>History</v>
      </c>
      <c r="H147" s="22">
        <f t="shared" si="16"/>
        <v>2010</v>
      </c>
      <c r="I147" s="22">
        <f t="shared" si="17"/>
        <v>7</v>
      </c>
      <c r="J147" s="22">
        <f t="shared" si="14"/>
        <v>27</v>
      </c>
      <c r="K147" s="22">
        <v>1</v>
      </c>
      <c r="L147" s="22">
        <f ca="1">SUM(K147:OFFSET(RngToDay,ROWS(Dates),10))</f>
        <v>377</v>
      </c>
      <c r="O147" s="22">
        <f t="shared" si="18"/>
        <v>147</v>
      </c>
      <c r="P147" s="26"/>
      <c r="Q147" s="26"/>
    </row>
    <row r="148" spans="1:17" x14ac:dyDescent="0.2">
      <c r="A148" s="133">
        <v>40364</v>
      </c>
      <c r="B148" s="26"/>
      <c r="C148" s="26"/>
      <c r="E148" s="26"/>
      <c r="F148" s="26">
        <f t="shared" si="13"/>
        <v>0</v>
      </c>
      <c r="G148" s="22" t="str">
        <f t="shared" ca="1" si="15"/>
        <v>History</v>
      </c>
      <c r="H148" s="22">
        <f t="shared" si="16"/>
        <v>2010</v>
      </c>
      <c r="I148" s="22">
        <f t="shared" si="17"/>
        <v>7</v>
      </c>
      <c r="J148" s="22">
        <f t="shared" si="14"/>
        <v>27</v>
      </c>
      <c r="K148" s="22">
        <v>1</v>
      </c>
      <c r="L148" s="22">
        <f ca="1">SUM(K148:OFFSET(RngToDay,ROWS(Dates),10))</f>
        <v>376</v>
      </c>
      <c r="O148" s="22">
        <f t="shared" si="18"/>
        <v>148</v>
      </c>
      <c r="P148" s="26"/>
      <c r="Q148" s="26"/>
    </row>
    <row r="149" spans="1:17" x14ac:dyDescent="0.2">
      <c r="A149" s="133">
        <v>40361</v>
      </c>
      <c r="B149" s="26"/>
      <c r="C149" s="26"/>
      <c r="E149" s="26"/>
      <c r="F149" s="26">
        <f t="shared" si="13"/>
        <v>0</v>
      </c>
      <c r="G149" s="22" t="str">
        <f t="shared" ca="1" si="15"/>
        <v>History</v>
      </c>
      <c r="H149" s="22">
        <f t="shared" si="16"/>
        <v>2010</v>
      </c>
      <c r="I149" s="22">
        <f t="shared" si="17"/>
        <v>7</v>
      </c>
      <c r="J149" s="22">
        <f t="shared" si="14"/>
        <v>26</v>
      </c>
      <c r="K149" s="22">
        <v>1</v>
      </c>
      <c r="L149" s="22">
        <f ca="1">SUM(K149:OFFSET(RngToDay,ROWS(Dates),10))</f>
        <v>375</v>
      </c>
      <c r="O149" s="22">
        <f t="shared" si="18"/>
        <v>149</v>
      </c>
      <c r="P149" s="26"/>
      <c r="Q149" s="26"/>
    </row>
    <row r="150" spans="1:17" x14ac:dyDescent="0.2">
      <c r="A150" s="133">
        <v>40360</v>
      </c>
      <c r="B150" s="26"/>
      <c r="C150" s="26"/>
      <c r="E150" s="26"/>
      <c r="F150" s="26">
        <f t="shared" si="13"/>
        <v>0</v>
      </c>
      <c r="G150" s="22" t="str">
        <f t="shared" ca="1" si="15"/>
        <v>History</v>
      </c>
      <c r="H150" s="22">
        <f t="shared" si="16"/>
        <v>2010</v>
      </c>
      <c r="I150" s="22">
        <f t="shared" si="17"/>
        <v>7</v>
      </c>
      <c r="J150" s="22">
        <f t="shared" si="14"/>
        <v>26</v>
      </c>
      <c r="K150" s="22">
        <v>1</v>
      </c>
      <c r="L150" s="22">
        <f ca="1">SUM(K150:OFFSET(RngToDay,ROWS(Dates),10))</f>
        <v>374</v>
      </c>
      <c r="O150" s="22">
        <f t="shared" si="18"/>
        <v>150</v>
      </c>
      <c r="P150" s="26"/>
      <c r="Q150" s="26"/>
    </row>
    <row r="151" spans="1:17" x14ac:dyDescent="0.2">
      <c r="A151" s="133">
        <v>40359</v>
      </c>
      <c r="B151" s="26"/>
      <c r="C151" s="26"/>
      <c r="E151" s="26"/>
      <c r="F151" s="26">
        <f t="shared" si="13"/>
        <v>0</v>
      </c>
      <c r="G151" s="22" t="str">
        <f t="shared" ca="1" si="15"/>
        <v>History</v>
      </c>
      <c r="H151" s="22">
        <f t="shared" si="16"/>
        <v>2010</v>
      </c>
      <c r="I151" s="22">
        <f t="shared" si="17"/>
        <v>6</v>
      </c>
      <c r="J151" s="22">
        <f t="shared" si="14"/>
        <v>26</v>
      </c>
      <c r="K151" s="22">
        <v>1</v>
      </c>
      <c r="L151" s="22">
        <f ca="1">SUM(K151:OFFSET(RngToDay,ROWS(Dates),10))</f>
        <v>373</v>
      </c>
      <c r="O151" s="22">
        <f t="shared" si="18"/>
        <v>151</v>
      </c>
      <c r="P151" s="26"/>
      <c r="Q151" s="26"/>
    </row>
    <row r="152" spans="1:17" x14ac:dyDescent="0.2">
      <c r="A152" s="133">
        <v>40358</v>
      </c>
      <c r="B152" s="26"/>
      <c r="C152" s="26"/>
      <c r="E152" s="26"/>
      <c r="F152" s="26">
        <f t="shared" si="13"/>
        <v>0</v>
      </c>
      <c r="G152" s="22" t="str">
        <f t="shared" ca="1" si="15"/>
        <v>History</v>
      </c>
      <c r="H152" s="22">
        <f t="shared" si="16"/>
        <v>2010</v>
      </c>
      <c r="I152" s="22">
        <f t="shared" si="17"/>
        <v>6</v>
      </c>
      <c r="J152" s="22">
        <f t="shared" si="14"/>
        <v>26</v>
      </c>
      <c r="K152" s="22">
        <v>1</v>
      </c>
      <c r="L152" s="22">
        <f ca="1">SUM(K152:OFFSET(RngToDay,ROWS(Dates),10))</f>
        <v>372</v>
      </c>
      <c r="O152" s="22">
        <f t="shared" si="18"/>
        <v>152</v>
      </c>
      <c r="P152" s="26"/>
      <c r="Q152" s="26"/>
    </row>
    <row r="153" spans="1:17" x14ac:dyDescent="0.2">
      <c r="A153" s="133">
        <v>40357</v>
      </c>
      <c r="B153" s="26"/>
      <c r="C153" s="26"/>
      <c r="E153" s="26"/>
      <c r="F153" s="26">
        <f t="shared" si="13"/>
        <v>0</v>
      </c>
      <c r="G153" s="22" t="str">
        <f t="shared" ca="1" si="15"/>
        <v>History</v>
      </c>
      <c r="H153" s="22">
        <f t="shared" si="16"/>
        <v>2010</v>
      </c>
      <c r="I153" s="22">
        <f t="shared" si="17"/>
        <v>6</v>
      </c>
      <c r="J153" s="22">
        <f t="shared" si="14"/>
        <v>26</v>
      </c>
      <c r="K153" s="22">
        <v>1</v>
      </c>
      <c r="L153" s="22">
        <f ca="1">SUM(K153:OFFSET(RngToDay,ROWS(Dates),10))</f>
        <v>371</v>
      </c>
      <c r="O153" s="22">
        <f t="shared" si="18"/>
        <v>153</v>
      </c>
      <c r="P153" s="26"/>
      <c r="Q153" s="26"/>
    </row>
    <row r="154" spans="1:17" x14ac:dyDescent="0.2">
      <c r="A154" s="133">
        <v>40354</v>
      </c>
      <c r="B154" s="26"/>
      <c r="C154" s="26"/>
      <c r="E154" s="26"/>
      <c r="F154" s="26">
        <f t="shared" si="13"/>
        <v>0</v>
      </c>
      <c r="G154" s="22" t="str">
        <f t="shared" ca="1" si="15"/>
        <v>History</v>
      </c>
      <c r="H154" s="22">
        <f t="shared" si="16"/>
        <v>2010</v>
      </c>
      <c r="I154" s="22">
        <f t="shared" si="17"/>
        <v>6</v>
      </c>
      <c r="J154" s="22">
        <f t="shared" si="14"/>
        <v>25</v>
      </c>
      <c r="K154" s="22">
        <v>1</v>
      </c>
      <c r="L154" s="22">
        <f ca="1">SUM(K154:OFFSET(RngToDay,ROWS(Dates),10))</f>
        <v>370</v>
      </c>
      <c r="O154" s="22">
        <f t="shared" si="18"/>
        <v>154</v>
      </c>
      <c r="P154" s="26"/>
      <c r="Q154" s="26"/>
    </row>
    <row r="155" spans="1:17" x14ac:dyDescent="0.2">
      <c r="A155" s="133">
        <v>40353</v>
      </c>
      <c r="B155" s="26"/>
      <c r="C155" s="26"/>
      <c r="E155" s="26"/>
      <c r="F155" s="26">
        <f t="shared" si="13"/>
        <v>0</v>
      </c>
      <c r="G155" s="22" t="str">
        <f t="shared" ca="1" si="15"/>
        <v>History</v>
      </c>
      <c r="H155" s="22">
        <f t="shared" si="16"/>
        <v>2010</v>
      </c>
      <c r="I155" s="22">
        <f t="shared" si="17"/>
        <v>6</v>
      </c>
      <c r="J155" s="22">
        <f t="shared" si="14"/>
        <v>25</v>
      </c>
      <c r="K155" s="22">
        <v>1</v>
      </c>
      <c r="L155" s="22">
        <f ca="1">SUM(K155:OFFSET(RngToDay,ROWS(Dates),10))</f>
        <v>369</v>
      </c>
      <c r="O155" s="22">
        <f t="shared" si="18"/>
        <v>155</v>
      </c>
      <c r="P155" s="26"/>
      <c r="Q155" s="26"/>
    </row>
    <row r="156" spans="1:17" x14ac:dyDescent="0.2">
      <c r="A156" s="133">
        <v>40352</v>
      </c>
      <c r="B156" s="26"/>
      <c r="C156" s="26"/>
      <c r="E156" s="26"/>
      <c r="F156" s="26">
        <f t="shared" si="13"/>
        <v>0</v>
      </c>
      <c r="G156" s="22" t="str">
        <f t="shared" ca="1" si="15"/>
        <v>History</v>
      </c>
      <c r="H156" s="22">
        <f t="shared" si="16"/>
        <v>2010</v>
      </c>
      <c r="I156" s="22">
        <f t="shared" si="17"/>
        <v>6</v>
      </c>
      <c r="J156" s="22">
        <f t="shared" si="14"/>
        <v>25</v>
      </c>
      <c r="K156" s="22">
        <v>1</v>
      </c>
      <c r="L156" s="22">
        <f ca="1">SUM(K156:OFFSET(RngToDay,ROWS(Dates),10))</f>
        <v>368</v>
      </c>
      <c r="O156" s="22">
        <f t="shared" si="18"/>
        <v>156</v>
      </c>
      <c r="P156" s="26"/>
      <c r="Q156" s="26"/>
    </row>
    <row r="157" spans="1:17" x14ac:dyDescent="0.2">
      <c r="A157" s="133">
        <v>40351</v>
      </c>
      <c r="B157" s="26"/>
      <c r="C157" s="26"/>
      <c r="E157" s="26"/>
      <c r="F157" s="26">
        <f t="shared" si="13"/>
        <v>0</v>
      </c>
      <c r="G157" s="22" t="str">
        <f t="shared" ca="1" si="15"/>
        <v>History</v>
      </c>
      <c r="H157" s="22">
        <f t="shared" si="16"/>
        <v>2010</v>
      </c>
      <c r="I157" s="22">
        <f t="shared" si="17"/>
        <v>6</v>
      </c>
      <c r="J157" s="22">
        <f t="shared" si="14"/>
        <v>25</v>
      </c>
      <c r="K157" s="22">
        <v>1</v>
      </c>
      <c r="L157" s="22">
        <f ca="1">SUM(K157:OFFSET(RngToDay,ROWS(Dates),10))</f>
        <v>367</v>
      </c>
      <c r="O157" s="22">
        <f t="shared" si="18"/>
        <v>157</v>
      </c>
      <c r="P157" s="26"/>
      <c r="Q157" s="26"/>
    </row>
    <row r="158" spans="1:17" x14ac:dyDescent="0.2">
      <c r="A158" s="133">
        <v>40350</v>
      </c>
      <c r="B158" s="26"/>
      <c r="C158" s="26"/>
      <c r="E158" s="26"/>
      <c r="F158" s="26">
        <f t="shared" si="13"/>
        <v>0</v>
      </c>
      <c r="G158" s="22" t="str">
        <f t="shared" ca="1" si="15"/>
        <v>History</v>
      </c>
      <c r="H158" s="22">
        <f t="shared" si="16"/>
        <v>2010</v>
      </c>
      <c r="I158" s="22">
        <f t="shared" si="17"/>
        <v>6</v>
      </c>
      <c r="J158" s="22">
        <f t="shared" si="14"/>
        <v>25</v>
      </c>
      <c r="K158" s="22">
        <v>1</v>
      </c>
      <c r="L158" s="22">
        <f ca="1">SUM(K158:OFFSET(RngToDay,ROWS(Dates),10))</f>
        <v>366</v>
      </c>
      <c r="O158" s="22">
        <f t="shared" si="18"/>
        <v>158</v>
      </c>
      <c r="P158" s="26"/>
      <c r="Q158" s="26"/>
    </row>
    <row r="159" spans="1:17" x14ac:dyDescent="0.2">
      <c r="A159" s="133">
        <v>40347</v>
      </c>
      <c r="B159" s="26"/>
      <c r="C159" s="26"/>
      <c r="E159" s="26"/>
      <c r="F159" s="26">
        <f t="shared" si="13"/>
        <v>0</v>
      </c>
      <c r="G159" s="22" t="str">
        <f t="shared" ca="1" si="15"/>
        <v>History</v>
      </c>
      <c r="H159" s="22">
        <f t="shared" si="16"/>
        <v>2010</v>
      </c>
      <c r="I159" s="22">
        <f t="shared" si="17"/>
        <v>6</v>
      </c>
      <c r="J159" s="22">
        <f t="shared" si="14"/>
        <v>24</v>
      </c>
      <c r="K159" s="22">
        <v>1</v>
      </c>
      <c r="L159" s="22">
        <f ca="1">SUM(K159:OFFSET(RngToDay,ROWS(Dates),10))</f>
        <v>365</v>
      </c>
      <c r="O159" s="22">
        <f t="shared" si="18"/>
        <v>159</v>
      </c>
      <c r="P159" s="26"/>
      <c r="Q159" s="26"/>
    </row>
    <row r="160" spans="1:17" x14ac:dyDescent="0.2">
      <c r="A160" s="133">
        <v>40346</v>
      </c>
      <c r="B160" s="26"/>
      <c r="C160" s="26"/>
      <c r="E160" s="26"/>
      <c r="F160" s="26">
        <f t="shared" si="13"/>
        <v>0</v>
      </c>
      <c r="G160" s="22" t="str">
        <f t="shared" ca="1" si="15"/>
        <v>History</v>
      </c>
      <c r="H160" s="22">
        <f t="shared" si="16"/>
        <v>2010</v>
      </c>
      <c r="I160" s="22">
        <f t="shared" si="17"/>
        <v>6</v>
      </c>
      <c r="J160" s="22">
        <f t="shared" si="14"/>
        <v>24</v>
      </c>
      <c r="K160" s="22">
        <v>1</v>
      </c>
      <c r="L160" s="22">
        <f ca="1">SUM(K160:OFFSET(RngToDay,ROWS(Dates),10))</f>
        <v>364</v>
      </c>
      <c r="O160" s="22">
        <f t="shared" si="18"/>
        <v>160</v>
      </c>
      <c r="P160" s="26"/>
      <c r="Q160" s="26"/>
    </row>
    <row r="161" spans="1:17" x14ac:dyDescent="0.2">
      <c r="A161" s="133">
        <v>40345</v>
      </c>
      <c r="B161" s="26"/>
      <c r="C161" s="26"/>
      <c r="E161" s="26"/>
      <c r="F161" s="26">
        <f t="shared" si="13"/>
        <v>0</v>
      </c>
      <c r="G161" s="22" t="str">
        <f t="shared" ca="1" si="15"/>
        <v>History</v>
      </c>
      <c r="H161" s="22">
        <f t="shared" si="16"/>
        <v>2010</v>
      </c>
      <c r="I161" s="22">
        <f t="shared" si="17"/>
        <v>6</v>
      </c>
      <c r="J161" s="22">
        <f t="shared" si="14"/>
        <v>24</v>
      </c>
      <c r="K161" s="22">
        <v>1</v>
      </c>
      <c r="L161" s="22">
        <f ca="1">SUM(K161:OFFSET(RngToDay,ROWS(Dates),10))</f>
        <v>363</v>
      </c>
      <c r="O161" s="22">
        <f t="shared" si="18"/>
        <v>161</v>
      </c>
      <c r="P161" s="26"/>
      <c r="Q161" s="26"/>
    </row>
    <row r="162" spans="1:17" x14ac:dyDescent="0.2">
      <c r="A162" s="133">
        <v>40344</v>
      </c>
      <c r="B162" s="26"/>
      <c r="C162" s="26"/>
      <c r="E162" s="26"/>
      <c r="F162" s="26">
        <f t="shared" si="13"/>
        <v>0</v>
      </c>
      <c r="G162" s="22" t="str">
        <f t="shared" ca="1" si="15"/>
        <v>History</v>
      </c>
      <c r="H162" s="22">
        <f t="shared" si="16"/>
        <v>2010</v>
      </c>
      <c r="I162" s="22">
        <f t="shared" si="17"/>
        <v>6</v>
      </c>
      <c r="J162" s="22">
        <f t="shared" si="14"/>
        <v>24</v>
      </c>
      <c r="K162" s="22">
        <v>1</v>
      </c>
      <c r="L162" s="22">
        <f ca="1">SUM(K162:OFFSET(RngToDay,ROWS(Dates),10))</f>
        <v>362</v>
      </c>
      <c r="O162" s="22">
        <f t="shared" si="18"/>
        <v>162</v>
      </c>
      <c r="P162" s="26"/>
      <c r="Q162" s="26"/>
    </row>
    <row r="163" spans="1:17" x14ac:dyDescent="0.2">
      <c r="A163" s="133">
        <v>40343</v>
      </c>
      <c r="B163" s="26"/>
      <c r="C163" s="26"/>
      <c r="E163" s="26"/>
      <c r="F163" s="26">
        <f t="shared" si="13"/>
        <v>0</v>
      </c>
      <c r="G163" s="22" t="str">
        <f t="shared" ca="1" si="15"/>
        <v>History</v>
      </c>
      <c r="H163" s="22">
        <f t="shared" si="16"/>
        <v>2010</v>
      </c>
      <c r="I163" s="22">
        <f t="shared" si="17"/>
        <v>6</v>
      </c>
      <c r="J163" s="22">
        <f t="shared" si="14"/>
        <v>24</v>
      </c>
      <c r="K163" s="22">
        <v>1</v>
      </c>
      <c r="L163" s="22">
        <f ca="1">SUM(K163:OFFSET(RngToDay,ROWS(Dates),10))</f>
        <v>361</v>
      </c>
      <c r="O163" s="22">
        <f t="shared" si="18"/>
        <v>163</v>
      </c>
      <c r="P163" s="26"/>
      <c r="Q163" s="26"/>
    </row>
    <row r="164" spans="1:17" x14ac:dyDescent="0.2">
      <c r="A164" s="133">
        <v>40340</v>
      </c>
      <c r="B164" s="26"/>
      <c r="C164" s="26"/>
      <c r="E164" s="26"/>
      <c r="F164" s="26">
        <f t="shared" si="13"/>
        <v>0</v>
      </c>
      <c r="G164" s="22" t="str">
        <f t="shared" ca="1" si="15"/>
        <v>History</v>
      </c>
      <c r="H164" s="22">
        <f t="shared" si="16"/>
        <v>2010</v>
      </c>
      <c r="I164" s="22">
        <f t="shared" si="17"/>
        <v>6</v>
      </c>
      <c r="J164" s="22">
        <f t="shared" si="14"/>
        <v>23</v>
      </c>
      <c r="K164" s="22">
        <v>1</v>
      </c>
      <c r="L164" s="22">
        <f ca="1">SUM(K164:OFFSET(RngToDay,ROWS(Dates),10))</f>
        <v>360</v>
      </c>
      <c r="O164" s="22">
        <f t="shared" si="18"/>
        <v>164</v>
      </c>
      <c r="P164" s="26"/>
      <c r="Q164" s="26"/>
    </row>
    <row r="165" spans="1:17" x14ac:dyDescent="0.2">
      <c r="A165" s="133">
        <v>40339</v>
      </c>
      <c r="B165" s="26"/>
      <c r="C165" s="26"/>
      <c r="E165" s="26"/>
      <c r="F165" s="26">
        <f t="shared" si="13"/>
        <v>0</v>
      </c>
      <c r="G165" s="22" t="str">
        <f t="shared" ca="1" si="15"/>
        <v>History</v>
      </c>
      <c r="H165" s="22">
        <f t="shared" si="16"/>
        <v>2010</v>
      </c>
      <c r="I165" s="22">
        <f t="shared" si="17"/>
        <v>6</v>
      </c>
      <c r="J165" s="22">
        <f t="shared" si="14"/>
        <v>23</v>
      </c>
      <c r="K165" s="22">
        <v>1</v>
      </c>
      <c r="L165" s="22">
        <f ca="1">SUM(K165:OFFSET(RngToDay,ROWS(Dates),10))</f>
        <v>359</v>
      </c>
      <c r="O165" s="22">
        <f t="shared" si="18"/>
        <v>165</v>
      </c>
      <c r="P165" s="26"/>
      <c r="Q165" s="26"/>
    </row>
    <row r="166" spans="1:17" x14ac:dyDescent="0.2">
      <c r="A166" s="133">
        <v>40338</v>
      </c>
      <c r="B166" s="26"/>
      <c r="C166" s="26"/>
      <c r="E166" s="26"/>
      <c r="F166" s="26">
        <f t="shared" si="13"/>
        <v>0</v>
      </c>
      <c r="G166" s="22" t="str">
        <f t="shared" ca="1" si="15"/>
        <v>History</v>
      </c>
      <c r="H166" s="22">
        <f t="shared" si="16"/>
        <v>2010</v>
      </c>
      <c r="I166" s="22">
        <f t="shared" si="17"/>
        <v>6</v>
      </c>
      <c r="J166" s="22">
        <f t="shared" si="14"/>
        <v>23</v>
      </c>
      <c r="K166" s="22">
        <v>1</v>
      </c>
      <c r="L166" s="22">
        <f ca="1">SUM(K166:OFFSET(RngToDay,ROWS(Dates),10))</f>
        <v>358</v>
      </c>
      <c r="O166" s="22">
        <f t="shared" si="18"/>
        <v>166</v>
      </c>
      <c r="P166" s="26"/>
      <c r="Q166" s="26"/>
    </row>
    <row r="167" spans="1:17" x14ac:dyDescent="0.2">
      <c r="A167" s="133">
        <v>40337</v>
      </c>
      <c r="B167" s="26"/>
      <c r="C167" s="26"/>
      <c r="E167" s="26"/>
      <c r="F167" s="26">
        <f t="shared" si="13"/>
        <v>0</v>
      </c>
      <c r="G167" s="22" t="str">
        <f t="shared" ca="1" si="15"/>
        <v>History</v>
      </c>
      <c r="H167" s="22">
        <f t="shared" si="16"/>
        <v>2010</v>
      </c>
      <c r="I167" s="22">
        <f t="shared" si="17"/>
        <v>6</v>
      </c>
      <c r="J167" s="22">
        <f t="shared" si="14"/>
        <v>23</v>
      </c>
      <c r="K167" s="22">
        <v>1</v>
      </c>
      <c r="L167" s="22">
        <f ca="1">SUM(K167:OFFSET(RngToDay,ROWS(Dates),10))</f>
        <v>357</v>
      </c>
      <c r="O167" s="22">
        <f t="shared" si="18"/>
        <v>167</v>
      </c>
      <c r="P167" s="26"/>
      <c r="Q167" s="26"/>
    </row>
    <row r="168" spans="1:17" x14ac:dyDescent="0.2">
      <c r="A168" s="133">
        <v>40336</v>
      </c>
      <c r="B168" s="26"/>
      <c r="C168" s="26"/>
      <c r="E168" s="26"/>
      <c r="F168" s="26">
        <f t="shared" si="13"/>
        <v>0</v>
      </c>
      <c r="G168" s="22" t="str">
        <f t="shared" ca="1" si="15"/>
        <v>History</v>
      </c>
      <c r="H168" s="22">
        <f t="shared" si="16"/>
        <v>2010</v>
      </c>
      <c r="I168" s="22">
        <f t="shared" si="17"/>
        <v>6</v>
      </c>
      <c r="J168" s="22">
        <f t="shared" si="14"/>
        <v>23</v>
      </c>
      <c r="K168" s="22">
        <v>1</v>
      </c>
      <c r="L168" s="22">
        <f ca="1">SUM(K168:OFFSET(RngToDay,ROWS(Dates),10))</f>
        <v>356</v>
      </c>
      <c r="O168" s="22">
        <f t="shared" si="18"/>
        <v>168</v>
      </c>
      <c r="P168" s="26"/>
      <c r="Q168" s="26"/>
    </row>
    <row r="169" spans="1:17" x14ac:dyDescent="0.2">
      <c r="A169" s="133">
        <v>40333</v>
      </c>
      <c r="B169" s="26"/>
      <c r="C169" s="26"/>
      <c r="E169" s="26"/>
      <c r="F169" s="26">
        <f t="shared" si="13"/>
        <v>0</v>
      </c>
      <c r="G169" s="22" t="str">
        <f t="shared" ca="1" si="15"/>
        <v>History</v>
      </c>
      <c r="H169" s="22">
        <f t="shared" si="16"/>
        <v>2010</v>
      </c>
      <c r="I169" s="22">
        <f t="shared" si="17"/>
        <v>6</v>
      </c>
      <c r="J169" s="22">
        <f t="shared" si="14"/>
        <v>22</v>
      </c>
      <c r="K169" s="22">
        <v>1</v>
      </c>
      <c r="L169" s="22">
        <f ca="1">SUM(K169:OFFSET(RngToDay,ROWS(Dates),10))</f>
        <v>355</v>
      </c>
      <c r="O169" s="22">
        <f t="shared" si="18"/>
        <v>169</v>
      </c>
      <c r="P169" s="26"/>
      <c r="Q169" s="26"/>
    </row>
    <row r="170" spans="1:17" x14ac:dyDescent="0.2">
      <c r="A170" s="133">
        <v>40332</v>
      </c>
      <c r="B170" s="26"/>
      <c r="C170" s="26"/>
      <c r="E170" s="26"/>
      <c r="F170" s="26">
        <f t="shared" si="13"/>
        <v>0</v>
      </c>
      <c r="G170" s="22" t="str">
        <f t="shared" ca="1" si="15"/>
        <v>History</v>
      </c>
      <c r="H170" s="22">
        <f t="shared" si="16"/>
        <v>2010</v>
      </c>
      <c r="I170" s="22">
        <f t="shared" si="17"/>
        <v>6</v>
      </c>
      <c r="J170" s="22">
        <f t="shared" si="14"/>
        <v>22</v>
      </c>
      <c r="K170" s="22">
        <v>1</v>
      </c>
      <c r="L170" s="22">
        <f ca="1">SUM(K170:OFFSET(RngToDay,ROWS(Dates),10))</f>
        <v>354</v>
      </c>
      <c r="O170" s="22">
        <f t="shared" si="18"/>
        <v>170</v>
      </c>
      <c r="P170" s="26"/>
      <c r="Q170" s="26"/>
    </row>
    <row r="171" spans="1:17" x14ac:dyDescent="0.2">
      <c r="A171" s="133">
        <v>40331</v>
      </c>
      <c r="B171" s="26"/>
      <c r="C171" s="26"/>
      <c r="E171" s="26"/>
      <c r="F171" s="26">
        <f t="shared" si="13"/>
        <v>0</v>
      </c>
      <c r="G171" s="22" t="str">
        <f t="shared" ca="1" si="15"/>
        <v>History</v>
      </c>
      <c r="H171" s="22">
        <f t="shared" si="16"/>
        <v>2010</v>
      </c>
      <c r="I171" s="22">
        <f t="shared" si="17"/>
        <v>6</v>
      </c>
      <c r="J171" s="22">
        <f t="shared" si="14"/>
        <v>22</v>
      </c>
      <c r="K171" s="22">
        <v>1</v>
      </c>
      <c r="L171" s="22">
        <f ca="1">SUM(K171:OFFSET(RngToDay,ROWS(Dates),10))</f>
        <v>353</v>
      </c>
      <c r="O171" s="22">
        <f t="shared" si="18"/>
        <v>171</v>
      </c>
      <c r="P171" s="26"/>
      <c r="Q171" s="26"/>
    </row>
    <row r="172" spans="1:17" x14ac:dyDescent="0.2">
      <c r="A172" s="133">
        <v>40330</v>
      </c>
      <c r="B172" s="26"/>
      <c r="C172" s="26"/>
      <c r="E172" s="26"/>
      <c r="F172" s="26">
        <f t="shared" si="13"/>
        <v>0</v>
      </c>
      <c r="G172" s="22" t="str">
        <f t="shared" ca="1" si="15"/>
        <v>History</v>
      </c>
      <c r="H172" s="22">
        <f t="shared" si="16"/>
        <v>2010</v>
      </c>
      <c r="I172" s="22">
        <f t="shared" si="17"/>
        <v>6</v>
      </c>
      <c r="J172" s="22">
        <f t="shared" si="14"/>
        <v>22</v>
      </c>
      <c r="K172" s="22">
        <v>1</v>
      </c>
      <c r="L172" s="22">
        <f ca="1">SUM(K172:OFFSET(RngToDay,ROWS(Dates),10))</f>
        <v>352</v>
      </c>
      <c r="O172" s="22">
        <f t="shared" si="18"/>
        <v>172</v>
      </c>
      <c r="P172" s="26"/>
      <c r="Q172" s="26"/>
    </row>
    <row r="173" spans="1:17" x14ac:dyDescent="0.2">
      <c r="A173" s="133">
        <v>40329</v>
      </c>
      <c r="B173" s="26"/>
      <c r="C173" s="26"/>
      <c r="E173" s="26"/>
      <c r="F173" s="26">
        <f t="shared" si="13"/>
        <v>0</v>
      </c>
      <c r="G173" s="22" t="str">
        <f t="shared" ca="1" si="15"/>
        <v>History</v>
      </c>
      <c r="H173" s="22">
        <f t="shared" si="16"/>
        <v>2010</v>
      </c>
      <c r="I173" s="22">
        <f t="shared" si="17"/>
        <v>5</v>
      </c>
      <c r="J173" s="22">
        <f t="shared" si="14"/>
        <v>22</v>
      </c>
      <c r="K173" s="22">
        <v>1</v>
      </c>
      <c r="L173" s="22">
        <f ca="1">SUM(K173:OFFSET(RngToDay,ROWS(Dates),10))</f>
        <v>351</v>
      </c>
      <c r="O173" s="22">
        <f t="shared" si="18"/>
        <v>173</v>
      </c>
      <c r="P173" s="26"/>
      <c r="Q173" s="26"/>
    </row>
    <row r="174" spans="1:17" x14ac:dyDescent="0.2">
      <c r="A174" s="133">
        <v>40326</v>
      </c>
      <c r="B174" s="26"/>
      <c r="C174" s="26"/>
      <c r="E174" s="26"/>
      <c r="F174" s="26">
        <f t="shared" si="13"/>
        <v>0</v>
      </c>
      <c r="G174" s="22" t="str">
        <f t="shared" ca="1" si="15"/>
        <v>History</v>
      </c>
      <c r="H174" s="22">
        <f t="shared" si="16"/>
        <v>2010</v>
      </c>
      <c r="I174" s="22">
        <f t="shared" si="17"/>
        <v>5</v>
      </c>
      <c r="J174" s="22">
        <f t="shared" si="14"/>
        <v>21</v>
      </c>
      <c r="K174" s="22">
        <v>1</v>
      </c>
      <c r="L174" s="22">
        <f ca="1">SUM(K174:OFFSET(RngToDay,ROWS(Dates),10))</f>
        <v>350</v>
      </c>
      <c r="O174" s="22">
        <f t="shared" si="18"/>
        <v>174</v>
      </c>
      <c r="P174" s="26"/>
      <c r="Q174" s="26"/>
    </row>
    <row r="175" spans="1:17" x14ac:dyDescent="0.2">
      <c r="A175" s="133">
        <v>40325</v>
      </c>
      <c r="B175" s="26"/>
      <c r="C175" s="26"/>
      <c r="E175" s="26"/>
      <c r="F175" s="26">
        <f t="shared" si="13"/>
        <v>0</v>
      </c>
      <c r="G175" s="22" t="str">
        <f t="shared" ca="1" si="15"/>
        <v>History</v>
      </c>
      <c r="H175" s="22">
        <f t="shared" si="16"/>
        <v>2010</v>
      </c>
      <c r="I175" s="22">
        <f t="shared" si="17"/>
        <v>5</v>
      </c>
      <c r="J175" s="22">
        <f t="shared" si="14"/>
        <v>21</v>
      </c>
      <c r="K175" s="22">
        <v>1</v>
      </c>
      <c r="L175" s="22">
        <f ca="1">SUM(K175:OFFSET(RngToDay,ROWS(Dates),10))</f>
        <v>349</v>
      </c>
      <c r="O175" s="22">
        <f t="shared" si="18"/>
        <v>175</v>
      </c>
      <c r="P175" s="26"/>
      <c r="Q175" s="26"/>
    </row>
    <row r="176" spans="1:17" x14ac:dyDescent="0.2">
      <c r="A176" s="133">
        <v>40324</v>
      </c>
      <c r="B176" s="26"/>
      <c r="C176" s="26"/>
      <c r="E176" s="26"/>
      <c r="F176" s="26">
        <f t="shared" si="13"/>
        <v>0</v>
      </c>
      <c r="G176" s="22" t="str">
        <f t="shared" ca="1" si="15"/>
        <v>History</v>
      </c>
      <c r="H176" s="22">
        <f t="shared" si="16"/>
        <v>2010</v>
      </c>
      <c r="I176" s="22">
        <f t="shared" si="17"/>
        <v>5</v>
      </c>
      <c r="J176" s="22">
        <f t="shared" si="14"/>
        <v>21</v>
      </c>
      <c r="K176" s="22">
        <v>1</v>
      </c>
      <c r="L176" s="22">
        <f ca="1">SUM(K176:OFFSET(RngToDay,ROWS(Dates),10))</f>
        <v>348</v>
      </c>
      <c r="O176" s="22">
        <f t="shared" si="18"/>
        <v>176</v>
      </c>
      <c r="P176" s="26"/>
      <c r="Q176" s="26"/>
    </row>
    <row r="177" spans="1:17" x14ac:dyDescent="0.2">
      <c r="A177" s="133">
        <v>40323</v>
      </c>
      <c r="B177" s="26"/>
      <c r="C177" s="26"/>
      <c r="E177" s="26"/>
      <c r="F177" s="26">
        <f t="shared" si="13"/>
        <v>0</v>
      </c>
      <c r="G177" s="22" t="str">
        <f t="shared" ca="1" si="15"/>
        <v>History</v>
      </c>
      <c r="H177" s="22">
        <f t="shared" si="16"/>
        <v>2010</v>
      </c>
      <c r="I177" s="22">
        <f t="shared" si="17"/>
        <v>5</v>
      </c>
      <c r="J177" s="22">
        <f t="shared" si="14"/>
        <v>21</v>
      </c>
      <c r="K177" s="22">
        <v>1</v>
      </c>
      <c r="L177" s="22">
        <f ca="1">SUM(K177:OFFSET(RngToDay,ROWS(Dates),10))</f>
        <v>347</v>
      </c>
      <c r="O177" s="22">
        <f t="shared" si="18"/>
        <v>177</v>
      </c>
      <c r="P177" s="26"/>
      <c r="Q177" s="26"/>
    </row>
    <row r="178" spans="1:17" x14ac:dyDescent="0.2">
      <c r="A178" s="133">
        <v>40319</v>
      </c>
      <c r="B178" s="26"/>
      <c r="C178" s="26"/>
      <c r="E178" s="26"/>
      <c r="F178" s="26">
        <f t="shared" si="13"/>
        <v>0</v>
      </c>
      <c r="G178" s="22" t="str">
        <f t="shared" ca="1" si="15"/>
        <v>History</v>
      </c>
      <c r="H178" s="22">
        <f t="shared" si="16"/>
        <v>2010</v>
      </c>
      <c r="I178" s="22">
        <f t="shared" si="17"/>
        <v>5</v>
      </c>
      <c r="J178" s="22">
        <f t="shared" si="14"/>
        <v>20</v>
      </c>
      <c r="K178" s="22">
        <v>1</v>
      </c>
      <c r="L178" s="22">
        <f ca="1">SUM(K178:OFFSET(RngToDay,ROWS(Dates),10))</f>
        <v>346</v>
      </c>
      <c r="O178" s="22">
        <f t="shared" si="18"/>
        <v>178</v>
      </c>
      <c r="P178" s="26"/>
      <c r="Q178" s="26"/>
    </row>
    <row r="179" spans="1:17" x14ac:dyDescent="0.2">
      <c r="A179" s="133">
        <v>40318</v>
      </c>
      <c r="B179" s="26"/>
      <c r="C179" s="26"/>
      <c r="E179" s="26"/>
      <c r="F179" s="26">
        <f t="shared" si="13"/>
        <v>0</v>
      </c>
      <c r="G179" s="22" t="str">
        <f t="shared" ca="1" si="15"/>
        <v>History</v>
      </c>
      <c r="H179" s="22">
        <f t="shared" si="16"/>
        <v>2010</v>
      </c>
      <c r="I179" s="22">
        <f t="shared" si="17"/>
        <v>5</v>
      </c>
      <c r="J179" s="22">
        <f t="shared" si="14"/>
        <v>20</v>
      </c>
      <c r="K179" s="22">
        <v>1</v>
      </c>
      <c r="L179" s="22">
        <f ca="1">SUM(K179:OFFSET(RngToDay,ROWS(Dates),10))</f>
        <v>345</v>
      </c>
      <c r="O179" s="22">
        <f t="shared" si="18"/>
        <v>179</v>
      </c>
      <c r="P179" s="26"/>
      <c r="Q179" s="26"/>
    </row>
    <row r="180" spans="1:17" x14ac:dyDescent="0.2">
      <c r="A180" s="133">
        <v>40317</v>
      </c>
      <c r="B180" s="26"/>
      <c r="C180" s="26"/>
      <c r="E180" s="26"/>
      <c r="F180" s="26">
        <f t="shared" si="13"/>
        <v>0</v>
      </c>
      <c r="G180" s="22" t="str">
        <f t="shared" ca="1" si="15"/>
        <v>History</v>
      </c>
      <c r="H180" s="22">
        <f t="shared" si="16"/>
        <v>2010</v>
      </c>
      <c r="I180" s="22">
        <f t="shared" si="17"/>
        <v>5</v>
      </c>
      <c r="J180" s="22">
        <f t="shared" si="14"/>
        <v>20</v>
      </c>
      <c r="K180" s="22">
        <v>1</v>
      </c>
      <c r="L180" s="22">
        <f ca="1">SUM(K180:OFFSET(RngToDay,ROWS(Dates),10))</f>
        <v>344</v>
      </c>
      <c r="O180" s="22">
        <f t="shared" si="18"/>
        <v>180</v>
      </c>
      <c r="P180" s="26"/>
      <c r="Q180" s="26"/>
    </row>
    <row r="181" spans="1:17" x14ac:dyDescent="0.2">
      <c r="A181" s="133">
        <v>40316</v>
      </c>
      <c r="B181" s="26"/>
      <c r="C181" s="26"/>
      <c r="E181" s="26"/>
      <c r="F181" s="26">
        <f t="shared" si="13"/>
        <v>0</v>
      </c>
      <c r="G181" s="22" t="str">
        <f t="shared" ca="1" si="15"/>
        <v>History</v>
      </c>
      <c r="H181" s="22">
        <f t="shared" si="16"/>
        <v>2010</v>
      </c>
      <c r="I181" s="22">
        <f t="shared" si="17"/>
        <v>5</v>
      </c>
      <c r="J181" s="22">
        <f t="shared" si="14"/>
        <v>20</v>
      </c>
      <c r="K181" s="22">
        <v>1</v>
      </c>
      <c r="L181" s="22">
        <f ca="1">SUM(K181:OFFSET(RngToDay,ROWS(Dates),10))</f>
        <v>343</v>
      </c>
      <c r="O181" s="22">
        <f t="shared" si="18"/>
        <v>181</v>
      </c>
      <c r="P181" s="26"/>
      <c r="Q181" s="26"/>
    </row>
    <row r="182" spans="1:17" x14ac:dyDescent="0.2">
      <c r="A182" s="133">
        <v>40312</v>
      </c>
      <c r="B182" s="26"/>
      <c r="C182" s="26"/>
      <c r="E182" s="26"/>
      <c r="F182" s="26">
        <f t="shared" si="13"/>
        <v>0</v>
      </c>
      <c r="G182" s="22" t="str">
        <f t="shared" ca="1" si="15"/>
        <v>History</v>
      </c>
      <c r="H182" s="22">
        <f t="shared" si="16"/>
        <v>2010</v>
      </c>
      <c r="I182" s="22">
        <f t="shared" si="17"/>
        <v>5</v>
      </c>
      <c r="J182" s="22">
        <f t="shared" si="14"/>
        <v>19</v>
      </c>
      <c r="K182" s="22">
        <v>1</v>
      </c>
      <c r="L182" s="22">
        <f ca="1">SUM(K182:OFFSET(RngToDay,ROWS(Dates),10))</f>
        <v>342</v>
      </c>
      <c r="O182" s="22">
        <f t="shared" si="18"/>
        <v>182</v>
      </c>
      <c r="P182" s="26"/>
      <c r="Q182" s="26"/>
    </row>
    <row r="183" spans="1:17" x14ac:dyDescent="0.2">
      <c r="A183" s="133">
        <v>40310</v>
      </c>
      <c r="B183" s="26"/>
      <c r="C183" s="26"/>
      <c r="E183" s="26"/>
      <c r="F183" s="26">
        <f t="shared" si="13"/>
        <v>0</v>
      </c>
      <c r="G183" s="22" t="str">
        <f t="shared" ca="1" si="15"/>
        <v>History</v>
      </c>
      <c r="H183" s="22">
        <f t="shared" si="16"/>
        <v>2010</v>
      </c>
      <c r="I183" s="22">
        <f t="shared" si="17"/>
        <v>5</v>
      </c>
      <c r="J183" s="22">
        <f t="shared" si="14"/>
        <v>19</v>
      </c>
      <c r="K183" s="22">
        <v>1</v>
      </c>
      <c r="L183" s="22">
        <f ca="1">SUM(K183:OFFSET(RngToDay,ROWS(Dates),10))</f>
        <v>341</v>
      </c>
      <c r="O183" s="22">
        <f t="shared" si="18"/>
        <v>183</v>
      </c>
      <c r="P183" s="26"/>
      <c r="Q183" s="26"/>
    </row>
    <row r="184" spans="1:17" x14ac:dyDescent="0.2">
      <c r="A184" s="133">
        <v>40309</v>
      </c>
      <c r="B184" s="26"/>
      <c r="C184" s="26"/>
      <c r="E184" s="26"/>
      <c r="F184" s="26">
        <f t="shared" si="13"/>
        <v>0</v>
      </c>
      <c r="G184" s="22" t="str">
        <f t="shared" ca="1" si="15"/>
        <v>History</v>
      </c>
      <c r="H184" s="22">
        <f t="shared" si="16"/>
        <v>2010</v>
      </c>
      <c r="I184" s="22">
        <f t="shared" si="17"/>
        <v>5</v>
      </c>
      <c r="J184" s="22">
        <f t="shared" si="14"/>
        <v>19</v>
      </c>
      <c r="K184" s="22">
        <v>1</v>
      </c>
      <c r="L184" s="22">
        <f ca="1">SUM(K184:OFFSET(RngToDay,ROWS(Dates),10))</f>
        <v>340</v>
      </c>
      <c r="O184" s="22">
        <f t="shared" si="18"/>
        <v>184</v>
      </c>
      <c r="P184" s="26"/>
      <c r="Q184" s="26"/>
    </row>
    <row r="185" spans="1:17" x14ac:dyDescent="0.2">
      <c r="A185" s="133">
        <v>40308</v>
      </c>
      <c r="B185" s="26"/>
      <c r="C185" s="26"/>
      <c r="E185" s="26"/>
      <c r="F185" s="26">
        <f t="shared" si="13"/>
        <v>0</v>
      </c>
      <c r="G185" s="22" t="str">
        <f t="shared" ca="1" si="15"/>
        <v>History</v>
      </c>
      <c r="H185" s="22">
        <f t="shared" si="16"/>
        <v>2010</v>
      </c>
      <c r="I185" s="22">
        <f t="shared" si="17"/>
        <v>5</v>
      </c>
      <c r="J185" s="22">
        <f t="shared" si="14"/>
        <v>19</v>
      </c>
      <c r="K185" s="22">
        <v>1</v>
      </c>
      <c r="L185" s="22">
        <f ca="1">SUM(K185:OFFSET(RngToDay,ROWS(Dates),10))</f>
        <v>339</v>
      </c>
      <c r="O185" s="22">
        <f t="shared" si="18"/>
        <v>185</v>
      </c>
      <c r="P185" s="26"/>
      <c r="Q185" s="26"/>
    </row>
    <row r="186" spans="1:17" x14ac:dyDescent="0.2">
      <c r="A186" s="133">
        <v>40305</v>
      </c>
      <c r="B186" s="26"/>
      <c r="C186" s="26"/>
      <c r="E186" s="26"/>
      <c r="F186" s="26">
        <f t="shared" si="13"/>
        <v>0</v>
      </c>
      <c r="G186" s="22" t="str">
        <f t="shared" ca="1" si="15"/>
        <v>History</v>
      </c>
      <c r="H186" s="22">
        <f t="shared" si="16"/>
        <v>2010</v>
      </c>
      <c r="I186" s="22">
        <f t="shared" si="17"/>
        <v>5</v>
      </c>
      <c r="J186" s="22">
        <f t="shared" si="14"/>
        <v>18</v>
      </c>
      <c r="K186" s="22">
        <v>1</v>
      </c>
      <c r="L186" s="22">
        <f ca="1">SUM(K186:OFFSET(RngToDay,ROWS(Dates),10))</f>
        <v>338</v>
      </c>
      <c r="O186" s="22">
        <f t="shared" si="18"/>
        <v>186</v>
      </c>
      <c r="P186" s="26"/>
      <c r="Q186" s="26"/>
    </row>
    <row r="187" spans="1:17" x14ac:dyDescent="0.2">
      <c r="A187" s="133">
        <v>40304</v>
      </c>
      <c r="B187" s="26"/>
      <c r="C187" s="26"/>
      <c r="E187" s="26"/>
      <c r="F187" s="26">
        <f t="shared" ref="F187:F250" si="19">ActCov</f>
        <v>0</v>
      </c>
      <c r="G187" s="22" t="str">
        <f t="shared" ca="1" si="15"/>
        <v>History</v>
      </c>
      <c r="H187" s="22">
        <f t="shared" si="16"/>
        <v>2010</v>
      </c>
      <c r="I187" s="22">
        <f t="shared" si="17"/>
        <v>5</v>
      </c>
      <c r="J187" s="22">
        <f t="shared" si="14"/>
        <v>18</v>
      </c>
      <c r="K187" s="22">
        <v>1</v>
      </c>
      <c r="L187" s="22">
        <f ca="1">SUM(K187:OFFSET(RngToDay,ROWS(Dates),10))</f>
        <v>337</v>
      </c>
      <c r="O187" s="22">
        <f t="shared" si="18"/>
        <v>187</v>
      </c>
      <c r="P187" s="26"/>
      <c r="Q187" s="26"/>
    </row>
    <row r="188" spans="1:17" x14ac:dyDescent="0.2">
      <c r="A188" s="133">
        <v>40303</v>
      </c>
      <c r="B188" s="26"/>
      <c r="C188" s="26"/>
      <c r="E188" s="26"/>
      <c r="F188" s="26">
        <f t="shared" si="19"/>
        <v>0</v>
      </c>
      <c r="G188" s="22" t="str">
        <f t="shared" ca="1" si="15"/>
        <v>History</v>
      </c>
      <c r="H188" s="22">
        <f t="shared" si="16"/>
        <v>2010</v>
      </c>
      <c r="I188" s="22">
        <f t="shared" si="17"/>
        <v>5</v>
      </c>
      <c r="J188" s="22">
        <f t="shared" si="14"/>
        <v>18</v>
      </c>
      <c r="K188" s="22">
        <v>1</v>
      </c>
      <c r="L188" s="22">
        <f ca="1">SUM(K188:OFFSET(RngToDay,ROWS(Dates),10))</f>
        <v>336</v>
      </c>
      <c r="O188" s="22">
        <f t="shared" si="18"/>
        <v>188</v>
      </c>
      <c r="P188" s="26"/>
      <c r="Q188" s="26"/>
    </row>
    <row r="189" spans="1:17" x14ac:dyDescent="0.2">
      <c r="A189" s="133">
        <v>40302</v>
      </c>
      <c r="B189" s="26"/>
      <c r="C189" s="26"/>
      <c r="E189" s="26"/>
      <c r="F189" s="26">
        <f t="shared" si="19"/>
        <v>0</v>
      </c>
      <c r="G189" s="22" t="str">
        <f t="shared" ca="1" si="15"/>
        <v>History</v>
      </c>
      <c r="H189" s="22">
        <f t="shared" si="16"/>
        <v>2010</v>
      </c>
      <c r="I189" s="22">
        <f t="shared" si="17"/>
        <v>5</v>
      </c>
      <c r="J189" s="22">
        <f t="shared" si="14"/>
        <v>18</v>
      </c>
      <c r="K189" s="22">
        <v>1</v>
      </c>
      <c r="L189" s="22">
        <f ca="1">SUM(K189:OFFSET(RngToDay,ROWS(Dates),10))</f>
        <v>335</v>
      </c>
      <c r="O189" s="22">
        <f t="shared" si="18"/>
        <v>189</v>
      </c>
      <c r="P189" s="26"/>
      <c r="Q189" s="26"/>
    </row>
    <row r="190" spans="1:17" x14ac:dyDescent="0.2">
      <c r="A190" s="133">
        <v>40301</v>
      </c>
      <c r="B190" s="26"/>
      <c r="C190" s="26"/>
      <c r="E190" s="26"/>
      <c r="F190" s="26">
        <f t="shared" si="19"/>
        <v>0</v>
      </c>
      <c r="G190" s="22" t="str">
        <f t="shared" ca="1" si="15"/>
        <v>History</v>
      </c>
      <c r="H190" s="22">
        <f t="shared" si="16"/>
        <v>2010</v>
      </c>
      <c r="I190" s="22">
        <f t="shared" si="17"/>
        <v>5</v>
      </c>
      <c r="J190" s="22">
        <f t="shared" si="14"/>
        <v>18</v>
      </c>
      <c r="K190" s="22">
        <v>1</v>
      </c>
      <c r="L190" s="22">
        <f ca="1">SUM(K190:OFFSET(RngToDay,ROWS(Dates),10))</f>
        <v>334</v>
      </c>
      <c r="O190" s="22">
        <f t="shared" si="18"/>
        <v>190</v>
      </c>
      <c r="P190" s="26"/>
      <c r="Q190" s="26"/>
    </row>
    <row r="191" spans="1:17" x14ac:dyDescent="0.2">
      <c r="A191" s="133">
        <v>40298</v>
      </c>
      <c r="B191" s="26"/>
      <c r="C191" s="26"/>
      <c r="E191" s="26"/>
      <c r="F191" s="26">
        <f t="shared" si="19"/>
        <v>0</v>
      </c>
      <c r="G191" s="22" t="str">
        <f t="shared" ca="1" si="15"/>
        <v>History</v>
      </c>
      <c r="H191" s="22">
        <f t="shared" si="16"/>
        <v>2010</v>
      </c>
      <c r="I191" s="22">
        <f t="shared" si="17"/>
        <v>4</v>
      </c>
      <c r="J191" s="22">
        <f t="shared" si="14"/>
        <v>17</v>
      </c>
      <c r="K191" s="22">
        <v>1</v>
      </c>
      <c r="L191" s="22">
        <f ca="1">SUM(K191:OFFSET(RngToDay,ROWS(Dates),10))</f>
        <v>333</v>
      </c>
      <c r="O191" s="22">
        <f t="shared" si="18"/>
        <v>191</v>
      </c>
      <c r="P191" s="26"/>
      <c r="Q191" s="26"/>
    </row>
    <row r="192" spans="1:17" x14ac:dyDescent="0.2">
      <c r="A192" s="133">
        <v>40297</v>
      </c>
      <c r="B192" s="26"/>
      <c r="C192" s="26"/>
      <c r="E192" s="26"/>
      <c r="F192" s="26">
        <f t="shared" si="19"/>
        <v>0</v>
      </c>
      <c r="G192" s="22" t="str">
        <f t="shared" ca="1" si="15"/>
        <v>History</v>
      </c>
      <c r="H192" s="22">
        <f t="shared" si="16"/>
        <v>2010</v>
      </c>
      <c r="I192" s="22">
        <f t="shared" si="17"/>
        <v>4</v>
      </c>
      <c r="J192" s="22">
        <f t="shared" si="14"/>
        <v>17</v>
      </c>
      <c r="K192" s="22">
        <v>1</v>
      </c>
      <c r="L192" s="22">
        <f ca="1">SUM(K192:OFFSET(RngToDay,ROWS(Dates),10))</f>
        <v>332</v>
      </c>
      <c r="O192" s="22">
        <f t="shared" si="18"/>
        <v>192</v>
      </c>
      <c r="P192" s="26"/>
      <c r="Q192" s="26"/>
    </row>
    <row r="193" spans="1:17" x14ac:dyDescent="0.2">
      <c r="A193" s="133">
        <v>40296</v>
      </c>
      <c r="B193" s="26"/>
      <c r="C193" s="26"/>
      <c r="E193" s="26"/>
      <c r="F193" s="26">
        <f t="shared" si="19"/>
        <v>0</v>
      </c>
      <c r="G193" s="22" t="str">
        <f t="shared" ca="1" si="15"/>
        <v>History</v>
      </c>
      <c r="H193" s="22">
        <f t="shared" si="16"/>
        <v>2010</v>
      </c>
      <c r="I193" s="22">
        <f t="shared" si="17"/>
        <v>4</v>
      </c>
      <c r="J193" s="22">
        <f t="shared" si="14"/>
        <v>17</v>
      </c>
      <c r="K193" s="22">
        <v>1</v>
      </c>
      <c r="L193" s="22">
        <f ca="1">SUM(K193:OFFSET(RngToDay,ROWS(Dates),10))</f>
        <v>331</v>
      </c>
      <c r="O193" s="22">
        <f t="shared" si="18"/>
        <v>193</v>
      </c>
      <c r="P193" s="26"/>
      <c r="Q193" s="26"/>
    </row>
    <row r="194" spans="1:17" x14ac:dyDescent="0.2">
      <c r="A194" s="133">
        <v>40295</v>
      </c>
      <c r="B194" s="26"/>
      <c r="C194" s="26"/>
      <c r="E194" s="26"/>
      <c r="F194" s="26">
        <f t="shared" si="19"/>
        <v>0</v>
      </c>
      <c r="G194" s="22" t="str">
        <f t="shared" ca="1" si="15"/>
        <v>History</v>
      </c>
      <c r="H194" s="22">
        <f t="shared" si="16"/>
        <v>2010</v>
      </c>
      <c r="I194" s="22">
        <f t="shared" si="17"/>
        <v>4</v>
      </c>
      <c r="J194" s="22">
        <f t="shared" ref="J194:J246" si="20">IF(WEEKDAY(DATE(YEAR(A194),1,1),2)&gt;4,WEEKNUM(A194,2)-1,WEEKNUM(A194,2))</f>
        <v>17</v>
      </c>
      <c r="K194" s="22">
        <v>1</v>
      </c>
      <c r="L194" s="22">
        <f ca="1">SUM(K194:OFFSET(RngToDay,ROWS(Dates),10))</f>
        <v>330</v>
      </c>
      <c r="O194" s="22">
        <f t="shared" si="18"/>
        <v>194</v>
      </c>
      <c r="P194" s="26"/>
      <c r="Q194" s="26"/>
    </row>
    <row r="195" spans="1:17" x14ac:dyDescent="0.2">
      <c r="A195" s="133">
        <v>40294</v>
      </c>
      <c r="B195" s="26"/>
      <c r="C195" s="26"/>
      <c r="E195" s="26"/>
      <c r="F195" s="26">
        <f t="shared" si="19"/>
        <v>0</v>
      </c>
      <c r="G195" s="22" t="str">
        <f t="shared" ref="G195:G258" ca="1" si="21">IF(A195&gt;TODAY(),"Requirements","History")</f>
        <v>History</v>
      </c>
      <c r="H195" s="22">
        <f t="shared" ref="H195:H258" si="22">YEAR(A195)</f>
        <v>2010</v>
      </c>
      <c r="I195" s="22">
        <f t="shared" ref="I195:I258" si="23">MONTH(A195)</f>
        <v>4</v>
      </c>
      <c r="J195" s="22">
        <f t="shared" si="20"/>
        <v>17</v>
      </c>
      <c r="K195" s="22">
        <v>1</v>
      </c>
      <c r="L195" s="22">
        <f ca="1">SUM(K195:OFFSET(RngToDay,ROWS(Dates),10))</f>
        <v>329</v>
      </c>
      <c r="O195" s="22">
        <f t="shared" si="18"/>
        <v>195</v>
      </c>
      <c r="P195" s="26"/>
      <c r="Q195" s="26"/>
    </row>
    <row r="196" spans="1:17" x14ac:dyDescent="0.2">
      <c r="A196" s="133">
        <v>40291</v>
      </c>
      <c r="B196" s="26"/>
      <c r="C196" s="26"/>
      <c r="E196" s="26"/>
      <c r="F196" s="26">
        <f t="shared" si="19"/>
        <v>0</v>
      </c>
      <c r="G196" s="22" t="str">
        <f t="shared" ca="1" si="21"/>
        <v>History</v>
      </c>
      <c r="H196" s="22">
        <f t="shared" si="22"/>
        <v>2010</v>
      </c>
      <c r="I196" s="22">
        <f t="shared" si="23"/>
        <v>4</v>
      </c>
      <c r="J196" s="22">
        <f t="shared" si="20"/>
        <v>16</v>
      </c>
      <c r="K196" s="22">
        <v>1</v>
      </c>
      <c r="L196" s="22">
        <f ca="1">SUM(K196:OFFSET(RngToDay,ROWS(Dates),10))</f>
        <v>328</v>
      </c>
      <c r="O196" s="22">
        <f t="shared" ref="O196:O259" si="24">O195+1</f>
        <v>196</v>
      </c>
      <c r="P196" s="26"/>
      <c r="Q196" s="26"/>
    </row>
    <row r="197" spans="1:17" x14ac:dyDescent="0.2">
      <c r="A197" s="133">
        <v>40290</v>
      </c>
      <c r="B197" s="26"/>
      <c r="C197" s="26"/>
      <c r="E197" s="26"/>
      <c r="F197" s="26">
        <f t="shared" si="19"/>
        <v>0</v>
      </c>
      <c r="G197" s="22" t="str">
        <f t="shared" ca="1" si="21"/>
        <v>History</v>
      </c>
      <c r="H197" s="22">
        <f t="shared" si="22"/>
        <v>2010</v>
      </c>
      <c r="I197" s="22">
        <f t="shared" si="23"/>
        <v>4</v>
      </c>
      <c r="J197" s="22">
        <f t="shared" si="20"/>
        <v>16</v>
      </c>
      <c r="K197" s="22">
        <v>1</v>
      </c>
      <c r="L197" s="22">
        <f ca="1">SUM(K197:OFFSET(RngToDay,ROWS(Dates),10))</f>
        <v>327</v>
      </c>
      <c r="O197" s="22">
        <f t="shared" si="24"/>
        <v>197</v>
      </c>
      <c r="P197" s="26"/>
      <c r="Q197" s="26"/>
    </row>
    <row r="198" spans="1:17" x14ac:dyDescent="0.2">
      <c r="A198" s="133">
        <v>40289</v>
      </c>
      <c r="B198" s="26"/>
      <c r="C198" s="26"/>
      <c r="E198" s="26"/>
      <c r="F198" s="26">
        <f t="shared" si="19"/>
        <v>0</v>
      </c>
      <c r="G198" s="22" t="str">
        <f t="shared" ca="1" si="21"/>
        <v>History</v>
      </c>
      <c r="H198" s="22">
        <f t="shared" si="22"/>
        <v>2010</v>
      </c>
      <c r="I198" s="22">
        <f t="shared" si="23"/>
        <v>4</v>
      </c>
      <c r="J198" s="22">
        <f t="shared" si="20"/>
        <v>16</v>
      </c>
      <c r="K198" s="22">
        <v>1</v>
      </c>
      <c r="L198" s="22">
        <f ca="1">SUM(K198:OFFSET(RngToDay,ROWS(Dates),10))</f>
        <v>326</v>
      </c>
      <c r="O198" s="22">
        <f t="shared" si="24"/>
        <v>198</v>
      </c>
      <c r="P198" s="26"/>
      <c r="Q198" s="26"/>
    </row>
    <row r="199" spans="1:17" x14ac:dyDescent="0.2">
      <c r="A199" s="133">
        <v>40288</v>
      </c>
      <c r="B199" s="26"/>
      <c r="C199" s="26"/>
      <c r="E199" s="26"/>
      <c r="F199" s="26">
        <f t="shared" si="19"/>
        <v>0</v>
      </c>
      <c r="G199" s="22" t="str">
        <f t="shared" ca="1" si="21"/>
        <v>History</v>
      </c>
      <c r="H199" s="22">
        <f t="shared" si="22"/>
        <v>2010</v>
      </c>
      <c r="I199" s="22">
        <f t="shared" si="23"/>
        <v>4</v>
      </c>
      <c r="J199" s="22">
        <f t="shared" si="20"/>
        <v>16</v>
      </c>
      <c r="K199" s="22">
        <v>1</v>
      </c>
      <c r="L199" s="22">
        <f ca="1">SUM(K199:OFFSET(RngToDay,ROWS(Dates),10))</f>
        <v>325</v>
      </c>
      <c r="O199" s="22">
        <f t="shared" si="24"/>
        <v>199</v>
      </c>
      <c r="P199" s="26"/>
      <c r="Q199" s="26"/>
    </row>
    <row r="200" spans="1:17" x14ac:dyDescent="0.2">
      <c r="A200" s="133">
        <v>40287</v>
      </c>
      <c r="B200" s="26"/>
      <c r="C200" s="26"/>
      <c r="E200" s="26"/>
      <c r="F200" s="26">
        <f t="shared" si="19"/>
        <v>0</v>
      </c>
      <c r="G200" s="22" t="str">
        <f t="shared" ca="1" si="21"/>
        <v>History</v>
      </c>
      <c r="H200" s="22">
        <f t="shared" si="22"/>
        <v>2010</v>
      </c>
      <c r="I200" s="22">
        <f t="shared" si="23"/>
        <v>4</v>
      </c>
      <c r="J200" s="22">
        <f t="shared" si="20"/>
        <v>16</v>
      </c>
      <c r="K200" s="22">
        <v>1</v>
      </c>
      <c r="L200" s="22">
        <f ca="1">SUM(K200:OFFSET(RngToDay,ROWS(Dates),10))</f>
        <v>324</v>
      </c>
      <c r="O200" s="22">
        <f t="shared" si="24"/>
        <v>200</v>
      </c>
      <c r="P200" s="26"/>
      <c r="Q200" s="26"/>
    </row>
    <row r="201" spans="1:17" x14ac:dyDescent="0.2">
      <c r="A201" s="133">
        <v>40284</v>
      </c>
      <c r="B201" s="26"/>
      <c r="C201" s="26"/>
      <c r="E201" s="26"/>
      <c r="F201" s="26">
        <f t="shared" si="19"/>
        <v>0</v>
      </c>
      <c r="G201" s="22" t="str">
        <f t="shared" ca="1" si="21"/>
        <v>History</v>
      </c>
      <c r="H201" s="22">
        <f t="shared" si="22"/>
        <v>2010</v>
      </c>
      <c r="I201" s="22">
        <f t="shared" si="23"/>
        <v>4</v>
      </c>
      <c r="J201" s="22">
        <f t="shared" si="20"/>
        <v>15</v>
      </c>
      <c r="K201" s="22">
        <v>1</v>
      </c>
      <c r="L201" s="22">
        <f ca="1">SUM(K201:OFFSET(RngToDay,ROWS(Dates),10))</f>
        <v>323</v>
      </c>
      <c r="O201" s="22">
        <f t="shared" si="24"/>
        <v>201</v>
      </c>
      <c r="P201" s="26"/>
      <c r="Q201" s="26"/>
    </row>
    <row r="202" spans="1:17" x14ac:dyDescent="0.2">
      <c r="A202" s="133">
        <v>40283</v>
      </c>
      <c r="B202" s="26"/>
      <c r="C202" s="26"/>
      <c r="E202" s="26"/>
      <c r="F202" s="26">
        <f t="shared" si="19"/>
        <v>0</v>
      </c>
      <c r="G202" s="22" t="str">
        <f t="shared" ca="1" si="21"/>
        <v>History</v>
      </c>
      <c r="H202" s="22">
        <f t="shared" si="22"/>
        <v>2010</v>
      </c>
      <c r="I202" s="22">
        <f t="shared" si="23"/>
        <v>4</v>
      </c>
      <c r="J202" s="22">
        <f t="shared" si="20"/>
        <v>15</v>
      </c>
      <c r="K202" s="22">
        <v>1</v>
      </c>
      <c r="L202" s="22">
        <f ca="1">SUM(K202:OFFSET(RngToDay,ROWS(Dates),10))</f>
        <v>322</v>
      </c>
      <c r="O202" s="22">
        <f t="shared" si="24"/>
        <v>202</v>
      </c>
      <c r="P202" s="26"/>
      <c r="Q202" s="26"/>
    </row>
    <row r="203" spans="1:17" x14ac:dyDescent="0.2">
      <c r="A203" s="133">
        <v>40282</v>
      </c>
      <c r="B203" s="26"/>
      <c r="C203" s="26"/>
      <c r="E203" s="26"/>
      <c r="F203" s="26">
        <f t="shared" si="19"/>
        <v>0</v>
      </c>
      <c r="G203" s="22" t="str">
        <f t="shared" ca="1" si="21"/>
        <v>History</v>
      </c>
      <c r="H203" s="22">
        <f t="shared" si="22"/>
        <v>2010</v>
      </c>
      <c r="I203" s="22">
        <f t="shared" si="23"/>
        <v>4</v>
      </c>
      <c r="J203" s="22">
        <f t="shared" si="20"/>
        <v>15</v>
      </c>
      <c r="K203" s="22">
        <v>1</v>
      </c>
      <c r="L203" s="22">
        <f ca="1">SUM(K203:OFFSET(RngToDay,ROWS(Dates),10))</f>
        <v>321</v>
      </c>
      <c r="O203" s="22">
        <f t="shared" si="24"/>
        <v>203</v>
      </c>
      <c r="P203" s="26"/>
      <c r="Q203" s="26"/>
    </row>
    <row r="204" spans="1:17" x14ac:dyDescent="0.2">
      <c r="A204" s="133">
        <v>40281</v>
      </c>
      <c r="B204" s="26"/>
      <c r="C204" s="26"/>
      <c r="E204" s="26"/>
      <c r="F204" s="26">
        <f t="shared" si="19"/>
        <v>0</v>
      </c>
      <c r="G204" s="22" t="str">
        <f t="shared" ca="1" si="21"/>
        <v>History</v>
      </c>
      <c r="H204" s="22">
        <f t="shared" si="22"/>
        <v>2010</v>
      </c>
      <c r="I204" s="22">
        <f t="shared" si="23"/>
        <v>4</v>
      </c>
      <c r="J204" s="22">
        <f t="shared" si="20"/>
        <v>15</v>
      </c>
      <c r="K204" s="22">
        <v>1</v>
      </c>
      <c r="L204" s="22">
        <f ca="1">SUM(K204:OFFSET(RngToDay,ROWS(Dates),10))</f>
        <v>320</v>
      </c>
      <c r="O204" s="22">
        <f t="shared" si="24"/>
        <v>204</v>
      </c>
      <c r="P204" s="26"/>
      <c r="Q204" s="26"/>
    </row>
    <row r="205" spans="1:17" x14ac:dyDescent="0.2">
      <c r="A205" s="133">
        <v>40280</v>
      </c>
      <c r="B205" s="26"/>
      <c r="C205" s="26"/>
      <c r="E205" s="26"/>
      <c r="F205" s="26">
        <f t="shared" si="19"/>
        <v>0</v>
      </c>
      <c r="G205" s="22" t="str">
        <f t="shared" ca="1" si="21"/>
        <v>History</v>
      </c>
      <c r="H205" s="22">
        <f t="shared" si="22"/>
        <v>2010</v>
      </c>
      <c r="I205" s="22">
        <f t="shared" si="23"/>
        <v>4</v>
      </c>
      <c r="J205" s="22">
        <f t="shared" si="20"/>
        <v>15</v>
      </c>
      <c r="K205" s="22">
        <v>1</v>
      </c>
      <c r="L205" s="22">
        <f ca="1">SUM(K205:OFFSET(RngToDay,ROWS(Dates),10))</f>
        <v>319</v>
      </c>
      <c r="O205" s="22">
        <f t="shared" si="24"/>
        <v>205</v>
      </c>
      <c r="P205" s="26"/>
      <c r="Q205" s="26"/>
    </row>
    <row r="206" spans="1:17" x14ac:dyDescent="0.2">
      <c r="A206" s="133">
        <v>40277</v>
      </c>
      <c r="B206" s="26"/>
      <c r="C206" s="26"/>
      <c r="E206" s="26"/>
      <c r="F206" s="26">
        <f t="shared" si="19"/>
        <v>0</v>
      </c>
      <c r="G206" s="22" t="str">
        <f t="shared" ca="1" si="21"/>
        <v>History</v>
      </c>
      <c r="H206" s="22">
        <f t="shared" si="22"/>
        <v>2010</v>
      </c>
      <c r="I206" s="22">
        <f t="shared" si="23"/>
        <v>4</v>
      </c>
      <c r="J206" s="22">
        <f t="shared" si="20"/>
        <v>14</v>
      </c>
      <c r="K206" s="22">
        <v>1</v>
      </c>
      <c r="L206" s="22">
        <f ca="1">SUM(K206:OFFSET(RngToDay,ROWS(Dates),10))</f>
        <v>318</v>
      </c>
      <c r="O206" s="22">
        <f t="shared" si="24"/>
        <v>206</v>
      </c>
      <c r="P206" s="26"/>
      <c r="Q206" s="26"/>
    </row>
    <row r="207" spans="1:17" x14ac:dyDescent="0.2">
      <c r="A207" s="133">
        <v>40276</v>
      </c>
      <c r="B207" s="26"/>
      <c r="C207" s="26"/>
      <c r="E207" s="26"/>
      <c r="F207" s="26">
        <f t="shared" si="19"/>
        <v>0</v>
      </c>
      <c r="G207" s="22" t="str">
        <f t="shared" ca="1" si="21"/>
        <v>History</v>
      </c>
      <c r="H207" s="22">
        <f t="shared" si="22"/>
        <v>2010</v>
      </c>
      <c r="I207" s="22">
        <f t="shared" si="23"/>
        <v>4</v>
      </c>
      <c r="J207" s="22">
        <f t="shared" si="20"/>
        <v>14</v>
      </c>
      <c r="K207" s="22">
        <v>1</v>
      </c>
      <c r="L207" s="22">
        <f ca="1">SUM(K207:OFFSET(RngToDay,ROWS(Dates),10))</f>
        <v>317</v>
      </c>
      <c r="O207" s="22">
        <f t="shared" si="24"/>
        <v>207</v>
      </c>
      <c r="P207" s="26"/>
      <c r="Q207" s="26"/>
    </row>
    <row r="208" spans="1:17" x14ac:dyDescent="0.2">
      <c r="A208" s="133">
        <v>40275</v>
      </c>
      <c r="B208" s="26"/>
      <c r="C208" s="26"/>
      <c r="E208" s="26"/>
      <c r="F208" s="26">
        <f t="shared" si="19"/>
        <v>0</v>
      </c>
      <c r="G208" s="22" t="str">
        <f t="shared" ca="1" si="21"/>
        <v>History</v>
      </c>
      <c r="H208" s="22">
        <f t="shared" si="22"/>
        <v>2010</v>
      </c>
      <c r="I208" s="22">
        <f t="shared" si="23"/>
        <v>4</v>
      </c>
      <c r="J208" s="22">
        <f t="shared" si="20"/>
        <v>14</v>
      </c>
      <c r="K208" s="22">
        <v>1</v>
      </c>
      <c r="L208" s="22">
        <f ca="1">SUM(K208:OFFSET(RngToDay,ROWS(Dates),10))</f>
        <v>316</v>
      </c>
      <c r="O208" s="22">
        <f t="shared" si="24"/>
        <v>208</v>
      </c>
      <c r="P208" s="26"/>
      <c r="Q208" s="26"/>
    </row>
    <row r="209" spans="1:17" x14ac:dyDescent="0.2">
      <c r="A209" s="133">
        <v>40274</v>
      </c>
      <c r="B209" s="26"/>
      <c r="C209" s="26"/>
      <c r="E209" s="26"/>
      <c r="F209" s="26">
        <f t="shared" si="19"/>
        <v>0</v>
      </c>
      <c r="G209" s="22" t="str">
        <f t="shared" ca="1" si="21"/>
        <v>History</v>
      </c>
      <c r="H209" s="22">
        <f t="shared" si="22"/>
        <v>2010</v>
      </c>
      <c r="I209" s="22">
        <f t="shared" si="23"/>
        <v>4</v>
      </c>
      <c r="J209" s="22">
        <f t="shared" si="20"/>
        <v>14</v>
      </c>
      <c r="K209" s="22">
        <v>1</v>
      </c>
      <c r="L209" s="22">
        <f ca="1">SUM(K209:OFFSET(RngToDay,ROWS(Dates),10))</f>
        <v>315</v>
      </c>
      <c r="O209" s="22">
        <f t="shared" si="24"/>
        <v>209</v>
      </c>
      <c r="P209" s="26"/>
      <c r="Q209" s="26"/>
    </row>
    <row r="210" spans="1:17" x14ac:dyDescent="0.2">
      <c r="A210" s="133">
        <v>40268</v>
      </c>
      <c r="B210" s="26"/>
      <c r="C210" s="26"/>
      <c r="E210" s="26"/>
      <c r="F210" s="26">
        <f t="shared" si="19"/>
        <v>0</v>
      </c>
      <c r="G210" s="22" t="str">
        <f t="shared" ca="1" si="21"/>
        <v>History</v>
      </c>
      <c r="H210" s="22">
        <f t="shared" si="22"/>
        <v>2010</v>
      </c>
      <c r="I210" s="22">
        <f t="shared" si="23"/>
        <v>3</v>
      </c>
      <c r="J210" s="22">
        <f t="shared" si="20"/>
        <v>13</v>
      </c>
      <c r="K210" s="22">
        <v>1</v>
      </c>
      <c r="L210" s="22">
        <f ca="1">SUM(K210:OFFSET(RngToDay,ROWS(Dates),10))</f>
        <v>314</v>
      </c>
      <c r="O210" s="22">
        <f t="shared" si="24"/>
        <v>210</v>
      </c>
      <c r="P210" s="26"/>
      <c r="Q210" s="26"/>
    </row>
    <row r="211" spans="1:17" x14ac:dyDescent="0.2">
      <c r="A211" s="133">
        <v>40267</v>
      </c>
      <c r="B211" s="26"/>
      <c r="C211" s="26"/>
      <c r="E211" s="26"/>
      <c r="F211" s="26">
        <f t="shared" si="19"/>
        <v>0</v>
      </c>
      <c r="G211" s="22" t="str">
        <f t="shared" ca="1" si="21"/>
        <v>History</v>
      </c>
      <c r="H211" s="22">
        <f t="shared" si="22"/>
        <v>2010</v>
      </c>
      <c r="I211" s="22">
        <f t="shared" si="23"/>
        <v>3</v>
      </c>
      <c r="J211" s="22">
        <f t="shared" si="20"/>
        <v>13</v>
      </c>
      <c r="K211" s="22">
        <v>1</v>
      </c>
      <c r="L211" s="22">
        <f ca="1">SUM(K211:OFFSET(RngToDay,ROWS(Dates),10))</f>
        <v>313</v>
      </c>
      <c r="O211" s="22">
        <f t="shared" si="24"/>
        <v>211</v>
      </c>
      <c r="P211" s="26"/>
      <c r="Q211" s="26"/>
    </row>
    <row r="212" spans="1:17" x14ac:dyDescent="0.2">
      <c r="A212" s="133">
        <v>40266</v>
      </c>
      <c r="B212" s="26"/>
      <c r="C212" s="26"/>
      <c r="E212" s="26"/>
      <c r="F212" s="26">
        <f t="shared" si="19"/>
        <v>0</v>
      </c>
      <c r="G212" s="22" t="str">
        <f t="shared" ca="1" si="21"/>
        <v>History</v>
      </c>
      <c r="H212" s="22">
        <f t="shared" si="22"/>
        <v>2010</v>
      </c>
      <c r="I212" s="22">
        <f t="shared" si="23"/>
        <v>3</v>
      </c>
      <c r="J212" s="22">
        <f t="shared" si="20"/>
        <v>13</v>
      </c>
      <c r="K212" s="22">
        <v>1</v>
      </c>
      <c r="L212" s="22">
        <f ca="1">SUM(K212:OFFSET(RngToDay,ROWS(Dates),10))</f>
        <v>312</v>
      </c>
      <c r="O212" s="22">
        <f t="shared" si="24"/>
        <v>212</v>
      </c>
      <c r="P212" s="26"/>
      <c r="Q212" s="26"/>
    </row>
    <row r="213" spans="1:17" x14ac:dyDescent="0.2">
      <c r="A213" s="133">
        <v>40263</v>
      </c>
      <c r="B213" s="26"/>
      <c r="C213" s="26"/>
      <c r="E213" s="26"/>
      <c r="F213" s="26">
        <f t="shared" si="19"/>
        <v>0</v>
      </c>
      <c r="G213" s="22" t="str">
        <f t="shared" ca="1" si="21"/>
        <v>History</v>
      </c>
      <c r="H213" s="22">
        <f t="shared" si="22"/>
        <v>2010</v>
      </c>
      <c r="I213" s="22">
        <f t="shared" si="23"/>
        <v>3</v>
      </c>
      <c r="J213" s="22">
        <f t="shared" si="20"/>
        <v>12</v>
      </c>
      <c r="K213" s="22">
        <v>1</v>
      </c>
      <c r="L213" s="22">
        <f ca="1">SUM(K213:OFFSET(RngToDay,ROWS(Dates),10))</f>
        <v>311</v>
      </c>
      <c r="O213" s="22">
        <f t="shared" si="24"/>
        <v>213</v>
      </c>
      <c r="P213" s="26"/>
      <c r="Q213" s="26"/>
    </row>
    <row r="214" spans="1:17" x14ac:dyDescent="0.2">
      <c r="A214" s="133">
        <v>40262</v>
      </c>
      <c r="B214" s="26"/>
      <c r="C214" s="26"/>
      <c r="E214" s="26"/>
      <c r="F214" s="26">
        <f t="shared" si="19"/>
        <v>0</v>
      </c>
      <c r="G214" s="22" t="str">
        <f t="shared" ca="1" si="21"/>
        <v>History</v>
      </c>
      <c r="H214" s="22">
        <f t="shared" si="22"/>
        <v>2010</v>
      </c>
      <c r="I214" s="22">
        <f t="shared" si="23"/>
        <v>3</v>
      </c>
      <c r="J214" s="22">
        <f t="shared" si="20"/>
        <v>12</v>
      </c>
      <c r="K214" s="22">
        <v>1</v>
      </c>
      <c r="L214" s="22">
        <f ca="1">SUM(K214:OFFSET(RngToDay,ROWS(Dates),10))</f>
        <v>310</v>
      </c>
      <c r="O214" s="22">
        <f t="shared" si="24"/>
        <v>214</v>
      </c>
      <c r="P214" s="26"/>
      <c r="Q214" s="26"/>
    </row>
    <row r="215" spans="1:17" x14ac:dyDescent="0.2">
      <c r="A215" s="133">
        <v>40261</v>
      </c>
      <c r="B215" s="26"/>
      <c r="C215" s="26"/>
      <c r="E215" s="26"/>
      <c r="F215" s="26">
        <f t="shared" si="19"/>
        <v>0</v>
      </c>
      <c r="G215" s="22" t="str">
        <f t="shared" ca="1" si="21"/>
        <v>History</v>
      </c>
      <c r="H215" s="22">
        <f t="shared" si="22"/>
        <v>2010</v>
      </c>
      <c r="I215" s="22">
        <f t="shared" si="23"/>
        <v>3</v>
      </c>
      <c r="J215" s="22">
        <f t="shared" si="20"/>
        <v>12</v>
      </c>
      <c r="K215" s="22">
        <v>1</v>
      </c>
      <c r="L215" s="22">
        <f ca="1">SUM(K215:OFFSET(RngToDay,ROWS(Dates),10))</f>
        <v>309</v>
      </c>
      <c r="O215" s="22">
        <f t="shared" si="24"/>
        <v>215</v>
      </c>
      <c r="P215" s="26"/>
      <c r="Q215" s="26"/>
    </row>
    <row r="216" spans="1:17" x14ac:dyDescent="0.2">
      <c r="A216" s="133">
        <v>40260</v>
      </c>
      <c r="B216" s="26"/>
      <c r="C216" s="26"/>
      <c r="E216" s="26"/>
      <c r="F216" s="26">
        <f t="shared" si="19"/>
        <v>0</v>
      </c>
      <c r="G216" s="22" t="str">
        <f t="shared" ca="1" si="21"/>
        <v>History</v>
      </c>
      <c r="H216" s="22">
        <f t="shared" si="22"/>
        <v>2010</v>
      </c>
      <c r="I216" s="22">
        <f t="shared" si="23"/>
        <v>3</v>
      </c>
      <c r="J216" s="22">
        <f t="shared" si="20"/>
        <v>12</v>
      </c>
      <c r="K216" s="22">
        <v>1</v>
      </c>
      <c r="L216" s="22">
        <f ca="1">SUM(K216:OFFSET(RngToDay,ROWS(Dates),10))</f>
        <v>308</v>
      </c>
      <c r="O216" s="22">
        <f t="shared" si="24"/>
        <v>216</v>
      </c>
      <c r="P216" s="26"/>
      <c r="Q216" s="26"/>
    </row>
    <row r="217" spans="1:17" x14ac:dyDescent="0.2">
      <c r="A217" s="133">
        <v>40259</v>
      </c>
      <c r="B217" s="26"/>
      <c r="C217" s="26"/>
      <c r="E217" s="26"/>
      <c r="F217" s="26">
        <f t="shared" si="19"/>
        <v>0</v>
      </c>
      <c r="G217" s="22" t="str">
        <f t="shared" ca="1" si="21"/>
        <v>History</v>
      </c>
      <c r="H217" s="22">
        <f t="shared" si="22"/>
        <v>2010</v>
      </c>
      <c r="I217" s="22">
        <f t="shared" si="23"/>
        <v>3</v>
      </c>
      <c r="J217" s="22">
        <f t="shared" si="20"/>
        <v>12</v>
      </c>
      <c r="K217" s="22">
        <v>1</v>
      </c>
      <c r="L217" s="22">
        <f ca="1">SUM(K217:OFFSET(RngToDay,ROWS(Dates),10))</f>
        <v>307</v>
      </c>
      <c r="O217" s="22">
        <f t="shared" si="24"/>
        <v>217</v>
      </c>
      <c r="P217" s="26"/>
      <c r="Q217" s="26"/>
    </row>
    <row r="218" spans="1:17" x14ac:dyDescent="0.2">
      <c r="A218" s="133">
        <v>40256</v>
      </c>
      <c r="B218" s="26"/>
      <c r="C218" s="26"/>
      <c r="E218" s="26"/>
      <c r="F218" s="26">
        <f t="shared" si="19"/>
        <v>0</v>
      </c>
      <c r="G218" s="22" t="str">
        <f t="shared" ca="1" si="21"/>
        <v>History</v>
      </c>
      <c r="H218" s="22">
        <f t="shared" si="22"/>
        <v>2010</v>
      </c>
      <c r="I218" s="22">
        <f t="shared" si="23"/>
        <v>3</v>
      </c>
      <c r="J218" s="22">
        <f t="shared" si="20"/>
        <v>11</v>
      </c>
      <c r="K218" s="22">
        <v>1</v>
      </c>
      <c r="L218" s="22">
        <f ca="1">SUM(K218:OFFSET(RngToDay,ROWS(Dates),10))</f>
        <v>306</v>
      </c>
      <c r="O218" s="22">
        <f t="shared" si="24"/>
        <v>218</v>
      </c>
      <c r="P218" s="26"/>
      <c r="Q218" s="26"/>
    </row>
    <row r="219" spans="1:17" x14ac:dyDescent="0.2">
      <c r="A219" s="133">
        <v>40255</v>
      </c>
      <c r="B219" s="26"/>
      <c r="C219" s="26"/>
      <c r="E219" s="26"/>
      <c r="F219" s="26">
        <f t="shared" si="19"/>
        <v>0</v>
      </c>
      <c r="G219" s="22" t="str">
        <f t="shared" ca="1" si="21"/>
        <v>History</v>
      </c>
      <c r="H219" s="22">
        <f t="shared" si="22"/>
        <v>2010</v>
      </c>
      <c r="I219" s="22">
        <f t="shared" si="23"/>
        <v>3</v>
      </c>
      <c r="J219" s="22">
        <f t="shared" si="20"/>
        <v>11</v>
      </c>
      <c r="K219" s="22">
        <v>1</v>
      </c>
      <c r="L219" s="22">
        <f ca="1">SUM(K219:OFFSET(RngToDay,ROWS(Dates),10))</f>
        <v>305</v>
      </c>
      <c r="O219" s="22">
        <f t="shared" si="24"/>
        <v>219</v>
      </c>
      <c r="P219" s="26"/>
      <c r="Q219" s="26"/>
    </row>
    <row r="220" spans="1:17" x14ac:dyDescent="0.2">
      <c r="A220" s="133">
        <v>40254</v>
      </c>
      <c r="B220" s="26"/>
      <c r="C220" s="26"/>
      <c r="E220" s="26"/>
      <c r="F220" s="26">
        <f t="shared" si="19"/>
        <v>0</v>
      </c>
      <c r="G220" s="22" t="str">
        <f t="shared" ca="1" si="21"/>
        <v>History</v>
      </c>
      <c r="H220" s="22">
        <f t="shared" si="22"/>
        <v>2010</v>
      </c>
      <c r="I220" s="22">
        <f t="shared" si="23"/>
        <v>3</v>
      </c>
      <c r="J220" s="22">
        <f t="shared" si="20"/>
        <v>11</v>
      </c>
      <c r="K220" s="22">
        <v>1</v>
      </c>
      <c r="L220" s="22">
        <f ca="1">SUM(K220:OFFSET(RngToDay,ROWS(Dates),10))</f>
        <v>304</v>
      </c>
      <c r="O220" s="22">
        <f t="shared" si="24"/>
        <v>220</v>
      </c>
      <c r="P220" s="26"/>
      <c r="Q220" s="26"/>
    </row>
    <row r="221" spans="1:17" x14ac:dyDescent="0.2">
      <c r="A221" s="133">
        <v>40253</v>
      </c>
      <c r="B221" s="26"/>
      <c r="C221" s="26"/>
      <c r="E221" s="26"/>
      <c r="F221" s="26">
        <f t="shared" si="19"/>
        <v>0</v>
      </c>
      <c r="G221" s="22" t="str">
        <f t="shared" ca="1" si="21"/>
        <v>History</v>
      </c>
      <c r="H221" s="22">
        <f t="shared" si="22"/>
        <v>2010</v>
      </c>
      <c r="I221" s="22">
        <f t="shared" si="23"/>
        <v>3</v>
      </c>
      <c r="J221" s="22">
        <f t="shared" si="20"/>
        <v>11</v>
      </c>
      <c r="K221" s="22">
        <v>1</v>
      </c>
      <c r="L221" s="22">
        <f ca="1">SUM(K221:OFFSET(RngToDay,ROWS(Dates),10))</f>
        <v>303</v>
      </c>
      <c r="O221" s="22">
        <f t="shared" si="24"/>
        <v>221</v>
      </c>
      <c r="P221" s="26"/>
      <c r="Q221" s="26"/>
    </row>
    <row r="222" spans="1:17" x14ac:dyDescent="0.2">
      <c r="A222" s="133">
        <v>40252</v>
      </c>
      <c r="B222" s="26"/>
      <c r="C222" s="26"/>
      <c r="E222" s="26"/>
      <c r="F222" s="26">
        <f t="shared" si="19"/>
        <v>0</v>
      </c>
      <c r="G222" s="22" t="str">
        <f t="shared" ca="1" si="21"/>
        <v>History</v>
      </c>
      <c r="H222" s="22">
        <f t="shared" si="22"/>
        <v>2010</v>
      </c>
      <c r="I222" s="22">
        <f t="shared" si="23"/>
        <v>3</v>
      </c>
      <c r="J222" s="22">
        <f t="shared" si="20"/>
        <v>11</v>
      </c>
      <c r="K222" s="22">
        <v>1</v>
      </c>
      <c r="L222" s="22">
        <f ca="1">SUM(K222:OFFSET(RngToDay,ROWS(Dates),10))</f>
        <v>302</v>
      </c>
      <c r="O222" s="22">
        <f t="shared" si="24"/>
        <v>222</v>
      </c>
      <c r="P222" s="26"/>
      <c r="Q222" s="26"/>
    </row>
    <row r="223" spans="1:17" x14ac:dyDescent="0.2">
      <c r="A223" s="133">
        <v>40249</v>
      </c>
      <c r="B223" s="26"/>
      <c r="C223" s="26"/>
      <c r="E223" s="26"/>
      <c r="F223" s="26">
        <f t="shared" si="19"/>
        <v>0</v>
      </c>
      <c r="G223" s="22" t="str">
        <f t="shared" ca="1" si="21"/>
        <v>History</v>
      </c>
      <c r="H223" s="22">
        <f t="shared" si="22"/>
        <v>2010</v>
      </c>
      <c r="I223" s="22">
        <f t="shared" si="23"/>
        <v>3</v>
      </c>
      <c r="J223" s="22">
        <f t="shared" si="20"/>
        <v>10</v>
      </c>
      <c r="K223" s="22">
        <v>1</v>
      </c>
      <c r="L223" s="22">
        <f ca="1">SUM(K223:OFFSET(RngToDay,ROWS(Dates),10))</f>
        <v>301</v>
      </c>
      <c r="O223" s="22">
        <f t="shared" si="24"/>
        <v>223</v>
      </c>
      <c r="P223" s="26"/>
      <c r="Q223" s="26"/>
    </row>
    <row r="224" spans="1:17" x14ac:dyDescent="0.2">
      <c r="A224" s="133">
        <v>40248</v>
      </c>
      <c r="B224" s="26"/>
      <c r="C224" s="26"/>
      <c r="E224" s="26"/>
      <c r="F224" s="26">
        <f t="shared" si="19"/>
        <v>0</v>
      </c>
      <c r="G224" s="22" t="str">
        <f t="shared" ca="1" si="21"/>
        <v>History</v>
      </c>
      <c r="H224" s="22">
        <f t="shared" si="22"/>
        <v>2010</v>
      </c>
      <c r="I224" s="22">
        <f t="shared" si="23"/>
        <v>3</v>
      </c>
      <c r="J224" s="22">
        <f t="shared" si="20"/>
        <v>10</v>
      </c>
      <c r="K224" s="22">
        <v>1</v>
      </c>
      <c r="L224" s="22">
        <f ca="1">SUM(K224:OFFSET(RngToDay,ROWS(Dates),10))</f>
        <v>300</v>
      </c>
      <c r="O224" s="22">
        <f t="shared" si="24"/>
        <v>224</v>
      </c>
      <c r="P224" s="26"/>
      <c r="Q224" s="26"/>
    </row>
    <row r="225" spans="1:22" x14ac:dyDescent="0.2">
      <c r="A225" s="133">
        <v>40247</v>
      </c>
      <c r="B225" s="26"/>
      <c r="C225" s="26"/>
      <c r="E225" s="26"/>
      <c r="F225" s="26">
        <f t="shared" si="19"/>
        <v>0</v>
      </c>
      <c r="G225" s="22" t="str">
        <f t="shared" ca="1" si="21"/>
        <v>History</v>
      </c>
      <c r="H225" s="22">
        <f t="shared" si="22"/>
        <v>2010</v>
      </c>
      <c r="I225" s="22">
        <f t="shared" si="23"/>
        <v>3</v>
      </c>
      <c r="J225" s="22">
        <f t="shared" si="20"/>
        <v>10</v>
      </c>
      <c r="K225" s="22">
        <v>1</v>
      </c>
      <c r="L225" s="22">
        <f ca="1">SUM(K225:OFFSET(RngToDay,ROWS(Dates),10))</f>
        <v>299</v>
      </c>
      <c r="M225" s="26"/>
      <c r="N225" s="26"/>
      <c r="O225" s="22">
        <f t="shared" si="24"/>
        <v>225</v>
      </c>
      <c r="P225" s="26"/>
      <c r="Q225" s="26"/>
    </row>
    <row r="226" spans="1:22" x14ac:dyDescent="0.2">
      <c r="A226" s="133">
        <v>40246</v>
      </c>
      <c r="B226" s="26"/>
      <c r="C226" s="26"/>
      <c r="E226" s="26"/>
      <c r="F226" s="26">
        <f t="shared" si="19"/>
        <v>0</v>
      </c>
      <c r="G226" s="22" t="str">
        <f t="shared" ca="1" si="21"/>
        <v>History</v>
      </c>
      <c r="H226" s="22">
        <f t="shared" si="22"/>
        <v>2010</v>
      </c>
      <c r="I226" s="22">
        <f t="shared" si="23"/>
        <v>3</v>
      </c>
      <c r="J226" s="22">
        <f t="shared" si="20"/>
        <v>10</v>
      </c>
      <c r="K226" s="22">
        <v>1</v>
      </c>
      <c r="L226" s="22">
        <f ca="1">SUM(K226:OFFSET(RngToDay,ROWS(Dates),10))</f>
        <v>298</v>
      </c>
      <c r="M226" s="26"/>
      <c r="N226" s="26"/>
      <c r="O226" s="22">
        <f t="shared" si="24"/>
        <v>226</v>
      </c>
      <c r="P226" s="26"/>
      <c r="Q226" s="26"/>
    </row>
    <row r="227" spans="1:22" x14ac:dyDescent="0.2">
      <c r="A227" s="133">
        <v>40245</v>
      </c>
      <c r="B227" s="26"/>
      <c r="C227" s="26"/>
      <c r="E227" s="26"/>
      <c r="F227" s="26">
        <f t="shared" si="19"/>
        <v>0</v>
      </c>
      <c r="G227" s="22" t="str">
        <f t="shared" ca="1" si="21"/>
        <v>History</v>
      </c>
      <c r="H227" s="22">
        <f t="shared" si="22"/>
        <v>2010</v>
      </c>
      <c r="I227" s="22">
        <f t="shared" si="23"/>
        <v>3</v>
      </c>
      <c r="J227" s="22">
        <f t="shared" si="20"/>
        <v>10</v>
      </c>
      <c r="K227" s="22">
        <v>1</v>
      </c>
      <c r="L227" s="22">
        <f ca="1">SUM(K227:OFFSET(RngToDay,ROWS(Dates),10))</f>
        <v>297</v>
      </c>
      <c r="M227" s="26"/>
      <c r="N227" s="26"/>
      <c r="O227" s="22">
        <f t="shared" si="24"/>
        <v>227</v>
      </c>
      <c r="P227" s="26"/>
      <c r="Q227" s="26"/>
    </row>
    <row r="228" spans="1:22" x14ac:dyDescent="0.2">
      <c r="A228" s="133">
        <v>40242</v>
      </c>
      <c r="B228" s="26"/>
      <c r="C228" s="26"/>
      <c r="E228" s="26"/>
      <c r="F228" s="26">
        <f t="shared" si="19"/>
        <v>0</v>
      </c>
      <c r="G228" s="22" t="str">
        <f t="shared" ca="1" si="21"/>
        <v>History</v>
      </c>
      <c r="H228" s="22">
        <f t="shared" si="22"/>
        <v>2010</v>
      </c>
      <c r="I228" s="22">
        <f t="shared" si="23"/>
        <v>3</v>
      </c>
      <c r="J228" s="22">
        <f t="shared" si="20"/>
        <v>9</v>
      </c>
      <c r="K228" s="22">
        <v>1</v>
      </c>
      <c r="L228" s="22">
        <f ca="1">SUM(K228:OFFSET(RngToDay,ROWS(Dates),10))</f>
        <v>296</v>
      </c>
      <c r="M228" s="26"/>
      <c r="N228" s="26"/>
      <c r="O228" s="22">
        <f t="shared" si="24"/>
        <v>228</v>
      </c>
      <c r="P228" s="26"/>
      <c r="Q228" s="26"/>
    </row>
    <row r="229" spans="1:22" x14ac:dyDescent="0.2">
      <c r="A229" s="133">
        <v>40241</v>
      </c>
      <c r="B229" s="26"/>
      <c r="C229" s="26"/>
      <c r="E229" s="26"/>
      <c r="F229" s="26">
        <f t="shared" si="19"/>
        <v>0</v>
      </c>
      <c r="G229" s="22" t="str">
        <f t="shared" ca="1" si="21"/>
        <v>History</v>
      </c>
      <c r="H229" s="22">
        <f t="shared" si="22"/>
        <v>2010</v>
      </c>
      <c r="I229" s="22">
        <f t="shared" si="23"/>
        <v>3</v>
      </c>
      <c r="J229" s="22">
        <f t="shared" si="20"/>
        <v>9</v>
      </c>
      <c r="K229" s="22">
        <v>1</v>
      </c>
      <c r="L229" s="22">
        <f ca="1">SUM(K229:OFFSET(RngToDay,ROWS(Dates),10))</f>
        <v>295</v>
      </c>
      <c r="M229" s="26"/>
      <c r="N229" s="26"/>
      <c r="O229" s="22">
        <f t="shared" si="24"/>
        <v>229</v>
      </c>
      <c r="P229" s="26"/>
      <c r="Q229" s="26"/>
    </row>
    <row r="230" spans="1:22" x14ac:dyDescent="0.2">
      <c r="A230" s="133">
        <v>40240</v>
      </c>
      <c r="B230" s="26"/>
      <c r="C230" s="26"/>
      <c r="E230" s="26"/>
      <c r="F230" s="26">
        <f t="shared" si="19"/>
        <v>0</v>
      </c>
      <c r="G230" s="22" t="str">
        <f t="shared" ca="1" si="21"/>
        <v>History</v>
      </c>
      <c r="H230" s="22">
        <f t="shared" si="22"/>
        <v>2010</v>
      </c>
      <c r="I230" s="22">
        <f t="shared" si="23"/>
        <v>3</v>
      </c>
      <c r="J230" s="22">
        <f t="shared" si="20"/>
        <v>9</v>
      </c>
      <c r="K230" s="22">
        <v>1</v>
      </c>
      <c r="L230" s="22">
        <f ca="1">SUM(K230:OFFSET(RngToDay,ROWS(Dates),10))</f>
        <v>294</v>
      </c>
      <c r="M230" s="26"/>
      <c r="N230" s="26"/>
      <c r="O230" s="22">
        <f t="shared" si="24"/>
        <v>230</v>
      </c>
      <c r="P230" s="26"/>
      <c r="Q230" s="26"/>
    </row>
    <row r="231" spans="1:22" x14ac:dyDescent="0.2">
      <c r="A231" s="133">
        <v>40239</v>
      </c>
      <c r="B231" s="26"/>
      <c r="C231" s="26"/>
      <c r="E231" s="26"/>
      <c r="F231" s="26">
        <f t="shared" si="19"/>
        <v>0</v>
      </c>
      <c r="G231" s="22" t="str">
        <f t="shared" ca="1" si="21"/>
        <v>History</v>
      </c>
      <c r="H231" s="22">
        <f t="shared" si="22"/>
        <v>2010</v>
      </c>
      <c r="I231" s="22">
        <f t="shared" si="23"/>
        <v>3</v>
      </c>
      <c r="J231" s="22">
        <f t="shared" si="20"/>
        <v>9</v>
      </c>
      <c r="K231" s="22">
        <v>1</v>
      </c>
      <c r="L231" s="22">
        <f ca="1">SUM(K231:OFFSET(RngToDay,ROWS(Dates),10))</f>
        <v>293</v>
      </c>
      <c r="M231" s="26"/>
      <c r="N231" s="26"/>
      <c r="O231" s="22">
        <f t="shared" si="24"/>
        <v>231</v>
      </c>
      <c r="P231" s="26"/>
      <c r="Q231" s="26"/>
    </row>
    <row r="232" spans="1:22" x14ac:dyDescent="0.2">
      <c r="A232" s="133">
        <v>40238</v>
      </c>
      <c r="B232" s="26"/>
      <c r="C232" s="26"/>
      <c r="E232" s="26"/>
      <c r="F232" s="26">
        <f t="shared" si="19"/>
        <v>0</v>
      </c>
      <c r="G232" s="22" t="str">
        <f t="shared" ca="1" si="21"/>
        <v>History</v>
      </c>
      <c r="H232" s="22">
        <f t="shared" si="22"/>
        <v>2010</v>
      </c>
      <c r="I232" s="22">
        <f t="shared" si="23"/>
        <v>3</v>
      </c>
      <c r="J232" s="22">
        <f t="shared" si="20"/>
        <v>9</v>
      </c>
      <c r="K232" s="22">
        <v>1</v>
      </c>
      <c r="L232" s="22">
        <f ca="1">SUM(K232:OFFSET(RngToDay,ROWS(Dates),10))</f>
        <v>292</v>
      </c>
      <c r="M232" s="26"/>
      <c r="N232" s="26"/>
      <c r="O232" s="22">
        <f t="shared" si="24"/>
        <v>232</v>
      </c>
      <c r="P232" s="26"/>
      <c r="Q232" s="26"/>
    </row>
    <row r="233" spans="1:22" x14ac:dyDescent="0.2">
      <c r="A233" s="133">
        <v>40235</v>
      </c>
      <c r="B233" s="26"/>
      <c r="C233" s="26"/>
      <c r="E233" s="26"/>
      <c r="F233" s="26">
        <f t="shared" si="19"/>
        <v>0</v>
      </c>
      <c r="G233" s="22" t="str">
        <f t="shared" ca="1" si="21"/>
        <v>History</v>
      </c>
      <c r="H233" s="22">
        <f t="shared" si="22"/>
        <v>2010</v>
      </c>
      <c r="I233" s="22">
        <f t="shared" si="23"/>
        <v>2</v>
      </c>
      <c r="J233" s="22">
        <f t="shared" si="20"/>
        <v>8</v>
      </c>
      <c r="K233" s="22">
        <v>1</v>
      </c>
      <c r="L233" s="22">
        <f ca="1">SUM(K233:OFFSET(RngToDay,ROWS(Dates),10))</f>
        <v>291</v>
      </c>
      <c r="M233" s="26"/>
      <c r="N233" s="26"/>
      <c r="O233" s="22">
        <f t="shared" si="24"/>
        <v>233</v>
      </c>
      <c r="P233" s="26"/>
      <c r="Q233" s="26"/>
    </row>
    <row r="234" spans="1:22" x14ac:dyDescent="0.2">
      <c r="A234" s="133">
        <v>40234</v>
      </c>
      <c r="B234" s="26"/>
      <c r="C234" s="26"/>
      <c r="E234" s="26"/>
      <c r="F234" s="26">
        <f t="shared" si="19"/>
        <v>0</v>
      </c>
      <c r="G234" s="22" t="str">
        <f t="shared" ca="1" si="21"/>
        <v>History</v>
      </c>
      <c r="H234" s="22">
        <f t="shared" si="22"/>
        <v>2010</v>
      </c>
      <c r="I234" s="22">
        <f t="shared" si="23"/>
        <v>2</v>
      </c>
      <c r="J234" s="22">
        <f t="shared" si="20"/>
        <v>8</v>
      </c>
      <c r="K234" s="22">
        <v>1</v>
      </c>
      <c r="L234" s="22">
        <f ca="1">SUM(K234:OFFSET(RngToDay,ROWS(Dates),10))</f>
        <v>290</v>
      </c>
      <c r="M234" s="26"/>
      <c r="N234" s="26"/>
      <c r="O234" s="22">
        <f t="shared" si="24"/>
        <v>234</v>
      </c>
      <c r="P234" s="26"/>
      <c r="Q234" s="26"/>
    </row>
    <row r="235" spans="1:22" x14ac:dyDescent="0.2">
      <c r="A235" s="133">
        <v>40233</v>
      </c>
      <c r="B235" s="26"/>
      <c r="C235" s="26"/>
      <c r="E235" s="26"/>
      <c r="F235" s="26">
        <f t="shared" si="19"/>
        <v>0</v>
      </c>
      <c r="G235" s="22" t="str">
        <f t="shared" ca="1" si="21"/>
        <v>History</v>
      </c>
      <c r="H235" s="22">
        <f t="shared" si="22"/>
        <v>2010</v>
      </c>
      <c r="I235" s="22">
        <f t="shared" si="23"/>
        <v>2</v>
      </c>
      <c r="J235" s="22">
        <f t="shared" si="20"/>
        <v>8</v>
      </c>
      <c r="K235" s="22">
        <v>1</v>
      </c>
      <c r="L235" s="22">
        <f ca="1">SUM(K235:OFFSET(RngToDay,ROWS(Dates),10))</f>
        <v>289</v>
      </c>
      <c r="M235" s="26"/>
      <c r="N235" s="26"/>
      <c r="O235" s="22">
        <f t="shared" si="24"/>
        <v>235</v>
      </c>
      <c r="P235" s="26"/>
      <c r="Q235" s="26"/>
    </row>
    <row r="236" spans="1:22" x14ac:dyDescent="0.2">
      <c r="A236" s="133">
        <v>40232</v>
      </c>
      <c r="B236" s="26"/>
      <c r="C236" s="26"/>
      <c r="E236" s="26"/>
      <c r="F236" s="26">
        <f t="shared" si="19"/>
        <v>0</v>
      </c>
      <c r="G236" s="22" t="str">
        <f t="shared" ca="1" si="21"/>
        <v>History</v>
      </c>
      <c r="H236" s="22">
        <f t="shared" si="22"/>
        <v>2010</v>
      </c>
      <c r="I236" s="22">
        <f t="shared" si="23"/>
        <v>2</v>
      </c>
      <c r="J236" s="22">
        <f t="shared" si="20"/>
        <v>8</v>
      </c>
      <c r="K236" s="22">
        <v>1</v>
      </c>
      <c r="L236" s="22">
        <f ca="1">SUM(K236:OFFSET(RngToDay,ROWS(Dates),10))</f>
        <v>288</v>
      </c>
      <c r="M236" s="26"/>
      <c r="N236" s="26"/>
      <c r="O236" s="22">
        <f t="shared" si="24"/>
        <v>236</v>
      </c>
      <c r="P236" s="26"/>
      <c r="Q236" s="26"/>
      <c r="V236" s="26"/>
    </row>
    <row r="237" spans="1:22" x14ac:dyDescent="0.2">
      <c r="A237" s="133">
        <v>40231</v>
      </c>
      <c r="B237" s="26"/>
      <c r="C237" s="26"/>
      <c r="E237" s="26"/>
      <c r="F237" s="26">
        <f t="shared" si="19"/>
        <v>0</v>
      </c>
      <c r="G237" s="22" t="str">
        <f t="shared" ca="1" si="21"/>
        <v>History</v>
      </c>
      <c r="H237" s="22">
        <f t="shared" si="22"/>
        <v>2010</v>
      </c>
      <c r="I237" s="22">
        <f t="shared" si="23"/>
        <v>2</v>
      </c>
      <c r="J237" s="22">
        <f t="shared" si="20"/>
        <v>8</v>
      </c>
      <c r="K237" s="22">
        <v>1</v>
      </c>
      <c r="L237" s="22">
        <f ca="1">SUM(K237:OFFSET(RngToDay,ROWS(Dates),10))</f>
        <v>287</v>
      </c>
      <c r="M237" s="26"/>
      <c r="N237" s="26"/>
      <c r="O237" s="22">
        <f t="shared" si="24"/>
        <v>237</v>
      </c>
      <c r="P237" s="26"/>
      <c r="Q237" s="26"/>
      <c r="V237" s="26"/>
    </row>
    <row r="238" spans="1:22" x14ac:dyDescent="0.2">
      <c r="A238" s="133">
        <v>40228</v>
      </c>
      <c r="B238" s="26"/>
      <c r="C238" s="26"/>
      <c r="E238" s="26"/>
      <c r="F238" s="26">
        <f t="shared" si="19"/>
        <v>0</v>
      </c>
      <c r="G238" s="22" t="str">
        <f t="shared" ca="1" si="21"/>
        <v>History</v>
      </c>
      <c r="H238" s="22">
        <f t="shared" si="22"/>
        <v>2010</v>
      </c>
      <c r="I238" s="22">
        <f t="shared" si="23"/>
        <v>2</v>
      </c>
      <c r="J238" s="22">
        <f t="shared" si="20"/>
        <v>7</v>
      </c>
      <c r="K238" s="22">
        <v>1</v>
      </c>
      <c r="L238" s="22">
        <f ca="1">SUM(K238:OFFSET(RngToDay,ROWS(Dates),10))</f>
        <v>286</v>
      </c>
      <c r="M238" s="26"/>
      <c r="N238" s="26"/>
      <c r="O238" s="22">
        <f t="shared" si="24"/>
        <v>238</v>
      </c>
      <c r="P238" s="26"/>
      <c r="Q238" s="26"/>
      <c r="V238" s="26"/>
    </row>
    <row r="239" spans="1:22" x14ac:dyDescent="0.2">
      <c r="A239" s="133">
        <v>40227</v>
      </c>
      <c r="B239" s="26"/>
      <c r="C239" s="26"/>
      <c r="E239" s="26"/>
      <c r="F239" s="26">
        <f t="shared" si="19"/>
        <v>0</v>
      </c>
      <c r="G239" s="22" t="str">
        <f t="shared" ca="1" si="21"/>
        <v>History</v>
      </c>
      <c r="H239" s="22">
        <f t="shared" si="22"/>
        <v>2010</v>
      </c>
      <c r="I239" s="22">
        <f t="shared" si="23"/>
        <v>2</v>
      </c>
      <c r="J239" s="22">
        <f t="shared" si="20"/>
        <v>7</v>
      </c>
      <c r="K239" s="22">
        <v>1</v>
      </c>
      <c r="L239" s="22">
        <f ca="1">SUM(K239:OFFSET(RngToDay,ROWS(Dates),10))</f>
        <v>285</v>
      </c>
      <c r="M239" s="26"/>
      <c r="N239" s="26"/>
      <c r="O239" s="22">
        <f t="shared" si="24"/>
        <v>239</v>
      </c>
      <c r="P239" s="26"/>
      <c r="Q239" s="26"/>
      <c r="V239" s="26"/>
    </row>
    <row r="240" spans="1:22" x14ac:dyDescent="0.2">
      <c r="A240" s="133">
        <v>40226</v>
      </c>
      <c r="B240" s="26"/>
      <c r="C240" s="26"/>
      <c r="E240" s="26"/>
      <c r="F240" s="26">
        <f t="shared" si="19"/>
        <v>0</v>
      </c>
      <c r="G240" s="22" t="str">
        <f t="shared" ca="1" si="21"/>
        <v>History</v>
      </c>
      <c r="H240" s="22">
        <f t="shared" si="22"/>
        <v>2010</v>
      </c>
      <c r="I240" s="22">
        <f t="shared" si="23"/>
        <v>2</v>
      </c>
      <c r="J240" s="22">
        <f t="shared" si="20"/>
        <v>7</v>
      </c>
      <c r="K240" s="22">
        <v>1</v>
      </c>
      <c r="L240" s="22">
        <f ca="1">SUM(K240:OFFSET(RngToDay,ROWS(Dates),10))</f>
        <v>284</v>
      </c>
      <c r="M240" s="26"/>
      <c r="N240" s="26"/>
      <c r="O240" s="22">
        <f t="shared" si="24"/>
        <v>240</v>
      </c>
      <c r="P240" s="26"/>
      <c r="Q240" s="26"/>
      <c r="V240" s="26"/>
    </row>
    <row r="241" spans="1:23" x14ac:dyDescent="0.2">
      <c r="A241" s="133">
        <v>40225</v>
      </c>
      <c r="B241" s="26"/>
      <c r="C241" s="26"/>
      <c r="E241" s="26"/>
      <c r="F241" s="26">
        <f t="shared" si="19"/>
        <v>0</v>
      </c>
      <c r="G241" s="22" t="str">
        <f t="shared" ca="1" si="21"/>
        <v>History</v>
      </c>
      <c r="H241" s="22">
        <f t="shared" si="22"/>
        <v>2010</v>
      </c>
      <c r="I241" s="22">
        <f t="shared" si="23"/>
        <v>2</v>
      </c>
      <c r="J241" s="22">
        <f t="shared" si="20"/>
        <v>7</v>
      </c>
      <c r="K241" s="22">
        <v>1</v>
      </c>
      <c r="L241" s="22">
        <f ca="1">SUM(K241:OFFSET(RngToDay,ROWS(Dates),10))</f>
        <v>283</v>
      </c>
      <c r="M241" s="26"/>
      <c r="N241" s="26"/>
      <c r="O241" s="22">
        <f t="shared" si="24"/>
        <v>241</v>
      </c>
      <c r="P241" s="26"/>
      <c r="Q241" s="26"/>
      <c r="V241" s="26"/>
    </row>
    <row r="242" spans="1:23" x14ac:dyDescent="0.2">
      <c r="A242" s="133">
        <v>40224</v>
      </c>
      <c r="B242" s="26"/>
      <c r="C242" s="26"/>
      <c r="E242" s="26"/>
      <c r="F242" s="26">
        <f t="shared" si="19"/>
        <v>0</v>
      </c>
      <c r="G242" s="22" t="str">
        <f t="shared" ca="1" si="21"/>
        <v>History</v>
      </c>
      <c r="H242" s="22">
        <f t="shared" si="22"/>
        <v>2010</v>
      </c>
      <c r="I242" s="22">
        <f t="shared" si="23"/>
        <v>2</v>
      </c>
      <c r="J242" s="22">
        <f t="shared" si="20"/>
        <v>7</v>
      </c>
      <c r="K242" s="22">
        <v>1</v>
      </c>
      <c r="L242" s="22">
        <f ca="1">SUM(K242:OFFSET(RngToDay,ROWS(Dates),10))</f>
        <v>282</v>
      </c>
      <c r="M242" s="26"/>
      <c r="N242" s="26"/>
      <c r="O242" s="22">
        <f t="shared" si="24"/>
        <v>242</v>
      </c>
      <c r="P242" s="26"/>
      <c r="Q242" s="26"/>
      <c r="S242" s="91" t="s">
        <v>385</v>
      </c>
      <c r="T242" s="26">
        <v>622660.6</v>
      </c>
      <c r="V242" s="26"/>
    </row>
    <row r="243" spans="1:23" x14ac:dyDescent="0.2">
      <c r="A243" s="133">
        <v>40221</v>
      </c>
      <c r="B243" s="26"/>
      <c r="C243" s="26"/>
      <c r="E243" s="26"/>
      <c r="F243" s="26">
        <f t="shared" si="19"/>
        <v>0</v>
      </c>
      <c r="G243" s="22" t="str">
        <f t="shared" ca="1" si="21"/>
        <v>History</v>
      </c>
      <c r="H243" s="22">
        <f t="shared" si="22"/>
        <v>2010</v>
      </c>
      <c r="I243" s="22">
        <f t="shared" si="23"/>
        <v>2</v>
      </c>
      <c r="J243" s="22">
        <f t="shared" si="20"/>
        <v>6</v>
      </c>
      <c r="K243" s="22">
        <v>1</v>
      </c>
      <c r="L243" s="22">
        <f ca="1">SUM(K243:OFFSET(RngToDay,ROWS(Dates),10))</f>
        <v>281</v>
      </c>
      <c r="M243" s="26"/>
      <c r="N243" s="26"/>
      <c r="O243" s="22">
        <f t="shared" si="24"/>
        <v>243</v>
      </c>
      <c r="P243" s="26"/>
      <c r="Q243" s="26"/>
      <c r="S243" s="91" t="s">
        <v>386</v>
      </c>
      <c r="T243" s="26">
        <v>0</v>
      </c>
      <c r="V243" s="26"/>
    </row>
    <row r="244" spans="1:23" x14ac:dyDescent="0.2">
      <c r="A244" s="133">
        <v>40220</v>
      </c>
      <c r="B244" s="26"/>
      <c r="C244" s="26"/>
      <c r="E244" s="26"/>
      <c r="F244" s="26">
        <f t="shared" si="19"/>
        <v>0</v>
      </c>
      <c r="G244" s="22" t="str">
        <f t="shared" ca="1" si="21"/>
        <v>History</v>
      </c>
      <c r="H244" s="22">
        <f t="shared" si="22"/>
        <v>2010</v>
      </c>
      <c r="I244" s="22">
        <f t="shared" si="23"/>
        <v>2</v>
      </c>
      <c r="J244" s="22">
        <f t="shared" si="20"/>
        <v>6</v>
      </c>
      <c r="K244" s="22">
        <v>1</v>
      </c>
      <c r="L244" s="22">
        <f ca="1">SUM(K244:OFFSET(RngToDay,ROWS(Dates),10))</f>
        <v>280</v>
      </c>
      <c r="M244" s="26"/>
      <c r="N244" s="26"/>
      <c r="O244" s="22">
        <f t="shared" si="24"/>
        <v>244</v>
      </c>
      <c r="P244" s="26"/>
      <c r="Q244" s="26"/>
      <c r="S244" s="91" t="s">
        <v>387</v>
      </c>
      <c r="T244" s="26" t="e">
        <f>AVERAGE(B250:B650)</f>
        <v>#DIV/0!</v>
      </c>
      <c r="W244" s="26"/>
    </row>
    <row r="245" spans="1:23" x14ac:dyDescent="0.2">
      <c r="A245" s="133">
        <v>40219</v>
      </c>
      <c r="B245" s="26"/>
      <c r="C245" s="26"/>
      <c r="E245" s="26"/>
      <c r="F245" s="26">
        <f t="shared" si="19"/>
        <v>0</v>
      </c>
      <c r="G245" s="22" t="str">
        <f t="shared" ca="1" si="21"/>
        <v>History</v>
      </c>
      <c r="H245" s="22">
        <f t="shared" si="22"/>
        <v>2010</v>
      </c>
      <c r="I245" s="22">
        <f t="shared" si="23"/>
        <v>2</v>
      </c>
      <c r="J245" s="22">
        <f t="shared" si="20"/>
        <v>6</v>
      </c>
      <c r="K245" s="22">
        <v>1</v>
      </c>
      <c r="L245" s="22">
        <f ca="1">SUM(K245:OFFSET(RngToDay,ROWS(Dates),10))</f>
        <v>279</v>
      </c>
      <c r="M245" s="26"/>
      <c r="N245" s="26"/>
      <c r="O245" s="22">
        <f t="shared" si="24"/>
        <v>245</v>
      </c>
      <c r="P245" s="26"/>
      <c r="Q245" s="26"/>
      <c r="S245" s="91" t="s">
        <v>388</v>
      </c>
      <c r="T245" s="26" t="e">
        <f>F250/T244*SafStock</f>
        <v>#DIV/0!</v>
      </c>
    </row>
    <row r="246" spans="1:23" x14ac:dyDescent="0.2">
      <c r="A246" s="133">
        <v>40218</v>
      </c>
      <c r="B246" s="26"/>
      <c r="C246" s="26"/>
      <c r="E246" s="26"/>
      <c r="F246" s="26">
        <f t="shared" si="19"/>
        <v>0</v>
      </c>
      <c r="G246" s="22" t="str">
        <f t="shared" ca="1" si="21"/>
        <v>History</v>
      </c>
      <c r="H246" s="22">
        <f t="shared" si="22"/>
        <v>2010</v>
      </c>
      <c r="I246" s="22">
        <f t="shared" si="23"/>
        <v>2</v>
      </c>
      <c r="J246" s="22">
        <f t="shared" si="20"/>
        <v>6</v>
      </c>
      <c r="K246" s="22">
        <v>1</v>
      </c>
      <c r="L246" s="22">
        <f ca="1">SUM(K246:OFFSET(RngToDay,ROWS(Dates),10))</f>
        <v>278</v>
      </c>
      <c r="M246" s="26"/>
      <c r="N246" s="26"/>
      <c r="O246" s="22">
        <f t="shared" si="24"/>
        <v>246</v>
      </c>
      <c r="P246" s="26"/>
      <c r="Q246" s="26"/>
      <c r="S246" s="91" t="s">
        <v>389</v>
      </c>
      <c r="T246" s="26">
        <f>SUM(C250:C650)-Req_Today</f>
        <v>0</v>
      </c>
      <c r="W246" s="26"/>
    </row>
    <row r="247" spans="1:23" x14ac:dyDescent="0.2">
      <c r="A247" s="133">
        <v>40217</v>
      </c>
      <c r="B247" s="26"/>
      <c r="C247" s="26"/>
      <c r="E247" s="26"/>
      <c r="F247" s="26">
        <f t="shared" si="19"/>
        <v>0</v>
      </c>
      <c r="G247" s="22" t="str">
        <f t="shared" ca="1" si="21"/>
        <v>History</v>
      </c>
      <c r="H247" s="22">
        <f t="shared" si="22"/>
        <v>2010</v>
      </c>
      <c r="I247" s="22">
        <f t="shared" si="23"/>
        <v>2</v>
      </c>
      <c r="J247" s="22">
        <f>IF(WEEKDAY(DATE(YEAR(A247),1,1),2)&gt;4,WEEKNUM(A247,2)-1,WEEKNUM(A247,2))</f>
        <v>6</v>
      </c>
      <c r="K247" s="22">
        <v>1</v>
      </c>
      <c r="L247" s="22">
        <f ca="1">SUM(K247:OFFSET(RngToDay,ROWS(Dates),10))</f>
        <v>277</v>
      </c>
      <c r="M247" s="26"/>
      <c r="N247" s="26"/>
      <c r="O247" s="22">
        <f t="shared" si="24"/>
        <v>247</v>
      </c>
      <c r="P247" s="26"/>
      <c r="Q247" s="26"/>
      <c r="S247" s="91" t="s">
        <v>390</v>
      </c>
      <c r="T247" s="85" t="e">
        <f>T246/T244</f>
        <v>#DIV/0!</v>
      </c>
      <c r="U247" s="85" t="e">
        <f ca="1">T246/L250*251/T244</f>
        <v>#DIV/0!</v>
      </c>
      <c r="V247" s="26" t="e">
        <f ca="1">251/U247</f>
        <v>#DIV/0!</v>
      </c>
    </row>
    <row r="248" spans="1:23" x14ac:dyDescent="0.2">
      <c r="A248" s="133">
        <v>40214</v>
      </c>
      <c r="B248" s="26"/>
      <c r="C248" s="26"/>
      <c r="E248" s="26"/>
      <c r="F248" s="26">
        <f t="shared" si="19"/>
        <v>0</v>
      </c>
      <c r="G248" s="22" t="str">
        <f t="shared" ca="1" si="21"/>
        <v>History</v>
      </c>
      <c r="H248" s="22">
        <f t="shared" si="22"/>
        <v>2010</v>
      </c>
      <c r="I248" s="22">
        <f t="shared" si="23"/>
        <v>2</v>
      </c>
      <c r="J248" s="22">
        <f t="shared" ref="J248:J311" si="25">IF(WEEKDAY(DATE(YEAR(A248),1,1),2)&gt;4,WEEKNUM(A248,2)-1,WEEKNUM(A248,2))</f>
        <v>5</v>
      </c>
      <c r="K248" s="22">
        <v>1</v>
      </c>
      <c r="L248" s="22">
        <f ca="1">SUM(K248:OFFSET(RngToDay,ROWS(Dates),10))</f>
        <v>276</v>
      </c>
      <c r="M248" s="26"/>
      <c r="N248" s="26"/>
      <c r="O248" s="22">
        <f t="shared" si="24"/>
        <v>248</v>
      </c>
      <c r="P248" s="26"/>
      <c r="Q248" s="26"/>
    </row>
    <row r="249" spans="1:23" x14ac:dyDescent="0.2">
      <c r="A249" s="133">
        <v>40213</v>
      </c>
      <c r="B249" s="26"/>
      <c r="C249" s="26"/>
      <c r="D249" s="26"/>
      <c r="E249" s="26"/>
      <c r="F249" s="26">
        <f t="shared" si="19"/>
        <v>0</v>
      </c>
      <c r="G249" s="22" t="str">
        <f t="shared" ca="1" si="21"/>
        <v>History</v>
      </c>
      <c r="H249" s="22">
        <f t="shared" si="22"/>
        <v>2010</v>
      </c>
      <c r="I249" s="22">
        <f t="shared" si="23"/>
        <v>2</v>
      </c>
      <c r="J249" s="22">
        <f t="shared" si="25"/>
        <v>5</v>
      </c>
      <c r="K249" s="22">
        <v>1</v>
      </c>
      <c r="L249" s="22">
        <f ca="1">SUM(K249:OFFSET(RngToDay,ROWS(Dates),10))</f>
        <v>275</v>
      </c>
      <c r="M249" s="26"/>
      <c r="N249" s="26"/>
      <c r="O249" s="22">
        <f t="shared" si="24"/>
        <v>249</v>
      </c>
      <c r="P249" s="26"/>
      <c r="Q249" s="26"/>
      <c r="S249" s="79" t="s">
        <v>176</v>
      </c>
      <c r="T249" s="89" t="s">
        <v>391</v>
      </c>
      <c r="U249" s="45" t="s">
        <v>392</v>
      </c>
    </row>
    <row r="250" spans="1:23" x14ac:dyDescent="0.2">
      <c r="A250" s="134">
        <f ca="1">TODAY()</f>
        <v>43497</v>
      </c>
      <c r="B250" s="92"/>
      <c r="C250" s="26"/>
      <c r="D250" s="26"/>
      <c r="E250" s="26"/>
      <c r="F250" s="26">
        <f t="shared" si="19"/>
        <v>0</v>
      </c>
      <c r="G250" s="22" t="str">
        <f t="shared" ca="1" si="21"/>
        <v>History</v>
      </c>
      <c r="H250" s="22">
        <f t="shared" ca="1" si="22"/>
        <v>2019</v>
      </c>
      <c r="I250" s="22">
        <f t="shared" ca="1" si="23"/>
        <v>2</v>
      </c>
      <c r="J250" s="22">
        <f t="shared" ca="1" si="25"/>
        <v>5</v>
      </c>
      <c r="K250" s="22">
        <v>1</v>
      </c>
      <c r="L250" s="22">
        <f ca="1">SUM(K250:OFFSET(RngToDay,ROWS(Dates),10))</f>
        <v>274</v>
      </c>
      <c r="M250" s="26" t="str">
        <f ca="1">IF(B250="","",SUM(C250:OFFSET(C250,-LeadTime+1,0)))</f>
        <v/>
      </c>
      <c r="N250" s="26" t="e">
        <f t="shared" ref="N250:N313" ca="1" si="26">Saf_Stock</f>
        <v>#DIV/0!</v>
      </c>
      <c r="O250" s="22">
        <f t="shared" si="24"/>
        <v>250</v>
      </c>
      <c r="P250" s="26">
        <f ca="1">IF(M250="",0,IF(M250&gt;N250,M250-N250,0))</f>
        <v>0</v>
      </c>
      <c r="Q250" s="26">
        <f ca="1">IF(LeadTime=0,P250,IF(AND(SUM(Q249:OFFSET(Q250,-LeadTime,0))=0,P250&gt;0),MAX(P250:OFFSET(P250,-LeadTime+1,0)),0))</f>
        <v>0</v>
      </c>
      <c r="S250" s="26">
        <f>IF(ISERROR(AVERAGE(Cov_Range)),0,AVERAGE(Cov_Range))</f>
        <v>0</v>
      </c>
      <c r="T250" s="26">
        <f>MIN(Cov_Range)</f>
        <v>0</v>
      </c>
      <c r="U250" s="26">
        <f>MAX(Cov_Range)</f>
        <v>0</v>
      </c>
      <c r="W250" s="26">
        <v>0</v>
      </c>
    </row>
    <row r="251" spans="1:23" x14ac:dyDescent="0.2">
      <c r="A251" s="135">
        <v>40211</v>
      </c>
      <c r="B251" s="26"/>
      <c r="C251" s="26"/>
      <c r="D251" s="26"/>
      <c r="E251" s="26"/>
      <c r="F251" s="26">
        <f>F250</f>
        <v>0</v>
      </c>
      <c r="G251" s="22" t="str">
        <f t="shared" ca="1" si="21"/>
        <v>History</v>
      </c>
      <c r="H251" s="22">
        <f t="shared" si="22"/>
        <v>2010</v>
      </c>
      <c r="I251" s="22">
        <f t="shared" si="23"/>
        <v>2</v>
      </c>
      <c r="J251" s="22">
        <f t="shared" si="25"/>
        <v>5</v>
      </c>
      <c r="K251" s="22">
        <v>1</v>
      </c>
      <c r="L251" s="22">
        <f ca="1">SUM(K251:OFFSET(RngToDay,ROWS(Dates),10))</f>
        <v>273</v>
      </c>
      <c r="M251" s="26" t="str">
        <f ca="1">IF(B251="","",SUM(C251:OFFSET(C251,-LeadTime+1,0)))</f>
        <v/>
      </c>
      <c r="N251" s="26" t="e">
        <f t="shared" ca="1" si="26"/>
        <v>#DIV/0!</v>
      </c>
      <c r="O251" s="22">
        <f t="shared" si="24"/>
        <v>251</v>
      </c>
      <c r="P251" s="26">
        <f t="shared" ref="P251:P314" ca="1" si="27">IF(M251="",0,IF(M251&gt;N251,M251-N251,0))</f>
        <v>0</v>
      </c>
      <c r="Q251" s="26">
        <f ca="1">IF(LeadTime=0,P251,IF(AND(SUM(Q250:OFFSET(Q251,-LeadTime,0))=0,P251&gt;0),MAX(P251:OFFSET(P251,-LeadTime+1,0)),0))</f>
        <v>0</v>
      </c>
    </row>
    <row r="252" spans="1:23" x14ac:dyDescent="0.2">
      <c r="A252" s="135">
        <v>40210</v>
      </c>
      <c r="B252" s="26"/>
      <c r="C252" s="26"/>
      <c r="D252" s="26"/>
      <c r="E252" s="26"/>
      <c r="F252" s="26">
        <f t="shared" ref="F252:F315" si="28">F251</f>
        <v>0</v>
      </c>
      <c r="G252" s="22" t="str">
        <f t="shared" ca="1" si="21"/>
        <v>History</v>
      </c>
      <c r="H252" s="22">
        <f t="shared" si="22"/>
        <v>2010</v>
      </c>
      <c r="I252" s="22">
        <f t="shared" si="23"/>
        <v>2</v>
      </c>
      <c r="J252" s="22">
        <f t="shared" si="25"/>
        <v>5</v>
      </c>
      <c r="K252" s="22">
        <v>1</v>
      </c>
      <c r="L252" s="22">
        <f ca="1">SUM(K252:OFFSET(RngToDay,ROWS(Dates),10))</f>
        <v>272</v>
      </c>
      <c r="M252" s="26" t="str">
        <f ca="1">IF(B252="","",SUM(C252:OFFSET(C252,-LeadTime+1,0)))</f>
        <v/>
      </c>
      <c r="N252" s="26" t="e">
        <f t="shared" ca="1" si="26"/>
        <v>#DIV/0!</v>
      </c>
      <c r="O252" s="22">
        <f t="shared" si="24"/>
        <v>252</v>
      </c>
      <c r="P252" s="26">
        <f t="shared" ca="1" si="27"/>
        <v>0</v>
      </c>
      <c r="Q252" s="26">
        <f ca="1">IF(LeadTime=0,P252,IF(AND(SUM(Q251:OFFSET(Q252,-LeadTime,0))=0,P252&gt;0),MAX(P252:OFFSET(P252,-LeadTime+1,0)),0))</f>
        <v>0</v>
      </c>
      <c r="S252" s="80" t="s">
        <v>393</v>
      </c>
      <c r="T252" s="26">
        <f>SafetyStock!B4</f>
        <v>3</v>
      </c>
    </row>
    <row r="253" spans="1:23" x14ac:dyDescent="0.2">
      <c r="A253" s="135">
        <v>40207</v>
      </c>
      <c r="B253" s="26"/>
      <c r="C253" s="26"/>
      <c r="D253" s="26"/>
      <c r="E253" s="26"/>
      <c r="F253" s="26">
        <f t="shared" si="28"/>
        <v>0</v>
      </c>
      <c r="G253" s="22" t="str">
        <f t="shared" ca="1" si="21"/>
        <v>History</v>
      </c>
      <c r="H253" s="22">
        <f t="shared" si="22"/>
        <v>2010</v>
      </c>
      <c r="I253" s="22">
        <f t="shared" si="23"/>
        <v>1</v>
      </c>
      <c r="J253" s="22">
        <f t="shared" si="25"/>
        <v>4</v>
      </c>
      <c r="K253" s="22">
        <v>1</v>
      </c>
      <c r="L253" s="22">
        <f ca="1">SUM(K253:OFFSET(RngToDay,ROWS(Dates),10))</f>
        <v>271</v>
      </c>
      <c r="M253" s="26" t="str">
        <f ca="1">IF(B253="","",SUM(C253:OFFSET(C253,-LeadTime+1,0)))</f>
        <v/>
      </c>
      <c r="N253" s="26" t="e">
        <f t="shared" ca="1" si="26"/>
        <v>#DIV/0!</v>
      </c>
      <c r="O253" s="22">
        <f t="shared" si="24"/>
        <v>253</v>
      </c>
      <c r="P253" s="26">
        <f t="shared" ca="1" si="27"/>
        <v>0</v>
      </c>
      <c r="Q253" s="26">
        <f ca="1">IF(LeadTime=0,P253,IF(AND(SUM(Q252:OFFSET(Q253,-LeadTime,0))=0,P253&gt;0),MAX(P253:OFFSET(P253,-LeadTime+1,0)),0))</f>
        <v>0</v>
      </c>
      <c r="S253" s="80" t="s">
        <v>357</v>
      </c>
      <c r="T253" s="26" t="e">
        <f>AVERAGE(C250:C633)</f>
        <v>#DIV/0!</v>
      </c>
    </row>
    <row r="254" spans="1:23" x14ac:dyDescent="0.2">
      <c r="A254" s="135">
        <v>40206</v>
      </c>
      <c r="B254" s="26"/>
      <c r="C254" s="26"/>
      <c r="D254" s="26"/>
      <c r="E254" s="26"/>
      <c r="F254" s="26">
        <f t="shared" si="28"/>
        <v>0</v>
      </c>
      <c r="G254" s="22" t="str">
        <f t="shared" ca="1" si="21"/>
        <v>History</v>
      </c>
      <c r="H254" s="22">
        <f t="shared" si="22"/>
        <v>2010</v>
      </c>
      <c r="I254" s="22">
        <f t="shared" si="23"/>
        <v>1</v>
      </c>
      <c r="J254" s="22">
        <f t="shared" si="25"/>
        <v>4</v>
      </c>
      <c r="K254" s="22">
        <v>1</v>
      </c>
      <c r="L254" s="22">
        <f ca="1">SUM(K254:OFFSET(RngToDay,ROWS(Dates),10))</f>
        <v>270</v>
      </c>
      <c r="M254" s="26" t="str">
        <f ca="1">IF(B254="","",SUM(C254:OFFSET(C254,-LeadTime+1,0)))</f>
        <v/>
      </c>
      <c r="N254" s="26" t="e">
        <f t="shared" ca="1" si="26"/>
        <v>#DIV/0!</v>
      </c>
      <c r="O254" s="22">
        <f t="shared" si="24"/>
        <v>254</v>
      </c>
      <c r="P254" s="26">
        <f t="shared" ca="1" si="27"/>
        <v>0</v>
      </c>
      <c r="Q254" s="26">
        <f ca="1">IF(LeadTime=0,P254,IF(AND(SUM(Q253:OFFSET(Q254,-LeadTime,0))=0,P254&gt;0),MAX(P254:OFFSET(P254,-LeadTime+1,0)),0))</f>
        <v>0</v>
      </c>
      <c r="S254" s="80" t="s">
        <v>394</v>
      </c>
      <c r="T254" s="26" t="e">
        <f ca="1">AVERAGE(M250:M633)</f>
        <v>#DIV/0!</v>
      </c>
    </row>
    <row r="255" spans="1:23" x14ac:dyDescent="0.2">
      <c r="A255" s="135">
        <v>40205</v>
      </c>
      <c r="B255" s="26"/>
      <c r="C255" s="26"/>
      <c r="D255" s="26"/>
      <c r="E255" s="26"/>
      <c r="F255" s="26">
        <f t="shared" si="28"/>
        <v>0</v>
      </c>
      <c r="G255" s="22" t="str">
        <f t="shared" ca="1" si="21"/>
        <v>History</v>
      </c>
      <c r="H255" s="22">
        <f t="shared" si="22"/>
        <v>2010</v>
      </c>
      <c r="I255" s="22">
        <f t="shared" si="23"/>
        <v>1</v>
      </c>
      <c r="J255" s="22">
        <f t="shared" si="25"/>
        <v>4</v>
      </c>
      <c r="K255" s="22">
        <v>1</v>
      </c>
      <c r="L255" s="22">
        <f ca="1">SUM(K255:OFFSET(RngToDay,ROWS(Dates),10))</f>
        <v>269</v>
      </c>
      <c r="M255" s="26" t="str">
        <f ca="1">IF(B255="","",SUM(C255:OFFSET(C255,-LeadTime+1,0)))</f>
        <v/>
      </c>
      <c r="N255" s="26" t="e">
        <f t="shared" ca="1" si="26"/>
        <v>#DIV/0!</v>
      </c>
      <c r="O255" s="22">
        <f t="shared" si="24"/>
        <v>255</v>
      </c>
      <c r="P255" s="26">
        <f t="shared" ca="1" si="27"/>
        <v>0</v>
      </c>
      <c r="Q255" s="26">
        <f ca="1">IF(LeadTime=0,P255,IF(AND(SUM(Q254:OFFSET(Q255,-LeadTime,0))=0,P255&gt;0),MAX(P255:OFFSET(P255,-LeadTime+1,0)),0))</f>
        <v>0</v>
      </c>
      <c r="S255" s="80" t="s">
        <v>395</v>
      </c>
      <c r="T255" s="26" t="e">
        <f ca="1">STDEV(M250:M633)</f>
        <v>#DIV/0!</v>
      </c>
      <c r="U255" s="88" t="e">
        <f ca="1">T255/T254</f>
        <v>#DIV/0!</v>
      </c>
    </row>
    <row r="256" spans="1:23" x14ac:dyDescent="0.2">
      <c r="A256" s="135">
        <v>40204</v>
      </c>
      <c r="B256" s="26"/>
      <c r="C256" s="26"/>
      <c r="D256" s="26"/>
      <c r="E256" s="26"/>
      <c r="F256" s="26">
        <f t="shared" si="28"/>
        <v>0</v>
      </c>
      <c r="G256" s="22" t="str">
        <f t="shared" ca="1" si="21"/>
        <v>History</v>
      </c>
      <c r="H256" s="22">
        <f t="shared" si="22"/>
        <v>2010</v>
      </c>
      <c r="I256" s="22">
        <f t="shared" si="23"/>
        <v>1</v>
      </c>
      <c r="J256" s="22">
        <f t="shared" si="25"/>
        <v>4</v>
      </c>
      <c r="K256" s="22">
        <v>1</v>
      </c>
      <c r="L256" s="22">
        <f ca="1">SUM(K256:OFFSET(RngToDay,ROWS(Dates),10))</f>
        <v>268</v>
      </c>
      <c r="M256" s="26" t="str">
        <f ca="1">IF(B256="","",SUM(C256:OFFSET(C256,-LeadTime+1,0)))</f>
        <v/>
      </c>
      <c r="N256" s="26" t="e">
        <f t="shared" ca="1" si="26"/>
        <v>#DIV/0!</v>
      </c>
      <c r="O256" s="22">
        <f t="shared" si="24"/>
        <v>256</v>
      </c>
      <c r="P256" s="26">
        <f t="shared" ca="1" si="27"/>
        <v>0</v>
      </c>
      <c r="Q256" s="26">
        <f ca="1">IF(LeadTime=0,P256,IF(AND(SUM(Q255:OFFSET(Q256,-LeadTime,0))=0,P256&gt;0),MAX(P256:OFFSET(P256,-LeadTime+1,0)),0))</f>
        <v>0</v>
      </c>
      <c r="S256" s="80" t="s">
        <v>396</v>
      </c>
      <c r="T256" s="88">
        <f>SafetyStock!B3</f>
        <v>0.95</v>
      </c>
    </row>
    <row r="257" spans="1:21" x14ac:dyDescent="0.2">
      <c r="A257" s="135">
        <v>40203</v>
      </c>
      <c r="B257" s="26"/>
      <c r="C257" s="26"/>
      <c r="D257" s="26"/>
      <c r="E257" s="26"/>
      <c r="F257" s="26">
        <f t="shared" si="28"/>
        <v>0</v>
      </c>
      <c r="G257" s="22" t="str">
        <f t="shared" ca="1" si="21"/>
        <v>History</v>
      </c>
      <c r="H257" s="22">
        <f t="shared" si="22"/>
        <v>2010</v>
      </c>
      <c r="I257" s="22">
        <f t="shared" si="23"/>
        <v>1</v>
      </c>
      <c r="J257" s="22">
        <f t="shared" si="25"/>
        <v>4</v>
      </c>
      <c r="K257" s="22">
        <v>1</v>
      </c>
      <c r="L257" s="22">
        <f ca="1">SUM(K257:OFFSET(RngToDay,ROWS(Dates),10))</f>
        <v>267</v>
      </c>
      <c r="M257" s="26" t="str">
        <f ca="1">IF(B257="","",SUM(C257:OFFSET(C257,-LeadTime+1,0)))</f>
        <v/>
      </c>
      <c r="N257" s="26" t="e">
        <f t="shared" ca="1" si="26"/>
        <v>#DIV/0!</v>
      </c>
      <c r="O257" s="22">
        <f t="shared" si="24"/>
        <v>257</v>
      </c>
      <c r="P257" s="26">
        <f t="shared" ca="1" si="27"/>
        <v>0</v>
      </c>
      <c r="Q257" s="26">
        <f ca="1">IF(LeadTime=0,P257,IF(AND(SUM(Q256:OFFSET(Q257,-LeadTime,0))=0,P257&gt;0),MAX(P257:OFFSET(P257,-LeadTime+1,0)),0))</f>
        <v>0</v>
      </c>
      <c r="S257" s="80" t="s">
        <v>251</v>
      </c>
      <c r="T257" s="26" t="e">
        <f ca="1">NORMINV(T256,T254,T255)</f>
        <v>#DIV/0!</v>
      </c>
      <c r="U257" s="30" t="e">
        <f ca="1">(Saf_Stock-T254)/T255</f>
        <v>#DIV/0!</v>
      </c>
    </row>
    <row r="258" spans="1:21" x14ac:dyDescent="0.2">
      <c r="A258" s="135">
        <v>40200</v>
      </c>
      <c r="B258" s="26"/>
      <c r="C258" s="26"/>
      <c r="D258" s="26"/>
      <c r="E258" s="26"/>
      <c r="F258" s="26">
        <f t="shared" si="28"/>
        <v>0</v>
      </c>
      <c r="G258" s="22" t="str">
        <f t="shared" ca="1" si="21"/>
        <v>History</v>
      </c>
      <c r="H258" s="22">
        <f t="shared" si="22"/>
        <v>2010</v>
      </c>
      <c r="I258" s="22">
        <f t="shared" si="23"/>
        <v>1</v>
      </c>
      <c r="J258" s="22">
        <f t="shared" si="25"/>
        <v>3</v>
      </c>
      <c r="K258" s="22">
        <v>1</v>
      </c>
      <c r="L258" s="22">
        <f ca="1">SUM(K258:OFFSET(RngToDay,ROWS(Dates),10))</f>
        <v>266</v>
      </c>
      <c r="M258" s="26" t="str">
        <f ca="1">IF(B258="","",SUM(C258:OFFSET(C258,-LeadTime+1,0)))</f>
        <v/>
      </c>
      <c r="N258" s="26" t="e">
        <f t="shared" ca="1" si="26"/>
        <v>#DIV/0!</v>
      </c>
      <c r="O258" s="22">
        <f t="shared" si="24"/>
        <v>258</v>
      </c>
      <c r="P258" s="26">
        <f t="shared" ca="1" si="27"/>
        <v>0</v>
      </c>
      <c r="Q258" s="26">
        <f ca="1">IF(LeadTime=0,P258,IF(AND(SUM(Q257:OFFSET(Q258,-LeadTime,0))=0,P258&gt;0),MAX(P258:OFFSET(P258,-LeadTime+1,0)),0))</f>
        <v>0</v>
      </c>
      <c r="S258" s="80" t="s">
        <v>397</v>
      </c>
      <c r="T258" s="85" t="e">
        <f ca="1">T257/T253</f>
        <v>#DIV/0!</v>
      </c>
    </row>
    <row r="259" spans="1:21" x14ac:dyDescent="0.2">
      <c r="A259" s="135">
        <v>40199</v>
      </c>
      <c r="B259" s="26"/>
      <c r="C259" s="26"/>
      <c r="D259" s="26"/>
      <c r="E259" s="26"/>
      <c r="F259" s="26">
        <f t="shared" si="28"/>
        <v>0</v>
      </c>
      <c r="G259" s="22" t="str">
        <f t="shared" ref="G259:G322" ca="1" si="29">IF(A259&gt;TODAY(),"Requirements","History")</f>
        <v>History</v>
      </c>
      <c r="H259" s="22">
        <f t="shared" ref="H259:H322" si="30">YEAR(A259)</f>
        <v>2010</v>
      </c>
      <c r="I259" s="22">
        <f t="shared" ref="I259:I322" si="31">MONTH(A259)</f>
        <v>1</v>
      </c>
      <c r="J259" s="22">
        <f t="shared" si="25"/>
        <v>3</v>
      </c>
      <c r="K259" s="22">
        <v>1</v>
      </c>
      <c r="L259" s="22">
        <f ca="1">SUM(K259:OFFSET(RngToDay,ROWS(Dates),10))</f>
        <v>265</v>
      </c>
      <c r="M259" s="26" t="str">
        <f ca="1">IF(B259="","",SUM(C259:OFFSET(C259,-LeadTime+1,0)))</f>
        <v/>
      </c>
      <c r="N259" s="26" t="e">
        <f t="shared" ca="1" si="26"/>
        <v>#DIV/0!</v>
      </c>
      <c r="O259" s="22">
        <f t="shared" si="24"/>
        <v>259</v>
      </c>
      <c r="P259" s="26">
        <f t="shared" ca="1" si="27"/>
        <v>0</v>
      </c>
      <c r="Q259" s="26">
        <f ca="1">IF(LeadTime=0,P259,IF(AND(SUM(Q258:OFFSET(Q259,-LeadTime,0))=0,P259&gt;0),MAX(P259:OFFSET(P259,-LeadTime+1,0)),0))</f>
        <v>0</v>
      </c>
      <c r="S259" s="22" t="s">
        <v>358</v>
      </c>
      <c r="T259" s="26" t="e">
        <f>T246/COUNTIF(C250:C633,"&gt;0")</f>
        <v>#DIV/0!</v>
      </c>
      <c r="U259" s="26">
        <f>MAX(C250:C633)</f>
        <v>0</v>
      </c>
    </row>
    <row r="260" spans="1:21" x14ac:dyDescent="0.2">
      <c r="A260" s="135">
        <v>40198</v>
      </c>
      <c r="B260" s="26"/>
      <c r="C260" s="26"/>
      <c r="D260" s="26"/>
      <c r="E260" s="26"/>
      <c r="F260" s="26">
        <f t="shared" si="28"/>
        <v>0</v>
      </c>
      <c r="G260" s="22" t="str">
        <f t="shared" ca="1" si="29"/>
        <v>History</v>
      </c>
      <c r="H260" s="22">
        <f t="shared" si="30"/>
        <v>2010</v>
      </c>
      <c r="I260" s="22">
        <f t="shared" si="31"/>
        <v>1</v>
      </c>
      <c r="J260" s="22">
        <f t="shared" si="25"/>
        <v>3</v>
      </c>
      <c r="K260" s="22">
        <v>1</v>
      </c>
      <c r="L260" s="22">
        <f ca="1">SUM(K260:OFFSET(RngToDay,ROWS(Dates),10))</f>
        <v>264</v>
      </c>
      <c r="M260" s="26" t="str">
        <f ca="1">IF(B260="","",SUM(C260:OFFSET(C260,-LeadTime+1,0)))</f>
        <v/>
      </c>
      <c r="N260" s="26" t="e">
        <f t="shared" ca="1" si="26"/>
        <v>#DIV/0!</v>
      </c>
      <c r="O260" s="22">
        <f t="shared" ref="O260:O323" si="32">O259+1</f>
        <v>260</v>
      </c>
      <c r="P260" s="26">
        <f t="shared" ca="1" si="27"/>
        <v>0</v>
      </c>
      <c r="Q260" s="26">
        <f ca="1">IF(LeadTime=0,P260,IF(AND(SUM(Q259:OFFSET(Q260,-LeadTime,0))=0,P260&gt;0),MAX(P260:OFFSET(P260,-LeadTime+1,0)),0))</f>
        <v>0</v>
      </c>
      <c r="S260" s="22" t="s">
        <v>362</v>
      </c>
      <c r="T260" s="85" t="e">
        <f ca="1">COUNTA(A250:A633)/COUNTIF(C250:C633,"&gt;0")</f>
        <v>#DIV/0!</v>
      </c>
    </row>
    <row r="261" spans="1:21" x14ac:dyDescent="0.2">
      <c r="A261" s="135">
        <v>40197</v>
      </c>
      <c r="B261" s="26"/>
      <c r="C261" s="26"/>
      <c r="D261" s="26"/>
      <c r="E261" s="26"/>
      <c r="F261" s="26">
        <f t="shared" si="28"/>
        <v>0</v>
      </c>
      <c r="G261" s="22" t="str">
        <f t="shared" ca="1" si="29"/>
        <v>History</v>
      </c>
      <c r="H261" s="22">
        <f t="shared" si="30"/>
        <v>2010</v>
      </c>
      <c r="I261" s="22">
        <f t="shared" si="31"/>
        <v>1</v>
      </c>
      <c r="J261" s="22">
        <f t="shared" si="25"/>
        <v>3</v>
      </c>
      <c r="K261" s="22">
        <v>1</v>
      </c>
      <c r="L261" s="22">
        <f ca="1">SUM(K261:OFFSET(RngToDay,ROWS(Dates),10))</f>
        <v>263</v>
      </c>
      <c r="M261" s="26" t="str">
        <f ca="1">IF(B261="","",SUM(C261:OFFSET(C261,-LeadTime+1,0)))</f>
        <v/>
      </c>
      <c r="N261" s="26" t="e">
        <f t="shared" ca="1" si="26"/>
        <v>#DIV/0!</v>
      </c>
      <c r="O261" s="22">
        <f t="shared" si="32"/>
        <v>261</v>
      </c>
      <c r="P261" s="26">
        <f t="shared" ca="1" si="27"/>
        <v>0</v>
      </c>
      <c r="Q261" s="26">
        <f ca="1">IF(LeadTime=0,P261,IF(AND(SUM(Q260:OFFSET(Q261,-LeadTime,0))=0,P261&gt;0),MAX(P261:OFFSET(P261,-LeadTime+1,0)),0))</f>
        <v>0</v>
      </c>
      <c r="S261" s="22" t="s">
        <v>366</v>
      </c>
      <c r="T261" s="26" t="e">
        <f>SUM(C2:C249)/COUNTIF(C2:C249,"&gt;0")</f>
        <v>#DIV/0!</v>
      </c>
      <c r="U261" s="26">
        <f>MAX(C2:C249)</f>
        <v>0</v>
      </c>
    </row>
    <row r="262" spans="1:21" x14ac:dyDescent="0.2">
      <c r="A262" s="135">
        <v>40196</v>
      </c>
      <c r="B262" s="26"/>
      <c r="C262" s="26"/>
      <c r="D262" s="26"/>
      <c r="E262" s="26"/>
      <c r="F262" s="26">
        <f t="shared" si="28"/>
        <v>0</v>
      </c>
      <c r="G262" s="22" t="str">
        <f t="shared" ca="1" si="29"/>
        <v>History</v>
      </c>
      <c r="H262" s="22">
        <f t="shared" si="30"/>
        <v>2010</v>
      </c>
      <c r="I262" s="22">
        <f t="shared" si="31"/>
        <v>1</v>
      </c>
      <c r="J262" s="22">
        <f t="shared" si="25"/>
        <v>3</v>
      </c>
      <c r="K262" s="22">
        <v>1</v>
      </c>
      <c r="L262" s="22">
        <f ca="1">SUM(K262:OFFSET(RngToDay,ROWS(Dates),10))</f>
        <v>262</v>
      </c>
      <c r="M262" s="26" t="str">
        <f ca="1">IF(B262="","",SUM(C262:OFFSET(C262,-LeadTime+1,0)))</f>
        <v/>
      </c>
      <c r="N262" s="26" t="e">
        <f t="shared" ca="1" si="26"/>
        <v>#DIV/0!</v>
      </c>
      <c r="O262" s="22">
        <f t="shared" si="32"/>
        <v>262</v>
      </c>
      <c r="P262" s="26">
        <f t="shared" ca="1" si="27"/>
        <v>0</v>
      </c>
      <c r="Q262" s="26">
        <f ca="1">IF(LeadTime=0,P262,IF(AND(SUM(Q261:OFFSET(Q262,-LeadTime,0))=0,P262&gt;0),MAX(P262:OFFSET(P262,-LeadTime+1,0)),0))</f>
        <v>0</v>
      </c>
      <c r="S262" s="22" t="s">
        <v>370</v>
      </c>
      <c r="T262" s="85" t="e">
        <f>COUNTA(C20:C249)/COUNTIF(C20:C249,"&gt;0")</f>
        <v>#DIV/0!</v>
      </c>
    </row>
    <row r="263" spans="1:21" x14ac:dyDescent="0.2">
      <c r="A263" s="135">
        <v>40193</v>
      </c>
      <c r="B263" s="26"/>
      <c r="C263" s="26"/>
      <c r="D263" s="26"/>
      <c r="E263" s="26"/>
      <c r="F263" s="26">
        <f t="shared" si="28"/>
        <v>0</v>
      </c>
      <c r="G263" s="22" t="str">
        <f t="shared" ca="1" si="29"/>
        <v>History</v>
      </c>
      <c r="H263" s="22">
        <f t="shared" si="30"/>
        <v>2010</v>
      </c>
      <c r="I263" s="22">
        <f t="shared" si="31"/>
        <v>1</v>
      </c>
      <c r="J263" s="22">
        <f t="shared" si="25"/>
        <v>2</v>
      </c>
      <c r="K263" s="22">
        <v>1</v>
      </c>
      <c r="L263" s="22">
        <f ca="1">SUM(K263:OFFSET(RngToDay,ROWS(Dates),10))</f>
        <v>261</v>
      </c>
      <c r="M263" s="26" t="str">
        <f ca="1">IF(B263="","",SUM(C263:OFFSET(C263,-LeadTime+1,0)))</f>
        <v/>
      </c>
      <c r="N263" s="26" t="e">
        <f t="shared" ca="1" si="26"/>
        <v>#DIV/0!</v>
      </c>
      <c r="O263" s="22">
        <f t="shared" si="32"/>
        <v>263</v>
      </c>
      <c r="P263" s="26">
        <f t="shared" ca="1" si="27"/>
        <v>0</v>
      </c>
      <c r="Q263" s="26">
        <f ca="1">IF(LeadTime=0,P263,IF(AND(SUM(Q262:OFFSET(Q263,-LeadTime,0))=0,P263&gt;0),MAX(P263:OFFSET(P263,-LeadTime+1,0)),0))</f>
        <v>0</v>
      </c>
      <c r="S263" s="22" t="s">
        <v>367</v>
      </c>
      <c r="T263" s="88" t="e">
        <f ca="1">T272</f>
        <v>#DIV/0!</v>
      </c>
      <c r="U263" s="22" t="e">
        <f ca="1">1-(SUM(Q250:Q633)/LeadTime/T246)</f>
        <v>#DIV/0!</v>
      </c>
    </row>
    <row r="264" spans="1:21" x14ac:dyDescent="0.2">
      <c r="A264" s="135">
        <v>40192</v>
      </c>
      <c r="B264" s="26"/>
      <c r="C264" s="26"/>
      <c r="D264" s="26"/>
      <c r="E264" s="26"/>
      <c r="F264" s="26">
        <f t="shared" si="28"/>
        <v>0</v>
      </c>
      <c r="G264" s="22" t="str">
        <f t="shared" ca="1" si="29"/>
        <v>History</v>
      </c>
      <c r="H264" s="22">
        <f t="shared" si="30"/>
        <v>2010</v>
      </c>
      <c r="I264" s="22">
        <f t="shared" si="31"/>
        <v>1</v>
      </c>
      <c r="J264" s="22">
        <f t="shared" si="25"/>
        <v>2</v>
      </c>
      <c r="K264" s="22">
        <v>1</v>
      </c>
      <c r="L264" s="22">
        <f ca="1">SUM(K264:OFFSET(RngToDay,ROWS(Dates),10))</f>
        <v>260</v>
      </c>
      <c r="M264" s="26" t="str">
        <f ca="1">IF(B264="","",SUM(C264:OFFSET(C264,-LeadTime+1,0)))</f>
        <v/>
      </c>
      <c r="N264" s="26" t="e">
        <f t="shared" ca="1" si="26"/>
        <v>#DIV/0!</v>
      </c>
      <c r="O264" s="22">
        <f t="shared" si="32"/>
        <v>264</v>
      </c>
      <c r="P264" s="26">
        <f t="shared" ca="1" si="27"/>
        <v>0</v>
      </c>
      <c r="Q264" s="26">
        <f ca="1">IF(LeadTime=0,P264,IF(AND(SUM(Q263:OFFSET(Q264,-LeadTime,0))=0,P264&gt;0),MAX(P264:OFFSET(P264,-LeadTime+1,0)),0))</f>
        <v>0</v>
      </c>
      <c r="S264" s="22" t="s">
        <v>398</v>
      </c>
      <c r="T264" s="93">
        <f>1-T256</f>
        <v>5.0000000000000044E-2</v>
      </c>
    </row>
    <row r="265" spans="1:21" x14ac:dyDescent="0.2">
      <c r="A265" s="135">
        <v>40191</v>
      </c>
      <c r="B265" s="26"/>
      <c r="C265" s="26"/>
      <c r="D265" s="26"/>
      <c r="E265" s="26"/>
      <c r="F265" s="26">
        <f t="shared" si="28"/>
        <v>0</v>
      </c>
      <c r="G265" s="22" t="str">
        <f t="shared" ca="1" si="29"/>
        <v>History</v>
      </c>
      <c r="H265" s="22">
        <f t="shared" si="30"/>
        <v>2010</v>
      </c>
      <c r="I265" s="22">
        <f t="shared" si="31"/>
        <v>1</v>
      </c>
      <c r="J265" s="22">
        <f t="shared" si="25"/>
        <v>2</v>
      </c>
      <c r="K265" s="22">
        <v>1</v>
      </c>
      <c r="L265" s="22">
        <f ca="1">SUM(K265:OFFSET(RngToDay,ROWS(Dates),10))</f>
        <v>259</v>
      </c>
      <c r="M265" s="26" t="str">
        <f ca="1">IF(B265="","",SUM(C265:OFFSET(C265,-LeadTime+1,0)))</f>
        <v/>
      </c>
      <c r="N265" s="26" t="e">
        <f t="shared" ca="1" si="26"/>
        <v>#DIV/0!</v>
      </c>
      <c r="O265" s="22">
        <f t="shared" si="32"/>
        <v>265</v>
      </c>
      <c r="P265" s="26">
        <f t="shared" ca="1" si="27"/>
        <v>0</v>
      </c>
      <c r="Q265" s="26">
        <f ca="1">IF(LeadTime=0,P265,IF(AND(SUM(Q264:OFFSET(Q265,-LeadTime,0))=0,P265&gt;0),MAX(P265:OFFSET(P265,-LeadTime+1,0)),0))</f>
        <v>0</v>
      </c>
      <c r="S265" s="22" t="s">
        <v>399</v>
      </c>
      <c r="T265" s="85">
        <f>(1-T256)*NumbDays</f>
        <v>13.650000000000013</v>
      </c>
      <c r="U265" s="22">
        <f ca="1">COUNTIF(P250:P633,"&gt;0")</f>
        <v>0</v>
      </c>
    </row>
    <row r="266" spans="1:21" x14ac:dyDescent="0.2">
      <c r="A266" s="135">
        <v>40190</v>
      </c>
      <c r="B266" s="26"/>
      <c r="C266" s="26"/>
      <c r="D266" s="26"/>
      <c r="E266" s="26"/>
      <c r="F266" s="26">
        <f t="shared" si="28"/>
        <v>0</v>
      </c>
      <c r="G266" s="22" t="str">
        <f t="shared" ca="1" si="29"/>
        <v>History</v>
      </c>
      <c r="H266" s="22">
        <f t="shared" si="30"/>
        <v>2010</v>
      </c>
      <c r="I266" s="22">
        <f t="shared" si="31"/>
        <v>1</v>
      </c>
      <c r="J266" s="22">
        <f t="shared" si="25"/>
        <v>2</v>
      </c>
      <c r="K266" s="22">
        <v>1</v>
      </c>
      <c r="L266" s="22">
        <f ca="1">SUM(K266:OFFSET(RngToDay,ROWS(Dates),10))</f>
        <v>258</v>
      </c>
      <c r="M266" s="26" t="str">
        <f ca="1">IF(B266="","",SUM(C266:OFFSET(C266,-LeadTime+1,0)))</f>
        <v/>
      </c>
      <c r="N266" s="26" t="e">
        <f t="shared" ca="1" si="26"/>
        <v>#DIV/0!</v>
      </c>
      <c r="O266" s="22">
        <f t="shared" si="32"/>
        <v>266</v>
      </c>
      <c r="P266" s="26">
        <f t="shared" ca="1" si="27"/>
        <v>0</v>
      </c>
      <c r="Q266" s="26">
        <f ca="1">IF(LeadTime=0,P266,IF(AND(SUM(Q265:OFFSET(Q266,-LeadTime,0))=0,P266&gt;0),MAX(P266:OFFSET(P266,-LeadTime+1,0)),0))</f>
        <v>0</v>
      </c>
      <c r="T266" s="94"/>
    </row>
    <row r="267" spans="1:21" x14ac:dyDescent="0.2">
      <c r="A267" s="135">
        <v>40189</v>
      </c>
      <c r="B267" s="26"/>
      <c r="C267" s="26"/>
      <c r="D267" s="26"/>
      <c r="E267" s="26"/>
      <c r="F267" s="26">
        <f t="shared" si="28"/>
        <v>0</v>
      </c>
      <c r="G267" s="22" t="str">
        <f t="shared" ca="1" si="29"/>
        <v>History</v>
      </c>
      <c r="H267" s="22">
        <f t="shared" si="30"/>
        <v>2010</v>
      </c>
      <c r="I267" s="22">
        <f t="shared" si="31"/>
        <v>1</v>
      </c>
      <c r="J267" s="22">
        <f t="shared" si="25"/>
        <v>2</v>
      </c>
      <c r="K267" s="22">
        <v>1</v>
      </c>
      <c r="L267" s="22">
        <f ca="1">SUM(K267:OFFSET(RngToDay,ROWS(Dates),10))</f>
        <v>257</v>
      </c>
      <c r="M267" s="26" t="str">
        <f ca="1">IF(B267="","",SUM(C267:OFFSET(C267,-LeadTime+1,0)))</f>
        <v/>
      </c>
      <c r="N267" s="26" t="e">
        <f t="shared" ca="1" si="26"/>
        <v>#DIV/0!</v>
      </c>
      <c r="O267" s="22">
        <f t="shared" si="32"/>
        <v>267</v>
      </c>
      <c r="P267" s="26">
        <f t="shared" ca="1" si="27"/>
        <v>0</v>
      </c>
      <c r="Q267" s="26">
        <f ca="1">IF(LeadTime=0,P267,IF(AND(SUM(Q266:OFFSET(Q267,-LeadTime,0))=0,P267&gt;0),MAX(P267:OFFSET(P267,-LeadTime+1,0)),0))</f>
        <v>0</v>
      </c>
      <c r="S267" s="22" t="s">
        <v>400</v>
      </c>
      <c r="T267" s="85">
        <f>IF(LeadTime=0,NumbDays,NumbDays/LeadTime)</f>
        <v>91</v>
      </c>
    </row>
    <row r="268" spans="1:21" x14ac:dyDescent="0.2">
      <c r="A268" s="135">
        <v>40186</v>
      </c>
      <c r="B268" s="26"/>
      <c r="C268" s="26"/>
      <c r="D268" s="26"/>
      <c r="E268" s="26"/>
      <c r="F268" s="26">
        <f t="shared" si="28"/>
        <v>0</v>
      </c>
      <c r="G268" s="22" t="str">
        <f t="shared" ca="1" si="29"/>
        <v>History</v>
      </c>
      <c r="H268" s="22">
        <f t="shared" si="30"/>
        <v>2010</v>
      </c>
      <c r="I268" s="22">
        <f t="shared" si="31"/>
        <v>1</v>
      </c>
      <c r="J268" s="22">
        <f t="shared" si="25"/>
        <v>1</v>
      </c>
      <c r="K268" s="22">
        <v>1</v>
      </c>
      <c r="L268" s="22">
        <f ca="1">SUM(K268:OFFSET(RngToDay,ROWS(Dates),10))</f>
        <v>256</v>
      </c>
      <c r="M268" s="26" t="str">
        <f ca="1">IF(B268="","",SUM(C268:OFFSET(C268,-LeadTime+1,0)))</f>
        <v/>
      </c>
      <c r="N268" s="26" t="e">
        <f t="shared" ca="1" si="26"/>
        <v>#DIV/0!</v>
      </c>
      <c r="O268" s="22">
        <f t="shared" si="32"/>
        <v>268</v>
      </c>
      <c r="P268" s="26">
        <f t="shared" ca="1" si="27"/>
        <v>0</v>
      </c>
      <c r="Q268" s="26">
        <f ca="1">IF(LeadTime=0,P268,IF(AND(SUM(Q267:OFFSET(Q268,-LeadTime,0))=0,P268&gt;0),MAX(P268:OFFSET(P268,-LeadTime+1,0)),0))</f>
        <v>0</v>
      </c>
      <c r="S268" s="22" t="s">
        <v>401</v>
      </c>
      <c r="T268" s="94">
        <f>SafetyStock!B5</f>
        <v>12</v>
      </c>
    </row>
    <row r="269" spans="1:21" x14ac:dyDescent="0.2">
      <c r="A269" s="135">
        <v>40185</v>
      </c>
      <c r="B269" s="26"/>
      <c r="C269" s="26"/>
      <c r="D269" s="26"/>
      <c r="E269" s="26"/>
      <c r="F269" s="26">
        <f t="shared" si="28"/>
        <v>0</v>
      </c>
      <c r="G269" s="22" t="str">
        <f t="shared" ca="1" si="29"/>
        <v>History</v>
      </c>
      <c r="H269" s="22">
        <f t="shared" si="30"/>
        <v>2010</v>
      </c>
      <c r="I269" s="22">
        <f t="shared" si="31"/>
        <v>1</v>
      </c>
      <c r="J269" s="22">
        <f t="shared" si="25"/>
        <v>1</v>
      </c>
      <c r="K269" s="22">
        <v>1</v>
      </c>
      <c r="L269" s="22">
        <f ca="1">SUM(K269:OFFSET(RngToDay,ROWS(Dates),10))</f>
        <v>255</v>
      </c>
      <c r="M269" s="26" t="str">
        <f ca="1">IF(B269="","",SUM(C269:OFFSET(C269,-LeadTime+1,0)))</f>
        <v/>
      </c>
      <c r="N269" s="26" t="e">
        <f t="shared" ca="1" si="26"/>
        <v>#DIV/0!</v>
      </c>
      <c r="O269" s="22">
        <f t="shared" si="32"/>
        <v>269</v>
      </c>
      <c r="P269" s="26">
        <f t="shared" ca="1" si="27"/>
        <v>0</v>
      </c>
      <c r="Q269" s="26">
        <f ca="1">IF(LeadTime=0,P269,IF(AND(SUM(Q268:OFFSET(Q269,-LeadTime,0))=0,P269&gt;0),MAX(P269:OFFSET(P269,-LeadTime+1,0)),0))</f>
        <v>0</v>
      </c>
      <c r="S269" s="22" t="s">
        <v>402</v>
      </c>
      <c r="T269" s="95">
        <f>T268*(1-T256)</f>
        <v>0.60000000000000053</v>
      </c>
    </row>
    <row r="270" spans="1:21" x14ac:dyDescent="0.2">
      <c r="A270" s="135">
        <v>40184</v>
      </c>
      <c r="B270" s="26"/>
      <c r="C270" s="26"/>
      <c r="D270" s="26"/>
      <c r="E270" s="26"/>
      <c r="F270" s="26">
        <f t="shared" si="28"/>
        <v>0</v>
      </c>
      <c r="G270" s="22" t="str">
        <f t="shared" ca="1" si="29"/>
        <v>History</v>
      </c>
      <c r="H270" s="22">
        <f t="shared" si="30"/>
        <v>2010</v>
      </c>
      <c r="I270" s="22">
        <f t="shared" si="31"/>
        <v>1</v>
      </c>
      <c r="J270" s="22">
        <f t="shared" si="25"/>
        <v>1</v>
      </c>
      <c r="K270" s="22">
        <v>1</v>
      </c>
      <c r="L270" s="22">
        <f ca="1">SUM(K270:OFFSET(RngToDay,ROWS(Dates),10))</f>
        <v>254</v>
      </c>
      <c r="M270" s="26" t="str">
        <f ca="1">IF(B270="","",SUM(C270:OFFSET(C270,-LeadTime+1,0)))</f>
        <v/>
      </c>
      <c r="N270" s="26" t="e">
        <f t="shared" ca="1" si="26"/>
        <v>#DIV/0!</v>
      </c>
      <c r="O270" s="22">
        <f t="shared" si="32"/>
        <v>270</v>
      </c>
      <c r="P270" s="26">
        <f t="shared" ca="1" si="27"/>
        <v>0</v>
      </c>
      <c r="Q270" s="26">
        <f ca="1">IF(LeadTime=0,P270,IF(AND(SUM(Q269:OFFSET(Q270,-LeadTime,0))=0,P270&gt;0),MAX(P270:OFFSET(P270,-LeadTime+1,0)),0))</f>
        <v>0</v>
      </c>
      <c r="S270" s="22" t="s">
        <v>403</v>
      </c>
      <c r="T270" s="85">
        <f ca="1">IF(COUNTIF(P250:P633,"&gt;0")=0,0,SUM(P250:P633)/COUNTIF(P250:P633,"&gt;0"))</f>
        <v>0</v>
      </c>
    </row>
    <row r="271" spans="1:21" x14ac:dyDescent="0.2">
      <c r="A271" s="135">
        <v>40183</v>
      </c>
      <c r="B271" s="26"/>
      <c r="C271" s="26"/>
      <c r="D271" s="26"/>
      <c r="E271" s="26"/>
      <c r="F271" s="26">
        <f t="shared" si="28"/>
        <v>0</v>
      </c>
      <c r="G271" s="22" t="str">
        <f t="shared" ca="1" si="29"/>
        <v>History</v>
      </c>
      <c r="H271" s="22">
        <f t="shared" si="30"/>
        <v>2010</v>
      </c>
      <c r="I271" s="22">
        <f t="shared" si="31"/>
        <v>1</v>
      </c>
      <c r="J271" s="22">
        <f t="shared" si="25"/>
        <v>1</v>
      </c>
      <c r="K271" s="22">
        <v>1</v>
      </c>
      <c r="L271" s="22">
        <f ca="1">SUM(K271:OFFSET(RngToDay,ROWS(Dates),10))</f>
        <v>253</v>
      </c>
      <c r="M271" s="26" t="str">
        <f ca="1">IF(B271="","",SUM(C271:OFFSET(C271,-LeadTime+1,0)))</f>
        <v/>
      </c>
      <c r="N271" s="26" t="e">
        <f t="shared" ca="1" si="26"/>
        <v>#DIV/0!</v>
      </c>
      <c r="O271" s="22">
        <f t="shared" si="32"/>
        <v>271</v>
      </c>
      <c r="P271" s="26">
        <f t="shared" ca="1" si="27"/>
        <v>0</v>
      </c>
      <c r="Q271" s="26">
        <f ca="1">IF(LeadTime=0,P271,IF(AND(SUM(Q270:OFFSET(Q271,-LeadTime,0))=0,P271&gt;0),MAX(P271:OFFSET(P271,-LeadTime+1,0)),0))</f>
        <v>0</v>
      </c>
      <c r="S271" s="22" t="s">
        <v>404</v>
      </c>
      <c r="T271" s="85">
        <f ca="1">T270*T269</f>
        <v>0</v>
      </c>
    </row>
    <row r="272" spans="1:21" x14ac:dyDescent="0.2">
      <c r="A272" s="135">
        <v>40182</v>
      </c>
      <c r="B272" s="26"/>
      <c r="C272" s="26"/>
      <c r="D272" s="26"/>
      <c r="E272" s="26"/>
      <c r="F272" s="26">
        <f t="shared" si="28"/>
        <v>0</v>
      </c>
      <c r="G272" s="22" t="str">
        <f t="shared" ca="1" si="29"/>
        <v>History</v>
      </c>
      <c r="H272" s="22">
        <f t="shared" si="30"/>
        <v>2010</v>
      </c>
      <c r="I272" s="22">
        <f t="shared" si="31"/>
        <v>1</v>
      </c>
      <c r="J272" s="22">
        <f t="shared" si="25"/>
        <v>1</v>
      </c>
      <c r="K272" s="22">
        <v>1</v>
      </c>
      <c r="L272" s="22">
        <f ca="1">SUM(K272:OFFSET(RngToDay,ROWS(Dates),10))</f>
        <v>252</v>
      </c>
      <c r="M272" s="26" t="str">
        <f ca="1">IF(B272="","",SUM(C272:OFFSET(C272,-LeadTime+1,0)))</f>
        <v/>
      </c>
      <c r="N272" s="26" t="e">
        <f t="shared" ca="1" si="26"/>
        <v>#DIV/0!</v>
      </c>
      <c r="O272" s="22">
        <f t="shared" si="32"/>
        <v>272</v>
      </c>
      <c r="P272" s="26">
        <f t="shared" ca="1" si="27"/>
        <v>0</v>
      </c>
      <c r="Q272" s="26">
        <f ca="1">IF(LeadTime=0,P272,IF(AND(SUM(Q271:OFFSET(Q272,-LeadTime,0))=0,P272&gt;0),MAX(P272:OFFSET(P272,-LeadTime+1,0)),0))</f>
        <v>0</v>
      </c>
      <c r="S272" s="22" t="s">
        <v>367</v>
      </c>
      <c r="T272" s="88" t="e">
        <f ca="1">1-T271/T246</f>
        <v>#DIV/0!</v>
      </c>
    </row>
    <row r="273" spans="1:17" x14ac:dyDescent="0.2">
      <c r="A273" s="135">
        <v>40177</v>
      </c>
      <c r="B273" s="26"/>
      <c r="C273" s="26"/>
      <c r="D273" s="26"/>
      <c r="E273" s="26"/>
      <c r="F273" s="26">
        <f t="shared" si="28"/>
        <v>0</v>
      </c>
      <c r="G273" s="22" t="str">
        <f t="shared" ca="1" si="29"/>
        <v>History</v>
      </c>
      <c r="H273" s="22">
        <f t="shared" si="30"/>
        <v>2009</v>
      </c>
      <c r="I273" s="22">
        <f t="shared" si="31"/>
        <v>12</v>
      </c>
      <c r="J273" s="22">
        <f t="shared" si="25"/>
        <v>53</v>
      </c>
      <c r="K273" s="22">
        <v>1</v>
      </c>
      <c r="L273" s="22">
        <f ca="1">SUM(K273:OFFSET(RngToDay,ROWS(Dates),10))</f>
        <v>251</v>
      </c>
      <c r="M273" s="26" t="str">
        <f ca="1">IF(B273="","",SUM(C273:OFFSET(C273,-LeadTime+1,0)))</f>
        <v/>
      </c>
      <c r="N273" s="26" t="e">
        <f t="shared" ca="1" si="26"/>
        <v>#DIV/0!</v>
      </c>
      <c r="O273" s="22">
        <f t="shared" si="32"/>
        <v>273</v>
      </c>
      <c r="P273" s="26">
        <f t="shared" ca="1" si="27"/>
        <v>0</v>
      </c>
      <c r="Q273" s="26">
        <f ca="1">IF(LeadTime=0,P273,IF(AND(SUM(Q272:OFFSET(Q273,-LeadTime,0))=0,P273&gt;0),MAX(P273:OFFSET(P273,-LeadTime+1,0)),0))</f>
        <v>0</v>
      </c>
    </row>
    <row r="274" spans="1:17" x14ac:dyDescent="0.2">
      <c r="A274" s="135">
        <v>40176</v>
      </c>
      <c r="B274" s="26"/>
      <c r="C274" s="26"/>
      <c r="D274" s="26"/>
      <c r="E274" s="26"/>
      <c r="F274" s="26">
        <f t="shared" si="28"/>
        <v>0</v>
      </c>
      <c r="G274" s="22" t="str">
        <f t="shared" ca="1" si="29"/>
        <v>History</v>
      </c>
      <c r="H274" s="22">
        <f t="shared" si="30"/>
        <v>2009</v>
      </c>
      <c r="I274" s="22">
        <f t="shared" si="31"/>
        <v>12</v>
      </c>
      <c r="J274" s="22">
        <f t="shared" si="25"/>
        <v>53</v>
      </c>
      <c r="K274" s="22">
        <v>1</v>
      </c>
      <c r="L274" s="22">
        <f ca="1">SUM(K274:OFFSET(RngToDay,ROWS(Dates),10))</f>
        <v>250</v>
      </c>
      <c r="M274" s="26" t="str">
        <f ca="1">IF(B274="","",SUM(C274:OFFSET(C274,-LeadTime+1,0)))</f>
        <v/>
      </c>
      <c r="N274" s="26" t="e">
        <f t="shared" ca="1" si="26"/>
        <v>#DIV/0!</v>
      </c>
      <c r="O274" s="22">
        <f t="shared" si="32"/>
        <v>274</v>
      </c>
      <c r="P274" s="26">
        <f t="shared" ca="1" si="27"/>
        <v>0</v>
      </c>
      <c r="Q274" s="26">
        <f ca="1">IF(LeadTime=0,P274,IF(AND(SUM(Q273:OFFSET(Q274,-LeadTime,0))=0,P274&gt;0),MAX(P274:OFFSET(P274,-LeadTime+1,0)),0))</f>
        <v>0</v>
      </c>
    </row>
    <row r="275" spans="1:17" x14ac:dyDescent="0.2">
      <c r="A275" s="135">
        <v>40175</v>
      </c>
      <c r="B275" s="26"/>
      <c r="C275" s="26"/>
      <c r="D275" s="26"/>
      <c r="E275" s="26"/>
      <c r="F275" s="26">
        <f t="shared" si="28"/>
        <v>0</v>
      </c>
      <c r="G275" s="22" t="str">
        <f t="shared" ca="1" si="29"/>
        <v>History</v>
      </c>
      <c r="H275" s="22">
        <f t="shared" si="30"/>
        <v>2009</v>
      </c>
      <c r="I275" s="22">
        <f t="shared" si="31"/>
        <v>12</v>
      </c>
      <c r="J275" s="22">
        <f t="shared" si="25"/>
        <v>53</v>
      </c>
      <c r="K275" s="22">
        <v>1</v>
      </c>
      <c r="L275" s="22">
        <f ca="1">SUM(K275:OFFSET(RngToDay,ROWS(Dates),10))</f>
        <v>249</v>
      </c>
      <c r="M275" s="26" t="str">
        <f ca="1">IF(B275="","",SUM(C275:OFFSET(C275,-LeadTime+1,0)))</f>
        <v/>
      </c>
      <c r="N275" s="26" t="e">
        <f t="shared" ca="1" si="26"/>
        <v>#DIV/0!</v>
      </c>
      <c r="O275" s="22">
        <f t="shared" si="32"/>
        <v>275</v>
      </c>
      <c r="P275" s="26">
        <f t="shared" ca="1" si="27"/>
        <v>0</v>
      </c>
      <c r="Q275" s="26">
        <f ca="1">IF(LeadTime=0,P275,IF(AND(SUM(Q274:OFFSET(Q275,-LeadTime,0))=0,P275&gt;0),MAX(P275:OFFSET(P275,-LeadTime+1,0)),0))</f>
        <v>0</v>
      </c>
    </row>
    <row r="276" spans="1:17" x14ac:dyDescent="0.2">
      <c r="A276" s="135">
        <v>40170</v>
      </c>
      <c r="B276" s="26"/>
      <c r="C276" s="26"/>
      <c r="D276" s="26"/>
      <c r="E276" s="26"/>
      <c r="F276" s="26">
        <f t="shared" si="28"/>
        <v>0</v>
      </c>
      <c r="G276" s="22" t="str">
        <f t="shared" ca="1" si="29"/>
        <v>History</v>
      </c>
      <c r="H276" s="22">
        <f t="shared" si="30"/>
        <v>2009</v>
      </c>
      <c r="I276" s="22">
        <f t="shared" si="31"/>
        <v>12</v>
      </c>
      <c r="J276" s="22">
        <f t="shared" si="25"/>
        <v>52</v>
      </c>
      <c r="K276" s="22">
        <v>1</v>
      </c>
      <c r="L276" s="22">
        <f ca="1">SUM(K276:OFFSET(RngToDay,ROWS(Dates),10))</f>
        <v>248</v>
      </c>
      <c r="M276" s="26" t="str">
        <f ca="1">IF(B276="","",SUM(C276:OFFSET(C276,-LeadTime+1,0)))</f>
        <v/>
      </c>
      <c r="N276" s="26" t="e">
        <f t="shared" ca="1" si="26"/>
        <v>#DIV/0!</v>
      </c>
      <c r="O276" s="22">
        <f t="shared" si="32"/>
        <v>276</v>
      </c>
      <c r="P276" s="26">
        <f t="shared" ca="1" si="27"/>
        <v>0</v>
      </c>
      <c r="Q276" s="26">
        <f ca="1">IF(LeadTime=0,P276,IF(AND(SUM(Q275:OFFSET(Q276,-LeadTime,0))=0,P276&gt;0),MAX(P276:OFFSET(P276,-LeadTime+1,0)),0))</f>
        <v>0</v>
      </c>
    </row>
    <row r="277" spans="1:17" x14ac:dyDescent="0.2">
      <c r="A277" s="135">
        <v>40169</v>
      </c>
      <c r="B277" s="26"/>
      <c r="C277" s="26"/>
      <c r="D277" s="26"/>
      <c r="E277" s="26"/>
      <c r="F277" s="26">
        <f t="shared" si="28"/>
        <v>0</v>
      </c>
      <c r="G277" s="22" t="str">
        <f t="shared" ca="1" si="29"/>
        <v>History</v>
      </c>
      <c r="H277" s="22">
        <f t="shared" si="30"/>
        <v>2009</v>
      </c>
      <c r="I277" s="22">
        <f t="shared" si="31"/>
        <v>12</v>
      </c>
      <c r="J277" s="22">
        <f t="shared" si="25"/>
        <v>52</v>
      </c>
      <c r="K277" s="22">
        <v>1</v>
      </c>
      <c r="L277" s="22">
        <f ca="1">SUM(K277:OFFSET(RngToDay,ROWS(Dates),10))</f>
        <v>247</v>
      </c>
      <c r="M277" s="26" t="str">
        <f ca="1">IF(B277="","",SUM(C277:OFFSET(C277,-LeadTime+1,0)))</f>
        <v/>
      </c>
      <c r="N277" s="26" t="e">
        <f t="shared" ca="1" si="26"/>
        <v>#DIV/0!</v>
      </c>
      <c r="O277" s="22">
        <f t="shared" si="32"/>
        <v>277</v>
      </c>
      <c r="P277" s="26">
        <f t="shared" ca="1" si="27"/>
        <v>0</v>
      </c>
      <c r="Q277" s="26">
        <f ca="1">IF(LeadTime=0,P277,IF(AND(SUM(Q276:OFFSET(Q277,-LeadTime,0))=0,P277&gt;0),MAX(P277:OFFSET(P277,-LeadTime+1,0)),0))</f>
        <v>0</v>
      </c>
    </row>
    <row r="278" spans="1:17" x14ac:dyDescent="0.2">
      <c r="A278" s="135">
        <v>40168</v>
      </c>
      <c r="B278" s="26"/>
      <c r="C278" s="26"/>
      <c r="D278" s="26"/>
      <c r="E278" s="26"/>
      <c r="F278" s="26">
        <f t="shared" si="28"/>
        <v>0</v>
      </c>
      <c r="G278" s="22" t="str">
        <f t="shared" ca="1" si="29"/>
        <v>History</v>
      </c>
      <c r="H278" s="22">
        <f t="shared" si="30"/>
        <v>2009</v>
      </c>
      <c r="I278" s="22">
        <f t="shared" si="31"/>
        <v>12</v>
      </c>
      <c r="J278" s="22">
        <f t="shared" si="25"/>
        <v>52</v>
      </c>
      <c r="K278" s="22">
        <v>1</v>
      </c>
      <c r="L278" s="22">
        <f ca="1">SUM(K278:OFFSET(RngToDay,ROWS(Dates),10))</f>
        <v>246</v>
      </c>
      <c r="M278" s="26" t="str">
        <f ca="1">IF(B278="","",SUM(C278:OFFSET(C278,-LeadTime+1,0)))</f>
        <v/>
      </c>
      <c r="N278" s="26" t="e">
        <f t="shared" ca="1" si="26"/>
        <v>#DIV/0!</v>
      </c>
      <c r="O278" s="22">
        <f t="shared" si="32"/>
        <v>278</v>
      </c>
      <c r="P278" s="26">
        <f t="shared" ca="1" si="27"/>
        <v>0</v>
      </c>
      <c r="Q278" s="26">
        <f ca="1">IF(LeadTime=0,P278,IF(AND(SUM(Q277:OFFSET(Q278,-LeadTime,0))=0,P278&gt;0),MAX(P278:OFFSET(P278,-LeadTime+1,0)),0))</f>
        <v>0</v>
      </c>
    </row>
    <row r="279" spans="1:17" x14ac:dyDescent="0.2">
      <c r="A279" s="135">
        <v>40165</v>
      </c>
      <c r="B279" s="26"/>
      <c r="C279" s="26"/>
      <c r="D279" s="26"/>
      <c r="E279" s="26"/>
      <c r="F279" s="26">
        <f t="shared" si="28"/>
        <v>0</v>
      </c>
      <c r="G279" s="22" t="str">
        <f t="shared" ca="1" si="29"/>
        <v>History</v>
      </c>
      <c r="H279" s="22">
        <f t="shared" si="30"/>
        <v>2009</v>
      </c>
      <c r="I279" s="22">
        <f t="shared" si="31"/>
        <v>12</v>
      </c>
      <c r="J279" s="22">
        <f t="shared" si="25"/>
        <v>51</v>
      </c>
      <c r="K279" s="22">
        <v>1</v>
      </c>
      <c r="L279" s="22">
        <f ca="1">SUM(K279:OFFSET(RngToDay,ROWS(Dates),10))</f>
        <v>245</v>
      </c>
      <c r="M279" s="26" t="str">
        <f ca="1">IF(B279="","",SUM(C279:OFFSET(C279,-LeadTime+1,0)))</f>
        <v/>
      </c>
      <c r="N279" s="26" t="e">
        <f t="shared" ca="1" si="26"/>
        <v>#DIV/0!</v>
      </c>
      <c r="O279" s="22">
        <f t="shared" si="32"/>
        <v>279</v>
      </c>
      <c r="P279" s="26">
        <f t="shared" ca="1" si="27"/>
        <v>0</v>
      </c>
      <c r="Q279" s="26">
        <f ca="1">IF(LeadTime=0,P279,IF(AND(SUM(Q278:OFFSET(Q279,-LeadTime,0))=0,P279&gt;0),MAX(P279:OFFSET(P279,-LeadTime+1,0)),0))</f>
        <v>0</v>
      </c>
    </row>
    <row r="280" spans="1:17" x14ac:dyDescent="0.2">
      <c r="A280" s="135">
        <v>40164</v>
      </c>
      <c r="B280" s="26"/>
      <c r="C280" s="26"/>
      <c r="D280" s="26"/>
      <c r="E280" s="26"/>
      <c r="F280" s="26">
        <f t="shared" si="28"/>
        <v>0</v>
      </c>
      <c r="G280" s="22" t="str">
        <f t="shared" ca="1" si="29"/>
        <v>History</v>
      </c>
      <c r="H280" s="22">
        <f t="shared" si="30"/>
        <v>2009</v>
      </c>
      <c r="I280" s="22">
        <f t="shared" si="31"/>
        <v>12</v>
      </c>
      <c r="J280" s="22">
        <f t="shared" si="25"/>
        <v>51</v>
      </c>
      <c r="K280" s="22">
        <v>1</v>
      </c>
      <c r="L280" s="22">
        <f ca="1">SUM(K280:OFFSET(RngToDay,ROWS(Dates),10))</f>
        <v>244</v>
      </c>
      <c r="M280" s="26" t="str">
        <f ca="1">IF(B280="","",SUM(C280:OFFSET(C280,-LeadTime+1,0)))</f>
        <v/>
      </c>
      <c r="N280" s="26" t="e">
        <f t="shared" ca="1" si="26"/>
        <v>#DIV/0!</v>
      </c>
      <c r="O280" s="22">
        <f t="shared" si="32"/>
        <v>280</v>
      </c>
      <c r="P280" s="26">
        <f t="shared" ca="1" si="27"/>
        <v>0</v>
      </c>
      <c r="Q280" s="26">
        <f ca="1">IF(LeadTime=0,P280,IF(AND(SUM(Q279:OFFSET(Q280,-LeadTime,0))=0,P280&gt;0),MAX(P280:OFFSET(P280,-LeadTime+1,0)),0))</f>
        <v>0</v>
      </c>
    </row>
    <row r="281" spans="1:17" x14ac:dyDescent="0.2">
      <c r="A281" s="135">
        <v>40163</v>
      </c>
      <c r="B281" s="26"/>
      <c r="C281" s="26"/>
      <c r="D281" s="26"/>
      <c r="E281" s="26"/>
      <c r="F281" s="26">
        <f t="shared" si="28"/>
        <v>0</v>
      </c>
      <c r="G281" s="22" t="str">
        <f t="shared" ca="1" si="29"/>
        <v>History</v>
      </c>
      <c r="H281" s="22">
        <f t="shared" si="30"/>
        <v>2009</v>
      </c>
      <c r="I281" s="22">
        <f t="shared" si="31"/>
        <v>12</v>
      </c>
      <c r="J281" s="22">
        <f t="shared" si="25"/>
        <v>51</v>
      </c>
      <c r="K281" s="22">
        <v>1</v>
      </c>
      <c r="L281" s="22">
        <f ca="1">SUM(K281:OFFSET(RngToDay,ROWS(Dates),10))</f>
        <v>243</v>
      </c>
      <c r="M281" s="26" t="str">
        <f ca="1">IF(B281="","",SUM(C281:OFFSET(C281,-LeadTime+1,0)))</f>
        <v/>
      </c>
      <c r="N281" s="26" t="e">
        <f t="shared" ca="1" si="26"/>
        <v>#DIV/0!</v>
      </c>
      <c r="O281" s="22">
        <f t="shared" si="32"/>
        <v>281</v>
      </c>
      <c r="P281" s="26">
        <f t="shared" ca="1" si="27"/>
        <v>0</v>
      </c>
      <c r="Q281" s="26">
        <f ca="1">IF(LeadTime=0,P281,IF(AND(SUM(Q280:OFFSET(Q281,-LeadTime,0))=0,P281&gt;0),MAX(P281:OFFSET(P281,-LeadTime+1,0)),0))</f>
        <v>0</v>
      </c>
    </row>
    <row r="282" spans="1:17" x14ac:dyDescent="0.2">
      <c r="A282" s="135">
        <v>40162</v>
      </c>
      <c r="B282" s="26"/>
      <c r="C282" s="26"/>
      <c r="D282" s="26"/>
      <c r="E282" s="26"/>
      <c r="F282" s="26">
        <f t="shared" si="28"/>
        <v>0</v>
      </c>
      <c r="G282" s="22" t="str">
        <f t="shared" ca="1" si="29"/>
        <v>History</v>
      </c>
      <c r="H282" s="22">
        <f t="shared" si="30"/>
        <v>2009</v>
      </c>
      <c r="I282" s="22">
        <f t="shared" si="31"/>
        <v>12</v>
      </c>
      <c r="J282" s="22">
        <f t="shared" si="25"/>
        <v>51</v>
      </c>
      <c r="K282" s="22">
        <v>1</v>
      </c>
      <c r="L282" s="22">
        <f ca="1">SUM(K282:OFFSET(RngToDay,ROWS(Dates),10))</f>
        <v>242</v>
      </c>
      <c r="M282" s="26" t="str">
        <f ca="1">IF(B282="","",SUM(C282:OFFSET(C282,-LeadTime+1,0)))</f>
        <v/>
      </c>
      <c r="N282" s="26" t="e">
        <f t="shared" ca="1" si="26"/>
        <v>#DIV/0!</v>
      </c>
      <c r="O282" s="22">
        <f t="shared" si="32"/>
        <v>282</v>
      </c>
      <c r="P282" s="26">
        <f t="shared" ca="1" si="27"/>
        <v>0</v>
      </c>
      <c r="Q282" s="26">
        <f ca="1">IF(LeadTime=0,P282,IF(AND(SUM(Q281:OFFSET(Q282,-LeadTime,0))=0,P282&gt;0),MAX(P282:OFFSET(P282,-LeadTime+1,0)),0))</f>
        <v>0</v>
      </c>
    </row>
    <row r="283" spans="1:17" x14ac:dyDescent="0.2">
      <c r="A283" s="135">
        <v>40161</v>
      </c>
      <c r="B283" s="26"/>
      <c r="C283" s="26"/>
      <c r="D283" s="26"/>
      <c r="E283" s="26"/>
      <c r="F283" s="26">
        <f t="shared" si="28"/>
        <v>0</v>
      </c>
      <c r="G283" s="22" t="str">
        <f t="shared" ca="1" si="29"/>
        <v>History</v>
      </c>
      <c r="H283" s="22">
        <f t="shared" si="30"/>
        <v>2009</v>
      </c>
      <c r="I283" s="22">
        <f t="shared" si="31"/>
        <v>12</v>
      </c>
      <c r="J283" s="22">
        <f t="shared" si="25"/>
        <v>51</v>
      </c>
      <c r="K283" s="22">
        <v>1</v>
      </c>
      <c r="L283" s="22">
        <f ca="1">SUM(K283:OFFSET(RngToDay,ROWS(Dates),10))</f>
        <v>241</v>
      </c>
      <c r="M283" s="26" t="str">
        <f ca="1">IF(B283="","",SUM(C283:OFFSET(C283,-LeadTime+1,0)))</f>
        <v/>
      </c>
      <c r="N283" s="26" t="e">
        <f t="shared" ca="1" si="26"/>
        <v>#DIV/0!</v>
      </c>
      <c r="O283" s="22">
        <f t="shared" si="32"/>
        <v>283</v>
      </c>
      <c r="P283" s="26">
        <f t="shared" ca="1" si="27"/>
        <v>0</v>
      </c>
      <c r="Q283" s="26">
        <f ca="1">IF(LeadTime=0,P283,IF(AND(SUM(Q282:OFFSET(Q283,-LeadTime,0))=0,P283&gt;0),MAX(P283:OFFSET(P283,-LeadTime+1,0)),0))</f>
        <v>0</v>
      </c>
    </row>
    <row r="284" spans="1:17" x14ac:dyDescent="0.2">
      <c r="A284" s="135">
        <v>40158</v>
      </c>
      <c r="B284" s="26"/>
      <c r="C284" s="26"/>
      <c r="D284" s="26"/>
      <c r="E284" s="26"/>
      <c r="F284" s="26">
        <f t="shared" si="28"/>
        <v>0</v>
      </c>
      <c r="G284" s="22" t="str">
        <f t="shared" ca="1" si="29"/>
        <v>History</v>
      </c>
      <c r="H284" s="22">
        <f t="shared" si="30"/>
        <v>2009</v>
      </c>
      <c r="I284" s="22">
        <f t="shared" si="31"/>
        <v>12</v>
      </c>
      <c r="J284" s="22">
        <f t="shared" si="25"/>
        <v>50</v>
      </c>
      <c r="K284" s="22">
        <v>1</v>
      </c>
      <c r="L284" s="22">
        <f ca="1">SUM(K284:OFFSET(RngToDay,ROWS(Dates),10))</f>
        <v>240</v>
      </c>
      <c r="M284" s="26" t="str">
        <f ca="1">IF(B284="","",SUM(C284:OFFSET(C284,-LeadTime+1,0)))</f>
        <v/>
      </c>
      <c r="N284" s="26" t="e">
        <f t="shared" ca="1" si="26"/>
        <v>#DIV/0!</v>
      </c>
      <c r="O284" s="22">
        <f t="shared" si="32"/>
        <v>284</v>
      </c>
      <c r="P284" s="26">
        <f t="shared" ca="1" si="27"/>
        <v>0</v>
      </c>
      <c r="Q284" s="26">
        <f ca="1">IF(LeadTime=0,P284,IF(AND(SUM(Q283:OFFSET(Q284,-LeadTime,0))=0,P284&gt;0),MAX(P284:OFFSET(P284,-LeadTime+1,0)),0))</f>
        <v>0</v>
      </c>
    </row>
    <row r="285" spans="1:17" x14ac:dyDescent="0.2">
      <c r="A285" s="135">
        <v>40157</v>
      </c>
      <c r="B285" s="26"/>
      <c r="C285" s="26"/>
      <c r="D285" s="26"/>
      <c r="E285" s="26"/>
      <c r="F285" s="26">
        <f t="shared" si="28"/>
        <v>0</v>
      </c>
      <c r="G285" s="22" t="str">
        <f t="shared" ca="1" si="29"/>
        <v>History</v>
      </c>
      <c r="H285" s="22">
        <f t="shared" si="30"/>
        <v>2009</v>
      </c>
      <c r="I285" s="22">
        <f t="shared" si="31"/>
        <v>12</v>
      </c>
      <c r="J285" s="22">
        <f t="shared" si="25"/>
        <v>50</v>
      </c>
      <c r="K285" s="22">
        <v>1</v>
      </c>
      <c r="L285" s="22">
        <f ca="1">SUM(K285:OFFSET(RngToDay,ROWS(Dates),10))</f>
        <v>239</v>
      </c>
      <c r="M285" s="26" t="str">
        <f ca="1">IF(B285="","",SUM(C285:OFFSET(C285,-LeadTime+1,0)))</f>
        <v/>
      </c>
      <c r="N285" s="26" t="e">
        <f t="shared" ca="1" si="26"/>
        <v>#DIV/0!</v>
      </c>
      <c r="O285" s="22">
        <f t="shared" si="32"/>
        <v>285</v>
      </c>
      <c r="P285" s="26">
        <f t="shared" ca="1" si="27"/>
        <v>0</v>
      </c>
      <c r="Q285" s="26">
        <f ca="1">IF(LeadTime=0,P285,IF(AND(SUM(Q284:OFFSET(Q285,-LeadTime,0))=0,P285&gt;0),MAX(P285:OFFSET(P285,-LeadTime+1,0)),0))</f>
        <v>0</v>
      </c>
    </row>
    <row r="286" spans="1:17" x14ac:dyDescent="0.2">
      <c r="A286" s="135">
        <v>40156</v>
      </c>
      <c r="B286" s="26"/>
      <c r="C286" s="26"/>
      <c r="D286" s="26"/>
      <c r="E286" s="26"/>
      <c r="F286" s="26">
        <f t="shared" si="28"/>
        <v>0</v>
      </c>
      <c r="G286" s="22" t="str">
        <f t="shared" ca="1" si="29"/>
        <v>History</v>
      </c>
      <c r="H286" s="22">
        <f t="shared" si="30"/>
        <v>2009</v>
      </c>
      <c r="I286" s="22">
        <f t="shared" si="31"/>
        <v>12</v>
      </c>
      <c r="J286" s="22">
        <f t="shared" si="25"/>
        <v>50</v>
      </c>
      <c r="K286" s="22">
        <v>1</v>
      </c>
      <c r="L286" s="22">
        <f ca="1">SUM(K286:OFFSET(RngToDay,ROWS(Dates),10))</f>
        <v>238</v>
      </c>
      <c r="M286" s="26" t="str">
        <f ca="1">IF(B286="","",SUM(C286:OFFSET(C286,-LeadTime+1,0)))</f>
        <v/>
      </c>
      <c r="N286" s="26" t="e">
        <f t="shared" ca="1" si="26"/>
        <v>#DIV/0!</v>
      </c>
      <c r="O286" s="22">
        <f t="shared" si="32"/>
        <v>286</v>
      </c>
      <c r="P286" s="26">
        <f t="shared" ca="1" si="27"/>
        <v>0</v>
      </c>
      <c r="Q286" s="26">
        <f ca="1">IF(LeadTime=0,P286,IF(AND(SUM(Q285:OFFSET(Q286,-LeadTime,0))=0,P286&gt;0),MAX(P286:OFFSET(P286,-LeadTime+1,0)),0))</f>
        <v>0</v>
      </c>
    </row>
    <row r="287" spans="1:17" x14ac:dyDescent="0.2">
      <c r="A287" s="135">
        <v>40155</v>
      </c>
      <c r="B287" s="26"/>
      <c r="C287" s="26"/>
      <c r="D287" s="26"/>
      <c r="E287" s="26"/>
      <c r="F287" s="26">
        <f t="shared" si="28"/>
        <v>0</v>
      </c>
      <c r="G287" s="22" t="str">
        <f t="shared" ca="1" si="29"/>
        <v>History</v>
      </c>
      <c r="H287" s="22">
        <f t="shared" si="30"/>
        <v>2009</v>
      </c>
      <c r="I287" s="22">
        <f t="shared" si="31"/>
        <v>12</v>
      </c>
      <c r="J287" s="22">
        <f t="shared" si="25"/>
        <v>50</v>
      </c>
      <c r="K287" s="22">
        <v>1</v>
      </c>
      <c r="L287" s="22">
        <f ca="1">SUM(K287:OFFSET(RngToDay,ROWS(Dates),10))</f>
        <v>237</v>
      </c>
      <c r="M287" s="26" t="str">
        <f ca="1">IF(B287="","",SUM(C287:OFFSET(C287,-LeadTime+1,0)))</f>
        <v/>
      </c>
      <c r="N287" s="26" t="e">
        <f t="shared" ca="1" si="26"/>
        <v>#DIV/0!</v>
      </c>
      <c r="O287" s="22">
        <f t="shared" si="32"/>
        <v>287</v>
      </c>
      <c r="P287" s="26">
        <f t="shared" ca="1" si="27"/>
        <v>0</v>
      </c>
      <c r="Q287" s="26">
        <f ca="1">IF(LeadTime=0,P287,IF(AND(SUM(Q286:OFFSET(Q287,-LeadTime,0))=0,P287&gt;0),MAX(P287:OFFSET(P287,-LeadTime+1,0)),0))</f>
        <v>0</v>
      </c>
    </row>
    <row r="288" spans="1:17" x14ac:dyDescent="0.2">
      <c r="A288" s="135">
        <v>40154</v>
      </c>
      <c r="B288" s="26"/>
      <c r="C288" s="26"/>
      <c r="D288" s="26"/>
      <c r="E288" s="26"/>
      <c r="F288" s="26">
        <f t="shared" si="28"/>
        <v>0</v>
      </c>
      <c r="G288" s="22" t="str">
        <f t="shared" ca="1" si="29"/>
        <v>History</v>
      </c>
      <c r="H288" s="22">
        <f t="shared" si="30"/>
        <v>2009</v>
      </c>
      <c r="I288" s="22">
        <f t="shared" si="31"/>
        <v>12</v>
      </c>
      <c r="J288" s="22">
        <f t="shared" si="25"/>
        <v>50</v>
      </c>
      <c r="K288" s="22">
        <v>1</v>
      </c>
      <c r="L288" s="22">
        <f ca="1">SUM(K288:OFFSET(RngToDay,ROWS(Dates),10))</f>
        <v>236</v>
      </c>
      <c r="M288" s="26" t="str">
        <f ca="1">IF(B288="","",SUM(C288:OFFSET(C288,-LeadTime+1,0)))</f>
        <v/>
      </c>
      <c r="N288" s="26" t="e">
        <f t="shared" ca="1" si="26"/>
        <v>#DIV/0!</v>
      </c>
      <c r="O288" s="22">
        <f t="shared" si="32"/>
        <v>288</v>
      </c>
      <c r="P288" s="26">
        <f t="shared" ca="1" si="27"/>
        <v>0</v>
      </c>
      <c r="Q288" s="26">
        <f ca="1">IF(LeadTime=0,P288,IF(AND(SUM(Q287:OFFSET(Q288,-LeadTime,0))=0,P288&gt;0),MAX(P288:OFFSET(P288,-LeadTime+1,0)),0))</f>
        <v>0</v>
      </c>
    </row>
    <row r="289" spans="1:17" x14ac:dyDescent="0.2">
      <c r="A289" s="135">
        <v>40151</v>
      </c>
      <c r="B289" s="26"/>
      <c r="C289" s="26"/>
      <c r="D289" s="26"/>
      <c r="E289" s="26"/>
      <c r="F289" s="26">
        <f t="shared" si="28"/>
        <v>0</v>
      </c>
      <c r="G289" s="22" t="str">
        <f t="shared" ca="1" si="29"/>
        <v>History</v>
      </c>
      <c r="H289" s="22">
        <f t="shared" si="30"/>
        <v>2009</v>
      </c>
      <c r="I289" s="22">
        <f t="shared" si="31"/>
        <v>12</v>
      </c>
      <c r="J289" s="22">
        <f t="shared" si="25"/>
        <v>49</v>
      </c>
      <c r="K289" s="22">
        <v>1</v>
      </c>
      <c r="L289" s="22">
        <f ca="1">SUM(K289:OFFSET(RngToDay,ROWS(Dates),10))</f>
        <v>235</v>
      </c>
      <c r="M289" s="26" t="str">
        <f ca="1">IF(B289="","",SUM(C289:OFFSET(C289,-LeadTime+1,0)))</f>
        <v/>
      </c>
      <c r="N289" s="26" t="e">
        <f t="shared" ca="1" si="26"/>
        <v>#DIV/0!</v>
      </c>
      <c r="O289" s="22">
        <f t="shared" si="32"/>
        <v>289</v>
      </c>
      <c r="P289" s="26">
        <f t="shared" ca="1" si="27"/>
        <v>0</v>
      </c>
      <c r="Q289" s="26">
        <f ca="1">IF(LeadTime=0,P289,IF(AND(SUM(Q288:OFFSET(Q289,-LeadTime,0))=0,P289&gt;0),MAX(P289:OFFSET(P289,-LeadTime+1,0)),0))</f>
        <v>0</v>
      </c>
    </row>
    <row r="290" spans="1:17" x14ac:dyDescent="0.2">
      <c r="A290" s="135">
        <v>40150</v>
      </c>
      <c r="B290" s="26"/>
      <c r="C290" s="26"/>
      <c r="D290" s="26"/>
      <c r="E290" s="26"/>
      <c r="F290" s="26">
        <f t="shared" si="28"/>
        <v>0</v>
      </c>
      <c r="G290" s="22" t="str">
        <f t="shared" ca="1" si="29"/>
        <v>History</v>
      </c>
      <c r="H290" s="22">
        <f t="shared" si="30"/>
        <v>2009</v>
      </c>
      <c r="I290" s="22">
        <f t="shared" si="31"/>
        <v>12</v>
      </c>
      <c r="J290" s="22">
        <f t="shared" si="25"/>
        <v>49</v>
      </c>
      <c r="K290" s="22">
        <v>1</v>
      </c>
      <c r="L290" s="22">
        <f ca="1">SUM(K290:OFFSET(RngToDay,ROWS(Dates),10))</f>
        <v>234</v>
      </c>
      <c r="M290" s="26" t="str">
        <f ca="1">IF(B290="","",SUM(C290:OFFSET(C290,-LeadTime+1,0)))</f>
        <v/>
      </c>
      <c r="N290" s="26" t="e">
        <f t="shared" ca="1" si="26"/>
        <v>#DIV/0!</v>
      </c>
      <c r="O290" s="22">
        <f t="shared" si="32"/>
        <v>290</v>
      </c>
      <c r="P290" s="26">
        <f t="shared" ca="1" si="27"/>
        <v>0</v>
      </c>
      <c r="Q290" s="26">
        <f ca="1">IF(LeadTime=0,P290,IF(AND(SUM(Q289:OFFSET(Q290,-LeadTime,0))=0,P290&gt;0),MAX(P290:OFFSET(P290,-LeadTime+1,0)),0))</f>
        <v>0</v>
      </c>
    </row>
    <row r="291" spans="1:17" x14ac:dyDescent="0.2">
      <c r="A291" s="135">
        <v>40149</v>
      </c>
      <c r="B291" s="26"/>
      <c r="C291" s="26"/>
      <c r="D291" s="26"/>
      <c r="E291" s="26"/>
      <c r="F291" s="26">
        <f t="shared" si="28"/>
        <v>0</v>
      </c>
      <c r="G291" s="22" t="str">
        <f t="shared" ca="1" si="29"/>
        <v>History</v>
      </c>
      <c r="H291" s="22">
        <f t="shared" si="30"/>
        <v>2009</v>
      </c>
      <c r="I291" s="22">
        <f t="shared" si="31"/>
        <v>12</v>
      </c>
      <c r="J291" s="22">
        <f t="shared" si="25"/>
        <v>49</v>
      </c>
      <c r="K291" s="22">
        <v>1</v>
      </c>
      <c r="L291" s="22">
        <f ca="1">SUM(K291:OFFSET(RngToDay,ROWS(Dates),10))</f>
        <v>233</v>
      </c>
      <c r="M291" s="26" t="str">
        <f ca="1">IF(B291="","",SUM(C291:OFFSET(C291,-LeadTime+1,0)))</f>
        <v/>
      </c>
      <c r="N291" s="26" t="e">
        <f t="shared" ca="1" si="26"/>
        <v>#DIV/0!</v>
      </c>
      <c r="O291" s="22">
        <f t="shared" si="32"/>
        <v>291</v>
      </c>
      <c r="P291" s="26">
        <f t="shared" ca="1" si="27"/>
        <v>0</v>
      </c>
      <c r="Q291" s="26">
        <f ca="1">IF(LeadTime=0,P291,IF(AND(SUM(Q290:OFFSET(Q291,-LeadTime,0))=0,P291&gt;0),MAX(P291:OFFSET(P291,-LeadTime+1,0)),0))</f>
        <v>0</v>
      </c>
    </row>
    <row r="292" spans="1:17" x14ac:dyDescent="0.2">
      <c r="A292" s="135">
        <v>40148</v>
      </c>
      <c r="B292" s="26"/>
      <c r="C292" s="26"/>
      <c r="D292" s="26"/>
      <c r="E292" s="26"/>
      <c r="F292" s="26">
        <f t="shared" si="28"/>
        <v>0</v>
      </c>
      <c r="G292" s="22" t="str">
        <f t="shared" ca="1" si="29"/>
        <v>History</v>
      </c>
      <c r="H292" s="22">
        <f t="shared" si="30"/>
        <v>2009</v>
      </c>
      <c r="I292" s="22">
        <f t="shared" si="31"/>
        <v>12</v>
      </c>
      <c r="J292" s="22">
        <f t="shared" si="25"/>
        <v>49</v>
      </c>
      <c r="K292" s="22">
        <v>1</v>
      </c>
      <c r="L292" s="22">
        <f ca="1">SUM(K292:OFFSET(RngToDay,ROWS(Dates),10))</f>
        <v>232</v>
      </c>
      <c r="M292" s="26" t="str">
        <f ca="1">IF(B292="","",SUM(C292:OFFSET(C292,-LeadTime+1,0)))</f>
        <v/>
      </c>
      <c r="N292" s="26" t="e">
        <f t="shared" ca="1" si="26"/>
        <v>#DIV/0!</v>
      </c>
      <c r="O292" s="22">
        <f t="shared" si="32"/>
        <v>292</v>
      </c>
      <c r="P292" s="26">
        <f t="shared" ca="1" si="27"/>
        <v>0</v>
      </c>
      <c r="Q292" s="26">
        <f ca="1">IF(LeadTime=0,P292,IF(AND(SUM(Q291:OFFSET(Q292,-LeadTime,0))=0,P292&gt;0),MAX(P292:OFFSET(P292,-LeadTime+1,0)),0))</f>
        <v>0</v>
      </c>
    </row>
    <row r="293" spans="1:17" x14ac:dyDescent="0.2">
      <c r="A293" s="135">
        <v>40147</v>
      </c>
      <c r="B293" s="26"/>
      <c r="C293" s="26"/>
      <c r="D293" s="26"/>
      <c r="E293" s="26"/>
      <c r="F293" s="26">
        <f t="shared" si="28"/>
        <v>0</v>
      </c>
      <c r="G293" s="22" t="str">
        <f t="shared" ca="1" si="29"/>
        <v>History</v>
      </c>
      <c r="H293" s="22">
        <f t="shared" si="30"/>
        <v>2009</v>
      </c>
      <c r="I293" s="22">
        <f t="shared" si="31"/>
        <v>11</v>
      </c>
      <c r="J293" s="22">
        <f t="shared" si="25"/>
        <v>49</v>
      </c>
      <c r="K293" s="22">
        <v>1</v>
      </c>
      <c r="L293" s="22">
        <f ca="1">SUM(K293:OFFSET(RngToDay,ROWS(Dates),10))</f>
        <v>231</v>
      </c>
      <c r="M293" s="26" t="str">
        <f ca="1">IF(B293="","",SUM(C293:OFFSET(C293,-LeadTime+1,0)))</f>
        <v/>
      </c>
      <c r="N293" s="26" t="e">
        <f t="shared" ca="1" si="26"/>
        <v>#DIV/0!</v>
      </c>
      <c r="O293" s="22">
        <f t="shared" si="32"/>
        <v>293</v>
      </c>
      <c r="P293" s="26">
        <f t="shared" ca="1" si="27"/>
        <v>0</v>
      </c>
      <c r="Q293" s="26">
        <f ca="1">IF(LeadTime=0,P293,IF(AND(SUM(Q292:OFFSET(Q293,-LeadTime,0))=0,P293&gt;0),MAX(P293:OFFSET(P293,-LeadTime+1,0)),0))</f>
        <v>0</v>
      </c>
    </row>
    <row r="294" spans="1:17" x14ac:dyDescent="0.2">
      <c r="A294" s="135">
        <v>40144</v>
      </c>
      <c r="B294" s="26"/>
      <c r="C294" s="26"/>
      <c r="D294" s="26"/>
      <c r="E294" s="26"/>
      <c r="F294" s="26">
        <f t="shared" si="28"/>
        <v>0</v>
      </c>
      <c r="G294" s="22" t="str">
        <f t="shared" ca="1" si="29"/>
        <v>History</v>
      </c>
      <c r="H294" s="22">
        <f t="shared" si="30"/>
        <v>2009</v>
      </c>
      <c r="I294" s="22">
        <f t="shared" si="31"/>
        <v>11</v>
      </c>
      <c r="J294" s="22">
        <f t="shared" si="25"/>
        <v>48</v>
      </c>
      <c r="K294" s="22">
        <v>1</v>
      </c>
      <c r="L294" s="22">
        <f ca="1">SUM(K294:OFFSET(RngToDay,ROWS(Dates),10))</f>
        <v>230</v>
      </c>
      <c r="M294" s="26" t="str">
        <f ca="1">IF(B294="","",SUM(C294:OFFSET(C294,-LeadTime+1,0)))</f>
        <v/>
      </c>
      <c r="N294" s="26" t="e">
        <f t="shared" ca="1" si="26"/>
        <v>#DIV/0!</v>
      </c>
      <c r="O294" s="22">
        <f t="shared" si="32"/>
        <v>294</v>
      </c>
      <c r="P294" s="26">
        <f t="shared" ca="1" si="27"/>
        <v>0</v>
      </c>
      <c r="Q294" s="26">
        <f ca="1">IF(LeadTime=0,P294,IF(AND(SUM(Q293:OFFSET(Q294,-LeadTime,0))=0,P294&gt;0),MAX(P294:OFFSET(P294,-LeadTime+1,0)),0))</f>
        <v>0</v>
      </c>
    </row>
    <row r="295" spans="1:17" x14ac:dyDescent="0.2">
      <c r="A295" s="135">
        <v>40143</v>
      </c>
      <c r="B295" s="26"/>
      <c r="C295" s="26"/>
      <c r="D295" s="26"/>
      <c r="E295" s="26"/>
      <c r="F295" s="26">
        <f t="shared" si="28"/>
        <v>0</v>
      </c>
      <c r="G295" s="22" t="str">
        <f t="shared" ca="1" si="29"/>
        <v>History</v>
      </c>
      <c r="H295" s="22">
        <f t="shared" si="30"/>
        <v>2009</v>
      </c>
      <c r="I295" s="22">
        <f t="shared" si="31"/>
        <v>11</v>
      </c>
      <c r="J295" s="22">
        <f t="shared" si="25"/>
        <v>48</v>
      </c>
      <c r="K295" s="22">
        <v>1</v>
      </c>
      <c r="L295" s="22">
        <f ca="1">SUM(K295:OFFSET(RngToDay,ROWS(Dates),10))</f>
        <v>229</v>
      </c>
      <c r="M295" s="26" t="str">
        <f ca="1">IF(B295="","",SUM(C295:OFFSET(C295,-LeadTime+1,0)))</f>
        <v/>
      </c>
      <c r="N295" s="26" t="e">
        <f t="shared" ca="1" si="26"/>
        <v>#DIV/0!</v>
      </c>
      <c r="O295" s="22">
        <f t="shared" si="32"/>
        <v>295</v>
      </c>
      <c r="P295" s="26">
        <f t="shared" ca="1" si="27"/>
        <v>0</v>
      </c>
      <c r="Q295" s="26">
        <f ca="1">IF(LeadTime=0,P295,IF(AND(SUM(Q294:OFFSET(Q295,-LeadTime,0))=0,P295&gt;0),MAX(P295:OFFSET(P295,-LeadTime+1,0)),0))</f>
        <v>0</v>
      </c>
    </row>
    <row r="296" spans="1:17" x14ac:dyDescent="0.2">
      <c r="A296" s="135">
        <v>40142</v>
      </c>
      <c r="B296" s="26"/>
      <c r="C296" s="26"/>
      <c r="D296" s="26"/>
      <c r="E296" s="26"/>
      <c r="F296" s="26">
        <f t="shared" si="28"/>
        <v>0</v>
      </c>
      <c r="G296" s="22" t="str">
        <f t="shared" ca="1" si="29"/>
        <v>History</v>
      </c>
      <c r="H296" s="22">
        <f t="shared" si="30"/>
        <v>2009</v>
      </c>
      <c r="I296" s="22">
        <f t="shared" si="31"/>
        <v>11</v>
      </c>
      <c r="J296" s="22">
        <f t="shared" si="25"/>
        <v>48</v>
      </c>
      <c r="K296" s="22">
        <v>1</v>
      </c>
      <c r="L296" s="22">
        <f ca="1">SUM(K296:OFFSET(RngToDay,ROWS(Dates),10))</f>
        <v>228</v>
      </c>
      <c r="M296" s="26" t="str">
        <f ca="1">IF(B296="","",SUM(C296:OFFSET(C296,-LeadTime+1,0)))</f>
        <v/>
      </c>
      <c r="N296" s="26" t="e">
        <f t="shared" ca="1" si="26"/>
        <v>#DIV/0!</v>
      </c>
      <c r="O296" s="22">
        <f t="shared" si="32"/>
        <v>296</v>
      </c>
      <c r="P296" s="26">
        <f t="shared" ca="1" si="27"/>
        <v>0</v>
      </c>
      <c r="Q296" s="26">
        <f ca="1">IF(LeadTime=0,P296,IF(AND(SUM(Q295:OFFSET(Q296,-LeadTime,0))=0,P296&gt;0),MAX(P296:OFFSET(P296,-LeadTime+1,0)),0))</f>
        <v>0</v>
      </c>
    </row>
    <row r="297" spans="1:17" x14ac:dyDescent="0.2">
      <c r="A297" s="135">
        <v>40141</v>
      </c>
      <c r="B297" s="26"/>
      <c r="C297" s="26"/>
      <c r="D297" s="26"/>
      <c r="E297" s="26"/>
      <c r="F297" s="26">
        <f t="shared" si="28"/>
        <v>0</v>
      </c>
      <c r="G297" s="22" t="str">
        <f t="shared" ca="1" si="29"/>
        <v>History</v>
      </c>
      <c r="H297" s="22">
        <f t="shared" si="30"/>
        <v>2009</v>
      </c>
      <c r="I297" s="22">
        <f t="shared" si="31"/>
        <v>11</v>
      </c>
      <c r="J297" s="22">
        <f t="shared" si="25"/>
        <v>48</v>
      </c>
      <c r="K297" s="22">
        <v>1</v>
      </c>
      <c r="L297" s="22">
        <f ca="1">SUM(K297:OFFSET(RngToDay,ROWS(Dates),10))</f>
        <v>227</v>
      </c>
      <c r="M297" s="26" t="str">
        <f ca="1">IF(B297="","",SUM(C297:OFFSET(C297,-LeadTime+1,0)))</f>
        <v/>
      </c>
      <c r="N297" s="26" t="e">
        <f t="shared" ca="1" si="26"/>
        <v>#DIV/0!</v>
      </c>
      <c r="O297" s="22">
        <f t="shared" si="32"/>
        <v>297</v>
      </c>
      <c r="P297" s="26">
        <f t="shared" ca="1" si="27"/>
        <v>0</v>
      </c>
      <c r="Q297" s="26">
        <f ca="1">IF(LeadTime=0,P297,IF(AND(SUM(Q296:OFFSET(Q297,-LeadTime,0))=0,P297&gt;0),MAX(P297:OFFSET(P297,-LeadTime+1,0)),0))</f>
        <v>0</v>
      </c>
    </row>
    <row r="298" spans="1:17" x14ac:dyDescent="0.2">
      <c r="A298" s="135">
        <v>40140</v>
      </c>
      <c r="B298" s="26"/>
      <c r="C298" s="26"/>
      <c r="D298" s="26"/>
      <c r="E298" s="26"/>
      <c r="F298" s="26">
        <f t="shared" si="28"/>
        <v>0</v>
      </c>
      <c r="G298" s="22" t="str">
        <f t="shared" ca="1" si="29"/>
        <v>History</v>
      </c>
      <c r="H298" s="22">
        <f t="shared" si="30"/>
        <v>2009</v>
      </c>
      <c r="I298" s="22">
        <f t="shared" si="31"/>
        <v>11</v>
      </c>
      <c r="J298" s="22">
        <f t="shared" si="25"/>
        <v>48</v>
      </c>
      <c r="K298" s="22">
        <v>1</v>
      </c>
      <c r="L298" s="22">
        <f ca="1">SUM(K298:OFFSET(RngToDay,ROWS(Dates),10))</f>
        <v>226</v>
      </c>
      <c r="M298" s="26" t="str">
        <f ca="1">IF(B298="","",SUM(C298:OFFSET(C298,-LeadTime+1,0)))</f>
        <v/>
      </c>
      <c r="N298" s="26" t="e">
        <f t="shared" ca="1" si="26"/>
        <v>#DIV/0!</v>
      </c>
      <c r="O298" s="22">
        <f t="shared" si="32"/>
        <v>298</v>
      </c>
      <c r="P298" s="26">
        <f t="shared" ca="1" si="27"/>
        <v>0</v>
      </c>
      <c r="Q298" s="26">
        <f ca="1">IF(LeadTime=0,P298,IF(AND(SUM(Q297:OFFSET(Q298,-LeadTime,0))=0,P298&gt;0),MAX(P298:OFFSET(P298,-LeadTime+1,0)),0))</f>
        <v>0</v>
      </c>
    </row>
    <row r="299" spans="1:17" x14ac:dyDescent="0.2">
      <c r="A299" s="135">
        <v>40137</v>
      </c>
      <c r="B299" s="26"/>
      <c r="C299" s="26"/>
      <c r="D299" s="26"/>
      <c r="E299" s="26"/>
      <c r="F299" s="26">
        <f t="shared" si="28"/>
        <v>0</v>
      </c>
      <c r="G299" s="22" t="str">
        <f t="shared" ca="1" si="29"/>
        <v>History</v>
      </c>
      <c r="H299" s="22">
        <f t="shared" si="30"/>
        <v>2009</v>
      </c>
      <c r="I299" s="22">
        <f t="shared" si="31"/>
        <v>11</v>
      </c>
      <c r="J299" s="22">
        <f t="shared" si="25"/>
        <v>47</v>
      </c>
      <c r="K299" s="22">
        <v>1</v>
      </c>
      <c r="L299" s="22">
        <f ca="1">SUM(K299:OFFSET(RngToDay,ROWS(Dates),10))</f>
        <v>225</v>
      </c>
      <c r="M299" s="26" t="str">
        <f ca="1">IF(B299="","",SUM(C299:OFFSET(C299,-LeadTime+1,0)))</f>
        <v/>
      </c>
      <c r="N299" s="26" t="e">
        <f t="shared" ca="1" si="26"/>
        <v>#DIV/0!</v>
      </c>
      <c r="O299" s="22">
        <f t="shared" si="32"/>
        <v>299</v>
      </c>
      <c r="P299" s="26">
        <f t="shared" ca="1" si="27"/>
        <v>0</v>
      </c>
      <c r="Q299" s="26">
        <f ca="1">IF(LeadTime=0,P299,IF(AND(SUM(Q298:OFFSET(Q299,-LeadTime,0))=0,P299&gt;0),MAX(P299:OFFSET(P299,-LeadTime+1,0)),0))</f>
        <v>0</v>
      </c>
    </row>
    <row r="300" spans="1:17" x14ac:dyDescent="0.2">
      <c r="A300" s="135">
        <v>40136</v>
      </c>
      <c r="B300" s="26"/>
      <c r="C300" s="26"/>
      <c r="D300" s="26"/>
      <c r="E300" s="26"/>
      <c r="F300" s="26">
        <f t="shared" si="28"/>
        <v>0</v>
      </c>
      <c r="G300" s="22" t="str">
        <f t="shared" ca="1" si="29"/>
        <v>History</v>
      </c>
      <c r="H300" s="22">
        <f t="shared" si="30"/>
        <v>2009</v>
      </c>
      <c r="I300" s="22">
        <f t="shared" si="31"/>
        <v>11</v>
      </c>
      <c r="J300" s="22">
        <f t="shared" si="25"/>
        <v>47</v>
      </c>
      <c r="K300" s="22">
        <v>1</v>
      </c>
      <c r="L300" s="22">
        <f ca="1">SUM(K300:OFFSET(RngToDay,ROWS(Dates),10))</f>
        <v>224</v>
      </c>
      <c r="M300" s="26" t="str">
        <f ca="1">IF(B300="","",SUM(C300:OFFSET(C300,-LeadTime+1,0)))</f>
        <v/>
      </c>
      <c r="N300" s="26" t="e">
        <f t="shared" ca="1" si="26"/>
        <v>#DIV/0!</v>
      </c>
      <c r="O300" s="22">
        <f t="shared" si="32"/>
        <v>300</v>
      </c>
      <c r="P300" s="26">
        <f t="shared" ca="1" si="27"/>
        <v>0</v>
      </c>
      <c r="Q300" s="26">
        <f ca="1">IF(LeadTime=0,P300,IF(AND(SUM(Q299:OFFSET(Q300,-LeadTime,0))=0,P300&gt;0),MAX(P300:OFFSET(P300,-LeadTime+1,0)),0))</f>
        <v>0</v>
      </c>
    </row>
    <row r="301" spans="1:17" x14ac:dyDescent="0.2">
      <c r="A301" s="135">
        <v>40135</v>
      </c>
      <c r="B301" s="26"/>
      <c r="C301" s="26"/>
      <c r="D301" s="26"/>
      <c r="E301" s="26"/>
      <c r="F301" s="26">
        <f t="shared" si="28"/>
        <v>0</v>
      </c>
      <c r="G301" s="22" t="str">
        <f t="shared" ca="1" si="29"/>
        <v>History</v>
      </c>
      <c r="H301" s="22">
        <f t="shared" si="30"/>
        <v>2009</v>
      </c>
      <c r="I301" s="22">
        <f t="shared" si="31"/>
        <v>11</v>
      </c>
      <c r="J301" s="22">
        <f t="shared" si="25"/>
        <v>47</v>
      </c>
      <c r="K301" s="22">
        <v>1</v>
      </c>
      <c r="L301" s="22">
        <f ca="1">SUM(K301:OFFSET(RngToDay,ROWS(Dates),10))</f>
        <v>223</v>
      </c>
      <c r="M301" s="26" t="str">
        <f ca="1">IF(B301="","",SUM(C301:OFFSET(C301,-LeadTime+1,0)))</f>
        <v/>
      </c>
      <c r="N301" s="26" t="e">
        <f t="shared" ca="1" si="26"/>
        <v>#DIV/0!</v>
      </c>
      <c r="O301" s="22">
        <f t="shared" si="32"/>
        <v>301</v>
      </c>
      <c r="P301" s="26">
        <f t="shared" ca="1" si="27"/>
        <v>0</v>
      </c>
      <c r="Q301" s="26">
        <f ca="1">IF(LeadTime=0,P301,IF(AND(SUM(Q300:OFFSET(Q301,-LeadTime,0))=0,P301&gt;0),MAX(P301:OFFSET(P301,-LeadTime+1,0)),0))</f>
        <v>0</v>
      </c>
    </row>
    <row r="302" spans="1:17" x14ac:dyDescent="0.2">
      <c r="A302" s="135">
        <v>40134</v>
      </c>
      <c r="B302" s="26"/>
      <c r="C302" s="26"/>
      <c r="D302" s="26"/>
      <c r="E302" s="26"/>
      <c r="F302" s="26">
        <f t="shared" si="28"/>
        <v>0</v>
      </c>
      <c r="G302" s="22" t="str">
        <f t="shared" ca="1" si="29"/>
        <v>History</v>
      </c>
      <c r="H302" s="22">
        <f t="shared" si="30"/>
        <v>2009</v>
      </c>
      <c r="I302" s="22">
        <f t="shared" si="31"/>
        <v>11</v>
      </c>
      <c r="J302" s="22">
        <f t="shared" si="25"/>
        <v>47</v>
      </c>
      <c r="K302" s="22">
        <v>1</v>
      </c>
      <c r="L302" s="22">
        <f ca="1">SUM(K302:OFFSET(RngToDay,ROWS(Dates),10))</f>
        <v>222</v>
      </c>
      <c r="M302" s="26" t="str">
        <f ca="1">IF(B302="","",SUM(C302:OFFSET(C302,-LeadTime+1,0)))</f>
        <v/>
      </c>
      <c r="N302" s="26" t="e">
        <f t="shared" ca="1" si="26"/>
        <v>#DIV/0!</v>
      </c>
      <c r="O302" s="22">
        <f t="shared" si="32"/>
        <v>302</v>
      </c>
      <c r="P302" s="26">
        <f t="shared" ca="1" si="27"/>
        <v>0</v>
      </c>
      <c r="Q302" s="26">
        <f ca="1">IF(LeadTime=0,P302,IF(AND(SUM(Q301:OFFSET(Q302,-LeadTime,0))=0,P302&gt;0),MAX(P302:OFFSET(P302,-LeadTime+1,0)),0))</f>
        <v>0</v>
      </c>
    </row>
    <row r="303" spans="1:17" x14ac:dyDescent="0.2">
      <c r="A303" s="135">
        <v>40133</v>
      </c>
      <c r="B303" s="26"/>
      <c r="C303" s="26"/>
      <c r="D303" s="26"/>
      <c r="E303" s="26"/>
      <c r="F303" s="26">
        <f t="shared" si="28"/>
        <v>0</v>
      </c>
      <c r="G303" s="22" t="str">
        <f t="shared" ca="1" si="29"/>
        <v>History</v>
      </c>
      <c r="H303" s="22">
        <f t="shared" si="30"/>
        <v>2009</v>
      </c>
      <c r="I303" s="22">
        <f t="shared" si="31"/>
        <v>11</v>
      </c>
      <c r="J303" s="22">
        <f t="shared" si="25"/>
        <v>47</v>
      </c>
      <c r="K303" s="22">
        <v>1</v>
      </c>
      <c r="L303" s="22">
        <f ca="1">SUM(K303:OFFSET(RngToDay,ROWS(Dates),10))</f>
        <v>221</v>
      </c>
      <c r="M303" s="26" t="str">
        <f ca="1">IF(B303="","",SUM(C303:OFFSET(C303,-LeadTime+1,0)))</f>
        <v/>
      </c>
      <c r="N303" s="26" t="e">
        <f t="shared" ca="1" si="26"/>
        <v>#DIV/0!</v>
      </c>
      <c r="O303" s="22">
        <f t="shared" si="32"/>
        <v>303</v>
      </c>
      <c r="P303" s="26">
        <f t="shared" ca="1" si="27"/>
        <v>0</v>
      </c>
      <c r="Q303" s="26">
        <f ca="1">IF(LeadTime=0,P303,IF(AND(SUM(Q302:OFFSET(Q303,-LeadTime,0))=0,P303&gt;0),MAX(P303:OFFSET(P303,-LeadTime+1,0)),0))</f>
        <v>0</v>
      </c>
    </row>
    <row r="304" spans="1:17" x14ac:dyDescent="0.2">
      <c r="A304" s="135">
        <v>40130</v>
      </c>
      <c r="B304" s="26"/>
      <c r="C304" s="26"/>
      <c r="D304" s="26"/>
      <c r="E304" s="26"/>
      <c r="F304" s="26">
        <f t="shared" si="28"/>
        <v>0</v>
      </c>
      <c r="G304" s="22" t="str">
        <f t="shared" ca="1" si="29"/>
        <v>History</v>
      </c>
      <c r="H304" s="22">
        <f t="shared" si="30"/>
        <v>2009</v>
      </c>
      <c r="I304" s="22">
        <f t="shared" si="31"/>
        <v>11</v>
      </c>
      <c r="J304" s="22">
        <f t="shared" si="25"/>
        <v>46</v>
      </c>
      <c r="K304" s="22">
        <v>1</v>
      </c>
      <c r="L304" s="22">
        <f ca="1">SUM(K304:OFFSET(RngToDay,ROWS(Dates),10))</f>
        <v>220</v>
      </c>
      <c r="M304" s="26" t="str">
        <f ca="1">IF(B304="","",SUM(C304:OFFSET(C304,-LeadTime+1,0)))</f>
        <v/>
      </c>
      <c r="N304" s="26" t="e">
        <f t="shared" ca="1" si="26"/>
        <v>#DIV/0!</v>
      </c>
      <c r="O304" s="22">
        <f t="shared" si="32"/>
        <v>304</v>
      </c>
      <c r="P304" s="26">
        <f t="shared" ca="1" si="27"/>
        <v>0</v>
      </c>
      <c r="Q304" s="26">
        <f ca="1">IF(LeadTime=0,P304,IF(AND(SUM(Q303:OFFSET(Q304,-LeadTime,0))=0,P304&gt;0),MAX(P304:OFFSET(P304,-LeadTime+1,0)),0))</f>
        <v>0</v>
      </c>
    </row>
    <row r="305" spans="1:17" x14ac:dyDescent="0.2">
      <c r="A305" s="135">
        <v>40129</v>
      </c>
      <c r="B305" s="26"/>
      <c r="C305" s="26"/>
      <c r="D305" s="26"/>
      <c r="E305" s="26"/>
      <c r="F305" s="26">
        <f t="shared" si="28"/>
        <v>0</v>
      </c>
      <c r="G305" s="22" t="str">
        <f t="shared" ca="1" si="29"/>
        <v>History</v>
      </c>
      <c r="H305" s="22">
        <f t="shared" si="30"/>
        <v>2009</v>
      </c>
      <c r="I305" s="22">
        <f t="shared" si="31"/>
        <v>11</v>
      </c>
      <c r="J305" s="22">
        <f t="shared" si="25"/>
        <v>46</v>
      </c>
      <c r="K305" s="22">
        <v>1</v>
      </c>
      <c r="L305" s="22">
        <f ca="1">SUM(K305:OFFSET(RngToDay,ROWS(Dates),10))</f>
        <v>219</v>
      </c>
      <c r="M305" s="26" t="str">
        <f ca="1">IF(B305="","",SUM(C305:OFFSET(C305,-LeadTime+1,0)))</f>
        <v/>
      </c>
      <c r="N305" s="26" t="e">
        <f t="shared" ca="1" si="26"/>
        <v>#DIV/0!</v>
      </c>
      <c r="O305" s="22">
        <f t="shared" si="32"/>
        <v>305</v>
      </c>
      <c r="P305" s="26">
        <f t="shared" ca="1" si="27"/>
        <v>0</v>
      </c>
      <c r="Q305" s="26">
        <f ca="1">IF(LeadTime=0,P305,IF(AND(SUM(Q304:OFFSET(Q305,-LeadTime,0))=0,P305&gt;0),MAX(P305:OFFSET(P305,-LeadTime+1,0)),0))</f>
        <v>0</v>
      </c>
    </row>
    <row r="306" spans="1:17" x14ac:dyDescent="0.2">
      <c r="A306" s="135">
        <v>40128</v>
      </c>
      <c r="B306" s="26"/>
      <c r="C306" s="26"/>
      <c r="D306" s="26"/>
      <c r="E306" s="26"/>
      <c r="F306" s="26">
        <f t="shared" si="28"/>
        <v>0</v>
      </c>
      <c r="G306" s="22" t="str">
        <f t="shared" ca="1" si="29"/>
        <v>History</v>
      </c>
      <c r="H306" s="22">
        <f t="shared" si="30"/>
        <v>2009</v>
      </c>
      <c r="I306" s="22">
        <f t="shared" si="31"/>
        <v>11</v>
      </c>
      <c r="J306" s="22">
        <f t="shared" si="25"/>
        <v>46</v>
      </c>
      <c r="K306" s="22">
        <v>1</v>
      </c>
      <c r="L306" s="22">
        <f ca="1">SUM(K306:OFFSET(RngToDay,ROWS(Dates),10))</f>
        <v>218</v>
      </c>
      <c r="M306" s="26" t="str">
        <f ca="1">IF(B306="","",SUM(C306:OFFSET(C306,-LeadTime+1,0)))</f>
        <v/>
      </c>
      <c r="N306" s="26" t="e">
        <f t="shared" ca="1" si="26"/>
        <v>#DIV/0!</v>
      </c>
      <c r="O306" s="22">
        <f t="shared" si="32"/>
        <v>306</v>
      </c>
      <c r="P306" s="26">
        <f t="shared" ca="1" si="27"/>
        <v>0</v>
      </c>
      <c r="Q306" s="26">
        <f ca="1">IF(LeadTime=0,P306,IF(AND(SUM(Q305:OFFSET(Q306,-LeadTime,0))=0,P306&gt;0),MAX(P306:OFFSET(P306,-LeadTime+1,0)),0))</f>
        <v>0</v>
      </c>
    </row>
    <row r="307" spans="1:17" x14ac:dyDescent="0.2">
      <c r="A307" s="135">
        <v>40127</v>
      </c>
      <c r="B307" s="26"/>
      <c r="C307" s="26"/>
      <c r="D307" s="26"/>
      <c r="E307" s="26"/>
      <c r="F307" s="26">
        <f t="shared" si="28"/>
        <v>0</v>
      </c>
      <c r="G307" s="22" t="str">
        <f t="shared" ca="1" si="29"/>
        <v>History</v>
      </c>
      <c r="H307" s="22">
        <f t="shared" si="30"/>
        <v>2009</v>
      </c>
      <c r="I307" s="22">
        <f t="shared" si="31"/>
        <v>11</v>
      </c>
      <c r="J307" s="22">
        <f t="shared" si="25"/>
        <v>46</v>
      </c>
      <c r="K307" s="22">
        <v>1</v>
      </c>
      <c r="L307" s="22">
        <f ca="1">SUM(K307:OFFSET(RngToDay,ROWS(Dates),10))</f>
        <v>217</v>
      </c>
      <c r="M307" s="26" t="str">
        <f ca="1">IF(B307="","",SUM(C307:OFFSET(C307,-LeadTime+1,0)))</f>
        <v/>
      </c>
      <c r="N307" s="26" t="e">
        <f t="shared" ca="1" si="26"/>
        <v>#DIV/0!</v>
      </c>
      <c r="O307" s="22">
        <f t="shared" si="32"/>
        <v>307</v>
      </c>
      <c r="P307" s="26">
        <f t="shared" ca="1" si="27"/>
        <v>0</v>
      </c>
      <c r="Q307" s="26">
        <f ca="1">IF(LeadTime=0,P307,IF(AND(SUM(Q306:OFFSET(Q307,-LeadTime,0))=0,P307&gt;0),MAX(P307:OFFSET(P307,-LeadTime+1,0)),0))</f>
        <v>0</v>
      </c>
    </row>
    <row r="308" spans="1:17" x14ac:dyDescent="0.2">
      <c r="A308" s="135">
        <v>40126</v>
      </c>
      <c r="B308" s="26"/>
      <c r="C308" s="26"/>
      <c r="D308" s="26"/>
      <c r="E308" s="26"/>
      <c r="F308" s="26">
        <f t="shared" si="28"/>
        <v>0</v>
      </c>
      <c r="G308" s="22" t="str">
        <f t="shared" ca="1" si="29"/>
        <v>History</v>
      </c>
      <c r="H308" s="22">
        <f t="shared" si="30"/>
        <v>2009</v>
      </c>
      <c r="I308" s="22">
        <f t="shared" si="31"/>
        <v>11</v>
      </c>
      <c r="J308" s="22">
        <f t="shared" si="25"/>
        <v>46</v>
      </c>
      <c r="K308" s="22">
        <v>1</v>
      </c>
      <c r="L308" s="22">
        <f ca="1">SUM(K308:OFFSET(RngToDay,ROWS(Dates),10))</f>
        <v>216</v>
      </c>
      <c r="M308" s="26" t="str">
        <f ca="1">IF(B308="","",SUM(C308:OFFSET(C308,-LeadTime+1,0)))</f>
        <v/>
      </c>
      <c r="N308" s="26" t="e">
        <f t="shared" ca="1" si="26"/>
        <v>#DIV/0!</v>
      </c>
      <c r="O308" s="22">
        <f t="shared" si="32"/>
        <v>308</v>
      </c>
      <c r="P308" s="26">
        <f t="shared" ca="1" si="27"/>
        <v>0</v>
      </c>
      <c r="Q308" s="26">
        <f ca="1">IF(LeadTime=0,P308,IF(AND(SUM(Q307:OFFSET(Q308,-LeadTime,0))=0,P308&gt;0),MAX(P308:OFFSET(P308,-LeadTime+1,0)),0))</f>
        <v>0</v>
      </c>
    </row>
    <row r="309" spans="1:17" x14ac:dyDescent="0.2">
      <c r="A309" s="135">
        <v>40123</v>
      </c>
      <c r="B309" s="26"/>
      <c r="C309" s="26"/>
      <c r="D309" s="26"/>
      <c r="E309" s="26"/>
      <c r="F309" s="26">
        <f t="shared" si="28"/>
        <v>0</v>
      </c>
      <c r="G309" s="22" t="str">
        <f t="shared" ca="1" si="29"/>
        <v>History</v>
      </c>
      <c r="H309" s="22">
        <f t="shared" si="30"/>
        <v>2009</v>
      </c>
      <c r="I309" s="22">
        <f t="shared" si="31"/>
        <v>11</v>
      </c>
      <c r="J309" s="22">
        <f t="shared" si="25"/>
        <v>45</v>
      </c>
      <c r="K309" s="22">
        <v>1</v>
      </c>
      <c r="L309" s="22">
        <f ca="1">SUM(K309:OFFSET(RngToDay,ROWS(Dates),10))</f>
        <v>215</v>
      </c>
      <c r="M309" s="26" t="str">
        <f ca="1">IF(B309="","",SUM(C309:OFFSET(C309,-LeadTime+1,0)))</f>
        <v/>
      </c>
      <c r="N309" s="26" t="e">
        <f t="shared" ca="1" si="26"/>
        <v>#DIV/0!</v>
      </c>
      <c r="O309" s="22">
        <f t="shared" si="32"/>
        <v>309</v>
      </c>
      <c r="P309" s="26">
        <f t="shared" ca="1" si="27"/>
        <v>0</v>
      </c>
      <c r="Q309" s="26">
        <f ca="1">IF(LeadTime=0,P309,IF(AND(SUM(Q308:OFFSET(Q309,-LeadTime,0))=0,P309&gt;0),MAX(P309:OFFSET(P309,-LeadTime+1,0)),0))</f>
        <v>0</v>
      </c>
    </row>
    <row r="310" spans="1:17" x14ac:dyDescent="0.2">
      <c r="A310" s="135">
        <v>40122</v>
      </c>
      <c r="B310" s="26"/>
      <c r="C310" s="26"/>
      <c r="D310" s="26"/>
      <c r="E310" s="26"/>
      <c r="F310" s="26">
        <f t="shared" si="28"/>
        <v>0</v>
      </c>
      <c r="G310" s="22" t="str">
        <f t="shared" ca="1" si="29"/>
        <v>History</v>
      </c>
      <c r="H310" s="22">
        <f t="shared" si="30"/>
        <v>2009</v>
      </c>
      <c r="I310" s="22">
        <f t="shared" si="31"/>
        <v>11</v>
      </c>
      <c r="J310" s="22">
        <f t="shared" si="25"/>
        <v>45</v>
      </c>
      <c r="K310" s="22">
        <v>1</v>
      </c>
      <c r="L310" s="22">
        <f ca="1">SUM(K310:OFFSET(RngToDay,ROWS(Dates),10))</f>
        <v>214</v>
      </c>
      <c r="M310" s="26" t="str">
        <f ca="1">IF(B310="","",SUM(C310:OFFSET(C310,-LeadTime+1,0)))</f>
        <v/>
      </c>
      <c r="N310" s="26" t="e">
        <f t="shared" ca="1" si="26"/>
        <v>#DIV/0!</v>
      </c>
      <c r="O310" s="22">
        <f t="shared" si="32"/>
        <v>310</v>
      </c>
      <c r="P310" s="26">
        <f t="shared" ca="1" si="27"/>
        <v>0</v>
      </c>
      <c r="Q310" s="26">
        <f ca="1">IF(LeadTime=0,P310,IF(AND(SUM(Q309:OFFSET(Q310,-LeadTime,0))=0,P310&gt;0),MAX(P310:OFFSET(P310,-LeadTime+1,0)),0))</f>
        <v>0</v>
      </c>
    </row>
    <row r="311" spans="1:17" x14ac:dyDescent="0.2">
      <c r="A311" s="135">
        <v>40121</v>
      </c>
      <c r="B311" s="26"/>
      <c r="C311" s="26"/>
      <c r="D311" s="26"/>
      <c r="E311" s="26"/>
      <c r="F311" s="26">
        <f t="shared" si="28"/>
        <v>0</v>
      </c>
      <c r="G311" s="22" t="str">
        <f t="shared" ca="1" si="29"/>
        <v>History</v>
      </c>
      <c r="H311" s="22">
        <f t="shared" si="30"/>
        <v>2009</v>
      </c>
      <c r="I311" s="22">
        <f t="shared" si="31"/>
        <v>11</v>
      </c>
      <c r="J311" s="22">
        <f t="shared" si="25"/>
        <v>45</v>
      </c>
      <c r="K311" s="22">
        <v>1</v>
      </c>
      <c r="L311" s="22">
        <f ca="1">SUM(K311:OFFSET(RngToDay,ROWS(Dates),10))</f>
        <v>213</v>
      </c>
      <c r="M311" s="26" t="str">
        <f ca="1">IF(B311="","",SUM(C311:OFFSET(C311,-LeadTime+1,0)))</f>
        <v/>
      </c>
      <c r="N311" s="26" t="e">
        <f t="shared" ca="1" si="26"/>
        <v>#DIV/0!</v>
      </c>
      <c r="O311" s="22">
        <f t="shared" si="32"/>
        <v>311</v>
      </c>
      <c r="P311" s="26">
        <f t="shared" ca="1" si="27"/>
        <v>0</v>
      </c>
      <c r="Q311" s="26">
        <f ca="1">IF(LeadTime=0,P311,IF(AND(SUM(Q310:OFFSET(Q311,-LeadTime,0))=0,P311&gt;0),MAX(P311:OFFSET(P311,-LeadTime+1,0)),0))</f>
        <v>0</v>
      </c>
    </row>
    <row r="312" spans="1:17" x14ac:dyDescent="0.2">
      <c r="A312" s="135">
        <v>40120</v>
      </c>
      <c r="B312" s="26"/>
      <c r="C312" s="26"/>
      <c r="D312" s="26"/>
      <c r="E312" s="26"/>
      <c r="F312" s="26">
        <f t="shared" si="28"/>
        <v>0</v>
      </c>
      <c r="G312" s="22" t="str">
        <f t="shared" ca="1" si="29"/>
        <v>History</v>
      </c>
      <c r="H312" s="22">
        <f t="shared" si="30"/>
        <v>2009</v>
      </c>
      <c r="I312" s="22">
        <f t="shared" si="31"/>
        <v>11</v>
      </c>
      <c r="J312" s="22">
        <f t="shared" ref="J312:J375" si="33">IF(WEEKDAY(DATE(YEAR(A312),1,1),2)&gt;4,WEEKNUM(A312,2)-1,WEEKNUM(A312,2))</f>
        <v>45</v>
      </c>
      <c r="K312" s="22">
        <v>1</v>
      </c>
      <c r="L312" s="22">
        <f ca="1">SUM(K312:OFFSET(RngToDay,ROWS(Dates),10))</f>
        <v>212</v>
      </c>
      <c r="M312" s="26" t="str">
        <f ca="1">IF(B312="","",SUM(C312:OFFSET(C312,-LeadTime+1,0)))</f>
        <v/>
      </c>
      <c r="N312" s="26" t="e">
        <f t="shared" ca="1" si="26"/>
        <v>#DIV/0!</v>
      </c>
      <c r="O312" s="22">
        <f t="shared" si="32"/>
        <v>312</v>
      </c>
      <c r="P312" s="26">
        <f t="shared" ca="1" si="27"/>
        <v>0</v>
      </c>
      <c r="Q312" s="26">
        <f ca="1">IF(LeadTime=0,P312,IF(AND(SUM(Q311:OFFSET(Q312,-LeadTime,0))=0,P312&gt;0),MAX(P312:OFFSET(P312,-LeadTime+1,0)),0))</f>
        <v>0</v>
      </c>
    </row>
    <row r="313" spans="1:17" x14ac:dyDescent="0.2">
      <c r="A313" s="135">
        <v>40119</v>
      </c>
      <c r="B313" s="26"/>
      <c r="C313" s="26"/>
      <c r="D313" s="26"/>
      <c r="E313" s="26"/>
      <c r="F313" s="26">
        <f t="shared" si="28"/>
        <v>0</v>
      </c>
      <c r="G313" s="22" t="str">
        <f t="shared" ca="1" si="29"/>
        <v>History</v>
      </c>
      <c r="H313" s="22">
        <f t="shared" si="30"/>
        <v>2009</v>
      </c>
      <c r="I313" s="22">
        <f t="shared" si="31"/>
        <v>11</v>
      </c>
      <c r="J313" s="22">
        <f t="shared" si="33"/>
        <v>45</v>
      </c>
      <c r="K313" s="22">
        <v>1</v>
      </c>
      <c r="L313" s="22">
        <f ca="1">SUM(K313:OFFSET(RngToDay,ROWS(Dates),10))</f>
        <v>211</v>
      </c>
      <c r="M313" s="26" t="str">
        <f ca="1">IF(B313="","",SUM(C313:OFFSET(C313,-LeadTime+1,0)))</f>
        <v/>
      </c>
      <c r="N313" s="26" t="e">
        <f t="shared" ca="1" si="26"/>
        <v>#DIV/0!</v>
      </c>
      <c r="O313" s="22">
        <f t="shared" si="32"/>
        <v>313</v>
      </c>
      <c r="P313" s="26">
        <f t="shared" ca="1" si="27"/>
        <v>0</v>
      </c>
      <c r="Q313" s="26">
        <f ca="1">IF(LeadTime=0,P313,IF(AND(SUM(Q312:OFFSET(Q313,-LeadTime,0))=0,P313&gt;0),MAX(P313:OFFSET(P313,-LeadTime+1,0)),0))</f>
        <v>0</v>
      </c>
    </row>
    <row r="314" spans="1:17" x14ac:dyDescent="0.2">
      <c r="A314" s="135">
        <v>40116</v>
      </c>
      <c r="B314" s="26"/>
      <c r="C314" s="26"/>
      <c r="D314" s="26"/>
      <c r="E314" s="26"/>
      <c r="F314" s="26">
        <f t="shared" si="28"/>
        <v>0</v>
      </c>
      <c r="G314" s="22" t="str">
        <f t="shared" ca="1" si="29"/>
        <v>History</v>
      </c>
      <c r="H314" s="22">
        <f t="shared" si="30"/>
        <v>2009</v>
      </c>
      <c r="I314" s="22">
        <f t="shared" si="31"/>
        <v>10</v>
      </c>
      <c r="J314" s="22">
        <f t="shared" si="33"/>
        <v>44</v>
      </c>
      <c r="K314" s="22">
        <v>1</v>
      </c>
      <c r="L314" s="22">
        <f ca="1">SUM(K314:OFFSET(RngToDay,ROWS(Dates),10))</f>
        <v>210</v>
      </c>
      <c r="M314" s="26" t="str">
        <f ca="1">IF(B314="","",SUM(C314:OFFSET(C314,-LeadTime+1,0)))</f>
        <v/>
      </c>
      <c r="N314" s="26" t="e">
        <f t="shared" ref="N314:N377" ca="1" si="34">Saf_Stock</f>
        <v>#DIV/0!</v>
      </c>
      <c r="O314" s="22">
        <f t="shared" si="32"/>
        <v>314</v>
      </c>
      <c r="P314" s="26">
        <f t="shared" ca="1" si="27"/>
        <v>0</v>
      </c>
      <c r="Q314" s="26">
        <f ca="1">IF(LeadTime=0,P314,IF(AND(SUM(Q313:OFFSET(Q314,-LeadTime,0))=0,P314&gt;0),MAX(P314:OFFSET(P314,-LeadTime+1,0)),0))</f>
        <v>0</v>
      </c>
    </row>
    <row r="315" spans="1:17" x14ac:dyDescent="0.2">
      <c r="A315" s="135">
        <v>40115</v>
      </c>
      <c r="B315" s="26"/>
      <c r="C315" s="26"/>
      <c r="D315" s="26"/>
      <c r="E315" s="26"/>
      <c r="F315" s="26">
        <f t="shared" si="28"/>
        <v>0</v>
      </c>
      <c r="G315" s="22" t="str">
        <f t="shared" ca="1" si="29"/>
        <v>History</v>
      </c>
      <c r="H315" s="22">
        <f t="shared" si="30"/>
        <v>2009</v>
      </c>
      <c r="I315" s="22">
        <f t="shared" si="31"/>
        <v>10</v>
      </c>
      <c r="J315" s="22">
        <f t="shared" si="33"/>
        <v>44</v>
      </c>
      <c r="K315" s="22">
        <v>1</v>
      </c>
      <c r="L315" s="22">
        <f ca="1">SUM(K315:OFFSET(RngToDay,ROWS(Dates),10))</f>
        <v>209</v>
      </c>
      <c r="M315" s="26" t="str">
        <f ca="1">IF(B315="","",SUM(C315:OFFSET(C315,-LeadTime+1,0)))</f>
        <v/>
      </c>
      <c r="N315" s="26" t="e">
        <f t="shared" ca="1" si="34"/>
        <v>#DIV/0!</v>
      </c>
      <c r="O315" s="22">
        <f t="shared" si="32"/>
        <v>315</v>
      </c>
      <c r="P315" s="26">
        <f t="shared" ref="P315:P378" ca="1" si="35">IF(M315="",0,IF(M315&gt;N315,M315-N315,0))</f>
        <v>0</v>
      </c>
      <c r="Q315" s="26">
        <f ca="1">IF(LeadTime=0,P315,IF(AND(SUM(Q314:OFFSET(Q315,-LeadTime,0))=0,P315&gt;0),MAX(P315:OFFSET(P315,-LeadTime+1,0)),0))</f>
        <v>0</v>
      </c>
    </row>
    <row r="316" spans="1:17" x14ac:dyDescent="0.2">
      <c r="A316" s="135">
        <v>40114</v>
      </c>
      <c r="B316" s="26"/>
      <c r="C316" s="26"/>
      <c r="D316" s="26"/>
      <c r="E316" s="26"/>
      <c r="F316" s="26">
        <f t="shared" ref="F316:F379" si="36">F315</f>
        <v>0</v>
      </c>
      <c r="G316" s="22" t="str">
        <f t="shared" ca="1" si="29"/>
        <v>History</v>
      </c>
      <c r="H316" s="22">
        <f t="shared" si="30"/>
        <v>2009</v>
      </c>
      <c r="I316" s="22">
        <f t="shared" si="31"/>
        <v>10</v>
      </c>
      <c r="J316" s="22">
        <f t="shared" si="33"/>
        <v>44</v>
      </c>
      <c r="K316" s="22">
        <v>1</v>
      </c>
      <c r="L316" s="22">
        <f ca="1">SUM(K316:OFFSET(RngToDay,ROWS(Dates),10))</f>
        <v>208</v>
      </c>
      <c r="M316" s="26" t="str">
        <f ca="1">IF(B316="","",SUM(C316:OFFSET(C316,-LeadTime+1,0)))</f>
        <v/>
      </c>
      <c r="N316" s="26" t="e">
        <f t="shared" ca="1" si="34"/>
        <v>#DIV/0!</v>
      </c>
      <c r="O316" s="22">
        <f t="shared" si="32"/>
        <v>316</v>
      </c>
      <c r="P316" s="26">
        <f t="shared" ca="1" si="35"/>
        <v>0</v>
      </c>
      <c r="Q316" s="26">
        <f ca="1">IF(LeadTime=0,P316,IF(AND(SUM(Q315:OFFSET(Q316,-LeadTime,0))=0,P316&gt;0),MAX(P316:OFFSET(P316,-LeadTime+1,0)),0))</f>
        <v>0</v>
      </c>
    </row>
    <row r="317" spans="1:17" x14ac:dyDescent="0.2">
      <c r="A317" s="135">
        <v>40113</v>
      </c>
      <c r="B317" s="26"/>
      <c r="C317" s="26"/>
      <c r="D317" s="26"/>
      <c r="E317" s="26"/>
      <c r="F317" s="26">
        <f t="shared" si="36"/>
        <v>0</v>
      </c>
      <c r="G317" s="22" t="str">
        <f t="shared" ca="1" si="29"/>
        <v>History</v>
      </c>
      <c r="H317" s="22">
        <f t="shared" si="30"/>
        <v>2009</v>
      </c>
      <c r="I317" s="22">
        <f t="shared" si="31"/>
        <v>10</v>
      </c>
      <c r="J317" s="22">
        <f t="shared" si="33"/>
        <v>44</v>
      </c>
      <c r="K317" s="22">
        <v>1</v>
      </c>
      <c r="L317" s="22">
        <f ca="1">SUM(K317:OFFSET(RngToDay,ROWS(Dates),10))</f>
        <v>207</v>
      </c>
      <c r="M317" s="26" t="str">
        <f ca="1">IF(B317="","",SUM(C317:OFFSET(C317,-LeadTime+1,0)))</f>
        <v/>
      </c>
      <c r="N317" s="26" t="e">
        <f t="shared" ca="1" si="34"/>
        <v>#DIV/0!</v>
      </c>
      <c r="O317" s="22">
        <f t="shared" si="32"/>
        <v>317</v>
      </c>
      <c r="P317" s="26">
        <f t="shared" ca="1" si="35"/>
        <v>0</v>
      </c>
      <c r="Q317" s="26">
        <f ca="1">IF(LeadTime=0,P317,IF(AND(SUM(Q316:OFFSET(Q317,-LeadTime,0))=0,P317&gt;0),MAX(P317:OFFSET(P317,-LeadTime+1,0)),0))</f>
        <v>0</v>
      </c>
    </row>
    <row r="318" spans="1:17" x14ac:dyDescent="0.2">
      <c r="A318" s="135">
        <v>40112</v>
      </c>
      <c r="B318" s="26"/>
      <c r="C318" s="26"/>
      <c r="D318" s="26"/>
      <c r="E318" s="26"/>
      <c r="F318" s="26">
        <f t="shared" si="36"/>
        <v>0</v>
      </c>
      <c r="G318" s="22" t="str">
        <f t="shared" ca="1" si="29"/>
        <v>History</v>
      </c>
      <c r="H318" s="22">
        <f t="shared" si="30"/>
        <v>2009</v>
      </c>
      <c r="I318" s="22">
        <f t="shared" si="31"/>
        <v>10</v>
      </c>
      <c r="J318" s="22">
        <f t="shared" si="33"/>
        <v>44</v>
      </c>
      <c r="K318" s="22">
        <v>1</v>
      </c>
      <c r="L318" s="22">
        <f ca="1">SUM(K318:OFFSET(RngToDay,ROWS(Dates),10))</f>
        <v>206</v>
      </c>
      <c r="M318" s="26" t="str">
        <f ca="1">IF(B318="","",SUM(C318:OFFSET(C318,-LeadTime+1,0)))</f>
        <v/>
      </c>
      <c r="N318" s="26" t="e">
        <f t="shared" ca="1" si="34"/>
        <v>#DIV/0!</v>
      </c>
      <c r="O318" s="22">
        <f t="shared" si="32"/>
        <v>318</v>
      </c>
      <c r="P318" s="26">
        <f t="shared" ca="1" si="35"/>
        <v>0</v>
      </c>
      <c r="Q318" s="26">
        <f ca="1">IF(LeadTime=0,P318,IF(AND(SUM(Q317:OFFSET(Q318,-LeadTime,0))=0,P318&gt;0),MAX(P318:OFFSET(P318,-LeadTime+1,0)),0))</f>
        <v>0</v>
      </c>
    </row>
    <row r="319" spans="1:17" x14ac:dyDescent="0.2">
      <c r="A319" s="135">
        <v>40109</v>
      </c>
      <c r="B319" s="26"/>
      <c r="C319" s="26"/>
      <c r="D319" s="26"/>
      <c r="E319" s="26"/>
      <c r="F319" s="26">
        <f t="shared" si="36"/>
        <v>0</v>
      </c>
      <c r="G319" s="22" t="str">
        <f t="shared" ca="1" si="29"/>
        <v>History</v>
      </c>
      <c r="H319" s="22">
        <f t="shared" si="30"/>
        <v>2009</v>
      </c>
      <c r="I319" s="22">
        <f t="shared" si="31"/>
        <v>10</v>
      </c>
      <c r="J319" s="22">
        <f t="shared" si="33"/>
        <v>43</v>
      </c>
      <c r="K319" s="22">
        <v>1</v>
      </c>
      <c r="L319" s="22">
        <f ca="1">SUM(K319:OFFSET(RngToDay,ROWS(Dates),10))</f>
        <v>205</v>
      </c>
      <c r="M319" s="26" t="str">
        <f ca="1">IF(B319="","",SUM(C319:OFFSET(C319,-LeadTime+1,0)))</f>
        <v/>
      </c>
      <c r="N319" s="26" t="e">
        <f t="shared" ca="1" si="34"/>
        <v>#DIV/0!</v>
      </c>
      <c r="O319" s="22">
        <f t="shared" si="32"/>
        <v>319</v>
      </c>
      <c r="P319" s="26">
        <f t="shared" ca="1" si="35"/>
        <v>0</v>
      </c>
      <c r="Q319" s="26">
        <f ca="1">IF(LeadTime=0,P319,IF(AND(SUM(Q318:OFFSET(Q319,-LeadTime,0))=0,P319&gt;0),MAX(P319:OFFSET(P319,-LeadTime+1,0)),0))</f>
        <v>0</v>
      </c>
    </row>
    <row r="320" spans="1:17" x14ac:dyDescent="0.2">
      <c r="A320" s="135">
        <v>40108</v>
      </c>
      <c r="B320" s="26"/>
      <c r="C320" s="26"/>
      <c r="D320" s="26"/>
      <c r="E320" s="26"/>
      <c r="F320" s="26">
        <f t="shared" si="36"/>
        <v>0</v>
      </c>
      <c r="G320" s="22" t="str">
        <f t="shared" ca="1" si="29"/>
        <v>History</v>
      </c>
      <c r="H320" s="22">
        <f t="shared" si="30"/>
        <v>2009</v>
      </c>
      <c r="I320" s="22">
        <f t="shared" si="31"/>
        <v>10</v>
      </c>
      <c r="J320" s="22">
        <f t="shared" si="33"/>
        <v>43</v>
      </c>
      <c r="K320" s="22">
        <v>1</v>
      </c>
      <c r="L320" s="22">
        <f ca="1">SUM(K320:OFFSET(RngToDay,ROWS(Dates),10))</f>
        <v>204</v>
      </c>
      <c r="M320" s="26" t="str">
        <f ca="1">IF(B320="","",SUM(C320:OFFSET(C320,-LeadTime+1,0)))</f>
        <v/>
      </c>
      <c r="N320" s="26" t="e">
        <f t="shared" ca="1" si="34"/>
        <v>#DIV/0!</v>
      </c>
      <c r="O320" s="22">
        <f t="shared" si="32"/>
        <v>320</v>
      </c>
      <c r="P320" s="26">
        <f t="shared" ca="1" si="35"/>
        <v>0</v>
      </c>
      <c r="Q320" s="26">
        <f ca="1">IF(LeadTime=0,P320,IF(AND(SUM(Q319:OFFSET(Q320,-LeadTime,0))=0,P320&gt;0),MAX(P320:OFFSET(P320,-LeadTime+1,0)),0))</f>
        <v>0</v>
      </c>
    </row>
    <row r="321" spans="1:17" x14ac:dyDescent="0.2">
      <c r="A321" s="135">
        <v>40107</v>
      </c>
      <c r="B321" s="26"/>
      <c r="C321" s="26"/>
      <c r="D321" s="26"/>
      <c r="E321" s="26"/>
      <c r="F321" s="26">
        <f t="shared" si="36"/>
        <v>0</v>
      </c>
      <c r="G321" s="22" t="str">
        <f t="shared" ca="1" si="29"/>
        <v>History</v>
      </c>
      <c r="H321" s="22">
        <f t="shared" si="30"/>
        <v>2009</v>
      </c>
      <c r="I321" s="22">
        <f t="shared" si="31"/>
        <v>10</v>
      </c>
      <c r="J321" s="22">
        <f t="shared" si="33"/>
        <v>43</v>
      </c>
      <c r="K321" s="22">
        <v>1</v>
      </c>
      <c r="L321" s="22">
        <f ca="1">SUM(K321:OFFSET(RngToDay,ROWS(Dates),10))</f>
        <v>203</v>
      </c>
      <c r="M321" s="26" t="str">
        <f ca="1">IF(B321="","",SUM(C321:OFFSET(C321,-LeadTime+1,0)))</f>
        <v/>
      </c>
      <c r="N321" s="26" t="e">
        <f t="shared" ca="1" si="34"/>
        <v>#DIV/0!</v>
      </c>
      <c r="O321" s="22">
        <f t="shared" si="32"/>
        <v>321</v>
      </c>
      <c r="P321" s="26">
        <f t="shared" ca="1" si="35"/>
        <v>0</v>
      </c>
      <c r="Q321" s="26">
        <f ca="1">IF(LeadTime=0,P321,IF(AND(SUM(Q320:OFFSET(Q321,-LeadTime,0))=0,P321&gt;0),MAX(P321:OFFSET(P321,-LeadTime+1,0)),0))</f>
        <v>0</v>
      </c>
    </row>
    <row r="322" spans="1:17" x14ac:dyDescent="0.2">
      <c r="A322" s="135">
        <v>40106</v>
      </c>
      <c r="B322" s="26"/>
      <c r="C322" s="26"/>
      <c r="D322" s="26"/>
      <c r="E322" s="26"/>
      <c r="F322" s="26">
        <f t="shared" si="36"/>
        <v>0</v>
      </c>
      <c r="G322" s="22" t="str">
        <f t="shared" ca="1" si="29"/>
        <v>History</v>
      </c>
      <c r="H322" s="22">
        <f t="shared" si="30"/>
        <v>2009</v>
      </c>
      <c r="I322" s="22">
        <f t="shared" si="31"/>
        <v>10</v>
      </c>
      <c r="J322" s="22">
        <f t="shared" si="33"/>
        <v>43</v>
      </c>
      <c r="K322" s="22">
        <v>1</v>
      </c>
      <c r="L322" s="22">
        <f ca="1">SUM(K322:OFFSET(RngToDay,ROWS(Dates),10))</f>
        <v>202</v>
      </c>
      <c r="M322" s="26" t="str">
        <f ca="1">IF(B322="","",SUM(C322:OFFSET(C322,-LeadTime+1,0)))</f>
        <v/>
      </c>
      <c r="N322" s="26" t="e">
        <f t="shared" ca="1" si="34"/>
        <v>#DIV/0!</v>
      </c>
      <c r="O322" s="22">
        <f t="shared" si="32"/>
        <v>322</v>
      </c>
      <c r="P322" s="26">
        <f t="shared" ca="1" si="35"/>
        <v>0</v>
      </c>
      <c r="Q322" s="26">
        <f ca="1">IF(LeadTime=0,P322,IF(AND(SUM(Q321:OFFSET(Q322,-LeadTime,0))=0,P322&gt;0),MAX(P322:OFFSET(P322,-LeadTime+1,0)),0))</f>
        <v>0</v>
      </c>
    </row>
    <row r="323" spans="1:17" x14ac:dyDescent="0.2">
      <c r="A323" s="135">
        <v>40105</v>
      </c>
      <c r="B323" s="26"/>
      <c r="C323" s="26"/>
      <c r="D323" s="26"/>
      <c r="E323" s="26"/>
      <c r="F323" s="26">
        <f t="shared" si="36"/>
        <v>0</v>
      </c>
      <c r="G323" s="22" t="str">
        <f t="shared" ref="G323:G386" ca="1" si="37">IF(A323&gt;TODAY(),"Requirements","History")</f>
        <v>History</v>
      </c>
      <c r="H323" s="22">
        <f t="shared" ref="H323:H386" si="38">YEAR(A323)</f>
        <v>2009</v>
      </c>
      <c r="I323" s="22">
        <f t="shared" ref="I323:I386" si="39">MONTH(A323)</f>
        <v>10</v>
      </c>
      <c r="J323" s="22">
        <f t="shared" si="33"/>
        <v>43</v>
      </c>
      <c r="K323" s="22">
        <v>1</v>
      </c>
      <c r="L323" s="22">
        <f ca="1">SUM(K323:OFFSET(RngToDay,ROWS(Dates),10))</f>
        <v>201</v>
      </c>
      <c r="M323" s="26" t="str">
        <f ca="1">IF(B323="","",SUM(C323:OFFSET(C323,-LeadTime+1,0)))</f>
        <v/>
      </c>
      <c r="N323" s="26" t="e">
        <f t="shared" ca="1" si="34"/>
        <v>#DIV/0!</v>
      </c>
      <c r="O323" s="22">
        <f t="shared" si="32"/>
        <v>323</v>
      </c>
      <c r="P323" s="26">
        <f t="shared" ca="1" si="35"/>
        <v>0</v>
      </c>
      <c r="Q323" s="26">
        <f ca="1">IF(LeadTime=0,P323,IF(AND(SUM(Q322:OFFSET(Q323,-LeadTime,0))=0,P323&gt;0),MAX(P323:OFFSET(P323,-LeadTime+1,0)),0))</f>
        <v>0</v>
      </c>
    </row>
    <row r="324" spans="1:17" x14ac:dyDescent="0.2">
      <c r="A324" s="135">
        <v>40102</v>
      </c>
      <c r="B324" s="26"/>
      <c r="C324" s="26"/>
      <c r="D324" s="26"/>
      <c r="E324" s="26"/>
      <c r="F324" s="26">
        <f t="shared" si="36"/>
        <v>0</v>
      </c>
      <c r="G324" s="22" t="str">
        <f t="shared" ca="1" si="37"/>
        <v>History</v>
      </c>
      <c r="H324" s="22">
        <f t="shared" si="38"/>
        <v>2009</v>
      </c>
      <c r="I324" s="22">
        <f t="shared" si="39"/>
        <v>10</v>
      </c>
      <c r="J324" s="22">
        <f t="shared" si="33"/>
        <v>42</v>
      </c>
      <c r="K324" s="22">
        <v>1</v>
      </c>
      <c r="L324" s="22">
        <f ca="1">SUM(K324:OFFSET(RngToDay,ROWS(Dates),10))</f>
        <v>200</v>
      </c>
      <c r="M324" s="26" t="str">
        <f ca="1">IF(B324="","",SUM(C324:OFFSET(C324,-LeadTime+1,0)))</f>
        <v/>
      </c>
      <c r="N324" s="26" t="e">
        <f t="shared" ca="1" si="34"/>
        <v>#DIV/0!</v>
      </c>
      <c r="O324" s="22">
        <f t="shared" ref="O324:O387" si="40">O323+1</f>
        <v>324</v>
      </c>
      <c r="P324" s="26">
        <f t="shared" ca="1" si="35"/>
        <v>0</v>
      </c>
      <c r="Q324" s="26">
        <f ca="1">IF(LeadTime=0,P324,IF(AND(SUM(Q323:OFFSET(Q324,-LeadTime,0))=0,P324&gt;0),MAX(P324:OFFSET(P324,-LeadTime+1,0)),0))</f>
        <v>0</v>
      </c>
    </row>
    <row r="325" spans="1:17" x14ac:dyDescent="0.2">
      <c r="A325" s="135">
        <v>40101</v>
      </c>
      <c r="B325" s="26"/>
      <c r="C325" s="26"/>
      <c r="D325" s="26"/>
      <c r="E325" s="26"/>
      <c r="F325" s="26">
        <f t="shared" si="36"/>
        <v>0</v>
      </c>
      <c r="G325" s="22" t="str">
        <f t="shared" ca="1" si="37"/>
        <v>History</v>
      </c>
      <c r="H325" s="22">
        <f t="shared" si="38"/>
        <v>2009</v>
      </c>
      <c r="I325" s="22">
        <f t="shared" si="39"/>
        <v>10</v>
      </c>
      <c r="J325" s="22">
        <f t="shared" si="33"/>
        <v>42</v>
      </c>
      <c r="K325" s="22">
        <v>1</v>
      </c>
      <c r="L325" s="22">
        <f ca="1">SUM(K325:OFFSET(RngToDay,ROWS(Dates),10))</f>
        <v>199</v>
      </c>
      <c r="M325" s="26" t="str">
        <f ca="1">IF(B325="","",SUM(C325:OFFSET(C325,-LeadTime+1,0)))</f>
        <v/>
      </c>
      <c r="N325" s="26" t="e">
        <f t="shared" ca="1" si="34"/>
        <v>#DIV/0!</v>
      </c>
      <c r="O325" s="22">
        <f t="shared" si="40"/>
        <v>325</v>
      </c>
      <c r="P325" s="26">
        <f t="shared" ca="1" si="35"/>
        <v>0</v>
      </c>
      <c r="Q325" s="26">
        <f ca="1">IF(LeadTime=0,P325,IF(AND(SUM(Q324:OFFSET(Q325,-LeadTime,0))=0,P325&gt;0),MAX(P325:OFFSET(P325,-LeadTime+1,0)),0))</f>
        <v>0</v>
      </c>
    </row>
    <row r="326" spans="1:17" x14ac:dyDescent="0.2">
      <c r="A326" s="135">
        <v>40100</v>
      </c>
      <c r="B326" s="26"/>
      <c r="C326" s="26"/>
      <c r="D326" s="26"/>
      <c r="E326" s="26"/>
      <c r="F326" s="26">
        <f t="shared" si="36"/>
        <v>0</v>
      </c>
      <c r="G326" s="22" t="str">
        <f t="shared" ca="1" si="37"/>
        <v>History</v>
      </c>
      <c r="H326" s="22">
        <f t="shared" si="38"/>
        <v>2009</v>
      </c>
      <c r="I326" s="22">
        <f t="shared" si="39"/>
        <v>10</v>
      </c>
      <c r="J326" s="22">
        <f t="shared" si="33"/>
        <v>42</v>
      </c>
      <c r="K326" s="22">
        <v>1</v>
      </c>
      <c r="L326" s="22">
        <f ca="1">SUM(K326:OFFSET(RngToDay,ROWS(Dates),10))</f>
        <v>198</v>
      </c>
      <c r="M326" s="26" t="str">
        <f ca="1">IF(B326="","",SUM(C326:OFFSET(C326,-LeadTime+1,0)))</f>
        <v/>
      </c>
      <c r="N326" s="26" t="e">
        <f t="shared" ca="1" si="34"/>
        <v>#DIV/0!</v>
      </c>
      <c r="O326" s="22">
        <f t="shared" si="40"/>
        <v>326</v>
      </c>
      <c r="P326" s="26">
        <f t="shared" ca="1" si="35"/>
        <v>0</v>
      </c>
      <c r="Q326" s="26">
        <f ca="1">IF(LeadTime=0,P326,IF(AND(SUM(Q325:OFFSET(Q326,-LeadTime,0))=0,P326&gt;0),MAX(P326:OFFSET(P326,-LeadTime+1,0)),0))</f>
        <v>0</v>
      </c>
    </row>
    <row r="327" spans="1:17" x14ac:dyDescent="0.2">
      <c r="A327" s="135">
        <v>40099</v>
      </c>
      <c r="B327" s="26"/>
      <c r="C327" s="26"/>
      <c r="D327" s="26"/>
      <c r="E327" s="26"/>
      <c r="F327" s="26">
        <f t="shared" si="36"/>
        <v>0</v>
      </c>
      <c r="G327" s="22" t="str">
        <f t="shared" ca="1" si="37"/>
        <v>History</v>
      </c>
      <c r="H327" s="22">
        <f t="shared" si="38"/>
        <v>2009</v>
      </c>
      <c r="I327" s="22">
        <f t="shared" si="39"/>
        <v>10</v>
      </c>
      <c r="J327" s="22">
        <f t="shared" si="33"/>
        <v>42</v>
      </c>
      <c r="K327" s="22">
        <v>1</v>
      </c>
      <c r="L327" s="22">
        <f ca="1">SUM(K327:OFFSET(RngToDay,ROWS(Dates),10))</f>
        <v>197</v>
      </c>
      <c r="M327" s="26" t="str">
        <f ca="1">IF(B327="","",SUM(C327:OFFSET(C327,-LeadTime+1,0)))</f>
        <v/>
      </c>
      <c r="N327" s="26" t="e">
        <f t="shared" ca="1" si="34"/>
        <v>#DIV/0!</v>
      </c>
      <c r="O327" s="22">
        <f t="shared" si="40"/>
        <v>327</v>
      </c>
      <c r="P327" s="26">
        <f t="shared" ca="1" si="35"/>
        <v>0</v>
      </c>
      <c r="Q327" s="26">
        <f ca="1">IF(LeadTime=0,P327,IF(AND(SUM(Q326:OFFSET(Q327,-LeadTime,0))=0,P327&gt;0),MAX(P327:OFFSET(P327,-LeadTime+1,0)),0))</f>
        <v>0</v>
      </c>
    </row>
    <row r="328" spans="1:17" x14ac:dyDescent="0.2">
      <c r="A328" s="135">
        <v>40098</v>
      </c>
      <c r="B328" s="26"/>
      <c r="C328" s="26"/>
      <c r="D328" s="26"/>
      <c r="E328" s="26"/>
      <c r="F328" s="26">
        <f t="shared" si="36"/>
        <v>0</v>
      </c>
      <c r="G328" s="22" t="str">
        <f t="shared" ca="1" si="37"/>
        <v>History</v>
      </c>
      <c r="H328" s="22">
        <f t="shared" si="38"/>
        <v>2009</v>
      </c>
      <c r="I328" s="22">
        <f t="shared" si="39"/>
        <v>10</v>
      </c>
      <c r="J328" s="22">
        <f t="shared" si="33"/>
        <v>42</v>
      </c>
      <c r="K328" s="22">
        <v>1</v>
      </c>
      <c r="L328" s="22">
        <f ca="1">SUM(K328:OFFSET(RngToDay,ROWS(Dates),10))</f>
        <v>196</v>
      </c>
      <c r="M328" s="26" t="str">
        <f ca="1">IF(B328="","",SUM(C328:OFFSET(C328,-LeadTime+1,0)))</f>
        <v/>
      </c>
      <c r="N328" s="26" t="e">
        <f t="shared" ca="1" si="34"/>
        <v>#DIV/0!</v>
      </c>
      <c r="O328" s="22">
        <f t="shared" si="40"/>
        <v>328</v>
      </c>
      <c r="P328" s="26">
        <f t="shared" ca="1" si="35"/>
        <v>0</v>
      </c>
      <c r="Q328" s="26">
        <f ca="1">IF(LeadTime=0,P328,IF(AND(SUM(Q327:OFFSET(Q328,-LeadTime,0))=0,P328&gt;0),MAX(P328:OFFSET(P328,-LeadTime+1,0)),0))</f>
        <v>0</v>
      </c>
    </row>
    <row r="329" spans="1:17" x14ac:dyDescent="0.2">
      <c r="A329" s="135">
        <v>40095</v>
      </c>
      <c r="B329" s="26"/>
      <c r="C329" s="26"/>
      <c r="D329" s="26"/>
      <c r="E329" s="26"/>
      <c r="F329" s="26">
        <f t="shared" si="36"/>
        <v>0</v>
      </c>
      <c r="G329" s="22" t="str">
        <f t="shared" ca="1" si="37"/>
        <v>History</v>
      </c>
      <c r="H329" s="22">
        <f t="shared" si="38"/>
        <v>2009</v>
      </c>
      <c r="I329" s="22">
        <f t="shared" si="39"/>
        <v>10</v>
      </c>
      <c r="J329" s="22">
        <f t="shared" si="33"/>
        <v>41</v>
      </c>
      <c r="K329" s="22">
        <v>1</v>
      </c>
      <c r="L329" s="22">
        <f ca="1">SUM(K329:OFFSET(RngToDay,ROWS(Dates),10))</f>
        <v>195</v>
      </c>
      <c r="M329" s="26" t="str">
        <f ca="1">IF(B329="","",SUM(C329:OFFSET(C329,-LeadTime+1,0)))</f>
        <v/>
      </c>
      <c r="N329" s="26" t="e">
        <f t="shared" ca="1" si="34"/>
        <v>#DIV/0!</v>
      </c>
      <c r="O329" s="22">
        <f t="shared" si="40"/>
        <v>329</v>
      </c>
      <c r="P329" s="26">
        <f t="shared" ca="1" si="35"/>
        <v>0</v>
      </c>
      <c r="Q329" s="26">
        <f ca="1">IF(LeadTime=0,P329,IF(AND(SUM(Q328:OFFSET(Q329,-LeadTime,0))=0,P329&gt;0),MAX(P329:OFFSET(P329,-LeadTime+1,0)),0))</f>
        <v>0</v>
      </c>
    </row>
    <row r="330" spans="1:17" x14ac:dyDescent="0.2">
      <c r="A330" s="135">
        <v>40094</v>
      </c>
      <c r="B330" s="26"/>
      <c r="C330" s="26"/>
      <c r="D330" s="26"/>
      <c r="E330" s="26"/>
      <c r="F330" s="26">
        <f t="shared" si="36"/>
        <v>0</v>
      </c>
      <c r="G330" s="22" t="str">
        <f t="shared" ca="1" si="37"/>
        <v>History</v>
      </c>
      <c r="H330" s="22">
        <f t="shared" si="38"/>
        <v>2009</v>
      </c>
      <c r="I330" s="22">
        <f t="shared" si="39"/>
        <v>10</v>
      </c>
      <c r="J330" s="22">
        <f t="shared" si="33"/>
        <v>41</v>
      </c>
      <c r="K330" s="22">
        <v>1</v>
      </c>
      <c r="L330" s="22">
        <f ca="1">SUM(K330:OFFSET(RngToDay,ROWS(Dates),10))</f>
        <v>194</v>
      </c>
      <c r="M330" s="26" t="str">
        <f ca="1">IF(B330="","",SUM(C330:OFFSET(C330,-LeadTime+1,0)))</f>
        <v/>
      </c>
      <c r="N330" s="26" t="e">
        <f t="shared" ca="1" si="34"/>
        <v>#DIV/0!</v>
      </c>
      <c r="O330" s="22">
        <f t="shared" si="40"/>
        <v>330</v>
      </c>
      <c r="P330" s="26">
        <f t="shared" ca="1" si="35"/>
        <v>0</v>
      </c>
      <c r="Q330" s="26">
        <f ca="1">IF(LeadTime=0,P330,IF(AND(SUM(Q329:OFFSET(Q330,-LeadTime,0))=0,P330&gt;0),MAX(P330:OFFSET(P330,-LeadTime+1,0)),0))</f>
        <v>0</v>
      </c>
    </row>
    <row r="331" spans="1:17" x14ac:dyDescent="0.2">
      <c r="A331" s="135">
        <v>40093</v>
      </c>
      <c r="B331" s="26"/>
      <c r="C331" s="26"/>
      <c r="D331" s="26"/>
      <c r="E331" s="26"/>
      <c r="F331" s="26">
        <f t="shared" si="36"/>
        <v>0</v>
      </c>
      <c r="G331" s="22" t="str">
        <f t="shared" ca="1" si="37"/>
        <v>History</v>
      </c>
      <c r="H331" s="22">
        <f t="shared" si="38"/>
        <v>2009</v>
      </c>
      <c r="I331" s="22">
        <f t="shared" si="39"/>
        <v>10</v>
      </c>
      <c r="J331" s="22">
        <f t="shared" si="33"/>
        <v>41</v>
      </c>
      <c r="K331" s="22">
        <v>1</v>
      </c>
      <c r="L331" s="22">
        <f ca="1">SUM(K331:OFFSET(RngToDay,ROWS(Dates),10))</f>
        <v>193</v>
      </c>
      <c r="M331" s="26" t="str">
        <f ca="1">IF(B331="","",SUM(C331:OFFSET(C331,-LeadTime+1,0)))</f>
        <v/>
      </c>
      <c r="N331" s="26" t="e">
        <f t="shared" ca="1" si="34"/>
        <v>#DIV/0!</v>
      </c>
      <c r="O331" s="22">
        <f t="shared" si="40"/>
        <v>331</v>
      </c>
      <c r="P331" s="26">
        <f t="shared" ca="1" si="35"/>
        <v>0</v>
      </c>
      <c r="Q331" s="26">
        <f ca="1">IF(LeadTime=0,P331,IF(AND(SUM(Q330:OFFSET(Q331,-LeadTime,0))=0,P331&gt;0),MAX(P331:OFFSET(P331,-LeadTime+1,0)),0))</f>
        <v>0</v>
      </c>
    </row>
    <row r="332" spans="1:17" x14ac:dyDescent="0.2">
      <c r="A332" s="135">
        <v>40092</v>
      </c>
      <c r="B332" s="26"/>
      <c r="C332" s="26"/>
      <c r="D332" s="26"/>
      <c r="E332" s="26"/>
      <c r="F332" s="26">
        <f t="shared" si="36"/>
        <v>0</v>
      </c>
      <c r="G332" s="22" t="str">
        <f t="shared" ca="1" si="37"/>
        <v>History</v>
      </c>
      <c r="H332" s="22">
        <f t="shared" si="38"/>
        <v>2009</v>
      </c>
      <c r="I332" s="22">
        <f t="shared" si="39"/>
        <v>10</v>
      </c>
      <c r="J332" s="22">
        <f t="shared" si="33"/>
        <v>41</v>
      </c>
      <c r="K332" s="22">
        <v>1</v>
      </c>
      <c r="L332" s="22">
        <f ca="1">SUM(K332:OFFSET(RngToDay,ROWS(Dates),10))</f>
        <v>192</v>
      </c>
      <c r="M332" s="26" t="str">
        <f ca="1">IF(B332="","",SUM(C332:OFFSET(C332,-LeadTime+1,0)))</f>
        <v/>
      </c>
      <c r="N332" s="26" t="e">
        <f t="shared" ca="1" si="34"/>
        <v>#DIV/0!</v>
      </c>
      <c r="O332" s="22">
        <f t="shared" si="40"/>
        <v>332</v>
      </c>
      <c r="P332" s="26">
        <f t="shared" ca="1" si="35"/>
        <v>0</v>
      </c>
      <c r="Q332" s="26">
        <f ca="1">IF(LeadTime=0,P332,IF(AND(SUM(Q331:OFFSET(Q332,-LeadTime,0))=0,P332&gt;0),MAX(P332:OFFSET(P332,-LeadTime+1,0)),0))</f>
        <v>0</v>
      </c>
    </row>
    <row r="333" spans="1:17" x14ac:dyDescent="0.2">
      <c r="A333" s="135">
        <v>40091</v>
      </c>
      <c r="B333" s="26"/>
      <c r="C333" s="26"/>
      <c r="D333" s="26"/>
      <c r="E333" s="26"/>
      <c r="F333" s="26">
        <f t="shared" si="36"/>
        <v>0</v>
      </c>
      <c r="G333" s="22" t="str">
        <f t="shared" ca="1" si="37"/>
        <v>History</v>
      </c>
      <c r="H333" s="22">
        <f t="shared" si="38"/>
        <v>2009</v>
      </c>
      <c r="I333" s="22">
        <f t="shared" si="39"/>
        <v>10</v>
      </c>
      <c r="J333" s="22">
        <f t="shared" si="33"/>
        <v>41</v>
      </c>
      <c r="K333" s="22">
        <v>1</v>
      </c>
      <c r="L333" s="22">
        <f ca="1">SUM(K333:OFFSET(RngToDay,ROWS(Dates),10))</f>
        <v>191</v>
      </c>
      <c r="M333" s="26" t="str">
        <f ca="1">IF(B333="","",SUM(C333:OFFSET(C333,-LeadTime+1,0)))</f>
        <v/>
      </c>
      <c r="N333" s="26" t="e">
        <f t="shared" ca="1" si="34"/>
        <v>#DIV/0!</v>
      </c>
      <c r="O333" s="22">
        <f t="shared" si="40"/>
        <v>333</v>
      </c>
      <c r="P333" s="26">
        <f t="shared" ca="1" si="35"/>
        <v>0</v>
      </c>
      <c r="Q333" s="26">
        <f ca="1">IF(LeadTime=0,P333,IF(AND(SUM(Q332:OFFSET(Q333,-LeadTime,0))=0,P333&gt;0),MAX(P333:OFFSET(P333,-LeadTime+1,0)),0))</f>
        <v>0</v>
      </c>
    </row>
    <row r="334" spans="1:17" x14ac:dyDescent="0.2">
      <c r="A334" s="135">
        <v>40088</v>
      </c>
      <c r="B334" s="26"/>
      <c r="C334" s="26"/>
      <c r="D334" s="26"/>
      <c r="E334" s="26"/>
      <c r="F334" s="26">
        <f t="shared" si="36"/>
        <v>0</v>
      </c>
      <c r="G334" s="22" t="str">
        <f t="shared" ca="1" si="37"/>
        <v>History</v>
      </c>
      <c r="H334" s="22">
        <f t="shared" si="38"/>
        <v>2009</v>
      </c>
      <c r="I334" s="22">
        <f t="shared" si="39"/>
        <v>10</v>
      </c>
      <c r="J334" s="22">
        <f t="shared" si="33"/>
        <v>40</v>
      </c>
      <c r="K334" s="22">
        <v>1</v>
      </c>
      <c r="L334" s="22">
        <f ca="1">SUM(K334:OFFSET(RngToDay,ROWS(Dates),10))</f>
        <v>190</v>
      </c>
      <c r="M334" s="26" t="str">
        <f ca="1">IF(B334="","",SUM(C334:OFFSET(C334,-LeadTime+1,0)))</f>
        <v/>
      </c>
      <c r="N334" s="26" t="e">
        <f t="shared" ca="1" si="34"/>
        <v>#DIV/0!</v>
      </c>
      <c r="O334" s="22">
        <f t="shared" si="40"/>
        <v>334</v>
      </c>
      <c r="P334" s="26">
        <f t="shared" ca="1" si="35"/>
        <v>0</v>
      </c>
      <c r="Q334" s="26">
        <f ca="1">IF(LeadTime=0,P334,IF(AND(SUM(Q333:OFFSET(Q334,-LeadTime,0))=0,P334&gt;0),MAX(P334:OFFSET(P334,-LeadTime+1,0)),0))</f>
        <v>0</v>
      </c>
    </row>
    <row r="335" spans="1:17" x14ac:dyDescent="0.2">
      <c r="A335" s="135">
        <v>40087</v>
      </c>
      <c r="B335" s="26"/>
      <c r="C335" s="26"/>
      <c r="D335" s="26"/>
      <c r="E335" s="26"/>
      <c r="F335" s="26">
        <f t="shared" si="36"/>
        <v>0</v>
      </c>
      <c r="G335" s="22" t="str">
        <f t="shared" ca="1" si="37"/>
        <v>History</v>
      </c>
      <c r="H335" s="22">
        <f t="shared" si="38"/>
        <v>2009</v>
      </c>
      <c r="I335" s="22">
        <f t="shared" si="39"/>
        <v>10</v>
      </c>
      <c r="J335" s="22">
        <f t="shared" si="33"/>
        <v>40</v>
      </c>
      <c r="K335" s="22">
        <v>1</v>
      </c>
      <c r="L335" s="22">
        <f ca="1">SUM(K335:OFFSET(RngToDay,ROWS(Dates),10))</f>
        <v>189</v>
      </c>
      <c r="M335" s="26" t="str">
        <f ca="1">IF(B335="","",SUM(C335:OFFSET(C335,-LeadTime+1,0)))</f>
        <v/>
      </c>
      <c r="N335" s="26" t="e">
        <f t="shared" ca="1" si="34"/>
        <v>#DIV/0!</v>
      </c>
      <c r="O335" s="22">
        <f t="shared" si="40"/>
        <v>335</v>
      </c>
      <c r="P335" s="26">
        <f t="shared" ca="1" si="35"/>
        <v>0</v>
      </c>
      <c r="Q335" s="26">
        <f ca="1">IF(LeadTime=0,P335,IF(AND(SUM(Q334:OFFSET(Q335,-LeadTime,0))=0,P335&gt;0),MAX(P335:OFFSET(P335,-LeadTime+1,0)),0))</f>
        <v>0</v>
      </c>
    </row>
    <row r="336" spans="1:17" x14ac:dyDescent="0.2">
      <c r="A336" s="135">
        <v>40086</v>
      </c>
      <c r="B336" s="26"/>
      <c r="C336" s="26"/>
      <c r="D336" s="26"/>
      <c r="E336" s="26"/>
      <c r="F336" s="26">
        <f t="shared" si="36"/>
        <v>0</v>
      </c>
      <c r="G336" s="22" t="str">
        <f t="shared" ca="1" si="37"/>
        <v>History</v>
      </c>
      <c r="H336" s="22">
        <f t="shared" si="38"/>
        <v>2009</v>
      </c>
      <c r="I336" s="22">
        <f t="shared" si="39"/>
        <v>9</v>
      </c>
      <c r="J336" s="22">
        <f t="shared" si="33"/>
        <v>40</v>
      </c>
      <c r="K336" s="22">
        <v>1</v>
      </c>
      <c r="L336" s="22">
        <f ca="1">SUM(K336:OFFSET(RngToDay,ROWS(Dates),10))</f>
        <v>188</v>
      </c>
      <c r="M336" s="26" t="str">
        <f ca="1">IF(B336="","",SUM(C336:OFFSET(C336,-LeadTime+1,0)))</f>
        <v/>
      </c>
      <c r="N336" s="26" t="e">
        <f t="shared" ca="1" si="34"/>
        <v>#DIV/0!</v>
      </c>
      <c r="O336" s="22">
        <f t="shared" si="40"/>
        <v>336</v>
      </c>
      <c r="P336" s="26">
        <f t="shared" ca="1" si="35"/>
        <v>0</v>
      </c>
      <c r="Q336" s="26">
        <f ca="1">IF(LeadTime=0,P336,IF(AND(SUM(Q335:OFFSET(Q336,-LeadTime,0))=0,P336&gt;0),MAX(P336:OFFSET(P336,-LeadTime+1,0)),0))</f>
        <v>0</v>
      </c>
    </row>
    <row r="337" spans="1:17" x14ac:dyDescent="0.2">
      <c r="A337" s="135">
        <v>40085</v>
      </c>
      <c r="B337" s="26"/>
      <c r="C337" s="26"/>
      <c r="D337" s="26"/>
      <c r="E337" s="26"/>
      <c r="F337" s="26">
        <f t="shared" si="36"/>
        <v>0</v>
      </c>
      <c r="G337" s="22" t="str">
        <f t="shared" ca="1" si="37"/>
        <v>History</v>
      </c>
      <c r="H337" s="22">
        <f t="shared" si="38"/>
        <v>2009</v>
      </c>
      <c r="I337" s="22">
        <f t="shared" si="39"/>
        <v>9</v>
      </c>
      <c r="J337" s="22">
        <f t="shared" si="33"/>
        <v>40</v>
      </c>
      <c r="K337" s="22">
        <v>1</v>
      </c>
      <c r="L337" s="22">
        <f ca="1">SUM(K337:OFFSET(RngToDay,ROWS(Dates),10))</f>
        <v>187</v>
      </c>
      <c r="M337" s="26" t="str">
        <f ca="1">IF(B337="","",SUM(C337:OFFSET(C337,-LeadTime+1,0)))</f>
        <v/>
      </c>
      <c r="N337" s="26" t="e">
        <f t="shared" ca="1" si="34"/>
        <v>#DIV/0!</v>
      </c>
      <c r="O337" s="22">
        <f t="shared" si="40"/>
        <v>337</v>
      </c>
      <c r="P337" s="26">
        <f t="shared" ca="1" si="35"/>
        <v>0</v>
      </c>
      <c r="Q337" s="26">
        <f ca="1">IF(LeadTime=0,P337,IF(AND(SUM(Q336:OFFSET(Q337,-LeadTime,0))=0,P337&gt;0),MAX(P337:OFFSET(P337,-LeadTime+1,0)),0))</f>
        <v>0</v>
      </c>
    </row>
    <row r="338" spans="1:17" x14ac:dyDescent="0.2">
      <c r="A338" s="135">
        <v>40084</v>
      </c>
      <c r="B338" s="26"/>
      <c r="C338" s="26"/>
      <c r="D338" s="26"/>
      <c r="E338" s="26"/>
      <c r="F338" s="26">
        <f t="shared" si="36"/>
        <v>0</v>
      </c>
      <c r="G338" s="22" t="str">
        <f t="shared" ca="1" si="37"/>
        <v>History</v>
      </c>
      <c r="H338" s="22">
        <f t="shared" si="38"/>
        <v>2009</v>
      </c>
      <c r="I338" s="22">
        <f t="shared" si="39"/>
        <v>9</v>
      </c>
      <c r="J338" s="22">
        <f t="shared" si="33"/>
        <v>40</v>
      </c>
      <c r="K338" s="22">
        <v>1</v>
      </c>
      <c r="L338" s="22">
        <f ca="1">SUM(K338:OFFSET(RngToDay,ROWS(Dates),10))</f>
        <v>186</v>
      </c>
      <c r="M338" s="26" t="str">
        <f ca="1">IF(B338="","",SUM(C338:OFFSET(C338,-LeadTime+1,0)))</f>
        <v/>
      </c>
      <c r="N338" s="26" t="e">
        <f t="shared" ca="1" si="34"/>
        <v>#DIV/0!</v>
      </c>
      <c r="O338" s="22">
        <f t="shared" si="40"/>
        <v>338</v>
      </c>
      <c r="P338" s="26">
        <f t="shared" ca="1" si="35"/>
        <v>0</v>
      </c>
      <c r="Q338" s="26">
        <f ca="1">IF(LeadTime=0,P338,IF(AND(SUM(Q337:OFFSET(Q338,-LeadTime,0))=0,P338&gt;0),MAX(P338:OFFSET(P338,-LeadTime+1,0)),0))</f>
        <v>0</v>
      </c>
    </row>
    <row r="339" spans="1:17" x14ac:dyDescent="0.2">
      <c r="A339" s="135">
        <v>40081</v>
      </c>
      <c r="B339" s="26"/>
      <c r="C339" s="26"/>
      <c r="D339" s="26"/>
      <c r="E339" s="26"/>
      <c r="F339" s="26">
        <f t="shared" si="36"/>
        <v>0</v>
      </c>
      <c r="G339" s="22" t="str">
        <f t="shared" ca="1" si="37"/>
        <v>History</v>
      </c>
      <c r="H339" s="22">
        <f t="shared" si="38"/>
        <v>2009</v>
      </c>
      <c r="I339" s="22">
        <f t="shared" si="39"/>
        <v>9</v>
      </c>
      <c r="J339" s="22">
        <f t="shared" si="33"/>
        <v>39</v>
      </c>
      <c r="K339" s="22">
        <v>1</v>
      </c>
      <c r="L339" s="22">
        <f ca="1">SUM(K339:OFFSET(RngToDay,ROWS(Dates),10))</f>
        <v>185</v>
      </c>
      <c r="M339" s="26" t="str">
        <f ca="1">IF(B339="","",SUM(C339:OFFSET(C339,-LeadTime+1,0)))</f>
        <v/>
      </c>
      <c r="N339" s="26" t="e">
        <f t="shared" ca="1" si="34"/>
        <v>#DIV/0!</v>
      </c>
      <c r="O339" s="22">
        <f t="shared" si="40"/>
        <v>339</v>
      </c>
      <c r="P339" s="26">
        <f t="shared" ca="1" si="35"/>
        <v>0</v>
      </c>
      <c r="Q339" s="26">
        <f ca="1">IF(LeadTime=0,P339,IF(AND(SUM(Q338:OFFSET(Q339,-LeadTime,0))=0,P339&gt;0),MAX(P339:OFFSET(P339,-LeadTime+1,0)),0))</f>
        <v>0</v>
      </c>
    </row>
    <row r="340" spans="1:17" x14ac:dyDescent="0.2">
      <c r="A340" s="135">
        <v>40080</v>
      </c>
      <c r="B340" s="26"/>
      <c r="C340" s="26"/>
      <c r="D340" s="26"/>
      <c r="E340" s="26"/>
      <c r="F340" s="26">
        <f t="shared" si="36"/>
        <v>0</v>
      </c>
      <c r="G340" s="22" t="str">
        <f t="shared" ca="1" si="37"/>
        <v>History</v>
      </c>
      <c r="H340" s="22">
        <f t="shared" si="38"/>
        <v>2009</v>
      </c>
      <c r="I340" s="22">
        <f t="shared" si="39"/>
        <v>9</v>
      </c>
      <c r="J340" s="22">
        <f t="shared" si="33"/>
        <v>39</v>
      </c>
      <c r="K340" s="22">
        <v>1</v>
      </c>
      <c r="L340" s="22">
        <f ca="1">SUM(K340:OFFSET(RngToDay,ROWS(Dates),10))</f>
        <v>184</v>
      </c>
      <c r="M340" s="26" t="str">
        <f ca="1">IF(B340="","",SUM(C340:OFFSET(C340,-LeadTime+1,0)))</f>
        <v/>
      </c>
      <c r="N340" s="26" t="e">
        <f t="shared" ca="1" si="34"/>
        <v>#DIV/0!</v>
      </c>
      <c r="O340" s="22">
        <f t="shared" si="40"/>
        <v>340</v>
      </c>
      <c r="P340" s="26">
        <f t="shared" ca="1" si="35"/>
        <v>0</v>
      </c>
      <c r="Q340" s="26">
        <f ca="1">IF(LeadTime=0,P340,IF(AND(SUM(Q339:OFFSET(Q340,-LeadTime,0))=0,P340&gt;0),MAX(P340:OFFSET(P340,-LeadTime+1,0)),0))</f>
        <v>0</v>
      </c>
    </row>
    <row r="341" spans="1:17" x14ac:dyDescent="0.2">
      <c r="A341" s="135">
        <v>40079</v>
      </c>
      <c r="B341" s="26"/>
      <c r="C341" s="26"/>
      <c r="D341" s="26"/>
      <c r="E341" s="26"/>
      <c r="F341" s="26">
        <f t="shared" si="36"/>
        <v>0</v>
      </c>
      <c r="G341" s="22" t="str">
        <f t="shared" ca="1" si="37"/>
        <v>History</v>
      </c>
      <c r="H341" s="22">
        <f t="shared" si="38"/>
        <v>2009</v>
      </c>
      <c r="I341" s="22">
        <f t="shared" si="39"/>
        <v>9</v>
      </c>
      <c r="J341" s="22">
        <f t="shared" si="33"/>
        <v>39</v>
      </c>
      <c r="K341" s="22">
        <v>1</v>
      </c>
      <c r="L341" s="22">
        <f ca="1">SUM(K341:OFFSET(RngToDay,ROWS(Dates),10))</f>
        <v>183</v>
      </c>
      <c r="M341" s="26" t="str">
        <f ca="1">IF(B341="","",SUM(C341:OFFSET(C341,-LeadTime+1,0)))</f>
        <v/>
      </c>
      <c r="N341" s="26" t="e">
        <f t="shared" ca="1" si="34"/>
        <v>#DIV/0!</v>
      </c>
      <c r="O341" s="22">
        <f t="shared" si="40"/>
        <v>341</v>
      </c>
      <c r="P341" s="26">
        <f t="shared" ca="1" si="35"/>
        <v>0</v>
      </c>
      <c r="Q341" s="26">
        <f ca="1">IF(LeadTime=0,P341,IF(AND(SUM(Q340:OFFSET(Q341,-LeadTime,0))=0,P341&gt;0),MAX(P341:OFFSET(P341,-LeadTime+1,0)),0))</f>
        <v>0</v>
      </c>
    </row>
    <row r="342" spans="1:17" x14ac:dyDescent="0.2">
      <c r="A342" s="135">
        <v>40078</v>
      </c>
      <c r="B342" s="26"/>
      <c r="C342" s="26"/>
      <c r="D342" s="26"/>
      <c r="E342" s="26"/>
      <c r="F342" s="26">
        <f t="shared" si="36"/>
        <v>0</v>
      </c>
      <c r="G342" s="22" t="str">
        <f t="shared" ca="1" si="37"/>
        <v>History</v>
      </c>
      <c r="H342" s="22">
        <f t="shared" si="38"/>
        <v>2009</v>
      </c>
      <c r="I342" s="22">
        <f t="shared" si="39"/>
        <v>9</v>
      </c>
      <c r="J342" s="22">
        <f t="shared" si="33"/>
        <v>39</v>
      </c>
      <c r="K342" s="22">
        <v>1</v>
      </c>
      <c r="L342" s="22">
        <f ca="1">SUM(K342:OFFSET(RngToDay,ROWS(Dates),10))</f>
        <v>182</v>
      </c>
      <c r="M342" s="26" t="str">
        <f ca="1">IF(B342="","",SUM(C342:OFFSET(C342,-LeadTime+1,0)))</f>
        <v/>
      </c>
      <c r="N342" s="26" t="e">
        <f t="shared" ca="1" si="34"/>
        <v>#DIV/0!</v>
      </c>
      <c r="O342" s="22">
        <f t="shared" si="40"/>
        <v>342</v>
      </c>
      <c r="P342" s="26">
        <f t="shared" ca="1" si="35"/>
        <v>0</v>
      </c>
      <c r="Q342" s="26">
        <f ca="1">IF(LeadTime=0,P342,IF(AND(SUM(Q341:OFFSET(Q342,-LeadTime,0))=0,P342&gt;0),MAX(P342:OFFSET(P342,-LeadTime+1,0)),0))</f>
        <v>0</v>
      </c>
    </row>
    <row r="343" spans="1:17" x14ac:dyDescent="0.2">
      <c r="A343" s="135">
        <v>40077</v>
      </c>
      <c r="B343" s="26"/>
      <c r="C343" s="26"/>
      <c r="D343" s="26"/>
      <c r="E343" s="26"/>
      <c r="F343" s="26">
        <f t="shared" si="36"/>
        <v>0</v>
      </c>
      <c r="G343" s="22" t="str">
        <f t="shared" ca="1" si="37"/>
        <v>History</v>
      </c>
      <c r="H343" s="22">
        <f t="shared" si="38"/>
        <v>2009</v>
      </c>
      <c r="I343" s="22">
        <f t="shared" si="39"/>
        <v>9</v>
      </c>
      <c r="J343" s="22">
        <f t="shared" si="33"/>
        <v>39</v>
      </c>
      <c r="K343" s="22">
        <v>1</v>
      </c>
      <c r="L343" s="22">
        <f ca="1">SUM(K343:OFFSET(RngToDay,ROWS(Dates),10))</f>
        <v>181</v>
      </c>
      <c r="M343" s="26" t="str">
        <f ca="1">IF(B343="","",SUM(C343:OFFSET(C343,-LeadTime+1,0)))</f>
        <v/>
      </c>
      <c r="N343" s="26" t="e">
        <f t="shared" ca="1" si="34"/>
        <v>#DIV/0!</v>
      </c>
      <c r="O343" s="22">
        <f t="shared" si="40"/>
        <v>343</v>
      </c>
      <c r="P343" s="26">
        <f t="shared" ca="1" si="35"/>
        <v>0</v>
      </c>
      <c r="Q343" s="26">
        <f ca="1">IF(LeadTime=0,P343,IF(AND(SUM(Q342:OFFSET(Q343,-LeadTime,0))=0,P343&gt;0),MAX(P343:OFFSET(P343,-LeadTime+1,0)),0))</f>
        <v>0</v>
      </c>
    </row>
    <row r="344" spans="1:17" x14ac:dyDescent="0.2">
      <c r="A344" s="135">
        <v>40074</v>
      </c>
      <c r="B344" s="26"/>
      <c r="C344" s="26"/>
      <c r="D344" s="26"/>
      <c r="E344" s="26"/>
      <c r="F344" s="26">
        <f t="shared" si="36"/>
        <v>0</v>
      </c>
      <c r="G344" s="22" t="str">
        <f t="shared" ca="1" si="37"/>
        <v>History</v>
      </c>
      <c r="H344" s="22">
        <f t="shared" si="38"/>
        <v>2009</v>
      </c>
      <c r="I344" s="22">
        <f t="shared" si="39"/>
        <v>9</v>
      </c>
      <c r="J344" s="22">
        <f t="shared" si="33"/>
        <v>38</v>
      </c>
      <c r="K344" s="22">
        <v>1</v>
      </c>
      <c r="L344" s="22">
        <f ca="1">SUM(K344:OFFSET(RngToDay,ROWS(Dates),10))</f>
        <v>180</v>
      </c>
      <c r="M344" s="26" t="str">
        <f ca="1">IF(B344="","",SUM(C344:OFFSET(C344,-LeadTime+1,0)))</f>
        <v/>
      </c>
      <c r="N344" s="26" t="e">
        <f t="shared" ca="1" si="34"/>
        <v>#DIV/0!</v>
      </c>
      <c r="O344" s="22">
        <f t="shared" si="40"/>
        <v>344</v>
      </c>
      <c r="P344" s="26">
        <f t="shared" ca="1" si="35"/>
        <v>0</v>
      </c>
      <c r="Q344" s="26">
        <f ca="1">IF(LeadTime=0,P344,IF(AND(SUM(Q343:OFFSET(Q344,-LeadTime,0))=0,P344&gt;0),MAX(P344:OFFSET(P344,-LeadTime+1,0)),0))</f>
        <v>0</v>
      </c>
    </row>
    <row r="345" spans="1:17" x14ac:dyDescent="0.2">
      <c r="A345" s="135">
        <v>40073</v>
      </c>
      <c r="B345" s="26"/>
      <c r="C345" s="26"/>
      <c r="D345" s="26"/>
      <c r="E345" s="26"/>
      <c r="F345" s="26">
        <f t="shared" si="36"/>
        <v>0</v>
      </c>
      <c r="G345" s="22" t="str">
        <f t="shared" ca="1" si="37"/>
        <v>History</v>
      </c>
      <c r="H345" s="22">
        <f t="shared" si="38"/>
        <v>2009</v>
      </c>
      <c r="I345" s="22">
        <f t="shared" si="39"/>
        <v>9</v>
      </c>
      <c r="J345" s="22">
        <f t="shared" si="33"/>
        <v>38</v>
      </c>
      <c r="K345" s="22">
        <v>1</v>
      </c>
      <c r="L345" s="22">
        <f ca="1">SUM(K345:OFFSET(RngToDay,ROWS(Dates),10))</f>
        <v>179</v>
      </c>
      <c r="M345" s="26" t="str">
        <f ca="1">IF(B345="","",SUM(C345:OFFSET(C345,-LeadTime+1,0)))</f>
        <v/>
      </c>
      <c r="N345" s="26" t="e">
        <f t="shared" ca="1" si="34"/>
        <v>#DIV/0!</v>
      </c>
      <c r="O345" s="22">
        <f t="shared" si="40"/>
        <v>345</v>
      </c>
      <c r="P345" s="26">
        <f t="shared" ca="1" si="35"/>
        <v>0</v>
      </c>
      <c r="Q345" s="26">
        <f ca="1">IF(LeadTime=0,P345,IF(AND(SUM(Q344:OFFSET(Q345,-LeadTime,0))=0,P345&gt;0),MAX(P345:OFFSET(P345,-LeadTime+1,0)),0))</f>
        <v>0</v>
      </c>
    </row>
    <row r="346" spans="1:17" x14ac:dyDescent="0.2">
      <c r="A346" s="135">
        <v>40072</v>
      </c>
      <c r="B346" s="26"/>
      <c r="C346" s="26"/>
      <c r="D346" s="26"/>
      <c r="E346" s="26"/>
      <c r="F346" s="26">
        <f t="shared" si="36"/>
        <v>0</v>
      </c>
      <c r="G346" s="22" t="str">
        <f t="shared" ca="1" si="37"/>
        <v>History</v>
      </c>
      <c r="H346" s="22">
        <f t="shared" si="38"/>
        <v>2009</v>
      </c>
      <c r="I346" s="22">
        <f t="shared" si="39"/>
        <v>9</v>
      </c>
      <c r="J346" s="22">
        <f t="shared" si="33"/>
        <v>38</v>
      </c>
      <c r="K346" s="22">
        <v>1</v>
      </c>
      <c r="L346" s="22">
        <f ca="1">SUM(K346:OFFSET(RngToDay,ROWS(Dates),10))</f>
        <v>178</v>
      </c>
      <c r="M346" s="26" t="str">
        <f ca="1">IF(B346="","",SUM(C346:OFFSET(C346,-LeadTime+1,0)))</f>
        <v/>
      </c>
      <c r="N346" s="26" t="e">
        <f t="shared" ca="1" si="34"/>
        <v>#DIV/0!</v>
      </c>
      <c r="O346" s="22">
        <f t="shared" si="40"/>
        <v>346</v>
      </c>
      <c r="P346" s="26">
        <f t="shared" ca="1" si="35"/>
        <v>0</v>
      </c>
      <c r="Q346" s="26">
        <f ca="1">IF(LeadTime=0,P346,IF(AND(SUM(Q345:OFFSET(Q346,-LeadTime,0))=0,P346&gt;0),MAX(P346:OFFSET(P346,-LeadTime+1,0)),0))</f>
        <v>0</v>
      </c>
    </row>
    <row r="347" spans="1:17" x14ac:dyDescent="0.2">
      <c r="A347" s="135">
        <v>40071</v>
      </c>
      <c r="B347" s="26"/>
      <c r="C347" s="26"/>
      <c r="D347" s="26"/>
      <c r="E347" s="26"/>
      <c r="F347" s="26">
        <f t="shared" si="36"/>
        <v>0</v>
      </c>
      <c r="G347" s="22" t="str">
        <f t="shared" ca="1" si="37"/>
        <v>History</v>
      </c>
      <c r="H347" s="22">
        <f t="shared" si="38"/>
        <v>2009</v>
      </c>
      <c r="I347" s="22">
        <f t="shared" si="39"/>
        <v>9</v>
      </c>
      <c r="J347" s="22">
        <f t="shared" si="33"/>
        <v>38</v>
      </c>
      <c r="K347" s="22">
        <v>1</v>
      </c>
      <c r="L347" s="22">
        <f ca="1">SUM(K347:OFFSET(RngToDay,ROWS(Dates),10))</f>
        <v>177</v>
      </c>
      <c r="M347" s="26" t="str">
        <f ca="1">IF(B347="","",SUM(C347:OFFSET(C347,-LeadTime+1,0)))</f>
        <v/>
      </c>
      <c r="N347" s="26" t="e">
        <f t="shared" ca="1" si="34"/>
        <v>#DIV/0!</v>
      </c>
      <c r="O347" s="22">
        <f t="shared" si="40"/>
        <v>347</v>
      </c>
      <c r="P347" s="26">
        <f t="shared" ca="1" si="35"/>
        <v>0</v>
      </c>
      <c r="Q347" s="26">
        <f ca="1">IF(LeadTime=0,P347,IF(AND(SUM(Q346:OFFSET(Q347,-LeadTime,0))=0,P347&gt;0),MAX(P347:OFFSET(P347,-LeadTime+1,0)),0))</f>
        <v>0</v>
      </c>
    </row>
    <row r="348" spans="1:17" x14ac:dyDescent="0.2">
      <c r="A348" s="135">
        <v>40070</v>
      </c>
      <c r="B348" s="26"/>
      <c r="C348" s="26"/>
      <c r="D348" s="26"/>
      <c r="E348" s="26"/>
      <c r="F348" s="26">
        <f t="shared" si="36"/>
        <v>0</v>
      </c>
      <c r="G348" s="22" t="str">
        <f t="shared" ca="1" si="37"/>
        <v>History</v>
      </c>
      <c r="H348" s="22">
        <f t="shared" si="38"/>
        <v>2009</v>
      </c>
      <c r="I348" s="22">
        <f t="shared" si="39"/>
        <v>9</v>
      </c>
      <c r="J348" s="22">
        <f t="shared" si="33"/>
        <v>38</v>
      </c>
      <c r="K348" s="22">
        <v>1</v>
      </c>
      <c r="L348" s="22">
        <f ca="1">SUM(K348:OFFSET(RngToDay,ROWS(Dates),10))</f>
        <v>176</v>
      </c>
      <c r="M348" s="26" t="str">
        <f ca="1">IF(B348="","",SUM(C348:OFFSET(C348,-LeadTime+1,0)))</f>
        <v/>
      </c>
      <c r="N348" s="26" t="e">
        <f t="shared" ca="1" si="34"/>
        <v>#DIV/0!</v>
      </c>
      <c r="O348" s="22">
        <f t="shared" si="40"/>
        <v>348</v>
      </c>
      <c r="P348" s="26">
        <f t="shared" ca="1" si="35"/>
        <v>0</v>
      </c>
      <c r="Q348" s="26">
        <f ca="1">IF(LeadTime=0,P348,IF(AND(SUM(Q347:OFFSET(Q348,-LeadTime,0))=0,P348&gt;0),MAX(P348:OFFSET(P348,-LeadTime+1,0)),0))</f>
        <v>0</v>
      </c>
    </row>
    <row r="349" spans="1:17" x14ac:dyDescent="0.2">
      <c r="A349" s="135">
        <v>40067</v>
      </c>
      <c r="B349" s="26"/>
      <c r="C349" s="26"/>
      <c r="D349" s="26"/>
      <c r="E349" s="26"/>
      <c r="F349" s="26">
        <f t="shared" si="36"/>
        <v>0</v>
      </c>
      <c r="G349" s="22" t="str">
        <f t="shared" ca="1" si="37"/>
        <v>History</v>
      </c>
      <c r="H349" s="22">
        <f t="shared" si="38"/>
        <v>2009</v>
      </c>
      <c r="I349" s="22">
        <f t="shared" si="39"/>
        <v>9</v>
      </c>
      <c r="J349" s="22">
        <f t="shared" si="33"/>
        <v>37</v>
      </c>
      <c r="K349" s="22">
        <v>1</v>
      </c>
      <c r="L349" s="22">
        <f ca="1">SUM(K349:OFFSET(RngToDay,ROWS(Dates),10))</f>
        <v>175</v>
      </c>
      <c r="M349" s="26" t="str">
        <f ca="1">IF(B349="","",SUM(C349:OFFSET(C349,-LeadTime+1,0)))</f>
        <v/>
      </c>
      <c r="N349" s="26" t="e">
        <f t="shared" ca="1" si="34"/>
        <v>#DIV/0!</v>
      </c>
      <c r="O349" s="22">
        <f t="shared" si="40"/>
        <v>349</v>
      </c>
      <c r="P349" s="26">
        <f t="shared" ca="1" si="35"/>
        <v>0</v>
      </c>
      <c r="Q349" s="26">
        <f ca="1">IF(LeadTime=0,P349,IF(AND(SUM(Q348:OFFSET(Q349,-LeadTime,0))=0,P349&gt;0),MAX(P349:OFFSET(P349,-LeadTime+1,0)),0))</f>
        <v>0</v>
      </c>
    </row>
    <row r="350" spans="1:17" x14ac:dyDescent="0.2">
      <c r="A350" s="135">
        <v>40066</v>
      </c>
      <c r="B350" s="26"/>
      <c r="C350" s="26"/>
      <c r="D350" s="26"/>
      <c r="E350" s="26"/>
      <c r="F350" s="26">
        <f t="shared" si="36"/>
        <v>0</v>
      </c>
      <c r="G350" s="22" t="str">
        <f t="shared" ca="1" si="37"/>
        <v>History</v>
      </c>
      <c r="H350" s="22">
        <f t="shared" si="38"/>
        <v>2009</v>
      </c>
      <c r="I350" s="22">
        <f t="shared" si="39"/>
        <v>9</v>
      </c>
      <c r="J350" s="22">
        <f t="shared" si="33"/>
        <v>37</v>
      </c>
      <c r="K350" s="22">
        <v>1</v>
      </c>
      <c r="L350" s="22">
        <f ca="1">SUM(K350:OFFSET(RngToDay,ROWS(Dates),10))</f>
        <v>174</v>
      </c>
      <c r="M350" s="26" t="str">
        <f ca="1">IF(B350="","",SUM(C350:OFFSET(C350,-LeadTime+1,0)))</f>
        <v/>
      </c>
      <c r="N350" s="26" t="e">
        <f t="shared" ca="1" si="34"/>
        <v>#DIV/0!</v>
      </c>
      <c r="O350" s="22">
        <f t="shared" si="40"/>
        <v>350</v>
      </c>
      <c r="P350" s="26">
        <f t="shared" ca="1" si="35"/>
        <v>0</v>
      </c>
      <c r="Q350" s="26">
        <f ca="1">IF(LeadTime=0,P350,IF(AND(SUM(Q349:OFFSET(Q350,-LeadTime,0))=0,P350&gt;0),MAX(P350:OFFSET(P350,-LeadTime+1,0)),0))</f>
        <v>0</v>
      </c>
    </row>
    <row r="351" spans="1:17" x14ac:dyDescent="0.2">
      <c r="A351" s="135">
        <v>40065</v>
      </c>
      <c r="B351" s="26"/>
      <c r="C351" s="26"/>
      <c r="D351" s="26"/>
      <c r="E351" s="26"/>
      <c r="F351" s="26">
        <f t="shared" si="36"/>
        <v>0</v>
      </c>
      <c r="G351" s="22" t="str">
        <f t="shared" ca="1" si="37"/>
        <v>History</v>
      </c>
      <c r="H351" s="22">
        <f t="shared" si="38"/>
        <v>2009</v>
      </c>
      <c r="I351" s="22">
        <f t="shared" si="39"/>
        <v>9</v>
      </c>
      <c r="J351" s="22">
        <f t="shared" si="33"/>
        <v>37</v>
      </c>
      <c r="K351" s="22">
        <v>1</v>
      </c>
      <c r="L351" s="22">
        <f ca="1">SUM(K351:OFFSET(RngToDay,ROWS(Dates),10))</f>
        <v>173</v>
      </c>
      <c r="M351" s="26" t="str">
        <f ca="1">IF(B351="","",SUM(C351:OFFSET(C351,-LeadTime+1,0)))</f>
        <v/>
      </c>
      <c r="N351" s="26" t="e">
        <f t="shared" ca="1" si="34"/>
        <v>#DIV/0!</v>
      </c>
      <c r="O351" s="22">
        <f t="shared" si="40"/>
        <v>351</v>
      </c>
      <c r="P351" s="26">
        <f t="shared" ca="1" si="35"/>
        <v>0</v>
      </c>
      <c r="Q351" s="26">
        <f ca="1">IF(LeadTime=0,P351,IF(AND(SUM(Q350:OFFSET(Q351,-LeadTime,0))=0,P351&gt;0),MAX(P351:OFFSET(P351,-LeadTime+1,0)),0))</f>
        <v>0</v>
      </c>
    </row>
    <row r="352" spans="1:17" x14ac:dyDescent="0.2">
      <c r="A352" s="135">
        <v>40064</v>
      </c>
      <c r="B352" s="26"/>
      <c r="C352" s="26"/>
      <c r="D352" s="26"/>
      <c r="E352" s="26"/>
      <c r="F352" s="26">
        <f t="shared" si="36"/>
        <v>0</v>
      </c>
      <c r="G352" s="22" t="str">
        <f t="shared" ca="1" si="37"/>
        <v>History</v>
      </c>
      <c r="H352" s="22">
        <f t="shared" si="38"/>
        <v>2009</v>
      </c>
      <c r="I352" s="22">
        <f t="shared" si="39"/>
        <v>9</v>
      </c>
      <c r="J352" s="22">
        <f t="shared" si="33"/>
        <v>37</v>
      </c>
      <c r="K352" s="22">
        <v>1</v>
      </c>
      <c r="L352" s="22">
        <f ca="1">SUM(K352:OFFSET(RngToDay,ROWS(Dates),10))</f>
        <v>172</v>
      </c>
      <c r="M352" s="26" t="str">
        <f ca="1">IF(B352="","",SUM(C352:OFFSET(C352,-LeadTime+1,0)))</f>
        <v/>
      </c>
      <c r="N352" s="26" t="e">
        <f t="shared" ca="1" si="34"/>
        <v>#DIV/0!</v>
      </c>
      <c r="O352" s="22">
        <f t="shared" si="40"/>
        <v>352</v>
      </c>
      <c r="P352" s="26">
        <f t="shared" ca="1" si="35"/>
        <v>0</v>
      </c>
      <c r="Q352" s="26">
        <f ca="1">IF(LeadTime=0,P352,IF(AND(SUM(Q351:OFFSET(Q352,-LeadTime,0))=0,P352&gt;0),MAX(P352:OFFSET(P352,-LeadTime+1,0)),0))</f>
        <v>0</v>
      </c>
    </row>
    <row r="353" spans="1:17" x14ac:dyDescent="0.2">
      <c r="A353" s="135">
        <v>40063</v>
      </c>
      <c r="B353" s="26"/>
      <c r="C353" s="26"/>
      <c r="D353" s="26"/>
      <c r="E353" s="26"/>
      <c r="F353" s="26">
        <f t="shared" si="36"/>
        <v>0</v>
      </c>
      <c r="G353" s="22" t="str">
        <f t="shared" ca="1" si="37"/>
        <v>History</v>
      </c>
      <c r="H353" s="22">
        <f t="shared" si="38"/>
        <v>2009</v>
      </c>
      <c r="I353" s="22">
        <f t="shared" si="39"/>
        <v>9</v>
      </c>
      <c r="J353" s="22">
        <f t="shared" si="33"/>
        <v>37</v>
      </c>
      <c r="K353" s="22">
        <v>1</v>
      </c>
      <c r="L353" s="22">
        <f ca="1">SUM(K353:OFFSET(RngToDay,ROWS(Dates),10))</f>
        <v>171</v>
      </c>
      <c r="M353" s="26" t="str">
        <f ca="1">IF(B353="","",SUM(C353:OFFSET(C353,-LeadTime+1,0)))</f>
        <v/>
      </c>
      <c r="N353" s="26" t="e">
        <f t="shared" ca="1" si="34"/>
        <v>#DIV/0!</v>
      </c>
      <c r="O353" s="22">
        <f t="shared" si="40"/>
        <v>353</v>
      </c>
      <c r="P353" s="26">
        <f t="shared" ca="1" si="35"/>
        <v>0</v>
      </c>
      <c r="Q353" s="26">
        <f ca="1">IF(LeadTime=0,P353,IF(AND(SUM(Q352:OFFSET(Q353,-LeadTime,0))=0,P353&gt;0),MAX(P353:OFFSET(P353,-LeadTime+1,0)),0))</f>
        <v>0</v>
      </c>
    </row>
    <row r="354" spans="1:17" x14ac:dyDescent="0.2">
      <c r="A354" s="135">
        <v>40060</v>
      </c>
      <c r="B354" s="26"/>
      <c r="C354" s="26"/>
      <c r="D354" s="26"/>
      <c r="E354" s="26"/>
      <c r="F354" s="26">
        <f t="shared" si="36"/>
        <v>0</v>
      </c>
      <c r="G354" s="22" t="str">
        <f t="shared" ca="1" si="37"/>
        <v>History</v>
      </c>
      <c r="H354" s="22">
        <f t="shared" si="38"/>
        <v>2009</v>
      </c>
      <c r="I354" s="22">
        <f t="shared" si="39"/>
        <v>9</v>
      </c>
      <c r="J354" s="22">
        <f t="shared" si="33"/>
        <v>36</v>
      </c>
      <c r="K354" s="22">
        <v>1</v>
      </c>
      <c r="L354" s="22">
        <f ca="1">SUM(K354:OFFSET(RngToDay,ROWS(Dates),10))</f>
        <v>170</v>
      </c>
      <c r="M354" s="26" t="str">
        <f ca="1">IF(B354="","",SUM(C354:OFFSET(C354,-LeadTime+1,0)))</f>
        <v/>
      </c>
      <c r="N354" s="26" t="e">
        <f t="shared" ca="1" si="34"/>
        <v>#DIV/0!</v>
      </c>
      <c r="O354" s="22">
        <f t="shared" si="40"/>
        <v>354</v>
      </c>
      <c r="P354" s="26">
        <f t="shared" ca="1" si="35"/>
        <v>0</v>
      </c>
      <c r="Q354" s="26">
        <f ca="1">IF(LeadTime=0,P354,IF(AND(SUM(Q353:OFFSET(Q354,-LeadTime,0))=0,P354&gt;0),MAX(P354:OFFSET(P354,-LeadTime+1,0)),0))</f>
        <v>0</v>
      </c>
    </row>
    <row r="355" spans="1:17" x14ac:dyDescent="0.2">
      <c r="A355" s="135">
        <v>40059</v>
      </c>
      <c r="B355" s="26"/>
      <c r="C355" s="26"/>
      <c r="D355" s="26"/>
      <c r="E355" s="26"/>
      <c r="F355" s="26">
        <f t="shared" si="36"/>
        <v>0</v>
      </c>
      <c r="G355" s="22" t="str">
        <f t="shared" ca="1" si="37"/>
        <v>History</v>
      </c>
      <c r="H355" s="22">
        <f t="shared" si="38"/>
        <v>2009</v>
      </c>
      <c r="I355" s="22">
        <f t="shared" si="39"/>
        <v>9</v>
      </c>
      <c r="J355" s="22">
        <f t="shared" si="33"/>
        <v>36</v>
      </c>
      <c r="K355" s="22">
        <v>1</v>
      </c>
      <c r="L355" s="22">
        <f ca="1">SUM(K355:OFFSET(RngToDay,ROWS(Dates),10))</f>
        <v>169</v>
      </c>
      <c r="M355" s="26" t="str">
        <f ca="1">IF(B355="","",SUM(C355:OFFSET(C355,-LeadTime+1,0)))</f>
        <v/>
      </c>
      <c r="N355" s="26" t="e">
        <f t="shared" ca="1" si="34"/>
        <v>#DIV/0!</v>
      </c>
      <c r="O355" s="22">
        <f t="shared" si="40"/>
        <v>355</v>
      </c>
      <c r="P355" s="26">
        <f t="shared" ca="1" si="35"/>
        <v>0</v>
      </c>
      <c r="Q355" s="26">
        <f ca="1">IF(LeadTime=0,P355,IF(AND(SUM(Q354:OFFSET(Q355,-LeadTime,0))=0,P355&gt;0),MAX(P355:OFFSET(P355,-LeadTime+1,0)),0))</f>
        <v>0</v>
      </c>
    </row>
    <row r="356" spans="1:17" x14ac:dyDescent="0.2">
      <c r="A356" s="135">
        <v>40058</v>
      </c>
      <c r="B356" s="26"/>
      <c r="C356" s="26"/>
      <c r="D356" s="26"/>
      <c r="E356" s="26"/>
      <c r="F356" s="26">
        <f t="shared" si="36"/>
        <v>0</v>
      </c>
      <c r="G356" s="22" t="str">
        <f t="shared" ca="1" si="37"/>
        <v>History</v>
      </c>
      <c r="H356" s="22">
        <f t="shared" si="38"/>
        <v>2009</v>
      </c>
      <c r="I356" s="22">
        <f t="shared" si="39"/>
        <v>9</v>
      </c>
      <c r="J356" s="22">
        <f t="shared" si="33"/>
        <v>36</v>
      </c>
      <c r="K356" s="22">
        <v>1</v>
      </c>
      <c r="L356" s="22">
        <f ca="1">SUM(K356:OFFSET(RngToDay,ROWS(Dates),10))</f>
        <v>168</v>
      </c>
      <c r="M356" s="26" t="str">
        <f ca="1">IF(B356="","",SUM(C356:OFFSET(C356,-LeadTime+1,0)))</f>
        <v/>
      </c>
      <c r="N356" s="26" t="e">
        <f t="shared" ca="1" si="34"/>
        <v>#DIV/0!</v>
      </c>
      <c r="O356" s="22">
        <f t="shared" si="40"/>
        <v>356</v>
      </c>
      <c r="P356" s="26">
        <f t="shared" ca="1" si="35"/>
        <v>0</v>
      </c>
      <c r="Q356" s="26">
        <f ca="1">IF(LeadTime=0,P356,IF(AND(SUM(Q355:OFFSET(Q356,-LeadTime,0))=0,P356&gt;0),MAX(P356:OFFSET(P356,-LeadTime+1,0)),0))</f>
        <v>0</v>
      </c>
    </row>
    <row r="357" spans="1:17" x14ac:dyDescent="0.2">
      <c r="A357" s="135">
        <v>40057</v>
      </c>
      <c r="B357" s="26"/>
      <c r="C357" s="26"/>
      <c r="D357" s="26"/>
      <c r="E357" s="26"/>
      <c r="F357" s="26">
        <f t="shared" si="36"/>
        <v>0</v>
      </c>
      <c r="G357" s="22" t="str">
        <f t="shared" ca="1" si="37"/>
        <v>History</v>
      </c>
      <c r="H357" s="22">
        <f t="shared" si="38"/>
        <v>2009</v>
      </c>
      <c r="I357" s="22">
        <f t="shared" si="39"/>
        <v>9</v>
      </c>
      <c r="J357" s="22">
        <f t="shared" si="33"/>
        <v>36</v>
      </c>
      <c r="K357" s="22">
        <v>1</v>
      </c>
      <c r="L357" s="22">
        <f ca="1">SUM(K357:OFFSET(RngToDay,ROWS(Dates),10))</f>
        <v>167</v>
      </c>
      <c r="M357" s="26" t="str">
        <f ca="1">IF(B357="","",SUM(C357:OFFSET(C357,-LeadTime+1,0)))</f>
        <v/>
      </c>
      <c r="N357" s="26" t="e">
        <f t="shared" ca="1" si="34"/>
        <v>#DIV/0!</v>
      </c>
      <c r="O357" s="22">
        <f t="shared" si="40"/>
        <v>357</v>
      </c>
      <c r="P357" s="26">
        <f t="shared" ca="1" si="35"/>
        <v>0</v>
      </c>
      <c r="Q357" s="26">
        <f ca="1">IF(LeadTime=0,P357,IF(AND(SUM(Q356:OFFSET(Q357,-LeadTime,0))=0,P357&gt;0),MAX(P357:OFFSET(P357,-LeadTime+1,0)),0))</f>
        <v>0</v>
      </c>
    </row>
    <row r="358" spans="1:17" x14ac:dyDescent="0.2">
      <c r="A358" s="135">
        <v>40056</v>
      </c>
      <c r="B358" s="26"/>
      <c r="C358" s="26"/>
      <c r="D358" s="26"/>
      <c r="E358" s="26"/>
      <c r="F358" s="26">
        <f t="shared" si="36"/>
        <v>0</v>
      </c>
      <c r="G358" s="22" t="str">
        <f t="shared" ca="1" si="37"/>
        <v>History</v>
      </c>
      <c r="H358" s="22">
        <f t="shared" si="38"/>
        <v>2009</v>
      </c>
      <c r="I358" s="22">
        <f t="shared" si="39"/>
        <v>8</v>
      </c>
      <c r="J358" s="22">
        <f t="shared" si="33"/>
        <v>36</v>
      </c>
      <c r="K358" s="22">
        <v>1</v>
      </c>
      <c r="L358" s="22">
        <f ca="1">SUM(K358:OFFSET(RngToDay,ROWS(Dates),10))</f>
        <v>166</v>
      </c>
      <c r="M358" s="26" t="str">
        <f ca="1">IF(B358="","",SUM(C358:OFFSET(C358,-LeadTime+1,0)))</f>
        <v/>
      </c>
      <c r="N358" s="26" t="e">
        <f t="shared" ca="1" si="34"/>
        <v>#DIV/0!</v>
      </c>
      <c r="O358" s="22">
        <f t="shared" si="40"/>
        <v>358</v>
      </c>
      <c r="P358" s="26">
        <f t="shared" ca="1" si="35"/>
        <v>0</v>
      </c>
      <c r="Q358" s="26">
        <f ca="1">IF(LeadTime=0,P358,IF(AND(SUM(Q357:OFFSET(Q358,-LeadTime,0))=0,P358&gt;0),MAX(P358:OFFSET(P358,-LeadTime+1,0)),0))</f>
        <v>0</v>
      </c>
    </row>
    <row r="359" spans="1:17" x14ac:dyDescent="0.2">
      <c r="A359" s="135">
        <v>40053</v>
      </c>
      <c r="B359" s="26"/>
      <c r="C359" s="26"/>
      <c r="D359" s="26"/>
      <c r="E359" s="26"/>
      <c r="F359" s="26">
        <f t="shared" si="36"/>
        <v>0</v>
      </c>
      <c r="G359" s="22" t="str">
        <f t="shared" ca="1" si="37"/>
        <v>History</v>
      </c>
      <c r="H359" s="22">
        <f t="shared" si="38"/>
        <v>2009</v>
      </c>
      <c r="I359" s="22">
        <f t="shared" si="39"/>
        <v>8</v>
      </c>
      <c r="J359" s="22">
        <f t="shared" si="33"/>
        <v>35</v>
      </c>
      <c r="K359" s="22">
        <v>1</v>
      </c>
      <c r="L359" s="22">
        <f ca="1">SUM(K359:OFFSET(RngToDay,ROWS(Dates),10))</f>
        <v>165</v>
      </c>
      <c r="M359" s="26" t="str">
        <f ca="1">IF(B359="","",SUM(C359:OFFSET(C359,-LeadTime+1,0)))</f>
        <v/>
      </c>
      <c r="N359" s="26" t="e">
        <f t="shared" ca="1" si="34"/>
        <v>#DIV/0!</v>
      </c>
      <c r="O359" s="22">
        <f t="shared" si="40"/>
        <v>359</v>
      </c>
      <c r="P359" s="26">
        <f t="shared" ca="1" si="35"/>
        <v>0</v>
      </c>
      <c r="Q359" s="26">
        <f ca="1">IF(LeadTime=0,P359,IF(AND(SUM(Q358:OFFSET(Q359,-LeadTime,0))=0,P359&gt;0),MAX(P359:OFFSET(P359,-LeadTime+1,0)),0))</f>
        <v>0</v>
      </c>
    </row>
    <row r="360" spans="1:17" x14ac:dyDescent="0.2">
      <c r="A360" s="135">
        <v>40052</v>
      </c>
      <c r="B360" s="26"/>
      <c r="C360" s="26"/>
      <c r="D360" s="26"/>
      <c r="E360" s="26"/>
      <c r="F360" s="26">
        <f t="shared" si="36"/>
        <v>0</v>
      </c>
      <c r="G360" s="22" t="str">
        <f t="shared" ca="1" si="37"/>
        <v>History</v>
      </c>
      <c r="H360" s="22">
        <f t="shared" si="38"/>
        <v>2009</v>
      </c>
      <c r="I360" s="22">
        <f t="shared" si="39"/>
        <v>8</v>
      </c>
      <c r="J360" s="22">
        <f t="shared" si="33"/>
        <v>35</v>
      </c>
      <c r="K360" s="22">
        <v>1</v>
      </c>
      <c r="L360" s="22">
        <f ca="1">SUM(K360:OFFSET(RngToDay,ROWS(Dates),10))</f>
        <v>164</v>
      </c>
      <c r="M360" s="26" t="str">
        <f ca="1">IF(B360="","",SUM(C360:OFFSET(C360,-LeadTime+1,0)))</f>
        <v/>
      </c>
      <c r="N360" s="26" t="e">
        <f t="shared" ca="1" si="34"/>
        <v>#DIV/0!</v>
      </c>
      <c r="O360" s="22">
        <f t="shared" si="40"/>
        <v>360</v>
      </c>
      <c r="P360" s="26">
        <f t="shared" ca="1" si="35"/>
        <v>0</v>
      </c>
      <c r="Q360" s="26">
        <f ca="1">IF(LeadTime=0,P360,IF(AND(SUM(Q359:OFFSET(Q360,-LeadTime,0))=0,P360&gt;0),MAX(P360:OFFSET(P360,-LeadTime+1,0)),0))</f>
        <v>0</v>
      </c>
    </row>
    <row r="361" spans="1:17" x14ac:dyDescent="0.2">
      <c r="A361" s="135">
        <v>40051</v>
      </c>
      <c r="B361" s="26"/>
      <c r="C361" s="26"/>
      <c r="D361" s="26"/>
      <c r="E361" s="26"/>
      <c r="F361" s="26">
        <f t="shared" si="36"/>
        <v>0</v>
      </c>
      <c r="G361" s="22" t="str">
        <f t="shared" ca="1" si="37"/>
        <v>History</v>
      </c>
      <c r="H361" s="22">
        <f t="shared" si="38"/>
        <v>2009</v>
      </c>
      <c r="I361" s="22">
        <f t="shared" si="39"/>
        <v>8</v>
      </c>
      <c r="J361" s="22">
        <f t="shared" si="33"/>
        <v>35</v>
      </c>
      <c r="K361" s="22">
        <v>1</v>
      </c>
      <c r="L361" s="22">
        <f ca="1">SUM(K361:OFFSET(RngToDay,ROWS(Dates),10))</f>
        <v>163</v>
      </c>
      <c r="M361" s="26" t="str">
        <f ca="1">IF(B361="","",SUM(C361:OFFSET(C361,-LeadTime+1,0)))</f>
        <v/>
      </c>
      <c r="N361" s="26" t="e">
        <f t="shared" ca="1" si="34"/>
        <v>#DIV/0!</v>
      </c>
      <c r="O361" s="22">
        <f t="shared" si="40"/>
        <v>361</v>
      </c>
      <c r="P361" s="26">
        <f t="shared" ca="1" si="35"/>
        <v>0</v>
      </c>
      <c r="Q361" s="26">
        <f ca="1">IF(LeadTime=0,P361,IF(AND(SUM(Q360:OFFSET(Q361,-LeadTime,0))=0,P361&gt;0),MAX(P361:OFFSET(P361,-LeadTime+1,0)),0))</f>
        <v>0</v>
      </c>
    </row>
    <row r="362" spans="1:17" x14ac:dyDescent="0.2">
      <c r="A362" s="135">
        <v>40050</v>
      </c>
      <c r="B362" s="26"/>
      <c r="C362" s="26"/>
      <c r="D362" s="26"/>
      <c r="E362" s="26"/>
      <c r="F362" s="26">
        <f t="shared" si="36"/>
        <v>0</v>
      </c>
      <c r="G362" s="22" t="str">
        <f t="shared" ca="1" si="37"/>
        <v>History</v>
      </c>
      <c r="H362" s="22">
        <f t="shared" si="38"/>
        <v>2009</v>
      </c>
      <c r="I362" s="22">
        <f t="shared" si="39"/>
        <v>8</v>
      </c>
      <c r="J362" s="22">
        <f t="shared" si="33"/>
        <v>35</v>
      </c>
      <c r="K362" s="22">
        <v>1</v>
      </c>
      <c r="L362" s="22">
        <f ca="1">SUM(K362:OFFSET(RngToDay,ROWS(Dates),10))</f>
        <v>162</v>
      </c>
      <c r="M362" s="26" t="str">
        <f ca="1">IF(B362="","",SUM(C362:OFFSET(C362,-LeadTime+1,0)))</f>
        <v/>
      </c>
      <c r="N362" s="26" t="e">
        <f t="shared" ca="1" si="34"/>
        <v>#DIV/0!</v>
      </c>
      <c r="O362" s="22">
        <f t="shared" si="40"/>
        <v>362</v>
      </c>
      <c r="P362" s="26">
        <f t="shared" ca="1" si="35"/>
        <v>0</v>
      </c>
      <c r="Q362" s="26">
        <f ca="1">IF(LeadTime=0,P362,IF(AND(SUM(Q361:OFFSET(Q362,-LeadTime,0))=0,P362&gt;0),MAX(P362:OFFSET(P362,-LeadTime+1,0)),0))</f>
        <v>0</v>
      </c>
    </row>
    <row r="363" spans="1:17" x14ac:dyDescent="0.2">
      <c r="A363" s="135">
        <v>40049</v>
      </c>
      <c r="B363" s="26"/>
      <c r="C363" s="26"/>
      <c r="D363" s="26"/>
      <c r="E363" s="26"/>
      <c r="F363" s="26">
        <f t="shared" si="36"/>
        <v>0</v>
      </c>
      <c r="G363" s="22" t="str">
        <f t="shared" ca="1" si="37"/>
        <v>History</v>
      </c>
      <c r="H363" s="22">
        <f t="shared" si="38"/>
        <v>2009</v>
      </c>
      <c r="I363" s="22">
        <f t="shared" si="39"/>
        <v>8</v>
      </c>
      <c r="J363" s="22">
        <f t="shared" si="33"/>
        <v>35</v>
      </c>
      <c r="K363" s="22">
        <v>1</v>
      </c>
      <c r="L363" s="22">
        <f ca="1">SUM(K363:OFFSET(RngToDay,ROWS(Dates),10))</f>
        <v>161</v>
      </c>
      <c r="M363" s="26" t="str">
        <f ca="1">IF(B363="","",SUM(C363:OFFSET(C363,-LeadTime+1,0)))</f>
        <v/>
      </c>
      <c r="N363" s="26" t="e">
        <f t="shared" ca="1" si="34"/>
        <v>#DIV/0!</v>
      </c>
      <c r="O363" s="22">
        <f t="shared" si="40"/>
        <v>363</v>
      </c>
      <c r="P363" s="26">
        <f t="shared" ca="1" si="35"/>
        <v>0</v>
      </c>
      <c r="Q363" s="26">
        <f ca="1">IF(LeadTime=0,P363,IF(AND(SUM(Q362:OFFSET(Q363,-LeadTime,0))=0,P363&gt;0),MAX(P363:OFFSET(P363,-LeadTime+1,0)),0))</f>
        <v>0</v>
      </c>
    </row>
    <row r="364" spans="1:17" x14ac:dyDescent="0.2">
      <c r="A364" s="135">
        <v>40046</v>
      </c>
      <c r="B364" s="26"/>
      <c r="C364" s="26"/>
      <c r="D364" s="26"/>
      <c r="E364" s="26"/>
      <c r="F364" s="26">
        <f t="shared" si="36"/>
        <v>0</v>
      </c>
      <c r="G364" s="22" t="str">
        <f t="shared" ca="1" si="37"/>
        <v>History</v>
      </c>
      <c r="H364" s="22">
        <f t="shared" si="38"/>
        <v>2009</v>
      </c>
      <c r="I364" s="22">
        <f t="shared" si="39"/>
        <v>8</v>
      </c>
      <c r="J364" s="22">
        <f t="shared" si="33"/>
        <v>34</v>
      </c>
      <c r="K364" s="22">
        <v>1</v>
      </c>
      <c r="L364" s="22">
        <f ca="1">SUM(K364:OFFSET(RngToDay,ROWS(Dates),10))</f>
        <v>160</v>
      </c>
      <c r="M364" s="26" t="str">
        <f ca="1">IF(B364="","",SUM(C364:OFFSET(C364,-LeadTime+1,0)))</f>
        <v/>
      </c>
      <c r="N364" s="26" t="e">
        <f t="shared" ca="1" si="34"/>
        <v>#DIV/0!</v>
      </c>
      <c r="O364" s="22">
        <f t="shared" si="40"/>
        <v>364</v>
      </c>
      <c r="P364" s="26">
        <f t="shared" ca="1" si="35"/>
        <v>0</v>
      </c>
      <c r="Q364" s="26">
        <f ca="1">IF(LeadTime=0,P364,IF(AND(SUM(Q363:OFFSET(Q364,-LeadTime,0))=0,P364&gt;0),MAX(P364:OFFSET(P364,-LeadTime+1,0)),0))</f>
        <v>0</v>
      </c>
    </row>
    <row r="365" spans="1:17" x14ac:dyDescent="0.2">
      <c r="A365" s="135">
        <v>40045</v>
      </c>
      <c r="B365" s="26"/>
      <c r="C365" s="26"/>
      <c r="D365" s="26"/>
      <c r="E365" s="26"/>
      <c r="F365" s="26">
        <f t="shared" si="36"/>
        <v>0</v>
      </c>
      <c r="G365" s="22" t="str">
        <f t="shared" ca="1" si="37"/>
        <v>History</v>
      </c>
      <c r="H365" s="22">
        <f t="shared" si="38"/>
        <v>2009</v>
      </c>
      <c r="I365" s="22">
        <f t="shared" si="39"/>
        <v>8</v>
      </c>
      <c r="J365" s="22">
        <f t="shared" si="33"/>
        <v>34</v>
      </c>
      <c r="K365" s="22">
        <v>1</v>
      </c>
      <c r="L365" s="22">
        <f ca="1">SUM(K365:OFFSET(RngToDay,ROWS(Dates),10))</f>
        <v>159</v>
      </c>
      <c r="M365" s="26" t="str">
        <f ca="1">IF(B365="","",SUM(C365:OFFSET(C365,-LeadTime+1,0)))</f>
        <v/>
      </c>
      <c r="N365" s="26" t="e">
        <f t="shared" ca="1" si="34"/>
        <v>#DIV/0!</v>
      </c>
      <c r="O365" s="22">
        <f t="shared" si="40"/>
        <v>365</v>
      </c>
      <c r="P365" s="26">
        <f t="shared" ca="1" si="35"/>
        <v>0</v>
      </c>
      <c r="Q365" s="26">
        <f ca="1">IF(LeadTime=0,P365,IF(AND(SUM(Q364:OFFSET(Q365,-LeadTime,0))=0,P365&gt;0),MAX(P365:OFFSET(P365,-LeadTime+1,0)),0))</f>
        <v>0</v>
      </c>
    </row>
    <row r="366" spans="1:17" x14ac:dyDescent="0.2">
      <c r="A366" s="135">
        <v>40044</v>
      </c>
      <c r="B366" s="26"/>
      <c r="C366" s="26"/>
      <c r="D366" s="26"/>
      <c r="E366" s="26"/>
      <c r="F366" s="26">
        <f t="shared" si="36"/>
        <v>0</v>
      </c>
      <c r="G366" s="22" t="str">
        <f t="shared" ca="1" si="37"/>
        <v>History</v>
      </c>
      <c r="H366" s="22">
        <f t="shared" si="38"/>
        <v>2009</v>
      </c>
      <c r="I366" s="22">
        <f t="shared" si="39"/>
        <v>8</v>
      </c>
      <c r="J366" s="22">
        <f t="shared" si="33"/>
        <v>34</v>
      </c>
      <c r="K366" s="22">
        <v>1</v>
      </c>
      <c r="L366" s="22">
        <f ca="1">SUM(K366:OFFSET(RngToDay,ROWS(Dates),10))</f>
        <v>158</v>
      </c>
      <c r="M366" s="26" t="str">
        <f ca="1">IF(B366="","",SUM(C366:OFFSET(C366,-LeadTime+1,0)))</f>
        <v/>
      </c>
      <c r="N366" s="26" t="e">
        <f t="shared" ca="1" si="34"/>
        <v>#DIV/0!</v>
      </c>
      <c r="O366" s="22">
        <f t="shared" si="40"/>
        <v>366</v>
      </c>
      <c r="P366" s="26">
        <f t="shared" ca="1" si="35"/>
        <v>0</v>
      </c>
      <c r="Q366" s="26">
        <f ca="1">IF(LeadTime=0,P366,IF(AND(SUM(Q365:OFFSET(Q366,-LeadTime,0))=0,P366&gt;0),MAX(P366:OFFSET(P366,-LeadTime+1,0)),0))</f>
        <v>0</v>
      </c>
    </row>
    <row r="367" spans="1:17" x14ac:dyDescent="0.2">
      <c r="A367" s="135">
        <v>40043</v>
      </c>
      <c r="B367" s="26"/>
      <c r="C367" s="26"/>
      <c r="D367" s="26"/>
      <c r="E367" s="26"/>
      <c r="F367" s="26">
        <f t="shared" si="36"/>
        <v>0</v>
      </c>
      <c r="G367" s="22" t="str">
        <f t="shared" ca="1" si="37"/>
        <v>History</v>
      </c>
      <c r="H367" s="22">
        <f t="shared" si="38"/>
        <v>2009</v>
      </c>
      <c r="I367" s="22">
        <f t="shared" si="39"/>
        <v>8</v>
      </c>
      <c r="J367" s="22">
        <f t="shared" si="33"/>
        <v>34</v>
      </c>
      <c r="K367" s="22">
        <v>1</v>
      </c>
      <c r="L367" s="22">
        <f ca="1">SUM(K367:OFFSET(RngToDay,ROWS(Dates),10))</f>
        <v>157</v>
      </c>
      <c r="M367" s="26" t="str">
        <f ca="1">IF(B367="","",SUM(C367:OFFSET(C367,-LeadTime+1,0)))</f>
        <v/>
      </c>
      <c r="N367" s="26" t="e">
        <f t="shared" ca="1" si="34"/>
        <v>#DIV/0!</v>
      </c>
      <c r="O367" s="22">
        <f t="shared" si="40"/>
        <v>367</v>
      </c>
      <c r="P367" s="26">
        <f t="shared" ca="1" si="35"/>
        <v>0</v>
      </c>
      <c r="Q367" s="26">
        <f ca="1">IF(LeadTime=0,P367,IF(AND(SUM(Q366:OFFSET(Q367,-LeadTime,0))=0,P367&gt;0),MAX(P367:OFFSET(P367,-LeadTime+1,0)),0))</f>
        <v>0</v>
      </c>
    </row>
    <row r="368" spans="1:17" x14ac:dyDescent="0.2">
      <c r="A368" s="135">
        <v>40042</v>
      </c>
      <c r="B368" s="26"/>
      <c r="C368" s="26"/>
      <c r="D368" s="26"/>
      <c r="E368" s="26"/>
      <c r="F368" s="26">
        <f t="shared" si="36"/>
        <v>0</v>
      </c>
      <c r="G368" s="22" t="str">
        <f t="shared" ca="1" si="37"/>
        <v>History</v>
      </c>
      <c r="H368" s="22">
        <f t="shared" si="38"/>
        <v>2009</v>
      </c>
      <c r="I368" s="22">
        <f t="shared" si="39"/>
        <v>8</v>
      </c>
      <c r="J368" s="22">
        <f t="shared" si="33"/>
        <v>34</v>
      </c>
      <c r="K368" s="22">
        <v>1</v>
      </c>
      <c r="L368" s="22">
        <f ca="1">SUM(K368:OFFSET(RngToDay,ROWS(Dates),10))</f>
        <v>156</v>
      </c>
      <c r="M368" s="26" t="str">
        <f ca="1">IF(B368="","",SUM(C368:OFFSET(C368,-LeadTime+1,0)))</f>
        <v/>
      </c>
      <c r="N368" s="26" t="e">
        <f t="shared" ca="1" si="34"/>
        <v>#DIV/0!</v>
      </c>
      <c r="O368" s="22">
        <f t="shared" si="40"/>
        <v>368</v>
      </c>
      <c r="P368" s="26">
        <f t="shared" ca="1" si="35"/>
        <v>0</v>
      </c>
      <c r="Q368" s="26">
        <f ca="1">IF(LeadTime=0,P368,IF(AND(SUM(Q367:OFFSET(Q368,-LeadTime,0))=0,P368&gt;0),MAX(P368:OFFSET(P368,-LeadTime+1,0)),0))</f>
        <v>0</v>
      </c>
    </row>
    <row r="369" spans="1:17" x14ac:dyDescent="0.2">
      <c r="A369" s="135">
        <v>40039</v>
      </c>
      <c r="B369" s="26"/>
      <c r="C369" s="26"/>
      <c r="D369" s="26"/>
      <c r="E369" s="26"/>
      <c r="F369" s="26">
        <f t="shared" si="36"/>
        <v>0</v>
      </c>
      <c r="G369" s="22" t="str">
        <f t="shared" ca="1" si="37"/>
        <v>History</v>
      </c>
      <c r="H369" s="22">
        <f t="shared" si="38"/>
        <v>2009</v>
      </c>
      <c r="I369" s="22">
        <f t="shared" si="39"/>
        <v>8</v>
      </c>
      <c r="J369" s="22">
        <f t="shared" si="33"/>
        <v>33</v>
      </c>
      <c r="K369" s="22">
        <v>1</v>
      </c>
      <c r="L369" s="22">
        <f ca="1">SUM(K369:OFFSET(RngToDay,ROWS(Dates),10))</f>
        <v>155</v>
      </c>
      <c r="M369" s="26" t="str">
        <f ca="1">IF(B369="","",SUM(C369:OFFSET(C369,-LeadTime+1,0)))</f>
        <v/>
      </c>
      <c r="N369" s="26" t="e">
        <f t="shared" ca="1" si="34"/>
        <v>#DIV/0!</v>
      </c>
      <c r="O369" s="22">
        <f t="shared" si="40"/>
        <v>369</v>
      </c>
      <c r="P369" s="26">
        <f t="shared" ca="1" si="35"/>
        <v>0</v>
      </c>
      <c r="Q369" s="26">
        <f ca="1">IF(LeadTime=0,P369,IF(AND(SUM(Q368:OFFSET(Q369,-LeadTime,0))=0,P369&gt;0),MAX(P369:OFFSET(P369,-LeadTime+1,0)),0))</f>
        <v>0</v>
      </c>
    </row>
    <row r="370" spans="1:17" x14ac:dyDescent="0.2">
      <c r="A370" s="135">
        <v>40038</v>
      </c>
      <c r="B370" s="26"/>
      <c r="C370" s="26"/>
      <c r="D370" s="26"/>
      <c r="E370" s="26"/>
      <c r="F370" s="26">
        <f t="shared" si="36"/>
        <v>0</v>
      </c>
      <c r="G370" s="22" t="str">
        <f t="shared" ca="1" si="37"/>
        <v>History</v>
      </c>
      <c r="H370" s="22">
        <f t="shared" si="38"/>
        <v>2009</v>
      </c>
      <c r="I370" s="22">
        <f t="shared" si="39"/>
        <v>8</v>
      </c>
      <c r="J370" s="22">
        <f t="shared" si="33"/>
        <v>33</v>
      </c>
      <c r="K370" s="22">
        <v>1</v>
      </c>
      <c r="L370" s="22">
        <f ca="1">SUM(K370:OFFSET(RngToDay,ROWS(Dates),10))</f>
        <v>154</v>
      </c>
      <c r="M370" s="26" t="str">
        <f ca="1">IF(B370="","",SUM(C370:OFFSET(C370,-LeadTime+1,0)))</f>
        <v/>
      </c>
      <c r="N370" s="26" t="e">
        <f t="shared" ca="1" si="34"/>
        <v>#DIV/0!</v>
      </c>
      <c r="O370" s="22">
        <f t="shared" si="40"/>
        <v>370</v>
      </c>
      <c r="P370" s="26">
        <f t="shared" ca="1" si="35"/>
        <v>0</v>
      </c>
      <c r="Q370" s="26">
        <f ca="1">IF(LeadTime=0,P370,IF(AND(SUM(Q369:OFFSET(Q370,-LeadTime,0))=0,P370&gt;0),MAX(P370:OFFSET(P370,-LeadTime+1,0)),0))</f>
        <v>0</v>
      </c>
    </row>
    <row r="371" spans="1:17" x14ac:dyDescent="0.2">
      <c r="A371" s="135">
        <v>40037</v>
      </c>
      <c r="B371" s="26"/>
      <c r="C371" s="26"/>
      <c r="D371" s="26"/>
      <c r="E371" s="26"/>
      <c r="F371" s="26">
        <f t="shared" si="36"/>
        <v>0</v>
      </c>
      <c r="G371" s="22" t="str">
        <f t="shared" ca="1" si="37"/>
        <v>History</v>
      </c>
      <c r="H371" s="22">
        <f t="shared" si="38"/>
        <v>2009</v>
      </c>
      <c r="I371" s="22">
        <f t="shared" si="39"/>
        <v>8</v>
      </c>
      <c r="J371" s="22">
        <f t="shared" si="33"/>
        <v>33</v>
      </c>
      <c r="K371" s="22">
        <v>1</v>
      </c>
      <c r="L371" s="22">
        <f ca="1">SUM(K371:OFFSET(RngToDay,ROWS(Dates),10))</f>
        <v>153</v>
      </c>
      <c r="M371" s="26" t="str">
        <f ca="1">IF(B371="","",SUM(C371:OFFSET(C371,-LeadTime+1,0)))</f>
        <v/>
      </c>
      <c r="N371" s="26" t="e">
        <f t="shared" ca="1" si="34"/>
        <v>#DIV/0!</v>
      </c>
      <c r="O371" s="22">
        <f t="shared" si="40"/>
        <v>371</v>
      </c>
      <c r="P371" s="26">
        <f t="shared" ca="1" si="35"/>
        <v>0</v>
      </c>
      <c r="Q371" s="26">
        <f ca="1">IF(LeadTime=0,P371,IF(AND(SUM(Q370:OFFSET(Q371,-LeadTime,0))=0,P371&gt;0),MAX(P371:OFFSET(P371,-LeadTime+1,0)),0))</f>
        <v>0</v>
      </c>
    </row>
    <row r="372" spans="1:17" x14ac:dyDescent="0.2">
      <c r="A372" s="135">
        <v>40036</v>
      </c>
      <c r="B372" s="26"/>
      <c r="C372" s="26"/>
      <c r="D372" s="26"/>
      <c r="E372" s="26"/>
      <c r="F372" s="26">
        <f t="shared" si="36"/>
        <v>0</v>
      </c>
      <c r="G372" s="22" t="str">
        <f t="shared" ca="1" si="37"/>
        <v>History</v>
      </c>
      <c r="H372" s="22">
        <f t="shared" si="38"/>
        <v>2009</v>
      </c>
      <c r="I372" s="22">
        <f t="shared" si="39"/>
        <v>8</v>
      </c>
      <c r="J372" s="22">
        <f t="shared" si="33"/>
        <v>33</v>
      </c>
      <c r="K372" s="22">
        <v>1</v>
      </c>
      <c r="L372" s="22">
        <f ca="1">SUM(K372:OFFSET(RngToDay,ROWS(Dates),10))</f>
        <v>152</v>
      </c>
      <c r="M372" s="26" t="str">
        <f ca="1">IF(B372="","",SUM(C372:OFFSET(C372,-LeadTime+1,0)))</f>
        <v/>
      </c>
      <c r="N372" s="26" t="e">
        <f t="shared" ca="1" si="34"/>
        <v>#DIV/0!</v>
      </c>
      <c r="O372" s="22">
        <f t="shared" si="40"/>
        <v>372</v>
      </c>
      <c r="P372" s="26">
        <f t="shared" ca="1" si="35"/>
        <v>0</v>
      </c>
      <c r="Q372" s="26">
        <f ca="1">IF(LeadTime=0,P372,IF(AND(SUM(Q371:OFFSET(Q372,-LeadTime,0))=0,P372&gt;0),MAX(P372:OFFSET(P372,-LeadTime+1,0)),0))</f>
        <v>0</v>
      </c>
    </row>
    <row r="373" spans="1:17" x14ac:dyDescent="0.2">
      <c r="A373" s="135">
        <v>40035</v>
      </c>
      <c r="B373" s="26"/>
      <c r="C373" s="26"/>
      <c r="D373" s="26"/>
      <c r="E373" s="26"/>
      <c r="F373" s="26">
        <f t="shared" si="36"/>
        <v>0</v>
      </c>
      <c r="G373" s="22" t="str">
        <f t="shared" ca="1" si="37"/>
        <v>History</v>
      </c>
      <c r="H373" s="22">
        <f t="shared" si="38"/>
        <v>2009</v>
      </c>
      <c r="I373" s="22">
        <f t="shared" si="39"/>
        <v>8</v>
      </c>
      <c r="J373" s="22">
        <f t="shared" si="33"/>
        <v>33</v>
      </c>
      <c r="K373" s="22">
        <v>1</v>
      </c>
      <c r="L373" s="22">
        <f ca="1">SUM(K373:OFFSET(RngToDay,ROWS(Dates),10))</f>
        <v>151</v>
      </c>
      <c r="M373" s="26" t="str">
        <f ca="1">IF(B373="","",SUM(C373:OFFSET(C373,-LeadTime+1,0)))</f>
        <v/>
      </c>
      <c r="N373" s="26" t="e">
        <f t="shared" ca="1" si="34"/>
        <v>#DIV/0!</v>
      </c>
      <c r="O373" s="22">
        <f t="shared" si="40"/>
        <v>373</v>
      </c>
      <c r="P373" s="26">
        <f t="shared" ca="1" si="35"/>
        <v>0</v>
      </c>
      <c r="Q373" s="26">
        <f ca="1">IF(LeadTime=0,P373,IF(AND(SUM(Q372:OFFSET(Q373,-LeadTime,0))=0,P373&gt;0),MAX(P373:OFFSET(P373,-LeadTime+1,0)),0))</f>
        <v>0</v>
      </c>
    </row>
    <row r="374" spans="1:17" x14ac:dyDescent="0.2">
      <c r="A374" s="135">
        <v>40032</v>
      </c>
      <c r="B374" s="26"/>
      <c r="C374" s="26"/>
      <c r="D374" s="26"/>
      <c r="E374" s="26"/>
      <c r="F374" s="26">
        <f t="shared" si="36"/>
        <v>0</v>
      </c>
      <c r="G374" s="22" t="str">
        <f t="shared" ca="1" si="37"/>
        <v>History</v>
      </c>
      <c r="H374" s="22">
        <f t="shared" si="38"/>
        <v>2009</v>
      </c>
      <c r="I374" s="22">
        <f t="shared" si="39"/>
        <v>8</v>
      </c>
      <c r="J374" s="22">
        <f t="shared" si="33"/>
        <v>32</v>
      </c>
      <c r="K374" s="22">
        <v>1</v>
      </c>
      <c r="L374" s="22">
        <f ca="1">SUM(K374:OFFSET(RngToDay,ROWS(Dates),10))</f>
        <v>150</v>
      </c>
      <c r="M374" s="26" t="str">
        <f ca="1">IF(B374="","",SUM(C374:OFFSET(C374,-LeadTime+1,0)))</f>
        <v/>
      </c>
      <c r="N374" s="26" t="e">
        <f t="shared" ca="1" si="34"/>
        <v>#DIV/0!</v>
      </c>
      <c r="O374" s="22">
        <f t="shared" si="40"/>
        <v>374</v>
      </c>
      <c r="P374" s="26">
        <f t="shared" ca="1" si="35"/>
        <v>0</v>
      </c>
      <c r="Q374" s="26">
        <f ca="1">IF(LeadTime=0,P374,IF(AND(SUM(Q373:OFFSET(Q374,-LeadTime,0))=0,P374&gt;0),MAX(P374:OFFSET(P374,-LeadTime+1,0)),0))</f>
        <v>0</v>
      </c>
    </row>
    <row r="375" spans="1:17" x14ac:dyDescent="0.2">
      <c r="A375" s="135">
        <v>40031</v>
      </c>
      <c r="B375" s="26"/>
      <c r="C375" s="26"/>
      <c r="D375" s="26"/>
      <c r="E375" s="26"/>
      <c r="F375" s="26">
        <f t="shared" si="36"/>
        <v>0</v>
      </c>
      <c r="G375" s="22" t="str">
        <f t="shared" ca="1" si="37"/>
        <v>History</v>
      </c>
      <c r="H375" s="22">
        <f t="shared" si="38"/>
        <v>2009</v>
      </c>
      <c r="I375" s="22">
        <f t="shared" si="39"/>
        <v>8</v>
      </c>
      <c r="J375" s="22">
        <f t="shared" si="33"/>
        <v>32</v>
      </c>
      <c r="K375" s="22">
        <v>1</v>
      </c>
      <c r="L375" s="22">
        <f ca="1">SUM(K375:OFFSET(RngToDay,ROWS(Dates),10))</f>
        <v>149</v>
      </c>
      <c r="M375" s="26" t="str">
        <f ca="1">IF(B375="","",SUM(C375:OFFSET(C375,-LeadTime+1,0)))</f>
        <v/>
      </c>
      <c r="N375" s="26" t="e">
        <f t="shared" ca="1" si="34"/>
        <v>#DIV/0!</v>
      </c>
      <c r="O375" s="22">
        <f t="shared" si="40"/>
        <v>375</v>
      </c>
      <c r="P375" s="26">
        <f t="shared" ca="1" si="35"/>
        <v>0</v>
      </c>
      <c r="Q375" s="26">
        <f ca="1">IF(LeadTime=0,P375,IF(AND(SUM(Q374:OFFSET(Q375,-LeadTime,0))=0,P375&gt;0),MAX(P375:OFFSET(P375,-LeadTime+1,0)),0))</f>
        <v>0</v>
      </c>
    </row>
    <row r="376" spans="1:17" x14ac:dyDescent="0.2">
      <c r="A376" s="135">
        <v>40030</v>
      </c>
      <c r="B376" s="26"/>
      <c r="C376" s="26"/>
      <c r="D376" s="26"/>
      <c r="E376" s="26"/>
      <c r="F376" s="26">
        <f t="shared" si="36"/>
        <v>0</v>
      </c>
      <c r="G376" s="22" t="str">
        <f t="shared" ca="1" si="37"/>
        <v>History</v>
      </c>
      <c r="H376" s="22">
        <f t="shared" si="38"/>
        <v>2009</v>
      </c>
      <c r="I376" s="22">
        <f t="shared" si="39"/>
        <v>8</v>
      </c>
      <c r="J376" s="22">
        <f t="shared" ref="J376:J439" si="41">IF(WEEKDAY(DATE(YEAR(A376),1,1),2)&gt;4,WEEKNUM(A376,2)-1,WEEKNUM(A376,2))</f>
        <v>32</v>
      </c>
      <c r="K376" s="22">
        <v>1</v>
      </c>
      <c r="L376" s="22">
        <f ca="1">SUM(K376:OFFSET(RngToDay,ROWS(Dates),10))</f>
        <v>148</v>
      </c>
      <c r="M376" s="26" t="str">
        <f ca="1">IF(B376="","",SUM(C376:OFFSET(C376,-LeadTime+1,0)))</f>
        <v/>
      </c>
      <c r="N376" s="26" t="e">
        <f t="shared" ca="1" si="34"/>
        <v>#DIV/0!</v>
      </c>
      <c r="O376" s="22">
        <f t="shared" si="40"/>
        <v>376</v>
      </c>
      <c r="P376" s="26">
        <f t="shared" ca="1" si="35"/>
        <v>0</v>
      </c>
      <c r="Q376" s="26">
        <f ca="1">IF(LeadTime=0,P376,IF(AND(SUM(Q375:OFFSET(Q376,-LeadTime,0))=0,P376&gt;0),MAX(P376:OFFSET(P376,-LeadTime+1,0)),0))</f>
        <v>0</v>
      </c>
    </row>
    <row r="377" spans="1:17" x14ac:dyDescent="0.2">
      <c r="A377" s="135">
        <v>40029</v>
      </c>
      <c r="B377" s="26"/>
      <c r="C377" s="26"/>
      <c r="D377" s="26"/>
      <c r="E377" s="26"/>
      <c r="F377" s="26">
        <f t="shared" si="36"/>
        <v>0</v>
      </c>
      <c r="G377" s="22" t="str">
        <f t="shared" ca="1" si="37"/>
        <v>History</v>
      </c>
      <c r="H377" s="22">
        <f t="shared" si="38"/>
        <v>2009</v>
      </c>
      <c r="I377" s="22">
        <f t="shared" si="39"/>
        <v>8</v>
      </c>
      <c r="J377" s="22">
        <f t="shared" si="41"/>
        <v>32</v>
      </c>
      <c r="K377" s="22">
        <v>1</v>
      </c>
      <c r="L377" s="22">
        <f ca="1">SUM(K377:OFFSET(RngToDay,ROWS(Dates),10))</f>
        <v>147</v>
      </c>
      <c r="M377" s="26" t="str">
        <f ca="1">IF(B377="","",SUM(C377:OFFSET(C377,-LeadTime+1,0)))</f>
        <v/>
      </c>
      <c r="N377" s="26" t="e">
        <f t="shared" ca="1" si="34"/>
        <v>#DIV/0!</v>
      </c>
      <c r="O377" s="22">
        <f t="shared" si="40"/>
        <v>377</v>
      </c>
      <c r="P377" s="26">
        <f t="shared" ca="1" si="35"/>
        <v>0</v>
      </c>
      <c r="Q377" s="26">
        <f ca="1">IF(LeadTime=0,P377,IF(AND(SUM(Q376:OFFSET(Q377,-LeadTime,0))=0,P377&gt;0),MAX(P377:OFFSET(P377,-LeadTime+1,0)),0))</f>
        <v>0</v>
      </c>
    </row>
    <row r="378" spans="1:17" x14ac:dyDescent="0.2">
      <c r="A378" s="135">
        <v>40028</v>
      </c>
      <c r="B378" s="26"/>
      <c r="C378" s="26"/>
      <c r="D378" s="26"/>
      <c r="E378" s="26"/>
      <c r="F378" s="26">
        <f t="shared" si="36"/>
        <v>0</v>
      </c>
      <c r="G378" s="22" t="str">
        <f t="shared" ca="1" si="37"/>
        <v>History</v>
      </c>
      <c r="H378" s="22">
        <f t="shared" si="38"/>
        <v>2009</v>
      </c>
      <c r="I378" s="22">
        <f t="shared" si="39"/>
        <v>8</v>
      </c>
      <c r="J378" s="22">
        <f t="shared" si="41"/>
        <v>32</v>
      </c>
      <c r="K378" s="22">
        <v>1</v>
      </c>
      <c r="L378" s="22">
        <f ca="1">SUM(K378:OFFSET(RngToDay,ROWS(Dates),10))</f>
        <v>146</v>
      </c>
      <c r="M378" s="26" t="str">
        <f ca="1">IF(B378="","",SUM(C378:OFFSET(C378,-LeadTime+1,0)))</f>
        <v/>
      </c>
      <c r="N378" s="26" t="e">
        <f t="shared" ref="N378:N441" ca="1" si="42">Saf_Stock</f>
        <v>#DIV/0!</v>
      </c>
      <c r="O378" s="22">
        <f t="shared" si="40"/>
        <v>378</v>
      </c>
      <c r="P378" s="26">
        <f t="shared" ca="1" si="35"/>
        <v>0</v>
      </c>
      <c r="Q378" s="26">
        <f ca="1">IF(LeadTime=0,P378,IF(AND(SUM(Q377:OFFSET(Q378,-LeadTime,0))=0,P378&gt;0),MAX(P378:OFFSET(P378,-LeadTime+1,0)),0))</f>
        <v>0</v>
      </c>
    </row>
    <row r="379" spans="1:17" x14ac:dyDescent="0.2">
      <c r="A379" s="135">
        <v>40025</v>
      </c>
      <c r="B379" s="26"/>
      <c r="C379" s="26"/>
      <c r="D379" s="26"/>
      <c r="E379" s="26"/>
      <c r="F379" s="26">
        <f t="shared" si="36"/>
        <v>0</v>
      </c>
      <c r="G379" s="22" t="str">
        <f t="shared" ca="1" si="37"/>
        <v>History</v>
      </c>
      <c r="H379" s="22">
        <f t="shared" si="38"/>
        <v>2009</v>
      </c>
      <c r="I379" s="22">
        <f t="shared" si="39"/>
        <v>7</v>
      </c>
      <c r="J379" s="22">
        <f t="shared" si="41"/>
        <v>31</v>
      </c>
      <c r="K379" s="22">
        <v>1</v>
      </c>
      <c r="L379" s="22">
        <f ca="1">SUM(K379:OFFSET(RngToDay,ROWS(Dates),10))</f>
        <v>145</v>
      </c>
      <c r="M379" s="26" t="str">
        <f ca="1">IF(B379="","",SUM(C379:OFFSET(C379,-LeadTime+1,0)))</f>
        <v/>
      </c>
      <c r="N379" s="26" t="e">
        <f t="shared" ca="1" si="42"/>
        <v>#DIV/0!</v>
      </c>
      <c r="O379" s="22">
        <f t="shared" si="40"/>
        <v>379</v>
      </c>
      <c r="P379" s="26">
        <f t="shared" ref="P379:P442" ca="1" si="43">IF(M379="",0,IF(M379&gt;N379,M379-N379,0))</f>
        <v>0</v>
      </c>
      <c r="Q379" s="26">
        <f ca="1">IF(LeadTime=0,P379,IF(AND(SUM(Q378:OFFSET(Q379,-LeadTime,0))=0,P379&gt;0),MAX(P379:OFFSET(P379,-LeadTime+1,0)),0))</f>
        <v>0</v>
      </c>
    </row>
    <row r="380" spans="1:17" x14ac:dyDescent="0.2">
      <c r="A380" s="135">
        <v>40024</v>
      </c>
      <c r="B380" s="26"/>
      <c r="C380" s="26"/>
      <c r="D380" s="26"/>
      <c r="E380" s="26"/>
      <c r="F380" s="26">
        <f t="shared" ref="F380:F443" si="44">F379</f>
        <v>0</v>
      </c>
      <c r="G380" s="22" t="str">
        <f t="shared" ca="1" si="37"/>
        <v>History</v>
      </c>
      <c r="H380" s="22">
        <f t="shared" si="38"/>
        <v>2009</v>
      </c>
      <c r="I380" s="22">
        <f t="shared" si="39"/>
        <v>7</v>
      </c>
      <c r="J380" s="22">
        <f t="shared" si="41"/>
        <v>31</v>
      </c>
      <c r="K380" s="22">
        <v>1</v>
      </c>
      <c r="L380" s="22">
        <f ca="1">SUM(K380:OFFSET(RngToDay,ROWS(Dates),10))</f>
        <v>144</v>
      </c>
      <c r="M380" s="26" t="str">
        <f ca="1">IF(B380="","",SUM(C380:OFFSET(C380,-LeadTime+1,0)))</f>
        <v/>
      </c>
      <c r="N380" s="26" t="e">
        <f t="shared" ca="1" si="42"/>
        <v>#DIV/0!</v>
      </c>
      <c r="O380" s="22">
        <f t="shared" si="40"/>
        <v>380</v>
      </c>
      <c r="P380" s="26">
        <f t="shared" ca="1" si="43"/>
        <v>0</v>
      </c>
      <c r="Q380" s="26">
        <f ca="1">IF(LeadTime=0,P380,IF(AND(SUM(Q379:OFFSET(Q380,-LeadTime,0))=0,P380&gt;0),MAX(P380:OFFSET(P380,-LeadTime+1,0)),0))</f>
        <v>0</v>
      </c>
    </row>
    <row r="381" spans="1:17" x14ac:dyDescent="0.2">
      <c r="A381" s="135">
        <v>40023</v>
      </c>
      <c r="B381" s="26"/>
      <c r="C381" s="26"/>
      <c r="D381" s="26"/>
      <c r="E381" s="26"/>
      <c r="F381" s="26">
        <f t="shared" si="44"/>
        <v>0</v>
      </c>
      <c r="G381" s="22" t="str">
        <f t="shared" ca="1" si="37"/>
        <v>History</v>
      </c>
      <c r="H381" s="22">
        <f t="shared" si="38"/>
        <v>2009</v>
      </c>
      <c r="I381" s="22">
        <f t="shared" si="39"/>
        <v>7</v>
      </c>
      <c r="J381" s="22">
        <f t="shared" si="41"/>
        <v>31</v>
      </c>
      <c r="K381" s="22">
        <v>1</v>
      </c>
      <c r="L381" s="22">
        <f ca="1">SUM(K381:OFFSET(RngToDay,ROWS(Dates),10))</f>
        <v>143</v>
      </c>
      <c r="M381" s="26" t="str">
        <f ca="1">IF(B381="","",SUM(C381:OFFSET(C381,-LeadTime+1,0)))</f>
        <v/>
      </c>
      <c r="N381" s="26" t="e">
        <f t="shared" ca="1" si="42"/>
        <v>#DIV/0!</v>
      </c>
      <c r="O381" s="22">
        <f t="shared" si="40"/>
        <v>381</v>
      </c>
      <c r="P381" s="26">
        <f t="shared" ca="1" si="43"/>
        <v>0</v>
      </c>
      <c r="Q381" s="26">
        <f ca="1">IF(LeadTime=0,P381,IF(AND(SUM(Q380:OFFSET(Q381,-LeadTime,0))=0,P381&gt;0),MAX(P381:OFFSET(P381,-LeadTime+1,0)),0))</f>
        <v>0</v>
      </c>
    </row>
    <row r="382" spans="1:17" x14ac:dyDescent="0.2">
      <c r="A382" s="135">
        <v>40022</v>
      </c>
      <c r="B382" s="26"/>
      <c r="C382" s="26"/>
      <c r="D382" s="26"/>
      <c r="E382" s="26"/>
      <c r="F382" s="26">
        <f t="shared" si="44"/>
        <v>0</v>
      </c>
      <c r="G382" s="22" t="str">
        <f t="shared" ca="1" si="37"/>
        <v>History</v>
      </c>
      <c r="H382" s="22">
        <f t="shared" si="38"/>
        <v>2009</v>
      </c>
      <c r="I382" s="22">
        <f t="shared" si="39"/>
        <v>7</v>
      </c>
      <c r="J382" s="22">
        <f t="shared" si="41"/>
        <v>31</v>
      </c>
      <c r="K382" s="22">
        <v>1</v>
      </c>
      <c r="L382" s="22">
        <f ca="1">SUM(K382:OFFSET(RngToDay,ROWS(Dates),10))</f>
        <v>142</v>
      </c>
      <c r="M382" s="26" t="str">
        <f ca="1">IF(B382="","",SUM(C382:OFFSET(C382,-LeadTime+1,0)))</f>
        <v/>
      </c>
      <c r="N382" s="26" t="e">
        <f t="shared" ca="1" si="42"/>
        <v>#DIV/0!</v>
      </c>
      <c r="O382" s="22">
        <f t="shared" si="40"/>
        <v>382</v>
      </c>
      <c r="P382" s="26">
        <f t="shared" ca="1" si="43"/>
        <v>0</v>
      </c>
      <c r="Q382" s="26">
        <f ca="1">IF(LeadTime=0,P382,IF(AND(SUM(Q381:OFFSET(Q382,-LeadTime,0))=0,P382&gt;0),MAX(P382:OFFSET(P382,-LeadTime+1,0)),0))</f>
        <v>0</v>
      </c>
    </row>
    <row r="383" spans="1:17" x14ac:dyDescent="0.2">
      <c r="A383" s="135">
        <v>40021</v>
      </c>
      <c r="B383" s="26"/>
      <c r="C383" s="26"/>
      <c r="D383" s="26"/>
      <c r="E383" s="26"/>
      <c r="F383" s="26">
        <f t="shared" si="44"/>
        <v>0</v>
      </c>
      <c r="G383" s="22" t="str">
        <f t="shared" ca="1" si="37"/>
        <v>History</v>
      </c>
      <c r="H383" s="22">
        <f t="shared" si="38"/>
        <v>2009</v>
      </c>
      <c r="I383" s="22">
        <f t="shared" si="39"/>
        <v>7</v>
      </c>
      <c r="J383" s="22">
        <f t="shared" si="41"/>
        <v>31</v>
      </c>
      <c r="K383" s="22">
        <v>1</v>
      </c>
      <c r="L383" s="22">
        <f ca="1">SUM(K383:OFFSET(RngToDay,ROWS(Dates),10))</f>
        <v>141</v>
      </c>
      <c r="M383" s="26" t="str">
        <f ca="1">IF(B383="","",SUM(C383:OFFSET(C383,-LeadTime+1,0)))</f>
        <v/>
      </c>
      <c r="N383" s="26" t="e">
        <f t="shared" ca="1" si="42"/>
        <v>#DIV/0!</v>
      </c>
      <c r="O383" s="22">
        <f t="shared" si="40"/>
        <v>383</v>
      </c>
      <c r="P383" s="26">
        <f t="shared" ca="1" si="43"/>
        <v>0</v>
      </c>
      <c r="Q383" s="26">
        <f ca="1">IF(LeadTime=0,P383,IF(AND(SUM(Q382:OFFSET(Q383,-LeadTime,0))=0,P383&gt;0),MAX(P383:OFFSET(P383,-LeadTime+1,0)),0))</f>
        <v>0</v>
      </c>
    </row>
    <row r="384" spans="1:17" x14ac:dyDescent="0.2">
      <c r="A384" s="135">
        <v>40018</v>
      </c>
      <c r="B384" s="26"/>
      <c r="C384" s="26"/>
      <c r="D384" s="26"/>
      <c r="E384" s="26"/>
      <c r="F384" s="26">
        <f t="shared" si="44"/>
        <v>0</v>
      </c>
      <c r="G384" s="22" t="str">
        <f t="shared" ca="1" si="37"/>
        <v>History</v>
      </c>
      <c r="H384" s="22">
        <f t="shared" si="38"/>
        <v>2009</v>
      </c>
      <c r="I384" s="22">
        <f t="shared" si="39"/>
        <v>7</v>
      </c>
      <c r="J384" s="22">
        <f t="shared" si="41"/>
        <v>30</v>
      </c>
      <c r="K384" s="22">
        <v>1</v>
      </c>
      <c r="L384" s="22">
        <f ca="1">SUM(K384:OFFSET(RngToDay,ROWS(Dates),10))</f>
        <v>140</v>
      </c>
      <c r="M384" s="26" t="str">
        <f ca="1">IF(B384="","",SUM(C384:OFFSET(C384,-LeadTime+1,0)))</f>
        <v/>
      </c>
      <c r="N384" s="26" t="e">
        <f t="shared" ca="1" si="42"/>
        <v>#DIV/0!</v>
      </c>
      <c r="O384" s="22">
        <f t="shared" si="40"/>
        <v>384</v>
      </c>
      <c r="P384" s="26">
        <f t="shared" ca="1" si="43"/>
        <v>0</v>
      </c>
      <c r="Q384" s="26">
        <f ca="1">IF(LeadTime=0,P384,IF(AND(SUM(Q383:OFFSET(Q384,-LeadTime,0))=0,P384&gt;0),MAX(P384:OFFSET(P384,-LeadTime+1,0)),0))</f>
        <v>0</v>
      </c>
    </row>
    <row r="385" spans="1:17" x14ac:dyDescent="0.2">
      <c r="A385" s="135">
        <v>40017</v>
      </c>
      <c r="B385" s="26"/>
      <c r="C385" s="26"/>
      <c r="D385" s="26"/>
      <c r="E385" s="26"/>
      <c r="F385" s="26">
        <f t="shared" si="44"/>
        <v>0</v>
      </c>
      <c r="G385" s="22" t="str">
        <f t="shared" ca="1" si="37"/>
        <v>History</v>
      </c>
      <c r="H385" s="22">
        <f t="shared" si="38"/>
        <v>2009</v>
      </c>
      <c r="I385" s="22">
        <f t="shared" si="39"/>
        <v>7</v>
      </c>
      <c r="J385" s="22">
        <f t="shared" si="41"/>
        <v>30</v>
      </c>
      <c r="K385" s="22">
        <v>1</v>
      </c>
      <c r="L385" s="22">
        <f ca="1">SUM(K385:OFFSET(RngToDay,ROWS(Dates),10))</f>
        <v>139</v>
      </c>
      <c r="M385" s="26" t="str">
        <f ca="1">IF(B385="","",SUM(C385:OFFSET(C385,-LeadTime+1,0)))</f>
        <v/>
      </c>
      <c r="N385" s="26" t="e">
        <f t="shared" ca="1" si="42"/>
        <v>#DIV/0!</v>
      </c>
      <c r="O385" s="22">
        <f t="shared" si="40"/>
        <v>385</v>
      </c>
      <c r="P385" s="26">
        <f t="shared" ca="1" si="43"/>
        <v>0</v>
      </c>
      <c r="Q385" s="26">
        <f ca="1">IF(LeadTime=0,P385,IF(AND(SUM(Q384:OFFSET(Q385,-LeadTime,0))=0,P385&gt;0),MAX(P385:OFFSET(P385,-LeadTime+1,0)),0))</f>
        <v>0</v>
      </c>
    </row>
    <row r="386" spans="1:17" x14ac:dyDescent="0.2">
      <c r="A386" s="135">
        <v>40016</v>
      </c>
      <c r="B386" s="26"/>
      <c r="C386" s="26"/>
      <c r="D386" s="26"/>
      <c r="E386" s="26"/>
      <c r="F386" s="26">
        <f t="shared" si="44"/>
        <v>0</v>
      </c>
      <c r="G386" s="22" t="str">
        <f t="shared" ca="1" si="37"/>
        <v>History</v>
      </c>
      <c r="H386" s="22">
        <f t="shared" si="38"/>
        <v>2009</v>
      </c>
      <c r="I386" s="22">
        <f t="shared" si="39"/>
        <v>7</v>
      </c>
      <c r="J386" s="22">
        <f t="shared" si="41"/>
        <v>30</v>
      </c>
      <c r="K386" s="22">
        <v>1</v>
      </c>
      <c r="L386" s="22">
        <f ca="1">SUM(K386:OFFSET(RngToDay,ROWS(Dates),10))</f>
        <v>138</v>
      </c>
      <c r="M386" s="26" t="str">
        <f ca="1">IF(B386="","",SUM(C386:OFFSET(C386,-LeadTime+1,0)))</f>
        <v/>
      </c>
      <c r="N386" s="26" t="e">
        <f t="shared" ca="1" si="42"/>
        <v>#DIV/0!</v>
      </c>
      <c r="O386" s="22">
        <f t="shared" si="40"/>
        <v>386</v>
      </c>
      <c r="P386" s="26">
        <f t="shared" ca="1" si="43"/>
        <v>0</v>
      </c>
      <c r="Q386" s="26">
        <f ca="1">IF(LeadTime=0,P386,IF(AND(SUM(Q385:OFFSET(Q386,-LeadTime,0))=0,P386&gt;0),MAX(P386:OFFSET(P386,-LeadTime+1,0)),0))</f>
        <v>0</v>
      </c>
    </row>
    <row r="387" spans="1:17" x14ac:dyDescent="0.2">
      <c r="A387" s="135">
        <v>40015</v>
      </c>
      <c r="B387" s="26"/>
      <c r="C387" s="26"/>
      <c r="D387" s="26"/>
      <c r="E387" s="26"/>
      <c r="F387" s="26">
        <f t="shared" si="44"/>
        <v>0</v>
      </c>
      <c r="G387" s="22" t="str">
        <f t="shared" ref="G387:G450" ca="1" si="45">IF(A387&gt;TODAY(),"Requirements","History")</f>
        <v>History</v>
      </c>
      <c r="H387" s="22">
        <f t="shared" ref="H387:H450" si="46">YEAR(A387)</f>
        <v>2009</v>
      </c>
      <c r="I387" s="22">
        <f t="shared" ref="I387:I450" si="47">MONTH(A387)</f>
        <v>7</v>
      </c>
      <c r="J387" s="22">
        <f t="shared" si="41"/>
        <v>30</v>
      </c>
      <c r="K387" s="22">
        <v>1</v>
      </c>
      <c r="L387" s="22">
        <f ca="1">SUM(K387:OFFSET(RngToDay,ROWS(Dates),10))</f>
        <v>137</v>
      </c>
      <c r="M387" s="26" t="str">
        <f ca="1">IF(B387="","",SUM(C387:OFFSET(C387,-LeadTime+1,0)))</f>
        <v/>
      </c>
      <c r="N387" s="26" t="e">
        <f t="shared" ca="1" si="42"/>
        <v>#DIV/0!</v>
      </c>
      <c r="O387" s="22">
        <f t="shared" si="40"/>
        <v>387</v>
      </c>
      <c r="P387" s="26">
        <f t="shared" ca="1" si="43"/>
        <v>0</v>
      </c>
      <c r="Q387" s="26">
        <f ca="1">IF(LeadTime=0,P387,IF(AND(SUM(Q386:OFFSET(Q387,-LeadTime,0))=0,P387&gt;0),MAX(P387:OFFSET(P387,-LeadTime+1,0)),0))</f>
        <v>0</v>
      </c>
    </row>
    <row r="388" spans="1:17" x14ac:dyDescent="0.2">
      <c r="A388" s="135">
        <v>40014</v>
      </c>
      <c r="B388" s="26"/>
      <c r="C388" s="26"/>
      <c r="D388" s="26"/>
      <c r="E388" s="26"/>
      <c r="F388" s="26">
        <f t="shared" si="44"/>
        <v>0</v>
      </c>
      <c r="G388" s="22" t="str">
        <f t="shared" ca="1" si="45"/>
        <v>History</v>
      </c>
      <c r="H388" s="22">
        <f t="shared" si="46"/>
        <v>2009</v>
      </c>
      <c r="I388" s="22">
        <f t="shared" si="47"/>
        <v>7</v>
      </c>
      <c r="J388" s="22">
        <f t="shared" si="41"/>
        <v>30</v>
      </c>
      <c r="K388" s="22">
        <v>1</v>
      </c>
      <c r="L388" s="22">
        <f ca="1">SUM(K388:OFFSET(RngToDay,ROWS(Dates),10))</f>
        <v>136</v>
      </c>
      <c r="M388" s="26" t="str">
        <f ca="1">IF(B388="","",SUM(C388:OFFSET(C388,-LeadTime+1,0)))</f>
        <v/>
      </c>
      <c r="N388" s="26" t="e">
        <f t="shared" ca="1" si="42"/>
        <v>#DIV/0!</v>
      </c>
      <c r="O388" s="22">
        <f t="shared" ref="O388:O451" si="48">O387+1</f>
        <v>388</v>
      </c>
      <c r="P388" s="26">
        <f t="shared" ca="1" si="43"/>
        <v>0</v>
      </c>
      <c r="Q388" s="26">
        <f ca="1">IF(LeadTime=0,P388,IF(AND(SUM(Q387:OFFSET(Q388,-LeadTime,0))=0,P388&gt;0),MAX(P388:OFFSET(P388,-LeadTime+1,0)),0))</f>
        <v>0</v>
      </c>
    </row>
    <row r="389" spans="1:17" x14ac:dyDescent="0.2">
      <c r="A389" s="135">
        <v>40011</v>
      </c>
      <c r="B389" s="26"/>
      <c r="C389" s="26"/>
      <c r="D389" s="26"/>
      <c r="E389" s="26"/>
      <c r="F389" s="26">
        <f t="shared" si="44"/>
        <v>0</v>
      </c>
      <c r="G389" s="22" t="str">
        <f t="shared" ca="1" si="45"/>
        <v>History</v>
      </c>
      <c r="H389" s="22">
        <f t="shared" si="46"/>
        <v>2009</v>
      </c>
      <c r="I389" s="22">
        <f t="shared" si="47"/>
        <v>7</v>
      </c>
      <c r="J389" s="22">
        <f t="shared" si="41"/>
        <v>29</v>
      </c>
      <c r="K389" s="22">
        <v>1</v>
      </c>
      <c r="L389" s="22">
        <f ca="1">SUM(K389:OFFSET(RngToDay,ROWS(Dates),10))</f>
        <v>135</v>
      </c>
      <c r="M389" s="26" t="str">
        <f ca="1">IF(B389="","",SUM(C389:OFFSET(C389,-LeadTime+1,0)))</f>
        <v/>
      </c>
      <c r="N389" s="26" t="e">
        <f t="shared" ca="1" si="42"/>
        <v>#DIV/0!</v>
      </c>
      <c r="O389" s="22">
        <f t="shared" si="48"/>
        <v>389</v>
      </c>
      <c r="P389" s="26">
        <f t="shared" ca="1" si="43"/>
        <v>0</v>
      </c>
      <c r="Q389" s="26">
        <f ca="1">IF(LeadTime=0,P389,IF(AND(SUM(Q388:OFFSET(Q389,-LeadTime,0))=0,P389&gt;0),MAX(P389:OFFSET(P389,-LeadTime+1,0)),0))</f>
        <v>0</v>
      </c>
    </row>
    <row r="390" spans="1:17" x14ac:dyDescent="0.2">
      <c r="A390" s="135">
        <v>40010</v>
      </c>
      <c r="B390" s="26"/>
      <c r="C390" s="26"/>
      <c r="D390" s="26"/>
      <c r="E390" s="26"/>
      <c r="F390" s="26">
        <f t="shared" si="44"/>
        <v>0</v>
      </c>
      <c r="G390" s="22" t="str">
        <f t="shared" ca="1" si="45"/>
        <v>History</v>
      </c>
      <c r="H390" s="22">
        <f t="shared" si="46"/>
        <v>2009</v>
      </c>
      <c r="I390" s="22">
        <f t="shared" si="47"/>
        <v>7</v>
      </c>
      <c r="J390" s="22">
        <f t="shared" si="41"/>
        <v>29</v>
      </c>
      <c r="K390" s="22">
        <v>1</v>
      </c>
      <c r="L390" s="22">
        <f ca="1">SUM(K390:OFFSET(RngToDay,ROWS(Dates),10))</f>
        <v>134</v>
      </c>
      <c r="M390" s="26" t="str">
        <f ca="1">IF(B390="","",SUM(C390:OFFSET(C390,-LeadTime+1,0)))</f>
        <v/>
      </c>
      <c r="N390" s="26" t="e">
        <f t="shared" ca="1" si="42"/>
        <v>#DIV/0!</v>
      </c>
      <c r="O390" s="22">
        <f t="shared" si="48"/>
        <v>390</v>
      </c>
      <c r="P390" s="26">
        <f t="shared" ca="1" si="43"/>
        <v>0</v>
      </c>
      <c r="Q390" s="26">
        <f ca="1">IF(LeadTime=0,P390,IF(AND(SUM(Q389:OFFSET(Q390,-LeadTime,0))=0,P390&gt;0),MAX(P390:OFFSET(P390,-LeadTime+1,0)),0))</f>
        <v>0</v>
      </c>
    </row>
    <row r="391" spans="1:17" x14ac:dyDescent="0.2">
      <c r="A391" s="135">
        <v>40009</v>
      </c>
      <c r="B391" s="26"/>
      <c r="C391" s="26"/>
      <c r="D391" s="26"/>
      <c r="E391" s="26"/>
      <c r="F391" s="26">
        <f t="shared" si="44"/>
        <v>0</v>
      </c>
      <c r="G391" s="22" t="str">
        <f t="shared" ca="1" si="45"/>
        <v>History</v>
      </c>
      <c r="H391" s="22">
        <f t="shared" si="46"/>
        <v>2009</v>
      </c>
      <c r="I391" s="22">
        <f t="shared" si="47"/>
        <v>7</v>
      </c>
      <c r="J391" s="22">
        <f t="shared" si="41"/>
        <v>29</v>
      </c>
      <c r="K391" s="22">
        <v>1</v>
      </c>
      <c r="L391" s="22">
        <f ca="1">SUM(K391:OFFSET(RngToDay,ROWS(Dates),10))</f>
        <v>133</v>
      </c>
      <c r="M391" s="26" t="str">
        <f ca="1">IF(B391="","",SUM(C391:OFFSET(C391,-LeadTime+1,0)))</f>
        <v/>
      </c>
      <c r="N391" s="26" t="e">
        <f t="shared" ca="1" si="42"/>
        <v>#DIV/0!</v>
      </c>
      <c r="O391" s="22">
        <f t="shared" si="48"/>
        <v>391</v>
      </c>
      <c r="P391" s="26">
        <f t="shared" ca="1" si="43"/>
        <v>0</v>
      </c>
      <c r="Q391" s="26">
        <f ca="1">IF(LeadTime=0,P391,IF(AND(SUM(Q390:OFFSET(Q391,-LeadTime,0))=0,P391&gt;0),MAX(P391:OFFSET(P391,-LeadTime+1,0)),0))</f>
        <v>0</v>
      </c>
    </row>
    <row r="392" spans="1:17" x14ac:dyDescent="0.2">
      <c r="A392" s="135">
        <v>40008</v>
      </c>
      <c r="B392" s="26"/>
      <c r="C392" s="26"/>
      <c r="D392" s="26"/>
      <c r="E392" s="26"/>
      <c r="F392" s="26">
        <f t="shared" si="44"/>
        <v>0</v>
      </c>
      <c r="G392" s="22" t="str">
        <f t="shared" ca="1" si="45"/>
        <v>History</v>
      </c>
      <c r="H392" s="22">
        <f t="shared" si="46"/>
        <v>2009</v>
      </c>
      <c r="I392" s="22">
        <f t="shared" si="47"/>
        <v>7</v>
      </c>
      <c r="J392" s="22">
        <f t="shared" si="41"/>
        <v>29</v>
      </c>
      <c r="K392" s="22">
        <v>1</v>
      </c>
      <c r="L392" s="22">
        <f ca="1">SUM(K392:OFFSET(RngToDay,ROWS(Dates),10))</f>
        <v>132</v>
      </c>
      <c r="M392" s="26" t="str">
        <f ca="1">IF(B392="","",SUM(C392:OFFSET(C392,-LeadTime+1,0)))</f>
        <v/>
      </c>
      <c r="N392" s="26" t="e">
        <f t="shared" ca="1" si="42"/>
        <v>#DIV/0!</v>
      </c>
      <c r="O392" s="22">
        <f t="shared" si="48"/>
        <v>392</v>
      </c>
      <c r="P392" s="26">
        <f t="shared" ca="1" si="43"/>
        <v>0</v>
      </c>
      <c r="Q392" s="26">
        <f ca="1">IF(LeadTime=0,P392,IF(AND(SUM(Q391:OFFSET(Q392,-LeadTime,0))=0,P392&gt;0),MAX(P392:OFFSET(P392,-LeadTime+1,0)),0))</f>
        <v>0</v>
      </c>
    </row>
    <row r="393" spans="1:17" x14ac:dyDescent="0.2">
      <c r="A393" s="135">
        <v>40007</v>
      </c>
      <c r="B393" s="26"/>
      <c r="C393" s="26"/>
      <c r="D393" s="26"/>
      <c r="E393" s="26"/>
      <c r="F393" s="26">
        <f t="shared" si="44"/>
        <v>0</v>
      </c>
      <c r="G393" s="22" t="str">
        <f t="shared" ca="1" si="45"/>
        <v>History</v>
      </c>
      <c r="H393" s="22">
        <f t="shared" si="46"/>
        <v>2009</v>
      </c>
      <c r="I393" s="22">
        <f t="shared" si="47"/>
        <v>7</v>
      </c>
      <c r="J393" s="22">
        <f t="shared" si="41"/>
        <v>29</v>
      </c>
      <c r="K393" s="22">
        <v>1</v>
      </c>
      <c r="L393" s="22">
        <f ca="1">SUM(K393:OFFSET(RngToDay,ROWS(Dates),10))</f>
        <v>131</v>
      </c>
      <c r="M393" s="26" t="str">
        <f ca="1">IF(B393="","",SUM(C393:OFFSET(C393,-LeadTime+1,0)))</f>
        <v/>
      </c>
      <c r="N393" s="26" t="e">
        <f t="shared" ca="1" si="42"/>
        <v>#DIV/0!</v>
      </c>
      <c r="O393" s="22">
        <f t="shared" si="48"/>
        <v>393</v>
      </c>
      <c r="P393" s="26">
        <f t="shared" ca="1" si="43"/>
        <v>0</v>
      </c>
      <c r="Q393" s="26">
        <f ca="1">IF(LeadTime=0,P393,IF(AND(SUM(Q392:OFFSET(Q393,-LeadTime,0))=0,P393&gt;0),MAX(P393:OFFSET(P393,-LeadTime+1,0)),0))</f>
        <v>0</v>
      </c>
    </row>
    <row r="394" spans="1:17" x14ac:dyDescent="0.2">
      <c r="A394" s="135">
        <v>40004</v>
      </c>
      <c r="B394" s="26"/>
      <c r="C394" s="26"/>
      <c r="D394" s="26"/>
      <c r="E394" s="26"/>
      <c r="F394" s="26">
        <f t="shared" si="44"/>
        <v>0</v>
      </c>
      <c r="G394" s="22" t="str">
        <f t="shared" ca="1" si="45"/>
        <v>History</v>
      </c>
      <c r="H394" s="22">
        <f t="shared" si="46"/>
        <v>2009</v>
      </c>
      <c r="I394" s="22">
        <f t="shared" si="47"/>
        <v>7</v>
      </c>
      <c r="J394" s="22">
        <f t="shared" si="41"/>
        <v>28</v>
      </c>
      <c r="K394" s="22">
        <v>1</v>
      </c>
      <c r="L394" s="22">
        <f ca="1">SUM(K394:OFFSET(RngToDay,ROWS(Dates),10))</f>
        <v>130</v>
      </c>
      <c r="M394" s="26" t="str">
        <f ca="1">IF(B394="","",SUM(C394:OFFSET(C394,-LeadTime+1,0)))</f>
        <v/>
      </c>
      <c r="N394" s="26" t="e">
        <f t="shared" ca="1" si="42"/>
        <v>#DIV/0!</v>
      </c>
      <c r="O394" s="22">
        <f t="shared" si="48"/>
        <v>394</v>
      </c>
      <c r="P394" s="26">
        <f t="shared" ca="1" si="43"/>
        <v>0</v>
      </c>
      <c r="Q394" s="26">
        <f ca="1">IF(LeadTime=0,P394,IF(AND(SUM(Q393:OFFSET(Q394,-LeadTime,0))=0,P394&gt;0),MAX(P394:OFFSET(P394,-LeadTime+1,0)),0))</f>
        <v>0</v>
      </c>
    </row>
    <row r="395" spans="1:17" x14ac:dyDescent="0.2">
      <c r="A395" s="135">
        <v>40003</v>
      </c>
      <c r="B395" s="26"/>
      <c r="C395" s="26"/>
      <c r="D395" s="26"/>
      <c r="E395" s="26"/>
      <c r="F395" s="26">
        <f t="shared" si="44"/>
        <v>0</v>
      </c>
      <c r="G395" s="22" t="str">
        <f t="shared" ca="1" si="45"/>
        <v>History</v>
      </c>
      <c r="H395" s="22">
        <f t="shared" si="46"/>
        <v>2009</v>
      </c>
      <c r="I395" s="22">
        <f t="shared" si="47"/>
        <v>7</v>
      </c>
      <c r="J395" s="22">
        <f t="shared" si="41"/>
        <v>28</v>
      </c>
      <c r="K395" s="22">
        <v>1</v>
      </c>
      <c r="L395" s="22">
        <f ca="1">SUM(K395:OFFSET(RngToDay,ROWS(Dates),10))</f>
        <v>129</v>
      </c>
      <c r="M395" s="26" t="str">
        <f ca="1">IF(B395="","",SUM(C395:OFFSET(C395,-LeadTime+1,0)))</f>
        <v/>
      </c>
      <c r="N395" s="26" t="e">
        <f t="shared" ca="1" si="42"/>
        <v>#DIV/0!</v>
      </c>
      <c r="O395" s="22">
        <f t="shared" si="48"/>
        <v>395</v>
      </c>
      <c r="P395" s="26">
        <f t="shared" ca="1" si="43"/>
        <v>0</v>
      </c>
      <c r="Q395" s="26">
        <f ca="1">IF(LeadTime=0,P395,IF(AND(SUM(Q394:OFFSET(Q395,-LeadTime,0))=0,P395&gt;0),MAX(P395:OFFSET(P395,-LeadTime+1,0)),0))</f>
        <v>0</v>
      </c>
    </row>
    <row r="396" spans="1:17" x14ac:dyDescent="0.2">
      <c r="A396" s="135">
        <v>40002</v>
      </c>
      <c r="B396" s="26"/>
      <c r="C396" s="26"/>
      <c r="D396" s="26"/>
      <c r="E396" s="26"/>
      <c r="F396" s="26">
        <f t="shared" si="44"/>
        <v>0</v>
      </c>
      <c r="G396" s="22" t="str">
        <f t="shared" ca="1" si="45"/>
        <v>History</v>
      </c>
      <c r="H396" s="22">
        <f t="shared" si="46"/>
        <v>2009</v>
      </c>
      <c r="I396" s="22">
        <f t="shared" si="47"/>
        <v>7</v>
      </c>
      <c r="J396" s="22">
        <f t="shared" si="41"/>
        <v>28</v>
      </c>
      <c r="K396" s="22">
        <v>1</v>
      </c>
      <c r="L396" s="22">
        <f ca="1">SUM(K396:OFFSET(RngToDay,ROWS(Dates),10))</f>
        <v>128</v>
      </c>
      <c r="M396" s="26" t="str">
        <f ca="1">IF(B396="","",SUM(C396:OFFSET(C396,-LeadTime+1,0)))</f>
        <v/>
      </c>
      <c r="N396" s="26" t="e">
        <f t="shared" ca="1" si="42"/>
        <v>#DIV/0!</v>
      </c>
      <c r="O396" s="22">
        <f t="shared" si="48"/>
        <v>396</v>
      </c>
      <c r="P396" s="26">
        <f t="shared" ca="1" si="43"/>
        <v>0</v>
      </c>
      <c r="Q396" s="26">
        <f ca="1">IF(LeadTime=0,P396,IF(AND(SUM(Q395:OFFSET(Q396,-LeadTime,0))=0,P396&gt;0),MAX(P396:OFFSET(P396,-LeadTime+1,0)),0))</f>
        <v>0</v>
      </c>
    </row>
    <row r="397" spans="1:17" x14ac:dyDescent="0.2">
      <c r="A397" s="135">
        <v>40001</v>
      </c>
      <c r="B397" s="26"/>
      <c r="C397" s="26"/>
      <c r="D397" s="26"/>
      <c r="E397" s="26"/>
      <c r="F397" s="26">
        <f t="shared" si="44"/>
        <v>0</v>
      </c>
      <c r="G397" s="22" t="str">
        <f t="shared" ca="1" si="45"/>
        <v>History</v>
      </c>
      <c r="H397" s="22">
        <f t="shared" si="46"/>
        <v>2009</v>
      </c>
      <c r="I397" s="22">
        <f t="shared" si="47"/>
        <v>7</v>
      </c>
      <c r="J397" s="22">
        <f t="shared" si="41"/>
        <v>28</v>
      </c>
      <c r="K397" s="22">
        <v>1</v>
      </c>
      <c r="L397" s="22">
        <f ca="1">SUM(K397:OFFSET(RngToDay,ROWS(Dates),10))</f>
        <v>127</v>
      </c>
      <c r="M397" s="26" t="str">
        <f ca="1">IF(B397="","",SUM(C397:OFFSET(C397,-LeadTime+1,0)))</f>
        <v/>
      </c>
      <c r="N397" s="26" t="e">
        <f t="shared" ca="1" si="42"/>
        <v>#DIV/0!</v>
      </c>
      <c r="O397" s="22">
        <f t="shared" si="48"/>
        <v>397</v>
      </c>
      <c r="P397" s="26">
        <f t="shared" ca="1" si="43"/>
        <v>0</v>
      </c>
      <c r="Q397" s="26">
        <f ca="1">IF(LeadTime=0,P397,IF(AND(SUM(Q396:OFFSET(Q397,-LeadTime,0))=0,P397&gt;0),MAX(P397:OFFSET(P397,-LeadTime+1,0)),0))</f>
        <v>0</v>
      </c>
    </row>
    <row r="398" spans="1:17" x14ac:dyDescent="0.2">
      <c r="A398" s="135">
        <v>40000</v>
      </c>
      <c r="B398" s="26"/>
      <c r="C398" s="26"/>
      <c r="D398" s="26"/>
      <c r="E398" s="26"/>
      <c r="F398" s="26">
        <f t="shared" si="44"/>
        <v>0</v>
      </c>
      <c r="G398" s="22" t="str">
        <f t="shared" ca="1" si="45"/>
        <v>History</v>
      </c>
      <c r="H398" s="22">
        <f t="shared" si="46"/>
        <v>2009</v>
      </c>
      <c r="I398" s="22">
        <f t="shared" si="47"/>
        <v>7</v>
      </c>
      <c r="J398" s="22">
        <f t="shared" si="41"/>
        <v>28</v>
      </c>
      <c r="K398" s="22">
        <v>1</v>
      </c>
      <c r="L398" s="22">
        <f ca="1">SUM(K398:OFFSET(RngToDay,ROWS(Dates),10))</f>
        <v>126</v>
      </c>
      <c r="M398" s="26" t="str">
        <f ca="1">IF(B398="","",SUM(C398:OFFSET(C398,-LeadTime+1,0)))</f>
        <v/>
      </c>
      <c r="N398" s="26" t="e">
        <f t="shared" ca="1" si="42"/>
        <v>#DIV/0!</v>
      </c>
      <c r="O398" s="22">
        <f t="shared" si="48"/>
        <v>398</v>
      </c>
      <c r="P398" s="26">
        <f t="shared" ca="1" si="43"/>
        <v>0</v>
      </c>
      <c r="Q398" s="26">
        <f ca="1">IF(LeadTime=0,P398,IF(AND(SUM(Q397:OFFSET(Q398,-LeadTime,0))=0,P398&gt;0),MAX(P398:OFFSET(P398,-LeadTime+1,0)),0))</f>
        <v>0</v>
      </c>
    </row>
    <row r="399" spans="1:17" x14ac:dyDescent="0.2">
      <c r="A399" s="135">
        <v>39997</v>
      </c>
      <c r="B399" s="26"/>
      <c r="C399" s="26"/>
      <c r="D399" s="26"/>
      <c r="E399" s="26"/>
      <c r="F399" s="26">
        <f t="shared" si="44"/>
        <v>0</v>
      </c>
      <c r="G399" s="22" t="str">
        <f t="shared" ca="1" si="45"/>
        <v>History</v>
      </c>
      <c r="H399" s="22">
        <f t="shared" si="46"/>
        <v>2009</v>
      </c>
      <c r="I399" s="22">
        <f t="shared" si="47"/>
        <v>7</v>
      </c>
      <c r="J399" s="22">
        <f t="shared" si="41"/>
        <v>27</v>
      </c>
      <c r="K399" s="22">
        <v>1</v>
      </c>
      <c r="L399" s="22">
        <f ca="1">SUM(K399:OFFSET(RngToDay,ROWS(Dates),10))</f>
        <v>125</v>
      </c>
      <c r="M399" s="26" t="str">
        <f ca="1">IF(B399="","",SUM(C399:OFFSET(C399,-LeadTime+1,0)))</f>
        <v/>
      </c>
      <c r="N399" s="26" t="e">
        <f t="shared" ca="1" si="42"/>
        <v>#DIV/0!</v>
      </c>
      <c r="O399" s="22">
        <f t="shared" si="48"/>
        <v>399</v>
      </c>
      <c r="P399" s="26">
        <f t="shared" ca="1" si="43"/>
        <v>0</v>
      </c>
      <c r="Q399" s="26">
        <f ca="1">IF(LeadTime=0,P399,IF(AND(SUM(Q398:OFFSET(Q399,-LeadTime,0))=0,P399&gt;0),MAX(P399:OFFSET(P399,-LeadTime+1,0)),0))</f>
        <v>0</v>
      </c>
    </row>
    <row r="400" spans="1:17" x14ac:dyDescent="0.2">
      <c r="A400" s="135">
        <v>39996</v>
      </c>
      <c r="B400" s="26"/>
      <c r="C400" s="26"/>
      <c r="D400" s="26"/>
      <c r="E400" s="26"/>
      <c r="F400" s="26">
        <f t="shared" si="44"/>
        <v>0</v>
      </c>
      <c r="G400" s="22" t="str">
        <f t="shared" ca="1" si="45"/>
        <v>History</v>
      </c>
      <c r="H400" s="22">
        <f t="shared" si="46"/>
        <v>2009</v>
      </c>
      <c r="I400" s="22">
        <f t="shared" si="47"/>
        <v>7</v>
      </c>
      <c r="J400" s="22">
        <f t="shared" si="41"/>
        <v>27</v>
      </c>
      <c r="K400" s="22">
        <v>1</v>
      </c>
      <c r="L400" s="22">
        <f ca="1">SUM(K400:OFFSET(RngToDay,ROWS(Dates),10))</f>
        <v>124</v>
      </c>
      <c r="M400" s="26" t="str">
        <f ca="1">IF(B400="","",SUM(C400:OFFSET(C400,-LeadTime+1,0)))</f>
        <v/>
      </c>
      <c r="N400" s="26" t="e">
        <f t="shared" ca="1" si="42"/>
        <v>#DIV/0!</v>
      </c>
      <c r="O400" s="22">
        <f t="shared" si="48"/>
        <v>400</v>
      </c>
      <c r="P400" s="26">
        <f t="shared" ca="1" si="43"/>
        <v>0</v>
      </c>
      <c r="Q400" s="26">
        <f ca="1">IF(LeadTime=0,P400,IF(AND(SUM(Q399:OFFSET(Q400,-LeadTime,0))=0,P400&gt;0),MAX(P400:OFFSET(P400,-LeadTime+1,0)),0))</f>
        <v>0</v>
      </c>
    </row>
    <row r="401" spans="1:17" x14ac:dyDescent="0.2">
      <c r="A401" s="135">
        <v>39995</v>
      </c>
      <c r="B401" s="26"/>
      <c r="C401" s="26"/>
      <c r="D401" s="26"/>
      <c r="E401" s="26"/>
      <c r="F401" s="26">
        <f t="shared" si="44"/>
        <v>0</v>
      </c>
      <c r="G401" s="22" t="str">
        <f t="shared" ca="1" si="45"/>
        <v>History</v>
      </c>
      <c r="H401" s="22">
        <f t="shared" si="46"/>
        <v>2009</v>
      </c>
      <c r="I401" s="22">
        <f t="shared" si="47"/>
        <v>7</v>
      </c>
      <c r="J401" s="22">
        <f t="shared" si="41"/>
        <v>27</v>
      </c>
      <c r="K401" s="22">
        <v>1</v>
      </c>
      <c r="L401" s="22">
        <f ca="1">SUM(K401:OFFSET(RngToDay,ROWS(Dates),10))</f>
        <v>123</v>
      </c>
      <c r="M401" s="26" t="str">
        <f ca="1">IF(B401="","",SUM(C401:OFFSET(C401,-LeadTime+1,0)))</f>
        <v/>
      </c>
      <c r="N401" s="26" t="e">
        <f t="shared" ca="1" si="42"/>
        <v>#DIV/0!</v>
      </c>
      <c r="O401" s="22">
        <f t="shared" si="48"/>
        <v>401</v>
      </c>
      <c r="P401" s="26">
        <f t="shared" ca="1" si="43"/>
        <v>0</v>
      </c>
      <c r="Q401" s="26">
        <f ca="1">IF(LeadTime=0,P401,IF(AND(SUM(Q400:OFFSET(Q401,-LeadTime,0))=0,P401&gt;0),MAX(P401:OFFSET(P401,-LeadTime+1,0)),0))</f>
        <v>0</v>
      </c>
    </row>
    <row r="402" spans="1:17" x14ac:dyDescent="0.2">
      <c r="A402" s="135">
        <v>39994</v>
      </c>
      <c r="B402" s="26"/>
      <c r="C402" s="26"/>
      <c r="D402" s="26"/>
      <c r="E402" s="26"/>
      <c r="F402" s="26">
        <f t="shared" si="44"/>
        <v>0</v>
      </c>
      <c r="G402" s="22" t="str">
        <f t="shared" ca="1" si="45"/>
        <v>History</v>
      </c>
      <c r="H402" s="22">
        <f t="shared" si="46"/>
        <v>2009</v>
      </c>
      <c r="I402" s="22">
        <f t="shared" si="47"/>
        <v>6</v>
      </c>
      <c r="J402" s="22">
        <f t="shared" si="41"/>
        <v>27</v>
      </c>
      <c r="K402" s="22">
        <v>1</v>
      </c>
      <c r="L402" s="22">
        <f ca="1">SUM(K402:OFFSET(RngToDay,ROWS(Dates),10))</f>
        <v>122</v>
      </c>
      <c r="M402" s="26" t="str">
        <f ca="1">IF(B402="","",SUM(C402:OFFSET(C402,-LeadTime+1,0)))</f>
        <v/>
      </c>
      <c r="N402" s="26" t="e">
        <f t="shared" ca="1" si="42"/>
        <v>#DIV/0!</v>
      </c>
      <c r="O402" s="22">
        <f t="shared" si="48"/>
        <v>402</v>
      </c>
      <c r="P402" s="26">
        <f t="shared" ca="1" si="43"/>
        <v>0</v>
      </c>
      <c r="Q402" s="26">
        <f ca="1">IF(LeadTime=0,P402,IF(AND(SUM(Q401:OFFSET(Q402,-LeadTime,0))=0,P402&gt;0),MAX(P402:OFFSET(P402,-LeadTime+1,0)),0))</f>
        <v>0</v>
      </c>
    </row>
    <row r="403" spans="1:17" x14ac:dyDescent="0.2">
      <c r="A403" s="135">
        <v>39993</v>
      </c>
      <c r="B403" s="26"/>
      <c r="C403" s="26"/>
      <c r="D403" s="26"/>
      <c r="E403" s="26"/>
      <c r="F403" s="26">
        <f t="shared" si="44"/>
        <v>0</v>
      </c>
      <c r="G403" s="22" t="str">
        <f t="shared" ca="1" si="45"/>
        <v>History</v>
      </c>
      <c r="H403" s="22">
        <f t="shared" si="46"/>
        <v>2009</v>
      </c>
      <c r="I403" s="22">
        <f t="shared" si="47"/>
        <v>6</v>
      </c>
      <c r="J403" s="22">
        <f t="shared" si="41"/>
        <v>27</v>
      </c>
      <c r="K403" s="22">
        <v>1</v>
      </c>
      <c r="L403" s="22">
        <f ca="1">SUM(K403:OFFSET(RngToDay,ROWS(Dates),10))</f>
        <v>121</v>
      </c>
      <c r="M403" s="26" t="str">
        <f ca="1">IF(B403="","",SUM(C403:OFFSET(C403,-LeadTime+1,0)))</f>
        <v/>
      </c>
      <c r="N403" s="26" t="e">
        <f t="shared" ca="1" si="42"/>
        <v>#DIV/0!</v>
      </c>
      <c r="O403" s="22">
        <f t="shared" si="48"/>
        <v>403</v>
      </c>
      <c r="P403" s="26">
        <f t="shared" ca="1" si="43"/>
        <v>0</v>
      </c>
      <c r="Q403" s="26">
        <f ca="1">IF(LeadTime=0,P403,IF(AND(SUM(Q402:OFFSET(Q403,-LeadTime,0))=0,P403&gt;0),MAX(P403:OFFSET(P403,-LeadTime+1,0)),0))</f>
        <v>0</v>
      </c>
    </row>
    <row r="404" spans="1:17" x14ac:dyDescent="0.2">
      <c r="A404" s="135">
        <v>39990</v>
      </c>
      <c r="B404" s="26"/>
      <c r="C404" s="26"/>
      <c r="D404" s="26"/>
      <c r="E404" s="26"/>
      <c r="F404" s="26">
        <f t="shared" si="44"/>
        <v>0</v>
      </c>
      <c r="G404" s="22" t="str">
        <f t="shared" ca="1" si="45"/>
        <v>History</v>
      </c>
      <c r="H404" s="22">
        <f t="shared" si="46"/>
        <v>2009</v>
      </c>
      <c r="I404" s="22">
        <f t="shared" si="47"/>
        <v>6</v>
      </c>
      <c r="J404" s="22">
        <f t="shared" si="41"/>
        <v>26</v>
      </c>
      <c r="K404" s="22">
        <v>1</v>
      </c>
      <c r="L404" s="22">
        <f ca="1">SUM(K404:OFFSET(RngToDay,ROWS(Dates),10))</f>
        <v>120</v>
      </c>
      <c r="M404" s="26" t="str">
        <f ca="1">IF(B404="","",SUM(C404:OFFSET(C404,-LeadTime+1,0)))</f>
        <v/>
      </c>
      <c r="N404" s="26" t="e">
        <f t="shared" ca="1" si="42"/>
        <v>#DIV/0!</v>
      </c>
      <c r="O404" s="22">
        <f t="shared" si="48"/>
        <v>404</v>
      </c>
      <c r="P404" s="26">
        <f t="shared" ca="1" si="43"/>
        <v>0</v>
      </c>
      <c r="Q404" s="26">
        <f ca="1">IF(LeadTime=0,P404,IF(AND(SUM(Q403:OFFSET(Q404,-LeadTime,0))=0,P404&gt;0),MAX(P404:OFFSET(P404,-LeadTime+1,0)),0))</f>
        <v>0</v>
      </c>
    </row>
    <row r="405" spans="1:17" x14ac:dyDescent="0.2">
      <c r="A405" s="135">
        <v>39989</v>
      </c>
      <c r="B405" s="26"/>
      <c r="C405" s="26"/>
      <c r="D405" s="26"/>
      <c r="E405" s="26"/>
      <c r="F405" s="26">
        <f t="shared" si="44"/>
        <v>0</v>
      </c>
      <c r="G405" s="22" t="str">
        <f t="shared" ca="1" si="45"/>
        <v>History</v>
      </c>
      <c r="H405" s="22">
        <f t="shared" si="46"/>
        <v>2009</v>
      </c>
      <c r="I405" s="22">
        <f t="shared" si="47"/>
        <v>6</v>
      </c>
      <c r="J405" s="22">
        <f t="shared" si="41"/>
        <v>26</v>
      </c>
      <c r="K405" s="22">
        <v>1</v>
      </c>
      <c r="L405" s="22">
        <f ca="1">SUM(K405:OFFSET(RngToDay,ROWS(Dates),10))</f>
        <v>119</v>
      </c>
      <c r="M405" s="26" t="str">
        <f ca="1">IF(B405="","",SUM(C405:OFFSET(C405,-LeadTime+1,0)))</f>
        <v/>
      </c>
      <c r="N405" s="26" t="e">
        <f t="shared" ca="1" si="42"/>
        <v>#DIV/0!</v>
      </c>
      <c r="O405" s="22">
        <f t="shared" si="48"/>
        <v>405</v>
      </c>
      <c r="P405" s="26">
        <f t="shared" ca="1" si="43"/>
        <v>0</v>
      </c>
      <c r="Q405" s="26">
        <f ca="1">IF(LeadTime=0,P405,IF(AND(SUM(Q404:OFFSET(Q405,-LeadTime,0))=0,P405&gt;0),MAX(P405:OFFSET(P405,-LeadTime+1,0)),0))</f>
        <v>0</v>
      </c>
    </row>
    <row r="406" spans="1:17" x14ac:dyDescent="0.2">
      <c r="A406" s="135">
        <v>39988</v>
      </c>
      <c r="B406" s="26"/>
      <c r="C406" s="26"/>
      <c r="D406" s="26"/>
      <c r="E406" s="26"/>
      <c r="F406" s="26">
        <f t="shared" si="44"/>
        <v>0</v>
      </c>
      <c r="G406" s="22" t="str">
        <f t="shared" ca="1" si="45"/>
        <v>History</v>
      </c>
      <c r="H406" s="22">
        <f t="shared" si="46"/>
        <v>2009</v>
      </c>
      <c r="I406" s="22">
        <f t="shared" si="47"/>
        <v>6</v>
      </c>
      <c r="J406" s="22">
        <f t="shared" si="41"/>
        <v>26</v>
      </c>
      <c r="K406" s="22">
        <v>1</v>
      </c>
      <c r="L406" s="22">
        <f ca="1">SUM(K406:OFFSET(RngToDay,ROWS(Dates),10))</f>
        <v>118</v>
      </c>
      <c r="M406" s="26" t="str">
        <f ca="1">IF(B406="","",SUM(C406:OFFSET(C406,-LeadTime+1,0)))</f>
        <v/>
      </c>
      <c r="N406" s="26" t="e">
        <f t="shared" ca="1" si="42"/>
        <v>#DIV/0!</v>
      </c>
      <c r="O406" s="22">
        <f t="shared" si="48"/>
        <v>406</v>
      </c>
      <c r="P406" s="26">
        <f t="shared" ca="1" si="43"/>
        <v>0</v>
      </c>
      <c r="Q406" s="26">
        <f ca="1">IF(LeadTime=0,P406,IF(AND(SUM(Q405:OFFSET(Q406,-LeadTime,0))=0,P406&gt;0),MAX(P406:OFFSET(P406,-LeadTime+1,0)),0))</f>
        <v>0</v>
      </c>
    </row>
    <row r="407" spans="1:17" x14ac:dyDescent="0.2">
      <c r="A407" s="135">
        <v>39987</v>
      </c>
      <c r="B407" s="26"/>
      <c r="C407" s="26"/>
      <c r="D407" s="26"/>
      <c r="E407" s="26"/>
      <c r="F407" s="26">
        <f t="shared" si="44"/>
        <v>0</v>
      </c>
      <c r="G407" s="22" t="str">
        <f t="shared" ca="1" si="45"/>
        <v>History</v>
      </c>
      <c r="H407" s="22">
        <f t="shared" si="46"/>
        <v>2009</v>
      </c>
      <c r="I407" s="22">
        <f t="shared" si="47"/>
        <v>6</v>
      </c>
      <c r="J407" s="22">
        <f t="shared" si="41"/>
        <v>26</v>
      </c>
      <c r="K407" s="22">
        <v>1</v>
      </c>
      <c r="L407" s="22">
        <f ca="1">SUM(K407:OFFSET(RngToDay,ROWS(Dates),10))</f>
        <v>117</v>
      </c>
      <c r="M407" s="26" t="str">
        <f ca="1">IF(B407="","",SUM(C407:OFFSET(C407,-LeadTime+1,0)))</f>
        <v/>
      </c>
      <c r="N407" s="26" t="e">
        <f t="shared" ca="1" si="42"/>
        <v>#DIV/0!</v>
      </c>
      <c r="O407" s="22">
        <f t="shared" si="48"/>
        <v>407</v>
      </c>
      <c r="P407" s="26">
        <f t="shared" ca="1" si="43"/>
        <v>0</v>
      </c>
      <c r="Q407" s="26">
        <f ca="1">IF(LeadTime=0,P407,IF(AND(SUM(Q406:OFFSET(Q407,-LeadTime,0))=0,P407&gt;0),MAX(P407:OFFSET(P407,-LeadTime+1,0)),0))</f>
        <v>0</v>
      </c>
    </row>
    <row r="408" spans="1:17" x14ac:dyDescent="0.2">
      <c r="A408" s="135">
        <v>39986</v>
      </c>
      <c r="B408" s="26"/>
      <c r="C408" s="26"/>
      <c r="D408" s="26"/>
      <c r="E408" s="26"/>
      <c r="F408" s="26">
        <f t="shared" si="44"/>
        <v>0</v>
      </c>
      <c r="G408" s="22" t="str">
        <f t="shared" ca="1" si="45"/>
        <v>History</v>
      </c>
      <c r="H408" s="22">
        <f t="shared" si="46"/>
        <v>2009</v>
      </c>
      <c r="I408" s="22">
        <f t="shared" si="47"/>
        <v>6</v>
      </c>
      <c r="J408" s="22">
        <f t="shared" si="41"/>
        <v>26</v>
      </c>
      <c r="K408" s="22">
        <v>1</v>
      </c>
      <c r="L408" s="22">
        <f ca="1">SUM(K408:OFFSET(RngToDay,ROWS(Dates),10))</f>
        <v>116</v>
      </c>
      <c r="M408" s="26" t="str">
        <f ca="1">IF(B408="","",SUM(C408:OFFSET(C408,-LeadTime+1,0)))</f>
        <v/>
      </c>
      <c r="N408" s="26" t="e">
        <f t="shared" ca="1" si="42"/>
        <v>#DIV/0!</v>
      </c>
      <c r="O408" s="22">
        <f t="shared" si="48"/>
        <v>408</v>
      </c>
      <c r="P408" s="26">
        <f t="shared" ca="1" si="43"/>
        <v>0</v>
      </c>
      <c r="Q408" s="26">
        <f ca="1">IF(LeadTime=0,P408,IF(AND(SUM(Q407:OFFSET(Q408,-LeadTime,0))=0,P408&gt;0),MAX(P408:OFFSET(P408,-LeadTime+1,0)),0))</f>
        <v>0</v>
      </c>
    </row>
    <row r="409" spans="1:17" x14ac:dyDescent="0.2">
      <c r="A409" s="135">
        <v>39983</v>
      </c>
      <c r="B409" s="26"/>
      <c r="C409" s="26"/>
      <c r="D409" s="26"/>
      <c r="E409" s="26"/>
      <c r="F409" s="26">
        <f t="shared" si="44"/>
        <v>0</v>
      </c>
      <c r="G409" s="22" t="str">
        <f t="shared" ca="1" si="45"/>
        <v>History</v>
      </c>
      <c r="H409" s="22">
        <f t="shared" si="46"/>
        <v>2009</v>
      </c>
      <c r="I409" s="22">
        <f t="shared" si="47"/>
        <v>6</v>
      </c>
      <c r="J409" s="22">
        <f t="shared" si="41"/>
        <v>25</v>
      </c>
      <c r="K409" s="22">
        <v>1</v>
      </c>
      <c r="L409" s="22">
        <f ca="1">SUM(K409:OFFSET(RngToDay,ROWS(Dates),10))</f>
        <v>115</v>
      </c>
      <c r="M409" s="26" t="str">
        <f ca="1">IF(B409="","",SUM(C409:OFFSET(C409,-LeadTime+1,0)))</f>
        <v/>
      </c>
      <c r="N409" s="26" t="e">
        <f t="shared" ca="1" si="42"/>
        <v>#DIV/0!</v>
      </c>
      <c r="O409" s="22">
        <f t="shared" si="48"/>
        <v>409</v>
      </c>
      <c r="P409" s="26">
        <f t="shared" ca="1" si="43"/>
        <v>0</v>
      </c>
      <c r="Q409" s="26">
        <f ca="1">IF(LeadTime=0,P409,IF(AND(SUM(Q408:OFFSET(Q409,-LeadTime,0))=0,P409&gt;0),MAX(P409:OFFSET(P409,-LeadTime+1,0)),0))</f>
        <v>0</v>
      </c>
    </row>
    <row r="410" spans="1:17" x14ac:dyDescent="0.2">
      <c r="A410" s="135">
        <v>39982</v>
      </c>
      <c r="B410" s="26"/>
      <c r="C410" s="26"/>
      <c r="D410" s="26"/>
      <c r="E410" s="26"/>
      <c r="F410" s="26">
        <f t="shared" si="44"/>
        <v>0</v>
      </c>
      <c r="G410" s="22" t="str">
        <f t="shared" ca="1" si="45"/>
        <v>History</v>
      </c>
      <c r="H410" s="22">
        <f t="shared" si="46"/>
        <v>2009</v>
      </c>
      <c r="I410" s="22">
        <f t="shared" si="47"/>
        <v>6</v>
      </c>
      <c r="J410" s="22">
        <f t="shared" si="41"/>
        <v>25</v>
      </c>
      <c r="K410" s="22">
        <v>1</v>
      </c>
      <c r="L410" s="22">
        <f ca="1">SUM(K410:OFFSET(RngToDay,ROWS(Dates),10))</f>
        <v>114</v>
      </c>
      <c r="M410" s="26" t="str">
        <f ca="1">IF(B410="","",SUM(C410:OFFSET(C410,-LeadTime+1,0)))</f>
        <v/>
      </c>
      <c r="N410" s="26" t="e">
        <f t="shared" ca="1" si="42"/>
        <v>#DIV/0!</v>
      </c>
      <c r="O410" s="22">
        <f t="shared" si="48"/>
        <v>410</v>
      </c>
      <c r="P410" s="26">
        <f t="shared" ca="1" si="43"/>
        <v>0</v>
      </c>
      <c r="Q410" s="26">
        <f ca="1">IF(LeadTime=0,P410,IF(AND(SUM(Q409:OFFSET(Q410,-LeadTime,0))=0,P410&gt;0),MAX(P410:OFFSET(P410,-LeadTime+1,0)),0))</f>
        <v>0</v>
      </c>
    </row>
    <row r="411" spans="1:17" x14ac:dyDescent="0.2">
      <c r="A411" s="135">
        <v>39981</v>
      </c>
      <c r="B411" s="26"/>
      <c r="C411" s="26"/>
      <c r="D411" s="26"/>
      <c r="E411" s="26"/>
      <c r="F411" s="26">
        <f t="shared" si="44"/>
        <v>0</v>
      </c>
      <c r="G411" s="22" t="str">
        <f t="shared" ca="1" si="45"/>
        <v>History</v>
      </c>
      <c r="H411" s="22">
        <f t="shared" si="46"/>
        <v>2009</v>
      </c>
      <c r="I411" s="22">
        <f t="shared" si="47"/>
        <v>6</v>
      </c>
      <c r="J411" s="22">
        <f t="shared" si="41"/>
        <v>25</v>
      </c>
      <c r="K411" s="22">
        <v>1</v>
      </c>
      <c r="L411" s="22">
        <f ca="1">SUM(K411:OFFSET(RngToDay,ROWS(Dates),10))</f>
        <v>113</v>
      </c>
      <c r="M411" s="26" t="str">
        <f ca="1">IF(B411="","",SUM(C411:OFFSET(C411,-LeadTime+1,0)))</f>
        <v/>
      </c>
      <c r="N411" s="26" t="e">
        <f t="shared" ca="1" si="42"/>
        <v>#DIV/0!</v>
      </c>
      <c r="O411" s="22">
        <f t="shared" si="48"/>
        <v>411</v>
      </c>
      <c r="P411" s="26">
        <f t="shared" ca="1" si="43"/>
        <v>0</v>
      </c>
      <c r="Q411" s="26">
        <f ca="1">IF(LeadTime=0,P411,IF(AND(SUM(Q410:OFFSET(Q411,-LeadTime,0))=0,P411&gt;0),MAX(P411:OFFSET(P411,-LeadTime+1,0)),0))</f>
        <v>0</v>
      </c>
    </row>
    <row r="412" spans="1:17" x14ac:dyDescent="0.2">
      <c r="A412" s="135">
        <v>39980</v>
      </c>
      <c r="B412" s="26"/>
      <c r="C412" s="26"/>
      <c r="D412" s="26"/>
      <c r="E412" s="26"/>
      <c r="F412" s="26">
        <f t="shared" si="44"/>
        <v>0</v>
      </c>
      <c r="G412" s="22" t="str">
        <f t="shared" ca="1" si="45"/>
        <v>History</v>
      </c>
      <c r="H412" s="22">
        <f t="shared" si="46"/>
        <v>2009</v>
      </c>
      <c r="I412" s="22">
        <f t="shared" si="47"/>
        <v>6</v>
      </c>
      <c r="J412" s="22">
        <f t="shared" si="41"/>
        <v>25</v>
      </c>
      <c r="K412" s="22">
        <v>1</v>
      </c>
      <c r="L412" s="22">
        <f ca="1">SUM(K412:OFFSET(RngToDay,ROWS(Dates),10))</f>
        <v>112</v>
      </c>
      <c r="M412" s="26" t="str">
        <f ca="1">IF(B412="","",SUM(C412:OFFSET(C412,-LeadTime+1,0)))</f>
        <v/>
      </c>
      <c r="N412" s="26" t="e">
        <f t="shared" ca="1" si="42"/>
        <v>#DIV/0!</v>
      </c>
      <c r="O412" s="22">
        <f t="shared" si="48"/>
        <v>412</v>
      </c>
      <c r="P412" s="26">
        <f t="shared" ca="1" si="43"/>
        <v>0</v>
      </c>
      <c r="Q412" s="26">
        <f ca="1">IF(LeadTime=0,P412,IF(AND(SUM(Q411:OFFSET(Q412,-LeadTime,0))=0,P412&gt;0),MAX(P412:OFFSET(P412,-LeadTime+1,0)),0))</f>
        <v>0</v>
      </c>
    </row>
    <row r="413" spans="1:17" x14ac:dyDescent="0.2">
      <c r="A413" s="135">
        <v>39979</v>
      </c>
      <c r="B413" s="26"/>
      <c r="C413" s="26"/>
      <c r="D413" s="26"/>
      <c r="E413" s="26"/>
      <c r="F413" s="26">
        <f t="shared" si="44"/>
        <v>0</v>
      </c>
      <c r="G413" s="22" t="str">
        <f t="shared" ca="1" si="45"/>
        <v>History</v>
      </c>
      <c r="H413" s="22">
        <f t="shared" si="46"/>
        <v>2009</v>
      </c>
      <c r="I413" s="22">
        <f t="shared" si="47"/>
        <v>6</v>
      </c>
      <c r="J413" s="22">
        <f t="shared" si="41"/>
        <v>25</v>
      </c>
      <c r="K413" s="22">
        <v>1</v>
      </c>
      <c r="L413" s="22">
        <f ca="1">SUM(K413:OFFSET(RngToDay,ROWS(Dates),10))</f>
        <v>111</v>
      </c>
      <c r="M413" s="26" t="str">
        <f ca="1">IF(B413="","",SUM(C413:OFFSET(C413,-LeadTime+1,0)))</f>
        <v/>
      </c>
      <c r="N413" s="26" t="e">
        <f t="shared" ca="1" si="42"/>
        <v>#DIV/0!</v>
      </c>
      <c r="O413" s="22">
        <f t="shared" si="48"/>
        <v>413</v>
      </c>
      <c r="P413" s="26">
        <f t="shared" ca="1" si="43"/>
        <v>0</v>
      </c>
      <c r="Q413" s="26">
        <f ca="1">IF(LeadTime=0,P413,IF(AND(SUM(Q412:OFFSET(Q413,-LeadTime,0))=0,P413&gt;0),MAX(P413:OFFSET(P413,-LeadTime+1,0)),0))</f>
        <v>0</v>
      </c>
    </row>
    <row r="414" spans="1:17" x14ac:dyDescent="0.2">
      <c r="A414" s="135">
        <v>39976</v>
      </c>
      <c r="B414" s="26"/>
      <c r="C414" s="26"/>
      <c r="D414" s="26"/>
      <c r="E414" s="26"/>
      <c r="F414" s="26">
        <f t="shared" si="44"/>
        <v>0</v>
      </c>
      <c r="G414" s="22" t="str">
        <f t="shared" ca="1" si="45"/>
        <v>History</v>
      </c>
      <c r="H414" s="22">
        <f t="shared" si="46"/>
        <v>2009</v>
      </c>
      <c r="I414" s="22">
        <f t="shared" si="47"/>
        <v>6</v>
      </c>
      <c r="J414" s="22">
        <f t="shared" si="41"/>
        <v>24</v>
      </c>
      <c r="K414" s="22">
        <v>1</v>
      </c>
      <c r="L414" s="22">
        <f ca="1">SUM(K414:OFFSET(RngToDay,ROWS(Dates),10))</f>
        <v>110</v>
      </c>
      <c r="M414" s="26" t="str">
        <f ca="1">IF(B414="","",SUM(C414:OFFSET(C414,-LeadTime+1,0)))</f>
        <v/>
      </c>
      <c r="N414" s="26" t="e">
        <f t="shared" ca="1" si="42"/>
        <v>#DIV/0!</v>
      </c>
      <c r="O414" s="22">
        <f t="shared" si="48"/>
        <v>414</v>
      </c>
      <c r="P414" s="26">
        <f t="shared" ca="1" si="43"/>
        <v>0</v>
      </c>
      <c r="Q414" s="26">
        <f ca="1">IF(LeadTime=0,P414,IF(AND(SUM(Q413:OFFSET(Q414,-LeadTime,0))=0,P414&gt;0),MAX(P414:OFFSET(P414,-LeadTime+1,0)),0))</f>
        <v>0</v>
      </c>
    </row>
    <row r="415" spans="1:17" x14ac:dyDescent="0.2">
      <c r="A415" s="135">
        <v>39975</v>
      </c>
      <c r="B415" s="26"/>
      <c r="C415" s="26"/>
      <c r="D415" s="26"/>
      <c r="E415" s="26"/>
      <c r="F415" s="26">
        <f t="shared" si="44"/>
        <v>0</v>
      </c>
      <c r="G415" s="22" t="str">
        <f t="shared" ca="1" si="45"/>
        <v>History</v>
      </c>
      <c r="H415" s="22">
        <f t="shared" si="46"/>
        <v>2009</v>
      </c>
      <c r="I415" s="22">
        <f t="shared" si="47"/>
        <v>6</v>
      </c>
      <c r="J415" s="22">
        <f t="shared" si="41"/>
        <v>24</v>
      </c>
      <c r="K415" s="22">
        <v>1</v>
      </c>
      <c r="L415" s="22">
        <f ca="1">SUM(K415:OFFSET(RngToDay,ROWS(Dates),10))</f>
        <v>109</v>
      </c>
      <c r="M415" s="26" t="str">
        <f ca="1">IF(B415="","",SUM(C415:OFFSET(C415,-LeadTime+1,0)))</f>
        <v/>
      </c>
      <c r="N415" s="26" t="e">
        <f t="shared" ca="1" si="42"/>
        <v>#DIV/0!</v>
      </c>
      <c r="O415" s="22">
        <f t="shared" si="48"/>
        <v>415</v>
      </c>
      <c r="P415" s="26">
        <f t="shared" ca="1" si="43"/>
        <v>0</v>
      </c>
      <c r="Q415" s="26">
        <f ca="1">IF(LeadTime=0,P415,IF(AND(SUM(Q414:OFFSET(Q415,-LeadTime,0))=0,P415&gt;0),MAX(P415:OFFSET(P415,-LeadTime+1,0)),0))</f>
        <v>0</v>
      </c>
    </row>
    <row r="416" spans="1:17" x14ac:dyDescent="0.2">
      <c r="A416" s="135">
        <v>39974</v>
      </c>
      <c r="B416" s="26"/>
      <c r="C416" s="26"/>
      <c r="D416" s="26"/>
      <c r="E416" s="26"/>
      <c r="F416" s="26">
        <f t="shared" si="44"/>
        <v>0</v>
      </c>
      <c r="G416" s="22" t="str">
        <f t="shared" ca="1" si="45"/>
        <v>History</v>
      </c>
      <c r="H416" s="22">
        <f t="shared" si="46"/>
        <v>2009</v>
      </c>
      <c r="I416" s="22">
        <f t="shared" si="47"/>
        <v>6</v>
      </c>
      <c r="J416" s="22">
        <f t="shared" si="41"/>
        <v>24</v>
      </c>
      <c r="K416" s="22">
        <v>1</v>
      </c>
      <c r="L416" s="22">
        <f ca="1">SUM(K416:OFFSET(RngToDay,ROWS(Dates),10))</f>
        <v>108</v>
      </c>
      <c r="M416" s="26" t="str">
        <f ca="1">IF(B416="","",SUM(C416:OFFSET(C416,-LeadTime+1,0)))</f>
        <v/>
      </c>
      <c r="N416" s="26" t="e">
        <f t="shared" ca="1" si="42"/>
        <v>#DIV/0!</v>
      </c>
      <c r="O416" s="22">
        <f t="shared" si="48"/>
        <v>416</v>
      </c>
      <c r="P416" s="26">
        <f t="shared" ca="1" si="43"/>
        <v>0</v>
      </c>
      <c r="Q416" s="26">
        <f ca="1">IF(LeadTime=0,P416,IF(AND(SUM(Q415:OFFSET(Q416,-LeadTime,0))=0,P416&gt;0),MAX(P416:OFFSET(P416,-LeadTime+1,0)),0))</f>
        <v>0</v>
      </c>
    </row>
    <row r="417" spans="1:17" x14ac:dyDescent="0.2">
      <c r="A417" s="135">
        <v>39973</v>
      </c>
      <c r="B417" s="26"/>
      <c r="C417" s="26"/>
      <c r="D417" s="26"/>
      <c r="E417" s="26"/>
      <c r="F417" s="26">
        <f t="shared" si="44"/>
        <v>0</v>
      </c>
      <c r="G417" s="22" t="str">
        <f t="shared" ca="1" si="45"/>
        <v>History</v>
      </c>
      <c r="H417" s="22">
        <f t="shared" si="46"/>
        <v>2009</v>
      </c>
      <c r="I417" s="22">
        <f t="shared" si="47"/>
        <v>6</v>
      </c>
      <c r="J417" s="22">
        <f t="shared" si="41"/>
        <v>24</v>
      </c>
      <c r="K417" s="22">
        <v>1</v>
      </c>
      <c r="L417" s="22">
        <f ca="1">SUM(K417:OFFSET(RngToDay,ROWS(Dates),10))</f>
        <v>107</v>
      </c>
      <c r="M417" s="26" t="str">
        <f ca="1">IF(B417="","",SUM(C417:OFFSET(C417,-LeadTime+1,0)))</f>
        <v/>
      </c>
      <c r="N417" s="26" t="e">
        <f t="shared" ca="1" si="42"/>
        <v>#DIV/0!</v>
      </c>
      <c r="O417" s="22">
        <f t="shared" si="48"/>
        <v>417</v>
      </c>
      <c r="P417" s="26">
        <f t="shared" ca="1" si="43"/>
        <v>0</v>
      </c>
      <c r="Q417" s="26">
        <f ca="1">IF(LeadTime=0,P417,IF(AND(SUM(Q416:OFFSET(Q417,-LeadTime,0))=0,P417&gt;0),MAX(P417:OFFSET(P417,-LeadTime+1,0)),0))</f>
        <v>0</v>
      </c>
    </row>
    <row r="418" spans="1:17" x14ac:dyDescent="0.2">
      <c r="A418" s="135">
        <v>39972</v>
      </c>
      <c r="B418" s="26"/>
      <c r="C418" s="26"/>
      <c r="D418" s="26"/>
      <c r="E418" s="26"/>
      <c r="F418" s="26">
        <f t="shared" si="44"/>
        <v>0</v>
      </c>
      <c r="G418" s="22" t="str">
        <f t="shared" ca="1" si="45"/>
        <v>History</v>
      </c>
      <c r="H418" s="22">
        <f t="shared" si="46"/>
        <v>2009</v>
      </c>
      <c r="I418" s="22">
        <f t="shared" si="47"/>
        <v>6</v>
      </c>
      <c r="J418" s="22">
        <f t="shared" si="41"/>
        <v>24</v>
      </c>
      <c r="K418" s="22">
        <v>1</v>
      </c>
      <c r="L418" s="22">
        <f ca="1">SUM(K418:OFFSET(RngToDay,ROWS(Dates),10))</f>
        <v>106</v>
      </c>
      <c r="M418" s="26" t="str">
        <f ca="1">IF(B418="","",SUM(C418:OFFSET(C418,-LeadTime+1,0)))</f>
        <v/>
      </c>
      <c r="N418" s="26" t="e">
        <f t="shared" ca="1" si="42"/>
        <v>#DIV/0!</v>
      </c>
      <c r="O418" s="22">
        <f t="shared" si="48"/>
        <v>418</v>
      </c>
      <c r="P418" s="26">
        <f t="shared" ca="1" si="43"/>
        <v>0</v>
      </c>
      <c r="Q418" s="26">
        <f ca="1">IF(LeadTime=0,P418,IF(AND(SUM(Q417:OFFSET(Q418,-LeadTime,0))=0,P418&gt;0),MAX(P418:OFFSET(P418,-LeadTime+1,0)),0))</f>
        <v>0</v>
      </c>
    </row>
    <row r="419" spans="1:17" x14ac:dyDescent="0.2">
      <c r="A419" s="135">
        <v>39969</v>
      </c>
      <c r="B419" s="26"/>
      <c r="C419" s="26"/>
      <c r="D419" s="26"/>
      <c r="E419" s="26"/>
      <c r="F419" s="26">
        <f t="shared" si="44"/>
        <v>0</v>
      </c>
      <c r="G419" s="22" t="str">
        <f t="shared" ca="1" si="45"/>
        <v>History</v>
      </c>
      <c r="H419" s="22">
        <f t="shared" si="46"/>
        <v>2009</v>
      </c>
      <c r="I419" s="22">
        <f t="shared" si="47"/>
        <v>6</v>
      </c>
      <c r="J419" s="22">
        <f t="shared" si="41"/>
        <v>23</v>
      </c>
      <c r="K419" s="22">
        <v>1</v>
      </c>
      <c r="L419" s="22">
        <f ca="1">SUM(K419:OFFSET(RngToDay,ROWS(Dates),10))</f>
        <v>105</v>
      </c>
      <c r="M419" s="26" t="str">
        <f ca="1">IF(B419="","",SUM(C419:OFFSET(C419,-LeadTime+1,0)))</f>
        <v/>
      </c>
      <c r="N419" s="26" t="e">
        <f t="shared" ca="1" si="42"/>
        <v>#DIV/0!</v>
      </c>
      <c r="O419" s="22">
        <f t="shared" si="48"/>
        <v>419</v>
      </c>
      <c r="P419" s="26">
        <f t="shared" ca="1" si="43"/>
        <v>0</v>
      </c>
      <c r="Q419" s="26">
        <f ca="1">IF(LeadTime=0,P419,IF(AND(SUM(Q418:OFFSET(Q419,-LeadTime,0))=0,P419&gt;0),MAX(P419:OFFSET(P419,-LeadTime+1,0)),0))</f>
        <v>0</v>
      </c>
    </row>
    <row r="420" spans="1:17" x14ac:dyDescent="0.2">
      <c r="A420" s="135">
        <v>39968</v>
      </c>
      <c r="B420" s="26"/>
      <c r="C420" s="26"/>
      <c r="D420" s="26"/>
      <c r="E420" s="26"/>
      <c r="F420" s="26">
        <f t="shared" si="44"/>
        <v>0</v>
      </c>
      <c r="G420" s="22" t="str">
        <f t="shared" ca="1" si="45"/>
        <v>History</v>
      </c>
      <c r="H420" s="22">
        <f t="shared" si="46"/>
        <v>2009</v>
      </c>
      <c r="I420" s="22">
        <f t="shared" si="47"/>
        <v>6</v>
      </c>
      <c r="J420" s="22">
        <f t="shared" si="41"/>
        <v>23</v>
      </c>
      <c r="K420" s="22">
        <v>1</v>
      </c>
      <c r="L420" s="22">
        <f ca="1">SUM(K420:OFFSET(RngToDay,ROWS(Dates),10))</f>
        <v>104</v>
      </c>
      <c r="M420" s="26" t="str">
        <f ca="1">IF(B420="","",SUM(C420:OFFSET(C420,-LeadTime+1,0)))</f>
        <v/>
      </c>
      <c r="N420" s="26" t="e">
        <f t="shared" ca="1" si="42"/>
        <v>#DIV/0!</v>
      </c>
      <c r="O420" s="22">
        <f t="shared" si="48"/>
        <v>420</v>
      </c>
      <c r="P420" s="26">
        <f t="shared" ca="1" si="43"/>
        <v>0</v>
      </c>
      <c r="Q420" s="26">
        <f ca="1">IF(LeadTime=0,P420,IF(AND(SUM(Q419:OFFSET(Q420,-LeadTime,0))=0,P420&gt;0),MAX(P420:OFFSET(P420,-LeadTime+1,0)),0))</f>
        <v>0</v>
      </c>
    </row>
    <row r="421" spans="1:17" x14ac:dyDescent="0.2">
      <c r="A421" s="135">
        <v>39967</v>
      </c>
      <c r="B421" s="26"/>
      <c r="C421" s="26"/>
      <c r="D421" s="26"/>
      <c r="E421" s="26"/>
      <c r="F421" s="26">
        <f t="shared" si="44"/>
        <v>0</v>
      </c>
      <c r="G421" s="22" t="str">
        <f t="shared" ca="1" si="45"/>
        <v>History</v>
      </c>
      <c r="H421" s="22">
        <f t="shared" si="46"/>
        <v>2009</v>
      </c>
      <c r="I421" s="22">
        <f t="shared" si="47"/>
        <v>6</v>
      </c>
      <c r="J421" s="22">
        <f t="shared" si="41"/>
        <v>23</v>
      </c>
      <c r="K421" s="22">
        <v>1</v>
      </c>
      <c r="L421" s="22">
        <f ca="1">SUM(K421:OFFSET(RngToDay,ROWS(Dates),10))</f>
        <v>103</v>
      </c>
      <c r="M421" s="26" t="str">
        <f ca="1">IF(B421="","",SUM(C421:OFFSET(C421,-LeadTime+1,0)))</f>
        <v/>
      </c>
      <c r="N421" s="26" t="e">
        <f t="shared" ca="1" si="42"/>
        <v>#DIV/0!</v>
      </c>
      <c r="O421" s="22">
        <f t="shared" si="48"/>
        <v>421</v>
      </c>
      <c r="P421" s="26">
        <f t="shared" ca="1" si="43"/>
        <v>0</v>
      </c>
      <c r="Q421" s="26">
        <f ca="1">IF(LeadTime=0,P421,IF(AND(SUM(Q420:OFFSET(Q421,-LeadTime,0))=0,P421&gt;0),MAX(P421:OFFSET(P421,-LeadTime+1,0)),0))</f>
        <v>0</v>
      </c>
    </row>
    <row r="422" spans="1:17" x14ac:dyDescent="0.2">
      <c r="A422" s="135">
        <v>39966</v>
      </c>
      <c r="B422" s="26"/>
      <c r="C422" s="26"/>
      <c r="D422" s="26"/>
      <c r="E422" s="26"/>
      <c r="F422" s="26">
        <f t="shared" si="44"/>
        <v>0</v>
      </c>
      <c r="G422" s="22" t="str">
        <f t="shared" ca="1" si="45"/>
        <v>History</v>
      </c>
      <c r="H422" s="22">
        <f t="shared" si="46"/>
        <v>2009</v>
      </c>
      <c r="I422" s="22">
        <f t="shared" si="47"/>
        <v>6</v>
      </c>
      <c r="J422" s="22">
        <f t="shared" si="41"/>
        <v>23</v>
      </c>
      <c r="K422" s="22">
        <v>1</v>
      </c>
      <c r="L422" s="22">
        <f ca="1">SUM(K422:OFFSET(RngToDay,ROWS(Dates),10))</f>
        <v>102</v>
      </c>
      <c r="M422" s="26" t="str">
        <f ca="1">IF(B422="","",SUM(C422:OFFSET(C422,-LeadTime+1,0)))</f>
        <v/>
      </c>
      <c r="N422" s="26" t="e">
        <f t="shared" ca="1" si="42"/>
        <v>#DIV/0!</v>
      </c>
      <c r="O422" s="22">
        <f t="shared" si="48"/>
        <v>422</v>
      </c>
      <c r="P422" s="26">
        <f t="shared" ca="1" si="43"/>
        <v>0</v>
      </c>
      <c r="Q422" s="26">
        <f ca="1">IF(LeadTime=0,P422,IF(AND(SUM(Q421:OFFSET(Q422,-LeadTime,0))=0,P422&gt;0),MAX(P422:OFFSET(P422,-LeadTime+1,0)),0))</f>
        <v>0</v>
      </c>
    </row>
    <row r="423" spans="1:17" x14ac:dyDescent="0.2">
      <c r="A423" s="135">
        <v>39962</v>
      </c>
      <c r="B423" s="26"/>
      <c r="C423" s="26"/>
      <c r="D423" s="26"/>
      <c r="E423" s="26"/>
      <c r="F423" s="26">
        <f t="shared" si="44"/>
        <v>0</v>
      </c>
      <c r="G423" s="22" t="str">
        <f t="shared" ca="1" si="45"/>
        <v>History</v>
      </c>
      <c r="H423" s="22">
        <f t="shared" si="46"/>
        <v>2009</v>
      </c>
      <c r="I423" s="22">
        <f t="shared" si="47"/>
        <v>5</v>
      </c>
      <c r="J423" s="22">
        <f t="shared" si="41"/>
        <v>22</v>
      </c>
      <c r="K423" s="22">
        <v>1</v>
      </c>
      <c r="L423" s="22">
        <f ca="1">SUM(K423:OFFSET(RngToDay,ROWS(Dates),10))</f>
        <v>101</v>
      </c>
      <c r="M423" s="26" t="str">
        <f ca="1">IF(B423="","",SUM(C423:OFFSET(C423,-LeadTime+1,0)))</f>
        <v/>
      </c>
      <c r="N423" s="26" t="e">
        <f t="shared" ca="1" si="42"/>
        <v>#DIV/0!</v>
      </c>
      <c r="O423" s="22">
        <f t="shared" si="48"/>
        <v>423</v>
      </c>
      <c r="P423" s="26">
        <f t="shared" ca="1" si="43"/>
        <v>0</v>
      </c>
      <c r="Q423" s="26">
        <f ca="1">IF(LeadTime=0,P423,IF(AND(SUM(Q422:OFFSET(Q423,-LeadTime,0))=0,P423&gt;0),MAX(P423:OFFSET(P423,-LeadTime+1,0)),0))</f>
        <v>0</v>
      </c>
    </row>
    <row r="424" spans="1:17" x14ac:dyDescent="0.2">
      <c r="A424" s="135">
        <v>39961</v>
      </c>
      <c r="B424" s="26"/>
      <c r="C424" s="26"/>
      <c r="D424" s="26"/>
      <c r="E424" s="26"/>
      <c r="F424" s="26">
        <f t="shared" si="44"/>
        <v>0</v>
      </c>
      <c r="G424" s="22" t="str">
        <f t="shared" ca="1" si="45"/>
        <v>History</v>
      </c>
      <c r="H424" s="22">
        <f t="shared" si="46"/>
        <v>2009</v>
      </c>
      <c r="I424" s="22">
        <f t="shared" si="47"/>
        <v>5</v>
      </c>
      <c r="J424" s="22">
        <f t="shared" si="41"/>
        <v>22</v>
      </c>
      <c r="K424" s="22">
        <v>1</v>
      </c>
      <c r="L424" s="22">
        <f ca="1">SUM(K424:OFFSET(RngToDay,ROWS(Dates),10))</f>
        <v>100</v>
      </c>
      <c r="M424" s="26" t="str">
        <f ca="1">IF(B424="","",SUM(C424:OFFSET(C424,-LeadTime+1,0)))</f>
        <v/>
      </c>
      <c r="N424" s="26" t="e">
        <f t="shared" ca="1" si="42"/>
        <v>#DIV/0!</v>
      </c>
      <c r="O424" s="22">
        <f t="shared" si="48"/>
        <v>424</v>
      </c>
      <c r="P424" s="26">
        <f t="shared" ca="1" si="43"/>
        <v>0</v>
      </c>
      <c r="Q424" s="26">
        <f ca="1">IF(LeadTime=0,P424,IF(AND(SUM(Q423:OFFSET(Q424,-LeadTime,0))=0,P424&gt;0),MAX(P424:OFFSET(P424,-LeadTime+1,0)),0))</f>
        <v>0</v>
      </c>
    </row>
    <row r="425" spans="1:17" x14ac:dyDescent="0.2">
      <c r="A425" s="135">
        <v>39960</v>
      </c>
      <c r="B425" s="26"/>
      <c r="C425" s="26"/>
      <c r="D425" s="26"/>
      <c r="E425" s="26"/>
      <c r="F425" s="26">
        <f t="shared" si="44"/>
        <v>0</v>
      </c>
      <c r="G425" s="22" t="str">
        <f t="shared" ca="1" si="45"/>
        <v>History</v>
      </c>
      <c r="H425" s="22">
        <f t="shared" si="46"/>
        <v>2009</v>
      </c>
      <c r="I425" s="22">
        <f t="shared" si="47"/>
        <v>5</v>
      </c>
      <c r="J425" s="22">
        <f t="shared" si="41"/>
        <v>22</v>
      </c>
      <c r="K425" s="22">
        <v>1</v>
      </c>
      <c r="L425" s="22">
        <f ca="1">SUM(K425:OFFSET(RngToDay,ROWS(Dates),10))</f>
        <v>99</v>
      </c>
      <c r="M425" s="26" t="str">
        <f ca="1">IF(B425="","",SUM(C425:OFFSET(C425,-LeadTime+1,0)))</f>
        <v/>
      </c>
      <c r="N425" s="26" t="e">
        <f t="shared" ca="1" si="42"/>
        <v>#DIV/0!</v>
      </c>
      <c r="O425" s="22">
        <f t="shared" si="48"/>
        <v>425</v>
      </c>
      <c r="P425" s="26">
        <f t="shared" ca="1" si="43"/>
        <v>0</v>
      </c>
      <c r="Q425" s="26">
        <f ca="1">IF(LeadTime=0,P425,IF(AND(SUM(Q424:OFFSET(Q425,-LeadTime,0))=0,P425&gt;0),MAX(P425:OFFSET(P425,-LeadTime+1,0)),0))</f>
        <v>0</v>
      </c>
    </row>
    <row r="426" spans="1:17" x14ac:dyDescent="0.2">
      <c r="A426" s="135">
        <v>39959</v>
      </c>
      <c r="B426" s="26"/>
      <c r="C426" s="26"/>
      <c r="D426" s="26"/>
      <c r="E426" s="26"/>
      <c r="F426" s="26">
        <f t="shared" si="44"/>
        <v>0</v>
      </c>
      <c r="G426" s="22" t="str">
        <f t="shared" ca="1" si="45"/>
        <v>History</v>
      </c>
      <c r="H426" s="22">
        <f t="shared" si="46"/>
        <v>2009</v>
      </c>
      <c r="I426" s="22">
        <f t="shared" si="47"/>
        <v>5</v>
      </c>
      <c r="J426" s="22">
        <f t="shared" si="41"/>
        <v>22</v>
      </c>
      <c r="K426" s="22">
        <v>1</v>
      </c>
      <c r="L426" s="22">
        <f ca="1">SUM(K426:OFFSET(RngToDay,ROWS(Dates),10))</f>
        <v>98</v>
      </c>
      <c r="M426" s="26" t="str">
        <f ca="1">IF(B426="","",SUM(C426:OFFSET(C426,-LeadTime+1,0)))</f>
        <v/>
      </c>
      <c r="N426" s="26" t="e">
        <f t="shared" ca="1" si="42"/>
        <v>#DIV/0!</v>
      </c>
      <c r="O426" s="22">
        <f t="shared" si="48"/>
        <v>426</v>
      </c>
      <c r="P426" s="26">
        <f t="shared" ca="1" si="43"/>
        <v>0</v>
      </c>
      <c r="Q426" s="26">
        <f ca="1">IF(LeadTime=0,P426,IF(AND(SUM(Q425:OFFSET(Q426,-LeadTime,0))=0,P426&gt;0),MAX(P426:OFFSET(P426,-LeadTime+1,0)),0))</f>
        <v>0</v>
      </c>
    </row>
    <row r="427" spans="1:17" x14ac:dyDescent="0.2">
      <c r="A427" s="135">
        <v>39958</v>
      </c>
      <c r="B427" s="26"/>
      <c r="C427" s="26"/>
      <c r="D427" s="26"/>
      <c r="E427" s="26"/>
      <c r="F427" s="26">
        <f t="shared" si="44"/>
        <v>0</v>
      </c>
      <c r="G427" s="22" t="str">
        <f t="shared" ca="1" si="45"/>
        <v>History</v>
      </c>
      <c r="H427" s="22">
        <f t="shared" si="46"/>
        <v>2009</v>
      </c>
      <c r="I427" s="22">
        <f t="shared" si="47"/>
        <v>5</v>
      </c>
      <c r="J427" s="22">
        <f t="shared" si="41"/>
        <v>22</v>
      </c>
      <c r="K427" s="22">
        <v>1</v>
      </c>
      <c r="L427" s="22">
        <f ca="1">SUM(K427:OFFSET(RngToDay,ROWS(Dates),10))</f>
        <v>97</v>
      </c>
      <c r="M427" s="26" t="str">
        <f ca="1">IF(B427="","",SUM(C427:OFFSET(C427,-LeadTime+1,0)))</f>
        <v/>
      </c>
      <c r="N427" s="26" t="e">
        <f t="shared" ca="1" si="42"/>
        <v>#DIV/0!</v>
      </c>
      <c r="O427" s="22">
        <f t="shared" si="48"/>
        <v>427</v>
      </c>
      <c r="P427" s="26">
        <f t="shared" ca="1" si="43"/>
        <v>0</v>
      </c>
      <c r="Q427" s="26">
        <f ca="1">IF(LeadTime=0,P427,IF(AND(SUM(Q426:OFFSET(Q427,-LeadTime,0))=0,P427&gt;0),MAX(P427:OFFSET(P427,-LeadTime+1,0)),0))</f>
        <v>0</v>
      </c>
    </row>
    <row r="428" spans="1:17" x14ac:dyDescent="0.2">
      <c r="A428" s="135">
        <v>39955</v>
      </c>
      <c r="B428" s="26"/>
      <c r="C428" s="26"/>
      <c r="D428" s="26"/>
      <c r="E428" s="26"/>
      <c r="F428" s="26">
        <f t="shared" si="44"/>
        <v>0</v>
      </c>
      <c r="G428" s="22" t="str">
        <f t="shared" ca="1" si="45"/>
        <v>History</v>
      </c>
      <c r="H428" s="22">
        <f t="shared" si="46"/>
        <v>2009</v>
      </c>
      <c r="I428" s="22">
        <f t="shared" si="47"/>
        <v>5</v>
      </c>
      <c r="J428" s="22">
        <f t="shared" si="41"/>
        <v>21</v>
      </c>
      <c r="K428" s="22">
        <v>1</v>
      </c>
      <c r="L428" s="22">
        <f ca="1">SUM(K428:OFFSET(RngToDay,ROWS(Dates),10))</f>
        <v>96</v>
      </c>
      <c r="M428" s="26" t="str">
        <f ca="1">IF(B428="","",SUM(C428:OFFSET(C428,-LeadTime+1,0)))</f>
        <v/>
      </c>
      <c r="N428" s="26" t="e">
        <f t="shared" ca="1" si="42"/>
        <v>#DIV/0!</v>
      </c>
      <c r="O428" s="22">
        <f t="shared" si="48"/>
        <v>428</v>
      </c>
      <c r="P428" s="26">
        <f t="shared" ca="1" si="43"/>
        <v>0</v>
      </c>
      <c r="Q428" s="26">
        <f ca="1">IF(LeadTime=0,P428,IF(AND(SUM(Q427:OFFSET(Q428,-LeadTime,0))=0,P428&gt;0),MAX(P428:OFFSET(P428,-LeadTime+1,0)),0))</f>
        <v>0</v>
      </c>
    </row>
    <row r="429" spans="1:17" x14ac:dyDescent="0.2">
      <c r="A429" s="135">
        <v>39953</v>
      </c>
      <c r="B429" s="26"/>
      <c r="C429" s="26"/>
      <c r="D429" s="26"/>
      <c r="E429" s="26"/>
      <c r="F429" s="26">
        <f t="shared" si="44"/>
        <v>0</v>
      </c>
      <c r="G429" s="22" t="str">
        <f t="shared" ca="1" si="45"/>
        <v>History</v>
      </c>
      <c r="H429" s="22">
        <f t="shared" si="46"/>
        <v>2009</v>
      </c>
      <c r="I429" s="22">
        <f t="shared" si="47"/>
        <v>5</v>
      </c>
      <c r="J429" s="22">
        <f t="shared" si="41"/>
        <v>21</v>
      </c>
      <c r="K429" s="22">
        <v>1</v>
      </c>
      <c r="L429" s="22">
        <f ca="1">SUM(K429:OFFSET(RngToDay,ROWS(Dates),10))</f>
        <v>95</v>
      </c>
      <c r="M429" s="26" t="str">
        <f ca="1">IF(B429="","",SUM(C429:OFFSET(C429,-LeadTime+1,0)))</f>
        <v/>
      </c>
      <c r="N429" s="26" t="e">
        <f t="shared" ca="1" si="42"/>
        <v>#DIV/0!</v>
      </c>
      <c r="O429" s="22">
        <f t="shared" si="48"/>
        <v>429</v>
      </c>
      <c r="P429" s="26">
        <f t="shared" ca="1" si="43"/>
        <v>0</v>
      </c>
      <c r="Q429" s="26">
        <f ca="1">IF(LeadTime=0,P429,IF(AND(SUM(Q428:OFFSET(Q429,-LeadTime,0))=0,P429&gt;0),MAX(P429:OFFSET(P429,-LeadTime+1,0)),0))</f>
        <v>0</v>
      </c>
    </row>
    <row r="430" spans="1:17" x14ac:dyDescent="0.2">
      <c r="A430" s="135">
        <v>39952</v>
      </c>
      <c r="B430" s="26"/>
      <c r="C430" s="26"/>
      <c r="D430" s="26"/>
      <c r="E430" s="26"/>
      <c r="F430" s="26">
        <f t="shared" si="44"/>
        <v>0</v>
      </c>
      <c r="G430" s="22" t="str">
        <f t="shared" ca="1" si="45"/>
        <v>History</v>
      </c>
      <c r="H430" s="22">
        <f t="shared" si="46"/>
        <v>2009</v>
      </c>
      <c r="I430" s="22">
        <f t="shared" si="47"/>
        <v>5</v>
      </c>
      <c r="J430" s="22">
        <f t="shared" si="41"/>
        <v>21</v>
      </c>
      <c r="K430" s="22">
        <v>1</v>
      </c>
      <c r="L430" s="22">
        <f ca="1">SUM(K430:OFFSET(RngToDay,ROWS(Dates),10))</f>
        <v>94</v>
      </c>
      <c r="M430" s="26" t="str">
        <f ca="1">IF(B430="","",SUM(C430:OFFSET(C430,-LeadTime+1,0)))</f>
        <v/>
      </c>
      <c r="N430" s="26" t="e">
        <f t="shared" ca="1" si="42"/>
        <v>#DIV/0!</v>
      </c>
      <c r="O430" s="22">
        <f t="shared" si="48"/>
        <v>430</v>
      </c>
      <c r="P430" s="26">
        <f t="shared" ca="1" si="43"/>
        <v>0</v>
      </c>
      <c r="Q430" s="26">
        <f ca="1">IF(LeadTime=0,P430,IF(AND(SUM(Q429:OFFSET(Q430,-LeadTime,0))=0,P430&gt;0),MAX(P430:OFFSET(P430,-LeadTime+1,0)),0))</f>
        <v>0</v>
      </c>
    </row>
    <row r="431" spans="1:17" x14ac:dyDescent="0.2">
      <c r="A431" s="135">
        <v>39951</v>
      </c>
      <c r="B431" s="26"/>
      <c r="C431" s="26"/>
      <c r="D431" s="26"/>
      <c r="E431" s="26"/>
      <c r="F431" s="26">
        <f t="shared" si="44"/>
        <v>0</v>
      </c>
      <c r="G431" s="22" t="str">
        <f t="shared" ca="1" si="45"/>
        <v>History</v>
      </c>
      <c r="H431" s="22">
        <f t="shared" si="46"/>
        <v>2009</v>
      </c>
      <c r="I431" s="22">
        <f t="shared" si="47"/>
        <v>5</v>
      </c>
      <c r="J431" s="22">
        <f t="shared" si="41"/>
        <v>21</v>
      </c>
      <c r="K431" s="22">
        <v>1</v>
      </c>
      <c r="L431" s="22">
        <f ca="1">SUM(K431:OFFSET(RngToDay,ROWS(Dates),10))</f>
        <v>93</v>
      </c>
      <c r="M431" s="26" t="str">
        <f ca="1">IF(B431="","",SUM(C431:OFFSET(C431,-LeadTime+1,0)))</f>
        <v/>
      </c>
      <c r="N431" s="26" t="e">
        <f t="shared" ca="1" si="42"/>
        <v>#DIV/0!</v>
      </c>
      <c r="O431" s="22">
        <f t="shared" si="48"/>
        <v>431</v>
      </c>
      <c r="P431" s="26">
        <f t="shared" ca="1" si="43"/>
        <v>0</v>
      </c>
      <c r="Q431" s="26">
        <f ca="1">IF(LeadTime=0,P431,IF(AND(SUM(Q430:OFFSET(Q431,-LeadTime,0))=0,P431&gt;0),MAX(P431:OFFSET(P431,-LeadTime+1,0)),0))</f>
        <v>0</v>
      </c>
    </row>
    <row r="432" spans="1:17" x14ac:dyDescent="0.2">
      <c r="A432" s="135">
        <v>39948</v>
      </c>
      <c r="B432" s="26"/>
      <c r="C432" s="26"/>
      <c r="D432" s="26"/>
      <c r="E432" s="26"/>
      <c r="F432" s="26">
        <f t="shared" si="44"/>
        <v>0</v>
      </c>
      <c r="G432" s="22" t="str">
        <f t="shared" ca="1" si="45"/>
        <v>History</v>
      </c>
      <c r="H432" s="22">
        <f t="shared" si="46"/>
        <v>2009</v>
      </c>
      <c r="I432" s="22">
        <f t="shared" si="47"/>
        <v>5</v>
      </c>
      <c r="J432" s="22">
        <f t="shared" si="41"/>
        <v>20</v>
      </c>
      <c r="K432" s="22">
        <v>1</v>
      </c>
      <c r="L432" s="22">
        <f ca="1">SUM(K432:OFFSET(RngToDay,ROWS(Dates),10))</f>
        <v>92</v>
      </c>
      <c r="M432" s="26" t="str">
        <f ca="1">IF(B432="","",SUM(C432:OFFSET(C432,-LeadTime+1,0)))</f>
        <v/>
      </c>
      <c r="N432" s="26" t="e">
        <f t="shared" ca="1" si="42"/>
        <v>#DIV/0!</v>
      </c>
      <c r="O432" s="22">
        <f t="shared" si="48"/>
        <v>432</v>
      </c>
      <c r="P432" s="26">
        <f t="shared" ca="1" si="43"/>
        <v>0</v>
      </c>
      <c r="Q432" s="26">
        <f ca="1">IF(LeadTime=0,P432,IF(AND(SUM(Q431:OFFSET(Q432,-LeadTime,0))=0,P432&gt;0),MAX(P432:OFFSET(P432,-LeadTime+1,0)),0))</f>
        <v>0</v>
      </c>
    </row>
    <row r="433" spans="1:17" x14ac:dyDescent="0.2">
      <c r="A433" s="135">
        <v>39947</v>
      </c>
      <c r="B433" s="26"/>
      <c r="C433" s="26"/>
      <c r="D433" s="26"/>
      <c r="E433" s="26"/>
      <c r="F433" s="26">
        <f t="shared" si="44"/>
        <v>0</v>
      </c>
      <c r="G433" s="22" t="str">
        <f t="shared" ca="1" si="45"/>
        <v>History</v>
      </c>
      <c r="H433" s="22">
        <f t="shared" si="46"/>
        <v>2009</v>
      </c>
      <c r="I433" s="22">
        <f t="shared" si="47"/>
        <v>5</v>
      </c>
      <c r="J433" s="22">
        <f t="shared" si="41"/>
        <v>20</v>
      </c>
      <c r="K433" s="22">
        <v>1</v>
      </c>
      <c r="L433" s="22">
        <f ca="1">SUM(K433:OFFSET(RngToDay,ROWS(Dates),10))</f>
        <v>91</v>
      </c>
      <c r="M433" s="26" t="str">
        <f ca="1">IF(B433="","",SUM(C433:OFFSET(C433,-LeadTime+1,0)))</f>
        <v/>
      </c>
      <c r="N433" s="26" t="e">
        <f t="shared" ca="1" si="42"/>
        <v>#DIV/0!</v>
      </c>
      <c r="O433" s="22">
        <f t="shared" si="48"/>
        <v>433</v>
      </c>
      <c r="P433" s="26">
        <f t="shared" ca="1" si="43"/>
        <v>0</v>
      </c>
      <c r="Q433" s="26">
        <f ca="1">IF(LeadTime=0,P433,IF(AND(SUM(Q432:OFFSET(Q433,-LeadTime,0))=0,P433&gt;0),MAX(P433:OFFSET(P433,-LeadTime+1,0)),0))</f>
        <v>0</v>
      </c>
    </row>
    <row r="434" spans="1:17" x14ac:dyDescent="0.2">
      <c r="A434" s="135">
        <v>39946</v>
      </c>
      <c r="B434" s="26"/>
      <c r="C434" s="26"/>
      <c r="D434" s="26"/>
      <c r="E434" s="26"/>
      <c r="F434" s="26">
        <f t="shared" si="44"/>
        <v>0</v>
      </c>
      <c r="G434" s="22" t="str">
        <f t="shared" ca="1" si="45"/>
        <v>History</v>
      </c>
      <c r="H434" s="22">
        <f t="shared" si="46"/>
        <v>2009</v>
      </c>
      <c r="I434" s="22">
        <f t="shared" si="47"/>
        <v>5</v>
      </c>
      <c r="J434" s="22">
        <f t="shared" si="41"/>
        <v>20</v>
      </c>
      <c r="K434" s="22">
        <v>1</v>
      </c>
      <c r="L434" s="22">
        <f ca="1">SUM(K434:OFFSET(RngToDay,ROWS(Dates),10))</f>
        <v>90</v>
      </c>
      <c r="M434" s="26" t="str">
        <f ca="1">IF(B434="","",SUM(C434:OFFSET(C434,-LeadTime+1,0)))</f>
        <v/>
      </c>
      <c r="N434" s="26" t="e">
        <f t="shared" ca="1" si="42"/>
        <v>#DIV/0!</v>
      </c>
      <c r="O434" s="22">
        <f t="shared" si="48"/>
        <v>434</v>
      </c>
      <c r="P434" s="26">
        <f t="shared" ca="1" si="43"/>
        <v>0</v>
      </c>
      <c r="Q434" s="26">
        <f ca="1">IF(LeadTime=0,P434,IF(AND(SUM(Q433:OFFSET(Q434,-LeadTime,0))=0,P434&gt;0),MAX(P434:OFFSET(P434,-LeadTime+1,0)),0))</f>
        <v>0</v>
      </c>
    </row>
    <row r="435" spans="1:17" x14ac:dyDescent="0.2">
      <c r="A435" s="135">
        <v>39945</v>
      </c>
      <c r="B435" s="26"/>
      <c r="C435" s="26"/>
      <c r="D435" s="26"/>
      <c r="E435" s="26"/>
      <c r="F435" s="26">
        <f t="shared" si="44"/>
        <v>0</v>
      </c>
      <c r="G435" s="22" t="str">
        <f t="shared" ca="1" si="45"/>
        <v>History</v>
      </c>
      <c r="H435" s="22">
        <f t="shared" si="46"/>
        <v>2009</v>
      </c>
      <c r="I435" s="22">
        <f t="shared" si="47"/>
        <v>5</v>
      </c>
      <c r="J435" s="22">
        <f t="shared" si="41"/>
        <v>20</v>
      </c>
      <c r="K435" s="22">
        <v>1</v>
      </c>
      <c r="L435" s="22">
        <f ca="1">SUM(K435:OFFSET(RngToDay,ROWS(Dates),10))</f>
        <v>89</v>
      </c>
      <c r="M435" s="26" t="str">
        <f ca="1">IF(B435="","",SUM(C435:OFFSET(C435,-LeadTime+1,0)))</f>
        <v/>
      </c>
      <c r="N435" s="26" t="e">
        <f t="shared" ca="1" si="42"/>
        <v>#DIV/0!</v>
      </c>
      <c r="O435" s="22">
        <f t="shared" si="48"/>
        <v>435</v>
      </c>
      <c r="P435" s="26">
        <f t="shared" ca="1" si="43"/>
        <v>0</v>
      </c>
      <c r="Q435" s="26">
        <f ca="1">IF(LeadTime=0,P435,IF(AND(SUM(Q434:OFFSET(Q435,-LeadTime,0))=0,P435&gt;0),MAX(P435:OFFSET(P435,-LeadTime+1,0)),0))</f>
        <v>0</v>
      </c>
    </row>
    <row r="436" spans="1:17" x14ac:dyDescent="0.2">
      <c r="A436" s="135">
        <v>39944</v>
      </c>
      <c r="B436" s="26"/>
      <c r="C436" s="26"/>
      <c r="D436" s="26"/>
      <c r="E436" s="26"/>
      <c r="F436" s="26">
        <f t="shared" si="44"/>
        <v>0</v>
      </c>
      <c r="G436" s="22" t="str">
        <f t="shared" ca="1" si="45"/>
        <v>History</v>
      </c>
      <c r="H436" s="22">
        <f t="shared" si="46"/>
        <v>2009</v>
      </c>
      <c r="I436" s="22">
        <f t="shared" si="47"/>
        <v>5</v>
      </c>
      <c r="J436" s="22">
        <f t="shared" si="41"/>
        <v>20</v>
      </c>
      <c r="K436" s="22">
        <v>1</v>
      </c>
      <c r="L436" s="22">
        <f ca="1">SUM(K436:OFFSET(RngToDay,ROWS(Dates),10))</f>
        <v>88</v>
      </c>
      <c r="M436" s="26" t="str">
        <f ca="1">IF(B436="","",SUM(C436:OFFSET(C436,-LeadTime+1,0)))</f>
        <v/>
      </c>
      <c r="N436" s="26" t="e">
        <f t="shared" ca="1" si="42"/>
        <v>#DIV/0!</v>
      </c>
      <c r="O436" s="22">
        <f t="shared" si="48"/>
        <v>436</v>
      </c>
      <c r="P436" s="26">
        <f t="shared" ca="1" si="43"/>
        <v>0</v>
      </c>
      <c r="Q436" s="26">
        <f ca="1">IF(LeadTime=0,P436,IF(AND(SUM(Q435:OFFSET(Q436,-LeadTime,0))=0,P436&gt;0),MAX(P436:OFFSET(P436,-LeadTime+1,0)),0))</f>
        <v>0</v>
      </c>
    </row>
    <row r="437" spans="1:17" x14ac:dyDescent="0.2">
      <c r="A437" s="135">
        <v>39941</v>
      </c>
      <c r="B437" s="26"/>
      <c r="C437" s="26"/>
      <c r="D437" s="26"/>
      <c r="E437" s="26"/>
      <c r="F437" s="26">
        <f t="shared" si="44"/>
        <v>0</v>
      </c>
      <c r="G437" s="22" t="str">
        <f t="shared" ca="1" si="45"/>
        <v>History</v>
      </c>
      <c r="H437" s="22">
        <f t="shared" si="46"/>
        <v>2009</v>
      </c>
      <c r="I437" s="22">
        <f t="shared" si="47"/>
        <v>5</v>
      </c>
      <c r="J437" s="22">
        <f t="shared" si="41"/>
        <v>19</v>
      </c>
      <c r="K437" s="22">
        <v>1</v>
      </c>
      <c r="L437" s="22">
        <f ca="1">SUM(K437:OFFSET(RngToDay,ROWS(Dates),10))</f>
        <v>87</v>
      </c>
      <c r="M437" s="26" t="str">
        <f ca="1">IF(B437="","",SUM(C437:OFFSET(C437,-LeadTime+1,0)))</f>
        <v/>
      </c>
      <c r="N437" s="26" t="e">
        <f t="shared" ca="1" si="42"/>
        <v>#DIV/0!</v>
      </c>
      <c r="O437" s="22">
        <f t="shared" si="48"/>
        <v>437</v>
      </c>
      <c r="P437" s="26">
        <f t="shared" ca="1" si="43"/>
        <v>0</v>
      </c>
      <c r="Q437" s="26">
        <f ca="1">IF(LeadTime=0,P437,IF(AND(SUM(Q436:OFFSET(Q437,-LeadTime,0))=0,P437&gt;0),MAX(P437:OFFSET(P437,-LeadTime+1,0)),0))</f>
        <v>0</v>
      </c>
    </row>
    <row r="438" spans="1:17" x14ac:dyDescent="0.2">
      <c r="A438" s="135">
        <v>39940</v>
      </c>
      <c r="B438" s="26"/>
      <c r="C438" s="26"/>
      <c r="D438" s="26"/>
      <c r="E438" s="26"/>
      <c r="F438" s="26">
        <f t="shared" si="44"/>
        <v>0</v>
      </c>
      <c r="G438" s="22" t="str">
        <f t="shared" ca="1" si="45"/>
        <v>History</v>
      </c>
      <c r="H438" s="22">
        <f t="shared" si="46"/>
        <v>2009</v>
      </c>
      <c r="I438" s="22">
        <f t="shared" si="47"/>
        <v>5</v>
      </c>
      <c r="J438" s="22">
        <f t="shared" si="41"/>
        <v>19</v>
      </c>
      <c r="K438" s="22">
        <v>1</v>
      </c>
      <c r="L438" s="22">
        <f ca="1">SUM(K438:OFFSET(RngToDay,ROWS(Dates),10))</f>
        <v>86</v>
      </c>
      <c r="M438" s="26" t="str">
        <f ca="1">IF(B438="","",SUM(C438:OFFSET(C438,-LeadTime+1,0)))</f>
        <v/>
      </c>
      <c r="N438" s="26" t="e">
        <f t="shared" ca="1" si="42"/>
        <v>#DIV/0!</v>
      </c>
      <c r="O438" s="22">
        <f t="shared" si="48"/>
        <v>438</v>
      </c>
      <c r="P438" s="26">
        <f t="shared" ca="1" si="43"/>
        <v>0</v>
      </c>
      <c r="Q438" s="26">
        <f ca="1">IF(LeadTime=0,P438,IF(AND(SUM(Q437:OFFSET(Q438,-LeadTime,0))=0,P438&gt;0),MAX(P438:OFFSET(P438,-LeadTime+1,0)),0))</f>
        <v>0</v>
      </c>
    </row>
    <row r="439" spans="1:17" x14ac:dyDescent="0.2">
      <c r="A439" s="135">
        <v>39939</v>
      </c>
      <c r="B439" s="26"/>
      <c r="C439" s="26"/>
      <c r="D439" s="26"/>
      <c r="E439" s="26"/>
      <c r="F439" s="26">
        <f t="shared" si="44"/>
        <v>0</v>
      </c>
      <c r="G439" s="22" t="str">
        <f t="shared" ca="1" si="45"/>
        <v>History</v>
      </c>
      <c r="H439" s="22">
        <f t="shared" si="46"/>
        <v>2009</v>
      </c>
      <c r="I439" s="22">
        <f t="shared" si="47"/>
        <v>5</v>
      </c>
      <c r="J439" s="22">
        <f t="shared" si="41"/>
        <v>19</v>
      </c>
      <c r="K439" s="22">
        <v>1</v>
      </c>
      <c r="L439" s="22">
        <f ca="1">SUM(K439:OFFSET(RngToDay,ROWS(Dates),10))</f>
        <v>85</v>
      </c>
      <c r="M439" s="26" t="str">
        <f ca="1">IF(B439="","",SUM(C439:OFFSET(C439,-LeadTime+1,0)))</f>
        <v/>
      </c>
      <c r="N439" s="26" t="e">
        <f t="shared" ca="1" si="42"/>
        <v>#DIV/0!</v>
      </c>
      <c r="O439" s="22">
        <f t="shared" si="48"/>
        <v>439</v>
      </c>
      <c r="P439" s="26">
        <f t="shared" ca="1" si="43"/>
        <v>0</v>
      </c>
      <c r="Q439" s="26">
        <f ca="1">IF(LeadTime=0,P439,IF(AND(SUM(Q438:OFFSET(Q439,-LeadTime,0))=0,P439&gt;0),MAX(P439:OFFSET(P439,-LeadTime+1,0)),0))</f>
        <v>0</v>
      </c>
    </row>
    <row r="440" spans="1:17" x14ac:dyDescent="0.2">
      <c r="A440" s="135">
        <v>39938</v>
      </c>
      <c r="B440" s="26"/>
      <c r="C440" s="26"/>
      <c r="D440" s="26"/>
      <c r="E440" s="26"/>
      <c r="F440" s="26">
        <f t="shared" si="44"/>
        <v>0</v>
      </c>
      <c r="G440" s="22" t="str">
        <f t="shared" ca="1" si="45"/>
        <v>History</v>
      </c>
      <c r="H440" s="22">
        <f t="shared" si="46"/>
        <v>2009</v>
      </c>
      <c r="I440" s="22">
        <f t="shared" si="47"/>
        <v>5</v>
      </c>
      <c r="J440" s="22">
        <f t="shared" ref="J440:J503" si="49">IF(WEEKDAY(DATE(YEAR(A440),1,1),2)&gt;4,WEEKNUM(A440,2)-1,WEEKNUM(A440,2))</f>
        <v>19</v>
      </c>
      <c r="K440" s="22">
        <v>1</v>
      </c>
      <c r="L440" s="22">
        <f ca="1">SUM(K440:OFFSET(RngToDay,ROWS(Dates),10))</f>
        <v>84</v>
      </c>
      <c r="M440" s="26" t="str">
        <f ca="1">IF(B440="","",SUM(C440:OFFSET(C440,-LeadTime+1,0)))</f>
        <v/>
      </c>
      <c r="N440" s="26" t="e">
        <f t="shared" ca="1" si="42"/>
        <v>#DIV/0!</v>
      </c>
      <c r="O440" s="22">
        <f t="shared" si="48"/>
        <v>440</v>
      </c>
      <c r="P440" s="26">
        <f t="shared" ca="1" si="43"/>
        <v>0</v>
      </c>
      <c r="Q440" s="26">
        <f ca="1">IF(LeadTime=0,P440,IF(AND(SUM(Q439:OFFSET(Q440,-LeadTime,0))=0,P440&gt;0),MAX(P440:OFFSET(P440,-LeadTime+1,0)),0))</f>
        <v>0</v>
      </c>
    </row>
    <row r="441" spans="1:17" x14ac:dyDescent="0.2">
      <c r="A441" s="135">
        <v>39937</v>
      </c>
      <c r="B441" s="26"/>
      <c r="C441" s="26"/>
      <c r="D441" s="26"/>
      <c r="E441" s="26"/>
      <c r="F441" s="26">
        <f t="shared" si="44"/>
        <v>0</v>
      </c>
      <c r="G441" s="22" t="str">
        <f t="shared" ca="1" si="45"/>
        <v>History</v>
      </c>
      <c r="H441" s="22">
        <f t="shared" si="46"/>
        <v>2009</v>
      </c>
      <c r="I441" s="22">
        <f t="shared" si="47"/>
        <v>5</v>
      </c>
      <c r="J441" s="22">
        <f t="shared" si="49"/>
        <v>19</v>
      </c>
      <c r="K441" s="22">
        <v>1</v>
      </c>
      <c r="L441" s="22">
        <f ca="1">SUM(K441:OFFSET(RngToDay,ROWS(Dates),10))</f>
        <v>83</v>
      </c>
      <c r="M441" s="26" t="str">
        <f ca="1">IF(B441="","",SUM(C441:OFFSET(C441,-LeadTime+1,0)))</f>
        <v/>
      </c>
      <c r="N441" s="26" t="e">
        <f t="shared" ca="1" si="42"/>
        <v>#DIV/0!</v>
      </c>
      <c r="O441" s="22">
        <f t="shared" si="48"/>
        <v>441</v>
      </c>
      <c r="P441" s="26">
        <f t="shared" ca="1" si="43"/>
        <v>0</v>
      </c>
      <c r="Q441" s="26">
        <f ca="1">IF(LeadTime=0,P441,IF(AND(SUM(Q440:OFFSET(Q441,-LeadTime,0))=0,P441&gt;0),MAX(P441:OFFSET(P441,-LeadTime+1,0)),0))</f>
        <v>0</v>
      </c>
    </row>
    <row r="442" spans="1:17" x14ac:dyDescent="0.2">
      <c r="A442" s="135">
        <v>39933</v>
      </c>
      <c r="B442" s="26"/>
      <c r="C442" s="26"/>
      <c r="D442" s="26"/>
      <c r="E442" s="26"/>
      <c r="F442" s="26">
        <f t="shared" si="44"/>
        <v>0</v>
      </c>
      <c r="G442" s="22" t="str">
        <f t="shared" ca="1" si="45"/>
        <v>History</v>
      </c>
      <c r="H442" s="22">
        <f t="shared" si="46"/>
        <v>2009</v>
      </c>
      <c r="I442" s="22">
        <f t="shared" si="47"/>
        <v>4</v>
      </c>
      <c r="J442" s="22">
        <f t="shared" si="49"/>
        <v>18</v>
      </c>
      <c r="K442" s="22">
        <v>1</v>
      </c>
      <c r="L442" s="22">
        <f ca="1">SUM(K442:OFFSET(RngToDay,ROWS(Dates),10))</f>
        <v>82</v>
      </c>
      <c r="M442" s="26" t="str">
        <f ca="1">IF(B442="","",SUM(C442:OFFSET(C442,-LeadTime+1,0)))</f>
        <v/>
      </c>
      <c r="N442" s="26" t="e">
        <f t="shared" ref="N442:N505" ca="1" si="50">Saf_Stock</f>
        <v>#DIV/0!</v>
      </c>
      <c r="O442" s="22">
        <f t="shared" si="48"/>
        <v>442</v>
      </c>
      <c r="P442" s="26">
        <f t="shared" ca="1" si="43"/>
        <v>0</v>
      </c>
      <c r="Q442" s="26">
        <f ca="1">IF(LeadTime=0,P442,IF(AND(SUM(Q441:OFFSET(Q442,-LeadTime,0))=0,P442&gt;0),MAX(P442:OFFSET(P442,-LeadTime+1,0)),0))</f>
        <v>0</v>
      </c>
    </row>
    <row r="443" spans="1:17" x14ac:dyDescent="0.2">
      <c r="A443" s="135">
        <v>39932</v>
      </c>
      <c r="B443" s="26"/>
      <c r="C443" s="26"/>
      <c r="D443" s="26"/>
      <c r="E443" s="26"/>
      <c r="F443" s="26">
        <f t="shared" si="44"/>
        <v>0</v>
      </c>
      <c r="G443" s="22" t="str">
        <f t="shared" ca="1" si="45"/>
        <v>History</v>
      </c>
      <c r="H443" s="22">
        <f t="shared" si="46"/>
        <v>2009</v>
      </c>
      <c r="I443" s="22">
        <f t="shared" si="47"/>
        <v>4</v>
      </c>
      <c r="J443" s="22">
        <f t="shared" si="49"/>
        <v>18</v>
      </c>
      <c r="K443" s="22">
        <v>1</v>
      </c>
      <c r="L443" s="22">
        <f ca="1">SUM(K443:OFFSET(RngToDay,ROWS(Dates),10))</f>
        <v>81</v>
      </c>
      <c r="M443" s="26" t="str">
        <f ca="1">IF(B443="","",SUM(C443:OFFSET(C443,-LeadTime+1,0)))</f>
        <v/>
      </c>
      <c r="N443" s="26" t="e">
        <f t="shared" ca="1" si="50"/>
        <v>#DIV/0!</v>
      </c>
      <c r="O443" s="22">
        <f t="shared" si="48"/>
        <v>443</v>
      </c>
      <c r="P443" s="26">
        <f t="shared" ref="P443:P506" ca="1" si="51">IF(M443="",0,IF(M443&gt;N443,M443-N443,0))</f>
        <v>0</v>
      </c>
      <c r="Q443" s="26">
        <f ca="1">IF(LeadTime=0,P443,IF(AND(SUM(Q442:OFFSET(Q443,-LeadTime,0))=0,P443&gt;0),MAX(P443:OFFSET(P443,-LeadTime+1,0)),0))</f>
        <v>0</v>
      </c>
    </row>
    <row r="444" spans="1:17" x14ac:dyDescent="0.2">
      <c r="A444" s="135">
        <v>39931</v>
      </c>
      <c r="B444" s="26"/>
      <c r="C444" s="26"/>
      <c r="D444" s="26"/>
      <c r="E444" s="26"/>
      <c r="F444" s="26">
        <f t="shared" ref="F444:F507" si="52">F443</f>
        <v>0</v>
      </c>
      <c r="G444" s="22" t="str">
        <f t="shared" ca="1" si="45"/>
        <v>History</v>
      </c>
      <c r="H444" s="22">
        <f t="shared" si="46"/>
        <v>2009</v>
      </c>
      <c r="I444" s="22">
        <f t="shared" si="47"/>
        <v>4</v>
      </c>
      <c r="J444" s="22">
        <f t="shared" si="49"/>
        <v>18</v>
      </c>
      <c r="K444" s="22">
        <v>1</v>
      </c>
      <c r="L444" s="22">
        <f ca="1">SUM(K444:OFFSET(RngToDay,ROWS(Dates),10))</f>
        <v>80</v>
      </c>
      <c r="M444" s="26" t="str">
        <f ca="1">IF(B444="","",SUM(C444:OFFSET(C444,-LeadTime+1,0)))</f>
        <v/>
      </c>
      <c r="N444" s="26" t="e">
        <f t="shared" ca="1" si="50"/>
        <v>#DIV/0!</v>
      </c>
      <c r="O444" s="22">
        <f t="shared" si="48"/>
        <v>444</v>
      </c>
      <c r="P444" s="26">
        <f t="shared" ca="1" si="51"/>
        <v>0</v>
      </c>
      <c r="Q444" s="26">
        <f ca="1">IF(LeadTime=0,P444,IF(AND(SUM(Q443:OFFSET(Q444,-LeadTime,0))=0,P444&gt;0),MAX(P444:OFFSET(P444,-LeadTime+1,0)),0))</f>
        <v>0</v>
      </c>
    </row>
    <row r="445" spans="1:17" x14ac:dyDescent="0.2">
      <c r="A445" s="135">
        <v>39930</v>
      </c>
      <c r="B445" s="26"/>
      <c r="C445" s="26"/>
      <c r="D445" s="26"/>
      <c r="E445" s="26"/>
      <c r="F445" s="26">
        <f t="shared" si="52"/>
        <v>0</v>
      </c>
      <c r="G445" s="22" t="str">
        <f t="shared" ca="1" si="45"/>
        <v>History</v>
      </c>
      <c r="H445" s="22">
        <f t="shared" si="46"/>
        <v>2009</v>
      </c>
      <c r="I445" s="22">
        <f t="shared" si="47"/>
        <v>4</v>
      </c>
      <c r="J445" s="22">
        <f t="shared" si="49"/>
        <v>18</v>
      </c>
      <c r="K445" s="22">
        <v>1</v>
      </c>
      <c r="L445" s="22">
        <f ca="1">SUM(K445:OFFSET(RngToDay,ROWS(Dates),10))</f>
        <v>79</v>
      </c>
      <c r="M445" s="26" t="str">
        <f ca="1">IF(B445="","",SUM(C445:OFFSET(C445,-LeadTime+1,0)))</f>
        <v/>
      </c>
      <c r="N445" s="26" t="e">
        <f t="shared" ca="1" si="50"/>
        <v>#DIV/0!</v>
      </c>
      <c r="O445" s="22">
        <f t="shared" si="48"/>
        <v>445</v>
      </c>
      <c r="P445" s="26">
        <f t="shared" ca="1" si="51"/>
        <v>0</v>
      </c>
      <c r="Q445" s="26">
        <f ca="1">IF(LeadTime=0,P445,IF(AND(SUM(Q444:OFFSET(Q445,-LeadTime,0))=0,P445&gt;0),MAX(P445:OFFSET(P445,-LeadTime+1,0)),0))</f>
        <v>0</v>
      </c>
    </row>
    <row r="446" spans="1:17" x14ac:dyDescent="0.2">
      <c r="A446" s="135">
        <v>39927</v>
      </c>
      <c r="B446" s="26"/>
      <c r="C446" s="26"/>
      <c r="D446" s="26"/>
      <c r="E446" s="26"/>
      <c r="F446" s="26">
        <f t="shared" si="52"/>
        <v>0</v>
      </c>
      <c r="G446" s="22" t="str">
        <f t="shared" ca="1" si="45"/>
        <v>History</v>
      </c>
      <c r="H446" s="22">
        <f t="shared" si="46"/>
        <v>2009</v>
      </c>
      <c r="I446" s="22">
        <f t="shared" si="47"/>
        <v>4</v>
      </c>
      <c r="J446" s="22">
        <f t="shared" si="49"/>
        <v>17</v>
      </c>
      <c r="K446" s="22">
        <v>1</v>
      </c>
      <c r="L446" s="22">
        <f ca="1">SUM(K446:OFFSET(RngToDay,ROWS(Dates),10))</f>
        <v>78</v>
      </c>
      <c r="M446" s="26" t="str">
        <f ca="1">IF(B446="","",SUM(C446:OFFSET(C446,-LeadTime+1,0)))</f>
        <v/>
      </c>
      <c r="N446" s="26" t="e">
        <f t="shared" ca="1" si="50"/>
        <v>#DIV/0!</v>
      </c>
      <c r="O446" s="22">
        <f t="shared" si="48"/>
        <v>446</v>
      </c>
      <c r="P446" s="26">
        <f t="shared" ca="1" si="51"/>
        <v>0</v>
      </c>
      <c r="Q446" s="26">
        <f ca="1">IF(LeadTime=0,P446,IF(AND(SUM(Q445:OFFSET(Q446,-LeadTime,0))=0,P446&gt;0),MAX(P446:OFFSET(P446,-LeadTime+1,0)),0))</f>
        <v>0</v>
      </c>
    </row>
    <row r="447" spans="1:17" x14ac:dyDescent="0.2">
      <c r="A447" s="135">
        <v>39926</v>
      </c>
      <c r="B447" s="26"/>
      <c r="C447" s="26"/>
      <c r="D447" s="26"/>
      <c r="E447" s="26"/>
      <c r="F447" s="26">
        <f t="shared" si="52"/>
        <v>0</v>
      </c>
      <c r="G447" s="22" t="str">
        <f t="shared" ca="1" si="45"/>
        <v>History</v>
      </c>
      <c r="H447" s="22">
        <f t="shared" si="46"/>
        <v>2009</v>
      </c>
      <c r="I447" s="22">
        <f t="shared" si="47"/>
        <v>4</v>
      </c>
      <c r="J447" s="22">
        <f t="shared" si="49"/>
        <v>17</v>
      </c>
      <c r="K447" s="22">
        <v>1</v>
      </c>
      <c r="L447" s="22">
        <f ca="1">SUM(K447:OFFSET(RngToDay,ROWS(Dates),10))</f>
        <v>77</v>
      </c>
      <c r="M447" s="26" t="str">
        <f ca="1">IF(B447="","",SUM(C447:OFFSET(C447,-LeadTime+1,0)))</f>
        <v/>
      </c>
      <c r="N447" s="26" t="e">
        <f t="shared" ca="1" si="50"/>
        <v>#DIV/0!</v>
      </c>
      <c r="O447" s="22">
        <f t="shared" si="48"/>
        <v>447</v>
      </c>
      <c r="P447" s="26">
        <f t="shared" ca="1" si="51"/>
        <v>0</v>
      </c>
      <c r="Q447" s="26">
        <f ca="1">IF(LeadTime=0,P447,IF(AND(SUM(Q446:OFFSET(Q447,-LeadTime,0))=0,P447&gt;0),MAX(P447:OFFSET(P447,-LeadTime+1,0)),0))</f>
        <v>0</v>
      </c>
    </row>
    <row r="448" spans="1:17" x14ac:dyDescent="0.2">
      <c r="A448" s="135">
        <v>39925</v>
      </c>
      <c r="B448" s="26"/>
      <c r="C448" s="26"/>
      <c r="D448" s="26"/>
      <c r="E448" s="26"/>
      <c r="F448" s="26">
        <f t="shared" si="52"/>
        <v>0</v>
      </c>
      <c r="G448" s="22" t="str">
        <f t="shared" ca="1" si="45"/>
        <v>History</v>
      </c>
      <c r="H448" s="22">
        <f t="shared" si="46"/>
        <v>2009</v>
      </c>
      <c r="I448" s="22">
        <f t="shared" si="47"/>
        <v>4</v>
      </c>
      <c r="J448" s="22">
        <f t="shared" si="49"/>
        <v>17</v>
      </c>
      <c r="K448" s="22">
        <v>1</v>
      </c>
      <c r="L448" s="22">
        <f ca="1">SUM(K448:OFFSET(RngToDay,ROWS(Dates),10))</f>
        <v>76</v>
      </c>
      <c r="M448" s="26" t="str">
        <f ca="1">IF(B448="","",SUM(C448:OFFSET(C448,-LeadTime+1,0)))</f>
        <v/>
      </c>
      <c r="N448" s="26" t="e">
        <f t="shared" ca="1" si="50"/>
        <v>#DIV/0!</v>
      </c>
      <c r="O448" s="22">
        <f t="shared" si="48"/>
        <v>448</v>
      </c>
      <c r="P448" s="26">
        <f t="shared" ca="1" si="51"/>
        <v>0</v>
      </c>
      <c r="Q448" s="26">
        <f ca="1">IF(LeadTime=0,P448,IF(AND(SUM(Q447:OFFSET(Q448,-LeadTime,0))=0,P448&gt;0),MAX(P448:OFFSET(P448,-LeadTime+1,0)),0))</f>
        <v>0</v>
      </c>
    </row>
    <row r="449" spans="1:17" x14ac:dyDescent="0.2">
      <c r="A449" s="135">
        <v>39924</v>
      </c>
      <c r="B449" s="26"/>
      <c r="C449" s="26"/>
      <c r="D449" s="26"/>
      <c r="E449" s="26"/>
      <c r="F449" s="26">
        <f t="shared" si="52"/>
        <v>0</v>
      </c>
      <c r="G449" s="22" t="str">
        <f t="shared" ca="1" si="45"/>
        <v>History</v>
      </c>
      <c r="H449" s="22">
        <f t="shared" si="46"/>
        <v>2009</v>
      </c>
      <c r="I449" s="22">
        <f t="shared" si="47"/>
        <v>4</v>
      </c>
      <c r="J449" s="22">
        <f t="shared" si="49"/>
        <v>17</v>
      </c>
      <c r="K449" s="22">
        <v>1</v>
      </c>
      <c r="L449" s="22">
        <f ca="1">SUM(K449:OFFSET(RngToDay,ROWS(Dates),10))</f>
        <v>75</v>
      </c>
      <c r="M449" s="26" t="str">
        <f ca="1">IF(B449="","",SUM(C449:OFFSET(C449,-LeadTime+1,0)))</f>
        <v/>
      </c>
      <c r="N449" s="26" t="e">
        <f t="shared" ca="1" si="50"/>
        <v>#DIV/0!</v>
      </c>
      <c r="O449" s="22">
        <f t="shared" si="48"/>
        <v>449</v>
      </c>
      <c r="P449" s="26">
        <f t="shared" ca="1" si="51"/>
        <v>0</v>
      </c>
      <c r="Q449" s="26">
        <f ca="1">IF(LeadTime=0,P449,IF(AND(SUM(Q448:OFFSET(Q449,-LeadTime,0))=0,P449&gt;0),MAX(P449:OFFSET(P449,-LeadTime+1,0)),0))</f>
        <v>0</v>
      </c>
    </row>
    <row r="450" spans="1:17" x14ac:dyDescent="0.2">
      <c r="A450" s="135">
        <v>39923</v>
      </c>
      <c r="B450" s="26"/>
      <c r="C450" s="26"/>
      <c r="D450" s="26"/>
      <c r="E450" s="26"/>
      <c r="F450" s="26">
        <f t="shared" si="52"/>
        <v>0</v>
      </c>
      <c r="G450" s="22" t="str">
        <f t="shared" ca="1" si="45"/>
        <v>History</v>
      </c>
      <c r="H450" s="22">
        <f t="shared" si="46"/>
        <v>2009</v>
      </c>
      <c r="I450" s="22">
        <f t="shared" si="47"/>
        <v>4</v>
      </c>
      <c r="J450" s="22">
        <f t="shared" si="49"/>
        <v>17</v>
      </c>
      <c r="K450" s="22">
        <v>1</v>
      </c>
      <c r="L450" s="22">
        <f ca="1">SUM(K450:OFFSET(RngToDay,ROWS(Dates),10))</f>
        <v>74</v>
      </c>
      <c r="M450" s="26" t="str">
        <f ca="1">IF(B450="","",SUM(C450:OFFSET(C450,-LeadTime+1,0)))</f>
        <v/>
      </c>
      <c r="N450" s="26" t="e">
        <f t="shared" ca="1" si="50"/>
        <v>#DIV/0!</v>
      </c>
      <c r="O450" s="22">
        <f t="shared" si="48"/>
        <v>450</v>
      </c>
      <c r="P450" s="26">
        <f t="shared" ca="1" si="51"/>
        <v>0</v>
      </c>
      <c r="Q450" s="26">
        <f ca="1">IF(LeadTime=0,P450,IF(AND(SUM(Q449:OFFSET(Q450,-LeadTime,0))=0,P450&gt;0),MAX(P450:OFFSET(P450,-LeadTime+1,0)),0))</f>
        <v>0</v>
      </c>
    </row>
    <row r="451" spans="1:17" x14ac:dyDescent="0.2">
      <c r="A451" s="136">
        <v>39920</v>
      </c>
      <c r="F451" s="26">
        <f t="shared" si="52"/>
        <v>0</v>
      </c>
      <c r="G451" s="22" t="str">
        <f t="shared" ref="G451:G514" ca="1" si="53">IF(A451&gt;TODAY(),"Requirements","History")</f>
        <v>History</v>
      </c>
      <c r="H451" s="22">
        <f t="shared" ref="H451:H514" si="54">YEAR(A451)</f>
        <v>2009</v>
      </c>
      <c r="I451" s="22">
        <f t="shared" ref="I451:I514" si="55">MONTH(A451)</f>
        <v>4</v>
      </c>
      <c r="J451" s="22">
        <f t="shared" si="49"/>
        <v>16</v>
      </c>
      <c r="K451" s="22">
        <v>1</v>
      </c>
      <c r="L451" s="22">
        <f ca="1">SUM(K451:OFFSET(RngToDay,ROWS(Dates),10))</f>
        <v>73</v>
      </c>
      <c r="M451" s="26" t="str">
        <f ca="1">IF(B451="","",SUM(C451:OFFSET(C451,-LeadTime+1,0)))</f>
        <v/>
      </c>
      <c r="N451" s="26" t="e">
        <f t="shared" ca="1" si="50"/>
        <v>#DIV/0!</v>
      </c>
      <c r="O451" s="22">
        <f t="shared" si="48"/>
        <v>451</v>
      </c>
      <c r="P451" s="26">
        <f t="shared" ca="1" si="51"/>
        <v>0</v>
      </c>
      <c r="Q451" s="26">
        <f ca="1">IF(LeadTime=0,P451,IF(AND(SUM(Q450:OFFSET(Q451,-LeadTime,0))=0,P451&gt;0),MAX(P451:OFFSET(P451,-LeadTime+1,0)),0))</f>
        <v>0</v>
      </c>
    </row>
    <row r="452" spans="1:17" x14ac:dyDescent="0.2">
      <c r="A452" s="136">
        <v>39919</v>
      </c>
      <c r="F452" s="26">
        <f t="shared" si="52"/>
        <v>0</v>
      </c>
      <c r="G452" s="22" t="str">
        <f t="shared" ca="1" si="53"/>
        <v>History</v>
      </c>
      <c r="H452" s="22">
        <f t="shared" si="54"/>
        <v>2009</v>
      </c>
      <c r="I452" s="22">
        <f t="shared" si="55"/>
        <v>4</v>
      </c>
      <c r="J452" s="22">
        <f t="shared" si="49"/>
        <v>16</v>
      </c>
      <c r="K452" s="22">
        <v>1</v>
      </c>
      <c r="L452" s="22">
        <f ca="1">SUM(K452:OFFSET(RngToDay,ROWS(Dates),10))</f>
        <v>72</v>
      </c>
      <c r="M452" s="26" t="str">
        <f ca="1">IF(B452="","",SUM(C452:OFFSET(C452,-LeadTime+1,0)))</f>
        <v/>
      </c>
      <c r="N452" s="26" t="e">
        <f t="shared" ca="1" si="50"/>
        <v>#DIV/0!</v>
      </c>
      <c r="O452" s="22">
        <f t="shared" ref="O452:O515" si="56">O451+1</f>
        <v>452</v>
      </c>
      <c r="P452" s="26">
        <f t="shared" ca="1" si="51"/>
        <v>0</v>
      </c>
      <c r="Q452" s="26">
        <f ca="1">IF(LeadTime=0,P452,IF(AND(SUM(Q451:OFFSET(Q452,-LeadTime,0))=0,P452&gt;0),MAX(P452:OFFSET(P452,-LeadTime+1,0)),0))</f>
        <v>0</v>
      </c>
    </row>
    <row r="453" spans="1:17" x14ac:dyDescent="0.2">
      <c r="A453" s="136">
        <v>39918</v>
      </c>
      <c r="F453" s="26">
        <f t="shared" si="52"/>
        <v>0</v>
      </c>
      <c r="G453" s="22" t="str">
        <f t="shared" ca="1" si="53"/>
        <v>History</v>
      </c>
      <c r="H453" s="22">
        <f t="shared" si="54"/>
        <v>2009</v>
      </c>
      <c r="I453" s="22">
        <f t="shared" si="55"/>
        <v>4</v>
      </c>
      <c r="J453" s="22">
        <f t="shared" si="49"/>
        <v>16</v>
      </c>
      <c r="K453" s="22">
        <v>1</v>
      </c>
      <c r="L453" s="22">
        <f ca="1">SUM(K453:OFFSET(RngToDay,ROWS(Dates),10))</f>
        <v>71</v>
      </c>
      <c r="M453" s="26" t="str">
        <f ca="1">IF(B453="","",SUM(C453:OFFSET(C453,-LeadTime+1,0)))</f>
        <v/>
      </c>
      <c r="N453" s="26" t="e">
        <f t="shared" ca="1" si="50"/>
        <v>#DIV/0!</v>
      </c>
      <c r="O453" s="22">
        <f t="shared" si="56"/>
        <v>453</v>
      </c>
      <c r="P453" s="26">
        <f t="shared" ca="1" si="51"/>
        <v>0</v>
      </c>
      <c r="Q453" s="26">
        <f ca="1">IF(LeadTime=0,P453,IF(AND(SUM(Q452:OFFSET(Q453,-LeadTime,0))=0,P453&gt;0),MAX(P453:OFFSET(P453,-LeadTime+1,0)),0))</f>
        <v>0</v>
      </c>
    </row>
    <row r="454" spans="1:17" x14ac:dyDescent="0.2">
      <c r="A454" s="136">
        <v>39917</v>
      </c>
      <c r="F454" s="26">
        <f t="shared" si="52"/>
        <v>0</v>
      </c>
      <c r="G454" s="22" t="str">
        <f t="shared" ca="1" si="53"/>
        <v>History</v>
      </c>
      <c r="H454" s="22">
        <f t="shared" si="54"/>
        <v>2009</v>
      </c>
      <c r="I454" s="22">
        <f t="shared" si="55"/>
        <v>4</v>
      </c>
      <c r="J454" s="22">
        <f t="shared" si="49"/>
        <v>16</v>
      </c>
      <c r="K454" s="22">
        <v>1</v>
      </c>
      <c r="L454" s="22">
        <f ca="1">SUM(K454:OFFSET(RngToDay,ROWS(Dates),10))</f>
        <v>70</v>
      </c>
      <c r="M454" s="26" t="str">
        <f ca="1">IF(B454="","",SUM(C454:OFFSET(C454,-LeadTime+1,0)))</f>
        <v/>
      </c>
      <c r="N454" s="26" t="e">
        <f t="shared" ca="1" si="50"/>
        <v>#DIV/0!</v>
      </c>
      <c r="O454" s="22">
        <f t="shared" si="56"/>
        <v>454</v>
      </c>
      <c r="P454" s="26">
        <f t="shared" ca="1" si="51"/>
        <v>0</v>
      </c>
      <c r="Q454" s="26">
        <f ca="1">IF(LeadTime=0,P454,IF(AND(SUM(Q453:OFFSET(Q454,-LeadTime,0))=0,P454&gt;0),MAX(P454:OFFSET(P454,-LeadTime+1,0)),0))</f>
        <v>0</v>
      </c>
    </row>
    <row r="455" spans="1:17" x14ac:dyDescent="0.2">
      <c r="A455" s="136">
        <v>39911</v>
      </c>
      <c r="F455" s="26">
        <f t="shared" si="52"/>
        <v>0</v>
      </c>
      <c r="G455" s="22" t="str">
        <f t="shared" ca="1" si="53"/>
        <v>History</v>
      </c>
      <c r="H455" s="22">
        <f t="shared" si="54"/>
        <v>2009</v>
      </c>
      <c r="I455" s="22">
        <f t="shared" si="55"/>
        <v>4</v>
      </c>
      <c r="J455" s="22">
        <f t="shared" si="49"/>
        <v>15</v>
      </c>
      <c r="K455" s="22">
        <v>1</v>
      </c>
      <c r="L455" s="22">
        <f ca="1">SUM(K455:OFFSET(RngToDay,ROWS(Dates),10))</f>
        <v>69</v>
      </c>
      <c r="M455" s="26" t="str">
        <f ca="1">IF(B455="","",SUM(C455:OFFSET(C455,-LeadTime+1,0)))</f>
        <v/>
      </c>
      <c r="N455" s="26" t="e">
        <f t="shared" ca="1" si="50"/>
        <v>#DIV/0!</v>
      </c>
      <c r="O455" s="22">
        <f t="shared" si="56"/>
        <v>455</v>
      </c>
      <c r="P455" s="26">
        <f t="shared" ca="1" si="51"/>
        <v>0</v>
      </c>
      <c r="Q455" s="26">
        <f ca="1">IF(LeadTime=0,P455,IF(AND(SUM(Q454:OFFSET(Q455,-LeadTime,0))=0,P455&gt;0),MAX(P455:OFFSET(P455,-LeadTime+1,0)),0))</f>
        <v>0</v>
      </c>
    </row>
    <row r="456" spans="1:17" x14ac:dyDescent="0.2">
      <c r="A456" s="136">
        <v>39910</v>
      </c>
      <c r="F456" s="26">
        <f t="shared" si="52"/>
        <v>0</v>
      </c>
      <c r="G456" s="22" t="str">
        <f t="shared" ca="1" si="53"/>
        <v>History</v>
      </c>
      <c r="H456" s="22">
        <f t="shared" si="54"/>
        <v>2009</v>
      </c>
      <c r="I456" s="22">
        <f t="shared" si="55"/>
        <v>4</v>
      </c>
      <c r="J456" s="22">
        <f t="shared" si="49"/>
        <v>15</v>
      </c>
      <c r="K456" s="22">
        <v>1</v>
      </c>
      <c r="L456" s="22">
        <f ca="1">SUM(K456:OFFSET(RngToDay,ROWS(Dates),10))</f>
        <v>68</v>
      </c>
      <c r="M456" s="26" t="str">
        <f ca="1">IF(B456="","",SUM(C456:OFFSET(C456,-LeadTime+1,0)))</f>
        <v/>
      </c>
      <c r="N456" s="26" t="e">
        <f t="shared" ca="1" si="50"/>
        <v>#DIV/0!</v>
      </c>
      <c r="O456" s="22">
        <f t="shared" si="56"/>
        <v>456</v>
      </c>
      <c r="P456" s="26">
        <f t="shared" ca="1" si="51"/>
        <v>0</v>
      </c>
      <c r="Q456" s="26">
        <f ca="1">IF(LeadTime=0,P456,IF(AND(SUM(Q455:OFFSET(Q456,-LeadTime,0))=0,P456&gt;0),MAX(P456:OFFSET(P456,-LeadTime+1,0)),0))</f>
        <v>0</v>
      </c>
    </row>
    <row r="457" spans="1:17" x14ac:dyDescent="0.2">
      <c r="A457" s="136">
        <v>39909</v>
      </c>
      <c r="F457" s="26">
        <f t="shared" si="52"/>
        <v>0</v>
      </c>
      <c r="G457" s="22" t="str">
        <f t="shared" ca="1" si="53"/>
        <v>History</v>
      </c>
      <c r="H457" s="22">
        <f t="shared" si="54"/>
        <v>2009</v>
      </c>
      <c r="I457" s="22">
        <f t="shared" si="55"/>
        <v>4</v>
      </c>
      <c r="J457" s="22">
        <f t="shared" si="49"/>
        <v>15</v>
      </c>
      <c r="K457" s="22">
        <v>1</v>
      </c>
      <c r="L457" s="22">
        <f ca="1">SUM(K457:OFFSET(RngToDay,ROWS(Dates),10))</f>
        <v>67</v>
      </c>
      <c r="M457" s="26" t="str">
        <f ca="1">IF(B457="","",SUM(C457:OFFSET(C457,-LeadTime+1,0)))</f>
        <v/>
      </c>
      <c r="N457" s="26" t="e">
        <f t="shared" ca="1" si="50"/>
        <v>#DIV/0!</v>
      </c>
      <c r="O457" s="22">
        <f t="shared" si="56"/>
        <v>457</v>
      </c>
      <c r="P457" s="26">
        <f t="shared" ca="1" si="51"/>
        <v>0</v>
      </c>
      <c r="Q457" s="26">
        <f ca="1">IF(LeadTime=0,P457,IF(AND(SUM(Q456:OFFSET(Q457,-LeadTime,0))=0,P457&gt;0),MAX(P457:OFFSET(P457,-LeadTime+1,0)),0))</f>
        <v>0</v>
      </c>
    </row>
    <row r="458" spans="1:17" x14ac:dyDescent="0.2">
      <c r="A458" s="136">
        <v>39906</v>
      </c>
      <c r="F458" s="26">
        <f t="shared" si="52"/>
        <v>0</v>
      </c>
      <c r="G458" s="22" t="str">
        <f t="shared" ca="1" si="53"/>
        <v>History</v>
      </c>
      <c r="H458" s="22">
        <f t="shared" si="54"/>
        <v>2009</v>
      </c>
      <c r="I458" s="22">
        <f t="shared" si="55"/>
        <v>4</v>
      </c>
      <c r="J458" s="22">
        <f t="shared" si="49"/>
        <v>14</v>
      </c>
      <c r="K458" s="22">
        <v>1</v>
      </c>
      <c r="L458" s="22">
        <f ca="1">SUM(K458:OFFSET(RngToDay,ROWS(Dates),10))</f>
        <v>66</v>
      </c>
      <c r="M458" s="26" t="str">
        <f ca="1">IF(B458="","",SUM(C458:OFFSET(C458,-LeadTime+1,0)))</f>
        <v/>
      </c>
      <c r="N458" s="26" t="e">
        <f t="shared" ca="1" si="50"/>
        <v>#DIV/0!</v>
      </c>
      <c r="O458" s="22">
        <f t="shared" si="56"/>
        <v>458</v>
      </c>
      <c r="P458" s="26">
        <f t="shared" ca="1" si="51"/>
        <v>0</v>
      </c>
      <c r="Q458" s="26">
        <f ca="1">IF(LeadTime=0,P458,IF(AND(SUM(Q457:OFFSET(Q458,-LeadTime,0))=0,P458&gt;0),MAX(P458:OFFSET(P458,-LeadTime+1,0)),0))</f>
        <v>0</v>
      </c>
    </row>
    <row r="459" spans="1:17" x14ac:dyDescent="0.2">
      <c r="A459" s="136">
        <v>39905</v>
      </c>
      <c r="F459" s="26">
        <f t="shared" si="52"/>
        <v>0</v>
      </c>
      <c r="G459" s="22" t="str">
        <f t="shared" ca="1" si="53"/>
        <v>History</v>
      </c>
      <c r="H459" s="22">
        <f t="shared" si="54"/>
        <v>2009</v>
      </c>
      <c r="I459" s="22">
        <f t="shared" si="55"/>
        <v>4</v>
      </c>
      <c r="J459" s="22">
        <f t="shared" si="49"/>
        <v>14</v>
      </c>
      <c r="K459" s="22">
        <v>1</v>
      </c>
      <c r="L459" s="22">
        <f ca="1">SUM(K459:OFFSET(RngToDay,ROWS(Dates),10))</f>
        <v>65</v>
      </c>
      <c r="M459" s="26" t="str">
        <f ca="1">IF(B459="","",SUM(C459:OFFSET(C459,-LeadTime+1,0)))</f>
        <v/>
      </c>
      <c r="N459" s="26" t="e">
        <f t="shared" ca="1" si="50"/>
        <v>#DIV/0!</v>
      </c>
      <c r="O459" s="22">
        <f t="shared" si="56"/>
        <v>459</v>
      </c>
      <c r="P459" s="26">
        <f t="shared" ca="1" si="51"/>
        <v>0</v>
      </c>
      <c r="Q459" s="26">
        <f ca="1">IF(LeadTime=0,P459,IF(AND(SUM(Q458:OFFSET(Q459,-LeadTime,0))=0,P459&gt;0),MAX(P459:OFFSET(P459,-LeadTime+1,0)),0))</f>
        <v>0</v>
      </c>
    </row>
    <row r="460" spans="1:17" x14ac:dyDescent="0.2">
      <c r="A460" s="136">
        <v>39904</v>
      </c>
      <c r="F460" s="26">
        <f t="shared" si="52"/>
        <v>0</v>
      </c>
      <c r="G460" s="22" t="str">
        <f t="shared" ca="1" si="53"/>
        <v>History</v>
      </c>
      <c r="H460" s="22">
        <f t="shared" si="54"/>
        <v>2009</v>
      </c>
      <c r="I460" s="22">
        <f t="shared" si="55"/>
        <v>4</v>
      </c>
      <c r="J460" s="22">
        <f t="shared" si="49"/>
        <v>14</v>
      </c>
      <c r="K460" s="22">
        <v>1</v>
      </c>
      <c r="L460" s="22">
        <f ca="1">SUM(K460:OFFSET(RngToDay,ROWS(Dates),10))</f>
        <v>64</v>
      </c>
      <c r="M460" s="26" t="str">
        <f ca="1">IF(B460="","",SUM(C460:OFFSET(C460,-LeadTime+1,0)))</f>
        <v/>
      </c>
      <c r="N460" s="26" t="e">
        <f t="shared" ca="1" si="50"/>
        <v>#DIV/0!</v>
      </c>
      <c r="O460" s="22">
        <f t="shared" si="56"/>
        <v>460</v>
      </c>
      <c r="P460" s="26">
        <f t="shared" ca="1" si="51"/>
        <v>0</v>
      </c>
      <c r="Q460" s="26">
        <f ca="1">IF(LeadTime=0,P460,IF(AND(SUM(Q459:OFFSET(Q460,-LeadTime,0))=0,P460&gt;0),MAX(P460:OFFSET(P460,-LeadTime+1,0)),0))</f>
        <v>0</v>
      </c>
    </row>
    <row r="461" spans="1:17" x14ac:dyDescent="0.2">
      <c r="A461" s="136">
        <v>39903</v>
      </c>
      <c r="F461" s="26">
        <f t="shared" si="52"/>
        <v>0</v>
      </c>
      <c r="G461" s="22" t="str">
        <f t="shared" ca="1" si="53"/>
        <v>History</v>
      </c>
      <c r="H461" s="22">
        <f t="shared" si="54"/>
        <v>2009</v>
      </c>
      <c r="I461" s="22">
        <f t="shared" si="55"/>
        <v>3</v>
      </c>
      <c r="J461" s="22">
        <f t="shared" si="49"/>
        <v>14</v>
      </c>
      <c r="K461" s="22">
        <v>1</v>
      </c>
      <c r="L461" s="22">
        <f ca="1">SUM(K461:OFFSET(RngToDay,ROWS(Dates),10))</f>
        <v>63</v>
      </c>
      <c r="M461" s="26" t="str">
        <f ca="1">IF(B461="","",SUM(C461:OFFSET(C461,-LeadTime+1,0)))</f>
        <v/>
      </c>
      <c r="N461" s="26" t="e">
        <f t="shared" ca="1" si="50"/>
        <v>#DIV/0!</v>
      </c>
      <c r="O461" s="22">
        <f t="shared" si="56"/>
        <v>461</v>
      </c>
      <c r="P461" s="26">
        <f t="shared" ca="1" si="51"/>
        <v>0</v>
      </c>
      <c r="Q461" s="26">
        <f ca="1">IF(LeadTime=0,P461,IF(AND(SUM(Q460:OFFSET(Q461,-LeadTime,0))=0,P461&gt;0),MAX(P461:OFFSET(P461,-LeadTime+1,0)),0))</f>
        <v>0</v>
      </c>
    </row>
    <row r="462" spans="1:17" x14ac:dyDescent="0.2">
      <c r="A462" s="136">
        <v>39902</v>
      </c>
      <c r="F462" s="26">
        <f t="shared" si="52"/>
        <v>0</v>
      </c>
      <c r="G462" s="22" t="str">
        <f t="shared" ca="1" si="53"/>
        <v>History</v>
      </c>
      <c r="H462" s="22">
        <f t="shared" si="54"/>
        <v>2009</v>
      </c>
      <c r="I462" s="22">
        <f t="shared" si="55"/>
        <v>3</v>
      </c>
      <c r="J462" s="22">
        <f t="shared" si="49"/>
        <v>14</v>
      </c>
      <c r="K462" s="22">
        <v>1</v>
      </c>
      <c r="L462" s="22">
        <f ca="1">SUM(K462:OFFSET(RngToDay,ROWS(Dates),10))</f>
        <v>62</v>
      </c>
      <c r="M462" s="26" t="str">
        <f ca="1">IF(B462="","",SUM(C462:OFFSET(C462,-LeadTime+1,0)))</f>
        <v/>
      </c>
      <c r="N462" s="26" t="e">
        <f t="shared" ca="1" si="50"/>
        <v>#DIV/0!</v>
      </c>
      <c r="O462" s="22">
        <f t="shared" si="56"/>
        <v>462</v>
      </c>
      <c r="P462" s="26">
        <f t="shared" ca="1" si="51"/>
        <v>0</v>
      </c>
      <c r="Q462" s="26">
        <f ca="1">IF(LeadTime=0,P462,IF(AND(SUM(Q461:OFFSET(Q462,-LeadTime,0))=0,P462&gt;0),MAX(P462:OFFSET(P462,-LeadTime+1,0)),0))</f>
        <v>0</v>
      </c>
    </row>
    <row r="463" spans="1:17" x14ac:dyDescent="0.2">
      <c r="A463" s="136">
        <v>39899</v>
      </c>
      <c r="F463" s="26">
        <f t="shared" si="52"/>
        <v>0</v>
      </c>
      <c r="G463" s="22" t="str">
        <f t="shared" ca="1" si="53"/>
        <v>History</v>
      </c>
      <c r="H463" s="22">
        <f t="shared" si="54"/>
        <v>2009</v>
      </c>
      <c r="I463" s="22">
        <f t="shared" si="55"/>
        <v>3</v>
      </c>
      <c r="J463" s="22">
        <f t="shared" si="49"/>
        <v>13</v>
      </c>
      <c r="K463" s="22">
        <v>1</v>
      </c>
      <c r="L463" s="22">
        <f ca="1">SUM(K463:OFFSET(RngToDay,ROWS(Dates),10))</f>
        <v>61</v>
      </c>
      <c r="M463" s="26" t="str">
        <f ca="1">IF(B463="","",SUM(C463:OFFSET(C463,-LeadTime+1,0)))</f>
        <v/>
      </c>
      <c r="N463" s="26" t="e">
        <f t="shared" ca="1" si="50"/>
        <v>#DIV/0!</v>
      </c>
      <c r="O463" s="22">
        <f t="shared" si="56"/>
        <v>463</v>
      </c>
      <c r="P463" s="26">
        <f t="shared" ca="1" si="51"/>
        <v>0</v>
      </c>
      <c r="Q463" s="26">
        <f ca="1">IF(LeadTime=0,P463,IF(AND(SUM(Q462:OFFSET(Q463,-LeadTime,0))=0,P463&gt;0),MAX(P463:OFFSET(P463,-LeadTime+1,0)),0))</f>
        <v>0</v>
      </c>
    </row>
    <row r="464" spans="1:17" x14ac:dyDescent="0.2">
      <c r="A464" s="136">
        <v>39898</v>
      </c>
      <c r="F464" s="26">
        <f t="shared" si="52"/>
        <v>0</v>
      </c>
      <c r="G464" s="22" t="str">
        <f t="shared" ca="1" si="53"/>
        <v>History</v>
      </c>
      <c r="H464" s="22">
        <f t="shared" si="54"/>
        <v>2009</v>
      </c>
      <c r="I464" s="22">
        <f t="shared" si="55"/>
        <v>3</v>
      </c>
      <c r="J464" s="22">
        <f t="shared" si="49"/>
        <v>13</v>
      </c>
      <c r="K464" s="22">
        <v>1</v>
      </c>
      <c r="L464" s="22">
        <f ca="1">SUM(K464:OFFSET(RngToDay,ROWS(Dates),10))</f>
        <v>60</v>
      </c>
      <c r="M464" s="26" t="str">
        <f ca="1">IF(B464="","",SUM(C464:OFFSET(C464,-LeadTime+1,0)))</f>
        <v/>
      </c>
      <c r="N464" s="26" t="e">
        <f t="shared" ca="1" si="50"/>
        <v>#DIV/0!</v>
      </c>
      <c r="O464" s="22">
        <f t="shared" si="56"/>
        <v>464</v>
      </c>
      <c r="P464" s="26">
        <f t="shared" ca="1" si="51"/>
        <v>0</v>
      </c>
      <c r="Q464" s="26">
        <f ca="1">IF(LeadTime=0,P464,IF(AND(SUM(Q463:OFFSET(Q464,-LeadTime,0))=0,P464&gt;0),MAX(P464:OFFSET(P464,-LeadTime+1,0)),0))</f>
        <v>0</v>
      </c>
    </row>
    <row r="465" spans="1:17" x14ac:dyDescent="0.2">
      <c r="A465" s="136">
        <v>39897</v>
      </c>
      <c r="F465" s="26">
        <f t="shared" si="52"/>
        <v>0</v>
      </c>
      <c r="G465" s="22" t="str">
        <f t="shared" ca="1" si="53"/>
        <v>History</v>
      </c>
      <c r="H465" s="22">
        <f t="shared" si="54"/>
        <v>2009</v>
      </c>
      <c r="I465" s="22">
        <f t="shared" si="55"/>
        <v>3</v>
      </c>
      <c r="J465" s="22">
        <f t="shared" si="49"/>
        <v>13</v>
      </c>
      <c r="K465" s="22">
        <v>1</v>
      </c>
      <c r="L465" s="22">
        <f ca="1">SUM(K465:OFFSET(RngToDay,ROWS(Dates),10))</f>
        <v>59</v>
      </c>
      <c r="M465" s="26" t="str">
        <f ca="1">IF(B465="","",SUM(C465:OFFSET(C465,-LeadTime+1,0)))</f>
        <v/>
      </c>
      <c r="N465" s="26" t="e">
        <f t="shared" ca="1" si="50"/>
        <v>#DIV/0!</v>
      </c>
      <c r="O465" s="22">
        <f t="shared" si="56"/>
        <v>465</v>
      </c>
      <c r="P465" s="26">
        <f t="shared" ca="1" si="51"/>
        <v>0</v>
      </c>
      <c r="Q465" s="26">
        <f ca="1">IF(LeadTime=0,P465,IF(AND(SUM(Q464:OFFSET(Q465,-LeadTime,0))=0,P465&gt;0),MAX(P465:OFFSET(P465,-LeadTime+1,0)),0))</f>
        <v>0</v>
      </c>
    </row>
    <row r="466" spans="1:17" x14ac:dyDescent="0.2">
      <c r="A466" s="136">
        <v>39896</v>
      </c>
      <c r="F466" s="26">
        <f t="shared" si="52"/>
        <v>0</v>
      </c>
      <c r="G466" s="22" t="str">
        <f t="shared" ca="1" si="53"/>
        <v>History</v>
      </c>
      <c r="H466" s="22">
        <f t="shared" si="54"/>
        <v>2009</v>
      </c>
      <c r="I466" s="22">
        <f t="shared" si="55"/>
        <v>3</v>
      </c>
      <c r="J466" s="22">
        <f t="shared" si="49"/>
        <v>13</v>
      </c>
      <c r="K466" s="22">
        <v>1</v>
      </c>
      <c r="L466" s="22">
        <f ca="1">SUM(K466:OFFSET(RngToDay,ROWS(Dates),10))</f>
        <v>58</v>
      </c>
      <c r="M466" s="26" t="str">
        <f ca="1">IF(B466="","",SUM(C466:OFFSET(C466,-LeadTime+1,0)))</f>
        <v/>
      </c>
      <c r="N466" s="26" t="e">
        <f t="shared" ca="1" si="50"/>
        <v>#DIV/0!</v>
      </c>
      <c r="O466" s="22">
        <f t="shared" si="56"/>
        <v>466</v>
      </c>
      <c r="P466" s="26">
        <f t="shared" ca="1" si="51"/>
        <v>0</v>
      </c>
      <c r="Q466" s="26">
        <f ca="1">IF(LeadTime=0,P466,IF(AND(SUM(Q465:OFFSET(Q466,-LeadTime,0))=0,P466&gt;0),MAX(P466:OFFSET(P466,-LeadTime+1,0)),0))</f>
        <v>0</v>
      </c>
    </row>
    <row r="467" spans="1:17" x14ac:dyDescent="0.2">
      <c r="A467" s="136">
        <v>39895</v>
      </c>
      <c r="F467" s="26">
        <f t="shared" si="52"/>
        <v>0</v>
      </c>
      <c r="G467" s="22" t="str">
        <f t="shared" ca="1" si="53"/>
        <v>History</v>
      </c>
      <c r="H467" s="22">
        <f t="shared" si="54"/>
        <v>2009</v>
      </c>
      <c r="I467" s="22">
        <f t="shared" si="55"/>
        <v>3</v>
      </c>
      <c r="J467" s="22">
        <f t="shared" si="49"/>
        <v>13</v>
      </c>
      <c r="K467" s="22">
        <v>1</v>
      </c>
      <c r="L467" s="22">
        <f ca="1">SUM(K467:OFFSET(RngToDay,ROWS(Dates),10))</f>
        <v>57</v>
      </c>
      <c r="M467" s="26" t="str">
        <f ca="1">IF(B467="","",SUM(C467:OFFSET(C467,-LeadTime+1,0)))</f>
        <v/>
      </c>
      <c r="N467" s="26" t="e">
        <f t="shared" ca="1" si="50"/>
        <v>#DIV/0!</v>
      </c>
      <c r="O467" s="22">
        <f t="shared" si="56"/>
        <v>467</v>
      </c>
      <c r="P467" s="26">
        <f t="shared" ca="1" si="51"/>
        <v>0</v>
      </c>
      <c r="Q467" s="26">
        <f ca="1">IF(LeadTime=0,P467,IF(AND(SUM(Q466:OFFSET(Q467,-LeadTime,0))=0,P467&gt;0),MAX(P467:OFFSET(P467,-LeadTime+1,0)),0))</f>
        <v>0</v>
      </c>
    </row>
    <row r="468" spans="1:17" x14ac:dyDescent="0.2">
      <c r="A468" s="136">
        <v>39892</v>
      </c>
      <c r="F468" s="26">
        <f t="shared" si="52"/>
        <v>0</v>
      </c>
      <c r="G468" s="22" t="str">
        <f t="shared" ca="1" si="53"/>
        <v>History</v>
      </c>
      <c r="H468" s="22">
        <f t="shared" si="54"/>
        <v>2009</v>
      </c>
      <c r="I468" s="22">
        <f t="shared" si="55"/>
        <v>3</v>
      </c>
      <c r="J468" s="22">
        <f t="shared" si="49"/>
        <v>12</v>
      </c>
      <c r="K468" s="22">
        <v>1</v>
      </c>
      <c r="L468" s="22">
        <f ca="1">SUM(K468:OFFSET(RngToDay,ROWS(Dates),10))</f>
        <v>56</v>
      </c>
      <c r="M468" s="26" t="str">
        <f ca="1">IF(B468="","",SUM(C468:OFFSET(C468,-LeadTime+1,0)))</f>
        <v/>
      </c>
      <c r="N468" s="26" t="e">
        <f t="shared" ca="1" si="50"/>
        <v>#DIV/0!</v>
      </c>
      <c r="O468" s="22">
        <f t="shared" si="56"/>
        <v>468</v>
      </c>
      <c r="P468" s="26">
        <f t="shared" ca="1" si="51"/>
        <v>0</v>
      </c>
      <c r="Q468" s="26">
        <f ca="1">IF(LeadTime=0,P468,IF(AND(SUM(Q467:OFFSET(Q468,-LeadTime,0))=0,P468&gt;0),MAX(P468:OFFSET(P468,-LeadTime+1,0)),0))</f>
        <v>0</v>
      </c>
    </row>
    <row r="469" spans="1:17" x14ac:dyDescent="0.2">
      <c r="A469" s="136">
        <v>39891</v>
      </c>
      <c r="F469" s="26">
        <f t="shared" si="52"/>
        <v>0</v>
      </c>
      <c r="G469" s="22" t="str">
        <f t="shared" ca="1" si="53"/>
        <v>History</v>
      </c>
      <c r="H469" s="22">
        <f t="shared" si="54"/>
        <v>2009</v>
      </c>
      <c r="I469" s="22">
        <f t="shared" si="55"/>
        <v>3</v>
      </c>
      <c r="J469" s="22">
        <f t="shared" si="49"/>
        <v>12</v>
      </c>
      <c r="K469" s="22">
        <v>1</v>
      </c>
      <c r="L469" s="22">
        <f ca="1">SUM(K469:OFFSET(RngToDay,ROWS(Dates),10))</f>
        <v>55</v>
      </c>
      <c r="M469" s="26" t="str">
        <f ca="1">IF(B469="","",SUM(C469:OFFSET(C469,-LeadTime+1,0)))</f>
        <v/>
      </c>
      <c r="N469" s="26" t="e">
        <f t="shared" ca="1" si="50"/>
        <v>#DIV/0!</v>
      </c>
      <c r="O469" s="22">
        <f t="shared" si="56"/>
        <v>469</v>
      </c>
      <c r="P469" s="26">
        <f t="shared" ca="1" si="51"/>
        <v>0</v>
      </c>
      <c r="Q469" s="26">
        <f ca="1">IF(LeadTime=0,P469,IF(AND(SUM(Q468:OFFSET(Q469,-LeadTime,0))=0,P469&gt;0),MAX(P469:OFFSET(P469,-LeadTime+1,0)),0))</f>
        <v>0</v>
      </c>
    </row>
    <row r="470" spans="1:17" x14ac:dyDescent="0.2">
      <c r="A470" s="136">
        <v>39890</v>
      </c>
      <c r="F470" s="26">
        <f t="shared" si="52"/>
        <v>0</v>
      </c>
      <c r="G470" s="22" t="str">
        <f t="shared" ca="1" si="53"/>
        <v>History</v>
      </c>
      <c r="H470" s="22">
        <f t="shared" si="54"/>
        <v>2009</v>
      </c>
      <c r="I470" s="22">
        <f t="shared" si="55"/>
        <v>3</v>
      </c>
      <c r="J470" s="22">
        <f t="shared" si="49"/>
        <v>12</v>
      </c>
      <c r="K470" s="22">
        <v>1</v>
      </c>
      <c r="L470" s="22">
        <f ca="1">SUM(K470:OFFSET(RngToDay,ROWS(Dates),10))</f>
        <v>54</v>
      </c>
      <c r="M470" s="26" t="str">
        <f ca="1">IF(B470="","",SUM(C470:OFFSET(C470,-LeadTime+1,0)))</f>
        <v/>
      </c>
      <c r="N470" s="26" t="e">
        <f t="shared" ca="1" si="50"/>
        <v>#DIV/0!</v>
      </c>
      <c r="O470" s="22">
        <f t="shared" si="56"/>
        <v>470</v>
      </c>
      <c r="P470" s="26">
        <f t="shared" ca="1" si="51"/>
        <v>0</v>
      </c>
      <c r="Q470" s="26">
        <f ca="1">IF(LeadTime=0,P470,IF(AND(SUM(Q469:OFFSET(Q470,-LeadTime,0))=0,P470&gt;0),MAX(P470:OFFSET(P470,-LeadTime+1,0)),0))</f>
        <v>0</v>
      </c>
    </row>
    <row r="471" spans="1:17" x14ac:dyDescent="0.2">
      <c r="A471" s="136">
        <v>39889</v>
      </c>
      <c r="F471" s="26">
        <f t="shared" si="52"/>
        <v>0</v>
      </c>
      <c r="G471" s="22" t="str">
        <f t="shared" ca="1" si="53"/>
        <v>History</v>
      </c>
      <c r="H471" s="22">
        <f t="shared" si="54"/>
        <v>2009</v>
      </c>
      <c r="I471" s="22">
        <f t="shared" si="55"/>
        <v>3</v>
      </c>
      <c r="J471" s="22">
        <f t="shared" si="49"/>
        <v>12</v>
      </c>
      <c r="K471" s="22">
        <v>1</v>
      </c>
      <c r="L471" s="22">
        <f ca="1">SUM(K471:OFFSET(RngToDay,ROWS(Dates),10))</f>
        <v>53</v>
      </c>
      <c r="M471" s="26" t="str">
        <f ca="1">IF(B471="","",SUM(C471:OFFSET(C471,-LeadTime+1,0)))</f>
        <v/>
      </c>
      <c r="N471" s="26" t="e">
        <f t="shared" ca="1" si="50"/>
        <v>#DIV/0!</v>
      </c>
      <c r="O471" s="22">
        <f t="shared" si="56"/>
        <v>471</v>
      </c>
      <c r="P471" s="26">
        <f t="shared" ca="1" si="51"/>
        <v>0</v>
      </c>
      <c r="Q471" s="26">
        <f ca="1">IF(LeadTime=0,P471,IF(AND(SUM(Q470:OFFSET(Q471,-LeadTime,0))=0,P471&gt;0),MAX(P471:OFFSET(P471,-LeadTime+1,0)),0))</f>
        <v>0</v>
      </c>
    </row>
    <row r="472" spans="1:17" x14ac:dyDescent="0.2">
      <c r="A472" s="136">
        <v>39888</v>
      </c>
      <c r="F472" s="26">
        <f t="shared" si="52"/>
        <v>0</v>
      </c>
      <c r="G472" s="22" t="str">
        <f t="shared" ca="1" si="53"/>
        <v>History</v>
      </c>
      <c r="H472" s="22">
        <f t="shared" si="54"/>
        <v>2009</v>
      </c>
      <c r="I472" s="22">
        <f t="shared" si="55"/>
        <v>3</v>
      </c>
      <c r="J472" s="22">
        <f t="shared" si="49"/>
        <v>12</v>
      </c>
      <c r="K472" s="22">
        <v>1</v>
      </c>
      <c r="L472" s="22">
        <f ca="1">SUM(K472:OFFSET(RngToDay,ROWS(Dates),10))</f>
        <v>52</v>
      </c>
      <c r="M472" s="26" t="str">
        <f ca="1">IF(B472="","",SUM(C472:OFFSET(C472,-LeadTime+1,0)))</f>
        <v/>
      </c>
      <c r="N472" s="26" t="e">
        <f t="shared" ca="1" si="50"/>
        <v>#DIV/0!</v>
      </c>
      <c r="O472" s="22">
        <f t="shared" si="56"/>
        <v>472</v>
      </c>
      <c r="P472" s="26">
        <f t="shared" ca="1" si="51"/>
        <v>0</v>
      </c>
      <c r="Q472" s="26">
        <f ca="1">IF(LeadTime=0,P472,IF(AND(SUM(Q471:OFFSET(Q472,-LeadTime,0))=0,P472&gt;0),MAX(P472:OFFSET(P472,-LeadTime+1,0)),0))</f>
        <v>0</v>
      </c>
    </row>
    <row r="473" spans="1:17" x14ac:dyDescent="0.2">
      <c r="A473" s="136">
        <v>39885</v>
      </c>
      <c r="F473" s="26">
        <f t="shared" si="52"/>
        <v>0</v>
      </c>
      <c r="G473" s="22" t="str">
        <f t="shared" ca="1" si="53"/>
        <v>History</v>
      </c>
      <c r="H473" s="22">
        <f t="shared" si="54"/>
        <v>2009</v>
      </c>
      <c r="I473" s="22">
        <f t="shared" si="55"/>
        <v>3</v>
      </c>
      <c r="J473" s="22">
        <f t="shared" si="49"/>
        <v>11</v>
      </c>
      <c r="K473" s="22">
        <v>1</v>
      </c>
      <c r="L473" s="22">
        <f ca="1">SUM(K473:OFFSET(RngToDay,ROWS(Dates),10))</f>
        <v>51</v>
      </c>
      <c r="M473" s="26" t="str">
        <f ca="1">IF(B473="","",SUM(C473:OFFSET(C473,-LeadTime+1,0)))</f>
        <v/>
      </c>
      <c r="N473" s="26" t="e">
        <f t="shared" ca="1" si="50"/>
        <v>#DIV/0!</v>
      </c>
      <c r="O473" s="22">
        <f t="shared" si="56"/>
        <v>473</v>
      </c>
      <c r="P473" s="26">
        <f t="shared" ca="1" si="51"/>
        <v>0</v>
      </c>
      <c r="Q473" s="26">
        <f ca="1">IF(LeadTime=0,P473,IF(AND(SUM(Q472:OFFSET(Q473,-LeadTime,0))=0,P473&gt;0),MAX(P473:OFFSET(P473,-LeadTime+1,0)),0))</f>
        <v>0</v>
      </c>
    </row>
    <row r="474" spans="1:17" x14ac:dyDescent="0.2">
      <c r="A474" s="136">
        <v>39884</v>
      </c>
      <c r="F474" s="26">
        <f t="shared" si="52"/>
        <v>0</v>
      </c>
      <c r="G474" s="22" t="str">
        <f t="shared" ca="1" si="53"/>
        <v>History</v>
      </c>
      <c r="H474" s="22">
        <f t="shared" si="54"/>
        <v>2009</v>
      </c>
      <c r="I474" s="22">
        <f t="shared" si="55"/>
        <v>3</v>
      </c>
      <c r="J474" s="22">
        <f t="shared" si="49"/>
        <v>11</v>
      </c>
      <c r="K474" s="22">
        <v>1</v>
      </c>
      <c r="L474" s="22">
        <f ca="1">SUM(K474:OFFSET(RngToDay,ROWS(Dates),10))</f>
        <v>50</v>
      </c>
      <c r="M474" s="26" t="str">
        <f ca="1">IF(B474="","",SUM(C474:OFFSET(C474,-LeadTime+1,0)))</f>
        <v/>
      </c>
      <c r="N474" s="26" t="e">
        <f t="shared" ca="1" si="50"/>
        <v>#DIV/0!</v>
      </c>
      <c r="O474" s="22">
        <f t="shared" si="56"/>
        <v>474</v>
      </c>
      <c r="P474" s="26">
        <f t="shared" ca="1" si="51"/>
        <v>0</v>
      </c>
      <c r="Q474" s="26">
        <f ca="1">IF(LeadTime=0,P474,IF(AND(SUM(Q473:OFFSET(Q474,-LeadTime,0))=0,P474&gt;0),MAX(P474:OFFSET(P474,-LeadTime+1,0)),0))</f>
        <v>0</v>
      </c>
    </row>
    <row r="475" spans="1:17" x14ac:dyDescent="0.2">
      <c r="A475" s="136">
        <v>39883</v>
      </c>
      <c r="F475" s="26">
        <f t="shared" si="52"/>
        <v>0</v>
      </c>
      <c r="G475" s="22" t="str">
        <f t="shared" ca="1" si="53"/>
        <v>History</v>
      </c>
      <c r="H475" s="22">
        <f t="shared" si="54"/>
        <v>2009</v>
      </c>
      <c r="I475" s="22">
        <f t="shared" si="55"/>
        <v>3</v>
      </c>
      <c r="J475" s="22">
        <f t="shared" si="49"/>
        <v>11</v>
      </c>
      <c r="K475" s="22">
        <v>1</v>
      </c>
      <c r="L475" s="22">
        <f ca="1">SUM(K475:OFFSET(RngToDay,ROWS(Dates),10))</f>
        <v>49</v>
      </c>
      <c r="M475" s="26" t="str">
        <f ca="1">IF(B475="","",SUM(C475:OFFSET(C475,-LeadTime+1,0)))</f>
        <v/>
      </c>
      <c r="N475" s="26" t="e">
        <f t="shared" ca="1" si="50"/>
        <v>#DIV/0!</v>
      </c>
      <c r="O475" s="22">
        <f t="shared" si="56"/>
        <v>475</v>
      </c>
      <c r="P475" s="26">
        <f t="shared" ca="1" si="51"/>
        <v>0</v>
      </c>
      <c r="Q475" s="26">
        <f ca="1">IF(LeadTime=0,P475,IF(AND(SUM(Q474:OFFSET(Q475,-LeadTime,0))=0,P475&gt;0),MAX(P475:OFFSET(P475,-LeadTime+1,0)),0))</f>
        <v>0</v>
      </c>
    </row>
    <row r="476" spans="1:17" x14ac:dyDescent="0.2">
      <c r="A476" s="136">
        <v>39882</v>
      </c>
      <c r="F476" s="26">
        <f t="shared" si="52"/>
        <v>0</v>
      </c>
      <c r="G476" s="22" t="str">
        <f t="shared" ca="1" si="53"/>
        <v>History</v>
      </c>
      <c r="H476" s="22">
        <f t="shared" si="54"/>
        <v>2009</v>
      </c>
      <c r="I476" s="22">
        <f t="shared" si="55"/>
        <v>3</v>
      </c>
      <c r="J476" s="22">
        <f t="shared" si="49"/>
        <v>11</v>
      </c>
      <c r="K476" s="22">
        <v>1</v>
      </c>
      <c r="L476" s="22">
        <f ca="1">SUM(K476:OFFSET(RngToDay,ROWS(Dates),10))</f>
        <v>48</v>
      </c>
      <c r="M476" s="26" t="str">
        <f ca="1">IF(B476="","",SUM(C476:OFFSET(C476,-LeadTime+1,0)))</f>
        <v/>
      </c>
      <c r="N476" s="26" t="e">
        <f t="shared" ca="1" si="50"/>
        <v>#DIV/0!</v>
      </c>
      <c r="O476" s="22">
        <f t="shared" si="56"/>
        <v>476</v>
      </c>
      <c r="P476" s="26">
        <f t="shared" ca="1" si="51"/>
        <v>0</v>
      </c>
      <c r="Q476" s="26">
        <f ca="1">IF(LeadTime=0,P476,IF(AND(SUM(Q475:OFFSET(Q476,-LeadTime,0))=0,P476&gt;0),MAX(P476:OFFSET(P476,-LeadTime+1,0)),0))</f>
        <v>0</v>
      </c>
    </row>
    <row r="477" spans="1:17" x14ac:dyDescent="0.2">
      <c r="A477" s="136">
        <v>39881</v>
      </c>
      <c r="F477" s="26">
        <f t="shared" si="52"/>
        <v>0</v>
      </c>
      <c r="G477" s="22" t="str">
        <f t="shared" ca="1" si="53"/>
        <v>History</v>
      </c>
      <c r="H477" s="22">
        <f t="shared" si="54"/>
        <v>2009</v>
      </c>
      <c r="I477" s="22">
        <f t="shared" si="55"/>
        <v>3</v>
      </c>
      <c r="J477" s="22">
        <f t="shared" si="49"/>
        <v>11</v>
      </c>
      <c r="K477" s="22">
        <v>1</v>
      </c>
      <c r="L477" s="22">
        <f ca="1">SUM(K477:OFFSET(RngToDay,ROWS(Dates),10))</f>
        <v>47</v>
      </c>
      <c r="M477" s="26" t="str">
        <f ca="1">IF(B477="","",SUM(C477:OFFSET(C477,-LeadTime+1,0)))</f>
        <v/>
      </c>
      <c r="N477" s="26" t="e">
        <f t="shared" ca="1" si="50"/>
        <v>#DIV/0!</v>
      </c>
      <c r="O477" s="22">
        <f t="shared" si="56"/>
        <v>477</v>
      </c>
      <c r="P477" s="26">
        <f t="shared" ca="1" si="51"/>
        <v>0</v>
      </c>
      <c r="Q477" s="26">
        <f ca="1">IF(LeadTime=0,P477,IF(AND(SUM(Q476:OFFSET(Q477,-LeadTime,0))=0,P477&gt;0),MAX(P477:OFFSET(P477,-LeadTime+1,0)),0))</f>
        <v>0</v>
      </c>
    </row>
    <row r="478" spans="1:17" x14ac:dyDescent="0.2">
      <c r="A478" s="136">
        <v>39878</v>
      </c>
      <c r="F478" s="26">
        <f t="shared" si="52"/>
        <v>0</v>
      </c>
      <c r="G478" s="22" t="str">
        <f t="shared" ca="1" si="53"/>
        <v>History</v>
      </c>
      <c r="H478" s="22">
        <f t="shared" si="54"/>
        <v>2009</v>
      </c>
      <c r="I478" s="22">
        <f t="shared" si="55"/>
        <v>3</v>
      </c>
      <c r="J478" s="22">
        <f t="shared" si="49"/>
        <v>10</v>
      </c>
      <c r="K478" s="22">
        <v>1</v>
      </c>
      <c r="L478" s="22">
        <f ca="1">SUM(K478:OFFSET(RngToDay,ROWS(Dates),10))</f>
        <v>46</v>
      </c>
      <c r="M478" s="26" t="str">
        <f ca="1">IF(B478="","",SUM(C478:OFFSET(C478,-LeadTime+1,0)))</f>
        <v/>
      </c>
      <c r="N478" s="26" t="e">
        <f t="shared" ca="1" si="50"/>
        <v>#DIV/0!</v>
      </c>
      <c r="O478" s="22">
        <f t="shared" si="56"/>
        <v>478</v>
      </c>
      <c r="P478" s="26">
        <f t="shared" ca="1" si="51"/>
        <v>0</v>
      </c>
      <c r="Q478" s="26">
        <f ca="1">IF(LeadTime=0,P478,IF(AND(SUM(Q477:OFFSET(Q478,-LeadTime,0))=0,P478&gt;0),MAX(P478:OFFSET(P478,-LeadTime+1,0)),0))</f>
        <v>0</v>
      </c>
    </row>
    <row r="479" spans="1:17" x14ac:dyDescent="0.2">
      <c r="A479" s="136">
        <v>39877</v>
      </c>
      <c r="F479" s="26">
        <f t="shared" si="52"/>
        <v>0</v>
      </c>
      <c r="G479" s="22" t="str">
        <f t="shared" ca="1" si="53"/>
        <v>History</v>
      </c>
      <c r="H479" s="22">
        <f t="shared" si="54"/>
        <v>2009</v>
      </c>
      <c r="I479" s="22">
        <f t="shared" si="55"/>
        <v>3</v>
      </c>
      <c r="J479" s="22">
        <f t="shared" si="49"/>
        <v>10</v>
      </c>
      <c r="K479" s="22">
        <v>1</v>
      </c>
      <c r="L479" s="22">
        <f ca="1">SUM(K479:OFFSET(RngToDay,ROWS(Dates),10))</f>
        <v>45</v>
      </c>
      <c r="M479" s="26" t="str">
        <f ca="1">IF(B479="","",SUM(C479:OFFSET(C479,-LeadTime+1,0)))</f>
        <v/>
      </c>
      <c r="N479" s="26" t="e">
        <f t="shared" ca="1" si="50"/>
        <v>#DIV/0!</v>
      </c>
      <c r="O479" s="22">
        <f t="shared" si="56"/>
        <v>479</v>
      </c>
      <c r="P479" s="26">
        <f t="shared" ca="1" si="51"/>
        <v>0</v>
      </c>
      <c r="Q479" s="26">
        <f ca="1">IF(LeadTime=0,P479,IF(AND(SUM(Q478:OFFSET(Q479,-LeadTime,0))=0,P479&gt;0),MAX(P479:OFFSET(P479,-LeadTime+1,0)),0))</f>
        <v>0</v>
      </c>
    </row>
    <row r="480" spans="1:17" x14ac:dyDescent="0.2">
      <c r="A480" s="136">
        <v>39876</v>
      </c>
      <c r="F480" s="26">
        <f t="shared" si="52"/>
        <v>0</v>
      </c>
      <c r="G480" s="22" t="str">
        <f t="shared" ca="1" si="53"/>
        <v>History</v>
      </c>
      <c r="H480" s="22">
        <f t="shared" si="54"/>
        <v>2009</v>
      </c>
      <c r="I480" s="22">
        <f t="shared" si="55"/>
        <v>3</v>
      </c>
      <c r="J480" s="22">
        <f t="shared" si="49"/>
        <v>10</v>
      </c>
      <c r="K480" s="22">
        <v>1</v>
      </c>
      <c r="L480" s="22">
        <f ca="1">SUM(K480:OFFSET(RngToDay,ROWS(Dates),10))</f>
        <v>44</v>
      </c>
      <c r="M480" s="26" t="str">
        <f ca="1">IF(B480="","",SUM(C480:OFFSET(C480,-LeadTime+1,0)))</f>
        <v/>
      </c>
      <c r="N480" s="26" t="e">
        <f t="shared" ca="1" si="50"/>
        <v>#DIV/0!</v>
      </c>
      <c r="O480" s="22">
        <f t="shared" si="56"/>
        <v>480</v>
      </c>
      <c r="P480" s="26">
        <f t="shared" ca="1" si="51"/>
        <v>0</v>
      </c>
      <c r="Q480" s="26">
        <f ca="1">IF(LeadTime=0,P480,IF(AND(SUM(Q479:OFFSET(Q480,-LeadTime,0))=0,P480&gt;0),MAX(P480:OFFSET(P480,-LeadTime+1,0)),0))</f>
        <v>0</v>
      </c>
    </row>
    <row r="481" spans="1:17" x14ac:dyDescent="0.2">
      <c r="A481" s="136">
        <v>39875</v>
      </c>
      <c r="F481" s="26">
        <f t="shared" si="52"/>
        <v>0</v>
      </c>
      <c r="G481" s="22" t="str">
        <f t="shared" ca="1" si="53"/>
        <v>History</v>
      </c>
      <c r="H481" s="22">
        <f t="shared" si="54"/>
        <v>2009</v>
      </c>
      <c r="I481" s="22">
        <f t="shared" si="55"/>
        <v>3</v>
      </c>
      <c r="J481" s="22">
        <f t="shared" si="49"/>
        <v>10</v>
      </c>
      <c r="K481" s="22">
        <v>1</v>
      </c>
      <c r="L481" s="22">
        <f ca="1">SUM(K481:OFFSET(RngToDay,ROWS(Dates),10))</f>
        <v>43</v>
      </c>
      <c r="M481" s="26" t="str">
        <f ca="1">IF(B481="","",SUM(C481:OFFSET(C481,-LeadTime+1,0)))</f>
        <v/>
      </c>
      <c r="N481" s="26" t="e">
        <f t="shared" ca="1" si="50"/>
        <v>#DIV/0!</v>
      </c>
      <c r="O481" s="22">
        <f t="shared" si="56"/>
        <v>481</v>
      </c>
      <c r="P481" s="26">
        <f t="shared" ca="1" si="51"/>
        <v>0</v>
      </c>
      <c r="Q481" s="26">
        <f ca="1">IF(LeadTime=0,P481,IF(AND(SUM(Q480:OFFSET(Q481,-LeadTime,0))=0,P481&gt;0),MAX(P481:OFFSET(P481,-LeadTime+1,0)),0))</f>
        <v>0</v>
      </c>
    </row>
    <row r="482" spans="1:17" x14ac:dyDescent="0.2">
      <c r="A482" s="136">
        <v>39874</v>
      </c>
      <c r="F482" s="26">
        <f t="shared" si="52"/>
        <v>0</v>
      </c>
      <c r="G482" s="22" t="str">
        <f t="shared" ca="1" si="53"/>
        <v>History</v>
      </c>
      <c r="H482" s="22">
        <f t="shared" si="54"/>
        <v>2009</v>
      </c>
      <c r="I482" s="22">
        <f t="shared" si="55"/>
        <v>3</v>
      </c>
      <c r="J482" s="22">
        <f t="shared" si="49"/>
        <v>10</v>
      </c>
      <c r="K482" s="22">
        <v>1</v>
      </c>
      <c r="L482" s="22">
        <f ca="1">SUM(K482:OFFSET(RngToDay,ROWS(Dates),10))</f>
        <v>42</v>
      </c>
      <c r="M482" s="26" t="str">
        <f ca="1">IF(B482="","",SUM(C482:OFFSET(C482,-LeadTime+1,0)))</f>
        <v/>
      </c>
      <c r="N482" s="26" t="e">
        <f t="shared" ca="1" si="50"/>
        <v>#DIV/0!</v>
      </c>
      <c r="O482" s="22">
        <f t="shared" si="56"/>
        <v>482</v>
      </c>
      <c r="P482" s="26">
        <f t="shared" ca="1" si="51"/>
        <v>0</v>
      </c>
      <c r="Q482" s="26">
        <f ca="1">IF(LeadTime=0,P482,IF(AND(SUM(Q481:OFFSET(Q482,-LeadTime,0))=0,P482&gt;0),MAX(P482:OFFSET(P482,-LeadTime+1,0)),0))</f>
        <v>0</v>
      </c>
    </row>
    <row r="483" spans="1:17" x14ac:dyDescent="0.2">
      <c r="A483" s="136">
        <v>39871</v>
      </c>
      <c r="F483" s="26">
        <f t="shared" si="52"/>
        <v>0</v>
      </c>
      <c r="G483" s="22" t="str">
        <f t="shared" ca="1" si="53"/>
        <v>History</v>
      </c>
      <c r="H483" s="22">
        <f t="shared" si="54"/>
        <v>2009</v>
      </c>
      <c r="I483" s="22">
        <f t="shared" si="55"/>
        <v>2</v>
      </c>
      <c r="J483" s="22">
        <f t="shared" si="49"/>
        <v>9</v>
      </c>
      <c r="K483" s="22">
        <v>1</v>
      </c>
      <c r="L483" s="22">
        <f ca="1">SUM(K483:OFFSET(RngToDay,ROWS(Dates),10))</f>
        <v>41</v>
      </c>
      <c r="M483" s="26" t="str">
        <f ca="1">IF(B483="","",SUM(C483:OFFSET(C483,-LeadTime+1,0)))</f>
        <v/>
      </c>
      <c r="N483" s="26" t="e">
        <f t="shared" ca="1" si="50"/>
        <v>#DIV/0!</v>
      </c>
      <c r="O483" s="22">
        <f t="shared" si="56"/>
        <v>483</v>
      </c>
      <c r="P483" s="26">
        <f t="shared" ca="1" si="51"/>
        <v>0</v>
      </c>
      <c r="Q483" s="26">
        <f ca="1">IF(LeadTime=0,P483,IF(AND(SUM(Q482:OFFSET(Q483,-LeadTime,0))=0,P483&gt;0),MAX(P483:OFFSET(P483,-LeadTime+1,0)),0))</f>
        <v>0</v>
      </c>
    </row>
    <row r="484" spans="1:17" x14ac:dyDescent="0.2">
      <c r="A484" s="136">
        <v>39870</v>
      </c>
      <c r="F484" s="26">
        <f t="shared" si="52"/>
        <v>0</v>
      </c>
      <c r="G484" s="22" t="str">
        <f t="shared" ca="1" si="53"/>
        <v>History</v>
      </c>
      <c r="H484" s="22">
        <f t="shared" si="54"/>
        <v>2009</v>
      </c>
      <c r="I484" s="22">
        <f t="shared" si="55"/>
        <v>2</v>
      </c>
      <c r="J484" s="22">
        <f t="shared" si="49"/>
        <v>9</v>
      </c>
      <c r="K484" s="22">
        <v>1</v>
      </c>
      <c r="L484" s="22">
        <f ca="1">SUM(K484:OFFSET(RngToDay,ROWS(Dates),10))</f>
        <v>40</v>
      </c>
      <c r="M484" s="26" t="str">
        <f ca="1">IF(B484="","",SUM(C484:OFFSET(C484,-LeadTime+1,0)))</f>
        <v/>
      </c>
      <c r="N484" s="26" t="e">
        <f t="shared" ca="1" si="50"/>
        <v>#DIV/0!</v>
      </c>
      <c r="O484" s="22">
        <f t="shared" si="56"/>
        <v>484</v>
      </c>
      <c r="P484" s="26">
        <f t="shared" ca="1" si="51"/>
        <v>0</v>
      </c>
      <c r="Q484" s="26">
        <f ca="1">IF(LeadTime=0,P484,IF(AND(SUM(Q483:OFFSET(Q484,-LeadTime,0))=0,P484&gt;0),MAX(P484:OFFSET(P484,-LeadTime+1,0)),0))</f>
        <v>0</v>
      </c>
    </row>
    <row r="485" spans="1:17" x14ac:dyDescent="0.2">
      <c r="A485" s="136">
        <v>39869</v>
      </c>
      <c r="F485" s="26">
        <f t="shared" si="52"/>
        <v>0</v>
      </c>
      <c r="G485" s="22" t="str">
        <f t="shared" ca="1" si="53"/>
        <v>History</v>
      </c>
      <c r="H485" s="22">
        <f t="shared" si="54"/>
        <v>2009</v>
      </c>
      <c r="I485" s="22">
        <f t="shared" si="55"/>
        <v>2</v>
      </c>
      <c r="J485" s="22">
        <f t="shared" si="49"/>
        <v>9</v>
      </c>
      <c r="K485" s="22">
        <v>1</v>
      </c>
      <c r="L485" s="22">
        <f ca="1">SUM(K485:OFFSET(RngToDay,ROWS(Dates),10))</f>
        <v>39</v>
      </c>
      <c r="M485" s="26" t="str">
        <f ca="1">IF(B485="","",SUM(C485:OFFSET(C485,-LeadTime+1,0)))</f>
        <v/>
      </c>
      <c r="N485" s="26" t="e">
        <f t="shared" ca="1" si="50"/>
        <v>#DIV/0!</v>
      </c>
      <c r="O485" s="22">
        <f t="shared" si="56"/>
        <v>485</v>
      </c>
      <c r="P485" s="26">
        <f t="shared" ca="1" si="51"/>
        <v>0</v>
      </c>
      <c r="Q485" s="26">
        <f ca="1">IF(LeadTime=0,P485,IF(AND(SUM(Q484:OFFSET(Q485,-LeadTime,0))=0,P485&gt;0),MAX(P485:OFFSET(P485,-LeadTime+1,0)),0))</f>
        <v>0</v>
      </c>
    </row>
    <row r="486" spans="1:17" x14ac:dyDescent="0.2">
      <c r="A486" s="136">
        <v>39868</v>
      </c>
      <c r="F486" s="26">
        <f t="shared" si="52"/>
        <v>0</v>
      </c>
      <c r="G486" s="22" t="str">
        <f t="shared" ca="1" si="53"/>
        <v>History</v>
      </c>
      <c r="H486" s="22">
        <f t="shared" si="54"/>
        <v>2009</v>
      </c>
      <c r="I486" s="22">
        <f t="shared" si="55"/>
        <v>2</v>
      </c>
      <c r="J486" s="22">
        <f t="shared" si="49"/>
        <v>9</v>
      </c>
      <c r="K486" s="22">
        <v>1</v>
      </c>
      <c r="L486" s="22">
        <f ca="1">SUM(K486:OFFSET(RngToDay,ROWS(Dates),10))</f>
        <v>38</v>
      </c>
      <c r="M486" s="26" t="str">
        <f ca="1">IF(B486="","",SUM(C486:OFFSET(C486,-LeadTime+1,0)))</f>
        <v/>
      </c>
      <c r="N486" s="26" t="e">
        <f t="shared" ca="1" si="50"/>
        <v>#DIV/0!</v>
      </c>
      <c r="O486" s="22">
        <f t="shared" si="56"/>
        <v>486</v>
      </c>
      <c r="P486" s="26">
        <f t="shared" ca="1" si="51"/>
        <v>0</v>
      </c>
      <c r="Q486" s="26">
        <f ca="1">IF(LeadTime=0,P486,IF(AND(SUM(Q485:OFFSET(Q486,-LeadTime,0))=0,P486&gt;0),MAX(P486:OFFSET(P486,-LeadTime+1,0)),0))</f>
        <v>0</v>
      </c>
    </row>
    <row r="487" spans="1:17" x14ac:dyDescent="0.2">
      <c r="A487" s="136">
        <v>39867</v>
      </c>
      <c r="F487" s="26">
        <f t="shared" si="52"/>
        <v>0</v>
      </c>
      <c r="G487" s="22" t="str">
        <f t="shared" ca="1" si="53"/>
        <v>History</v>
      </c>
      <c r="H487" s="22">
        <f t="shared" si="54"/>
        <v>2009</v>
      </c>
      <c r="I487" s="22">
        <f t="shared" si="55"/>
        <v>2</v>
      </c>
      <c r="J487" s="22">
        <f t="shared" si="49"/>
        <v>9</v>
      </c>
      <c r="K487" s="22">
        <v>1</v>
      </c>
      <c r="L487" s="22">
        <f ca="1">SUM(K487:OFFSET(RngToDay,ROWS(Dates),10))</f>
        <v>37</v>
      </c>
      <c r="M487" s="26" t="str">
        <f ca="1">IF(B487="","",SUM(C487:OFFSET(C487,-LeadTime+1,0)))</f>
        <v/>
      </c>
      <c r="N487" s="26" t="e">
        <f t="shared" ca="1" si="50"/>
        <v>#DIV/0!</v>
      </c>
      <c r="O487" s="22">
        <f t="shared" si="56"/>
        <v>487</v>
      </c>
      <c r="P487" s="26">
        <f t="shared" ca="1" si="51"/>
        <v>0</v>
      </c>
      <c r="Q487" s="26">
        <f ca="1">IF(LeadTime=0,P487,IF(AND(SUM(Q486:OFFSET(Q487,-LeadTime,0))=0,P487&gt;0),MAX(P487:OFFSET(P487,-LeadTime+1,0)),0))</f>
        <v>0</v>
      </c>
    </row>
    <row r="488" spans="1:17" x14ac:dyDescent="0.2">
      <c r="A488" s="136">
        <v>39864</v>
      </c>
      <c r="F488" s="26">
        <f t="shared" si="52"/>
        <v>0</v>
      </c>
      <c r="G488" s="22" t="str">
        <f t="shared" ca="1" si="53"/>
        <v>History</v>
      </c>
      <c r="H488" s="22">
        <f t="shared" si="54"/>
        <v>2009</v>
      </c>
      <c r="I488" s="22">
        <f t="shared" si="55"/>
        <v>2</v>
      </c>
      <c r="J488" s="22">
        <f t="shared" si="49"/>
        <v>8</v>
      </c>
      <c r="K488" s="22">
        <v>1</v>
      </c>
      <c r="L488" s="22">
        <f ca="1">SUM(K488:OFFSET(RngToDay,ROWS(Dates),10))</f>
        <v>36</v>
      </c>
      <c r="M488" s="26" t="str">
        <f ca="1">IF(B488="","",SUM(C488:OFFSET(C488,-LeadTime+1,0)))</f>
        <v/>
      </c>
      <c r="N488" s="26" t="e">
        <f t="shared" ca="1" si="50"/>
        <v>#DIV/0!</v>
      </c>
      <c r="O488" s="22">
        <f t="shared" si="56"/>
        <v>488</v>
      </c>
      <c r="P488" s="26">
        <f t="shared" ca="1" si="51"/>
        <v>0</v>
      </c>
      <c r="Q488" s="26">
        <f ca="1">IF(LeadTime=0,P488,IF(AND(SUM(Q487:OFFSET(Q488,-LeadTime,0))=0,P488&gt;0),MAX(P488:OFFSET(P488,-LeadTime+1,0)),0))</f>
        <v>0</v>
      </c>
    </row>
    <row r="489" spans="1:17" x14ac:dyDescent="0.2">
      <c r="A489" s="136">
        <v>39863</v>
      </c>
      <c r="F489" s="26">
        <f t="shared" si="52"/>
        <v>0</v>
      </c>
      <c r="G489" s="22" t="str">
        <f t="shared" ca="1" si="53"/>
        <v>History</v>
      </c>
      <c r="H489" s="22">
        <f t="shared" si="54"/>
        <v>2009</v>
      </c>
      <c r="I489" s="22">
        <f t="shared" si="55"/>
        <v>2</v>
      </c>
      <c r="J489" s="22">
        <f t="shared" si="49"/>
        <v>8</v>
      </c>
      <c r="K489" s="22">
        <v>1</v>
      </c>
      <c r="L489" s="22">
        <f ca="1">SUM(K489:OFFSET(RngToDay,ROWS(Dates),10))</f>
        <v>35</v>
      </c>
      <c r="M489" s="26" t="str">
        <f ca="1">IF(B489="","",SUM(C489:OFFSET(C489,-LeadTime+1,0)))</f>
        <v/>
      </c>
      <c r="N489" s="26" t="e">
        <f t="shared" ca="1" si="50"/>
        <v>#DIV/0!</v>
      </c>
      <c r="O489" s="22">
        <f t="shared" si="56"/>
        <v>489</v>
      </c>
      <c r="P489" s="26">
        <f t="shared" ca="1" si="51"/>
        <v>0</v>
      </c>
      <c r="Q489" s="26">
        <f ca="1">IF(LeadTime=0,P489,IF(AND(SUM(Q488:OFFSET(Q489,-LeadTime,0))=0,P489&gt;0),MAX(P489:OFFSET(P489,-LeadTime+1,0)),0))</f>
        <v>0</v>
      </c>
    </row>
    <row r="490" spans="1:17" x14ac:dyDescent="0.2">
      <c r="A490" s="136">
        <v>39862</v>
      </c>
      <c r="F490" s="26">
        <f t="shared" si="52"/>
        <v>0</v>
      </c>
      <c r="G490" s="22" t="str">
        <f t="shared" ca="1" si="53"/>
        <v>History</v>
      </c>
      <c r="H490" s="22">
        <f t="shared" si="54"/>
        <v>2009</v>
      </c>
      <c r="I490" s="22">
        <f t="shared" si="55"/>
        <v>2</v>
      </c>
      <c r="J490" s="22">
        <f t="shared" si="49"/>
        <v>8</v>
      </c>
      <c r="K490" s="22">
        <v>1</v>
      </c>
      <c r="L490" s="22">
        <f ca="1">SUM(K490:OFFSET(RngToDay,ROWS(Dates),10))</f>
        <v>34</v>
      </c>
      <c r="M490" s="26" t="str">
        <f ca="1">IF(B490="","",SUM(C490:OFFSET(C490,-LeadTime+1,0)))</f>
        <v/>
      </c>
      <c r="N490" s="26" t="e">
        <f t="shared" ca="1" si="50"/>
        <v>#DIV/0!</v>
      </c>
      <c r="O490" s="22">
        <f t="shared" si="56"/>
        <v>490</v>
      </c>
      <c r="P490" s="26">
        <f t="shared" ca="1" si="51"/>
        <v>0</v>
      </c>
      <c r="Q490" s="26">
        <f ca="1">IF(LeadTime=0,P490,IF(AND(SUM(Q489:OFFSET(Q490,-LeadTime,0))=0,P490&gt;0),MAX(P490:OFFSET(P490,-LeadTime+1,0)),0))</f>
        <v>0</v>
      </c>
    </row>
    <row r="491" spans="1:17" x14ac:dyDescent="0.2">
      <c r="A491" s="136">
        <v>39861</v>
      </c>
      <c r="F491" s="26">
        <f t="shared" si="52"/>
        <v>0</v>
      </c>
      <c r="G491" s="22" t="str">
        <f t="shared" ca="1" si="53"/>
        <v>History</v>
      </c>
      <c r="H491" s="22">
        <f t="shared" si="54"/>
        <v>2009</v>
      </c>
      <c r="I491" s="22">
        <f t="shared" si="55"/>
        <v>2</v>
      </c>
      <c r="J491" s="22">
        <f t="shared" si="49"/>
        <v>8</v>
      </c>
      <c r="K491" s="22">
        <v>1</v>
      </c>
      <c r="L491" s="22">
        <f ca="1">SUM(K491:OFFSET(RngToDay,ROWS(Dates),10))</f>
        <v>33</v>
      </c>
      <c r="M491" s="26" t="str">
        <f ca="1">IF(B491="","",SUM(C491:OFFSET(C491,-LeadTime+1,0)))</f>
        <v/>
      </c>
      <c r="N491" s="26" t="e">
        <f t="shared" ca="1" si="50"/>
        <v>#DIV/0!</v>
      </c>
      <c r="O491" s="22">
        <f t="shared" si="56"/>
        <v>491</v>
      </c>
      <c r="P491" s="26">
        <f t="shared" ca="1" si="51"/>
        <v>0</v>
      </c>
      <c r="Q491" s="26">
        <f ca="1">IF(LeadTime=0,P491,IF(AND(SUM(Q490:OFFSET(Q491,-LeadTime,0))=0,P491&gt;0),MAX(P491:OFFSET(P491,-LeadTime+1,0)),0))</f>
        <v>0</v>
      </c>
    </row>
    <row r="492" spans="1:17" x14ac:dyDescent="0.2">
      <c r="A492" s="136">
        <v>39860</v>
      </c>
      <c r="F492" s="26">
        <f t="shared" si="52"/>
        <v>0</v>
      </c>
      <c r="G492" s="22" t="str">
        <f t="shared" ca="1" si="53"/>
        <v>History</v>
      </c>
      <c r="H492" s="22">
        <f t="shared" si="54"/>
        <v>2009</v>
      </c>
      <c r="I492" s="22">
        <f t="shared" si="55"/>
        <v>2</v>
      </c>
      <c r="J492" s="22">
        <f t="shared" si="49"/>
        <v>8</v>
      </c>
      <c r="K492" s="22">
        <v>1</v>
      </c>
      <c r="L492" s="22">
        <f ca="1">SUM(K492:OFFSET(RngToDay,ROWS(Dates),10))</f>
        <v>32</v>
      </c>
      <c r="M492" s="26" t="str">
        <f ca="1">IF(B492="","",SUM(C492:OFFSET(C492,-LeadTime+1,0)))</f>
        <v/>
      </c>
      <c r="N492" s="26" t="e">
        <f t="shared" ca="1" si="50"/>
        <v>#DIV/0!</v>
      </c>
      <c r="O492" s="22">
        <f t="shared" si="56"/>
        <v>492</v>
      </c>
      <c r="P492" s="26">
        <f t="shared" ca="1" si="51"/>
        <v>0</v>
      </c>
      <c r="Q492" s="26">
        <f ca="1">IF(LeadTime=0,P492,IF(AND(SUM(Q491:OFFSET(Q492,-LeadTime,0))=0,P492&gt;0),MAX(P492:OFFSET(P492,-LeadTime+1,0)),0))</f>
        <v>0</v>
      </c>
    </row>
    <row r="493" spans="1:17" x14ac:dyDescent="0.2">
      <c r="A493" s="136">
        <v>39857</v>
      </c>
      <c r="F493" s="26">
        <f t="shared" si="52"/>
        <v>0</v>
      </c>
      <c r="G493" s="22" t="str">
        <f t="shared" ca="1" si="53"/>
        <v>History</v>
      </c>
      <c r="H493" s="22">
        <f t="shared" si="54"/>
        <v>2009</v>
      </c>
      <c r="I493" s="22">
        <f t="shared" si="55"/>
        <v>2</v>
      </c>
      <c r="J493" s="22">
        <f t="shared" si="49"/>
        <v>7</v>
      </c>
      <c r="K493" s="22">
        <v>1</v>
      </c>
      <c r="L493" s="22">
        <f ca="1">SUM(K493:OFFSET(RngToDay,ROWS(Dates),10))</f>
        <v>31</v>
      </c>
      <c r="M493" s="26" t="str">
        <f ca="1">IF(B493="","",SUM(C493:OFFSET(C493,-LeadTime+1,0)))</f>
        <v/>
      </c>
      <c r="N493" s="26" t="e">
        <f t="shared" ca="1" si="50"/>
        <v>#DIV/0!</v>
      </c>
      <c r="O493" s="22">
        <f t="shared" si="56"/>
        <v>493</v>
      </c>
      <c r="P493" s="26">
        <f t="shared" ca="1" si="51"/>
        <v>0</v>
      </c>
      <c r="Q493" s="26">
        <f ca="1">IF(LeadTime=0,P493,IF(AND(SUM(Q492:OFFSET(Q493,-LeadTime,0))=0,P493&gt;0),MAX(P493:OFFSET(P493,-LeadTime+1,0)),0))</f>
        <v>0</v>
      </c>
    </row>
    <row r="494" spans="1:17" x14ac:dyDescent="0.2">
      <c r="A494" s="136">
        <v>39856</v>
      </c>
      <c r="F494" s="26">
        <f t="shared" si="52"/>
        <v>0</v>
      </c>
      <c r="G494" s="22" t="str">
        <f t="shared" ca="1" si="53"/>
        <v>History</v>
      </c>
      <c r="H494" s="22">
        <f t="shared" si="54"/>
        <v>2009</v>
      </c>
      <c r="I494" s="22">
        <f t="shared" si="55"/>
        <v>2</v>
      </c>
      <c r="J494" s="22">
        <f t="shared" si="49"/>
        <v>7</v>
      </c>
      <c r="K494" s="22">
        <v>1</v>
      </c>
      <c r="L494" s="22">
        <f ca="1">SUM(K494:OFFSET(RngToDay,ROWS(Dates),10))</f>
        <v>30</v>
      </c>
      <c r="M494" s="26" t="str">
        <f ca="1">IF(B494="","",SUM(C494:OFFSET(C494,-LeadTime+1,0)))</f>
        <v/>
      </c>
      <c r="N494" s="26" t="e">
        <f t="shared" ca="1" si="50"/>
        <v>#DIV/0!</v>
      </c>
      <c r="O494" s="22">
        <f t="shared" si="56"/>
        <v>494</v>
      </c>
      <c r="P494" s="26">
        <f t="shared" ca="1" si="51"/>
        <v>0</v>
      </c>
      <c r="Q494" s="26">
        <f ca="1">IF(LeadTime=0,P494,IF(AND(SUM(Q493:OFFSET(Q494,-LeadTime,0))=0,P494&gt;0),MAX(P494:OFFSET(P494,-LeadTime+1,0)),0))</f>
        <v>0</v>
      </c>
    </row>
    <row r="495" spans="1:17" x14ac:dyDescent="0.2">
      <c r="A495" s="136">
        <v>39855</v>
      </c>
      <c r="F495" s="26">
        <f t="shared" si="52"/>
        <v>0</v>
      </c>
      <c r="G495" s="22" t="str">
        <f t="shared" ca="1" si="53"/>
        <v>History</v>
      </c>
      <c r="H495" s="22">
        <f t="shared" si="54"/>
        <v>2009</v>
      </c>
      <c r="I495" s="22">
        <f t="shared" si="55"/>
        <v>2</v>
      </c>
      <c r="J495" s="22">
        <f t="shared" si="49"/>
        <v>7</v>
      </c>
      <c r="K495" s="22">
        <v>1</v>
      </c>
      <c r="L495" s="22">
        <f ca="1">SUM(K495:OFFSET(RngToDay,ROWS(Dates),10))</f>
        <v>29</v>
      </c>
      <c r="M495" s="26" t="str">
        <f ca="1">IF(B495="","",SUM(C495:OFFSET(C495,-LeadTime+1,0)))</f>
        <v/>
      </c>
      <c r="N495" s="26" t="e">
        <f t="shared" ca="1" si="50"/>
        <v>#DIV/0!</v>
      </c>
      <c r="O495" s="22">
        <f t="shared" si="56"/>
        <v>495</v>
      </c>
      <c r="P495" s="26">
        <f t="shared" ca="1" si="51"/>
        <v>0</v>
      </c>
      <c r="Q495" s="26">
        <f ca="1">IF(LeadTime=0,P495,IF(AND(SUM(Q494:OFFSET(Q495,-LeadTime,0))=0,P495&gt;0),MAX(P495:OFFSET(P495,-LeadTime+1,0)),0))</f>
        <v>0</v>
      </c>
    </row>
    <row r="496" spans="1:17" x14ac:dyDescent="0.2">
      <c r="A496" s="136">
        <v>39854</v>
      </c>
      <c r="F496" s="26">
        <f t="shared" si="52"/>
        <v>0</v>
      </c>
      <c r="G496" s="22" t="str">
        <f t="shared" ca="1" si="53"/>
        <v>History</v>
      </c>
      <c r="H496" s="22">
        <f t="shared" si="54"/>
        <v>2009</v>
      </c>
      <c r="I496" s="22">
        <f t="shared" si="55"/>
        <v>2</v>
      </c>
      <c r="J496" s="22">
        <f t="shared" si="49"/>
        <v>7</v>
      </c>
      <c r="K496" s="22">
        <v>1</v>
      </c>
      <c r="L496" s="22">
        <f ca="1">SUM(K496:OFFSET(RngToDay,ROWS(Dates),10))</f>
        <v>28</v>
      </c>
      <c r="M496" s="26" t="str">
        <f ca="1">IF(B496="","",SUM(C496:OFFSET(C496,-LeadTime+1,0)))</f>
        <v/>
      </c>
      <c r="N496" s="26" t="e">
        <f t="shared" ca="1" si="50"/>
        <v>#DIV/0!</v>
      </c>
      <c r="O496" s="22">
        <f t="shared" si="56"/>
        <v>496</v>
      </c>
      <c r="P496" s="26">
        <f t="shared" ca="1" si="51"/>
        <v>0</v>
      </c>
      <c r="Q496" s="26">
        <f ca="1">IF(LeadTime=0,P496,IF(AND(SUM(Q495:OFFSET(Q496,-LeadTime,0))=0,P496&gt;0),MAX(P496:OFFSET(P496,-LeadTime+1,0)),0))</f>
        <v>0</v>
      </c>
    </row>
    <row r="497" spans="1:17" x14ac:dyDescent="0.2">
      <c r="A497" s="136">
        <v>39853</v>
      </c>
      <c r="F497" s="26">
        <f t="shared" si="52"/>
        <v>0</v>
      </c>
      <c r="G497" s="22" t="str">
        <f t="shared" ca="1" si="53"/>
        <v>History</v>
      </c>
      <c r="H497" s="22">
        <f t="shared" si="54"/>
        <v>2009</v>
      </c>
      <c r="I497" s="22">
        <f t="shared" si="55"/>
        <v>2</v>
      </c>
      <c r="J497" s="22">
        <f t="shared" si="49"/>
        <v>7</v>
      </c>
      <c r="K497" s="22">
        <v>1</v>
      </c>
      <c r="L497" s="22">
        <f ca="1">SUM(K497:OFFSET(RngToDay,ROWS(Dates),10))</f>
        <v>27</v>
      </c>
      <c r="M497" s="26" t="str">
        <f ca="1">IF(B497="","",SUM(C497:OFFSET(C497,-LeadTime+1,0)))</f>
        <v/>
      </c>
      <c r="N497" s="26" t="e">
        <f t="shared" ca="1" si="50"/>
        <v>#DIV/0!</v>
      </c>
      <c r="O497" s="22">
        <f t="shared" si="56"/>
        <v>497</v>
      </c>
      <c r="P497" s="26">
        <f t="shared" ca="1" si="51"/>
        <v>0</v>
      </c>
      <c r="Q497" s="26">
        <f ca="1">IF(LeadTime=0,P497,IF(AND(SUM(Q496:OFFSET(Q497,-LeadTime,0))=0,P497&gt;0),MAX(P497:OFFSET(P497,-LeadTime+1,0)),0))</f>
        <v>0</v>
      </c>
    </row>
    <row r="498" spans="1:17" x14ac:dyDescent="0.2">
      <c r="A498" s="136">
        <v>39850</v>
      </c>
      <c r="F498" s="26">
        <f t="shared" si="52"/>
        <v>0</v>
      </c>
      <c r="G498" s="22" t="str">
        <f t="shared" ca="1" si="53"/>
        <v>History</v>
      </c>
      <c r="H498" s="22">
        <f t="shared" si="54"/>
        <v>2009</v>
      </c>
      <c r="I498" s="22">
        <f t="shared" si="55"/>
        <v>2</v>
      </c>
      <c r="J498" s="22">
        <f t="shared" si="49"/>
        <v>6</v>
      </c>
      <c r="K498" s="22">
        <v>1</v>
      </c>
      <c r="L498" s="22">
        <f ca="1">SUM(K498:OFFSET(RngToDay,ROWS(Dates),10))</f>
        <v>26</v>
      </c>
      <c r="M498" s="26" t="str">
        <f ca="1">IF(B498="","",SUM(C498:OFFSET(C498,-LeadTime+1,0)))</f>
        <v/>
      </c>
      <c r="N498" s="26" t="e">
        <f t="shared" ca="1" si="50"/>
        <v>#DIV/0!</v>
      </c>
      <c r="O498" s="22">
        <f t="shared" si="56"/>
        <v>498</v>
      </c>
      <c r="P498" s="26">
        <f t="shared" ca="1" si="51"/>
        <v>0</v>
      </c>
      <c r="Q498" s="26">
        <f ca="1">IF(LeadTime=0,P498,IF(AND(SUM(Q497:OFFSET(Q498,-LeadTime,0))=0,P498&gt;0),MAX(P498:OFFSET(P498,-LeadTime+1,0)),0))</f>
        <v>0</v>
      </c>
    </row>
    <row r="499" spans="1:17" x14ac:dyDescent="0.2">
      <c r="A499" s="136">
        <v>39849</v>
      </c>
      <c r="F499" s="26">
        <f t="shared" si="52"/>
        <v>0</v>
      </c>
      <c r="G499" s="22" t="str">
        <f t="shared" ca="1" si="53"/>
        <v>History</v>
      </c>
      <c r="H499" s="22">
        <f t="shared" si="54"/>
        <v>2009</v>
      </c>
      <c r="I499" s="22">
        <f t="shared" si="55"/>
        <v>2</v>
      </c>
      <c r="J499" s="22">
        <f t="shared" si="49"/>
        <v>6</v>
      </c>
      <c r="K499" s="22">
        <v>1</v>
      </c>
      <c r="L499" s="22">
        <f ca="1">SUM(K499:OFFSET(RngToDay,ROWS(Dates),10))</f>
        <v>25</v>
      </c>
      <c r="M499" s="26" t="str">
        <f ca="1">IF(B499="","",SUM(C499:OFFSET(C499,-LeadTime+1,0)))</f>
        <v/>
      </c>
      <c r="N499" s="26" t="e">
        <f t="shared" ca="1" si="50"/>
        <v>#DIV/0!</v>
      </c>
      <c r="O499" s="22">
        <f t="shared" si="56"/>
        <v>499</v>
      </c>
      <c r="P499" s="26">
        <f t="shared" ca="1" si="51"/>
        <v>0</v>
      </c>
      <c r="Q499" s="26">
        <f ca="1">IF(LeadTime=0,P499,IF(AND(SUM(Q498:OFFSET(Q499,-LeadTime,0))=0,P499&gt;0),MAX(P499:OFFSET(P499,-LeadTime+1,0)),0))</f>
        <v>0</v>
      </c>
    </row>
    <row r="500" spans="1:17" x14ac:dyDescent="0.2">
      <c r="A500" s="136">
        <v>39848</v>
      </c>
      <c r="F500" s="26">
        <f t="shared" si="52"/>
        <v>0</v>
      </c>
      <c r="G500" s="22" t="str">
        <f t="shared" ca="1" si="53"/>
        <v>History</v>
      </c>
      <c r="H500" s="22">
        <f t="shared" si="54"/>
        <v>2009</v>
      </c>
      <c r="I500" s="22">
        <f t="shared" si="55"/>
        <v>2</v>
      </c>
      <c r="J500" s="22">
        <f t="shared" si="49"/>
        <v>6</v>
      </c>
      <c r="K500" s="22">
        <v>1</v>
      </c>
      <c r="L500" s="22">
        <f ca="1">SUM(K500:OFFSET(RngToDay,ROWS(Dates),10))</f>
        <v>24</v>
      </c>
      <c r="M500" s="26" t="str">
        <f ca="1">IF(B500="","",SUM(C500:OFFSET(C500,-LeadTime+1,0)))</f>
        <v/>
      </c>
      <c r="N500" s="26" t="e">
        <f t="shared" ca="1" si="50"/>
        <v>#DIV/0!</v>
      </c>
      <c r="O500" s="22">
        <f t="shared" si="56"/>
        <v>500</v>
      </c>
      <c r="P500" s="26">
        <f t="shared" ca="1" si="51"/>
        <v>0</v>
      </c>
      <c r="Q500" s="26">
        <f ca="1">IF(LeadTime=0,P500,IF(AND(SUM(Q499:OFFSET(Q500,-LeadTime,0))=0,P500&gt;0),MAX(P500:OFFSET(P500,-LeadTime+1,0)),0))</f>
        <v>0</v>
      </c>
    </row>
    <row r="501" spans="1:17" x14ac:dyDescent="0.2">
      <c r="A501" s="136">
        <v>39847</v>
      </c>
      <c r="F501" s="26">
        <f t="shared" si="52"/>
        <v>0</v>
      </c>
      <c r="G501" s="22" t="str">
        <f t="shared" ca="1" si="53"/>
        <v>History</v>
      </c>
      <c r="H501" s="22">
        <f t="shared" si="54"/>
        <v>2009</v>
      </c>
      <c r="I501" s="22">
        <f t="shared" si="55"/>
        <v>2</v>
      </c>
      <c r="J501" s="22">
        <f t="shared" si="49"/>
        <v>6</v>
      </c>
      <c r="K501" s="22">
        <v>1</v>
      </c>
      <c r="L501" s="22">
        <f ca="1">SUM(K501:OFFSET(RngToDay,ROWS(Dates),10))</f>
        <v>23</v>
      </c>
      <c r="M501" s="26" t="str">
        <f ca="1">IF(B501="","",SUM(C501:OFFSET(C501,-LeadTime+1,0)))</f>
        <v/>
      </c>
      <c r="N501" s="26" t="e">
        <f t="shared" ca="1" si="50"/>
        <v>#DIV/0!</v>
      </c>
      <c r="O501" s="22">
        <f t="shared" si="56"/>
        <v>501</v>
      </c>
      <c r="P501" s="26">
        <f t="shared" ca="1" si="51"/>
        <v>0</v>
      </c>
      <c r="Q501" s="26">
        <f ca="1">IF(LeadTime=0,P501,IF(AND(SUM(Q500:OFFSET(Q501,-LeadTime,0))=0,P501&gt;0),MAX(P501:OFFSET(P501,-LeadTime+1,0)),0))</f>
        <v>0</v>
      </c>
    </row>
    <row r="502" spans="1:17" x14ac:dyDescent="0.2">
      <c r="A502" s="136">
        <v>39846</v>
      </c>
      <c r="F502" s="26">
        <f t="shared" si="52"/>
        <v>0</v>
      </c>
      <c r="G502" s="22" t="str">
        <f t="shared" ca="1" si="53"/>
        <v>History</v>
      </c>
      <c r="H502" s="22">
        <f t="shared" si="54"/>
        <v>2009</v>
      </c>
      <c r="I502" s="22">
        <f t="shared" si="55"/>
        <v>2</v>
      </c>
      <c r="J502" s="22">
        <f t="shared" si="49"/>
        <v>6</v>
      </c>
      <c r="K502" s="22">
        <v>1</v>
      </c>
      <c r="L502" s="22">
        <f ca="1">SUM(K502:OFFSET(RngToDay,ROWS(Dates),10))</f>
        <v>22</v>
      </c>
      <c r="M502" s="26" t="str">
        <f ca="1">IF(B502="","",SUM(C502:OFFSET(C502,-LeadTime+1,0)))</f>
        <v/>
      </c>
      <c r="N502" s="26" t="e">
        <f t="shared" ca="1" si="50"/>
        <v>#DIV/0!</v>
      </c>
      <c r="O502" s="22">
        <f t="shared" si="56"/>
        <v>502</v>
      </c>
      <c r="P502" s="26">
        <f t="shared" ca="1" si="51"/>
        <v>0</v>
      </c>
      <c r="Q502" s="26">
        <f ca="1">IF(LeadTime=0,P502,IF(AND(SUM(Q501:OFFSET(Q502,-LeadTime,0))=0,P502&gt;0),MAX(P502:OFFSET(P502,-LeadTime+1,0)),0))</f>
        <v>0</v>
      </c>
    </row>
    <row r="503" spans="1:17" x14ac:dyDescent="0.2">
      <c r="A503" s="136">
        <v>39843</v>
      </c>
      <c r="F503" s="26">
        <f t="shared" si="52"/>
        <v>0</v>
      </c>
      <c r="G503" s="22" t="str">
        <f t="shared" ca="1" si="53"/>
        <v>History</v>
      </c>
      <c r="H503" s="22">
        <f t="shared" si="54"/>
        <v>2009</v>
      </c>
      <c r="I503" s="22">
        <f t="shared" si="55"/>
        <v>1</v>
      </c>
      <c r="J503" s="22">
        <f t="shared" si="49"/>
        <v>5</v>
      </c>
      <c r="K503" s="22">
        <v>1</v>
      </c>
      <c r="L503" s="22">
        <f ca="1">SUM(K503:OFFSET(RngToDay,ROWS(Dates),10))</f>
        <v>21</v>
      </c>
      <c r="M503" s="26" t="str">
        <f ca="1">IF(B503="","",SUM(C503:OFFSET(C503,-LeadTime+1,0)))</f>
        <v/>
      </c>
      <c r="N503" s="26" t="e">
        <f t="shared" ca="1" si="50"/>
        <v>#DIV/0!</v>
      </c>
      <c r="O503" s="22">
        <f t="shared" si="56"/>
        <v>503</v>
      </c>
      <c r="P503" s="26">
        <f t="shared" ca="1" si="51"/>
        <v>0</v>
      </c>
      <c r="Q503" s="26">
        <f ca="1">IF(LeadTime=0,P503,IF(AND(SUM(Q502:OFFSET(Q503,-LeadTime,0))=0,P503&gt;0),MAX(P503:OFFSET(P503,-LeadTime+1,0)),0))</f>
        <v>0</v>
      </c>
    </row>
    <row r="504" spans="1:17" x14ac:dyDescent="0.2">
      <c r="A504" s="136">
        <v>39842</v>
      </c>
      <c r="F504" s="26">
        <f t="shared" si="52"/>
        <v>0</v>
      </c>
      <c r="G504" s="22" t="str">
        <f t="shared" ca="1" si="53"/>
        <v>History</v>
      </c>
      <c r="H504" s="22">
        <f t="shared" si="54"/>
        <v>2009</v>
      </c>
      <c r="I504" s="22">
        <f t="shared" si="55"/>
        <v>1</v>
      </c>
      <c r="J504" s="22">
        <f t="shared" ref="J504:J567" si="57">IF(WEEKDAY(DATE(YEAR(A504),1,1),2)&gt;4,WEEKNUM(A504,2)-1,WEEKNUM(A504,2))</f>
        <v>5</v>
      </c>
      <c r="K504" s="22">
        <v>1</v>
      </c>
      <c r="L504" s="22">
        <f ca="1">SUM(K504:OFFSET(RngToDay,ROWS(Dates),10))</f>
        <v>20</v>
      </c>
      <c r="M504" s="26" t="str">
        <f ca="1">IF(B504="","",SUM(C504:OFFSET(C504,-LeadTime+1,0)))</f>
        <v/>
      </c>
      <c r="N504" s="26" t="e">
        <f t="shared" ca="1" si="50"/>
        <v>#DIV/0!</v>
      </c>
      <c r="O504" s="22">
        <f t="shared" si="56"/>
        <v>504</v>
      </c>
      <c r="P504" s="26">
        <f t="shared" ca="1" si="51"/>
        <v>0</v>
      </c>
      <c r="Q504" s="26">
        <f ca="1">IF(LeadTime=0,P504,IF(AND(SUM(Q503:OFFSET(Q504,-LeadTime,0))=0,P504&gt;0),MAX(P504:OFFSET(P504,-LeadTime+1,0)),0))</f>
        <v>0</v>
      </c>
    </row>
    <row r="505" spans="1:17" x14ac:dyDescent="0.2">
      <c r="A505" s="136">
        <v>39841</v>
      </c>
      <c r="F505" s="26">
        <f t="shared" si="52"/>
        <v>0</v>
      </c>
      <c r="G505" s="22" t="str">
        <f t="shared" ca="1" si="53"/>
        <v>History</v>
      </c>
      <c r="H505" s="22">
        <f t="shared" si="54"/>
        <v>2009</v>
      </c>
      <c r="I505" s="22">
        <f t="shared" si="55"/>
        <v>1</v>
      </c>
      <c r="J505" s="22">
        <f t="shared" si="57"/>
        <v>5</v>
      </c>
      <c r="K505" s="22">
        <v>1</v>
      </c>
      <c r="L505" s="22">
        <f ca="1">SUM(K505:OFFSET(RngToDay,ROWS(Dates),10))</f>
        <v>19</v>
      </c>
      <c r="M505" s="26" t="str">
        <f ca="1">IF(B505="","",SUM(C505:OFFSET(C505,-LeadTime+1,0)))</f>
        <v/>
      </c>
      <c r="N505" s="26" t="e">
        <f t="shared" ca="1" si="50"/>
        <v>#DIV/0!</v>
      </c>
      <c r="O505" s="22">
        <f t="shared" si="56"/>
        <v>505</v>
      </c>
      <c r="P505" s="26">
        <f t="shared" ca="1" si="51"/>
        <v>0</v>
      </c>
      <c r="Q505" s="26">
        <f ca="1">IF(LeadTime=0,P505,IF(AND(SUM(Q504:OFFSET(Q505,-LeadTime,0))=0,P505&gt;0),MAX(P505:OFFSET(P505,-LeadTime+1,0)),0))</f>
        <v>0</v>
      </c>
    </row>
    <row r="506" spans="1:17" x14ac:dyDescent="0.2">
      <c r="A506" s="136">
        <v>39840</v>
      </c>
      <c r="F506" s="26">
        <f t="shared" si="52"/>
        <v>0</v>
      </c>
      <c r="G506" s="22" t="str">
        <f t="shared" ca="1" si="53"/>
        <v>History</v>
      </c>
      <c r="H506" s="22">
        <f t="shared" si="54"/>
        <v>2009</v>
      </c>
      <c r="I506" s="22">
        <f t="shared" si="55"/>
        <v>1</v>
      </c>
      <c r="J506" s="22">
        <f t="shared" si="57"/>
        <v>5</v>
      </c>
      <c r="K506" s="22">
        <v>1</v>
      </c>
      <c r="L506" s="22">
        <f ca="1">SUM(K506:OFFSET(RngToDay,ROWS(Dates),10))</f>
        <v>18</v>
      </c>
      <c r="M506" s="26" t="str">
        <f ca="1">IF(B506="","",SUM(C506:OFFSET(C506,-LeadTime+1,0)))</f>
        <v/>
      </c>
      <c r="N506" s="26" t="e">
        <f t="shared" ref="N506:N569" ca="1" si="58">Saf_Stock</f>
        <v>#DIV/0!</v>
      </c>
      <c r="O506" s="22">
        <f t="shared" si="56"/>
        <v>506</v>
      </c>
      <c r="P506" s="26">
        <f t="shared" ca="1" si="51"/>
        <v>0</v>
      </c>
      <c r="Q506" s="26">
        <f ca="1">IF(LeadTime=0,P506,IF(AND(SUM(Q505:OFFSET(Q506,-LeadTime,0))=0,P506&gt;0),MAX(P506:OFFSET(P506,-LeadTime+1,0)),0))</f>
        <v>0</v>
      </c>
    </row>
    <row r="507" spans="1:17" x14ac:dyDescent="0.2">
      <c r="A507" s="136">
        <v>39839</v>
      </c>
      <c r="F507" s="26">
        <f t="shared" si="52"/>
        <v>0</v>
      </c>
      <c r="G507" s="22" t="str">
        <f t="shared" ca="1" si="53"/>
        <v>History</v>
      </c>
      <c r="H507" s="22">
        <f t="shared" si="54"/>
        <v>2009</v>
      </c>
      <c r="I507" s="22">
        <f t="shared" si="55"/>
        <v>1</v>
      </c>
      <c r="J507" s="22">
        <f t="shared" si="57"/>
        <v>5</v>
      </c>
      <c r="K507" s="22">
        <v>1</v>
      </c>
      <c r="L507" s="22">
        <f ca="1">SUM(K507:OFFSET(RngToDay,ROWS(Dates),10))</f>
        <v>17</v>
      </c>
      <c r="M507" s="26" t="str">
        <f ca="1">IF(B507="","",SUM(C507:OFFSET(C507,-LeadTime+1,0)))</f>
        <v/>
      </c>
      <c r="N507" s="26" t="e">
        <f t="shared" ca="1" si="58"/>
        <v>#DIV/0!</v>
      </c>
      <c r="O507" s="22">
        <f t="shared" si="56"/>
        <v>507</v>
      </c>
      <c r="P507" s="26">
        <f t="shared" ref="P507:P570" ca="1" si="59">IF(M507="",0,IF(M507&gt;N507,M507-N507,0))</f>
        <v>0</v>
      </c>
      <c r="Q507" s="26">
        <f ca="1">IF(LeadTime=0,P507,IF(AND(SUM(Q506:OFFSET(Q507,-LeadTime,0))=0,P507&gt;0),MAX(P507:OFFSET(P507,-LeadTime+1,0)),0))</f>
        <v>0</v>
      </c>
    </row>
    <row r="508" spans="1:17" x14ac:dyDescent="0.2">
      <c r="A508" s="136">
        <v>39836</v>
      </c>
      <c r="F508" s="26">
        <f t="shared" ref="F508:F571" si="60">F507</f>
        <v>0</v>
      </c>
      <c r="G508" s="22" t="str">
        <f t="shared" ca="1" si="53"/>
        <v>History</v>
      </c>
      <c r="H508" s="22">
        <f t="shared" si="54"/>
        <v>2009</v>
      </c>
      <c r="I508" s="22">
        <f t="shared" si="55"/>
        <v>1</v>
      </c>
      <c r="J508" s="22">
        <f t="shared" si="57"/>
        <v>4</v>
      </c>
      <c r="K508" s="22">
        <v>1</v>
      </c>
      <c r="L508" s="22">
        <f ca="1">SUM(K508:OFFSET(RngToDay,ROWS(Dates),10))</f>
        <v>16</v>
      </c>
      <c r="M508" s="26" t="str">
        <f ca="1">IF(B508="","",SUM(C508:OFFSET(C508,-LeadTime+1,0)))</f>
        <v/>
      </c>
      <c r="N508" s="26" t="e">
        <f t="shared" ca="1" si="58"/>
        <v>#DIV/0!</v>
      </c>
      <c r="O508" s="22">
        <f t="shared" si="56"/>
        <v>508</v>
      </c>
      <c r="P508" s="26">
        <f t="shared" ca="1" si="59"/>
        <v>0</v>
      </c>
      <c r="Q508" s="26">
        <f ca="1">IF(LeadTime=0,P508,IF(AND(SUM(Q507:OFFSET(Q508,-LeadTime,0))=0,P508&gt;0),MAX(P508:OFFSET(P508,-LeadTime+1,0)),0))</f>
        <v>0</v>
      </c>
    </row>
    <row r="509" spans="1:17" x14ac:dyDescent="0.2">
      <c r="A509" s="136">
        <v>39835</v>
      </c>
      <c r="F509" s="26">
        <f t="shared" si="60"/>
        <v>0</v>
      </c>
      <c r="G509" s="22" t="str">
        <f t="shared" ca="1" si="53"/>
        <v>History</v>
      </c>
      <c r="H509" s="22">
        <f t="shared" si="54"/>
        <v>2009</v>
      </c>
      <c r="I509" s="22">
        <f t="shared" si="55"/>
        <v>1</v>
      </c>
      <c r="J509" s="22">
        <f t="shared" si="57"/>
        <v>4</v>
      </c>
      <c r="K509" s="22">
        <v>1</v>
      </c>
      <c r="L509" s="22">
        <f ca="1">SUM(K509:OFFSET(RngToDay,ROWS(Dates),10))</f>
        <v>15</v>
      </c>
      <c r="M509" s="26" t="str">
        <f ca="1">IF(B509="","",SUM(C509:OFFSET(C509,-LeadTime+1,0)))</f>
        <v/>
      </c>
      <c r="N509" s="26" t="e">
        <f t="shared" ca="1" si="58"/>
        <v>#DIV/0!</v>
      </c>
      <c r="O509" s="22">
        <f t="shared" si="56"/>
        <v>509</v>
      </c>
      <c r="P509" s="26">
        <f t="shared" ca="1" si="59"/>
        <v>0</v>
      </c>
      <c r="Q509" s="26">
        <f ca="1">IF(LeadTime=0,P509,IF(AND(SUM(Q508:OFFSET(Q509,-LeadTime,0))=0,P509&gt;0),MAX(P509:OFFSET(P509,-LeadTime+1,0)),0))</f>
        <v>0</v>
      </c>
    </row>
    <row r="510" spans="1:17" x14ac:dyDescent="0.2">
      <c r="A510" s="136">
        <v>39834</v>
      </c>
      <c r="F510" s="26">
        <f t="shared" si="60"/>
        <v>0</v>
      </c>
      <c r="G510" s="22" t="str">
        <f t="shared" ca="1" si="53"/>
        <v>History</v>
      </c>
      <c r="H510" s="22">
        <f t="shared" si="54"/>
        <v>2009</v>
      </c>
      <c r="I510" s="22">
        <f t="shared" si="55"/>
        <v>1</v>
      </c>
      <c r="J510" s="22">
        <f t="shared" si="57"/>
        <v>4</v>
      </c>
      <c r="K510" s="22">
        <v>1</v>
      </c>
      <c r="L510" s="22">
        <f ca="1">SUM(K510:OFFSET(RngToDay,ROWS(Dates),10))</f>
        <v>14</v>
      </c>
      <c r="M510" s="26" t="str">
        <f ca="1">IF(B510="","",SUM(C510:OFFSET(C510,-LeadTime+1,0)))</f>
        <v/>
      </c>
      <c r="N510" s="26" t="e">
        <f t="shared" ca="1" si="58"/>
        <v>#DIV/0!</v>
      </c>
      <c r="O510" s="22">
        <f t="shared" si="56"/>
        <v>510</v>
      </c>
      <c r="P510" s="26">
        <f t="shared" ca="1" si="59"/>
        <v>0</v>
      </c>
      <c r="Q510" s="26">
        <f ca="1">IF(LeadTime=0,P510,IF(AND(SUM(Q509:OFFSET(Q510,-LeadTime,0))=0,P510&gt;0),MAX(P510:OFFSET(P510,-LeadTime+1,0)),0))</f>
        <v>0</v>
      </c>
    </row>
    <row r="511" spans="1:17" x14ac:dyDescent="0.2">
      <c r="A511" s="136">
        <v>39833</v>
      </c>
      <c r="F511" s="26">
        <f t="shared" si="60"/>
        <v>0</v>
      </c>
      <c r="G511" s="22" t="str">
        <f t="shared" ca="1" si="53"/>
        <v>History</v>
      </c>
      <c r="H511" s="22">
        <f t="shared" si="54"/>
        <v>2009</v>
      </c>
      <c r="I511" s="22">
        <f t="shared" si="55"/>
        <v>1</v>
      </c>
      <c r="J511" s="22">
        <f t="shared" si="57"/>
        <v>4</v>
      </c>
      <c r="K511" s="22">
        <v>1</v>
      </c>
      <c r="L511" s="22">
        <f ca="1">SUM(K511:OFFSET(RngToDay,ROWS(Dates),10))</f>
        <v>13</v>
      </c>
      <c r="M511" s="26" t="str">
        <f ca="1">IF(B511="","",SUM(C511:OFFSET(C511,-LeadTime+1,0)))</f>
        <v/>
      </c>
      <c r="N511" s="26" t="e">
        <f t="shared" ca="1" si="58"/>
        <v>#DIV/0!</v>
      </c>
      <c r="O511" s="22">
        <f t="shared" si="56"/>
        <v>511</v>
      </c>
      <c r="P511" s="26">
        <f t="shared" ca="1" si="59"/>
        <v>0</v>
      </c>
      <c r="Q511" s="26">
        <f ca="1">IF(LeadTime=0,P511,IF(AND(SUM(Q510:OFFSET(Q511,-LeadTime,0))=0,P511&gt;0),MAX(P511:OFFSET(P511,-LeadTime+1,0)),0))</f>
        <v>0</v>
      </c>
    </row>
    <row r="512" spans="1:17" x14ac:dyDescent="0.2">
      <c r="A512" s="136">
        <v>39832</v>
      </c>
      <c r="F512" s="26">
        <f t="shared" si="60"/>
        <v>0</v>
      </c>
      <c r="G512" s="22" t="str">
        <f t="shared" ca="1" si="53"/>
        <v>History</v>
      </c>
      <c r="H512" s="22">
        <f t="shared" si="54"/>
        <v>2009</v>
      </c>
      <c r="I512" s="22">
        <f t="shared" si="55"/>
        <v>1</v>
      </c>
      <c r="J512" s="22">
        <f t="shared" si="57"/>
        <v>4</v>
      </c>
      <c r="K512" s="22">
        <v>1</v>
      </c>
      <c r="L512" s="22">
        <f ca="1">SUM(K512:OFFSET(RngToDay,ROWS(Dates),10))</f>
        <v>12</v>
      </c>
      <c r="M512" s="26" t="str">
        <f ca="1">IF(B512="","",SUM(C512:OFFSET(C512,-LeadTime+1,0)))</f>
        <v/>
      </c>
      <c r="N512" s="26" t="e">
        <f t="shared" ca="1" si="58"/>
        <v>#DIV/0!</v>
      </c>
      <c r="O512" s="22">
        <f t="shared" si="56"/>
        <v>512</v>
      </c>
      <c r="P512" s="26">
        <f t="shared" ca="1" si="59"/>
        <v>0</v>
      </c>
      <c r="Q512" s="26">
        <f ca="1">IF(LeadTime=0,P512,IF(AND(SUM(Q511:OFFSET(Q512,-LeadTime,0))=0,P512&gt;0),MAX(P512:OFFSET(P512,-LeadTime+1,0)),0))</f>
        <v>0</v>
      </c>
    </row>
    <row r="513" spans="1:17" x14ac:dyDescent="0.2">
      <c r="A513" s="136">
        <v>39829</v>
      </c>
      <c r="F513" s="26">
        <f t="shared" si="60"/>
        <v>0</v>
      </c>
      <c r="G513" s="22" t="str">
        <f t="shared" ca="1" si="53"/>
        <v>History</v>
      </c>
      <c r="H513" s="22">
        <f t="shared" si="54"/>
        <v>2009</v>
      </c>
      <c r="I513" s="22">
        <f t="shared" si="55"/>
        <v>1</v>
      </c>
      <c r="J513" s="22">
        <f t="shared" si="57"/>
        <v>3</v>
      </c>
      <c r="K513" s="22">
        <v>1</v>
      </c>
      <c r="L513" s="22">
        <f ca="1">SUM(K513:OFFSET(RngToDay,ROWS(Dates),10))</f>
        <v>11</v>
      </c>
      <c r="M513" s="26" t="str">
        <f ca="1">IF(B513="","",SUM(C513:OFFSET(C513,-LeadTime+1,0)))</f>
        <v/>
      </c>
      <c r="N513" s="26" t="e">
        <f t="shared" ca="1" si="58"/>
        <v>#DIV/0!</v>
      </c>
      <c r="O513" s="22">
        <f t="shared" si="56"/>
        <v>513</v>
      </c>
      <c r="P513" s="26">
        <f t="shared" ca="1" si="59"/>
        <v>0</v>
      </c>
      <c r="Q513" s="26">
        <f ca="1">IF(LeadTime=0,P513,IF(AND(SUM(Q512:OFFSET(Q513,-LeadTime,0))=0,P513&gt;0),MAX(P513:OFFSET(P513,-LeadTime+1,0)),0))</f>
        <v>0</v>
      </c>
    </row>
    <row r="514" spans="1:17" x14ac:dyDescent="0.2">
      <c r="A514" s="136">
        <v>39828</v>
      </c>
      <c r="F514" s="26">
        <f t="shared" si="60"/>
        <v>0</v>
      </c>
      <c r="G514" s="22" t="str">
        <f t="shared" ca="1" si="53"/>
        <v>History</v>
      </c>
      <c r="H514" s="22">
        <f t="shared" si="54"/>
        <v>2009</v>
      </c>
      <c r="I514" s="22">
        <f t="shared" si="55"/>
        <v>1</v>
      </c>
      <c r="J514" s="22">
        <f t="shared" si="57"/>
        <v>3</v>
      </c>
      <c r="K514" s="22">
        <v>1</v>
      </c>
      <c r="L514" s="22">
        <f ca="1">SUM(K514:OFFSET(RngToDay,ROWS(Dates),10))</f>
        <v>10</v>
      </c>
      <c r="M514" s="26" t="str">
        <f ca="1">IF(B514="","",SUM(C514:OFFSET(C514,-LeadTime+1,0)))</f>
        <v/>
      </c>
      <c r="N514" s="26" t="e">
        <f t="shared" ca="1" si="58"/>
        <v>#DIV/0!</v>
      </c>
      <c r="O514" s="22">
        <f t="shared" si="56"/>
        <v>514</v>
      </c>
      <c r="P514" s="26">
        <f t="shared" ca="1" si="59"/>
        <v>0</v>
      </c>
      <c r="Q514" s="26">
        <f ca="1">IF(LeadTime=0,P514,IF(AND(SUM(Q513:OFFSET(Q514,-LeadTime,0))=0,P514&gt;0),MAX(P514:OFFSET(P514,-LeadTime+1,0)),0))</f>
        <v>0</v>
      </c>
    </row>
    <row r="515" spans="1:17" x14ac:dyDescent="0.2">
      <c r="A515" s="136">
        <v>39827</v>
      </c>
      <c r="F515" s="26">
        <f t="shared" si="60"/>
        <v>0</v>
      </c>
      <c r="G515" s="22" t="str">
        <f t="shared" ref="G515:G578" ca="1" si="61">IF(A515&gt;TODAY(),"Requirements","History")</f>
        <v>History</v>
      </c>
      <c r="H515" s="22">
        <f t="shared" ref="H515:H578" si="62">YEAR(A515)</f>
        <v>2009</v>
      </c>
      <c r="I515" s="22">
        <f t="shared" ref="I515:I578" si="63">MONTH(A515)</f>
        <v>1</v>
      </c>
      <c r="J515" s="22">
        <f t="shared" si="57"/>
        <v>3</v>
      </c>
      <c r="K515" s="22">
        <v>1</v>
      </c>
      <c r="L515" s="22">
        <f ca="1">SUM(K515:OFFSET(RngToDay,ROWS(Dates),10))</f>
        <v>9</v>
      </c>
      <c r="M515" s="26" t="str">
        <f ca="1">IF(B515="","",SUM(C515:OFFSET(C515,-LeadTime+1,0)))</f>
        <v/>
      </c>
      <c r="N515" s="26" t="e">
        <f t="shared" ca="1" si="58"/>
        <v>#DIV/0!</v>
      </c>
      <c r="O515" s="22">
        <f t="shared" si="56"/>
        <v>515</v>
      </c>
      <c r="P515" s="26">
        <f t="shared" ca="1" si="59"/>
        <v>0</v>
      </c>
      <c r="Q515" s="26">
        <f ca="1">IF(LeadTime=0,P515,IF(AND(SUM(Q514:OFFSET(Q515,-LeadTime,0))=0,P515&gt;0),MAX(P515:OFFSET(P515,-LeadTime+1,0)),0))</f>
        <v>0</v>
      </c>
    </row>
    <row r="516" spans="1:17" x14ac:dyDescent="0.2">
      <c r="A516" s="136">
        <v>39826</v>
      </c>
      <c r="F516" s="26">
        <f t="shared" si="60"/>
        <v>0</v>
      </c>
      <c r="G516" s="22" t="str">
        <f t="shared" ca="1" si="61"/>
        <v>History</v>
      </c>
      <c r="H516" s="22">
        <f t="shared" si="62"/>
        <v>2009</v>
      </c>
      <c r="I516" s="22">
        <f t="shared" si="63"/>
        <v>1</v>
      </c>
      <c r="J516" s="22">
        <f t="shared" si="57"/>
        <v>3</v>
      </c>
      <c r="K516" s="22">
        <v>1</v>
      </c>
      <c r="L516" s="22">
        <f ca="1">SUM(K516:OFFSET(RngToDay,ROWS(Dates),10))</f>
        <v>8</v>
      </c>
      <c r="M516" s="26" t="str">
        <f ca="1">IF(B516="","",SUM(C516:OFFSET(C516,-LeadTime+1,0)))</f>
        <v/>
      </c>
      <c r="N516" s="26" t="e">
        <f t="shared" ca="1" si="58"/>
        <v>#DIV/0!</v>
      </c>
      <c r="O516" s="22">
        <f t="shared" ref="O516:O579" si="64">O515+1</f>
        <v>516</v>
      </c>
      <c r="P516" s="26">
        <f t="shared" ca="1" si="59"/>
        <v>0</v>
      </c>
      <c r="Q516" s="26">
        <f ca="1">IF(LeadTime=0,P516,IF(AND(SUM(Q515:OFFSET(Q516,-LeadTime,0))=0,P516&gt;0),MAX(P516:OFFSET(P516,-LeadTime+1,0)),0))</f>
        <v>0</v>
      </c>
    </row>
    <row r="517" spans="1:17" x14ac:dyDescent="0.2">
      <c r="A517" s="136">
        <v>39825</v>
      </c>
      <c r="F517" s="26">
        <f t="shared" si="60"/>
        <v>0</v>
      </c>
      <c r="G517" s="22" t="str">
        <f t="shared" ca="1" si="61"/>
        <v>History</v>
      </c>
      <c r="H517" s="22">
        <f t="shared" si="62"/>
        <v>2009</v>
      </c>
      <c r="I517" s="22">
        <f t="shared" si="63"/>
        <v>1</v>
      </c>
      <c r="J517" s="22">
        <f t="shared" si="57"/>
        <v>3</v>
      </c>
      <c r="K517" s="22">
        <v>1</v>
      </c>
      <c r="L517" s="22">
        <f ca="1">SUM(K517:OFFSET(RngToDay,ROWS(Dates),10))</f>
        <v>7</v>
      </c>
      <c r="M517" s="26" t="str">
        <f ca="1">IF(B517="","",SUM(C517:OFFSET(C517,-LeadTime+1,0)))</f>
        <v/>
      </c>
      <c r="N517" s="26" t="e">
        <f t="shared" ca="1" si="58"/>
        <v>#DIV/0!</v>
      </c>
      <c r="O517" s="22">
        <f t="shared" si="64"/>
        <v>517</v>
      </c>
      <c r="P517" s="26">
        <f t="shared" ca="1" si="59"/>
        <v>0</v>
      </c>
      <c r="Q517" s="26">
        <f ca="1">IF(LeadTime=0,P517,IF(AND(SUM(Q516:OFFSET(Q517,-LeadTime,0))=0,P517&gt;0),MAX(P517:OFFSET(P517,-LeadTime+1,0)),0))</f>
        <v>0</v>
      </c>
    </row>
    <row r="518" spans="1:17" x14ac:dyDescent="0.2">
      <c r="A518" s="136">
        <v>39822</v>
      </c>
      <c r="F518" s="26">
        <f t="shared" si="60"/>
        <v>0</v>
      </c>
      <c r="G518" s="22" t="str">
        <f t="shared" ca="1" si="61"/>
        <v>History</v>
      </c>
      <c r="H518" s="22">
        <f t="shared" si="62"/>
        <v>2009</v>
      </c>
      <c r="I518" s="22">
        <f t="shared" si="63"/>
        <v>1</v>
      </c>
      <c r="J518" s="22">
        <f t="shared" si="57"/>
        <v>2</v>
      </c>
      <c r="K518" s="22">
        <v>1</v>
      </c>
      <c r="L518" s="22">
        <f ca="1">SUM(K518:OFFSET(RngToDay,ROWS(Dates),10))</f>
        <v>6</v>
      </c>
      <c r="M518" s="26" t="str">
        <f ca="1">IF(B518="","",SUM(C518:OFFSET(C518,-LeadTime+1,0)))</f>
        <v/>
      </c>
      <c r="N518" s="26" t="e">
        <f t="shared" ca="1" si="58"/>
        <v>#DIV/0!</v>
      </c>
      <c r="O518" s="22">
        <f t="shared" si="64"/>
        <v>518</v>
      </c>
      <c r="P518" s="26">
        <f t="shared" ca="1" si="59"/>
        <v>0</v>
      </c>
      <c r="Q518" s="26">
        <f ca="1">IF(LeadTime=0,P518,IF(AND(SUM(Q517:OFFSET(Q518,-LeadTime,0))=0,P518&gt;0),MAX(P518:OFFSET(P518,-LeadTime+1,0)),0))</f>
        <v>0</v>
      </c>
    </row>
    <row r="519" spans="1:17" x14ac:dyDescent="0.2">
      <c r="A519" s="136">
        <v>39821</v>
      </c>
      <c r="F519" s="26">
        <f t="shared" si="60"/>
        <v>0</v>
      </c>
      <c r="G519" s="22" t="str">
        <f t="shared" ca="1" si="61"/>
        <v>History</v>
      </c>
      <c r="H519" s="22">
        <f t="shared" si="62"/>
        <v>2009</v>
      </c>
      <c r="I519" s="22">
        <f t="shared" si="63"/>
        <v>1</v>
      </c>
      <c r="J519" s="22">
        <f t="shared" si="57"/>
        <v>2</v>
      </c>
      <c r="K519" s="22">
        <v>1</v>
      </c>
      <c r="L519" s="22">
        <f ca="1">SUM(K519:OFFSET(RngToDay,ROWS(Dates),10))</f>
        <v>5</v>
      </c>
      <c r="M519" s="26" t="str">
        <f ca="1">IF(B519="","",SUM(C519:OFFSET(C519,-LeadTime+1,0)))</f>
        <v/>
      </c>
      <c r="N519" s="26" t="e">
        <f t="shared" ca="1" si="58"/>
        <v>#DIV/0!</v>
      </c>
      <c r="O519" s="22">
        <f t="shared" si="64"/>
        <v>519</v>
      </c>
      <c r="P519" s="26">
        <f t="shared" ca="1" si="59"/>
        <v>0</v>
      </c>
      <c r="Q519" s="26">
        <f ca="1">IF(LeadTime=0,P519,IF(AND(SUM(Q518:OFFSET(Q519,-LeadTime,0))=0,P519&gt;0),MAX(P519:OFFSET(P519,-LeadTime+1,0)),0))</f>
        <v>0</v>
      </c>
    </row>
    <row r="520" spans="1:17" x14ac:dyDescent="0.2">
      <c r="A520" s="136">
        <v>39820</v>
      </c>
      <c r="F520" s="26">
        <f t="shared" si="60"/>
        <v>0</v>
      </c>
      <c r="G520" s="22" t="str">
        <f t="shared" ca="1" si="61"/>
        <v>History</v>
      </c>
      <c r="H520" s="22">
        <f t="shared" si="62"/>
        <v>2009</v>
      </c>
      <c r="I520" s="22">
        <f t="shared" si="63"/>
        <v>1</v>
      </c>
      <c r="J520" s="22">
        <f t="shared" si="57"/>
        <v>2</v>
      </c>
      <c r="K520" s="22">
        <v>1</v>
      </c>
      <c r="L520" s="22">
        <f ca="1">SUM(K520:OFFSET(RngToDay,ROWS(Dates),10))</f>
        <v>4</v>
      </c>
      <c r="M520" s="26" t="str">
        <f ca="1">IF(B520="","",SUM(C520:OFFSET(C520,-LeadTime+1,0)))</f>
        <v/>
      </c>
      <c r="N520" s="26" t="e">
        <f t="shared" ca="1" si="58"/>
        <v>#DIV/0!</v>
      </c>
      <c r="O520" s="22">
        <f t="shared" si="64"/>
        <v>520</v>
      </c>
      <c r="P520" s="26">
        <f t="shared" ca="1" si="59"/>
        <v>0</v>
      </c>
      <c r="Q520" s="26">
        <f ca="1">IF(LeadTime=0,P520,IF(AND(SUM(Q519:OFFSET(Q520,-LeadTime,0))=0,P520&gt;0),MAX(P520:OFFSET(P520,-LeadTime+1,0)),0))</f>
        <v>0</v>
      </c>
    </row>
    <row r="521" spans="1:17" x14ac:dyDescent="0.2">
      <c r="A521" s="136">
        <v>39819</v>
      </c>
      <c r="F521" s="26">
        <f t="shared" si="60"/>
        <v>0</v>
      </c>
      <c r="G521" s="22" t="str">
        <f t="shared" ca="1" si="61"/>
        <v>History</v>
      </c>
      <c r="H521" s="22">
        <f t="shared" si="62"/>
        <v>2009</v>
      </c>
      <c r="I521" s="22">
        <f t="shared" si="63"/>
        <v>1</v>
      </c>
      <c r="J521" s="22">
        <f t="shared" si="57"/>
        <v>2</v>
      </c>
      <c r="K521" s="22">
        <v>1</v>
      </c>
      <c r="L521" s="22">
        <f ca="1">SUM(K521:OFFSET(RngToDay,ROWS(Dates),10))</f>
        <v>3</v>
      </c>
      <c r="M521" s="26" t="str">
        <f ca="1">IF(B521="","",SUM(C521:OFFSET(C521,-LeadTime+1,0)))</f>
        <v/>
      </c>
      <c r="N521" s="26" t="e">
        <f t="shared" ca="1" si="58"/>
        <v>#DIV/0!</v>
      </c>
      <c r="O521" s="22">
        <f t="shared" si="64"/>
        <v>521</v>
      </c>
      <c r="P521" s="26">
        <f t="shared" ca="1" si="59"/>
        <v>0</v>
      </c>
      <c r="Q521" s="26">
        <f ca="1">IF(LeadTime=0,P521,IF(AND(SUM(Q520:OFFSET(Q521,-LeadTime,0))=0,P521&gt;0),MAX(P521:OFFSET(P521,-LeadTime+1,0)),0))</f>
        <v>0</v>
      </c>
    </row>
    <row r="522" spans="1:17" x14ac:dyDescent="0.2">
      <c r="A522" s="136">
        <v>39818</v>
      </c>
      <c r="F522" s="26">
        <f t="shared" si="60"/>
        <v>0</v>
      </c>
      <c r="G522" s="22" t="str">
        <f t="shared" ca="1" si="61"/>
        <v>History</v>
      </c>
      <c r="H522" s="22">
        <f t="shared" si="62"/>
        <v>2009</v>
      </c>
      <c r="I522" s="22">
        <f t="shared" si="63"/>
        <v>1</v>
      </c>
      <c r="J522" s="22">
        <f t="shared" si="57"/>
        <v>2</v>
      </c>
      <c r="K522" s="22">
        <v>1</v>
      </c>
      <c r="L522" s="22">
        <f ca="1">SUM(K522:OFFSET(RngToDay,ROWS(Dates),10))</f>
        <v>2</v>
      </c>
      <c r="M522" s="26" t="str">
        <f ca="1">IF(B522="","",SUM(C522:OFFSET(C522,-LeadTime+1,0)))</f>
        <v/>
      </c>
      <c r="N522" s="26" t="e">
        <f t="shared" ca="1" si="58"/>
        <v>#DIV/0!</v>
      </c>
      <c r="O522" s="22">
        <f t="shared" si="64"/>
        <v>522</v>
      </c>
      <c r="P522" s="26">
        <f t="shared" ca="1" si="59"/>
        <v>0</v>
      </c>
      <c r="Q522" s="26">
        <f ca="1">IF(LeadTime=0,P522,IF(AND(SUM(Q521:OFFSET(Q522,-LeadTime,0))=0,P522&gt;0),MAX(P522:OFFSET(P522,-LeadTime+1,0)),0))</f>
        <v>0</v>
      </c>
    </row>
    <row r="523" spans="1:17" x14ac:dyDescent="0.2">
      <c r="A523" s="136">
        <v>39815</v>
      </c>
      <c r="F523" s="26">
        <f t="shared" si="60"/>
        <v>0</v>
      </c>
      <c r="G523" s="22" t="str">
        <f t="shared" ca="1" si="61"/>
        <v>History</v>
      </c>
      <c r="H523" s="22">
        <f t="shared" si="62"/>
        <v>2009</v>
      </c>
      <c r="I523" s="22">
        <f t="shared" si="63"/>
        <v>1</v>
      </c>
      <c r="J523" s="22">
        <f t="shared" si="57"/>
        <v>1</v>
      </c>
      <c r="K523" s="22">
        <v>1</v>
      </c>
      <c r="L523" s="22">
        <f ca="1">SUM(K523:OFFSET(RngToDay,ROWS(Dates),10))</f>
        <v>1</v>
      </c>
      <c r="M523" s="26" t="str">
        <f ca="1">IF(B523="","",SUM(C523:OFFSET(C523,-LeadTime+1,0)))</f>
        <v/>
      </c>
      <c r="N523" s="26" t="e">
        <f t="shared" ca="1" si="58"/>
        <v>#DIV/0!</v>
      </c>
      <c r="O523" s="22">
        <f t="shared" si="64"/>
        <v>523</v>
      </c>
      <c r="P523" s="26">
        <f t="shared" ca="1" si="59"/>
        <v>0</v>
      </c>
      <c r="Q523" s="26">
        <f ca="1">IF(LeadTime=0,P523,IF(AND(SUM(Q522:OFFSET(Q523,-LeadTime,0))=0,P523&gt;0),MAX(P523:OFFSET(P523,-LeadTime+1,0)),0))</f>
        <v>0</v>
      </c>
    </row>
    <row r="524" spans="1:17" x14ac:dyDescent="0.2">
      <c r="F524" s="26">
        <f t="shared" si="60"/>
        <v>0</v>
      </c>
      <c r="G524" s="22" t="str">
        <f t="shared" ca="1" si="61"/>
        <v>History</v>
      </c>
      <c r="H524" s="22">
        <f t="shared" si="62"/>
        <v>1900</v>
      </c>
      <c r="I524" s="22">
        <f t="shared" si="63"/>
        <v>1</v>
      </c>
      <c r="J524" s="22">
        <f t="shared" si="57"/>
        <v>0</v>
      </c>
      <c r="L524" s="22">
        <f ca="1">SUM(K524:OFFSET(RngToDay,ROWS(Dates),10))</f>
        <v>0</v>
      </c>
      <c r="M524" s="26" t="str">
        <f ca="1">IF(B524="","",SUM(C524:OFFSET(C524,-LeadTime+1,0)))</f>
        <v/>
      </c>
      <c r="N524" s="26" t="e">
        <f t="shared" ca="1" si="58"/>
        <v>#DIV/0!</v>
      </c>
      <c r="O524" s="22">
        <f t="shared" si="64"/>
        <v>524</v>
      </c>
      <c r="P524" s="26">
        <f t="shared" ca="1" si="59"/>
        <v>0</v>
      </c>
      <c r="Q524" s="26">
        <f ca="1">IF(LeadTime=0,P524,IF(AND(SUM(Q523:OFFSET(Q524,-LeadTime,0))=0,P524&gt;0),MAX(P524:OFFSET(P524,-LeadTime+1,0)),0))</f>
        <v>0</v>
      </c>
    </row>
    <row r="525" spans="1:17" x14ac:dyDescent="0.2">
      <c r="F525" s="26">
        <f t="shared" si="60"/>
        <v>0</v>
      </c>
      <c r="G525" s="22" t="str">
        <f t="shared" ca="1" si="61"/>
        <v>History</v>
      </c>
      <c r="H525" s="22">
        <f t="shared" si="62"/>
        <v>1900</v>
      </c>
      <c r="I525" s="22">
        <f t="shared" si="63"/>
        <v>1</v>
      </c>
      <c r="J525" s="22">
        <f t="shared" si="57"/>
        <v>0</v>
      </c>
      <c r="L525" s="22">
        <f ca="1">SUM(K525:OFFSET(RngToDay,ROWS(Dates),10))</f>
        <v>0</v>
      </c>
      <c r="M525" s="26" t="str">
        <f ca="1">IF(B525="","",SUM(C525:OFFSET(C525,-LeadTime+1,0)))</f>
        <v/>
      </c>
      <c r="N525" s="26" t="e">
        <f t="shared" ca="1" si="58"/>
        <v>#DIV/0!</v>
      </c>
      <c r="O525" s="22">
        <f t="shared" si="64"/>
        <v>525</v>
      </c>
      <c r="P525" s="26">
        <f t="shared" ca="1" si="59"/>
        <v>0</v>
      </c>
      <c r="Q525" s="26">
        <f ca="1">IF(LeadTime=0,P525,IF(AND(SUM(Q524:OFFSET(Q525,-LeadTime,0))=0,P525&gt;0),MAX(P525:OFFSET(P525,-LeadTime+1,0)),0))</f>
        <v>0</v>
      </c>
    </row>
    <row r="526" spans="1:17" x14ac:dyDescent="0.2">
      <c r="F526" s="26">
        <f t="shared" si="60"/>
        <v>0</v>
      </c>
      <c r="G526" s="22" t="str">
        <f t="shared" ca="1" si="61"/>
        <v>History</v>
      </c>
      <c r="H526" s="22">
        <f t="shared" si="62"/>
        <v>1900</v>
      </c>
      <c r="I526" s="22">
        <f t="shared" si="63"/>
        <v>1</v>
      </c>
      <c r="J526" s="22">
        <f t="shared" si="57"/>
        <v>0</v>
      </c>
      <c r="L526" s="22">
        <f ca="1">SUM(K526:OFFSET(RngToDay,ROWS(Dates),10))</f>
        <v>0</v>
      </c>
      <c r="M526" s="26" t="str">
        <f ca="1">IF(B526="","",SUM(C526:OFFSET(C526,-LeadTime+1,0)))</f>
        <v/>
      </c>
      <c r="N526" s="26" t="e">
        <f t="shared" ca="1" si="58"/>
        <v>#DIV/0!</v>
      </c>
      <c r="O526" s="22">
        <f t="shared" si="64"/>
        <v>526</v>
      </c>
      <c r="P526" s="26">
        <f t="shared" ca="1" si="59"/>
        <v>0</v>
      </c>
      <c r="Q526" s="26">
        <f ca="1">IF(LeadTime=0,P526,IF(AND(SUM(Q525:OFFSET(Q526,-LeadTime,0))=0,P526&gt;0),MAX(P526:OFFSET(P526,-LeadTime+1,0)),0))</f>
        <v>0</v>
      </c>
    </row>
    <row r="527" spans="1:17" x14ac:dyDescent="0.2">
      <c r="F527" s="26">
        <f t="shared" si="60"/>
        <v>0</v>
      </c>
      <c r="G527" s="22" t="str">
        <f t="shared" ca="1" si="61"/>
        <v>History</v>
      </c>
      <c r="H527" s="22">
        <f t="shared" si="62"/>
        <v>1900</v>
      </c>
      <c r="I527" s="22">
        <f t="shared" si="63"/>
        <v>1</v>
      </c>
      <c r="J527" s="22">
        <f t="shared" si="57"/>
        <v>0</v>
      </c>
      <c r="L527" s="22">
        <f ca="1">SUM(K527:OFFSET(RngToDay,ROWS(Dates),10))</f>
        <v>0</v>
      </c>
      <c r="M527" s="26" t="str">
        <f ca="1">IF(B527="","",SUM(C527:OFFSET(C527,-LeadTime+1,0)))</f>
        <v/>
      </c>
      <c r="N527" s="26" t="e">
        <f t="shared" ca="1" si="58"/>
        <v>#DIV/0!</v>
      </c>
      <c r="O527" s="22">
        <f t="shared" si="64"/>
        <v>527</v>
      </c>
      <c r="P527" s="26">
        <f t="shared" ca="1" si="59"/>
        <v>0</v>
      </c>
      <c r="Q527" s="26">
        <f ca="1">IF(LeadTime=0,P527,IF(AND(SUM(Q526:OFFSET(Q527,-LeadTime,0))=0,P527&gt;0),MAX(P527:OFFSET(P527,-LeadTime+1,0)),0))</f>
        <v>0</v>
      </c>
    </row>
    <row r="528" spans="1:17" x14ac:dyDescent="0.2">
      <c r="F528" s="26">
        <f t="shared" si="60"/>
        <v>0</v>
      </c>
      <c r="G528" s="22" t="str">
        <f t="shared" ca="1" si="61"/>
        <v>History</v>
      </c>
      <c r="H528" s="22">
        <f t="shared" si="62"/>
        <v>1900</v>
      </c>
      <c r="I528" s="22">
        <f t="shared" si="63"/>
        <v>1</v>
      </c>
      <c r="J528" s="22">
        <f t="shared" si="57"/>
        <v>0</v>
      </c>
      <c r="L528" s="22">
        <f ca="1">SUM(K528:OFFSET(RngToDay,ROWS(Dates),10))</f>
        <v>0</v>
      </c>
      <c r="M528" s="26" t="str">
        <f ca="1">IF(B528="","",SUM(C528:OFFSET(C528,-LeadTime+1,0)))</f>
        <v/>
      </c>
      <c r="N528" s="26" t="e">
        <f t="shared" ca="1" si="58"/>
        <v>#DIV/0!</v>
      </c>
      <c r="O528" s="22">
        <f t="shared" si="64"/>
        <v>528</v>
      </c>
      <c r="P528" s="26">
        <f t="shared" ca="1" si="59"/>
        <v>0</v>
      </c>
      <c r="Q528" s="26">
        <f ca="1">IF(LeadTime=0,P528,IF(AND(SUM(Q527:OFFSET(Q528,-LeadTime,0))=0,P528&gt;0),MAX(P528:OFFSET(P528,-LeadTime+1,0)),0))</f>
        <v>0</v>
      </c>
    </row>
    <row r="529" spans="6:17" x14ac:dyDescent="0.2">
      <c r="F529" s="26">
        <f t="shared" si="60"/>
        <v>0</v>
      </c>
      <c r="G529" s="22" t="str">
        <f t="shared" ca="1" si="61"/>
        <v>History</v>
      </c>
      <c r="H529" s="22">
        <f t="shared" si="62"/>
        <v>1900</v>
      </c>
      <c r="I529" s="22">
        <f t="shared" si="63"/>
        <v>1</v>
      </c>
      <c r="J529" s="22">
        <f t="shared" si="57"/>
        <v>0</v>
      </c>
      <c r="L529" s="22">
        <f ca="1">SUM(K529:OFFSET(RngToDay,ROWS(Dates),10))</f>
        <v>0</v>
      </c>
      <c r="M529" s="26" t="str">
        <f ca="1">IF(B529="","",SUM(C529:OFFSET(C529,-LeadTime+1,0)))</f>
        <v/>
      </c>
      <c r="N529" s="26" t="e">
        <f t="shared" ca="1" si="58"/>
        <v>#DIV/0!</v>
      </c>
      <c r="O529" s="22">
        <f t="shared" si="64"/>
        <v>529</v>
      </c>
      <c r="P529" s="26">
        <f t="shared" ca="1" si="59"/>
        <v>0</v>
      </c>
      <c r="Q529" s="26">
        <f ca="1">IF(LeadTime=0,P529,IF(AND(SUM(Q528:OFFSET(Q529,-LeadTime,0))=0,P529&gt;0),MAX(P529:OFFSET(P529,-LeadTime+1,0)),0))</f>
        <v>0</v>
      </c>
    </row>
    <row r="530" spans="6:17" x14ac:dyDescent="0.2">
      <c r="F530" s="26">
        <f t="shared" si="60"/>
        <v>0</v>
      </c>
      <c r="G530" s="22" t="str">
        <f t="shared" ca="1" si="61"/>
        <v>History</v>
      </c>
      <c r="H530" s="22">
        <f t="shared" si="62"/>
        <v>1900</v>
      </c>
      <c r="I530" s="22">
        <f t="shared" si="63"/>
        <v>1</v>
      </c>
      <c r="J530" s="22">
        <f t="shared" si="57"/>
        <v>0</v>
      </c>
      <c r="L530" s="22">
        <f ca="1">SUM(K530:OFFSET(RngToDay,ROWS(Dates),10))</f>
        <v>0</v>
      </c>
      <c r="M530" s="26" t="str">
        <f ca="1">IF(B530="","",SUM(C530:OFFSET(C530,-LeadTime+1,0)))</f>
        <v/>
      </c>
      <c r="N530" s="26" t="e">
        <f t="shared" ca="1" si="58"/>
        <v>#DIV/0!</v>
      </c>
      <c r="O530" s="22">
        <f t="shared" si="64"/>
        <v>530</v>
      </c>
      <c r="P530" s="26">
        <f t="shared" ca="1" si="59"/>
        <v>0</v>
      </c>
      <c r="Q530" s="26">
        <f ca="1">IF(LeadTime=0,P530,IF(AND(SUM(Q529:OFFSET(Q530,-LeadTime,0))=0,P530&gt;0),MAX(P530:OFFSET(P530,-LeadTime+1,0)),0))</f>
        <v>0</v>
      </c>
    </row>
    <row r="531" spans="6:17" x14ac:dyDescent="0.2">
      <c r="F531" s="26">
        <f t="shared" si="60"/>
        <v>0</v>
      </c>
      <c r="G531" s="22" t="str">
        <f t="shared" ca="1" si="61"/>
        <v>History</v>
      </c>
      <c r="H531" s="22">
        <f t="shared" si="62"/>
        <v>1900</v>
      </c>
      <c r="I531" s="22">
        <f t="shared" si="63"/>
        <v>1</v>
      </c>
      <c r="J531" s="22">
        <f t="shared" si="57"/>
        <v>0</v>
      </c>
      <c r="L531" s="22">
        <f ca="1">SUM(K531:OFFSET(RngToDay,ROWS(Dates),10))</f>
        <v>0</v>
      </c>
      <c r="M531" s="26" t="str">
        <f ca="1">IF(B531="","",SUM(C531:OFFSET(C531,-LeadTime+1,0)))</f>
        <v/>
      </c>
      <c r="N531" s="26" t="e">
        <f t="shared" ca="1" si="58"/>
        <v>#DIV/0!</v>
      </c>
      <c r="O531" s="22">
        <f t="shared" si="64"/>
        <v>531</v>
      </c>
      <c r="P531" s="26">
        <f t="shared" ca="1" si="59"/>
        <v>0</v>
      </c>
      <c r="Q531" s="26">
        <f ca="1">IF(LeadTime=0,P531,IF(AND(SUM(Q530:OFFSET(Q531,-LeadTime,0))=0,P531&gt;0),MAX(P531:OFFSET(P531,-LeadTime+1,0)),0))</f>
        <v>0</v>
      </c>
    </row>
    <row r="532" spans="6:17" x14ac:dyDescent="0.2">
      <c r="F532" s="26">
        <f t="shared" si="60"/>
        <v>0</v>
      </c>
      <c r="G532" s="22" t="str">
        <f t="shared" ca="1" si="61"/>
        <v>History</v>
      </c>
      <c r="H532" s="22">
        <f t="shared" si="62"/>
        <v>1900</v>
      </c>
      <c r="I532" s="22">
        <f t="shared" si="63"/>
        <v>1</v>
      </c>
      <c r="J532" s="22">
        <f t="shared" si="57"/>
        <v>0</v>
      </c>
      <c r="L532" s="22">
        <f ca="1">SUM(K532:OFFSET(RngToDay,ROWS(Dates),10))</f>
        <v>0</v>
      </c>
      <c r="M532" s="26" t="str">
        <f ca="1">IF(B532="","",SUM(C532:OFFSET(C532,-LeadTime+1,0)))</f>
        <v/>
      </c>
      <c r="N532" s="26" t="e">
        <f t="shared" ca="1" si="58"/>
        <v>#DIV/0!</v>
      </c>
      <c r="O532" s="22">
        <f t="shared" si="64"/>
        <v>532</v>
      </c>
      <c r="P532" s="26">
        <f t="shared" ca="1" si="59"/>
        <v>0</v>
      </c>
      <c r="Q532" s="26">
        <f ca="1">IF(LeadTime=0,P532,IF(AND(SUM(Q531:OFFSET(Q532,-LeadTime,0))=0,P532&gt;0),MAX(P532:OFFSET(P532,-LeadTime+1,0)),0))</f>
        <v>0</v>
      </c>
    </row>
    <row r="533" spans="6:17" x14ac:dyDescent="0.2">
      <c r="F533" s="26">
        <f t="shared" si="60"/>
        <v>0</v>
      </c>
      <c r="G533" s="22" t="str">
        <f t="shared" ca="1" si="61"/>
        <v>History</v>
      </c>
      <c r="H533" s="22">
        <f t="shared" si="62"/>
        <v>1900</v>
      </c>
      <c r="I533" s="22">
        <f t="shared" si="63"/>
        <v>1</v>
      </c>
      <c r="J533" s="22">
        <f t="shared" si="57"/>
        <v>0</v>
      </c>
      <c r="L533" s="22">
        <f ca="1">SUM(K533:OFFSET(RngToDay,ROWS(Dates),10))</f>
        <v>0</v>
      </c>
      <c r="M533" s="26" t="str">
        <f ca="1">IF(B533="","",SUM(C533:OFFSET(C533,-LeadTime+1,0)))</f>
        <v/>
      </c>
      <c r="N533" s="26" t="e">
        <f t="shared" ca="1" si="58"/>
        <v>#DIV/0!</v>
      </c>
      <c r="O533" s="22">
        <f t="shared" si="64"/>
        <v>533</v>
      </c>
      <c r="P533" s="26">
        <f t="shared" ca="1" si="59"/>
        <v>0</v>
      </c>
      <c r="Q533" s="26">
        <f ca="1">IF(LeadTime=0,P533,IF(AND(SUM(Q532:OFFSET(Q533,-LeadTime,0))=0,P533&gt;0),MAX(P533:OFFSET(P533,-LeadTime+1,0)),0))</f>
        <v>0</v>
      </c>
    </row>
    <row r="534" spans="6:17" x14ac:dyDescent="0.2">
      <c r="F534" s="26">
        <f t="shared" si="60"/>
        <v>0</v>
      </c>
      <c r="G534" s="22" t="str">
        <f t="shared" ca="1" si="61"/>
        <v>History</v>
      </c>
      <c r="H534" s="22">
        <f t="shared" si="62"/>
        <v>1900</v>
      </c>
      <c r="I534" s="22">
        <f t="shared" si="63"/>
        <v>1</v>
      </c>
      <c r="J534" s="22">
        <f t="shared" si="57"/>
        <v>0</v>
      </c>
      <c r="L534" s="22">
        <f ca="1">SUM(K534:OFFSET(RngToDay,ROWS(Dates),10))</f>
        <v>0</v>
      </c>
      <c r="M534" s="26" t="str">
        <f ca="1">IF(B534="","",SUM(C534:OFFSET(C534,-LeadTime+1,0)))</f>
        <v/>
      </c>
      <c r="N534" s="26" t="e">
        <f t="shared" ca="1" si="58"/>
        <v>#DIV/0!</v>
      </c>
      <c r="O534" s="22">
        <f t="shared" si="64"/>
        <v>534</v>
      </c>
      <c r="P534" s="26">
        <f t="shared" ca="1" si="59"/>
        <v>0</v>
      </c>
      <c r="Q534" s="26">
        <f ca="1">IF(LeadTime=0,P534,IF(AND(SUM(Q533:OFFSET(Q534,-LeadTime,0))=0,P534&gt;0),MAX(P534:OFFSET(P534,-LeadTime+1,0)),0))</f>
        <v>0</v>
      </c>
    </row>
    <row r="535" spans="6:17" x14ac:dyDescent="0.2">
      <c r="F535" s="26">
        <f t="shared" si="60"/>
        <v>0</v>
      </c>
      <c r="G535" s="22" t="str">
        <f t="shared" ca="1" si="61"/>
        <v>History</v>
      </c>
      <c r="H535" s="22">
        <f t="shared" si="62"/>
        <v>1900</v>
      </c>
      <c r="I535" s="22">
        <f t="shared" si="63"/>
        <v>1</v>
      </c>
      <c r="J535" s="22">
        <f t="shared" si="57"/>
        <v>0</v>
      </c>
      <c r="L535" s="22">
        <f ca="1">SUM(K535:OFFSET(RngToDay,ROWS(Dates),10))</f>
        <v>0</v>
      </c>
      <c r="M535" s="26" t="str">
        <f ca="1">IF(B535="","",SUM(C535:OFFSET(C535,-LeadTime+1,0)))</f>
        <v/>
      </c>
      <c r="N535" s="26" t="e">
        <f t="shared" ca="1" si="58"/>
        <v>#DIV/0!</v>
      </c>
      <c r="O535" s="22">
        <f t="shared" si="64"/>
        <v>535</v>
      </c>
      <c r="P535" s="26">
        <f t="shared" ca="1" si="59"/>
        <v>0</v>
      </c>
      <c r="Q535" s="26">
        <f ca="1">IF(LeadTime=0,P535,IF(AND(SUM(Q534:OFFSET(Q535,-LeadTime,0))=0,P535&gt;0),MAX(P535:OFFSET(P535,-LeadTime+1,0)),0))</f>
        <v>0</v>
      </c>
    </row>
    <row r="536" spans="6:17" x14ac:dyDescent="0.2">
      <c r="F536" s="26">
        <f t="shared" si="60"/>
        <v>0</v>
      </c>
      <c r="G536" s="22" t="str">
        <f t="shared" ca="1" si="61"/>
        <v>History</v>
      </c>
      <c r="H536" s="22">
        <f t="shared" si="62"/>
        <v>1900</v>
      </c>
      <c r="I536" s="22">
        <f t="shared" si="63"/>
        <v>1</v>
      </c>
      <c r="J536" s="22">
        <f t="shared" si="57"/>
        <v>0</v>
      </c>
      <c r="L536" s="22">
        <f ca="1">SUM(K536:OFFSET(RngToDay,ROWS(Dates),10))</f>
        <v>0</v>
      </c>
      <c r="M536" s="26" t="str">
        <f ca="1">IF(B536="","",SUM(C536:OFFSET(C536,-LeadTime+1,0)))</f>
        <v/>
      </c>
      <c r="N536" s="26" t="e">
        <f t="shared" ca="1" si="58"/>
        <v>#DIV/0!</v>
      </c>
      <c r="O536" s="22">
        <f t="shared" si="64"/>
        <v>536</v>
      </c>
      <c r="P536" s="26">
        <f t="shared" ca="1" si="59"/>
        <v>0</v>
      </c>
      <c r="Q536" s="26">
        <f ca="1">IF(LeadTime=0,P536,IF(AND(SUM(Q535:OFFSET(Q536,-LeadTime,0))=0,P536&gt;0),MAX(P536:OFFSET(P536,-LeadTime+1,0)),0))</f>
        <v>0</v>
      </c>
    </row>
    <row r="537" spans="6:17" x14ac:dyDescent="0.2">
      <c r="F537" s="26">
        <f t="shared" si="60"/>
        <v>0</v>
      </c>
      <c r="G537" s="22" t="str">
        <f t="shared" ca="1" si="61"/>
        <v>History</v>
      </c>
      <c r="H537" s="22">
        <f t="shared" si="62"/>
        <v>1900</v>
      </c>
      <c r="I537" s="22">
        <f t="shared" si="63"/>
        <v>1</v>
      </c>
      <c r="J537" s="22">
        <f t="shared" si="57"/>
        <v>0</v>
      </c>
      <c r="L537" s="22">
        <f ca="1">SUM(K537:OFFSET(RngToDay,ROWS(Dates),10))</f>
        <v>0</v>
      </c>
      <c r="M537" s="26" t="str">
        <f ca="1">IF(B537="","",SUM(C537:OFFSET(C537,-LeadTime+1,0)))</f>
        <v/>
      </c>
      <c r="N537" s="26" t="e">
        <f t="shared" ca="1" si="58"/>
        <v>#DIV/0!</v>
      </c>
      <c r="O537" s="22">
        <f t="shared" si="64"/>
        <v>537</v>
      </c>
      <c r="P537" s="26">
        <f t="shared" ca="1" si="59"/>
        <v>0</v>
      </c>
      <c r="Q537" s="26">
        <f ca="1">IF(LeadTime=0,P537,IF(AND(SUM(Q536:OFFSET(Q537,-LeadTime,0))=0,P537&gt;0),MAX(P537:OFFSET(P537,-LeadTime+1,0)),0))</f>
        <v>0</v>
      </c>
    </row>
    <row r="538" spans="6:17" x14ac:dyDescent="0.2">
      <c r="F538" s="26">
        <f t="shared" si="60"/>
        <v>0</v>
      </c>
      <c r="G538" s="22" t="str">
        <f t="shared" ca="1" si="61"/>
        <v>History</v>
      </c>
      <c r="H538" s="22">
        <f t="shared" si="62"/>
        <v>1900</v>
      </c>
      <c r="I538" s="22">
        <f t="shared" si="63"/>
        <v>1</v>
      </c>
      <c r="J538" s="22">
        <f t="shared" si="57"/>
        <v>0</v>
      </c>
      <c r="L538" s="22">
        <f ca="1">SUM(K538:OFFSET(RngToDay,ROWS(Dates),10))</f>
        <v>0</v>
      </c>
      <c r="M538" s="26" t="str">
        <f ca="1">IF(B538="","",SUM(C538:OFFSET(C538,-LeadTime+1,0)))</f>
        <v/>
      </c>
      <c r="N538" s="26" t="e">
        <f t="shared" ca="1" si="58"/>
        <v>#DIV/0!</v>
      </c>
      <c r="O538" s="22">
        <f t="shared" si="64"/>
        <v>538</v>
      </c>
      <c r="P538" s="26">
        <f t="shared" ca="1" si="59"/>
        <v>0</v>
      </c>
      <c r="Q538" s="26">
        <f ca="1">IF(LeadTime=0,P538,IF(AND(SUM(Q537:OFFSET(Q538,-LeadTime,0))=0,P538&gt;0),MAX(P538:OFFSET(P538,-LeadTime+1,0)),0))</f>
        <v>0</v>
      </c>
    </row>
    <row r="539" spans="6:17" x14ac:dyDescent="0.2">
      <c r="F539" s="26">
        <f t="shared" si="60"/>
        <v>0</v>
      </c>
      <c r="G539" s="22" t="str">
        <f t="shared" ca="1" si="61"/>
        <v>History</v>
      </c>
      <c r="H539" s="22">
        <f t="shared" si="62"/>
        <v>1900</v>
      </c>
      <c r="I539" s="22">
        <f t="shared" si="63"/>
        <v>1</v>
      </c>
      <c r="J539" s="22">
        <f t="shared" si="57"/>
        <v>0</v>
      </c>
      <c r="L539" s="22">
        <f ca="1">SUM(K539:OFFSET(RngToDay,ROWS(Dates),10))</f>
        <v>0</v>
      </c>
      <c r="M539" s="26" t="str">
        <f ca="1">IF(B539="","",SUM(C539:OFFSET(C539,-LeadTime+1,0)))</f>
        <v/>
      </c>
      <c r="N539" s="26" t="e">
        <f t="shared" ca="1" si="58"/>
        <v>#DIV/0!</v>
      </c>
      <c r="O539" s="22">
        <f t="shared" si="64"/>
        <v>539</v>
      </c>
      <c r="P539" s="26">
        <f t="shared" ca="1" si="59"/>
        <v>0</v>
      </c>
      <c r="Q539" s="26">
        <f ca="1">IF(LeadTime=0,P539,IF(AND(SUM(Q538:OFFSET(Q539,-LeadTime,0))=0,P539&gt;0),MAX(P539:OFFSET(P539,-LeadTime+1,0)),0))</f>
        <v>0</v>
      </c>
    </row>
    <row r="540" spans="6:17" x14ac:dyDescent="0.2">
      <c r="F540" s="26">
        <f t="shared" si="60"/>
        <v>0</v>
      </c>
      <c r="G540" s="22" t="str">
        <f t="shared" ca="1" si="61"/>
        <v>History</v>
      </c>
      <c r="H540" s="22">
        <f t="shared" si="62"/>
        <v>1900</v>
      </c>
      <c r="I540" s="22">
        <f t="shared" si="63"/>
        <v>1</v>
      </c>
      <c r="J540" s="22">
        <f t="shared" si="57"/>
        <v>0</v>
      </c>
      <c r="L540" s="22">
        <f ca="1">SUM(K540:OFFSET(RngToDay,ROWS(Dates),10))</f>
        <v>0</v>
      </c>
      <c r="M540" s="26" t="str">
        <f ca="1">IF(B540="","",SUM(C540:OFFSET(C540,-LeadTime+1,0)))</f>
        <v/>
      </c>
      <c r="N540" s="26" t="e">
        <f t="shared" ca="1" si="58"/>
        <v>#DIV/0!</v>
      </c>
      <c r="O540" s="22">
        <f t="shared" si="64"/>
        <v>540</v>
      </c>
      <c r="P540" s="26">
        <f t="shared" ca="1" si="59"/>
        <v>0</v>
      </c>
      <c r="Q540" s="26">
        <f ca="1">IF(LeadTime=0,P540,IF(AND(SUM(Q539:OFFSET(Q540,-LeadTime,0))=0,P540&gt;0),MAX(P540:OFFSET(P540,-LeadTime+1,0)),0))</f>
        <v>0</v>
      </c>
    </row>
    <row r="541" spans="6:17" x14ac:dyDescent="0.2">
      <c r="F541" s="26">
        <f t="shared" si="60"/>
        <v>0</v>
      </c>
      <c r="G541" s="22" t="str">
        <f t="shared" ca="1" si="61"/>
        <v>History</v>
      </c>
      <c r="H541" s="22">
        <f t="shared" si="62"/>
        <v>1900</v>
      </c>
      <c r="I541" s="22">
        <f t="shared" si="63"/>
        <v>1</v>
      </c>
      <c r="J541" s="22">
        <f t="shared" si="57"/>
        <v>0</v>
      </c>
      <c r="L541" s="22">
        <f ca="1">SUM(K541:OFFSET(RngToDay,ROWS(Dates),10))</f>
        <v>0</v>
      </c>
      <c r="M541" s="26" t="str">
        <f ca="1">IF(B541="","",SUM(C541:OFFSET(C541,-LeadTime+1,0)))</f>
        <v/>
      </c>
      <c r="N541" s="26" t="e">
        <f t="shared" ca="1" si="58"/>
        <v>#DIV/0!</v>
      </c>
      <c r="O541" s="22">
        <f t="shared" si="64"/>
        <v>541</v>
      </c>
      <c r="P541" s="26">
        <f t="shared" ca="1" si="59"/>
        <v>0</v>
      </c>
      <c r="Q541" s="26">
        <f ca="1">IF(LeadTime=0,P541,IF(AND(SUM(Q540:OFFSET(Q541,-LeadTime,0))=0,P541&gt;0),MAX(P541:OFFSET(P541,-LeadTime+1,0)),0))</f>
        <v>0</v>
      </c>
    </row>
    <row r="542" spans="6:17" x14ac:dyDescent="0.2">
      <c r="F542" s="26">
        <f t="shared" si="60"/>
        <v>0</v>
      </c>
      <c r="G542" s="22" t="str">
        <f t="shared" ca="1" si="61"/>
        <v>History</v>
      </c>
      <c r="H542" s="22">
        <f t="shared" si="62"/>
        <v>1900</v>
      </c>
      <c r="I542" s="22">
        <f t="shared" si="63"/>
        <v>1</v>
      </c>
      <c r="J542" s="22">
        <f t="shared" si="57"/>
        <v>0</v>
      </c>
      <c r="L542" s="22">
        <f ca="1">SUM(K542:OFFSET(RngToDay,ROWS(Dates),10))</f>
        <v>0</v>
      </c>
      <c r="M542" s="26" t="str">
        <f ca="1">IF(B542="","",SUM(C542:OFFSET(C542,-LeadTime+1,0)))</f>
        <v/>
      </c>
      <c r="N542" s="26" t="e">
        <f t="shared" ca="1" si="58"/>
        <v>#DIV/0!</v>
      </c>
      <c r="O542" s="22">
        <f t="shared" si="64"/>
        <v>542</v>
      </c>
      <c r="P542" s="26">
        <f t="shared" ca="1" si="59"/>
        <v>0</v>
      </c>
      <c r="Q542" s="26">
        <f ca="1">IF(LeadTime=0,P542,IF(AND(SUM(Q541:OFFSET(Q542,-LeadTime,0))=0,P542&gt;0),MAX(P542:OFFSET(P542,-LeadTime+1,0)),0))</f>
        <v>0</v>
      </c>
    </row>
    <row r="543" spans="6:17" x14ac:dyDescent="0.2">
      <c r="F543" s="26">
        <f t="shared" si="60"/>
        <v>0</v>
      </c>
      <c r="G543" s="22" t="str">
        <f t="shared" ca="1" si="61"/>
        <v>History</v>
      </c>
      <c r="H543" s="22">
        <f t="shared" si="62"/>
        <v>1900</v>
      </c>
      <c r="I543" s="22">
        <f t="shared" si="63"/>
        <v>1</v>
      </c>
      <c r="J543" s="22">
        <f t="shared" si="57"/>
        <v>0</v>
      </c>
      <c r="L543" s="22">
        <f ca="1">SUM(K543:OFFSET(RngToDay,ROWS(Dates),10))</f>
        <v>0</v>
      </c>
      <c r="M543" s="26" t="str">
        <f ca="1">IF(B543="","",SUM(C543:OFFSET(C543,-LeadTime+1,0)))</f>
        <v/>
      </c>
      <c r="N543" s="26" t="e">
        <f t="shared" ca="1" si="58"/>
        <v>#DIV/0!</v>
      </c>
      <c r="O543" s="22">
        <f t="shared" si="64"/>
        <v>543</v>
      </c>
      <c r="P543" s="26">
        <f t="shared" ca="1" si="59"/>
        <v>0</v>
      </c>
      <c r="Q543" s="26">
        <f ca="1">IF(LeadTime=0,P543,IF(AND(SUM(Q542:OFFSET(Q543,-LeadTime,0))=0,P543&gt;0),MAX(P543:OFFSET(P543,-LeadTime+1,0)),0))</f>
        <v>0</v>
      </c>
    </row>
    <row r="544" spans="6:17" x14ac:dyDescent="0.2">
      <c r="F544" s="26">
        <f t="shared" si="60"/>
        <v>0</v>
      </c>
      <c r="G544" s="22" t="str">
        <f t="shared" ca="1" si="61"/>
        <v>History</v>
      </c>
      <c r="H544" s="22">
        <f t="shared" si="62"/>
        <v>1900</v>
      </c>
      <c r="I544" s="22">
        <f t="shared" si="63"/>
        <v>1</v>
      </c>
      <c r="J544" s="22">
        <f t="shared" si="57"/>
        <v>0</v>
      </c>
      <c r="L544" s="22">
        <f ca="1">SUM(K544:OFFSET(RngToDay,ROWS(Dates),10))</f>
        <v>0</v>
      </c>
      <c r="M544" s="26" t="str">
        <f ca="1">IF(B544="","",SUM(C544:OFFSET(C544,-LeadTime+1,0)))</f>
        <v/>
      </c>
      <c r="N544" s="26" t="e">
        <f t="shared" ca="1" si="58"/>
        <v>#DIV/0!</v>
      </c>
      <c r="O544" s="22">
        <f t="shared" si="64"/>
        <v>544</v>
      </c>
      <c r="P544" s="26">
        <f t="shared" ca="1" si="59"/>
        <v>0</v>
      </c>
      <c r="Q544" s="26">
        <f ca="1">IF(LeadTime=0,P544,IF(AND(SUM(Q543:OFFSET(Q544,-LeadTime,0))=0,P544&gt;0),MAX(P544:OFFSET(P544,-LeadTime+1,0)),0))</f>
        <v>0</v>
      </c>
    </row>
    <row r="545" spans="6:17" x14ac:dyDescent="0.2">
      <c r="F545" s="26">
        <f t="shared" si="60"/>
        <v>0</v>
      </c>
      <c r="G545" s="22" t="str">
        <f t="shared" ca="1" si="61"/>
        <v>History</v>
      </c>
      <c r="H545" s="22">
        <f t="shared" si="62"/>
        <v>1900</v>
      </c>
      <c r="I545" s="22">
        <f t="shared" si="63"/>
        <v>1</v>
      </c>
      <c r="J545" s="22">
        <f t="shared" si="57"/>
        <v>0</v>
      </c>
      <c r="L545" s="22">
        <f ca="1">SUM(K545:OFFSET(RngToDay,ROWS(Dates),10))</f>
        <v>0</v>
      </c>
      <c r="M545" s="26" t="str">
        <f ca="1">IF(B545="","",SUM(C545:OFFSET(C545,-LeadTime+1,0)))</f>
        <v/>
      </c>
      <c r="N545" s="26" t="e">
        <f t="shared" ca="1" si="58"/>
        <v>#DIV/0!</v>
      </c>
      <c r="O545" s="22">
        <f t="shared" si="64"/>
        <v>545</v>
      </c>
      <c r="P545" s="26">
        <f t="shared" ca="1" si="59"/>
        <v>0</v>
      </c>
      <c r="Q545" s="26">
        <f ca="1">IF(LeadTime=0,P545,IF(AND(SUM(Q544:OFFSET(Q545,-LeadTime,0))=0,P545&gt;0),MAX(P545:OFFSET(P545,-LeadTime+1,0)),0))</f>
        <v>0</v>
      </c>
    </row>
    <row r="546" spans="6:17" x14ac:dyDescent="0.2">
      <c r="F546" s="26">
        <f t="shared" si="60"/>
        <v>0</v>
      </c>
      <c r="G546" s="22" t="str">
        <f t="shared" ca="1" si="61"/>
        <v>History</v>
      </c>
      <c r="H546" s="22">
        <f t="shared" si="62"/>
        <v>1900</v>
      </c>
      <c r="I546" s="22">
        <f t="shared" si="63"/>
        <v>1</v>
      </c>
      <c r="J546" s="22">
        <f t="shared" si="57"/>
        <v>0</v>
      </c>
      <c r="L546" s="22">
        <f ca="1">SUM(K546:OFFSET(RngToDay,ROWS(Dates),10))</f>
        <v>0</v>
      </c>
      <c r="M546" s="26" t="str">
        <f ca="1">IF(B546="","",SUM(C546:OFFSET(C546,-LeadTime+1,0)))</f>
        <v/>
      </c>
      <c r="N546" s="26" t="e">
        <f t="shared" ca="1" si="58"/>
        <v>#DIV/0!</v>
      </c>
      <c r="O546" s="22">
        <f t="shared" si="64"/>
        <v>546</v>
      </c>
      <c r="P546" s="26">
        <f t="shared" ca="1" si="59"/>
        <v>0</v>
      </c>
      <c r="Q546" s="26">
        <f ca="1">IF(LeadTime=0,P546,IF(AND(SUM(Q545:OFFSET(Q546,-LeadTime,0))=0,P546&gt;0),MAX(P546:OFFSET(P546,-LeadTime+1,0)),0))</f>
        <v>0</v>
      </c>
    </row>
    <row r="547" spans="6:17" x14ac:dyDescent="0.2">
      <c r="F547" s="26">
        <f t="shared" si="60"/>
        <v>0</v>
      </c>
      <c r="G547" s="22" t="str">
        <f t="shared" ca="1" si="61"/>
        <v>History</v>
      </c>
      <c r="H547" s="22">
        <f t="shared" si="62"/>
        <v>1900</v>
      </c>
      <c r="I547" s="22">
        <f t="shared" si="63"/>
        <v>1</v>
      </c>
      <c r="J547" s="22">
        <f t="shared" si="57"/>
        <v>0</v>
      </c>
      <c r="L547" s="22">
        <f ca="1">SUM(K547:OFFSET(RngToDay,ROWS(Dates),10))</f>
        <v>0</v>
      </c>
      <c r="M547" s="26" t="str">
        <f ca="1">IF(B547="","",SUM(C547:OFFSET(C547,-LeadTime+1,0)))</f>
        <v/>
      </c>
      <c r="N547" s="26" t="e">
        <f t="shared" ca="1" si="58"/>
        <v>#DIV/0!</v>
      </c>
      <c r="O547" s="22">
        <f t="shared" si="64"/>
        <v>547</v>
      </c>
      <c r="P547" s="26">
        <f t="shared" ca="1" si="59"/>
        <v>0</v>
      </c>
      <c r="Q547" s="26">
        <f ca="1">IF(LeadTime=0,P547,IF(AND(SUM(Q546:OFFSET(Q547,-LeadTime,0))=0,P547&gt;0),MAX(P547:OFFSET(P547,-LeadTime+1,0)),0))</f>
        <v>0</v>
      </c>
    </row>
    <row r="548" spans="6:17" x14ac:dyDescent="0.2">
      <c r="F548" s="26">
        <f t="shared" si="60"/>
        <v>0</v>
      </c>
      <c r="G548" s="22" t="str">
        <f t="shared" ca="1" si="61"/>
        <v>History</v>
      </c>
      <c r="H548" s="22">
        <f t="shared" si="62"/>
        <v>1900</v>
      </c>
      <c r="I548" s="22">
        <f t="shared" si="63"/>
        <v>1</v>
      </c>
      <c r="J548" s="22">
        <f t="shared" si="57"/>
        <v>0</v>
      </c>
      <c r="L548" s="22">
        <f ca="1">SUM(K548:OFFSET(RngToDay,ROWS(Dates),10))</f>
        <v>0</v>
      </c>
      <c r="M548" s="26" t="str">
        <f ca="1">IF(B548="","",SUM(C548:OFFSET(C548,-LeadTime+1,0)))</f>
        <v/>
      </c>
      <c r="N548" s="26" t="e">
        <f t="shared" ca="1" si="58"/>
        <v>#DIV/0!</v>
      </c>
      <c r="O548" s="22">
        <f t="shared" si="64"/>
        <v>548</v>
      </c>
      <c r="P548" s="26">
        <f t="shared" ca="1" si="59"/>
        <v>0</v>
      </c>
      <c r="Q548" s="26">
        <f ca="1">IF(LeadTime=0,P548,IF(AND(SUM(Q547:OFFSET(Q548,-LeadTime,0))=0,P548&gt;0),MAX(P548:OFFSET(P548,-LeadTime+1,0)),0))</f>
        <v>0</v>
      </c>
    </row>
    <row r="549" spans="6:17" x14ac:dyDescent="0.2">
      <c r="F549" s="26">
        <f t="shared" si="60"/>
        <v>0</v>
      </c>
      <c r="G549" s="22" t="str">
        <f t="shared" ca="1" si="61"/>
        <v>History</v>
      </c>
      <c r="H549" s="22">
        <f t="shared" si="62"/>
        <v>1900</v>
      </c>
      <c r="I549" s="22">
        <f t="shared" si="63"/>
        <v>1</v>
      </c>
      <c r="J549" s="22">
        <f t="shared" si="57"/>
        <v>0</v>
      </c>
      <c r="L549" s="22">
        <f ca="1">SUM(K549:OFFSET(RngToDay,ROWS(Dates),10))</f>
        <v>0</v>
      </c>
      <c r="M549" s="26" t="str">
        <f ca="1">IF(B549="","",SUM(C549:OFFSET(C549,-LeadTime+1,0)))</f>
        <v/>
      </c>
      <c r="N549" s="26" t="e">
        <f t="shared" ca="1" si="58"/>
        <v>#DIV/0!</v>
      </c>
      <c r="O549" s="22">
        <f t="shared" si="64"/>
        <v>549</v>
      </c>
      <c r="P549" s="26">
        <f t="shared" ca="1" si="59"/>
        <v>0</v>
      </c>
      <c r="Q549" s="26">
        <f ca="1">IF(LeadTime=0,P549,IF(AND(SUM(Q548:OFFSET(Q549,-LeadTime,0))=0,P549&gt;0),MAX(P549:OFFSET(P549,-LeadTime+1,0)),0))</f>
        <v>0</v>
      </c>
    </row>
    <row r="550" spans="6:17" x14ac:dyDescent="0.2">
      <c r="F550" s="26">
        <f t="shared" si="60"/>
        <v>0</v>
      </c>
      <c r="G550" s="22" t="str">
        <f t="shared" ca="1" si="61"/>
        <v>History</v>
      </c>
      <c r="H550" s="22">
        <f t="shared" si="62"/>
        <v>1900</v>
      </c>
      <c r="I550" s="22">
        <f t="shared" si="63"/>
        <v>1</v>
      </c>
      <c r="J550" s="22">
        <f t="shared" si="57"/>
        <v>0</v>
      </c>
      <c r="L550" s="22">
        <f ca="1">SUM(K550:OFFSET(RngToDay,ROWS(Dates),10))</f>
        <v>0</v>
      </c>
      <c r="M550" s="26" t="str">
        <f ca="1">IF(B550="","",SUM(C550:OFFSET(C550,-LeadTime+1,0)))</f>
        <v/>
      </c>
      <c r="N550" s="26" t="e">
        <f t="shared" ca="1" si="58"/>
        <v>#DIV/0!</v>
      </c>
      <c r="O550" s="22">
        <f t="shared" si="64"/>
        <v>550</v>
      </c>
      <c r="P550" s="26">
        <f t="shared" ca="1" si="59"/>
        <v>0</v>
      </c>
      <c r="Q550" s="26">
        <f ca="1">IF(LeadTime=0,P550,IF(AND(SUM(Q549:OFFSET(Q550,-LeadTime,0))=0,P550&gt;0),MAX(P550:OFFSET(P550,-LeadTime+1,0)),0))</f>
        <v>0</v>
      </c>
    </row>
    <row r="551" spans="6:17" x14ac:dyDescent="0.2">
      <c r="F551" s="26">
        <f t="shared" si="60"/>
        <v>0</v>
      </c>
      <c r="G551" s="22" t="str">
        <f t="shared" ca="1" si="61"/>
        <v>History</v>
      </c>
      <c r="H551" s="22">
        <f t="shared" si="62"/>
        <v>1900</v>
      </c>
      <c r="I551" s="22">
        <f t="shared" si="63"/>
        <v>1</v>
      </c>
      <c r="J551" s="22">
        <f t="shared" si="57"/>
        <v>0</v>
      </c>
      <c r="L551" s="22">
        <f ca="1">SUM(K551:OFFSET(RngToDay,ROWS(Dates),10))</f>
        <v>0</v>
      </c>
      <c r="M551" s="26" t="str">
        <f ca="1">IF(B551="","",SUM(C551:OFFSET(C551,-LeadTime+1,0)))</f>
        <v/>
      </c>
      <c r="N551" s="26" t="e">
        <f t="shared" ca="1" si="58"/>
        <v>#DIV/0!</v>
      </c>
      <c r="O551" s="22">
        <f t="shared" si="64"/>
        <v>551</v>
      </c>
      <c r="P551" s="26">
        <f t="shared" ca="1" si="59"/>
        <v>0</v>
      </c>
      <c r="Q551" s="26">
        <f ca="1">IF(LeadTime=0,P551,IF(AND(SUM(Q550:OFFSET(Q551,-LeadTime,0))=0,P551&gt;0),MAX(P551:OFFSET(P551,-LeadTime+1,0)),0))</f>
        <v>0</v>
      </c>
    </row>
    <row r="552" spans="6:17" x14ac:dyDescent="0.2">
      <c r="F552" s="26">
        <f t="shared" si="60"/>
        <v>0</v>
      </c>
      <c r="G552" s="22" t="str">
        <f t="shared" ca="1" si="61"/>
        <v>History</v>
      </c>
      <c r="H552" s="22">
        <f t="shared" si="62"/>
        <v>1900</v>
      </c>
      <c r="I552" s="22">
        <f t="shared" si="63"/>
        <v>1</v>
      </c>
      <c r="J552" s="22">
        <f t="shared" si="57"/>
        <v>0</v>
      </c>
      <c r="L552" s="22">
        <f ca="1">SUM(K552:OFFSET(RngToDay,ROWS(Dates),10))</f>
        <v>0</v>
      </c>
      <c r="M552" s="26" t="str">
        <f ca="1">IF(B552="","",SUM(C552:OFFSET(C552,-LeadTime+1,0)))</f>
        <v/>
      </c>
      <c r="N552" s="26" t="e">
        <f t="shared" ca="1" si="58"/>
        <v>#DIV/0!</v>
      </c>
      <c r="O552" s="22">
        <f t="shared" si="64"/>
        <v>552</v>
      </c>
      <c r="P552" s="26">
        <f t="shared" ca="1" si="59"/>
        <v>0</v>
      </c>
      <c r="Q552" s="26">
        <f ca="1">IF(LeadTime=0,P552,IF(AND(SUM(Q551:OFFSET(Q552,-LeadTime,0))=0,P552&gt;0),MAX(P552:OFFSET(P552,-LeadTime+1,0)),0))</f>
        <v>0</v>
      </c>
    </row>
    <row r="553" spans="6:17" x14ac:dyDescent="0.2">
      <c r="F553" s="26">
        <f t="shared" si="60"/>
        <v>0</v>
      </c>
      <c r="G553" s="22" t="str">
        <f t="shared" ca="1" si="61"/>
        <v>History</v>
      </c>
      <c r="H553" s="22">
        <f t="shared" si="62"/>
        <v>1900</v>
      </c>
      <c r="I553" s="22">
        <f t="shared" si="63"/>
        <v>1</v>
      </c>
      <c r="J553" s="22">
        <f t="shared" si="57"/>
        <v>0</v>
      </c>
      <c r="L553" s="22">
        <f ca="1">SUM(K553:OFFSET(RngToDay,ROWS(Dates),10))</f>
        <v>0</v>
      </c>
      <c r="M553" s="26" t="str">
        <f ca="1">IF(B553="","",SUM(C553:OFFSET(C553,-LeadTime+1,0)))</f>
        <v/>
      </c>
      <c r="N553" s="26" t="e">
        <f t="shared" ca="1" si="58"/>
        <v>#DIV/0!</v>
      </c>
      <c r="O553" s="22">
        <f t="shared" si="64"/>
        <v>553</v>
      </c>
      <c r="P553" s="26">
        <f t="shared" ca="1" si="59"/>
        <v>0</v>
      </c>
      <c r="Q553" s="26">
        <f ca="1">IF(LeadTime=0,P553,IF(AND(SUM(Q552:OFFSET(Q553,-LeadTime,0))=0,P553&gt;0),MAX(P553:OFFSET(P553,-LeadTime+1,0)),0))</f>
        <v>0</v>
      </c>
    </row>
    <row r="554" spans="6:17" x14ac:dyDescent="0.2">
      <c r="F554" s="26">
        <f t="shared" si="60"/>
        <v>0</v>
      </c>
      <c r="G554" s="22" t="str">
        <f t="shared" ca="1" si="61"/>
        <v>History</v>
      </c>
      <c r="H554" s="22">
        <f t="shared" si="62"/>
        <v>1900</v>
      </c>
      <c r="I554" s="22">
        <f t="shared" si="63"/>
        <v>1</v>
      </c>
      <c r="J554" s="22">
        <f t="shared" si="57"/>
        <v>0</v>
      </c>
      <c r="L554" s="22">
        <f ca="1">SUM(K554:OFFSET(RngToDay,ROWS(Dates),10))</f>
        <v>0</v>
      </c>
      <c r="M554" s="26" t="str">
        <f ca="1">IF(B554="","",SUM(C554:OFFSET(C554,-LeadTime+1,0)))</f>
        <v/>
      </c>
      <c r="N554" s="26" t="e">
        <f t="shared" ca="1" si="58"/>
        <v>#DIV/0!</v>
      </c>
      <c r="O554" s="22">
        <f t="shared" si="64"/>
        <v>554</v>
      </c>
      <c r="P554" s="26">
        <f t="shared" ca="1" si="59"/>
        <v>0</v>
      </c>
      <c r="Q554" s="26">
        <f ca="1">IF(LeadTime=0,P554,IF(AND(SUM(Q553:OFFSET(Q554,-LeadTime,0))=0,P554&gt;0),MAX(P554:OFFSET(P554,-LeadTime+1,0)),0))</f>
        <v>0</v>
      </c>
    </row>
    <row r="555" spans="6:17" x14ac:dyDescent="0.2">
      <c r="F555" s="26">
        <f t="shared" si="60"/>
        <v>0</v>
      </c>
      <c r="G555" s="22" t="str">
        <f t="shared" ca="1" si="61"/>
        <v>History</v>
      </c>
      <c r="H555" s="22">
        <f t="shared" si="62"/>
        <v>1900</v>
      </c>
      <c r="I555" s="22">
        <f t="shared" si="63"/>
        <v>1</v>
      </c>
      <c r="J555" s="22">
        <f t="shared" si="57"/>
        <v>0</v>
      </c>
      <c r="L555" s="22">
        <f ca="1">SUM(K555:OFFSET(RngToDay,ROWS(Dates),10))</f>
        <v>0</v>
      </c>
      <c r="M555" s="26" t="str">
        <f ca="1">IF(B555="","",SUM(C555:OFFSET(C555,-LeadTime+1,0)))</f>
        <v/>
      </c>
      <c r="N555" s="26" t="e">
        <f t="shared" ca="1" si="58"/>
        <v>#DIV/0!</v>
      </c>
      <c r="O555" s="22">
        <f t="shared" si="64"/>
        <v>555</v>
      </c>
      <c r="P555" s="26">
        <f t="shared" ca="1" si="59"/>
        <v>0</v>
      </c>
      <c r="Q555" s="26">
        <f ca="1">IF(LeadTime=0,P555,IF(AND(SUM(Q554:OFFSET(Q555,-LeadTime,0))=0,P555&gt;0),MAX(P555:OFFSET(P555,-LeadTime+1,0)),0))</f>
        <v>0</v>
      </c>
    </row>
    <row r="556" spans="6:17" x14ac:dyDescent="0.2">
      <c r="F556" s="26">
        <f t="shared" si="60"/>
        <v>0</v>
      </c>
      <c r="G556" s="22" t="str">
        <f t="shared" ca="1" si="61"/>
        <v>History</v>
      </c>
      <c r="H556" s="22">
        <f t="shared" si="62"/>
        <v>1900</v>
      </c>
      <c r="I556" s="22">
        <f t="shared" si="63"/>
        <v>1</v>
      </c>
      <c r="J556" s="22">
        <f t="shared" si="57"/>
        <v>0</v>
      </c>
      <c r="L556" s="22">
        <f ca="1">SUM(K556:OFFSET(RngToDay,ROWS(Dates),10))</f>
        <v>0</v>
      </c>
      <c r="M556" s="26" t="str">
        <f ca="1">IF(B556="","",SUM(C556:OFFSET(C556,-LeadTime+1,0)))</f>
        <v/>
      </c>
      <c r="N556" s="26" t="e">
        <f t="shared" ca="1" si="58"/>
        <v>#DIV/0!</v>
      </c>
      <c r="O556" s="22">
        <f t="shared" si="64"/>
        <v>556</v>
      </c>
      <c r="P556" s="26">
        <f t="shared" ca="1" si="59"/>
        <v>0</v>
      </c>
      <c r="Q556" s="26">
        <f ca="1">IF(LeadTime=0,P556,IF(AND(SUM(Q555:OFFSET(Q556,-LeadTime,0))=0,P556&gt;0),MAX(P556:OFFSET(P556,-LeadTime+1,0)),0))</f>
        <v>0</v>
      </c>
    </row>
    <row r="557" spans="6:17" x14ac:dyDescent="0.2">
      <c r="F557" s="26">
        <f t="shared" si="60"/>
        <v>0</v>
      </c>
      <c r="G557" s="22" t="str">
        <f t="shared" ca="1" si="61"/>
        <v>History</v>
      </c>
      <c r="H557" s="22">
        <f t="shared" si="62"/>
        <v>1900</v>
      </c>
      <c r="I557" s="22">
        <f t="shared" si="63"/>
        <v>1</v>
      </c>
      <c r="J557" s="22">
        <f t="shared" si="57"/>
        <v>0</v>
      </c>
      <c r="L557" s="22">
        <f ca="1">SUM(K557:OFFSET(RngToDay,ROWS(Dates),10))</f>
        <v>0</v>
      </c>
      <c r="M557" s="26" t="str">
        <f ca="1">IF(B557="","",SUM(C557:OFFSET(C557,-LeadTime+1,0)))</f>
        <v/>
      </c>
      <c r="N557" s="26" t="e">
        <f t="shared" ca="1" si="58"/>
        <v>#DIV/0!</v>
      </c>
      <c r="O557" s="22">
        <f t="shared" si="64"/>
        <v>557</v>
      </c>
      <c r="P557" s="26">
        <f t="shared" ca="1" si="59"/>
        <v>0</v>
      </c>
      <c r="Q557" s="26">
        <f ca="1">IF(LeadTime=0,P557,IF(AND(SUM(Q556:OFFSET(Q557,-LeadTime,0))=0,P557&gt;0),MAX(P557:OFFSET(P557,-LeadTime+1,0)),0))</f>
        <v>0</v>
      </c>
    </row>
    <row r="558" spans="6:17" x14ac:dyDescent="0.2">
      <c r="F558" s="26">
        <f t="shared" si="60"/>
        <v>0</v>
      </c>
      <c r="G558" s="22" t="str">
        <f t="shared" ca="1" si="61"/>
        <v>History</v>
      </c>
      <c r="H558" s="22">
        <f t="shared" si="62"/>
        <v>1900</v>
      </c>
      <c r="I558" s="22">
        <f t="shared" si="63"/>
        <v>1</v>
      </c>
      <c r="J558" s="22">
        <f t="shared" si="57"/>
        <v>0</v>
      </c>
      <c r="L558" s="22">
        <f ca="1">SUM(K558:OFFSET(RngToDay,ROWS(Dates),10))</f>
        <v>0</v>
      </c>
      <c r="M558" s="26" t="str">
        <f ca="1">IF(B558="","",SUM(C558:OFFSET(C558,-LeadTime+1,0)))</f>
        <v/>
      </c>
      <c r="N558" s="26" t="e">
        <f t="shared" ca="1" si="58"/>
        <v>#DIV/0!</v>
      </c>
      <c r="O558" s="22">
        <f t="shared" si="64"/>
        <v>558</v>
      </c>
      <c r="P558" s="26">
        <f t="shared" ca="1" si="59"/>
        <v>0</v>
      </c>
      <c r="Q558" s="26">
        <f ca="1">IF(LeadTime=0,P558,IF(AND(SUM(Q557:OFFSET(Q558,-LeadTime,0))=0,P558&gt;0),MAX(P558:OFFSET(P558,-LeadTime+1,0)),0))</f>
        <v>0</v>
      </c>
    </row>
    <row r="559" spans="6:17" x14ac:dyDescent="0.2">
      <c r="F559" s="26">
        <f t="shared" si="60"/>
        <v>0</v>
      </c>
      <c r="G559" s="22" t="str">
        <f t="shared" ca="1" si="61"/>
        <v>History</v>
      </c>
      <c r="H559" s="22">
        <f t="shared" si="62"/>
        <v>1900</v>
      </c>
      <c r="I559" s="22">
        <f t="shared" si="63"/>
        <v>1</v>
      </c>
      <c r="J559" s="22">
        <f t="shared" si="57"/>
        <v>0</v>
      </c>
      <c r="L559" s="22">
        <f ca="1">SUM(K559:OFFSET(RngToDay,ROWS(Dates),10))</f>
        <v>0</v>
      </c>
      <c r="M559" s="26" t="str">
        <f ca="1">IF(B559="","",SUM(C559:OFFSET(C559,-LeadTime+1,0)))</f>
        <v/>
      </c>
      <c r="N559" s="26" t="e">
        <f t="shared" ca="1" si="58"/>
        <v>#DIV/0!</v>
      </c>
      <c r="O559" s="22">
        <f t="shared" si="64"/>
        <v>559</v>
      </c>
      <c r="P559" s="26">
        <f t="shared" ca="1" si="59"/>
        <v>0</v>
      </c>
      <c r="Q559" s="26">
        <f ca="1">IF(LeadTime=0,P559,IF(AND(SUM(Q558:OFFSET(Q559,-LeadTime,0))=0,P559&gt;0),MAX(P559:OFFSET(P559,-LeadTime+1,0)),0))</f>
        <v>0</v>
      </c>
    </row>
    <row r="560" spans="6:17" x14ac:dyDescent="0.2">
      <c r="F560" s="26">
        <f t="shared" si="60"/>
        <v>0</v>
      </c>
      <c r="G560" s="22" t="str">
        <f t="shared" ca="1" si="61"/>
        <v>History</v>
      </c>
      <c r="H560" s="22">
        <f t="shared" si="62"/>
        <v>1900</v>
      </c>
      <c r="I560" s="22">
        <f t="shared" si="63"/>
        <v>1</v>
      </c>
      <c r="J560" s="22">
        <f t="shared" si="57"/>
        <v>0</v>
      </c>
      <c r="L560" s="22">
        <f ca="1">SUM(K560:OFFSET(RngToDay,ROWS(Dates),10))</f>
        <v>0</v>
      </c>
      <c r="M560" s="26" t="str">
        <f ca="1">IF(B560="","",SUM(C560:OFFSET(C560,-LeadTime+1,0)))</f>
        <v/>
      </c>
      <c r="N560" s="26" t="e">
        <f t="shared" ca="1" si="58"/>
        <v>#DIV/0!</v>
      </c>
      <c r="O560" s="22">
        <f t="shared" si="64"/>
        <v>560</v>
      </c>
      <c r="P560" s="26">
        <f t="shared" ca="1" si="59"/>
        <v>0</v>
      </c>
      <c r="Q560" s="26">
        <f ca="1">IF(LeadTime=0,P560,IF(AND(SUM(Q559:OFFSET(Q560,-LeadTime,0))=0,P560&gt;0),MAX(P560:OFFSET(P560,-LeadTime+1,0)),0))</f>
        <v>0</v>
      </c>
    </row>
    <row r="561" spans="6:17" x14ac:dyDescent="0.2">
      <c r="F561" s="26">
        <f t="shared" si="60"/>
        <v>0</v>
      </c>
      <c r="G561" s="22" t="str">
        <f t="shared" ca="1" si="61"/>
        <v>History</v>
      </c>
      <c r="H561" s="22">
        <f t="shared" si="62"/>
        <v>1900</v>
      </c>
      <c r="I561" s="22">
        <f t="shared" si="63"/>
        <v>1</v>
      </c>
      <c r="J561" s="22">
        <f t="shared" si="57"/>
        <v>0</v>
      </c>
      <c r="L561" s="22">
        <f ca="1">SUM(K561:OFFSET(RngToDay,ROWS(Dates),10))</f>
        <v>0</v>
      </c>
      <c r="M561" s="26" t="str">
        <f ca="1">IF(B561="","",SUM(C561:OFFSET(C561,-LeadTime+1,0)))</f>
        <v/>
      </c>
      <c r="N561" s="26" t="e">
        <f t="shared" ca="1" si="58"/>
        <v>#DIV/0!</v>
      </c>
      <c r="O561" s="22">
        <f t="shared" si="64"/>
        <v>561</v>
      </c>
      <c r="P561" s="26">
        <f t="shared" ca="1" si="59"/>
        <v>0</v>
      </c>
      <c r="Q561" s="26">
        <f ca="1">IF(LeadTime=0,P561,IF(AND(SUM(Q560:OFFSET(Q561,-LeadTime,0))=0,P561&gt;0),MAX(P561:OFFSET(P561,-LeadTime+1,0)),0))</f>
        <v>0</v>
      </c>
    </row>
    <row r="562" spans="6:17" x14ac:dyDescent="0.2">
      <c r="F562" s="26">
        <f t="shared" si="60"/>
        <v>0</v>
      </c>
      <c r="G562" s="22" t="str">
        <f t="shared" ca="1" si="61"/>
        <v>History</v>
      </c>
      <c r="H562" s="22">
        <f t="shared" si="62"/>
        <v>1900</v>
      </c>
      <c r="I562" s="22">
        <f t="shared" si="63"/>
        <v>1</v>
      </c>
      <c r="J562" s="22">
        <f t="shared" si="57"/>
        <v>0</v>
      </c>
      <c r="L562" s="22">
        <f ca="1">SUM(K562:OFFSET(RngToDay,ROWS(Dates),10))</f>
        <v>0</v>
      </c>
      <c r="M562" s="26" t="str">
        <f ca="1">IF(B562="","",SUM(C562:OFFSET(C562,-LeadTime+1,0)))</f>
        <v/>
      </c>
      <c r="N562" s="26" t="e">
        <f t="shared" ca="1" si="58"/>
        <v>#DIV/0!</v>
      </c>
      <c r="O562" s="22">
        <f t="shared" si="64"/>
        <v>562</v>
      </c>
      <c r="P562" s="26">
        <f t="shared" ca="1" si="59"/>
        <v>0</v>
      </c>
      <c r="Q562" s="26">
        <f ca="1">IF(LeadTime=0,P562,IF(AND(SUM(Q561:OFFSET(Q562,-LeadTime,0))=0,P562&gt;0),MAX(P562:OFFSET(P562,-LeadTime+1,0)),0))</f>
        <v>0</v>
      </c>
    </row>
    <row r="563" spans="6:17" x14ac:dyDescent="0.2">
      <c r="F563" s="26">
        <f t="shared" si="60"/>
        <v>0</v>
      </c>
      <c r="G563" s="22" t="str">
        <f t="shared" ca="1" si="61"/>
        <v>History</v>
      </c>
      <c r="H563" s="22">
        <f t="shared" si="62"/>
        <v>1900</v>
      </c>
      <c r="I563" s="22">
        <f t="shared" si="63"/>
        <v>1</v>
      </c>
      <c r="J563" s="22">
        <f t="shared" si="57"/>
        <v>0</v>
      </c>
      <c r="L563" s="22">
        <f ca="1">SUM(K563:OFFSET(RngToDay,ROWS(Dates),10))</f>
        <v>0</v>
      </c>
      <c r="M563" s="26" t="str">
        <f ca="1">IF(B563="","",SUM(C563:OFFSET(C563,-LeadTime+1,0)))</f>
        <v/>
      </c>
      <c r="N563" s="26" t="e">
        <f t="shared" ca="1" si="58"/>
        <v>#DIV/0!</v>
      </c>
      <c r="O563" s="22">
        <f t="shared" si="64"/>
        <v>563</v>
      </c>
      <c r="P563" s="26">
        <f t="shared" ca="1" si="59"/>
        <v>0</v>
      </c>
      <c r="Q563" s="26">
        <f ca="1">IF(LeadTime=0,P563,IF(AND(SUM(Q562:OFFSET(Q563,-LeadTime,0))=0,P563&gt;0),MAX(P563:OFFSET(P563,-LeadTime+1,0)),0))</f>
        <v>0</v>
      </c>
    </row>
    <row r="564" spans="6:17" x14ac:dyDescent="0.2">
      <c r="F564" s="26">
        <f t="shared" si="60"/>
        <v>0</v>
      </c>
      <c r="G564" s="22" t="str">
        <f t="shared" ca="1" si="61"/>
        <v>History</v>
      </c>
      <c r="H564" s="22">
        <f t="shared" si="62"/>
        <v>1900</v>
      </c>
      <c r="I564" s="22">
        <f t="shared" si="63"/>
        <v>1</v>
      </c>
      <c r="J564" s="22">
        <f t="shared" si="57"/>
        <v>0</v>
      </c>
      <c r="L564" s="22">
        <f ca="1">SUM(K564:OFFSET(RngToDay,ROWS(Dates),10))</f>
        <v>0</v>
      </c>
      <c r="M564" s="26" t="str">
        <f ca="1">IF(B564="","",SUM(C564:OFFSET(C564,-LeadTime+1,0)))</f>
        <v/>
      </c>
      <c r="N564" s="26" t="e">
        <f t="shared" ca="1" si="58"/>
        <v>#DIV/0!</v>
      </c>
      <c r="O564" s="22">
        <f t="shared" si="64"/>
        <v>564</v>
      </c>
      <c r="P564" s="26">
        <f t="shared" ca="1" si="59"/>
        <v>0</v>
      </c>
      <c r="Q564" s="26">
        <f ca="1">IF(LeadTime=0,P564,IF(AND(SUM(Q563:OFFSET(Q564,-LeadTime,0))=0,P564&gt;0),MAX(P564:OFFSET(P564,-LeadTime+1,0)),0))</f>
        <v>0</v>
      </c>
    </row>
    <row r="565" spans="6:17" x14ac:dyDescent="0.2">
      <c r="F565" s="26">
        <f t="shared" si="60"/>
        <v>0</v>
      </c>
      <c r="G565" s="22" t="str">
        <f t="shared" ca="1" si="61"/>
        <v>History</v>
      </c>
      <c r="H565" s="22">
        <f t="shared" si="62"/>
        <v>1900</v>
      </c>
      <c r="I565" s="22">
        <f t="shared" si="63"/>
        <v>1</v>
      </c>
      <c r="J565" s="22">
        <f t="shared" si="57"/>
        <v>0</v>
      </c>
      <c r="L565" s="22">
        <f ca="1">SUM(K565:OFFSET(RngToDay,ROWS(Dates),10))</f>
        <v>0</v>
      </c>
      <c r="M565" s="26" t="str">
        <f ca="1">IF(B565="","",SUM(C565:OFFSET(C565,-LeadTime+1,0)))</f>
        <v/>
      </c>
      <c r="N565" s="26" t="e">
        <f t="shared" ca="1" si="58"/>
        <v>#DIV/0!</v>
      </c>
      <c r="O565" s="22">
        <f t="shared" si="64"/>
        <v>565</v>
      </c>
      <c r="P565" s="26">
        <f t="shared" ca="1" si="59"/>
        <v>0</v>
      </c>
      <c r="Q565" s="26">
        <f ca="1">IF(LeadTime=0,P565,IF(AND(SUM(Q564:OFFSET(Q565,-LeadTime,0))=0,P565&gt;0),MAX(P565:OFFSET(P565,-LeadTime+1,0)),0))</f>
        <v>0</v>
      </c>
    </row>
    <row r="566" spans="6:17" x14ac:dyDescent="0.2">
      <c r="F566" s="26">
        <f t="shared" si="60"/>
        <v>0</v>
      </c>
      <c r="G566" s="22" t="str">
        <f t="shared" ca="1" si="61"/>
        <v>History</v>
      </c>
      <c r="H566" s="22">
        <f t="shared" si="62"/>
        <v>1900</v>
      </c>
      <c r="I566" s="22">
        <f t="shared" si="63"/>
        <v>1</v>
      </c>
      <c r="J566" s="22">
        <f t="shared" si="57"/>
        <v>0</v>
      </c>
      <c r="L566" s="22">
        <f ca="1">SUM(K566:OFFSET(RngToDay,ROWS(Dates),10))</f>
        <v>0</v>
      </c>
      <c r="M566" s="26" t="str">
        <f ca="1">IF(B566="","",SUM(C566:OFFSET(C566,-LeadTime+1,0)))</f>
        <v/>
      </c>
      <c r="N566" s="26" t="e">
        <f t="shared" ca="1" si="58"/>
        <v>#DIV/0!</v>
      </c>
      <c r="O566" s="22">
        <f t="shared" si="64"/>
        <v>566</v>
      </c>
      <c r="P566" s="26">
        <f t="shared" ca="1" si="59"/>
        <v>0</v>
      </c>
      <c r="Q566" s="26">
        <f ca="1">IF(LeadTime=0,P566,IF(AND(SUM(Q565:OFFSET(Q566,-LeadTime,0))=0,P566&gt;0),MAX(P566:OFFSET(P566,-LeadTime+1,0)),0))</f>
        <v>0</v>
      </c>
    </row>
    <row r="567" spans="6:17" x14ac:dyDescent="0.2">
      <c r="F567" s="26">
        <f t="shared" si="60"/>
        <v>0</v>
      </c>
      <c r="G567" s="22" t="str">
        <f t="shared" ca="1" si="61"/>
        <v>History</v>
      </c>
      <c r="H567" s="22">
        <f t="shared" si="62"/>
        <v>1900</v>
      </c>
      <c r="I567" s="22">
        <f t="shared" si="63"/>
        <v>1</v>
      </c>
      <c r="J567" s="22">
        <f t="shared" si="57"/>
        <v>0</v>
      </c>
      <c r="L567" s="22">
        <f ca="1">SUM(K567:OFFSET(RngToDay,ROWS(Dates),10))</f>
        <v>0</v>
      </c>
      <c r="M567" s="26" t="str">
        <f ca="1">IF(B567="","",SUM(C567:OFFSET(C567,-LeadTime+1,0)))</f>
        <v/>
      </c>
      <c r="N567" s="26" t="e">
        <f t="shared" ca="1" si="58"/>
        <v>#DIV/0!</v>
      </c>
      <c r="O567" s="22">
        <f t="shared" si="64"/>
        <v>567</v>
      </c>
      <c r="P567" s="26">
        <f t="shared" ca="1" si="59"/>
        <v>0</v>
      </c>
      <c r="Q567" s="26">
        <f ca="1">IF(LeadTime=0,P567,IF(AND(SUM(Q566:OFFSET(Q567,-LeadTime,0))=0,P567&gt;0),MAX(P567:OFFSET(P567,-LeadTime+1,0)),0))</f>
        <v>0</v>
      </c>
    </row>
    <row r="568" spans="6:17" x14ac:dyDescent="0.2">
      <c r="F568" s="26">
        <f t="shared" si="60"/>
        <v>0</v>
      </c>
      <c r="G568" s="22" t="str">
        <f t="shared" ca="1" si="61"/>
        <v>History</v>
      </c>
      <c r="H568" s="22">
        <f t="shared" si="62"/>
        <v>1900</v>
      </c>
      <c r="I568" s="22">
        <f t="shared" si="63"/>
        <v>1</v>
      </c>
      <c r="J568" s="22">
        <f t="shared" ref="J568:J631" si="65">IF(WEEKDAY(DATE(YEAR(A568),1,1),2)&gt;4,WEEKNUM(A568,2)-1,WEEKNUM(A568,2))</f>
        <v>0</v>
      </c>
      <c r="L568" s="22">
        <f ca="1">SUM(K568:OFFSET(RngToDay,ROWS(Dates),10))</f>
        <v>0</v>
      </c>
      <c r="M568" s="26" t="str">
        <f ca="1">IF(B568="","",SUM(C568:OFFSET(C568,-LeadTime+1,0)))</f>
        <v/>
      </c>
      <c r="N568" s="26" t="e">
        <f t="shared" ca="1" si="58"/>
        <v>#DIV/0!</v>
      </c>
      <c r="O568" s="22">
        <f t="shared" si="64"/>
        <v>568</v>
      </c>
      <c r="P568" s="26">
        <f t="shared" ca="1" si="59"/>
        <v>0</v>
      </c>
      <c r="Q568" s="26">
        <f ca="1">IF(LeadTime=0,P568,IF(AND(SUM(Q567:OFFSET(Q568,-LeadTime,0))=0,P568&gt;0),MAX(P568:OFFSET(P568,-LeadTime+1,0)),0))</f>
        <v>0</v>
      </c>
    </row>
    <row r="569" spans="6:17" x14ac:dyDescent="0.2">
      <c r="F569" s="26">
        <f t="shared" si="60"/>
        <v>0</v>
      </c>
      <c r="G569" s="22" t="str">
        <f t="shared" ca="1" si="61"/>
        <v>History</v>
      </c>
      <c r="H569" s="22">
        <f t="shared" si="62"/>
        <v>1900</v>
      </c>
      <c r="I569" s="22">
        <f t="shared" si="63"/>
        <v>1</v>
      </c>
      <c r="J569" s="22">
        <f t="shared" si="65"/>
        <v>0</v>
      </c>
      <c r="L569" s="22">
        <f ca="1">SUM(K569:OFFSET(RngToDay,ROWS(Dates),10))</f>
        <v>0</v>
      </c>
      <c r="M569" s="26" t="str">
        <f ca="1">IF(B569="","",SUM(C569:OFFSET(C569,-LeadTime+1,0)))</f>
        <v/>
      </c>
      <c r="N569" s="26" t="e">
        <f t="shared" ca="1" si="58"/>
        <v>#DIV/0!</v>
      </c>
      <c r="O569" s="22">
        <f t="shared" si="64"/>
        <v>569</v>
      </c>
      <c r="P569" s="26">
        <f t="shared" ca="1" si="59"/>
        <v>0</v>
      </c>
      <c r="Q569" s="26">
        <f ca="1">IF(LeadTime=0,P569,IF(AND(SUM(Q568:OFFSET(Q569,-LeadTime,0))=0,P569&gt;0),MAX(P569:OFFSET(P569,-LeadTime+1,0)),0))</f>
        <v>0</v>
      </c>
    </row>
    <row r="570" spans="6:17" x14ac:dyDescent="0.2">
      <c r="F570" s="26">
        <f t="shared" si="60"/>
        <v>0</v>
      </c>
      <c r="G570" s="22" t="str">
        <f t="shared" ca="1" si="61"/>
        <v>History</v>
      </c>
      <c r="H570" s="22">
        <f t="shared" si="62"/>
        <v>1900</v>
      </c>
      <c r="I570" s="22">
        <f t="shared" si="63"/>
        <v>1</v>
      </c>
      <c r="J570" s="22">
        <f t="shared" si="65"/>
        <v>0</v>
      </c>
      <c r="L570" s="22">
        <f ca="1">SUM(K570:OFFSET(RngToDay,ROWS(Dates),10))</f>
        <v>0</v>
      </c>
      <c r="M570" s="26" t="str">
        <f ca="1">IF(B570="","",SUM(C570:OFFSET(C570,-LeadTime+1,0)))</f>
        <v/>
      </c>
      <c r="N570" s="26" t="e">
        <f t="shared" ref="N570:N633" ca="1" si="66">Saf_Stock</f>
        <v>#DIV/0!</v>
      </c>
      <c r="O570" s="22">
        <f t="shared" si="64"/>
        <v>570</v>
      </c>
      <c r="P570" s="26">
        <f t="shared" ca="1" si="59"/>
        <v>0</v>
      </c>
      <c r="Q570" s="26">
        <f ca="1">IF(LeadTime=0,P570,IF(AND(SUM(Q569:OFFSET(Q570,-LeadTime,0))=0,P570&gt;0),MAX(P570:OFFSET(P570,-LeadTime+1,0)),0))</f>
        <v>0</v>
      </c>
    </row>
    <row r="571" spans="6:17" x14ac:dyDescent="0.2">
      <c r="F571" s="26">
        <f t="shared" si="60"/>
        <v>0</v>
      </c>
      <c r="G571" s="22" t="str">
        <f t="shared" ca="1" si="61"/>
        <v>History</v>
      </c>
      <c r="H571" s="22">
        <f t="shared" si="62"/>
        <v>1900</v>
      </c>
      <c r="I571" s="22">
        <f t="shared" si="63"/>
        <v>1</v>
      </c>
      <c r="J571" s="22">
        <f t="shared" si="65"/>
        <v>0</v>
      </c>
      <c r="L571" s="22">
        <f ca="1">SUM(K571:OFFSET(RngToDay,ROWS(Dates),10))</f>
        <v>0</v>
      </c>
      <c r="M571" s="26" t="str">
        <f ca="1">IF(B571="","",SUM(C571:OFFSET(C571,-LeadTime+1,0)))</f>
        <v/>
      </c>
      <c r="N571" s="26" t="e">
        <f t="shared" ca="1" si="66"/>
        <v>#DIV/0!</v>
      </c>
      <c r="O571" s="22">
        <f t="shared" si="64"/>
        <v>571</v>
      </c>
      <c r="P571" s="26">
        <f t="shared" ref="P571:P633" ca="1" si="67">IF(M571="",0,IF(M571&gt;N571,M571-N571,0))</f>
        <v>0</v>
      </c>
      <c r="Q571" s="26">
        <f ca="1">IF(LeadTime=0,P571,IF(AND(SUM(Q570:OFFSET(Q571,-LeadTime,0))=0,P571&gt;0),MAX(P571:OFFSET(P571,-LeadTime+1,0)),0))</f>
        <v>0</v>
      </c>
    </row>
    <row r="572" spans="6:17" x14ac:dyDescent="0.2">
      <c r="F572" s="26">
        <f t="shared" ref="F572:F633" si="68">F571</f>
        <v>0</v>
      </c>
      <c r="G572" s="22" t="str">
        <f t="shared" ca="1" si="61"/>
        <v>History</v>
      </c>
      <c r="H572" s="22">
        <f t="shared" si="62"/>
        <v>1900</v>
      </c>
      <c r="I572" s="22">
        <f t="shared" si="63"/>
        <v>1</v>
      </c>
      <c r="J572" s="22">
        <f t="shared" si="65"/>
        <v>0</v>
      </c>
      <c r="L572" s="22">
        <f ca="1">SUM(K572:OFFSET(RngToDay,ROWS(Dates),10))</f>
        <v>0</v>
      </c>
      <c r="M572" s="26" t="str">
        <f ca="1">IF(B572="","",SUM(C572:OFFSET(C572,-LeadTime+1,0)))</f>
        <v/>
      </c>
      <c r="N572" s="26" t="e">
        <f t="shared" ca="1" si="66"/>
        <v>#DIV/0!</v>
      </c>
      <c r="O572" s="22">
        <f t="shared" si="64"/>
        <v>572</v>
      </c>
      <c r="P572" s="26">
        <f t="shared" ca="1" si="67"/>
        <v>0</v>
      </c>
      <c r="Q572" s="26">
        <f ca="1">IF(LeadTime=0,P572,IF(AND(SUM(Q571:OFFSET(Q572,-LeadTime,0))=0,P572&gt;0),MAX(P572:OFFSET(P572,-LeadTime+1,0)),0))</f>
        <v>0</v>
      </c>
    </row>
    <row r="573" spans="6:17" x14ac:dyDescent="0.2">
      <c r="F573" s="26">
        <f t="shared" si="68"/>
        <v>0</v>
      </c>
      <c r="G573" s="22" t="str">
        <f t="shared" ca="1" si="61"/>
        <v>History</v>
      </c>
      <c r="H573" s="22">
        <f t="shared" si="62"/>
        <v>1900</v>
      </c>
      <c r="I573" s="22">
        <f t="shared" si="63"/>
        <v>1</v>
      </c>
      <c r="J573" s="22">
        <f t="shared" si="65"/>
        <v>0</v>
      </c>
      <c r="L573" s="22">
        <f ca="1">SUM(K573:OFFSET(RngToDay,ROWS(Dates),10))</f>
        <v>0</v>
      </c>
      <c r="M573" s="26" t="str">
        <f ca="1">IF(B573="","",SUM(C573:OFFSET(C573,-LeadTime+1,0)))</f>
        <v/>
      </c>
      <c r="N573" s="26" t="e">
        <f t="shared" ca="1" si="66"/>
        <v>#DIV/0!</v>
      </c>
      <c r="O573" s="22">
        <f t="shared" si="64"/>
        <v>573</v>
      </c>
      <c r="P573" s="26">
        <f t="shared" ca="1" si="67"/>
        <v>0</v>
      </c>
      <c r="Q573" s="26">
        <f ca="1">IF(LeadTime=0,P573,IF(AND(SUM(Q572:OFFSET(Q573,-LeadTime,0))=0,P573&gt;0),MAX(P573:OFFSET(P573,-LeadTime+1,0)),0))</f>
        <v>0</v>
      </c>
    </row>
    <row r="574" spans="6:17" x14ac:dyDescent="0.2">
      <c r="F574" s="26">
        <f t="shared" si="68"/>
        <v>0</v>
      </c>
      <c r="G574" s="22" t="str">
        <f t="shared" ca="1" si="61"/>
        <v>History</v>
      </c>
      <c r="H574" s="22">
        <f t="shared" si="62"/>
        <v>1900</v>
      </c>
      <c r="I574" s="22">
        <f t="shared" si="63"/>
        <v>1</v>
      </c>
      <c r="J574" s="22">
        <f t="shared" si="65"/>
        <v>0</v>
      </c>
      <c r="L574" s="22">
        <f ca="1">SUM(K574:OFFSET(RngToDay,ROWS(Dates),10))</f>
        <v>0</v>
      </c>
      <c r="M574" s="26" t="str">
        <f ca="1">IF(B574="","",SUM(C574:OFFSET(C574,-LeadTime+1,0)))</f>
        <v/>
      </c>
      <c r="N574" s="26" t="e">
        <f t="shared" ca="1" si="66"/>
        <v>#DIV/0!</v>
      </c>
      <c r="O574" s="22">
        <f t="shared" si="64"/>
        <v>574</v>
      </c>
      <c r="P574" s="26">
        <f t="shared" ca="1" si="67"/>
        <v>0</v>
      </c>
      <c r="Q574" s="26">
        <f ca="1">IF(LeadTime=0,P574,IF(AND(SUM(Q573:OFFSET(Q574,-LeadTime,0))=0,P574&gt;0),MAX(P574:OFFSET(P574,-LeadTime+1,0)),0))</f>
        <v>0</v>
      </c>
    </row>
    <row r="575" spans="6:17" x14ac:dyDescent="0.2">
      <c r="F575" s="26">
        <f t="shared" si="68"/>
        <v>0</v>
      </c>
      <c r="G575" s="22" t="str">
        <f t="shared" ca="1" si="61"/>
        <v>History</v>
      </c>
      <c r="H575" s="22">
        <f t="shared" si="62"/>
        <v>1900</v>
      </c>
      <c r="I575" s="22">
        <f t="shared" si="63"/>
        <v>1</v>
      </c>
      <c r="J575" s="22">
        <f t="shared" si="65"/>
        <v>0</v>
      </c>
      <c r="L575" s="22">
        <f ca="1">SUM(K575:OFFSET(RngToDay,ROWS(Dates),10))</f>
        <v>0</v>
      </c>
      <c r="M575" s="26" t="str">
        <f ca="1">IF(B575="","",SUM(C575:OFFSET(C575,-LeadTime+1,0)))</f>
        <v/>
      </c>
      <c r="N575" s="26" t="e">
        <f t="shared" ca="1" si="66"/>
        <v>#DIV/0!</v>
      </c>
      <c r="O575" s="22">
        <f t="shared" si="64"/>
        <v>575</v>
      </c>
      <c r="P575" s="26">
        <f t="shared" ca="1" si="67"/>
        <v>0</v>
      </c>
      <c r="Q575" s="26">
        <f ca="1">IF(LeadTime=0,P575,IF(AND(SUM(Q574:OFFSET(Q575,-LeadTime,0))=0,P575&gt;0),MAX(P575:OFFSET(P575,-LeadTime+1,0)),0))</f>
        <v>0</v>
      </c>
    </row>
    <row r="576" spans="6:17" x14ac:dyDescent="0.2">
      <c r="F576" s="26">
        <f t="shared" si="68"/>
        <v>0</v>
      </c>
      <c r="G576" s="22" t="str">
        <f t="shared" ca="1" si="61"/>
        <v>History</v>
      </c>
      <c r="H576" s="22">
        <f t="shared" si="62"/>
        <v>1900</v>
      </c>
      <c r="I576" s="22">
        <f t="shared" si="63"/>
        <v>1</v>
      </c>
      <c r="J576" s="22">
        <f t="shared" si="65"/>
        <v>0</v>
      </c>
      <c r="L576" s="22">
        <f ca="1">SUM(K576:OFFSET(RngToDay,ROWS(Dates),10))</f>
        <v>0</v>
      </c>
      <c r="M576" s="26" t="str">
        <f ca="1">IF(B576="","",SUM(C576:OFFSET(C576,-LeadTime+1,0)))</f>
        <v/>
      </c>
      <c r="N576" s="26" t="e">
        <f t="shared" ca="1" si="66"/>
        <v>#DIV/0!</v>
      </c>
      <c r="O576" s="22">
        <f t="shared" si="64"/>
        <v>576</v>
      </c>
      <c r="P576" s="26">
        <f t="shared" ca="1" si="67"/>
        <v>0</v>
      </c>
      <c r="Q576" s="26">
        <f ca="1">IF(LeadTime=0,P576,IF(AND(SUM(Q575:OFFSET(Q576,-LeadTime,0))=0,P576&gt;0),MAX(P576:OFFSET(P576,-LeadTime+1,0)),0))</f>
        <v>0</v>
      </c>
    </row>
    <row r="577" spans="6:17" x14ac:dyDescent="0.2">
      <c r="F577" s="26">
        <f t="shared" si="68"/>
        <v>0</v>
      </c>
      <c r="G577" s="22" t="str">
        <f t="shared" ca="1" si="61"/>
        <v>History</v>
      </c>
      <c r="H577" s="22">
        <f t="shared" si="62"/>
        <v>1900</v>
      </c>
      <c r="I577" s="22">
        <f t="shared" si="63"/>
        <v>1</v>
      </c>
      <c r="J577" s="22">
        <f t="shared" si="65"/>
        <v>0</v>
      </c>
      <c r="L577" s="22">
        <f ca="1">SUM(K577:OFFSET(RngToDay,ROWS(Dates),10))</f>
        <v>0</v>
      </c>
      <c r="M577" s="26" t="str">
        <f ca="1">IF(B577="","",SUM(C577:OFFSET(C577,-LeadTime+1,0)))</f>
        <v/>
      </c>
      <c r="N577" s="26" t="e">
        <f t="shared" ca="1" si="66"/>
        <v>#DIV/0!</v>
      </c>
      <c r="O577" s="22">
        <f t="shared" si="64"/>
        <v>577</v>
      </c>
      <c r="P577" s="26">
        <f t="shared" ca="1" si="67"/>
        <v>0</v>
      </c>
      <c r="Q577" s="26">
        <f ca="1">IF(LeadTime=0,P577,IF(AND(SUM(Q576:OFFSET(Q577,-LeadTime,0))=0,P577&gt;0),MAX(P577:OFFSET(P577,-LeadTime+1,0)),0))</f>
        <v>0</v>
      </c>
    </row>
    <row r="578" spans="6:17" x14ac:dyDescent="0.2">
      <c r="F578" s="26">
        <f t="shared" si="68"/>
        <v>0</v>
      </c>
      <c r="G578" s="22" t="str">
        <f t="shared" ca="1" si="61"/>
        <v>History</v>
      </c>
      <c r="H578" s="22">
        <f t="shared" si="62"/>
        <v>1900</v>
      </c>
      <c r="I578" s="22">
        <f t="shared" si="63"/>
        <v>1</v>
      </c>
      <c r="J578" s="22">
        <f t="shared" si="65"/>
        <v>0</v>
      </c>
      <c r="L578" s="22">
        <f ca="1">SUM(K578:OFFSET(RngToDay,ROWS(Dates),10))</f>
        <v>0</v>
      </c>
      <c r="M578" s="26" t="str">
        <f ca="1">IF(B578="","",SUM(C578:OFFSET(C578,-LeadTime+1,0)))</f>
        <v/>
      </c>
      <c r="N578" s="26" t="e">
        <f t="shared" ca="1" si="66"/>
        <v>#DIV/0!</v>
      </c>
      <c r="O578" s="22">
        <f t="shared" si="64"/>
        <v>578</v>
      </c>
      <c r="P578" s="26">
        <f t="shared" ca="1" si="67"/>
        <v>0</v>
      </c>
      <c r="Q578" s="26">
        <f ca="1">IF(LeadTime=0,P578,IF(AND(SUM(Q577:OFFSET(Q578,-LeadTime,0))=0,P578&gt;0),MAX(P578:OFFSET(P578,-LeadTime+1,0)),0))</f>
        <v>0</v>
      </c>
    </row>
    <row r="579" spans="6:17" x14ac:dyDescent="0.2">
      <c r="F579" s="26">
        <f t="shared" si="68"/>
        <v>0</v>
      </c>
      <c r="G579" s="22" t="str">
        <f t="shared" ref="G579:G633" ca="1" si="69">IF(A579&gt;TODAY(),"Requirements","History")</f>
        <v>History</v>
      </c>
      <c r="H579" s="22">
        <f t="shared" ref="H579:H633" si="70">YEAR(A579)</f>
        <v>1900</v>
      </c>
      <c r="I579" s="22">
        <f t="shared" ref="I579:I633" si="71">MONTH(A579)</f>
        <v>1</v>
      </c>
      <c r="J579" s="22">
        <f t="shared" si="65"/>
        <v>0</v>
      </c>
      <c r="L579" s="22">
        <f ca="1">SUM(K579:OFFSET(RngToDay,ROWS(Dates),10))</f>
        <v>0</v>
      </c>
      <c r="M579" s="26" t="str">
        <f ca="1">IF(B579="","",SUM(C579:OFFSET(C579,-LeadTime+1,0)))</f>
        <v/>
      </c>
      <c r="N579" s="26" t="e">
        <f t="shared" ca="1" si="66"/>
        <v>#DIV/0!</v>
      </c>
      <c r="O579" s="22">
        <f t="shared" si="64"/>
        <v>579</v>
      </c>
      <c r="P579" s="26">
        <f t="shared" ca="1" si="67"/>
        <v>0</v>
      </c>
      <c r="Q579" s="26">
        <f ca="1">IF(LeadTime=0,P579,IF(AND(SUM(Q578:OFFSET(Q579,-LeadTime,0))=0,P579&gt;0),MAX(P579:OFFSET(P579,-LeadTime+1,0)),0))</f>
        <v>0</v>
      </c>
    </row>
    <row r="580" spans="6:17" x14ac:dyDescent="0.2">
      <c r="F580" s="26">
        <f t="shared" si="68"/>
        <v>0</v>
      </c>
      <c r="G580" s="22" t="str">
        <f t="shared" ca="1" si="69"/>
        <v>History</v>
      </c>
      <c r="H580" s="22">
        <f t="shared" si="70"/>
        <v>1900</v>
      </c>
      <c r="I580" s="22">
        <f t="shared" si="71"/>
        <v>1</v>
      </c>
      <c r="J580" s="22">
        <f t="shared" si="65"/>
        <v>0</v>
      </c>
      <c r="L580" s="22">
        <f ca="1">SUM(K580:OFFSET(RngToDay,ROWS(Dates),10))</f>
        <v>0</v>
      </c>
      <c r="M580" s="26" t="str">
        <f ca="1">IF(B580="","",SUM(C580:OFFSET(C580,-LeadTime+1,0)))</f>
        <v/>
      </c>
      <c r="N580" s="26" t="e">
        <f t="shared" ca="1" si="66"/>
        <v>#DIV/0!</v>
      </c>
      <c r="O580" s="22">
        <f t="shared" ref="O580:O633" si="72">O579+1</f>
        <v>580</v>
      </c>
      <c r="P580" s="26">
        <f t="shared" ca="1" si="67"/>
        <v>0</v>
      </c>
      <c r="Q580" s="26">
        <f ca="1">IF(LeadTime=0,P580,IF(AND(SUM(Q579:OFFSET(Q580,-LeadTime,0))=0,P580&gt;0),MAX(P580:OFFSET(P580,-LeadTime+1,0)),0))</f>
        <v>0</v>
      </c>
    </row>
    <row r="581" spans="6:17" x14ac:dyDescent="0.2">
      <c r="F581" s="26">
        <f t="shared" si="68"/>
        <v>0</v>
      </c>
      <c r="G581" s="22" t="str">
        <f t="shared" ca="1" si="69"/>
        <v>History</v>
      </c>
      <c r="H581" s="22">
        <f t="shared" si="70"/>
        <v>1900</v>
      </c>
      <c r="I581" s="22">
        <f t="shared" si="71"/>
        <v>1</v>
      </c>
      <c r="J581" s="22">
        <f t="shared" si="65"/>
        <v>0</v>
      </c>
      <c r="L581" s="22">
        <f ca="1">SUM(K581:OFFSET(RngToDay,ROWS(Dates),10))</f>
        <v>0</v>
      </c>
      <c r="M581" s="26" t="str">
        <f ca="1">IF(B581="","",SUM(C581:OFFSET(C581,-LeadTime+1,0)))</f>
        <v/>
      </c>
      <c r="N581" s="26" t="e">
        <f t="shared" ca="1" si="66"/>
        <v>#DIV/0!</v>
      </c>
      <c r="O581" s="22">
        <f t="shared" si="72"/>
        <v>581</v>
      </c>
      <c r="P581" s="26">
        <f t="shared" ca="1" si="67"/>
        <v>0</v>
      </c>
      <c r="Q581" s="26">
        <f ca="1">IF(LeadTime=0,P581,IF(AND(SUM(Q580:OFFSET(Q581,-LeadTime,0))=0,P581&gt;0),MAX(P581:OFFSET(P581,-LeadTime+1,0)),0))</f>
        <v>0</v>
      </c>
    </row>
    <row r="582" spans="6:17" x14ac:dyDescent="0.2">
      <c r="F582" s="26">
        <f t="shared" si="68"/>
        <v>0</v>
      </c>
      <c r="G582" s="22" t="str">
        <f t="shared" ca="1" si="69"/>
        <v>History</v>
      </c>
      <c r="H582" s="22">
        <f t="shared" si="70"/>
        <v>1900</v>
      </c>
      <c r="I582" s="22">
        <f t="shared" si="71"/>
        <v>1</v>
      </c>
      <c r="J582" s="22">
        <f t="shared" si="65"/>
        <v>0</v>
      </c>
      <c r="L582" s="22">
        <f ca="1">SUM(K582:OFFSET(RngToDay,ROWS(Dates),10))</f>
        <v>0</v>
      </c>
      <c r="M582" s="26" t="str">
        <f ca="1">IF(B582="","",SUM(C582:OFFSET(C582,-LeadTime+1,0)))</f>
        <v/>
      </c>
      <c r="N582" s="26" t="e">
        <f t="shared" ca="1" si="66"/>
        <v>#DIV/0!</v>
      </c>
      <c r="O582" s="22">
        <f t="shared" si="72"/>
        <v>582</v>
      </c>
      <c r="P582" s="26">
        <f t="shared" ca="1" si="67"/>
        <v>0</v>
      </c>
      <c r="Q582" s="26">
        <f ca="1">IF(LeadTime=0,P582,IF(AND(SUM(Q581:OFFSET(Q582,-LeadTime,0))=0,P582&gt;0),MAX(P582:OFFSET(P582,-LeadTime+1,0)),0))</f>
        <v>0</v>
      </c>
    </row>
    <row r="583" spans="6:17" x14ac:dyDescent="0.2">
      <c r="F583" s="26">
        <f t="shared" si="68"/>
        <v>0</v>
      </c>
      <c r="G583" s="22" t="str">
        <f t="shared" ca="1" si="69"/>
        <v>History</v>
      </c>
      <c r="H583" s="22">
        <f t="shared" si="70"/>
        <v>1900</v>
      </c>
      <c r="I583" s="22">
        <f t="shared" si="71"/>
        <v>1</v>
      </c>
      <c r="J583" s="22">
        <f t="shared" si="65"/>
        <v>0</v>
      </c>
      <c r="L583" s="22">
        <f ca="1">SUM(K583:OFFSET(RngToDay,ROWS(Dates),10))</f>
        <v>0</v>
      </c>
      <c r="M583" s="26" t="str">
        <f ca="1">IF(B583="","",SUM(C583:OFFSET(C583,-LeadTime+1,0)))</f>
        <v/>
      </c>
      <c r="N583" s="26" t="e">
        <f t="shared" ca="1" si="66"/>
        <v>#DIV/0!</v>
      </c>
      <c r="O583" s="22">
        <f t="shared" si="72"/>
        <v>583</v>
      </c>
      <c r="P583" s="26">
        <f t="shared" ca="1" si="67"/>
        <v>0</v>
      </c>
      <c r="Q583" s="26">
        <f ca="1">IF(LeadTime=0,P583,IF(AND(SUM(Q582:OFFSET(Q583,-LeadTime,0))=0,P583&gt;0),MAX(P583:OFFSET(P583,-LeadTime+1,0)),0))</f>
        <v>0</v>
      </c>
    </row>
    <row r="584" spans="6:17" x14ac:dyDescent="0.2">
      <c r="F584" s="26">
        <f t="shared" si="68"/>
        <v>0</v>
      </c>
      <c r="G584" s="22" t="str">
        <f t="shared" ca="1" si="69"/>
        <v>History</v>
      </c>
      <c r="H584" s="22">
        <f t="shared" si="70"/>
        <v>1900</v>
      </c>
      <c r="I584" s="22">
        <f t="shared" si="71"/>
        <v>1</v>
      </c>
      <c r="J584" s="22">
        <f t="shared" si="65"/>
        <v>0</v>
      </c>
      <c r="L584" s="22">
        <f ca="1">SUM(K584:OFFSET(RngToDay,ROWS(Dates),10))</f>
        <v>0</v>
      </c>
      <c r="M584" s="26" t="str">
        <f ca="1">IF(B584="","",SUM(C584:OFFSET(C584,-LeadTime+1,0)))</f>
        <v/>
      </c>
      <c r="N584" s="26" t="e">
        <f t="shared" ca="1" si="66"/>
        <v>#DIV/0!</v>
      </c>
      <c r="O584" s="22">
        <f t="shared" si="72"/>
        <v>584</v>
      </c>
      <c r="P584" s="26">
        <f t="shared" ca="1" si="67"/>
        <v>0</v>
      </c>
      <c r="Q584" s="26">
        <f ca="1">IF(LeadTime=0,P584,IF(AND(SUM(Q583:OFFSET(Q584,-LeadTime,0))=0,P584&gt;0),MAX(P584:OFFSET(P584,-LeadTime+1,0)),0))</f>
        <v>0</v>
      </c>
    </row>
    <row r="585" spans="6:17" x14ac:dyDescent="0.2">
      <c r="F585" s="26">
        <f t="shared" si="68"/>
        <v>0</v>
      </c>
      <c r="G585" s="22" t="str">
        <f t="shared" ca="1" si="69"/>
        <v>History</v>
      </c>
      <c r="H585" s="22">
        <f t="shared" si="70"/>
        <v>1900</v>
      </c>
      <c r="I585" s="22">
        <f t="shared" si="71"/>
        <v>1</v>
      </c>
      <c r="J585" s="22">
        <f t="shared" si="65"/>
        <v>0</v>
      </c>
      <c r="L585" s="22">
        <f ca="1">SUM(K585:OFFSET(RngToDay,ROWS(Dates),10))</f>
        <v>0</v>
      </c>
      <c r="M585" s="26" t="str">
        <f ca="1">IF(B585="","",SUM(C585:OFFSET(C585,-LeadTime+1,0)))</f>
        <v/>
      </c>
      <c r="N585" s="26" t="e">
        <f t="shared" ca="1" si="66"/>
        <v>#DIV/0!</v>
      </c>
      <c r="O585" s="22">
        <f t="shared" si="72"/>
        <v>585</v>
      </c>
      <c r="P585" s="26">
        <f t="shared" ca="1" si="67"/>
        <v>0</v>
      </c>
      <c r="Q585" s="26">
        <f ca="1">IF(LeadTime=0,P585,IF(AND(SUM(Q584:OFFSET(Q585,-LeadTime,0))=0,P585&gt;0),MAX(P585:OFFSET(P585,-LeadTime+1,0)),0))</f>
        <v>0</v>
      </c>
    </row>
    <row r="586" spans="6:17" x14ac:dyDescent="0.2">
      <c r="F586" s="26">
        <f t="shared" si="68"/>
        <v>0</v>
      </c>
      <c r="G586" s="22" t="str">
        <f t="shared" ca="1" si="69"/>
        <v>History</v>
      </c>
      <c r="H586" s="22">
        <f t="shared" si="70"/>
        <v>1900</v>
      </c>
      <c r="I586" s="22">
        <f t="shared" si="71"/>
        <v>1</v>
      </c>
      <c r="J586" s="22">
        <f t="shared" si="65"/>
        <v>0</v>
      </c>
      <c r="L586" s="22">
        <f ca="1">SUM(K586:OFFSET(RngToDay,ROWS(Dates),10))</f>
        <v>0</v>
      </c>
      <c r="M586" s="26" t="str">
        <f ca="1">IF(B586="","",SUM(C586:OFFSET(C586,-LeadTime+1,0)))</f>
        <v/>
      </c>
      <c r="N586" s="26" t="e">
        <f t="shared" ca="1" si="66"/>
        <v>#DIV/0!</v>
      </c>
      <c r="O586" s="22">
        <f t="shared" si="72"/>
        <v>586</v>
      </c>
      <c r="P586" s="26">
        <f t="shared" ca="1" si="67"/>
        <v>0</v>
      </c>
      <c r="Q586" s="26">
        <f ca="1">IF(LeadTime=0,P586,IF(AND(SUM(Q585:OFFSET(Q586,-LeadTime,0))=0,P586&gt;0),MAX(P586:OFFSET(P586,-LeadTime+1,0)),0))</f>
        <v>0</v>
      </c>
    </row>
    <row r="587" spans="6:17" x14ac:dyDescent="0.2">
      <c r="F587" s="26">
        <f t="shared" si="68"/>
        <v>0</v>
      </c>
      <c r="G587" s="22" t="str">
        <f t="shared" ca="1" si="69"/>
        <v>History</v>
      </c>
      <c r="H587" s="22">
        <f t="shared" si="70"/>
        <v>1900</v>
      </c>
      <c r="I587" s="22">
        <f t="shared" si="71"/>
        <v>1</v>
      </c>
      <c r="J587" s="22">
        <f t="shared" si="65"/>
        <v>0</v>
      </c>
      <c r="L587" s="22">
        <f ca="1">SUM(K587:OFFSET(RngToDay,ROWS(Dates),10))</f>
        <v>0</v>
      </c>
      <c r="M587" s="26" t="str">
        <f ca="1">IF(B587="","",SUM(C587:OFFSET(C587,-LeadTime+1,0)))</f>
        <v/>
      </c>
      <c r="N587" s="26" t="e">
        <f t="shared" ca="1" si="66"/>
        <v>#DIV/0!</v>
      </c>
      <c r="O587" s="22">
        <f t="shared" si="72"/>
        <v>587</v>
      </c>
      <c r="P587" s="26">
        <f t="shared" ca="1" si="67"/>
        <v>0</v>
      </c>
      <c r="Q587" s="26">
        <f ca="1">IF(LeadTime=0,P587,IF(AND(SUM(Q586:OFFSET(Q587,-LeadTime,0))=0,P587&gt;0),MAX(P587:OFFSET(P587,-LeadTime+1,0)),0))</f>
        <v>0</v>
      </c>
    </row>
    <row r="588" spans="6:17" x14ac:dyDescent="0.2">
      <c r="F588" s="26">
        <f t="shared" si="68"/>
        <v>0</v>
      </c>
      <c r="G588" s="22" t="str">
        <f t="shared" ca="1" si="69"/>
        <v>History</v>
      </c>
      <c r="H588" s="22">
        <f t="shared" si="70"/>
        <v>1900</v>
      </c>
      <c r="I588" s="22">
        <f t="shared" si="71"/>
        <v>1</v>
      </c>
      <c r="J588" s="22">
        <f t="shared" si="65"/>
        <v>0</v>
      </c>
      <c r="L588" s="22">
        <f ca="1">SUM(K588:OFFSET(RngToDay,ROWS(Dates),10))</f>
        <v>0</v>
      </c>
      <c r="M588" s="26" t="str">
        <f ca="1">IF(B588="","",SUM(C588:OFFSET(C588,-LeadTime+1,0)))</f>
        <v/>
      </c>
      <c r="N588" s="26" t="e">
        <f t="shared" ca="1" si="66"/>
        <v>#DIV/0!</v>
      </c>
      <c r="O588" s="22">
        <f t="shared" si="72"/>
        <v>588</v>
      </c>
      <c r="P588" s="26">
        <f t="shared" ca="1" si="67"/>
        <v>0</v>
      </c>
      <c r="Q588" s="26">
        <f ca="1">IF(LeadTime=0,P588,IF(AND(SUM(Q587:OFFSET(Q588,-LeadTime,0))=0,P588&gt;0),MAX(P588:OFFSET(P588,-LeadTime+1,0)),0))</f>
        <v>0</v>
      </c>
    </row>
    <row r="589" spans="6:17" x14ac:dyDescent="0.2">
      <c r="F589" s="26">
        <f t="shared" si="68"/>
        <v>0</v>
      </c>
      <c r="G589" s="22" t="str">
        <f t="shared" ca="1" si="69"/>
        <v>History</v>
      </c>
      <c r="H589" s="22">
        <f t="shared" si="70"/>
        <v>1900</v>
      </c>
      <c r="I589" s="22">
        <f t="shared" si="71"/>
        <v>1</v>
      </c>
      <c r="J589" s="22">
        <f t="shared" si="65"/>
        <v>0</v>
      </c>
      <c r="L589" s="22">
        <f ca="1">SUM(K589:OFFSET(RngToDay,ROWS(Dates),10))</f>
        <v>0</v>
      </c>
      <c r="M589" s="26" t="str">
        <f ca="1">IF(B589="","",SUM(C589:OFFSET(C589,-LeadTime+1,0)))</f>
        <v/>
      </c>
      <c r="N589" s="26" t="e">
        <f t="shared" ca="1" si="66"/>
        <v>#DIV/0!</v>
      </c>
      <c r="O589" s="22">
        <f t="shared" si="72"/>
        <v>589</v>
      </c>
      <c r="P589" s="26">
        <f t="shared" ca="1" si="67"/>
        <v>0</v>
      </c>
      <c r="Q589" s="26">
        <f ca="1">IF(LeadTime=0,P589,IF(AND(SUM(Q588:OFFSET(Q589,-LeadTime,0))=0,P589&gt;0),MAX(P589:OFFSET(P589,-LeadTime+1,0)),0))</f>
        <v>0</v>
      </c>
    </row>
    <row r="590" spans="6:17" x14ac:dyDescent="0.2">
      <c r="F590" s="26">
        <f t="shared" si="68"/>
        <v>0</v>
      </c>
      <c r="G590" s="22" t="str">
        <f t="shared" ca="1" si="69"/>
        <v>History</v>
      </c>
      <c r="H590" s="22">
        <f t="shared" si="70"/>
        <v>1900</v>
      </c>
      <c r="I590" s="22">
        <f t="shared" si="71"/>
        <v>1</v>
      </c>
      <c r="J590" s="22">
        <f t="shared" si="65"/>
        <v>0</v>
      </c>
      <c r="L590" s="22">
        <f ca="1">SUM(K590:OFFSET(RngToDay,ROWS(Dates),10))</f>
        <v>0</v>
      </c>
      <c r="M590" s="26" t="str">
        <f ca="1">IF(B590="","",SUM(C590:OFFSET(C590,-LeadTime+1,0)))</f>
        <v/>
      </c>
      <c r="N590" s="26" t="e">
        <f t="shared" ca="1" si="66"/>
        <v>#DIV/0!</v>
      </c>
      <c r="O590" s="22">
        <f t="shared" si="72"/>
        <v>590</v>
      </c>
      <c r="P590" s="26">
        <f t="shared" ca="1" si="67"/>
        <v>0</v>
      </c>
      <c r="Q590" s="26">
        <f ca="1">IF(LeadTime=0,P590,IF(AND(SUM(Q589:OFFSET(Q590,-LeadTime,0))=0,P590&gt;0),MAX(P590:OFFSET(P590,-LeadTime+1,0)),0))</f>
        <v>0</v>
      </c>
    </row>
    <row r="591" spans="6:17" x14ac:dyDescent="0.2">
      <c r="F591" s="26">
        <f t="shared" si="68"/>
        <v>0</v>
      </c>
      <c r="G591" s="22" t="str">
        <f t="shared" ca="1" si="69"/>
        <v>History</v>
      </c>
      <c r="H591" s="22">
        <f t="shared" si="70"/>
        <v>1900</v>
      </c>
      <c r="I591" s="22">
        <f t="shared" si="71"/>
        <v>1</v>
      </c>
      <c r="J591" s="22">
        <f t="shared" si="65"/>
        <v>0</v>
      </c>
      <c r="L591" s="22">
        <f ca="1">SUM(K591:OFFSET(RngToDay,ROWS(Dates),10))</f>
        <v>0</v>
      </c>
      <c r="M591" s="26" t="str">
        <f ca="1">IF(B591="","",SUM(C591:OFFSET(C591,-LeadTime+1,0)))</f>
        <v/>
      </c>
      <c r="N591" s="26" t="e">
        <f t="shared" ca="1" si="66"/>
        <v>#DIV/0!</v>
      </c>
      <c r="O591" s="22">
        <f t="shared" si="72"/>
        <v>591</v>
      </c>
      <c r="P591" s="26">
        <f t="shared" ca="1" si="67"/>
        <v>0</v>
      </c>
      <c r="Q591" s="26">
        <f ca="1">IF(LeadTime=0,P591,IF(AND(SUM(Q590:OFFSET(Q591,-LeadTime,0))=0,P591&gt;0),MAX(P591:OFFSET(P591,-LeadTime+1,0)),0))</f>
        <v>0</v>
      </c>
    </row>
    <row r="592" spans="6:17" x14ac:dyDescent="0.2">
      <c r="F592" s="26">
        <f t="shared" si="68"/>
        <v>0</v>
      </c>
      <c r="G592" s="22" t="str">
        <f t="shared" ca="1" si="69"/>
        <v>History</v>
      </c>
      <c r="H592" s="22">
        <f t="shared" si="70"/>
        <v>1900</v>
      </c>
      <c r="I592" s="22">
        <f t="shared" si="71"/>
        <v>1</v>
      </c>
      <c r="J592" s="22">
        <f t="shared" si="65"/>
        <v>0</v>
      </c>
      <c r="L592" s="22">
        <f ca="1">SUM(K592:OFFSET(RngToDay,ROWS(Dates),10))</f>
        <v>0</v>
      </c>
      <c r="M592" s="26" t="str">
        <f ca="1">IF(B592="","",SUM(C592:OFFSET(C592,-LeadTime+1,0)))</f>
        <v/>
      </c>
      <c r="N592" s="26" t="e">
        <f t="shared" ca="1" si="66"/>
        <v>#DIV/0!</v>
      </c>
      <c r="O592" s="22">
        <f t="shared" si="72"/>
        <v>592</v>
      </c>
      <c r="P592" s="26">
        <f t="shared" ca="1" si="67"/>
        <v>0</v>
      </c>
      <c r="Q592" s="26">
        <f ca="1">IF(LeadTime=0,P592,IF(AND(SUM(Q591:OFFSET(Q592,-LeadTime,0))=0,P592&gt;0),MAX(P592:OFFSET(P592,-LeadTime+1,0)),0))</f>
        <v>0</v>
      </c>
    </row>
    <row r="593" spans="6:17" x14ac:dyDescent="0.2">
      <c r="F593" s="26">
        <f t="shared" si="68"/>
        <v>0</v>
      </c>
      <c r="G593" s="22" t="str">
        <f t="shared" ca="1" si="69"/>
        <v>History</v>
      </c>
      <c r="H593" s="22">
        <f t="shared" si="70"/>
        <v>1900</v>
      </c>
      <c r="I593" s="22">
        <f t="shared" si="71"/>
        <v>1</v>
      </c>
      <c r="J593" s="22">
        <f t="shared" si="65"/>
        <v>0</v>
      </c>
      <c r="L593" s="22">
        <f ca="1">SUM(K593:OFFSET(RngToDay,ROWS(Dates),10))</f>
        <v>0</v>
      </c>
      <c r="M593" s="26" t="str">
        <f ca="1">IF(B593="","",SUM(C593:OFFSET(C593,-LeadTime+1,0)))</f>
        <v/>
      </c>
      <c r="N593" s="26" t="e">
        <f t="shared" ca="1" si="66"/>
        <v>#DIV/0!</v>
      </c>
      <c r="O593" s="22">
        <f t="shared" si="72"/>
        <v>593</v>
      </c>
      <c r="P593" s="26">
        <f t="shared" ca="1" si="67"/>
        <v>0</v>
      </c>
      <c r="Q593" s="26">
        <f ca="1">IF(LeadTime=0,P593,IF(AND(SUM(Q592:OFFSET(Q593,-LeadTime,0))=0,P593&gt;0),MAX(P593:OFFSET(P593,-LeadTime+1,0)),0))</f>
        <v>0</v>
      </c>
    </row>
    <row r="594" spans="6:17" x14ac:dyDescent="0.2">
      <c r="F594" s="26">
        <f t="shared" si="68"/>
        <v>0</v>
      </c>
      <c r="G594" s="22" t="str">
        <f t="shared" ca="1" si="69"/>
        <v>History</v>
      </c>
      <c r="H594" s="22">
        <f t="shared" si="70"/>
        <v>1900</v>
      </c>
      <c r="I594" s="22">
        <f t="shared" si="71"/>
        <v>1</v>
      </c>
      <c r="J594" s="22">
        <f t="shared" si="65"/>
        <v>0</v>
      </c>
      <c r="L594" s="22">
        <f ca="1">SUM(K594:OFFSET(RngToDay,ROWS(Dates),10))</f>
        <v>0</v>
      </c>
      <c r="M594" s="26" t="str">
        <f ca="1">IF(B594="","",SUM(C594:OFFSET(C594,-LeadTime+1,0)))</f>
        <v/>
      </c>
      <c r="N594" s="26" t="e">
        <f t="shared" ca="1" si="66"/>
        <v>#DIV/0!</v>
      </c>
      <c r="O594" s="22">
        <f t="shared" si="72"/>
        <v>594</v>
      </c>
      <c r="P594" s="26">
        <f t="shared" ca="1" si="67"/>
        <v>0</v>
      </c>
      <c r="Q594" s="26">
        <f ca="1">IF(LeadTime=0,P594,IF(AND(SUM(Q593:OFFSET(Q594,-LeadTime,0))=0,P594&gt;0),MAX(P594:OFFSET(P594,-LeadTime+1,0)),0))</f>
        <v>0</v>
      </c>
    </row>
    <row r="595" spans="6:17" x14ac:dyDescent="0.2">
      <c r="F595" s="26">
        <f t="shared" si="68"/>
        <v>0</v>
      </c>
      <c r="G595" s="22" t="str">
        <f t="shared" ca="1" si="69"/>
        <v>History</v>
      </c>
      <c r="H595" s="22">
        <f t="shared" si="70"/>
        <v>1900</v>
      </c>
      <c r="I595" s="22">
        <f t="shared" si="71"/>
        <v>1</v>
      </c>
      <c r="J595" s="22">
        <f t="shared" si="65"/>
        <v>0</v>
      </c>
      <c r="L595" s="22">
        <f ca="1">SUM(K595:OFFSET(RngToDay,ROWS(Dates),10))</f>
        <v>0</v>
      </c>
      <c r="M595" s="26" t="str">
        <f ca="1">IF(B595="","",SUM(C595:OFFSET(C595,-LeadTime+1,0)))</f>
        <v/>
      </c>
      <c r="N595" s="26" t="e">
        <f t="shared" ca="1" si="66"/>
        <v>#DIV/0!</v>
      </c>
      <c r="O595" s="22">
        <f t="shared" si="72"/>
        <v>595</v>
      </c>
      <c r="P595" s="26">
        <f t="shared" ca="1" si="67"/>
        <v>0</v>
      </c>
      <c r="Q595" s="26">
        <f ca="1">IF(LeadTime=0,P595,IF(AND(SUM(Q594:OFFSET(Q595,-LeadTime,0))=0,P595&gt;0),MAX(P595:OFFSET(P595,-LeadTime+1,0)),0))</f>
        <v>0</v>
      </c>
    </row>
    <row r="596" spans="6:17" x14ac:dyDescent="0.2">
      <c r="F596" s="26">
        <f t="shared" si="68"/>
        <v>0</v>
      </c>
      <c r="G596" s="22" t="str">
        <f t="shared" ca="1" si="69"/>
        <v>History</v>
      </c>
      <c r="H596" s="22">
        <f t="shared" si="70"/>
        <v>1900</v>
      </c>
      <c r="I596" s="22">
        <f t="shared" si="71"/>
        <v>1</v>
      </c>
      <c r="J596" s="22">
        <f t="shared" si="65"/>
        <v>0</v>
      </c>
      <c r="L596" s="22">
        <f ca="1">SUM(K596:OFFSET(RngToDay,ROWS(Dates),10))</f>
        <v>0</v>
      </c>
      <c r="M596" s="26" t="str">
        <f ca="1">IF(B596="","",SUM(C596:OFFSET(C596,-LeadTime+1,0)))</f>
        <v/>
      </c>
      <c r="N596" s="26" t="e">
        <f t="shared" ca="1" si="66"/>
        <v>#DIV/0!</v>
      </c>
      <c r="O596" s="22">
        <f t="shared" si="72"/>
        <v>596</v>
      </c>
      <c r="P596" s="26">
        <f t="shared" ca="1" si="67"/>
        <v>0</v>
      </c>
      <c r="Q596" s="26">
        <f ca="1">IF(LeadTime=0,P596,IF(AND(SUM(Q595:OFFSET(Q596,-LeadTime,0))=0,P596&gt;0),MAX(P596:OFFSET(P596,-LeadTime+1,0)),0))</f>
        <v>0</v>
      </c>
    </row>
    <row r="597" spans="6:17" x14ac:dyDescent="0.2">
      <c r="F597" s="26">
        <f t="shared" si="68"/>
        <v>0</v>
      </c>
      <c r="G597" s="22" t="str">
        <f t="shared" ca="1" si="69"/>
        <v>History</v>
      </c>
      <c r="H597" s="22">
        <f t="shared" si="70"/>
        <v>1900</v>
      </c>
      <c r="I597" s="22">
        <f t="shared" si="71"/>
        <v>1</v>
      </c>
      <c r="J597" s="22">
        <f t="shared" si="65"/>
        <v>0</v>
      </c>
      <c r="L597" s="22">
        <f ca="1">SUM(K597:OFFSET(RngToDay,ROWS(Dates),10))</f>
        <v>0</v>
      </c>
      <c r="M597" s="26" t="str">
        <f ca="1">IF(B597="","",SUM(C597:OFFSET(C597,-LeadTime+1,0)))</f>
        <v/>
      </c>
      <c r="N597" s="26" t="e">
        <f t="shared" ca="1" si="66"/>
        <v>#DIV/0!</v>
      </c>
      <c r="O597" s="22">
        <f t="shared" si="72"/>
        <v>597</v>
      </c>
      <c r="P597" s="26">
        <f t="shared" ca="1" si="67"/>
        <v>0</v>
      </c>
      <c r="Q597" s="26">
        <f ca="1">IF(LeadTime=0,P597,IF(AND(SUM(Q596:OFFSET(Q597,-LeadTime,0))=0,P597&gt;0),MAX(P597:OFFSET(P597,-LeadTime+1,0)),0))</f>
        <v>0</v>
      </c>
    </row>
    <row r="598" spans="6:17" x14ac:dyDescent="0.2">
      <c r="F598" s="26">
        <f t="shared" si="68"/>
        <v>0</v>
      </c>
      <c r="G598" s="22" t="str">
        <f t="shared" ca="1" si="69"/>
        <v>History</v>
      </c>
      <c r="H598" s="22">
        <f t="shared" si="70"/>
        <v>1900</v>
      </c>
      <c r="I598" s="22">
        <f t="shared" si="71"/>
        <v>1</v>
      </c>
      <c r="J598" s="22">
        <f t="shared" si="65"/>
        <v>0</v>
      </c>
      <c r="L598" s="22">
        <f ca="1">SUM(K598:OFFSET(RngToDay,ROWS(Dates),10))</f>
        <v>0</v>
      </c>
      <c r="M598" s="26" t="str">
        <f ca="1">IF(B598="","",SUM(C598:OFFSET(C598,-LeadTime+1,0)))</f>
        <v/>
      </c>
      <c r="N598" s="26" t="e">
        <f t="shared" ca="1" si="66"/>
        <v>#DIV/0!</v>
      </c>
      <c r="O598" s="22">
        <f t="shared" si="72"/>
        <v>598</v>
      </c>
      <c r="P598" s="26">
        <f t="shared" ca="1" si="67"/>
        <v>0</v>
      </c>
      <c r="Q598" s="26">
        <f ca="1">IF(LeadTime=0,P598,IF(AND(SUM(Q597:OFFSET(Q598,-LeadTime,0))=0,P598&gt;0),MAX(P598:OFFSET(P598,-LeadTime+1,0)),0))</f>
        <v>0</v>
      </c>
    </row>
    <row r="599" spans="6:17" x14ac:dyDescent="0.2">
      <c r="F599" s="26">
        <f t="shared" si="68"/>
        <v>0</v>
      </c>
      <c r="G599" s="22" t="str">
        <f t="shared" ca="1" si="69"/>
        <v>History</v>
      </c>
      <c r="H599" s="22">
        <f t="shared" si="70"/>
        <v>1900</v>
      </c>
      <c r="I599" s="22">
        <f t="shared" si="71"/>
        <v>1</v>
      </c>
      <c r="J599" s="22">
        <f t="shared" si="65"/>
        <v>0</v>
      </c>
      <c r="L599" s="22">
        <f ca="1">SUM(K599:OFFSET(RngToDay,ROWS(Dates),10))</f>
        <v>0</v>
      </c>
      <c r="M599" s="26" t="str">
        <f ca="1">IF(B599="","",SUM(C599:OFFSET(C599,-LeadTime+1,0)))</f>
        <v/>
      </c>
      <c r="N599" s="26" t="e">
        <f t="shared" ca="1" si="66"/>
        <v>#DIV/0!</v>
      </c>
      <c r="O599" s="22">
        <f t="shared" si="72"/>
        <v>599</v>
      </c>
      <c r="P599" s="26">
        <f t="shared" ca="1" si="67"/>
        <v>0</v>
      </c>
      <c r="Q599" s="26">
        <f ca="1">IF(LeadTime=0,P599,IF(AND(SUM(Q598:OFFSET(Q599,-LeadTime,0))=0,P599&gt;0),MAX(P599:OFFSET(P599,-LeadTime+1,0)),0))</f>
        <v>0</v>
      </c>
    </row>
    <row r="600" spans="6:17" x14ac:dyDescent="0.2">
      <c r="F600" s="26">
        <f t="shared" si="68"/>
        <v>0</v>
      </c>
      <c r="G600" s="22" t="str">
        <f t="shared" ca="1" si="69"/>
        <v>History</v>
      </c>
      <c r="H600" s="22">
        <f t="shared" si="70"/>
        <v>1900</v>
      </c>
      <c r="I600" s="22">
        <f t="shared" si="71"/>
        <v>1</v>
      </c>
      <c r="J600" s="22">
        <f t="shared" si="65"/>
        <v>0</v>
      </c>
      <c r="L600" s="22">
        <f ca="1">SUM(K600:OFFSET(RngToDay,ROWS(Dates),10))</f>
        <v>0</v>
      </c>
      <c r="M600" s="26" t="str">
        <f ca="1">IF(B600="","",SUM(C600:OFFSET(C600,-LeadTime+1,0)))</f>
        <v/>
      </c>
      <c r="N600" s="26" t="e">
        <f t="shared" ca="1" si="66"/>
        <v>#DIV/0!</v>
      </c>
      <c r="O600" s="22">
        <f t="shared" si="72"/>
        <v>600</v>
      </c>
      <c r="P600" s="26">
        <f t="shared" ca="1" si="67"/>
        <v>0</v>
      </c>
      <c r="Q600" s="26">
        <f ca="1">IF(LeadTime=0,P600,IF(AND(SUM(Q599:OFFSET(Q600,-LeadTime,0))=0,P600&gt;0),MAX(P600:OFFSET(P600,-LeadTime+1,0)),0))</f>
        <v>0</v>
      </c>
    </row>
    <row r="601" spans="6:17" x14ac:dyDescent="0.2">
      <c r="F601" s="26">
        <f t="shared" si="68"/>
        <v>0</v>
      </c>
      <c r="G601" s="22" t="str">
        <f t="shared" ca="1" si="69"/>
        <v>History</v>
      </c>
      <c r="H601" s="22">
        <f t="shared" si="70"/>
        <v>1900</v>
      </c>
      <c r="I601" s="22">
        <f t="shared" si="71"/>
        <v>1</v>
      </c>
      <c r="J601" s="22">
        <f t="shared" si="65"/>
        <v>0</v>
      </c>
      <c r="L601" s="22">
        <f ca="1">SUM(K601:OFFSET(RngToDay,ROWS(Dates),10))</f>
        <v>0</v>
      </c>
      <c r="M601" s="26" t="str">
        <f ca="1">IF(B601="","",SUM(C601:OFFSET(C601,-LeadTime+1,0)))</f>
        <v/>
      </c>
      <c r="N601" s="26" t="e">
        <f t="shared" ca="1" si="66"/>
        <v>#DIV/0!</v>
      </c>
      <c r="O601" s="22">
        <f t="shared" si="72"/>
        <v>601</v>
      </c>
      <c r="P601" s="26">
        <f t="shared" ca="1" si="67"/>
        <v>0</v>
      </c>
      <c r="Q601" s="26">
        <f ca="1">IF(LeadTime=0,P601,IF(AND(SUM(Q600:OFFSET(Q601,-LeadTime,0))=0,P601&gt;0),MAX(P601:OFFSET(P601,-LeadTime+1,0)),0))</f>
        <v>0</v>
      </c>
    </row>
    <row r="602" spans="6:17" x14ac:dyDescent="0.2">
      <c r="F602" s="26">
        <f t="shared" si="68"/>
        <v>0</v>
      </c>
      <c r="G602" s="22" t="str">
        <f t="shared" ca="1" si="69"/>
        <v>History</v>
      </c>
      <c r="H602" s="22">
        <f t="shared" si="70"/>
        <v>1900</v>
      </c>
      <c r="I602" s="22">
        <f t="shared" si="71"/>
        <v>1</v>
      </c>
      <c r="J602" s="22">
        <f t="shared" si="65"/>
        <v>0</v>
      </c>
      <c r="L602" s="22">
        <f ca="1">SUM(K602:OFFSET(RngToDay,ROWS(Dates),10))</f>
        <v>0</v>
      </c>
      <c r="M602" s="26" t="str">
        <f ca="1">IF(B602="","",SUM(C602:OFFSET(C602,-LeadTime+1,0)))</f>
        <v/>
      </c>
      <c r="N602" s="26" t="e">
        <f t="shared" ca="1" si="66"/>
        <v>#DIV/0!</v>
      </c>
      <c r="O602" s="22">
        <f t="shared" si="72"/>
        <v>602</v>
      </c>
      <c r="P602" s="26">
        <f t="shared" ca="1" si="67"/>
        <v>0</v>
      </c>
      <c r="Q602" s="26">
        <f ca="1">IF(LeadTime=0,P602,IF(AND(SUM(Q601:OFFSET(Q602,-LeadTime,0))=0,P602&gt;0),MAX(P602:OFFSET(P602,-LeadTime+1,0)),0))</f>
        <v>0</v>
      </c>
    </row>
    <row r="603" spans="6:17" x14ac:dyDescent="0.2">
      <c r="F603" s="26">
        <f t="shared" si="68"/>
        <v>0</v>
      </c>
      <c r="G603" s="22" t="str">
        <f t="shared" ca="1" si="69"/>
        <v>History</v>
      </c>
      <c r="H603" s="22">
        <f t="shared" si="70"/>
        <v>1900</v>
      </c>
      <c r="I603" s="22">
        <f t="shared" si="71"/>
        <v>1</v>
      </c>
      <c r="J603" s="22">
        <f t="shared" si="65"/>
        <v>0</v>
      </c>
      <c r="L603" s="22">
        <f ca="1">SUM(K603:OFFSET(RngToDay,ROWS(Dates),10))</f>
        <v>0</v>
      </c>
      <c r="M603" s="26" t="str">
        <f ca="1">IF(B603="","",SUM(C603:OFFSET(C603,-LeadTime+1,0)))</f>
        <v/>
      </c>
      <c r="N603" s="26" t="e">
        <f t="shared" ca="1" si="66"/>
        <v>#DIV/0!</v>
      </c>
      <c r="O603" s="22">
        <f t="shared" si="72"/>
        <v>603</v>
      </c>
      <c r="P603" s="26">
        <f t="shared" ca="1" si="67"/>
        <v>0</v>
      </c>
      <c r="Q603" s="26">
        <f ca="1">IF(LeadTime=0,P603,IF(AND(SUM(Q602:OFFSET(Q603,-LeadTime,0))=0,P603&gt;0),MAX(P603:OFFSET(P603,-LeadTime+1,0)),0))</f>
        <v>0</v>
      </c>
    </row>
    <row r="604" spans="6:17" x14ac:dyDescent="0.2">
      <c r="F604" s="26">
        <f t="shared" si="68"/>
        <v>0</v>
      </c>
      <c r="G604" s="22" t="str">
        <f t="shared" ca="1" si="69"/>
        <v>History</v>
      </c>
      <c r="H604" s="22">
        <f t="shared" si="70"/>
        <v>1900</v>
      </c>
      <c r="I604" s="22">
        <f t="shared" si="71"/>
        <v>1</v>
      </c>
      <c r="J604" s="22">
        <f t="shared" si="65"/>
        <v>0</v>
      </c>
      <c r="L604" s="22">
        <f ca="1">SUM(K604:OFFSET(RngToDay,ROWS(Dates),10))</f>
        <v>0</v>
      </c>
      <c r="M604" s="26" t="str">
        <f ca="1">IF(B604="","",SUM(C604:OFFSET(C604,-LeadTime+1,0)))</f>
        <v/>
      </c>
      <c r="N604" s="26" t="e">
        <f t="shared" ca="1" si="66"/>
        <v>#DIV/0!</v>
      </c>
      <c r="O604" s="22">
        <f t="shared" si="72"/>
        <v>604</v>
      </c>
      <c r="P604" s="26">
        <f t="shared" ca="1" si="67"/>
        <v>0</v>
      </c>
      <c r="Q604" s="26">
        <f ca="1">IF(LeadTime=0,P604,IF(AND(SUM(Q603:OFFSET(Q604,-LeadTime,0))=0,P604&gt;0),MAX(P604:OFFSET(P604,-LeadTime+1,0)),0))</f>
        <v>0</v>
      </c>
    </row>
    <row r="605" spans="6:17" x14ac:dyDescent="0.2">
      <c r="F605" s="26">
        <f t="shared" si="68"/>
        <v>0</v>
      </c>
      <c r="G605" s="22" t="str">
        <f t="shared" ca="1" si="69"/>
        <v>History</v>
      </c>
      <c r="H605" s="22">
        <f t="shared" si="70"/>
        <v>1900</v>
      </c>
      <c r="I605" s="22">
        <f t="shared" si="71"/>
        <v>1</v>
      </c>
      <c r="J605" s="22">
        <f t="shared" si="65"/>
        <v>0</v>
      </c>
      <c r="L605" s="22">
        <f ca="1">SUM(K605:OFFSET(RngToDay,ROWS(Dates),10))</f>
        <v>0</v>
      </c>
      <c r="M605" s="26" t="str">
        <f ca="1">IF(B605="","",SUM(C605:OFFSET(C605,-LeadTime+1,0)))</f>
        <v/>
      </c>
      <c r="N605" s="26" t="e">
        <f t="shared" ca="1" si="66"/>
        <v>#DIV/0!</v>
      </c>
      <c r="O605" s="22">
        <f t="shared" si="72"/>
        <v>605</v>
      </c>
      <c r="P605" s="26">
        <f t="shared" ca="1" si="67"/>
        <v>0</v>
      </c>
      <c r="Q605" s="26">
        <f ca="1">IF(LeadTime=0,P605,IF(AND(SUM(Q604:OFFSET(Q605,-LeadTime,0))=0,P605&gt;0),MAX(P605:OFFSET(P605,-LeadTime+1,0)),0))</f>
        <v>0</v>
      </c>
    </row>
    <row r="606" spans="6:17" x14ac:dyDescent="0.2">
      <c r="F606" s="26">
        <f t="shared" si="68"/>
        <v>0</v>
      </c>
      <c r="G606" s="22" t="str">
        <f t="shared" ca="1" si="69"/>
        <v>History</v>
      </c>
      <c r="H606" s="22">
        <f t="shared" si="70"/>
        <v>1900</v>
      </c>
      <c r="I606" s="22">
        <f t="shared" si="71"/>
        <v>1</v>
      </c>
      <c r="J606" s="22">
        <f t="shared" si="65"/>
        <v>0</v>
      </c>
      <c r="L606" s="22">
        <f ca="1">SUM(K606:OFFSET(RngToDay,ROWS(Dates),10))</f>
        <v>0</v>
      </c>
      <c r="M606" s="26" t="str">
        <f ca="1">IF(B606="","",SUM(C606:OFFSET(C606,-LeadTime+1,0)))</f>
        <v/>
      </c>
      <c r="N606" s="26" t="e">
        <f t="shared" ca="1" si="66"/>
        <v>#DIV/0!</v>
      </c>
      <c r="O606" s="22">
        <f t="shared" si="72"/>
        <v>606</v>
      </c>
      <c r="P606" s="26">
        <f t="shared" ca="1" si="67"/>
        <v>0</v>
      </c>
      <c r="Q606" s="26">
        <f ca="1">IF(LeadTime=0,P606,IF(AND(SUM(Q605:OFFSET(Q606,-LeadTime,0))=0,P606&gt;0),MAX(P606:OFFSET(P606,-LeadTime+1,0)),0))</f>
        <v>0</v>
      </c>
    </row>
    <row r="607" spans="6:17" x14ac:dyDescent="0.2">
      <c r="F607" s="26">
        <f t="shared" si="68"/>
        <v>0</v>
      </c>
      <c r="G607" s="22" t="str">
        <f t="shared" ca="1" si="69"/>
        <v>History</v>
      </c>
      <c r="H607" s="22">
        <f t="shared" si="70"/>
        <v>1900</v>
      </c>
      <c r="I607" s="22">
        <f t="shared" si="71"/>
        <v>1</v>
      </c>
      <c r="J607" s="22">
        <f t="shared" si="65"/>
        <v>0</v>
      </c>
      <c r="L607" s="22">
        <f ca="1">SUM(K607:OFFSET(RngToDay,ROWS(Dates),10))</f>
        <v>0</v>
      </c>
      <c r="M607" s="26" t="str">
        <f ca="1">IF(B607="","",SUM(C607:OFFSET(C607,-LeadTime+1,0)))</f>
        <v/>
      </c>
      <c r="N607" s="26" t="e">
        <f t="shared" ca="1" si="66"/>
        <v>#DIV/0!</v>
      </c>
      <c r="O607" s="22">
        <f t="shared" si="72"/>
        <v>607</v>
      </c>
      <c r="P607" s="26">
        <f t="shared" ca="1" si="67"/>
        <v>0</v>
      </c>
      <c r="Q607" s="26">
        <f ca="1">IF(LeadTime=0,P607,IF(AND(SUM(Q606:OFFSET(Q607,-LeadTime,0))=0,P607&gt;0),MAX(P607:OFFSET(P607,-LeadTime+1,0)),0))</f>
        <v>0</v>
      </c>
    </row>
    <row r="608" spans="6:17" x14ac:dyDescent="0.2">
      <c r="F608" s="26">
        <f t="shared" si="68"/>
        <v>0</v>
      </c>
      <c r="G608" s="22" t="str">
        <f t="shared" ca="1" si="69"/>
        <v>History</v>
      </c>
      <c r="H608" s="22">
        <f t="shared" si="70"/>
        <v>1900</v>
      </c>
      <c r="I608" s="22">
        <f t="shared" si="71"/>
        <v>1</v>
      </c>
      <c r="J608" s="22">
        <f t="shared" si="65"/>
        <v>0</v>
      </c>
      <c r="L608" s="22">
        <f ca="1">SUM(K608:OFFSET(RngToDay,ROWS(Dates),10))</f>
        <v>0</v>
      </c>
      <c r="M608" s="26" t="str">
        <f ca="1">IF(B608="","",SUM(C608:OFFSET(C608,-LeadTime+1,0)))</f>
        <v/>
      </c>
      <c r="N608" s="26" t="e">
        <f t="shared" ca="1" si="66"/>
        <v>#DIV/0!</v>
      </c>
      <c r="O608" s="22">
        <f t="shared" si="72"/>
        <v>608</v>
      </c>
      <c r="P608" s="26">
        <f t="shared" ca="1" si="67"/>
        <v>0</v>
      </c>
      <c r="Q608" s="26">
        <f ca="1">IF(LeadTime=0,P608,IF(AND(SUM(Q607:OFFSET(Q608,-LeadTime,0))=0,P608&gt;0),MAX(P608:OFFSET(P608,-LeadTime+1,0)),0))</f>
        <v>0</v>
      </c>
    </row>
    <row r="609" spans="6:17" x14ac:dyDescent="0.2">
      <c r="F609" s="26">
        <f t="shared" si="68"/>
        <v>0</v>
      </c>
      <c r="G609" s="22" t="str">
        <f t="shared" ca="1" si="69"/>
        <v>History</v>
      </c>
      <c r="H609" s="22">
        <f t="shared" si="70"/>
        <v>1900</v>
      </c>
      <c r="I609" s="22">
        <f t="shared" si="71"/>
        <v>1</v>
      </c>
      <c r="J609" s="22">
        <f t="shared" si="65"/>
        <v>0</v>
      </c>
      <c r="L609" s="22">
        <f ca="1">SUM(K609:OFFSET(RngToDay,ROWS(Dates),10))</f>
        <v>0</v>
      </c>
      <c r="M609" s="26" t="str">
        <f ca="1">IF(B609="","",SUM(C609:OFFSET(C609,-LeadTime+1,0)))</f>
        <v/>
      </c>
      <c r="N609" s="26" t="e">
        <f t="shared" ca="1" si="66"/>
        <v>#DIV/0!</v>
      </c>
      <c r="O609" s="22">
        <f t="shared" si="72"/>
        <v>609</v>
      </c>
      <c r="P609" s="26">
        <f t="shared" ca="1" si="67"/>
        <v>0</v>
      </c>
      <c r="Q609" s="26">
        <f ca="1">IF(LeadTime=0,P609,IF(AND(SUM(Q608:OFFSET(Q609,-LeadTime,0))=0,P609&gt;0),MAX(P609:OFFSET(P609,-LeadTime+1,0)),0))</f>
        <v>0</v>
      </c>
    </row>
    <row r="610" spans="6:17" x14ac:dyDescent="0.2">
      <c r="F610" s="26">
        <f t="shared" si="68"/>
        <v>0</v>
      </c>
      <c r="G610" s="22" t="str">
        <f t="shared" ca="1" si="69"/>
        <v>History</v>
      </c>
      <c r="H610" s="22">
        <f t="shared" si="70"/>
        <v>1900</v>
      </c>
      <c r="I610" s="22">
        <f t="shared" si="71"/>
        <v>1</v>
      </c>
      <c r="J610" s="22">
        <f t="shared" si="65"/>
        <v>0</v>
      </c>
      <c r="L610" s="22">
        <f ca="1">SUM(K610:OFFSET(RngToDay,ROWS(Dates),10))</f>
        <v>0</v>
      </c>
      <c r="M610" s="26" t="str">
        <f ca="1">IF(B610="","",SUM(C610:OFFSET(C610,-LeadTime+1,0)))</f>
        <v/>
      </c>
      <c r="N610" s="26" t="e">
        <f t="shared" ca="1" si="66"/>
        <v>#DIV/0!</v>
      </c>
      <c r="O610" s="22">
        <f t="shared" si="72"/>
        <v>610</v>
      </c>
      <c r="P610" s="26">
        <f t="shared" ca="1" si="67"/>
        <v>0</v>
      </c>
      <c r="Q610" s="26">
        <f ca="1">IF(LeadTime=0,P610,IF(AND(SUM(Q609:OFFSET(Q610,-LeadTime,0))=0,P610&gt;0),MAX(P610:OFFSET(P610,-LeadTime+1,0)),0))</f>
        <v>0</v>
      </c>
    </row>
    <row r="611" spans="6:17" x14ac:dyDescent="0.2">
      <c r="F611" s="26">
        <f t="shared" si="68"/>
        <v>0</v>
      </c>
      <c r="G611" s="22" t="str">
        <f t="shared" ca="1" si="69"/>
        <v>History</v>
      </c>
      <c r="H611" s="22">
        <f t="shared" si="70"/>
        <v>1900</v>
      </c>
      <c r="I611" s="22">
        <f t="shared" si="71"/>
        <v>1</v>
      </c>
      <c r="J611" s="22">
        <f t="shared" si="65"/>
        <v>0</v>
      </c>
      <c r="L611" s="22">
        <f ca="1">SUM(K611:OFFSET(RngToDay,ROWS(Dates),10))</f>
        <v>0</v>
      </c>
      <c r="M611" s="26" t="str">
        <f ca="1">IF(B611="","",SUM(C611:OFFSET(C611,-LeadTime+1,0)))</f>
        <v/>
      </c>
      <c r="N611" s="26" t="e">
        <f t="shared" ca="1" si="66"/>
        <v>#DIV/0!</v>
      </c>
      <c r="O611" s="22">
        <f t="shared" si="72"/>
        <v>611</v>
      </c>
      <c r="P611" s="26">
        <f t="shared" ca="1" si="67"/>
        <v>0</v>
      </c>
      <c r="Q611" s="26">
        <f ca="1">IF(LeadTime=0,P611,IF(AND(SUM(Q610:OFFSET(Q611,-LeadTime,0))=0,P611&gt;0),MAX(P611:OFFSET(P611,-LeadTime+1,0)),0))</f>
        <v>0</v>
      </c>
    </row>
    <row r="612" spans="6:17" x14ac:dyDescent="0.2">
      <c r="F612" s="26">
        <f t="shared" si="68"/>
        <v>0</v>
      </c>
      <c r="G612" s="22" t="str">
        <f t="shared" ca="1" si="69"/>
        <v>History</v>
      </c>
      <c r="H612" s="22">
        <f t="shared" si="70"/>
        <v>1900</v>
      </c>
      <c r="I612" s="22">
        <f t="shared" si="71"/>
        <v>1</v>
      </c>
      <c r="J612" s="22">
        <f t="shared" si="65"/>
        <v>0</v>
      </c>
      <c r="L612" s="22">
        <f ca="1">SUM(K612:OFFSET(RngToDay,ROWS(Dates),10))</f>
        <v>0</v>
      </c>
      <c r="M612" s="26" t="str">
        <f ca="1">IF(B612="","",SUM(C612:OFFSET(C612,-LeadTime+1,0)))</f>
        <v/>
      </c>
      <c r="N612" s="26" t="e">
        <f t="shared" ca="1" si="66"/>
        <v>#DIV/0!</v>
      </c>
      <c r="O612" s="22">
        <f t="shared" si="72"/>
        <v>612</v>
      </c>
      <c r="P612" s="26">
        <f t="shared" ca="1" si="67"/>
        <v>0</v>
      </c>
      <c r="Q612" s="26">
        <f ca="1">IF(LeadTime=0,P612,IF(AND(SUM(Q611:OFFSET(Q612,-LeadTime,0))=0,P612&gt;0),MAX(P612:OFFSET(P612,-LeadTime+1,0)),0))</f>
        <v>0</v>
      </c>
    </row>
    <row r="613" spans="6:17" x14ac:dyDescent="0.2">
      <c r="F613" s="26">
        <f t="shared" si="68"/>
        <v>0</v>
      </c>
      <c r="G613" s="22" t="str">
        <f t="shared" ca="1" si="69"/>
        <v>History</v>
      </c>
      <c r="H613" s="22">
        <f t="shared" si="70"/>
        <v>1900</v>
      </c>
      <c r="I613" s="22">
        <f t="shared" si="71"/>
        <v>1</v>
      </c>
      <c r="J613" s="22">
        <f t="shared" si="65"/>
        <v>0</v>
      </c>
      <c r="L613" s="22">
        <f ca="1">SUM(K613:OFFSET(RngToDay,ROWS(Dates),10))</f>
        <v>0</v>
      </c>
      <c r="M613" s="26" t="str">
        <f ca="1">IF(B613="","",SUM(C613:OFFSET(C613,-LeadTime+1,0)))</f>
        <v/>
      </c>
      <c r="N613" s="26" t="e">
        <f t="shared" ca="1" si="66"/>
        <v>#DIV/0!</v>
      </c>
      <c r="O613" s="22">
        <f t="shared" si="72"/>
        <v>613</v>
      </c>
      <c r="P613" s="26">
        <f t="shared" ca="1" si="67"/>
        <v>0</v>
      </c>
      <c r="Q613" s="26">
        <f ca="1">IF(LeadTime=0,P613,IF(AND(SUM(Q612:OFFSET(Q613,-LeadTime,0))=0,P613&gt;0),MAX(P613:OFFSET(P613,-LeadTime+1,0)),0))</f>
        <v>0</v>
      </c>
    </row>
    <row r="614" spans="6:17" x14ac:dyDescent="0.2">
      <c r="F614" s="26">
        <f t="shared" si="68"/>
        <v>0</v>
      </c>
      <c r="G614" s="22" t="str">
        <f t="shared" ca="1" si="69"/>
        <v>History</v>
      </c>
      <c r="H614" s="22">
        <f t="shared" si="70"/>
        <v>1900</v>
      </c>
      <c r="I614" s="22">
        <f t="shared" si="71"/>
        <v>1</v>
      </c>
      <c r="J614" s="22">
        <f t="shared" si="65"/>
        <v>0</v>
      </c>
      <c r="L614" s="22">
        <f ca="1">SUM(K614:OFFSET(RngToDay,ROWS(Dates),10))</f>
        <v>0</v>
      </c>
      <c r="M614" s="26" t="str">
        <f ca="1">IF(B614="","",SUM(C614:OFFSET(C614,-LeadTime+1,0)))</f>
        <v/>
      </c>
      <c r="N614" s="26" t="e">
        <f t="shared" ca="1" si="66"/>
        <v>#DIV/0!</v>
      </c>
      <c r="O614" s="22">
        <f t="shared" si="72"/>
        <v>614</v>
      </c>
      <c r="P614" s="26">
        <f t="shared" ca="1" si="67"/>
        <v>0</v>
      </c>
      <c r="Q614" s="26">
        <f ca="1">IF(LeadTime=0,P614,IF(AND(SUM(Q613:OFFSET(Q614,-LeadTime,0))=0,P614&gt;0),MAX(P614:OFFSET(P614,-LeadTime+1,0)),0))</f>
        <v>0</v>
      </c>
    </row>
    <row r="615" spans="6:17" x14ac:dyDescent="0.2">
      <c r="F615" s="26">
        <f t="shared" si="68"/>
        <v>0</v>
      </c>
      <c r="G615" s="22" t="str">
        <f t="shared" ca="1" si="69"/>
        <v>History</v>
      </c>
      <c r="H615" s="22">
        <f t="shared" si="70"/>
        <v>1900</v>
      </c>
      <c r="I615" s="22">
        <f t="shared" si="71"/>
        <v>1</v>
      </c>
      <c r="J615" s="22">
        <f t="shared" si="65"/>
        <v>0</v>
      </c>
      <c r="L615" s="22">
        <f ca="1">SUM(K615:OFFSET(RngToDay,ROWS(Dates),10))</f>
        <v>0</v>
      </c>
      <c r="M615" s="26" t="str">
        <f ca="1">IF(B615="","",SUM(C615:OFFSET(C615,-LeadTime+1,0)))</f>
        <v/>
      </c>
      <c r="N615" s="26" t="e">
        <f t="shared" ca="1" si="66"/>
        <v>#DIV/0!</v>
      </c>
      <c r="O615" s="22">
        <f t="shared" si="72"/>
        <v>615</v>
      </c>
      <c r="P615" s="26">
        <f t="shared" ca="1" si="67"/>
        <v>0</v>
      </c>
      <c r="Q615" s="26">
        <f ca="1">IF(LeadTime=0,P615,IF(AND(SUM(Q614:OFFSET(Q615,-LeadTime,0))=0,P615&gt;0),MAX(P615:OFFSET(P615,-LeadTime+1,0)),0))</f>
        <v>0</v>
      </c>
    </row>
    <row r="616" spans="6:17" x14ac:dyDescent="0.2">
      <c r="F616" s="26">
        <f t="shared" si="68"/>
        <v>0</v>
      </c>
      <c r="G616" s="22" t="str">
        <f t="shared" ca="1" si="69"/>
        <v>History</v>
      </c>
      <c r="H616" s="22">
        <f t="shared" si="70"/>
        <v>1900</v>
      </c>
      <c r="I616" s="22">
        <f t="shared" si="71"/>
        <v>1</v>
      </c>
      <c r="J616" s="22">
        <f t="shared" si="65"/>
        <v>0</v>
      </c>
      <c r="L616" s="22">
        <f ca="1">SUM(K616:OFFSET(RngToDay,ROWS(Dates),10))</f>
        <v>0</v>
      </c>
      <c r="M616" s="26" t="str">
        <f ca="1">IF(B616="","",SUM(C616:OFFSET(C616,-LeadTime+1,0)))</f>
        <v/>
      </c>
      <c r="N616" s="26" t="e">
        <f t="shared" ca="1" si="66"/>
        <v>#DIV/0!</v>
      </c>
      <c r="O616" s="22">
        <f t="shared" si="72"/>
        <v>616</v>
      </c>
      <c r="P616" s="26">
        <f t="shared" ca="1" si="67"/>
        <v>0</v>
      </c>
      <c r="Q616" s="26">
        <f ca="1">IF(LeadTime=0,P616,IF(AND(SUM(Q615:OFFSET(Q616,-LeadTime,0))=0,P616&gt;0),MAX(P616:OFFSET(P616,-LeadTime+1,0)),0))</f>
        <v>0</v>
      </c>
    </row>
    <row r="617" spans="6:17" x14ac:dyDescent="0.2">
      <c r="F617" s="26">
        <f t="shared" si="68"/>
        <v>0</v>
      </c>
      <c r="G617" s="22" t="str">
        <f t="shared" ca="1" si="69"/>
        <v>History</v>
      </c>
      <c r="H617" s="22">
        <f t="shared" si="70"/>
        <v>1900</v>
      </c>
      <c r="I617" s="22">
        <f t="shared" si="71"/>
        <v>1</v>
      </c>
      <c r="J617" s="22">
        <f t="shared" si="65"/>
        <v>0</v>
      </c>
      <c r="L617" s="22">
        <f ca="1">SUM(K617:OFFSET(RngToDay,ROWS(Dates),10))</f>
        <v>0</v>
      </c>
      <c r="M617" s="26" t="str">
        <f ca="1">IF(B617="","",SUM(C617:OFFSET(C617,-LeadTime+1,0)))</f>
        <v/>
      </c>
      <c r="N617" s="26" t="e">
        <f t="shared" ca="1" si="66"/>
        <v>#DIV/0!</v>
      </c>
      <c r="O617" s="22">
        <f t="shared" si="72"/>
        <v>617</v>
      </c>
      <c r="P617" s="26">
        <f t="shared" ca="1" si="67"/>
        <v>0</v>
      </c>
      <c r="Q617" s="26">
        <f ca="1">IF(LeadTime=0,P617,IF(AND(SUM(Q616:OFFSET(Q617,-LeadTime,0))=0,P617&gt;0),MAX(P617:OFFSET(P617,-LeadTime+1,0)),0))</f>
        <v>0</v>
      </c>
    </row>
    <row r="618" spans="6:17" x14ac:dyDescent="0.2">
      <c r="F618" s="26">
        <f t="shared" si="68"/>
        <v>0</v>
      </c>
      <c r="G618" s="22" t="str">
        <f t="shared" ca="1" si="69"/>
        <v>History</v>
      </c>
      <c r="H618" s="22">
        <f t="shared" si="70"/>
        <v>1900</v>
      </c>
      <c r="I618" s="22">
        <f t="shared" si="71"/>
        <v>1</v>
      </c>
      <c r="J618" s="22">
        <f t="shared" si="65"/>
        <v>0</v>
      </c>
      <c r="L618" s="22">
        <f ca="1">SUM(K618:OFFSET(RngToDay,ROWS(Dates),10))</f>
        <v>0</v>
      </c>
      <c r="M618" s="26" t="str">
        <f ca="1">IF(B618="","",SUM(C618:OFFSET(C618,-LeadTime+1,0)))</f>
        <v/>
      </c>
      <c r="N618" s="26" t="e">
        <f t="shared" ca="1" si="66"/>
        <v>#DIV/0!</v>
      </c>
      <c r="O618" s="22">
        <f t="shared" si="72"/>
        <v>618</v>
      </c>
      <c r="P618" s="26">
        <f t="shared" ca="1" si="67"/>
        <v>0</v>
      </c>
      <c r="Q618" s="26">
        <f ca="1">IF(LeadTime=0,P618,IF(AND(SUM(Q617:OFFSET(Q618,-LeadTime,0))=0,P618&gt;0),MAX(P618:OFFSET(P618,-LeadTime+1,0)),0))</f>
        <v>0</v>
      </c>
    </row>
    <row r="619" spans="6:17" x14ac:dyDescent="0.2">
      <c r="F619" s="26">
        <f t="shared" si="68"/>
        <v>0</v>
      </c>
      <c r="G619" s="22" t="str">
        <f t="shared" ca="1" si="69"/>
        <v>History</v>
      </c>
      <c r="H619" s="22">
        <f t="shared" si="70"/>
        <v>1900</v>
      </c>
      <c r="I619" s="22">
        <f t="shared" si="71"/>
        <v>1</v>
      </c>
      <c r="J619" s="22">
        <f t="shared" si="65"/>
        <v>0</v>
      </c>
      <c r="L619" s="22">
        <f ca="1">SUM(K619:OFFSET(RngToDay,ROWS(Dates),10))</f>
        <v>0</v>
      </c>
      <c r="M619" s="26" t="str">
        <f ca="1">IF(B619="","",SUM(C619:OFFSET(C619,-LeadTime+1,0)))</f>
        <v/>
      </c>
      <c r="N619" s="26" t="e">
        <f t="shared" ca="1" si="66"/>
        <v>#DIV/0!</v>
      </c>
      <c r="O619" s="22">
        <f t="shared" si="72"/>
        <v>619</v>
      </c>
      <c r="P619" s="26">
        <f t="shared" ca="1" si="67"/>
        <v>0</v>
      </c>
      <c r="Q619" s="26">
        <f ca="1">IF(LeadTime=0,P619,IF(AND(SUM(Q618:OFFSET(Q619,-LeadTime,0))=0,P619&gt;0),MAX(P619:OFFSET(P619,-LeadTime+1,0)),0))</f>
        <v>0</v>
      </c>
    </row>
    <row r="620" spans="6:17" x14ac:dyDescent="0.2">
      <c r="F620" s="26">
        <f t="shared" si="68"/>
        <v>0</v>
      </c>
      <c r="G620" s="22" t="str">
        <f t="shared" ca="1" si="69"/>
        <v>History</v>
      </c>
      <c r="H620" s="22">
        <f t="shared" si="70"/>
        <v>1900</v>
      </c>
      <c r="I620" s="22">
        <f t="shared" si="71"/>
        <v>1</v>
      </c>
      <c r="J620" s="22">
        <f t="shared" si="65"/>
        <v>0</v>
      </c>
      <c r="L620" s="22">
        <f ca="1">SUM(K620:OFFSET(RngToDay,ROWS(Dates),10))</f>
        <v>0</v>
      </c>
      <c r="M620" s="26" t="str">
        <f ca="1">IF(B620="","",SUM(C620:OFFSET(C620,-LeadTime+1,0)))</f>
        <v/>
      </c>
      <c r="N620" s="26" t="e">
        <f t="shared" ca="1" si="66"/>
        <v>#DIV/0!</v>
      </c>
      <c r="O620" s="22">
        <f t="shared" si="72"/>
        <v>620</v>
      </c>
      <c r="P620" s="26">
        <f t="shared" ca="1" si="67"/>
        <v>0</v>
      </c>
      <c r="Q620" s="26">
        <f ca="1">IF(LeadTime=0,P620,IF(AND(SUM(Q619:OFFSET(Q620,-LeadTime,0))=0,P620&gt;0),MAX(P620:OFFSET(P620,-LeadTime+1,0)),0))</f>
        <v>0</v>
      </c>
    </row>
    <row r="621" spans="6:17" x14ac:dyDescent="0.2">
      <c r="F621" s="26">
        <f t="shared" si="68"/>
        <v>0</v>
      </c>
      <c r="G621" s="22" t="str">
        <f t="shared" ca="1" si="69"/>
        <v>History</v>
      </c>
      <c r="H621" s="22">
        <f t="shared" si="70"/>
        <v>1900</v>
      </c>
      <c r="I621" s="22">
        <f t="shared" si="71"/>
        <v>1</v>
      </c>
      <c r="J621" s="22">
        <f t="shared" si="65"/>
        <v>0</v>
      </c>
      <c r="L621" s="22">
        <f ca="1">SUM(K621:OFFSET(RngToDay,ROWS(Dates),10))</f>
        <v>0</v>
      </c>
      <c r="M621" s="26" t="str">
        <f ca="1">IF(B621="","",SUM(C621:OFFSET(C621,-LeadTime+1,0)))</f>
        <v/>
      </c>
      <c r="N621" s="26" t="e">
        <f t="shared" ca="1" si="66"/>
        <v>#DIV/0!</v>
      </c>
      <c r="O621" s="22">
        <f t="shared" si="72"/>
        <v>621</v>
      </c>
      <c r="P621" s="26">
        <f t="shared" ca="1" si="67"/>
        <v>0</v>
      </c>
      <c r="Q621" s="26">
        <f ca="1">IF(LeadTime=0,P621,IF(AND(SUM(Q620:OFFSET(Q621,-LeadTime,0))=0,P621&gt;0),MAX(P621:OFFSET(P621,-LeadTime+1,0)),0))</f>
        <v>0</v>
      </c>
    </row>
    <row r="622" spans="6:17" x14ac:dyDescent="0.2">
      <c r="F622" s="26">
        <f t="shared" si="68"/>
        <v>0</v>
      </c>
      <c r="G622" s="22" t="str">
        <f t="shared" ca="1" si="69"/>
        <v>History</v>
      </c>
      <c r="H622" s="22">
        <f t="shared" si="70"/>
        <v>1900</v>
      </c>
      <c r="I622" s="22">
        <f t="shared" si="71"/>
        <v>1</v>
      </c>
      <c r="J622" s="22">
        <f t="shared" si="65"/>
        <v>0</v>
      </c>
      <c r="L622" s="22">
        <f ca="1">SUM(K622:OFFSET(RngToDay,ROWS(Dates),10))</f>
        <v>0</v>
      </c>
      <c r="M622" s="26" t="str">
        <f ca="1">IF(B622="","",SUM(C622:OFFSET(C622,-LeadTime+1,0)))</f>
        <v/>
      </c>
      <c r="N622" s="26" t="e">
        <f t="shared" ca="1" si="66"/>
        <v>#DIV/0!</v>
      </c>
      <c r="O622" s="22">
        <f t="shared" si="72"/>
        <v>622</v>
      </c>
      <c r="P622" s="26">
        <f t="shared" ca="1" si="67"/>
        <v>0</v>
      </c>
      <c r="Q622" s="26">
        <f ca="1">IF(LeadTime=0,P622,IF(AND(SUM(Q621:OFFSET(Q622,-LeadTime,0))=0,P622&gt;0),MAX(P622:OFFSET(P622,-LeadTime+1,0)),0))</f>
        <v>0</v>
      </c>
    </row>
    <row r="623" spans="6:17" x14ac:dyDescent="0.2">
      <c r="F623" s="26">
        <f t="shared" si="68"/>
        <v>0</v>
      </c>
      <c r="G623" s="22" t="str">
        <f t="shared" ca="1" si="69"/>
        <v>History</v>
      </c>
      <c r="H623" s="22">
        <f t="shared" si="70"/>
        <v>1900</v>
      </c>
      <c r="I623" s="22">
        <f t="shared" si="71"/>
        <v>1</v>
      </c>
      <c r="J623" s="22">
        <f t="shared" si="65"/>
        <v>0</v>
      </c>
      <c r="L623" s="22">
        <f ca="1">SUM(K623:OFFSET(RngToDay,ROWS(Dates),10))</f>
        <v>0</v>
      </c>
      <c r="M623" s="26" t="str">
        <f ca="1">IF(B623="","",SUM(C623:OFFSET(C623,-LeadTime+1,0)))</f>
        <v/>
      </c>
      <c r="N623" s="26" t="e">
        <f t="shared" ca="1" si="66"/>
        <v>#DIV/0!</v>
      </c>
      <c r="O623" s="22">
        <f t="shared" si="72"/>
        <v>623</v>
      </c>
      <c r="P623" s="26">
        <f t="shared" ca="1" si="67"/>
        <v>0</v>
      </c>
      <c r="Q623" s="26">
        <f ca="1">IF(LeadTime=0,P623,IF(AND(SUM(Q622:OFFSET(Q623,-LeadTime,0))=0,P623&gt;0),MAX(P623:OFFSET(P623,-LeadTime+1,0)),0))</f>
        <v>0</v>
      </c>
    </row>
    <row r="624" spans="6:17" x14ac:dyDescent="0.2">
      <c r="F624" s="26">
        <f t="shared" si="68"/>
        <v>0</v>
      </c>
      <c r="G624" s="22" t="str">
        <f t="shared" ca="1" si="69"/>
        <v>History</v>
      </c>
      <c r="H624" s="22">
        <f t="shared" si="70"/>
        <v>1900</v>
      </c>
      <c r="I624" s="22">
        <f t="shared" si="71"/>
        <v>1</v>
      </c>
      <c r="J624" s="22">
        <f t="shared" si="65"/>
        <v>0</v>
      </c>
      <c r="L624" s="22">
        <f ca="1">SUM(K624:OFFSET(RngToDay,ROWS(Dates),10))</f>
        <v>0</v>
      </c>
      <c r="M624" s="26" t="str">
        <f ca="1">IF(B624="","",SUM(C624:OFFSET(C624,-LeadTime+1,0)))</f>
        <v/>
      </c>
      <c r="N624" s="26" t="e">
        <f t="shared" ca="1" si="66"/>
        <v>#DIV/0!</v>
      </c>
      <c r="O624" s="22">
        <f t="shared" si="72"/>
        <v>624</v>
      </c>
      <c r="P624" s="26">
        <f t="shared" ca="1" si="67"/>
        <v>0</v>
      </c>
      <c r="Q624" s="26">
        <f ca="1">IF(LeadTime=0,P624,IF(AND(SUM(Q623:OFFSET(Q624,-LeadTime,0))=0,P624&gt;0),MAX(P624:OFFSET(P624,-LeadTime+1,0)),0))</f>
        <v>0</v>
      </c>
    </row>
    <row r="625" spans="6:17" x14ac:dyDescent="0.2">
      <c r="F625" s="26">
        <f t="shared" si="68"/>
        <v>0</v>
      </c>
      <c r="G625" s="22" t="str">
        <f t="shared" ca="1" si="69"/>
        <v>History</v>
      </c>
      <c r="H625" s="22">
        <f t="shared" si="70"/>
        <v>1900</v>
      </c>
      <c r="I625" s="22">
        <f t="shared" si="71"/>
        <v>1</v>
      </c>
      <c r="J625" s="22">
        <f t="shared" si="65"/>
        <v>0</v>
      </c>
      <c r="L625" s="22">
        <f ca="1">SUM(K625:OFFSET(RngToDay,ROWS(Dates),10))</f>
        <v>0</v>
      </c>
      <c r="M625" s="26" t="str">
        <f ca="1">IF(B625="","",SUM(C625:OFFSET(C625,-LeadTime+1,0)))</f>
        <v/>
      </c>
      <c r="N625" s="26" t="e">
        <f t="shared" ca="1" si="66"/>
        <v>#DIV/0!</v>
      </c>
      <c r="O625" s="22">
        <f t="shared" si="72"/>
        <v>625</v>
      </c>
      <c r="P625" s="26">
        <f t="shared" ca="1" si="67"/>
        <v>0</v>
      </c>
      <c r="Q625" s="26">
        <f ca="1">IF(LeadTime=0,P625,IF(AND(SUM(Q624:OFFSET(Q625,-LeadTime,0))=0,P625&gt;0),MAX(P625:OFFSET(P625,-LeadTime+1,0)),0))</f>
        <v>0</v>
      </c>
    </row>
    <row r="626" spans="6:17" x14ac:dyDescent="0.2">
      <c r="F626" s="26">
        <f t="shared" si="68"/>
        <v>0</v>
      </c>
      <c r="G626" s="22" t="str">
        <f t="shared" ca="1" si="69"/>
        <v>History</v>
      </c>
      <c r="H626" s="22">
        <f t="shared" si="70"/>
        <v>1900</v>
      </c>
      <c r="I626" s="22">
        <f t="shared" si="71"/>
        <v>1</v>
      </c>
      <c r="J626" s="22">
        <f t="shared" si="65"/>
        <v>0</v>
      </c>
      <c r="L626" s="22">
        <f ca="1">SUM(K626:OFFSET(RngToDay,ROWS(Dates),10))</f>
        <v>0</v>
      </c>
      <c r="M626" s="26" t="str">
        <f ca="1">IF(B626="","",SUM(C626:OFFSET(C626,-LeadTime+1,0)))</f>
        <v/>
      </c>
      <c r="N626" s="26" t="e">
        <f t="shared" ca="1" si="66"/>
        <v>#DIV/0!</v>
      </c>
      <c r="O626" s="22">
        <f t="shared" si="72"/>
        <v>626</v>
      </c>
      <c r="P626" s="26">
        <f t="shared" ca="1" si="67"/>
        <v>0</v>
      </c>
      <c r="Q626" s="26">
        <f ca="1">IF(LeadTime=0,P626,IF(AND(SUM(Q625:OFFSET(Q626,-LeadTime,0))=0,P626&gt;0),MAX(P626:OFFSET(P626,-LeadTime+1,0)),0))</f>
        <v>0</v>
      </c>
    </row>
    <row r="627" spans="6:17" x14ac:dyDescent="0.2">
      <c r="F627" s="26">
        <f t="shared" si="68"/>
        <v>0</v>
      </c>
      <c r="G627" s="22" t="str">
        <f t="shared" ca="1" si="69"/>
        <v>History</v>
      </c>
      <c r="H627" s="22">
        <f t="shared" si="70"/>
        <v>1900</v>
      </c>
      <c r="I627" s="22">
        <f t="shared" si="71"/>
        <v>1</v>
      </c>
      <c r="J627" s="22">
        <f t="shared" si="65"/>
        <v>0</v>
      </c>
      <c r="L627" s="22">
        <f ca="1">SUM(K627:OFFSET(RngToDay,ROWS(Dates),10))</f>
        <v>0</v>
      </c>
      <c r="M627" s="26" t="str">
        <f ca="1">IF(B627="","",SUM(C627:OFFSET(C627,-LeadTime+1,0)))</f>
        <v/>
      </c>
      <c r="N627" s="26" t="e">
        <f t="shared" ca="1" si="66"/>
        <v>#DIV/0!</v>
      </c>
      <c r="O627" s="22">
        <f t="shared" si="72"/>
        <v>627</v>
      </c>
      <c r="P627" s="26">
        <f t="shared" ca="1" si="67"/>
        <v>0</v>
      </c>
      <c r="Q627" s="26">
        <f ca="1">IF(LeadTime=0,P627,IF(AND(SUM(Q626:OFFSET(Q627,-LeadTime,0))=0,P627&gt;0),MAX(P627:OFFSET(P627,-LeadTime+1,0)),0))</f>
        <v>0</v>
      </c>
    </row>
    <row r="628" spans="6:17" x14ac:dyDescent="0.2">
      <c r="F628" s="26">
        <f t="shared" si="68"/>
        <v>0</v>
      </c>
      <c r="G628" s="22" t="str">
        <f t="shared" ca="1" si="69"/>
        <v>History</v>
      </c>
      <c r="H628" s="22">
        <f t="shared" si="70"/>
        <v>1900</v>
      </c>
      <c r="I628" s="22">
        <f t="shared" si="71"/>
        <v>1</v>
      </c>
      <c r="J628" s="22">
        <f t="shared" si="65"/>
        <v>0</v>
      </c>
      <c r="L628" s="22">
        <f ca="1">SUM(K628:OFFSET(RngToDay,ROWS(Dates),10))</f>
        <v>0</v>
      </c>
      <c r="M628" s="26" t="str">
        <f ca="1">IF(B628="","",SUM(C628:OFFSET(C628,-LeadTime+1,0)))</f>
        <v/>
      </c>
      <c r="N628" s="26" t="e">
        <f t="shared" ca="1" si="66"/>
        <v>#DIV/0!</v>
      </c>
      <c r="O628" s="22">
        <f t="shared" si="72"/>
        <v>628</v>
      </c>
      <c r="P628" s="26">
        <f t="shared" ca="1" si="67"/>
        <v>0</v>
      </c>
      <c r="Q628" s="26">
        <f ca="1">IF(LeadTime=0,P628,IF(AND(SUM(Q627:OFFSET(Q628,-LeadTime,0))=0,P628&gt;0),MAX(P628:OFFSET(P628,-LeadTime+1,0)),0))</f>
        <v>0</v>
      </c>
    </row>
    <row r="629" spans="6:17" x14ac:dyDescent="0.2">
      <c r="F629" s="26">
        <f t="shared" si="68"/>
        <v>0</v>
      </c>
      <c r="G629" s="22" t="str">
        <f t="shared" ca="1" si="69"/>
        <v>History</v>
      </c>
      <c r="H629" s="22">
        <f t="shared" si="70"/>
        <v>1900</v>
      </c>
      <c r="I629" s="22">
        <f t="shared" si="71"/>
        <v>1</v>
      </c>
      <c r="J629" s="22">
        <f t="shared" si="65"/>
        <v>0</v>
      </c>
      <c r="L629" s="22">
        <f ca="1">SUM(K629:OFFSET(RngToDay,ROWS(Dates),10))</f>
        <v>0</v>
      </c>
      <c r="M629" s="26" t="str">
        <f ca="1">IF(B629="","",SUM(C629:OFFSET(C629,-LeadTime+1,0)))</f>
        <v/>
      </c>
      <c r="N629" s="26" t="e">
        <f t="shared" ca="1" si="66"/>
        <v>#DIV/0!</v>
      </c>
      <c r="O629" s="22">
        <f t="shared" si="72"/>
        <v>629</v>
      </c>
      <c r="P629" s="26">
        <f t="shared" ca="1" si="67"/>
        <v>0</v>
      </c>
      <c r="Q629" s="26">
        <f ca="1">IF(LeadTime=0,P629,IF(AND(SUM(Q628:OFFSET(Q629,-LeadTime,0))=0,P629&gt;0),MAX(P629:OFFSET(P629,-LeadTime+1,0)),0))</f>
        <v>0</v>
      </c>
    </row>
    <row r="630" spans="6:17" x14ac:dyDescent="0.2">
      <c r="F630" s="26">
        <f t="shared" si="68"/>
        <v>0</v>
      </c>
      <c r="G630" s="22" t="str">
        <f t="shared" ca="1" si="69"/>
        <v>History</v>
      </c>
      <c r="H630" s="22">
        <f t="shared" si="70"/>
        <v>1900</v>
      </c>
      <c r="I630" s="22">
        <f t="shared" si="71"/>
        <v>1</v>
      </c>
      <c r="J630" s="22">
        <f t="shared" si="65"/>
        <v>0</v>
      </c>
      <c r="L630" s="22">
        <f ca="1">SUM(K630:OFFSET(RngToDay,ROWS(Dates),10))</f>
        <v>0</v>
      </c>
      <c r="M630" s="26" t="str">
        <f ca="1">IF(B630="","",SUM(C630:OFFSET(C630,-LeadTime+1,0)))</f>
        <v/>
      </c>
      <c r="N630" s="26" t="e">
        <f t="shared" ca="1" si="66"/>
        <v>#DIV/0!</v>
      </c>
      <c r="O630" s="22">
        <f t="shared" si="72"/>
        <v>630</v>
      </c>
      <c r="P630" s="26">
        <f t="shared" ca="1" si="67"/>
        <v>0</v>
      </c>
      <c r="Q630" s="26">
        <f ca="1">IF(LeadTime=0,P630,IF(AND(SUM(Q629:OFFSET(Q630,-LeadTime,0))=0,P630&gt;0),MAX(P630:OFFSET(P630,-LeadTime+1,0)),0))</f>
        <v>0</v>
      </c>
    </row>
    <row r="631" spans="6:17" x14ac:dyDescent="0.2">
      <c r="F631" s="26">
        <f t="shared" si="68"/>
        <v>0</v>
      </c>
      <c r="G631" s="22" t="str">
        <f t="shared" ca="1" si="69"/>
        <v>History</v>
      </c>
      <c r="H631" s="22">
        <f t="shared" si="70"/>
        <v>1900</v>
      </c>
      <c r="I631" s="22">
        <f t="shared" si="71"/>
        <v>1</v>
      </c>
      <c r="J631" s="22">
        <f t="shared" si="65"/>
        <v>0</v>
      </c>
      <c r="L631" s="22">
        <f ca="1">SUM(K631:OFFSET(RngToDay,ROWS(Dates),10))</f>
        <v>0</v>
      </c>
      <c r="M631" s="26" t="str">
        <f ca="1">IF(B631="","",SUM(C631:OFFSET(C631,-LeadTime+1,0)))</f>
        <v/>
      </c>
      <c r="N631" s="26" t="e">
        <f t="shared" ca="1" si="66"/>
        <v>#DIV/0!</v>
      </c>
      <c r="O631" s="22">
        <f t="shared" si="72"/>
        <v>631</v>
      </c>
      <c r="P631" s="26">
        <f t="shared" ca="1" si="67"/>
        <v>0</v>
      </c>
      <c r="Q631" s="26">
        <f ca="1">IF(LeadTime=0,P631,IF(AND(SUM(Q630:OFFSET(Q631,-LeadTime,0))=0,P631&gt;0),MAX(P631:OFFSET(P631,-LeadTime+1,0)),0))</f>
        <v>0</v>
      </c>
    </row>
    <row r="632" spans="6:17" x14ac:dyDescent="0.2">
      <c r="F632" s="26">
        <f t="shared" si="68"/>
        <v>0</v>
      </c>
      <c r="G632" s="22" t="str">
        <f t="shared" ca="1" si="69"/>
        <v>History</v>
      </c>
      <c r="H632" s="22">
        <f t="shared" si="70"/>
        <v>1900</v>
      </c>
      <c r="I632" s="22">
        <f t="shared" si="71"/>
        <v>1</v>
      </c>
      <c r="J632" s="22">
        <f t="shared" ref="J632:J633" si="73">IF(WEEKDAY(DATE(YEAR(A632),1,1),2)&gt;4,WEEKNUM(A632,2)-1,WEEKNUM(A632,2))</f>
        <v>0</v>
      </c>
      <c r="L632" s="22">
        <f ca="1">SUM(K632:OFFSET(RngToDay,ROWS(Dates),10))</f>
        <v>0</v>
      </c>
      <c r="M632" s="26" t="str">
        <f ca="1">IF(B632="","",SUM(C632:OFFSET(C632,-LeadTime+1,0)))</f>
        <v/>
      </c>
      <c r="N632" s="26" t="e">
        <f t="shared" ca="1" si="66"/>
        <v>#DIV/0!</v>
      </c>
      <c r="O632" s="22">
        <f t="shared" si="72"/>
        <v>632</v>
      </c>
      <c r="P632" s="26">
        <f t="shared" ca="1" si="67"/>
        <v>0</v>
      </c>
      <c r="Q632" s="26">
        <f ca="1">IF(LeadTime=0,P632,IF(AND(SUM(Q631:OFFSET(Q632,-LeadTime,0))=0,P632&gt;0),MAX(P632:OFFSET(P632,-LeadTime+1,0)),0))</f>
        <v>0</v>
      </c>
    </row>
    <row r="633" spans="6:17" x14ac:dyDescent="0.2">
      <c r="F633" s="26">
        <f t="shared" si="68"/>
        <v>0</v>
      </c>
      <c r="G633" s="22" t="str">
        <f t="shared" ca="1" si="69"/>
        <v>History</v>
      </c>
      <c r="H633" s="22">
        <f t="shared" si="70"/>
        <v>1900</v>
      </c>
      <c r="I633" s="22">
        <f t="shared" si="71"/>
        <v>1</v>
      </c>
      <c r="J633" s="22">
        <f t="shared" si="73"/>
        <v>0</v>
      </c>
      <c r="L633" s="22">
        <f ca="1">SUM(K633:OFFSET(RngToDay,ROWS(Dates),10))</f>
        <v>0</v>
      </c>
      <c r="M633" s="26" t="str">
        <f ca="1">IF(B633="","",SUM(C633:OFFSET(C633,-LeadTime+1,0)))</f>
        <v/>
      </c>
      <c r="N633" s="26" t="e">
        <f t="shared" ca="1" si="66"/>
        <v>#DIV/0!</v>
      </c>
      <c r="O633" s="22">
        <f t="shared" si="72"/>
        <v>633</v>
      </c>
      <c r="P633" s="26">
        <f t="shared" ca="1" si="67"/>
        <v>0</v>
      </c>
      <c r="Q633" s="26">
        <f ca="1">IF(LeadTime=0,P633,IF(AND(SUM(Q632:OFFSET(Q633,-LeadTime,0))=0,P633&gt;0),MAX(P633:OFFSET(P633,-LeadTime+1,0)),0))</f>
        <v>0</v>
      </c>
    </row>
  </sheetData>
  <sheetProtection password="CB87" sheet="1" objects="1" scenarios="1" pivotTables="0"/>
  <pageMargins left="0.78740157499999996" right="0.78740157499999996" top="0.984251969" bottom="0.984251969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65</vt:i4>
      </vt:variant>
    </vt:vector>
  </HeadingPairs>
  <TitlesOfParts>
    <vt:vector size="87" baseType="lpstr">
      <vt:lpstr>Y084_MatData</vt:lpstr>
      <vt:lpstr>Y084_StockData</vt:lpstr>
      <vt:lpstr>MD04_Data</vt:lpstr>
      <vt:lpstr>Pvt_Req</vt:lpstr>
      <vt:lpstr>Database</vt:lpstr>
      <vt:lpstr>MARM</vt:lpstr>
      <vt:lpstr>Descriptions</vt:lpstr>
      <vt:lpstr>PvtTableDef</vt:lpstr>
      <vt:lpstr>LocalLists</vt:lpstr>
      <vt:lpstr>ReportOptions</vt:lpstr>
      <vt:lpstr>Version</vt:lpstr>
      <vt:lpstr>Usage</vt:lpstr>
      <vt:lpstr>StockOut</vt:lpstr>
      <vt:lpstr>Rapport info</vt:lpstr>
      <vt:lpstr>Chart</vt:lpstr>
      <vt:lpstr>Material Usage Req</vt:lpstr>
      <vt:lpstr>SafetyStock</vt:lpstr>
      <vt:lpstr>Movement Types</vt:lpstr>
      <vt:lpstr>Stock Details</vt:lpstr>
      <vt:lpstr>Stock Dates</vt:lpstr>
      <vt:lpstr>MD04 Pivot</vt:lpstr>
      <vt:lpstr>SourceData</vt:lpstr>
      <vt:lpstr>ActCov</vt:lpstr>
      <vt:lpstr>SourceData!AvgSafStockCov</vt:lpstr>
      <vt:lpstr>Y084_StockData!ChartRange</vt:lpstr>
      <vt:lpstr>Cov_Range</vt:lpstr>
      <vt:lpstr>Currency</vt:lpstr>
      <vt:lpstr>CustomerHierarchy</vt:lpstr>
      <vt:lpstr>Database</vt:lpstr>
      <vt:lpstr>DataPeriod</vt:lpstr>
      <vt:lpstr>DataRange</vt:lpstr>
      <vt:lpstr>Dates</vt:lpstr>
      <vt:lpstr>Dates1</vt:lpstr>
      <vt:lpstr>FactCal</vt:lpstr>
      <vt:lpstr>FirstSheet</vt:lpstr>
      <vt:lpstr>FirstTable</vt:lpstr>
      <vt:lpstr>Future_Range</vt:lpstr>
      <vt:lpstr>LeadTime</vt:lpstr>
      <vt:lpstr>MaterialName</vt:lpstr>
      <vt:lpstr>MaterialPrice</vt:lpstr>
      <vt:lpstr>MaxCov</vt:lpstr>
      <vt:lpstr>MD04_Data</vt:lpstr>
      <vt:lpstr>MD04_Fields</vt:lpstr>
      <vt:lpstr>MD04_Import</vt:lpstr>
      <vt:lpstr>MinCov</vt:lpstr>
      <vt:lpstr>NewData</vt:lpstr>
      <vt:lpstr>NOAR</vt:lpstr>
      <vt:lpstr>NumbDays</vt:lpstr>
      <vt:lpstr>Oppslag</vt:lpstr>
      <vt:lpstr>PostDate</vt:lpstr>
      <vt:lpstr>Chart!Print_Area</vt:lpstr>
      <vt:lpstr>'MD04 Pivot'!Print_Titles</vt:lpstr>
      <vt:lpstr>'Movement Types'!Print_Titles</vt:lpstr>
      <vt:lpstr>'Stock Dates'!Print_Titles</vt:lpstr>
      <vt:lpstr>'Stock Details'!Print_Titles</vt:lpstr>
      <vt:lpstr>ProductHierarchy</vt:lpstr>
      <vt:lpstr>QuantityUnit</vt:lpstr>
      <vt:lpstr>Chart!Query</vt:lpstr>
      <vt:lpstr>RecNum</vt:lpstr>
      <vt:lpstr>'Movement Types'!ReportCaption</vt:lpstr>
      <vt:lpstr>'Stock Dates'!ReportCaption</vt:lpstr>
      <vt:lpstr>'Stock Details'!ReportCaption</vt:lpstr>
      <vt:lpstr>ReportCaption</vt:lpstr>
      <vt:lpstr>ReportID</vt:lpstr>
      <vt:lpstr>Req_Range</vt:lpstr>
      <vt:lpstr>Req_Today</vt:lpstr>
      <vt:lpstr>RngToDay</vt:lpstr>
      <vt:lpstr>Saf_Stock</vt:lpstr>
      <vt:lpstr>SafDays_Range</vt:lpstr>
      <vt:lpstr>SafDays1_Range</vt:lpstr>
      <vt:lpstr>SourceData!SafStock</vt:lpstr>
      <vt:lpstr>SafStock_Range</vt:lpstr>
      <vt:lpstr>SalesValue</vt:lpstr>
      <vt:lpstr>SapExlReportName</vt:lpstr>
      <vt:lpstr>SL_Days</vt:lpstr>
      <vt:lpstr>Stock_Range</vt:lpstr>
      <vt:lpstr>StockData</vt:lpstr>
      <vt:lpstr>StockIn</vt:lpstr>
      <vt:lpstr>Time_Used</vt:lpstr>
      <vt:lpstr>TopRange</vt:lpstr>
      <vt:lpstr>TotStock</vt:lpstr>
      <vt:lpstr>SourceData!UnresStock</vt:lpstr>
      <vt:lpstr>Updated</vt:lpstr>
      <vt:lpstr>Used_Range</vt:lpstr>
      <vt:lpstr>X_Range</vt:lpstr>
      <vt:lpstr>X1_Range</vt:lpstr>
      <vt:lpstr>xDatabase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Bjørn Tømmerbakk</dc:creator>
  <cp:lastModifiedBy>Anil Kumar Bottu</cp:lastModifiedBy>
  <cp:lastPrinted>2012-10-26T21:03:07Z</cp:lastPrinted>
  <dcterms:created xsi:type="dcterms:W3CDTF">2012-10-09T11:25:20Z</dcterms:created>
  <dcterms:modified xsi:type="dcterms:W3CDTF">2019-02-01T11:31:31Z</dcterms:modified>
</cp:coreProperties>
</file>