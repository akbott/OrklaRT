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\OrklaRTReports\"/>
    </mc:Choice>
  </mc:AlternateContent>
  <workbookProtection workbookPassword="CB87" lockStructure="1"/>
  <bookViews>
    <workbookView xWindow="1530" yWindow="2760" windowWidth="17390" windowHeight="7500" tabRatio="934" firstSheet="6" activeTab="6"/>
  </bookViews>
  <sheets>
    <sheet name="Database" sheetId="9" state="hidden" r:id="rId1"/>
    <sheet name="Descriptions" sheetId="8" state="hidden" r:id="rId2"/>
    <sheet name="PvtTableDef" sheetId="33" state="hidden" r:id="rId3"/>
    <sheet name="LocalLists" sheetId="24" state="hidden" r:id="rId4"/>
    <sheet name="ReportOptions" sheetId="10" state="hidden" r:id="rId5"/>
    <sheet name="Version" sheetId="5" state="hidden" r:id="rId6"/>
    <sheet name="Rapport info" sheetId="1" r:id="rId7"/>
    <sheet name="Grupper" sheetId="37" r:id="rId8"/>
    <sheet name="Overføring" sheetId="34" r:id="rId9"/>
    <sheet name="Detaljer" sheetId="35" r:id="rId10"/>
    <sheet name="LeveringsTid" sheetId="36" r:id="rId11"/>
  </sheets>
  <definedNames>
    <definedName name="CreationDate">ReportOptions!$B$11</definedName>
    <definedName name="Currency">ReportOptions!$B$10</definedName>
    <definedName name="CustomerHierarchy">ReportOptions!$B$7</definedName>
    <definedName name="FirstSheet">Version!$B$6</definedName>
    <definedName name="FirstTable">Version!$B$7</definedName>
    <definedName name="IndexGroup">Grupper!$A$8:$H$116</definedName>
    <definedName name="MaterialPrice">ReportOptions!$B$5</definedName>
    <definedName name="ProductHierarchy">ReportOptions!$B$6</definedName>
    <definedName name="QuantityUnit">ReportOptions!$B$9</definedName>
    <definedName name="RecNum">'Rapport info'!$K$10</definedName>
    <definedName name="ReportCaption">Version!$B$8</definedName>
    <definedName name="ReportCaption1">Version!$B$9</definedName>
    <definedName name="ReportID">Version!$B$4</definedName>
    <definedName name="SalesValue">ReportOptions!$B$8</definedName>
    <definedName name="SapExlReportName">Version!$B$5</definedName>
    <definedName name="Time_Used">'Rapport info'!$K$12</definedName>
    <definedName name="Updated">'Rapport info'!$K$11</definedName>
  </definedNames>
  <calcPr calcId="152511"/>
  <pivotCaches>
    <pivotCache cacheId="35" r:id="rId12"/>
  </pivotCaches>
</workbook>
</file>

<file path=xl/calcChain.xml><?xml version="1.0" encoding="utf-8"?>
<calcChain xmlns="http://schemas.openxmlformats.org/spreadsheetml/2006/main">
  <c r="BU2" i="9" l="1"/>
  <c r="BU3" i="9"/>
  <c r="BU4" i="9"/>
  <c r="BU5" i="9"/>
  <c r="BU6" i="9"/>
  <c r="BU7" i="9"/>
  <c r="BU8" i="9"/>
  <c r="BU9" i="9"/>
  <c r="BU10" i="9"/>
  <c r="BU11" i="9"/>
  <c r="BU12" i="9"/>
  <c r="BU13" i="9"/>
  <c r="BU14" i="9"/>
  <c r="BU15" i="9"/>
  <c r="BU16" i="9"/>
  <c r="BU17" i="9"/>
  <c r="BU18" i="9"/>
  <c r="BU19" i="9"/>
  <c r="BU20" i="9"/>
  <c r="BU21" i="9"/>
  <c r="BU22" i="9"/>
  <c r="BU23" i="9"/>
  <c r="BU24" i="9"/>
  <c r="BU25" i="9"/>
  <c r="BT2" i="9" l="1"/>
  <c r="BT3" i="9"/>
  <c r="BT4" i="9"/>
  <c r="BT5" i="9"/>
  <c r="BT6" i="9"/>
  <c r="BT7" i="9"/>
  <c r="BT8" i="9"/>
  <c r="BT9" i="9"/>
  <c r="BT10" i="9"/>
  <c r="BT11" i="9"/>
  <c r="BT12" i="9"/>
  <c r="BT13" i="9"/>
  <c r="BT14" i="9"/>
  <c r="BT15" i="9"/>
  <c r="BT16" i="9"/>
  <c r="BT17" i="9"/>
  <c r="BT18" i="9"/>
  <c r="BT19" i="9"/>
  <c r="BT20" i="9"/>
  <c r="BT21" i="9"/>
  <c r="BT22" i="9"/>
  <c r="BT23" i="9"/>
  <c r="BT24" i="9"/>
  <c r="BT25" i="9"/>
  <c r="CE2" i="9" l="1"/>
  <c r="CE3" i="9"/>
  <c r="CE4" i="9"/>
  <c r="CE5" i="9"/>
  <c r="CE6" i="9"/>
  <c r="CE7" i="9"/>
  <c r="CE8" i="9"/>
  <c r="CE9" i="9"/>
  <c r="CE10" i="9"/>
  <c r="CE11" i="9"/>
  <c r="CE12" i="9"/>
  <c r="CE13" i="9"/>
  <c r="CE14" i="9"/>
  <c r="CE15" i="9"/>
  <c r="CE16" i="9"/>
  <c r="CE17" i="9"/>
  <c r="CE18" i="9"/>
  <c r="CE19" i="9"/>
  <c r="CE20" i="9"/>
  <c r="CE21" i="9"/>
  <c r="CE22" i="9"/>
  <c r="CE23" i="9"/>
  <c r="CE24" i="9"/>
  <c r="CE25" i="9"/>
  <c r="CB2" i="9"/>
  <c r="CB3" i="9"/>
  <c r="CB4" i="9"/>
  <c r="CB5" i="9"/>
  <c r="CB6" i="9"/>
  <c r="CB7" i="9"/>
  <c r="CB8" i="9"/>
  <c r="CB9" i="9"/>
  <c r="CB10" i="9"/>
  <c r="CB11" i="9"/>
  <c r="CB12" i="9"/>
  <c r="CB13" i="9"/>
  <c r="CB14" i="9"/>
  <c r="CB15" i="9"/>
  <c r="CB16" i="9"/>
  <c r="CB17" i="9"/>
  <c r="CB18" i="9"/>
  <c r="CB19" i="9"/>
  <c r="CB20" i="9"/>
  <c r="CB21" i="9"/>
  <c r="CB22" i="9"/>
  <c r="CB23" i="9"/>
  <c r="CB24" i="9"/>
  <c r="CB25" i="9"/>
  <c r="BR2" i="9"/>
  <c r="BR3" i="9"/>
  <c r="BR4" i="9"/>
  <c r="BR5" i="9"/>
  <c r="BR6" i="9"/>
  <c r="BR7" i="9"/>
  <c r="BR8" i="9"/>
  <c r="BR9" i="9"/>
  <c r="BR10" i="9"/>
  <c r="BR11" i="9"/>
  <c r="BR12" i="9"/>
  <c r="BR13" i="9"/>
  <c r="BR14" i="9"/>
  <c r="BR15" i="9"/>
  <c r="BR16" i="9"/>
  <c r="BR17" i="9"/>
  <c r="BR18" i="9"/>
  <c r="BR19" i="9"/>
  <c r="BR20" i="9"/>
  <c r="BR21" i="9"/>
  <c r="BR22" i="9"/>
  <c r="BR23" i="9"/>
  <c r="BR24" i="9"/>
  <c r="BR25" i="9"/>
  <c r="CA2" i="9"/>
  <c r="CA3" i="9"/>
  <c r="CA4" i="9"/>
  <c r="CA5" i="9"/>
  <c r="CA6" i="9"/>
  <c r="CA7" i="9"/>
  <c r="CA8" i="9"/>
  <c r="CA9" i="9"/>
  <c r="CA10" i="9"/>
  <c r="CA11" i="9"/>
  <c r="CA12" i="9"/>
  <c r="CA13" i="9"/>
  <c r="CA14" i="9"/>
  <c r="CA15" i="9"/>
  <c r="CA16" i="9"/>
  <c r="CA17" i="9"/>
  <c r="CA18" i="9"/>
  <c r="CA19" i="9"/>
  <c r="CA20" i="9"/>
  <c r="CA21" i="9"/>
  <c r="CA22" i="9"/>
  <c r="CA23" i="9"/>
  <c r="CA24" i="9"/>
  <c r="CA25" i="9"/>
  <c r="BS2" i="9" l="1"/>
  <c r="BS3" i="9"/>
  <c r="BS4" i="9"/>
  <c r="BS5" i="9"/>
  <c r="BV5" i="9" s="1"/>
  <c r="BW5" i="9" s="1"/>
  <c r="BS6" i="9"/>
  <c r="BS7" i="9"/>
  <c r="BS8" i="9"/>
  <c r="BV8" i="9" s="1"/>
  <c r="BW8" i="9" s="1"/>
  <c r="BS9" i="9"/>
  <c r="BV9" i="9" s="1"/>
  <c r="BW9" i="9" s="1"/>
  <c r="BS10" i="9"/>
  <c r="BS11" i="9"/>
  <c r="BS12" i="9"/>
  <c r="BS13" i="9"/>
  <c r="BV13" i="9" s="1"/>
  <c r="BW13" i="9" s="1"/>
  <c r="BS14" i="9"/>
  <c r="BS15" i="9"/>
  <c r="BS16" i="9"/>
  <c r="BV16" i="9" s="1"/>
  <c r="BW16" i="9" s="1"/>
  <c r="BS17" i="9"/>
  <c r="BV17" i="9" s="1"/>
  <c r="BW17" i="9" s="1"/>
  <c r="BS18" i="9"/>
  <c r="BS19" i="9"/>
  <c r="BS20" i="9"/>
  <c r="BS21" i="9"/>
  <c r="BV21" i="9" s="1"/>
  <c r="BW21" i="9" s="1"/>
  <c r="BS22" i="9"/>
  <c r="BS23" i="9"/>
  <c r="BS24" i="9"/>
  <c r="BS25" i="9"/>
  <c r="BQ2" i="9"/>
  <c r="BQ3" i="9"/>
  <c r="BQ4" i="9"/>
  <c r="BQ5" i="9"/>
  <c r="BQ6" i="9"/>
  <c r="BQ7" i="9"/>
  <c r="BQ8" i="9"/>
  <c r="BQ9" i="9"/>
  <c r="BQ10" i="9"/>
  <c r="BQ11" i="9"/>
  <c r="BQ12" i="9"/>
  <c r="BQ13" i="9"/>
  <c r="BQ14" i="9"/>
  <c r="BQ15" i="9"/>
  <c r="BQ16" i="9"/>
  <c r="BQ17" i="9"/>
  <c r="BQ18" i="9"/>
  <c r="BQ19" i="9"/>
  <c r="BQ20" i="9"/>
  <c r="BQ21" i="9"/>
  <c r="BQ22" i="9"/>
  <c r="BQ23" i="9"/>
  <c r="BQ24" i="9"/>
  <c r="BQ25" i="9"/>
  <c r="CD2" i="9"/>
  <c r="CD3" i="9"/>
  <c r="CD4" i="9"/>
  <c r="CD5" i="9"/>
  <c r="CD6" i="9"/>
  <c r="CD7" i="9"/>
  <c r="CD8" i="9"/>
  <c r="CD9" i="9"/>
  <c r="CD10" i="9"/>
  <c r="CD11" i="9"/>
  <c r="CD12" i="9"/>
  <c r="CD13" i="9"/>
  <c r="CD14" i="9"/>
  <c r="CD15" i="9"/>
  <c r="CD16" i="9"/>
  <c r="CD17" i="9"/>
  <c r="CD18" i="9"/>
  <c r="CD19" i="9"/>
  <c r="CD20" i="9"/>
  <c r="CD21" i="9"/>
  <c r="CD22" i="9"/>
  <c r="CD23" i="9"/>
  <c r="CD24" i="9"/>
  <c r="CD25" i="9"/>
  <c r="CF2" i="9"/>
  <c r="CF3" i="9"/>
  <c r="CF4" i="9"/>
  <c r="CF5" i="9"/>
  <c r="CF6" i="9"/>
  <c r="CF7" i="9"/>
  <c r="CF8" i="9"/>
  <c r="CF9" i="9"/>
  <c r="CF10" i="9"/>
  <c r="CF11" i="9"/>
  <c r="CF12" i="9"/>
  <c r="CF13" i="9"/>
  <c r="CF14" i="9"/>
  <c r="CF15" i="9"/>
  <c r="CF16" i="9"/>
  <c r="CF17" i="9"/>
  <c r="CF18" i="9"/>
  <c r="CF19" i="9"/>
  <c r="CF20" i="9"/>
  <c r="CF21" i="9"/>
  <c r="CF22" i="9"/>
  <c r="CF23" i="9"/>
  <c r="CF24" i="9"/>
  <c r="CF25" i="9"/>
  <c r="CC25" i="9"/>
  <c r="BY25" i="9"/>
  <c r="BV25" i="9"/>
  <c r="BW25" i="9" s="1"/>
  <c r="CC24" i="9"/>
  <c r="BY24" i="9"/>
  <c r="BV24" i="9"/>
  <c r="BW24" i="9" s="1"/>
  <c r="CC23" i="9"/>
  <c r="BY23" i="9"/>
  <c r="BV23" i="9"/>
  <c r="BW23" i="9" s="1"/>
  <c r="CC22" i="9"/>
  <c r="BY22" i="9"/>
  <c r="BV22" i="9"/>
  <c r="BW22" i="9" s="1"/>
  <c r="CC21" i="9"/>
  <c r="BY21" i="9"/>
  <c r="CC20" i="9"/>
  <c r="BY20" i="9"/>
  <c r="BV20" i="9"/>
  <c r="BW20" i="9" s="1"/>
  <c r="CC19" i="9"/>
  <c r="BY19" i="9"/>
  <c r="BV19" i="9"/>
  <c r="BW19" i="9" s="1"/>
  <c r="CC18" i="9"/>
  <c r="BY18" i="9"/>
  <c r="BV18" i="9"/>
  <c r="BW18" i="9" s="1"/>
  <c r="CC17" i="9"/>
  <c r="BY17" i="9"/>
  <c r="CC16" i="9"/>
  <c r="BY16" i="9"/>
  <c r="CC15" i="9"/>
  <c r="BY15" i="9"/>
  <c r="BV15" i="9"/>
  <c r="BW15" i="9" s="1"/>
  <c r="CC14" i="9"/>
  <c r="BY14" i="9"/>
  <c r="BV14" i="9"/>
  <c r="BW14" i="9" s="1"/>
  <c r="CC13" i="9"/>
  <c r="BY13" i="9"/>
  <c r="CC12" i="9"/>
  <c r="BY12" i="9"/>
  <c r="BV12" i="9"/>
  <c r="BW12" i="9" s="1"/>
  <c r="CC11" i="9"/>
  <c r="BY11" i="9"/>
  <c r="BV11" i="9"/>
  <c r="BW11" i="9" s="1"/>
  <c r="CC10" i="9"/>
  <c r="BY10" i="9"/>
  <c r="BV10" i="9"/>
  <c r="BW10" i="9" s="1"/>
  <c r="CC9" i="9"/>
  <c r="BY9" i="9"/>
  <c r="CC8" i="9"/>
  <c r="BY8" i="9"/>
  <c r="CC7" i="9"/>
  <c r="BY7" i="9"/>
  <c r="BV7" i="9"/>
  <c r="BW7" i="9" s="1"/>
  <c r="CC6" i="9"/>
  <c r="BY6" i="9"/>
  <c r="BV6" i="9"/>
  <c r="BW6" i="9" s="1"/>
  <c r="CC5" i="9"/>
  <c r="BY5" i="9"/>
  <c r="CC4" i="9"/>
  <c r="BY4" i="9"/>
  <c r="BV4" i="9"/>
  <c r="BW4" i="9" s="1"/>
  <c r="CC3" i="9"/>
  <c r="BY3" i="9"/>
  <c r="BV3" i="9"/>
  <c r="BW3" i="9" s="1"/>
  <c r="CC2" i="9"/>
  <c r="BY2" i="9"/>
  <c r="BV2" i="9"/>
  <c r="BW2" i="9" s="1"/>
  <c r="BX11" i="9" l="1"/>
  <c r="BZ11" i="9"/>
  <c r="BX12" i="9"/>
  <c r="BZ12" i="9"/>
  <c r="BX25" i="9"/>
  <c r="BZ25" i="9"/>
  <c r="BX21" i="9"/>
  <c r="BZ21" i="9"/>
  <c r="BX13" i="9"/>
  <c r="BZ13" i="9"/>
  <c r="BZ9" i="9"/>
  <c r="BX9" i="9"/>
  <c r="BX5" i="9"/>
  <c r="BZ5" i="9"/>
  <c r="BX6" i="9"/>
  <c r="BZ6" i="9"/>
  <c r="BX7" i="9"/>
  <c r="BZ7" i="9"/>
  <c r="BX8" i="9"/>
  <c r="BZ8" i="9"/>
  <c r="BX22" i="9"/>
  <c r="BZ22" i="9"/>
  <c r="BX23" i="9"/>
  <c r="BZ23" i="9"/>
  <c r="BX24" i="9"/>
  <c r="BZ24" i="9"/>
  <c r="BX10" i="9"/>
  <c r="BZ10" i="9"/>
  <c r="BX17" i="9"/>
  <c r="BZ17" i="9"/>
  <c r="BX2" i="9"/>
  <c r="BZ2" i="9"/>
  <c r="BX3" i="9"/>
  <c r="BZ3" i="9"/>
  <c r="BX4" i="9"/>
  <c r="BZ4" i="9"/>
  <c r="BX18" i="9"/>
  <c r="BZ18" i="9"/>
  <c r="BX19" i="9"/>
  <c r="BZ19" i="9"/>
  <c r="BX20" i="9"/>
  <c r="BZ20" i="9"/>
  <c r="BX14" i="9"/>
  <c r="BZ14" i="9"/>
  <c r="BX15" i="9"/>
  <c r="BZ15" i="9"/>
  <c r="BX16" i="9"/>
  <c r="BZ16" i="9"/>
  <c r="A2" i="36"/>
  <c r="A2" i="35"/>
  <c r="A2" i="34"/>
  <c r="J8" i="10" l="1"/>
  <c r="J7" i="10"/>
  <c r="J6" i="10"/>
  <c r="C7" i="10" s="1"/>
  <c r="J5" i="10"/>
  <c r="C6" i="10"/>
  <c r="C5" i="10"/>
  <c r="C8" i="10"/>
  <c r="C9" i="10"/>
  <c r="C10" i="10" l="1"/>
</calcChain>
</file>

<file path=xl/connections.xml><?xml version="1.0" encoding="utf-8"?>
<connections xmlns="http://schemas.openxmlformats.org/spreadsheetml/2006/main">
  <connection id="1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<sst xmlns="http://schemas.openxmlformats.org/spreadsheetml/2006/main" count="1160" uniqueCount="380">
  <si>
    <t>Material Name</t>
  </si>
  <si>
    <t>ReportName</t>
  </si>
  <si>
    <t>ReportID</t>
  </si>
  <si>
    <t>Material</t>
  </si>
  <si>
    <t>SLoc</t>
  </si>
  <si>
    <t>BUn</t>
  </si>
  <si>
    <t>Material Description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</si>
  <si>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</si>
  <si>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</si>
  <si>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</si>
  <si>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</si>
  <si>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</si>
  <si>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</si>
  <si>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</si>
  <si>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</si>
  <si>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</si>
  <si>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</si>
  <si>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</si>
  <si>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</si>
  <si>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</si>
  <si>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</si>
  <si>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</si>
  <si>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From</t>
  </si>
  <si>
    <t>To</t>
  </si>
  <si>
    <t>Profit Center</t>
  </si>
  <si>
    <t>FieldName</t>
  </si>
  <si>
    <t>QuantityUnit</t>
  </si>
  <si>
    <t>SalesValue</t>
  </si>
  <si>
    <t>CustomerHierarchy</t>
  </si>
  <si>
    <t>ProductHierarchy</t>
  </si>
  <si>
    <t>MaterialPrice</t>
  </si>
  <si>
    <t>NOA108</t>
  </si>
  <si>
    <t>C</t>
  </si>
  <si>
    <t>A</t>
  </si>
  <si>
    <t>Index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</si>
  <si>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</si>
  <si>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</si>
  <si>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</si>
  <si>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</si>
  <si>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</si>
  <si>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</si>
  <si>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</si>
  <si>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</si>
  <si>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</si>
  <si>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</si>
  <si>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</si>
  <si>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</si>
  <si>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</si>
  <si>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</si>
  <si>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</si>
  <si>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</si>
  <si>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</si>
  <si>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</si>
  <si>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</si>
  <si>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</si>
  <si>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</si>
  <si>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</si>
  <si>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</si>
  <si>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</si>
  <si>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</si>
  <si>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</si>
  <si>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</si>
  <si>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</si>
  <si>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</si>
  <si>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</si>
  <si>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</si>
  <si>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</si>
  <si>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</si>
  <si>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</si>
  <si>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</si>
  <si>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X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</si>
  <si>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</si>
  <si>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</si>
  <si>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</si>
  <si>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</si>
  <si>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</si>
  <si>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</si>
  <si>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</si>
  <si>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</si>
  <si>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</si>
  <si>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</si>
  <si>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</si>
  <si>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</si>
  <si>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</si>
  <si>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</si>
  <si>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</si>
  <si>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</si>
  <si>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</si>
  <si>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</si>
  <si>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</si>
  <si>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</si>
  <si>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</si>
  <si>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</si>
  <si>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</si>
  <si>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</si>
  <si>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</si>
  <si>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</si>
  <si>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</si>
  <si>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</si>
  <si>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</si>
  <si>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</si>
  <si>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</si>
  <si>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</si>
  <si>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</si>
  <si>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</si>
  <si>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Gross</t>
  </si>
  <si>
    <t>Default</t>
  </si>
  <si>
    <t>Include_Test</t>
  </si>
  <si>
    <t>Source Storage Type</t>
  </si>
  <si>
    <t>Test_Bin</t>
  </si>
  <si>
    <t>Hour Conf.</t>
  </si>
  <si>
    <t>TO Number</t>
  </si>
  <si>
    <t>Dest Storage Type</t>
  </si>
  <si>
    <t>WM Movement Type</t>
  </si>
  <si>
    <t>Date</t>
  </si>
  <si>
    <t>Transfer_Group</t>
  </si>
  <si>
    <t>#N/A</t>
  </si>
  <si>
    <t>Transport av paller til/fra lager</t>
  </si>
  <si>
    <t>OrderTime</t>
  </si>
  <si>
    <t>DelivTime</t>
  </si>
  <si>
    <t xml:space="preserve">Counter </t>
  </si>
  <si>
    <t>- Summarize all internal Stock Transfer Orders</t>
  </si>
  <si>
    <t>- Calculate standard time used for each transfer order</t>
  </si>
  <si>
    <t>- Maximum selection period is one week.</t>
  </si>
  <si>
    <t>- If you select a material number the selection period increases to one year.</t>
  </si>
  <si>
    <t>Pivottabell1</t>
  </si>
  <si>
    <t>MvT</t>
  </si>
  <si>
    <t>Time</t>
  </si>
  <si>
    <t>User</t>
  </si>
  <si>
    <t>Tme</t>
  </si>
  <si>
    <t>AUn</t>
  </si>
  <si>
    <t>Conf.dt.</t>
  </si>
  <si>
    <t>Typ</t>
  </si>
  <si>
    <t>Sec</t>
  </si>
  <si>
    <t>Act. ret. qty</t>
  </si>
  <si>
    <t>Ret.diff.qty.</t>
  </si>
  <si>
    <t>PAr</t>
  </si>
  <si>
    <t>PlndProcTimeTO itm</t>
  </si>
  <si>
    <t>ConfTme</t>
  </si>
  <si>
    <t>Xdock</t>
  </si>
  <si>
    <t>Storage type name</t>
  </si>
  <si>
    <t>SUT</t>
  </si>
  <si>
    <t>Source Bin</t>
  </si>
  <si>
    <t>Quant</t>
  </si>
  <si>
    <t>Volume</t>
  </si>
  <si>
    <t>VUn</t>
  </si>
  <si>
    <t>Counter</t>
  </si>
  <si>
    <t>Department</t>
  </si>
  <si>
    <t>DeliveryMin</t>
  </si>
  <si>
    <t>CreationDate</t>
  </si>
  <si>
    <t>Alternative Unit of Measure for Stockkeeping Unit</t>
  </si>
  <si>
    <t>Actual return quantity in alternate unit of measure</t>
  </si>
  <si>
    <t>Base Unit of Measure</t>
  </si>
  <si>
    <t>Return difference quantity in stockkeeping unit</t>
  </si>
  <si>
    <t>Picking Area</t>
  </si>
  <si>
    <t>Storage Location</t>
  </si>
  <si>
    <t>Planned proc.time in transfer order item</t>
  </si>
  <si>
    <t>Time unit for performance data</t>
  </si>
  <si>
    <t>Date of Pick Confirmation (First Step)</t>
  </si>
  <si>
    <t>Time of Pick Confirmation (First Step)</t>
  </si>
  <si>
    <t>User Name</t>
  </si>
  <si>
    <t>Cross dock interface</t>
  </si>
  <si>
    <t>Difference storage type</t>
  </si>
  <si>
    <t>Name of storage type</t>
  </si>
  <si>
    <t>Material Description (Short Text)</t>
  </si>
  <si>
    <t>Storage Unit Type</t>
  </si>
  <si>
    <t>Destination storage section</t>
  </si>
  <si>
    <t>Source Storage Bin</t>
  </si>
  <si>
    <t>Difference quant</t>
  </si>
  <si>
    <t>Volume unit</t>
  </si>
  <si>
    <t>Hour of confirmation</t>
  </si>
  <si>
    <t>System field - not to be displayed</t>
  </si>
  <si>
    <t>Department - owner of the Movement Group</t>
  </si>
  <si>
    <t>WM Movement Type Description</t>
  </si>
  <si>
    <t>User defined Transfer Group</t>
  </si>
  <si>
    <t>Source Storage Type Description</t>
  </si>
  <si>
    <t>Dest Storage Type Description</t>
  </si>
  <si>
    <t>Test to determine the location of 010 Production erea</t>
  </si>
  <si>
    <t>Test to exclude user defined Storage Types.</t>
  </si>
  <si>
    <t>Counter for accumulating number of Transfer Orders</t>
  </si>
  <si>
    <t>Delivery time in minutes for the TO</t>
  </si>
  <si>
    <t>Order creation time</t>
  </si>
  <si>
    <t>Order delivery conformation time</t>
  </si>
  <si>
    <t>AverageTime</t>
  </si>
  <si>
    <t>Calculated average delivery time in minutes for selected Transfer Orders</t>
  </si>
  <si>
    <t>Total_Hours</t>
  </si>
  <si>
    <t>Calculated total delivery time in hours for selected Transfer Orders</t>
  </si>
  <si>
    <t>Transport Groups Index</t>
  </si>
  <si>
    <t>Fill out the coloured columns below to change or create new transport groups.</t>
  </si>
  <si>
    <t>Group</t>
  </si>
  <si>
    <t>Dest_Bin</t>
  </si>
  <si>
    <t>Excluded_Types</t>
  </si>
  <si>
    <t>001-001-</t>
  </si>
  <si>
    <t>Råvarelager</t>
  </si>
  <si>
    <t>PROS</t>
  </si>
  <si>
    <t>001-089-</t>
  </si>
  <si>
    <t>001-099-</t>
  </si>
  <si>
    <t>ReportCaption1</t>
  </si>
  <si>
    <t>ReportCaption2</t>
  </si>
  <si>
    <t>Confirmation Date</t>
  </si>
  <si>
    <t>VELBEKOK</t>
  </si>
  <si>
    <t>20.03.2015</t>
  </si>
  <si>
    <t>Ikke tilordnet</t>
  </si>
  <si>
    <t>Fløte 10 dg.</t>
  </si>
  <si>
    <t>Elverum</t>
  </si>
  <si>
    <t>Råvare Emb.</t>
  </si>
  <si>
    <t>240/Ikke tilordnet</t>
  </si>
  <si>
    <t>240/E0</t>
  </si>
  <si>
    <t>Ikke tilordnet/VELBEKOK</t>
  </si>
  <si>
    <t>Toro Elverum (WM )</t>
  </si>
  <si>
    <t>240/920</t>
  </si>
  <si>
    <t>VELBEKOMME</t>
  </si>
  <si>
    <t>SK510</t>
  </si>
  <si>
    <t>EL00</t>
  </si>
  <si>
    <t>GLAKER</t>
  </si>
  <si>
    <t>17.03.2015</t>
  </si>
  <si>
    <t>Toro Spagetti Carbonara 6x385g</t>
  </si>
  <si>
    <t>Ferdigvare Kjøl</t>
  </si>
  <si>
    <t>240/E1</t>
  </si>
  <si>
    <t>Ikke tilordnet/GLAKER</t>
  </si>
  <si>
    <t>240/601</t>
  </si>
  <si>
    <t>L</t>
  </si>
  <si>
    <t>PTPL</t>
  </si>
  <si>
    <t>VB126</t>
  </si>
  <si>
    <t>Toro Thai Panang Curry 6x400g</t>
  </si>
  <si>
    <t>VB139</t>
  </si>
  <si>
    <t>TDELLE</t>
  </si>
  <si>
    <t>19.03.2015</t>
  </si>
  <si>
    <t>TORO Krydder Havets krydder 1x600g</t>
  </si>
  <si>
    <t>Ferdigvare Tørr</t>
  </si>
  <si>
    <t>Ikke tilordnet/TDELLE</t>
  </si>
  <si>
    <t>AHORNS</t>
  </si>
  <si>
    <t>PTQ0</t>
  </si>
  <si>
    <t>NI31A</t>
  </si>
  <si>
    <t>Toro Risgrøt 6x385g</t>
  </si>
  <si>
    <t>18.03.2015</t>
  </si>
  <si>
    <t>VB229</t>
  </si>
  <si>
    <t>16.03.2015</t>
  </si>
  <si>
    <t>Toro Aluminiumsfolie cutbox 45cmx90m 6rl</t>
  </si>
  <si>
    <t>NK18A</t>
  </si>
  <si>
    <t>Toro Svinekraft flyt 2fl/7,2dl 22L-ferd</t>
  </si>
  <si>
    <t>NK04A</t>
  </si>
  <si>
    <t>13.03.2015</t>
  </si>
  <si>
    <t>Heistad Appelsinmarme lavk kuv 144bg/22g</t>
  </si>
  <si>
    <t>NH13B</t>
  </si>
  <si>
    <t>TORO Ferdig Norsk Ertesuppe 3x2,5L</t>
  </si>
  <si>
    <t>NI33A</t>
  </si>
  <si>
    <t>RUJENS</t>
  </si>
  <si>
    <t>Hylse Tandoori</t>
  </si>
  <si>
    <t>Ikke tilordnet/RUJENS</t>
  </si>
  <si>
    <t>VELBEKOM</t>
  </si>
  <si>
    <t>NG537</t>
  </si>
  <si>
    <t>SIGBAR</t>
  </si>
  <si>
    <t>Trau til Hermetikkboks 1/1</t>
  </si>
  <si>
    <t>Ikke tilordnet/SIGBAR</t>
  </si>
  <si>
    <t>HPAKKERI</t>
  </si>
  <si>
    <t>HERMETIKK</t>
  </si>
  <si>
    <t>NG418</t>
  </si>
  <si>
    <t>VB240</t>
  </si>
  <si>
    <t>VB305</t>
  </si>
  <si>
    <t>Toro Bali Kyllinggryte 6x400g</t>
  </si>
  <si>
    <t>VB134</t>
  </si>
  <si>
    <t>Toro Tandoori Kyllinggryte 6x400g</t>
  </si>
  <si>
    <t>VB117</t>
  </si>
  <si>
    <t>Toro Lasagne 6x400g</t>
  </si>
  <si>
    <t>VB212</t>
  </si>
  <si>
    <t>VB213</t>
  </si>
  <si>
    <t>VB112</t>
  </si>
  <si>
    <t>Toro Tikka Masala 6x400g</t>
  </si>
  <si>
    <t>VB116</t>
  </si>
  <si>
    <t>Toro Spagetti Bolognese 6x400g</t>
  </si>
  <si>
    <t>VB113</t>
  </si>
  <si>
    <t>VB114</t>
  </si>
  <si>
    <t>010 240/Ikke tilordnet</t>
  </si>
  <si>
    <t>009 240/Ikke tilordnet</t>
  </si>
  <si>
    <t>002 240/Ikke tilordnet</t>
  </si>
  <si>
    <t>916 240/Ikke tilordnet</t>
  </si>
  <si>
    <t>006 240/Ikke tilordnet</t>
  </si>
  <si>
    <t>032 240/Ikke tilordnet</t>
  </si>
  <si>
    <t>Material2</t>
  </si>
  <si>
    <t>103447 Heistad Appelsinmarme lavk kuv 144bg/22g</t>
  </si>
  <si>
    <t>318165 Hylse Tandoori</t>
  </si>
  <si>
    <t>106926 Toro Aluminiumsfolie cutbox 45cmx90m 6rl</t>
  </si>
  <si>
    <t>116263 Toro Spagetti Carbonara 6x385g</t>
  </si>
  <si>
    <t>123684 Toro Thai Panang Curry 6x400g</t>
  </si>
  <si>
    <t>108231 Toro Risgrøt 6x385g</t>
  </si>
  <si>
    <t>120513 TORO Ferdig Norsk Ertesuppe 3x2,5L</t>
  </si>
  <si>
    <t>303726 Trau til Hermetikkboks 1/1</t>
  </si>
  <si>
    <t>108237 Toro Bali Kyllinggryte 6x400g</t>
  </si>
  <si>
    <t>111401 Toro Tandoori Kyllinggryte 6x400g</t>
  </si>
  <si>
    <t>115543 Toro Lasagne 6x400g</t>
  </si>
  <si>
    <t>120784 Toro Tikka Masala 6x400g</t>
  </si>
  <si>
    <t>115542 Toro Spagetti Bolognese 6x400g</t>
  </si>
  <si>
    <t>113716 TORO Krydder Havets krydder 1x600g</t>
  </si>
  <si>
    <t>106095 Toro Svinekraft flyt 2fl/7,2dl 22L-ferd</t>
  </si>
  <si>
    <t>503381 Fløte 10 dg.</t>
  </si>
  <si>
    <t xml:space="preserve">    Trykk F10 for å lansere valgskjermen</t>
  </si>
  <si>
    <t>Rapporter Statistikker</t>
  </si>
  <si>
    <t>Rapporten Inneholder</t>
  </si>
  <si>
    <t>Overføring</t>
  </si>
  <si>
    <t>Tid for ekstern status</t>
  </si>
  <si>
    <t>Sluttdato</t>
  </si>
  <si>
    <t>Bruker</t>
  </si>
  <si>
    <t>Gyldig til</t>
  </si>
  <si>
    <t>Levering</t>
  </si>
  <si>
    <t>Medarbeider</t>
  </si>
  <si>
    <t>Språk</t>
  </si>
  <si>
    <t>Mat. Dok.</t>
  </si>
  <si>
    <t>Material Beskrivelse</t>
  </si>
  <si>
    <t>Inndelingsdato</t>
  </si>
  <si>
    <t>Lagertekst</t>
  </si>
  <si>
    <t>Fabrikktekst</t>
  </si>
  <si>
    <t>Lagertypetekst</t>
  </si>
  <si>
    <t>Lagringsenhetstype</t>
  </si>
  <si>
    <t>BW-system</t>
  </si>
  <si>
    <t>Bruker3</t>
  </si>
  <si>
    <t>Losseplass</t>
  </si>
  <si>
    <t>Bruker17</t>
  </si>
  <si>
    <t>Lagernummer</t>
  </si>
  <si>
    <t>Bev.Typ</t>
  </si>
  <si>
    <t>Behovskategori</t>
  </si>
  <si>
    <t>Opprett.tidsp.</t>
  </si>
  <si>
    <t>Slutttidspunkt</t>
  </si>
  <si>
    <t>Plukkområde</t>
  </si>
  <si>
    <t>Kvittering</t>
  </si>
  <si>
    <t>Løpenummer</t>
  </si>
  <si>
    <t>Betegnelse(25)</t>
  </si>
  <si>
    <t>Skriver</t>
  </si>
  <si>
    <t>Bet. Lagertype</t>
  </si>
  <si>
    <t>Bet. Lagertype2</t>
  </si>
  <si>
    <t>Dest.lageromr.</t>
  </si>
  <si>
    <t>Dest-lageradr.</t>
  </si>
  <si>
    <t>Kvant</t>
  </si>
  <si>
    <t>Dest.lagertyp</t>
  </si>
  <si>
    <t>Kvitteringsdato</t>
  </si>
  <si>
    <t>Kvitteringsdato16</t>
  </si>
  <si>
    <t>Kl. for kvitt.</t>
  </si>
  <si>
    <t>Kvantum</t>
  </si>
  <si>
    <t>Lagertype22</t>
  </si>
  <si>
    <t>TO-posisjon</t>
  </si>
  <si>
    <t>Åpn. lgrEh. Fra</t>
  </si>
  <si>
    <t>Kildelagerområde</t>
  </si>
  <si>
    <t>Kildelageradresse</t>
  </si>
  <si>
    <t>Kildelagertype</t>
  </si>
  <si>
    <t>Fabrikk</t>
  </si>
  <si>
    <t>Diff. Kildelgr.</t>
  </si>
  <si>
    <t>Diff.kvt.</t>
  </si>
  <si>
    <t>Diff.kvt.dest 1</t>
  </si>
  <si>
    <t>Diff.kvt.dest 2</t>
  </si>
  <si>
    <t>Fakt. tid - LSS-TO</t>
  </si>
  <si>
    <t>Fakt. Til-kvt. 1</t>
  </si>
  <si>
    <t>Fakt. Til-kvt. 2</t>
  </si>
  <si>
    <t>Fakt.kvt. Fra 1</t>
  </si>
  <si>
    <t>Fakt.kvt. Fra 2</t>
  </si>
  <si>
    <t>Fakt.kvt.retur</t>
  </si>
  <si>
    <t>Lagert.diff</t>
  </si>
  <si>
    <t>Lagringsenheter</t>
  </si>
  <si>
    <t>LE - uttak</t>
  </si>
  <si>
    <t>Nevner</t>
  </si>
  <si>
    <t>Pl.BehTid Topos</t>
  </si>
  <si>
    <t>Teller</t>
  </si>
  <si>
    <t>Vekt</t>
  </si>
  <si>
    <t>Volum</t>
  </si>
  <si>
    <t>Inkluder_Test</t>
  </si>
  <si>
    <t>Inkludert</t>
  </si>
  <si>
    <t>Material Navn</t>
  </si>
  <si>
    <t>Kildelagertype2</t>
  </si>
  <si>
    <t>Lev.tid</t>
  </si>
  <si>
    <t>Dest.lagertype</t>
  </si>
  <si>
    <t>Dato</t>
  </si>
  <si>
    <t>Overføring_Gruppe</t>
  </si>
  <si>
    <t>Ordretid</t>
  </si>
  <si>
    <t>Std.tid</t>
  </si>
  <si>
    <t xml:space="preserve">Std.tid </t>
  </si>
  <si>
    <t>Bevegelsetype</t>
  </si>
  <si>
    <t>Time bekr.</t>
  </si>
  <si>
    <t xml:space="preserve">Snitt.tid </t>
  </si>
  <si>
    <t xml:space="preserve">Totalt_Timer </t>
  </si>
  <si>
    <t>Gjennomsnittlig leveringstid i minutter</t>
  </si>
  <si>
    <t>Transportordre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</si>
</sst>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;[Red]\-#,##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43"/>
        <bgColor indexed="64"/>
      </patternFill>
    </fill>
  </fills>
  <borders count="21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4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rgb="FFABABAB"/>
      </top>
      <bottom/>
      <diagonal/>
    </border>
    <border>
      <left style="thin">
        <color rgb="FFABABAB"/>
      </left>
      <right style="thin">
        <color indexed="8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/>
      <right style="thin">
        <color rgb="FFABABAB"/>
      </right>
      <top/>
      <bottom/>
      <diagonal/>
    </border>
    <border>
      <left/>
      <right style="thin">
        <color indexed="8"/>
      </right>
      <top style="thin">
        <color rgb="FFABABAB"/>
      </top>
      <bottom/>
      <diagonal/>
    </border>
  </borders>
  <cellStyleXfs count="9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10" fillId="0" borderId="0"/>
    <xf numFmtId="0" fontId="7" fillId="0" borderId="0"/>
  </cellStyleXfs>
  <cellXfs count="79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38" fontId="1" fillId="2" borderId="3" xfId="0" applyNumberFormat="1" applyFont="1" applyFill="1" applyBorder="1" applyAlignment="1">
      <alignment horizontal="right"/>
    </xf>
    <xf numFmtId="38" fontId="1" fillId="2" borderId="4" xfId="0" applyNumberFormat="1" applyFont="1" applyFill="1" applyBorder="1" applyAlignment="1">
      <alignment horizontal="right"/>
    </xf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0" fillId="0" borderId="0" xfId="0" applyNumberFormat="1"/>
    <xf numFmtId="0" fontId="1" fillId="0" borderId="0" xfId="0" applyFont="1" applyFill="1"/>
    <xf numFmtId="0" fontId="1" fillId="2" borderId="5" xfId="0" applyFont="1" applyFill="1" applyBorder="1"/>
    <xf numFmtId="0" fontId="1" fillId="2" borderId="3" xfId="0" applyFont="1" applyFill="1" applyBorder="1"/>
    <xf numFmtId="0" fontId="1" fillId="5" borderId="0" xfId="0" applyFont="1" applyFill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0" fontId="0" fillId="3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0" fontId="11" fillId="0" borderId="0" xfId="7" applyFont="1"/>
    <xf numFmtId="0" fontId="8" fillId="0" borderId="0" xfId="7" applyFont="1"/>
    <xf numFmtId="0" fontId="10" fillId="0" borderId="0" xfId="7"/>
    <xf numFmtId="0" fontId="8" fillId="0" borderId="0" xfId="0" applyNumberFormat="1" applyFont="1"/>
    <xf numFmtId="14" fontId="8" fillId="0" borderId="0" xfId="0" applyNumberFormat="1" applyFont="1"/>
    <xf numFmtId="21" fontId="8" fillId="0" borderId="0" xfId="0" applyNumberFormat="1" applyFont="1"/>
    <xf numFmtId="21" fontId="0" fillId="0" borderId="0" xfId="0" applyNumberFormat="1"/>
    <xf numFmtId="38" fontId="8" fillId="0" borderId="0" xfId="0" applyNumberFormat="1" applyFont="1"/>
    <xf numFmtId="22" fontId="8" fillId="0" borderId="0" xfId="0" applyNumberFormat="1" applyFont="1"/>
    <xf numFmtId="14" fontId="0" fillId="3" borderId="0" xfId="0" applyNumberFormat="1" applyFill="1"/>
    <xf numFmtId="0" fontId="7" fillId="0" borderId="0" xfId="1"/>
    <xf numFmtId="0" fontId="7" fillId="0" borderId="0" xfId="8"/>
    <xf numFmtId="0" fontId="12" fillId="0" borderId="0" xfId="7" applyFont="1"/>
    <xf numFmtId="0" fontId="12" fillId="6" borderId="0" xfId="7" applyFont="1" applyFill="1"/>
    <xf numFmtId="0" fontId="12" fillId="6" borderId="0" xfId="7" applyFont="1" applyFill="1" applyAlignment="1">
      <alignment horizontal="right"/>
    </xf>
    <xf numFmtId="0" fontId="12" fillId="6" borderId="0" xfId="8" applyFont="1" applyFill="1"/>
    <xf numFmtId="0" fontId="13" fillId="6" borderId="0" xfId="7" applyFont="1" applyFill="1"/>
    <xf numFmtId="0" fontId="10" fillId="0" borderId="0" xfId="7" applyFont="1" applyFill="1"/>
    <xf numFmtId="0" fontId="0" fillId="0" borderId="0" xfId="8" applyFont="1" applyFill="1"/>
    <xf numFmtId="0" fontId="10" fillId="0" borderId="0" xfId="7" applyFill="1"/>
    <xf numFmtId="0" fontId="1" fillId="0" borderId="0" xfId="0" applyFont="1" applyBorder="1"/>
    <xf numFmtId="0" fontId="0" fillId="0" borderId="7" xfId="0" applyBorder="1"/>
    <xf numFmtId="0" fontId="1" fillId="2" borderId="3" xfId="0" applyNumberFormat="1" applyFont="1" applyFill="1" applyBorder="1" applyAlignment="1">
      <alignment horizontal="right"/>
    </xf>
    <xf numFmtId="0" fontId="1" fillId="0" borderId="0" xfId="0" applyNumberFormat="1" applyFont="1"/>
    <xf numFmtId="22" fontId="0" fillId="0" borderId="0" xfId="0" applyNumberFormat="1" applyBorder="1"/>
    <xf numFmtId="0" fontId="0" fillId="0" borderId="0" xfId="0" applyNumberFormat="1" applyAlignment="1">
      <alignment horizontal="right"/>
    </xf>
    <xf numFmtId="0" fontId="0" fillId="0" borderId="12" xfId="0" pivotButton="1" applyBorder="1"/>
    <xf numFmtId="0" fontId="0" fillId="0" borderId="12" xfId="0" applyBorder="1"/>
    <xf numFmtId="0" fontId="0" fillId="0" borderId="10" xfId="0" applyBorder="1"/>
    <xf numFmtId="0" fontId="1" fillId="0" borderId="13" xfId="0" applyFont="1" applyBorder="1"/>
    <xf numFmtId="38" fontId="0" fillId="0" borderId="8" xfId="0" applyNumberFormat="1" applyBorder="1" applyAlignment="1">
      <alignment horizontal="right"/>
    </xf>
    <xf numFmtId="38" fontId="0" fillId="0" borderId="10" xfId="0" applyNumberFormat="1" applyBorder="1" applyAlignment="1">
      <alignment horizontal="right"/>
    </xf>
    <xf numFmtId="38" fontId="0" fillId="0" borderId="11" xfId="0" applyNumberFormat="1" applyBorder="1" applyAlignment="1">
      <alignment horizontal="right"/>
    </xf>
    <xf numFmtId="0" fontId="0" fillId="0" borderId="14" xfId="0" applyBorder="1"/>
    <xf numFmtId="0" fontId="1" fillId="0" borderId="10" xfId="0" applyFont="1" applyBorder="1"/>
    <xf numFmtId="0" fontId="0" fillId="4" borderId="15" xfId="0" applyFill="1" applyBorder="1"/>
    <xf numFmtId="0" fontId="0" fillId="4" borderId="9" xfId="0" applyFill="1" applyBorder="1"/>
    <xf numFmtId="38" fontId="0" fillId="4" borderId="8" xfId="0" applyNumberFormat="1" applyFill="1" applyBorder="1" applyAlignment="1">
      <alignment horizontal="right"/>
    </xf>
    <xf numFmtId="38" fontId="0" fillId="4" borderId="10" xfId="0" applyNumberFormat="1" applyFill="1" applyBorder="1" applyAlignment="1">
      <alignment horizontal="right"/>
    </xf>
    <xf numFmtId="38" fontId="0" fillId="4" borderId="16" xfId="0" applyNumberFormat="1" applyFill="1" applyBorder="1" applyAlignment="1">
      <alignment horizontal="right"/>
    </xf>
    <xf numFmtId="22" fontId="0" fillId="0" borderId="10" xfId="0" applyNumberFormat="1" applyBorder="1"/>
    <xf numFmtId="22" fontId="1" fillId="0" borderId="10" xfId="0" applyNumberFormat="1" applyFont="1" applyBorder="1"/>
    <xf numFmtId="0" fontId="1" fillId="0" borderId="8" xfId="0" applyFont="1" applyBorder="1" applyAlignment="1">
      <alignment horizontal="right"/>
    </xf>
    <xf numFmtId="0" fontId="1" fillId="0" borderId="10" xfId="0" applyFont="1" applyBorder="1" applyAlignment="1">
      <alignment horizontal="right"/>
    </xf>
    <xf numFmtId="0" fontId="1" fillId="0" borderId="17" xfId="0" applyFont="1" applyBorder="1" applyAlignment="1">
      <alignment horizontal="right"/>
    </xf>
    <xf numFmtId="0" fontId="0" fillId="0" borderId="10" xfId="0" applyNumberFormat="1" applyBorder="1" applyAlignment="1">
      <alignment horizontal="right"/>
    </xf>
    <xf numFmtId="0" fontId="0" fillId="4" borderId="10" xfId="0" applyNumberFormat="1" applyFill="1" applyBorder="1" applyAlignment="1">
      <alignment horizontal="right"/>
    </xf>
    <xf numFmtId="0" fontId="1" fillId="0" borderId="11" xfId="0" applyFont="1" applyBorder="1" applyAlignment="1">
      <alignment horizontal="right"/>
    </xf>
    <xf numFmtId="38" fontId="0" fillId="0" borderId="18" xfId="0" applyNumberFormat="1" applyBorder="1" applyAlignment="1">
      <alignment horizontal="right"/>
    </xf>
    <xf numFmtId="164" fontId="0" fillId="0" borderId="17" xfId="0" applyNumberFormat="1" applyBorder="1" applyAlignment="1">
      <alignment horizontal="right"/>
    </xf>
    <xf numFmtId="164" fontId="0" fillId="0" borderId="19" xfId="0" applyNumberFormat="1" applyBorder="1" applyAlignment="1">
      <alignment horizontal="right"/>
    </xf>
    <xf numFmtId="164" fontId="1" fillId="2" borderId="4" xfId="0" applyNumberFormat="1" applyFont="1" applyFill="1" applyBorder="1" applyAlignment="1">
      <alignment horizontal="right"/>
    </xf>
    <xf numFmtId="164" fontId="0" fillId="4" borderId="20" xfId="0" applyNumberFormat="1" applyFill="1" applyBorder="1" applyAlignment="1">
      <alignment horizontal="right"/>
    </xf>
  </cellXfs>
  <cellStyles count="9"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  <cellStyle name="Normal 5" xfId="7"/>
    <cellStyle name="Normal_Ark" xfId="8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sz val="10"/>
        <color indexed="8"/>
        <name val="Arial"/>
        <scheme val="none"/>
      </font>
      <numFmt numFmtId="27" formatCode="dd/mm/yyyy\ hh:mm"/>
    </dxf>
    <dxf>
      <font>
        <sz val="10"/>
        <color indexed="8"/>
        <name val="Arial"/>
        <scheme val="none"/>
      </font>
      <numFmt numFmtId="27" formatCode="dd/mm/yyyy\ hh:mm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6" formatCode="#,##0;[Red]\-#,##0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19" formatCode="dd/mm/yyyy"/>
    </dxf>
    <dxf>
      <font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numFmt numFmtId="26" formatCode="hh:mm:ss"/>
    </dxf>
    <dxf>
      <numFmt numFmtId="0" formatCode="General"/>
    </dxf>
    <dxf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FF8080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8</xdr:col>
      <xdr:colOff>702235</xdr:colOff>
      <xdr:row>4</xdr:row>
      <xdr:rowOff>25866</xdr:rowOff>
    </xdr:to>
    <xdr:sp macro="" textlink="SapExlReportName">
      <xdr:nvSpPr>
        <xdr:cNvPr id="6" name="Avrundet rektangel 5"/>
        <xdr:cNvSpPr/>
      </xdr:nvSpPr>
      <xdr:spPr>
        <a:xfrm>
          <a:off x="2656700" y="297743"/>
          <a:ext cx="3745594" cy="534947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Transportordre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134477</xdr:rowOff>
    </xdr:from>
    <xdr:to>
      <xdr:col>3</xdr:col>
      <xdr:colOff>488240</xdr:colOff>
      <xdr:row>6</xdr:row>
      <xdr:rowOff>1015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765" y="134477"/>
          <a:ext cx="2027181" cy="1061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22411</xdr:colOff>
      <xdr:row>0</xdr:row>
      <xdr:rowOff>33618</xdr:rowOff>
    </xdr:from>
    <xdr:ext cx="2192688" cy="277097"/>
    <xdr:sp macro="" textlink="ReportCaption">
      <xdr:nvSpPr>
        <xdr:cNvPr id="2" name="Avrundet rektangel 1"/>
        <xdr:cNvSpPr/>
      </xdr:nvSpPr>
      <xdr:spPr>
        <a:xfrm>
          <a:off x="22411" y="33618"/>
          <a:ext cx="2192688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Transportordre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33617</xdr:colOff>
      <xdr:row>0</xdr:row>
      <xdr:rowOff>33618</xdr:rowOff>
    </xdr:from>
    <xdr:ext cx="2192688" cy="277097"/>
    <xdr:sp macro="" textlink="ReportCaption">
      <xdr:nvSpPr>
        <xdr:cNvPr id="2" name="Avrundet rektangel 1"/>
        <xdr:cNvSpPr/>
      </xdr:nvSpPr>
      <xdr:spPr>
        <a:xfrm>
          <a:off x="33617" y="33618"/>
          <a:ext cx="2192688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Transportordre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3494867" cy="277097"/>
    <xdr:sp macro="" textlink="ReportCaption1">
      <xdr:nvSpPr>
        <xdr:cNvPr id="2" name="Avrundet rektangel 1"/>
        <xdr:cNvSpPr/>
      </xdr:nvSpPr>
      <xdr:spPr>
        <a:xfrm>
          <a:off x="22412" y="33618"/>
          <a:ext cx="3494867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9464AF15-5BFE-445A-9EF7-2C1B1D767532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Gjennomsnittlig leveringstid i minutter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100.777560879629" createdVersion="4" refreshedVersion="5" minRefreshableVersion="3" recordCount="24">
  <cacheSource type="worksheet">
    <worksheetSource name="SapExlData"/>
  </cacheSource>
  <cacheFields count="86">
    <cacheField name="Tid for ekstern status" numFmtId="0">
      <sharedItems containsSemiMixedTypes="0" containsString="0" containsNumber="1" minValue="0.21408564814814801" maxValue="0.29806712962962961"/>
    </cacheField>
    <cacheField name="Sluttdato" numFmtId="0">
      <sharedItems containsNonDate="0" containsString="0" containsBlank="1"/>
    </cacheField>
    <cacheField name="Bruker" numFmtId="0">
      <sharedItems/>
    </cacheField>
    <cacheField name="Gyldig til" numFmtId="0">
      <sharedItems/>
    </cacheField>
    <cacheField name="Levering" numFmtId="0">
      <sharedItems containsString="0" containsBlank="1" containsNumber="1" containsInteger="1" minValue="80674044" maxValue="80675321"/>
    </cacheField>
    <cacheField name="Medarbeider" numFmtId="21">
      <sharedItems/>
    </cacheField>
    <cacheField name="Språk" numFmtId="0">
      <sharedItems/>
    </cacheField>
    <cacheField name="Material Beskrivelse" numFmtId="0">
      <sharedItems/>
    </cacheField>
    <cacheField name="Mat. Dok." numFmtId="0">
      <sharedItems containsNonDate="0" containsString="0" containsBlank="1"/>
    </cacheField>
    <cacheField name="MvT" numFmtId="0">
      <sharedItems containsMixedTypes="1" containsNumber="1" containsInteger="1" minValue="601" maxValue="958"/>
    </cacheField>
    <cacheField name="Fabrikktekst" numFmtId="0">
      <sharedItems/>
    </cacheField>
    <cacheField name="Inndelingsdato" numFmtId="0">
      <sharedItems/>
    </cacheField>
    <cacheField name="Lagertekst" numFmtId="0">
      <sharedItems/>
    </cacheField>
    <cacheField name="Lagertypetekst" numFmtId="0">
      <sharedItems/>
    </cacheField>
    <cacheField name="Lagringsenhetstype" numFmtId="0">
      <sharedItems/>
    </cacheField>
    <cacheField name="BW-system" numFmtId="0">
      <sharedItems/>
    </cacheField>
    <cacheField name="Bruker3" numFmtId="0">
      <sharedItems/>
    </cacheField>
    <cacheField name="Losseplass" numFmtId="21">
      <sharedItems containsNonDate="0" containsString="0" containsBlank="1"/>
    </cacheField>
    <cacheField name="Bruker17" numFmtId="0">
      <sharedItems/>
    </cacheField>
    <cacheField name="Lagernummer" numFmtId="0">
      <sharedItems/>
    </cacheField>
    <cacheField name="Bev.Typ" numFmtId="0">
      <sharedItems/>
    </cacheField>
    <cacheField name="Behovskategori" numFmtId="0">
      <sharedItems/>
    </cacheField>
    <cacheField name="Opprett.tidsp." numFmtId="21">
      <sharedItems containsSemiMixedTypes="0" containsNonDate="0" containsDate="1" containsString="0" minDate="1899-12-30T05:08:03" maxDate="1899-12-30T17:24:02"/>
    </cacheField>
    <cacheField name="Slutttidspunkt" numFmtId="0">
      <sharedItems containsNonDate="0" containsString="0" containsBlank="1"/>
    </cacheField>
    <cacheField name="Plukkområde" numFmtId="0">
      <sharedItems containsMixedTypes="1" containsNumber="1" containsInteger="1" minValue="1" maxValue="1"/>
    </cacheField>
    <cacheField name="Kvittering" numFmtId="14">
      <sharedItems/>
    </cacheField>
    <cacheField name="Xdock" numFmtId="21">
      <sharedItems/>
    </cacheField>
    <cacheField name="Løpenummer" numFmtId="0">
      <sharedItems/>
    </cacheField>
    <cacheField name="Betegnelse(25)" numFmtId="0">
      <sharedItems/>
    </cacheField>
    <cacheField name="Skriver" numFmtId="0">
      <sharedItems/>
    </cacheField>
    <cacheField name="Bet. Lagertype" numFmtId="0">
      <sharedItems/>
    </cacheField>
    <cacheField name="Bet. Lagertype2" numFmtId="0">
      <sharedItems/>
    </cacheField>
    <cacheField name="Dest.lageromr." numFmtId="0">
      <sharedItems containsSemiMixedTypes="0" containsString="0" containsNumber="1" containsInteger="1" minValue="1" maxValue="1"/>
    </cacheField>
    <cacheField name="Dest-lageradr." numFmtId="0">
      <sharedItems containsMixedTypes="1" containsNumber="1" containsInteger="1" minValue="80674044" maxValue="80675321" count="9">
        <s v="VELBEKOMME"/>
        <n v="80674420"/>
        <n v="80675321"/>
        <n v="80674809"/>
        <n v="80674146"/>
        <n v="80674044"/>
        <n v="80674883"/>
        <s v="HERMETIKK"/>
        <n v="80674820"/>
      </sharedItems>
    </cacheField>
    <cacheField name="Kvant" numFmtId="0">
      <sharedItems containsSemiMixedTypes="0" containsString="0" containsNumber="1" containsInteger="1" minValue="13860" maxValue="21488"/>
    </cacheField>
    <cacheField name="Dest.lagertyp" numFmtId="0">
      <sharedItems containsSemiMixedTypes="0" containsString="0" containsNumber="1" containsInteger="1" minValue="10" maxValue="916"/>
    </cacheField>
    <cacheField name="Kvitteringsdato" numFmtId="0">
      <sharedItems/>
    </cacheField>
    <cacheField name="Kvitteringsdato16" numFmtId="0">
      <sharedItems/>
    </cacheField>
    <cacheField name="Kl. for kvitt." numFmtId="21">
      <sharedItems containsSemiMixedTypes="0" containsNonDate="0" containsDate="1" containsString="0" minDate="1899-12-30T05:08:18" maxDate="1899-12-30T07:09:13"/>
    </cacheField>
    <cacheField name="Kvantum" numFmtId="0">
      <sharedItems/>
    </cacheField>
    <cacheField name="Lagertype22" numFmtId="0">
      <sharedItems/>
    </cacheField>
    <cacheField name="TO Number" numFmtId="0">
      <sharedItems containsSemiMixedTypes="0" containsString="0" containsNumber="1" containsInteger="1" minValue="535406" maxValue="2010487" count="39">
        <n v="2010487"/>
        <n v="2009020"/>
        <n v="2010290"/>
        <n v="2009200"/>
        <n v="2008903"/>
        <n v="2008387"/>
        <n v="2009234"/>
        <n v="2008405"/>
        <n v="2009377"/>
        <n v="2009444"/>
        <n v="536094" u="1"/>
        <n v="536095" u="1"/>
        <n v="536025" u="1"/>
        <n v="536096" u="1"/>
        <n v="536097" u="1"/>
        <n v="536098" u="1"/>
        <n v="536099" u="1"/>
        <n v="536100" u="1"/>
        <n v="536030" u="1"/>
        <n v="536101" u="1"/>
        <n v="536102" u="1"/>
        <n v="536103" u="1"/>
        <n v="536104" u="1"/>
        <n v="536105" u="1"/>
        <n v="536106" u="1"/>
        <n v="536107" u="1"/>
        <n v="536108" u="1"/>
        <n v="535683" u="1"/>
        <n v="536109" u="1"/>
        <n v="536039" u="1"/>
        <n v="536110" u="1"/>
        <n v="536111" u="1"/>
        <n v="536112" u="1"/>
        <n v="535406" u="1"/>
        <n v="535657" u="1"/>
        <n v="535664" u="1"/>
        <n v="536091" u="1"/>
        <n v="536092" u="1"/>
        <n v="536093" u="1"/>
      </sharedItems>
    </cacheField>
    <cacheField name="TO-posisjon" numFmtId="0">
      <sharedItems containsSemiMixedTypes="0" containsString="0" containsNumber="1" containsInteger="1" minValue="1" maxValue="12"/>
    </cacheField>
    <cacheField name="Åpn. lgrEh. Fra" numFmtId="0">
      <sharedItems/>
    </cacheField>
    <cacheField name="Kildelagerområde" numFmtId="0">
      <sharedItems containsSemiMixedTypes="0" containsString="0" containsNumber="1" containsInteger="1" minValue="1" maxValue="2"/>
    </cacheField>
    <cacheField name="Kildelageradresse" numFmtId="0">
      <sharedItems/>
    </cacheField>
    <cacheField name="Kildelagertype2" numFmtId="0">
      <sharedItems containsSemiMixedTypes="0" containsString="0" containsNumber="1" containsInteger="1" minValue="2" maxValue="32"/>
    </cacheField>
    <cacheField name="Material2" numFmtId="0">
      <sharedItems containsNonDate="0" containsString="0" containsBlank="1"/>
    </cacheField>
    <cacheField name="Material" numFmtId="0">
      <sharedItems containsSemiMixedTypes="0" containsString="0" containsNumber="1" containsInteger="1" minValue="103447" maxValue="503381"/>
    </cacheField>
    <cacheField name="Fabrikk" numFmtId="0">
      <sharedItems/>
    </cacheField>
    <cacheField name="Diff. Kildelgr." numFmtId="0">
      <sharedItems containsSemiMixedTypes="0" containsString="0" containsNumber="1" containsInteger="1" minValue="-115" maxValue="0"/>
    </cacheField>
    <cacheField name="Diff.kvt." numFmtId="0">
      <sharedItems containsSemiMixedTypes="0" containsString="0" containsNumber="1" containsInteger="1" minValue="0" maxValue="0"/>
    </cacheField>
    <cacheField name="Diff.kvt.dest 1" numFmtId="0">
      <sharedItems containsSemiMixedTypes="0" containsString="0" containsNumber="1" containsInteger="1" minValue="0" maxValue="0"/>
    </cacheField>
    <cacheField name="Diff.kvt.dest 2" numFmtId="0">
      <sharedItems containsSemiMixedTypes="0" containsString="0" containsNumber="1" containsInteger="1" minValue="0" maxValue="0"/>
    </cacheField>
    <cacheField name="Fakt. tid - LSS-TO" numFmtId="0">
      <sharedItems containsSemiMixedTypes="0" containsString="0" containsNumber="1" containsInteger="1" minValue="0" maxValue="0"/>
    </cacheField>
    <cacheField name="Fakt. Til-kvt. 1" numFmtId="0">
      <sharedItems containsSemiMixedTypes="0" containsString="0" containsNumber="1" containsInteger="1" minValue="0" maxValue="8090"/>
    </cacheField>
    <cacheField name="Fakt. Til-kvt. 2" numFmtId="0">
      <sharedItems containsSemiMixedTypes="0" containsString="0" containsNumber="1" containsInteger="1" minValue="0" maxValue="8090"/>
    </cacheField>
    <cacheField name="Fakt.kvt. Fra 1" numFmtId="0">
      <sharedItems containsSemiMixedTypes="0" containsString="0" containsNumber="1" containsInteger="1" minValue="0" maxValue="8090"/>
    </cacheField>
    <cacheField name="Fakt.kvt. Fra 2" numFmtId="0">
      <sharedItems containsSemiMixedTypes="0" containsString="0" containsNumber="1" containsInteger="1" minValue="0" maxValue="8090"/>
    </cacheField>
    <cacheField name="Fakt.kvt.retur" numFmtId="0">
      <sharedItems containsSemiMixedTypes="0" containsString="0" containsNumber="1" containsInteger="1" minValue="0" maxValue="0"/>
    </cacheField>
    <cacheField name="Lagert.diff" numFmtId="0">
      <sharedItems containsSemiMixedTypes="0" containsString="0" containsNumber="1" containsInteger="1" minValue="-115" maxValue="0"/>
    </cacheField>
    <cacheField name="Lagringsenheter" numFmtId="0">
      <sharedItems containsSemiMixedTypes="0" containsString="0" containsNumber="1" containsInteger="1" minValue="0" maxValue="1"/>
    </cacheField>
    <cacheField name="LE - uttak" numFmtId="0">
      <sharedItems containsSemiMixedTypes="0" containsString="0" containsNumber="1" containsInteger="1" minValue="0" maxValue="0"/>
    </cacheField>
    <cacheField name="Nevner" numFmtId="0">
      <sharedItems containsSemiMixedTypes="0" containsString="0" containsNumber="1" containsInteger="1" minValue="1" maxValue="1"/>
    </cacheField>
    <cacheField name="Pl.BehTid Topos" numFmtId="0">
      <sharedItems containsSemiMixedTypes="0" containsString="0" containsNumber="1" containsInteger="1" minValue="0" maxValue="0"/>
    </cacheField>
    <cacheField name="Teller" numFmtId="0">
      <sharedItems containsSemiMixedTypes="0" containsString="0" containsNumber="1" containsInteger="1" minValue="1" maxValue="1"/>
    </cacheField>
    <cacheField name="Vekt" numFmtId="0">
      <sharedItems containsSemiMixedTypes="0" containsString="0" containsNumber="1" minValue="3.8" maxValue="800"/>
    </cacheField>
    <cacheField name="Volum" numFmtId="0">
      <sharedItems containsSemiMixedTypes="0" containsString="0" containsNumber="1" containsInteger="1" minValue="0" maxValue="0"/>
    </cacheField>
    <cacheField name="Time bekr." numFmtId="0">
      <sharedItems containsSemiMixedTypes="0" containsString="0" containsNumber="1" containsInteger="1" minValue="5" maxValue="7" count="2">
        <n v="5"/>
        <n v="7"/>
      </sharedItems>
    </cacheField>
    <cacheField name="Dato" numFmtId="14">
      <sharedItems count="6">
        <s v="20.03.2015"/>
        <s v="17.03.2015"/>
        <s v="19.03.2015"/>
        <s v="16.03.2015"/>
        <s v="13.03.2015"/>
        <s v="18.03.2015"/>
      </sharedItems>
    </cacheField>
    <cacheField name="Test_Bin" numFmtId="0">
      <sharedItems count="2">
        <e v="#N/A"/>
        <s v=""/>
      </sharedItems>
    </cacheField>
    <cacheField name="Inkluder_Test" numFmtId="0">
      <sharedItems count="1">
        <s v="Inkludert"/>
      </sharedItems>
    </cacheField>
    <cacheField name="Counter" numFmtId="0">
      <sharedItems containsSemiMixedTypes="0" containsString="0" containsNumber="1" containsInteger="1" minValue="0" maxValue="0"/>
    </cacheField>
    <cacheField name="Index" numFmtId="0">
      <sharedItems/>
    </cacheField>
    <cacheField name="Overføring_Gruppe" numFmtId="0">
      <sharedItems count="1">
        <e v="#N/A"/>
      </sharedItems>
    </cacheField>
    <cacheField name="Department" numFmtId="0">
      <sharedItems/>
    </cacheField>
    <cacheField name="Bevegelsetype" numFmtId="0">
      <sharedItems count="2">
        <s v="240/920 "/>
        <s v="240/601 "/>
      </sharedItems>
    </cacheField>
    <cacheField name="Std.tid" numFmtId="0">
      <sharedItems containsSemiMixedTypes="0" containsString="0" containsNumber="1" containsInteger="1" minValue="0" maxValue="0"/>
    </cacheField>
    <cacheField name="Material Navn" numFmtId="0">
      <sharedItems count="16">
        <s v="503381 Fløte 10 dg."/>
        <s v="116263 Toro Spagetti Carbonara 6x385g"/>
        <s v="123684 Toro Thai Panang Curry 6x400g"/>
        <s v="113716 TORO Krydder Havets krydder 1x600g"/>
        <s v="108231 Toro Risgrøt 6x385g"/>
        <s v="106926 Toro Aluminiumsfolie cutbox 45cmx90m 6rl"/>
        <s v="106095 Toro Svinekraft flyt 2fl/7,2dl 22L-ferd"/>
        <s v="103447 Heistad Appelsinmarme lavk kuv 144bg/22g"/>
        <s v="120513 TORO Ferdig Norsk Ertesuppe 3x2,5L"/>
        <s v="318165 Hylse Tandoori"/>
        <s v="303726 Trau til Hermetikkboks 1/1"/>
        <s v="108237 Toro Bali Kyllinggryte 6x400g"/>
        <s v="111401 Toro Tandoori Kyllinggryte 6x400g"/>
        <s v="115543 Toro Lasagne 6x400g"/>
        <s v="120784 Toro Tikka Masala 6x400g"/>
        <s v="115542 Toro Spagetti Bolognese 6x400g"/>
      </sharedItems>
    </cacheField>
    <cacheField name="DeliveryMin" numFmtId="38">
      <sharedItems containsSemiMixedTypes="0" containsString="0" containsNumber="1" minValue="0.24999999492429925" maxValue="4077.6499999959487"/>
    </cacheField>
    <cacheField name="Kildelagertype" numFmtId="0">
      <sharedItems count="2">
        <s v="010 240/Ikke tilordnet"/>
        <s v="916 240/Ikke tilordnet"/>
      </sharedItems>
    </cacheField>
    <cacheField name="Ordretid" numFmtId="22">
      <sharedItems containsSemiMixedTypes="0" containsNonDate="0" containsDate="1" containsString="0" minDate="2015-03-13T11:09:15" maxDate="2015-03-20T05:08:03" count="10">
        <d v="2015-03-20T05:08:03"/>
        <d v="2015-03-17T07:03:47"/>
        <d v="2015-03-19T12:20:06"/>
        <d v="2015-03-17T12:01:14"/>
        <d v="2015-03-16T15:21:34"/>
        <d v="2015-03-13T11:09:15"/>
        <d v="2015-03-17T12:18:54"/>
        <d v="2015-03-13T11:58:22"/>
        <d v="2015-03-17T17:24:02"/>
        <d v="2015-03-18T07:08:01"/>
      </sharedItems>
    </cacheField>
    <cacheField name="Lev.tid" numFmtId="22">
      <sharedItems containsSemiMixedTypes="0" containsNonDate="0" containsDate="1" containsString="0" minDate="2015-03-16T07:06:54" maxDate="2015-03-20T07:08:51" count="12">
        <d v="2015-03-20T05:08:18"/>
        <d v="2015-03-17T07:04:52"/>
        <d v="2015-03-20T07:06:01"/>
        <d v="2015-03-18T07:06:13"/>
        <d v="2015-03-17T07:06:31"/>
        <d v="2015-03-20T07:06:34"/>
        <d v="2015-03-16T07:06:54"/>
        <d v="2015-03-18T07:07:31"/>
        <d v="2015-03-16T07:07:32"/>
        <d v="2015-03-20T07:08:51"/>
        <d v="2015-03-18T07:09:08"/>
        <d v="2015-03-18T07:09:13"/>
      </sharedItems>
    </cacheField>
    <cacheField name="Dest.lagertype" numFmtId="0">
      <sharedItems count="4">
        <s v="009 240/Ikke tilordnet"/>
        <s v="006 240/Ikke tilordnet"/>
        <s v="032 240/Ikke tilordnet"/>
        <s v="002 240/Ikke tilordnet"/>
      </sharedItems>
    </cacheField>
    <cacheField name="Totalt_Timer" numFmtId="0" formula="(DeliveryMin/60)" databaseField="0"/>
    <cacheField name="Snitt.tid" numFmtId="0" formula="(DeliveryMin/Counter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n v="0.21408564814814801"/>
    <m/>
    <s v="VELBEKOK"/>
    <s v="20.03.2015"/>
    <m/>
    <s v="Ikke tilordnet"/>
    <s v="Ikke tilordnet"/>
    <s v="Fløte 10 dg."/>
    <m/>
    <s v="Ikke tilordnet"/>
    <s v="Elverum"/>
    <s v="20.03.2015"/>
    <s v="Råvare Emb."/>
    <s v="240/Ikke tilordnet"/>
    <s v="240/E0"/>
    <s v="Ikke tilordnet"/>
    <s v="Ikke tilordnet/VELBEKOK"/>
    <m/>
    <s v="VELBEKOK"/>
    <s v="Toro Elverum (WM )"/>
    <s v="240/920"/>
    <s v="Ikke tilordnet"/>
    <d v="1899-12-30T05:08:03"/>
    <m/>
    <n v="1"/>
    <s v="X"/>
    <s v="Ikke tilordnet"/>
    <s v="Ikke tilordnet"/>
    <s v="Ikke tilordnet"/>
    <s v="Ikke tilordnet"/>
    <s v="Ikke tilordnet"/>
    <s v="Ikke tilordnet"/>
    <n v="1"/>
    <x v="0"/>
    <n v="20720"/>
    <n v="10"/>
    <s v="20.03.2015"/>
    <s v="20.03.2015"/>
    <d v="1899-12-30T05:08:18"/>
    <s v="Ikke tilordnet"/>
    <s v="240/Ikke tilordnet"/>
    <x v="0"/>
    <n v="1"/>
    <s v="Ikke tilordnet"/>
    <n v="1"/>
    <s v="SK510"/>
    <n v="9"/>
    <m/>
    <n v="503381"/>
    <s v="EL00"/>
    <n v="0"/>
    <n v="0"/>
    <n v="0"/>
    <n v="0"/>
    <n v="0"/>
    <n v="800"/>
    <n v="800"/>
    <n v="800"/>
    <n v="800"/>
    <n v="0"/>
    <n v="0"/>
    <n v="0"/>
    <n v="0"/>
    <n v="1"/>
    <n v="0"/>
    <n v="1"/>
    <n v="800"/>
    <n v="0"/>
    <x v="0"/>
    <x v="0"/>
    <x v="0"/>
    <x v="0"/>
    <n v="0"/>
    <s v="009-010-N/A"/>
    <x v="0"/>
    <s v=""/>
    <x v="0"/>
    <n v="0"/>
    <x v="0"/>
    <n v="0.24999999492429925"/>
    <x v="0"/>
    <x v="0"/>
    <x v="0"/>
    <x v="0"/>
  </r>
  <r>
    <n v="0.29504629629629631"/>
    <m/>
    <s v="GLAKER"/>
    <s v="17.03.2015"/>
    <n v="80674420"/>
    <s v="Ikke tilordnet"/>
    <s v="Ikke tilordnet"/>
    <s v="Toro Spagetti Carbonara 6x385g"/>
    <m/>
    <n v="601"/>
    <s v="Elverum"/>
    <s v="17.03.2015"/>
    <s v="Ferdigvare Kjøl"/>
    <s v="240/Ikke tilordnet"/>
    <s v="240/E1"/>
    <s v="Ikke tilordnet"/>
    <s v="Ikke tilordnet/GLAKER"/>
    <m/>
    <s v="GLAKER"/>
    <s v="Toro Elverum (WM )"/>
    <s v="240/601"/>
    <s v="L"/>
    <d v="1899-12-30T07:03:47"/>
    <m/>
    <n v="1"/>
    <s v="X"/>
    <s v="Ikke tilordnet"/>
    <s v="Ikke tilordnet"/>
    <s v="Ikke tilordnet"/>
    <s v="PTPL"/>
    <s v="Ikke tilordnet"/>
    <s v="Ikke tilordnet"/>
    <n v="1"/>
    <x v="1"/>
    <n v="18256"/>
    <n v="916"/>
    <s v="17.03.2015"/>
    <s v="17.03.2015"/>
    <d v="1899-12-30T07:04:52"/>
    <s v="Ikke tilordnet"/>
    <s v="240/Ikke tilordnet"/>
    <x v="1"/>
    <n v="1"/>
    <s v="Ikke tilordnet"/>
    <n v="1"/>
    <s v="VB126"/>
    <n v="6"/>
    <m/>
    <n v="116263"/>
    <s v="EL00"/>
    <n v="-41"/>
    <n v="0"/>
    <n v="0"/>
    <n v="0"/>
    <n v="0"/>
    <n v="0"/>
    <n v="0"/>
    <n v="0"/>
    <n v="0"/>
    <n v="0"/>
    <n v="-41"/>
    <n v="1"/>
    <n v="0"/>
    <n v="1"/>
    <n v="0"/>
    <n v="1"/>
    <n v="116.235"/>
    <n v="0"/>
    <x v="1"/>
    <x v="1"/>
    <x v="1"/>
    <x v="0"/>
    <n v="0"/>
    <s v="006-916-"/>
    <x v="0"/>
    <s v=""/>
    <x v="1"/>
    <n v="0"/>
    <x v="1"/>
    <n v="1.0833333359254826"/>
    <x v="1"/>
    <x v="1"/>
    <x v="1"/>
    <x v="1"/>
  </r>
  <r>
    <n v="0.29504629629629631"/>
    <m/>
    <s v="GLAKER"/>
    <s v="17.03.2015"/>
    <n v="80674420"/>
    <s v="Ikke tilordnet"/>
    <s v="Ikke tilordnet"/>
    <s v="Toro Thai Panang Curry 6x400g"/>
    <m/>
    <n v="601"/>
    <s v="Elverum"/>
    <s v="17.03.2015"/>
    <s v="Ferdigvare Kjøl"/>
    <s v="240/Ikke tilordnet"/>
    <s v="240/E1"/>
    <s v="Ikke tilordnet"/>
    <s v="Ikke tilordnet/GLAKER"/>
    <m/>
    <s v="GLAKER"/>
    <s v="Toro Elverum (WM )"/>
    <s v="240/601"/>
    <s v="L"/>
    <d v="1899-12-30T07:03:47"/>
    <m/>
    <n v="1"/>
    <s v="X"/>
    <s v="Ikke tilordnet"/>
    <s v="Ikke tilordnet"/>
    <s v="Ikke tilordnet"/>
    <s v="PTPL"/>
    <s v="Ikke tilordnet"/>
    <s v="Ikke tilordnet"/>
    <n v="1"/>
    <x v="1"/>
    <n v="18257"/>
    <n v="916"/>
    <s v="17.03.2015"/>
    <s v="17.03.2015"/>
    <d v="1899-12-30T07:04:52"/>
    <s v="Ikke tilordnet"/>
    <s v="240/Ikke tilordnet"/>
    <x v="1"/>
    <n v="2"/>
    <s v="Ikke tilordnet"/>
    <n v="1"/>
    <s v="VB139"/>
    <n v="6"/>
    <m/>
    <n v="123684"/>
    <s v="EL00"/>
    <n v="-24"/>
    <n v="0"/>
    <n v="0"/>
    <n v="0"/>
    <n v="0"/>
    <n v="0"/>
    <n v="0"/>
    <n v="0"/>
    <n v="0"/>
    <n v="0"/>
    <n v="-24"/>
    <n v="1"/>
    <n v="0"/>
    <n v="1"/>
    <n v="0"/>
    <n v="1"/>
    <n v="61.92"/>
    <n v="0"/>
    <x v="1"/>
    <x v="1"/>
    <x v="1"/>
    <x v="0"/>
    <n v="0"/>
    <s v="006-916-"/>
    <x v="0"/>
    <s v=""/>
    <x v="1"/>
    <n v="0"/>
    <x v="2"/>
    <n v="1.0833333359254826"/>
    <x v="1"/>
    <x v="1"/>
    <x v="1"/>
    <x v="1"/>
  </r>
  <r>
    <n v="0.29583333333333334"/>
    <m/>
    <s v="TDELLE"/>
    <s v="19.03.2015"/>
    <n v="80675321"/>
    <s v="Ikke tilordnet"/>
    <s v="Ikke tilordnet"/>
    <s v="TORO Krydder Havets krydder 1x600g"/>
    <m/>
    <n v="601"/>
    <s v="Elverum"/>
    <s v="20.03.2015"/>
    <s v="Ferdigvare Tørr"/>
    <s v="240/Ikke tilordnet"/>
    <s v="240/E1"/>
    <s v="Ikke tilordnet"/>
    <s v="Ikke tilordnet/TDELLE"/>
    <m/>
    <s v="AHORNS"/>
    <s v="Toro Elverum (WM )"/>
    <s v="240/601"/>
    <s v="L"/>
    <d v="1899-12-30T12:20:06"/>
    <m/>
    <s v="Ikke tilordnet"/>
    <s v="X"/>
    <s v="Ikke tilordnet"/>
    <s v="Ikke tilordnet"/>
    <s v="Ikke tilordnet"/>
    <s v="PTQ0"/>
    <s v="Ikke tilordnet"/>
    <s v="Ikke tilordnet"/>
    <n v="1"/>
    <x v="2"/>
    <n v="21487"/>
    <n v="916"/>
    <s v="20.03.2015"/>
    <s v="20.03.2015"/>
    <d v="1899-12-30T07:06:01"/>
    <s v="Ikke tilordnet"/>
    <s v="240/Ikke tilordnet"/>
    <x v="2"/>
    <n v="1"/>
    <s v="Ikke tilordnet"/>
    <n v="1"/>
    <s v="NI31A"/>
    <n v="32"/>
    <m/>
    <n v="113716"/>
    <s v="EL00"/>
    <n v="0"/>
    <n v="0"/>
    <n v="0"/>
    <n v="0"/>
    <n v="0"/>
    <n v="6"/>
    <n v="6"/>
    <n v="6"/>
    <n v="6"/>
    <n v="0"/>
    <n v="0"/>
    <n v="1"/>
    <n v="0"/>
    <n v="1"/>
    <n v="0"/>
    <n v="1"/>
    <n v="4.0979999999999999"/>
    <n v="0"/>
    <x v="1"/>
    <x v="2"/>
    <x v="1"/>
    <x v="0"/>
    <n v="0"/>
    <s v="032-916-"/>
    <x v="0"/>
    <s v=""/>
    <x v="1"/>
    <n v="0"/>
    <x v="3"/>
    <n v="1125.9166666656731"/>
    <x v="1"/>
    <x v="2"/>
    <x v="2"/>
    <x v="2"/>
  </r>
  <r>
    <n v="0.29598379629629629"/>
    <m/>
    <s v="GLAKER"/>
    <s v="17.03.2015"/>
    <n v="80674809"/>
    <s v="Ikke tilordnet"/>
    <s v="Ikke tilordnet"/>
    <s v="Toro Risgrøt 6x385g"/>
    <m/>
    <n v="601"/>
    <s v="Elverum"/>
    <s v="18.03.2015"/>
    <s v="Ferdigvare Kjøl"/>
    <s v="240/Ikke tilordnet"/>
    <s v="240/E1"/>
    <s v="Ikke tilordnet"/>
    <s v="Ikke tilordnet/GLAKER"/>
    <m/>
    <s v="GLAKER"/>
    <s v="Toro Elverum (WM )"/>
    <s v="240/601"/>
    <s v="L"/>
    <d v="1899-12-30T12:01:14"/>
    <m/>
    <n v="1"/>
    <s v="X"/>
    <s v="Ikke tilordnet"/>
    <s v="Ikke tilordnet"/>
    <s v="Ikke tilordnet"/>
    <s v="PTPL"/>
    <s v="Ikke tilordnet"/>
    <s v="Ikke tilordnet"/>
    <n v="1"/>
    <x v="3"/>
    <n v="19216"/>
    <n v="916"/>
    <s v="18.03.2015"/>
    <s v="18.03.2015"/>
    <d v="1899-12-30T07:06:13"/>
    <s v="Ikke tilordnet"/>
    <s v="240/Ikke tilordnet"/>
    <x v="3"/>
    <n v="1"/>
    <s v="Ikke tilordnet"/>
    <n v="1"/>
    <s v="VB229"/>
    <n v="6"/>
    <m/>
    <n v="108231"/>
    <s v="EL00"/>
    <n v="-19"/>
    <n v="0"/>
    <n v="0"/>
    <n v="0"/>
    <n v="0"/>
    <n v="0"/>
    <n v="0"/>
    <n v="0"/>
    <n v="0"/>
    <n v="0"/>
    <n v="-19"/>
    <n v="1"/>
    <n v="0"/>
    <n v="1"/>
    <n v="0"/>
    <n v="1"/>
    <n v="53.865000000000002"/>
    <n v="0"/>
    <x v="1"/>
    <x v="1"/>
    <x v="1"/>
    <x v="0"/>
    <n v="0"/>
    <s v="006-916-"/>
    <x v="0"/>
    <s v=""/>
    <x v="1"/>
    <n v="0"/>
    <x v="4"/>
    <n v="1144.983333337183"/>
    <x v="1"/>
    <x v="3"/>
    <x v="3"/>
    <x v="1"/>
  </r>
  <r>
    <n v="0.29618055555555556"/>
    <m/>
    <s v="TDELLE"/>
    <s v="16.03.2015"/>
    <n v="80674146"/>
    <s v="Ikke tilordnet"/>
    <s v="Ikke tilordnet"/>
    <s v="Toro Aluminiumsfolie cutbox 45cmx90m 6rl"/>
    <m/>
    <n v="958"/>
    <s v="Elverum"/>
    <s v="17.03.2015"/>
    <s v="Ferdigvare Tørr"/>
    <s v="240/Ikke tilordnet"/>
    <s v="240/E1"/>
    <s v="Ikke tilordnet"/>
    <s v="Ikke tilordnet/TDELLE"/>
    <m/>
    <s v="AHORNS"/>
    <s v="Toro Elverum (WM )"/>
    <s v="240/601"/>
    <s v="L"/>
    <d v="1899-12-30T15:21:34"/>
    <m/>
    <s v="Ikke tilordnet"/>
    <s v="X"/>
    <s v="Ikke tilordnet"/>
    <s v="Ikke tilordnet"/>
    <s v="Ikke tilordnet"/>
    <s v="PTQ0"/>
    <s v="Ikke tilordnet"/>
    <s v="Ikke tilordnet"/>
    <n v="1"/>
    <x v="4"/>
    <n v="18236"/>
    <n v="916"/>
    <s v="17.03.2015"/>
    <s v="17.03.2015"/>
    <d v="1899-12-30T07:06:31"/>
    <s v="Ikke tilordnet"/>
    <s v="240/Ikke tilordnet"/>
    <x v="4"/>
    <n v="3"/>
    <s v="Ikke tilordnet"/>
    <n v="1"/>
    <s v="NK18A"/>
    <n v="32"/>
    <m/>
    <n v="106926"/>
    <s v="EL00"/>
    <n v="0"/>
    <n v="0"/>
    <n v="0"/>
    <n v="0"/>
    <n v="0"/>
    <n v="4"/>
    <n v="4"/>
    <n v="4"/>
    <n v="4"/>
    <n v="0"/>
    <n v="0"/>
    <n v="1"/>
    <n v="0"/>
    <n v="1"/>
    <n v="0"/>
    <n v="1"/>
    <n v="51.52"/>
    <n v="0"/>
    <x v="1"/>
    <x v="3"/>
    <x v="1"/>
    <x v="0"/>
    <n v="0"/>
    <s v="032-916-"/>
    <x v="0"/>
    <s v=""/>
    <x v="1"/>
    <n v="0"/>
    <x v="5"/>
    <n v="944.95000000063646"/>
    <x v="1"/>
    <x v="4"/>
    <x v="4"/>
    <x v="2"/>
  </r>
  <r>
    <n v="0.29622685185185188"/>
    <m/>
    <s v="TDELLE"/>
    <s v="19.03.2015"/>
    <n v="80675321"/>
    <s v="Ikke tilordnet"/>
    <s v="Ikke tilordnet"/>
    <s v="Toro Svinekraft flyt 2fl/7,2dl 22L-ferd"/>
    <m/>
    <n v="601"/>
    <s v="Elverum"/>
    <s v="20.03.2015"/>
    <s v="Ferdigvare Tørr"/>
    <s v="240/Ikke tilordnet"/>
    <s v="240/E1"/>
    <s v="Ikke tilordnet"/>
    <s v="Ikke tilordnet/TDELLE"/>
    <m/>
    <s v="AHORNS"/>
    <s v="Toro Elverum (WM )"/>
    <s v="240/601"/>
    <s v="L"/>
    <d v="1899-12-30T12:20:06"/>
    <m/>
    <s v="Ikke tilordnet"/>
    <s v="X"/>
    <s v="Ikke tilordnet"/>
    <s v="Ikke tilordnet"/>
    <s v="Ikke tilordnet"/>
    <s v="PTQ0"/>
    <s v="Ikke tilordnet"/>
    <s v="Ikke tilordnet"/>
    <n v="1"/>
    <x v="2"/>
    <n v="21488"/>
    <n v="916"/>
    <s v="20.03.2015"/>
    <s v="20.03.2015"/>
    <d v="1899-12-30T07:06:34"/>
    <s v="Ikke tilordnet"/>
    <s v="240/Ikke tilordnet"/>
    <x v="2"/>
    <n v="2"/>
    <s v="Ikke tilordnet"/>
    <n v="1"/>
    <s v="NK04A"/>
    <n v="32"/>
    <m/>
    <n v="106095"/>
    <s v="EL00"/>
    <n v="0"/>
    <n v="0"/>
    <n v="0"/>
    <n v="0"/>
    <n v="0"/>
    <n v="2"/>
    <n v="2"/>
    <n v="2"/>
    <n v="2"/>
    <n v="0"/>
    <n v="0"/>
    <n v="0"/>
    <n v="0"/>
    <n v="1"/>
    <n v="0"/>
    <n v="1"/>
    <n v="3.8"/>
    <n v="0"/>
    <x v="1"/>
    <x v="2"/>
    <x v="1"/>
    <x v="0"/>
    <n v="0"/>
    <s v="032-916-"/>
    <x v="0"/>
    <s v=""/>
    <x v="1"/>
    <n v="0"/>
    <x v="6"/>
    <n v="1126.4666666685137"/>
    <x v="1"/>
    <x v="2"/>
    <x v="5"/>
    <x v="2"/>
  </r>
  <r>
    <n v="0.29644675925925928"/>
    <m/>
    <s v="TDELLE"/>
    <s v="13.03.2015"/>
    <n v="80674044"/>
    <s v="Ikke tilordnet"/>
    <s v="Ikke tilordnet"/>
    <s v="Heistad Appelsinmarme lavk kuv 144bg/22g"/>
    <m/>
    <n v="601"/>
    <s v="Elverum"/>
    <s v="16.03.2015"/>
    <s v="Ferdigvare Tørr"/>
    <s v="240/Ikke tilordnet"/>
    <s v="240/E1"/>
    <s v="Ikke tilordnet"/>
    <s v="Ikke tilordnet/TDELLE"/>
    <m/>
    <s v="AHORNS"/>
    <s v="Toro Elverum (WM )"/>
    <s v="240/601"/>
    <s v="L"/>
    <d v="1899-12-30T11:09:15"/>
    <m/>
    <s v="Ikke tilordnet"/>
    <s v="X"/>
    <s v="Ikke tilordnet"/>
    <s v="Ikke tilordnet"/>
    <s v="Ikke tilordnet"/>
    <s v="PTQ0"/>
    <s v="Ikke tilordnet"/>
    <s v="Ikke tilordnet"/>
    <n v="1"/>
    <x v="5"/>
    <n v="17018"/>
    <n v="916"/>
    <s v="16.03.2015"/>
    <s v="16.03.2015"/>
    <d v="1899-12-30T07:06:54"/>
    <s v="Ikke tilordnet"/>
    <s v="240/Ikke tilordnet"/>
    <x v="5"/>
    <n v="1"/>
    <s v="Ikke tilordnet"/>
    <n v="1"/>
    <s v="NH13B"/>
    <n v="32"/>
    <m/>
    <n v="103447"/>
    <s v="EL00"/>
    <n v="0"/>
    <n v="0"/>
    <n v="0"/>
    <n v="0"/>
    <n v="0"/>
    <n v="4"/>
    <n v="4"/>
    <n v="4"/>
    <n v="4"/>
    <n v="0"/>
    <n v="0"/>
    <n v="0"/>
    <n v="0"/>
    <n v="1"/>
    <n v="0"/>
    <n v="1"/>
    <n v="12.4"/>
    <n v="0"/>
    <x v="1"/>
    <x v="4"/>
    <x v="1"/>
    <x v="0"/>
    <n v="0"/>
    <s v="032-916-"/>
    <x v="0"/>
    <s v=""/>
    <x v="1"/>
    <n v="0"/>
    <x v="7"/>
    <n v="4077.6499999959487"/>
    <x v="1"/>
    <x v="5"/>
    <x v="6"/>
    <x v="2"/>
  </r>
  <r>
    <n v="0.29685185185185187"/>
    <m/>
    <s v="TDELLE"/>
    <s v="17.03.2015"/>
    <n v="80674883"/>
    <s v="Ikke tilordnet"/>
    <s v="Ikke tilordnet"/>
    <s v="TORO Ferdig Norsk Ertesuppe 3x2,5L"/>
    <m/>
    <n v="601"/>
    <s v="Elverum"/>
    <s v="18.03.2015"/>
    <s v="Ferdigvare Tørr"/>
    <s v="240/Ikke tilordnet"/>
    <s v="240/E1"/>
    <s v="Ikke tilordnet"/>
    <s v="Ikke tilordnet/TDELLE"/>
    <m/>
    <s v="AHORNS"/>
    <s v="Toro Elverum (WM )"/>
    <s v="240/601"/>
    <s v="L"/>
    <d v="1899-12-30T12:18:54"/>
    <m/>
    <s v="Ikke tilordnet"/>
    <s v="X"/>
    <s v="Ikke tilordnet"/>
    <s v="Ikke tilordnet"/>
    <s v="Ikke tilordnet"/>
    <s v="PTQ0"/>
    <s v="Ikke tilordnet"/>
    <s v="Ikke tilordnet"/>
    <n v="1"/>
    <x v="6"/>
    <n v="19232"/>
    <n v="916"/>
    <s v="18.03.2015"/>
    <s v="18.03.2015"/>
    <d v="1899-12-30T07:07:31"/>
    <s v="Ikke tilordnet"/>
    <s v="240/Ikke tilordnet"/>
    <x v="6"/>
    <n v="2"/>
    <s v="Ikke tilordnet"/>
    <n v="1"/>
    <s v="NI33A"/>
    <n v="32"/>
    <m/>
    <n v="120513"/>
    <s v="EL00"/>
    <n v="0"/>
    <n v="0"/>
    <n v="0"/>
    <n v="0"/>
    <n v="0"/>
    <n v="35"/>
    <n v="35"/>
    <n v="35"/>
    <n v="35"/>
    <n v="0"/>
    <n v="0"/>
    <n v="1"/>
    <n v="0"/>
    <n v="1"/>
    <n v="0"/>
    <n v="1"/>
    <n v="284.33999999999997"/>
    <n v="0"/>
    <x v="1"/>
    <x v="1"/>
    <x v="1"/>
    <x v="0"/>
    <n v="0"/>
    <s v="032-916-"/>
    <x v="0"/>
    <s v=""/>
    <x v="1"/>
    <n v="0"/>
    <x v="8"/>
    <n v="1128.6166666705628"/>
    <x v="1"/>
    <x v="6"/>
    <x v="7"/>
    <x v="2"/>
  </r>
  <r>
    <n v="0.29686342592592591"/>
    <m/>
    <s v="RUJENS"/>
    <s v="13.03.2015"/>
    <m/>
    <s v="Ikke tilordnet"/>
    <s v="Ikke tilordnet"/>
    <s v="Hylse Tandoori"/>
    <m/>
    <s v="Ikke tilordnet"/>
    <s v="Elverum"/>
    <s v="16.03.2015"/>
    <s v="Råvare Emb."/>
    <s v="240/Ikke tilordnet"/>
    <s v="240/E1"/>
    <s v="Ikke tilordnet"/>
    <s v="Ikke tilordnet/RUJENS"/>
    <m/>
    <s v="VELBEKOM"/>
    <s v="Toro Elverum (WM )"/>
    <s v="240/920"/>
    <s v="Ikke tilordnet"/>
    <d v="1899-12-30T11:58:22"/>
    <m/>
    <n v="1"/>
    <s v="X"/>
    <s v="Ikke tilordnet"/>
    <s v="Ikke tilordnet"/>
    <s v="Ikke tilordnet"/>
    <s v="Ikke tilordnet"/>
    <s v="Ikke tilordnet"/>
    <s v="Ikke tilordnet"/>
    <n v="1"/>
    <x v="0"/>
    <n v="16961"/>
    <n v="10"/>
    <s v="16.03.2015"/>
    <s v="16.03.2015"/>
    <d v="1899-12-30T07:07:32"/>
    <s v="Ikke tilordnet"/>
    <s v="240/Ikke tilordnet"/>
    <x v="7"/>
    <n v="1"/>
    <s v="Ikke tilordnet"/>
    <n v="2"/>
    <s v="NG537"/>
    <n v="2"/>
    <m/>
    <n v="318165"/>
    <s v="EL00"/>
    <n v="0"/>
    <n v="0"/>
    <n v="0"/>
    <n v="0"/>
    <n v="0"/>
    <n v="8090"/>
    <n v="8090"/>
    <n v="8090"/>
    <n v="8090"/>
    <n v="0"/>
    <n v="0"/>
    <n v="0"/>
    <n v="0"/>
    <n v="1"/>
    <n v="0"/>
    <n v="1"/>
    <n v="154.03399999999999"/>
    <n v="0"/>
    <x v="1"/>
    <x v="4"/>
    <x v="0"/>
    <x v="0"/>
    <n v="0"/>
    <s v="002-010-N/A"/>
    <x v="0"/>
    <s v=""/>
    <x v="0"/>
    <n v="0"/>
    <x v="9"/>
    <n v="4029.1666666639812"/>
    <x v="0"/>
    <x v="7"/>
    <x v="8"/>
    <x v="3"/>
  </r>
  <r>
    <n v="0.29781249999999998"/>
    <m/>
    <s v="TDELLE"/>
    <s v="19.03.2015"/>
    <n v="80675321"/>
    <s v="Ikke tilordnet"/>
    <s v="Ikke tilordnet"/>
    <s v="Toro Svinekraft flyt 2fl/7,2dl 22L-ferd"/>
    <m/>
    <n v="601"/>
    <s v="Elverum"/>
    <s v="20.03.2015"/>
    <s v="Ferdigvare Tørr"/>
    <s v="240/Ikke tilordnet"/>
    <s v="240/E1"/>
    <s v="Ikke tilordnet"/>
    <s v="Ikke tilordnet/TDELLE"/>
    <m/>
    <s v="AHORNS"/>
    <s v="Toro Elverum (WM )"/>
    <s v="240/601"/>
    <s v="L"/>
    <d v="1899-12-30T12:20:06"/>
    <m/>
    <s v="Ikke tilordnet"/>
    <s v="X"/>
    <s v="Ikke tilordnet"/>
    <s v="Ikke tilordnet"/>
    <s v="Ikke tilordnet"/>
    <s v="PTQ0"/>
    <s v="Ikke tilordnet"/>
    <s v="Ikke tilordnet"/>
    <n v="1"/>
    <x v="2"/>
    <n v="21488"/>
    <n v="916"/>
    <s v="20.03.2015"/>
    <s v="20.03.2015"/>
    <d v="1899-12-30T07:08:51"/>
    <s v="Ikke tilordnet"/>
    <s v="240/Ikke tilordnet"/>
    <x v="2"/>
    <n v="3"/>
    <s v="Ikke tilordnet"/>
    <n v="1"/>
    <s v="NK04A"/>
    <n v="32"/>
    <m/>
    <n v="106095"/>
    <s v="EL00"/>
    <n v="0"/>
    <n v="0"/>
    <n v="0"/>
    <n v="0"/>
    <n v="0"/>
    <n v="2"/>
    <n v="2"/>
    <n v="2"/>
    <n v="2"/>
    <n v="0"/>
    <n v="0"/>
    <n v="0"/>
    <n v="0"/>
    <n v="1"/>
    <n v="0"/>
    <n v="1"/>
    <n v="3.8"/>
    <n v="0"/>
    <x v="1"/>
    <x v="2"/>
    <x v="1"/>
    <x v="0"/>
    <n v="0"/>
    <s v="032-916-"/>
    <x v="0"/>
    <s v=""/>
    <x v="1"/>
    <n v="0"/>
    <x v="6"/>
    <n v="1128.7500000012571"/>
    <x v="1"/>
    <x v="2"/>
    <x v="9"/>
    <x v="2"/>
  </r>
  <r>
    <n v="0.29796296296296293"/>
    <m/>
    <s v="SIGBAR"/>
    <s v="17.03.2015"/>
    <m/>
    <s v="Ikke tilordnet"/>
    <s v="Ikke tilordnet"/>
    <s v="Trau til Hermetikkboks 1/1"/>
    <m/>
    <s v="Ikke tilordnet"/>
    <s v="Elverum"/>
    <s v="18.03.2015"/>
    <s v="Råvare Emb."/>
    <s v="240/Ikke tilordnet"/>
    <s v="240/E1"/>
    <s v="Ikke tilordnet"/>
    <s v="Ikke tilordnet/SIGBAR"/>
    <m/>
    <s v="HPAKKERI"/>
    <s v="Toro Elverum (WM )"/>
    <s v="240/920"/>
    <s v="Ikke tilordnet"/>
    <d v="1899-12-30T17:24:02"/>
    <m/>
    <n v="1"/>
    <s v="X"/>
    <s v="Ikke tilordnet"/>
    <s v="Ikke tilordnet"/>
    <s v="Ikke tilordnet"/>
    <s v="Ikke tilordnet"/>
    <s v="Ikke tilordnet"/>
    <s v="Ikke tilordnet"/>
    <n v="1"/>
    <x v="7"/>
    <n v="13860"/>
    <n v="10"/>
    <s v="18.03.2015"/>
    <s v="18.03.2015"/>
    <d v="1899-12-30T07:09:08"/>
    <s v="Ikke tilordnet"/>
    <s v="240/Ikke tilordnet"/>
    <x v="8"/>
    <n v="1"/>
    <s v="Ikke tilordnet"/>
    <n v="2"/>
    <s v="NG418"/>
    <n v="2"/>
    <m/>
    <n v="303726"/>
    <s v="EL00"/>
    <n v="0"/>
    <n v="0"/>
    <n v="0"/>
    <n v="0"/>
    <n v="0"/>
    <n v="1200"/>
    <n v="1200"/>
    <n v="1200"/>
    <n v="1200"/>
    <n v="0"/>
    <n v="0"/>
    <n v="0"/>
    <n v="0"/>
    <n v="1"/>
    <n v="0"/>
    <n v="1"/>
    <n v="97.2"/>
    <n v="0"/>
    <x v="1"/>
    <x v="1"/>
    <x v="0"/>
    <x v="0"/>
    <n v="0"/>
    <s v="002-010-N/A"/>
    <x v="0"/>
    <s v=""/>
    <x v="0"/>
    <n v="0"/>
    <x v="10"/>
    <n v="825.1000000046256"/>
    <x v="0"/>
    <x v="8"/>
    <x v="10"/>
    <x v="3"/>
  </r>
  <r>
    <n v="0.29806712962962961"/>
    <m/>
    <s v="GLAKER"/>
    <s v="18.03.2015"/>
    <n v="80674820"/>
    <s v="Ikke tilordnet"/>
    <s v="Ikke tilordnet"/>
    <s v="Toro Risgrøt 6x385g"/>
    <m/>
    <n v="601"/>
    <s v="Elverum"/>
    <s v="18.03.2015"/>
    <s v="Ferdigvare Kjøl"/>
    <s v="240/Ikke tilordnet"/>
    <s v="240/E1"/>
    <s v="Ikke tilordnet"/>
    <s v="Ikke tilordnet/GLAKER"/>
    <m/>
    <s v="GLAKER"/>
    <s v="Toro Elverum (WM )"/>
    <s v="240/601"/>
    <s v="L"/>
    <d v="1899-12-30T07:08:01"/>
    <m/>
    <n v="1"/>
    <s v="X"/>
    <s v="Ikke tilordnet"/>
    <s v="Ikke tilordnet"/>
    <s v="Ikke tilordnet"/>
    <s v="PTPL"/>
    <s v="Ikke tilordnet"/>
    <s v="Ikke tilordnet"/>
    <n v="1"/>
    <x v="8"/>
    <n v="19219"/>
    <n v="916"/>
    <s v="18.03.2015"/>
    <s v="18.03.2015"/>
    <d v="1899-12-30T07:09:13"/>
    <s v="Ikke tilordnet"/>
    <s v="240/Ikke tilordnet"/>
    <x v="9"/>
    <n v="3"/>
    <s v="Ikke tilordnet"/>
    <n v="1"/>
    <s v="VB240"/>
    <n v="6"/>
    <m/>
    <n v="108231"/>
    <s v="EL00"/>
    <n v="-115"/>
    <n v="0"/>
    <n v="0"/>
    <n v="0"/>
    <n v="0"/>
    <n v="0"/>
    <n v="0"/>
    <n v="0"/>
    <n v="0"/>
    <n v="0"/>
    <n v="-115"/>
    <n v="1"/>
    <n v="0"/>
    <n v="1"/>
    <n v="0"/>
    <n v="1"/>
    <n v="326.02499999999998"/>
    <n v="0"/>
    <x v="1"/>
    <x v="5"/>
    <x v="1"/>
    <x v="0"/>
    <n v="0"/>
    <s v="006-916-"/>
    <x v="0"/>
    <s v=""/>
    <x v="1"/>
    <n v="0"/>
    <x v="4"/>
    <n v="1.2000000031509472"/>
    <x v="1"/>
    <x v="9"/>
    <x v="11"/>
    <x v="1"/>
  </r>
  <r>
    <n v="0.29806712962962961"/>
    <m/>
    <s v="GLAKER"/>
    <s v="18.03.2015"/>
    <n v="80674820"/>
    <s v="Ikke tilordnet"/>
    <s v="Ikke tilordnet"/>
    <s v="Toro Risgrøt 6x385g"/>
    <m/>
    <n v="601"/>
    <s v="Elverum"/>
    <s v="18.03.2015"/>
    <s v="Ferdigvare Kjøl"/>
    <s v="240/Ikke tilordnet"/>
    <s v="240/E1"/>
    <s v="Ikke tilordnet"/>
    <s v="Ikke tilordnet/GLAKER"/>
    <m/>
    <s v="GLAKER"/>
    <s v="Toro Elverum (WM )"/>
    <s v="240/601"/>
    <s v="L"/>
    <d v="1899-12-30T07:08:01"/>
    <m/>
    <n v="1"/>
    <s v="X"/>
    <s v="Ikke tilordnet"/>
    <s v="Ikke tilordnet"/>
    <s v="Ikke tilordnet"/>
    <s v="PTPL"/>
    <s v="Ikke tilordnet"/>
    <s v="Ikke tilordnet"/>
    <n v="1"/>
    <x v="8"/>
    <n v="19220"/>
    <n v="916"/>
    <s v="18.03.2015"/>
    <s v="18.03.2015"/>
    <d v="1899-12-30T07:09:13"/>
    <s v="Ikke tilordnet"/>
    <s v="240/Ikke tilordnet"/>
    <x v="9"/>
    <n v="4"/>
    <s v="Ikke tilordnet"/>
    <n v="1"/>
    <s v="VB305"/>
    <n v="6"/>
    <m/>
    <n v="108231"/>
    <s v="EL00"/>
    <n v="-77"/>
    <n v="0"/>
    <n v="0"/>
    <n v="0"/>
    <n v="0"/>
    <n v="0"/>
    <n v="0"/>
    <n v="0"/>
    <n v="0"/>
    <n v="0"/>
    <n v="-77"/>
    <n v="1"/>
    <n v="0"/>
    <n v="1"/>
    <n v="0"/>
    <n v="1"/>
    <n v="218.29499999999999"/>
    <n v="0"/>
    <x v="1"/>
    <x v="5"/>
    <x v="1"/>
    <x v="0"/>
    <n v="0"/>
    <s v="006-916-"/>
    <x v="0"/>
    <s v=""/>
    <x v="1"/>
    <n v="0"/>
    <x v="4"/>
    <n v="1.2000000031509472"/>
    <x v="1"/>
    <x v="9"/>
    <x v="11"/>
    <x v="1"/>
  </r>
  <r>
    <n v="0.29806712962962961"/>
    <m/>
    <s v="GLAKER"/>
    <s v="18.03.2015"/>
    <n v="80674820"/>
    <s v="Ikke tilordnet"/>
    <s v="Ikke tilordnet"/>
    <s v="Toro Bali Kyllinggryte 6x400g"/>
    <m/>
    <n v="601"/>
    <s v="Elverum"/>
    <s v="18.03.2015"/>
    <s v="Ferdigvare Kjøl"/>
    <s v="240/Ikke tilordnet"/>
    <s v="240/E1"/>
    <s v="Ikke tilordnet"/>
    <s v="Ikke tilordnet/GLAKER"/>
    <m/>
    <s v="GLAKER"/>
    <s v="Toro Elverum (WM )"/>
    <s v="240/601"/>
    <s v="L"/>
    <d v="1899-12-30T07:08:01"/>
    <m/>
    <n v="1"/>
    <s v="X"/>
    <s v="Ikke tilordnet"/>
    <s v="Ikke tilordnet"/>
    <s v="Ikke tilordnet"/>
    <s v="PTPL"/>
    <s v="Ikke tilordnet"/>
    <s v="Ikke tilordnet"/>
    <n v="1"/>
    <x v="8"/>
    <n v="19221"/>
    <n v="916"/>
    <s v="18.03.2015"/>
    <s v="18.03.2015"/>
    <d v="1899-12-30T07:09:13"/>
    <s v="Ikke tilordnet"/>
    <s v="240/Ikke tilordnet"/>
    <x v="9"/>
    <n v="5"/>
    <s v="Ikke tilordnet"/>
    <n v="1"/>
    <s v="VB134"/>
    <n v="6"/>
    <m/>
    <n v="108237"/>
    <s v="EL00"/>
    <n v="-87"/>
    <n v="0"/>
    <n v="0"/>
    <n v="0"/>
    <n v="0"/>
    <n v="0"/>
    <n v="0"/>
    <n v="0"/>
    <n v="0"/>
    <n v="0"/>
    <n v="-87"/>
    <n v="1"/>
    <n v="0"/>
    <n v="1"/>
    <n v="0"/>
    <n v="1"/>
    <n v="245.77500000000001"/>
    <n v="0"/>
    <x v="1"/>
    <x v="5"/>
    <x v="1"/>
    <x v="0"/>
    <n v="0"/>
    <s v="006-916-"/>
    <x v="0"/>
    <s v=""/>
    <x v="1"/>
    <n v="0"/>
    <x v="11"/>
    <n v="1.2000000031509472"/>
    <x v="1"/>
    <x v="9"/>
    <x v="11"/>
    <x v="1"/>
  </r>
  <r>
    <n v="0.29806712962962961"/>
    <m/>
    <s v="GLAKER"/>
    <s v="18.03.2015"/>
    <n v="80674820"/>
    <s v="Ikke tilordnet"/>
    <s v="Ikke tilordnet"/>
    <s v="Toro Bali Kyllinggryte 6x400g"/>
    <m/>
    <n v="601"/>
    <s v="Elverum"/>
    <s v="18.03.2015"/>
    <s v="Ferdigvare Kjøl"/>
    <s v="240/Ikke tilordnet"/>
    <s v="240/E1"/>
    <s v="Ikke tilordnet"/>
    <s v="Ikke tilordnet/GLAKER"/>
    <m/>
    <s v="GLAKER"/>
    <s v="Toro Elverum (WM )"/>
    <s v="240/601"/>
    <s v="L"/>
    <d v="1899-12-30T07:08:01"/>
    <m/>
    <n v="1"/>
    <s v="X"/>
    <s v="Ikke tilordnet"/>
    <s v="Ikke tilordnet"/>
    <s v="Ikke tilordnet"/>
    <s v="PTPL"/>
    <s v="Ikke tilordnet"/>
    <s v="Ikke tilordnet"/>
    <n v="1"/>
    <x v="8"/>
    <n v="19242"/>
    <n v="916"/>
    <s v="18.03.2015"/>
    <s v="18.03.2015"/>
    <d v="1899-12-30T07:09:13"/>
    <s v="Ikke tilordnet"/>
    <s v="240/Ikke tilordnet"/>
    <x v="9"/>
    <n v="6"/>
    <s v="Ikke tilordnet"/>
    <n v="1"/>
    <s v="VB139"/>
    <n v="6"/>
    <m/>
    <n v="108237"/>
    <s v="EL00"/>
    <n v="-9"/>
    <n v="0"/>
    <n v="0"/>
    <n v="0"/>
    <n v="0"/>
    <n v="0"/>
    <n v="0"/>
    <n v="0"/>
    <n v="0"/>
    <n v="0"/>
    <n v="-9"/>
    <n v="1"/>
    <n v="0"/>
    <n v="1"/>
    <n v="0"/>
    <n v="1"/>
    <n v="25.425000000000001"/>
    <n v="0"/>
    <x v="1"/>
    <x v="5"/>
    <x v="1"/>
    <x v="0"/>
    <n v="0"/>
    <s v="006-916-"/>
    <x v="0"/>
    <s v=""/>
    <x v="1"/>
    <n v="0"/>
    <x v="11"/>
    <n v="1.2000000031509472"/>
    <x v="1"/>
    <x v="9"/>
    <x v="11"/>
    <x v="1"/>
  </r>
  <r>
    <n v="0.29806712962962961"/>
    <m/>
    <s v="GLAKER"/>
    <s v="18.03.2015"/>
    <n v="80674820"/>
    <s v="Ikke tilordnet"/>
    <s v="Ikke tilordnet"/>
    <s v="Toro Tandoori Kyllinggryte 6x400g"/>
    <m/>
    <n v="601"/>
    <s v="Elverum"/>
    <s v="18.03.2015"/>
    <s v="Ferdigvare Kjøl"/>
    <s v="240/Ikke tilordnet"/>
    <s v="240/E1"/>
    <s v="Ikke tilordnet"/>
    <s v="Ikke tilordnet/GLAKER"/>
    <m/>
    <s v="GLAKER"/>
    <s v="Toro Elverum (WM )"/>
    <s v="240/601"/>
    <s v="L"/>
    <d v="1899-12-30T07:08:01"/>
    <m/>
    <n v="1"/>
    <s v="X"/>
    <s v="Ikke tilordnet"/>
    <s v="Ikke tilordnet"/>
    <s v="Ikke tilordnet"/>
    <s v="PTPL"/>
    <s v="Ikke tilordnet"/>
    <s v="Ikke tilordnet"/>
    <n v="1"/>
    <x v="8"/>
    <n v="19243"/>
    <n v="916"/>
    <s v="18.03.2015"/>
    <s v="18.03.2015"/>
    <d v="1899-12-30T07:09:13"/>
    <s v="Ikke tilordnet"/>
    <s v="240/Ikke tilordnet"/>
    <x v="9"/>
    <n v="7"/>
    <s v="Ikke tilordnet"/>
    <n v="1"/>
    <s v="VB117"/>
    <n v="6"/>
    <m/>
    <n v="111401"/>
    <s v="EL00"/>
    <n v="-36"/>
    <n v="0"/>
    <n v="0"/>
    <n v="0"/>
    <n v="0"/>
    <n v="0"/>
    <n v="0"/>
    <n v="0"/>
    <n v="0"/>
    <n v="0"/>
    <n v="-36"/>
    <n v="1"/>
    <n v="0"/>
    <n v="1"/>
    <n v="0"/>
    <n v="1"/>
    <n v="93.6"/>
    <n v="0"/>
    <x v="1"/>
    <x v="5"/>
    <x v="1"/>
    <x v="0"/>
    <n v="0"/>
    <s v="006-916-"/>
    <x v="0"/>
    <s v=""/>
    <x v="1"/>
    <n v="0"/>
    <x v="12"/>
    <n v="1.2000000031509472"/>
    <x v="1"/>
    <x v="9"/>
    <x v="11"/>
    <x v="1"/>
  </r>
  <r>
    <n v="0.29806712962962961"/>
    <m/>
    <s v="GLAKER"/>
    <s v="18.03.2015"/>
    <n v="80674820"/>
    <s v="Ikke tilordnet"/>
    <s v="Ikke tilordnet"/>
    <s v="Toro Lasagne 6x400g"/>
    <m/>
    <n v="601"/>
    <s v="Elverum"/>
    <s v="18.03.2015"/>
    <s v="Ferdigvare Kjøl"/>
    <s v="240/Ikke tilordnet"/>
    <s v="240/E1"/>
    <s v="Ikke tilordnet"/>
    <s v="Ikke tilordnet/GLAKER"/>
    <m/>
    <s v="GLAKER"/>
    <s v="Toro Elverum (WM )"/>
    <s v="240/601"/>
    <s v="L"/>
    <d v="1899-12-30T07:08:01"/>
    <m/>
    <n v="1"/>
    <s v="X"/>
    <s v="Ikke tilordnet"/>
    <s v="Ikke tilordnet"/>
    <s v="Ikke tilordnet"/>
    <s v="PTPL"/>
    <s v="Ikke tilordnet"/>
    <s v="Ikke tilordnet"/>
    <n v="1"/>
    <x v="8"/>
    <n v="19244"/>
    <n v="916"/>
    <s v="18.03.2015"/>
    <s v="18.03.2015"/>
    <d v="1899-12-30T07:09:13"/>
    <s v="Ikke tilordnet"/>
    <s v="240/Ikke tilordnet"/>
    <x v="9"/>
    <n v="8"/>
    <s v="Ikke tilordnet"/>
    <n v="1"/>
    <s v="VB212"/>
    <n v="6"/>
    <m/>
    <n v="115543"/>
    <s v="EL00"/>
    <n v="-50"/>
    <n v="0"/>
    <n v="0"/>
    <n v="0"/>
    <n v="0"/>
    <n v="0"/>
    <n v="0"/>
    <n v="0"/>
    <n v="0"/>
    <n v="0"/>
    <n v="-50"/>
    <n v="1"/>
    <n v="0"/>
    <n v="1"/>
    <n v="0"/>
    <n v="1"/>
    <n v="139"/>
    <n v="0"/>
    <x v="1"/>
    <x v="5"/>
    <x v="1"/>
    <x v="0"/>
    <n v="0"/>
    <s v="006-916-"/>
    <x v="0"/>
    <s v=""/>
    <x v="1"/>
    <n v="0"/>
    <x v="13"/>
    <n v="1.2000000031509472"/>
    <x v="1"/>
    <x v="9"/>
    <x v="11"/>
    <x v="1"/>
  </r>
  <r>
    <n v="0.29806712962962961"/>
    <m/>
    <s v="GLAKER"/>
    <s v="18.03.2015"/>
    <n v="80674820"/>
    <s v="Ikke tilordnet"/>
    <s v="Ikke tilordnet"/>
    <s v="Toro Lasagne 6x400g"/>
    <m/>
    <n v="601"/>
    <s v="Elverum"/>
    <s v="18.03.2015"/>
    <s v="Ferdigvare Kjøl"/>
    <s v="240/Ikke tilordnet"/>
    <s v="240/E1"/>
    <s v="Ikke tilordnet"/>
    <s v="Ikke tilordnet/GLAKER"/>
    <m/>
    <s v="GLAKER"/>
    <s v="Toro Elverum (WM )"/>
    <s v="240/601"/>
    <s v="L"/>
    <d v="1899-12-30T07:08:01"/>
    <m/>
    <n v="1"/>
    <s v="X"/>
    <s v="Ikke tilordnet"/>
    <s v="Ikke tilordnet"/>
    <s v="Ikke tilordnet"/>
    <s v="PTPL"/>
    <s v="Ikke tilordnet"/>
    <s v="Ikke tilordnet"/>
    <n v="1"/>
    <x v="8"/>
    <n v="19245"/>
    <n v="916"/>
    <s v="18.03.2015"/>
    <s v="18.03.2015"/>
    <d v="1899-12-30T07:09:13"/>
    <s v="Ikke tilordnet"/>
    <s v="240/Ikke tilordnet"/>
    <x v="9"/>
    <n v="9"/>
    <s v="Ikke tilordnet"/>
    <n v="1"/>
    <s v="VB213"/>
    <n v="6"/>
    <m/>
    <n v="115543"/>
    <s v="EL00"/>
    <n v="-46"/>
    <n v="0"/>
    <n v="0"/>
    <n v="0"/>
    <n v="0"/>
    <n v="0"/>
    <n v="0"/>
    <n v="0"/>
    <n v="0"/>
    <n v="0"/>
    <n v="-46"/>
    <n v="1"/>
    <n v="0"/>
    <n v="1"/>
    <n v="0"/>
    <n v="1"/>
    <n v="127.88"/>
    <n v="0"/>
    <x v="1"/>
    <x v="5"/>
    <x v="1"/>
    <x v="0"/>
    <n v="0"/>
    <s v="006-916-"/>
    <x v="0"/>
    <s v=""/>
    <x v="1"/>
    <n v="0"/>
    <x v="13"/>
    <n v="1.2000000031509472"/>
    <x v="1"/>
    <x v="9"/>
    <x v="11"/>
    <x v="1"/>
  </r>
  <r>
    <n v="0.29806712962962961"/>
    <m/>
    <s v="GLAKER"/>
    <s v="18.03.2015"/>
    <n v="80674820"/>
    <s v="Ikke tilordnet"/>
    <s v="Ikke tilordnet"/>
    <s v="Toro Spagetti Carbonara 6x385g"/>
    <m/>
    <n v="601"/>
    <s v="Elverum"/>
    <s v="18.03.2015"/>
    <s v="Ferdigvare Kjøl"/>
    <s v="240/Ikke tilordnet"/>
    <s v="240/E1"/>
    <s v="Ikke tilordnet"/>
    <s v="Ikke tilordnet/GLAKER"/>
    <m/>
    <s v="GLAKER"/>
    <s v="Toro Elverum (WM )"/>
    <s v="240/601"/>
    <s v="L"/>
    <d v="1899-12-30T07:08:01"/>
    <m/>
    <n v="1"/>
    <s v="X"/>
    <s v="Ikke tilordnet"/>
    <s v="Ikke tilordnet"/>
    <s v="Ikke tilordnet"/>
    <s v="PTPL"/>
    <s v="Ikke tilordnet"/>
    <s v="Ikke tilordnet"/>
    <n v="1"/>
    <x v="8"/>
    <n v="19246"/>
    <n v="916"/>
    <s v="18.03.2015"/>
    <s v="18.03.2015"/>
    <d v="1899-12-30T07:09:13"/>
    <s v="Ikke tilordnet"/>
    <s v="240/Ikke tilordnet"/>
    <x v="9"/>
    <n v="10"/>
    <s v="Ikke tilordnet"/>
    <n v="1"/>
    <s v="VB126"/>
    <n v="6"/>
    <m/>
    <n v="116263"/>
    <s v="EL00"/>
    <n v="-11"/>
    <n v="0"/>
    <n v="0"/>
    <n v="0"/>
    <n v="0"/>
    <n v="0"/>
    <n v="0"/>
    <n v="0"/>
    <n v="0"/>
    <n v="0"/>
    <n v="-11"/>
    <n v="1"/>
    <n v="0"/>
    <n v="1"/>
    <n v="0"/>
    <n v="1"/>
    <n v="31.184999999999999"/>
    <n v="0"/>
    <x v="1"/>
    <x v="5"/>
    <x v="1"/>
    <x v="0"/>
    <n v="0"/>
    <s v="006-916-"/>
    <x v="0"/>
    <s v=""/>
    <x v="1"/>
    <n v="0"/>
    <x v="1"/>
    <n v="1.2000000031509472"/>
    <x v="1"/>
    <x v="9"/>
    <x v="11"/>
    <x v="1"/>
  </r>
  <r>
    <n v="0.29806712962962961"/>
    <m/>
    <s v="GLAKER"/>
    <s v="18.03.2015"/>
    <n v="80674820"/>
    <s v="Ikke tilordnet"/>
    <s v="Ikke tilordnet"/>
    <s v="Toro Spagetti Carbonara 6x385g"/>
    <m/>
    <n v="601"/>
    <s v="Elverum"/>
    <s v="18.03.2015"/>
    <s v="Ferdigvare Kjøl"/>
    <s v="240/Ikke tilordnet"/>
    <s v="240/E1"/>
    <s v="Ikke tilordnet"/>
    <s v="Ikke tilordnet/GLAKER"/>
    <m/>
    <s v="GLAKER"/>
    <s v="Toro Elverum (WM )"/>
    <s v="240/601"/>
    <s v="L"/>
    <d v="1899-12-30T07:08:01"/>
    <m/>
    <n v="1"/>
    <s v="X"/>
    <s v="Ikke tilordnet"/>
    <s v="Ikke tilordnet"/>
    <s v="Ikke tilordnet"/>
    <s v="PTPL"/>
    <s v="Ikke tilordnet"/>
    <s v="Ikke tilordnet"/>
    <n v="1"/>
    <x v="8"/>
    <n v="19247"/>
    <n v="916"/>
    <s v="18.03.2015"/>
    <s v="18.03.2015"/>
    <d v="1899-12-30T07:09:13"/>
    <s v="Ikke tilordnet"/>
    <s v="240/Ikke tilordnet"/>
    <x v="9"/>
    <n v="11"/>
    <s v="Ikke tilordnet"/>
    <n v="1"/>
    <s v="VB112"/>
    <n v="6"/>
    <m/>
    <n v="116263"/>
    <s v="EL00"/>
    <n v="-85"/>
    <n v="0"/>
    <n v="0"/>
    <n v="0"/>
    <n v="0"/>
    <n v="0"/>
    <n v="0"/>
    <n v="0"/>
    <n v="0"/>
    <n v="0"/>
    <n v="-85"/>
    <n v="1"/>
    <n v="0"/>
    <n v="1"/>
    <n v="0"/>
    <n v="1"/>
    <n v="240.97499999999999"/>
    <n v="0"/>
    <x v="1"/>
    <x v="5"/>
    <x v="1"/>
    <x v="0"/>
    <n v="0"/>
    <s v="006-916-"/>
    <x v="0"/>
    <s v=""/>
    <x v="1"/>
    <n v="0"/>
    <x v="1"/>
    <n v="1.2000000031509472"/>
    <x v="1"/>
    <x v="9"/>
    <x v="11"/>
    <x v="1"/>
  </r>
  <r>
    <n v="0.29806712962962961"/>
    <m/>
    <s v="GLAKER"/>
    <s v="18.03.2015"/>
    <n v="80674820"/>
    <s v="Ikke tilordnet"/>
    <s v="Ikke tilordnet"/>
    <s v="Toro Tikka Masala 6x400g"/>
    <m/>
    <n v="601"/>
    <s v="Elverum"/>
    <s v="18.03.2015"/>
    <s v="Ferdigvare Kjøl"/>
    <s v="240/Ikke tilordnet"/>
    <s v="240/E1"/>
    <s v="Ikke tilordnet"/>
    <s v="Ikke tilordnet/GLAKER"/>
    <m/>
    <s v="GLAKER"/>
    <s v="Toro Elverum (WM )"/>
    <s v="240/601"/>
    <s v="L"/>
    <d v="1899-12-30T07:08:01"/>
    <m/>
    <n v="1"/>
    <s v="X"/>
    <s v="Ikke tilordnet"/>
    <s v="Ikke tilordnet"/>
    <s v="Ikke tilordnet"/>
    <s v="PTPL"/>
    <s v="Ikke tilordnet"/>
    <s v="Ikke tilordnet"/>
    <n v="1"/>
    <x v="8"/>
    <n v="19248"/>
    <n v="916"/>
    <s v="18.03.2015"/>
    <s v="18.03.2015"/>
    <d v="1899-12-30T07:09:13"/>
    <s v="Ikke tilordnet"/>
    <s v="240/Ikke tilordnet"/>
    <x v="9"/>
    <n v="12"/>
    <s v="Ikke tilordnet"/>
    <n v="1"/>
    <s v="VB116"/>
    <n v="6"/>
    <m/>
    <n v="120784"/>
    <s v="EL00"/>
    <n v="-12"/>
    <n v="0"/>
    <n v="0"/>
    <n v="0"/>
    <n v="0"/>
    <n v="0"/>
    <n v="0"/>
    <n v="0"/>
    <n v="0"/>
    <n v="0"/>
    <n v="-12"/>
    <n v="1"/>
    <n v="0"/>
    <n v="1"/>
    <n v="0"/>
    <n v="1"/>
    <n v="33.287999999999997"/>
    <n v="0"/>
    <x v="1"/>
    <x v="5"/>
    <x v="1"/>
    <x v="0"/>
    <n v="0"/>
    <s v="006-916-"/>
    <x v="0"/>
    <s v=""/>
    <x v="1"/>
    <n v="0"/>
    <x v="14"/>
    <n v="1.2000000031509472"/>
    <x v="1"/>
    <x v="9"/>
    <x v="11"/>
    <x v="1"/>
  </r>
  <r>
    <n v="0.29806712962962961"/>
    <m/>
    <s v="GLAKER"/>
    <s v="18.03.2015"/>
    <n v="80674820"/>
    <s v="Ikke tilordnet"/>
    <s v="Ikke tilordnet"/>
    <s v="Toro Spagetti Bolognese 6x400g"/>
    <m/>
    <n v="601"/>
    <s v="Elverum"/>
    <s v="18.03.2015"/>
    <s v="Ferdigvare Kjøl"/>
    <s v="240/Ikke tilordnet"/>
    <s v="240/E1"/>
    <s v="Ikke tilordnet"/>
    <s v="Ikke tilordnet/GLAKER"/>
    <m/>
    <s v="GLAKER"/>
    <s v="Toro Elverum (WM )"/>
    <s v="240/601"/>
    <s v="L"/>
    <d v="1899-12-30T07:08:01"/>
    <m/>
    <n v="1"/>
    <s v="X"/>
    <s v="Ikke tilordnet"/>
    <s v="Ikke tilordnet"/>
    <s v="Ikke tilordnet"/>
    <s v="PTPL"/>
    <s v="Ikke tilordnet"/>
    <s v="Ikke tilordnet"/>
    <n v="1"/>
    <x v="8"/>
    <n v="19217"/>
    <n v="916"/>
    <s v="18.03.2015"/>
    <s v="18.03.2015"/>
    <d v="1899-12-30T07:09:13"/>
    <s v="Ikke tilordnet"/>
    <s v="240/Ikke tilordnet"/>
    <x v="9"/>
    <n v="1"/>
    <s v="Ikke tilordnet"/>
    <n v="1"/>
    <s v="VB113"/>
    <n v="6"/>
    <m/>
    <n v="115542"/>
    <s v="EL00"/>
    <n v="-5"/>
    <n v="0"/>
    <n v="0"/>
    <n v="0"/>
    <n v="0"/>
    <n v="0"/>
    <n v="0"/>
    <n v="0"/>
    <n v="0"/>
    <n v="0"/>
    <n v="-5"/>
    <n v="1"/>
    <n v="0"/>
    <n v="1"/>
    <n v="0"/>
    <n v="1"/>
    <n v="14.2"/>
    <n v="0"/>
    <x v="1"/>
    <x v="5"/>
    <x v="1"/>
    <x v="0"/>
    <n v="0"/>
    <s v="006-916-"/>
    <x v="0"/>
    <s v=""/>
    <x v="1"/>
    <n v="0"/>
    <x v="15"/>
    <n v="1.2000000031509472"/>
    <x v="1"/>
    <x v="9"/>
    <x v="11"/>
    <x v="1"/>
  </r>
  <r>
    <n v="0.29806712962962961"/>
    <m/>
    <s v="GLAKER"/>
    <s v="18.03.2015"/>
    <n v="80674820"/>
    <s v="Ikke tilordnet"/>
    <s v="Ikke tilordnet"/>
    <s v="Toro Spagetti Bolognese 6x400g"/>
    <m/>
    <n v="601"/>
    <s v="Elverum"/>
    <s v="18.03.2015"/>
    <s v="Ferdigvare Kjøl"/>
    <s v="240/Ikke tilordnet"/>
    <s v="240/E1"/>
    <s v="Ikke tilordnet"/>
    <s v="Ikke tilordnet/GLAKER"/>
    <m/>
    <s v="GLAKER"/>
    <s v="Toro Elverum (WM )"/>
    <s v="240/601"/>
    <s v="L"/>
    <d v="1899-12-30T07:08:01"/>
    <m/>
    <n v="1"/>
    <s v="X"/>
    <s v="Ikke tilordnet"/>
    <s v="Ikke tilordnet"/>
    <s v="Ikke tilordnet"/>
    <s v="PTPL"/>
    <s v="Ikke tilordnet"/>
    <s v="Ikke tilordnet"/>
    <n v="1"/>
    <x v="8"/>
    <n v="19218"/>
    <n v="916"/>
    <s v="18.03.2015"/>
    <s v="18.03.2015"/>
    <d v="1899-12-30T07:09:13"/>
    <s v="Ikke tilordnet"/>
    <s v="240/Ikke tilordnet"/>
    <x v="9"/>
    <n v="2"/>
    <s v="Ikke tilordnet"/>
    <n v="1"/>
    <s v="VB114"/>
    <n v="6"/>
    <m/>
    <n v="115542"/>
    <s v="EL00"/>
    <n v="-19"/>
    <n v="0"/>
    <n v="0"/>
    <n v="0"/>
    <n v="0"/>
    <n v="0"/>
    <n v="0"/>
    <n v="0"/>
    <n v="0"/>
    <n v="0"/>
    <n v="-19"/>
    <n v="1"/>
    <n v="0"/>
    <n v="1"/>
    <n v="0"/>
    <n v="1"/>
    <n v="53.96"/>
    <n v="0"/>
    <x v="1"/>
    <x v="5"/>
    <x v="1"/>
    <x v="0"/>
    <n v="0"/>
    <s v="006-916-"/>
    <x v="0"/>
    <s v=""/>
    <x v="1"/>
    <n v="0"/>
    <x v="15"/>
    <n v="1.2000000031509472"/>
    <x v="1"/>
    <x v="9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35" autoFormatId="4109" applyNumberFormats="1" applyBorderFormats="1" applyFontFormats="1" applyPatternFormats="1" applyAlignmentFormats="1" applyWidthHeightFormats="1" dataCaption="Data" showError="1" updatedVersion="5" showDrill="0" showMemberPropertyTips="0" useAutoFormatting="1" itemPrintTitles="1" createdVersion="1" indent="0" compact="0" compactData="0" gridDropZones="1">
  <location ref="A14:H17" firstHeaderRow="1" firstDataRow="2" firstDataCol="1" rowPageCount="8" colPageCount="1"/>
  <pivotFields count="86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TO Number" axis="axisPage" compact="0" outline="0" subtotalTop="0" showAll="0" includeNewItemsInFilter="1">
      <items count="40">
        <item m="1" x="33"/>
        <item m="1" x="34"/>
        <item m="1" x="35"/>
        <item m="1" x="27"/>
        <item m="1" x="12"/>
        <item m="1" x="18"/>
        <item m="1" x="29"/>
        <item m="1" x="36"/>
        <item m="1" x="37"/>
        <item m="1" x="38"/>
        <item m="1" x="10"/>
        <item m="1" x="11"/>
        <item m="1" x="13"/>
        <item m="1" x="14"/>
        <item m="1" x="15"/>
        <item m="1" x="16"/>
        <item m="1" x="17"/>
        <item m="1" x="19"/>
        <item m="1" x="20"/>
        <item m="1" x="21"/>
        <item m="1" x="22"/>
        <item m="1" x="23"/>
        <item m="1" x="24"/>
        <item m="1" x="25"/>
        <item m="1" x="26"/>
        <item m="1" x="28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axis="axisCol" compact="0" outline="0" subtotalTop="0" showAll="0" includeNewItemsInFilter="1" sortType="ascending" defaultSubtotal="0">
      <items count="6">
        <item x="4"/>
        <item x="3"/>
        <item x="1"/>
        <item x="5"/>
        <item x="2"/>
        <item x="0"/>
      </items>
    </pivotField>
    <pivotField name="Test_Bin" axis="axisPage" compact="0" outline="0" subtotalTop="0" showAll="0" includeNewItemsInFilter="1">
      <items count="3">
        <item x="1"/>
        <item x="0"/>
        <item t="default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axis="axisPage" compact="0" outline="0" subtotalTop="0" showAll="0" includeNewItemsInFilter="1" defaultSubtotal="0">
      <items count="2">
        <item x="1"/>
        <item x="0"/>
      </items>
    </pivotField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16">
        <item x="7"/>
        <item x="6"/>
        <item x="5"/>
        <item x="4"/>
        <item x="11"/>
        <item x="12"/>
        <item x="3"/>
        <item x="15"/>
        <item x="13"/>
        <item x="1"/>
        <item x="8"/>
        <item x="14"/>
        <item x="2"/>
        <item x="10"/>
        <item x="9"/>
        <item x="0"/>
      </items>
    </pivotField>
    <pivotField compact="0" numFmtId="38" outline="0" subtotalTop="0" showAll="0" includeNewItemsInFilter="1"/>
    <pivotField axis="axisPage" compact="0" outline="0" subtotalTop="0" showAll="0" includeNewItemsInFilter="1" defaultSubtotal="0">
      <items count="2">
        <item x="0"/>
        <item x="1"/>
      </items>
    </pivotField>
    <pivotField compact="0" numFmtId="22" outline="0" subtotalTop="0" showAll="0" includeNewItemsInFilter="1" defaultSubtotal="0"/>
    <pivotField compact="0" numFmtId="22" outline="0" subtotalTop="0" showAll="0" includeNewItemsInFilter="1" defaultSubtotal="0"/>
    <pivotField axis="axisPage" compact="0" outline="0" subtotalTop="0" showAll="0" includeNewItemsInFilter="1" defaultSubtotal="0">
      <items count="4">
        <item x="3"/>
        <item x="1"/>
        <item x="0"/>
        <item x="2"/>
      </items>
    </pivotField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74"/>
  </rowFields>
  <rowItems count="2">
    <i>
      <x/>
    </i>
    <i t="grand">
      <x/>
    </i>
  </rowItems>
  <colFields count="1">
    <field x="69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8">
    <pageField fld="71" item="0" hier="-1"/>
    <pageField fld="78" hier="-1"/>
    <pageField fld="68" hier="-1"/>
    <pageField fld="80" hier="-1"/>
    <pageField fld="70" hier="-1"/>
    <pageField fld="41" hier="-1"/>
    <pageField fld="83" hier="-1"/>
    <pageField fld="76" hier="-1"/>
  </pageFields>
  <dataFields count="1">
    <dataField name="Std.tid " fld="77" baseField="74" baseItem="0" numFmtId="38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ell1" cacheId="35" autoFormatId="4109" applyNumberFormats="1" applyBorderFormats="1" applyFontFormats="1" applyPatternFormats="1" applyAlignmentFormats="1" applyWidthHeightFormats="1" dataCaption="Data" showError="1" updatedVersion="5" showDrill="0" showMemberPropertyTips="0" useAutoFormatting="1" itemPrintTitles="1" createdVersion="1" indent="0" compact="0" compactData="0" gridDropZones="1">
  <location ref="A14:K21" firstHeaderRow="1" firstDataRow="2" firstDataCol="4" rowPageCount="5" colPageCount="1"/>
  <pivotFields count="86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TO Number" axis="axisPage" compact="0" outline="0" subtotalTop="0" showAll="0" includeNewItemsInFilter="1">
      <items count="40">
        <item m="1" x="33"/>
        <item m="1" x="34"/>
        <item m="1" x="35"/>
        <item m="1" x="27"/>
        <item m="1" x="12"/>
        <item m="1" x="18"/>
        <item m="1" x="29"/>
        <item m="1" x="36"/>
        <item m="1" x="37"/>
        <item m="1" x="38"/>
        <item m="1" x="10"/>
        <item m="1" x="11"/>
        <item m="1" x="13"/>
        <item m="1" x="14"/>
        <item m="1" x="15"/>
        <item m="1" x="16"/>
        <item m="1" x="17"/>
        <item m="1" x="19"/>
        <item m="1" x="20"/>
        <item m="1" x="21"/>
        <item m="1" x="22"/>
        <item m="1" x="23"/>
        <item m="1" x="24"/>
        <item m="1" x="25"/>
        <item m="1" x="26"/>
        <item m="1" x="28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axis="axisCol" compact="0" outline="0" subtotalTop="0" showAll="0" includeNewItemsInFilter="1" sortType="ascending" defaultSubtotal="0">
      <items count="6">
        <item x="4"/>
        <item x="3"/>
        <item x="1"/>
        <item x="5"/>
        <item x="2"/>
        <item x="0"/>
      </items>
    </pivotField>
    <pivotField name="Test_Bin" axis="axisRow" compact="0" outline="0" subtotalTop="0" showAll="0" insertBlankRow="1" includeNewItemsInFilter="1">
      <items count="3">
        <item x="1"/>
        <item x="0"/>
        <item t="default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sertBlankRow="1" includeNewItemsInFilter="1" defaultSubtotal="0">
      <items count="1">
        <item x="0"/>
      </items>
    </pivotField>
    <pivotField compact="0" outline="0" subtotalTop="0" showAll="0" includeNewItemsInFilter="1"/>
    <pivotField axis="axisPage" compact="0" outline="0" subtotalTop="0" showAll="0" includeNewItemsInFilter="1" defaultSubtotal="0">
      <items count="2">
        <item x="1"/>
        <item x="0"/>
      </items>
    </pivotField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16">
        <item x="7"/>
        <item x="6"/>
        <item x="5"/>
        <item x="4"/>
        <item x="11"/>
        <item x="12"/>
        <item x="3"/>
        <item x="15"/>
        <item x="13"/>
        <item x="1"/>
        <item x="8"/>
        <item x="14"/>
        <item x="2"/>
        <item x="10"/>
        <item x="9"/>
        <item x="0"/>
      </items>
    </pivotField>
    <pivotField compact="0" numFmtId="38" outline="0" subtotalTop="0" showAll="0" includeNewItemsInFilter="1"/>
    <pivotField axis="axisRow" compact="0" outline="0" subtotalTop="0" showAll="0" includeNewItemsInFilter="1" defaultSubtotal="0">
      <items count="2">
        <item x="0"/>
        <item x="1"/>
      </items>
    </pivotField>
    <pivotField compact="0" numFmtId="22" outline="0" subtotalTop="0" showAll="0" includeNewItemsInFilter="1" defaultSubtotal="0"/>
    <pivotField compact="0" numFmtId="22" outline="0" subtotalTop="0" showAll="0" includeNewItemsInFilter="1" defaultSubtotal="0"/>
    <pivotField axis="axisRow" compact="0" outline="0" subtotalTop="0" showAll="0" includeNewItemsInFilter="1" defaultSubtotal="0">
      <items count="4">
        <item x="3"/>
        <item x="1"/>
        <item x="0"/>
        <item x="2"/>
      </items>
    </pivotField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4">
    <field x="74"/>
    <field x="80"/>
    <field x="83"/>
    <field x="70"/>
  </rowFields>
  <rowItems count="6">
    <i>
      <x/>
      <x/>
      <x/>
      <x v="1"/>
    </i>
    <i r="2">
      <x v="2"/>
      <x v="1"/>
    </i>
    <i r="1">
      <x v="1"/>
      <x v="1"/>
      <x/>
    </i>
    <i r="2">
      <x v="3"/>
      <x/>
    </i>
    <i t="blank">
      <x/>
    </i>
    <i t="grand">
      <x/>
    </i>
  </rowItems>
  <colFields count="1">
    <field x="69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5">
    <pageField fld="71" item="0" hier="-1"/>
    <pageField fld="68" hier="-1"/>
    <pageField fld="78" hier="-1"/>
    <pageField fld="41" hier="-1"/>
    <pageField fld="76" hier="-1"/>
  </pageFields>
  <dataFields count="1">
    <dataField name="Std.tid " fld="77" baseField="70" baseItem="1" numFmtId="38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ell1" cacheId="35" autoFormatId="4109" applyNumberFormats="1" applyBorderFormats="1" applyFontFormats="1" applyPatternFormats="1" applyAlignmentFormats="1" applyWidthHeightFormats="1" dataCaption="Data" showError="1" updatedVersion="5" showDrill="0" showMemberPropertyTips="0" useAutoFormatting="1" itemPrintTitles="1" createdVersion="1" indent="0" compact="0" compactData="0" gridDropZones="1">
  <location ref="A14:H40" firstHeaderRow="0" firstDataRow="1" firstDataCol="5" rowPageCount="6" colPageCount="1"/>
  <pivotFields count="86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9">
        <item x="5"/>
        <item x="4"/>
        <item x="1"/>
        <item x="3"/>
        <item x="8"/>
        <item x="6"/>
        <item x="2"/>
        <item x="7"/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TO Number" axis="axisRow" compact="0" outline="0" subtotalTop="0" showAll="0" includeNewItemsInFilter="1" defaultSubtotal="0">
      <items count="39">
        <item m="1" x="33"/>
        <item m="1" x="34"/>
        <item m="1" x="35"/>
        <item m="1" x="27"/>
        <item m="1" x="12"/>
        <item m="1" x="18"/>
        <item m="1" x="29"/>
        <item m="1" x="36"/>
        <item m="1" x="37"/>
        <item m="1" x="38"/>
        <item m="1" x="10"/>
        <item m="1" x="11"/>
        <item m="1" x="13"/>
        <item m="1" x="14"/>
        <item m="1" x="15"/>
        <item m="1" x="16"/>
        <item m="1" x="17"/>
        <item m="1" x="19"/>
        <item m="1" x="20"/>
        <item m="1" x="21"/>
        <item m="1" x="22"/>
        <item m="1" x="23"/>
        <item m="1" x="24"/>
        <item m="1" x="25"/>
        <item m="1" x="26"/>
        <item m="1" x="28"/>
        <item m="1" x="30"/>
        <item m="1" x="31"/>
        <item m="1" x="32"/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axis="axisRow" compact="0" outline="0" subtotalTop="0" showAll="0" insertBlankRow="1" includeNewItemsInFilter="1" defaultSubtotal="0">
      <items count="6">
        <item x="4"/>
        <item x="3"/>
        <item x="1"/>
        <item x="5"/>
        <item x="2"/>
        <item x="0"/>
      </items>
    </pivotField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dataField="1"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axis="axisPage" compact="0" outline="0" subtotalTop="0" showAll="0" includeNewItemsInFilter="1" defaultSubtotal="0">
      <items count="2">
        <item x="1"/>
        <item x="0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16">
        <item x="7"/>
        <item x="6"/>
        <item x="5"/>
        <item x="4"/>
        <item x="11"/>
        <item x="12"/>
        <item x="3"/>
        <item x="15"/>
        <item x="13"/>
        <item x="1"/>
        <item x="8"/>
        <item x="14"/>
        <item x="2"/>
        <item x="10"/>
        <item x="9"/>
        <item x="0"/>
      </items>
    </pivotField>
    <pivotField compact="0" numFmtId="38" outline="0" subtotalTop="0" showAll="0" includeNewItemsInFilter="1"/>
    <pivotField axis="axisPage" compact="0" outline="0" subtotalTop="0" showAll="0" includeNewItemsInFilter="1" defaultSubtotal="0">
      <items count="2">
        <item x="0"/>
        <item x="1"/>
      </items>
    </pivotField>
    <pivotField axis="axisRow" compact="0" numFmtId="22" outline="0" subtotalTop="0" showAll="0" includeNewItemsInFilter="1" defaultSubtotal="0">
      <items count="10">
        <item x="5"/>
        <item x="7"/>
        <item x="4"/>
        <item x="1"/>
        <item x="3"/>
        <item x="6"/>
        <item x="8"/>
        <item x="9"/>
        <item x="2"/>
        <item x="0"/>
      </items>
    </pivotField>
    <pivotField axis="axisRow" compact="0" numFmtId="22" outline="0" subtotalTop="0" showAll="0" includeNewItemsInFilter="1" defaultSubtotal="0">
      <items count="12">
        <item x="6"/>
        <item x="8"/>
        <item x="1"/>
        <item x="4"/>
        <item x="3"/>
        <item x="7"/>
        <item x="10"/>
        <item x="11"/>
        <item x="0"/>
        <item x="2"/>
        <item x="5"/>
        <item x="9"/>
      </items>
    </pivotField>
    <pivotField compact="0" outline="0" subtotalTop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5">
    <field x="69"/>
    <field x="78"/>
    <field x="41"/>
    <field x="81"/>
    <field x="82"/>
  </rowFields>
  <rowItems count="26">
    <i>
      <x/>
      <x/>
      <x v="34"/>
      <x/>
      <x/>
    </i>
    <i r="1">
      <x v="14"/>
      <x v="36"/>
      <x v="1"/>
      <x v="1"/>
    </i>
    <i t="blank">
      <x/>
    </i>
    <i>
      <x v="1"/>
      <x v="2"/>
      <x v="33"/>
      <x v="2"/>
      <x v="3"/>
    </i>
    <i t="blank">
      <x v="1"/>
    </i>
    <i>
      <x v="2"/>
      <x v="3"/>
      <x v="32"/>
      <x v="4"/>
      <x v="4"/>
    </i>
    <i r="1">
      <x v="9"/>
      <x v="30"/>
      <x v="3"/>
      <x v="2"/>
    </i>
    <i r="1">
      <x v="10"/>
      <x v="35"/>
      <x v="5"/>
      <x v="5"/>
    </i>
    <i r="1">
      <x v="12"/>
      <x v="30"/>
      <x v="3"/>
      <x v="2"/>
    </i>
    <i r="1">
      <x v="13"/>
      <x v="37"/>
      <x v="6"/>
      <x v="6"/>
    </i>
    <i t="blank">
      <x v="2"/>
    </i>
    <i>
      <x v="3"/>
      <x v="3"/>
      <x v="38"/>
      <x v="7"/>
      <x v="7"/>
    </i>
    <i r="1">
      <x v="4"/>
      <x v="38"/>
      <x v="7"/>
      <x v="7"/>
    </i>
    <i r="1">
      <x v="5"/>
      <x v="38"/>
      <x v="7"/>
      <x v="7"/>
    </i>
    <i r="1">
      <x v="7"/>
      <x v="38"/>
      <x v="7"/>
      <x v="7"/>
    </i>
    <i r="1">
      <x v="8"/>
      <x v="38"/>
      <x v="7"/>
      <x v="7"/>
    </i>
    <i r="1">
      <x v="9"/>
      <x v="38"/>
      <x v="7"/>
      <x v="7"/>
    </i>
    <i r="1">
      <x v="11"/>
      <x v="38"/>
      <x v="7"/>
      <x v="7"/>
    </i>
    <i t="blank">
      <x v="3"/>
    </i>
    <i>
      <x v="4"/>
      <x v="1"/>
      <x v="31"/>
      <x v="8"/>
      <x v="10"/>
    </i>
    <i r="4">
      <x v="11"/>
    </i>
    <i r="1">
      <x v="6"/>
      <x v="31"/>
      <x v="8"/>
      <x v="9"/>
    </i>
    <i t="blank">
      <x v="4"/>
    </i>
    <i>
      <x v="5"/>
      <x v="15"/>
      <x v="29"/>
      <x v="9"/>
      <x v="8"/>
    </i>
    <i t="blank"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6">
    <pageField fld="71" item="0" hier="-1"/>
    <pageField fld="76" hier="-1"/>
    <pageField fld="68" hier="-1"/>
    <pageField fld="74" hier="-1"/>
    <pageField fld="80" hier="-1"/>
    <pageField fld="33" hier="-1"/>
  </pageFields>
  <dataFields count="3">
    <dataField name="Snitt.tid " fld="85" baseField="82" baseItem="0" numFmtId="38"/>
    <dataField name="Counter " fld="72" baseField="0" baseItem="0"/>
    <dataField name="Totalt_Timer " fld="84" baseField="82" baseItem="0" numFmtId="164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CF25" totalsRowShown="0" headerRowDxfId="101">
  <autoFilter ref="A1:CF25"/>
  <tableColumns count="84">
    <tableColumn id="1" name="Tid for ekstern status" dataDxfId="100"/>
    <tableColumn id="2" name="Sluttdato" dataDxfId="99"/>
    <tableColumn id="3" name="Bruker"/>
    <tableColumn id="4" name="Gyldig til" dataDxfId="98"/>
    <tableColumn id="5" name="Levering" dataDxfId="97"/>
    <tableColumn id="6" name="Medarbeider" dataDxfId="96"/>
    <tableColumn id="7" name="Språk" dataDxfId="95"/>
    <tableColumn id="8" name="Material Beskrivelse" dataDxfId="94"/>
    <tableColumn id="9" name="Mat. Dok."/>
    <tableColumn id="10" name="MvT" dataDxfId="93"/>
    <tableColumn id="11" name="Fabrikktekst" dataDxfId="92"/>
    <tableColumn id="12" name="Inndelingsdato" dataDxfId="91"/>
    <tableColumn id="13" name="Lagertekst" dataDxfId="90"/>
    <tableColumn id="14" name="Lagertypetekst" dataDxfId="89"/>
    <tableColumn id="15" name="Lagringsenhetstype" dataDxfId="88"/>
    <tableColumn id="16" name="BW-system" dataDxfId="87"/>
    <tableColumn id="17" name="Bruker3" dataDxfId="86"/>
    <tableColumn id="18" name="Losseplass" dataDxfId="85"/>
    <tableColumn id="19" name="Bruker17" dataDxfId="84"/>
    <tableColumn id="20" name="Lagernummer" dataDxfId="83"/>
    <tableColumn id="21" name="Bev.Typ" dataDxfId="82"/>
    <tableColumn id="22" name="Behovskategori" dataDxfId="81"/>
    <tableColumn id="23" name="Opprett.tidsp." dataDxfId="80"/>
    <tableColumn id="24" name="Slutttidspunkt" dataDxfId="79"/>
    <tableColumn id="25" name="Plukkområde" dataDxfId="78"/>
    <tableColumn id="26" name="Kvittering" dataDxfId="77"/>
    <tableColumn id="27" name="Xdock" dataDxfId="76"/>
    <tableColumn id="28" name="Løpenummer"/>
    <tableColumn id="29" name="Betegnelse(25)" dataDxfId="75"/>
    <tableColumn id="30" name="Skriver" dataDxfId="74"/>
    <tableColumn id="31" name="Bet. Lagertype" dataDxfId="73"/>
    <tableColumn id="45" name="Bet. Lagertype2" dataDxfId="72"/>
    <tableColumn id="46" name="Dest.lageromr." dataDxfId="71"/>
    <tableColumn id="47" name="Dest-lageradr." dataDxfId="70"/>
    <tableColumn id="48" name="Kvant" dataDxfId="69"/>
    <tableColumn id="49" name="Dest.lagertyp" dataDxfId="68"/>
    <tableColumn id="50" name="Kvitteringsdato" dataDxfId="67"/>
    <tableColumn id="51" name="Kvitteringsdato16" dataDxfId="66"/>
    <tableColumn id="52" name="Kl. for kvitt." dataDxfId="65"/>
    <tableColumn id="53" name="Kvantum" dataDxfId="64"/>
    <tableColumn id="54" name="Lagertype22" dataDxfId="63"/>
    <tableColumn id="55" name="TO Number" dataDxfId="62"/>
    <tableColumn id="56" name="TO-posisjon" dataDxfId="61"/>
    <tableColumn id="57" name="Åpn. lgrEh. Fra" dataDxfId="60"/>
    <tableColumn id="58" name="Kildelagerområde" dataDxfId="59"/>
    <tableColumn id="59" name="Kildelageradresse" dataDxfId="58"/>
    <tableColumn id="60" name="Kildelagertype2" dataDxfId="57"/>
    <tableColumn id="61" name="Material2" dataDxfId="56"/>
    <tableColumn id="62" name="Material" dataDxfId="55"/>
    <tableColumn id="63" name="Fabrikk" dataDxfId="54"/>
    <tableColumn id="118" name="Diff. Kildelgr." dataDxfId="53"/>
    <tableColumn id="117" name="Diff.kvt." dataDxfId="52"/>
    <tableColumn id="116" name="Diff.kvt.dest 1" dataDxfId="51"/>
    <tableColumn id="115" name="Diff.kvt.dest 2" dataDxfId="50"/>
    <tableColumn id="114" name="Fakt. tid - LSS-TO" dataDxfId="49"/>
    <tableColumn id="113" name="Fakt. Til-kvt. 1" dataDxfId="48"/>
    <tableColumn id="112" name="Fakt. Til-kvt. 2" dataDxfId="47"/>
    <tableColumn id="111" name="Fakt.kvt. Fra 1" dataDxfId="46"/>
    <tableColumn id="110" name="Fakt.kvt. Fra 2" dataDxfId="45"/>
    <tableColumn id="109" name="Fakt.kvt.retur" dataDxfId="44"/>
    <tableColumn id="108" name="Lagert.diff" dataDxfId="43"/>
    <tableColumn id="107" name="Lagringsenheter" dataDxfId="42"/>
    <tableColumn id="106" name="LE - uttak" dataDxfId="41"/>
    <tableColumn id="105" name="Nevner" dataDxfId="40"/>
    <tableColumn id="104" name="Pl.BehTid Topos" dataDxfId="39"/>
    <tableColumn id="103" name="Teller" dataDxfId="38"/>
    <tableColumn id="102" name="Vekt" dataDxfId="37"/>
    <tableColumn id="101" name="Volum" dataDxfId="36"/>
    <tableColumn id="32" name="Time bekr." dataDxfId="35">
      <calculatedColumnFormula>HOUR(SapExlData[[#This Row],[Kl. for kvitt.]])</calculatedColumnFormula>
    </tableColumn>
    <tableColumn id="33" name="Dato" dataDxfId="34">
      <calculatedColumnFormula>IF(CreationDate="",SapExlData[Kvitteringsdato],SapExlData[Gyldig til])</calculatedColumnFormula>
    </tableColumn>
    <tableColumn id="34" name="Test_Bin" dataDxfId="33">
      <calculatedColumnFormula>IF(OR(AH2="SVAL",AT2="SVAL"),"SVAL",IF(AJ2=10,VLOOKUP($AH2,tBinTest[],2,FALSE),""))</calculatedColumnFormula>
    </tableColumn>
    <tableColumn id="35" name="Inkluder_Test" dataDxfId="32">
      <calculatedColumnFormula>IF(OR(AJ2=922,AU2=922),"Ekskludert","Inkludert")</calculatedColumnFormula>
    </tableColumn>
    <tableColumn id="36" name="Counter" dataDxfId="31">
      <calculatedColumnFormula>IF(BT2="Inkludert",1,0)</calculatedColumnFormula>
    </tableColumn>
    <tableColumn id="37" name="Index" dataDxfId="30">
      <calculatedColumnFormula>TEXT(AU2,"000")&amp;"-"&amp;TEXT(AJ2,"000")&amp;"-"&amp;IF(ISERROR(BS2),"N/A",BS2)</calculatedColumnFormula>
    </tableColumn>
    <tableColumn id="75" name="Overføring_Gruppe" dataDxfId="29">
      <calculatedColumnFormula>VLOOKUP($BV2,tTransportGroups[],7,FALSE)</calculatedColumnFormula>
    </tableColumn>
    <tableColumn id="38" name="Department" dataDxfId="28">
      <calculatedColumnFormula>IF(ISERROR(BW2),"",VLOOKUP($BV2,tTransportGroups[],2,FALSE))</calculatedColumnFormula>
    </tableColumn>
    <tableColumn id="39" name="Bevegelsetype" dataDxfId="27">
      <calculatedColumnFormula>U2&amp;" "</calculatedColumnFormula>
    </tableColumn>
    <tableColumn id="40" name="Std.tid" dataDxfId="26">
      <calculatedColumnFormula>IF(ISERROR(BW2),0,VLOOKUP($BV2,tTransportGroups[],6,FALSE))</calculatedColumnFormula>
    </tableColumn>
    <tableColumn id="41" name="Material Navn" dataDxfId="25">
      <calculatedColumnFormula>SapExlData[Material]&amp;" "&amp;SapExlData[Material Beskrivelse]</calculatedColumnFormula>
    </tableColumn>
    <tableColumn id="42" name="DeliveryMin" dataDxfId="24">
      <calculatedColumnFormula>(SapExlData[Kvitteringsdato]+SapExlData[Kl. for kvitt.]-SapExlData[Gyldig til]-SapExlData[Opprett.tidsp.])*24*60</calculatedColumnFormula>
    </tableColumn>
    <tableColumn id="43" name="Kildelagertype" dataDxfId="23">
      <calculatedColumnFormula>TEXT(AJ2,"000")&amp;" "&amp;N2</calculatedColumnFormula>
    </tableColumn>
    <tableColumn id="65" name="Ordretid" dataDxfId="22">
      <calculatedColumnFormula>SapExlData[Gyldig til]+SapExlData[Opprett.tidsp.]</calculatedColumnFormula>
    </tableColumn>
    <tableColumn id="66" name="Lev.tid" dataDxfId="21">
      <calculatedColumnFormula>SapExlData[Kvitteringsdato]+SapExlData[Kl. for kvitt.]</calculatedColumnFormula>
    </tableColumn>
    <tableColumn id="67" name="Dest.lagertype" dataDxfId="20">
      <calculatedColumnFormula>TEXT(AU2,"000")&amp;" "&amp;SapExlData[Lagertype22]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Descriptions" displayName="Descriptions" ref="A1:B82" totalsRowShown="0" headerRowDxfId="19">
  <autoFilter ref="A1:B82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18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17">
      <xmlColumnPr mapId="1" xpath="/XtraSerializer/@VariantID" xmlDataType="integer"/>
    </tableColumn>
    <tableColumn id="4" uniqueName="SheetName" name="SheetName" dataDxfId="16">
      <xmlColumnPr mapId="1" xpath="/XtraSerializer/property/@SheetName" xmlDataType="string"/>
    </tableColumn>
    <tableColumn id="5" uniqueName="TableName" name="TableName" dataDxfId="15">
      <xmlColumnPr mapId="1" xpath="/XtraSerializer/property/@TableName" xmlDataType="string"/>
    </tableColumn>
    <tableColumn id="6" uniqueName="Seq" name="Seq" dataDxfId="14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13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12">
      <xmlColumnPr mapId="1" xpath="/XtraSerializer/property/property/@FieldList" xmlDataType="integer"/>
    </tableColumn>
    <tableColumn id="14" uniqueName="MissingItems" name="MissingItems" dataDxfId="11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10"/>
    <tableColumn id="2" name="Value"/>
    <tableColumn id="3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4" name="tBinTest" displayName="tBinTest" ref="I7:J10" totalsRowShown="0">
  <autoFilter ref="I7:J10"/>
  <tableColumns count="2">
    <tableColumn id="1" name="Dest_Bin" dataCellStyle="Normal_Ark"/>
    <tableColumn id="2" name="Department" dataCellStyle="Normal 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3" name="tExclTypes" displayName="tExclTypes" ref="L7:L8" totalsRowShown="0" headerRowDxfId="9" headerRowCellStyle="Normal_Ark" dataCellStyle="Normal_Ark">
  <autoFilter ref="L7:L8"/>
  <tableColumns count="1">
    <tableColumn id="1" name="Excluded_Types" dataCellStyle="Normal_Ark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4" name="tTransportGroups" displayName="tTransportGroups" ref="A7:G10" totalsRowShown="0" headerRowDxfId="8" dataDxfId="7" headerRowCellStyle="Normal 5" dataCellStyle="Normal_Ark">
  <autoFilter ref="A7:G10"/>
  <tableColumns count="7">
    <tableColumn id="1" name="Index" dataDxfId="6" dataCellStyle="Normal 5"/>
    <tableColumn id="2" name="Department" dataDxfId="5" dataCellStyle="Normal 5"/>
    <tableColumn id="3" name="From" dataDxfId="4" dataCellStyle="Normal 5"/>
    <tableColumn id="4" name="To" dataDxfId="3" dataCellStyle="Normal_Ark"/>
    <tableColumn id="5" name="Test_Bin" dataDxfId="2" dataCellStyle="Normal_Ark"/>
    <tableColumn id="6" name="Time" dataDxfId="1" dataCellStyle="Normal_Ark"/>
    <tableColumn id="7" name="Group" dataDxfId="0" dataCellStyle="Normal_Ar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CF25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53125" defaultRowHeight="14.5" x14ac:dyDescent="0.35"/>
  <cols>
    <col min="1" max="1" width="21.90625" style="22" bestFit="1" customWidth="1"/>
    <col min="2" max="2" width="11.54296875" bestFit="1" customWidth="1"/>
    <col min="3" max="4" width="11.1796875" bestFit="1" customWidth="1"/>
    <col min="5" max="5" width="10.90625" style="22" bestFit="1" customWidth="1"/>
    <col min="6" max="6" width="13.7265625" bestFit="1" customWidth="1"/>
    <col min="7" max="7" width="11.54296875" bestFit="1" customWidth="1"/>
    <col min="8" max="8" width="42" bestFit="1" customWidth="1"/>
    <col min="9" max="9" width="11.81640625" bestFit="1" customWidth="1"/>
    <col min="10" max="10" width="11.54296875" style="22" bestFit="1" customWidth="1"/>
    <col min="11" max="11" width="12.54296875" bestFit="1" customWidth="1"/>
    <col min="12" max="12" width="10.453125" bestFit="1" customWidth="1"/>
    <col min="13" max="13" width="14.7265625" bestFit="1" customWidth="1"/>
    <col min="14" max="14" width="20.1796875" bestFit="1" customWidth="1"/>
    <col min="15" max="15" width="20.453125" bestFit="1" customWidth="1"/>
    <col min="16" max="16" width="13.7265625" bestFit="1" customWidth="1"/>
    <col min="17" max="17" width="23.54296875" bestFit="1" customWidth="1"/>
    <col min="18" max="18" width="12.6328125" bestFit="1" customWidth="1"/>
    <col min="19" max="19" width="11.453125" bestFit="1" customWidth="1"/>
    <col min="20" max="20" width="17.7265625" bestFit="1" customWidth="1"/>
    <col min="21" max="21" width="10.36328125" bestFit="1" customWidth="1"/>
    <col min="22" max="22" width="11.54296875" bestFit="1" customWidth="1"/>
    <col min="23" max="23" width="8.1796875" bestFit="1" customWidth="1"/>
    <col min="24" max="24" width="15.81640625" bestFit="1" customWidth="1"/>
    <col min="25" max="25" width="11.54296875" bestFit="1" customWidth="1"/>
    <col min="26" max="26" width="4.81640625" bestFit="1" customWidth="1"/>
    <col min="27" max="27" width="11.54296875" bestFit="1" customWidth="1"/>
    <col min="28" max="28" width="13.7265625" bestFit="1" customWidth="1"/>
    <col min="29" max="32" width="11.54296875" bestFit="1" customWidth="1"/>
    <col min="33" max="33" width="10.81640625" bestFit="1" customWidth="1"/>
    <col min="34" max="34" width="14.453125" bestFit="1" customWidth="1"/>
    <col min="35" max="35" width="8.81640625" bestFit="1" customWidth="1"/>
    <col min="36" max="36" width="6.81640625" bestFit="1" customWidth="1"/>
    <col min="37" max="37" width="12.1796875" bestFit="1" customWidth="1"/>
    <col min="38" max="38" width="12.453125" bestFit="1" customWidth="1"/>
    <col min="39" max="39" width="9.26953125" bestFit="1" customWidth="1"/>
    <col min="40" max="40" width="11.54296875" bestFit="1" customWidth="1"/>
    <col min="41" max="41" width="15.26953125" bestFit="1" customWidth="1"/>
    <col min="42" max="42" width="13.453125" bestFit="1" customWidth="1"/>
    <col min="43" max="43" width="10.81640625" bestFit="1" customWidth="1"/>
    <col min="44" max="44" width="11.54296875" bestFit="1" customWidth="1"/>
    <col min="45" max="45" width="6.7265625" bestFit="1" customWidth="1"/>
    <col min="46" max="46" width="12.54296875" bestFit="1" customWidth="1"/>
    <col min="47" max="47" width="8.81640625" bestFit="1" customWidth="1"/>
    <col min="48" max="48" width="11.81640625" bestFit="1" customWidth="1"/>
    <col min="49" max="49" width="10.81640625" bestFit="1" customWidth="1"/>
    <col min="50" max="50" width="7" bestFit="1" customWidth="1"/>
    <col min="51" max="51" width="16.81640625" bestFit="1" customWidth="1"/>
    <col min="52" max="52" width="14" bestFit="1" customWidth="1"/>
    <col min="53" max="53" width="14.453125" bestFit="1" customWidth="1"/>
    <col min="54" max="54" width="16.54296875" bestFit="1" customWidth="1"/>
    <col min="55" max="55" width="17.90625" bestFit="1" customWidth="1"/>
    <col min="56" max="56" width="12.26953125" bestFit="1" customWidth="1"/>
    <col min="57" max="57" width="14.453125" bestFit="1" customWidth="1"/>
    <col min="58" max="58" width="14.7265625" bestFit="1" customWidth="1"/>
    <col min="59" max="59" width="15.81640625" bestFit="1" customWidth="1"/>
    <col min="60" max="60" width="13.81640625" bestFit="1" customWidth="1"/>
    <col min="61" max="61" width="12.36328125" bestFit="1" customWidth="1"/>
    <col min="62" max="63" width="9.54296875" style="22" bestFit="1" customWidth="1"/>
    <col min="64" max="64" width="11.7265625" bestFit="1" customWidth="1"/>
    <col min="65" max="65" width="17.1796875" bestFit="1" customWidth="1"/>
    <col min="66" max="66" width="10.453125" bestFit="1" customWidth="1"/>
    <col min="67" max="67" width="9.81640625" bestFit="1" customWidth="1"/>
    <col min="68" max="68" width="10.26953125" bestFit="1" customWidth="1"/>
    <col min="69" max="69" width="12.6328125" bestFit="1" customWidth="1"/>
    <col min="70" max="70" width="10.26953125" bestFit="1" customWidth="1"/>
    <col min="71" max="71" width="11" customWidth="1"/>
    <col min="72" max="72" width="14.54296875" bestFit="1" customWidth="1"/>
    <col min="73" max="73" width="10.453125" customWidth="1"/>
    <col min="74" max="74" width="11.54296875" bestFit="1" customWidth="1"/>
    <col min="75" max="75" width="20.1796875" bestFit="1" customWidth="1"/>
    <col min="76" max="76" width="14" customWidth="1"/>
    <col min="77" max="77" width="16.26953125" bestFit="1" customWidth="1"/>
    <col min="78" max="78" width="10.7265625" customWidth="1"/>
    <col min="79" max="79" width="38.453125" bestFit="1" customWidth="1"/>
    <col min="80" max="80" width="14.26953125" bestFit="1" customWidth="1"/>
    <col min="81" max="81" width="21.453125" bestFit="1" customWidth="1"/>
    <col min="82" max="83" width="15.453125" bestFit="1" customWidth="1"/>
    <col min="84" max="84" width="21.26953125" bestFit="1" customWidth="1"/>
  </cols>
  <sheetData>
    <row r="1" spans="1:84" s="10" customFormat="1" x14ac:dyDescent="0.35">
      <c r="A1" s="49" t="s">
        <v>300</v>
      </c>
      <c r="B1" s="10" t="s">
        <v>301</v>
      </c>
      <c r="C1" s="10" t="s">
        <v>302</v>
      </c>
      <c r="D1" s="10" t="s">
        <v>303</v>
      </c>
      <c r="E1" s="49" t="s">
        <v>304</v>
      </c>
      <c r="F1" s="10" t="s">
        <v>305</v>
      </c>
      <c r="G1" s="10" t="s">
        <v>306</v>
      </c>
      <c r="H1" s="10" t="s">
        <v>308</v>
      </c>
      <c r="I1" s="10" t="s">
        <v>307</v>
      </c>
      <c r="J1" s="49" t="s">
        <v>126</v>
      </c>
      <c r="K1" s="10" t="s">
        <v>311</v>
      </c>
      <c r="L1" s="10" t="s">
        <v>309</v>
      </c>
      <c r="M1" s="10" t="s">
        <v>310</v>
      </c>
      <c r="N1" s="10" t="s">
        <v>312</v>
      </c>
      <c r="O1" s="10" t="s">
        <v>313</v>
      </c>
      <c r="P1" s="10" t="s">
        <v>314</v>
      </c>
      <c r="Q1" s="10" t="s">
        <v>315</v>
      </c>
      <c r="R1" s="10" t="s">
        <v>316</v>
      </c>
      <c r="S1" s="10" t="s">
        <v>317</v>
      </c>
      <c r="T1" s="10" t="s">
        <v>318</v>
      </c>
      <c r="U1" s="10" t="s">
        <v>319</v>
      </c>
      <c r="V1" s="10" t="s">
        <v>320</v>
      </c>
      <c r="W1" s="10" t="s">
        <v>321</v>
      </c>
      <c r="X1" s="10" t="s">
        <v>322</v>
      </c>
      <c r="Y1" s="10" t="s">
        <v>323</v>
      </c>
      <c r="Z1" s="10" t="s">
        <v>324</v>
      </c>
      <c r="AA1" s="10" t="s">
        <v>139</v>
      </c>
      <c r="AB1" s="10" t="s">
        <v>325</v>
      </c>
      <c r="AC1" s="10" t="s">
        <v>326</v>
      </c>
      <c r="AD1" s="10" t="s">
        <v>327</v>
      </c>
      <c r="AE1" s="10" t="s">
        <v>328</v>
      </c>
      <c r="AF1" s="10" t="s">
        <v>329</v>
      </c>
      <c r="AG1" s="10" t="s">
        <v>330</v>
      </c>
      <c r="AH1" s="10" t="s">
        <v>331</v>
      </c>
      <c r="AI1" s="10" t="s">
        <v>332</v>
      </c>
      <c r="AJ1" s="10" t="s">
        <v>333</v>
      </c>
      <c r="AK1" s="10" t="s">
        <v>334</v>
      </c>
      <c r="AL1" s="10" t="s">
        <v>335</v>
      </c>
      <c r="AM1" s="10" t="s">
        <v>336</v>
      </c>
      <c r="AN1" s="10" t="s">
        <v>337</v>
      </c>
      <c r="AO1" s="10" t="s">
        <v>338</v>
      </c>
      <c r="AP1" s="10" t="s">
        <v>111</v>
      </c>
      <c r="AQ1" s="10" t="s">
        <v>339</v>
      </c>
      <c r="AR1" s="10" t="s">
        <v>340</v>
      </c>
      <c r="AS1" s="10" t="s">
        <v>341</v>
      </c>
      <c r="AT1" s="10" t="s">
        <v>342</v>
      </c>
      <c r="AU1" s="10" t="s">
        <v>366</v>
      </c>
      <c r="AV1" s="10" t="s">
        <v>279</v>
      </c>
      <c r="AW1" s="10" t="s">
        <v>3</v>
      </c>
      <c r="AX1" s="10" t="s">
        <v>344</v>
      </c>
      <c r="AY1" s="10" t="s">
        <v>345</v>
      </c>
      <c r="AZ1" s="10" t="s">
        <v>346</v>
      </c>
      <c r="BA1" s="10" t="s">
        <v>347</v>
      </c>
      <c r="BB1" s="10" t="s">
        <v>348</v>
      </c>
      <c r="BC1" s="10" t="s">
        <v>349</v>
      </c>
      <c r="BD1" s="10" t="s">
        <v>350</v>
      </c>
      <c r="BE1" s="10" t="s">
        <v>351</v>
      </c>
      <c r="BF1" s="10" t="s">
        <v>352</v>
      </c>
      <c r="BG1" s="10" t="s">
        <v>353</v>
      </c>
      <c r="BH1" s="10" t="s">
        <v>354</v>
      </c>
      <c r="BI1" s="10" t="s">
        <v>355</v>
      </c>
      <c r="BJ1" s="49" t="s">
        <v>356</v>
      </c>
      <c r="BK1" s="49" t="s">
        <v>357</v>
      </c>
      <c r="BL1" s="10" t="s">
        <v>358</v>
      </c>
      <c r="BM1" s="10" t="s">
        <v>359</v>
      </c>
      <c r="BN1" s="10" t="s">
        <v>360</v>
      </c>
      <c r="BO1" s="10" t="s">
        <v>361</v>
      </c>
      <c r="BP1" s="10" t="s">
        <v>362</v>
      </c>
      <c r="BQ1" s="17" t="s">
        <v>375</v>
      </c>
      <c r="BR1" s="17" t="s">
        <v>369</v>
      </c>
      <c r="BS1" s="17" t="s">
        <v>109</v>
      </c>
      <c r="BT1" s="17" t="s">
        <v>363</v>
      </c>
      <c r="BU1" s="17" t="s">
        <v>146</v>
      </c>
      <c r="BV1" s="17" t="s">
        <v>34</v>
      </c>
      <c r="BW1" s="17" t="s">
        <v>370</v>
      </c>
      <c r="BX1" s="17" t="s">
        <v>147</v>
      </c>
      <c r="BY1" s="17" t="s">
        <v>374</v>
      </c>
      <c r="BZ1" s="17" t="s">
        <v>372</v>
      </c>
      <c r="CA1" s="17" t="s">
        <v>365</v>
      </c>
      <c r="CB1" s="17" t="s">
        <v>148</v>
      </c>
      <c r="CC1" s="17" t="s">
        <v>343</v>
      </c>
      <c r="CD1" s="17" t="s">
        <v>371</v>
      </c>
      <c r="CE1" s="17" t="s">
        <v>367</v>
      </c>
      <c r="CF1" s="17" t="s">
        <v>368</v>
      </c>
    </row>
    <row r="2" spans="1:84" x14ac:dyDescent="0.35">
      <c r="A2" s="29">
        <v>0.21408564814814801</v>
      </c>
      <c r="B2" s="29"/>
      <c r="C2" s="29" t="s">
        <v>200</v>
      </c>
      <c r="D2" s="29" t="s">
        <v>201</v>
      </c>
      <c r="E2" s="29"/>
      <c r="F2" s="31" t="s">
        <v>202</v>
      </c>
      <c r="G2" s="29" t="s">
        <v>202</v>
      </c>
      <c r="H2" s="22" t="s">
        <v>203</v>
      </c>
      <c r="I2" s="29"/>
      <c r="J2" s="29" t="s">
        <v>202</v>
      </c>
      <c r="K2" s="29" t="s">
        <v>204</v>
      </c>
      <c r="L2" s="29" t="s">
        <v>201</v>
      </c>
      <c r="M2" s="22" t="s">
        <v>205</v>
      </c>
      <c r="N2" s="22" t="s">
        <v>206</v>
      </c>
      <c r="O2" s="29" t="s">
        <v>207</v>
      </c>
      <c r="P2" s="22" t="s">
        <v>202</v>
      </c>
      <c r="Q2" s="22" t="s">
        <v>208</v>
      </c>
      <c r="R2" s="32"/>
      <c r="S2" s="29" t="s">
        <v>200</v>
      </c>
      <c r="T2" s="29" t="s">
        <v>209</v>
      </c>
      <c r="U2" s="29" t="s">
        <v>210</v>
      </c>
      <c r="V2" s="29" t="s">
        <v>202</v>
      </c>
      <c r="W2" s="31">
        <v>0.21392361111111111</v>
      </c>
      <c r="X2" s="29"/>
      <c r="Y2" s="29">
        <v>1</v>
      </c>
      <c r="Z2" s="30" t="s">
        <v>70</v>
      </c>
      <c r="AA2" s="31" t="s">
        <v>202</v>
      </c>
      <c r="AB2" s="29" t="s">
        <v>202</v>
      </c>
      <c r="AC2" s="29" t="s">
        <v>202</v>
      </c>
      <c r="AD2" s="29" t="s">
        <v>202</v>
      </c>
      <c r="AE2" s="29" t="s">
        <v>202</v>
      </c>
      <c r="AF2" s="29" t="s">
        <v>202</v>
      </c>
      <c r="AG2" s="29">
        <v>1</v>
      </c>
      <c r="AH2" s="29" t="s">
        <v>211</v>
      </c>
      <c r="AI2" s="29">
        <v>20720</v>
      </c>
      <c r="AJ2" s="29">
        <v>10</v>
      </c>
      <c r="AK2" s="29" t="s">
        <v>201</v>
      </c>
      <c r="AL2" s="29" t="s">
        <v>201</v>
      </c>
      <c r="AM2" s="31">
        <v>0.21409722222222224</v>
      </c>
      <c r="AN2" s="29" t="s">
        <v>202</v>
      </c>
      <c r="AO2" s="29" t="s">
        <v>206</v>
      </c>
      <c r="AP2" s="29">
        <v>2010487</v>
      </c>
      <c r="AQ2" s="29">
        <v>1</v>
      </c>
      <c r="AR2" s="29" t="s">
        <v>202</v>
      </c>
      <c r="AS2" s="29">
        <v>1</v>
      </c>
      <c r="AT2" s="29" t="s">
        <v>212</v>
      </c>
      <c r="AU2" s="29">
        <v>9</v>
      </c>
      <c r="AV2" s="29"/>
      <c r="AW2" s="29">
        <v>503381</v>
      </c>
      <c r="AX2" s="29" t="s">
        <v>213</v>
      </c>
      <c r="AY2" s="29">
        <v>0</v>
      </c>
      <c r="AZ2" s="29">
        <v>0</v>
      </c>
      <c r="BA2" s="29">
        <v>0</v>
      </c>
      <c r="BB2" s="29">
        <v>0</v>
      </c>
      <c r="BC2" s="29">
        <v>0</v>
      </c>
      <c r="BD2" s="29">
        <v>800</v>
      </c>
      <c r="BE2" s="29">
        <v>800</v>
      </c>
      <c r="BF2" s="29">
        <v>800</v>
      </c>
      <c r="BG2" s="29">
        <v>800</v>
      </c>
      <c r="BH2" s="29">
        <v>0</v>
      </c>
      <c r="BI2" s="29">
        <v>0</v>
      </c>
      <c r="BJ2" s="29">
        <v>0</v>
      </c>
      <c r="BK2" s="29">
        <v>0</v>
      </c>
      <c r="BL2" s="29">
        <v>1</v>
      </c>
      <c r="BM2" s="29">
        <v>0</v>
      </c>
      <c r="BN2" s="29">
        <v>1</v>
      </c>
      <c r="BO2" s="29">
        <v>800</v>
      </c>
      <c r="BP2" s="29">
        <v>0</v>
      </c>
      <c r="BQ2" s="29">
        <f>HOUR(SapExlData[[#This Row],[Kl. for kvitt.]])</f>
        <v>5</v>
      </c>
      <c r="BR2" s="30" t="str">
        <f>IF(CreationDate="",SapExlData[Kvitteringsdato],SapExlData[Gyldig til])</f>
        <v>20.03.2015</v>
      </c>
      <c r="BS2" s="29" t="e">
        <f>IF(OR(AH2="SVAL",AT2="SVAL"),"SVAL",IF(AJ2=10,VLOOKUP($AH2,tBinTest[],2,FALSE),""))</f>
        <v>#N/A</v>
      </c>
      <c r="BT2" s="29" t="str">
        <f t="shared" ref="BT2:BT25" si="0">IF(OR(AJ2=922,AU2=922),"Ekskludert","Inkludert")</f>
        <v>Inkludert</v>
      </c>
      <c r="BU2" s="29">
        <f t="shared" ref="BU2:BU25" si="1">IF(BT2="Inkludert",1,0)</f>
        <v>1</v>
      </c>
      <c r="BV2" s="29" t="str">
        <f t="shared" ref="BV2:BV25" si="2">TEXT(AU2,"000")&amp;"-"&amp;TEXT(AJ2,"000")&amp;"-"&amp;IF(ISERROR(BS2),"N/A",BS2)</f>
        <v>009-010-N/A</v>
      </c>
      <c r="BW2" s="29" t="e">
        <f>VLOOKUP($BV2,tTransportGroups[],7,FALSE)</f>
        <v>#N/A</v>
      </c>
      <c r="BX2" s="29" t="str">
        <f>IF(ISERROR(BW2),"",VLOOKUP($BV2,tTransportGroups[],2,FALSE))</f>
        <v/>
      </c>
      <c r="BY2" s="29" t="str">
        <f t="shared" ref="BY2:BY25" si="3">U2&amp;" "</f>
        <v xml:space="preserve">240/920 </v>
      </c>
      <c r="BZ2" s="29">
        <f>IF(ISERROR(BW2),0,VLOOKUP($BV2,tTransportGroups[],6,FALSE))</f>
        <v>0</v>
      </c>
      <c r="CA2" s="29" t="str">
        <f>SapExlData[Material]&amp;" "&amp;SapExlData[Material Beskrivelse]</f>
        <v>503381 Fløte 10 dg.</v>
      </c>
      <c r="CB2" s="33">
        <f>(SapExlData[Kvitteringsdato]+SapExlData[Kl. for kvitt.]-SapExlData[Gyldig til]-SapExlData[Opprett.tidsp.])*24*60</f>
        <v>0.24999999492429925</v>
      </c>
      <c r="CC2" s="29" t="str">
        <f t="shared" ref="CC2:CC25" si="4">TEXT(AJ2,"000")&amp;" "&amp;N2</f>
        <v>010 240/Ikke tilordnet</v>
      </c>
      <c r="CD2" s="34">
        <f>SapExlData[Gyldig til]+SapExlData[Opprett.tidsp.]</f>
        <v>42083.213923611111</v>
      </c>
      <c r="CE2" s="34">
        <f>SapExlData[Kvitteringsdato]+SapExlData[Kl. for kvitt.]</f>
        <v>42083.214097222219</v>
      </c>
      <c r="CF2" s="22" t="str">
        <f>TEXT(AU2,"000")&amp;" "&amp;SapExlData[Lagertype22]</f>
        <v>009 240/Ikke tilordnet</v>
      </c>
    </row>
    <row r="3" spans="1:84" x14ac:dyDescent="0.35">
      <c r="A3" s="29">
        <v>0.29504629629629631</v>
      </c>
      <c r="B3" s="29"/>
      <c r="C3" s="22" t="s">
        <v>214</v>
      </c>
      <c r="D3" s="29" t="s">
        <v>215</v>
      </c>
      <c r="E3" s="29">
        <v>80674420</v>
      </c>
      <c r="F3" s="31" t="s">
        <v>202</v>
      </c>
      <c r="G3" s="29" t="s">
        <v>202</v>
      </c>
      <c r="H3" s="22" t="s">
        <v>216</v>
      </c>
      <c r="I3" s="22"/>
      <c r="J3" s="29">
        <v>601</v>
      </c>
      <c r="K3" s="29" t="s">
        <v>204</v>
      </c>
      <c r="L3" s="29" t="s">
        <v>215</v>
      </c>
      <c r="M3" s="22" t="s">
        <v>217</v>
      </c>
      <c r="N3" s="22" t="s">
        <v>206</v>
      </c>
      <c r="O3" s="29" t="s">
        <v>218</v>
      </c>
      <c r="P3" s="22" t="s">
        <v>202</v>
      </c>
      <c r="Q3" s="22" t="s">
        <v>219</v>
      </c>
      <c r="R3" s="32"/>
      <c r="S3" s="29" t="s">
        <v>214</v>
      </c>
      <c r="T3" s="29" t="s">
        <v>209</v>
      </c>
      <c r="U3" s="29" t="s">
        <v>220</v>
      </c>
      <c r="V3" s="29" t="s">
        <v>221</v>
      </c>
      <c r="W3" s="31">
        <v>0.2942939814814815</v>
      </c>
      <c r="X3" s="29"/>
      <c r="Y3" s="29">
        <v>1</v>
      </c>
      <c r="Z3" s="30" t="s">
        <v>70</v>
      </c>
      <c r="AA3" s="31" t="s">
        <v>202</v>
      </c>
      <c r="AB3" s="22" t="s">
        <v>202</v>
      </c>
      <c r="AC3" s="29" t="s">
        <v>202</v>
      </c>
      <c r="AD3" s="29" t="s">
        <v>222</v>
      </c>
      <c r="AE3" s="29" t="s">
        <v>202</v>
      </c>
      <c r="AF3" s="29" t="s">
        <v>202</v>
      </c>
      <c r="AG3" s="29">
        <v>1</v>
      </c>
      <c r="AH3" s="29">
        <v>80674420</v>
      </c>
      <c r="AI3" s="29">
        <v>18256</v>
      </c>
      <c r="AJ3" s="29">
        <v>916</v>
      </c>
      <c r="AK3" s="29" t="s">
        <v>215</v>
      </c>
      <c r="AL3" s="29" t="s">
        <v>215</v>
      </c>
      <c r="AM3" s="31">
        <v>0.29504629629629631</v>
      </c>
      <c r="AN3" s="29" t="s">
        <v>202</v>
      </c>
      <c r="AO3" s="29" t="s">
        <v>206</v>
      </c>
      <c r="AP3" s="29">
        <v>2009020</v>
      </c>
      <c r="AQ3" s="29">
        <v>1</v>
      </c>
      <c r="AR3" s="29" t="s">
        <v>202</v>
      </c>
      <c r="AS3" s="29">
        <v>1</v>
      </c>
      <c r="AT3" s="29" t="s">
        <v>223</v>
      </c>
      <c r="AU3" s="29">
        <v>6</v>
      </c>
      <c r="AV3" s="29"/>
      <c r="AW3" s="29">
        <v>116263</v>
      </c>
      <c r="AX3" s="29" t="s">
        <v>213</v>
      </c>
      <c r="AY3" s="29">
        <v>-41</v>
      </c>
      <c r="AZ3" s="29">
        <v>0</v>
      </c>
      <c r="BA3" s="29">
        <v>0</v>
      </c>
      <c r="BB3" s="29">
        <v>0</v>
      </c>
      <c r="BC3" s="29">
        <v>0</v>
      </c>
      <c r="BD3" s="29">
        <v>0</v>
      </c>
      <c r="BE3" s="29">
        <v>0</v>
      </c>
      <c r="BF3" s="29">
        <v>0</v>
      </c>
      <c r="BG3" s="29">
        <v>0</v>
      </c>
      <c r="BH3" s="29">
        <v>0</v>
      </c>
      <c r="BI3" s="29">
        <v>-41</v>
      </c>
      <c r="BJ3" s="29">
        <v>1</v>
      </c>
      <c r="BK3" s="29">
        <v>0</v>
      </c>
      <c r="BL3" s="29">
        <v>1</v>
      </c>
      <c r="BM3" s="29">
        <v>0</v>
      </c>
      <c r="BN3" s="29">
        <v>1</v>
      </c>
      <c r="BO3" s="29">
        <v>116.235</v>
      </c>
      <c r="BP3" s="29">
        <v>0</v>
      </c>
      <c r="BQ3" s="29">
        <f>HOUR(SapExlData[[#This Row],[Kl. for kvitt.]])</f>
        <v>7</v>
      </c>
      <c r="BR3" s="30" t="str">
        <f>IF(CreationDate="",SapExlData[Kvitteringsdato],SapExlData[Gyldig til])</f>
        <v>17.03.2015</v>
      </c>
      <c r="BS3" s="29" t="str">
        <f>IF(OR(AH3="SVAL",AT3="SVAL"),"SVAL",IF(AJ3=10,VLOOKUP($AH3,tBinTest[],2,FALSE),""))</f>
        <v/>
      </c>
      <c r="BT3" s="29" t="str">
        <f t="shared" si="0"/>
        <v>Inkludert</v>
      </c>
      <c r="BU3" s="29">
        <f t="shared" si="1"/>
        <v>1</v>
      </c>
      <c r="BV3" s="29" t="str">
        <f t="shared" si="2"/>
        <v>006-916-</v>
      </c>
      <c r="BW3" s="29" t="e">
        <f>VLOOKUP($BV3,tTransportGroups[],7,FALSE)</f>
        <v>#N/A</v>
      </c>
      <c r="BX3" s="29" t="str">
        <f>IF(ISERROR(BW3),"",VLOOKUP($BV3,tTransportGroups[],2,FALSE))</f>
        <v/>
      </c>
      <c r="BY3" s="29" t="str">
        <f t="shared" si="3"/>
        <v xml:space="preserve">240/601 </v>
      </c>
      <c r="BZ3" s="29">
        <f>IF(ISERROR(BW3),0,VLOOKUP($BV3,tTransportGroups[],6,FALSE))</f>
        <v>0</v>
      </c>
      <c r="CA3" s="29" t="str">
        <f>SapExlData[Material]&amp;" "&amp;SapExlData[Material Beskrivelse]</f>
        <v>116263 Toro Spagetti Carbonara 6x385g</v>
      </c>
      <c r="CB3" s="33">
        <f>(SapExlData[Kvitteringsdato]+SapExlData[Kl. for kvitt.]-SapExlData[Gyldig til]-SapExlData[Opprett.tidsp.])*24*60</f>
        <v>1.0833333359254826</v>
      </c>
      <c r="CC3" s="29" t="str">
        <f t="shared" si="4"/>
        <v>916 240/Ikke tilordnet</v>
      </c>
      <c r="CD3" s="34">
        <f>SapExlData[Gyldig til]+SapExlData[Opprett.tidsp.]</f>
        <v>42080.294293981482</v>
      </c>
      <c r="CE3" s="34">
        <f>SapExlData[Kvitteringsdato]+SapExlData[Kl. for kvitt.]</f>
        <v>42080.295046296298</v>
      </c>
      <c r="CF3" s="22" t="str">
        <f>TEXT(AU3,"000")&amp;" "&amp;SapExlData[Lagertype22]</f>
        <v>006 240/Ikke tilordnet</v>
      </c>
    </row>
    <row r="4" spans="1:84" x14ac:dyDescent="0.35">
      <c r="A4" s="29">
        <v>0.29504629629629631</v>
      </c>
      <c r="B4" s="29"/>
      <c r="C4" t="s">
        <v>214</v>
      </c>
      <c r="D4" s="29" t="s">
        <v>215</v>
      </c>
      <c r="E4" s="29">
        <v>80674420</v>
      </c>
      <c r="F4" s="31" t="s">
        <v>202</v>
      </c>
      <c r="G4" s="29" t="s">
        <v>202</v>
      </c>
      <c r="H4" s="22" t="s">
        <v>224</v>
      </c>
      <c r="J4" s="29">
        <v>601</v>
      </c>
      <c r="K4" s="29" t="s">
        <v>204</v>
      </c>
      <c r="L4" s="29" t="s">
        <v>215</v>
      </c>
      <c r="M4" s="22" t="s">
        <v>217</v>
      </c>
      <c r="N4" s="22" t="s">
        <v>206</v>
      </c>
      <c r="O4" s="29" t="s">
        <v>218</v>
      </c>
      <c r="P4" s="22" t="s">
        <v>202</v>
      </c>
      <c r="Q4" s="22" t="s">
        <v>219</v>
      </c>
      <c r="R4" s="32"/>
      <c r="S4" s="29" t="s">
        <v>214</v>
      </c>
      <c r="T4" s="29" t="s">
        <v>209</v>
      </c>
      <c r="U4" s="29" t="s">
        <v>220</v>
      </c>
      <c r="V4" s="29" t="s">
        <v>221</v>
      </c>
      <c r="W4" s="31">
        <v>0.2942939814814815</v>
      </c>
      <c r="X4" s="29"/>
      <c r="Y4" s="29">
        <v>1</v>
      </c>
      <c r="Z4" s="30" t="s">
        <v>70</v>
      </c>
      <c r="AA4" s="31" t="s">
        <v>202</v>
      </c>
      <c r="AB4" t="s">
        <v>202</v>
      </c>
      <c r="AC4" s="29" t="s">
        <v>202</v>
      </c>
      <c r="AD4" s="29" t="s">
        <v>222</v>
      </c>
      <c r="AE4" s="29" t="s">
        <v>202</v>
      </c>
      <c r="AF4" s="29" t="s">
        <v>202</v>
      </c>
      <c r="AG4" s="29">
        <v>1</v>
      </c>
      <c r="AH4" s="29">
        <v>80674420</v>
      </c>
      <c r="AI4" s="29">
        <v>18257</v>
      </c>
      <c r="AJ4" s="29">
        <v>916</v>
      </c>
      <c r="AK4" s="29" t="s">
        <v>215</v>
      </c>
      <c r="AL4" s="29" t="s">
        <v>215</v>
      </c>
      <c r="AM4" s="31">
        <v>0.29504629629629631</v>
      </c>
      <c r="AN4" s="29" t="s">
        <v>202</v>
      </c>
      <c r="AO4" s="29" t="s">
        <v>206</v>
      </c>
      <c r="AP4" s="29">
        <v>2009020</v>
      </c>
      <c r="AQ4" s="29">
        <v>2</v>
      </c>
      <c r="AR4" s="29" t="s">
        <v>202</v>
      </c>
      <c r="AS4" s="29">
        <v>1</v>
      </c>
      <c r="AT4" s="29" t="s">
        <v>225</v>
      </c>
      <c r="AU4" s="29">
        <v>6</v>
      </c>
      <c r="AV4" s="29"/>
      <c r="AW4" s="29">
        <v>123684</v>
      </c>
      <c r="AX4" s="29" t="s">
        <v>213</v>
      </c>
      <c r="AY4" s="29">
        <v>-24</v>
      </c>
      <c r="AZ4" s="29">
        <v>0</v>
      </c>
      <c r="BA4" s="29">
        <v>0</v>
      </c>
      <c r="BB4" s="29">
        <v>0</v>
      </c>
      <c r="BC4" s="29">
        <v>0</v>
      </c>
      <c r="BD4" s="29">
        <v>0</v>
      </c>
      <c r="BE4" s="29">
        <v>0</v>
      </c>
      <c r="BF4" s="29">
        <v>0</v>
      </c>
      <c r="BG4" s="29">
        <v>0</v>
      </c>
      <c r="BH4" s="29">
        <v>0</v>
      </c>
      <c r="BI4" s="29">
        <v>-24</v>
      </c>
      <c r="BJ4" s="29">
        <v>1</v>
      </c>
      <c r="BK4" s="29">
        <v>0</v>
      </c>
      <c r="BL4" s="29">
        <v>1</v>
      </c>
      <c r="BM4" s="29">
        <v>0</v>
      </c>
      <c r="BN4" s="29">
        <v>1</v>
      </c>
      <c r="BO4" s="29">
        <v>61.92</v>
      </c>
      <c r="BP4" s="29">
        <v>0</v>
      </c>
      <c r="BQ4" s="29">
        <f>HOUR(SapExlData[[#This Row],[Kl. for kvitt.]])</f>
        <v>7</v>
      </c>
      <c r="BR4" s="30" t="str">
        <f>IF(CreationDate="",SapExlData[Kvitteringsdato],SapExlData[Gyldig til])</f>
        <v>17.03.2015</v>
      </c>
      <c r="BS4" s="29" t="str">
        <f>IF(OR(AH4="SVAL",AT4="SVAL"),"SVAL",IF(AJ4=10,VLOOKUP($AH4,tBinTest[],2,FALSE),""))</f>
        <v/>
      </c>
      <c r="BT4" s="29" t="str">
        <f t="shared" si="0"/>
        <v>Inkludert</v>
      </c>
      <c r="BU4" s="29">
        <f t="shared" si="1"/>
        <v>1</v>
      </c>
      <c r="BV4" s="29" t="str">
        <f t="shared" si="2"/>
        <v>006-916-</v>
      </c>
      <c r="BW4" s="29" t="e">
        <f>VLOOKUP($BV4,tTransportGroups[],7,FALSE)</f>
        <v>#N/A</v>
      </c>
      <c r="BX4" s="29" t="str">
        <f>IF(ISERROR(BW4),"",VLOOKUP($BV4,tTransportGroups[],2,FALSE))</f>
        <v/>
      </c>
      <c r="BY4" s="29" t="str">
        <f t="shared" si="3"/>
        <v xml:space="preserve">240/601 </v>
      </c>
      <c r="BZ4" s="29">
        <f>IF(ISERROR(BW4),0,VLOOKUP($BV4,tTransportGroups[],6,FALSE))</f>
        <v>0</v>
      </c>
      <c r="CA4" s="29" t="str">
        <f>SapExlData[Material]&amp;" "&amp;SapExlData[Material Beskrivelse]</f>
        <v>123684 Toro Thai Panang Curry 6x400g</v>
      </c>
      <c r="CB4" s="33">
        <f>(SapExlData[Kvitteringsdato]+SapExlData[Kl. for kvitt.]-SapExlData[Gyldig til]-SapExlData[Opprett.tidsp.])*24*60</f>
        <v>1.0833333359254826</v>
      </c>
      <c r="CC4" s="29" t="str">
        <f t="shared" si="4"/>
        <v>916 240/Ikke tilordnet</v>
      </c>
      <c r="CD4" s="34">
        <f>SapExlData[Gyldig til]+SapExlData[Opprett.tidsp.]</f>
        <v>42080.294293981482</v>
      </c>
      <c r="CE4" s="34">
        <f>SapExlData[Kvitteringsdato]+SapExlData[Kl. for kvitt.]</f>
        <v>42080.295046296298</v>
      </c>
      <c r="CF4" s="22" t="str">
        <f>TEXT(AU4,"000")&amp;" "&amp;SapExlData[Lagertype22]</f>
        <v>006 240/Ikke tilordnet</v>
      </c>
    </row>
    <row r="5" spans="1:84" x14ac:dyDescent="0.35">
      <c r="A5" s="29">
        <v>0.29583333333333334</v>
      </c>
      <c r="B5" s="29"/>
      <c r="C5" t="s">
        <v>226</v>
      </c>
      <c r="D5" s="29" t="s">
        <v>227</v>
      </c>
      <c r="E5" s="29">
        <v>80675321</v>
      </c>
      <c r="F5" s="31" t="s">
        <v>202</v>
      </c>
      <c r="G5" s="29" t="s">
        <v>202</v>
      </c>
      <c r="H5" s="22" t="s">
        <v>228</v>
      </c>
      <c r="J5" s="29">
        <v>601</v>
      </c>
      <c r="K5" s="29" t="s">
        <v>204</v>
      </c>
      <c r="L5" s="29" t="s">
        <v>201</v>
      </c>
      <c r="M5" s="22" t="s">
        <v>229</v>
      </c>
      <c r="N5" s="22" t="s">
        <v>206</v>
      </c>
      <c r="O5" s="29" t="s">
        <v>218</v>
      </c>
      <c r="P5" s="22" t="s">
        <v>202</v>
      </c>
      <c r="Q5" s="22" t="s">
        <v>230</v>
      </c>
      <c r="R5" s="32"/>
      <c r="S5" s="29" t="s">
        <v>231</v>
      </c>
      <c r="T5" s="29" t="s">
        <v>209</v>
      </c>
      <c r="U5" s="29" t="s">
        <v>220</v>
      </c>
      <c r="V5" s="29" t="s">
        <v>221</v>
      </c>
      <c r="W5" s="31">
        <v>0.51395833333333341</v>
      </c>
      <c r="X5" s="29"/>
      <c r="Y5" s="29" t="s">
        <v>202</v>
      </c>
      <c r="Z5" s="30" t="s">
        <v>70</v>
      </c>
      <c r="AA5" s="31" t="s">
        <v>202</v>
      </c>
      <c r="AB5" t="s">
        <v>202</v>
      </c>
      <c r="AC5" s="29" t="s">
        <v>202</v>
      </c>
      <c r="AD5" s="29" t="s">
        <v>232</v>
      </c>
      <c r="AE5" s="29" t="s">
        <v>202</v>
      </c>
      <c r="AF5" s="29" t="s">
        <v>202</v>
      </c>
      <c r="AG5" s="29">
        <v>1</v>
      </c>
      <c r="AH5" s="29">
        <v>80675321</v>
      </c>
      <c r="AI5" s="29">
        <v>21487</v>
      </c>
      <c r="AJ5" s="29">
        <v>916</v>
      </c>
      <c r="AK5" s="29" t="s">
        <v>201</v>
      </c>
      <c r="AL5" s="29" t="s">
        <v>201</v>
      </c>
      <c r="AM5" s="31">
        <v>0.29584490740740738</v>
      </c>
      <c r="AN5" s="29" t="s">
        <v>202</v>
      </c>
      <c r="AO5" s="29" t="s">
        <v>206</v>
      </c>
      <c r="AP5" s="29">
        <v>2010290</v>
      </c>
      <c r="AQ5" s="29">
        <v>1</v>
      </c>
      <c r="AR5" s="29" t="s">
        <v>202</v>
      </c>
      <c r="AS5" s="29">
        <v>1</v>
      </c>
      <c r="AT5" s="29" t="s">
        <v>233</v>
      </c>
      <c r="AU5" s="29">
        <v>32</v>
      </c>
      <c r="AV5" s="29"/>
      <c r="AW5" s="29">
        <v>113716</v>
      </c>
      <c r="AX5" s="29" t="s">
        <v>213</v>
      </c>
      <c r="AY5" s="29">
        <v>0</v>
      </c>
      <c r="AZ5" s="29">
        <v>0</v>
      </c>
      <c r="BA5" s="29">
        <v>0</v>
      </c>
      <c r="BB5" s="29">
        <v>0</v>
      </c>
      <c r="BC5" s="29">
        <v>0</v>
      </c>
      <c r="BD5" s="29">
        <v>6</v>
      </c>
      <c r="BE5" s="29">
        <v>6</v>
      </c>
      <c r="BF5" s="29">
        <v>6</v>
      </c>
      <c r="BG5" s="29">
        <v>6</v>
      </c>
      <c r="BH5" s="29">
        <v>0</v>
      </c>
      <c r="BI5" s="29">
        <v>0</v>
      </c>
      <c r="BJ5" s="29">
        <v>1</v>
      </c>
      <c r="BK5" s="29">
        <v>0</v>
      </c>
      <c r="BL5" s="29">
        <v>1</v>
      </c>
      <c r="BM5" s="29">
        <v>0</v>
      </c>
      <c r="BN5" s="29">
        <v>1</v>
      </c>
      <c r="BO5" s="29">
        <v>4.0979999999999999</v>
      </c>
      <c r="BP5" s="29">
        <v>0</v>
      </c>
      <c r="BQ5" s="29">
        <f>HOUR(SapExlData[[#This Row],[Kl. for kvitt.]])</f>
        <v>7</v>
      </c>
      <c r="BR5" s="30" t="str">
        <f>IF(CreationDate="",SapExlData[Kvitteringsdato],SapExlData[Gyldig til])</f>
        <v>19.03.2015</v>
      </c>
      <c r="BS5" s="29" t="str">
        <f>IF(OR(AH5="SVAL",AT5="SVAL"),"SVAL",IF(AJ5=10,VLOOKUP($AH5,tBinTest[],2,FALSE),""))</f>
        <v/>
      </c>
      <c r="BT5" s="29" t="str">
        <f t="shared" si="0"/>
        <v>Inkludert</v>
      </c>
      <c r="BU5" s="29">
        <f t="shared" si="1"/>
        <v>1</v>
      </c>
      <c r="BV5" s="29" t="str">
        <f t="shared" si="2"/>
        <v>032-916-</v>
      </c>
      <c r="BW5" s="29" t="e">
        <f>VLOOKUP($BV5,tTransportGroups[],7,FALSE)</f>
        <v>#N/A</v>
      </c>
      <c r="BX5" s="29" t="str">
        <f>IF(ISERROR(BW5),"",VLOOKUP($BV5,tTransportGroups[],2,FALSE))</f>
        <v/>
      </c>
      <c r="BY5" s="29" t="str">
        <f t="shared" si="3"/>
        <v xml:space="preserve">240/601 </v>
      </c>
      <c r="BZ5" s="29">
        <f>IF(ISERROR(BW5),0,VLOOKUP($BV5,tTransportGroups[],6,FALSE))</f>
        <v>0</v>
      </c>
      <c r="CA5" s="29" t="str">
        <f>SapExlData[Material]&amp;" "&amp;SapExlData[Material Beskrivelse]</f>
        <v>113716 TORO Krydder Havets krydder 1x600g</v>
      </c>
      <c r="CB5" s="33">
        <f>(SapExlData[Kvitteringsdato]+SapExlData[Kl. for kvitt.]-SapExlData[Gyldig til]-SapExlData[Opprett.tidsp.])*24*60</f>
        <v>1125.9166666656731</v>
      </c>
      <c r="CC5" s="29" t="str">
        <f t="shared" si="4"/>
        <v>916 240/Ikke tilordnet</v>
      </c>
      <c r="CD5" s="34">
        <f>SapExlData[Gyldig til]+SapExlData[Opprett.tidsp.]</f>
        <v>42082.513958333337</v>
      </c>
      <c r="CE5" s="34">
        <f>SapExlData[Kvitteringsdato]+SapExlData[Kl. for kvitt.]</f>
        <v>42083.295844907407</v>
      </c>
      <c r="CF5" s="22" t="str">
        <f>TEXT(AU5,"000")&amp;" "&amp;SapExlData[Lagertype22]</f>
        <v>032 240/Ikke tilordnet</v>
      </c>
    </row>
    <row r="6" spans="1:84" x14ac:dyDescent="0.35">
      <c r="A6" s="29">
        <v>0.29598379629629629</v>
      </c>
      <c r="B6" s="29"/>
      <c r="C6" t="s">
        <v>214</v>
      </c>
      <c r="D6" s="29" t="s">
        <v>215</v>
      </c>
      <c r="E6" s="29">
        <v>80674809</v>
      </c>
      <c r="F6" s="31" t="s">
        <v>202</v>
      </c>
      <c r="G6" s="29" t="s">
        <v>202</v>
      </c>
      <c r="H6" s="22" t="s">
        <v>234</v>
      </c>
      <c r="J6" s="29">
        <v>601</v>
      </c>
      <c r="K6" s="29" t="s">
        <v>204</v>
      </c>
      <c r="L6" s="29" t="s">
        <v>235</v>
      </c>
      <c r="M6" s="22" t="s">
        <v>217</v>
      </c>
      <c r="N6" s="22" t="s">
        <v>206</v>
      </c>
      <c r="O6" s="29" t="s">
        <v>218</v>
      </c>
      <c r="P6" s="22" t="s">
        <v>202</v>
      </c>
      <c r="Q6" s="22" t="s">
        <v>219</v>
      </c>
      <c r="R6" s="32"/>
      <c r="S6" s="29" t="s">
        <v>214</v>
      </c>
      <c r="T6" s="29" t="s">
        <v>209</v>
      </c>
      <c r="U6" s="29" t="s">
        <v>220</v>
      </c>
      <c r="V6" s="29" t="s">
        <v>221</v>
      </c>
      <c r="W6" s="31">
        <v>0.50085648148148143</v>
      </c>
      <c r="X6" s="29"/>
      <c r="Y6" s="29">
        <v>1</v>
      </c>
      <c r="Z6" s="30" t="s">
        <v>70</v>
      </c>
      <c r="AA6" s="31" t="s">
        <v>202</v>
      </c>
      <c r="AB6" t="s">
        <v>202</v>
      </c>
      <c r="AC6" s="29" t="s">
        <v>202</v>
      </c>
      <c r="AD6" s="29" t="s">
        <v>222</v>
      </c>
      <c r="AE6" s="29" t="s">
        <v>202</v>
      </c>
      <c r="AF6" s="29" t="s">
        <v>202</v>
      </c>
      <c r="AG6" s="29">
        <v>1</v>
      </c>
      <c r="AH6" s="29">
        <v>80674809</v>
      </c>
      <c r="AI6" s="29">
        <v>19216</v>
      </c>
      <c r="AJ6" s="29">
        <v>916</v>
      </c>
      <c r="AK6" s="29" t="s">
        <v>235</v>
      </c>
      <c r="AL6" s="29" t="s">
        <v>235</v>
      </c>
      <c r="AM6" s="31">
        <v>0.29598379629629629</v>
      </c>
      <c r="AN6" s="29" t="s">
        <v>202</v>
      </c>
      <c r="AO6" s="29" t="s">
        <v>206</v>
      </c>
      <c r="AP6" s="29">
        <v>2009200</v>
      </c>
      <c r="AQ6" s="29">
        <v>1</v>
      </c>
      <c r="AR6" s="29" t="s">
        <v>202</v>
      </c>
      <c r="AS6" s="29">
        <v>1</v>
      </c>
      <c r="AT6" s="29" t="s">
        <v>236</v>
      </c>
      <c r="AU6" s="29">
        <v>6</v>
      </c>
      <c r="AV6" s="29"/>
      <c r="AW6" s="29">
        <v>108231</v>
      </c>
      <c r="AX6" s="29" t="s">
        <v>213</v>
      </c>
      <c r="AY6" s="29">
        <v>-19</v>
      </c>
      <c r="AZ6" s="29">
        <v>0</v>
      </c>
      <c r="BA6" s="29">
        <v>0</v>
      </c>
      <c r="BB6" s="29">
        <v>0</v>
      </c>
      <c r="BC6" s="29">
        <v>0</v>
      </c>
      <c r="BD6" s="29">
        <v>0</v>
      </c>
      <c r="BE6" s="29">
        <v>0</v>
      </c>
      <c r="BF6" s="29">
        <v>0</v>
      </c>
      <c r="BG6" s="29">
        <v>0</v>
      </c>
      <c r="BH6" s="29">
        <v>0</v>
      </c>
      <c r="BI6" s="29">
        <v>-19</v>
      </c>
      <c r="BJ6" s="29">
        <v>1</v>
      </c>
      <c r="BK6" s="29">
        <v>0</v>
      </c>
      <c r="BL6" s="29">
        <v>1</v>
      </c>
      <c r="BM6" s="29">
        <v>0</v>
      </c>
      <c r="BN6" s="29">
        <v>1</v>
      </c>
      <c r="BO6" s="29">
        <v>53.865000000000002</v>
      </c>
      <c r="BP6" s="29">
        <v>0</v>
      </c>
      <c r="BQ6" s="29">
        <f>HOUR(SapExlData[[#This Row],[Kl. for kvitt.]])</f>
        <v>7</v>
      </c>
      <c r="BR6" s="30" t="str">
        <f>IF(CreationDate="",SapExlData[Kvitteringsdato],SapExlData[Gyldig til])</f>
        <v>17.03.2015</v>
      </c>
      <c r="BS6" s="29" t="str">
        <f>IF(OR(AH6="SVAL",AT6="SVAL"),"SVAL",IF(AJ6=10,VLOOKUP($AH6,tBinTest[],2,FALSE),""))</f>
        <v/>
      </c>
      <c r="BT6" s="29" t="str">
        <f t="shared" si="0"/>
        <v>Inkludert</v>
      </c>
      <c r="BU6" s="29">
        <f t="shared" si="1"/>
        <v>1</v>
      </c>
      <c r="BV6" s="29" t="str">
        <f t="shared" si="2"/>
        <v>006-916-</v>
      </c>
      <c r="BW6" s="29" t="e">
        <f>VLOOKUP($BV6,tTransportGroups[],7,FALSE)</f>
        <v>#N/A</v>
      </c>
      <c r="BX6" s="29" t="str">
        <f>IF(ISERROR(BW6),"",VLOOKUP($BV6,tTransportGroups[],2,FALSE))</f>
        <v/>
      </c>
      <c r="BY6" s="29" t="str">
        <f t="shared" si="3"/>
        <v xml:space="preserve">240/601 </v>
      </c>
      <c r="BZ6" s="29">
        <f>IF(ISERROR(BW6),0,VLOOKUP($BV6,tTransportGroups[],6,FALSE))</f>
        <v>0</v>
      </c>
      <c r="CA6" s="29" t="str">
        <f>SapExlData[Material]&amp;" "&amp;SapExlData[Material Beskrivelse]</f>
        <v>108231 Toro Risgrøt 6x385g</v>
      </c>
      <c r="CB6" s="33">
        <f>(SapExlData[Kvitteringsdato]+SapExlData[Kl. for kvitt.]-SapExlData[Gyldig til]-SapExlData[Opprett.tidsp.])*24*60</f>
        <v>1144.983333337183</v>
      </c>
      <c r="CC6" s="29" t="str">
        <f t="shared" si="4"/>
        <v>916 240/Ikke tilordnet</v>
      </c>
      <c r="CD6" s="34">
        <f>SapExlData[Gyldig til]+SapExlData[Opprett.tidsp.]</f>
        <v>42080.500856481478</v>
      </c>
      <c r="CE6" s="34">
        <f>SapExlData[Kvitteringsdato]+SapExlData[Kl. for kvitt.]</f>
        <v>42081.295983796299</v>
      </c>
      <c r="CF6" s="22" t="str">
        <f>TEXT(AU6,"000")&amp;" "&amp;SapExlData[Lagertype22]</f>
        <v>006 240/Ikke tilordnet</v>
      </c>
    </row>
    <row r="7" spans="1:84" x14ac:dyDescent="0.35">
      <c r="A7" s="29">
        <v>0.29618055555555556</v>
      </c>
      <c r="B7" s="29"/>
      <c r="C7" t="s">
        <v>226</v>
      </c>
      <c r="D7" s="29" t="s">
        <v>237</v>
      </c>
      <c r="E7" s="29">
        <v>80674146</v>
      </c>
      <c r="F7" s="31" t="s">
        <v>202</v>
      </c>
      <c r="G7" s="29" t="s">
        <v>202</v>
      </c>
      <c r="H7" s="22" t="s">
        <v>238</v>
      </c>
      <c r="J7" s="29">
        <v>958</v>
      </c>
      <c r="K7" s="29" t="s">
        <v>204</v>
      </c>
      <c r="L7" s="29" t="s">
        <v>215</v>
      </c>
      <c r="M7" s="22" t="s">
        <v>229</v>
      </c>
      <c r="N7" s="22" t="s">
        <v>206</v>
      </c>
      <c r="O7" s="29" t="s">
        <v>218</v>
      </c>
      <c r="P7" s="22" t="s">
        <v>202</v>
      </c>
      <c r="Q7" s="22" t="s">
        <v>230</v>
      </c>
      <c r="R7" s="32"/>
      <c r="S7" s="29" t="s">
        <v>231</v>
      </c>
      <c r="T7" s="29" t="s">
        <v>209</v>
      </c>
      <c r="U7" s="29" t="s">
        <v>220</v>
      </c>
      <c r="V7" s="29" t="s">
        <v>221</v>
      </c>
      <c r="W7" s="31">
        <v>0.63997685185185182</v>
      </c>
      <c r="X7" s="29"/>
      <c r="Y7" s="29" t="s">
        <v>202</v>
      </c>
      <c r="Z7" s="30" t="s">
        <v>70</v>
      </c>
      <c r="AA7" s="31" t="s">
        <v>202</v>
      </c>
      <c r="AB7" t="s">
        <v>202</v>
      </c>
      <c r="AC7" s="29" t="s">
        <v>202</v>
      </c>
      <c r="AD7" s="29" t="s">
        <v>232</v>
      </c>
      <c r="AE7" s="29" t="s">
        <v>202</v>
      </c>
      <c r="AF7" s="29" t="s">
        <v>202</v>
      </c>
      <c r="AG7" s="29">
        <v>1</v>
      </c>
      <c r="AH7" s="29">
        <v>80674146</v>
      </c>
      <c r="AI7" s="29">
        <v>18236</v>
      </c>
      <c r="AJ7" s="29">
        <v>916</v>
      </c>
      <c r="AK7" s="29" t="s">
        <v>215</v>
      </c>
      <c r="AL7" s="29" t="s">
        <v>215</v>
      </c>
      <c r="AM7" s="31">
        <v>0.29619212962962965</v>
      </c>
      <c r="AN7" s="29" t="s">
        <v>202</v>
      </c>
      <c r="AO7" s="29" t="s">
        <v>206</v>
      </c>
      <c r="AP7" s="29">
        <v>2008903</v>
      </c>
      <c r="AQ7" s="29">
        <v>3</v>
      </c>
      <c r="AR7" s="29" t="s">
        <v>202</v>
      </c>
      <c r="AS7" s="29">
        <v>1</v>
      </c>
      <c r="AT7" s="29" t="s">
        <v>239</v>
      </c>
      <c r="AU7" s="29">
        <v>32</v>
      </c>
      <c r="AV7" s="29"/>
      <c r="AW7" s="29">
        <v>106926</v>
      </c>
      <c r="AX7" s="29" t="s">
        <v>213</v>
      </c>
      <c r="AY7" s="29">
        <v>0</v>
      </c>
      <c r="AZ7" s="29">
        <v>0</v>
      </c>
      <c r="BA7" s="29">
        <v>0</v>
      </c>
      <c r="BB7" s="29">
        <v>0</v>
      </c>
      <c r="BC7" s="29">
        <v>0</v>
      </c>
      <c r="BD7" s="29">
        <v>4</v>
      </c>
      <c r="BE7" s="29">
        <v>4</v>
      </c>
      <c r="BF7" s="29">
        <v>4</v>
      </c>
      <c r="BG7" s="29">
        <v>4</v>
      </c>
      <c r="BH7" s="29">
        <v>0</v>
      </c>
      <c r="BI7" s="29">
        <v>0</v>
      </c>
      <c r="BJ7" s="29">
        <v>1</v>
      </c>
      <c r="BK7" s="29">
        <v>0</v>
      </c>
      <c r="BL7" s="29">
        <v>1</v>
      </c>
      <c r="BM7" s="29">
        <v>0</v>
      </c>
      <c r="BN7" s="29">
        <v>1</v>
      </c>
      <c r="BO7" s="29">
        <v>51.52</v>
      </c>
      <c r="BP7" s="29">
        <v>0</v>
      </c>
      <c r="BQ7" s="29">
        <f>HOUR(SapExlData[[#This Row],[Kl. for kvitt.]])</f>
        <v>7</v>
      </c>
      <c r="BR7" s="30" t="str">
        <f>IF(CreationDate="",SapExlData[Kvitteringsdato],SapExlData[Gyldig til])</f>
        <v>16.03.2015</v>
      </c>
      <c r="BS7" s="29" t="str">
        <f>IF(OR(AH7="SVAL",AT7="SVAL"),"SVAL",IF(AJ7=10,VLOOKUP($AH7,tBinTest[],2,FALSE),""))</f>
        <v/>
      </c>
      <c r="BT7" s="29" t="str">
        <f t="shared" si="0"/>
        <v>Inkludert</v>
      </c>
      <c r="BU7" s="29">
        <f t="shared" si="1"/>
        <v>1</v>
      </c>
      <c r="BV7" s="29" t="str">
        <f t="shared" si="2"/>
        <v>032-916-</v>
      </c>
      <c r="BW7" s="29" t="e">
        <f>VLOOKUP($BV7,tTransportGroups[],7,FALSE)</f>
        <v>#N/A</v>
      </c>
      <c r="BX7" s="29" t="str">
        <f>IF(ISERROR(BW7),"",VLOOKUP($BV7,tTransportGroups[],2,FALSE))</f>
        <v/>
      </c>
      <c r="BY7" s="29" t="str">
        <f t="shared" si="3"/>
        <v xml:space="preserve">240/601 </v>
      </c>
      <c r="BZ7" s="29">
        <f>IF(ISERROR(BW7),0,VLOOKUP($BV7,tTransportGroups[],6,FALSE))</f>
        <v>0</v>
      </c>
      <c r="CA7" s="29" t="str">
        <f>SapExlData[Material]&amp;" "&amp;SapExlData[Material Beskrivelse]</f>
        <v>106926 Toro Aluminiumsfolie cutbox 45cmx90m 6rl</v>
      </c>
      <c r="CB7" s="33">
        <f>(SapExlData[Kvitteringsdato]+SapExlData[Kl. for kvitt.]-SapExlData[Gyldig til]-SapExlData[Opprett.tidsp.])*24*60</f>
        <v>944.95000000063646</v>
      </c>
      <c r="CC7" s="29" t="str">
        <f t="shared" si="4"/>
        <v>916 240/Ikke tilordnet</v>
      </c>
      <c r="CD7" s="34">
        <f>SapExlData[Gyldig til]+SapExlData[Opprett.tidsp.]</f>
        <v>42079.639976851853</v>
      </c>
      <c r="CE7" s="34">
        <f>SapExlData[Kvitteringsdato]+SapExlData[Kl. for kvitt.]</f>
        <v>42080.29619212963</v>
      </c>
      <c r="CF7" s="22" t="str">
        <f>TEXT(AU7,"000")&amp;" "&amp;SapExlData[Lagertype22]</f>
        <v>032 240/Ikke tilordnet</v>
      </c>
    </row>
    <row r="8" spans="1:84" x14ac:dyDescent="0.35">
      <c r="A8" s="29">
        <v>0.29622685185185188</v>
      </c>
      <c r="B8" s="29"/>
      <c r="C8" t="s">
        <v>226</v>
      </c>
      <c r="D8" s="29" t="s">
        <v>227</v>
      </c>
      <c r="E8" s="29">
        <v>80675321</v>
      </c>
      <c r="F8" s="31" t="s">
        <v>202</v>
      </c>
      <c r="G8" s="29" t="s">
        <v>202</v>
      </c>
      <c r="H8" s="22" t="s">
        <v>240</v>
      </c>
      <c r="J8" s="29">
        <v>601</v>
      </c>
      <c r="K8" s="29" t="s">
        <v>204</v>
      </c>
      <c r="L8" s="29" t="s">
        <v>201</v>
      </c>
      <c r="M8" s="22" t="s">
        <v>229</v>
      </c>
      <c r="N8" s="22" t="s">
        <v>206</v>
      </c>
      <c r="O8" s="29" t="s">
        <v>218</v>
      </c>
      <c r="P8" s="22" t="s">
        <v>202</v>
      </c>
      <c r="Q8" s="22" t="s">
        <v>230</v>
      </c>
      <c r="R8" s="32"/>
      <c r="S8" s="29" t="s">
        <v>231</v>
      </c>
      <c r="T8" s="29" t="s">
        <v>209</v>
      </c>
      <c r="U8" s="29" t="s">
        <v>220</v>
      </c>
      <c r="V8" s="29" t="s">
        <v>221</v>
      </c>
      <c r="W8" s="31">
        <v>0.51395833333333341</v>
      </c>
      <c r="X8" s="29"/>
      <c r="Y8" s="29" t="s">
        <v>202</v>
      </c>
      <c r="Z8" s="30" t="s">
        <v>70</v>
      </c>
      <c r="AA8" s="31" t="s">
        <v>202</v>
      </c>
      <c r="AB8" t="s">
        <v>202</v>
      </c>
      <c r="AC8" s="29" t="s">
        <v>202</v>
      </c>
      <c r="AD8" s="29" t="s">
        <v>232</v>
      </c>
      <c r="AE8" s="29" t="s">
        <v>202</v>
      </c>
      <c r="AF8" s="29" t="s">
        <v>202</v>
      </c>
      <c r="AG8" s="29">
        <v>1</v>
      </c>
      <c r="AH8" s="29">
        <v>80675321</v>
      </c>
      <c r="AI8" s="29">
        <v>21488</v>
      </c>
      <c r="AJ8" s="29">
        <v>916</v>
      </c>
      <c r="AK8" s="29" t="s">
        <v>201</v>
      </c>
      <c r="AL8" s="29" t="s">
        <v>201</v>
      </c>
      <c r="AM8" s="31">
        <v>0.29622685185185188</v>
      </c>
      <c r="AN8" s="29" t="s">
        <v>202</v>
      </c>
      <c r="AO8" s="29" t="s">
        <v>206</v>
      </c>
      <c r="AP8" s="29">
        <v>2010290</v>
      </c>
      <c r="AQ8" s="29">
        <v>2</v>
      </c>
      <c r="AR8" s="29" t="s">
        <v>202</v>
      </c>
      <c r="AS8" s="29">
        <v>1</v>
      </c>
      <c r="AT8" s="29" t="s">
        <v>241</v>
      </c>
      <c r="AU8" s="29">
        <v>32</v>
      </c>
      <c r="AV8" s="29"/>
      <c r="AW8" s="29">
        <v>106095</v>
      </c>
      <c r="AX8" s="29" t="s">
        <v>213</v>
      </c>
      <c r="AY8" s="29">
        <v>0</v>
      </c>
      <c r="AZ8" s="29">
        <v>0</v>
      </c>
      <c r="BA8" s="29">
        <v>0</v>
      </c>
      <c r="BB8" s="29">
        <v>0</v>
      </c>
      <c r="BC8" s="29">
        <v>0</v>
      </c>
      <c r="BD8" s="29">
        <v>2</v>
      </c>
      <c r="BE8" s="29">
        <v>2</v>
      </c>
      <c r="BF8" s="29">
        <v>2</v>
      </c>
      <c r="BG8" s="29">
        <v>2</v>
      </c>
      <c r="BH8" s="29">
        <v>0</v>
      </c>
      <c r="BI8" s="29">
        <v>0</v>
      </c>
      <c r="BJ8" s="29">
        <v>0</v>
      </c>
      <c r="BK8" s="29">
        <v>0</v>
      </c>
      <c r="BL8" s="29">
        <v>1</v>
      </c>
      <c r="BM8" s="29">
        <v>0</v>
      </c>
      <c r="BN8" s="29">
        <v>1</v>
      </c>
      <c r="BO8" s="29">
        <v>3.8</v>
      </c>
      <c r="BP8" s="29">
        <v>0</v>
      </c>
      <c r="BQ8" s="29">
        <f>HOUR(SapExlData[[#This Row],[Kl. for kvitt.]])</f>
        <v>7</v>
      </c>
      <c r="BR8" s="30" t="str">
        <f>IF(CreationDate="",SapExlData[Kvitteringsdato],SapExlData[Gyldig til])</f>
        <v>19.03.2015</v>
      </c>
      <c r="BS8" s="29" t="str">
        <f>IF(OR(AH8="SVAL",AT8="SVAL"),"SVAL",IF(AJ8=10,VLOOKUP($AH8,tBinTest[],2,FALSE),""))</f>
        <v/>
      </c>
      <c r="BT8" s="29" t="str">
        <f t="shared" si="0"/>
        <v>Inkludert</v>
      </c>
      <c r="BU8" s="29">
        <f t="shared" si="1"/>
        <v>1</v>
      </c>
      <c r="BV8" s="29" t="str">
        <f t="shared" si="2"/>
        <v>032-916-</v>
      </c>
      <c r="BW8" s="29" t="e">
        <f>VLOOKUP($BV8,tTransportGroups[],7,FALSE)</f>
        <v>#N/A</v>
      </c>
      <c r="BX8" s="29" t="str">
        <f>IF(ISERROR(BW8),"",VLOOKUP($BV8,tTransportGroups[],2,FALSE))</f>
        <v/>
      </c>
      <c r="BY8" s="29" t="str">
        <f t="shared" si="3"/>
        <v xml:space="preserve">240/601 </v>
      </c>
      <c r="BZ8" s="29">
        <f>IF(ISERROR(BW8),0,VLOOKUP($BV8,tTransportGroups[],6,FALSE))</f>
        <v>0</v>
      </c>
      <c r="CA8" s="29" t="str">
        <f>SapExlData[Material]&amp;" "&amp;SapExlData[Material Beskrivelse]</f>
        <v>106095 Toro Svinekraft flyt 2fl/7,2dl 22L-ferd</v>
      </c>
      <c r="CB8" s="33">
        <f>(SapExlData[Kvitteringsdato]+SapExlData[Kl. for kvitt.]-SapExlData[Gyldig til]-SapExlData[Opprett.tidsp.])*24*60</f>
        <v>1126.4666666685137</v>
      </c>
      <c r="CC8" s="29" t="str">
        <f t="shared" si="4"/>
        <v>916 240/Ikke tilordnet</v>
      </c>
      <c r="CD8" s="34">
        <f>SapExlData[Gyldig til]+SapExlData[Opprett.tidsp.]</f>
        <v>42082.513958333337</v>
      </c>
      <c r="CE8" s="34">
        <f>SapExlData[Kvitteringsdato]+SapExlData[Kl. for kvitt.]</f>
        <v>42083.296226851853</v>
      </c>
      <c r="CF8" s="22" t="str">
        <f>TEXT(AU8,"000")&amp;" "&amp;SapExlData[Lagertype22]</f>
        <v>032 240/Ikke tilordnet</v>
      </c>
    </row>
    <row r="9" spans="1:84" x14ac:dyDescent="0.35">
      <c r="A9" s="29">
        <v>0.29644675925925928</v>
      </c>
      <c r="B9" s="29"/>
      <c r="C9" t="s">
        <v>226</v>
      </c>
      <c r="D9" s="29" t="s">
        <v>242</v>
      </c>
      <c r="E9" s="29">
        <v>80674044</v>
      </c>
      <c r="F9" s="31" t="s">
        <v>202</v>
      </c>
      <c r="G9" s="29" t="s">
        <v>202</v>
      </c>
      <c r="H9" s="22" t="s">
        <v>243</v>
      </c>
      <c r="J9" s="29">
        <v>601</v>
      </c>
      <c r="K9" s="29" t="s">
        <v>204</v>
      </c>
      <c r="L9" s="29" t="s">
        <v>237</v>
      </c>
      <c r="M9" s="22" t="s">
        <v>229</v>
      </c>
      <c r="N9" s="22" t="s">
        <v>206</v>
      </c>
      <c r="O9" s="29" t="s">
        <v>218</v>
      </c>
      <c r="P9" s="22" t="s">
        <v>202</v>
      </c>
      <c r="Q9" s="22" t="s">
        <v>230</v>
      </c>
      <c r="R9" s="32"/>
      <c r="S9" s="29" t="s">
        <v>231</v>
      </c>
      <c r="T9" s="29" t="s">
        <v>209</v>
      </c>
      <c r="U9" s="29" t="s">
        <v>220</v>
      </c>
      <c r="V9" s="29" t="s">
        <v>221</v>
      </c>
      <c r="W9" s="31">
        <v>0.46475694444444443</v>
      </c>
      <c r="X9" s="29"/>
      <c r="Y9" s="29" t="s">
        <v>202</v>
      </c>
      <c r="Z9" s="30" t="s">
        <v>70</v>
      </c>
      <c r="AA9" s="31" t="s">
        <v>202</v>
      </c>
      <c r="AB9" t="s">
        <v>202</v>
      </c>
      <c r="AC9" s="29" t="s">
        <v>202</v>
      </c>
      <c r="AD9" s="29" t="s">
        <v>232</v>
      </c>
      <c r="AE9" s="29" t="s">
        <v>202</v>
      </c>
      <c r="AF9" s="29" t="s">
        <v>202</v>
      </c>
      <c r="AG9" s="29">
        <v>1</v>
      </c>
      <c r="AH9" s="29">
        <v>80674044</v>
      </c>
      <c r="AI9" s="29">
        <v>17018</v>
      </c>
      <c r="AJ9" s="29">
        <v>916</v>
      </c>
      <c r="AK9" s="29" t="s">
        <v>237</v>
      </c>
      <c r="AL9" s="29" t="s">
        <v>237</v>
      </c>
      <c r="AM9" s="31">
        <v>0.29645833333333332</v>
      </c>
      <c r="AN9" s="29" t="s">
        <v>202</v>
      </c>
      <c r="AO9" s="29" t="s">
        <v>206</v>
      </c>
      <c r="AP9" s="29">
        <v>2008387</v>
      </c>
      <c r="AQ9" s="29">
        <v>1</v>
      </c>
      <c r="AR9" s="29" t="s">
        <v>202</v>
      </c>
      <c r="AS9" s="29">
        <v>1</v>
      </c>
      <c r="AT9" s="29" t="s">
        <v>244</v>
      </c>
      <c r="AU9" s="29">
        <v>32</v>
      </c>
      <c r="AV9" s="29"/>
      <c r="AW9" s="29">
        <v>103447</v>
      </c>
      <c r="AX9" s="29" t="s">
        <v>213</v>
      </c>
      <c r="AY9" s="29">
        <v>0</v>
      </c>
      <c r="AZ9" s="29">
        <v>0</v>
      </c>
      <c r="BA9" s="29">
        <v>0</v>
      </c>
      <c r="BB9" s="29">
        <v>0</v>
      </c>
      <c r="BC9" s="29">
        <v>0</v>
      </c>
      <c r="BD9" s="29">
        <v>4</v>
      </c>
      <c r="BE9" s="29">
        <v>4</v>
      </c>
      <c r="BF9" s="29">
        <v>4</v>
      </c>
      <c r="BG9" s="29">
        <v>4</v>
      </c>
      <c r="BH9" s="29">
        <v>0</v>
      </c>
      <c r="BI9" s="29">
        <v>0</v>
      </c>
      <c r="BJ9" s="29">
        <v>0</v>
      </c>
      <c r="BK9" s="29">
        <v>0</v>
      </c>
      <c r="BL9" s="29">
        <v>1</v>
      </c>
      <c r="BM9" s="29">
        <v>0</v>
      </c>
      <c r="BN9" s="29">
        <v>1</v>
      </c>
      <c r="BO9" s="29">
        <v>12.4</v>
      </c>
      <c r="BP9" s="29">
        <v>0</v>
      </c>
      <c r="BQ9" s="29">
        <f>HOUR(SapExlData[[#This Row],[Kl. for kvitt.]])</f>
        <v>7</v>
      </c>
      <c r="BR9" s="30" t="str">
        <f>IF(CreationDate="",SapExlData[Kvitteringsdato],SapExlData[Gyldig til])</f>
        <v>13.03.2015</v>
      </c>
      <c r="BS9" s="29" t="str">
        <f>IF(OR(AH9="SVAL",AT9="SVAL"),"SVAL",IF(AJ9=10,VLOOKUP($AH9,tBinTest[],2,FALSE),""))</f>
        <v/>
      </c>
      <c r="BT9" s="29" t="str">
        <f t="shared" si="0"/>
        <v>Inkludert</v>
      </c>
      <c r="BU9" s="29">
        <f t="shared" si="1"/>
        <v>1</v>
      </c>
      <c r="BV9" s="29" t="str">
        <f t="shared" si="2"/>
        <v>032-916-</v>
      </c>
      <c r="BW9" s="29" t="e">
        <f>VLOOKUP($BV9,tTransportGroups[],7,FALSE)</f>
        <v>#N/A</v>
      </c>
      <c r="BX9" s="29" t="str">
        <f>IF(ISERROR(BW9),"",VLOOKUP($BV9,tTransportGroups[],2,FALSE))</f>
        <v/>
      </c>
      <c r="BY9" s="29" t="str">
        <f t="shared" si="3"/>
        <v xml:space="preserve">240/601 </v>
      </c>
      <c r="BZ9" s="29">
        <f>IF(ISERROR(BW9),0,VLOOKUP($BV9,tTransportGroups[],6,FALSE))</f>
        <v>0</v>
      </c>
      <c r="CA9" s="29" t="str">
        <f>SapExlData[Material]&amp;" "&amp;SapExlData[Material Beskrivelse]</f>
        <v>103447 Heistad Appelsinmarme lavk kuv 144bg/22g</v>
      </c>
      <c r="CB9" s="33">
        <f>(SapExlData[Kvitteringsdato]+SapExlData[Kl. for kvitt.]-SapExlData[Gyldig til]-SapExlData[Opprett.tidsp.])*24*60</f>
        <v>4077.6499999959487</v>
      </c>
      <c r="CC9" s="29" t="str">
        <f t="shared" si="4"/>
        <v>916 240/Ikke tilordnet</v>
      </c>
      <c r="CD9" s="34">
        <f>SapExlData[Gyldig til]+SapExlData[Opprett.tidsp.]</f>
        <v>42076.464756944442</v>
      </c>
      <c r="CE9" s="34">
        <f>SapExlData[Kvitteringsdato]+SapExlData[Kl. for kvitt.]</f>
        <v>42079.296458333331</v>
      </c>
      <c r="CF9" s="22" t="str">
        <f>TEXT(AU9,"000")&amp;" "&amp;SapExlData[Lagertype22]</f>
        <v>032 240/Ikke tilordnet</v>
      </c>
    </row>
    <row r="10" spans="1:84" x14ac:dyDescent="0.35">
      <c r="A10" s="29">
        <v>0.29685185185185187</v>
      </c>
      <c r="B10" s="29"/>
      <c r="C10" t="s">
        <v>226</v>
      </c>
      <c r="D10" s="29" t="s">
        <v>215</v>
      </c>
      <c r="E10" s="29">
        <v>80674883</v>
      </c>
      <c r="F10" s="31" t="s">
        <v>202</v>
      </c>
      <c r="G10" s="29" t="s">
        <v>202</v>
      </c>
      <c r="H10" s="22" t="s">
        <v>245</v>
      </c>
      <c r="J10" s="29">
        <v>601</v>
      </c>
      <c r="K10" s="29" t="s">
        <v>204</v>
      </c>
      <c r="L10" s="29" t="s">
        <v>235</v>
      </c>
      <c r="M10" s="22" t="s">
        <v>229</v>
      </c>
      <c r="N10" s="22" t="s">
        <v>206</v>
      </c>
      <c r="O10" s="29" t="s">
        <v>218</v>
      </c>
      <c r="P10" s="22" t="s">
        <v>202</v>
      </c>
      <c r="Q10" s="22" t="s">
        <v>230</v>
      </c>
      <c r="R10" s="32"/>
      <c r="S10" s="29" t="s">
        <v>231</v>
      </c>
      <c r="T10" s="29" t="s">
        <v>209</v>
      </c>
      <c r="U10" s="29" t="s">
        <v>220</v>
      </c>
      <c r="V10" s="29" t="s">
        <v>221</v>
      </c>
      <c r="W10" s="31">
        <v>0.51312499999999994</v>
      </c>
      <c r="X10" s="29"/>
      <c r="Y10" s="29" t="s">
        <v>202</v>
      </c>
      <c r="Z10" s="30" t="s">
        <v>70</v>
      </c>
      <c r="AA10" s="31" t="s">
        <v>202</v>
      </c>
      <c r="AB10" t="s">
        <v>202</v>
      </c>
      <c r="AC10" s="29" t="s">
        <v>202</v>
      </c>
      <c r="AD10" s="29" t="s">
        <v>232</v>
      </c>
      <c r="AE10" s="29" t="s">
        <v>202</v>
      </c>
      <c r="AF10" s="29" t="s">
        <v>202</v>
      </c>
      <c r="AG10" s="29">
        <v>1</v>
      </c>
      <c r="AH10" s="29">
        <v>80674883</v>
      </c>
      <c r="AI10" s="29">
        <v>19232</v>
      </c>
      <c r="AJ10" s="29">
        <v>916</v>
      </c>
      <c r="AK10" s="29" t="s">
        <v>235</v>
      </c>
      <c r="AL10" s="29" t="s">
        <v>235</v>
      </c>
      <c r="AM10" s="31">
        <v>0.29688657407407409</v>
      </c>
      <c r="AN10" s="29" t="s">
        <v>202</v>
      </c>
      <c r="AO10" s="29" t="s">
        <v>206</v>
      </c>
      <c r="AP10" s="29">
        <v>2009234</v>
      </c>
      <c r="AQ10" s="29">
        <v>2</v>
      </c>
      <c r="AR10" s="29" t="s">
        <v>202</v>
      </c>
      <c r="AS10" s="29">
        <v>1</v>
      </c>
      <c r="AT10" s="29" t="s">
        <v>246</v>
      </c>
      <c r="AU10" s="29">
        <v>32</v>
      </c>
      <c r="AV10" s="29"/>
      <c r="AW10" s="29">
        <v>120513</v>
      </c>
      <c r="AX10" s="29" t="s">
        <v>213</v>
      </c>
      <c r="AY10" s="29">
        <v>0</v>
      </c>
      <c r="AZ10" s="29">
        <v>0</v>
      </c>
      <c r="BA10" s="29">
        <v>0</v>
      </c>
      <c r="BB10" s="29">
        <v>0</v>
      </c>
      <c r="BC10" s="29">
        <v>0</v>
      </c>
      <c r="BD10" s="29">
        <v>35</v>
      </c>
      <c r="BE10" s="29">
        <v>35</v>
      </c>
      <c r="BF10" s="29">
        <v>35</v>
      </c>
      <c r="BG10" s="29">
        <v>35</v>
      </c>
      <c r="BH10" s="29">
        <v>0</v>
      </c>
      <c r="BI10" s="29">
        <v>0</v>
      </c>
      <c r="BJ10" s="29">
        <v>1</v>
      </c>
      <c r="BK10" s="29">
        <v>0</v>
      </c>
      <c r="BL10" s="29">
        <v>1</v>
      </c>
      <c r="BM10" s="29">
        <v>0</v>
      </c>
      <c r="BN10" s="29">
        <v>1</v>
      </c>
      <c r="BO10" s="29">
        <v>284.33999999999997</v>
      </c>
      <c r="BP10" s="29">
        <v>0</v>
      </c>
      <c r="BQ10" s="29">
        <f>HOUR(SapExlData[[#This Row],[Kl. for kvitt.]])</f>
        <v>7</v>
      </c>
      <c r="BR10" s="30" t="str">
        <f>IF(CreationDate="",SapExlData[Kvitteringsdato],SapExlData[Gyldig til])</f>
        <v>17.03.2015</v>
      </c>
      <c r="BS10" s="29" t="str">
        <f>IF(OR(AH10="SVAL",AT10="SVAL"),"SVAL",IF(AJ10=10,VLOOKUP($AH10,tBinTest[],2,FALSE),""))</f>
        <v/>
      </c>
      <c r="BT10" s="29" t="str">
        <f t="shared" si="0"/>
        <v>Inkludert</v>
      </c>
      <c r="BU10" s="29">
        <f t="shared" si="1"/>
        <v>1</v>
      </c>
      <c r="BV10" s="29" t="str">
        <f t="shared" si="2"/>
        <v>032-916-</v>
      </c>
      <c r="BW10" s="29" t="e">
        <f>VLOOKUP($BV10,tTransportGroups[],7,FALSE)</f>
        <v>#N/A</v>
      </c>
      <c r="BX10" s="29" t="str">
        <f>IF(ISERROR(BW10),"",VLOOKUP($BV10,tTransportGroups[],2,FALSE))</f>
        <v/>
      </c>
      <c r="BY10" s="29" t="str">
        <f t="shared" si="3"/>
        <v xml:space="preserve">240/601 </v>
      </c>
      <c r="BZ10" s="29">
        <f>IF(ISERROR(BW10),0,VLOOKUP($BV10,tTransportGroups[],6,FALSE))</f>
        <v>0</v>
      </c>
      <c r="CA10" s="29" t="str">
        <f>SapExlData[Material]&amp;" "&amp;SapExlData[Material Beskrivelse]</f>
        <v>120513 TORO Ferdig Norsk Ertesuppe 3x2,5L</v>
      </c>
      <c r="CB10" s="33">
        <f>(SapExlData[Kvitteringsdato]+SapExlData[Kl. for kvitt.]-SapExlData[Gyldig til]-SapExlData[Opprett.tidsp.])*24*60</f>
        <v>1128.6166666705628</v>
      </c>
      <c r="CC10" s="29" t="str">
        <f t="shared" si="4"/>
        <v>916 240/Ikke tilordnet</v>
      </c>
      <c r="CD10" s="34">
        <f>SapExlData[Gyldig til]+SapExlData[Opprett.tidsp.]</f>
        <v>42080.513124999998</v>
      </c>
      <c r="CE10" s="34">
        <f>SapExlData[Kvitteringsdato]+SapExlData[Kl. for kvitt.]</f>
        <v>42081.296886574077</v>
      </c>
      <c r="CF10" s="22" t="str">
        <f>TEXT(AU10,"000")&amp;" "&amp;SapExlData[Lagertype22]</f>
        <v>032 240/Ikke tilordnet</v>
      </c>
    </row>
    <row r="11" spans="1:84" x14ac:dyDescent="0.35">
      <c r="A11" s="29">
        <v>0.29686342592592591</v>
      </c>
      <c r="B11" s="29"/>
      <c r="C11" t="s">
        <v>247</v>
      </c>
      <c r="D11" s="29" t="s">
        <v>242</v>
      </c>
      <c r="E11" s="29"/>
      <c r="F11" s="31" t="s">
        <v>202</v>
      </c>
      <c r="G11" s="29" t="s">
        <v>202</v>
      </c>
      <c r="H11" s="22" t="s">
        <v>248</v>
      </c>
      <c r="J11" s="29" t="s">
        <v>202</v>
      </c>
      <c r="K11" s="29" t="s">
        <v>204</v>
      </c>
      <c r="L11" s="29" t="s">
        <v>237</v>
      </c>
      <c r="M11" s="22" t="s">
        <v>205</v>
      </c>
      <c r="N11" s="22" t="s">
        <v>206</v>
      </c>
      <c r="O11" s="29" t="s">
        <v>218</v>
      </c>
      <c r="P11" s="22" t="s">
        <v>202</v>
      </c>
      <c r="Q11" s="22" t="s">
        <v>249</v>
      </c>
      <c r="R11" s="32"/>
      <c r="S11" s="29" t="s">
        <v>250</v>
      </c>
      <c r="T11" s="29" t="s">
        <v>209</v>
      </c>
      <c r="U11" s="29" t="s">
        <v>210</v>
      </c>
      <c r="V11" s="29" t="s">
        <v>202</v>
      </c>
      <c r="W11" s="31">
        <v>0.49886574074074069</v>
      </c>
      <c r="X11" s="29"/>
      <c r="Y11" s="29">
        <v>1</v>
      </c>
      <c r="Z11" s="30" t="s">
        <v>70</v>
      </c>
      <c r="AA11" s="31" t="s">
        <v>202</v>
      </c>
      <c r="AB11" t="s">
        <v>202</v>
      </c>
      <c r="AC11" s="29" t="s">
        <v>202</v>
      </c>
      <c r="AD11" s="29" t="s">
        <v>202</v>
      </c>
      <c r="AE11" s="29" t="s">
        <v>202</v>
      </c>
      <c r="AF11" s="29" t="s">
        <v>202</v>
      </c>
      <c r="AG11" s="29">
        <v>1</v>
      </c>
      <c r="AH11" s="29" t="s">
        <v>211</v>
      </c>
      <c r="AI11" s="29">
        <v>16961</v>
      </c>
      <c r="AJ11" s="29">
        <v>10</v>
      </c>
      <c r="AK11" s="29" t="s">
        <v>237</v>
      </c>
      <c r="AL11" s="29" t="s">
        <v>237</v>
      </c>
      <c r="AM11" s="31">
        <v>0.29689814814814813</v>
      </c>
      <c r="AN11" s="29" t="s">
        <v>202</v>
      </c>
      <c r="AO11" s="29" t="s">
        <v>206</v>
      </c>
      <c r="AP11" s="29">
        <v>2008405</v>
      </c>
      <c r="AQ11" s="29">
        <v>1</v>
      </c>
      <c r="AR11" s="29" t="s">
        <v>202</v>
      </c>
      <c r="AS11" s="29">
        <v>2</v>
      </c>
      <c r="AT11" s="29" t="s">
        <v>251</v>
      </c>
      <c r="AU11" s="29">
        <v>2</v>
      </c>
      <c r="AV11" s="29"/>
      <c r="AW11" s="29">
        <v>318165</v>
      </c>
      <c r="AX11" s="29" t="s">
        <v>213</v>
      </c>
      <c r="AY11" s="29">
        <v>0</v>
      </c>
      <c r="AZ11" s="29">
        <v>0</v>
      </c>
      <c r="BA11" s="29">
        <v>0</v>
      </c>
      <c r="BB11" s="29">
        <v>0</v>
      </c>
      <c r="BC11" s="29">
        <v>0</v>
      </c>
      <c r="BD11" s="29">
        <v>8090</v>
      </c>
      <c r="BE11" s="29">
        <v>8090</v>
      </c>
      <c r="BF11" s="29">
        <v>8090</v>
      </c>
      <c r="BG11" s="29">
        <v>8090</v>
      </c>
      <c r="BH11" s="29">
        <v>0</v>
      </c>
      <c r="BI11" s="29">
        <v>0</v>
      </c>
      <c r="BJ11" s="29">
        <v>0</v>
      </c>
      <c r="BK11" s="29">
        <v>0</v>
      </c>
      <c r="BL11" s="29">
        <v>1</v>
      </c>
      <c r="BM11" s="29">
        <v>0</v>
      </c>
      <c r="BN11" s="29">
        <v>1</v>
      </c>
      <c r="BO11" s="29">
        <v>154.03399999999999</v>
      </c>
      <c r="BP11" s="29">
        <v>0</v>
      </c>
      <c r="BQ11" s="29">
        <f>HOUR(SapExlData[[#This Row],[Kl. for kvitt.]])</f>
        <v>7</v>
      </c>
      <c r="BR11" s="30" t="str">
        <f>IF(CreationDate="",SapExlData[Kvitteringsdato],SapExlData[Gyldig til])</f>
        <v>13.03.2015</v>
      </c>
      <c r="BS11" s="29" t="e">
        <f>IF(OR(AH11="SVAL",AT11="SVAL"),"SVAL",IF(AJ11=10,VLOOKUP($AH11,tBinTest[],2,FALSE),""))</f>
        <v>#N/A</v>
      </c>
      <c r="BT11" s="29" t="str">
        <f t="shared" si="0"/>
        <v>Inkludert</v>
      </c>
      <c r="BU11" s="29">
        <f t="shared" si="1"/>
        <v>1</v>
      </c>
      <c r="BV11" s="29" t="str">
        <f t="shared" si="2"/>
        <v>002-010-N/A</v>
      </c>
      <c r="BW11" s="29" t="e">
        <f>VLOOKUP($BV11,tTransportGroups[],7,FALSE)</f>
        <v>#N/A</v>
      </c>
      <c r="BX11" s="29" t="str">
        <f>IF(ISERROR(BW11),"",VLOOKUP($BV11,tTransportGroups[],2,FALSE))</f>
        <v/>
      </c>
      <c r="BY11" s="29" t="str">
        <f t="shared" si="3"/>
        <v xml:space="preserve">240/920 </v>
      </c>
      <c r="BZ11" s="29">
        <f>IF(ISERROR(BW11),0,VLOOKUP($BV11,tTransportGroups[],6,FALSE))</f>
        <v>0</v>
      </c>
      <c r="CA11" s="29" t="str">
        <f>SapExlData[Material]&amp;" "&amp;SapExlData[Material Beskrivelse]</f>
        <v>318165 Hylse Tandoori</v>
      </c>
      <c r="CB11" s="33">
        <f>(SapExlData[Kvitteringsdato]+SapExlData[Kl. for kvitt.]-SapExlData[Gyldig til]-SapExlData[Opprett.tidsp.])*24*60</f>
        <v>4029.1666666639812</v>
      </c>
      <c r="CC11" s="29" t="str">
        <f t="shared" si="4"/>
        <v>010 240/Ikke tilordnet</v>
      </c>
      <c r="CD11" s="34">
        <f>SapExlData[Gyldig til]+SapExlData[Opprett.tidsp.]</f>
        <v>42076.498865740738</v>
      </c>
      <c r="CE11" s="34">
        <f>SapExlData[Kvitteringsdato]+SapExlData[Kl. for kvitt.]</f>
        <v>42079.296898148146</v>
      </c>
      <c r="CF11" s="22" t="str">
        <f>TEXT(AU11,"000")&amp;" "&amp;SapExlData[Lagertype22]</f>
        <v>002 240/Ikke tilordnet</v>
      </c>
    </row>
    <row r="12" spans="1:84" x14ac:dyDescent="0.35">
      <c r="A12" s="29">
        <v>0.29781249999999998</v>
      </c>
      <c r="B12" s="29"/>
      <c r="C12" t="s">
        <v>226</v>
      </c>
      <c r="D12" s="29" t="s">
        <v>227</v>
      </c>
      <c r="E12" s="29">
        <v>80675321</v>
      </c>
      <c r="F12" s="31" t="s">
        <v>202</v>
      </c>
      <c r="G12" s="29" t="s">
        <v>202</v>
      </c>
      <c r="H12" s="22" t="s">
        <v>240</v>
      </c>
      <c r="J12" s="29">
        <v>601</v>
      </c>
      <c r="K12" s="29" t="s">
        <v>204</v>
      </c>
      <c r="L12" s="29" t="s">
        <v>201</v>
      </c>
      <c r="M12" s="22" t="s">
        <v>229</v>
      </c>
      <c r="N12" s="22" t="s">
        <v>206</v>
      </c>
      <c r="O12" s="29" t="s">
        <v>218</v>
      </c>
      <c r="P12" s="22" t="s">
        <v>202</v>
      </c>
      <c r="Q12" s="22" t="s">
        <v>230</v>
      </c>
      <c r="R12" s="32"/>
      <c r="S12" s="29" t="s">
        <v>231</v>
      </c>
      <c r="T12" s="29" t="s">
        <v>209</v>
      </c>
      <c r="U12" s="29" t="s">
        <v>220</v>
      </c>
      <c r="V12" s="29" t="s">
        <v>221</v>
      </c>
      <c r="W12" s="31">
        <v>0.51395833333333341</v>
      </c>
      <c r="X12" s="29"/>
      <c r="Y12" s="29" t="s">
        <v>202</v>
      </c>
      <c r="Z12" s="30" t="s">
        <v>70</v>
      </c>
      <c r="AA12" s="31" t="s">
        <v>202</v>
      </c>
      <c r="AB12" t="s">
        <v>202</v>
      </c>
      <c r="AC12" s="29" t="s">
        <v>202</v>
      </c>
      <c r="AD12" s="29" t="s">
        <v>232</v>
      </c>
      <c r="AE12" s="29" t="s">
        <v>202</v>
      </c>
      <c r="AF12" s="29" t="s">
        <v>202</v>
      </c>
      <c r="AG12" s="29">
        <v>1</v>
      </c>
      <c r="AH12" s="29">
        <v>80675321</v>
      </c>
      <c r="AI12" s="29">
        <v>21488</v>
      </c>
      <c r="AJ12" s="29">
        <v>916</v>
      </c>
      <c r="AK12" s="29" t="s">
        <v>201</v>
      </c>
      <c r="AL12" s="29" t="s">
        <v>201</v>
      </c>
      <c r="AM12" s="31">
        <v>0.29781249999999998</v>
      </c>
      <c r="AN12" s="29" t="s">
        <v>202</v>
      </c>
      <c r="AO12" s="29" t="s">
        <v>206</v>
      </c>
      <c r="AP12" s="29">
        <v>2010290</v>
      </c>
      <c r="AQ12" s="29">
        <v>3</v>
      </c>
      <c r="AR12" s="29" t="s">
        <v>202</v>
      </c>
      <c r="AS12" s="29">
        <v>1</v>
      </c>
      <c r="AT12" s="29" t="s">
        <v>241</v>
      </c>
      <c r="AU12" s="29">
        <v>32</v>
      </c>
      <c r="AV12" s="29"/>
      <c r="AW12" s="29">
        <v>106095</v>
      </c>
      <c r="AX12" s="29" t="s">
        <v>213</v>
      </c>
      <c r="AY12" s="29">
        <v>0</v>
      </c>
      <c r="AZ12" s="29">
        <v>0</v>
      </c>
      <c r="BA12" s="29">
        <v>0</v>
      </c>
      <c r="BB12" s="29">
        <v>0</v>
      </c>
      <c r="BC12" s="29">
        <v>0</v>
      </c>
      <c r="BD12" s="29">
        <v>2</v>
      </c>
      <c r="BE12" s="29">
        <v>2</v>
      </c>
      <c r="BF12" s="29">
        <v>2</v>
      </c>
      <c r="BG12" s="29">
        <v>2</v>
      </c>
      <c r="BH12" s="29">
        <v>0</v>
      </c>
      <c r="BI12" s="29">
        <v>0</v>
      </c>
      <c r="BJ12" s="29">
        <v>0</v>
      </c>
      <c r="BK12" s="29">
        <v>0</v>
      </c>
      <c r="BL12" s="29">
        <v>1</v>
      </c>
      <c r="BM12" s="29">
        <v>0</v>
      </c>
      <c r="BN12" s="29">
        <v>1</v>
      </c>
      <c r="BO12" s="29">
        <v>3.8</v>
      </c>
      <c r="BP12" s="29">
        <v>0</v>
      </c>
      <c r="BQ12" s="29">
        <f>HOUR(SapExlData[[#This Row],[Kl. for kvitt.]])</f>
        <v>7</v>
      </c>
      <c r="BR12" s="30" t="str">
        <f>IF(CreationDate="",SapExlData[Kvitteringsdato],SapExlData[Gyldig til])</f>
        <v>19.03.2015</v>
      </c>
      <c r="BS12" s="29" t="str">
        <f>IF(OR(AH12="SVAL",AT12="SVAL"),"SVAL",IF(AJ12=10,VLOOKUP($AH12,tBinTest[],2,FALSE),""))</f>
        <v/>
      </c>
      <c r="BT12" s="29" t="str">
        <f t="shared" si="0"/>
        <v>Inkludert</v>
      </c>
      <c r="BU12" s="29">
        <f t="shared" si="1"/>
        <v>1</v>
      </c>
      <c r="BV12" s="29" t="str">
        <f t="shared" si="2"/>
        <v>032-916-</v>
      </c>
      <c r="BW12" s="29" t="e">
        <f>VLOOKUP($BV12,tTransportGroups[],7,FALSE)</f>
        <v>#N/A</v>
      </c>
      <c r="BX12" s="29" t="str">
        <f>IF(ISERROR(BW12),"",VLOOKUP($BV12,tTransportGroups[],2,FALSE))</f>
        <v/>
      </c>
      <c r="BY12" s="29" t="str">
        <f t="shared" si="3"/>
        <v xml:space="preserve">240/601 </v>
      </c>
      <c r="BZ12" s="29">
        <f>IF(ISERROR(BW12),0,VLOOKUP($BV12,tTransportGroups[],6,FALSE))</f>
        <v>0</v>
      </c>
      <c r="CA12" s="29" t="str">
        <f>SapExlData[Material]&amp;" "&amp;SapExlData[Material Beskrivelse]</f>
        <v>106095 Toro Svinekraft flyt 2fl/7,2dl 22L-ferd</v>
      </c>
      <c r="CB12" s="33">
        <f>(SapExlData[Kvitteringsdato]+SapExlData[Kl. for kvitt.]-SapExlData[Gyldig til]-SapExlData[Opprett.tidsp.])*24*60</f>
        <v>1128.7500000012571</v>
      </c>
      <c r="CC12" s="29" t="str">
        <f t="shared" si="4"/>
        <v>916 240/Ikke tilordnet</v>
      </c>
      <c r="CD12" s="34">
        <f>SapExlData[Gyldig til]+SapExlData[Opprett.tidsp.]</f>
        <v>42082.513958333337</v>
      </c>
      <c r="CE12" s="34">
        <f>SapExlData[Kvitteringsdato]+SapExlData[Kl. for kvitt.]</f>
        <v>42083.297812500001</v>
      </c>
      <c r="CF12" s="22" t="str">
        <f>TEXT(AU12,"000")&amp;" "&amp;SapExlData[Lagertype22]</f>
        <v>032 240/Ikke tilordnet</v>
      </c>
    </row>
    <row r="13" spans="1:84" x14ac:dyDescent="0.35">
      <c r="A13" s="29">
        <v>0.29796296296296293</v>
      </c>
      <c r="B13" s="29"/>
      <c r="C13" t="s">
        <v>252</v>
      </c>
      <c r="D13" s="29" t="s">
        <v>215</v>
      </c>
      <c r="E13" s="29"/>
      <c r="F13" s="31" t="s">
        <v>202</v>
      </c>
      <c r="G13" s="29" t="s">
        <v>202</v>
      </c>
      <c r="H13" s="22" t="s">
        <v>253</v>
      </c>
      <c r="J13" s="29" t="s">
        <v>202</v>
      </c>
      <c r="K13" s="29" t="s">
        <v>204</v>
      </c>
      <c r="L13" s="29" t="s">
        <v>235</v>
      </c>
      <c r="M13" s="22" t="s">
        <v>205</v>
      </c>
      <c r="N13" s="22" t="s">
        <v>206</v>
      </c>
      <c r="O13" s="29" t="s">
        <v>218</v>
      </c>
      <c r="P13" s="22" t="s">
        <v>202</v>
      </c>
      <c r="Q13" s="22" t="s">
        <v>254</v>
      </c>
      <c r="R13" s="32"/>
      <c r="S13" s="29" t="s">
        <v>255</v>
      </c>
      <c r="T13" s="29" t="s">
        <v>209</v>
      </c>
      <c r="U13" s="29" t="s">
        <v>210</v>
      </c>
      <c r="V13" s="29" t="s">
        <v>202</v>
      </c>
      <c r="W13" s="31">
        <v>0.72502314814814817</v>
      </c>
      <c r="X13" s="29"/>
      <c r="Y13" s="29">
        <v>1</v>
      </c>
      <c r="Z13" s="30" t="s">
        <v>70</v>
      </c>
      <c r="AA13" s="31" t="s">
        <v>202</v>
      </c>
      <c r="AB13" t="s">
        <v>202</v>
      </c>
      <c r="AC13" s="29" t="s">
        <v>202</v>
      </c>
      <c r="AD13" s="29" t="s">
        <v>202</v>
      </c>
      <c r="AE13" s="29" t="s">
        <v>202</v>
      </c>
      <c r="AF13" s="29" t="s">
        <v>202</v>
      </c>
      <c r="AG13" s="29">
        <v>1</v>
      </c>
      <c r="AH13" s="29" t="s">
        <v>256</v>
      </c>
      <c r="AI13" s="29">
        <v>13860</v>
      </c>
      <c r="AJ13" s="29">
        <v>10</v>
      </c>
      <c r="AK13" s="29" t="s">
        <v>235</v>
      </c>
      <c r="AL13" s="29" t="s">
        <v>235</v>
      </c>
      <c r="AM13" s="31">
        <v>0.29800925925925925</v>
      </c>
      <c r="AN13" s="29" t="s">
        <v>202</v>
      </c>
      <c r="AO13" s="29" t="s">
        <v>206</v>
      </c>
      <c r="AP13" s="29">
        <v>2009377</v>
      </c>
      <c r="AQ13" s="29">
        <v>1</v>
      </c>
      <c r="AR13" s="29" t="s">
        <v>202</v>
      </c>
      <c r="AS13" s="29">
        <v>2</v>
      </c>
      <c r="AT13" s="29" t="s">
        <v>257</v>
      </c>
      <c r="AU13" s="29">
        <v>2</v>
      </c>
      <c r="AV13" s="29"/>
      <c r="AW13" s="29">
        <v>303726</v>
      </c>
      <c r="AX13" s="29" t="s">
        <v>213</v>
      </c>
      <c r="AY13" s="29">
        <v>0</v>
      </c>
      <c r="AZ13" s="29">
        <v>0</v>
      </c>
      <c r="BA13" s="29">
        <v>0</v>
      </c>
      <c r="BB13" s="29">
        <v>0</v>
      </c>
      <c r="BC13" s="29">
        <v>0</v>
      </c>
      <c r="BD13" s="29">
        <v>1200</v>
      </c>
      <c r="BE13" s="29">
        <v>1200</v>
      </c>
      <c r="BF13" s="29">
        <v>1200</v>
      </c>
      <c r="BG13" s="29">
        <v>1200</v>
      </c>
      <c r="BH13" s="29">
        <v>0</v>
      </c>
      <c r="BI13" s="29">
        <v>0</v>
      </c>
      <c r="BJ13" s="29">
        <v>0</v>
      </c>
      <c r="BK13" s="29">
        <v>0</v>
      </c>
      <c r="BL13" s="29">
        <v>1</v>
      </c>
      <c r="BM13" s="29">
        <v>0</v>
      </c>
      <c r="BN13" s="29">
        <v>1</v>
      </c>
      <c r="BO13" s="29">
        <v>97.2</v>
      </c>
      <c r="BP13" s="29">
        <v>0</v>
      </c>
      <c r="BQ13" s="29">
        <f>HOUR(SapExlData[[#This Row],[Kl. for kvitt.]])</f>
        <v>7</v>
      </c>
      <c r="BR13" s="30" t="str">
        <f>IF(CreationDate="",SapExlData[Kvitteringsdato],SapExlData[Gyldig til])</f>
        <v>17.03.2015</v>
      </c>
      <c r="BS13" s="29" t="e">
        <f>IF(OR(AH13="SVAL",AT13="SVAL"),"SVAL",IF(AJ13=10,VLOOKUP($AH13,tBinTest[],2,FALSE),""))</f>
        <v>#N/A</v>
      </c>
      <c r="BT13" s="29" t="str">
        <f t="shared" si="0"/>
        <v>Inkludert</v>
      </c>
      <c r="BU13" s="29">
        <f t="shared" si="1"/>
        <v>1</v>
      </c>
      <c r="BV13" s="29" t="str">
        <f t="shared" si="2"/>
        <v>002-010-N/A</v>
      </c>
      <c r="BW13" s="29" t="e">
        <f>VLOOKUP($BV13,tTransportGroups[],7,FALSE)</f>
        <v>#N/A</v>
      </c>
      <c r="BX13" s="29" t="str">
        <f>IF(ISERROR(BW13),"",VLOOKUP($BV13,tTransportGroups[],2,FALSE))</f>
        <v/>
      </c>
      <c r="BY13" s="29" t="str">
        <f t="shared" si="3"/>
        <v xml:space="preserve">240/920 </v>
      </c>
      <c r="BZ13" s="29">
        <f>IF(ISERROR(BW13),0,VLOOKUP($BV13,tTransportGroups[],6,FALSE))</f>
        <v>0</v>
      </c>
      <c r="CA13" s="29" t="str">
        <f>SapExlData[Material]&amp;" "&amp;SapExlData[Material Beskrivelse]</f>
        <v>303726 Trau til Hermetikkboks 1/1</v>
      </c>
      <c r="CB13" s="33">
        <f>(SapExlData[Kvitteringsdato]+SapExlData[Kl. for kvitt.]-SapExlData[Gyldig til]-SapExlData[Opprett.tidsp.])*24*60</f>
        <v>825.1000000046256</v>
      </c>
      <c r="CC13" s="29" t="str">
        <f t="shared" si="4"/>
        <v>010 240/Ikke tilordnet</v>
      </c>
      <c r="CD13" s="34">
        <f>SapExlData[Gyldig til]+SapExlData[Opprett.tidsp.]</f>
        <v>42080.725023148145</v>
      </c>
      <c r="CE13" s="34">
        <f>SapExlData[Kvitteringsdato]+SapExlData[Kl. for kvitt.]</f>
        <v>42081.298009259262</v>
      </c>
      <c r="CF13" s="22" t="str">
        <f>TEXT(AU13,"000")&amp;" "&amp;SapExlData[Lagertype22]</f>
        <v>002 240/Ikke tilordnet</v>
      </c>
    </row>
    <row r="14" spans="1:84" x14ac:dyDescent="0.35">
      <c r="A14" s="29">
        <v>0.29806712962962961</v>
      </c>
      <c r="B14" s="29"/>
      <c r="C14" t="s">
        <v>214</v>
      </c>
      <c r="D14" s="29" t="s">
        <v>235</v>
      </c>
      <c r="E14" s="29">
        <v>80674820</v>
      </c>
      <c r="F14" s="31" t="s">
        <v>202</v>
      </c>
      <c r="G14" s="29" t="s">
        <v>202</v>
      </c>
      <c r="H14" s="22" t="s">
        <v>234</v>
      </c>
      <c r="J14" s="29">
        <v>601</v>
      </c>
      <c r="K14" s="29" t="s">
        <v>204</v>
      </c>
      <c r="L14" s="29" t="s">
        <v>235</v>
      </c>
      <c r="M14" s="22" t="s">
        <v>217</v>
      </c>
      <c r="N14" s="22" t="s">
        <v>206</v>
      </c>
      <c r="O14" s="29" t="s">
        <v>218</v>
      </c>
      <c r="P14" s="22" t="s">
        <v>202</v>
      </c>
      <c r="Q14" s="22" t="s">
        <v>219</v>
      </c>
      <c r="R14" s="32"/>
      <c r="S14" s="29" t="s">
        <v>214</v>
      </c>
      <c r="T14" s="29" t="s">
        <v>209</v>
      </c>
      <c r="U14" s="29" t="s">
        <v>220</v>
      </c>
      <c r="V14" s="29" t="s">
        <v>221</v>
      </c>
      <c r="W14" s="31">
        <v>0.29723379629629632</v>
      </c>
      <c r="X14" s="29"/>
      <c r="Y14" s="29">
        <v>1</v>
      </c>
      <c r="Z14" s="30" t="s">
        <v>70</v>
      </c>
      <c r="AA14" s="31" t="s">
        <v>202</v>
      </c>
      <c r="AB14" t="s">
        <v>202</v>
      </c>
      <c r="AC14" s="29" t="s">
        <v>202</v>
      </c>
      <c r="AD14" s="29" t="s">
        <v>222</v>
      </c>
      <c r="AE14" s="29" t="s">
        <v>202</v>
      </c>
      <c r="AF14" s="29" t="s">
        <v>202</v>
      </c>
      <c r="AG14" s="29">
        <v>1</v>
      </c>
      <c r="AH14" s="29">
        <v>80674820</v>
      </c>
      <c r="AI14" s="29">
        <v>19219</v>
      </c>
      <c r="AJ14" s="29">
        <v>916</v>
      </c>
      <c r="AK14" s="29" t="s">
        <v>235</v>
      </c>
      <c r="AL14" s="29" t="s">
        <v>235</v>
      </c>
      <c r="AM14" s="31">
        <v>0.29806712962962961</v>
      </c>
      <c r="AN14" s="29" t="s">
        <v>202</v>
      </c>
      <c r="AO14" s="29" t="s">
        <v>206</v>
      </c>
      <c r="AP14" s="29">
        <v>2009444</v>
      </c>
      <c r="AQ14" s="29">
        <v>3</v>
      </c>
      <c r="AR14" s="29" t="s">
        <v>202</v>
      </c>
      <c r="AS14" s="29">
        <v>1</v>
      </c>
      <c r="AT14" s="29" t="s">
        <v>258</v>
      </c>
      <c r="AU14" s="29">
        <v>6</v>
      </c>
      <c r="AV14" s="29"/>
      <c r="AW14" s="29">
        <v>108231</v>
      </c>
      <c r="AX14" s="29" t="s">
        <v>213</v>
      </c>
      <c r="AY14" s="29">
        <v>-115</v>
      </c>
      <c r="AZ14" s="29">
        <v>0</v>
      </c>
      <c r="BA14" s="29">
        <v>0</v>
      </c>
      <c r="BB14" s="29">
        <v>0</v>
      </c>
      <c r="BC14" s="29">
        <v>0</v>
      </c>
      <c r="BD14" s="29">
        <v>0</v>
      </c>
      <c r="BE14" s="29">
        <v>0</v>
      </c>
      <c r="BF14" s="29">
        <v>0</v>
      </c>
      <c r="BG14" s="29">
        <v>0</v>
      </c>
      <c r="BH14" s="29">
        <v>0</v>
      </c>
      <c r="BI14" s="29">
        <v>-115</v>
      </c>
      <c r="BJ14" s="29">
        <v>1</v>
      </c>
      <c r="BK14" s="29">
        <v>0</v>
      </c>
      <c r="BL14" s="29">
        <v>1</v>
      </c>
      <c r="BM14" s="29">
        <v>0</v>
      </c>
      <c r="BN14" s="29">
        <v>1</v>
      </c>
      <c r="BO14" s="29">
        <v>326.02499999999998</v>
      </c>
      <c r="BP14" s="29">
        <v>0</v>
      </c>
      <c r="BQ14" s="29">
        <f>HOUR(SapExlData[[#This Row],[Kl. for kvitt.]])</f>
        <v>7</v>
      </c>
      <c r="BR14" s="30" t="str">
        <f>IF(CreationDate="",SapExlData[Kvitteringsdato],SapExlData[Gyldig til])</f>
        <v>18.03.2015</v>
      </c>
      <c r="BS14" s="29" t="str">
        <f>IF(OR(AH14="SVAL",AT14="SVAL"),"SVAL",IF(AJ14=10,VLOOKUP($AH14,tBinTest[],2,FALSE),""))</f>
        <v/>
      </c>
      <c r="BT14" s="29" t="str">
        <f t="shared" si="0"/>
        <v>Inkludert</v>
      </c>
      <c r="BU14" s="29">
        <f t="shared" si="1"/>
        <v>1</v>
      </c>
      <c r="BV14" s="29" t="str">
        <f t="shared" si="2"/>
        <v>006-916-</v>
      </c>
      <c r="BW14" s="29" t="e">
        <f>VLOOKUP($BV14,tTransportGroups[],7,FALSE)</f>
        <v>#N/A</v>
      </c>
      <c r="BX14" s="29" t="str">
        <f>IF(ISERROR(BW14),"",VLOOKUP($BV14,tTransportGroups[],2,FALSE))</f>
        <v/>
      </c>
      <c r="BY14" s="29" t="str">
        <f t="shared" si="3"/>
        <v xml:space="preserve">240/601 </v>
      </c>
      <c r="BZ14" s="29">
        <f>IF(ISERROR(BW14),0,VLOOKUP($BV14,tTransportGroups[],6,FALSE))</f>
        <v>0</v>
      </c>
      <c r="CA14" s="29" t="str">
        <f>SapExlData[Material]&amp;" "&amp;SapExlData[Material Beskrivelse]</f>
        <v>108231 Toro Risgrøt 6x385g</v>
      </c>
      <c r="CB14" s="33">
        <f>(SapExlData[Kvitteringsdato]+SapExlData[Kl. for kvitt.]-SapExlData[Gyldig til]-SapExlData[Opprett.tidsp.])*24*60</f>
        <v>1.2000000031509472</v>
      </c>
      <c r="CC14" s="29" t="str">
        <f t="shared" si="4"/>
        <v>916 240/Ikke tilordnet</v>
      </c>
      <c r="CD14" s="34">
        <f>SapExlData[Gyldig til]+SapExlData[Opprett.tidsp.]</f>
        <v>42081.297233796293</v>
      </c>
      <c r="CE14" s="34">
        <f>SapExlData[Kvitteringsdato]+SapExlData[Kl. for kvitt.]</f>
        <v>42081.298067129632</v>
      </c>
      <c r="CF14" s="22" t="str">
        <f>TEXT(AU14,"000")&amp;" "&amp;SapExlData[Lagertype22]</f>
        <v>006 240/Ikke tilordnet</v>
      </c>
    </row>
    <row r="15" spans="1:84" x14ac:dyDescent="0.35">
      <c r="A15" s="29">
        <v>0.29806712962962961</v>
      </c>
      <c r="B15" s="29"/>
      <c r="C15" t="s">
        <v>214</v>
      </c>
      <c r="D15" s="29" t="s">
        <v>235</v>
      </c>
      <c r="E15" s="29">
        <v>80674820</v>
      </c>
      <c r="F15" s="31" t="s">
        <v>202</v>
      </c>
      <c r="G15" s="29" t="s">
        <v>202</v>
      </c>
      <c r="H15" s="22" t="s">
        <v>234</v>
      </c>
      <c r="J15" s="29">
        <v>601</v>
      </c>
      <c r="K15" s="29" t="s">
        <v>204</v>
      </c>
      <c r="L15" s="29" t="s">
        <v>235</v>
      </c>
      <c r="M15" s="22" t="s">
        <v>217</v>
      </c>
      <c r="N15" s="22" t="s">
        <v>206</v>
      </c>
      <c r="O15" s="29" t="s">
        <v>218</v>
      </c>
      <c r="P15" s="22" t="s">
        <v>202</v>
      </c>
      <c r="Q15" s="22" t="s">
        <v>219</v>
      </c>
      <c r="R15" s="32"/>
      <c r="S15" s="29" t="s">
        <v>214</v>
      </c>
      <c r="T15" s="29" t="s">
        <v>209</v>
      </c>
      <c r="U15" s="29" t="s">
        <v>220</v>
      </c>
      <c r="V15" s="29" t="s">
        <v>221</v>
      </c>
      <c r="W15" s="31">
        <v>0.29723379629629632</v>
      </c>
      <c r="X15" s="29"/>
      <c r="Y15" s="29">
        <v>1</v>
      </c>
      <c r="Z15" s="30" t="s">
        <v>70</v>
      </c>
      <c r="AA15" s="31" t="s">
        <v>202</v>
      </c>
      <c r="AB15" t="s">
        <v>202</v>
      </c>
      <c r="AC15" s="29" t="s">
        <v>202</v>
      </c>
      <c r="AD15" s="29" t="s">
        <v>222</v>
      </c>
      <c r="AE15" s="29" t="s">
        <v>202</v>
      </c>
      <c r="AF15" s="29" t="s">
        <v>202</v>
      </c>
      <c r="AG15" s="29">
        <v>1</v>
      </c>
      <c r="AH15" s="29">
        <v>80674820</v>
      </c>
      <c r="AI15" s="29">
        <v>19220</v>
      </c>
      <c r="AJ15" s="29">
        <v>916</v>
      </c>
      <c r="AK15" s="29" t="s">
        <v>235</v>
      </c>
      <c r="AL15" s="29" t="s">
        <v>235</v>
      </c>
      <c r="AM15" s="31">
        <v>0.29806712962962961</v>
      </c>
      <c r="AN15" s="29" t="s">
        <v>202</v>
      </c>
      <c r="AO15" s="29" t="s">
        <v>206</v>
      </c>
      <c r="AP15" s="29">
        <v>2009444</v>
      </c>
      <c r="AQ15" s="29">
        <v>4</v>
      </c>
      <c r="AR15" s="29" t="s">
        <v>202</v>
      </c>
      <c r="AS15" s="29">
        <v>1</v>
      </c>
      <c r="AT15" s="29" t="s">
        <v>259</v>
      </c>
      <c r="AU15" s="29">
        <v>6</v>
      </c>
      <c r="AV15" s="29"/>
      <c r="AW15" s="29">
        <v>108231</v>
      </c>
      <c r="AX15" s="29" t="s">
        <v>213</v>
      </c>
      <c r="AY15" s="29">
        <v>-77</v>
      </c>
      <c r="AZ15" s="29">
        <v>0</v>
      </c>
      <c r="BA15" s="29">
        <v>0</v>
      </c>
      <c r="BB15" s="29">
        <v>0</v>
      </c>
      <c r="BC15" s="29">
        <v>0</v>
      </c>
      <c r="BD15" s="29">
        <v>0</v>
      </c>
      <c r="BE15" s="29">
        <v>0</v>
      </c>
      <c r="BF15" s="29">
        <v>0</v>
      </c>
      <c r="BG15" s="29">
        <v>0</v>
      </c>
      <c r="BH15" s="29">
        <v>0</v>
      </c>
      <c r="BI15" s="29">
        <v>-77</v>
      </c>
      <c r="BJ15" s="29">
        <v>1</v>
      </c>
      <c r="BK15" s="29">
        <v>0</v>
      </c>
      <c r="BL15" s="29">
        <v>1</v>
      </c>
      <c r="BM15" s="29">
        <v>0</v>
      </c>
      <c r="BN15" s="29">
        <v>1</v>
      </c>
      <c r="BO15" s="29">
        <v>218.29499999999999</v>
      </c>
      <c r="BP15" s="29">
        <v>0</v>
      </c>
      <c r="BQ15" s="29">
        <f>HOUR(SapExlData[[#This Row],[Kl. for kvitt.]])</f>
        <v>7</v>
      </c>
      <c r="BR15" s="30" t="str">
        <f>IF(CreationDate="",SapExlData[Kvitteringsdato],SapExlData[Gyldig til])</f>
        <v>18.03.2015</v>
      </c>
      <c r="BS15" s="29" t="str">
        <f>IF(OR(AH15="SVAL",AT15="SVAL"),"SVAL",IF(AJ15=10,VLOOKUP($AH15,tBinTest[],2,FALSE),""))</f>
        <v/>
      </c>
      <c r="BT15" s="29" t="str">
        <f t="shared" si="0"/>
        <v>Inkludert</v>
      </c>
      <c r="BU15" s="29">
        <f t="shared" si="1"/>
        <v>1</v>
      </c>
      <c r="BV15" s="29" t="str">
        <f t="shared" si="2"/>
        <v>006-916-</v>
      </c>
      <c r="BW15" s="29" t="e">
        <f>VLOOKUP($BV15,tTransportGroups[],7,FALSE)</f>
        <v>#N/A</v>
      </c>
      <c r="BX15" s="29" t="str">
        <f>IF(ISERROR(BW15),"",VLOOKUP($BV15,tTransportGroups[],2,FALSE))</f>
        <v/>
      </c>
      <c r="BY15" s="29" t="str">
        <f t="shared" si="3"/>
        <v xml:space="preserve">240/601 </v>
      </c>
      <c r="BZ15" s="29">
        <f>IF(ISERROR(BW15),0,VLOOKUP($BV15,tTransportGroups[],6,FALSE))</f>
        <v>0</v>
      </c>
      <c r="CA15" s="29" t="str">
        <f>SapExlData[Material]&amp;" "&amp;SapExlData[Material Beskrivelse]</f>
        <v>108231 Toro Risgrøt 6x385g</v>
      </c>
      <c r="CB15" s="33">
        <f>(SapExlData[Kvitteringsdato]+SapExlData[Kl. for kvitt.]-SapExlData[Gyldig til]-SapExlData[Opprett.tidsp.])*24*60</f>
        <v>1.2000000031509472</v>
      </c>
      <c r="CC15" s="29" t="str">
        <f t="shared" si="4"/>
        <v>916 240/Ikke tilordnet</v>
      </c>
      <c r="CD15" s="34">
        <f>SapExlData[Gyldig til]+SapExlData[Opprett.tidsp.]</f>
        <v>42081.297233796293</v>
      </c>
      <c r="CE15" s="34">
        <f>SapExlData[Kvitteringsdato]+SapExlData[Kl. for kvitt.]</f>
        <v>42081.298067129632</v>
      </c>
      <c r="CF15" s="22" t="str">
        <f>TEXT(AU15,"000")&amp;" "&amp;SapExlData[Lagertype22]</f>
        <v>006 240/Ikke tilordnet</v>
      </c>
    </row>
    <row r="16" spans="1:84" x14ac:dyDescent="0.35">
      <c r="A16" s="29">
        <v>0.29806712962962961</v>
      </c>
      <c r="B16" s="29"/>
      <c r="C16" t="s">
        <v>214</v>
      </c>
      <c r="D16" s="29" t="s">
        <v>235</v>
      </c>
      <c r="E16" s="29">
        <v>80674820</v>
      </c>
      <c r="F16" s="31" t="s">
        <v>202</v>
      </c>
      <c r="G16" s="29" t="s">
        <v>202</v>
      </c>
      <c r="H16" s="22" t="s">
        <v>260</v>
      </c>
      <c r="J16" s="29">
        <v>601</v>
      </c>
      <c r="K16" s="29" t="s">
        <v>204</v>
      </c>
      <c r="L16" s="29" t="s">
        <v>235</v>
      </c>
      <c r="M16" s="22" t="s">
        <v>217</v>
      </c>
      <c r="N16" s="22" t="s">
        <v>206</v>
      </c>
      <c r="O16" s="29" t="s">
        <v>218</v>
      </c>
      <c r="P16" s="22" t="s">
        <v>202</v>
      </c>
      <c r="Q16" s="22" t="s">
        <v>219</v>
      </c>
      <c r="R16" s="32"/>
      <c r="S16" s="29" t="s">
        <v>214</v>
      </c>
      <c r="T16" s="29" t="s">
        <v>209</v>
      </c>
      <c r="U16" s="29" t="s">
        <v>220</v>
      </c>
      <c r="V16" s="29" t="s">
        <v>221</v>
      </c>
      <c r="W16" s="31">
        <v>0.29723379629629632</v>
      </c>
      <c r="X16" s="29"/>
      <c r="Y16" s="29">
        <v>1</v>
      </c>
      <c r="Z16" s="30" t="s">
        <v>70</v>
      </c>
      <c r="AA16" s="31" t="s">
        <v>202</v>
      </c>
      <c r="AB16" t="s">
        <v>202</v>
      </c>
      <c r="AC16" s="29" t="s">
        <v>202</v>
      </c>
      <c r="AD16" s="29" t="s">
        <v>222</v>
      </c>
      <c r="AE16" s="29" t="s">
        <v>202</v>
      </c>
      <c r="AF16" s="29" t="s">
        <v>202</v>
      </c>
      <c r="AG16" s="29">
        <v>1</v>
      </c>
      <c r="AH16" s="29">
        <v>80674820</v>
      </c>
      <c r="AI16" s="29">
        <v>19221</v>
      </c>
      <c r="AJ16" s="29">
        <v>916</v>
      </c>
      <c r="AK16" s="29" t="s">
        <v>235</v>
      </c>
      <c r="AL16" s="29" t="s">
        <v>235</v>
      </c>
      <c r="AM16" s="31">
        <v>0.29806712962962961</v>
      </c>
      <c r="AN16" s="29" t="s">
        <v>202</v>
      </c>
      <c r="AO16" s="29" t="s">
        <v>206</v>
      </c>
      <c r="AP16" s="29">
        <v>2009444</v>
      </c>
      <c r="AQ16" s="29">
        <v>5</v>
      </c>
      <c r="AR16" s="29" t="s">
        <v>202</v>
      </c>
      <c r="AS16" s="29">
        <v>1</v>
      </c>
      <c r="AT16" s="29" t="s">
        <v>261</v>
      </c>
      <c r="AU16" s="29">
        <v>6</v>
      </c>
      <c r="AV16" s="29"/>
      <c r="AW16" s="29">
        <v>108237</v>
      </c>
      <c r="AX16" s="29" t="s">
        <v>213</v>
      </c>
      <c r="AY16" s="29">
        <v>-87</v>
      </c>
      <c r="AZ16" s="29">
        <v>0</v>
      </c>
      <c r="BA16" s="29">
        <v>0</v>
      </c>
      <c r="BB16" s="29">
        <v>0</v>
      </c>
      <c r="BC16" s="29">
        <v>0</v>
      </c>
      <c r="BD16" s="29">
        <v>0</v>
      </c>
      <c r="BE16" s="29">
        <v>0</v>
      </c>
      <c r="BF16" s="29">
        <v>0</v>
      </c>
      <c r="BG16" s="29">
        <v>0</v>
      </c>
      <c r="BH16" s="29">
        <v>0</v>
      </c>
      <c r="BI16" s="29">
        <v>-87</v>
      </c>
      <c r="BJ16" s="29">
        <v>1</v>
      </c>
      <c r="BK16" s="29">
        <v>0</v>
      </c>
      <c r="BL16" s="29">
        <v>1</v>
      </c>
      <c r="BM16" s="29">
        <v>0</v>
      </c>
      <c r="BN16" s="29">
        <v>1</v>
      </c>
      <c r="BO16" s="29">
        <v>245.77500000000001</v>
      </c>
      <c r="BP16" s="29">
        <v>0</v>
      </c>
      <c r="BQ16" s="29">
        <f>HOUR(SapExlData[[#This Row],[Kl. for kvitt.]])</f>
        <v>7</v>
      </c>
      <c r="BR16" s="30" t="str">
        <f>IF(CreationDate="",SapExlData[Kvitteringsdato],SapExlData[Gyldig til])</f>
        <v>18.03.2015</v>
      </c>
      <c r="BS16" s="29" t="str">
        <f>IF(OR(AH16="SVAL",AT16="SVAL"),"SVAL",IF(AJ16=10,VLOOKUP($AH16,tBinTest[],2,FALSE),""))</f>
        <v/>
      </c>
      <c r="BT16" s="29" t="str">
        <f t="shared" si="0"/>
        <v>Inkludert</v>
      </c>
      <c r="BU16" s="29">
        <f t="shared" si="1"/>
        <v>1</v>
      </c>
      <c r="BV16" s="29" t="str">
        <f t="shared" si="2"/>
        <v>006-916-</v>
      </c>
      <c r="BW16" s="29" t="e">
        <f>VLOOKUP($BV16,tTransportGroups[],7,FALSE)</f>
        <v>#N/A</v>
      </c>
      <c r="BX16" s="29" t="str">
        <f>IF(ISERROR(BW16),"",VLOOKUP($BV16,tTransportGroups[],2,FALSE))</f>
        <v/>
      </c>
      <c r="BY16" s="29" t="str">
        <f t="shared" si="3"/>
        <v xml:space="preserve">240/601 </v>
      </c>
      <c r="BZ16" s="29">
        <f>IF(ISERROR(BW16),0,VLOOKUP($BV16,tTransportGroups[],6,FALSE))</f>
        <v>0</v>
      </c>
      <c r="CA16" s="29" t="str">
        <f>SapExlData[Material]&amp;" "&amp;SapExlData[Material Beskrivelse]</f>
        <v>108237 Toro Bali Kyllinggryte 6x400g</v>
      </c>
      <c r="CB16" s="33">
        <f>(SapExlData[Kvitteringsdato]+SapExlData[Kl. for kvitt.]-SapExlData[Gyldig til]-SapExlData[Opprett.tidsp.])*24*60</f>
        <v>1.2000000031509472</v>
      </c>
      <c r="CC16" s="29" t="str">
        <f t="shared" si="4"/>
        <v>916 240/Ikke tilordnet</v>
      </c>
      <c r="CD16" s="34">
        <f>SapExlData[Gyldig til]+SapExlData[Opprett.tidsp.]</f>
        <v>42081.297233796293</v>
      </c>
      <c r="CE16" s="34">
        <f>SapExlData[Kvitteringsdato]+SapExlData[Kl. for kvitt.]</f>
        <v>42081.298067129632</v>
      </c>
      <c r="CF16" s="22" t="str">
        <f>TEXT(AU16,"000")&amp;" "&amp;SapExlData[Lagertype22]</f>
        <v>006 240/Ikke tilordnet</v>
      </c>
    </row>
    <row r="17" spans="1:84" x14ac:dyDescent="0.35">
      <c r="A17" s="29">
        <v>0.29806712962962961</v>
      </c>
      <c r="B17" s="29"/>
      <c r="C17" t="s">
        <v>214</v>
      </c>
      <c r="D17" s="29" t="s">
        <v>235</v>
      </c>
      <c r="E17" s="29">
        <v>80674820</v>
      </c>
      <c r="F17" s="31" t="s">
        <v>202</v>
      </c>
      <c r="G17" s="29" t="s">
        <v>202</v>
      </c>
      <c r="H17" s="22" t="s">
        <v>260</v>
      </c>
      <c r="J17" s="29">
        <v>601</v>
      </c>
      <c r="K17" s="29" t="s">
        <v>204</v>
      </c>
      <c r="L17" s="29" t="s">
        <v>235</v>
      </c>
      <c r="M17" s="22" t="s">
        <v>217</v>
      </c>
      <c r="N17" s="22" t="s">
        <v>206</v>
      </c>
      <c r="O17" s="29" t="s">
        <v>218</v>
      </c>
      <c r="P17" s="22" t="s">
        <v>202</v>
      </c>
      <c r="Q17" s="22" t="s">
        <v>219</v>
      </c>
      <c r="R17" s="32"/>
      <c r="S17" s="29" t="s">
        <v>214</v>
      </c>
      <c r="T17" s="29" t="s">
        <v>209</v>
      </c>
      <c r="U17" s="29" t="s">
        <v>220</v>
      </c>
      <c r="V17" s="29" t="s">
        <v>221</v>
      </c>
      <c r="W17" s="31">
        <v>0.29723379629629632</v>
      </c>
      <c r="X17" s="29"/>
      <c r="Y17" s="29">
        <v>1</v>
      </c>
      <c r="Z17" s="30" t="s">
        <v>70</v>
      </c>
      <c r="AA17" s="31" t="s">
        <v>202</v>
      </c>
      <c r="AB17" t="s">
        <v>202</v>
      </c>
      <c r="AC17" s="29" t="s">
        <v>202</v>
      </c>
      <c r="AD17" s="29" t="s">
        <v>222</v>
      </c>
      <c r="AE17" s="29" t="s">
        <v>202</v>
      </c>
      <c r="AF17" s="29" t="s">
        <v>202</v>
      </c>
      <c r="AG17" s="29">
        <v>1</v>
      </c>
      <c r="AH17" s="29">
        <v>80674820</v>
      </c>
      <c r="AI17" s="29">
        <v>19242</v>
      </c>
      <c r="AJ17" s="29">
        <v>916</v>
      </c>
      <c r="AK17" s="29" t="s">
        <v>235</v>
      </c>
      <c r="AL17" s="29" t="s">
        <v>235</v>
      </c>
      <c r="AM17" s="31">
        <v>0.29806712962962961</v>
      </c>
      <c r="AN17" s="29" t="s">
        <v>202</v>
      </c>
      <c r="AO17" s="29" t="s">
        <v>206</v>
      </c>
      <c r="AP17" s="29">
        <v>2009444</v>
      </c>
      <c r="AQ17" s="29">
        <v>6</v>
      </c>
      <c r="AR17" s="29" t="s">
        <v>202</v>
      </c>
      <c r="AS17" s="29">
        <v>1</v>
      </c>
      <c r="AT17" s="29" t="s">
        <v>225</v>
      </c>
      <c r="AU17" s="29">
        <v>6</v>
      </c>
      <c r="AV17" s="29"/>
      <c r="AW17" s="29">
        <v>108237</v>
      </c>
      <c r="AX17" s="29" t="s">
        <v>213</v>
      </c>
      <c r="AY17" s="29">
        <v>-9</v>
      </c>
      <c r="AZ17" s="29">
        <v>0</v>
      </c>
      <c r="BA17" s="29">
        <v>0</v>
      </c>
      <c r="BB17" s="29">
        <v>0</v>
      </c>
      <c r="BC17" s="29">
        <v>0</v>
      </c>
      <c r="BD17" s="29">
        <v>0</v>
      </c>
      <c r="BE17" s="29">
        <v>0</v>
      </c>
      <c r="BF17" s="29">
        <v>0</v>
      </c>
      <c r="BG17" s="29">
        <v>0</v>
      </c>
      <c r="BH17" s="29">
        <v>0</v>
      </c>
      <c r="BI17" s="29">
        <v>-9</v>
      </c>
      <c r="BJ17" s="29">
        <v>1</v>
      </c>
      <c r="BK17" s="29">
        <v>0</v>
      </c>
      <c r="BL17" s="29">
        <v>1</v>
      </c>
      <c r="BM17" s="29">
        <v>0</v>
      </c>
      <c r="BN17" s="29">
        <v>1</v>
      </c>
      <c r="BO17" s="29">
        <v>25.425000000000001</v>
      </c>
      <c r="BP17" s="29">
        <v>0</v>
      </c>
      <c r="BQ17" s="29">
        <f>HOUR(SapExlData[[#This Row],[Kl. for kvitt.]])</f>
        <v>7</v>
      </c>
      <c r="BR17" s="30" t="str">
        <f>IF(CreationDate="",SapExlData[Kvitteringsdato],SapExlData[Gyldig til])</f>
        <v>18.03.2015</v>
      </c>
      <c r="BS17" s="29" t="str">
        <f>IF(OR(AH17="SVAL",AT17="SVAL"),"SVAL",IF(AJ17=10,VLOOKUP($AH17,tBinTest[],2,FALSE),""))</f>
        <v/>
      </c>
      <c r="BT17" s="29" t="str">
        <f t="shared" si="0"/>
        <v>Inkludert</v>
      </c>
      <c r="BU17" s="29">
        <f t="shared" si="1"/>
        <v>1</v>
      </c>
      <c r="BV17" s="29" t="str">
        <f t="shared" si="2"/>
        <v>006-916-</v>
      </c>
      <c r="BW17" s="29" t="e">
        <f>VLOOKUP($BV17,tTransportGroups[],7,FALSE)</f>
        <v>#N/A</v>
      </c>
      <c r="BX17" s="29" t="str">
        <f>IF(ISERROR(BW17),"",VLOOKUP($BV17,tTransportGroups[],2,FALSE))</f>
        <v/>
      </c>
      <c r="BY17" s="29" t="str">
        <f t="shared" si="3"/>
        <v xml:space="preserve">240/601 </v>
      </c>
      <c r="BZ17" s="29">
        <f>IF(ISERROR(BW17),0,VLOOKUP($BV17,tTransportGroups[],6,FALSE))</f>
        <v>0</v>
      </c>
      <c r="CA17" s="29" t="str">
        <f>SapExlData[Material]&amp;" "&amp;SapExlData[Material Beskrivelse]</f>
        <v>108237 Toro Bali Kyllinggryte 6x400g</v>
      </c>
      <c r="CB17" s="33">
        <f>(SapExlData[Kvitteringsdato]+SapExlData[Kl. for kvitt.]-SapExlData[Gyldig til]-SapExlData[Opprett.tidsp.])*24*60</f>
        <v>1.2000000031509472</v>
      </c>
      <c r="CC17" s="29" t="str">
        <f t="shared" si="4"/>
        <v>916 240/Ikke tilordnet</v>
      </c>
      <c r="CD17" s="34">
        <f>SapExlData[Gyldig til]+SapExlData[Opprett.tidsp.]</f>
        <v>42081.297233796293</v>
      </c>
      <c r="CE17" s="34">
        <f>SapExlData[Kvitteringsdato]+SapExlData[Kl. for kvitt.]</f>
        <v>42081.298067129632</v>
      </c>
      <c r="CF17" s="22" t="str">
        <f>TEXT(AU17,"000")&amp;" "&amp;SapExlData[Lagertype22]</f>
        <v>006 240/Ikke tilordnet</v>
      </c>
    </row>
    <row r="18" spans="1:84" x14ac:dyDescent="0.35">
      <c r="A18" s="29">
        <v>0.29806712962962961</v>
      </c>
      <c r="B18" s="29"/>
      <c r="C18" t="s">
        <v>214</v>
      </c>
      <c r="D18" s="29" t="s">
        <v>235</v>
      </c>
      <c r="E18" s="29">
        <v>80674820</v>
      </c>
      <c r="F18" s="31" t="s">
        <v>202</v>
      </c>
      <c r="G18" s="29" t="s">
        <v>202</v>
      </c>
      <c r="H18" s="22" t="s">
        <v>262</v>
      </c>
      <c r="J18" s="29">
        <v>601</v>
      </c>
      <c r="K18" s="29" t="s">
        <v>204</v>
      </c>
      <c r="L18" s="29" t="s">
        <v>235</v>
      </c>
      <c r="M18" s="22" t="s">
        <v>217</v>
      </c>
      <c r="N18" s="22" t="s">
        <v>206</v>
      </c>
      <c r="O18" s="29" t="s">
        <v>218</v>
      </c>
      <c r="P18" s="22" t="s">
        <v>202</v>
      </c>
      <c r="Q18" s="22" t="s">
        <v>219</v>
      </c>
      <c r="R18" s="32"/>
      <c r="S18" s="29" t="s">
        <v>214</v>
      </c>
      <c r="T18" s="29" t="s">
        <v>209</v>
      </c>
      <c r="U18" s="29" t="s">
        <v>220</v>
      </c>
      <c r="V18" s="29" t="s">
        <v>221</v>
      </c>
      <c r="W18" s="31">
        <v>0.29723379629629632</v>
      </c>
      <c r="X18" s="29"/>
      <c r="Y18" s="29">
        <v>1</v>
      </c>
      <c r="Z18" s="30" t="s">
        <v>70</v>
      </c>
      <c r="AA18" s="31" t="s">
        <v>202</v>
      </c>
      <c r="AB18" t="s">
        <v>202</v>
      </c>
      <c r="AC18" s="29" t="s">
        <v>202</v>
      </c>
      <c r="AD18" s="29" t="s">
        <v>222</v>
      </c>
      <c r="AE18" s="29" t="s">
        <v>202</v>
      </c>
      <c r="AF18" s="29" t="s">
        <v>202</v>
      </c>
      <c r="AG18" s="29">
        <v>1</v>
      </c>
      <c r="AH18" s="29">
        <v>80674820</v>
      </c>
      <c r="AI18" s="29">
        <v>19243</v>
      </c>
      <c r="AJ18" s="29">
        <v>916</v>
      </c>
      <c r="AK18" s="29" t="s">
        <v>235</v>
      </c>
      <c r="AL18" s="29" t="s">
        <v>235</v>
      </c>
      <c r="AM18" s="31">
        <v>0.29806712962962961</v>
      </c>
      <c r="AN18" s="29" t="s">
        <v>202</v>
      </c>
      <c r="AO18" s="29" t="s">
        <v>206</v>
      </c>
      <c r="AP18" s="29">
        <v>2009444</v>
      </c>
      <c r="AQ18" s="29">
        <v>7</v>
      </c>
      <c r="AR18" s="29" t="s">
        <v>202</v>
      </c>
      <c r="AS18" s="29">
        <v>1</v>
      </c>
      <c r="AT18" s="29" t="s">
        <v>263</v>
      </c>
      <c r="AU18" s="29">
        <v>6</v>
      </c>
      <c r="AV18" s="29"/>
      <c r="AW18" s="29">
        <v>111401</v>
      </c>
      <c r="AX18" s="29" t="s">
        <v>213</v>
      </c>
      <c r="AY18" s="29">
        <v>-36</v>
      </c>
      <c r="AZ18" s="29">
        <v>0</v>
      </c>
      <c r="BA18" s="29">
        <v>0</v>
      </c>
      <c r="BB18" s="29">
        <v>0</v>
      </c>
      <c r="BC18" s="29">
        <v>0</v>
      </c>
      <c r="BD18" s="29">
        <v>0</v>
      </c>
      <c r="BE18" s="29">
        <v>0</v>
      </c>
      <c r="BF18" s="29">
        <v>0</v>
      </c>
      <c r="BG18" s="29">
        <v>0</v>
      </c>
      <c r="BH18" s="29">
        <v>0</v>
      </c>
      <c r="BI18" s="29">
        <v>-36</v>
      </c>
      <c r="BJ18" s="29">
        <v>1</v>
      </c>
      <c r="BK18" s="29">
        <v>0</v>
      </c>
      <c r="BL18" s="29">
        <v>1</v>
      </c>
      <c r="BM18" s="29">
        <v>0</v>
      </c>
      <c r="BN18" s="29">
        <v>1</v>
      </c>
      <c r="BO18" s="29">
        <v>93.6</v>
      </c>
      <c r="BP18" s="29">
        <v>0</v>
      </c>
      <c r="BQ18" s="29">
        <f>HOUR(SapExlData[[#This Row],[Kl. for kvitt.]])</f>
        <v>7</v>
      </c>
      <c r="BR18" s="30" t="str">
        <f>IF(CreationDate="",SapExlData[Kvitteringsdato],SapExlData[Gyldig til])</f>
        <v>18.03.2015</v>
      </c>
      <c r="BS18" s="29" t="str">
        <f>IF(OR(AH18="SVAL",AT18="SVAL"),"SVAL",IF(AJ18=10,VLOOKUP($AH18,tBinTest[],2,FALSE),""))</f>
        <v/>
      </c>
      <c r="BT18" s="29" t="str">
        <f t="shared" si="0"/>
        <v>Inkludert</v>
      </c>
      <c r="BU18" s="29">
        <f t="shared" si="1"/>
        <v>1</v>
      </c>
      <c r="BV18" s="29" t="str">
        <f t="shared" si="2"/>
        <v>006-916-</v>
      </c>
      <c r="BW18" s="29" t="e">
        <f>VLOOKUP($BV18,tTransportGroups[],7,FALSE)</f>
        <v>#N/A</v>
      </c>
      <c r="BX18" s="29" t="str">
        <f>IF(ISERROR(BW18),"",VLOOKUP($BV18,tTransportGroups[],2,FALSE))</f>
        <v/>
      </c>
      <c r="BY18" s="29" t="str">
        <f t="shared" si="3"/>
        <v xml:space="preserve">240/601 </v>
      </c>
      <c r="BZ18" s="29">
        <f>IF(ISERROR(BW18),0,VLOOKUP($BV18,tTransportGroups[],6,FALSE))</f>
        <v>0</v>
      </c>
      <c r="CA18" s="29" t="str">
        <f>SapExlData[Material]&amp;" "&amp;SapExlData[Material Beskrivelse]</f>
        <v>111401 Toro Tandoori Kyllinggryte 6x400g</v>
      </c>
      <c r="CB18" s="33">
        <f>(SapExlData[Kvitteringsdato]+SapExlData[Kl. for kvitt.]-SapExlData[Gyldig til]-SapExlData[Opprett.tidsp.])*24*60</f>
        <v>1.2000000031509472</v>
      </c>
      <c r="CC18" s="29" t="str">
        <f t="shared" si="4"/>
        <v>916 240/Ikke tilordnet</v>
      </c>
      <c r="CD18" s="34">
        <f>SapExlData[Gyldig til]+SapExlData[Opprett.tidsp.]</f>
        <v>42081.297233796293</v>
      </c>
      <c r="CE18" s="34">
        <f>SapExlData[Kvitteringsdato]+SapExlData[Kl. for kvitt.]</f>
        <v>42081.298067129632</v>
      </c>
      <c r="CF18" s="22" t="str">
        <f>TEXT(AU18,"000")&amp;" "&amp;SapExlData[Lagertype22]</f>
        <v>006 240/Ikke tilordnet</v>
      </c>
    </row>
    <row r="19" spans="1:84" x14ac:dyDescent="0.35">
      <c r="A19" s="29">
        <v>0.29806712962962961</v>
      </c>
      <c r="B19" s="29"/>
      <c r="C19" t="s">
        <v>214</v>
      </c>
      <c r="D19" s="29" t="s">
        <v>235</v>
      </c>
      <c r="E19" s="29">
        <v>80674820</v>
      </c>
      <c r="F19" s="31" t="s">
        <v>202</v>
      </c>
      <c r="G19" s="29" t="s">
        <v>202</v>
      </c>
      <c r="H19" s="22" t="s">
        <v>264</v>
      </c>
      <c r="J19" s="29">
        <v>601</v>
      </c>
      <c r="K19" s="29" t="s">
        <v>204</v>
      </c>
      <c r="L19" s="29" t="s">
        <v>235</v>
      </c>
      <c r="M19" s="22" t="s">
        <v>217</v>
      </c>
      <c r="N19" s="22" t="s">
        <v>206</v>
      </c>
      <c r="O19" s="29" t="s">
        <v>218</v>
      </c>
      <c r="P19" s="22" t="s">
        <v>202</v>
      </c>
      <c r="Q19" s="22" t="s">
        <v>219</v>
      </c>
      <c r="R19" s="32"/>
      <c r="S19" s="29" t="s">
        <v>214</v>
      </c>
      <c r="T19" s="29" t="s">
        <v>209</v>
      </c>
      <c r="U19" s="29" t="s">
        <v>220</v>
      </c>
      <c r="V19" s="29" t="s">
        <v>221</v>
      </c>
      <c r="W19" s="31">
        <v>0.29723379629629632</v>
      </c>
      <c r="X19" s="29"/>
      <c r="Y19" s="29">
        <v>1</v>
      </c>
      <c r="Z19" s="30" t="s">
        <v>70</v>
      </c>
      <c r="AA19" s="31" t="s">
        <v>202</v>
      </c>
      <c r="AB19" t="s">
        <v>202</v>
      </c>
      <c r="AC19" s="29" t="s">
        <v>202</v>
      </c>
      <c r="AD19" s="29" t="s">
        <v>222</v>
      </c>
      <c r="AE19" s="29" t="s">
        <v>202</v>
      </c>
      <c r="AF19" s="29" t="s">
        <v>202</v>
      </c>
      <c r="AG19" s="29">
        <v>1</v>
      </c>
      <c r="AH19" s="29">
        <v>80674820</v>
      </c>
      <c r="AI19" s="29">
        <v>19244</v>
      </c>
      <c r="AJ19" s="29">
        <v>916</v>
      </c>
      <c r="AK19" s="29" t="s">
        <v>235</v>
      </c>
      <c r="AL19" s="29" t="s">
        <v>235</v>
      </c>
      <c r="AM19" s="31">
        <v>0.29806712962962961</v>
      </c>
      <c r="AN19" s="29" t="s">
        <v>202</v>
      </c>
      <c r="AO19" s="29" t="s">
        <v>206</v>
      </c>
      <c r="AP19" s="29">
        <v>2009444</v>
      </c>
      <c r="AQ19" s="29">
        <v>8</v>
      </c>
      <c r="AR19" s="29" t="s">
        <v>202</v>
      </c>
      <c r="AS19" s="29">
        <v>1</v>
      </c>
      <c r="AT19" s="29" t="s">
        <v>265</v>
      </c>
      <c r="AU19" s="29">
        <v>6</v>
      </c>
      <c r="AV19" s="29"/>
      <c r="AW19" s="29">
        <v>115543</v>
      </c>
      <c r="AX19" s="29" t="s">
        <v>213</v>
      </c>
      <c r="AY19" s="29">
        <v>-50</v>
      </c>
      <c r="AZ19" s="29">
        <v>0</v>
      </c>
      <c r="BA19" s="29">
        <v>0</v>
      </c>
      <c r="BB19" s="29">
        <v>0</v>
      </c>
      <c r="BC19" s="29">
        <v>0</v>
      </c>
      <c r="BD19" s="29">
        <v>0</v>
      </c>
      <c r="BE19" s="29">
        <v>0</v>
      </c>
      <c r="BF19" s="29">
        <v>0</v>
      </c>
      <c r="BG19" s="29">
        <v>0</v>
      </c>
      <c r="BH19" s="29">
        <v>0</v>
      </c>
      <c r="BI19" s="29">
        <v>-50</v>
      </c>
      <c r="BJ19" s="29">
        <v>1</v>
      </c>
      <c r="BK19" s="29">
        <v>0</v>
      </c>
      <c r="BL19" s="29">
        <v>1</v>
      </c>
      <c r="BM19" s="29">
        <v>0</v>
      </c>
      <c r="BN19" s="29">
        <v>1</v>
      </c>
      <c r="BO19" s="29">
        <v>139</v>
      </c>
      <c r="BP19" s="29">
        <v>0</v>
      </c>
      <c r="BQ19" s="29">
        <f>HOUR(SapExlData[[#This Row],[Kl. for kvitt.]])</f>
        <v>7</v>
      </c>
      <c r="BR19" s="30" t="str">
        <f>IF(CreationDate="",SapExlData[Kvitteringsdato],SapExlData[Gyldig til])</f>
        <v>18.03.2015</v>
      </c>
      <c r="BS19" s="29" t="str">
        <f>IF(OR(AH19="SVAL",AT19="SVAL"),"SVAL",IF(AJ19=10,VLOOKUP($AH19,tBinTest[],2,FALSE),""))</f>
        <v/>
      </c>
      <c r="BT19" s="29" t="str">
        <f t="shared" si="0"/>
        <v>Inkludert</v>
      </c>
      <c r="BU19" s="29">
        <f t="shared" si="1"/>
        <v>1</v>
      </c>
      <c r="BV19" s="29" t="str">
        <f t="shared" si="2"/>
        <v>006-916-</v>
      </c>
      <c r="BW19" s="29" t="e">
        <f>VLOOKUP($BV19,tTransportGroups[],7,FALSE)</f>
        <v>#N/A</v>
      </c>
      <c r="BX19" s="29" t="str">
        <f>IF(ISERROR(BW19),"",VLOOKUP($BV19,tTransportGroups[],2,FALSE))</f>
        <v/>
      </c>
      <c r="BY19" s="29" t="str">
        <f t="shared" si="3"/>
        <v xml:space="preserve">240/601 </v>
      </c>
      <c r="BZ19" s="29">
        <f>IF(ISERROR(BW19),0,VLOOKUP($BV19,tTransportGroups[],6,FALSE))</f>
        <v>0</v>
      </c>
      <c r="CA19" s="29" t="str">
        <f>SapExlData[Material]&amp;" "&amp;SapExlData[Material Beskrivelse]</f>
        <v>115543 Toro Lasagne 6x400g</v>
      </c>
      <c r="CB19" s="33">
        <f>(SapExlData[Kvitteringsdato]+SapExlData[Kl. for kvitt.]-SapExlData[Gyldig til]-SapExlData[Opprett.tidsp.])*24*60</f>
        <v>1.2000000031509472</v>
      </c>
      <c r="CC19" s="29" t="str">
        <f t="shared" si="4"/>
        <v>916 240/Ikke tilordnet</v>
      </c>
      <c r="CD19" s="34">
        <f>SapExlData[Gyldig til]+SapExlData[Opprett.tidsp.]</f>
        <v>42081.297233796293</v>
      </c>
      <c r="CE19" s="34">
        <f>SapExlData[Kvitteringsdato]+SapExlData[Kl. for kvitt.]</f>
        <v>42081.298067129632</v>
      </c>
      <c r="CF19" s="22" t="str">
        <f>TEXT(AU19,"000")&amp;" "&amp;SapExlData[Lagertype22]</f>
        <v>006 240/Ikke tilordnet</v>
      </c>
    </row>
    <row r="20" spans="1:84" x14ac:dyDescent="0.35">
      <c r="A20" s="29">
        <v>0.29806712962962961</v>
      </c>
      <c r="B20" s="29"/>
      <c r="C20" t="s">
        <v>214</v>
      </c>
      <c r="D20" s="29" t="s">
        <v>235</v>
      </c>
      <c r="E20" s="29">
        <v>80674820</v>
      </c>
      <c r="F20" s="31" t="s">
        <v>202</v>
      </c>
      <c r="G20" s="29" t="s">
        <v>202</v>
      </c>
      <c r="H20" s="22" t="s">
        <v>264</v>
      </c>
      <c r="J20" s="29">
        <v>601</v>
      </c>
      <c r="K20" s="29" t="s">
        <v>204</v>
      </c>
      <c r="L20" s="29" t="s">
        <v>235</v>
      </c>
      <c r="M20" s="22" t="s">
        <v>217</v>
      </c>
      <c r="N20" s="22" t="s">
        <v>206</v>
      </c>
      <c r="O20" s="29" t="s">
        <v>218</v>
      </c>
      <c r="P20" s="22" t="s">
        <v>202</v>
      </c>
      <c r="Q20" s="22" t="s">
        <v>219</v>
      </c>
      <c r="R20" s="32"/>
      <c r="S20" s="29" t="s">
        <v>214</v>
      </c>
      <c r="T20" s="29" t="s">
        <v>209</v>
      </c>
      <c r="U20" s="29" t="s">
        <v>220</v>
      </c>
      <c r="V20" s="29" t="s">
        <v>221</v>
      </c>
      <c r="W20" s="31">
        <v>0.29723379629629632</v>
      </c>
      <c r="X20" s="29"/>
      <c r="Y20" s="29">
        <v>1</v>
      </c>
      <c r="Z20" s="30" t="s">
        <v>70</v>
      </c>
      <c r="AA20" s="31" t="s">
        <v>202</v>
      </c>
      <c r="AB20" t="s">
        <v>202</v>
      </c>
      <c r="AC20" s="29" t="s">
        <v>202</v>
      </c>
      <c r="AD20" s="29" t="s">
        <v>222</v>
      </c>
      <c r="AE20" s="29" t="s">
        <v>202</v>
      </c>
      <c r="AF20" s="29" t="s">
        <v>202</v>
      </c>
      <c r="AG20" s="29">
        <v>1</v>
      </c>
      <c r="AH20" s="29">
        <v>80674820</v>
      </c>
      <c r="AI20" s="29">
        <v>19245</v>
      </c>
      <c r="AJ20" s="29">
        <v>916</v>
      </c>
      <c r="AK20" s="29" t="s">
        <v>235</v>
      </c>
      <c r="AL20" s="29" t="s">
        <v>235</v>
      </c>
      <c r="AM20" s="31">
        <v>0.29806712962962961</v>
      </c>
      <c r="AN20" s="29" t="s">
        <v>202</v>
      </c>
      <c r="AO20" s="29" t="s">
        <v>206</v>
      </c>
      <c r="AP20" s="29">
        <v>2009444</v>
      </c>
      <c r="AQ20" s="29">
        <v>9</v>
      </c>
      <c r="AR20" s="29" t="s">
        <v>202</v>
      </c>
      <c r="AS20" s="29">
        <v>1</v>
      </c>
      <c r="AT20" s="29" t="s">
        <v>266</v>
      </c>
      <c r="AU20" s="29">
        <v>6</v>
      </c>
      <c r="AV20" s="29"/>
      <c r="AW20" s="29">
        <v>115543</v>
      </c>
      <c r="AX20" s="29" t="s">
        <v>213</v>
      </c>
      <c r="AY20" s="29">
        <v>-46</v>
      </c>
      <c r="AZ20" s="29">
        <v>0</v>
      </c>
      <c r="BA20" s="29">
        <v>0</v>
      </c>
      <c r="BB20" s="29">
        <v>0</v>
      </c>
      <c r="BC20" s="29">
        <v>0</v>
      </c>
      <c r="BD20" s="29">
        <v>0</v>
      </c>
      <c r="BE20" s="29">
        <v>0</v>
      </c>
      <c r="BF20" s="29">
        <v>0</v>
      </c>
      <c r="BG20" s="29">
        <v>0</v>
      </c>
      <c r="BH20" s="29">
        <v>0</v>
      </c>
      <c r="BI20" s="29">
        <v>-46</v>
      </c>
      <c r="BJ20" s="29">
        <v>1</v>
      </c>
      <c r="BK20" s="29">
        <v>0</v>
      </c>
      <c r="BL20" s="29">
        <v>1</v>
      </c>
      <c r="BM20" s="29">
        <v>0</v>
      </c>
      <c r="BN20" s="29">
        <v>1</v>
      </c>
      <c r="BO20" s="29">
        <v>127.88</v>
      </c>
      <c r="BP20" s="29">
        <v>0</v>
      </c>
      <c r="BQ20" s="29">
        <f>HOUR(SapExlData[[#This Row],[Kl. for kvitt.]])</f>
        <v>7</v>
      </c>
      <c r="BR20" s="30" t="str">
        <f>IF(CreationDate="",SapExlData[Kvitteringsdato],SapExlData[Gyldig til])</f>
        <v>18.03.2015</v>
      </c>
      <c r="BS20" s="29" t="str">
        <f>IF(OR(AH20="SVAL",AT20="SVAL"),"SVAL",IF(AJ20=10,VLOOKUP($AH20,tBinTest[],2,FALSE),""))</f>
        <v/>
      </c>
      <c r="BT20" s="29" t="str">
        <f t="shared" si="0"/>
        <v>Inkludert</v>
      </c>
      <c r="BU20" s="29">
        <f t="shared" si="1"/>
        <v>1</v>
      </c>
      <c r="BV20" s="29" t="str">
        <f t="shared" si="2"/>
        <v>006-916-</v>
      </c>
      <c r="BW20" s="29" t="e">
        <f>VLOOKUP($BV20,tTransportGroups[],7,FALSE)</f>
        <v>#N/A</v>
      </c>
      <c r="BX20" s="29" t="str">
        <f>IF(ISERROR(BW20),"",VLOOKUP($BV20,tTransportGroups[],2,FALSE))</f>
        <v/>
      </c>
      <c r="BY20" s="29" t="str">
        <f t="shared" si="3"/>
        <v xml:space="preserve">240/601 </v>
      </c>
      <c r="BZ20" s="29">
        <f>IF(ISERROR(BW20),0,VLOOKUP($BV20,tTransportGroups[],6,FALSE))</f>
        <v>0</v>
      </c>
      <c r="CA20" s="29" t="str">
        <f>SapExlData[Material]&amp;" "&amp;SapExlData[Material Beskrivelse]</f>
        <v>115543 Toro Lasagne 6x400g</v>
      </c>
      <c r="CB20" s="33">
        <f>(SapExlData[Kvitteringsdato]+SapExlData[Kl. for kvitt.]-SapExlData[Gyldig til]-SapExlData[Opprett.tidsp.])*24*60</f>
        <v>1.2000000031509472</v>
      </c>
      <c r="CC20" s="29" t="str">
        <f t="shared" si="4"/>
        <v>916 240/Ikke tilordnet</v>
      </c>
      <c r="CD20" s="34">
        <f>SapExlData[Gyldig til]+SapExlData[Opprett.tidsp.]</f>
        <v>42081.297233796293</v>
      </c>
      <c r="CE20" s="34">
        <f>SapExlData[Kvitteringsdato]+SapExlData[Kl. for kvitt.]</f>
        <v>42081.298067129632</v>
      </c>
      <c r="CF20" s="22" t="str">
        <f>TEXT(AU20,"000")&amp;" "&amp;SapExlData[Lagertype22]</f>
        <v>006 240/Ikke tilordnet</v>
      </c>
    </row>
    <row r="21" spans="1:84" x14ac:dyDescent="0.35">
      <c r="A21" s="29">
        <v>0.29806712962962961</v>
      </c>
      <c r="B21" s="29"/>
      <c r="C21" t="s">
        <v>214</v>
      </c>
      <c r="D21" s="29" t="s">
        <v>235</v>
      </c>
      <c r="E21" s="29">
        <v>80674820</v>
      </c>
      <c r="F21" s="31" t="s">
        <v>202</v>
      </c>
      <c r="G21" s="29" t="s">
        <v>202</v>
      </c>
      <c r="H21" s="22" t="s">
        <v>216</v>
      </c>
      <c r="J21" s="29">
        <v>601</v>
      </c>
      <c r="K21" s="29" t="s">
        <v>204</v>
      </c>
      <c r="L21" s="29" t="s">
        <v>235</v>
      </c>
      <c r="M21" s="22" t="s">
        <v>217</v>
      </c>
      <c r="N21" s="22" t="s">
        <v>206</v>
      </c>
      <c r="O21" s="29" t="s">
        <v>218</v>
      </c>
      <c r="P21" s="22" t="s">
        <v>202</v>
      </c>
      <c r="Q21" s="22" t="s">
        <v>219</v>
      </c>
      <c r="R21" s="32"/>
      <c r="S21" s="29" t="s">
        <v>214</v>
      </c>
      <c r="T21" s="29" t="s">
        <v>209</v>
      </c>
      <c r="U21" s="29" t="s">
        <v>220</v>
      </c>
      <c r="V21" s="29" t="s">
        <v>221</v>
      </c>
      <c r="W21" s="31">
        <v>0.29723379629629632</v>
      </c>
      <c r="X21" s="29"/>
      <c r="Y21" s="29">
        <v>1</v>
      </c>
      <c r="Z21" s="30" t="s">
        <v>70</v>
      </c>
      <c r="AA21" s="31" t="s">
        <v>202</v>
      </c>
      <c r="AB21" t="s">
        <v>202</v>
      </c>
      <c r="AC21" s="29" t="s">
        <v>202</v>
      </c>
      <c r="AD21" s="29" t="s">
        <v>222</v>
      </c>
      <c r="AE21" s="29" t="s">
        <v>202</v>
      </c>
      <c r="AF21" s="29" t="s">
        <v>202</v>
      </c>
      <c r="AG21" s="29">
        <v>1</v>
      </c>
      <c r="AH21" s="29">
        <v>80674820</v>
      </c>
      <c r="AI21" s="29">
        <v>19246</v>
      </c>
      <c r="AJ21" s="29">
        <v>916</v>
      </c>
      <c r="AK21" s="29" t="s">
        <v>235</v>
      </c>
      <c r="AL21" s="29" t="s">
        <v>235</v>
      </c>
      <c r="AM21" s="31">
        <v>0.29806712962962961</v>
      </c>
      <c r="AN21" s="29" t="s">
        <v>202</v>
      </c>
      <c r="AO21" s="29" t="s">
        <v>206</v>
      </c>
      <c r="AP21" s="29">
        <v>2009444</v>
      </c>
      <c r="AQ21" s="29">
        <v>10</v>
      </c>
      <c r="AR21" s="29" t="s">
        <v>202</v>
      </c>
      <c r="AS21" s="29">
        <v>1</v>
      </c>
      <c r="AT21" s="29" t="s">
        <v>223</v>
      </c>
      <c r="AU21" s="29">
        <v>6</v>
      </c>
      <c r="AV21" s="29"/>
      <c r="AW21" s="29">
        <v>116263</v>
      </c>
      <c r="AX21" s="29" t="s">
        <v>213</v>
      </c>
      <c r="AY21" s="29">
        <v>-11</v>
      </c>
      <c r="AZ21" s="29">
        <v>0</v>
      </c>
      <c r="BA21" s="29">
        <v>0</v>
      </c>
      <c r="BB21" s="29">
        <v>0</v>
      </c>
      <c r="BC21" s="29">
        <v>0</v>
      </c>
      <c r="BD21" s="29">
        <v>0</v>
      </c>
      <c r="BE21" s="29">
        <v>0</v>
      </c>
      <c r="BF21" s="29">
        <v>0</v>
      </c>
      <c r="BG21" s="29">
        <v>0</v>
      </c>
      <c r="BH21" s="29">
        <v>0</v>
      </c>
      <c r="BI21" s="29">
        <v>-11</v>
      </c>
      <c r="BJ21" s="29">
        <v>1</v>
      </c>
      <c r="BK21" s="29">
        <v>0</v>
      </c>
      <c r="BL21" s="29">
        <v>1</v>
      </c>
      <c r="BM21" s="29">
        <v>0</v>
      </c>
      <c r="BN21" s="29">
        <v>1</v>
      </c>
      <c r="BO21" s="29">
        <v>31.184999999999999</v>
      </c>
      <c r="BP21" s="29">
        <v>0</v>
      </c>
      <c r="BQ21" s="29">
        <f>HOUR(SapExlData[[#This Row],[Kl. for kvitt.]])</f>
        <v>7</v>
      </c>
      <c r="BR21" s="30" t="str">
        <f>IF(CreationDate="",SapExlData[Kvitteringsdato],SapExlData[Gyldig til])</f>
        <v>18.03.2015</v>
      </c>
      <c r="BS21" s="29" t="str">
        <f>IF(OR(AH21="SVAL",AT21="SVAL"),"SVAL",IF(AJ21=10,VLOOKUP($AH21,tBinTest[],2,FALSE),""))</f>
        <v/>
      </c>
      <c r="BT21" s="29" t="str">
        <f t="shared" si="0"/>
        <v>Inkludert</v>
      </c>
      <c r="BU21" s="29">
        <f t="shared" si="1"/>
        <v>1</v>
      </c>
      <c r="BV21" s="29" t="str">
        <f t="shared" si="2"/>
        <v>006-916-</v>
      </c>
      <c r="BW21" s="29" t="e">
        <f>VLOOKUP($BV21,tTransportGroups[],7,FALSE)</f>
        <v>#N/A</v>
      </c>
      <c r="BX21" s="29" t="str">
        <f>IF(ISERROR(BW21),"",VLOOKUP($BV21,tTransportGroups[],2,FALSE))</f>
        <v/>
      </c>
      <c r="BY21" s="29" t="str">
        <f t="shared" si="3"/>
        <v xml:space="preserve">240/601 </v>
      </c>
      <c r="BZ21" s="29">
        <f>IF(ISERROR(BW21),0,VLOOKUP($BV21,tTransportGroups[],6,FALSE))</f>
        <v>0</v>
      </c>
      <c r="CA21" s="29" t="str">
        <f>SapExlData[Material]&amp;" "&amp;SapExlData[Material Beskrivelse]</f>
        <v>116263 Toro Spagetti Carbonara 6x385g</v>
      </c>
      <c r="CB21" s="33">
        <f>(SapExlData[Kvitteringsdato]+SapExlData[Kl. for kvitt.]-SapExlData[Gyldig til]-SapExlData[Opprett.tidsp.])*24*60</f>
        <v>1.2000000031509472</v>
      </c>
      <c r="CC21" s="29" t="str">
        <f t="shared" si="4"/>
        <v>916 240/Ikke tilordnet</v>
      </c>
      <c r="CD21" s="34">
        <f>SapExlData[Gyldig til]+SapExlData[Opprett.tidsp.]</f>
        <v>42081.297233796293</v>
      </c>
      <c r="CE21" s="34">
        <f>SapExlData[Kvitteringsdato]+SapExlData[Kl. for kvitt.]</f>
        <v>42081.298067129632</v>
      </c>
      <c r="CF21" s="22" t="str">
        <f>TEXT(AU21,"000")&amp;" "&amp;SapExlData[Lagertype22]</f>
        <v>006 240/Ikke tilordnet</v>
      </c>
    </row>
    <row r="22" spans="1:84" x14ac:dyDescent="0.35">
      <c r="A22" s="29">
        <v>0.29806712962962961</v>
      </c>
      <c r="B22" s="29"/>
      <c r="C22" t="s">
        <v>214</v>
      </c>
      <c r="D22" s="29" t="s">
        <v>235</v>
      </c>
      <c r="E22" s="29">
        <v>80674820</v>
      </c>
      <c r="F22" s="31" t="s">
        <v>202</v>
      </c>
      <c r="G22" s="29" t="s">
        <v>202</v>
      </c>
      <c r="H22" s="22" t="s">
        <v>216</v>
      </c>
      <c r="J22" s="29">
        <v>601</v>
      </c>
      <c r="K22" s="29" t="s">
        <v>204</v>
      </c>
      <c r="L22" s="29" t="s">
        <v>235</v>
      </c>
      <c r="M22" s="22" t="s">
        <v>217</v>
      </c>
      <c r="N22" s="22" t="s">
        <v>206</v>
      </c>
      <c r="O22" s="29" t="s">
        <v>218</v>
      </c>
      <c r="P22" s="22" t="s">
        <v>202</v>
      </c>
      <c r="Q22" s="22" t="s">
        <v>219</v>
      </c>
      <c r="R22" s="32"/>
      <c r="S22" s="29" t="s">
        <v>214</v>
      </c>
      <c r="T22" s="29" t="s">
        <v>209</v>
      </c>
      <c r="U22" s="29" t="s">
        <v>220</v>
      </c>
      <c r="V22" s="29" t="s">
        <v>221</v>
      </c>
      <c r="W22" s="31">
        <v>0.29723379629629632</v>
      </c>
      <c r="X22" s="29"/>
      <c r="Y22" s="29">
        <v>1</v>
      </c>
      <c r="Z22" s="30" t="s">
        <v>70</v>
      </c>
      <c r="AA22" s="31" t="s">
        <v>202</v>
      </c>
      <c r="AB22" t="s">
        <v>202</v>
      </c>
      <c r="AC22" s="29" t="s">
        <v>202</v>
      </c>
      <c r="AD22" s="29" t="s">
        <v>222</v>
      </c>
      <c r="AE22" s="29" t="s">
        <v>202</v>
      </c>
      <c r="AF22" s="29" t="s">
        <v>202</v>
      </c>
      <c r="AG22" s="29">
        <v>1</v>
      </c>
      <c r="AH22" s="29">
        <v>80674820</v>
      </c>
      <c r="AI22" s="29">
        <v>19247</v>
      </c>
      <c r="AJ22" s="29">
        <v>916</v>
      </c>
      <c r="AK22" s="29" t="s">
        <v>235</v>
      </c>
      <c r="AL22" s="29" t="s">
        <v>235</v>
      </c>
      <c r="AM22" s="31">
        <v>0.29806712962962961</v>
      </c>
      <c r="AN22" s="29" t="s">
        <v>202</v>
      </c>
      <c r="AO22" s="29" t="s">
        <v>206</v>
      </c>
      <c r="AP22" s="29">
        <v>2009444</v>
      </c>
      <c r="AQ22" s="29">
        <v>11</v>
      </c>
      <c r="AR22" s="29" t="s">
        <v>202</v>
      </c>
      <c r="AS22" s="29">
        <v>1</v>
      </c>
      <c r="AT22" s="29" t="s">
        <v>267</v>
      </c>
      <c r="AU22" s="29">
        <v>6</v>
      </c>
      <c r="AV22" s="29"/>
      <c r="AW22" s="29">
        <v>116263</v>
      </c>
      <c r="AX22" s="29" t="s">
        <v>213</v>
      </c>
      <c r="AY22" s="29">
        <v>-85</v>
      </c>
      <c r="AZ22" s="29">
        <v>0</v>
      </c>
      <c r="BA22" s="29">
        <v>0</v>
      </c>
      <c r="BB22" s="29">
        <v>0</v>
      </c>
      <c r="BC22" s="29">
        <v>0</v>
      </c>
      <c r="BD22" s="29">
        <v>0</v>
      </c>
      <c r="BE22" s="29">
        <v>0</v>
      </c>
      <c r="BF22" s="29">
        <v>0</v>
      </c>
      <c r="BG22" s="29">
        <v>0</v>
      </c>
      <c r="BH22" s="29">
        <v>0</v>
      </c>
      <c r="BI22" s="29">
        <v>-85</v>
      </c>
      <c r="BJ22" s="29">
        <v>1</v>
      </c>
      <c r="BK22" s="29">
        <v>0</v>
      </c>
      <c r="BL22" s="29">
        <v>1</v>
      </c>
      <c r="BM22" s="29">
        <v>0</v>
      </c>
      <c r="BN22" s="29">
        <v>1</v>
      </c>
      <c r="BO22" s="29">
        <v>240.97499999999999</v>
      </c>
      <c r="BP22" s="29">
        <v>0</v>
      </c>
      <c r="BQ22" s="29">
        <f>HOUR(SapExlData[[#This Row],[Kl. for kvitt.]])</f>
        <v>7</v>
      </c>
      <c r="BR22" s="30" t="str">
        <f>IF(CreationDate="",SapExlData[Kvitteringsdato],SapExlData[Gyldig til])</f>
        <v>18.03.2015</v>
      </c>
      <c r="BS22" s="29" t="str">
        <f>IF(OR(AH22="SVAL",AT22="SVAL"),"SVAL",IF(AJ22=10,VLOOKUP($AH22,tBinTest[],2,FALSE),""))</f>
        <v/>
      </c>
      <c r="BT22" s="29" t="str">
        <f t="shared" si="0"/>
        <v>Inkludert</v>
      </c>
      <c r="BU22" s="29">
        <f t="shared" si="1"/>
        <v>1</v>
      </c>
      <c r="BV22" s="29" t="str">
        <f t="shared" si="2"/>
        <v>006-916-</v>
      </c>
      <c r="BW22" s="29" t="e">
        <f>VLOOKUP($BV22,tTransportGroups[],7,FALSE)</f>
        <v>#N/A</v>
      </c>
      <c r="BX22" s="29" t="str">
        <f>IF(ISERROR(BW22),"",VLOOKUP($BV22,tTransportGroups[],2,FALSE))</f>
        <v/>
      </c>
      <c r="BY22" s="29" t="str">
        <f t="shared" si="3"/>
        <v xml:space="preserve">240/601 </v>
      </c>
      <c r="BZ22" s="29">
        <f>IF(ISERROR(BW22),0,VLOOKUP($BV22,tTransportGroups[],6,FALSE))</f>
        <v>0</v>
      </c>
      <c r="CA22" s="29" t="str">
        <f>SapExlData[Material]&amp;" "&amp;SapExlData[Material Beskrivelse]</f>
        <v>116263 Toro Spagetti Carbonara 6x385g</v>
      </c>
      <c r="CB22" s="33">
        <f>(SapExlData[Kvitteringsdato]+SapExlData[Kl. for kvitt.]-SapExlData[Gyldig til]-SapExlData[Opprett.tidsp.])*24*60</f>
        <v>1.2000000031509472</v>
      </c>
      <c r="CC22" s="29" t="str">
        <f t="shared" si="4"/>
        <v>916 240/Ikke tilordnet</v>
      </c>
      <c r="CD22" s="34">
        <f>SapExlData[Gyldig til]+SapExlData[Opprett.tidsp.]</f>
        <v>42081.297233796293</v>
      </c>
      <c r="CE22" s="34">
        <f>SapExlData[Kvitteringsdato]+SapExlData[Kl. for kvitt.]</f>
        <v>42081.298067129632</v>
      </c>
      <c r="CF22" s="22" t="str">
        <f>TEXT(AU22,"000")&amp;" "&amp;SapExlData[Lagertype22]</f>
        <v>006 240/Ikke tilordnet</v>
      </c>
    </row>
    <row r="23" spans="1:84" x14ac:dyDescent="0.35">
      <c r="A23" s="29">
        <v>0.29806712962962961</v>
      </c>
      <c r="B23" s="29"/>
      <c r="C23" t="s">
        <v>214</v>
      </c>
      <c r="D23" s="29" t="s">
        <v>235</v>
      </c>
      <c r="E23" s="29">
        <v>80674820</v>
      </c>
      <c r="F23" s="31" t="s">
        <v>202</v>
      </c>
      <c r="G23" s="29" t="s">
        <v>202</v>
      </c>
      <c r="H23" s="22" t="s">
        <v>268</v>
      </c>
      <c r="J23" s="29">
        <v>601</v>
      </c>
      <c r="K23" s="29" t="s">
        <v>204</v>
      </c>
      <c r="L23" s="29" t="s">
        <v>235</v>
      </c>
      <c r="M23" s="22" t="s">
        <v>217</v>
      </c>
      <c r="N23" s="22" t="s">
        <v>206</v>
      </c>
      <c r="O23" s="29" t="s">
        <v>218</v>
      </c>
      <c r="P23" s="22" t="s">
        <v>202</v>
      </c>
      <c r="Q23" s="22" t="s">
        <v>219</v>
      </c>
      <c r="R23" s="32"/>
      <c r="S23" s="29" t="s">
        <v>214</v>
      </c>
      <c r="T23" s="29" t="s">
        <v>209</v>
      </c>
      <c r="U23" s="29" t="s">
        <v>220</v>
      </c>
      <c r="V23" s="29" t="s">
        <v>221</v>
      </c>
      <c r="W23" s="31">
        <v>0.29723379629629632</v>
      </c>
      <c r="X23" s="29"/>
      <c r="Y23" s="29">
        <v>1</v>
      </c>
      <c r="Z23" s="30" t="s">
        <v>70</v>
      </c>
      <c r="AA23" s="31" t="s">
        <v>202</v>
      </c>
      <c r="AB23" t="s">
        <v>202</v>
      </c>
      <c r="AC23" s="29" t="s">
        <v>202</v>
      </c>
      <c r="AD23" s="29" t="s">
        <v>222</v>
      </c>
      <c r="AE23" s="29" t="s">
        <v>202</v>
      </c>
      <c r="AF23" s="29" t="s">
        <v>202</v>
      </c>
      <c r="AG23" s="29">
        <v>1</v>
      </c>
      <c r="AH23" s="29">
        <v>80674820</v>
      </c>
      <c r="AI23" s="29">
        <v>19248</v>
      </c>
      <c r="AJ23" s="29">
        <v>916</v>
      </c>
      <c r="AK23" s="29" t="s">
        <v>235</v>
      </c>
      <c r="AL23" s="29" t="s">
        <v>235</v>
      </c>
      <c r="AM23" s="31">
        <v>0.29806712962962961</v>
      </c>
      <c r="AN23" s="29" t="s">
        <v>202</v>
      </c>
      <c r="AO23" s="29" t="s">
        <v>206</v>
      </c>
      <c r="AP23" s="29">
        <v>2009444</v>
      </c>
      <c r="AQ23" s="29">
        <v>12</v>
      </c>
      <c r="AR23" s="29" t="s">
        <v>202</v>
      </c>
      <c r="AS23" s="29">
        <v>1</v>
      </c>
      <c r="AT23" s="29" t="s">
        <v>269</v>
      </c>
      <c r="AU23" s="29">
        <v>6</v>
      </c>
      <c r="AV23" s="29"/>
      <c r="AW23" s="29">
        <v>120784</v>
      </c>
      <c r="AX23" s="29" t="s">
        <v>213</v>
      </c>
      <c r="AY23" s="29">
        <v>-12</v>
      </c>
      <c r="AZ23" s="29">
        <v>0</v>
      </c>
      <c r="BA23" s="29">
        <v>0</v>
      </c>
      <c r="BB23" s="29">
        <v>0</v>
      </c>
      <c r="BC23" s="29">
        <v>0</v>
      </c>
      <c r="BD23" s="29">
        <v>0</v>
      </c>
      <c r="BE23" s="29">
        <v>0</v>
      </c>
      <c r="BF23" s="29">
        <v>0</v>
      </c>
      <c r="BG23" s="29">
        <v>0</v>
      </c>
      <c r="BH23" s="29">
        <v>0</v>
      </c>
      <c r="BI23" s="29">
        <v>-12</v>
      </c>
      <c r="BJ23" s="29">
        <v>1</v>
      </c>
      <c r="BK23" s="29">
        <v>0</v>
      </c>
      <c r="BL23" s="29">
        <v>1</v>
      </c>
      <c r="BM23" s="29">
        <v>0</v>
      </c>
      <c r="BN23" s="29">
        <v>1</v>
      </c>
      <c r="BO23" s="29">
        <v>33.287999999999997</v>
      </c>
      <c r="BP23" s="29">
        <v>0</v>
      </c>
      <c r="BQ23" s="29">
        <f>HOUR(SapExlData[[#This Row],[Kl. for kvitt.]])</f>
        <v>7</v>
      </c>
      <c r="BR23" s="30" t="str">
        <f>IF(CreationDate="",SapExlData[Kvitteringsdato],SapExlData[Gyldig til])</f>
        <v>18.03.2015</v>
      </c>
      <c r="BS23" s="29" t="str">
        <f>IF(OR(AH23="SVAL",AT23="SVAL"),"SVAL",IF(AJ23=10,VLOOKUP($AH23,tBinTest[],2,FALSE),""))</f>
        <v/>
      </c>
      <c r="BT23" s="29" t="str">
        <f t="shared" si="0"/>
        <v>Inkludert</v>
      </c>
      <c r="BU23" s="29">
        <f t="shared" si="1"/>
        <v>1</v>
      </c>
      <c r="BV23" s="29" t="str">
        <f t="shared" si="2"/>
        <v>006-916-</v>
      </c>
      <c r="BW23" s="29" t="e">
        <f>VLOOKUP($BV23,tTransportGroups[],7,FALSE)</f>
        <v>#N/A</v>
      </c>
      <c r="BX23" s="29" t="str">
        <f>IF(ISERROR(BW23),"",VLOOKUP($BV23,tTransportGroups[],2,FALSE))</f>
        <v/>
      </c>
      <c r="BY23" s="29" t="str">
        <f t="shared" si="3"/>
        <v xml:space="preserve">240/601 </v>
      </c>
      <c r="BZ23" s="29">
        <f>IF(ISERROR(BW23),0,VLOOKUP($BV23,tTransportGroups[],6,FALSE))</f>
        <v>0</v>
      </c>
      <c r="CA23" s="29" t="str">
        <f>SapExlData[Material]&amp;" "&amp;SapExlData[Material Beskrivelse]</f>
        <v>120784 Toro Tikka Masala 6x400g</v>
      </c>
      <c r="CB23" s="33">
        <f>(SapExlData[Kvitteringsdato]+SapExlData[Kl. for kvitt.]-SapExlData[Gyldig til]-SapExlData[Opprett.tidsp.])*24*60</f>
        <v>1.2000000031509472</v>
      </c>
      <c r="CC23" s="29" t="str">
        <f t="shared" si="4"/>
        <v>916 240/Ikke tilordnet</v>
      </c>
      <c r="CD23" s="34">
        <f>SapExlData[Gyldig til]+SapExlData[Opprett.tidsp.]</f>
        <v>42081.297233796293</v>
      </c>
      <c r="CE23" s="34">
        <f>SapExlData[Kvitteringsdato]+SapExlData[Kl. for kvitt.]</f>
        <v>42081.298067129632</v>
      </c>
      <c r="CF23" s="22" t="str">
        <f>TEXT(AU23,"000")&amp;" "&amp;SapExlData[Lagertype22]</f>
        <v>006 240/Ikke tilordnet</v>
      </c>
    </row>
    <row r="24" spans="1:84" x14ac:dyDescent="0.35">
      <c r="A24" s="29">
        <v>0.29806712962962961</v>
      </c>
      <c r="B24" s="29"/>
      <c r="C24" t="s">
        <v>214</v>
      </c>
      <c r="D24" s="29" t="s">
        <v>235</v>
      </c>
      <c r="E24" s="29">
        <v>80674820</v>
      </c>
      <c r="F24" s="31" t="s">
        <v>202</v>
      </c>
      <c r="G24" s="29" t="s">
        <v>202</v>
      </c>
      <c r="H24" s="22" t="s">
        <v>270</v>
      </c>
      <c r="J24" s="29">
        <v>601</v>
      </c>
      <c r="K24" s="29" t="s">
        <v>204</v>
      </c>
      <c r="L24" s="29" t="s">
        <v>235</v>
      </c>
      <c r="M24" s="22" t="s">
        <v>217</v>
      </c>
      <c r="N24" s="22" t="s">
        <v>206</v>
      </c>
      <c r="O24" s="29" t="s">
        <v>218</v>
      </c>
      <c r="P24" s="22" t="s">
        <v>202</v>
      </c>
      <c r="Q24" s="22" t="s">
        <v>219</v>
      </c>
      <c r="R24" s="32"/>
      <c r="S24" s="29" t="s">
        <v>214</v>
      </c>
      <c r="T24" s="29" t="s">
        <v>209</v>
      </c>
      <c r="U24" s="29" t="s">
        <v>220</v>
      </c>
      <c r="V24" s="29" t="s">
        <v>221</v>
      </c>
      <c r="W24" s="31">
        <v>0.29723379629629632</v>
      </c>
      <c r="X24" s="29"/>
      <c r="Y24" s="29">
        <v>1</v>
      </c>
      <c r="Z24" s="30" t="s">
        <v>70</v>
      </c>
      <c r="AA24" s="31" t="s">
        <v>202</v>
      </c>
      <c r="AB24" t="s">
        <v>202</v>
      </c>
      <c r="AC24" s="29" t="s">
        <v>202</v>
      </c>
      <c r="AD24" s="29" t="s">
        <v>222</v>
      </c>
      <c r="AE24" s="29" t="s">
        <v>202</v>
      </c>
      <c r="AF24" s="29" t="s">
        <v>202</v>
      </c>
      <c r="AG24" s="29">
        <v>1</v>
      </c>
      <c r="AH24" s="29">
        <v>80674820</v>
      </c>
      <c r="AI24" s="29">
        <v>19217</v>
      </c>
      <c r="AJ24" s="29">
        <v>916</v>
      </c>
      <c r="AK24" s="29" t="s">
        <v>235</v>
      </c>
      <c r="AL24" s="29" t="s">
        <v>235</v>
      </c>
      <c r="AM24" s="31">
        <v>0.29806712962962961</v>
      </c>
      <c r="AN24" s="29" t="s">
        <v>202</v>
      </c>
      <c r="AO24" s="29" t="s">
        <v>206</v>
      </c>
      <c r="AP24" s="29">
        <v>2009444</v>
      </c>
      <c r="AQ24" s="29">
        <v>1</v>
      </c>
      <c r="AR24" s="29" t="s">
        <v>202</v>
      </c>
      <c r="AS24" s="29">
        <v>1</v>
      </c>
      <c r="AT24" s="29" t="s">
        <v>271</v>
      </c>
      <c r="AU24" s="29">
        <v>6</v>
      </c>
      <c r="AV24" s="29"/>
      <c r="AW24" s="29">
        <v>115542</v>
      </c>
      <c r="AX24" s="29" t="s">
        <v>213</v>
      </c>
      <c r="AY24" s="29">
        <v>-5</v>
      </c>
      <c r="AZ24" s="29">
        <v>0</v>
      </c>
      <c r="BA24" s="29">
        <v>0</v>
      </c>
      <c r="BB24" s="29">
        <v>0</v>
      </c>
      <c r="BC24" s="29">
        <v>0</v>
      </c>
      <c r="BD24" s="29">
        <v>0</v>
      </c>
      <c r="BE24" s="29">
        <v>0</v>
      </c>
      <c r="BF24" s="29">
        <v>0</v>
      </c>
      <c r="BG24" s="29">
        <v>0</v>
      </c>
      <c r="BH24" s="29">
        <v>0</v>
      </c>
      <c r="BI24" s="29">
        <v>-5</v>
      </c>
      <c r="BJ24" s="29">
        <v>1</v>
      </c>
      <c r="BK24" s="29">
        <v>0</v>
      </c>
      <c r="BL24" s="29">
        <v>1</v>
      </c>
      <c r="BM24" s="29">
        <v>0</v>
      </c>
      <c r="BN24" s="29">
        <v>1</v>
      </c>
      <c r="BO24" s="29">
        <v>14.2</v>
      </c>
      <c r="BP24" s="29">
        <v>0</v>
      </c>
      <c r="BQ24" s="29">
        <f>HOUR(SapExlData[[#This Row],[Kl. for kvitt.]])</f>
        <v>7</v>
      </c>
      <c r="BR24" s="30" t="str">
        <f>IF(CreationDate="",SapExlData[Kvitteringsdato],SapExlData[Gyldig til])</f>
        <v>18.03.2015</v>
      </c>
      <c r="BS24" s="29" t="str">
        <f>IF(OR(AH24="SVAL",AT24="SVAL"),"SVAL",IF(AJ24=10,VLOOKUP($AH24,tBinTest[],2,FALSE),""))</f>
        <v/>
      </c>
      <c r="BT24" s="29" t="str">
        <f t="shared" si="0"/>
        <v>Inkludert</v>
      </c>
      <c r="BU24" s="29">
        <f t="shared" si="1"/>
        <v>1</v>
      </c>
      <c r="BV24" s="29" t="str">
        <f t="shared" si="2"/>
        <v>006-916-</v>
      </c>
      <c r="BW24" s="29" t="e">
        <f>VLOOKUP($BV24,tTransportGroups[],7,FALSE)</f>
        <v>#N/A</v>
      </c>
      <c r="BX24" s="29" t="str">
        <f>IF(ISERROR(BW24),"",VLOOKUP($BV24,tTransportGroups[],2,FALSE))</f>
        <v/>
      </c>
      <c r="BY24" s="29" t="str">
        <f t="shared" si="3"/>
        <v xml:space="preserve">240/601 </v>
      </c>
      <c r="BZ24" s="29">
        <f>IF(ISERROR(BW24),0,VLOOKUP($BV24,tTransportGroups[],6,FALSE))</f>
        <v>0</v>
      </c>
      <c r="CA24" s="29" t="str">
        <f>SapExlData[Material]&amp;" "&amp;SapExlData[Material Beskrivelse]</f>
        <v>115542 Toro Spagetti Bolognese 6x400g</v>
      </c>
      <c r="CB24" s="33">
        <f>(SapExlData[Kvitteringsdato]+SapExlData[Kl. for kvitt.]-SapExlData[Gyldig til]-SapExlData[Opprett.tidsp.])*24*60</f>
        <v>1.2000000031509472</v>
      </c>
      <c r="CC24" s="29" t="str">
        <f t="shared" si="4"/>
        <v>916 240/Ikke tilordnet</v>
      </c>
      <c r="CD24" s="34">
        <f>SapExlData[Gyldig til]+SapExlData[Opprett.tidsp.]</f>
        <v>42081.297233796293</v>
      </c>
      <c r="CE24" s="34">
        <f>SapExlData[Kvitteringsdato]+SapExlData[Kl. for kvitt.]</f>
        <v>42081.298067129632</v>
      </c>
      <c r="CF24" s="22" t="str">
        <f>TEXT(AU24,"000")&amp;" "&amp;SapExlData[Lagertype22]</f>
        <v>006 240/Ikke tilordnet</v>
      </c>
    </row>
    <row r="25" spans="1:84" x14ac:dyDescent="0.35">
      <c r="A25" s="29">
        <v>0.29806712962962961</v>
      </c>
      <c r="B25" s="29"/>
      <c r="C25" t="s">
        <v>214</v>
      </c>
      <c r="D25" s="29" t="s">
        <v>235</v>
      </c>
      <c r="E25" s="29">
        <v>80674820</v>
      </c>
      <c r="F25" s="31" t="s">
        <v>202</v>
      </c>
      <c r="G25" s="29" t="s">
        <v>202</v>
      </c>
      <c r="H25" s="22" t="s">
        <v>270</v>
      </c>
      <c r="J25" s="29">
        <v>601</v>
      </c>
      <c r="K25" s="29" t="s">
        <v>204</v>
      </c>
      <c r="L25" s="29" t="s">
        <v>235</v>
      </c>
      <c r="M25" s="22" t="s">
        <v>217</v>
      </c>
      <c r="N25" s="22" t="s">
        <v>206</v>
      </c>
      <c r="O25" s="29" t="s">
        <v>218</v>
      </c>
      <c r="P25" s="22" t="s">
        <v>202</v>
      </c>
      <c r="Q25" s="22" t="s">
        <v>219</v>
      </c>
      <c r="R25" s="32"/>
      <c r="S25" s="29" t="s">
        <v>214</v>
      </c>
      <c r="T25" s="29" t="s">
        <v>209</v>
      </c>
      <c r="U25" s="29" t="s">
        <v>220</v>
      </c>
      <c r="V25" s="29" t="s">
        <v>221</v>
      </c>
      <c r="W25" s="31">
        <v>0.29723379629629632</v>
      </c>
      <c r="X25" s="29"/>
      <c r="Y25" s="29">
        <v>1</v>
      </c>
      <c r="Z25" s="30" t="s">
        <v>70</v>
      </c>
      <c r="AA25" s="31" t="s">
        <v>202</v>
      </c>
      <c r="AB25" t="s">
        <v>202</v>
      </c>
      <c r="AC25" s="29" t="s">
        <v>202</v>
      </c>
      <c r="AD25" s="29" t="s">
        <v>222</v>
      </c>
      <c r="AE25" s="29" t="s">
        <v>202</v>
      </c>
      <c r="AF25" s="29" t="s">
        <v>202</v>
      </c>
      <c r="AG25" s="29">
        <v>1</v>
      </c>
      <c r="AH25" s="29">
        <v>80674820</v>
      </c>
      <c r="AI25" s="29">
        <v>19218</v>
      </c>
      <c r="AJ25" s="29">
        <v>916</v>
      </c>
      <c r="AK25" s="29" t="s">
        <v>235</v>
      </c>
      <c r="AL25" s="29" t="s">
        <v>235</v>
      </c>
      <c r="AM25" s="31">
        <v>0.29806712962962961</v>
      </c>
      <c r="AN25" s="29" t="s">
        <v>202</v>
      </c>
      <c r="AO25" s="29" t="s">
        <v>206</v>
      </c>
      <c r="AP25" s="29">
        <v>2009444</v>
      </c>
      <c r="AQ25" s="29">
        <v>2</v>
      </c>
      <c r="AR25" s="29" t="s">
        <v>202</v>
      </c>
      <c r="AS25" s="29">
        <v>1</v>
      </c>
      <c r="AT25" s="29" t="s">
        <v>272</v>
      </c>
      <c r="AU25" s="29">
        <v>6</v>
      </c>
      <c r="AV25" s="29"/>
      <c r="AW25" s="29">
        <v>115542</v>
      </c>
      <c r="AX25" s="29" t="s">
        <v>213</v>
      </c>
      <c r="AY25" s="29">
        <v>-19</v>
      </c>
      <c r="AZ25" s="29">
        <v>0</v>
      </c>
      <c r="BA25" s="29">
        <v>0</v>
      </c>
      <c r="BB25" s="29">
        <v>0</v>
      </c>
      <c r="BC25" s="29">
        <v>0</v>
      </c>
      <c r="BD25" s="29">
        <v>0</v>
      </c>
      <c r="BE25" s="29">
        <v>0</v>
      </c>
      <c r="BF25" s="29">
        <v>0</v>
      </c>
      <c r="BG25" s="29">
        <v>0</v>
      </c>
      <c r="BH25" s="29">
        <v>0</v>
      </c>
      <c r="BI25" s="29">
        <v>-19</v>
      </c>
      <c r="BJ25" s="29">
        <v>1</v>
      </c>
      <c r="BK25" s="29">
        <v>0</v>
      </c>
      <c r="BL25" s="29">
        <v>1</v>
      </c>
      <c r="BM25" s="29">
        <v>0</v>
      </c>
      <c r="BN25" s="29">
        <v>1</v>
      </c>
      <c r="BO25" s="29">
        <v>53.96</v>
      </c>
      <c r="BP25" s="29">
        <v>0</v>
      </c>
      <c r="BQ25" s="29">
        <f>HOUR(SapExlData[[#This Row],[Kl. for kvitt.]])</f>
        <v>7</v>
      </c>
      <c r="BR25" s="30" t="str">
        <f>IF(CreationDate="",SapExlData[Kvitteringsdato],SapExlData[Gyldig til])</f>
        <v>18.03.2015</v>
      </c>
      <c r="BS25" s="29" t="str">
        <f>IF(OR(AH25="SVAL",AT25="SVAL"),"SVAL",IF(AJ25=10,VLOOKUP($AH25,tBinTest[],2,FALSE),""))</f>
        <v/>
      </c>
      <c r="BT25" s="29" t="str">
        <f t="shared" si="0"/>
        <v>Inkludert</v>
      </c>
      <c r="BU25" s="29">
        <f t="shared" si="1"/>
        <v>1</v>
      </c>
      <c r="BV25" s="29" t="str">
        <f t="shared" si="2"/>
        <v>006-916-</v>
      </c>
      <c r="BW25" s="29" t="e">
        <f>VLOOKUP($BV25,tTransportGroups[],7,FALSE)</f>
        <v>#N/A</v>
      </c>
      <c r="BX25" s="29" t="str">
        <f>IF(ISERROR(BW25),"",VLOOKUP($BV25,tTransportGroups[],2,FALSE))</f>
        <v/>
      </c>
      <c r="BY25" s="29" t="str">
        <f t="shared" si="3"/>
        <v xml:space="preserve">240/601 </v>
      </c>
      <c r="BZ25" s="29">
        <f>IF(ISERROR(BW25),0,VLOOKUP($BV25,tTransportGroups[],6,FALSE))</f>
        <v>0</v>
      </c>
      <c r="CA25" s="29" t="str">
        <f>SapExlData[Material]&amp;" "&amp;SapExlData[Material Beskrivelse]</f>
        <v>115542 Toro Spagetti Bolognese 6x400g</v>
      </c>
      <c r="CB25" s="33">
        <f>(SapExlData[Kvitteringsdato]+SapExlData[Kl. for kvitt.]-SapExlData[Gyldig til]-SapExlData[Opprett.tidsp.])*24*60</f>
        <v>1.2000000031509472</v>
      </c>
      <c r="CC25" s="29" t="str">
        <f t="shared" si="4"/>
        <v>916 240/Ikke tilordnet</v>
      </c>
      <c r="CD25" s="34">
        <f>SapExlData[Gyldig til]+SapExlData[Opprett.tidsp.]</f>
        <v>42081.297233796293</v>
      </c>
      <c r="CE25" s="34">
        <f>SapExlData[Kvitteringsdato]+SapExlData[Kl. for kvitt.]</f>
        <v>42081.298067129632</v>
      </c>
      <c r="CF25" s="22" t="str">
        <f>TEXT(AU25,"000")&amp;" "&amp;SapExlData[Lagertype22]</f>
        <v>006 240/Ikke tilordnet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45"/>
  <sheetViews>
    <sheetView showGridLines="0" zoomScale="85" zoomScaleNormal="85" workbookViewId="0"/>
  </sheetViews>
  <sheetFormatPr defaultColWidth="11.453125" defaultRowHeight="14.5" x14ac:dyDescent="0.35"/>
  <cols>
    <col min="1" max="1" width="29.1796875" bestFit="1" customWidth="1"/>
    <col min="2" max="2" width="81.81640625" bestFit="1" customWidth="1"/>
  </cols>
  <sheetData>
    <row r="1" spans="1:2" x14ac:dyDescent="0.35">
      <c r="A1" s="10" t="s">
        <v>25</v>
      </c>
      <c r="B1" s="10" t="s">
        <v>12</v>
      </c>
    </row>
    <row r="2" spans="1:2" x14ac:dyDescent="0.35">
      <c r="A2" s="36" t="s">
        <v>130</v>
      </c>
      <c r="B2" s="36" t="s">
        <v>150</v>
      </c>
    </row>
    <row r="3" spans="1:2" x14ac:dyDescent="0.35">
      <c r="A3" s="36" t="s">
        <v>134</v>
      </c>
      <c r="B3" s="36" t="s">
        <v>151</v>
      </c>
    </row>
    <row r="4" spans="1:2" x14ac:dyDescent="0.35">
      <c r="A4" s="36" t="s">
        <v>5</v>
      </c>
      <c r="B4" s="36" t="s">
        <v>152</v>
      </c>
    </row>
    <row r="5" spans="1:2" x14ac:dyDescent="0.35">
      <c r="A5" s="36" t="s">
        <v>135</v>
      </c>
      <c r="B5" s="36" t="s">
        <v>153</v>
      </c>
    </row>
    <row r="6" spans="1:2" x14ac:dyDescent="0.35">
      <c r="A6" s="36" t="s">
        <v>5</v>
      </c>
      <c r="B6" s="36" t="s">
        <v>152</v>
      </c>
    </row>
    <row r="7" spans="1:2" x14ac:dyDescent="0.35">
      <c r="A7" s="36" t="s">
        <v>136</v>
      </c>
      <c r="B7" s="36" t="s">
        <v>154</v>
      </c>
    </row>
    <row r="8" spans="1:2" x14ac:dyDescent="0.35">
      <c r="A8" s="36" t="s">
        <v>4</v>
      </c>
      <c r="B8" s="36" t="s">
        <v>155</v>
      </c>
    </row>
    <row r="9" spans="1:2" x14ac:dyDescent="0.35">
      <c r="A9" s="36" t="s">
        <v>137</v>
      </c>
      <c r="B9" s="36" t="s">
        <v>156</v>
      </c>
    </row>
    <row r="10" spans="1:2" x14ac:dyDescent="0.35">
      <c r="A10" s="36" t="s">
        <v>129</v>
      </c>
      <c r="B10" s="36" t="s">
        <v>157</v>
      </c>
    </row>
    <row r="11" spans="1:2" x14ac:dyDescent="0.35">
      <c r="A11" s="36" t="s">
        <v>131</v>
      </c>
      <c r="B11" s="36" t="s">
        <v>158</v>
      </c>
    </row>
    <row r="12" spans="1:2" x14ac:dyDescent="0.35">
      <c r="A12" s="36" t="s">
        <v>138</v>
      </c>
      <c r="B12" s="36" t="s">
        <v>159</v>
      </c>
    </row>
    <row r="13" spans="1:2" x14ac:dyDescent="0.35">
      <c r="A13" s="36" t="s">
        <v>128</v>
      </c>
      <c r="B13" s="36" t="s">
        <v>160</v>
      </c>
    </row>
    <row r="14" spans="1:2" x14ac:dyDescent="0.35">
      <c r="A14" s="36" t="s">
        <v>139</v>
      </c>
      <c r="B14" s="36" t="s">
        <v>161</v>
      </c>
    </row>
    <row r="15" spans="1:2" x14ac:dyDescent="0.35">
      <c r="A15" s="36" t="s">
        <v>132</v>
      </c>
      <c r="B15" s="36" t="s">
        <v>162</v>
      </c>
    </row>
    <row r="16" spans="1:2" x14ac:dyDescent="0.35">
      <c r="A16" s="36" t="s">
        <v>140</v>
      </c>
      <c r="B16" s="36" t="s">
        <v>163</v>
      </c>
    </row>
    <row r="17" spans="1:2" x14ac:dyDescent="0.35">
      <c r="A17" s="36" t="s">
        <v>6</v>
      </c>
      <c r="B17" s="36" t="s">
        <v>164</v>
      </c>
    </row>
    <row r="18" spans="1:2" x14ac:dyDescent="0.35">
      <c r="A18" s="36" t="s">
        <v>141</v>
      </c>
      <c r="B18" s="36" t="s">
        <v>165</v>
      </c>
    </row>
    <row r="19" spans="1:2" x14ac:dyDescent="0.35">
      <c r="A19" s="36" t="s">
        <v>132</v>
      </c>
      <c r="B19" s="36" t="s">
        <v>162</v>
      </c>
    </row>
    <row r="20" spans="1:2" x14ac:dyDescent="0.35">
      <c r="A20" s="36" t="s">
        <v>133</v>
      </c>
      <c r="B20" s="36" t="s">
        <v>166</v>
      </c>
    </row>
    <row r="21" spans="1:2" x14ac:dyDescent="0.35">
      <c r="A21" s="36" t="s">
        <v>142</v>
      </c>
      <c r="B21" s="36" t="s">
        <v>167</v>
      </c>
    </row>
    <row r="22" spans="1:2" x14ac:dyDescent="0.35">
      <c r="A22" s="36" t="s">
        <v>132</v>
      </c>
      <c r="B22" s="36" t="s">
        <v>162</v>
      </c>
    </row>
    <row r="23" spans="1:2" x14ac:dyDescent="0.35">
      <c r="A23" s="36" t="s">
        <v>140</v>
      </c>
      <c r="B23" s="36" t="s">
        <v>163</v>
      </c>
    </row>
    <row r="24" spans="1:2" x14ac:dyDescent="0.35">
      <c r="A24" s="36" t="s">
        <v>5</v>
      </c>
      <c r="B24" s="36" t="s">
        <v>152</v>
      </c>
    </row>
    <row r="25" spans="1:2" x14ac:dyDescent="0.35">
      <c r="A25" s="36" t="s">
        <v>143</v>
      </c>
      <c r="B25" s="36" t="s">
        <v>168</v>
      </c>
    </row>
    <row r="26" spans="1:2" x14ac:dyDescent="0.35">
      <c r="A26" s="36" t="s">
        <v>143</v>
      </c>
      <c r="B26" s="36" t="s">
        <v>168</v>
      </c>
    </row>
    <row r="27" spans="1:2" x14ac:dyDescent="0.35">
      <c r="A27" s="36" t="s">
        <v>144</v>
      </c>
      <c r="B27" s="36" t="s">
        <v>144</v>
      </c>
    </row>
    <row r="28" spans="1:2" x14ac:dyDescent="0.35">
      <c r="A28" s="36" t="s">
        <v>145</v>
      </c>
      <c r="B28" s="36" t="s">
        <v>169</v>
      </c>
    </row>
    <row r="29" spans="1:2" x14ac:dyDescent="0.35">
      <c r="A29" s="36" t="s">
        <v>110</v>
      </c>
      <c r="B29" s="36" t="s">
        <v>170</v>
      </c>
    </row>
    <row r="30" spans="1:2" x14ac:dyDescent="0.35">
      <c r="A30" s="36" t="s">
        <v>34</v>
      </c>
      <c r="B30" s="36" t="s">
        <v>171</v>
      </c>
    </row>
    <row r="31" spans="1:2" x14ac:dyDescent="0.35">
      <c r="A31" s="36" t="s">
        <v>147</v>
      </c>
      <c r="B31" s="36" t="s">
        <v>172</v>
      </c>
    </row>
    <row r="32" spans="1:2" x14ac:dyDescent="0.35">
      <c r="A32" s="36" t="s">
        <v>113</v>
      </c>
      <c r="B32" s="36" t="s">
        <v>173</v>
      </c>
    </row>
    <row r="33" spans="1:2" x14ac:dyDescent="0.35">
      <c r="A33" s="36" t="s">
        <v>115</v>
      </c>
      <c r="B33" s="36" t="s">
        <v>174</v>
      </c>
    </row>
    <row r="34" spans="1:2" x14ac:dyDescent="0.35">
      <c r="A34" s="36" t="s">
        <v>0</v>
      </c>
      <c r="B34" s="36" t="s">
        <v>0</v>
      </c>
    </row>
    <row r="35" spans="1:2" x14ac:dyDescent="0.35">
      <c r="A35" s="36" t="s">
        <v>108</v>
      </c>
      <c r="B35" s="36" t="s">
        <v>175</v>
      </c>
    </row>
    <row r="36" spans="1:2" x14ac:dyDescent="0.35">
      <c r="A36" s="36" t="s">
        <v>112</v>
      </c>
      <c r="B36" s="36" t="s">
        <v>176</v>
      </c>
    </row>
    <row r="37" spans="1:2" x14ac:dyDescent="0.35">
      <c r="A37" s="36" t="s">
        <v>109</v>
      </c>
      <c r="B37" s="36" t="s">
        <v>177</v>
      </c>
    </row>
    <row r="38" spans="1:2" x14ac:dyDescent="0.35">
      <c r="A38" s="36" t="s">
        <v>107</v>
      </c>
      <c r="B38" s="36" t="s">
        <v>178</v>
      </c>
    </row>
    <row r="39" spans="1:2" x14ac:dyDescent="0.35">
      <c r="A39" s="36" t="s">
        <v>114</v>
      </c>
      <c r="B39" s="36" t="s">
        <v>199</v>
      </c>
    </row>
    <row r="40" spans="1:2" x14ac:dyDescent="0.35">
      <c r="A40" s="36" t="s">
        <v>146</v>
      </c>
      <c r="B40" s="36" t="s">
        <v>179</v>
      </c>
    </row>
    <row r="41" spans="1:2" x14ac:dyDescent="0.35">
      <c r="A41" s="36" t="s">
        <v>148</v>
      </c>
      <c r="B41" s="36" t="s">
        <v>180</v>
      </c>
    </row>
    <row r="42" spans="1:2" x14ac:dyDescent="0.35">
      <c r="A42" s="36" t="s">
        <v>118</v>
      </c>
      <c r="B42" s="36" t="s">
        <v>181</v>
      </c>
    </row>
    <row r="43" spans="1:2" x14ac:dyDescent="0.35">
      <c r="A43" s="36" t="s">
        <v>119</v>
      </c>
      <c r="B43" s="36" t="s">
        <v>182</v>
      </c>
    </row>
    <row r="44" spans="1:2" x14ac:dyDescent="0.35">
      <c r="A44" s="36" t="s">
        <v>183</v>
      </c>
      <c r="B44" s="36" t="s">
        <v>184</v>
      </c>
    </row>
    <row r="45" spans="1:2" x14ac:dyDescent="0.35">
      <c r="A45" s="36" t="s">
        <v>185</v>
      </c>
      <c r="B45" s="36" t="s">
        <v>186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5" x14ac:dyDescent="0.35"/>
  <cols>
    <col min="1" max="1" width="11" customWidth="1"/>
    <col min="2" max="2" width="11.1796875" bestFit="1" customWidth="1"/>
    <col min="3" max="3" width="11.54296875" bestFit="1" customWidth="1"/>
    <col min="4" max="4" width="13.7265625" customWidth="1"/>
    <col min="5" max="5" width="13.453125" bestFit="1" customWidth="1"/>
    <col min="6" max="6" width="11" customWidth="1"/>
    <col min="7" max="7" width="15.453125" bestFit="1" customWidth="1"/>
    <col min="8" max="8" width="14.54296875" bestFit="1" customWidth="1"/>
    <col min="9" max="9" width="15.7265625" bestFit="1" customWidth="1"/>
    <col min="10" max="10" width="12.54296875" bestFit="1" customWidth="1"/>
    <col min="11" max="11" width="19.26953125" bestFit="1" customWidth="1"/>
    <col min="12" max="12" width="12.26953125" bestFit="1" customWidth="1"/>
    <col min="13" max="14" width="12" customWidth="1"/>
    <col min="15" max="15" width="17" customWidth="1"/>
    <col min="16" max="16" width="20.81640625" bestFit="1" customWidth="1"/>
    <col min="17" max="17" width="12" customWidth="1"/>
    <col min="18" max="18" width="8.54296875" customWidth="1"/>
    <col min="19" max="19" width="9.26953125" customWidth="1"/>
    <col min="20" max="20" width="13.54296875" customWidth="1"/>
    <col min="21" max="21" width="11" customWidth="1"/>
    <col min="22" max="23" width="12" customWidth="1"/>
    <col min="24" max="24" width="12.81640625" customWidth="1"/>
    <col min="25" max="51" width="12" customWidth="1"/>
  </cols>
  <sheetData>
    <row r="1" spans="1:33" x14ac:dyDescent="0.35">
      <c r="A1" t="s">
        <v>71</v>
      </c>
      <c r="B1" t="s">
        <v>2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85</v>
      </c>
      <c r="Q1" t="s">
        <v>86</v>
      </c>
      <c r="R1" t="s">
        <v>87</v>
      </c>
      <c r="S1" t="s">
        <v>88</v>
      </c>
      <c r="T1" t="s">
        <v>89</v>
      </c>
      <c r="U1" t="s">
        <v>90</v>
      </c>
      <c r="V1" t="s">
        <v>91</v>
      </c>
      <c r="W1" t="s">
        <v>92</v>
      </c>
      <c r="X1" t="s">
        <v>93</v>
      </c>
      <c r="Y1" t="s">
        <v>94</v>
      </c>
      <c r="Z1" t="s">
        <v>95</v>
      </c>
      <c r="AA1" t="s">
        <v>96</v>
      </c>
      <c r="AB1" t="s">
        <v>97</v>
      </c>
      <c r="AC1" t="s">
        <v>98</v>
      </c>
      <c r="AD1" t="s">
        <v>99</v>
      </c>
      <c r="AE1" t="s">
        <v>100</v>
      </c>
      <c r="AF1" t="s">
        <v>101</v>
      </c>
      <c r="AG1" t="s">
        <v>102</v>
      </c>
    </row>
    <row r="2" spans="1:33" x14ac:dyDescent="0.35">
      <c r="A2" s="13"/>
      <c r="C2" s="13"/>
      <c r="D2" s="13"/>
      <c r="E2" s="13"/>
      <c r="F2" s="13"/>
      <c r="G2" s="13"/>
      <c r="H2" s="13"/>
      <c r="I2" s="13"/>
      <c r="L2" s="13"/>
      <c r="M2" s="13"/>
      <c r="N2" s="13"/>
      <c r="O2" s="13"/>
      <c r="P2" s="13"/>
      <c r="Q2" s="13"/>
      <c r="R2" s="13"/>
      <c r="S2" s="13"/>
      <c r="U2" s="13"/>
      <c r="V2" s="13"/>
      <c r="W2" s="13"/>
      <c r="X2" s="13"/>
      <c r="AA2" s="13"/>
      <c r="AE2" s="13"/>
      <c r="AF2" s="13"/>
    </row>
    <row r="3" spans="1:33" x14ac:dyDescent="0.35">
      <c r="D3" s="13"/>
      <c r="E3" s="13"/>
      <c r="G3" s="13"/>
      <c r="H3" s="13"/>
      <c r="L3" s="13"/>
      <c r="M3" s="13"/>
      <c r="N3" s="13"/>
      <c r="O3" s="13"/>
      <c r="Q3" s="13"/>
      <c r="R3" s="13"/>
      <c r="S3" s="13"/>
      <c r="U3" s="13"/>
    </row>
    <row r="4" spans="1:33" x14ac:dyDescent="0.35">
      <c r="D4" s="13"/>
      <c r="E4" s="13"/>
      <c r="G4" s="13"/>
      <c r="H4" s="13"/>
      <c r="L4" s="13"/>
      <c r="M4" s="13"/>
      <c r="N4" s="13"/>
      <c r="O4" s="13"/>
      <c r="Q4" s="13"/>
      <c r="R4" s="13"/>
      <c r="S4" s="13"/>
      <c r="U4" s="13"/>
    </row>
    <row r="5" spans="1:33" x14ac:dyDescent="0.35">
      <c r="D5" s="13"/>
      <c r="E5" s="13"/>
      <c r="G5" s="13"/>
      <c r="H5" s="13"/>
      <c r="L5" s="13"/>
      <c r="M5" s="13"/>
      <c r="N5" s="13"/>
      <c r="O5" s="13"/>
      <c r="Q5" s="13"/>
      <c r="R5" s="13"/>
      <c r="S5" s="13"/>
      <c r="U5" s="13"/>
    </row>
    <row r="6" spans="1:33" x14ac:dyDescent="0.35">
      <c r="D6" s="13"/>
      <c r="E6" s="13"/>
      <c r="G6" s="13"/>
      <c r="H6" s="13"/>
      <c r="L6" s="13"/>
      <c r="M6" s="13"/>
      <c r="N6" s="13"/>
      <c r="O6" s="13"/>
      <c r="Q6" s="13"/>
      <c r="R6" s="13"/>
      <c r="S6" s="13"/>
      <c r="U6" s="13"/>
    </row>
    <row r="7" spans="1:33" x14ac:dyDescent="0.35">
      <c r="D7" s="13"/>
      <c r="E7" s="13"/>
      <c r="G7" s="13"/>
      <c r="H7" s="13"/>
      <c r="L7" s="13"/>
      <c r="M7" s="13"/>
      <c r="N7" s="13"/>
      <c r="O7" s="13"/>
      <c r="Q7" s="13"/>
      <c r="R7" s="13"/>
      <c r="S7" s="13"/>
      <c r="U7" s="13"/>
    </row>
    <row r="8" spans="1:33" x14ac:dyDescent="0.35">
      <c r="D8" s="13"/>
      <c r="E8" s="13"/>
      <c r="G8" s="13"/>
      <c r="H8" s="13"/>
      <c r="L8" s="13"/>
      <c r="M8" s="13"/>
      <c r="N8" s="13"/>
      <c r="O8" s="13"/>
      <c r="Q8" s="13"/>
      <c r="R8" s="13"/>
      <c r="S8" s="13"/>
      <c r="U8" s="13"/>
    </row>
    <row r="9" spans="1:33" x14ac:dyDescent="0.35">
      <c r="D9" s="13"/>
      <c r="E9" s="13"/>
      <c r="G9" s="13"/>
      <c r="H9" s="13"/>
      <c r="L9" s="13"/>
      <c r="M9" s="13"/>
      <c r="N9" s="13"/>
      <c r="O9" s="13"/>
      <c r="Q9" s="13"/>
      <c r="R9" s="13"/>
      <c r="S9" s="13"/>
      <c r="U9" s="13"/>
    </row>
    <row r="10" spans="1:33" x14ac:dyDescent="0.35">
      <c r="D10" s="13"/>
      <c r="E10" s="13"/>
      <c r="G10" s="13"/>
      <c r="H10" s="13"/>
      <c r="L10" s="13"/>
      <c r="M10" s="13"/>
      <c r="N10" s="13"/>
      <c r="O10" s="13"/>
      <c r="Q10" s="13"/>
      <c r="R10" s="13"/>
      <c r="S10" s="13"/>
      <c r="U10" s="13"/>
    </row>
    <row r="11" spans="1:33" x14ac:dyDescent="0.35">
      <c r="D11" s="13"/>
      <c r="E11" s="13"/>
      <c r="G11" s="13"/>
      <c r="H11" s="13"/>
      <c r="L11" s="13"/>
      <c r="M11" s="13"/>
      <c r="N11" s="13"/>
      <c r="O11" s="13"/>
      <c r="Q11" s="13"/>
      <c r="R11" s="13"/>
      <c r="S11" s="13"/>
      <c r="U11" s="13"/>
    </row>
    <row r="12" spans="1:33" x14ac:dyDescent="0.35">
      <c r="D12" s="13"/>
      <c r="E12" s="13"/>
      <c r="G12" s="13"/>
      <c r="H12" s="13"/>
      <c r="L12" s="13"/>
      <c r="M12" s="13"/>
      <c r="N12" s="13"/>
      <c r="O12" s="13"/>
      <c r="Q12" s="13"/>
      <c r="R12" s="13"/>
      <c r="S12" s="13"/>
      <c r="U12" s="13"/>
    </row>
    <row r="13" spans="1:33" x14ac:dyDescent="0.35">
      <c r="D13" s="13"/>
      <c r="E13" s="13"/>
      <c r="G13" s="13"/>
      <c r="H13" s="13"/>
      <c r="L13" s="13"/>
      <c r="M13" s="13"/>
      <c r="N13" s="13"/>
      <c r="O13" s="13"/>
      <c r="Q13" s="13"/>
      <c r="R13" s="13"/>
      <c r="S13" s="13"/>
      <c r="U13" s="13"/>
    </row>
    <row r="14" spans="1:33" x14ac:dyDescent="0.35">
      <c r="D14" s="13"/>
      <c r="E14" s="13"/>
      <c r="G14" s="13"/>
      <c r="H14" s="13"/>
      <c r="L14" s="13"/>
      <c r="M14" s="13"/>
      <c r="N14" s="13"/>
      <c r="O14" s="13"/>
      <c r="Q14" s="13"/>
      <c r="R14" s="13"/>
      <c r="S14" s="13"/>
      <c r="U14" s="13"/>
    </row>
    <row r="15" spans="1:33" x14ac:dyDescent="0.35">
      <c r="D15" s="13"/>
      <c r="E15" s="13"/>
      <c r="G15" s="13"/>
      <c r="H15" s="13"/>
      <c r="L15" s="13"/>
      <c r="M15" s="13"/>
      <c r="N15" s="13"/>
      <c r="O15" s="13"/>
      <c r="Q15" s="13"/>
      <c r="R15" s="13"/>
      <c r="S15" s="13"/>
      <c r="U15" s="13"/>
    </row>
    <row r="16" spans="1:33" x14ac:dyDescent="0.35">
      <c r="D16" s="13"/>
      <c r="E16" s="13"/>
      <c r="G16" s="13"/>
      <c r="H16" s="13"/>
      <c r="L16" s="13"/>
      <c r="M16" s="13"/>
      <c r="N16" s="13"/>
      <c r="O16" s="13"/>
      <c r="Q16" s="13"/>
      <c r="R16" s="13"/>
      <c r="S16" s="13"/>
      <c r="U16" s="13"/>
    </row>
    <row r="17" spans="4:21" x14ac:dyDescent="0.35">
      <c r="D17" s="13"/>
      <c r="E17" s="13"/>
      <c r="G17" s="13"/>
      <c r="H17" s="13"/>
      <c r="L17" s="13"/>
      <c r="M17" s="13"/>
      <c r="N17" s="13"/>
      <c r="O17" s="13"/>
      <c r="Q17" s="13"/>
      <c r="R17" s="13"/>
      <c r="S17" s="13"/>
      <c r="U17" s="13"/>
    </row>
    <row r="18" spans="4:21" x14ac:dyDescent="0.35">
      <c r="D18" s="13"/>
      <c r="E18" s="13"/>
      <c r="G18" s="13"/>
      <c r="H18" s="13"/>
      <c r="L18" s="13"/>
      <c r="M18" s="13"/>
      <c r="N18" s="13"/>
      <c r="O18" s="13"/>
      <c r="Q18" s="13"/>
      <c r="R18" s="13"/>
      <c r="S18" s="13"/>
      <c r="U18" s="13"/>
    </row>
    <row r="19" spans="4:21" x14ac:dyDescent="0.35">
      <c r="D19" s="13"/>
      <c r="E19" s="13"/>
      <c r="G19" s="13"/>
      <c r="H19" s="13"/>
      <c r="L19" s="13"/>
      <c r="M19" s="13"/>
      <c r="N19" s="13"/>
      <c r="O19" s="13"/>
      <c r="Q19" s="13"/>
      <c r="R19" s="13"/>
      <c r="S19" s="13"/>
      <c r="U19" s="13"/>
    </row>
    <row r="20" spans="4:21" x14ac:dyDescent="0.35">
      <c r="D20" s="13"/>
      <c r="E20" s="13"/>
      <c r="G20" s="13"/>
      <c r="H20" s="13"/>
      <c r="L20" s="13"/>
      <c r="M20" s="13"/>
      <c r="N20" s="13"/>
      <c r="O20" s="13"/>
      <c r="Q20" s="13"/>
      <c r="R20" s="13"/>
      <c r="S20" s="13"/>
      <c r="U20" s="13"/>
    </row>
    <row r="21" spans="4:21" x14ac:dyDescent="0.35">
      <c r="D21" s="13"/>
      <c r="E21" s="13"/>
      <c r="G21" s="13"/>
      <c r="H21" s="13"/>
      <c r="L21" s="13"/>
      <c r="M21" s="13"/>
      <c r="N21" s="13"/>
      <c r="O21" s="13"/>
      <c r="Q21" s="13"/>
      <c r="R21" s="13"/>
      <c r="S21" s="13"/>
      <c r="U21" s="13"/>
    </row>
    <row r="22" spans="4:21" x14ac:dyDescent="0.35">
      <c r="D22" s="13"/>
      <c r="E22" s="13"/>
      <c r="G22" s="13"/>
      <c r="H22" s="13"/>
      <c r="L22" s="13"/>
      <c r="M22" s="13"/>
      <c r="N22" s="13"/>
      <c r="O22" s="13"/>
      <c r="Q22" s="13"/>
      <c r="R22" s="13"/>
      <c r="S22" s="13"/>
      <c r="U22" s="13"/>
    </row>
    <row r="23" spans="4:21" x14ac:dyDescent="0.35">
      <c r="D23" s="13"/>
      <c r="E23" s="13"/>
      <c r="G23" s="13"/>
      <c r="H23" s="13"/>
      <c r="L23" s="13"/>
      <c r="M23" s="13"/>
      <c r="N23" s="13"/>
      <c r="O23" s="13"/>
      <c r="Q23" s="13"/>
      <c r="R23" s="13"/>
      <c r="S23" s="13"/>
      <c r="U23" s="13"/>
    </row>
    <row r="24" spans="4:21" x14ac:dyDescent="0.35">
      <c r="D24" s="13"/>
      <c r="E24" s="13"/>
      <c r="G24" s="13"/>
      <c r="H24" s="13"/>
      <c r="L24" s="13"/>
      <c r="M24" s="13"/>
      <c r="N24" s="13"/>
      <c r="O24" s="13"/>
      <c r="Q24" s="13"/>
      <c r="R24" s="13"/>
      <c r="S24" s="13"/>
      <c r="U24" s="13"/>
    </row>
    <row r="25" spans="4:21" x14ac:dyDescent="0.35">
      <c r="D25" s="13"/>
      <c r="E25" s="13"/>
      <c r="G25" s="13"/>
      <c r="H25" s="13"/>
      <c r="L25" s="13"/>
      <c r="M25" s="13"/>
      <c r="N25" s="13"/>
      <c r="O25" s="13"/>
      <c r="Q25" s="13"/>
      <c r="R25" s="13"/>
      <c r="S25" s="13"/>
      <c r="U25" s="13"/>
    </row>
    <row r="26" spans="4:21" x14ac:dyDescent="0.35">
      <c r="D26" s="13"/>
      <c r="E26" s="13"/>
      <c r="G26" s="13"/>
      <c r="H26" s="13"/>
      <c r="L26" s="13"/>
      <c r="M26" s="13"/>
      <c r="N26" s="13"/>
      <c r="O26" s="13"/>
      <c r="Q26" s="13"/>
      <c r="R26" s="13"/>
      <c r="S26" s="13"/>
      <c r="U26" s="13"/>
    </row>
    <row r="27" spans="4:21" x14ac:dyDescent="0.35">
      <c r="D27" s="13"/>
      <c r="E27" s="13"/>
      <c r="G27" s="13"/>
      <c r="H27" s="13"/>
      <c r="L27" s="13"/>
      <c r="M27" s="13"/>
      <c r="N27" s="13"/>
      <c r="O27" s="13"/>
      <c r="Q27" s="13"/>
      <c r="R27" s="13"/>
      <c r="S27" s="13"/>
      <c r="U27" s="13"/>
    </row>
    <row r="28" spans="4:21" x14ac:dyDescent="0.35">
      <c r="D28" s="13"/>
      <c r="E28" s="13"/>
      <c r="G28" s="13"/>
      <c r="H28" s="13"/>
      <c r="L28" s="13"/>
      <c r="M28" s="13"/>
      <c r="N28" s="13"/>
      <c r="O28" s="13"/>
      <c r="Q28" s="13"/>
      <c r="R28" s="13"/>
      <c r="S28" s="13"/>
      <c r="U28" s="13"/>
    </row>
    <row r="29" spans="4:21" x14ac:dyDescent="0.35">
      <c r="D29" s="13"/>
      <c r="E29" s="13"/>
      <c r="G29" s="13"/>
      <c r="H29" s="13"/>
      <c r="L29" s="13"/>
      <c r="M29" s="13"/>
      <c r="N29" s="13"/>
      <c r="O29" s="13"/>
      <c r="Q29" s="13"/>
      <c r="R29" s="13"/>
      <c r="S29" s="13"/>
      <c r="U29" s="13"/>
    </row>
    <row r="30" spans="4:21" x14ac:dyDescent="0.35">
      <c r="D30" s="13"/>
      <c r="E30" s="13"/>
      <c r="G30" s="13"/>
      <c r="H30" s="13"/>
      <c r="L30" s="13"/>
      <c r="M30" s="13"/>
      <c r="N30" s="13"/>
      <c r="O30" s="13"/>
      <c r="Q30" s="13"/>
      <c r="R30" s="13"/>
      <c r="S30" s="13"/>
      <c r="U30" s="13"/>
    </row>
    <row r="31" spans="4:21" x14ac:dyDescent="0.35">
      <c r="D31" s="13"/>
      <c r="E31" s="13"/>
      <c r="G31" s="13"/>
      <c r="H31" s="13"/>
      <c r="L31" s="13"/>
      <c r="M31" s="13"/>
      <c r="N31" s="13"/>
      <c r="O31" s="13"/>
      <c r="Q31" s="13"/>
      <c r="R31" s="13"/>
      <c r="S31" s="13"/>
      <c r="U31" s="13"/>
    </row>
    <row r="32" spans="4:21" x14ac:dyDescent="0.35">
      <c r="D32" s="13"/>
      <c r="E32" s="13"/>
      <c r="G32" s="13"/>
      <c r="H32" s="13"/>
      <c r="L32" s="13"/>
      <c r="M32" s="13"/>
      <c r="N32" s="13"/>
      <c r="O32" s="13"/>
      <c r="Q32" s="13"/>
      <c r="R32" s="13"/>
      <c r="S32" s="13"/>
      <c r="U32" s="13"/>
    </row>
    <row r="33" spans="4:21" x14ac:dyDescent="0.35">
      <c r="D33" s="13"/>
      <c r="E33" s="13"/>
      <c r="G33" s="13"/>
      <c r="H33" s="13"/>
      <c r="L33" s="13"/>
      <c r="M33" s="13"/>
      <c r="N33" s="13"/>
      <c r="O33" s="13"/>
      <c r="Q33" s="13"/>
      <c r="R33" s="13"/>
      <c r="S33" s="13"/>
      <c r="U33" s="13"/>
    </row>
    <row r="34" spans="4:21" x14ac:dyDescent="0.35">
      <c r="D34" s="13"/>
      <c r="E34" s="13"/>
      <c r="G34" s="13"/>
      <c r="H34" s="13"/>
      <c r="L34" s="13"/>
      <c r="M34" s="13"/>
      <c r="N34" s="13"/>
      <c r="O34" s="13"/>
      <c r="Q34" s="13"/>
      <c r="R34" s="13"/>
      <c r="S34" s="13"/>
      <c r="U34" s="13"/>
    </row>
    <row r="35" spans="4:21" x14ac:dyDescent="0.35">
      <c r="D35" s="13"/>
      <c r="E35" s="13"/>
      <c r="G35" s="13"/>
      <c r="H35" s="13"/>
      <c r="L35" s="13"/>
      <c r="M35" s="13"/>
      <c r="N35" s="13"/>
      <c r="O35" s="13"/>
      <c r="Q35" s="13"/>
      <c r="R35" s="13"/>
      <c r="S35" s="13"/>
      <c r="U35" s="13"/>
    </row>
    <row r="36" spans="4:21" x14ac:dyDescent="0.35">
      <c r="D36" s="13"/>
      <c r="E36" s="13"/>
      <c r="G36" s="13"/>
      <c r="H36" s="13"/>
      <c r="L36" s="13"/>
      <c r="M36" s="13"/>
      <c r="N36" s="13"/>
      <c r="O36" s="13"/>
      <c r="Q36" s="13"/>
      <c r="R36" s="13"/>
      <c r="S36" s="13"/>
      <c r="U36" s="13"/>
    </row>
    <row r="37" spans="4:21" x14ac:dyDescent="0.35">
      <c r="D37" s="13"/>
      <c r="E37" s="13"/>
      <c r="G37" s="13"/>
      <c r="H37" s="13"/>
      <c r="L37" s="13"/>
      <c r="M37" s="13"/>
      <c r="N37" s="13"/>
      <c r="O37" s="13"/>
      <c r="Q37" s="13"/>
      <c r="R37" s="13"/>
      <c r="S37" s="13"/>
      <c r="U37" s="13"/>
    </row>
    <row r="38" spans="4:21" x14ac:dyDescent="0.35">
      <c r="D38" s="13"/>
      <c r="E38" s="13"/>
      <c r="G38" s="13"/>
      <c r="H38" s="13"/>
      <c r="L38" s="13"/>
      <c r="M38" s="13"/>
      <c r="N38" s="13"/>
      <c r="O38" s="13"/>
      <c r="Q38" s="13"/>
      <c r="R38" s="13"/>
      <c r="S38" s="13"/>
      <c r="U38" s="13"/>
    </row>
    <row r="39" spans="4:21" x14ac:dyDescent="0.35">
      <c r="D39" s="13"/>
      <c r="E39" s="13"/>
      <c r="G39" s="13"/>
      <c r="H39" s="13"/>
      <c r="L39" s="13"/>
      <c r="M39" s="13"/>
      <c r="N39" s="13"/>
      <c r="O39" s="13"/>
      <c r="Q39" s="13"/>
      <c r="R39" s="13"/>
      <c r="S39" s="13"/>
      <c r="U39" s="13"/>
    </row>
    <row r="40" spans="4:21" x14ac:dyDescent="0.35">
      <c r="D40" s="13"/>
      <c r="E40" s="13"/>
      <c r="G40" s="13"/>
      <c r="H40" s="13"/>
      <c r="L40" s="13"/>
      <c r="M40" s="13"/>
      <c r="N40" s="13"/>
      <c r="O40" s="13"/>
      <c r="Q40" s="13"/>
      <c r="R40" s="13"/>
      <c r="S40" s="13"/>
      <c r="U40" s="13"/>
    </row>
    <row r="41" spans="4:21" x14ac:dyDescent="0.35">
      <c r="D41" s="13"/>
      <c r="E41" s="13"/>
      <c r="G41" s="13"/>
      <c r="H41" s="13"/>
      <c r="L41" s="13"/>
      <c r="M41" s="13"/>
      <c r="N41" s="13"/>
      <c r="O41" s="13"/>
      <c r="Q41" s="13"/>
      <c r="R41" s="13"/>
      <c r="S41" s="13"/>
      <c r="U41" s="13"/>
    </row>
    <row r="42" spans="4:21" x14ac:dyDescent="0.35">
      <c r="D42" s="13"/>
      <c r="E42" s="13"/>
      <c r="G42" s="13"/>
      <c r="H42" s="13"/>
      <c r="L42" s="13"/>
      <c r="M42" s="13"/>
      <c r="N42" s="13"/>
      <c r="O42" s="13"/>
      <c r="Q42" s="13"/>
      <c r="R42" s="13"/>
      <c r="S42" s="13"/>
      <c r="U42" s="13"/>
    </row>
    <row r="43" spans="4:21" x14ac:dyDescent="0.35">
      <c r="D43" s="13"/>
      <c r="E43" s="13"/>
      <c r="G43" s="13"/>
      <c r="H43" s="13"/>
      <c r="L43" s="13"/>
      <c r="M43" s="13"/>
      <c r="N43" s="13"/>
      <c r="O43" s="13"/>
      <c r="Q43" s="13"/>
      <c r="R43" s="13"/>
      <c r="S43" s="13"/>
      <c r="U43" s="13"/>
    </row>
    <row r="44" spans="4:21" x14ac:dyDescent="0.35">
      <c r="D44" s="13"/>
      <c r="E44" s="13"/>
      <c r="G44" s="13"/>
      <c r="H44" s="13"/>
      <c r="L44" s="13"/>
      <c r="M44" s="13"/>
      <c r="N44" s="13"/>
      <c r="O44" s="13"/>
      <c r="Q44" s="13"/>
      <c r="R44" s="13"/>
      <c r="S44" s="13"/>
      <c r="U44" s="13"/>
    </row>
    <row r="45" spans="4:21" x14ac:dyDescent="0.35">
      <c r="D45" s="13"/>
      <c r="E45" s="13"/>
      <c r="G45" s="13"/>
      <c r="H45" s="13"/>
      <c r="L45" s="13"/>
      <c r="M45" s="13"/>
      <c r="N45" s="13"/>
      <c r="O45" s="13"/>
      <c r="Q45" s="13"/>
      <c r="R45" s="13"/>
      <c r="S45" s="13"/>
      <c r="U45" s="13"/>
    </row>
    <row r="46" spans="4:21" x14ac:dyDescent="0.35">
      <c r="D46" s="13"/>
      <c r="E46" s="13"/>
      <c r="G46" s="13"/>
      <c r="H46" s="13"/>
      <c r="L46" s="13"/>
      <c r="M46" s="13"/>
      <c r="N46" s="13"/>
      <c r="O46" s="13"/>
      <c r="Q46" s="13"/>
      <c r="R46" s="13"/>
      <c r="S46" s="13"/>
      <c r="U46" s="13"/>
    </row>
    <row r="47" spans="4:21" x14ac:dyDescent="0.35">
      <c r="D47" s="13"/>
      <c r="E47" s="13"/>
      <c r="G47" s="13"/>
      <c r="H47" s="13"/>
      <c r="L47" s="13"/>
      <c r="M47" s="13"/>
      <c r="N47" s="13"/>
      <c r="O47" s="13"/>
      <c r="Q47" s="13"/>
      <c r="R47" s="13"/>
      <c r="S47" s="13"/>
      <c r="U47" s="13"/>
    </row>
    <row r="48" spans="4:21" x14ac:dyDescent="0.35">
      <c r="D48" s="13"/>
      <c r="E48" s="13"/>
      <c r="G48" s="13"/>
      <c r="H48" s="13"/>
      <c r="L48" s="13"/>
      <c r="M48" s="13"/>
      <c r="N48" s="13"/>
      <c r="O48" s="13"/>
      <c r="Q48" s="13"/>
      <c r="R48" s="13"/>
      <c r="S48" s="13"/>
      <c r="U48" s="13"/>
    </row>
    <row r="49" spans="4:21" x14ac:dyDescent="0.35">
      <c r="D49" s="13"/>
      <c r="E49" s="13"/>
      <c r="G49" s="13"/>
      <c r="H49" s="13"/>
      <c r="L49" s="13"/>
      <c r="M49" s="13"/>
      <c r="N49" s="13"/>
      <c r="O49" s="13"/>
      <c r="Q49" s="13"/>
      <c r="R49" s="13"/>
      <c r="S49" s="13"/>
      <c r="U49" s="13"/>
    </row>
    <row r="50" spans="4:21" x14ac:dyDescent="0.35">
      <c r="D50" s="13"/>
      <c r="E50" s="13"/>
      <c r="G50" s="13"/>
      <c r="H50" s="13"/>
      <c r="L50" s="13"/>
      <c r="M50" s="13"/>
      <c r="N50" s="13"/>
      <c r="O50" s="13"/>
      <c r="Q50" s="13"/>
      <c r="R50" s="13"/>
      <c r="S50" s="13"/>
      <c r="U50" s="13"/>
    </row>
    <row r="51" spans="4:21" x14ac:dyDescent="0.35">
      <c r="D51" s="13"/>
      <c r="E51" s="13"/>
      <c r="G51" s="13"/>
      <c r="H51" s="13"/>
      <c r="L51" s="13"/>
      <c r="M51" s="13"/>
      <c r="N51" s="13"/>
      <c r="O51" s="13"/>
      <c r="Q51" s="13"/>
      <c r="R51" s="13"/>
      <c r="S51" s="13"/>
      <c r="U51" s="13"/>
    </row>
    <row r="52" spans="4:21" x14ac:dyDescent="0.35">
      <c r="D52" s="13"/>
      <c r="E52" s="13"/>
      <c r="G52" s="13"/>
      <c r="H52" s="13"/>
      <c r="L52" s="13"/>
      <c r="M52" s="13"/>
      <c r="N52" s="13"/>
      <c r="O52" s="13"/>
      <c r="Q52" s="13"/>
      <c r="R52" s="13"/>
      <c r="S52" s="13"/>
      <c r="U52" s="13"/>
    </row>
    <row r="53" spans="4:21" x14ac:dyDescent="0.35">
      <c r="D53" s="13"/>
      <c r="E53" s="13"/>
      <c r="G53" s="13"/>
      <c r="H53" s="13"/>
      <c r="L53" s="13"/>
      <c r="M53" s="13"/>
      <c r="N53" s="13"/>
      <c r="O53" s="13"/>
      <c r="Q53" s="13"/>
      <c r="R53" s="13"/>
      <c r="S53" s="13"/>
      <c r="U53" s="13"/>
    </row>
    <row r="54" spans="4:21" x14ac:dyDescent="0.35">
      <c r="D54" s="13"/>
      <c r="E54" s="13"/>
      <c r="G54" s="13"/>
      <c r="H54" s="13"/>
      <c r="L54" s="13"/>
      <c r="M54" s="13"/>
      <c r="N54" s="13"/>
      <c r="O54" s="13"/>
      <c r="Q54" s="13"/>
      <c r="R54" s="13"/>
      <c r="S54" s="13"/>
      <c r="U54" s="13"/>
    </row>
    <row r="55" spans="4:21" x14ac:dyDescent="0.35">
      <c r="D55" s="13"/>
      <c r="E55" s="13"/>
      <c r="G55" s="13"/>
      <c r="H55" s="13"/>
      <c r="L55" s="13"/>
      <c r="M55" s="13"/>
      <c r="N55" s="13"/>
      <c r="O55" s="13"/>
      <c r="Q55" s="13"/>
      <c r="R55" s="13"/>
      <c r="S55" s="13"/>
      <c r="U55" s="13"/>
    </row>
    <row r="56" spans="4:21" x14ac:dyDescent="0.35">
      <c r="D56" s="13"/>
      <c r="E56" s="13"/>
      <c r="G56" s="13"/>
      <c r="H56" s="13"/>
      <c r="L56" s="13"/>
      <c r="M56" s="13"/>
      <c r="N56" s="13"/>
      <c r="O56" s="13"/>
      <c r="Q56" s="13"/>
      <c r="R56" s="13"/>
      <c r="S56" s="13"/>
      <c r="U56" s="13"/>
    </row>
    <row r="57" spans="4:21" x14ac:dyDescent="0.35">
      <c r="D57" s="13"/>
      <c r="E57" s="13"/>
      <c r="G57" s="13"/>
      <c r="H57" s="13"/>
      <c r="L57" s="13"/>
      <c r="M57" s="13"/>
      <c r="N57" s="13"/>
      <c r="O57" s="13"/>
      <c r="Q57" s="13"/>
      <c r="R57" s="13"/>
      <c r="S57" s="13"/>
      <c r="U57" s="13"/>
    </row>
    <row r="58" spans="4:21" x14ac:dyDescent="0.35">
      <c r="D58" s="13"/>
      <c r="E58" s="13"/>
      <c r="G58" s="13"/>
      <c r="H58" s="13"/>
      <c r="L58" s="13"/>
      <c r="M58" s="13"/>
      <c r="N58" s="13"/>
      <c r="O58" s="13"/>
      <c r="Q58" s="13"/>
      <c r="R58" s="13"/>
      <c r="S58" s="13"/>
      <c r="U58" s="13"/>
    </row>
    <row r="59" spans="4:21" x14ac:dyDescent="0.35">
      <c r="D59" s="13"/>
      <c r="E59" s="13"/>
      <c r="G59" s="13"/>
      <c r="H59" s="13"/>
      <c r="L59" s="13"/>
      <c r="M59" s="13"/>
      <c r="N59" s="13"/>
      <c r="O59" s="13"/>
      <c r="Q59" s="13"/>
      <c r="R59" s="13"/>
      <c r="S59" s="13"/>
      <c r="U59" s="13"/>
    </row>
    <row r="60" spans="4:21" x14ac:dyDescent="0.35">
      <c r="D60" s="13"/>
      <c r="E60" s="13"/>
      <c r="G60" s="13"/>
      <c r="H60" s="13"/>
      <c r="L60" s="13"/>
      <c r="M60" s="13"/>
      <c r="N60" s="13"/>
      <c r="O60" s="13"/>
      <c r="Q60" s="13"/>
      <c r="R60" s="13"/>
      <c r="S60" s="13"/>
      <c r="U60" s="13"/>
    </row>
    <row r="61" spans="4:21" x14ac:dyDescent="0.35">
      <c r="D61" s="13"/>
      <c r="E61" s="13"/>
      <c r="G61" s="13"/>
      <c r="H61" s="13"/>
      <c r="L61" s="13"/>
      <c r="M61" s="13"/>
      <c r="N61" s="13"/>
      <c r="O61" s="13"/>
      <c r="Q61" s="13"/>
      <c r="R61" s="13"/>
      <c r="S61" s="13"/>
      <c r="U61" s="13"/>
    </row>
    <row r="62" spans="4:21" x14ac:dyDescent="0.35">
      <c r="D62" s="13"/>
      <c r="E62" s="13"/>
      <c r="G62" s="13"/>
      <c r="H62" s="13"/>
      <c r="L62" s="13"/>
      <c r="M62" s="13"/>
      <c r="N62" s="13"/>
      <c r="O62" s="13"/>
      <c r="Q62" s="13"/>
      <c r="R62" s="13"/>
      <c r="S62" s="13"/>
      <c r="U62" s="13"/>
    </row>
    <row r="63" spans="4:21" x14ac:dyDescent="0.35">
      <c r="D63" s="13"/>
      <c r="E63" s="13"/>
      <c r="G63" s="13"/>
      <c r="H63" s="13"/>
      <c r="L63" s="13"/>
      <c r="M63" s="13"/>
      <c r="N63" s="13"/>
      <c r="O63" s="13"/>
      <c r="Q63" s="13"/>
      <c r="R63" s="13"/>
      <c r="S63" s="13"/>
      <c r="U63" s="13"/>
    </row>
    <row r="64" spans="4:21" x14ac:dyDescent="0.35">
      <c r="D64" s="13"/>
      <c r="E64" s="13"/>
      <c r="G64" s="13"/>
      <c r="H64" s="13"/>
      <c r="L64" s="13"/>
      <c r="M64" s="13"/>
      <c r="N64" s="13"/>
      <c r="O64" s="13"/>
      <c r="Q64" s="13"/>
      <c r="R64" s="13"/>
      <c r="S64" s="13"/>
      <c r="U64" s="13"/>
    </row>
    <row r="65" spans="4:21" x14ac:dyDescent="0.35">
      <c r="D65" s="13"/>
      <c r="E65" s="13"/>
      <c r="G65" s="13"/>
      <c r="H65" s="13"/>
      <c r="L65" s="13"/>
      <c r="M65" s="13"/>
      <c r="N65" s="13"/>
      <c r="O65" s="13"/>
      <c r="Q65" s="13"/>
      <c r="R65" s="13"/>
      <c r="S65" s="13"/>
      <c r="U65" s="13"/>
    </row>
    <row r="66" spans="4:21" x14ac:dyDescent="0.35">
      <c r="D66" s="13"/>
      <c r="E66" s="13"/>
      <c r="G66" s="13"/>
      <c r="H66" s="13"/>
      <c r="L66" s="13"/>
      <c r="M66" s="13"/>
      <c r="N66" s="13"/>
      <c r="O66" s="13"/>
      <c r="Q66" s="13"/>
      <c r="R66" s="13"/>
      <c r="S66" s="13"/>
      <c r="U66" s="13"/>
    </row>
    <row r="67" spans="4:21" x14ac:dyDescent="0.35">
      <c r="D67" s="13"/>
      <c r="E67" s="13"/>
      <c r="G67" s="13"/>
      <c r="H67" s="13"/>
      <c r="L67" s="13"/>
      <c r="M67" s="13"/>
      <c r="N67" s="13"/>
      <c r="O67" s="13"/>
      <c r="Q67" s="13"/>
      <c r="R67" s="13"/>
      <c r="S67" s="13"/>
      <c r="U67" s="13"/>
    </row>
    <row r="68" spans="4:21" x14ac:dyDescent="0.35">
      <c r="D68" s="13"/>
      <c r="E68" s="13"/>
      <c r="G68" s="13"/>
      <c r="H68" s="13"/>
      <c r="L68" s="13"/>
      <c r="M68" s="13"/>
      <c r="N68" s="13"/>
      <c r="O68" s="13"/>
      <c r="Q68" s="13"/>
      <c r="R68" s="13"/>
      <c r="S68" s="13"/>
      <c r="U68" s="13"/>
    </row>
    <row r="69" spans="4:21" x14ac:dyDescent="0.35">
      <c r="D69" s="13"/>
      <c r="E69" s="13"/>
      <c r="G69" s="13"/>
      <c r="H69" s="13"/>
      <c r="L69" s="13"/>
      <c r="M69" s="13"/>
      <c r="N69" s="13"/>
      <c r="O69" s="13"/>
      <c r="Q69" s="13"/>
      <c r="R69" s="13"/>
      <c r="S69" s="13"/>
      <c r="U69" s="13"/>
    </row>
    <row r="70" spans="4:21" x14ac:dyDescent="0.35">
      <c r="D70" s="13"/>
      <c r="E70" s="13"/>
      <c r="G70" s="13"/>
      <c r="H70" s="13"/>
      <c r="L70" s="13"/>
      <c r="M70" s="13"/>
      <c r="N70" s="13"/>
      <c r="O70" s="13"/>
      <c r="Q70" s="13"/>
      <c r="R70" s="13"/>
      <c r="S70" s="13"/>
      <c r="U70" s="13"/>
    </row>
    <row r="71" spans="4:21" x14ac:dyDescent="0.35">
      <c r="D71" s="13"/>
      <c r="E71" s="13"/>
      <c r="G71" s="13"/>
      <c r="H71" s="13"/>
      <c r="L71" s="13"/>
      <c r="M71" s="13"/>
      <c r="N71" s="13"/>
      <c r="O71" s="13"/>
      <c r="Q71" s="13"/>
      <c r="R71" s="13"/>
      <c r="S71" s="13"/>
      <c r="U71" s="13"/>
    </row>
    <row r="72" spans="4:21" x14ac:dyDescent="0.35">
      <c r="D72" s="13"/>
      <c r="E72" s="13"/>
      <c r="G72" s="13"/>
      <c r="H72" s="13"/>
      <c r="L72" s="13"/>
      <c r="M72" s="13"/>
      <c r="N72" s="13"/>
      <c r="O72" s="13"/>
      <c r="Q72" s="13"/>
      <c r="R72" s="13"/>
      <c r="S72" s="13"/>
      <c r="U72" s="13"/>
    </row>
    <row r="73" spans="4:21" x14ac:dyDescent="0.35">
      <c r="D73" s="13"/>
      <c r="E73" s="13"/>
      <c r="G73" s="13"/>
      <c r="H73" s="13"/>
      <c r="L73" s="13"/>
      <c r="M73" s="13"/>
      <c r="N73" s="13"/>
      <c r="O73" s="13"/>
      <c r="Q73" s="13"/>
      <c r="R73" s="13"/>
      <c r="S73" s="13"/>
      <c r="U73" s="13"/>
    </row>
    <row r="74" spans="4:21" x14ac:dyDescent="0.35">
      <c r="D74" s="13"/>
      <c r="E74" s="13"/>
      <c r="G74" s="13"/>
      <c r="H74" s="13"/>
      <c r="L74" s="13"/>
      <c r="M74" s="13"/>
      <c r="N74" s="13"/>
      <c r="O74" s="13"/>
      <c r="Q74" s="13"/>
      <c r="R74" s="13"/>
      <c r="S74" s="13"/>
      <c r="U74" s="13"/>
    </row>
    <row r="75" spans="4:21" x14ac:dyDescent="0.35">
      <c r="D75" s="13"/>
      <c r="E75" s="13"/>
      <c r="G75" s="13"/>
      <c r="H75" s="13"/>
      <c r="L75" s="13"/>
      <c r="M75" s="13"/>
      <c r="N75" s="13"/>
      <c r="O75" s="13"/>
      <c r="Q75" s="13"/>
      <c r="R75" s="13"/>
      <c r="S75" s="13"/>
      <c r="U75" s="13"/>
    </row>
    <row r="76" spans="4:21" x14ac:dyDescent="0.35">
      <c r="D76" s="13"/>
      <c r="E76" s="13"/>
      <c r="G76" s="13"/>
      <c r="H76" s="13"/>
      <c r="L76" s="13"/>
      <c r="M76" s="13"/>
      <c r="N76" s="13"/>
      <c r="O76" s="13"/>
      <c r="Q76" s="13"/>
      <c r="R76" s="13"/>
      <c r="S76" s="13"/>
      <c r="U76" s="1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6"/>
  <sheetViews>
    <sheetView showGridLines="0" zoomScale="85" zoomScaleNormal="85" workbookViewId="0"/>
  </sheetViews>
  <sheetFormatPr defaultColWidth="11.453125" defaultRowHeight="14.5" x14ac:dyDescent="0.35"/>
  <cols>
    <col min="1" max="2" width="11.26953125" bestFit="1" customWidth="1"/>
    <col min="3" max="3" width="18.81640625" bestFit="1" customWidth="1"/>
    <col min="5" max="5" width="14.453125" bestFit="1" customWidth="1"/>
    <col min="6" max="6" width="9.26953125" bestFit="1" customWidth="1"/>
  </cols>
  <sheetData>
    <row r="1" spans="1:6" x14ac:dyDescent="0.35">
      <c r="A1" t="s">
        <v>44</v>
      </c>
      <c r="B1" t="s">
        <v>43</v>
      </c>
      <c r="C1" t="s">
        <v>12</v>
      </c>
      <c r="E1" t="s">
        <v>24</v>
      </c>
      <c r="F1" t="s">
        <v>67</v>
      </c>
    </row>
    <row r="2" spans="1:6" x14ac:dyDescent="0.35">
      <c r="C2" t="s">
        <v>42</v>
      </c>
      <c r="E2" t="s">
        <v>7</v>
      </c>
      <c r="F2" t="s">
        <v>61</v>
      </c>
    </row>
    <row r="3" spans="1:6" x14ac:dyDescent="0.35">
      <c r="A3" t="s">
        <v>33</v>
      </c>
      <c r="B3" t="s">
        <v>41</v>
      </c>
      <c r="C3" t="s">
        <v>40</v>
      </c>
      <c r="E3" t="s">
        <v>31</v>
      </c>
      <c r="F3" t="s">
        <v>62</v>
      </c>
    </row>
    <row r="4" spans="1:6" x14ac:dyDescent="0.35">
      <c r="A4" t="s">
        <v>39</v>
      </c>
      <c r="B4" t="s">
        <v>38</v>
      </c>
      <c r="C4" t="s">
        <v>37</v>
      </c>
      <c r="E4" t="s">
        <v>63</v>
      </c>
      <c r="F4" t="s">
        <v>64</v>
      </c>
    </row>
    <row r="5" spans="1:6" x14ac:dyDescent="0.35">
      <c r="A5" t="s">
        <v>32</v>
      </c>
      <c r="B5" t="s">
        <v>36</v>
      </c>
      <c r="C5" t="s">
        <v>35</v>
      </c>
      <c r="E5" t="s">
        <v>65</v>
      </c>
      <c r="F5" t="s">
        <v>61</v>
      </c>
    </row>
    <row r="6" spans="1:6" x14ac:dyDescent="0.35">
      <c r="E6" t="s">
        <v>66</v>
      </c>
      <c r="F6" t="s">
        <v>61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1"/>
  <sheetViews>
    <sheetView showGridLines="0" zoomScale="85" zoomScaleNormal="85" workbookViewId="0"/>
  </sheetViews>
  <sheetFormatPr defaultColWidth="11.453125" defaultRowHeight="14.5" x14ac:dyDescent="0.35"/>
  <cols>
    <col min="1" max="1" width="17.1796875" customWidth="1"/>
    <col min="2" max="2" width="13.1796875" customWidth="1"/>
    <col min="3" max="3" width="11.81640625" customWidth="1"/>
    <col min="4" max="4" width="5.26953125" customWidth="1"/>
    <col min="5" max="5" width="15.54296875" customWidth="1"/>
    <col min="6" max="6" width="8" customWidth="1"/>
    <col min="7" max="7" width="34.54296875" bestFit="1" customWidth="1"/>
    <col min="8" max="8" width="4" customWidth="1"/>
    <col min="9" max="9" width="8.1796875" customWidth="1"/>
    <col min="10" max="10" width="10.26953125" customWidth="1"/>
    <col min="11" max="11" width="13.54296875" bestFit="1" customWidth="1"/>
    <col min="12" max="12" width="3" customWidth="1"/>
    <col min="13" max="13" width="8.1796875" customWidth="1"/>
    <col min="14" max="14" width="12.81640625" customWidth="1"/>
    <col min="15" max="15" width="22.453125" bestFit="1" customWidth="1"/>
  </cols>
  <sheetData>
    <row r="1" spans="1:15" ht="23.5" x14ac:dyDescent="0.55000000000000004">
      <c r="A1" s="11" t="s">
        <v>11</v>
      </c>
    </row>
    <row r="4" spans="1:15" x14ac:dyDescent="0.35">
      <c r="A4" s="18" t="s">
        <v>13</v>
      </c>
      <c r="B4" s="19" t="s">
        <v>18</v>
      </c>
      <c r="C4" s="20" t="s">
        <v>14</v>
      </c>
      <c r="E4" s="10" t="s">
        <v>68</v>
      </c>
      <c r="F4" s="12" t="s">
        <v>14</v>
      </c>
      <c r="G4" s="10" t="s">
        <v>12</v>
      </c>
      <c r="I4" t="s">
        <v>50</v>
      </c>
      <c r="J4" t="s">
        <v>51</v>
      </c>
      <c r="K4" t="s">
        <v>12</v>
      </c>
      <c r="M4" t="s">
        <v>50</v>
      </c>
      <c r="N4" t="s">
        <v>56</v>
      </c>
      <c r="O4" t="s">
        <v>12</v>
      </c>
    </row>
    <row r="5" spans="1:15" x14ac:dyDescent="0.35">
      <c r="A5" t="s">
        <v>30</v>
      </c>
      <c r="B5" s="9"/>
      <c r="C5" t="str">
        <f>IFERROR(VLOOKUP(MaterialPrice,tMaterialPrice[],2,FALSE),"")</f>
        <v/>
      </c>
      <c r="E5" s="5" t="s">
        <v>16</v>
      </c>
      <c r="G5" t="s">
        <v>9</v>
      </c>
      <c r="I5" t="s">
        <v>52</v>
      </c>
      <c r="J5" t="e">
        <f>COLUMN(#REF!)</f>
        <v>#REF!</v>
      </c>
      <c r="K5" t="s">
        <v>46</v>
      </c>
      <c r="M5" t="s">
        <v>52</v>
      </c>
      <c r="N5">
        <v>2</v>
      </c>
      <c r="O5" t="s">
        <v>57</v>
      </c>
    </row>
    <row r="6" spans="1:15" x14ac:dyDescent="0.35">
      <c r="A6" t="s">
        <v>29</v>
      </c>
      <c r="B6" s="9" t="s">
        <v>52</v>
      </c>
      <c r="C6">
        <f>IFERROR(VLOOKUP(ProductHierarchy,tProductHierarchyLevel[],2,FALSE),"")</f>
        <v>2</v>
      </c>
      <c r="E6" s="5" t="s">
        <v>15</v>
      </c>
      <c r="G6" t="s">
        <v>19</v>
      </c>
      <c r="I6" t="s">
        <v>53</v>
      </c>
      <c r="J6" t="e">
        <f>COLUMN(#REF!)</f>
        <v>#REF!</v>
      </c>
      <c r="K6" t="s">
        <v>47</v>
      </c>
      <c r="M6" t="s">
        <v>53</v>
      </c>
      <c r="N6">
        <v>5</v>
      </c>
      <c r="O6" t="s">
        <v>58</v>
      </c>
    </row>
    <row r="7" spans="1:15" x14ac:dyDescent="0.35">
      <c r="A7" t="s">
        <v>28</v>
      </c>
      <c r="B7" s="9" t="s">
        <v>54</v>
      </c>
      <c r="C7" t="str">
        <f>IFERROR(VLOOKUP(CustomerHierarchy,tCustomerLevel[],2,FALSE),"")</f>
        <v/>
      </c>
      <c r="E7" s="5" t="s">
        <v>17</v>
      </c>
      <c r="G7" t="s">
        <v>10</v>
      </c>
      <c r="I7" t="s">
        <v>54</v>
      </c>
      <c r="J7" t="e">
        <f>COLUMN(#REF!)</f>
        <v>#REF!</v>
      </c>
      <c r="K7" t="s">
        <v>48</v>
      </c>
      <c r="M7" t="s">
        <v>54</v>
      </c>
      <c r="N7">
        <v>8</v>
      </c>
      <c r="O7" t="s">
        <v>59</v>
      </c>
    </row>
    <row r="8" spans="1:15" x14ac:dyDescent="0.35">
      <c r="A8" t="s">
        <v>27</v>
      </c>
      <c r="B8" s="9" t="s">
        <v>105</v>
      </c>
      <c r="C8" t="str">
        <f t="shared" ref="C8:C10" si="0">B8</f>
        <v>Gross</v>
      </c>
      <c r="I8" t="s">
        <v>55</v>
      </c>
      <c r="J8" t="e">
        <f>COLUMN(#REF!)</f>
        <v>#REF!</v>
      </c>
      <c r="K8" t="s">
        <v>49</v>
      </c>
      <c r="M8" t="s">
        <v>55</v>
      </c>
      <c r="N8">
        <v>12</v>
      </c>
      <c r="O8" t="s">
        <v>60</v>
      </c>
    </row>
    <row r="9" spans="1:15" x14ac:dyDescent="0.35">
      <c r="A9" t="s">
        <v>26</v>
      </c>
      <c r="B9" s="9">
        <v>1</v>
      </c>
      <c r="C9">
        <f t="shared" si="0"/>
        <v>1</v>
      </c>
    </row>
    <row r="10" spans="1:15" x14ac:dyDescent="0.35">
      <c r="A10" t="s">
        <v>8</v>
      </c>
      <c r="B10" s="9" t="s">
        <v>106</v>
      </c>
      <c r="C10" t="str">
        <f t="shared" si="0"/>
        <v>Default</v>
      </c>
    </row>
    <row r="11" spans="1:15" x14ac:dyDescent="0.35">
      <c r="A11" t="s">
        <v>149</v>
      </c>
      <c r="B11" s="35">
        <v>41611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B10"/>
  <sheetViews>
    <sheetView showGridLines="0" zoomScale="85" zoomScaleNormal="85" workbookViewId="0"/>
  </sheetViews>
  <sheetFormatPr defaultColWidth="11.453125" defaultRowHeight="14.5" x14ac:dyDescent="0.35"/>
  <cols>
    <col min="1" max="1" width="14.7265625" customWidth="1"/>
    <col min="2" max="2" width="42.1796875" bestFit="1" customWidth="1"/>
  </cols>
  <sheetData>
    <row r="1" spans="1:2" ht="23.5" x14ac:dyDescent="0.55000000000000004">
      <c r="A1" s="11" t="s">
        <v>45</v>
      </c>
    </row>
    <row r="4" spans="1:2" x14ac:dyDescent="0.35">
      <c r="A4" t="s">
        <v>2</v>
      </c>
      <c r="B4" s="23">
        <v>14</v>
      </c>
    </row>
    <row r="5" spans="1:2" x14ac:dyDescent="0.35">
      <c r="A5" t="s">
        <v>1</v>
      </c>
      <c r="B5" s="23" t="s">
        <v>379</v>
      </c>
    </row>
    <row r="6" spans="1:2" x14ac:dyDescent="0.35">
      <c r="A6" t="s">
        <v>20</v>
      </c>
      <c r="B6" s="23" t="s">
        <v>299</v>
      </c>
    </row>
    <row r="7" spans="1:2" x14ac:dyDescent="0.35">
      <c r="A7" t="s">
        <v>21</v>
      </c>
      <c r="B7" s="23" t="s">
        <v>125</v>
      </c>
    </row>
    <row r="8" spans="1:2" x14ac:dyDescent="0.35">
      <c r="A8" t="s">
        <v>69</v>
      </c>
      <c r="B8" s="23" t="s">
        <v>379</v>
      </c>
    </row>
    <row r="9" spans="1:2" x14ac:dyDescent="0.35">
      <c r="A9" t="s">
        <v>197</v>
      </c>
      <c r="B9" s="9" t="s">
        <v>378</v>
      </c>
    </row>
    <row r="10" spans="1:2" x14ac:dyDescent="0.35">
      <c r="A10" t="s">
        <v>198</v>
      </c>
      <c r="B10" s="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K25"/>
  <sheetViews>
    <sheetView showGridLines="0" showRowColHeaders="0" tabSelected="1" zoomScale="85" zoomScaleNormal="85" workbookViewId="0">
      <pane ySplit="64" topLeftCell="A65" activePane="bottomLeft" state="frozen"/>
      <selection activeCell="B2" sqref="B2"/>
      <selection pane="bottomLeft" activeCell="A65" sqref="A65"/>
    </sheetView>
  </sheetViews>
  <sheetFormatPr defaultColWidth="11" defaultRowHeight="15.5" x14ac:dyDescent="0.35"/>
  <cols>
    <col min="1" max="1" width="4.453125" style="5" customWidth="1"/>
    <col min="2" max="3" width="11" style="7"/>
    <col min="4" max="16384" width="11" style="5"/>
  </cols>
  <sheetData>
    <row r="2" spans="2:11" ht="17.5" x14ac:dyDescent="0.35">
      <c r="K2" s="6"/>
    </row>
    <row r="5" spans="2:11" x14ac:dyDescent="0.35">
      <c r="E5" s="7" t="s">
        <v>296</v>
      </c>
    </row>
    <row r="9" spans="2:11" ht="21" x14ac:dyDescent="0.5">
      <c r="B9" s="8" t="s">
        <v>298</v>
      </c>
      <c r="J9" s="14"/>
      <c r="K9" s="14" t="s">
        <v>297</v>
      </c>
    </row>
    <row r="10" spans="2:11" x14ac:dyDescent="0.35">
      <c r="B10" s="7" t="s">
        <v>121</v>
      </c>
    </row>
    <row r="11" spans="2:11" x14ac:dyDescent="0.35">
      <c r="B11" s="7" t="s">
        <v>122</v>
      </c>
    </row>
    <row r="12" spans="2:11" x14ac:dyDescent="0.35">
      <c r="B12" s="7" t="s">
        <v>123</v>
      </c>
    </row>
    <row r="13" spans="2:11" x14ac:dyDescent="0.35">
      <c r="B13" s="7" t="s">
        <v>124</v>
      </c>
    </row>
    <row r="19" spans="2:2" x14ac:dyDescent="0.35">
      <c r="B19" s="21"/>
    </row>
    <row r="22" spans="2:2" x14ac:dyDescent="0.35">
      <c r="B22" s="24"/>
    </row>
    <row r="24" spans="2:2" x14ac:dyDescent="0.35">
      <c r="B24" s="21"/>
    </row>
    <row r="25" spans="2:2" x14ac:dyDescent="0.35">
      <c r="B25" s="25"/>
    </row>
  </sheetData>
  <sheetProtection algorithmName="SHA-512" hashValue="htFEmlv2/WJMernIHuSSEhZ/e+D4LwL7enoyvPRwMw5f7SeBWDEsCvAssSRyTE3jxbOEBl13mhf5S9O2z1Qe2g==" saltValue="Xwbp4vAoodskAe6YlfsTRQ==" spinCount="100000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>
    <tabColor rgb="FFC00000"/>
  </sheetPr>
  <dimension ref="A1:M537"/>
  <sheetViews>
    <sheetView showGridLines="0" zoomScale="85" workbookViewId="0">
      <pane ySplit="7" topLeftCell="A8" activePane="bottomLeft" state="frozen"/>
      <selection activeCell="A8" sqref="A8"/>
      <selection pane="bottomLeft" activeCell="A8" sqref="A8"/>
    </sheetView>
  </sheetViews>
  <sheetFormatPr defaultColWidth="11.453125" defaultRowHeight="12.5" x14ac:dyDescent="0.25"/>
  <cols>
    <col min="1" max="1" width="14" style="37" customWidth="1"/>
    <col min="2" max="2" width="14.1796875" style="37" customWidth="1"/>
    <col min="3" max="3" width="8" style="37" customWidth="1"/>
    <col min="4" max="4" width="4.54296875" style="37" customWidth="1"/>
    <col min="5" max="5" width="11.26953125" style="37" customWidth="1"/>
    <col min="6" max="6" width="7.81640625" style="37" customWidth="1"/>
    <col min="7" max="7" width="30.453125" style="37" bestFit="1" customWidth="1"/>
    <col min="8" max="8" width="11.453125" style="37"/>
    <col min="9" max="9" width="11.26953125" style="37" customWidth="1"/>
    <col min="10" max="10" width="17.453125" style="37" customWidth="1"/>
    <col min="11" max="11" width="11.453125" style="37"/>
    <col min="12" max="12" width="18.1796875" style="37" customWidth="1"/>
    <col min="13" max="16384" width="11.453125" style="37"/>
  </cols>
  <sheetData>
    <row r="1" spans="1:13" ht="20" x14ac:dyDescent="0.4">
      <c r="A1" s="26" t="s">
        <v>187</v>
      </c>
      <c r="B1" s="26"/>
      <c r="C1" s="26"/>
      <c r="D1" s="26"/>
      <c r="E1" s="26"/>
      <c r="F1" s="26"/>
      <c r="G1" s="26"/>
      <c r="J1" s="26"/>
      <c r="K1" s="28"/>
      <c r="L1" s="28"/>
      <c r="M1" s="28"/>
    </row>
    <row r="2" spans="1:13" x14ac:dyDescent="0.25">
      <c r="A2" s="28" t="s">
        <v>188</v>
      </c>
      <c r="B2" s="28"/>
      <c r="C2" s="28"/>
      <c r="D2" s="28"/>
      <c r="E2" s="28"/>
      <c r="F2" s="28"/>
      <c r="G2" s="28"/>
      <c r="J2" s="28"/>
      <c r="K2" s="28"/>
      <c r="L2" s="28"/>
      <c r="M2" s="28"/>
    </row>
    <row r="3" spans="1:13" x14ac:dyDescent="0.25">
      <c r="A3" s="28"/>
      <c r="B3" s="28"/>
      <c r="C3" s="28"/>
      <c r="D3" s="28"/>
      <c r="E3" s="28"/>
      <c r="F3" s="28"/>
      <c r="G3" s="28"/>
      <c r="J3" s="28"/>
      <c r="K3" s="28"/>
      <c r="L3" s="28"/>
      <c r="M3" s="28"/>
    </row>
    <row r="4" spans="1:13" x14ac:dyDescent="0.25">
      <c r="K4" s="28"/>
      <c r="L4" s="28"/>
      <c r="M4" s="28"/>
    </row>
    <row r="5" spans="1:13" x14ac:dyDescent="0.25">
      <c r="A5" s="28"/>
      <c r="B5" s="28"/>
      <c r="C5" s="28"/>
      <c r="D5" s="28"/>
      <c r="E5" s="28"/>
      <c r="F5" s="28"/>
      <c r="G5" s="28"/>
      <c r="J5" s="28"/>
      <c r="K5" s="28"/>
      <c r="L5" s="28"/>
      <c r="M5" s="28"/>
    </row>
    <row r="6" spans="1:13" x14ac:dyDescent="0.25">
      <c r="A6" s="28"/>
      <c r="B6" s="28"/>
      <c r="C6" s="28"/>
      <c r="D6" s="28"/>
      <c r="E6" s="28"/>
      <c r="F6" s="28"/>
      <c r="G6" s="28"/>
      <c r="J6" s="28"/>
      <c r="K6" s="28"/>
      <c r="L6" s="28"/>
      <c r="M6" s="28"/>
    </row>
    <row r="7" spans="1:13" ht="13" x14ac:dyDescent="0.3">
      <c r="A7" s="38" t="s">
        <v>34</v>
      </c>
      <c r="B7" s="39" t="s">
        <v>147</v>
      </c>
      <c r="C7" s="40" t="s">
        <v>22</v>
      </c>
      <c r="D7" s="40" t="s">
        <v>23</v>
      </c>
      <c r="E7" s="40" t="s">
        <v>109</v>
      </c>
      <c r="F7" s="40" t="s">
        <v>127</v>
      </c>
      <c r="G7" s="39" t="s">
        <v>189</v>
      </c>
      <c r="I7" s="41" t="s">
        <v>190</v>
      </c>
      <c r="J7" s="42" t="s">
        <v>147</v>
      </c>
      <c r="L7" s="41" t="s">
        <v>191</v>
      </c>
    </row>
    <row r="8" spans="1:13" ht="14.5" x14ac:dyDescent="0.35">
      <c r="A8" s="43" t="s">
        <v>192</v>
      </c>
      <c r="B8" s="43" t="s">
        <v>193</v>
      </c>
      <c r="C8" s="43">
        <v>1</v>
      </c>
      <c r="D8" s="44">
        <v>1</v>
      </c>
      <c r="E8" s="44"/>
      <c r="F8" s="44">
        <v>10</v>
      </c>
      <c r="G8" s="44" t="s">
        <v>117</v>
      </c>
      <c r="I8" s="37">
        <v>2101</v>
      </c>
      <c r="J8" s="28" t="s">
        <v>194</v>
      </c>
      <c r="K8" s="28"/>
      <c r="L8" s="37">
        <v>922</v>
      </c>
    </row>
    <row r="9" spans="1:13" ht="14.5" x14ac:dyDescent="0.35">
      <c r="A9" s="43" t="s">
        <v>195</v>
      </c>
      <c r="B9" s="43" t="s">
        <v>193</v>
      </c>
      <c r="C9" s="43">
        <v>1</v>
      </c>
      <c r="D9" s="44">
        <v>89</v>
      </c>
      <c r="E9" s="44"/>
      <c r="F9" s="44">
        <v>10</v>
      </c>
      <c r="G9" s="44" t="s">
        <v>117</v>
      </c>
      <c r="I9" s="37">
        <v>2102</v>
      </c>
      <c r="J9" s="28" t="s">
        <v>194</v>
      </c>
      <c r="K9" s="28"/>
    </row>
    <row r="10" spans="1:13" ht="14.5" x14ac:dyDescent="0.35">
      <c r="A10" s="43" t="s">
        <v>196</v>
      </c>
      <c r="B10" s="43" t="s">
        <v>193</v>
      </c>
      <c r="C10" s="43">
        <v>1</v>
      </c>
      <c r="D10" s="44">
        <v>99</v>
      </c>
      <c r="E10" s="44"/>
      <c r="F10" s="44">
        <v>10</v>
      </c>
      <c r="G10" s="44" t="s">
        <v>117</v>
      </c>
      <c r="I10" s="37">
        <v>2103</v>
      </c>
      <c r="J10" s="28" t="s">
        <v>194</v>
      </c>
      <c r="K10" s="28"/>
    </row>
    <row r="11" spans="1:13" x14ac:dyDescent="0.25">
      <c r="B11" s="45"/>
      <c r="C11" s="45"/>
      <c r="D11" s="45"/>
      <c r="E11" s="45"/>
      <c r="F11" s="45"/>
      <c r="G11" s="45"/>
    </row>
    <row r="12" spans="1:13" x14ac:dyDescent="0.25">
      <c r="B12" s="45"/>
      <c r="C12" s="45"/>
      <c r="D12" s="45"/>
      <c r="E12" s="45"/>
      <c r="F12" s="45"/>
      <c r="G12" s="45"/>
    </row>
    <row r="13" spans="1:13" x14ac:dyDescent="0.25">
      <c r="B13" s="45"/>
      <c r="C13" s="45"/>
      <c r="D13" s="45"/>
      <c r="E13" s="45"/>
      <c r="F13" s="45"/>
      <c r="G13" s="45"/>
    </row>
    <row r="14" spans="1:13" x14ac:dyDescent="0.25">
      <c r="B14" s="45"/>
      <c r="C14" s="45"/>
      <c r="D14" s="45"/>
      <c r="E14" s="45"/>
      <c r="F14" s="45"/>
      <c r="G14" s="45"/>
    </row>
    <row r="15" spans="1:13" x14ac:dyDescent="0.25">
      <c r="B15" s="45"/>
      <c r="C15" s="45"/>
      <c r="D15" s="45"/>
      <c r="E15" s="45"/>
      <c r="F15" s="45"/>
      <c r="G15" s="45"/>
    </row>
    <row r="16" spans="1:13" x14ac:dyDescent="0.25">
      <c r="B16" s="45"/>
      <c r="C16" s="45"/>
      <c r="D16" s="45"/>
      <c r="E16" s="45"/>
      <c r="F16" s="45"/>
      <c r="G16" s="45"/>
    </row>
    <row r="17" spans="2:7" x14ac:dyDescent="0.25">
      <c r="B17" s="45"/>
      <c r="C17" s="45"/>
      <c r="D17" s="45"/>
      <c r="E17" s="45"/>
      <c r="F17" s="45"/>
      <c r="G17" s="45"/>
    </row>
    <row r="18" spans="2:7" x14ac:dyDescent="0.25">
      <c r="B18" s="45"/>
      <c r="C18" s="45"/>
      <c r="D18" s="45"/>
      <c r="E18" s="45"/>
      <c r="F18" s="45"/>
      <c r="G18" s="45"/>
    </row>
    <row r="19" spans="2:7" x14ac:dyDescent="0.25">
      <c r="B19" s="45"/>
      <c r="C19" s="45"/>
      <c r="D19" s="45"/>
      <c r="E19" s="45"/>
      <c r="F19" s="45"/>
      <c r="G19" s="45"/>
    </row>
    <row r="20" spans="2:7" x14ac:dyDescent="0.25">
      <c r="B20" s="45"/>
      <c r="C20" s="45"/>
      <c r="D20" s="45"/>
      <c r="E20" s="45"/>
      <c r="F20" s="45"/>
      <c r="G20" s="45"/>
    </row>
    <row r="21" spans="2:7" x14ac:dyDescent="0.25">
      <c r="B21" s="45"/>
      <c r="C21" s="45"/>
      <c r="D21" s="45"/>
      <c r="E21" s="45"/>
      <c r="F21" s="45"/>
      <c r="G21" s="45"/>
    </row>
    <row r="22" spans="2:7" x14ac:dyDescent="0.25">
      <c r="B22" s="45"/>
      <c r="C22" s="45"/>
      <c r="D22" s="45"/>
      <c r="E22" s="45"/>
      <c r="F22" s="45"/>
      <c r="G22" s="45"/>
    </row>
    <row r="23" spans="2:7" x14ac:dyDescent="0.25">
      <c r="B23" s="45"/>
      <c r="C23" s="45"/>
      <c r="D23" s="45"/>
      <c r="E23" s="45"/>
      <c r="F23" s="45"/>
      <c r="G23" s="45"/>
    </row>
    <row r="24" spans="2:7" x14ac:dyDescent="0.25">
      <c r="B24" s="45"/>
      <c r="C24" s="45"/>
      <c r="D24" s="45"/>
      <c r="E24" s="45"/>
      <c r="F24" s="45"/>
      <c r="G24" s="45"/>
    </row>
    <row r="25" spans="2:7" x14ac:dyDescent="0.25">
      <c r="B25" s="45"/>
      <c r="C25" s="45"/>
      <c r="D25" s="45"/>
      <c r="E25" s="45"/>
      <c r="F25" s="45"/>
      <c r="G25" s="45"/>
    </row>
    <row r="26" spans="2:7" x14ac:dyDescent="0.25">
      <c r="B26" s="45"/>
      <c r="C26" s="45"/>
      <c r="D26" s="45"/>
      <c r="E26" s="45"/>
      <c r="F26" s="45"/>
      <c r="G26" s="45"/>
    </row>
    <row r="27" spans="2:7" x14ac:dyDescent="0.25">
      <c r="B27" s="45"/>
      <c r="C27" s="45"/>
      <c r="D27" s="45"/>
      <c r="E27" s="45"/>
      <c r="F27" s="45"/>
      <c r="G27" s="45"/>
    </row>
    <row r="28" spans="2:7" x14ac:dyDescent="0.25">
      <c r="B28" s="45"/>
      <c r="C28" s="45"/>
      <c r="D28" s="45"/>
      <c r="E28" s="45"/>
      <c r="F28" s="45"/>
      <c r="G28" s="45"/>
    </row>
    <row r="29" spans="2:7" x14ac:dyDescent="0.25">
      <c r="B29" s="45"/>
      <c r="C29" s="45"/>
      <c r="D29" s="45"/>
      <c r="E29" s="45"/>
      <c r="F29" s="45"/>
      <c r="G29" s="45"/>
    </row>
    <row r="30" spans="2:7" x14ac:dyDescent="0.25">
      <c r="B30" s="45"/>
      <c r="C30" s="45"/>
      <c r="D30" s="45"/>
      <c r="E30" s="45"/>
      <c r="F30" s="45"/>
      <c r="G30" s="45"/>
    </row>
    <row r="31" spans="2:7" x14ac:dyDescent="0.25">
      <c r="B31" s="45"/>
      <c r="C31" s="45"/>
      <c r="D31" s="45"/>
      <c r="E31" s="45"/>
      <c r="F31" s="45"/>
      <c r="G31" s="45"/>
    </row>
    <row r="32" spans="2:7" x14ac:dyDescent="0.25">
      <c r="B32" s="45"/>
      <c r="C32" s="45"/>
      <c r="D32" s="45"/>
      <c r="E32" s="45"/>
      <c r="F32" s="45"/>
      <c r="G32" s="45"/>
    </row>
    <row r="33" spans="2:7" x14ac:dyDescent="0.25">
      <c r="B33" s="45"/>
      <c r="C33" s="45"/>
      <c r="D33" s="45"/>
      <c r="E33" s="45"/>
      <c r="F33" s="45"/>
      <c r="G33" s="45"/>
    </row>
    <row r="34" spans="2:7" x14ac:dyDescent="0.25">
      <c r="B34" s="45"/>
      <c r="C34" s="45"/>
      <c r="D34" s="45"/>
      <c r="E34" s="45"/>
      <c r="F34" s="45"/>
      <c r="G34" s="45"/>
    </row>
    <row r="35" spans="2:7" x14ac:dyDescent="0.25">
      <c r="B35" s="45"/>
      <c r="C35" s="45"/>
      <c r="D35" s="45"/>
      <c r="E35" s="45"/>
      <c r="F35" s="45"/>
      <c r="G35" s="45"/>
    </row>
    <row r="36" spans="2:7" x14ac:dyDescent="0.25">
      <c r="B36" s="45"/>
      <c r="C36" s="45"/>
      <c r="D36" s="45"/>
      <c r="E36" s="45"/>
      <c r="F36" s="45"/>
      <c r="G36" s="45"/>
    </row>
    <row r="37" spans="2:7" x14ac:dyDescent="0.25">
      <c r="B37" s="45"/>
      <c r="C37" s="45"/>
      <c r="D37" s="45"/>
      <c r="E37" s="45"/>
      <c r="F37" s="45"/>
      <c r="G37" s="45"/>
    </row>
    <row r="38" spans="2:7" x14ac:dyDescent="0.25">
      <c r="B38" s="45"/>
      <c r="C38" s="45"/>
      <c r="D38" s="45"/>
      <c r="E38" s="45"/>
      <c r="F38" s="45"/>
      <c r="G38" s="45"/>
    </row>
    <row r="39" spans="2:7" x14ac:dyDescent="0.25">
      <c r="B39" s="45"/>
      <c r="C39" s="45"/>
      <c r="D39" s="45"/>
      <c r="E39" s="45"/>
      <c r="F39" s="45"/>
      <c r="G39" s="45"/>
    </row>
    <row r="40" spans="2:7" x14ac:dyDescent="0.25">
      <c r="B40" s="45"/>
      <c r="C40" s="45"/>
      <c r="D40" s="45"/>
      <c r="E40" s="45"/>
      <c r="F40" s="45"/>
      <c r="G40" s="45"/>
    </row>
    <row r="41" spans="2:7" x14ac:dyDescent="0.25">
      <c r="B41" s="45"/>
      <c r="C41" s="45"/>
      <c r="D41" s="45"/>
      <c r="E41" s="45"/>
      <c r="F41" s="45"/>
      <c r="G41" s="45"/>
    </row>
    <row r="42" spans="2:7" x14ac:dyDescent="0.25">
      <c r="B42" s="45"/>
      <c r="C42" s="45"/>
      <c r="D42" s="45"/>
      <c r="E42" s="45"/>
      <c r="F42" s="45"/>
      <c r="G42" s="45"/>
    </row>
    <row r="43" spans="2:7" x14ac:dyDescent="0.25">
      <c r="B43" s="45"/>
      <c r="C43" s="45"/>
      <c r="D43" s="45"/>
      <c r="E43" s="45"/>
      <c r="F43" s="45"/>
      <c r="G43" s="45"/>
    </row>
    <row r="44" spans="2:7" x14ac:dyDescent="0.25">
      <c r="B44" s="45"/>
      <c r="C44" s="45"/>
      <c r="D44" s="45"/>
      <c r="E44" s="45"/>
      <c r="F44" s="45"/>
      <c r="G44" s="45"/>
    </row>
    <row r="45" spans="2:7" x14ac:dyDescent="0.25">
      <c r="B45" s="45"/>
      <c r="C45" s="45"/>
      <c r="D45" s="45"/>
      <c r="E45" s="45"/>
      <c r="F45" s="45"/>
      <c r="G45" s="45"/>
    </row>
    <row r="46" spans="2:7" x14ac:dyDescent="0.25">
      <c r="B46" s="45"/>
      <c r="C46" s="45"/>
      <c r="D46" s="45"/>
      <c r="E46" s="45"/>
      <c r="F46" s="45"/>
      <c r="G46" s="45"/>
    </row>
    <row r="47" spans="2:7" x14ac:dyDescent="0.25">
      <c r="B47" s="45"/>
      <c r="C47" s="45"/>
      <c r="D47" s="45"/>
      <c r="E47" s="45"/>
      <c r="F47" s="45"/>
      <c r="G47" s="45"/>
    </row>
    <row r="48" spans="2:7" x14ac:dyDescent="0.25">
      <c r="B48" s="45"/>
      <c r="C48" s="45"/>
      <c r="D48" s="45"/>
      <c r="E48" s="45"/>
      <c r="F48" s="45"/>
      <c r="G48" s="45"/>
    </row>
    <row r="49" spans="2:7" x14ac:dyDescent="0.25">
      <c r="B49" s="45"/>
      <c r="C49" s="45"/>
      <c r="D49" s="45"/>
      <c r="E49" s="45"/>
      <c r="F49" s="45"/>
      <c r="G49" s="45"/>
    </row>
    <row r="50" spans="2:7" x14ac:dyDescent="0.25">
      <c r="B50" s="45"/>
      <c r="C50" s="45"/>
      <c r="D50" s="45"/>
      <c r="E50" s="45"/>
      <c r="F50" s="45"/>
      <c r="G50" s="45"/>
    </row>
    <row r="51" spans="2:7" x14ac:dyDescent="0.25">
      <c r="B51" s="45"/>
      <c r="C51" s="45"/>
      <c r="D51" s="45"/>
      <c r="E51" s="45"/>
      <c r="F51" s="45"/>
      <c r="G51" s="45"/>
    </row>
    <row r="52" spans="2:7" x14ac:dyDescent="0.25">
      <c r="B52" s="45"/>
      <c r="C52" s="45"/>
      <c r="D52" s="45"/>
      <c r="E52" s="45"/>
      <c r="F52" s="45"/>
      <c r="G52" s="45"/>
    </row>
    <row r="53" spans="2:7" x14ac:dyDescent="0.25">
      <c r="B53" s="45"/>
      <c r="C53" s="45"/>
      <c r="D53" s="45"/>
      <c r="E53" s="45"/>
      <c r="F53" s="45"/>
      <c r="G53" s="45"/>
    </row>
    <row r="54" spans="2:7" x14ac:dyDescent="0.25">
      <c r="B54" s="45"/>
      <c r="C54" s="45"/>
      <c r="D54" s="45"/>
      <c r="E54" s="45"/>
      <c r="F54" s="45"/>
      <c r="G54" s="45"/>
    </row>
    <row r="55" spans="2:7" x14ac:dyDescent="0.25">
      <c r="B55" s="45"/>
      <c r="C55" s="45"/>
      <c r="D55" s="45"/>
      <c r="E55" s="45"/>
      <c r="F55" s="45"/>
      <c r="G55" s="45"/>
    </row>
    <row r="56" spans="2:7" x14ac:dyDescent="0.25">
      <c r="B56" s="45"/>
      <c r="C56" s="45"/>
      <c r="D56" s="45"/>
      <c r="E56" s="45"/>
      <c r="F56" s="45"/>
      <c r="G56" s="45"/>
    </row>
    <row r="57" spans="2:7" x14ac:dyDescent="0.25">
      <c r="B57" s="45"/>
      <c r="C57" s="45"/>
      <c r="D57" s="45"/>
      <c r="E57" s="45"/>
      <c r="F57" s="45"/>
      <c r="G57" s="45"/>
    </row>
    <row r="58" spans="2:7" x14ac:dyDescent="0.25">
      <c r="B58" s="45"/>
      <c r="C58" s="45"/>
      <c r="D58" s="45"/>
      <c r="E58" s="45"/>
      <c r="F58" s="45"/>
      <c r="G58" s="45"/>
    </row>
    <row r="59" spans="2:7" x14ac:dyDescent="0.25">
      <c r="B59" s="45"/>
      <c r="C59" s="45"/>
      <c r="D59" s="45"/>
      <c r="E59" s="45"/>
      <c r="F59" s="45"/>
      <c r="G59" s="45"/>
    </row>
    <row r="60" spans="2:7" x14ac:dyDescent="0.25">
      <c r="B60" s="45"/>
      <c r="C60" s="45"/>
      <c r="D60" s="45"/>
      <c r="E60" s="45"/>
      <c r="F60" s="45"/>
      <c r="G60" s="45"/>
    </row>
    <row r="61" spans="2:7" x14ac:dyDescent="0.25">
      <c r="B61" s="45"/>
      <c r="C61" s="45"/>
      <c r="D61" s="45"/>
      <c r="E61" s="45"/>
      <c r="F61" s="45"/>
      <c r="G61" s="45"/>
    </row>
    <row r="62" spans="2:7" x14ac:dyDescent="0.25">
      <c r="B62" s="45"/>
      <c r="C62" s="45"/>
      <c r="D62" s="45"/>
      <c r="E62" s="45"/>
      <c r="F62" s="45"/>
      <c r="G62" s="45"/>
    </row>
    <row r="63" spans="2:7" x14ac:dyDescent="0.25">
      <c r="B63" s="45"/>
      <c r="C63" s="45"/>
      <c r="D63" s="45"/>
      <c r="E63" s="45"/>
      <c r="F63" s="45"/>
      <c r="G63" s="45"/>
    </row>
    <row r="64" spans="2:7" x14ac:dyDescent="0.25">
      <c r="B64" s="45"/>
      <c r="C64" s="45"/>
      <c r="D64" s="45"/>
      <c r="E64" s="45"/>
      <c r="F64" s="45"/>
      <c r="G64" s="45"/>
    </row>
    <row r="65" spans="2:7" x14ac:dyDescent="0.25">
      <c r="B65" s="45"/>
      <c r="C65" s="45"/>
      <c r="D65" s="45"/>
      <c r="E65" s="45"/>
      <c r="F65" s="45"/>
      <c r="G65" s="45"/>
    </row>
    <row r="66" spans="2:7" x14ac:dyDescent="0.25">
      <c r="B66" s="45"/>
      <c r="C66" s="45"/>
      <c r="D66" s="45"/>
      <c r="E66" s="45"/>
      <c r="F66" s="45"/>
      <c r="G66" s="45"/>
    </row>
    <row r="67" spans="2:7" x14ac:dyDescent="0.25">
      <c r="B67" s="45"/>
      <c r="C67" s="45"/>
      <c r="D67" s="45"/>
      <c r="E67" s="45"/>
      <c r="F67" s="45"/>
      <c r="G67" s="45"/>
    </row>
    <row r="68" spans="2:7" x14ac:dyDescent="0.25">
      <c r="B68" s="45"/>
      <c r="C68" s="45"/>
      <c r="D68" s="45"/>
      <c r="E68" s="45"/>
      <c r="F68" s="45"/>
      <c r="G68" s="45"/>
    </row>
    <row r="69" spans="2:7" x14ac:dyDescent="0.25">
      <c r="B69" s="45"/>
      <c r="C69" s="45"/>
      <c r="D69" s="45"/>
      <c r="E69" s="45"/>
      <c r="F69" s="45"/>
      <c r="G69" s="45"/>
    </row>
    <row r="70" spans="2:7" x14ac:dyDescent="0.25">
      <c r="B70" s="45"/>
      <c r="C70" s="45"/>
      <c r="D70" s="45"/>
      <c r="E70" s="45"/>
      <c r="F70" s="45"/>
      <c r="G70" s="45"/>
    </row>
    <row r="71" spans="2:7" x14ac:dyDescent="0.25">
      <c r="B71" s="45"/>
      <c r="C71" s="45"/>
      <c r="D71" s="45"/>
      <c r="E71" s="45"/>
      <c r="F71" s="45"/>
      <c r="G71" s="45"/>
    </row>
    <row r="72" spans="2:7" x14ac:dyDescent="0.25">
      <c r="B72" s="45"/>
      <c r="C72" s="45"/>
      <c r="D72" s="45"/>
      <c r="E72" s="45"/>
      <c r="F72" s="45"/>
      <c r="G72" s="45"/>
    </row>
    <row r="73" spans="2:7" x14ac:dyDescent="0.25">
      <c r="B73" s="45"/>
      <c r="C73" s="45"/>
      <c r="D73" s="45"/>
      <c r="E73" s="45"/>
      <c r="F73" s="45"/>
      <c r="G73" s="45"/>
    </row>
    <row r="74" spans="2:7" x14ac:dyDescent="0.25">
      <c r="B74" s="45"/>
      <c r="C74" s="45"/>
      <c r="D74" s="45"/>
      <c r="E74" s="45"/>
      <c r="F74" s="45"/>
      <c r="G74" s="45"/>
    </row>
    <row r="75" spans="2:7" x14ac:dyDescent="0.25">
      <c r="B75" s="45"/>
      <c r="C75" s="45"/>
      <c r="D75" s="45"/>
      <c r="E75" s="45"/>
      <c r="F75" s="45"/>
      <c r="G75" s="45"/>
    </row>
    <row r="76" spans="2:7" x14ac:dyDescent="0.25">
      <c r="B76" s="45"/>
      <c r="C76" s="45"/>
      <c r="D76" s="45"/>
      <c r="E76" s="45"/>
      <c r="F76" s="45"/>
      <c r="G76" s="45"/>
    </row>
    <row r="77" spans="2:7" x14ac:dyDescent="0.25">
      <c r="B77" s="45"/>
      <c r="C77" s="45"/>
      <c r="D77" s="45"/>
      <c r="E77" s="45"/>
      <c r="F77" s="45"/>
      <c r="G77" s="45"/>
    </row>
    <row r="78" spans="2:7" x14ac:dyDescent="0.25">
      <c r="B78" s="45"/>
      <c r="C78" s="45"/>
      <c r="D78" s="45"/>
      <c r="E78" s="45"/>
      <c r="F78" s="45"/>
      <c r="G78" s="45"/>
    </row>
    <row r="79" spans="2:7" x14ac:dyDescent="0.25">
      <c r="B79" s="45"/>
      <c r="C79" s="45"/>
      <c r="D79" s="45"/>
      <c r="E79" s="45"/>
      <c r="F79" s="45"/>
      <c r="G79" s="45"/>
    </row>
    <row r="80" spans="2:7" x14ac:dyDescent="0.25">
      <c r="B80" s="45"/>
      <c r="C80" s="45"/>
      <c r="D80" s="45"/>
      <c r="E80" s="45"/>
      <c r="F80" s="45"/>
      <c r="G80" s="45"/>
    </row>
    <row r="81" spans="2:7" x14ac:dyDescent="0.25">
      <c r="B81" s="45"/>
      <c r="C81" s="45"/>
      <c r="D81" s="45"/>
      <c r="E81" s="45"/>
      <c r="F81" s="45"/>
      <c r="G81" s="45"/>
    </row>
    <row r="82" spans="2:7" x14ac:dyDescent="0.25">
      <c r="B82" s="45"/>
      <c r="C82" s="45"/>
      <c r="D82" s="45"/>
      <c r="E82" s="45"/>
      <c r="F82" s="45"/>
      <c r="G82" s="45"/>
    </row>
    <row r="83" spans="2:7" x14ac:dyDescent="0.25">
      <c r="B83" s="45"/>
      <c r="C83" s="45"/>
      <c r="D83" s="45"/>
      <c r="E83" s="45"/>
      <c r="F83" s="45"/>
      <c r="G83" s="45"/>
    </row>
    <row r="84" spans="2:7" x14ac:dyDescent="0.25">
      <c r="B84" s="45"/>
      <c r="C84" s="45"/>
      <c r="D84" s="45"/>
      <c r="E84" s="45"/>
      <c r="F84" s="45"/>
      <c r="G84" s="45"/>
    </row>
    <row r="85" spans="2:7" x14ac:dyDescent="0.25">
      <c r="B85" s="45"/>
      <c r="C85" s="45"/>
      <c r="D85" s="45"/>
      <c r="E85" s="45"/>
      <c r="F85" s="45"/>
      <c r="G85" s="45"/>
    </row>
    <row r="86" spans="2:7" x14ac:dyDescent="0.25">
      <c r="B86" s="45"/>
      <c r="C86" s="45"/>
      <c r="D86" s="45"/>
      <c r="E86" s="45"/>
      <c r="F86" s="45"/>
      <c r="G86" s="45"/>
    </row>
    <row r="87" spans="2:7" x14ac:dyDescent="0.25">
      <c r="B87" s="45"/>
      <c r="C87" s="45"/>
      <c r="D87" s="45"/>
      <c r="E87" s="45"/>
      <c r="F87" s="45"/>
      <c r="G87" s="45"/>
    </row>
    <row r="88" spans="2:7" x14ac:dyDescent="0.25">
      <c r="B88" s="45"/>
      <c r="C88" s="45"/>
      <c r="D88" s="45"/>
      <c r="E88" s="45"/>
      <c r="F88" s="45"/>
      <c r="G88" s="45"/>
    </row>
    <row r="89" spans="2:7" x14ac:dyDescent="0.25">
      <c r="B89" s="45"/>
      <c r="C89" s="45"/>
      <c r="D89" s="45"/>
      <c r="E89" s="45"/>
      <c r="F89" s="45"/>
      <c r="G89" s="45"/>
    </row>
    <row r="90" spans="2:7" x14ac:dyDescent="0.25">
      <c r="B90" s="45"/>
      <c r="C90" s="45"/>
      <c r="D90" s="45"/>
      <c r="E90" s="45"/>
      <c r="F90" s="45"/>
      <c r="G90" s="45"/>
    </row>
    <row r="91" spans="2:7" x14ac:dyDescent="0.25">
      <c r="B91" s="45"/>
      <c r="C91" s="45"/>
      <c r="D91" s="45"/>
      <c r="E91" s="45"/>
      <c r="F91" s="45"/>
      <c r="G91" s="45"/>
    </row>
    <row r="92" spans="2:7" x14ac:dyDescent="0.25">
      <c r="B92" s="45"/>
      <c r="C92" s="45"/>
      <c r="D92" s="45"/>
      <c r="E92" s="45"/>
      <c r="F92" s="45"/>
      <c r="G92" s="45"/>
    </row>
    <row r="93" spans="2:7" x14ac:dyDescent="0.25">
      <c r="B93" s="45"/>
      <c r="C93" s="45"/>
      <c r="D93" s="45"/>
      <c r="E93" s="45"/>
      <c r="F93" s="45"/>
      <c r="G93" s="45"/>
    </row>
    <row r="94" spans="2:7" x14ac:dyDescent="0.25">
      <c r="B94" s="45"/>
      <c r="C94" s="45"/>
      <c r="D94" s="45"/>
      <c r="E94" s="45"/>
      <c r="F94" s="45"/>
      <c r="G94" s="45"/>
    </row>
    <row r="95" spans="2:7" x14ac:dyDescent="0.25">
      <c r="B95" s="45"/>
      <c r="C95" s="45"/>
      <c r="D95" s="45"/>
      <c r="E95" s="45"/>
      <c r="F95" s="45"/>
      <c r="G95" s="45"/>
    </row>
    <row r="96" spans="2:7" x14ac:dyDescent="0.25">
      <c r="B96" s="45"/>
      <c r="C96" s="45"/>
      <c r="D96" s="45"/>
      <c r="E96" s="45"/>
      <c r="F96" s="45"/>
      <c r="G96" s="45"/>
    </row>
    <row r="97" spans="2:7" x14ac:dyDescent="0.25">
      <c r="B97" s="45"/>
      <c r="C97" s="45"/>
      <c r="D97" s="45"/>
      <c r="E97" s="45"/>
      <c r="F97" s="45"/>
      <c r="G97" s="45"/>
    </row>
    <row r="98" spans="2:7" x14ac:dyDescent="0.25">
      <c r="B98" s="45"/>
      <c r="C98" s="45"/>
      <c r="D98" s="45"/>
      <c r="E98" s="45"/>
      <c r="F98" s="45"/>
      <c r="G98" s="45"/>
    </row>
    <row r="99" spans="2:7" x14ac:dyDescent="0.25">
      <c r="B99" s="45"/>
      <c r="C99" s="45"/>
      <c r="D99" s="45"/>
      <c r="E99" s="45"/>
      <c r="F99" s="45"/>
      <c r="G99" s="45"/>
    </row>
    <row r="100" spans="2:7" x14ac:dyDescent="0.25">
      <c r="B100" s="45"/>
      <c r="C100" s="45"/>
      <c r="D100" s="45"/>
      <c r="E100" s="45"/>
      <c r="F100" s="45"/>
      <c r="G100" s="45"/>
    </row>
    <row r="101" spans="2:7" x14ac:dyDescent="0.25">
      <c r="B101" s="45"/>
      <c r="C101" s="45"/>
      <c r="D101" s="45"/>
      <c r="E101" s="45"/>
      <c r="F101" s="45"/>
      <c r="G101" s="45"/>
    </row>
    <row r="102" spans="2:7" x14ac:dyDescent="0.25">
      <c r="B102" s="45"/>
      <c r="C102" s="45"/>
      <c r="D102" s="45"/>
      <c r="E102" s="45"/>
      <c r="F102" s="45"/>
      <c r="G102" s="45"/>
    </row>
    <row r="103" spans="2:7" x14ac:dyDescent="0.25">
      <c r="B103" s="45"/>
      <c r="C103" s="45"/>
      <c r="D103" s="45"/>
      <c r="E103" s="45"/>
      <c r="F103" s="45"/>
      <c r="G103" s="45"/>
    </row>
    <row r="104" spans="2:7" x14ac:dyDescent="0.25">
      <c r="B104" s="45"/>
      <c r="C104" s="45"/>
      <c r="D104" s="45"/>
      <c r="E104" s="45"/>
      <c r="F104" s="45"/>
      <c r="G104" s="45"/>
    </row>
    <row r="105" spans="2:7" x14ac:dyDescent="0.25">
      <c r="B105" s="45"/>
      <c r="C105" s="45"/>
      <c r="D105" s="45"/>
      <c r="E105" s="45"/>
      <c r="F105" s="45"/>
      <c r="G105" s="45"/>
    </row>
    <row r="106" spans="2:7" x14ac:dyDescent="0.25">
      <c r="B106" s="45"/>
      <c r="C106" s="45"/>
      <c r="D106" s="45"/>
      <c r="E106" s="45"/>
      <c r="F106" s="45"/>
      <c r="G106" s="45"/>
    </row>
    <row r="107" spans="2:7" x14ac:dyDescent="0.25">
      <c r="B107" s="45"/>
      <c r="C107" s="45"/>
      <c r="D107" s="45"/>
      <c r="E107" s="45"/>
      <c r="F107" s="45"/>
      <c r="G107" s="45"/>
    </row>
    <row r="108" spans="2:7" x14ac:dyDescent="0.25">
      <c r="B108" s="45"/>
      <c r="C108" s="45"/>
      <c r="D108" s="45"/>
      <c r="E108" s="45"/>
      <c r="F108" s="45"/>
      <c r="G108" s="45"/>
    </row>
    <row r="109" spans="2:7" x14ac:dyDescent="0.25">
      <c r="B109" s="45"/>
      <c r="C109" s="45"/>
      <c r="D109" s="45"/>
      <c r="E109" s="45"/>
      <c r="F109" s="45"/>
      <c r="G109" s="45"/>
    </row>
    <row r="110" spans="2:7" x14ac:dyDescent="0.25">
      <c r="B110" s="45"/>
      <c r="C110" s="45"/>
      <c r="D110" s="45"/>
      <c r="E110" s="45"/>
      <c r="F110" s="45"/>
      <c r="G110" s="45"/>
    </row>
    <row r="111" spans="2:7" x14ac:dyDescent="0.25">
      <c r="B111" s="45"/>
      <c r="C111" s="45"/>
      <c r="D111" s="45"/>
      <c r="E111" s="45"/>
      <c r="F111" s="45"/>
      <c r="G111" s="45"/>
    </row>
    <row r="112" spans="2:7" x14ac:dyDescent="0.25">
      <c r="B112" s="45"/>
      <c r="C112" s="45"/>
      <c r="D112" s="45"/>
      <c r="E112" s="45"/>
      <c r="F112" s="45"/>
      <c r="G112" s="45"/>
    </row>
    <row r="113" spans="2:7" x14ac:dyDescent="0.25">
      <c r="B113" s="45"/>
      <c r="C113" s="45"/>
      <c r="D113" s="45"/>
      <c r="E113" s="45"/>
      <c r="F113" s="45"/>
      <c r="G113" s="45"/>
    </row>
    <row r="114" spans="2:7" x14ac:dyDescent="0.25">
      <c r="B114" s="45"/>
      <c r="C114" s="45"/>
      <c r="D114" s="45"/>
      <c r="E114" s="45"/>
      <c r="F114" s="45"/>
      <c r="G114" s="45"/>
    </row>
    <row r="115" spans="2:7" x14ac:dyDescent="0.25">
      <c r="B115" s="45"/>
      <c r="C115" s="45"/>
      <c r="D115" s="45"/>
      <c r="E115" s="45"/>
      <c r="F115" s="45"/>
      <c r="G115" s="45"/>
    </row>
    <row r="116" spans="2:7" x14ac:dyDescent="0.25">
      <c r="B116" s="45"/>
      <c r="C116" s="45"/>
      <c r="D116" s="45"/>
      <c r="E116" s="45"/>
      <c r="F116" s="45"/>
      <c r="G116" s="45"/>
    </row>
    <row r="117" spans="2:7" x14ac:dyDescent="0.25">
      <c r="C117" s="45"/>
      <c r="D117" s="45"/>
      <c r="E117" s="45"/>
      <c r="F117" s="45"/>
      <c r="G117" s="45"/>
    </row>
    <row r="118" spans="2:7" x14ac:dyDescent="0.25">
      <c r="C118" s="45"/>
      <c r="D118" s="45"/>
      <c r="E118" s="45"/>
      <c r="F118" s="45"/>
      <c r="G118" s="45"/>
    </row>
    <row r="119" spans="2:7" x14ac:dyDescent="0.25">
      <c r="C119" s="45"/>
      <c r="D119" s="45"/>
      <c r="E119" s="45"/>
      <c r="F119" s="45"/>
      <c r="G119" s="45"/>
    </row>
    <row r="120" spans="2:7" x14ac:dyDescent="0.25">
      <c r="C120" s="45"/>
      <c r="D120" s="45"/>
      <c r="E120" s="45"/>
      <c r="F120" s="45"/>
      <c r="G120" s="45"/>
    </row>
    <row r="121" spans="2:7" x14ac:dyDescent="0.25">
      <c r="C121" s="45"/>
      <c r="D121" s="45"/>
      <c r="E121" s="45"/>
      <c r="F121" s="45"/>
      <c r="G121" s="45"/>
    </row>
    <row r="122" spans="2:7" x14ac:dyDescent="0.25">
      <c r="C122" s="45"/>
      <c r="D122" s="45"/>
      <c r="E122" s="45"/>
      <c r="F122" s="45"/>
      <c r="G122" s="45"/>
    </row>
    <row r="123" spans="2:7" x14ac:dyDescent="0.25">
      <c r="C123" s="45"/>
      <c r="D123" s="45"/>
      <c r="E123" s="45"/>
      <c r="F123" s="45"/>
      <c r="G123" s="45"/>
    </row>
    <row r="124" spans="2:7" x14ac:dyDescent="0.25">
      <c r="C124" s="45"/>
      <c r="D124" s="45"/>
      <c r="E124" s="45"/>
      <c r="F124" s="45"/>
      <c r="G124" s="45"/>
    </row>
    <row r="125" spans="2:7" x14ac:dyDescent="0.25">
      <c r="C125" s="45"/>
      <c r="D125" s="45"/>
      <c r="E125" s="45"/>
      <c r="F125" s="45"/>
      <c r="G125" s="45"/>
    </row>
    <row r="126" spans="2:7" x14ac:dyDescent="0.25">
      <c r="C126" s="45"/>
      <c r="D126" s="45"/>
      <c r="E126" s="45"/>
      <c r="F126" s="45"/>
      <c r="G126" s="45"/>
    </row>
    <row r="127" spans="2:7" x14ac:dyDescent="0.25">
      <c r="C127" s="45"/>
      <c r="D127" s="45"/>
      <c r="E127" s="45"/>
      <c r="F127" s="45"/>
      <c r="G127" s="45"/>
    </row>
    <row r="128" spans="2:7" x14ac:dyDescent="0.25">
      <c r="C128" s="45"/>
      <c r="D128" s="45"/>
      <c r="E128" s="45"/>
      <c r="F128" s="45"/>
      <c r="G128" s="45"/>
    </row>
    <row r="129" spans="3:7" x14ac:dyDescent="0.25">
      <c r="C129" s="45"/>
      <c r="D129" s="45"/>
      <c r="E129" s="45"/>
      <c r="F129" s="45"/>
      <c r="G129" s="45"/>
    </row>
    <row r="130" spans="3:7" x14ac:dyDescent="0.25">
      <c r="C130" s="45"/>
      <c r="D130" s="45"/>
      <c r="E130" s="45"/>
      <c r="F130" s="45"/>
      <c r="G130" s="45"/>
    </row>
    <row r="131" spans="3:7" x14ac:dyDescent="0.25">
      <c r="C131" s="45"/>
      <c r="D131" s="45"/>
      <c r="E131" s="45"/>
      <c r="F131" s="45"/>
      <c r="G131" s="45"/>
    </row>
    <row r="132" spans="3:7" x14ac:dyDescent="0.25">
      <c r="C132" s="45"/>
      <c r="D132" s="45"/>
      <c r="E132" s="45"/>
      <c r="F132" s="45"/>
      <c r="G132" s="45"/>
    </row>
    <row r="133" spans="3:7" x14ac:dyDescent="0.25">
      <c r="C133" s="45"/>
      <c r="D133" s="45"/>
      <c r="E133" s="45"/>
      <c r="F133" s="45"/>
      <c r="G133" s="45"/>
    </row>
    <row r="134" spans="3:7" x14ac:dyDescent="0.25">
      <c r="C134" s="45"/>
      <c r="D134" s="45"/>
      <c r="E134" s="45"/>
      <c r="F134" s="45"/>
      <c r="G134" s="45"/>
    </row>
    <row r="135" spans="3:7" x14ac:dyDescent="0.25">
      <c r="C135" s="45"/>
      <c r="D135" s="45"/>
      <c r="E135" s="45"/>
      <c r="F135" s="45"/>
      <c r="G135" s="45"/>
    </row>
    <row r="136" spans="3:7" x14ac:dyDescent="0.25">
      <c r="C136" s="45"/>
      <c r="D136" s="45"/>
      <c r="E136" s="45"/>
      <c r="F136" s="45"/>
      <c r="G136" s="45"/>
    </row>
    <row r="137" spans="3:7" x14ac:dyDescent="0.25">
      <c r="C137" s="45"/>
      <c r="D137" s="45"/>
      <c r="E137" s="45"/>
      <c r="F137" s="45"/>
      <c r="G137" s="45"/>
    </row>
    <row r="138" spans="3:7" x14ac:dyDescent="0.25">
      <c r="C138" s="45"/>
      <c r="D138" s="45"/>
      <c r="E138" s="45"/>
      <c r="F138" s="45"/>
      <c r="G138" s="45"/>
    </row>
    <row r="139" spans="3:7" x14ac:dyDescent="0.25">
      <c r="C139" s="45"/>
      <c r="D139" s="45"/>
      <c r="E139" s="45"/>
      <c r="F139" s="45"/>
      <c r="G139" s="45"/>
    </row>
    <row r="140" spans="3:7" x14ac:dyDescent="0.25">
      <c r="C140" s="45"/>
      <c r="D140" s="45"/>
      <c r="E140" s="45"/>
      <c r="F140" s="45"/>
      <c r="G140" s="45"/>
    </row>
    <row r="141" spans="3:7" x14ac:dyDescent="0.25">
      <c r="C141" s="45"/>
      <c r="D141" s="45"/>
      <c r="E141" s="45"/>
      <c r="F141" s="45"/>
      <c r="G141" s="45"/>
    </row>
    <row r="142" spans="3:7" x14ac:dyDescent="0.25">
      <c r="C142" s="45"/>
      <c r="D142" s="45"/>
      <c r="E142" s="45"/>
      <c r="F142" s="45"/>
      <c r="G142" s="45"/>
    </row>
    <row r="143" spans="3:7" x14ac:dyDescent="0.25">
      <c r="C143" s="45"/>
      <c r="D143" s="45"/>
      <c r="E143" s="45"/>
      <c r="F143" s="45"/>
      <c r="G143" s="45"/>
    </row>
    <row r="144" spans="3:7" x14ac:dyDescent="0.25">
      <c r="C144" s="45"/>
      <c r="D144" s="45"/>
      <c r="E144" s="45"/>
      <c r="F144" s="45"/>
      <c r="G144" s="45"/>
    </row>
    <row r="145" spans="3:7" x14ac:dyDescent="0.25">
      <c r="C145" s="45"/>
      <c r="D145" s="45"/>
      <c r="E145" s="45"/>
      <c r="F145" s="45"/>
      <c r="G145" s="45"/>
    </row>
    <row r="146" spans="3:7" x14ac:dyDescent="0.25">
      <c r="C146" s="45"/>
      <c r="D146" s="45"/>
      <c r="E146" s="45"/>
      <c r="F146" s="45"/>
      <c r="G146" s="45"/>
    </row>
    <row r="147" spans="3:7" x14ac:dyDescent="0.25">
      <c r="C147" s="45"/>
      <c r="D147" s="45"/>
      <c r="E147" s="45"/>
      <c r="F147" s="45"/>
      <c r="G147" s="45"/>
    </row>
    <row r="148" spans="3:7" x14ac:dyDescent="0.25">
      <c r="C148" s="45"/>
      <c r="D148" s="45"/>
      <c r="E148" s="45"/>
      <c r="F148" s="45"/>
      <c r="G148" s="45"/>
    </row>
    <row r="149" spans="3:7" x14ac:dyDescent="0.25">
      <c r="C149" s="45"/>
      <c r="D149" s="45"/>
      <c r="E149" s="45"/>
      <c r="F149" s="45"/>
      <c r="G149" s="45"/>
    </row>
    <row r="150" spans="3:7" x14ac:dyDescent="0.25">
      <c r="C150" s="45"/>
      <c r="D150" s="45"/>
      <c r="E150" s="45"/>
      <c r="F150" s="45"/>
      <c r="G150" s="45"/>
    </row>
    <row r="151" spans="3:7" x14ac:dyDescent="0.25">
      <c r="C151" s="45"/>
      <c r="D151" s="45"/>
      <c r="E151" s="45"/>
      <c r="F151" s="45"/>
      <c r="G151" s="45"/>
    </row>
    <row r="152" spans="3:7" x14ac:dyDescent="0.25">
      <c r="C152" s="45"/>
      <c r="D152" s="45"/>
      <c r="E152" s="45"/>
      <c r="F152" s="45"/>
      <c r="G152" s="45"/>
    </row>
    <row r="153" spans="3:7" x14ac:dyDescent="0.25">
      <c r="C153" s="45"/>
      <c r="D153" s="45"/>
      <c r="E153" s="45"/>
      <c r="F153" s="45"/>
      <c r="G153" s="45"/>
    </row>
    <row r="154" spans="3:7" x14ac:dyDescent="0.25">
      <c r="C154" s="45"/>
      <c r="D154" s="45"/>
      <c r="E154" s="45"/>
      <c r="F154" s="45"/>
      <c r="G154" s="45"/>
    </row>
    <row r="155" spans="3:7" x14ac:dyDescent="0.25">
      <c r="C155" s="45"/>
      <c r="D155" s="45"/>
      <c r="E155" s="45"/>
      <c r="F155" s="45"/>
      <c r="G155" s="45"/>
    </row>
    <row r="156" spans="3:7" x14ac:dyDescent="0.25">
      <c r="C156" s="45"/>
      <c r="D156" s="45"/>
      <c r="E156" s="45"/>
      <c r="F156" s="45"/>
      <c r="G156" s="45"/>
    </row>
    <row r="157" spans="3:7" x14ac:dyDescent="0.25">
      <c r="C157" s="45"/>
      <c r="D157" s="45"/>
      <c r="E157" s="45"/>
      <c r="F157" s="45"/>
      <c r="G157" s="45"/>
    </row>
    <row r="158" spans="3:7" x14ac:dyDescent="0.25">
      <c r="C158" s="45"/>
      <c r="D158" s="45"/>
      <c r="E158" s="45"/>
      <c r="F158" s="45"/>
      <c r="G158" s="45"/>
    </row>
    <row r="159" spans="3:7" x14ac:dyDescent="0.25">
      <c r="C159" s="45"/>
      <c r="D159" s="45"/>
      <c r="E159" s="45"/>
      <c r="F159" s="45"/>
      <c r="G159" s="45"/>
    </row>
    <row r="160" spans="3:7" x14ac:dyDescent="0.25">
      <c r="C160" s="45"/>
      <c r="D160" s="45"/>
      <c r="E160" s="45"/>
      <c r="F160" s="45"/>
      <c r="G160" s="45"/>
    </row>
    <row r="161" spans="3:7" x14ac:dyDescent="0.25">
      <c r="C161" s="45"/>
      <c r="D161" s="45"/>
      <c r="E161" s="45"/>
      <c r="F161" s="45"/>
      <c r="G161" s="45"/>
    </row>
    <row r="162" spans="3:7" x14ac:dyDescent="0.25">
      <c r="C162" s="45"/>
      <c r="D162" s="45"/>
      <c r="E162" s="45"/>
      <c r="F162" s="45"/>
      <c r="G162" s="45"/>
    </row>
    <row r="163" spans="3:7" x14ac:dyDescent="0.25">
      <c r="C163" s="45"/>
      <c r="D163" s="45"/>
      <c r="E163" s="45"/>
      <c r="F163" s="45"/>
      <c r="G163" s="45"/>
    </row>
    <row r="164" spans="3:7" x14ac:dyDescent="0.25">
      <c r="C164" s="45"/>
      <c r="D164" s="45"/>
      <c r="E164" s="45"/>
      <c r="F164" s="45"/>
      <c r="G164" s="45"/>
    </row>
    <row r="165" spans="3:7" x14ac:dyDescent="0.25">
      <c r="C165" s="45"/>
      <c r="D165" s="45"/>
      <c r="E165" s="45"/>
      <c r="F165" s="45"/>
      <c r="G165" s="45"/>
    </row>
    <row r="166" spans="3:7" x14ac:dyDescent="0.25">
      <c r="C166" s="45"/>
      <c r="D166" s="45"/>
      <c r="E166" s="45"/>
      <c r="F166" s="45"/>
      <c r="G166" s="45"/>
    </row>
    <row r="167" spans="3:7" x14ac:dyDescent="0.25">
      <c r="C167" s="45"/>
      <c r="D167" s="45"/>
      <c r="E167" s="45"/>
      <c r="F167" s="45"/>
      <c r="G167" s="45"/>
    </row>
    <row r="168" spans="3:7" x14ac:dyDescent="0.25">
      <c r="C168" s="45"/>
      <c r="D168" s="45"/>
      <c r="E168" s="45"/>
      <c r="F168" s="45"/>
      <c r="G168" s="45"/>
    </row>
    <row r="169" spans="3:7" x14ac:dyDescent="0.25">
      <c r="C169" s="45"/>
      <c r="D169" s="45"/>
      <c r="E169" s="45"/>
      <c r="F169" s="45"/>
      <c r="G169" s="45"/>
    </row>
    <row r="170" spans="3:7" x14ac:dyDescent="0.25">
      <c r="C170" s="45"/>
      <c r="D170" s="45"/>
      <c r="E170" s="45"/>
      <c r="F170" s="45"/>
      <c r="G170" s="45"/>
    </row>
    <row r="171" spans="3:7" x14ac:dyDescent="0.25">
      <c r="C171" s="45"/>
      <c r="D171" s="45"/>
      <c r="E171" s="45"/>
      <c r="F171" s="45"/>
      <c r="G171" s="45"/>
    </row>
    <row r="172" spans="3:7" x14ac:dyDescent="0.25">
      <c r="C172" s="45"/>
      <c r="D172" s="45"/>
      <c r="E172" s="45"/>
      <c r="F172" s="45"/>
      <c r="G172" s="45"/>
    </row>
    <row r="173" spans="3:7" x14ac:dyDescent="0.25">
      <c r="C173" s="45"/>
      <c r="D173" s="45"/>
      <c r="E173" s="45"/>
      <c r="F173" s="45"/>
      <c r="G173" s="45"/>
    </row>
    <row r="174" spans="3:7" x14ac:dyDescent="0.25">
      <c r="C174" s="45"/>
      <c r="D174" s="45"/>
      <c r="E174" s="45"/>
      <c r="F174" s="45"/>
      <c r="G174" s="45"/>
    </row>
    <row r="175" spans="3:7" x14ac:dyDescent="0.25">
      <c r="C175" s="45"/>
      <c r="D175" s="45"/>
      <c r="E175" s="45"/>
      <c r="F175" s="45"/>
      <c r="G175" s="45"/>
    </row>
    <row r="176" spans="3:7" x14ac:dyDescent="0.25">
      <c r="C176" s="45"/>
      <c r="D176" s="45"/>
      <c r="E176" s="45"/>
      <c r="F176" s="45"/>
      <c r="G176" s="45"/>
    </row>
    <row r="177" spans="3:7" x14ac:dyDescent="0.25">
      <c r="C177" s="45"/>
      <c r="D177" s="45"/>
      <c r="E177" s="45"/>
      <c r="F177" s="45"/>
      <c r="G177" s="45"/>
    </row>
    <row r="178" spans="3:7" x14ac:dyDescent="0.25">
      <c r="C178" s="45"/>
      <c r="D178" s="45"/>
      <c r="E178" s="45"/>
      <c r="F178" s="45"/>
      <c r="G178" s="45"/>
    </row>
    <row r="179" spans="3:7" x14ac:dyDescent="0.25">
      <c r="C179" s="45"/>
      <c r="D179" s="45"/>
      <c r="E179" s="45"/>
      <c r="F179" s="45"/>
      <c r="G179" s="45"/>
    </row>
    <row r="180" spans="3:7" x14ac:dyDescent="0.25">
      <c r="C180" s="45"/>
      <c r="D180" s="45"/>
      <c r="E180" s="45"/>
      <c r="F180" s="45"/>
      <c r="G180" s="45"/>
    </row>
    <row r="181" spans="3:7" x14ac:dyDescent="0.25">
      <c r="C181" s="45"/>
      <c r="D181" s="45"/>
      <c r="E181" s="45"/>
      <c r="F181" s="45"/>
      <c r="G181" s="45"/>
    </row>
    <row r="182" spans="3:7" x14ac:dyDescent="0.25">
      <c r="C182" s="45"/>
      <c r="D182" s="45"/>
      <c r="E182" s="45"/>
      <c r="F182" s="45"/>
      <c r="G182" s="45"/>
    </row>
    <row r="183" spans="3:7" x14ac:dyDescent="0.25">
      <c r="C183" s="45"/>
      <c r="D183" s="45"/>
      <c r="E183" s="45"/>
      <c r="F183" s="45"/>
      <c r="G183" s="45"/>
    </row>
    <row r="184" spans="3:7" x14ac:dyDescent="0.25">
      <c r="C184" s="45"/>
      <c r="D184" s="45"/>
      <c r="E184" s="45"/>
      <c r="F184" s="45"/>
      <c r="G184" s="45"/>
    </row>
    <row r="185" spans="3:7" x14ac:dyDescent="0.25">
      <c r="C185" s="45"/>
      <c r="D185" s="45"/>
      <c r="E185" s="45"/>
      <c r="F185" s="45"/>
      <c r="G185" s="45"/>
    </row>
    <row r="186" spans="3:7" x14ac:dyDescent="0.25">
      <c r="C186" s="45"/>
      <c r="D186" s="45"/>
      <c r="E186" s="45"/>
      <c r="F186" s="45"/>
      <c r="G186" s="45"/>
    </row>
    <row r="187" spans="3:7" x14ac:dyDescent="0.25">
      <c r="C187" s="45"/>
      <c r="D187" s="45"/>
      <c r="E187" s="45"/>
      <c r="F187" s="45"/>
      <c r="G187" s="45"/>
    </row>
    <row r="188" spans="3:7" x14ac:dyDescent="0.25">
      <c r="C188" s="45"/>
      <c r="D188" s="45"/>
      <c r="E188" s="45"/>
      <c r="F188" s="45"/>
      <c r="G188" s="45"/>
    </row>
    <row r="189" spans="3:7" x14ac:dyDescent="0.25">
      <c r="C189" s="45"/>
      <c r="D189" s="45"/>
      <c r="E189" s="45"/>
      <c r="F189" s="45"/>
      <c r="G189" s="45"/>
    </row>
    <row r="190" spans="3:7" x14ac:dyDescent="0.25">
      <c r="C190" s="45"/>
      <c r="D190" s="45"/>
      <c r="E190" s="45"/>
      <c r="F190" s="45"/>
      <c r="G190" s="45"/>
    </row>
    <row r="191" spans="3:7" x14ac:dyDescent="0.25">
      <c r="C191" s="45"/>
      <c r="D191" s="45"/>
      <c r="E191" s="45"/>
      <c r="F191" s="45"/>
      <c r="G191" s="45"/>
    </row>
    <row r="192" spans="3:7" x14ac:dyDescent="0.25">
      <c r="C192" s="45"/>
      <c r="D192" s="45"/>
      <c r="E192" s="45"/>
      <c r="F192" s="45"/>
      <c r="G192" s="45"/>
    </row>
    <row r="193" spans="3:7" x14ac:dyDescent="0.25">
      <c r="C193" s="45"/>
      <c r="D193" s="45"/>
      <c r="E193" s="45"/>
      <c r="F193" s="45"/>
      <c r="G193" s="45"/>
    </row>
    <row r="194" spans="3:7" x14ac:dyDescent="0.25">
      <c r="C194" s="45"/>
      <c r="D194" s="45"/>
      <c r="E194" s="45"/>
      <c r="F194" s="45"/>
      <c r="G194" s="45"/>
    </row>
    <row r="195" spans="3:7" x14ac:dyDescent="0.25">
      <c r="C195" s="45"/>
      <c r="D195" s="45"/>
      <c r="E195" s="45"/>
      <c r="F195" s="45"/>
      <c r="G195" s="45"/>
    </row>
    <row r="196" spans="3:7" x14ac:dyDescent="0.25">
      <c r="C196" s="45"/>
      <c r="D196" s="45"/>
      <c r="E196" s="45"/>
      <c r="F196" s="45"/>
      <c r="G196" s="45"/>
    </row>
    <row r="197" spans="3:7" x14ac:dyDescent="0.25">
      <c r="C197" s="45"/>
      <c r="D197" s="45"/>
      <c r="E197" s="45"/>
      <c r="F197" s="45"/>
      <c r="G197" s="45"/>
    </row>
    <row r="198" spans="3:7" x14ac:dyDescent="0.25">
      <c r="C198" s="45"/>
      <c r="D198" s="45"/>
      <c r="E198" s="45"/>
      <c r="F198" s="45"/>
      <c r="G198" s="45"/>
    </row>
    <row r="199" spans="3:7" x14ac:dyDescent="0.25">
      <c r="C199" s="45"/>
      <c r="D199" s="45"/>
      <c r="E199" s="45"/>
      <c r="F199" s="45"/>
      <c r="G199" s="45"/>
    </row>
    <row r="200" spans="3:7" x14ac:dyDescent="0.25">
      <c r="C200" s="45"/>
      <c r="D200" s="45"/>
      <c r="E200" s="45"/>
      <c r="F200" s="45"/>
      <c r="G200" s="45"/>
    </row>
    <row r="201" spans="3:7" x14ac:dyDescent="0.25">
      <c r="C201" s="45"/>
      <c r="D201" s="45"/>
      <c r="E201" s="45"/>
      <c r="F201" s="45"/>
      <c r="G201" s="45"/>
    </row>
    <row r="202" spans="3:7" x14ac:dyDescent="0.25">
      <c r="C202" s="45"/>
      <c r="D202" s="45"/>
      <c r="E202" s="45"/>
      <c r="F202" s="45"/>
      <c r="G202" s="45"/>
    </row>
    <row r="203" spans="3:7" x14ac:dyDescent="0.25">
      <c r="C203" s="45"/>
      <c r="D203" s="45"/>
      <c r="E203" s="45"/>
      <c r="F203" s="45"/>
      <c r="G203" s="45"/>
    </row>
    <row r="204" spans="3:7" x14ac:dyDescent="0.25">
      <c r="C204" s="45"/>
      <c r="D204" s="45"/>
      <c r="E204" s="45"/>
      <c r="F204" s="45"/>
      <c r="G204" s="45"/>
    </row>
    <row r="205" spans="3:7" x14ac:dyDescent="0.25">
      <c r="C205" s="45"/>
      <c r="D205" s="45"/>
      <c r="E205" s="45"/>
      <c r="F205" s="45"/>
      <c r="G205" s="45"/>
    </row>
    <row r="206" spans="3:7" x14ac:dyDescent="0.25">
      <c r="C206" s="45"/>
      <c r="D206" s="45"/>
      <c r="E206" s="45"/>
      <c r="F206" s="45"/>
      <c r="G206" s="45"/>
    </row>
    <row r="207" spans="3:7" x14ac:dyDescent="0.25">
      <c r="C207" s="45"/>
      <c r="D207" s="45"/>
      <c r="E207" s="45"/>
      <c r="F207" s="45"/>
      <c r="G207" s="45"/>
    </row>
    <row r="208" spans="3:7" x14ac:dyDescent="0.25">
      <c r="C208" s="45"/>
      <c r="D208" s="45"/>
      <c r="E208" s="45"/>
      <c r="F208" s="45"/>
      <c r="G208" s="45"/>
    </row>
    <row r="209" spans="3:7" x14ac:dyDescent="0.25">
      <c r="C209" s="45"/>
      <c r="D209" s="45"/>
      <c r="E209" s="45"/>
      <c r="F209" s="45"/>
      <c r="G209" s="45"/>
    </row>
    <row r="210" spans="3:7" x14ac:dyDescent="0.25">
      <c r="C210" s="45"/>
      <c r="D210" s="45"/>
      <c r="E210" s="45"/>
      <c r="F210" s="45"/>
      <c r="G210" s="45"/>
    </row>
    <row r="211" spans="3:7" x14ac:dyDescent="0.25">
      <c r="C211" s="45"/>
      <c r="D211" s="45"/>
      <c r="E211" s="45"/>
      <c r="F211" s="45"/>
      <c r="G211" s="45"/>
    </row>
    <row r="212" spans="3:7" x14ac:dyDescent="0.25">
      <c r="C212" s="45"/>
      <c r="D212" s="45"/>
      <c r="E212" s="45"/>
      <c r="F212" s="45"/>
      <c r="G212" s="45"/>
    </row>
    <row r="213" spans="3:7" x14ac:dyDescent="0.25">
      <c r="C213" s="45"/>
      <c r="D213" s="45"/>
      <c r="E213" s="45"/>
      <c r="F213" s="45"/>
      <c r="G213" s="45"/>
    </row>
    <row r="214" spans="3:7" x14ac:dyDescent="0.25">
      <c r="C214" s="45"/>
      <c r="D214" s="45"/>
      <c r="E214" s="45"/>
      <c r="F214" s="45"/>
      <c r="G214" s="45"/>
    </row>
    <row r="215" spans="3:7" x14ac:dyDescent="0.25">
      <c r="C215" s="45"/>
      <c r="D215" s="45"/>
      <c r="E215" s="45"/>
      <c r="F215" s="45"/>
      <c r="G215" s="45"/>
    </row>
    <row r="216" spans="3:7" x14ac:dyDescent="0.25">
      <c r="C216" s="45"/>
      <c r="D216" s="45"/>
      <c r="E216" s="45"/>
      <c r="F216" s="45"/>
      <c r="G216" s="45"/>
    </row>
    <row r="217" spans="3:7" x14ac:dyDescent="0.25">
      <c r="C217" s="45"/>
      <c r="D217" s="45"/>
      <c r="E217" s="45"/>
      <c r="F217" s="45"/>
      <c r="G217" s="45"/>
    </row>
    <row r="218" spans="3:7" x14ac:dyDescent="0.25">
      <c r="C218" s="45"/>
      <c r="D218" s="45"/>
      <c r="E218" s="45"/>
      <c r="F218" s="45"/>
      <c r="G218" s="45"/>
    </row>
    <row r="219" spans="3:7" x14ac:dyDescent="0.25">
      <c r="C219" s="45"/>
      <c r="D219" s="45"/>
      <c r="E219" s="45"/>
      <c r="F219" s="45"/>
      <c r="G219" s="45"/>
    </row>
    <row r="220" spans="3:7" x14ac:dyDescent="0.25">
      <c r="C220" s="45"/>
      <c r="D220" s="45"/>
      <c r="E220" s="45"/>
      <c r="F220" s="45"/>
      <c r="G220" s="45"/>
    </row>
    <row r="221" spans="3:7" x14ac:dyDescent="0.25">
      <c r="C221" s="45"/>
      <c r="D221" s="45"/>
      <c r="E221" s="45"/>
      <c r="F221" s="45"/>
      <c r="G221" s="45"/>
    </row>
    <row r="222" spans="3:7" x14ac:dyDescent="0.25">
      <c r="C222" s="45"/>
      <c r="D222" s="45"/>
      <c r="E222" s="45"/>
      <c r="F222" s="45"/>
      <c r="G222" s="45"/>
    </row>
    <row r="223" spans="3:7" x14ac:dyDescent="0.25">
      <c r="C223" s="45"/>
      <c r="D223" s="45"/>
      <c r="E223" s="45"/>
      <c r="F223" s="45"/>
      <c r="G223" s="45"/>
    </row>
    <row r="224" spans="3:7" x14ac:dyDescent="0.25">
      <c r="C224" s="45"/>
      <c r="D224" s="45"/>
      <c r="E224" s="45"/>
      <c r="F224" s="45"/>
      <c r="G224" s="45"/>
    </row>
    <row r="225" spans="3:7" x14ac:dyDescent="0.25">
      <c r="C225" s="45"/>
      <c r="D225" s="45"/>
      <c r="E225" s="45"/>
      <c r="F225" s="45"/>
      <c r="G225" s="45"/>
    </row>
    <row r="226" spans="3:7" x14ac:dyDescent="0.25">
      <c r="C226" s="45"/>
      <c r="D226" s="45"/>
      <c r="E226" s="45"/>
      <c r="F226" s="45"/>
      <c r="G226" s="45"/>
    </row>
    <row r="227" spans="3:7" x14ac:dyDescent="0.25">
      <c r="C227" s="45"/>
      <c r="D227" s="45"/>
      <c r="E227" s="45"/>
      <c r="F227" s="45"/>
      <c r="G227" s="45"/>
    </row>
    <row r="228" spans="3:7" x14ac:dyDescent="0.25">
      <c r="C228" s="45"/>
      <c r="D228" s="45"/>
      <c r="E228" s="45"/>
      <c r="F228" s="45"/>
      <c r="G228" s="45"/>
    </row>
    <row r="229" spans="3:7" x14ac:dyDescent="0.25">
      <c r="C229" s="45"/>
      <c r="D229" s="45"/>
      <c r="E229" s="45"/>
      <c r="F229" s="45"/>
      <c r="G229" s="45"/>
    </row>
    <row r="230" spans="3:7" x14ac:dyDescent="0.25">
      <c r="C230" s="45"/>
      <c r="D230" s="45"/>
      <c r="E230" s="45"/>
      <c r="F230" s="45"/>
      <c r="G230" s="45"/>
    </row>
    <row r="231" spans="3:7" x14ac:dyDescent="0.25">
      <c r="C231" s="45"/>
      <c r="D231" s="45"/>
      <c r="E231" s="45"/>
      <c r="F231" s="45"/>
      <c r="G231" s="45"/>
    </row>
    <row r="232" spans="3:7" x14ac:dyDescent="0.25">
      <c r="C232" s="45"/>
      <c r="D232" s="45"/>
      <c r="E232" s="45"/>
      <c r="F232" s="45"/>
      <c r="G232" s="45"/>
    </row>
    <row r="233" spans="3:7" x14ac:dyDescent="0.25">
      <c r="C233" s="45"/>
      <c r="D233" s="45"/>
      <c r="E233" s="45"/>
      <c r="F233" s="45"/>
      <c r="G233" s="45"/>
    </row>
    <row r="234" spans="3:7" x14ac:dyDescent="0.25">
      <c r="C234" s="45"/>
      <c r="D234" s="45"/>
      <c r="E234" s="45"/>
      <c r="F234" s="45"/>
      <c r="G234" s="45"/>
    </row>
    <row r="235" spans="3:7" x14ac:dyDescent="0.25">
      <c r="C235" s="45"/>
      <c r="D235" s="45"/>
      <c r="E235" s="45"/>
      <c r="F235" s="45"/>
      <c r="G235" s="45"/>
    </row>
    <row r="236" spans="3:7" x14ac:dyDescent="0.25">
      <c r="C236" s="45"/>
      <c r="D236" s="45"/>
      <c r="E236" s="45"/>
      <c r="F236" s="45"/>
      <c r="G236" s="45"/>
    </row>
    <row r="237" spans="3:7" x14ac:dyDescent="0.25">
      <c r="C237" s="45"/>
      <c r="D237" s="45"/>
      <c r="E237" s="45"/>
      <c r="F237" s="45"/>
      <c r="G237" s="45"/>
    </row>
    <row r="238" spans="3:7" x14ac:dyDescent="0.25">
      <c r="C238" s="45"/>
      <c r="D238" s="45"/>
      <c r="E238" s="45"/>
      <c r="F238" s="45"/>
      <c r="G238" s="45"/>
    </row>
    <row r="239" spans="3:7" x14ac:dyDescent="0.25">
      <c r="C239" s="45"/>
      <c r="D239" s="45"/>
      <c r="E239" s="45"/>
      <c r="F239" s="45"/>
      <c r="G239" s="45"/>
    </row>
    <row r="240" spans="3:7" x14ac:dyDescent="0.25">
      <c r="C240" s="45"/>
      <c r="D240" s="45"/>
      <c r="E240" s="45"/>
      <c r="F240" s="45"/>
      <c r="G240" s="45"/>
    </row>
    <row r="241" spans="3:7" x14ac:dyDescent="0.25">
      <c r="C241" s="45"/>
      <c r="D241" s="45"/>
      <c r="E241" s="45"/>
      <c r="F241" s="45"/>
      <c r="G241" s="45"/>
    </row>
    <row r="242" spans="3:7" x14ac:dyDescent="0.25">
      <c r="C242" s="45"/>
      <c r="D242" s="45"/>
      <c r="E242" s="45"/>
      <c r="F242" s="45"/>
      <c r="G242" s="45"/>
    </row>
    <row r="243" spans="3:7" x14ac:dyDescent="0.25">
      <c r="C243" s="45"/>
      <c r="D243" s="45"/>
      <c r="E243" s="45"/>
      <c r="F243" s="45"/>
      <c r="G243" s="45"/>
    </row>
    <row r="244" spans="3:7" x14ac:dyDescent="0.25">
      <c r="C244" s="45"/>
      <c r="D244" s="45"/>
      <c r="E244" s="45"/>
      <c r="F244" s="45"/>
      <c r="G244" s="45"/>
    </row>
    <row r="245" spans="3:7" x14ac:dyDescent="0.25">
      <c r="C245" s="45"/>
      <c r="D245" s="45"/>
      <c r="E245" s="45"/>
      <c r="F245" s="45"/>
      <c r="G245" s="45"/>
    </row>
    <row r="246" spans="3:7" x14ac:dyDescent="0.25">
      <c r="C246" s="45"/>
      <c r="D246" s="45"/>
      <c r="E246" s="45"/>
      <c r="F246" s="45"/>
      <c r="G246" s="45"/>
    </row>
    <row r="247" spans="3:7" x14ac:dyDescent="0.25">
      <c r="C247" s="45"/>
      <c r="D247" s="45"/>
      <c r="E247" s="45"/>
      <c r="F247" s="45"/>
      <c r="G247" s="45"/>
    </row>
    <row r="248" spans="3:7" x14ac:dyDescent="0.25">
      <c r="C248" s="45"/>
      <c r="D248" s="45"/>
      <c r="E248" s="45"/>
      <c r="F248" s="45"/>
      <c r="G248" s="45"/>
    </row>
    <row r="249" spans="3:7" x14ac:dyDescent="0.25">
      <c r="C249" s="45"/>
      <c r="D249" s="45"/>
      <c r="E249" s="45"/>
      <c r="F249" s="45"/>
      <c r="G249" s="45"/>
    </row>
    <row r="250" spans="3:7" x14ac:dyDescent="0.25">
      <c r="C250" s="45"/>
      <c r="D250" s="45"/>
      <c r="E250" s="45"/>
      <c r="F250" s="45"/>
      <c r="G250" s="45"/>
    </row>
    <row r="251" spans="3:7" x14ac:dyDescent="0.25">
      <c r="C251" s="45"/>
      <c r="D251" s="45"/>
      <c r="E251" s="45"/>
      <c r="F251" s="45"/>
      <c r="G251" s="45"/>
    </row>
    <row r="252" spans="3:7" x14ac:dyDescent="0.25">
      <c r="C252" s="45"/>
      <c r="D252" s="45"/>
      <c r="E252" s="45"/>
      <c r="F252" s="45"/>
      <c r="G252" s="45"/>
    </row>
    <row r="253" spans="3:7" x14ac:dyDescent="0.25">
      <c r="C253" s="45"/>
      <c r="D253" s="45"/>
      <c r="E253" s="45"/>
      <c r="F253" s="45"/>
      <c r="G253" s="45"/>
    </row>
    <row r="254" spans="3:7" x14ac:dyDescent="0.25">
      <c r="C254" s="45"/>
      <c r="D254" s="45"/>
      <c r="E254" s="45"/>
      <c r="F254" s="45"/>
      <c r="G254" s="45"/>
    </row>
    <row r="255" spans="3:7" x14ac:dyDescent="0.25">
      <c r="C255" s="45"/>
      <c r="D255" s="45"/>
      <c r="E255" s="45"/>
      <c r="F255" s="45"/>
      <c r="G255" s="45"/>
    </row>
    <row r="256" spans="3:7" x14ac:dyDescent="0.25">
      <c r="C256" s="45"/>
      <c r="D256" s="45"/>
      <c r="E256" s="45"/>
      <c r="F256" s="45"/>
      <c r="G256" s="45"/>
    </row>
    <row r="257" spans="3:7" x14ac:dyDescent="0.25">
      <c r="C257" s="45"/>
      <c r="D257" s="45"/>
      <c r="E257" s="45"/>
      <c r="F257" s="45"/>
      <c r="G257" s="45"/>
    </row>
    <row r="258" spans="3:7" x14ac:dyDescent="0.25">
      <c r="C258" s="45"/>
      <c r="D258" s="45"/>
      <c r="E258" s="45"/>
      <c r="F258" s="45"/>
      <c r="G258" s="45"/>
    </row>
    <row r="259" spans="3:7" x14ac:dyDescent="0.25">
      <c r="C259" s="45"/>
      <c r="D259" s="45"/>
      <c r="E259" s="45"/>
      <c r="F259" s="45"/>
      <c r="G259" s="45"/>
    </row>
    <row r="260" spans="3:7" x14ac:dyDescent="0.25">
      <c r="C260" s="45"/>
      <c r="D260" s="45"/>
      <c r="E260" s="45"/>
      <c r="F260" s="45"/>
      <c r="G260" s="45"/>
    </row>
    <row r="261" spans="3:7" x14ac:dyDescent="0.25">
      <c r="C261" s="45"/>
      <c r="D261" s="45"/>
      <c r="E261" s="45"/>
      <c r="F261" s="45"/>
      <c r="G261" s="45"/>
    </row>
    <row r="262" spans="3:7" x14ac:dyDescent="0.25">
      <c r="C262" s="45"/>
      <c r="D262" s="45"/>
      <c r="E262" s="45"/>
      <c r="F262" s="45"/>
      <c r="G262" s="45"/>
    </row>
    <row r="263" spans="3:7" x14ac:dyDescent="0.25">
      <c r="C263" s="45"/>
      <c r="D263" s="45"/>
      <c r="E263" s="45"/>
      <c r="F263" s="45"/>
      <c r="G263" s="45"/>
    </row>
    <row r="264" spans="3:7" x14ac:dyDescent="0.25">
      <c r="C264" s="45"/>
      <c r="D264" s="45"/>
      <c r="E264" s="45"/>
      <c r="F264" s="45"/>
      <c r="G264" s="45"/>
    </row>
    <row r="265" spans="3:7" x14ac:dyDescent="0.25">
      <c r="C265" s="45"/>
      <c r="D265" s="45"/>
      <c r="E265" s="45"/>
      <c r="F265" s="45"/>
      <c r="G265" s="45"/>
    </row>
    <row r="266" spans="3:7" x14ac:dyDescent="0.25">
      <c r="C266" s="45"/>
      <c r="D266" s="45"/>
      <c r="E266" s="45"/>
      <c r="F266" s="45"/>
      <c r="G266" s="45"/>
    </row>
    <row r="267" spans="3:7" x14ac:dyDescent="0.25">
      <c r="C267" s="45"/>
      <c r="D267" s="45"/>
      <c r="E267" s="45"/>
      <c r="F267" s="45"/>
      <c r="G267" s="45"/>
    </row>
    <row r="268" spans="3:7" x14ac:dyDescent="0.25">
      <c r="C268" s="45"/>
      <c r="D268" s="45"/>
      <c r="E268" s="45"/>
      <c r="F268" s="45"/>
      <c r="G268" s="45"/>
    </row>
    <row r="269" spans="3:7" x14ac:dyDescent="0.25">
      <c r="C269" s="45"/>
      <c r="D269" s="45"/>
      <c r="E269" s="45"/>
      <c r="F269" s="45"/>
      <c r="G269" s="45"/>
    </row>
    <row r="270" spans="3:7" x14ac:dyDescent="0.25">
      <c r="C270" s="45"/>
      <c r="D270" s="45"/>
      <c r="E270" s="45"/>
      <c r="F270" s="45"/>
      <c r="G270" s="45"/>
    </row>
    <row r="271" spans="3:7" x14ac:dyDescent="0.25">
      <c r="C271" s="45"/>
      <c r="D271" s="45"/>
      <c r="E271" s="45"/>
      <c r="F271" s="45"/>
      <c r="G271" s="45"/>
    </row>
    <row r="272" spans="3:7" x14ac:dyDescent="0.25">
      <c r="C272" s="45"/>
      <c r="D272" s="45"/>
      <c r="E272" s="45"/>
      <c r="F272" s="45"/>
      <c r="G272" s="45"/>
    </row>
    <row r="273" spans="3:7" x14ac:dyDescent="0.25">
      <c r="C273" s="45"/>
      <c r="D273" s="45"/>
      <c r="E273" s="45"/>
      <c r="F273" s="45"/>
      <c r="G273" s="45"/>
    </row>
    <row r="274" spans="3:7" x14ac:dyDescent="0.25">
      <c r="C274" s="45"/>
      <c r="D274" s="45"/>
      <c r="E274" s="45"/>
      <c r="F274" s="45"/>
      <c r="G274" s="45"/>
    </row>
    <row r="275" spans="3:7" x14ac:dyDescent="0.25">
      <c r="C275" s="45"/>
      <c r="D275" s="45"/>
      <c r="E275" s="45"/>
      <c r="F275" s="45"/>
      <c r="G275" s="45"/>
    </row>
    <row r="276" spans="3:7" x14ac:dyDescent="0.25">
      <c r="C276" s="45"/>
      <c r="D276" s="45"/>
      <c r="E276" s="45"/>
      <c r="F276" s="45"/>
      <c r="G276" s="45"/>
    </row>
    <row r="277" spans="3:7" x14ac:dyDescent="0.25">
      <c r="C277" s="45"/>
      <c r="D277" s="45"/>
      <c r="E277" s="45"/>
      <c r="F277" s="45"/>
      <c r="G277" s="45"/>
    </row>
    <row r="278" spans="3:7" x14ac:dyDescent="0.25">
      <c r="C278" s="45"/>
      <c r="D278" s="45"/>
      <c r="E278" s="45"/>
      <c r="F278" s="45"/>
      <c r="G278" s="45"/>
    </row>
    <row r="279" spans="3:7" x14ac:dyDescent="0.25">
      <c r="C279" s="45"/>
      <c r="D279" s="45"/>
      <c r="E279" s="45"/>
      <c r="F279" s="45"/>
      <c r="G279" s="45"/>
    </row>
    <row r="280" spans="3:7" x14ac:dyDescent="0.25">
      <c r="C280" s="45"/>
      <c r="D280" s="45"/>
      <c r="E280" s="45"/>
      <c r="F280" s="45"/>
      <c r="G280" s="45"/>
    </row>
    <row r="281" spans="3:7" x14ac:dyDescent="0.25">
      <c r="C281" s="45"/>
      <c r="D281" s="45"/>
      <c r="E281" s="45"/>
      <c r="F281" s="45"/>
      <c r="G281" s="45"/>
    </row>
    <row r="282" spans="3:7" x14ac:dyDescent="0.25">
      <c r="C282" s="45"/>
      <c r="D282" s="45"/>
      <c r="E282" s="45"/>
      <c r="F282" s="45"/>
      <c r="G282" s="45"/>
    </row>
    <row r="283" spans="3:7" x14ac:dyDescent="0.25">
      <c r="C283" s="45"/>
      <c r="D283" s="45"/>
      <c r="E283" s="45"/>
      <c r="F283" s="45"/>
      <c r="G283" s="45"/>
    </row>
    <row r="284" spans="3:7" x14ac:dyDescent="0.25">
      <c r="C284" s="45"/>
      <c r="D284" s="45"/>
      <c r="E284" s="45"/>
      <c r="F284" s="45"/>
      <c r="G284" s="45"/>
    </row>
    <row r="285" spans="3:7" x14ac:dyDescent="0.25">
      <c r="C285" s="45"/>
      <c r="D285" s="45"/>
      <c r="E285" s="45"/>
      <c r="F285" s="45"/>
      <c r="G285" s="45"/>
    </row>
    <row r="286" spans="3:7" x14ac:dyDescent="0.25">
      <c r="C286" s="45"/>
      <c r="D286" s="45"/>
      <c r="E286" s="45"/>
      <c r="F286" s="45"/>
      <c r="G286" s="45"/>
    </row>
    <row r="287" spans="3:7" x14ac:dyDescent="0.25">
      <c r="C287" s="45"/>
      <c r="D287" s="45"/>
      <c r="E287" s="45"/>
      <c r="F287" s="45"/>
      <c r="G287" s="45"/>
    </row>
    <row r="288" spans="3:7" x14ac:dyDescent="0.25">
      <c r="C288" s="45"/>
      <c r="D288" s="45"/>
      <c r="E288" s="45"/>
      <c r="F288" s="45"/>
      <c r="G288" s="45"/>
    </row>
    <row r="289" spans="3:7" x14ac:dyDescent="0.25">
      <c r="C289" s="45"/>
      <c r="D289" s="45"/>
      <c r="E289" s="45"/>
      <c r="F289" s="45"/>
      <c r="G289" s="45"/>
    </row>
    <row r="290" spans="3:7" x14ac:dyDescent="0.25">
      <c r="C290" s="45"/>
      <c r="D290" s="45"/>
      <c r="E290" s="45"/>
      <c r="F290" s="45"/>
      <c r="G290" s="45"/>
    </row>
    <row r="291" spans="3:7" x14ac:dyDescent="0.25">
      <c r="C291" s="45"/>
      <c r="D291" s="45"/>
      <c r="E291" s="45"/>
      <c r="F291" s="45"/>
      <c r="G291" s="45"/>
    </row>
    <row r="292" spans="3:7" x14ac:dyDescent="0.25">
      <c r="C292" s="45"/>
      <c r="D292" s="45"/>
      <c r="E292" s="45"/>
      <c r="F292" s="45"/>
      <c r="G292" s="45"/>
    </row>
    <row r="293" spans="3:7" x14ac:dyDescent="0.25">
      <c r="C293" s="45"/>
      <c r="D293" s="45"/>
      <c r="E293" s="45"/>
      <c r="F293" s="45"/>
      <c r="G293" s="45"/>
    </row>
    <row r="294" spans="3:7" x14ac:dyDescent="0.25">
      <c r="C294" s="45"/>
      <c r="D294" s="45"/>
      <c r="E294" s="45"/>
      <c r="F294" s="45"/>
      <c r="G294" s="45"/>
    </row>
    <row r="295" spans="3:7" x14ac:dyDescent="0.25">
      <c r="C295" s="45"/>
      <c r="D295" s="45"/>
      <c r="E295" s="45"/>
      <c r="F295" s="45"/>
      <c r="G295" s="45"/>
    </row>
    <row r="296" spans="3:7" x14ac:dyDescent="0.25">
      <c r="C296" s="45"/>
      <c r="D296" s="45"/>
      <c r="E296" s="45"/>
      <c r="F296" s="45"/>
      <c r="G296" s="45"/>
    </row>
    <row r="297" spans="3:7" x14ac:dyDescent="0.25">
      <c r="C297" s="45"/>
      <c r="D297" s="45"/>
      <c r="E297" s="45"/>
      <c r="F297" s="45"/>
      <c r="G297" s="45"/>
    </row>
    <row r="298" spans="3:7" x14ac:dyDescent="0.25">
      <c r="C298" s="45"/>
      <c r="D298" s="45"/>
      <c r="E298" s="45"/>
      <c r="F298" s="45"/>
      <c r="G298" s="45"/>
    </row>
    <row r="299" spans="3:7" x14ac:dyDescent="0.25">
      <c r="C299" s="45"/>
      <c r="D299" s="45"/>
      <c r="E299" s="45"/>
      <c r="F299" s="45"/>
      <c r="G299" s="45"/>
    </row>
    <row r="300" spans="3:7" x14ac:dyDescent="0.25">
      <c r="C300" s="45"/>
      <c r="D300" s="45"/>
      <c r="E300" s="45"/>
      <c r="F300" s="45"/>
      <c r="G300" s="45"/>
    </row>
    <row r="301" spans="3:7" x14ac:dyDescent="0.25">
      <c r="C301" s="45"/>
      <c r="D301" s="45"/>
      <c r="E301" s="45"/>
      <c r="F301" s="45"/>
      <c r="G301" s="45"/>
    </row>
    <row r="302" spans="3:7" x14ac:dyDescent="0.25">
      <c r="C302" s="45"/>
      <c r="D302" s="45"/>
      <c r="E302" s="45"/>
      <c r="F302" s="45"/>
      <c r="G302" s="45"/>
    </row>
    <row r="303" spans="3:7" x14ac:dyDescent="0.25">
      <c r="C303" s="45"/>
      <c r="D303" s="45"/>
      <c r="E303" s="45"/>
      <c r="F303" s="45"/>
      <c r="G303" s="45"/>
    </row>
    <row r="304" spans="3:7" x14ac:dyDescent="0.25">
      <c r="C304" s="45"/>
      <c r="D304" s="45"/>
      <c r="E304" s="45"/>
      <c r="F304" s="45"/>
      <c r="G304" s="45"/>
    </row>
    <row r="305" spans="3:7" x14ac:dyDescent="0.25">
      <c r="C305" s="45"/>
      <c r="D305" s="45"/>
      <c r="E305" s="45"/>
      <c r="F305" s="45"/>
      <c r="G305" s="45"/>
    </row>
    <row r="306" spans="3:7" x14ac:dyDescent="0.25">
      <c r="C306" s="45"/>
      <c r="D306" s="45"/>
      <c r="E306" s="45"/>
      <c r="F306" s="45"/>
      <c r="G306" s="45"/>
    </row>
    <row r="307" spans="3:7" x14ac:dyDescent="0.25">
      <c r="C307" s="45"/>
      <c r="D307" s="45"/>
      <c r="E307" s="45"/>
      <c r="F307" s="45"/>
      <c r="G307" s="45"/>
    </row>
    <row r="308" spans="3:7" x14ac:dyDescent="0.25">
      <c r="C308" s="45"/>
      <c r="D308" s="45"/>
      <c r="E308" s="45"/>
      <c r="F308" s="45"/>
      <c r="G308" s="45"/>
    </row>
    <row r="309" spans="3:7" x14ac:dyDescent="0.25">
      <c r="C309" s="45"/>
      <c r="D309" s="45"/>
      <c r="E309" s="45"/>
      <c r="F309" s="45"/>
      <c r="G309" s="45"/>
    </row>
    <row r="310" spans="3:7" x14ac:dyDescent="0.25">
      <c r="C310" s="45"/>
      <c r="D310" s="45"/>
      <c r="E310" s="45"/>
      <c r="F310" s="45"/>
      <c r="G310" s="45"/>
    </row>
    <row r="311" spans="3:7" x14ac:dyDescent="0.25">
      <c r="C311" s="45"/>
      <c r="D311" s="45"/>
      <c r="E311" s="45"/>
      <c r="F311" s="45"/>
      <c r="G311" s="45"/>
    </row>
    <row r="312" spans="3:7" x14ac:dyDescent="0.25">
      <c r="C312" s="45"/>
      <c r="D312" s="45"/>
      <c r="E312" s="45"/>
      <c r="F312" s="45"/>
      <c r="G312" s="45"/>
    </row>
    <row r="313" spans="3:7" x14ac:dyDescent="0.25">
      <c r="C313" s="45"/>
      <c r="D313" s="45"/>
      <c r="E313" s="45"/>
      <c r="F313" s="45"/>
      <c r="G313" s="45"/>
    </row>
    <row r="314" spans="3:7" x14ac:dyDescent="0.25">
      <c r="C314" s="45"/>
      <c r="D314" s="45"/>
      <c r="E314" s="45"/>
      <c r="F314" s="45"/>
      <c r="G314" s="45"/>
    </row>
    <row r="315" spans="3:7" x14ac:dyDescent="0.25">
      <c r="C315" s="45"/>
      <c r="D315" s="45"/>
      <c r="E315" s="45"/>
      <c r="F315" s="45"/>
      <c r="G315" s="45"/>
    </row>
    <row r="316" spans="3:7" x14ac:dyDescent="0.25">
      <c r="C316" s="45"/>
      <c r="D316" s="45"/>
      <c r="E316" s="45"/>
      <c r="F316" s="45"/>
      <c r="G316" s="45"/>
    </row>
    <row r="317" spans="3:7" x14ac:dyDescent="0.25">
      <c r="C317" s="45"/>
      <c r="D317" s="45"/>
      <c r="E317" s="45"/>
      <c r="F317" s="45"/>
      <c r="G317" s="45"/>
    </row>
    <row r="318" spans="3:7" x14ac:dyDescent="0.25">
      <c r="C318" s="45"/>
      <c r="D318" s="45"/>
      <c r="E318" s="45"/>
      <c r="F318" s="45"/>
      <c r="G318" s="45"/>
    </row>
    <row r="319" spans="3:7" x14ac:dyDescent="0.25">
      <c r="C319" s="45"/>
      <c r="D319" s="45"/>
      <c r="E319" s="45"/>
      <c r="F319" s="45"/>
      <c r="G319" s="45"/>
    </row>
    <row r="320" spans="3:7" x14ac:dyDescent="0.25">
      <c r="C320" s="45"/>
      <c r="D320" s="45"/>
      <c r="E320" s="45"/>
      <c r="F320" s="45"/>
      <c r="G320" s="45"/>
    </row>
    <row r="321" spans="3:7" x14ac:dyDescent="0.25">
      <c r="C321" s="45"/>
      <c r="D321" s="45"/>
      <c r="E321" s="45"/>
      <c r="F321" s="45"/>
      <c r="G321" s="45"/>
    </row>
    <row r="322" spans="3:7" x14ac:dyDescent="0.25">
      <c r="C322" s="45"/>
      <c r="D322" s="45"/>
      <c r="E322" s="45"/>
      <c r="F322" s="45"/>
      <c r="G322" s="45"/>
    </row>
    <row r="323" spans="3:7" x14ac:dyDescent="0.25">
      <c r="C323" s="45"/>
      <c r="D323" s="45"/>
      <c r="E323" s="45"/>
      <c r="F323" s="45"/>
      <c r="G323" s="45"/>
    </row>
    <row r="324" spans="3:7" x14ac:dyDescent="0.25">
      <c r="C324" s="45"/>
      <c r="D324" s="45"/>
      <c r="E324" s="45"/>
      <c r="F324" s="45"/>
      <c r="G324" s="45"/>
    </row>
    <row r="325" spans="3:7" x14ac:dyDescent="0.25">
      <c r="C325" s="45"/>
      <c r="D325" s="45"/>
      <c r="E325" s="45"/>
      <c r="F325" s="45"/>
      <c r="G325" s="45"/>
    </row>
    <row r="326" spans="3:7" x14ac:dyDescent="0.25">
      <c r="C326" s="45"/>
      <c r="D326" s="45"/>
      <c r="E326" s="45"/>
      <c r="F326" s="45"/>
      <c r="G326" s="45"/>
    </row>
    <row r="327" spans="3:7" x14ac:dyDescent="0.25">
      <c r="C327" s="45"/>
      <c r="D327" s="45"/>
      <c r="E327" s="45"/>
      <c r="F327" s="45"/>
      <c r="G327" s="45"/>
    </row>
    <row r="328" spans="3:7" x14ac:dyDescent="0.25">
      <c r="C328" s="45"/>
      <c r="D328" s="45"/>
      <c r="E328" s="45"/>
      <c r="F328" s="45"/>
      <c r="G328" s="45"/>
    </row>
    <row r="329" spans="3:7" x14ac:dyDescent="0.25">
      <c r="C329" s="45"/>
      <c r="D329" s="45"/>
      <c r="E329" s="45"/>
      <c r="F329" s="45"/>
      <c r="G329" s="45"/>
    </row>
    <row r="330" spans="3:7" x14ac:dyDescent="0.25">
      <c r="C330" s="45"/>
      <c r="D330" s="45"/>
      <c r="E330" s="45"/>
      <c r="F330" s="45"/>
      <c r="G330" s="45"/>
    </row>
    <row r="331" spans="3:7" x14ac:dyDescent="0.25">
      <c r="C331" s="45"/>
      <c r="D331" s="45"/>
      <c r="E331" s="45"/>
      <c r="F331" s="45"/>
      <c r="G331" s="45"/>
    </row>
    <row r="332" spans="3:7" x14ac:dyDescent="0.25">
      <c r="C332" s="45"/>
      <c r="D332" s="45"/>
      <c r="E332" s="45"/>
      <c r="F332" s="45"/>
      <c r="G332" s="45"/>
    </row>
    <row r="333" spans="3:7" x14ac:dyDescent="0.25">
      <c r="C333" s="45"/>
      <c r="D333" s="45"/>
      <c r="E333" s="45"/>
      <c r="F333" s="45"/>
      <c r="G333" s="45"/>
    </row>
    <row r="334" spans="3:7" x14ac:dyDescent="0.25">
      <c r="C334" s="45"/>
      <c r="D334" s="45"/>
      <c r="E334" s="45"/>
      <c r="F334" s="45"/>
      <c r="G334" s="45"/>
    </row>
    <row r="335" spans="3:7" x14ac:dyDescent="0.25">
      <c r="C335" s="45"/>
      <c r="D335" s="45"/>
      <c r="E335" s="45"/>
      <c r="F335" s="45"/>
      <c r="G335" s="45"/>
    </row>
    <row r="336" spans="3:7" x14ac:dyDescent="0.25">
      <c r="C336" s="45"/>
      <c r="D336" s="45"/>
      <c r="E336" s="45"/>
      <c r="F336" s="45"/>
      <c r="G336" s="45"/>
    </row>
    <row r="337" spans="3:7" x14ac:dyDescent="0.25">
      <c r="C337" s="45"/>
      <c r="D337" s="45"/>
      <c r="E337" s="45"/>
      <c r="F337" s="45"/>
      <c r="G337" s="45"/>
    </row>
    <row r="338" spans="3:7" x14ac:dyDescent="0.25">
      <c r="C338" s="45"/>
      <c r="D338" s="45"/>
      <c r="E338" s="45"/>
      <c r="F338" s="45"/>
      <c r="G338" s="45"/>
    </row>
    <row r="339" spans="3:7" x14ac:dyDescent="0.25">
      <c r="C339" s="45"/>
      <c r="D339" s="45"/>
      <c r="E339" s="45"/>
      <c r="F339" s="45"/>
      <c r="G339" s="45"/>
    </row>
    <row r="340" spans="3:7" x14ac:dyDescent="0.25">
      <c r="C340" s="45"/>
      <c r="D340" s="45"/>
      <c r="E340" s="45"/>
      <c r="F340" s="45"/>
      <c r="G340" s="45"/>
    </row>
    <row r="341" spans="3:7" x14ac:dyDescent="0.25">
      <c r="C341" s="45"/>
      <c r="D341" s="45"/>
      <c r="E341" s="45"/>
      <c r="F341" s="45"/>
      <c r="G341" s="45"/>
    </row>
    <row r="342" spans="3:7" x14ac:dyDescent="0.25">
      <c r="C342" s="45"/>
      <c r="D342" s="45"/>
      <c r="E342" s="45"/>
      <c r="F342" s="45"/>
      <c r="G342" s="45"/>
    </row>
    <row r="343" spans="3:7" x14ac:dyDescent="0.25">
      <c r="C343" s="45"/>
      <c r="D343" s="45"/>
      <c r="E343" s="45"/>
      <c r="F343" s="45"/>
      <c r="G343" s="45"/>
    </row>
    <row r="344" spans="3:7" x14ac:dyDescent="0.25">
      <c r="C344" s="45"/>
      <c r="D344" s="45"/>
      <c r="E344" s="45"/>
      <c r="F344" s="45"/>
      <c r="G344" s="45"/>
    </row>
    <row r="345" spans="3:7" x14ac:dyDescent="0.25">
      <c r="C345" s="45"/>
      <c r="D345" s="45"/>
      <c r="E345" s="45"/>
      <c r="F345" s="45"/>
      <c r="G345" s="45"/>
    </row>
    <row r="346" spans="3:7" x14ac:dyDescent="0.25">
      <c r="C346" s="45"/>
      <c r="D346" s="45"/>
      <c r="E346" s="45"/>
      <c r="F346" s="45"/>
      <c r="G346" s="45"/>
    </row>
    <row r="347" spans="3:7" x14ac:dyDescent="0.25">
      <c r="C347" s="45"/>
      <c r="D347" s="45"/>
      <c r="E347" s="45"/>
      <c r="F347" s="45"/>
      <c r="G347" s="45"/>
    </row>
    <row r="348" spans="3:7" x14ac:dyDescent="0.25">
      <c r="C348" s="45"/>
      <c r="D348" s="45"/>
      <c r="E348" s="45"/>
      <c r="F348" s="45"/>
      <c r="G348" s="45"/>
    </row>
    <row r="349" spans="3:7" x14ac:dyDescent="0.25">
      <c r="C349" s="45"/>
      <c r="D349" s="45"/>
      <c r="E349" s="45"/>
      <c r="F349" s="45"/>
      <c r="G349" s="45"/>
    </row>
    <row r="350" spans="3:7" x14ac:dyDescent="0.25">
      <c r="C350" s="45"/>
      <c r="D350" s="45"/>
      <c r="E350" s="45"/>
      <c r="F350" s="45"/>
      <c r="G350" s="45"/>
    </row>
    <row r="351" spans="3:7" x14ac:dyDescent="0.25">
      <c r="C351" s="45"/>
      <c r="D351" s="45"/>
      <c r="E351" s="45"/>
      <c r="F351" s="45"/>
      <c r="G351" s="45"/>
    </row>
    <row r="352" spans="3:7" x14ac:dyDescent="0.25">
      <c r="C352" s="45"/>
      <c r="D352" s="45"/>
      <c r="E352" s="45"/>
      <c r="F352" s="45"/>
      <c r="G352" s="45"/>
    </row>
    <row r="353" spans="3:7" x14ac:dyDescent="0.25">
      <c r="C353" s="45"/>
      <c r="D353" s="45"/>
      <c r="E353" s="45"/>
      <c r="F353" s="45"/>
      <c r="G353" s="45"/>
    </row>
    <row r="354" spans="3:7" x14ac:dyDescent="0.25">
      <c r="C354" s="45"/>
      <c r="D354" s="45"/>
      <c r="E354" s="45"/>
      <c r="F354" s="45"/>
      <c r="G354" s="45"/>
    </row>
    <row r="355" spans="3:7" x14ac:dyDescent="0.25">
      <c r="C355" s="45"/>
      <c r="D355" s="45"/>
      <c r="E355" s="45"/>
      <c r="F355" s="45"/>
      <c r="G355" s="45"/>
    </row>
    <row r="356" spans="3:7" x14ac:dyDescent="0.25">
      <c r="C356" s="45"/>
      <c r="D356" s="45"/>
      <c r="E356" s="45"/>
      <c r="F356" s="45"/>
      <c r="G356" s="45"/>
    </row>
    <row r="357" spans="3:7" x14ac:dyDescent="0.25">
      <c r="C357" s="45"/>
      <c r="D357" s="45"/>
      <c r="E357" s="45"/>
      <c r="F357" s="45"/>
      <c r="G357" s="45"/>
    </row>
    <row r="358" spans="3:7" x14ac:dyDescent="0.25">
      <c r="C358" s="45"/>
      <c r="D358" s="45"/>
      <c r="E358" s="45"/>
      <c r="F358" s="45"/>
      <c r="G358" s="45"/>
    </row>
    <row r="359" spans="3:7" x14ac:dyDescent="0.25">
      <c r="C359" s="45"/>
      <c r="D359" s="45"/>
      <c r="E359" s="45"/>
      <c r="F359" s="45"/>
      <c r="G359" s="45"/>
    </row>
    <row r="360" spans="3:7" x14ac:dyDescent="0.25">
      <c r="C360" s="45"/>
      <c r="D360" s="45"/>
      <c r="E360" s="45"/>
      <c r="F360" s="45"/>
      <c r="G360" s="45"/>
    </row>
    <row r="361" spans="3:7" x14ac:dyDescent="0.25">
      <c r="C361" s="45"/>
      <c r="D361" s="45"/>
      <c r="E361" s="45"/>
      <c r="F361" s="45"/>
      <c r="G361" s="45"/>
    </row>
    <row r="362" spans="3:7" x14ac:dyDescent="0.25">
      <c r="C362" s="45"/>
      <c r="D362" s="45"/>
      <c r="E362" s="45"/>
      <c r="F362" s="45"/>
      <c r="G362" s="45"/>
    </row>
    <row r="363" spans="3:7" x14ac:dyDescent="0.25">
      <c r="C363" s="45"/>
      <c r="D363" s="45"/>
      <c r="E363" s="45"/>
      <c r="F363" s="45"/>
      <c r="G363" s="45"/>
    </row>
    <row r="364" spans="3:7" x14ac:dyDescent="0.25">
      <c r="C364" s="45"/>
      <c r="D364" s="45"/>
      <c r="E364" s="45"/>
      <c r="F364" s="45"/>
      <c r="G364" s="45"/>
    </row>
    <row r="365" spans="3:7" x14ac:dyDescent="0.25">
      <c r="C365" s="45"/>
      <c r="D365" s="45"/>
      <c r="E365" s="45"/>
      <c r="F365" s="45"/>
      <c r="G365" s="45"/>
    </row>
    <row r="366" spans="3:7" x14ac:dyDescent="0.25">
      <c r="C366" s="45"/>
      <c r="D366" s="45"/>
      <c r="E366" s="45"/>
      <c r="F366" s="45"/>
      <c r="G366" s="45"/>
    </row>
    <row r="367" spans="3:7" x14ac:dyDescent="0.25">
      <c r="C367" s="45"/>
      <c r="D367" s="45"/>
      <c r="E367" s="45"/>
      <c r="F367" s="45"/>
      <c r="G367" s="45"/>
    </row>
    <row r="368" spans="3:7" x14ac:dyDescent="0.25">
      <c r="C368" s="45"/>
      <c r="D368" s="45"/>
      <c r="E368" s="45"/>
      <c r="F368" s="45"/>
      <c r="G368" s="45"/>
    </row>
    <row r="369" spans="3:7" x14ac:dyDescent="0.25">
      <c r="C369" s="45"/>
      <c r="D369" s="45"/>
      <c r="E369" s="45"/>
      <c r="F369" s="45"/>
      <c r="G369" s="45"/>
    </row>
    <row r="370" spans="3:7" x14ac:dyDescent="0.25">
      <c r="C370" s="45"/>
      <c r="D370" s="45"/>
      <c r="E370" s="45"/>
      <c r="F370" s="45"/>
      <c r="G370" s="45"/>
    </row>
    <row r="371" spans="3:7" x14ac:dyDescent="0.25">
      <c r="C371" s="45"/>
      <c r="D371" s="45"/>
      <c r="E371" s="45"/>
      <c r="F371" s="45"/>
      <c r="G371" s="45"/>
    </row>
    <row r="372" spans="3:7" x14ac:dyDescent="0.25">
      <c r="C372" s="45"/>
      <c r="D372" s="45"/>
      <c r="E372" s="45"/>
      <c r="F372" s="45"/>
      <c r="G372" s="45"/>
    </row>
    <row r="373" spans="3:7" x14ac:dyDescent="0.25">
      <c r="C373" s="45"/>
      <c r="D373" s="45"/>
      <c r="E373" s="45"/>
      <c r="F373" s="45"/>
      <c r="G373" s="45"/>
    </row>
    <row r="374" spans="3:7" x14ac:dyDescent="0.25">
      <c r="C374" s="45"/>
      <c r="D374" s="45"/>
      <c r="E374" s="45"/>
      <c r="F374" s="45"/>
      <c r="G374" s="45"/>
    </row>
    <row r="375" spans="3:7" x14ac:dyDescent="0.25">
      <c r="C375" s="45"/>
      <c r="D375" s="45"/>
      <c r="E375" s="45"/>
      <c r="F375" s="45"/>
      <c r="G375" s="45"/>
    </row>
    <row r="376" spans="3:7" x14ac:dyDescent="0.25">
      <c r="C376" s="45"/>
      <c r="D376" s="45"/>
      <c r="E376" s="45"/>
      <c r="F376" s="45"/>
      <c r="G376" s="45"/>
    </row>
    <row r="377" spans="3:7" x14ac:dyDescent="0.25">
      <c r="C377" s="45"/>
      <c r="D377" s="45"/>
      <c r="E377" s="45"/>
      <c r="F377" s="45"/>
      <c r="G377" s="45"/>
    </row>
    <row r="378" spans="3:7" x14ac:dyDescent="0.25">
      <c r="C378" s="45"/>
      <c r="D378" s="45"/>
      <c r="E378" s="45"/>
      <c r="F378" s="45"/>
      <c r="G378" s="45"/>
    </row>
    <row r="379" spans="3:7" x14ac:dyDescent="0.25">
      <c r="C379" s="45"/>
      <c r="D379" s="45"/>
      <c r="E379" s="45"/>
      <c r="F379" s="45"/>
      <c r="G379" s="45"/>
    </row>
    <row r="380" spans="3:7" x14ac:dyDescent="0.25">
      <c r="C380" s="45"/>
      <c r="D380" s="45"/>
      <c r="E380" s="45"/>
      <c r="F380" s="45"/>
      <c r="G380" s="45"/>
    </row>
    <row r="381" spans="3:7" x14ac:dyDescent="0.25">
      <c r="C381" s="45"/>
      <c r="D381" s="45"/>
      <c r="E381" s="45"/>
      <c r="F381" s="45"/>
      <c r="G381" s="45"/>
    </row>
    <row r="382" spans="3:7" x14ac:dyDescent="0.25">
      <c r="C382" s="45"/>
      <c r="D382" s="45"/>
      <c r="E382" s="45"/>
      <c r="F382" s="45"/>
      <c r="G382" s="45"/>
    </row>
    <row r="383" spans="3:7" x14ac:dyDescent="0.25">
      <c r="C383" s="45"/>
      <c r="D383" s="45"/>
      <c r="E383" s="45"/>
      <c r="F383" s="45"/>
      <c r="G383" s="45"/>
    </row>
    <row r="384" spans="3:7" x14ac:dyDescent="0.25">
      <c r="C384" s="45"/>
      <c r="D384" s="45"/>
      <c r="E384" s="45"/>
      <c r="F384" s="45"/>
      <c r="G384" s="45"/>
    </row>
    <row r="385" spans="3:7" x14ac:dyDescent="0.25">
      <c r="C385" s="45"/>
      <c r="D385" s="45"/>
      <c r="E385" s="45"/>
      <c r="F385" s="45"/>
      <c r="G385" s="45"/>
    </row>
    <row r="386" spans="3:7" x14ac:dyDescent="0.25">
      <c r="C386" s="45"/>
      <c r="D386" s="45"/>
      <c r="E386" s="45"/>
      <c r="F386" s="45"/>
      <c r="G386" s="45"/>
    </row>
    <row r="387" spans="3:7" x14ac:dyDescent="0.25">
      <c r="C387" s="45"/>
      <c r="D387" s="45"/>
      <c r="E387" s="45"/>
      <c r="F387" s="45"/>
      <c r="G387" s="45"/>
    </row>
    <row r="388" spans="3:7" x14ac:dyDescent="0.25">
      <c r="C388" s="45"/>
      <c r="D388" s="45"/>
      <c r="E388" s="45"/>
      <c r="F388" s="45"/>
      <c r="G388" s="45"/>
    </row>
    <row r="389" spans="3:7" x14ac:dyDescent="0.25">
      <c r="C389" s="45"/>
      <c r="D389" s="45"/>
      <c r="E389" s="45"/>
      <c r="F389" s="45"/>
      <c r="G389" s="45"/>
    </row>
    <row r="390" spans="3:7" x14ac:dyDescent="0.25">
      <c r="C390" s="45"/>
      <c r="D390" s="45"/>
      <c r="E390" s="45"/>
      <c r="F390" s="45"/>
      <c r="G390" s="45"/>
    </row>
    <row r="391" spans="3:7" x14ac:dyDescent="0.25">
      <c r="C391" s="45"/>
      <c r="D391" s="45"/>
      <c r="E391" s="45"/>
      <c r="F391" s="45"/>
      <c r="G391" s="45"/>
    </row>
    <row r="392" spans="3:7" x14ac:dyDescent="0.25">
      <c r="C392" s="45"/>
      <c r="D392" s="45"/>
      <c r="E392" s="45"/>
      <c r="F392" s="45"/>
      <c r="G392" s="45"/>
    </row>
    <row r="393" spans="3:7" x14ac:dyDescent="0.25">
      <c r="C393" s="45"/>
      <c r="D393" s="45"/>
      <c r="E393" s="45"/>
      <c r="F393" s="45"/>
      <c r="G393" s="45"/>
    </row>
    <row r="394" spans="3:7" x14ac:dyDescent="0.25">
      <c r="C394" s="45"/>
      <c r="D394" s="45"/>
      <c r="E394" s="45"/>
      <c r="F394" s="45"/>
      <c r="G394" s="45"/>
    </row>
    <row r="395" spans="3:7" x14ac:dyDescent="0.25">
      <c r="C395" s="45"/>
      <c r="D395" s="45"/>
      <c r="E395" s="45"/>
      <c r="F395" s="45"/>
      <c r="G395" s="45"/>
    </row>
    <row r="396" spans="3:7" x14ac:dyDescent="0.25">
      <c r="C396" s="45"/>
      <c r="D396" s="45"/>
      <c r="E396" s="45"/>
      <c r="F396" s="45"/>
      <c r="G396" s="45"/>
    </row>
    <row r="397" spans="3:7" x14ac:dyDescent="0.25">
      <c r="C397" s="45"/>
      <c r="D397" s="45"/>
      <c r="E397" s="45"/>
      <c r="F397" s="45"/>
      <c r="G397" s="45"/>
    </row>
    <row r="398" spans="3:7" x14ac:dyDescent="0.25">
      <c r="C398" s="45"/>
      <c r="D398" s="45"/>
      <c r="E398" s="45"/>
      <c r="F398" s="45"/>
      <c r="G398" s="45"/>
    </row>
    <row r="399" spans="3:7" x14ac:dyDescent="0.25">
      <c r="C399" s="45"/>
      <c r="D399" s="45"/>
      <c r="E399" s="45"/>
      <c r="F399" s="45"/>
      <c r="G399" s="45"/>
    </row>
    <row r="400" spans="3:7" x14ac:dyDescent="0.25">
      <c r="C400" s="45"/>
      <c r="D400" s="45"/>
      <c r="E400" s="45"/>
      <c r="F400" s="45"/>
      <c r="G400" s="45"/>
    </row>
    <row r="401" spans="3:7" x14ac:dyDescent="0.25">
      <c r="C401" s="45"/>
      <c r="D401" s="45"/>
      <c r="E401" s="45"/>
      <c r="F401" s="45"/>
      <c r="G401" s="45"/>
    </row>
    <row r="402" spans="3:7" x14ac:dyDescent="0.25">
      <c r="C402" s="45"/>
      <c r="D402" s="45"/>
      <c r="E402" s="45"/>
      <c r="F402" s="45"/>
      <c r="G402" s="45"/>
    </row>
    <row r="403" spans="3:7" x14ac:dyDescent="0.25">
      <c r="C403" s="45"/>
      <c r="D403" s="45"/>
      <c r="E403" s="45"/>
      <c r="F403" s="45"/>
      <c r="G403" s="45"/>
    </row>
    <row r="404" spans="3:7" x14ac:dyDescent="0.25">
      <c r="C404" s="45"/>
      <c r="D404" s="45"/>
      <c r="E404" s="45"/>
      <c r="F404" s="45"/>
      <c r="G404" s="45"/>
    </row>
    <row r="405" spans="3:7" x14ac:dyDescent="0.25">
      <c r="C405" s="45"/>
      <c r="D405" s="45"/>
      <c r="E405" s="45"/>
      <c r="F405" s="45"/>
      <c r="G405" s="45"/>
    </row>
    <row r="406" spans="3:7" x14ac:dyDescent="0.25">
      <c r="C406" s="45"/>
      <c r="D406" s="45"/>
      <c r="E406" s="45"/>
      <c r="F406" s="45"/>
      <c r="G406" s="45"/>
    </row>
    <row r="407" spans="3:7" x14ac:dyDescent="0.25">
      <c r="C407" s="45"/>
      <c r="D407" s="45"/>
      <c r="E407" s="45"/>
      <c r="F407" s="45"/>
      <c r="G407" s="45"/>
    </row>
    <row r="408" spans="3:7" x14ac:dyDescent="0.25">
      <c r="C408" s="45"/>
      <c r="D408" s="45"/>
      <c r="E408" s="45"/>
      <c r="F408" s="45"/>
      <c r="G408" s="45"/>
    </row>
    <row r="409" spans="3:7" x14ac:dyDescent="0.25">
      <c r="C409" s="45"/>
      <c r="D409" s="45"/>
      <c r="E409" s="45"/>
      <c r="F409" s="45"/>
      <c r="G409" s="45"/>
    </row>
    <row r="410" spans="3:7" x14ac:dyDescent="0.25">
      <c r="C410" s="45"/>
      <c r="D410" s="45"/>
      <c r="E410" s="45"/>
      <c r="F410" s="45"/>
      <c r="G410" s="45"/>
    </row>
    <row r="411" spans="3:7" x14ac:dyDescent="0.25">
      <c r="C411" s="45"/>
      <c r="D411" s="45"/>
      <c r="E411" s="45"/>
      <c r="F411" s="45"/>
      <c r="G411" s="45"/>
    </row>
    <row r="412" spans="3:7" x14ac:dyDescent="0.25">
      <c r="C412" s="45"/>
      <c r="D412" s="45"/>
      <c r="E412" s="45"/>
      <c r="F412" s="45"/>
      <c r="G412" s="45"/>
    </row>
    <row r="413" spans="3:7" x14ac:dyDescent="0.25">
      <c r="C413" s="45"/>
      <c r="D413" s="45"/>
      <c r="E413" s="45"/>
      <c r="F413" s="45"/>
      <c r="G413" s="45"/>
    </row>
    <row r="414" spans="3:7" x14ac:dyDescent="0.25">
      <c r="C414" s="45"/>
      <c r="D414" s="45"/>
      <c r="E414" s="45"/>
      <c r="F414" s="45"/>
      <c r="G414" s="45"/>
    </row>
    <row r="415" spans="3:7" x14ac:dyDescent="0.25">
      <c r="C415" s="45"/>
      <c r="D415" s="45"/>
      <c r="E415" s="45"/>
      <c r="F415" s="45"/>
      <c r="G415" s="45"/>
    </row>
    <row r="416" spans="3:7" x14ac:dyDescent="0.25">
      <c r="C416" s="45"/>
      <c r="D416" s="45"/>
      <c r="E416" s="45"/>
      <c r="F416" s="45"/>
      <c r="G416" s="45"/>
    </row>
    <row r="417" spans="3:7" x14ac:dyDescent="0.25">
      <c r="C417" s="45"/>
      <c r="D417" s="45"/>
      <c r="E417" s="45"/>
      <c r="F417" s="45"/>
      <c r="G417" s="45"/>
    </row>
    <row r="418" spans="3:7" x14ac:dyDescent="0.25">
      <c r="C418" s="45"/>
      <c r="D418" s="45"/>
      <c r="E418" s="45"/>
      <c r="F418" s="45"/>
      <c r="G418" s="45"/>
    </row>
    <row r="419" spans="3:7" x14ac:dyDescent="0.25">
      <c r="C419" s="45"/>
      <c r="D419" s="45"/>
      <c r="E419" s="45"/>
      <c r="F419" s="45"/>
      <c r="G419" s="45"/>
    </row>
    <row r="420" spans="3:7" x14ac:dyDescent="0.25">
      <c r="C420" s="45"/>
      <c r="D420" s="45"/>
      <c r="E420" s="45"/>
      <c r="F420" s="45"/>
      <c r="G420" s="45"/>
    </row>
    <row r="421" spans="3:7" x14ac:dyDescent="0.25">
      <c r="C421" s="45"/>
      <c r="D421" s="45"/>
      <c r="E421" s="45"/>
      <c r="F421" s="45"/>
      <c r="G421" s="45"/>
    </row>
    <row r="422" spans="3:7" x14ac:dyDescent="0.25">
      <c r="C422" s="45"/>
      <c r="D422" s="45"/>
      <c r="E422" s="45"/>
      <c r="F422" s="45"/>
      <c r="G422" s="45"/>
    </row>
    <row r="423" spans="3:7" x14ac:dyDescent="0.25">
      <c r="C423" s="45"/>
      <c r="D423" s="45"/>
      <c r="E423" s="45"/>
      <c r="F423" s="45"/>
      <c r="G423" s="45"/>
    </row>
    <row r="424" spans="3:7" x14ac:dyDescent="0.25">
      <c r="C424" s="45"/>
      <c r="D424" s="45"/>
      <c r="E424" s="45"/>
      <c r="F424" s="45"/>
      <c r="G424" s="45"/>
    </row>
    <row r="425" spans="3:7" x14ac:dyDescent="0.25">
      <c r="C425" s="45"/>
      <c r="D425" s="45"/>
      <c r="E425" s="45"/>
      <c r="F425" s="45"/>
      <c r="G425" s="45"/>
    </row>
    <row r="426" spans="3:7" x14ac:dyDescent="0.25">
      <c r="C426" s="45"/>
      <c r="D426" s="45"/>
      <c r="E426" s="45"/>
      <c r="F426" s="45"/>
      <c r="G426" s="45"/>
    </row>
    <row r="427" spans="3:7" x14ac:dyDescent="0.25">
      <c r="C427" s="45"/>
      <c r="D427" s="45"/>
      <c r="E427" s="45"/>
      <c r="F427" s="45"/>
      <c r="G427" s="45"/>
    </row>
    <row r="428" spans="3:7" x14ac:dyDescent="0.25">
      <c r="C428" s="45"/>
      <c r="D428" s="45"/>
      <c r="E428" s="45"/>
      <c r="F428" s="45"/>
      <c r="G428" s="45"/>
    </row>
    <row r="429" spans="3:7" x14ac:dyDescent="0.25">
      <c r="C429" s="45"/>
      <c r="D429" s="45"/>
      <c r="E429" s="45"/>
      <c r="F429" s="45"/>
      <c r="G429" s="45"/>
    </row>
    <row r="430" spans="3:7" x14ac:dyDescent="0.25">
      <c r="C430" s="45"/>
      <c r="D430" s="45"/>
      <c r="E430" s="45"/>
      <c r="F430" s="45"/>
      <c r="G430" s="45"/>
    </row>
    <row r="431" spans="3:7" x14ac:dyDescent="0.25">
      <c r="C431" s="45"/>
      <c r="D431" s="45"/>
      <c r="E431" s="45"/>
      <c r="F431" s="45"/>
      <c r="G431" s="45"/>
    </row>
    <row r="432" spans="3:7" x14ac:dyDescent="0.25">
      <c r="C432" s="45"/>
      <c r="D432" s="45"/>
      <c r="E432" s="45"/>
      <c r="F432" s="45"/>
      <c r="G432" s="45"/>
    </row>
    <row r="433" spans="3:7" x14ac:dyDescent="0.25">
      <c r="C433" s="45"/>
      <c r="D433" s="45"/>
      <c r="E433" s="45"/>
      <c r="F433" s="45"/>
      <c r="G433" s="45"/>
    </row>
    <row r="434" spans="3:7" x14ac:dyDescent="0.25">
      <c r="C434" s="45"/>
      <c r="D434" s="45"/>
      <c r="E434" s="45"/>
      <c r="F434" s="45"/>
      <c r="G434" s="45"/>
    </row>
    <row r="435" spans="3:7" x14ac:dyDescent="0.25">
      <c r="C435" s="45"/>
      <c r="D435" s="45"/>
      <c r="E435" s="45"/>
      <c r="F435" s="45"/>
      <c r="G435" s="45"/>
    </row>
    <row r="436" spans="3:7" x14ac:dyDescent="0.25">
      <c r="C436" s="45"/>
      <c r="D436" s="45"/>
      <c r="E436" s="45"/>
      <c r="F436" s="45"/>
      <c r="G436" s="45"/>
    </row>
    <row r="437" spans="3:7" x14ac:dyDescent="0.25">
      <c r="C437" s="45"/>
      <c r="D437" s="45"/>
      <c r="E437" s="45"/>
      <c r="F437" s="45"/>
      <c r="G437" s="45"/>
    </row>
    <row r="438" spans="3:7" x14ac:dyDescent="0.25">
      <c r="C438" s="45"/>
      <c r="D438" s="45"/>
      <c r="E438" s="45"/>
      <c r="F438" s="45"/>
      <c r="G438" s="45"/>
    </row>
    <row r="439" spans="3:7" x14ac:dyDescent="0.25">
      <c r="C439" s="45"/>
      <c r="D439" s="45"/>
      <c r="E439" s="45"/>
      <c r="F439" s="45"/>
      <c r="G439" s="45"/>
    </row>
    <row r="440" spans="3:7" x14ac:dyDescent="0.25">
      <c r="C440" s="45"/>
      <c r="D440" s="45"/>
      <c r="E440" s="45"/>
      <c r="F440" s="45"/>
      <c r="G440" s="45"/>
    </row>
    <row r="441" spans="3:7" x14ac:dyDescent="0.25">
      <c r="C441" s="45"/>
      <c r="D441" s="45"/>
      <c r="E441" s="45"/>
      <c r="F441" s="45"/>
      <c r="G441" s="45"/>
    </row>
    <row r="442" spans="3:7" x14ac:dyDescent="0.25">
      <c r="C442" s="45"/>
      <c r="D442" s="45"/>
      <c r="E442" s="45"/>
      <c r="F442" s="45"/>
      <c r="G442" s="45"/>
    </row>
    <row r="443" spans="3:7" x14ac:dyDescent="0.25">
      <c r="C443" s="45"/>
      <c r="D443" s="45"/>
      <c r="E443" s="45"/>
      <c r="F443" s="45"/>
      <c r="G443" s="45"/>
    </row>
    <row r="444" spans="3:7" x14ac:dyDescent="0.25">
      <c r="C444" s="45"/>
      <c r="D444" s="45"/>
      <c r="E444" s="45"/>
      <c r="F444" s="45"/>
      <c r="G444" s="45"/>
    </row>
    <row r="445" spans="3:7" x14ac:dyDescent="0.25">
      <c r="C445" s="45"/>
      <c r="D445" s="45"/>
      <c r="E445" s="45"/>
      <c r="F445" s="45"/>
      <c r="G445" s="45"/>
    </row>
    <row r="446" spans="3:7" x14ac:dyDescent="0.25">
      <c r="C446" s="45"/>
      <c r="D446" s="45"/>
      <c r="E446" s="45"/>
      <c r="F446" s="45"/>
      <c r="G446" s="45"/>
    </row>
    <row r="447" spans="3:7" x14ac:dyDescent="0.25">
      <c r="C447" s="45"/>
      <c r="D447" s="45"/>
      <c r="E447" s="45"/>
      <c r="F447" s="45"/>
      <c r="G447" s="45"/>
    </row>
    <row r="448" spans="3:7" x14ac:dyDescent="0.25">
      <c r="C448" s="45"/>
      <c r="D448" s="45"/>
      <c r="E448" s="45"/>
      <c r="F448" s="45"/>
      <c r="G448" s="45"/>
    </row>
    <row r="449" spans="3:7" x14ac:dyDescent="0.25">
      <c r="C449" s="45"/>
      <c r="D449" s="45"/>
      <c r="E449" s="45"/>
      <c r="F449" s="45"/>
      <c r="G449" s="45"/>
    </row>
    <row r="450" spans="3:7" x14ac:dyDescent="0.25">
      <c r="C450" s="45"/>
      <c r="D450" s="45"/>
      <c r="E450" s="45"/>
      <c r="F450" s="45"/>
      <c r="G450" s="45"/>
    </row>
    <row r="451" spans="3:7" x14ac:dyDescent="0.25">
      <c r="C451" s="45"/>
      <c r="D451" s="45"/>
      <c r="E451" s="45"/>
      <c r="F451" s="45"/>
      <c r="G451" s="45"/>
    </row>
    <row r="452" spans="3:7" x14ac:dyDescent="0.25">
      <c r="C452" s="45"/>
      <c r="D452" s="45"/>
      <c r="E452" s="45"/>
      <c r="F452" s="45"/>
      <c r="G452" s="45"/>
    </row>
    <row r="453" spans="3:7" x14ac:dyDescent="0.25">
      <c r="C453" s="45"/>
      <c r="D453" s="45"/>
      <c r="E453" s="45"/>
      <c r="F453" s="45"/>
      <c r="G453" s="45"/>
    </row>
    <row r="454" spans="3:7" x14ac:dyDescent="0.25">
      <c r="C454" s="45"/>
      <c r="D454" s="45"/>
      <c r="E454" s="45"/>
      <c r="F454" s="45"/>
      <c r="G454" s="45"/>
    </row>
    <row r="455" spans="3:7" x14ac:dyDescent="0.25">
      <c r="C455" s="45"/>
      <c r="D455" s="45"/>
      <c r="E455" s="45"/>
      <c r="F455" s="45"/>
      <c r="G455" s="45"/>
    </row>
    <row r="456" spans="3:7" x14ac:dyDescent="0.25">
      <c r="C456" s="45"/>
      <c r="D456" s="45"/>
      <c r="E456" s="45"/>
      <c r="F456" s="45"/>
      <c r="G456" s="45"/>
    </row>
    <row r="457" spans="3:7" x14ac:dyDescent="0.25">
      <c r="C457" s="45"/>
      <c r="D457" s="45"/>
      <c r="E457" s="45"/>
      <c r="F457" s="45"/>
      <c r="G457" s="45"/>
    </row>
    <row r="458" spans="3:7" x14ac:dyDescent="0.25">
      <c r="C458" s="45"/>
      <c r="D458" s="45"/>
      <c r="E458" s="45"/>
      <c r="F458" s="45"/>
      <c r="G458" s="45"/>
    </row>
    <row r="459" spans="3:7" x14ac:dyDescent="0.25">
      <c r="C459" s="45"/>
      <c r="D459" s="45"/>
      <c r="E459" s="45"/>
      <c r="F459" s="45"/>
      <c r="G459" s="45"/>
    </row>
    <row r="460" spans="3:7" x14ac:dyDescent="0.25">
      <c r="C460" s="45"/>
      <c r="D460" s="45"/>
      <c r="E460" s="45"/>
      <c r="F460" s="45"/>
      <c r="G460" s="45"/>
    </row>
    <row r="461" spans="3:7" x14ac:dyDescent="0.25">
      <c r="C461" s="45"/>
      <c r="D461" s="45"/>
      <c r="E461" s="45"/>
      <c r="F461" s="45"/>
      <c r="G461" s="45"/>
    </row>
    <row r="462" spans="3:7" x14ac:dyDescent="0.25">
      <c r="C462" s="45"/>
      <c r="D462" s="45"/>
      <c r="E462" s="45"/>
      <c r="F462" s="45"/>
      <c r="G462" s="45"/>
    </row>
    <row r="463" spans="3:7" x14ac:dyDescent="0.25">
      <c r="C463" s="45"/>
      <c r="D463" s="45"/>
      <c r="E463" s="45"/>
      <c r="F463" s="45"/>
      <c r="G463" s="45"/>
    </row>
    <row r="464" spans="3:7" x14ac:dyDescent="0.25">
      <c r="C464" s="45"/>
      <c r="D464" s="45"/>
      <c r="E464" s="45"/>
      <c r="F464" s="45"/>
      <c r="G464" s="45"/>
    </row>
    <row r="465" spans="3:7" x14ac:dyDescent="0.25">
      <c r="C465" s="45"/>
      <c r="D465" s="45"/>
      <c r="E465" s="45"/>
      <c r="F465" s="45"/>
      <c r="G465" s="45"/>
    </row>
    <row r="466" spans="3:7" x14ac:dyDescent="0.25">
      <c r="C466" s="45"/>
      <c r="D466" s="45"/>
      <c r="E466" s="45"/>
      <c r="F466" s="45"/>
      <c r="G466" s="45"/>
    </row>
    <row r="467" spans="3:7" x14ac:dyDescent="0.25">
      <c r="C467" s="45"/>
      <c r="D467" s="45"/>
      <c r="E467" s="45"/>
      <c r="F467" s="45"/>
      <c r="G467" s="45"/>
    </row>
    <row r="468" spans="3:7" x14ac:dyDescent="0.25">
      <c r="C468" s="45"/>
      <c r="D468" s="45"/>
      <c r="E468" s="45"/>
      <c r="F468" s="45"/>
      <c r="G468" s="45"/>
    </row>
    <row r="469" spans="3:7" x14ac:dyDescent="0.25">
      <c r="C469" s="45"/>
      <c r="D469" s="45"/>
      <c r="E469" s="45"/>
      <c r="F469" s="45"/>
      <c r="G469" s="45"/>
    </row>
    <row r="470" spans="3:7" x14ac:dyDescent="0.25">
      <c r="C470" s="45"/>
      <c r="D470" s="45"/>
      <c r="E470" s="45"/>
      <c r="F470" s="45"/>
      <c r="G470" s="45"/>
    </row>
    <row r="471" spans="3:7" x14ac:dyDescent="0.25">
      <c r="C471" s="45"/>
      <c r="D471" s="45"/>
      <c r="E471" s="45"/>
      <c r="F471" s="45"/>
      <c r="G471" s="45"/>
    </row>
    <row r="472" spans="3:7" x14ac:dyDescent="0.25">
      <c r="C472" s="45"/>
      <c r="D472" s="45"/>
      <c r="E472" s="45"/>
      <c r="F472" s="45"/>
      <c r="G472" s="45"/>
    </row>
    <row r="473" spans="3:7" x14ac:dyDescent="0.25">
      <c r="C473" s="45"/>
      <c r="D473" s="45"/>
      <c r="E473" s="45"/>
      <c r="F473" s="45"/>
      <c r="G473" s="45"/>
    </row>
    <row r="474" spans="3:7" x14ac:dyDescent="0.25">
      <c r="C474" s="45"/>
      <c r="D474" s="45"/>
      <c r="E474" s="45"/>
      <c r="F474" s="45"/>
      <c r="G474" s="45"/>
    </row>
    <row r="475" spans="3:7" x14ac:dyDescent="0.25">
      <c r="C475" s="45"/>
      <c r="D475" s="45"/>
      <c r="E475" s="45"/>
      <c r="F475" s="45"/>
      <c r="G475" s="45"/>
    </row>
    <row r="476" spans="3:7" x14ac:dyDescent="0.25">
      <c r="C476" s="45"/>
      <c r="D476" s="45"/>
      <c r="E476" s="45"/>
      <c r="F476" s="45"/>
      <c r="G476" s="45"/>
    </row>
    <row r="477" spans="3:7" x14ac:dyDescent="0.25">
      <c r="C477" s="45"/>
      <c r="D477" s="45"/>
      <c r="E477" s="45"/>
      <c r="F477" s="45"/>
      <c r="G477" s="45"/>
    </row>
    <row r="478" spans="3:7" x14ac:dyDescent="0.25">
      <c r="C478" s="45"/>
      <c r="D478" s="45"/>
      <c r="E478" s="45"/>
      <c r="F478" s="45"/>
      <c r="G478" s="45"/>
    </row>
    <row r="479" spans="3:7" x14ac:dyDescent="0.25">
      <c r="C479" s="45"/>
      <c r="D479" s="45"/>
      <c r="E479" s="45"/>
      <c r="F479" s="45"/>
      <c r="G479" s="45"/>
    </row>
    <row r="480" spans="3:7" x14ac:dyDescent="0.25">
      <c r="C480" s="45"/>
      <c r="D480" s="45"/>
      <c r="E480" s="45"/>
      <c r="F480" s="45"/>
      <c r="G480" s="45"/>
    </row>
    <row r="481" spans="3:7" x14ac:dyDescent="0.25">
      <c r="C481" s="45"/>
      <c r="D481" s="45"/>
      <c r="E481" s="45"/>
      <c r="F481" s="45"/>
      <c r="G481" s="45"/>
    </row>
    <row r="482" spans="3:7" x14ac:dyDescent="0.25">
      <c r="C482" s="45"/>
      <c r="D482" s="45"/>
      <c r="E482" s="45"/>
      <c r="F482" s="45"/>
      <c r="G482" s="45"/>
    </row>
    <row r="483" spans="3:7" x14ac:dyDescent="0.25">
      <c r="C483" s="45"/>
      <c r="D483" s="45"/>
      <c r="E483" s="45"/>
      <c r="F483" s="45"/>
      <c r="G483" s="45"/>
    </row>
    <row r="484" spans="3:7" x14ac:dyDescent="0.25">
      <c r="C484" s="45"/>
      <c r="D484" s="45"/>
      <c r="E484" s="45"/>
      <c r="F484" s="45"/>
      <c r="G484" s="45"/>
    </row>
    <row r="485" spans="3:7" x14ac:dyDescent="0.25">
      <c r="C485" s="45"/>
      <c r="D485" s="45"/>
      <c r="E485" s="45"/>
      <c r="F485" s="45"/>
      <c r="G485" s="45"/>
    </row>
    <row r="486" spans="3:7" x14ac:dyDescent="0.25">
      <c r="C486" s="45"/>
      <c r="D486" s="45"/>
      <c r="E486" s="45"/>
      <c r="F486" s="45"/>
      <c r="G486" s="45"/>
    </row>
    <row r="487" spans="3:7" x14ac:dyDescent="0.25">
      <c r="C487" s="45"/>
      <c r="D487" s="45"/>
      <c r="E487" s="45"/>
      <c r="F487" s="45"/>
      <c r="G487" s="45"/>
    </row>
    <row r="488" spans="3:7" x14ac:dyDescent="0.25">
      <c r="C488" s="45"/>
      <c r="D488" s="45"/>
      <c r="E488" s="45"/>
      <c r="F488" s="45"/>
      <c r="G488" s="45"/>
    </row>
    <row r="489" spans="3:7" x14ac:dyDescent="0.25">
      <c r="C489" s="45"/>
      <c r="D489" s="45"/>
      <c r="E489" s="45"/>
      <c r="F489" s="45"/>
      <c r="G489" s="45"/>
    </row>
    <row r="490" spans="3:7" x14ac:dyDescent="0.25">
      <c r="C490" s="45"/>
      <c r="D490" s="45"/>
      <c r="E490" s="45"/>
      <c r="F490" s="45"/>
      <c r="G490" s="45"/>
    </row>
    <row r="491" spans="3:7" x14ac:dyDescent="0.25">
      <c r="C491" s="45"/>
      <c r="D491" s="45"/>
      <c r="E491" s="45"/>
      <c r="F491" s="45"/>
      <c r="G491" s="45"/>
    </row>
    <row r="492" spans="3:7" x14ac:dyDescent="0.25">
      <c r="C492" s="45"/>
      <c r="D492" s="45"/>
      <c r="E492" s="45"/>
      <c r="F492" s="45"/>
      <c r="G492" s="45"/>
    </row>
    <row r="493" spans="3:7" x14ac:dyDescent="0.25">
      <c r="C493" s="45"/>
      <c r="D493" s="45"/>
      <c r="E493" s="45"/>
      <c r="F493" s="45"/>
      <c r="G493" s="45"/>
    </row>
    <row r="494" spans="3:7" x14ac:dyDescent="0.25">
      <c r="C494" s="45"/>
      <c r="D494" s="45"/>
      <c r="E494" s="45"/>
      <c r="F494" s="45"/>
      <c r="G494" s="45"/>
    </row>
    <row r="495" spans="3:7" x14ac:dyDescent="0.25">
      <c r="C495" s="45"/>
      <c r="D495" s="45"/>
      <c r="E495" s="45"/>
      <c r="F495" s="45"/>
      <c r="G495" s="45"/>
    </row>
    <row r="496" spans="3:7" x14ac:dyDescent="0.25">
      <c r="C496" s="45"/>
      <c r="D496" s="45"/>
      <c r="E496" s="45"/>
      <c r="F496" s="45"/>
      <c r="G496" s="45"/>
    </row>
    <row r="497" spans="3:7" x14ac:dyDescent="0.25">
      <c r="C497" s="45"/>
      <c r="D497" s="45"/>
      <c r="E497" s="45"/>
      <c r="F497" s="45"/>
      <c r="G497" s="45"/>
    </row>
    <row r="498" spans="3:7" x14ac:dyDescent="0.25">
      <c r="C498" s="45"/>
      <c r="D498" s="45"/>
      <c r="E498" s="45"/>
      <c r="F498" s="45"/>
      <c r="G498" s="45"/>
    </row>
    <row r="499" spans="3:7" x14ac:dyDescent="0.25">
      <c r="C499" s="45"/>
      <c r="D499" s="45"/>
      <c r="E499" s="45"/>
      <c r="F499" s="45"/>
      <c r="G499" s="45"/>
    </row>
    <row r="500" spans="3:7" x14ac:dyDescent="0.25">
      <c r="C500" s="45"/>
      <c r="D500" s="45"/>
      <c r="E500" s="45"/>
      <c r="F500" s="45"/>
      <c r="G500" s="45"/>
    </row>
    <row r="501" spans="3:7" x14ac:dyDescent="0.25">
      <c r="C501" s="45"/>
      <c r="D501" s="45"/>
      <c r="E501" s="45"/>
      <c r="F501" s="45"/>
      <c r="G501" s="45"/>
    </row>
    <row r="502" spans="3:7" x14ac:dyDescent="0.25">
      <c r="C502" s="45"/>
      <c r="D502" s="45"/>
      <c r="E502" s="45"/>
      <c r="F502" s="45"/>
      <c r="G502" s="45"/>
    </row>
    <row r="503" spans="3:7" x14ac:dyDescent="0.25">
      <c r="C503" s="45"/>
      <c r="D503" s="45"/>
      <c r="E503" s="45"/>
      <c r="F503" s="45"/>
      <c r="G503" s="45"/>
    </row>
    <row r="504" spans="3:7" x14ac:dyDescent="0.25">
      <c r="C504" s="45"/>
      <c r="D504" s="45"/>
      <c r="E504" s="45"/>
      <c r="F504" s="45"/>
      <c r="G504" s="45"/>
    </row>
    <row r="505" spans="3:7" x14ac:dyDescent="0.25">
      <c r="C505" s="45"/>
      <c r="D505" s="45"/>
      <c r="E505" s="45"/>
      <c r="F505" s="45"/>
      <c r="G505" s="45"/>
    </row>
    <row r="506" spans="3:7" x14ac:dyDescent="0.25">
      <c r="C506" s="45"/>
      <c r="D506" s="45"/>
      <c r="E506" s="45"/>
      <c r="F506" s="45"/>
      <c r="G506" s="45"/>
    </row>
    <row r="507" spans="3:7" x14ac:dyDescent="0.25">
      <c r="C507" s="45"/>
      <c r="D507" s="45"/>
      <c r="E507" s="45"/>
      <c r="F507" s="45"/>
      <c r="G507" s="45"/>
    </row>
    <row r="508" spans="3:7" x14ac:dyDescent="0.25">
      <c r="C508" s="45"/>
      <c r="D508" s="45"/>
      <c r="E508" s="45"/>
      <c r="F508" s="45"/>
      <c r="G508" s="45"/>
    </row>
    <row r="509" spans="3:7" x14ac:dyDescent="0.25">
      <c r="C509" s="45"/>
      <c r="D509" s="45"/>
      <c r="E509" s="45"/>
      <c r="F509" s="45"/>
      <c r="G509" s="45"/>
    </row>
    <row r="510" spans="3:7" x14ac:dyDescent="0.25">
      <c r="C510" s="45"/>
      <c r="D510" s="45"/>
      <c r="E510" s="45"/>
      <c r="F510" s="45"/>
      <c r="G510" s="45"/>
    </row>
    <row r="511" spans="3:7" x14ac:dyDescent="0.25">
      <c r="C511" s="45"/>
      <c r="D511" s="45"/>
      <c r="E511" s="45"/>
      <c r="F511" s="45"/>
      <c r="G511" s="45"/>
    </row>
    <row r="512" spans="3:7" x14ac:dyDescent="0.25">
      <c r="C512" s="45"/>
      <c r="D512" s="45"/>
      <c r="E512" s="45"/>
      <c r="F512" s="45"/>
      <c r="G512" s="45"/>
    </row>
    <row r="513" spans="3:7" x14ac:dyDescent="0.25">
      <c r="C513" s="45"/>
      <c r="D513" s="45"/>
      <c r="E513" s="45"/>
      <c r="F513" s="45"/>
      <c r="G513" s="45"/>
    </row>
    <row r="514" spans="3:7" x14ac:dyDescent="0.25">
      <c r="C514" s="45"/>
      <c r="D514" s="45"/>
      <c r="E514" s="45"/>
      <c r="F514" s="45"/>
      <c r="G514" s="45"/>
    </row>
    <row r="515" spans="3:7" x14ac:dyDescent="0.25">
      <c r="C515" s="45"/>
      <c r="D515" s="45"/>
      <c r="E515" s="45"/>
      <c r="F515" s="45"/>
      <c r="G515" s="45"/>
    </row>
    <row r="516" spans="3:7" x14ac:dyDescent="0.25">
      <c r="C516" s="45"/>
      <c r="D516" s="45"/>
      <c r="E516" s="45"/>
      <c r="F516" s="45"/>
      <c r="G516" s="45"/>
    </row>
    <row r="517" spans="3:7" x14ac:dyDescent="0.25">
      <c r="C517" s="45"/>
      <c r="D517" s="45"/>
      <c r="E517" s="45"/>
      <c r="F517" s="45"/>
      <c r="G517" s="45"/>
    </row>
    <row r="518" spans="3:7" x14ac:dyDescent="0.25">
      <c r="C518" s="45"/>
      <c r="D518" s="45"/>
      <c r="E518" s="45"/>
      <c r="F518" s="45"/>
      <c r="G518" s="45"/>
    </row>
    <row r="519" spans="3:7" x14ac:dyDescent="0.25">
      <c r="C519" s="45"/>
      <c r="D519" s="45"/>
      <c r="E519" s="45"/>
      <c r="F519" s="45"/>
      <c r="G519" s="45"/>
    </row>
    <row r="520" spans="3:7" x14ac:dyDescent="0.25">
      <c r="C520" s="45"/>
      <c r="D520" s="45"/>
      <c r="E520" s="45"/>
      <c r="F520" s="45"/>
      <c r="G520" s="45"/>
    </row>
    <row r="521" spans="3:7" x14ac:dyDescent="0.25">
      <c r="C521" s="45"/>
      <c r="D521" s="45"/>
      <c r="E521" s="45"/>
      <c r="F521" s="45"/>
      <c r="G521" s="45"/>
    </row>
    <row r="522" spans="3:7" x14ac:dyDescent="0.25">
      <c r="C522" s="45"/>
      <c r="D522" s="45"/>
      <c r="E522" s="45"/>
      <c r="F522" s="45"/>
      <c r="G522" s="45"/>
    </row>
    <row r="523" spans="3:7" x14ac:dyDescent="0.25">
      <c r="C523" s="45"/>
      <c r="D523" s="45"/>
      <c r="E523" s="45"/>
      <c r="F523" s="45"/>
      <c r="G523" s="45"/>
    </row>
    <row r="524" spans="3:7" x14ac:dyDescent="0.25">
      <c r="C524" s="45"/>
      <c r="D524" s="45"/>
      <c r="E524" s="45"/>
      <c r="F524" s="45"/>
      <c r="G524" s="45"/>
    </row>
    <row r="525" spans="3:7" x14ac:dyDescent="0.25">
      <c r="C525" s="45"/>
      <c r="D525" s="45"/>
      <c r="E525" s="45"/>
      <c r="F525" s="45"/>
      <c r="G525" s="45"/>
    </row>
    <row r="526" spans="3:7" x14ac:dyDescent="0.25">
      <c r="C526" s="45"/>
      <c r="D526" s="45"/>
      <c r="E526" s="45"/>
      <c r="F526" s="45"/>
      <c r="G526" s="45"/>
    </row>
    <row r="527" spans="3:7" x14ac:dyDescent="0.25">
      <c r="C527" s="45"/>
      <c r="D527" s="45"/>
      <c r="E527" s="45"/>
      <c r="F527" s="45"/>
      <c r="G527" s="45"/>
    </row>
    <row r="528" spans="3:7" x14ac:dyDescent="0.25">
      <c r="C528" s="45"/>
      <c r="D528" s="45"/>
      <c r="E528" s="45"/>
      <c r="F528" s="45"/>
      <c r="G528" s="45"/>
    </row>
    <row r="529" spans="3:7" x14ac:dyDescent="0.25">
      <c r="C529" s="45"/>
      <c r="D529" s="45"/>
      <c r="E529" s="45"/>
      <c r="F529" s="45"/>
      <c r="G529" s="45"/>
    </row>
    <row r="530" spans="3:7" x14ac:dyDescent="0.25">
      <c r="C530" s="45"/>
      <c r="D530" s="45"/>
      <c r="E530" s="45"/>
      <c r="F530" s="45"/>
      <c r="G530" s="45"/>
    </row>
    <row r="531" spans="3:7" x14ac:dyDescent="0.25">
      <c r="C531" s="45"/>
      <c r="D531" s="45"/>
      <c r="E531" s="45"/>
      <c r="F531" s="45"/>
      <c r="G531" s="45"/>
    </row>
    <row r="532" spans="3:7" x14ac:dyDescent="0.25">
      <c r="C532" s="45"/>
      <c r="D532" s="45"/>
      <c r="E532" s="45"/>
      <c r="F532" s="45"/>
      <c r="G532" s="45"/>
    </row>
    <row r="533" spans="3:7" x14ac:dyDescent="0.25">
      <c r="C533" s="45"/>
      <c r="D533" s="45"/>
      <c r="E533" s="45"/>
      <c r="F533" s="45"/>
      <c r="G533" s="45"/>
    </row>
    <row r="534" spans="3:7" x14ac:dyDescent="0.25">
      <c r="C534" s="45"/>
      <c r="D534" s="45"/>
      <c r="E534" s="45"/>
      <c r="F534" s="45"/>
      <c r="G534" s="45"/>
    </row>
    <row r="535" spans="3:7" x14ac:dyDescent="0.25">
      <c r="C535" s="45"/>
      <c r="D535" s="45"/>
      <c r="E535" s="45"/>
      <c r="F535" s="45"/>
      <c r="G535" s="45"/>
    </row>
    <row r="536" spans="3:7" x14ac:dyDescent="0.25">
      <c r="C536" s="45"/>
      <c r="D536" s="45"/>
      <c r="E536" s="45"/>
      <c r="F536" s="45"/>
      <c r="G536" s="45"/>
    </row>
    <row r="537" spans="3:7" x14ac:dyDescent="0.25">
      <c r="C537" s="45"/>
      <c r="D537" s="45"/>
      <c r="E537" s="45"/>
      <c r="F537" s="45"/>
      <c r="G537" s="45"/>
    </row>
  </sheetData>
  <pageMargins left="0.75" right="0.75" top="1" bottom="1" header="0.5" footer="0.5"/>
  <pageSetup paperSize="9" orientation="portrait" horizontalDpi="1200" verticalDpi="1200" r:id="rId1"/>
  <headerFooter alignWithMargins="0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>
    <tabColor rgb="FFC00000"/>
    <pageSetUpPr fitToPage="1"/>
  </sheetPr>
  <dimension ref="A1:T1475"/>
  <sheetViews>
    <sheetView showGridLines="0" zoomScale="85" zoomScaleNormal="85" workbookViewId="0">
      <pane ySplit="16" topLeftCell="A17" activePane="bottomLeft" state="frozen"/>
      <selection activeCell="A8" sqref="A8"/>
      <selection pane="bottomLeft" activeCell="A17" sqref="A17"/>
    </sheetView>
  </sheetViews>
  <sheetFormatPr defaultColWidth="11.453125" defaultRowHeight="12.5" x14ac:dyDescent="0.25"/>
  <cols>
    <col min="1" max="1" width="20.1796875" style="27" customWidth="1"/>
    <col min="2" max="7" width="11.1796875" style="27" customWidth="1"/>
    <col min="8" max="8" width="10.81640625" style="27" customWidth="1"/>
    <col min="9" max="9" width="13.7265625" style="27" customWidth="1"/>
    <col min="10" max="11" width="13.453125" style="27" customWidth="1"/>
    <col min="12" max="12" width="18.7265625" style="27" customWidth="1"/>
    <col min="13" max="13" width="14.54296875" style="27" customWidth="1"/>
    <col min="14" max="14" width="18.7265625" style="27" bestFit="1" customWidth="1"/>
    <col min="15" max="15" width="14.54296875" style="27" bestFit="1" customWidth="1"/>
    <col min="16" max="19" width="13.54296875" style="27" bestFit="1" customWidth="1"/>
    <col min="20" max="20" width="6.453125" style="27" customWidth="1"/>
    <col min="21" max="16384" width="11.453125" style="27"/>
  </cols>
  <sheetData>
    <row r="1" spans="1:20" ht="30" customHeight="1" x14ac:dyDescent="0.4">
      <c r="A1" s="26"/>
    </row>
    <row r="2" spans="1:20" x14ac:dyDescent="0.25">
      <c r="A2" s="28">
        <f>Updated</f>
        <v>0</v>
      </c>
    </row>
    <row r="3" spans="1:20" x14ac:dyDescent="0.25">
      <c r="A3" s="28"/>
    </row>
    <row r="4" spans="1:20" x14ac:dyDescent="0.25">
      <c r="A4" s="28"/>
      <c r="B4" s="28"/>
    </row>
    <row r="5" spans="1:20" ht="14.5" x14ac:dyDescent="0.35">
      <c r="A5" s="52" t="s">
        <v>363</v>
      </c>
      <c r="B5" s="53" t="s">
        <v>364</v>
      </c>
      <c r="C5" s="28"/>
      <c r="D5" s="28"/>
      <c r="E5" s="28"/>
      <c r="F5" s="28"/>
      <c r="G5" s="28"/>
      <c r="H5" s="28"/>
      <c r="I5" s="28"/>
      <c r="J5" s="28"/>
      <c r="K5" s="28"/>
    </row>
    <row r="6" spans="1:20" ht="14.5" x14ac:dyDescent="0.35">
      <c r="A6" s="52" t="s">
        <v>365</v>
      </c>
      <c r="B6" s="53" t="s">
        <v>104</v>
      </c>
      <c r="C6" s="28"/>
      <c r="D6" s="28"/>
      <c r="E6" s="28"/>
      <c r="F6" s="28"/>
      <c r="G6" s="28"/>
      <c r="H6" s="28"/>
      <c r="I6" s="28"/>
      <c r="J6" s="28"/>
      <c r="K6" s="28"/>
    </row>
    <row r="7" spans="1:20" ht="14.5" x14ac:dyDescent="0.35">
      <c r="A7" s="52" t="s">
        <v>375</v>
      </c>
      <c r="B7" s="53" t="s">
        <v>104</v>
      </c>
      <c r="C7" s="28"/>
      <c r="D7" s="28"/>
      <c r="E7" s="28"/>
      <c r="F7" s="28"/>
      <c r="G7" s="28"/>
      <c r="H7" s="28"/>
      <c r="I7" s="28"/>
      <c r="J7" s="28"/>
      <c r="K7" s="28"/>
    </row>
    <row r="8" spans="1:20" ht="14.5" x14ac:dyDescent="0.35">
      <c r="A8" s="52" t="s">
        <v>343</v>
      </c>
      <c r="B8" s="53" t="s">
        <v>104</v>
      </c>
      <c r="C8" s="28"/>
      <c r="D8" s="28"/>
      <c r="E8" s="28"/>
      <c r="F8" s="28"/>
      <c r="G8" s="28"/>
      <c r="H8" s="28"/>
      <c r="I8" s="28"/>
      <c r="J8" s="28"/>
      <c r="K8" s="28"/>
    </row>
    <row r="9" spans="1:20" ht="14.5" x14ac:dyDescent="0.35">
      <c r="A9" s="52" t="s">
        <v>109</v>
      </c>
      <c r="B9" s="53" t="s">
        <v>104</v>
      </c>
      <c r="C9" s="28"/>
      <c r="D9" s="28"/>
      <c r="E9" s="28"/>
      <c r="F9" s="28"/>
      <c r="G9" s="28"/>
      <c r="H9" s="28"/>
      <c r="I9" s="28"/>
      <c r="J9" s="28"/>
      <c r="K9" s="28"/>
    </row>
    <row r="10" spans="1:20" ht="14.5" x14ac:dyDescent="0.35">
      <c r="A10" s="52" t="s">
        <v>111</v>
      </c>
      <c r="B10" s="53" t="s">
        <v>104</v>
      </c>
      <c r="C10" s="28"/>
      <c r="D10" s="28"/>
      <c r="E10" s="28"/>
      <c r="F10" s="28"/>
      <c r="G10" s="28"/>
      <c r="H10" s="28"/>
      <c r="I10" s="28"/>
      <c r="J10" s="28"/>
      <c r="K10" s="28"/>
    </row>
    <row r="11" spans="1:20" ht="14.5" x14ac:dyDescent="0.35">
      <c r="A11" s="52" t="s">
        <v>368</v>
      </c>
      <c r="B11" s="53" t="s">
        <v>104</v>
      </c>
      <c r="C11" s="28"/>
      <c r="D11" s="28"/>
      <c r="E11" s="28"/>
      <c r="F11" s="28"/>
      <c r="G11" s="28"/>
      <c r="H11" s="28"/>
      <c r="I11" s="28"/>
      <c r="J11" s="28"/>
      <c r="K11" s="28"/>
    </row>
    <row r="12" spans="1:20" ht="14.5" x14ac:dyDescent="0.35">
      <c r="A12" s="52" t="s">
        <v>374</v>
      </c>
      <c r="B12" s="53" t="s">
        <v>104</v>
      </c>
      <c r="C12" s="28"/>
      <c r="D12" s="28"/>
      <c r="E12" s="28"/>
      <c r="F12" s="28"/>
      <c r="G12" s="28"/>
      <c r="H12" s="28"/>
      <c r="I12" s="28"/>
      <c r="J12" s="28"/>
      <c r="K12" s="28"/>
    </row>
    <row r="13" spans="1:20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</row>
    <row r="14" spans="1:20" ht="14.5" x14ac:dyDescent="0.35">
      <c r="A14" s="46" t="s">
        <v>373</v>
      </c>
      <c r="B14" s="46" t="s">
        <v>369</v>
      </c>
      <c r="C14" s="46"/>
      <c r="D14" s="46"/>
      <c r="E14" s="46"/>
      <c r="F14" s="46"/>
      <c r="G14" s="46"/>
      <c r="H14" s="46"/>
      <c r="I14"/>
      <c r="J14"/>
      <c r="K14"/>
      <c r="L14"/>
      <c r="M14"/>
      <c r="N14" s="28"/>
      <c r="O14" s="28"/>
      <c r="P14" s="28"/>
      <c r="Q14" s="28"/>
      <c r="R14" s="28"/>
      <c r="S14" s="28"/>
      <c r="T14" s="28"/>
    </row>
    <row r="15" spans="1:20" ht="14.5" x14ac:dyDescent="0.35">
      <c r="A15" s="1" t="s">
        <v>370</v>
      </c>
      <c r="B15" s="68" t="s">
        <v>242</v>
      </c>
      <c r="C15" s="69" t="s">
        <v>237</v>
      </c>
      <c r="D15" s="69" t="s">
        <v>215</v>
      </c>
      <c r="E15" s="69" t="s">
        <v>235</v>
      </c>
      <c r="F15" s="69" t="s">
        <v>227</v>
      </c>
      <c r="G15" s="69" t="s">
        <v>201</v>
      </c>
      <c r="H15" s="73" t="s">
        <v>103</v>
      </c>
      <c r="I15"/>
      <c r="J15"/>
      <c r="K15"/>
      <c r="L15"/>
      <c r="M15"/>
      <c r="N15" s="28"/>
      <c r="O15" s="28"/>
      <c r="P15" s="28"/>
      <c r="Q15" s="28"/>
      <c r="R15" s="28"/>
      <c r="S15" s="28"/>
      <c r="T15" s="28"/>
    </row>
    <row r="16" spans="1:20" ht="14.5" x14ac:dyDescent="0.35">
      <c r="A16" s="54" t="s">
        <v>116</v>
      </c>
      <c r="B16" s="56">
        <v>0</v>
      </c>
      <c r="C16" s="57">
        <v>0</v>
      </c>
      <c r="D16" s="57">
        <v>0</v>
      </c>
      <c r="E16" s="57">
        <v>0</v>
      </c>
      <c r="F16" s="57">
        <v>0</v>
      </c>
      <c r="G16" s="57">
        <v>0</v>
      </c>
      <c r="H16" s="58">
        <v>0</v>
      </c>
      <c r="I16"/>
      <c r="J16"/>
      <c r="K16"/>
      <c r="L16"/>
      <c r="M16"/>
      <c r="N16" s="28"/>
      <c r="O16" s="28"/>
      <c r="P16" s="28"/>
      <c r="Q16" s="28"/>
      <c r="R16" s="28"/>
      <c r="S16" s="28"/>
      <c r="T16" s="28"/>
    </row>
    <row r="17" spans="1:20" ht="15" thickBot="1" x14ac:dyDescent="0.4">
      <c r="A17" s="2" t="s">
        <v>103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4">
        <v>0</v>
      </c>
      <c r="I17"/>
      <c r="J17"/>
      <c r="K17"/>
      <c r="L17"/>
      <c r="M17"/>
      <c r="N17" s="28"/>
      <c r="O17" s="28"/>
      <c r="P17" s="28"/>
      <c r="Q17" s="28"/>
      <c r="R17" s="28"/>
      <c r="S17" s="28"/>
      <c r="T17" s="28"/>
    </row>
    <row r="18" spans="1:20" ht="15" thickTop="1" x14ac:dyDescent="0.35">
      <c r="A18"/>
      <c r="B18"/>
      <c r="C18"/>
      <c r="D18"/>
      <c r="E18"/>
      <c r="F18"/>
      <c r="G18"/>
      <c r="H18"/>
      <c r="I18"/>
      <c r="J18"/>
      <c r="K18"/>
      <c r="L18"/>
      <c r="M18"/>
      <c r="N18" s="28"/>
      <c r="O18" s="28"/>
      <c r="P18" s="28"/>
      <c r="Q18" s="28"/>
      <c r="R18" s="28"/>
      <c r="S18" s="28"/>
      <c r="T18" s="28"/>
    </row>
    <row r="19" spans="1:20" ht="15" thickTop="1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 s="28"/>
      <c r="O19" s="28"/>
      <c r="P19" s="28"/>
      <c r="Q19" s="28"/>
      <c r="R19" s="28"/>
      <c r="S19" s="28"/>
      <c r="T19" s="28"/>
    </row>
    <row r="20" spans="1:20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</row>
    <row r="21" spans="1:20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</row>
    <row r="22" spans="1:20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</row>
    <row r="23" spans="1:20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</row>
    <row r="24" spans="1:20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</row>
    <row r="25" spans="1:20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</row>
    <row r="26" spans="1:20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</row>
    <row r="27" spans="1:20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</row>
    <row r="28" spans="1:20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</row>
    <row r="29" spans="1:20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</row>
    <row r="30" spans="1:20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</row>
    <row r="31" spans="1:20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</row>
    <row r="32" spans="1:20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</row>
    <row r="33" spans="1:20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</row>
    <row r="34" spans="1:20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</row>
    <row r="35" spans="1:20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</row>
    <row r="36" spans="1:20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</row>
    <row r="37" spans="1:20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</row>
    <row r="38" spans="1:20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</row>
    <row r="39" spans="1:20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</row>
    <row r="40" spans="1:20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</row>
    <row r="41" spans="1:20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</row>
    <row r="42" spans="1:20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</row>
    <row r="43" spans="1:20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</row>
    <row r="44" spans="1:20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</row>
    <row r="45" spans="1:20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</row>
    <row r="46" spans="1:20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</row>
    <row r="47" spans="1:20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</row>
    <row r="48" spans="1:20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</row>
    <row r="49" spans="1:12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</row>
    <row r="50" spans="1:12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</row>
    <row r="51" spans="1:12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</row>
    <row r="52" spans="1:12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</row>
    <row r="53" spans="1:12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</row>
    <row r="54" spans="1:12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</row>
    <row r="55" spans="1:12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</row>
    <row r="56" spans="1:12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</row>
    <row r="57" spans="1:12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</row>
    <row r="58" spans="1:12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</row>
    <row r="59" spans="1:12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</row>
    <row r="60" spans="1:12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</row>
    <row r="61" spans="1:12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</row>
    <row r="62" spans="1:12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</row>
    <row r="63" spans="1:12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</row>
    <row r="64" spans="1:12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</row>
    <row r="65" spans="1:12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</row>
    <row r="66" spans="1:12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</row>
    <row r="67" spans="1:12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</row>
    <row r="68" spans="1:12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</row>
    <row r="69" spans="1:12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</row>
    <row r="70" spans="1:12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</row>
    <row r="71" spans="1:12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</row>
    <row r="72" spans="1:12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</row>
    <row r="73" spans="1:12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</row>
    <row r="74" spans="1:12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</row>
    <row r="75" spans="1:12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</row>
    <row r="76" spans="1:12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</row>
    <row r="77" spans="1:12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</row>
    <row r="78" spans="1:12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</row>
    <row r="79" spans="1:12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</row>
    <row r="80" spans="1:12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</row>
    <row r="81" spans="1:12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</row>
    <row r="82" spans="1:12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</row>
    <row r="83" spans="1:12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</row>
    <row r="84" spans="1:12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</row>
    <row r="85" spans="1:12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</row>
    <row r="86" spans="1:12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</row>
    <row r="87" spans="1:12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</row>
    <row r="88" spans="1:12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</row>
    <row r="89" spans="1:12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</row>
    <row r="90" spans="1:12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</row>
    <row r="91" spans="1:12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</row>
    <row r="92" spans="1:12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</row>
    <row r="93" spans="1:12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</row>
    <row r="94" spans="1:12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</row>
    <row r="95" spans="1:12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</row>
    <row r="96" spans="1:12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</row>
    <row r="97" spans="1:12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</row>
    <row r="98" spans="1:12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</row>
    <row r="99" spans="1:12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</row>
    <row r="100" spans="1:12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</row>
    <row r="101" spans="1:12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</row>
    <row r="102" spans="1:12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</row>
    <row r="103" spans="1:12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</row>
    <row r="104" spans="1:12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</row>
    <row r="105" spans="1:12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</row>
    <row r="106" spans="1:12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</row>
    <row r="107" spans="1:12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</row>
    <row r="108" spans="1:12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</row>
    <row r="109" spans="1:12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</row>
    <row r="110" spans="1:12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</row>
    <row r="111" spans="1:12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</row>
    <row r="112" spans="1:12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</row>
    <row r="113" spans="1:12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</row>
    <row r="114" spans="1:12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</row>
    <row r="115" spans="1:12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</row>
    <row r="116" spans="1:12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</row>
    <row r="117" spans="1:12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</row>
    <row r="118" spans="1:12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</row>
    <row r="119" spans="1:12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</row>
    <row r="120" spans="1:12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</row>
    <row r="121" spans="1:12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</row>
    <row r="122" spans="1:12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</row>
    <row r="123" spans="1:12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</row>
    <row r="124" spans="1:12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</row>
    <row r="125" spans="1:12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</row>
    <row r="126" spans="1:12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</row>
    <row r="127" spans="1:12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</row>
    <row r="128" spans="1:12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</row>
    <row r="129" spans="1:12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</row>
    <row r="130" spans="1:12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</row>
    <row r="131" spans="1:12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</row>
    <row r="132" spans="1:12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</row>
    <row r="133" spans="1:12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</row>
    <row r="134" spans="1:12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</row>
    <row r="135" spans="1:12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</row>
    <row r="136" spans="1:12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</row>
    <row r="137" spans="1:12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</row>
    <row r="138" spans="1:12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</row>
    <row r="139" spans="1:12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</row>
    <row r="140" spans="1:12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</row>
    <row r="141" spans="1:12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</row>
    <row r="142" spans="1:12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</row>
    <row r="143" spans="1:12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</row>
    <row r="144" spans="1:12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</row>
    <row r="145" spans="1:12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</row>
    <row r="146" spans="1:12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</row>
    <row r="147" spans="1:12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</row>
    <row r="148" spans="1:12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</row>
    <row r="149" spans="1:12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</row>
    <row r="150" spans="1:12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</row>
    <row r="151" spans="1:12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</row>
    <row r="152" spans="1:12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</row>
    <row r="153" spans="1:12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</row>
    <row r="154" spans="1:12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</row>
    <row r="155" spans="1:12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</row>
    <row r="156" spans="1:12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</row>
    <row r="157" spans="1:12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</row>
    <row r="158" spans="1:12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</row>
    <row r="159" spans="1:12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</row>
    <row r="160" spans="1:12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</row>
    <row r="161" spans="1:12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</row>
    <row r="162" spans="1:12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</row>
    <row r="163" spans="1:12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</row>
    <row r="164" spans="1:12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</row>
    <row r="165" spans="1:12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</row>
    <row r="166" spans="1:12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</row>
    <row r="167" spans="1:12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</row>
    <row r="168" spans="1:12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</row>
    <row r="169" spans="1:12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</row>
    <row r="170" spans="1:12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</row>
    <row r="171" spans="1:12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</row>
    <row r="172" spans="1:12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</row>
    <row r="173" spans="1:12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</row>
    <row r="174" spans="1:12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</row>
    <row r="175" spans="1:12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</row>
    <row r="176" spans="1:12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</row>
    <row r="177" spans="1:12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</row>
    <row r="178" spans="1:12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</row>
    <row r="179" spans="1:12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</row>
    <row r="180" spans="1:12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</row>
    <row r="181" spans="1:12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</row>
    <row r="182" spans="1:12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</row>
    <row r="183" spans="1:12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</row>
    <row r="184" spans="1:12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</row>
    <row r="185" spans="1:12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</row>
    <row r="186" spans="1:12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</row>
    <row r="187" spans="1:12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</row>
    <row r="188" spans="1:12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</row>
    <row r="189" spans="1:12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</row>
    <row r="190" spans="1:12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</row>
    <row r="191" spans="1:12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</row>
    <row r="192" spans="1:12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</row>
    <row r="193" spans="1:12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</row>
    <row r="194" spans="1:12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</row>
    <row r="195" spans="1:12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</row>
    <row r="196" spans="1:12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</row>
    <row r="197" spans="1:12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</row>
    <row r="198" spans="1:12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</row>
    <row r="199" spans="1:12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</row>
    <row r="200" spans="1:12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</row>
    <row r="201" spans="1:12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</row>
    <row r="202" spans="1:12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</row>
    <row r="203" spans="1:12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</row>
    <row r="204" spans="1:12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</row>
    <row r="205" spans="1:12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</row>
    <row r="206" spans="1:12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</row>
    <row r="207" spans="1:12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</row>
    <row r="208" spans="1:12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</row>
    <row r="209" spans="1:12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</row>
    <row r="210" spans="1:12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</row>
    <row r="211" spans="1:12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</row>
    <row r="212" spans="1:12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</row>
    <row r="213" spans="1:12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</row>
    <row r="214" spans="1:12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</row>
    <row r="215" spans="1:12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</row>
    <row r="216" spans="1:12" x14ac:dyDescent="0.25">
      <c r="A216" s="28"/>
      <c r="B216" s="28"/>
      <c r="C216" s="28"/>
      <c r="D216" s="28"/>
      <c r="E216" s="28"/>
      <c r="F216" s="28"/>
      <c r="G216" s="28"/>
    </row>
    <row r="217" spans="1:12" x14ac:dyDescent="0.25">
      <c r="A217" s="28"/>
      <c r="B217" s="28"/>
      <c r="C217" s="28"/>
      <c r="D217" s="28"/>
      <c r="E217" s="28"/>
      <c r="F217" s="28"/>
      <c r="G217" s="28"/>
    </row>
    <row r="218" spans="1:12" x14ac:dyDescent="0.25">
      <c r="A218" s="28"/>
      <c r="B218" s="28"/>
      <c r="C218" s="28"/>
      <c r="D218" s="28"/>
      <c r="E218" s="28"/>
      <c r="F218" s="28"/>
      <c r="G218" s="28"/>
    </row>
    <row r="219" spans="1:12" x14ac:dyDescent="0.25">
      <c r="A219" s="28"/>
      <c r="B219" s="28"/>
      <c r="C219" s="28"/>
      <c r="D219" s="28"/>
      <c r="E219" s="28"/>
      <c r="F219" s="28"/>
      <c r="G219" s="28"/>
    </row>
    <row r="220" spans="1:12" x14ac:dyDescent="0.25">
      <c r="A220" s="28"/>
      <c r="B220" s="28"/>
      <c r="C220" s="28"/>
      <c r="D220" s="28"/>
      <c r="E220" s="28"/>
      <c r="F220" s="28"/>
      <c r="G220" s="28"/>
    </row>
    <row r="221" spans="1:12" x14ac:dyDescent="0.25">
      <c r="A221" s="28"/>
      <c r="B221" s="28"/>
      <c r="C221" s="28"/>
      <c r="D221" s="28"/>
      <c r="E221" s="28"/>
      <c r="F221" s="28"/>
      <c r="G221" s="28"/>
    </row>
    <row r="222" spans="1:12" x14ac:dyDescent="0.25">
      <c r="A222" s="28"/>
      <c r="B222" s="28"/>
      <c r="C222" s="28"/>
      <c r="D222" s="28"/>
      <c r="E222" s="28"/>
      <c r="F222" s="28"/>
      <c r="G222" s="28"/>
    </row>
    <row r="223" spans="1:12" x14ac:dyDescent="0.25">
      <c r="A223" s="28"/>
      <c r="B223" s="28"/>
      <c r="C223" s="28"/>
      <c r="D223" s="28"/>
      <c r="E223" s="28"/>
      <c r="F223" s="28"/>
      <c r="G223" s="28"/>
    </row>
    <row r="224" spans="1:12" x14ac:dyDescent="0.25">
      <c r="A224" s="28"/>
      <c r="B224" s="28"/>
      <c r="C224" s="28"/>
      <c r="D224" s="28"/>
      <c r="E224" s="28"/>
      <c r="F224" s="28"/>
      <c r="G224" s="28"/>
    </row>
    <row r="225" spans="1:7" x14ac:dyDescent="0.25">
      <c r="A225" s="28"/>
      <c r="B225" s="28"/>
      <c r="C225" s="28"/>
      <c r="D225" s="28"/>
      <c r="E225" s="28"/>
      <c r="F225" s="28"/>
      <c r="G225" s="28"/>
    </row>
    <row r="226" spans="1:7" x14ac:dyDescent="0.25">
      <c r="A226" s="28"/>
      <c r="B226" s="28"/>
      <c r="C226" s="28"/>
      <c r="D226" s="28"/>
      <c r="E226" s="28"/>
      <c r="F226" s="28"/>
      <c r="G226" s="28"/>
    </row>
    <row r="227" spans="1:7" x14ac:dyDescent="0.25">
      <c r="A227" s="28"/>
      <c r="B227" s="28"/>
      <c r="C227" s="28"/>
      <c r="D227" s="28"/>
      <c r="E227" s="28"/>
      <c r="F227" s="28"/>
      <c r="G227" s="28"/>
    </row>
    <row r="228" spans="1:7" x14ac:dyDescent="0.25">
      <c r="A228" s="28"/>
      <c r="B228" s="28"/>
      <c r="C228" s="28"/>
      <c r="D228" s="28"/>
      <c r="E228" s="28"/>
      <c r="F228" s="28"/>
      <c r="G228" s="28"/>
    </row>
    <row r="229" spans="1:7" x14ac:dyDescent="0.25">
      <c r="A229" s="28"/>
      <c r="B229" s="28"/>
      <c r="C229" s="28"/>
      <c r="D229" s="28"/>
      <c r="E229" s="28"/>
      <c r="F229" s="28"/>
      <c r="G229" s="28"/>
    </row>
    <row r="230" spans="1:7" x14ac:dyDescent="0.25">
      <c r="A230" s="28"/>
      <c r="B230" s="28"/>
      <c r="C230" s="28"/>
      <c r="D230" s="28"/>
      <c r="E230" s="28"/>
      <c r="F230" s="28"/>
      <c r="G230" s="28"/>
    </row>
    <row r="231" spans="1:7" x14ac:dyDescent="0.25">
      <c r="A231" s="28"/>
      <c r="B231" s="28"/>
      <c r="C231" s="28"/>
      <c r="D231" s="28"/>
      <c r="E231" s="28"/>
      <c r="F231" s="28"/>
      <c r="G231" s="28"/>
    </row>
    <row r="232" spans="1:7" x14ac:dyDescent="0.25">
      <c r="A232" s="28"/>
      <c r="B232" s="28"/>
      <c r="C232" s="28"/>
      <c r="D232" s="28"/>
      <c r="E232" s="28"/>
      <c r="F232" s="28"/>
      <c r="G232" s="28"/>
    </row>
    <row r="233" spans="1:7" x14ac:dyDescent="0.25">
      <c r="A233" s="28"/>
      <c r="B233" s="28"/>
      <c r="C233" s="28"/>
      <c r="D233" s="28"/>
      <c r="E233" s="28"/>
      <c r="F233" s="28"/>
      <c r="G233" s="28"/>
    </row>
    <row r="234" spans="1:7" x14ac:dyDescent="0.25">
      <c r="A234" s="28"/>
      <c r="B234" s="28"/>
      <c r="C234" s="28"/>
      <c r="D234" s="28"/>
      <c r="E234" s="28"/>
      <c r="F234" s="28"/>
      <c r="G234" s="28"/>
    </row>
    <row r="235" spans="1:7" x14ac:dyDescent="0.25">
      <c r="A235" s="28"/>
      <c r="B235" s="28"/>
      <c r="C235" s="28"/>
      <c r="D235" s="28"/>
      <c r="E235" s="28"/>
      <c r="F235" s="28"/>
      <c r="G235" s="28"/>
    </row>
    <row r="236" spans="1:7" x14ac:dyDescent="0.25">
      <c r="A236" s="28"/>
      <c r="B236" s="28"/>
      <c r="C236" s="28"/>
      <c r="D236" s="28"/>
      <c r="E236" s="28"/>
      <c r="F236" s="28"/>
      <c r="G236" s="28"/>
    </row>
    <row r="237" spans="1:7" x14ac:dyDescent="0.25">
      <c r="A237" s="28"/>
      <c r="B237" s="28"/>
      <c r="C237" s="28"/>
      <c r="D237" s="28"/>
      <c r="E237" s="28"/>
      <c r="F237" s="28"/>
      <c r="G237" s="28"/>
    </row>
    <row r="238" spans="1:7" x14ac:dyDescent="0.25">
      <c r="A238" s="28"/>
      <c r="B238" s="28"/>
      <c r="C238" s="28"/>
      <c r="D238" s="28"/>
      <c r="E238" s="28"/>
      <c r="F238" s="28"/>
      <c r="G238" s="28"/>
    </row>
    <row r="239" spans="1:7" x14ac:dyDescent="0.25">
      <c r="A239" s="28"/>
      <c r="B239" s="28"/>
      <c r="C239" s="28"/>
      <c r="D239" s="28"/>
      <c r="E239" s="28"/>
      <c r="F239" s="28"/>
      <c r="G239" s="28"/>
    </row>
    <row r="240" spans="1:7" x14ac:dyDescent="0.25">
      <c r="A240" s="28"/>
      <c r="B240" s="28"/>
      <c r="C240" s="28"/>
      <c r="D240" s="28"/>
      <c r="E240" s="28"/>
      <c r="F240" s="28"/>
      <c r="G240" s="28"/>
    </row>
    <row r="241" spans="1:7" x14ac:dyDescent="0.25">
      <c r="A241" s="28"/>
      <c r="B241" s="28"/>
      <c r="C241" s="28"/>
      <c r="D241" s="28"/>
      <c r="E241" s="28"/>
      <c r="F241" s="28"/>
      <c r="G241" s="28"/>
    </row>
    <row r="242" spans="1:7" x14ac:dyDescent="0.25">
      <c r="A242" s="28"/>
      <c r="B242" s="28"/>
      <c r="C242" s="28"/>
      <c r="D242" s="28"/>
      <c r="E242" s="28"/>
      <c r="F242" s="28"/>
      <c r="G242" s="28"/>
    </row>
    <row r="243" spans="1:7" x14ac:dyDescent="0.25">
      <c r="A243" s="28"/>
      <c r="B243" s="28"/>
      <c r="C243" s="28"/>
      <c r="D243" s="28"/>
      <c r="E243" s="28"/>
      <c r="F243" s="28"/>
      <c r="G243" s="28"/>
    </row>
    <row r="244" spans="1:7" x14ac:dyDescent="0.25">
      <c r="A244" s="28"/>
      <c r="B244" s="28"/>
      <c r="C244" s="28"/>
      <c r="D244" s="28"/>
      <c r="E244" s="28"/>
      <c r="F244" s="28"/>
      <c r="G244" s="28"/>
    </row>
    <row r="245" spans="1:7" x14ac:dyDescent="0.25">
      <c r="A245" s="28"/>
      <c r="B245" s="28"/>
      <c r="C245" s="28"/>
      <c r="D245" s="28"/>
      <c r="E245" s="28"/>
      <c r="F245" s="28"/>
      <c r="G245" s="28"/>
    </row>
    <row r="246" spans="1:7" x14ac:dyDescent="0.25">
      <c r="A246" s="28"/>
      <c r="B246" s="28"/>
      <c r="C246" s="28"/>
      <c r="D246" s="28"/>
      <c r="E246" s="28"/>
      <c r="F246" s="28"/>
      <c r="G246" s="28"/>
    </row>
    <row r="247" spans="1:7" x14ac:dyDescent="0.25">
      <c r="A247" s="28"/>
      <c r="B247" s="28"/>
      <c r="C247" s="28"/>
      <c r="D247" s="28"/>
      <c r="E247" s="28"/>
      <c r="F247" s="28"/>
      <c r="G247" s="28"/>
    </row>
    <row r="248" spans="1:7" x14ac:dyDescent="0.25">
      <c r="A248" s="28"/>
      <c r="B248" s="28"/>
      <c r="C248" s="28"/>
      <c r="D248" s="28"/>
      <c r="E248" s="28"/>
      <c r="F248" s="28"/>
      <c r="G248" s="28"/>
    </row>
    <row r="249" spans="1:7" x14ac:dyDescent="0.25">
      <c r="A249" s="28"/>
      <c r="B249" s="28"/>
      <c r="C249" s="28"/>
      <c r="D249" s="28"/>
      <c r="E249" s="28"/>
      <c r="F249" s="28"/>
      <c r="G249" s="28"/>
    </row>
    <row r="250" spans="1:7" x14ac:dyDescent="0.25">
      <c r="A250" s="28"/>
      <c r="B250" s="28"/>
      <c r="C250" s="28"/>
      <c r="D250" s="28"/>
      <c r="E250" s="28"/>
      <c r="F250" s="28"/>
      <c r="G250" s="28"/>
    </row>
    <row r="251" spans="1:7" x14ac:dyDescent="0.25">
      <c r="A251" s="28"/>
      <c r="B251" s="28"/>
      <c r="C251" s="28"/>
      <c r="D251" s="28"/>
      <c r="E251" s="28"/>
      <c r="F251" s="28"/>
      <c r="G251" s="28"/>
    </row>
    <row r="252" spans="1:7" x14ac:dyDescent="0.25">
      <c r="A252" s="28"/>
      <c r="B252" s="28"/>
      <c r="C252" s="28"/>
      <c r="D252" s="28"/>
      <c r="E252" s="28"/>
      <c r="F252" s="28"/>
      <c r="G252" s="28"/>
    </row>
    <row r="253" spans="1:7" x14ac:dyDescent="0.25">
      <c r="A253" s="28"/>
      <c r="B253" s="28"/>
      <c r="C253" s="28"/>
      <c r="D253" s="28"/>
      <c r="E253" s="28"/>
      <c r="F253" s="28"/>
      <c r="G253" s="28"/>
    </row>
    <row r="254" spans="1:7" x14ac:dyDescent="0.25">
      <c r="A254" s="28"/>
      <c r="B254" s="28"/>
      <c r="C254" s="28"/>
      <c r="D254" s="28"/>
      <c r="E254" s="28"/>
      <c r="F254" s="28"/>
      <c r="G254" s="28"/>
    </row>
    <row r="255" spans="1:7" x14ac:dyDescent="0.25">
      <c r="A255" s="28"/>
      <c r="B255" s="28"/>
      <c r="C255" s="28"/>
      <c r="D255" s="28"/>
      <c r="E255" s="28"/>
      <c r="F255" s="28"/>
      <c r="G255" s="28"/>
    </row>
    <row r="256" spans="1:7" x14ac:dyDescent="0.25">
      <c r="A256" s="28"/>
      <c r="B256" s="28"/>
      <c r="C256" s="28"/>
      <c r="D256" s="28"/>
      <c r="E256" s="28"/>
      <c r="F256" s="28"/>
      <c r="G256" s="28"/>
    </row>
    <row r="257" spans="1:7" x14ac:dyDescent="0.25">
      <c r="A257" s="28"/>
      <c r="B257" s="28"/>
      <c r="C257" s="28"/>
      <c r="D257" s="28"/>
      <c r="E257" s="28"/>
      <c r="F257" s="28"/>
      <c r="G257" s="28"/>
    </row>
    <row r="258" spans="1:7" x14ac:dyDescent="0.25">
      <c r="A258" s="28"/>
      <c r="B258" s="28"/>
      <c r="C258" s="28"/>
      <c r="D258" s="28"/>
      <c r="E258" s="28"/>
      <c r="F258" s="28"/>
      <c r="G258" s="28"/>
    </row>
    <row r="259" spans="1:7" x14ac:dyDescent="0.25">
      <c r="A259" s="28"/>
      <c r="B259" s="28"/>
      <c r="C259" s="28"/>
      <c r="D259" s="28"/>
      <c r="E259" s="28"/>
      <c r="F259" s="28"/>
      <c r="G259" s="28"/>
    </row>
    <row r="260" spans="1:7" x14ac:dyDescent="0.25">
      <c r="A260" s="28"/>
      <c r="B260" s="28"/>
      <c r="C260" s="28"/>
      <c r="D260" s="28"/>
      <c r="E260" s="28"/>
      <c r="F260" s="28"/>
      <c r="G260" s="28"/>
    </row>
    <row r="261" spans="1:7" x14ac:dyDescent="0.25">
      <c r="A261" s="28"/>
      <c r="B261" s="28"/>
      <c r="C261" s="28"/>
      <c r="D261" s="28"/>
      <c r="E261" s="28"/>
      <c r="F261" s="28"/>
      <c r="G261" s="28"/>
    </row>
    <row r="262" spans="1:7" x14ac:dyDescent="0.25">
      <c r="A262" s="28"/>
      <c r="B262" s="28"/>
      <c r="C262" s="28"/>
      <c r="D262" s="28"/>
      <c r="E262" s="28"/>
      <c r="F262" s="28"/>
      <c r="G262" s="28"/>
    </row>
    <row r="263" spans="1:7" x14ac:dyDescent="0.25">
      <c r="A263" s="28"/>
      <c r="B263" s="28"/>
      <c r="C263" s="28"/>
      <c r="D263" s="28"/>
      <c r="E263" s="28"/>
      <c r="F263" s="28"/>
      <c r="G263" s="28"/>
    </row>
    <row r="264" spans="1:7" x14ac:dyDescent="0.25">
      <c r="A264" s="28"/>
      <c r="B264" s="28"/>
      <c r="C264" s="28"/>
      <c r="D264" s="28"/>
      <c r="E264" s="28"/>
      <c r="F264" s="28"/>
      <c r="G264" s="28"/>
    </row>
    <row r="265" spans="1:7" x14ac:dyDescent="0.25">
      <c r="A265" s="28"/>
      <c r="B265" s="28"/>
      <c r="C265" s="28"/>
      <c r="D265" s="28"/>
      <c r="E265" s="28"/>
      <c r="F265" s="28"/>
      <c r="G265" s="28"/>
    </row>
    <row r="266" spans="1:7" x14ac:dyDescent="0.25">
      <c r="A266" s="28"/>
      <c r="B266" s="28"/>
      <c r="C266" s="28"/>
      <c r="D266" s="28"/>
      <c r="E266" s="28"/>
      <c r="F266" s="28"/>
      <c r="G266" s="28"/>
    </row>
    <row r="267" spans="1:7" x14ac:dyDescent="0.25">
      <c r="A267" s="28"/>
      <c r="B267" s="28"/>
      <c r="C267" s="28"/>
      <c r="D267" s="28"/>
      <c r="E267" s="28"/>
      <c r="F267" s="28"/>
      <c r="G267" s="28"/>
    </row>
    <row r="268" spans="1:7" x14ac:dyDescent="0.25">
      <c r="A268" s="28"/>
      <c r="B268" s="28"/>
      <c r="C268" s="28"/>
      <c r="D268" s="28"/>
      <c r="E268" s="28"/>
      <c r="F268" s="28"/>
      <c r="G268" s="28"/>
    </row>
    <row r="269" spans="1:7" x14ac:dyDescent="0.25">
      <c r="A269" s="28"/>
      <c r="B269" s="28"/>
      <c r="C269" s="28"/>
      <c r="D269" s="28"/>
      <c r="E269" s="28"/>
      <c r="F269" s="28"/>
      <c r="G269" s="28"/>
    </row>
    <row r="270" spans="1:7" x14ac:dyDescent="0.25">
      <c r="A270" s="28"/>
      <c r="B270" s="28"/>
      <c r="C270" s="28"/>
      <c r="D270" s="28"/>
      <c r="E270" s="28"/>
      <c r="F270" s="28"/>
      <c r="G270" s="28"/>
    </row>
    <row r="271" spans="1:7" x14ac:dyDescent="0.25">
      <c r="A271" s="28"/>
      <c r="B271" s="28"/>
      <c r="C271" s="28"/>
      <c r="D271" s="28"/>
      <c r="E271" s="28"/>
      <c r="F271" s="28"/>
      <c r="G271" s="28"/>
    </row>
    <row r="272" spans="1:7" x14ac:dyDescent="0.25">
      <c r="A272" s="28"/>
      <c r="B272" s="28"/>
      <c r="C272" s="28"/>
      <c r="D272" s="28"/>
      <c r="E272" s="28"/>
      <c r="F272" s="28"/>
      <c r="G272" s="28"/>
    </row>
    <row r="273" spans="1:7" x14ac:dyDescent="0.25">
      <c r="A273" s="28"/>
      <c r="B273" s="28"/>
      <c r="C273" s="28"/>
      <c r="D273" s="28"/>
      <c r="E273" s="28"/>
      <c r="F273" s="28"/>
      <c r="G273" s="28"/>
    </row>
    <row r="274" spans="1:7" x14ac:dyDescent="0.25">
      <c r="A274" s="28"/>
      <c r="B274" s="28"/>
      <c r="C274" s="28"/>
      <c r="D274" s="28"/>
      <c r="E274" s="28"/>
      <c r="F274" s="28"/>
      <c r="G274" s="28"/>
    </row>
    <row r="275" spans="1:7" x14ac:dyDescent="0.25">
      <c r="A275" s="28"/>
      <c r="B275" s="28"/>
      <c r="C275" s="28"/>
      <c r="D275" s="28"/>
      <c r="E275" s="28"/>
      <c r="F275" s="28"/>
      <c r="G275" s="28"/>
    </row>
    <row r="276" spans="1:7" x14ac:dyDescent="0.25">
      <c r="A276" s="28"/>
      <c r="B276" s="28"/>
      <c r="C276" s="28"/>
      <c r="D276" s="28"/>
      <c r="E276" s="28"/>
      <c r="F276" s="28"/>
      <c r="G276" s="28"/>
    </row>
    <row r="277" spans="1:7" x14ac:dyDescent="0.25">
      <c r="A277" s="28"/>
      <c r="B277" s="28"/>
      <c r="C277" s="28"/>
      <c r="D277" s="28"/>
      <c r="E277" s="28"/>
      <c r="F277" s="28"/>
      <c r="G277" s="28"/>
    </row>
    <row r="278" spans="1:7" x14ac:dyDescent="0.25">
      <c r="A278" s="28"/>
      <c r="B278" s="28"/>
      <c r="C278" s="28"/>
      <c r="D278" s="28"/>
      <c r="E278" s="28"/>
      <c r="F278" s="28"/>
      <c r="G278" s="28"/>
    </row>
    <row r="279" spans="1:7" x14ac:dyDescent="0.25">
      <c r="A279" s="28"/>
      <c r="B279" s="28"/>
      <c r="C279" s="28"/>
      <c r="D279" s="28"/>
      <c r="E279" s="28"/>
      <c r="F279" s="28"/>
      <c r="G279" s="28"/>
    </row>
    <row r="280" spans="1:7" x14ac:dyDescent="0.25">
      <c r="A280" s="28"/>
      <c r="B280" s="28"/>
      <c r="C280" s="28"/>
      <c r="D280" s="28"/>
      <c r="E280" s="28"/>
      <c r="F280" s="28"/>
      <c r="G280" s="28"/>
    </row>
    <row r="281" spans="1:7" x14ac:dyDescent="0.25">
      <c r="A281" s="28"/>
      <c r="B281" s="28"/>
      <c r="C281" s="28"/>
      <c r="D281" s="28"/>
      <c r="E281" s="28"/>
      <c r="F281" s="28"/>
      <c r="G281" s="28"/>
    </row>
    <row r="282" spans="1:7" x14ac:dyDescent="0.25">
      <c r="A282" s="28"/>
      <c r="B282" s="28"/>
      <c r="C282" s="28"/>
      <c r="D282" s="28"/>
      <c r="E282" s="28"/>
      <c r="F282" s="28"/>
      <c r="G282" s="28"/>
    </row>
    <row r="283" spans="1:7" x14ac:dyDescent="0.25">
      <c r="A283" s="28"/>
      <c r="B283" s="28"/>
      <c r="C283" s="28"/>
      <c r="D283" s="28"/>
      <c r="E283" s="28"/>
      <c r="F283" s="28"/>
      <c r="G283" s="28"/>
    </row>
    <row r="284" spans="1:7" x14ac:dyDescent="0.25">
      <c r="A284" s="28"/>
      <c r="B284" s="28"/>
      <c r="C284" s="28"/>
      <c r="D284" s="28"/>
      <c r="E284" s="28"/>
      <c r="F284" s="28"/>
      <c r="G284" s="28"/>
    </row>
    <row r="285" spans="1:7" x14ac:dyDescent="0.25">
      <c r="A285" s="28"/>
      <c r="B285" s="28"/>
      <c r="C285" s="28"/>
      <c r="D285" s="28"/>
      <c r="E285" s="28"/>
      <c r="F285" s="28"/>
      <c r="G285" s="28"/>
    </row>
    <row r="286" spans="1:7" x14ac:dyDescent="0.25">
      <c r="A286" s="28"/>
      <c r="B286" s="28"/>
      <c r="C286" s="28"/>
      <c r="D286" s="28"/>
      <c r="E286" s="28"/>
      <c r="F286" s="28"/>
      <c r="G286" s="28"/>
    </row>
    <row r="287" spans="1:7" x14ac:dyDescent="0.25">
      <c r="A287" s="28"/>
      <c r="B287" s="28"/>
      <c r="C287" s="28"/>
      <c r="D287" s="28"/>
      <c r="E287" s="28"/>
      <c r="F287" s="28"/>
      <c r="G287" s="28"/>
    </row>
    <row r="288" spans="1:7" x14ac:dyDescent="0.25">
      <c r="A288" s="28"/>
      <c r="B288" s="28"/>
      <c r="C288" s="28"/>
      <c r="D288" s="28"/>
      <c r="E288" s="28"/>
      <c r="F288" s="28"/>
      <c r="G288" s="28"/>
    </row>
    <row r="289" spans="1:7" x14ac:dyDescent="0.25">
      <c r="A289" s="28"/>
      <c r="B289" s="28"/>
      <c r="C289" s="28"/>
      <c r="D289" s="28"/>
      <c r="E289" s="28"/>
      <c r="F289" s="28"/>
      <c r="G289" s="28"/>
    </row>
    <row r="290" spans="1:7" x14ac:dyDescent="0.25">
      <c r="A290" s="28"/>
      <c r="B290" s="28"/>
      <c r="C290" s="28"/>
      <c r="D290" s="28"/>
      <c r="E290" s="28"/>
      <c r="F290" s="28"/>
      <c r="G290" s="28"/>
    </row>
    <row r="291" spans="1:7" x14ac:dyDescent="0.25">
      <c r="A291" s="28"/>
      <c r="B291" s="28"/>
      <c r="C291" s="28"/>
      <c r="D291" s="28"/>
      <c r="E291" s="28"/>
      <c r="F291" s="28"/>
      <c r="G291" s="28"/>
    </row>
    <row r="292" spans="1:7" x14ac:dyDescent="0.25">
      <c r="A292" s="28"/>
      <c r="B292" s="28"/>
      <c r="C292" s="28"/>
      <c r="D292" s="28"/>
      <c r="E292" s="28"/>
      <c r="F292" s="28"/>
      <c r="G292" s="28"/>
    </row>
    <row r="293" spans="1:7" x14ac:dyDescent="0.25">
      <c r="A293" s="28"/>
      <c r="B293" s="28"/>
      <c r="C293" s="28"/>
      <c r="D293" s="28"/>
      <c r="E293" s="28"/>
      <c r="F293" s="28"/>
      <c r="G293" s="28"/>
    </row>
    <row r="294" spans="1:7" x14ac:dyDescent="0.25">
      <c r="A294" s="28"/>
      <c r="B294" s="28"/>
      <c r="C294" s="28"/>
      <c r="D294" s="28"/>
      <c r="E294" s="28"/>
      <c r="F294" s="28"/>
      <c r="G294" s="28"/>
    </row>
    <row r="295" spans="1:7" x14ac:dyDescent="0.25">
      <c r="A295" s="28"/>
      <c r="B295" s="28"/>
      <c r="C295" s="28"/>
      <c r="D295" s="28"/>
      <c r="E295" s="28"/>
      <c r="F295" s="28"/>
      <c r="G295" s="28"/>
    </row>
    <row r="296" spans="1:7" x14ac:dyDescent="0.25">
      <c r="A296" s="28"/>
      <c r="B296" s="28"/>
      <c r="C296" s="28"/>
      <c r="D296" s="28"/>
      <c r="E296" s="28"/>
      <c r="F296" s="28"/>
      <c r="G296" s="28"/>
    </row>
    <row r="297" spans="1:7" x14ac:dyDescent="0.25">
      <c r="A297" s="28"/>
      <c r="B297" s="28"/>
      <c r="C297" s="28"/>
      <c r="D297" s="28"/>
      <c r="E297" s="28"/>
      <c r="F297" s="28"/>
      <c r="G297" s="28"/>
    </row>
    <row r="298" spans="1:7" x14ac:dyDescent="0.25">
      <c r="A298" s="28"/>
      <c r="B298" s="28"/>
      <c r="C298" s="28"/>
      <c r="D298" s="28"/>
      <c r="E298" s="28"/>
      <c r="F298" s="28"/>
      <c r="G298" s="28"/>
    </row>
    <row r="299" spans="1:7" x14ac:dyDescent="0.25">
      <c r="A299" s="28"/>
      <c r="B299" s="28"/>
      <c r="C299" s="28"/>
      <c r="D299" s="28"/>
      <c r="E299" s="28"/>
      <c r="F299" s="28"/>
      <c r="G299" s="28"/>
    </row>
    <row r="300" spans="1:7" x14ac:dyDescent="0.25">
      <c r="A300" s="28"/>
      <c r="B300" s="28"/>
      <c r="C300" s="28"/>
      <c r="D300" s="28"/>
      <c r="E300" s="28"/>
      <c r="F300" s="28"/>
      <c r="G300" s="28"/>
    </row>
    <row r="301" spans="1:7" x14ac:dyDescent="0.25">
      <c r="A301" s="28"/>
      <c r="B301" s="28"/>
      <c r="C301" s="28"/>
      <c r="D301" s="28"/>
      <c r="E301" s="28"/>
      <c r="F301" s="28"/>
      <c r="G301" s="28"/>
    </row>
    <row r="302" spans="1:7" x14ac:dyDescent="0.25">
      <c r="A302" s="28"/>
      <c r="B302" s="28"/>
      <c r="C302" s="28"/>
      <c r="D302" s="28"/>
      <c r="E302" s="28"/>
      <c r="F302" s="28"/>
      <c r="G302" s="28"/>
    </row>
    <row r="303" spans="1:7" x14ac:dyDescent="0.25">
      <c r="A303" s="28"/>
      <c r="B303" s="28"/>
      <c r="C303" s="28"/>
      <c r="D303" s="28"/>
      <c r="E303" s="28"/>
      <c r="F303" s="28"/>
      <c r="G303" s="28"/>
    </row>
    <row r="304" spans="1:7" x14ac:dyDescent="0.25">
      <c r="A304" s="28"/>
      <c r="B304" s="28"/>
      <c r="C304" s="28"/>
      <c r="D304" s="28"/>
      <c r="E304" s="28"/>
      <c r="F304" s="28"/>
      <c r="G304" s="28"/>
    </row>
    <row r="305" spans="1:7" x14ac:dyDescent="0.25">
      <c r="A305" s="28"/>
      <c r="B305" s="28"/>
      <c r="C305" s="28"/>
      <c r="D305" s="28"/>
      <c r="E305" s="28"/>
      <c r="F305" s="28"/>
      <c r="G305" s="28"/>
    </row>
    <row r="306" spans="1:7" x14ac:dyDescent="0.25">
      <c r="A306" s="28"/>
      <c r="B306" s="28"/>
      <c r="C306" s="28"/>
      <c r="D306" s="28"/>
      <c r="E306" s="28"/>
      <c r="F306" s="28"/>
      <c r="G306" s="28"/>
    </row>
    <row r="307" spans="1:7" x14ac:dyDescent="0.25">
      <c r="A307" s="28"/>
      <c r="B307" s="28"/>
      <c r="C307" s="28"/>
      <c r="D307" s="28"/>
      <c r="E307" s="28"/>
      <c r="F307" s="28"/>
      <c r="G307" s="28"/>
    </row>
    <row r="308" spans="1:7" x14ac:dyDescent="0.25">
      <c r="A308" s="28"/>
      <c r="B308" s="28"/>
      <c r="C308" s="28"/>
      <c r="D308" s="28"/>
      <c r="E308" s="28"/>
      <c r="F308" s="28"/>
      <c r="G308" s="28"/>
    </row>
    <row r="309" spans="1:7" x14ac:dyDescent="0.25">
      <c r="A309" s="28"/>
      <c r="B309" s="28"/>
      <c r="C309" s="28"/>
      <c r="D309" s="28"/>
      <c r="E309" s="28"/>
      <c r="F309" s="28"/>
      <c r="G309" s="28"/>
    </row>
    <row r="310" spans="1:7" x14ac:dyDescent="0.25">
      <c r="A310" s="28"/>
      <c r="B310" s="28"/>
      <c r="C310" s="28"/>
      <c r="D310" s="28"/>
      <c r="E310" s="28"/>
      <c r="F310" s="28"/>
      <c r="G310" s="28"/>
    </row>
    <row r="311" spans="1:7" x14ac:dyDescent="0.25">
      <c r="A311" s="28"/>
      <c r="B311" s="28"/>
      <c r="C311" s="28"/>
      <c r="D311" s="28"/>
      <c r="E311" s="28"/>
      <c r="F311" s="28"/>
      <c r="G311" s="28"/>
    </row>
    <row r="312" spans="1:7" x14ac:dyDescent="0.25">
      <c r="A312" s="28"/>
      <c r="B312" s="28"/>
      <c r="C312" s="28"/>
      <c r="D312" s="28"/>
      <c r="E312" s="28"/>
      <c r="F312" s="28"/>
      <c r="G312" s="28"/>
    </row>
    <row r="313" spans="1:7" x14ac:dyDescent="0.25">
      <c r="A313" s="28"/>
      <c r="B313" s="28"/>
      <c r="C313" s="28"/>
      <c r="D313" s="28"/>
      <c r="E313" s="28"/>
      <c r="F313" s="28"/>
      <c r="G313" s="28"/>
    </row>
    <row r="314" spans="1:7" x14ac:dyDescent="0.25">
      <c r="A314" s="28"/>
      <c r="B314" s="28"/>
      <c r="C314" s="28"/>
      <c r="D314" s="28"/>
      <c r="E314" s="28"/>
      <c r="F314" s="28"/>
      <c r="G314" s="28"/>
    </row>
    <row r="315" spans="1:7" x14ac:dyDescent="0.25">
      <c r="A315" s="28"/>
      <c r="B315" s="28"/>
      <c r="C315" s="28"/>
      <c r="D315" s="28"/>
      <c r="E315" s="28"/>
      <c r="F315" s="28"/>
      <c r="G315" s="28"/>
    </row>
    <row r="316" spans="1:7" x14ac:dyDescent="0.25">
      <c r="A316" s="28"/>
      <c r="B316" s="28"/>
      <c r="C316" s="28"/>
      <c r="D316" s="28"/>
      <c r="E316" s="28"/>
      <c r="F316" s="28"/>
      <c r="G316" s="28"/>
    </row>
    <row r="317" spans="1:7" x14ac:dyDescent="0.25">
      <c r="A317" s="28"/>
      <c r="B317" s="28"/>
      <c r="C317" s="28"/>
      <c r="D317" s="28"/>
      <c r="E317" s="28"/>
      <c r="F317" s="28"/>
      <c r="G317" s="28"/>
    </row>
    <row r="318" spans="1:7" x14ac:dyDescent="0.25">
      <c r="A318" s="28"/>
      <c r="B318" s="28"/>
      <c r="C318" s="28"/>
      <c r="D318" s="28"/>
      <c r="E318" s="28"/>
      <c r="F318" s="28"/>
      <c r="G318" s="28"/>
    </row>
    <row r="319" spans="1:7" x14ac:dyDescent="0.25">
      <c r="A319" s="28"/>
      <c r="B319" s="28"/>
      <c r="C319" s="28"/>
      <c r="D319" s="28"/>
      <c r="E319" s="28"/>
      <c r="F319" s="28"/>
      <c r="G319" s="28"/>
    </row>
    <row r="320" spans="1:7" x14ac:dyDescent="0.25">
      <c r="A320" s="28"/>
      <c r="B320" s="28"/>
      <c r="C320" s="28"/>
      <c r="D320" s="28"/>
      <c r="E320" s="28"/>
      <c r="F320" s="28"/>
      <c r="G320" s="28"/>
    </row>
    <row r="321" spans="1:7" x14ac:dyDescent="0.25">
      <c r="A321" s="28"/>
      <c r="B321" s="28"/>
      <c r="C321" s="28"/>
      <c r="D321" s="28"/>
      <c r="E321" s="28"/>
      <c r="F321" s="28"/>
      <c r="G321" s="28"/>
    </row>
    <row r="322" spans="1:7" x14ac:dyDescent="0.25">
      <c r="A322" s="28"/>
      <c r="B322" s="28"/>
      <c r="C322" s="28"/>
      <c r="D322" s="28"/>
      <c r="E322" s="28"/>
      <c r="F322" s="28"/>
      <c r="G322" s="28"/>
    </row>
    <row r="323" spans="1:7" x14ac:dyDescent="0.25">
      <c r="A323" s="28"/>
      <c r="B323" s="28"/>
      <c r="C323" s="28"/>
      <c r="D323" s="28"/>
      <c r="E323" s="28"/>
      <c r="F323" s="28"/>
      <c r="G323" s="28"/>
    </row>
    <row r="324" spans="1:7" x14ac:dyDescent="0.25">
      <c r="A324" s="28"/>
      <c r="B324" s="28"/>
      <c r="C324" s="28"/>
      <c r="D324" s="28"/>
      <c r="E324" s="28"/>
      <c r="F324" s="28"/>
      <c r="G324" s="28"/>
    </row>
    <row r="325" spans="1:7" x14ac:dyDescent="0.25">
      <c r="A325" s="28"/>
      <c r="B325" s="28"/>
      <c r="C325" s="28"/>
      <c r="D325" s="28"/>
      <c r="E325" s="28"/>
      <c r="F325" s="28"/>
      <c r="G325" s="28"/>
    </row>
    <row r="326" spans="1:7" x14ac:dyDescent="0.25">
      <c r="A326" s="28"/>
      <c r="B326" s="28"/>
      <c r="C326" s="28"/>
      <c r="D326" s="28"/>
      <c r="E326" s="28"/>
      <c r="F326" s="28"/>
      <c r="G326" s="28"/>
    </row>
    <row r="327" spans="1:7" x14ac:dyDescent="0.25">
      <c r="A327" s="28"/>
      <c r="B327" s="28"/>
      <c r="C327" s="28"/>
      <c r="D327" s="28"/>
      <c r="E327" s="28"/>
      <c r="F327" s="28"/>
      <c r="G327" s="28"/>
    </row>
    <row r="328" spans="1:7" x14ac:dyDescent="0.25">
      <c r="A328" s="28"/>
      <c r="B328" s="28"/>
      <c r="C328" s="28"/>
      <c r="D328" s="28"/>
      <c r="E328" s="28"/>
      <c r="F328" s="28"/>
      <c r="G328" s="28"/>
    </row>
    <row r="329" spans="1:7" x14ac:dyDescent="0.25">
      <c r="A329" s="28"/>
      <c r="B329" s="28"/>
      <c r="C329" s="28"/>
      <c r="D329" s="28"/>
      <c r="E329" s="28"/>
      <c r="F329" s="28"/>
      <c r="G329" s="28"/>
    </row>
    <row r="330" spans="1:7" x14ac:dyDescent="0.25">
      <c r="A330" s="28"/>
      <c r="B330" s="28"/>
      <c r="C330" s="28"/>
      <c r="D330" s="28"/>
      <c r="E330" s="28"/>
      <c r="F330" s="28"/>
      <c r="G330" s="28"/>
    </row>
    <row r="331" spans="1:7" x14ac:dyDescent="0.25">
      <c r="A331" s="28"/>
      <c r="B331" s="28"/>
      <c r="C331" s="28"/>
      <c r="D331" s="28"/>
      <c r="E331" s="28"/>
      <c r="F331" s="28"/>
      <c r="G331" s="28"/>
    </row>
    <row r="332" spans="1:7" x14ac:dyDescent="0.25">
      <c r="A332" s="28"/>
      <c r="B332" s="28"/>
      <c r="C332" s="28"/>
      <c r="D332" s="28"/>
      <c r="E332" s="28"/>
      <c r="F332" s="28"/>
      <c r="G332" s="28"/>
    </row>
    <row r="333" spans="1:7" x14ac:dyDescent="0.25">
      <c r="A333" s="28"/>
      <c r="B333" s="28"/>
      <c r="C333" s="28"/>
      <c r="D333" s="28"/>
      <c r="E333" s="28"/>
      <c r="F333" s="28"/>
      <c r="G333" s="28"/>
    </row>
    <row r="334" spans="1:7" x14ac:dyDescent="0.25">
      <c r="A334" s="28"/>
      <c r="B334" s="28"/>
      <c r="C334" s="28"/>
      <c r="D334" s="28"/>
      <c r="E334" s="28"/>
      <c r="F334" s="28"/>
      <c r="G334" s="28"/>
    </row>
    <row r="335" spans="1:7" x14ac:dyDescent="0.25">
      <c r="A335" s="28"/>
      <c r="B335" s="28"/>
      <c r="C335" s="28"/>
      <c r="D335" s="28"/>
      <c r="E335" s="28"/>
      <c r="F335" s="28"/>
      <c r="G335" s="28"/>
    </row>
    <row r="336" spans="1:7" x14ac:dyDescent="0.25">
      <c r="A336" s="28"/>
      <c r="B336" s="28"/>
      <c r="C336" s="28"/>
      <c r="D336" s="28"/>
      <c r="E336" s="28"/>
      <c r="F336" s="28"/>
      <c r="G336" s="28"/>
    </row>
    <row r="337" spans="1:7" x14ac:dyDescent="0.25">
      <c r="A337" s="28"/>
      <c r="B337" s="28"/>
      <c r="C337" s="28"/>
      <c r="D337" s="28"/>
      <c r="E337" s="28"/>
      <c r="F337" s="28"/>
      <c r="G337" s="28"/>
    </row>
    <row r="338" spans="1:7" x14ac:dyDescent="0.25">
      <c r="A338" s="28"/>
      <c r="B338" s="28"/>
      <c r="C338" s="28"/>
      <c r="D338" s="28"/>
      <c r="E338" s="28"/>
      <c r="F338" s="28"/>
      <c r="G338" s="28"/>
    </row>
    <row r="339" spans="1:7" x14ac:dyDescent="0.25">
      <c r="A339" s="28"/>
      <c r="B339" s="28"/>
      <c r="C339" s="28"/>
      <c r="D339" s="28"/>
      <c r="E339" s="28"/>
      <c r="F339" s="28"/>
      <c r="G339" s="28"/>
    </row>
    <row r="340" spans="1:7" x14ac:dyDescent="0.25">
      <c r="A340" s="28"/>
      <c r="B340" s="28"/>
      <c r="C340" s="28"/>
      <c r="D340" s="28"/>
      <c r="E340" s="28"/>
      <c r="F340" s="28"/>
      <c r="G340" s="28"/>
    </row>
    <row r="341" spans="1:7" x14ac:dyDescent="0.25">
      <c r="A341" s="28"/>
      <c r="B341" s="28"/>
      <c r="C341" s="28"/>
      <c r="D341" s="28"/>
      <c r="E341" s="28"/>
      <c r="F341" s="28"/>
      <c r="G341" s="28"/>
    </row>
    <row r="342" spans="1:7" x14ac:dyDescent="0.25">
      <c r="A342" s="28"/>
      <c r="B342" s="28"/>
      <c r="C342" s="28"/>
      <c r="D342" s="28"/>
      <c r="E342" s="28"/>
      <c r="F342" s="28"/>
      <c r="G342" s="28"/>
    </row>
    <row r="343" spans="1:7" x14ac:dyDescent="0.25">
      <c r="A343" s="28"/>
      <c r="B343" s="28"/>
      <c r="C343" s="28"/>
      <c r="D343" s="28"/>
      <c r="E343" s="28"/>
      <c r="F343" s="28"/>
      <c r="G343" s="28"/>
    </row>
    <row r="344" spans="1:7" x14ac:dyDescent="0.25">
      <c r="A344" s="28"/>
      <c r="B344" s="28"/>
      <c r="C344" s="28"/>
      <c r="D344" s="28"/>
      <c r="E344" s="28"/>
      <c r="F344" s="28"/>
      <c r="G344" s="28"/>
    </row>
    <row r="345" spans="1:7" x14ac:dyDescent="0.25">
      <c r="A345" s="28"/>
      <c r="B345" s="28"/>
      <c r="C345" s="28"/>
      <c r="D345" s="28"/>
      <c r="E345" s="28"/>
      <c r="F345" s="28"/>
      <c r="G345" s="28"/>
    </row>
    <row r="346" spans="1:7" x14ac:dyDescent="0.25">
      <c r="A346" s="28"/>
      <c r="B346" s="28"/>
      <c r="C346" s="28"/>
      <c r="D346" s="28"/>
      <c r="E346" s="28"/>
      <c r="F346" s="28"/>
      <c r="G346" s="28"/>
    </row>
    <row r="347" spans="1:7" x14ac:dyDescent="0.25">
      <c r="A347" s="28"/>
      <c r="B347" s="28"/>
      <c r="C347" s="28"/>
      <c r="D347" s="28"/>
      <c r="E347" s="28"/>
      <c r="F347" s="28"/>
      <c r="G347" s="28"/>
    </row>
    <row r="348" spans="1:7" x14ac:dyDescent="0.25">
      <c r="A348" s="28"/>
      <c r="B348" s="28"/>
      <c r="C348" s="28"/>
      <c r="D348" s="28"/>
      <c r="E348" s="28"/>
      <c r="F348" s="28"/>
      <c r="G348" s="28"/>
    </row>
    <row r="349" spans="1:7" x14ac:dyDescent="0.25">
      <c r="A349" s="28"/>
      <c r="B349" s="28"/>
      <c r="C349" s="28"/>
      <c r="D349" s="28"/>
      <c r="E349" s="28"/>
      <c r="F349" s="28"/>
      <c r="G349" s="28"/>
    </row>
    <row r="350" spans="1:7" x14ac:dyDescent="0.25">
      <c r="A350" s="28"/>
      <c r="B350" s="28"/>
      <c r="C350" s="28"/>
      <c r="D350" s="28"/>
      <c r="E350" s="28"/>
      <c r="F350" s="28"/>
      <c r="G350" s="28"/>
    </row>
    <row r="351" spans="1:7" x14ac:dyDescent="0.25">
      <c r="A351" s="28"/>
      <c r="B351" s="28"/>
      <c r="C351" s="28"/>
      <c r="D351" s="28"/>
      <c r="E351" s="28"/>
      <c r="F351" s="28"/>
      <c r="G351" s="28"/>
    </row>
    <row r="352" spans="1:7" x14ac:dyDescent="0.25">
      <c r="A352" s="28"/>
      <c r="B352" s="28"/>
      <c r="C352" s="28"/>
      <c r="D352" s="28"/>
      <c r="E352" s="28"/>
      <c r="F352" s="28"/>
      <c r="G352" s="28"/>
    </row>
    <row r="353" spans="1:7" x14ac:dyDescent="0.25">
      <c r="A353" s="28"/>
      <c r="B353" s="28"/>
      <c r="C353" s="28"/>
      <c r="D353" s="28"/>
      <c r="E353" s="28"/>
      <c r="F353" s="28"/>
      <c r="G353" s="28"/>
    </row>
    <row r="354" spans="1:7" x14ac:dyDescent="0.25">
      <c r="A354" s="28"/>
      <c r="B354" s="28"/>
      <c r="C354" s="28"/>
      <c r="D354" s="28"/>
      <c r="E354" s="28"/>
      <c r="F354" s="28"/>
      <c r="G354" s="28"/>
    </row>
    <row r="355" spans="1:7" x14ac:dyDescent="0.25">
      <c r="A355" s="28"/>
      <c r="B355" s="28"/>
      <c r="C355" s="28"/>
      <c r="D355" s="28"/>
      <c r="E355" s="28"/>
      <c r="F355" s="28"/>
      <c r="G355" s="28"/>
    </row>
    <row r="356" spans="1:7" x14ac:dyDescent="0.25">
      <c r="A356" s="28"/>
      <c r="B356" s="28"/>
      <c r="C356" s="28"/>
      <c r="D356" s="28"/>
      <c r="E356" s="28"/>
      <c r="F356" s="28"/>
      <c r="G356" s="28"/>
    </row>
    <row r="357" spans="1:7" x14ac:dyDescent="0.25">
      <c r="A357" s="28"/>
      <c r="B357" s="28"/>
      <c r="C357" s="28"/>
      <c r="D357" s="28"/>
      <c r="E357" s="28"/>
      <c r="F357" s="28"/>
      <c r="G357" s="28"/>
    </row>
    <row r="358" spans="1:7" x14ac:dyDescent="0.25">
      <c r="A358" s="28"/>
      <c r="B358" s="28"/>
      <c r="C358" s="28"/>
      <c r="D358" s="28"/>
      <c r="E358" s="28"/>
      <c r="F358" s="28"/>
      <c r="G358" s="28"/>
    </row>
    <row r="359" spans="1:7" x14ac:dyDescent="0.25">
      <c r="A359" s="28"/>
      <c r="B359" s="28"/>
      <c r="C359" s="28"/>
      <c r="D359" s="28"/>
      <c r="E359" s="28"/>
      <c r="F359" s="28"/>
      <c r="G359" s="28"/>
    </row>
    <row r="360" spans="1:7" x14ac:dyDescent="0.25">
      <c r="A360" s="28"/>
      <c r="B360" s="28"/>
      <c r="C360" s="28"/>
      <c r="D360" s="28"/>
      <c r="E360" s="28"/>
      <c r="F360" s="28"/>
      <c r="G360" s="28"/>
    </row>
    <row r="361" spans="1:7" x14ac:dyDescent="0.25">
      <c r="A361" s="28"/>
      <c r="B361" s="28"/>
      <c r="C361" s="28"/>
      <c r="D361" s="28"/>
      <c r="E361" s="28"/>
      <c r="F361" s="28"/>
      <c r="G361" s="28"/>
    </row>
    <row r="362" spans="1:7" x14ac:dyDescent="0.25">
      <c r="A362" s="28"/>
      <c r="B362" s="28"/>
      <c r="C362" s="28"/>
      <c r="D362" s="28"/>
      <c r="E362" s="28"/>
      <c r="F362" s="28"/>
      <c r="G362" s="28"/>
    </row>
    <row r="363" spans="1:7" x14ac:dyDescent="0.25">
      <c r="A363" s="28"/>
      <c r="B363" s="28"/>
      <c r="C363" s="28"/>
      <c r="D363" s="28"/>
      <c r="E363" s="28"/>
      <c r="F363" s="28"/>
      <c r="G363" s="28"/>
    </row>
    <row r="364" spans="1:7" x14ac:dyDescent="0.25">
      <c r="A364" s="28"/>
      <c r="B364" s="28"/>
      <c r="C364" s="28"/>
      <c r="D364" s="28"/>
      <c r="E364" s="28"/>
      <c r="F364" s="28"/>
      <c r="G364" s="28"/>
    </row>
    <row r="365" spans="1:7" x14ac:dyDescent="0.25">
      <c r="A365" s="28"/>
      <c r="B365" s="28"/>
      <c r="C365" s="28"/>
      <c r="D365" s="28"/>
      <c r="E365" s="28"/>
      <c r="F365" s="28"/>
      <c r="G365" s="28"/>
    </row>
    <row r="366" spans="1:7" x14ac:dyDescent="0.25">
      <c r="A366" s="28"/>
      <c r="B366" s="28"/>
      <c r="C366" s="28"/>
      <c r="D366" s="28"/>
      <c r="E366" s="28"/>
      <c r="F366" s="28"/>
      <c r="G366" s="28"/>
    </row>
    <row r="367" spans="1:7" x14ac:dyDescent="0.25">
      <c r="A367" s="28"/>
      <c r="B367" s="28"/>
      <c r="C367" s="28"/>
      <c r="D367" s="28"/>
      <c r="E367" s="28"/>
      <c r="F367" s="28"/>
      <c r="G367" s="28"/>
    </row>
    <row r="368" spans="1:7" x14ac:dyDescent="0.25">
      <c r="A368" s="28"/>
      <c r="B368" s="28"/>
      <c r="C368" s="28"/>
      <c r="D368" s="28"/>
      <c r="E368" s="28"/>
      <c r="F368" s="28"/>
      <c r="G368" s="28"/>
    </row>
    <row r="369" spans="1:7" x14ac:dyDescent="0.25">
      <c r="A369" s="28"/>
      <c r="B369" s="28"/>
      <c r="C369" s="28"/>
      <c r="D369" s="28"/>
      <c r="E369" s="28"/>
      <c r="F369" s="28"/>
      <c r="G369" s="28"/>
    </row>
    <row r="370" spans="1:7" x14ac:dyDescent="0.25">
      <c r="A370" s="28"/>
      <c r="B370" s="28"/>
      <c r="C370" s="28"/>
      <c r="D370" s="28"/>
      <c r="E370" s="28"/>
      <c r="F370" s="28"/>
      <c r="G370" s="28"/>
    </row>
    <row r="371" spans="1:7" x14ac:dyDescent="0.25">
      <c r="A371" s="28"/>
      <c r="B371" s="28"/>
      <c r="C371" s="28"/>
      <c r="D371" s="28"/>
      <c r="E371" s="28"/>
      <c r="F371" s="28"/>
      <c r="G371" s="28"/>
    </row>
    <row r="372" spans="1:7" x14ac:dyDescent="0.25">
      <c r="A372" s="28"/>
      <c r="B372" s="28"/>
      <c r="C372" s="28"/>
      <c r="D372" s="28"/>
      <c r="E372" s="28"/>
      <c r="F372" s="28"/>
      <c r="G372" s="28"/>
    </row>
    <row r="373" spans="1:7" x14ac:dyDescent="0.25">
      <c r="A373" s="28"/>
      <c r="B373" s="28"/>
      <c r="C373" s="28"/>
      <c r="D373" s="28"/>
      <c r="E373" s="28"/>
      <c r="F373" s="28"/>
      <c r="G373" s="28"/>
    </row>
    <row r="374" spans="1:7" x14ac:dyDescent="0.25">
      <c r="A374" s="28"/>
      <c r="B374" s="28"/>
      <c r="C374" s="28"/>
      <c r="D374" s="28"/>
      <c r="E374" s="28"/>
      <c r="F374" s="28"/>
      <c r="G374" s="28"/>
    </row>
    <row r="375" spans="1:7" x14ac:dyDescent="0.25">
      <c r="A375" s="28"/>
      <c r="B375" s="28"/>
      <c r="C375" s="28"/>
      <c r="D375" s="28"/>
      <c r="E375" s="28"/>
      <c r="F375" s="28"/>
      <c r="G375" s="28"/>
    </row>
    <row r="376" spans="1:7" x14ac:dyDescent="0.25">
      <c r="A376" s="28"/>
      <c r="B376" s="28"/>
      <c r="C376" s="28"/>
      <c r="D376" s="28"/>
      <c r="E376" s="28"/>
      <c r="F376" s="28"/>
      <c r="G376" s="28"/>
    </row>
    <row r="377" spans="1:7" x14ac:dyDescent="0.25">
      <c r="A377" s="28"/>
      <c r="B377" s="28"/>
      <c r="C377" s="28"/>
      <c r="D377" s="28"/>
      <c r="E377" s="28"/>
      <c r="F377" s="28"/>
      <c r="G377" s="28"/>
    </row>
    <row r="378" spans="1:7" x14ac:dyDescent="0.25">
      <c r="A378" s="28"/>
      <c r="B378" s="28"/>
      <c r="C378" s="28"/>
      <c r="D378" s="28"/>
      <c r="E378" s="28"/>
      <c r="F378" s="28"/>
      <c r="G378" s="28"/>
    </row>
    <row r="379" spans="1:7" x14ac:dyDescent="0.25">
      <c r="A379" s="28"/>
      <c r="B379" s="28"/>
      <c r="C379" s="28"/>
      <c r="D379" s="28"/>
      <c r="E379" s="28"/>
      <c r="F379" s="28"/>
      <c r="G379" s="28"/>
    </row>
    <row r="380" spans="1:7" x14ac:dyDescent="0.25">
      <c r="A380" s="28"/>
      <c r="B380" s="28"/>
      <c r="C380" s="28"/>
      <c r="D380" s="28"/>
      <c r="E380" s="28"/>
      <c r="F380" s="28"/>
      <c r="G380" s="28"/>
    </row>
    <row r="381" spans="1:7" x14ac:dyDescent="0.25">
      <c r="A381" s="28"/>
      <c r="B381" s="28"/>
      <c r="C381" s="28"/>
      <c r="D381" s="28"/>
      <c r="E381" s="28"/>
      <c r="F381" s="28"/>
      <c r="G381" s="28"/>
    </row>
    <row r="382" spans="1:7" x14ac:dyDescent="0.25">
      <c r="A382" s="28"/>
      <c r="B382" s="28"/>
      <c r="C382" s="28"/>
      <c r="D382" s="28"/>
      <c r="E382" s="28"/>
      <c r="F382" s="28"/>
      <c r="G382" s="28"/>
    </row>
    <row r="383" spans="1:7" x14ac:dyDescent="0.25">
      <c r="A383" s="28"/>
      <c r="B383" s="28"/>
      <c r="C383" s="28"/>
      <c r="D383" s="28"/>
      <c r="E383" s="28"/>
      <c r="F383" s="28"/>
      <c r="G383" s="28"/>
    </row>
    <row r="384" spans="1:7" x14ac:dyDescent="0.25">
      <c r="A384" s="28"/>
      <c r="B384" s="28"/>
      <c r="C384" s="28"/>
      <c r="D384" s="28"/>
      <c r="E384" s="28"/>
      <c r="F384" s="28"/>
      <c r="G384" s="28"/>
    </row>
    <row r="385" spans="1:7" x14ac:dyDescent="0.25">
      <c r="A385" s="28"/>
      <c r="B385" s="28"/>
      <c r="C385" s="28"/>
      <c r="D385" s="28"/>
      <c r="E385" s="28"/>
      <c r="F385" s="28"/>
      <c r="G385" s="28"/>
    </row>
    <row r="386" spans="1:7" x14ac:dyDescent="0.25">
      <c r="A386" s="28"/>
      <c r="B386" s="28"/>
      <c r="C386" s="28"/>
      <c r="D386" s="28"/>
      <c r="E386" s="28"/>
      <c r="F386" s="28"/>
      <c r="G386" s="28"/>
    </row>
    <row r="387" spans="1:7" x14ac:dyDescent="0.25">
      <c r="A387" s="28"/>
      <c r="B387" s="28"/>
      <c r="C387" s="28"/>
      <c r="D387" s="28"/>
      <c r="E387" s="28"/>
      <c r="F387" s="28"/>
      <c r="G387" s="28"/>
    </row>
    <row r="388" spans="1:7" x14ac:dyDescent="0.25">
      <c r="A388" s="28"/>
      <c r="B388" s="28"/>
      <c r="C388" s="28"/>
      <c r="D388" s="28"/>
      <c r="E388" s="28"/>
      <c r="F388" s="28"/>
      <c r="G388" s="28"/>
    </row>
    <row r="389" spans="1:7" x14ac:dyDescent="0.25">
      <c r="A389" s="28"/>
      <c r="B389" s="28"/>
      <c r="C389" s="28"/>
      <c r="D389" s="28"/>
      <c r="E389" s="28"/>
      <c r="F389" s="28"/>
      <c r="G389" s="28"/>
    </row>
    <row r="390" spans="1:7" x14ac:dyDescent="0.25">
      <c r="A390" s="28"/>
      <c r="B390" s="28"/>
      <c r="C390" s="28"/>
      <c r="D390" s="28"/>
      <c r="E390" s="28"/>
      <c r="F390" s="28"/>
      <c r="G390" s="28"/>
    </row>
    <row r="391" spans="1:7" x14ac:dyDescent="0.25">
      <c r="A391" s="28"/>
      <c r="B391" s="28"/>
      <c r="C391" s="28"/>
      <c r="D391" s="28"/>
      <c r="E391" s="28"/>
      <c r="F391" s="28"/>
      <c r="G391" s="28"/>
    </row>
    <row r="392" spans="1:7" x14ac:dyDescent="0.25">
      <c r="A392" s="28"/>
      <c r="B392" s="28"/>
      <c r="C392" s="28"/>
      <c r="D392" s="28"/>
      <c r="E392" s="28"/>
      <c r="F392" s="28"/>
      <c r="G392" s="28"/>
    </row>
    <row r="393" spans="1:7" x14ac:dyDescent="0.25">
      <c r="A393" s="28"/>
      <c r="B393" s="28"/>
      <c r="C393" s="28"/>
      <c r="D393" s="28"/>
      <c r="E393" s="28"/>
      <c r="F393" s="28"/>
      <c r="G393" s="28"/>
    </row>
    <row r="394" spans="1:7" x14ac:dyDescent="0.25">
      <c r="A394" s="28"/>
      <c r="B394" s="28"/>
      <c r="C394" s="28"/>
      <c r="D394" s="28"/>
      <c r="E394" s="28"/>
      <c r="F394" s="28"/>
      <c r="G394" s="28"/>
    </row>
    <row r="395" spans="1:7" x14ac:dyDescent="0.25">
      <c r="A395" s="28"/>
      <c r="B395" s="28"/>
      <c r="C395" s="28"/>
      <c r="D395" s="28"/>
      <c r="E395" s="28"/>
      <c r="F395" s="28"/>
      <c r="G395" s="28"/>
    </row>
    <row r="396" spans="1:7" x14ac:dyDescent="0.25">
      <c r="A396" s="28"/>
      <c r="B396" s="28"/>
      <c r="C396" s="28"/>
      <c r="D396" s="28"/>
      <c r="E396" s="28"/>
      <c r="F396" s="28"/>
      <c r="G396" s="28"/>
    </row>
    <row r="397" spans="1:7" x14ac:dyDescent="0.25">
      <c r="A397" s="28"/>
      <c r="B397" s="28"/>
      <c r="C397" s="28"/>
      <c r="D397" s="28"/>
      <c r="E397" s="28"/>
      <c r="F397" s="28"/>
      <c r="G397" s="28"/>
    </row>
    <row r="398" spans="1:7" x14ac:dyDescent="0.25">
      <c r="A398" s="28"/>
      <c r="B398" s="28"/>
      <c r="C398" s="28"/>
      <c r="D398" s="28"/>
      <c r="E398" s="28"/>
      <c r="F398" s="28"/>
      <c r="G398" s="28"/>
    </row>
    <row r="399" spans="1:7" x14ac:dyDescent="0.25">
      <c r="A399" s="28"/>
      <c r="B399" s="28"/>
      <c r="C399" s="28"/>
      <c r="D399" s="28"/>
      <c r="E399" s="28"/>
      <c r="F399" s="28"/>
      <c r="G399" s="28"/>
    </row>
    <row r="400" spans="1:7" x14ac:dyDescent="0.25">
      <c r="A400" s="28"/>
      <c r="B400" s="28"/>
      <c r="C400" s="28"/>
      <c r="D400" s="28"/>
      <c r="E400" s="28"/>
      <c r="F400" s="28"/>
      <c r="G400" s="28"/>
    </row>
    <row r="401" spans="1:7" x14ac:dyDescent="0.25">
      <c r="A401" s="28"/>
      <c r="B401" s="28"/>
      <c r="C401" s="28"/>
      <c r="D401" s="28"/>
      <c r="E401" s="28"/>
      <c r="F401" s="28"/>
      <c r="G401" s="28"/>
    </row>
    <row r="402" spans="1:7" x14ac:dyDescent="0.25">
      <c r="A402" s="28"/>
      <c r="B402" s="28"/>
      <c r="C402" s="28"/>
      <c r="D402" s="28"/>
      <c r="E402" s="28"/>
      <c r="F402" s="28"/>
      <c r="G402" s="28"/>
    </row>
    <row r="403" spans="1:7" x14ac:dyDescent="0.25">
      <c r="A403" s="28"/>
      <c r="B403" s="28"/>
      <c r="C403" s="28"/>
      <c r="D403" s="28"/>
      <c r="E403" s="28"/>
      <c r="F403" s="28"/>
      <c r="G403" s="28"/>
    </row>
    <row r="404" spans="1:7" x14ac:dyDescent="0.25">
      <c r="A404" s="28"/>
      <c r="B404" s="28"/>
      <c r="C404" s="28"/>
      <c r="D404" s="28"/>
      <c r="E404" s="28"/>
      <c r="F404" s="28"/>
      <c r="G404" s="28"/>
    </row>
    <row r="405" spans="1:7" x14ac:dyDescent="0.25">
      <c r="A405" s="28"/>
      <c r="B405" s="28"/>
      <c r="C405" s="28"/>
      <c r="D405" s="28"/>
      <c r="E405" s="28"/>
      <c r="F405" s="28"/>
      <c r="G405" s="28"/>
    </row>
    <row r="406" spans="1:7" x14ac:dyDescent="0.25">
      <c r="A406" s="28"/>
      <c r="B406" s="28"/>
      <c r="C406" s="28"/>
      <c r="D406" s="28"/>
      <c r="E406" s="28"/>
      <c r="F406" s="28"/>
      <c r="G406" s="28"/>
    </row>
    <row r="407" spans="1:7" x14ac:dyDescent="0.25">
      <c r="A407" s="28"/>
      <c r="B407" s="28"/>
      <c r="C407" s="28"/>
      <c r="D407" s="28"/>
      <c r="E407" s="28"/>
      <c r="F407" s="28"/>
      <c r="G407" s="28"/>
    </row>
    <row r="408" spans="1:7" x14ac:dyDescent="0.25">
      <c r="A408" s="28"/>
      <c r="B408" s="28"/>
      <c r="C408" s="28"/>
      <c r="D408" s="28"/>
      <c r="E408" s="28"/>
      <c r="F408" s="28"/>
      <c r="G408" s="28"/>
    </row>
    <row r="409" spans="1:7" x14ac:dyDescent="0.25">
      <c r="A409" s="28"/>
      <c r="B409" s="28"/>
      <c r="C409" s="28"/>
      <c r="D409" s="28"/>
      <c r="E409" s="28"/>
      <c r="F409" s="28"/>
      <c r="G409" s="28"/>
    </row>
    <row r="410" spans="1:7" x14ac:dyDescent="0.25">
      <c r="A410" s="28"/>
      <c r="B410" s="28"/>
      <c r="C410" s="28"/>
      <c r="D410" s="28"/>
      <c r="E410" s="28"/>
      <c r="F410" s="28"/>
      <c r="G410" s="28"/>
    </row>
    <row r="411" spans="1:7" x14ac:dyDescent="0.25">
      <c r="A411" s="28"/>
      <c r="B411" s="28"/>
      <c r="C411" s="28"/>
      <c r="D411" s="28"/>
      <c r="E411" s="28"/>
      <c r="F411" s="28"/>
      <c r="G411" s="28"/>
    </row>
    <row r="412" spans="1:7" x14ac:dyDescent="0.25">
      <c r="A412" s="28"/>
      <c r="B412" s="28"/>
      <c r="C412" s="28"/>
      <c r="D412" s="28"/>
      <c r="E412" s="28"/>
      <c r="F412" s="28"/>
      <c r="G412" s="28"/>
    </row>
    <row r="413" spans="1:7" x14ac:dyDescent="0.25">
      <c r="A413" s="28"/>
      <c r="B413" s="28"/>
      <c r="C413" s="28"/>
      <c r="D413" s="28"/>
      <c r="E413" s="28"/>
      <c r="F413" s="28"/>
      <c r="G413" s="28"/>
    </row>
    <row r="414" spans="1:7" x14ac:dyDescent="0.25">
      <c r="A414" s="28"/>
      <c r="B414" s="28"/>
      <c r="C414" s="28"/>
      <c r="D414" s="28"/>
      <c r="E414" s="28"/>
      <c r="F414" s="28"/>
      <c r="G414" s="28"/>
    </row>
    <row r="415" spans="1:7" x14ac:dyDescent="0.25">
      <c r="A415" s="28"/>
      <c r="B415" s="28"/>
      <c r="C415" s="28"/>
      <c r="D415" s="28"/>
      <c r="E415" s="28"/>
      <c r="F415" s="28"/>
      <c r="G415" s="28"/>
    </row>
    <row r="416" spans="1:7" x14ac:dyDescent="0.25">
      <c r="A416" s="28"/>
      <c r="B416" s="28"/>
      <c r="C416" s="28"/>
      <c r="D416" s="28"/>
      <c r="E416" s="28"/>
      <c r="F416" s="28"/>
      <c r="G416" s="28"/>
    </row>
    <row r="417" spans="1:7" x14ac:dyDescent="0.25">
      <c r="A417" s="28"/>
      <c r="B417" s="28"/>
      <c r="C417" s="28"/>
      <c r="D417" s="28"/>
      <c r="E417" s="28"/>
      <c r="F417" s="28"/>
      <c r="G417" s="28"/>
    </row>
    <row r="418" spans="1:7" x14ac:dyDescent="0.25">
      <c r="A418" s="28"/>
      <c r="B418" s="28"/>
      <c r="C418" s="28"/>
      <c r="D418" s="28"/>
      <c r="E418" s="28"/>
      <c r="F418" s="28"/>
      <c r="G418" s="28"/>
    </row>
    <row r="419" spans="1:7" x14ac:dyDescent="0.25">
      <c r="A419" s="28"/>
      <c r="B419" s="28"/>
      <c r="C419" s="28"/>
      <c r="D419" s="28"/>
      <c r="E419" s="28"/>
      <c r="F419" s="28"/>
      <c r="G419" s="28"/>
    </row>
    <row r="420" spans="1:7" x14ac:dyDescent="0.25">
      <c r="A420" s="28"/>
      <c r="B420" s="28"/>
      <c r="C420" s="28"/>
      <c r="D420" s="28"/>
      <c r="E420" s="28"/>
      <c r="F420" s="28"/>
      <c r="G420" s="28"/>
    </row>
    <row r="421" spans="1:7" x14ac:dyDescent="0.25">
      <c r="A421" s="28"/>
      <c r="B421" s="28"/>
      <c r="C421" s="28"/>
      <c r="D421" s="28"/>
      <c r="E421" s="28"/>
      <c r="F421" s="28"/>
      <c r="G421" s="28"/>
    </row>
    <row r="422" spans="1:7" x14ac:dyDescent="0.25">
      <c r="A422" s="28"/>
      <c r="B422" s="28"/>
      <c r="C422" s="28"/>
      <c r="D422" s="28"/>
      <c r="E422" s="28"/>
      <c r="F422" s="28"/>
      <c r="G422" s="28"/>
    </row>
    <row r="423" spans="1:7" x14ac:dyDescent="0.25">
      <c r="A423" s="28"/>
      <c r="B423" s="28"/>
      <c r="C423" s="28"/>
      <c r="D423" s="28"/>
      <c r="E423" s="28"/>
      <c r="F423" s="28"/>
      <c r="G423" s="28"/>
    </row>
    <row r="424" spans="1:7" x14ac:dyDescent="0.25">
      <c r="A424" s="28"/>
      <c r="B424" s="28"/>
      <c r="C424" s="28"/>
      <c r="D424" s="28"/>
      <c r="E424" s="28"/>
      <c r="F424" s="28"/>
      <c r="G424" s="28"/>
    </row>
    <row r="425" spans="1:7" x14ac:dyDescent="0.25">
      <c r="A425" s="28"/>
      <c r="B425" s="28"/>
      <c r="C425" s="28"/>
      <c r="D425" s="28"/>
      <c r="E425" s="28"/>
      <c r="F425" s="28"/>
      <c r="G425" s="28"/>
    </row>
    <row r="426" spans="1:7" x14ac:dyDescent="0.25">
      <c r="A426" s="28"/>
      <c r="B426" s="28"/>
      <c r="C426" s="28"/>
      <c r="D426" s="28"/>
      <c r="E426" s="28"/>
      <c r="F426" s="28"/>
      <c r="G426" s="28"/>
    </row>
    <row r="427" spans="1:7" x14ac:dyDescent="0.25">
      <c r="A427" s="28"/>
      <c r="B427" s="28"/>
      <c r="C427" s="28"/>
      <c r="D427" s="28"/>
      <c r="E427" s="28"/>
      <c r="F427" s="28"/>
      <c r="G427" s="28"/>
    </row>
    <row r="428" spans="1:7" x14ac:dyDescent="0.25">
      <c r="A428" s="28"/>
      <c r="B428" s="28"/>
      <c r="C428" s="28"/>
      <c r="D428" s="28"/>
      <c r="E428" s="28"/>
      <c r="F428" s="28"/>
      <c r="G428" s="28"/>
    </row>
    <row r="429" spans="1:7" x14ac:dyDescent="0.25">
      <c r="A429" s="28"/>
      <c r="B429" s="28"/>
      <c r="C429" s="28"/>
      <c r="D429" s="28"/>
      <c r="E429" s="28"/>
      <c r="F429" s="28"/>
      <c r="G429" s="28"/>
    </row>
    <row r="430" spans="1:7" x14ac:dyDescent="0.25">
      <c r="A430" s="28"/>
      <c r="B430" s="28"/>
      <c r="C430" s="28"/>
      <c r="D430" s="28"/>
      <c r="E430" s="28"/>
      <c r="F430" s="28"/>
      <c r="G430" s="28"/>
    </row>
    <row r="431" spans="1:7" x14ac:dyDescent="0.25">
      <c r="A431" s="28"/>
      <c r="B431" s="28"/>
      <c r="C431" s="28"/>
      <c r="D431" s="28"/>
      <c r="E431" s="28"/>
      <c r="F431" s="28"/>
      <c r="G431" s="28"/>
    </row>
    <row r="432" spans="1:7" x14ac:dyDescent="0.25">
      <c r="A432" s="28"/>
      <c r="B432" s="28"/>
      <c r="C432" s="28"/>
      <c r="D432" s="28"/>
      <c r="E432" s="28"/>
      <c r="F432" s="28"/>
      <c r="G432" s="28"/>
    </row>
    <row r="433" spans="1:7" x14ac:dyDescent="0.25">
      <c r="A433" s="28"/>
      <c r="B433" s="28"/>
      <c r="C433" s="28"/>
      <c r="D433" s="28"/>
      <c r="E433" s="28"/>
      <c r="F433" s="28"/>
      <c r="G433" s="28"/>
    </row>
    <row r="434" spans="1:7" x14ac:dyDescent="0.25">
      <c r="A434" s="28"/>
      <c r="B434" s="28"/>
      <c r="C434" s="28"/>
      <c r="D434" s="28"/>
      <c r="E434" s="28"/>
      <c r="F434" s="28"/>
      <c r="G434" s="28"/>
    </row>
    <row r="435" spans="1:7" x14ac:dyDescent="0.25">
      <c r="A435" s="28"/>
      <c r="B435" s="28"/>
      <c r="C435" s="28"/>
      <c r="D435" s="28"/>
      <c r="E435" s="28"/>
      <c r="F435" s="28"/>
      <c r="G435" s="28"/>
    </row>
    <row r="436" spans="1:7" x14ac:dyDescent="0.25">
      <c r="A436" s="28"/>
      <c r="B436" s="28"/>
      <c r="C436" s="28"/>
      <c r="D436" s="28"/>
      <c r="E436" s="28"/>
      <c r="F436" s="28"/>
      <c r="G436" s="28"/>
    </row>
    <row r="437" spans="1:7" x14ac:dyDescent="0.25">
      <c r="A437" s="28"/>
      <c r="B437" s="28"/>
      <c r="C437" s="28"/>
      <c r="D437" s="28"/>
      <c r="E437" s="28"/>
      <c r="F437" s="28"/>
      <c r="G437" s="28"/>
    </row>
    <row r="438" spans="1:7" x14ac:dyDescent="0.25">
      <c r="A438" s="28"/>
      <c r="B438" s="28"/>
      <c r="C438" s="28"/>
      <c r="D438" s="28"/>
      <c r="E438" s="28"/>
      <c r="F438" s="28"/>
      <c r="G438" s="28"/>
    </row>
    <row r="439" spans="1:7" x14ac:dyDescent="0.25">
      <c r="A439" s="28"/>
      <c r="B439" s="28"/>
      <c r="C439" s="28"/>
      <c r="D439" s="28"/>
      <c r="E439" s="28"/>
      <c r="F439" s="28"/>
      <c r="G439" s="28"/>
    </row>
    <row r="440" spans="1:7" x14ac:dyDescent="0.25">
      <c r="A440" s="28"/>
      <c r="B440" s="28"/>
      <c r="C440" s="28"/>
      <c r="D440" s="28"/>
      <c r="E440" s="28"/>
      <c r="F440" s="28"/>
      <c r="G440" s="28"/>
    </row>
    <row r="441" spans="1:7" x14ac:dyDescent="0.25">
      <c r="A441" s="28"/>
      <c r="B441" s="28"/>
      <c r="C441" s="28"/>
      <c r="D441" s="28"/>
      <c r="E441" s="28"/>
      <c r="F441" s="28"/>
      <c r="G441" s="28"/>
    </row>
    <row r="442" spans="1:7" x14ac:dyDescent="0.25">
      <c r="A442" s="28"/>
      <c r="B442" s="28"/>
      <c r="C442" s="28"/>
      <c r="D442" s="28"/>
      <c r="E442" s="28"/>
      <c r="F442" s="28"/>
      <c r="G442" s="28"/>
    </row>
    <row r="443" spans="1:7" x14ac:dyDescent="0.25">
      <c r="A443" s="28"/>
      <c r="B443" s="28"/>
      <c r="C443" s="28"/>
      <c r="D443" s="28"/>
      <c r="E443" s="28"/>
      <c r="F443" s="28"/>
      <c r="G443" s="28"/>
    </row>
    <row r="444" spans="1:7" x14ac:dyDescent="0.25">
      <c r="A444" s="28"/>
      <c r="B444" s="28"/>
      <c r="C444" s="28"/>
      <c r="D444" s="28"/>
      <c r="E444" s="28"/>
      <c r="F444" s="28"/>
      <c r="G444" s="28"/>
    </row>
    <row r="445" spans="1:7" x14ac:dyDescent="0.25">
      <c r="A445" s="28"/>
      <c r="B445" s="28"/>
      <c r="C445" s="28"/>
      <c r="D445" s="28"/>
      <c r="E445" s="28"/>
      <c r="F445" s="28"/>
      <c r="G445" s="28"/>
    </row>
    <row r="446" spans="1:7" x14ac:dyDescent="0.25">
      <c r="A446" s="28"/>
      <c r="B446" s="28"/>
      <c r="C446" s="28"/>
      <c r="D446" s="28"/>
      <c r="E446" s="28"/>
      <c r="F446" s="28"/>
      <c r="G446" s="28"/>
    </row>
    <row r="447" spans="1:7" x14ac:dyDescent="0.25">
      <c r="A447" s="28"/>
      <c r="B447" s="28"/>
      <c r="C447" s="28"/>
      <c r="D447" s="28"/>
      <c r="E447" s="28"/>
      <c r="F447" s="28"/>
      <c r="G447" s="28"/>
    </row>
    <row r="448" spans="1:7" x14ac:dyDescent="0.25">
      <c r="A448" s="28"/>
      <c r="B448" s="28"/>
      <c r="C448" s="28"/>
      <c r="D448" s="28"/>
      <c r="E448" s="28"/>
      <c r="F448" s="28"/>
      <c r="G448" s="28"/>
    </row>
    <row r="449" spans="1:7" x14ac:dyDescent="0.25">
      <c r="A449" s="28"/>
      <c r="B449" s="28"/>
      <c r="C449" s="28"/>
      <c r="D449" s="28"/>
      <c r="E449" s="28"/>
      <c r="F449" s="28"/>
      <c r="G449" s="28"/>
    </row>
    <row r="450" spans="1:7" x14ac:dyDescent="0.25">
      <c r="A450" s="28"/>
      <c r="B450" s="28"/>
      <c r="C450" s="28"/>
      <c r="D450" s="28"/>
      <c r="E450" s="28"/>
      <c r="F450" s="28"/>
      <c r="G450" s="28"/>
    </row>
    <row r="451" spans="1:7" x14ac:dyDescent="0.25">
      <c r="A451" s="28"/>
      <c r="B451" s="28"/>
      <c r="C451" s="28"/>
      <c r="D451" s="28"/>
      <c r="E451" s="28"/>
      <c r="F451" s="28"/>
      <c r="G451" s="28"/>
    </row>
    <row r="452" spans="1:7" x14ac:dyDescent="0.25">
      <c r="A452" s="28"/>
      <c r="B452" s="28"/>
      <c r="C452" s="28"/>
      <c r="D452" s="28"/>
      <c r="E452" s="28"/>
      <c r="F452" s="28"/>
      <c r="G452" s="28"/>
    </row>
    <row r="453" spans="1:7" x14ac:dyDescent="0.25">
      <c r="A453" s="28"/>
      <c r="B453" s="28"/>
      <c r="C453" s="28"/>
      <c r="D453" s="28"/>
      <c r="E453" s="28"/>
      <c r="F453" s="28"/>
      <c r="G453" s="28"/>
    </row>
    <row r="454" spans="1:7" x14ac:dyDescent="0.25">
      <c r="A454" s="28"/>
      <c r="B454" s="28"/>
      <c r="C454" s="28"/>
      <c r="D454" s="28"/>
      <c r="E454" s="28"/>
      <c r="F454" s="28"/>
      <c r="G454" s="28"/>
    </row>
    <row r="455" spans="1:7" x14ac:dyDescent="0.25">
      <c r="A455" s="28"/>
      <c r="B455" s="28"/>
      <c r="C455" s="28"/>
      <c r="D455" s="28"/>
      <c r="E455" s="28"/>
      <c r="F455" s="28"/>
      <c r="G455" s="28"/>
    </row>
    <row r="456" spans="1:7" x14ac:dyDescent="0.25">
      <c r="A456" s="28"/>
      <c r="B456" s="28"/>
      <c r="C456" s="28"/>
      <c r="D456" s="28"/>
      <c r="E456" s="28"/>
      <c r="F456" s="28"/>
      <c r="G456" s="28"/>
    </row>
    <row r="457" spans="1:7" x14ac:dyDescent="0.25">
      <c r="A457" s="28"/>
      <c r="B457" s="28"/>
      <c r="C457" s="28"/>
      <c r="D457" s="28"/>
      <c r="E457" s="28"/>
      <c r="F457" s="28"/>
      <c r="G457" s="28"/>
    </row>
    <row r="458" spans="1:7" x14ac:dyDescent="0.25">
      <c r="A458" s="28"/>
      <c r="B458" s="28"/>
      <c r="C458" s="28"/>
      <c r="D458" s="28"/>
      <c r="E458" s="28"/>
      <c r="F458" s="28"/>
      <c r="G458" s="28"/>
    </row>
    <row r="459" spans="1:7" x14ac:dyDescent="0.25">
      <c r="A459" s="28"/>
      <c r="B459" s="28"/>
      <c r="C459" s="28"/>
      <c r="D459" s="28"/>
      <c r="E459" s="28"/>
      <c r="F459" s="28"/>
      <c r="G459" s="28"/>
    </row>
    <row r="460" spans="1:7" x14ac:dyDescent="0.25">
      <c r="A460" s="28"/>
      <c r="B460" s="28"/>
      <c r="C460" s="28"/>
      <c r="D460" s="28"/>
      <c r="E460" s="28"/>
      <c r="F460" s="28"/>
      <c r="G460" s="28"/>
    </row>
    <row r="461" spans="1:7" x14ac:dyDescent="0.25">
      <c r="A461" s="28"/>
      <c r="B461" s="28"/>
      <c r="C461" s="28"/>
      <c r="D461" s="28"/>
      <c r="E461" s="28"/>
      <c r="F461" s="28"/>
      <c r="G461" s="28"/>
    </row>
    <row r="462" spans="1:7" x14ac:dyDescent="0.25">
      <c r="A462" s="28"/>
      <c r="B462" s="28"/>
      <c r="C462" s="28"/>
      <c r="D462" s="28"/>
      <c r="E462" s="28"/>
      <c r="F462" s="28"/>
      <c r="G462" s="28"/>
    </row>
    <row r="463" spans="1:7" x14ac:dyDescent="0.25">
      <c r="A463" s="28"/>
      <c r="B463" s="28"/>
      <c r="C463" s="28"/>
      <c r="D463" s="28"/>
      <c r="E463" s="28"/>
      <c r="F463" s="28"/>
      <c r="G463" s="28"/>
    </row>
    <row r="464" spans="1:7" x14ac:dyDescent="0.25">
      <c r="A464" s="28"/>
      <c r="B464" s="28"/>
      <c r="C464" s="28"/>
      <c r="D464" s="28"/>
      <c r="E464" s="28"/>
      <c r="F464" s="28"/>
      <c r="G464" s="28"/>
    </row>
    <row r="465" spans="1:7" x14ac:dyDescent="0.25">
      <c r="A465" s="28"/>
      <c r="B465" s="28"/>
      <c r="C465" s="28"/>
      <c r="D465" s="28"/>
      <c r="E465" s="28"/>
      <c r="F465" s="28"/>
      <c r="G465" s="28"/>
    </row>
    <row r="466" spans="1:7" x14ac:dyDescent="0.25">
      <c r="A466" s="28"/>
      <c r="B466" s="28"/>
      <c r="C466" s="28"/>
      <c r="D466" s="28"/>
      <c r="E466" s="28"/>
      <c r="F466" s="28"/>
      <c r="G466" s="28"/>
    </row>
    <row r="467" spans="1:7" x14ac:dyDescent="0.25">
      <c r="A467" s="28"/>
      <c r="B467" s="28"/>
      <c r="C467" s="28"/>
      <c r="D467" s="28"/>
      <c r="E467" s="28"/>
      <c r="F467" s="28"/>
      <c r="G467" s="28"/>
    </row>
    <row r="468" spans="1:7" x14ac:dyDescent="0.25">
      <c r="A468" s="28"/>
      <c r="B468" s="28"/>
      <c r="C468" s="28"/>
      <c r="D468" s="28"/>
      <c r="E468" s="28"/>
      <c r="F468" s="28"/>
      <c r="G468" s="28"/>
    </row>
    <row r="469" spans="1:7" x14ac:dyDescent="0.25">
      <c r="A469" s="28"/>
      <c r="B469" s="28"/>
      <c r="C469" s="28"/>
      <c r="D469" s="28"/>
      <c r="E469" s="28"/>
      <c r="F469" s="28"/>
      <c r="G469" s="28"/>
    </row>
    <row r="470" spans="1:7" x14ac:dyDescent="0.25">
      <c r="A470" s="28"/>
      <c r="B470" s="28"/>
      <c r="C470" s="28"/>
      <c r="D470" s="28"/>
      <c r="E470" s="28"/>
      <c r="F470" s="28"/>
      <c r="G470" s="28"/>
    </row>
    <row r="471" spans="1:7" x14ac:dyDescent="0.25">
      <c r="A471" s="28"/>
      <c r="B471" s="28"/>
      <c r="C471" s="28"/>
      <c r="D471" s="28"/>
      <c r="E471" s="28"/>
      <c r="F471" s="28"/>
      <c r="G471" s="28"/>
    </row>
    <row r="472" spans="1:7" x14ac:dyDescent="0.25">
      <c r="A472" s="28"/>
      <c r="B472" s="28"/>
      <c r="C472" s="28"/>
      <c r="D472" s="28"/>
      <c r="E472" s="28"/>
      <c r="F472" s="28"/>
      <c r="G472" s="28"/>
    </row>
    <row r="473" spans="1:7" x14ac:dyDescent="0.25">
      <c r="A473" s="28"/>
      <c r="B473" s="28"/>
      <c r="C473" s="28"/>
      <c r="D473" s="28"/>
      <c r="E473" s="28"/>
      <c r="F473" s="28"/>
      <c r="G473" s="28"/>
    </row>
    <row r="474" spans="1:7" x14ac:dyDescent="0.25">
      <c r="A474" s="28"/>
      <c r="B474" s="28"/>
      <c r="C474" s="28"/>
      <c r="D474" s="28"/>
      <c r="E474" s="28"/>
      <c r="F474" s="28"/>
      <c r="G474" s="28"/>
    </row>
    <row r="475" spans="1:7" x14ac:dyDescent="0.25">
      <c r="A475" s="28"/>
      <c r="B475" s="28"/>
      <c r="C475" s="28"/>
      <c r="D475" s="28"/>
      <c r="E475" s="28"/>
      <c r="F475" s="28"/>
      <c r="G475" s="28"/>
    </row>
    <row r="476" spans="1:7" x14ac:dyDescent="0.25">
      <c r="A476" s="28"/>
      <c r="B476" s="28"/>
      <c r="C476" s="28"/>
      <c r="D476" s="28"/>
      <c r="E476" s="28"/>
      <c r="F476" s="28"/>
      <c r="G476" s="28"/>
    </row>
    <row r="477" spans="1:7" x14ac:dyDescent="0.25">
      <c r="A477" s="28"/>
      <c r="B477" s="28"/>
      <c r="C477" s="28"/>
      <c r="D477" s="28"/>
      <c r="E477" s="28"/>
      <c r="F477" s="28"/>
      <c r="G477" s="28"/>
    </row>
    <row r="478" spans="1:7" x14ac:dyDescent="0.25">
      <c r="A478" s="28"/>
      <c r="B478" s="28"/>
      <c r="C478" s="28"/>
      <c r="D478" s="28"/>
      <c r="E478" s="28"/>
      <c r="F478" s="28"/>
      <c r="G478" s="28"/>
    </row>
    <row r="479" spans="1:7" x14ac:dyDescent="0.25">
      <c r="A479" s="28"/>
      <c r="B479" s="28"/>
      <c r="C479" s="28"/>
      <c r="D479" s="28"/>
      <c r="E479" s="28"/>
      <c r="F479" s="28"/>
      <c r="G479" s="28"/>
    </row>
    <row r="480" spans="1:7" x14ac:dyDescent="0.25">
      <c r="A480" s="28"/>
      <c r="B480" s="28"/>
      <c r="C480" s="28"/>
      <c r="D480" s="28"/>
      <c r="E480" s="28"/>
      <c r="F480" s="28"/>
      <c r="G480" s="28"/>
    </row>
    <row r="481" spans="1:7" x14ac:dyDescent="0.25">
      <c r="A481" s="28"/>
      <c r="B481" s="28"/>
      <c r="C481" s="28"/>
      <c r="D481" s="28"/>
      <c r="E481" s="28"/>
      <c r="F481" s="28"/>
      <c r="G481" s="28"/>
    </row>
    <row r="482" spans="1:7" x14ac:dyDescent="0.25">
      <c r="A482" s="28"/>
      <c r="B482" s="28"/>
      <c r="C482" s="28"/>
      <c r="D482" s="28"/>
      <c r="E482" s="28"/>
      <c r="F482" s="28"/>
      <c r="G482" s="28"/>
    </row>
    <row r="483" spans="1:7" x14ac:dyDescent="0.25">
      <c r="A483" s="28"/>
      <c r="B483" s="28"/>
      <c r="C483" s="28"/>
      <c r="D483" s="28"/>
      <c r="E483" s="28"/>
      <c r="F483" s="28"/>
      <c r="G483" s="28"/>
    </row>
    <row r="484" spans="1:7" x14ac:dyDescent="0.25">
      <c r="A484" s="28"/>
      <c r="B484" s="28"/>
      <c r="C484" s="28"/>
      <c r="D484" s="28"/>
      <c r="E484" s="28"/>
      <c r="F484" s="28"/>
      <c r="G484" s="28"/>
    </row>
    <row r="485" spans="1:7" x14ac:dyDescent="0.25">
      <c r="A485" s="28"/>
      <c r="B485" s="28"/>
      <c r="C485" s="28"/>
      <c r="D485" s="28"/>
      <c r="E485" s="28"/>
      <c r="F485" s="28"/>
      <c r="G485" s="28"/>
    </row>
    <row r="486" spans="1:7" x14ac:dyDescent="0.25">
      <c r="A486" s="28"/>
      <c r="B486" s="28"/>
      <c r="C486" s="28"/>
      <c r="D486" s="28"/>
      <c r="E486" s="28"/>
      <c r="F486" s="28"/>
      <c r="G486" s="28"/>
    </row>
    <row r="487" spans="1:7" x14ac:dyDescent="0.25">
      <c r="A487" s="28"/>
      <c r="B487" s="28"/>
      <c r="C487" s="28"/>
      <c r="D487" s="28"/>
      <c r="E487" s="28"/>
      <c r="F487" s="28"/>
      <c r="G487" s="28"/>
    </row>
    <row r="488" spans="1:7" x14ac:dyDescent="0.25">
      <c r="A488" s="28"/>
      <c r="B488" s="28"/>
      <c r="C488" s="28"/>
      <c r="D488" s="28"/>
      <c r="E488" s="28"/>
      <c r="F488" s="28"/>
      <c r="G488" s="28"/>
    </row>
    <row r="489" spans="1:7" x14ac:dyDescent="0.25">
      <c r="A489" s="28"/>
      <c r="B489" s="28"/>
      <c r="C489" s="28"/>
      <c r="D489" s="28"/>
      <c r="E489" s="28"/>
      <c r="F489" s="28"/>
      <c r="G489" s="28"/>
    </row>
    <row r="490" spans="1:7" x14ac:dyDescent="0.25">
      <c r="A490" s="28"/>
      <c r="B490" s="28"/>
      <c r="C490" s="28"/>
      <c r="D490" s="28"/>
      <c r="E490" s="28"/>
      <c r="F490" s="28"/>
      <c r="G490" s="28"/>
    </row>
    <row r="491" spans="1:7" x14ac:dyDescent="0.25">
      <c r="A491" s="28"/>
      <c r="B491" s="28"/>
      <c r="C491" s="28"/>
      <c r="D491" s="28"/>
      <c r="E491" s="28"/>
      <c r="F491" s="28"/>
      <c r="G491" s="28"/>
    </row>
    <row r="492" spans="1:7" x14ac:dyDescent="0.25">
      <c r="A492" s="28"/>
      <c r="B492" s="28"/>
      <c r="C492" s="28"/>
      <c r="D492" s="28"/>
      <c r="E492" s="28"/>
      <c r="F492" s="28"/>
      <c r="G492" s="28"/>
    </row>
    <row r="493" spans="1:7" x14ac:dyDescent="0.25">
      <c r="A493" s="28"/>
      <c r="B493" s="28"/>
      <c r="C493" s="28"/>
      <c r="D493" s="28"/>
      <c r="E493" s="28"/>
      <c r="F493" s="28"/>
      <c r="G493" s="28"/>
    </row>
    <row r="494" spans="1:7" x14ac:dyDescent="0.25">
      <c r="A494" s="28"/>
      <c r="B494" s="28"/>
      <c r="C494" s="28"/>
      <c r="D494" s="28"/>
      <c r="E494" s="28"/>
      <c r="F494" s="28"/>
      <c r="G494" s="28"/>
    </row>
    <row r="495" spans="1:7" x14ac:dyDescent="0.25">
      <c r="A495" s="28"/>
      <c r="B495" s="28"/>
      <c r="C495" s="28"/>
      <c r="D495" s="28"/>
      <c r="E495" s="28"/>
      <c r="F495" s="28"/>
      <c r="G495" s="28"/>
    </row>
    <row r="496" spans="1:7" x14ac:dyDescent="0.25">
      <c r="A496" s="28"/>
      <c r="B496" s="28"/>
      <c r="C496" s="28"/>
      <c r="D496" s="28"/>
      <c r="E496" s="28"/>
      <c r="F496" s="28"/>
      <c r="G496" s="28"/>
    </row>
    <row r="497" spans="1:7" x14ac:dyDescent="0.25">
      <c r="A497" s="28"/>
      <c r="B497" s="28"/>
      <c r="C497" s="28"/>
      <c r="D497" s="28"/>
      <c r="E497" s="28"/>
      <c r="F497" s="28"/>
      <c r="G497" s="28"/>
    </row>
    <row r="498" spans="1:7" x14ac:dyDescent="0.25">
      <c r="A498" s="28"/>
      <c r="B498" s="28"/>
      <c r="C498" s="28"/>
      <c r="D498" s="28"/>
      <c r="E498" s="28"/>
      <c r="F498" s="28"/>
      <c r="G498" s="28"/>
    </row>
    <row r="499" spans="1:7" x14ac:dyDescent="0.25">
      <c r="A499" s="28"/>
      <c r="B499" s="28"/>
      <c r="C499" s="28"/>
      <c r="D499" s="28"/>
      <c r="E499" s="28"/>
      <c r="F499" s="28"/>
      <c r="G499" s="28"/>
    </row>
    <row r="500" spans="1:7" x14ac:dyDescent="0.25">
      <c r="A500" s="28"/>
      <c r="B500" s="28"/>
      <c r="C500" s="28"/>
      <c r="D500" s="28"/>
      <c r="E500" s="28"/>
      <c r="F500" s="28"/>
      <c r="G500" s="28"/>
    </row>
    <row r="501" spans="1:7" x14ac:dyDescent="0.25">
      <c r="A501" s="28"/>
      <c r="B501" s="28"/>
      <c r="C501" s="28"/>
      <c r="D501" s="28"/>
      <c r="E501" s="28"/>
      <c r="F501" s="28"/>
      <c r="G501" s="28"/>
    </row>
    <row r="502" spans="1:7" x14ac:dyDescent="0.25">
      <c r="A502" s="28"/>
      <c r="B502" s="28"/>
      <c r="C502" s="28"/>
      <c r="D502" s="28"/>
      <c r="E502" s="28"/>
      <c r="F502" s="28"/>
      <c r="G502" s="28"/>
    </row>
    <row r="503" spans="1:7" x14ac:dyDescent="0.25">
      <c r="A503" s="28"/>
      <c r="B503" s="28"/>
      <c r="C503" s="28"/>
      <c r="D503" s="28"/>
      <c r="E503" s="28"/>
      <c r="F503" s="28"/>
      <c r="G503" s="28"/>
    </row>
    <row r="504" spans="1:7" x14ac:dyDescent="0.25">
      <c r="A504" s="28"/>
      <c r="B504" s="28"/>
      <c r="C504" s="28"/>
      <c r="D504" s="28"/>
      <c r="E504" s="28"/>
      <c r="F504" s="28"/>
      <c r="G504" s="28"/>
    </row>
    <row r="505" spans="1:7" x14ac:dyDescent="0.25">
      <c r="A505" s="28"/>
      <c r="B505" s="28"/>
      <c r="C505" s="28"/>
      <c r="D505" s="28"/>
      <c r="E505" s="28"/>
      <c r="F505" s="28"/>
      <c r="G505" s="28"/>
    </row>
    <row r="506" spans="1:7" x14ac:dyDescent="0.25">
      <c r="A506" s="28"/>
      <c r="B506" s="28"/>
      <c r="C506" s="28"/>
      <c r="D506" s="28"/>
      <c r="E506" s="28"/>
      <c r="F506" s="28"/>
      <c r="G506" s="28"/>
    </row>
    <row r="507" spans="1:7" x14ac:dyDescent="0.25">
      <c r="A507" s="28"/>
      <c r="B507" s="28"/>
      <c r="C507" s="28"/>
      <c r="D507" s="28"/>
      <c r="E507" s="28"/>
      <c r="F507" s="28"/>
      <c r="G507" s="28"/>
    </row>
    <row r="508" spans="1:7" x14ac:dyDescent="0.25">
      <c r="A508" s="28"/>
      <c r="B508" s="28"/>
      <c r="C508" s="28"/>
      <c r="D508" s="28"/>
      <c r="E508" s="28"/>
      <c r="F508" s="28"/>
      <c r="G508" s="28"/>
    </row>
    <row r="509" spans="1:7" x14ac:dyDescent="0.25">
      <c r="A509" s="28"/>
      <c r="B509" s="28"/>
      <c r="C509" s="28"/>
      <c r="D509" s="28"/>
      <c r="E509" s="28"/>
      <c r="F509" s="28"/>
      <c r="G509" s="28"/>
    </row>
    <row r="510" spans="1:7" x14ac:dyDescent="0.25">
      <c r="A510" s="28"/>
      <c r="B510" s="28"/>
      <c r="C510" s="28"/>
      <c r="D510" s="28"/>
      <c r="E510" s="28"/>
      <c r="F510" s="28"/>
      <c r="G510" s="28"/>
    </row>
    <row r="511" spans="1:7" x14ac:dyDescent="0.25">
      <c r="A511" s="28"/>
      <c r="B511" s="28"/>
      <c r="C511" s="28"/>
      <c r="D511" s="28"/>
      <c r="E511" s="28"/>
      <c r="F511" s="28"/>
      <c r="G511" s="28"/>
    </row>
    <row r="512" spans="1:7" x14ac:dyDescent="0.25">
      <c r="A512" s="28"/>
      <c r="B512" s="28"/>
      <c r="C512" s="28"/>
      <c r="D512" s="28"/>
      <c r="E512" s="28"/>
      <c r="F512" s="28"/>
      <c r="G512" s="28"/>
    </row>
    <row r="513" spans="1:7" x14ac:dyDescent="0.25">
      <c r="A513" s="28"/>
      <c r="B513" s="28"/>
      <c r="C513" s="28"/>
      <c r="D513" s="28"/>
      <c r="E513" s="28"/>
      <c r="F513" s="28"/>
      <c r="G513" s="28"/>
    </row>
    <row r="514" spans="1:7" x14ac:dyDescent="0.25">
      <c r="A514" s="28"/>
      <c r="B514" s="28"/>
      <c r="C514" s="28"/>
      <c r="D514" s="28"/>
      <c r="E514" s="28"/>
      <c r="F514" s="28"/>
      <c r="G514" s="28"/>
    </row>
    <row r="515" spans="1:7" x14ac:dyDescent="0.25">
      <c r="A515" s="28"/>
      <c r="B515" s="28"/>
      <c r="C515" s="28"/>
      <c r="D515" s="28"/>
      <c r="E515" s="28"/>
      <c r="F515" s="28"/>
      <c r="G515" s="28"/>
    </row>
    <row r="516" spans="1:7" x14ac:dyDescent="0.25">
      <c r="A516" s="28"/>
      <c r="B516" s="28"/>
      <c r="C516" s="28"/>
      <c r="D516" s="28"/>
      <c r="E516" s="28"/>
      <c r="F516" s="28"/>
      <c r="G516" s="28"/>
    </row>
    <row r="517" spans="1:7" x14ac:dyDescent="0.25">
      <c r="A517" s="28"/>
      <c r="B517" s="28"/>
      <c r="C517" s="28"/>
      <c r="D517" s="28"/>
      <c r="E517" s="28"/>
      <c r="F517" s="28"/>
      <c r="G517" s="28"/>
    </row>
    <row r="518" spans="1:7" x14ac:dyDescent="0.25">
      <c r="A518" s="28"/>
      <c r="B518" s="28"/>
      <c r="C518" s="28"/>
      <c r="D518" s="28"/>
      <c r="E518" s="28"/>
      <c r="F518" s="28"/>
      <c r="G518" s="28"/>
    </row>
    <row r="519" spans="1:7" x14ac:dyDescent="0.25">
      <c r="A519" s="28"/>
      <c r="B519" s="28"/>
      <c r="C519" s="28"/>
      <c r="D519" s="28"/>
      <c r="E519" s="28"/>
      <c r="F519" s="28"/>
      <c r="G519" s="28"/>
    </row>
    <row r="520" spans="1:7" x14ac:dyDescent="0.25">
      <c r="A520" s="28"/>
      <c r="B520" s="28"/>
      <c r="C520" s="28"/>
      <c r="D520" s="28"/>
      <c r="E520" s="28"/>
      <c r="F520" s="28"/>
      <c r="G520" s="28"/>
    </row>
    <row r="521" spans="1:7" x14ac:dyDescent="0.25">
      <c r="A521" s="28"/>
      <c r="B521" s="28"/>
      <c r="C521" s="28"/>
      <c r="D521" s="28"/>
      <c r="E521" s="28"/>
      <c r="F521" s="28"/>
      <c r="G521" s="28"/>
    </row>
    <row r="522" spans="1:7" x14ac:dyDescent="0.25">
      <c r="A522" s="28"/>
      <c r="B522" s="28"/>
      <c r="C522" s="28"/>
      <c r="D522" s="28"/>
      <c r="E522" s="28"/>
      <c r="F522" s="28"/>
      <c r="G522" s="28"/>
    </row>
    <row r="523" spans="1:7" x14ac:dyDescent="0.25">
      <c r="A523" s="28"/>
      <c r="B523" s="28"/>
      <c r="C523" s="28"/>
      <c r="D523" s="28"/>
      <c r="E523" s="28"/>
      <c r="F523" s="28"/>
      <c r="G523" s="28"/>
    </row>
    <row r="524" spans="1:7" x14ac:dyDescent="0.25">
      <c r="A524" s="28"/>
      <c r="B524" s="28"/>
      <c r="C524" s="28"/>
      <c r="D524" s="28"/>
      <c r="E524" s="28"/>
      <c r="F524" s="28"/>
      <c r="G524" s="28"/>
    </row>
    <row r="525" spans="1:7" x14ac:dyDescent="0.25">
      <c r="A525" s="28"/>
      <c r="B525" s="28"/>
      <c r="C525" s="28"/>
      <c r="D525" s="28"/>
      <c r="E525" s="28"/>
      <c r="F525" s="28"/>
      <c r="G525" s="28"/>
    </row>
    <row r="526" spans="1:7" x14ac:dyDescent="0.25">
      <c r="A526" s="28"/>
      <c r="B526" s="28"/>
      <c r="C526" s="28"/>
      <c r="D526" s="28"/>
      <c r="E526" s="28"/>
      <c r="F526" s="28"/>
      <c r="G526" s="28"/>
    </row>
    <row r="527" spans="1:7" x14ac:dyDescent="0.25">
      <c r="A527" s="28"/>
      <c r="B527" s="28"/>
      <c r="C527" s="28"/>
      <c r="D527" s="28"/>
      <c r="E527" s="28"/>
      <c r="F527" s="28"/>
      <c r="G527" s="28"/>
    </row>
    <row r="528" spans="1:7" x14ac:dyDescent="0.25">
      <c r="A528" s="28"/>
      <c r="B528" s="28"/>
      <c r="C528" s="28"/>
      <c r="D528" s="28"/>
      <c r="E528" s="28"/>
      <c r="F528" s="28"/>
      <c r="G528" s="28"/>
    </row>
    <row r="529" spans="1:7" x14ac:dyDescent="0.25">
      <c r="A529" s="28"/>
      <c r="B529" s="28"/>
      <c r="C529" s="28"/>
      <c r="D529" s="28"/>
      <c r="E529" s="28"/>
      <c r="F529" s="28"/>
      <c r="G529" s="28"/>
    </row>
    <row r="530" spans="1:7" x14ac:dyDescent="0.25">
      <c r="A530" s="28"/>
      <c r="B530" s="28"/>
      <c r="C530" s="28"/>
      <c r="D530" s="28"/>
      <c r="E530" s="28"/>
      <c r="F530" s="28"/>
      <c r="G530" s="28"/>
    </row>
    <row r="531" spans="1:7" x14ac:dyDescent="0.25">
      <c r="A531" s="28"/>
      <c r="B531" s="28"/>
      <c r="C531" s="28"/>
      <c r="D531" s="28"/>
      <c r="E531" s="28"/>
      <c r="F531" s="28"/>
      <c r="G531" s="28"/>
    </row>
    <row r="532" spans="1:7" x14ac:dyDescent="0.25">
      <c r="A532" s="28"/>
      <c r="B532" s="28"/>
      <c r="C532" s="28"/>
      <c r="D532" s="28"/>
      <c r="E532" s="28"/>
      <c r="F532" s="28"/>
      <c r="G532" s="28"/>
    </row>
    <row r="533" spans="1:7" x14ac:dyDescent="0.25">
      <c r="A533" s="28"/>
      <c r="B533" s="28"/>
      <c r="C533" s="28"/>
      <c r="D533" s="28"/>
      <c r="E533" s="28"/>
      <c r="F533" s="28"/>
      <c r="G533" s="28"/>
    </row>
    <row r="534" spans="1:7" x14ac:dyDescent="0.25">
      <c r="A534" s="28"/>
      <c r="B534" s="28"/>
      <c r="C534" s="28"/>
      <c r="D534" s="28"/>
      <c r="E534" s="28"/>
      <c r="F534" s="28"/>
      <c r="G534" s="28"/>
    </row>
    <row r="535" spans="1:7" x14ac:dyDescent="0.25">
      <c r="A535" s="28"/>
      <c r="B535" s="28"/>
      <c r="C535" s="28"/>
      <c r="D535" s="28"/>
      <c r="E535" s="28"/>
      <c r="F535" s="28"/>
      <c r="G535" s="28"/>
    </row>
    <row r="536" spans="1:7" x14ac:dyDescent="0.25">
      <c r="A536" s="28"/>
      <c r="B536" s="28"/>
      <c r="C536" s="28"/>
      <c r="D536" s="28"/>
      <c r="E536" s="28"/>
      <c r="F536" s="28"/>
      <c r="G536" s="28"/>
    </row>
    <row r="537" spans="1:7" x14ac:dyDescent="0.25">
      <c r="A537" s="28"/>
      <c r="B537" s="28"/>
      <c r="C537" s="28"/>
      <c r="D537" s="28"/>
      <c r="E537" s="28"/>
      <c r="F537" s="28"/>
      <c r="G537" s="28"/>
    </row>
    <row r="538" spans="1:7" x14ac:dyDescent="0.25">
      <c r="A538" s="28"/>
      <c r="B538" s="28"/>
      <c r="C538" s="28"/>
      <c r="D538" s="28"/>
      <c r="E538" s="28"/>
      <c r="F538" s="28"/>
      <c r="G538" s="28"/>
    </row>
    <row r="539" spans="1:7" x14ac:dyDescent="0.25">
      <c r="A539" s="28"/>
      <c r="B539" s="28"/>
      <c r="C539" s="28"/>
      <c r="D539" s="28"/>
      <c r="E539" s="28"/>
      <c r="F539" s="28"/>
      <c r="G539" s="28"/>
    </row>
    <row r="540" spans="1:7" x14ac:dyDescent="0.25">
      <c r="A540" s="28"/>
      <c r="B540" s="28"/>
      <c r="C540" s="28"/>
      <c r="D540" s="28"/>
      <c r="E540" s="28"/>
      <c r="F540" s="28"/>
      <c r="G540" s="28"/>
    </row>
    <row r="541" spans="1:7" x14ac:dyDescent="0.25">
      <c r="A541" s="28"/>
      <c r="B541" s="28"/>
      <c r="C541" s="28"/>
      <c r="D541" s="28"/>
      <c r="E541" s="28"/>
      <c r="F541" s="28"/>
      <c r="G541" s="28"/>
    </row>
    <row r="542" spans="1:7" x14ac:dyDescent="0.25">
      <c r="A542" s="28"/>
      <c r="B542" s="28"/>
      <c r="C542" s="28"/>
      <c r="D542" s="28"/>
      <c r="E542" s="28"/>
      <c r="F542" s="28"/>
      <c r="G542" s="28"/>
    </row>
    <row r="543" spans="1:7" x14ac:dyDescent="0.25">
      <c r="A543" s="28"/>
      <c r="B543" s="28"/>
      <c r="C543" s="28"/>
      <c r="D543" s="28"/>
      <c r="E543" s="28"/>
      <c r="F543" s="28"/>
      <c r="G543" s="28"/>
    </row>
    <row r="544" spans="1:7" x14ac:dyDescent="0.25">
      <c r="A544" s="28"/>
      <c r="B544" s="28"/>
      <c r="C544" s="28"/>
      <c r="D544" s="28"/>
      <c r="E544" s="28"/>
      <c r="F544" s="28"/>
      <c r="G544" s="28"/>
    </row>
    <row r="545" spans="1:7" x14ac:dyDescent="0.25">
      <c r="A545" s="28"/>
      <c r="B545" s="28"/>
      <c r="C545" s="28"/>
      <c r="D545" s="28"/>
      <c r="E545" s="28"/>
      <c r="F545" s="28"/>
      <c r="G545" s="28"/>
    </row>
    <row r="546" spans="1:7" x14ac:dyDescent="0.25">
      <c r="A546" s="28"/>
      <c r="B546" s="28"/>
      <c r="C546" s="28"/>
      <c r="D546" s="28"/>
      <c r="E546" s="28"/>
      <c r="F546" s="28"/>
      <c r="G546" s="28"/>
    </row>
    <row r="547" spans="1:7" x14ac:dyDescent="0.25">
      <c r="A547" s="28"/>
      <c r="B547" s="28"/>
      <c r="C547" s="28"/>
      <c r="D547" s="28"/>
      <c r="E547" s="28"/>
      <c r="F547" s="28"/>
      <c r="G547" s="28"/>
    </row>
    <row r="548" spans="1:7" x14ac:dyDescent="0.25">
      <c r="A548" s="28"/>
      <c r="B548" s="28"/>
      <c r="C548" s="28"/>
      <c r="D548" s="28"/>
      <c r="E548" s="28"/>
      <c r="F548" s="28"/>
      <c r="G548" s="28"/>
    </row>
    <row r="549" spans="1:7" x14ac:dyDescent="0.25">
      <c r="A549" s="28"/>
      <c r="B549" s="28"/>
      <c r="C549" s="28"/>
      <c r="D549" s="28"/>
      <c r="E549" s="28"/>
      <c r="F549" s="28"/>
      <c r="G549" s="28"/>
    </row>
    <row r="550" spans="1:7" x14ac:dyDescent="0.25">
      <c r="A550" s="28"/>
      <c r="B550" s="28"/>
      <c r="C550" s="28"/>
      <c r="D550" s="28"/>
      <c r="E550" s="28"/>
      <c r="F550" s="28"/>
      <c r="G550" s="28"/>
    </row>
    <row r="551" spans="1:7" x14ac:dyDescent="0.25">
      <c r="A551" s="28"/>
      <c r="B551" s="28"/>
      <c r="C551" s="28"/>
      <c r="D551" s="28"/>
      <c r="E551" s="28"/>
      <c r="F551" s="28"/>
      <c r="G551" s="28"/>
    </row>
    <row r="552" spans="1:7" x14ac:dyDescent="0.25">
      <c r="A552" s="28"/>
      <c r="B552" s="28"/>
      <c r="C552" s="28"/>
      <c r="D552" s="28"/>
      <c r="E552" s="28"/>
      <c r="F552" s="28"/>
      <c r="G552" s="28"/>
    </row>
    <row r="553" spans="1:7" x14ac:dyDescent="0.25">
      <c r="A553" s="28"/>
      <c r="B553" s="28"/>
      <c r="C553" s="28"/>
      <c r="D553" s="28"/>
      <c r="E553" s="28"/>
      <c r="F553" s="28"/>
      <c r="G553" s="28"/>
    </row>
    <row r="554" spans="1:7" x14ac:dyDescent="0.25">
      <c r="A554" s="28"/>
      <c r="B554" s="28"/>
      <c r="C554" s="28"/>
      <c r="D554" s="28"/>
      <c r="E554" s="28"/>
      <c r="F554" s="28"/>
      <c r="G554" s="28"/>
    </row>
    <row r="555" spans="1:7" x14ac:dyDescent="0.25">
      <c r="A555" s="28"/>
      <c r="B555" s="28"/>
      <c r="C555" s="28"/>
      <c r="D555" s="28"/>
      <c r="E555" s="28"/>
      <c r="F555" s="28"/>
      <c r="G555" s="28"/>
    </row>
    <row r="556" spans="1:7" x14ac:dyDescent="0.25">
      <c r="A556" s="28"/>
      <c r="B556" s="28"/>
      <c r="C556" s="28"/>
      <c r="D556" s="28"/>
      <c r="E556" s="28"/>
      <c r="F556" s="28"/>
      <c r="G556" s="28"/>
    </row>
    <row r="557" spans="1:7" x14ac:dyDescent="0.25">
      <c r="A557" s="28"/>
      <c r="B557" s="28"/>
      <c r="C557" s="28"/>
      <c r="D557" s="28"/>
      <c r="E557" s="28"/>
      <c r="F557" s="28"/>
      <c r="G557" s="28"/>
    </row>
    <row r="558" spans="1:7" x14ac:dyDescent="0.25">
      <c r="A558" s="28"/>
      <c r="B558" s="28"/>
      <c r="C558" s="28"/>
      <c r="D558" s="28"/>
      <c r="E558" s="28"/>
      <c r="F558" s="28"/>
      <c r="G558" s="28"/>
    </row>
    <row r="559" spans="1:7" x14ac:dyDescent="0.25">
      <c r="A559" s="28"/>
      <c r="B559" s="28"/>
      <c r="C559" s="28"/>
      <c r="D559" s="28"/>
      <c r="E559" s="28"/>
      <c r="F559" s="28"/>
      <c r="G559" s="28"/>
    </row>
    <row r="560" spans="1:7" x14ac:dyDescent="0.25">
      <c r="A560" s="28"/>
      <c r="B560" s="28"/>
      <c r="C560" s="28"/>
      <c r="D560" s="28"/>
      <c r="E560" s="28"/>
      <c r="F560" s="28"/>
      <c r="G560" s="28"/>
    </row>
    <row r="561" spans="1:7" x14ac:dyDescent="0.25">
      <c r="A561" s="28"/>
      <c r="B561" s="28"/>
      <c r="C561" s="28"/>
      <c r="D561" s="28"/>
      <c r="E561" s="28"/>
      <c r="F561" s="28"/>
      <c r="G561" s="28"/>
    </row>
    <row r="562" spans="1:7" x14ac:dyDescent="0.25">
      <c r="A562" s="28"/>
      <c r="B562" s="28"/>
      <c r="C562" s="28"/>
      <c r="D562" s="28"/>
      <c r="E562" s="28"/>
      <c r="F562" s="28"/>
      <c r="G562" s="28"/>
    </row>
    <row r="563" spans="1:7" x14ac:dyDescent="0.25">
      <c r="A563" s="28"/>
      <c r="B563" s="28"/>
      <c r="C563" s="28"/>
      <c r="D563" s="28"/>
      <c r="E563" s="28"/>
      <c r="F563" s="28"/>
      <c r="G563" s="28"/>
    </row>
    <row r="564" spans="1:7" x14ac:dyDescent="0.25">
      <c r="A564" s="28"/>
      <c r="B564" s="28"/>
      <c r="C564" s="28"/>
      <c r="D564" s="28"/>
      <c r="E564" s="28"/>
      <c r="F564" s="28"/>
      <c r="G564" s="28"/>
    </row>
    <row r="565" spans="1:7" x14ac:dyDescent="0.25">
      <c r="A565" s="28"/>
      <c r="B565" s="28"/>
      <c r="C565" s="28"/>
      <c r="D565" s="28"/>
      <c r="E565" s="28"/>
      <c r="F565" s="28"/>
      <c r="G565" s="28"/>
    </row>
    <row r="566" spans="1:7" x14ac:dyDescent="0.25">
      <c r="A566" s="28"/>
      <c r="B566" s="28"/>
      <c r="C566" s="28"/>
      <c r="D566" s="28"/>
      <c r="E566" s="28"/>
      <c r="F566" s="28"/>
      <c r="G566" s="28"/>
    </row>
    <row r="567" spans="1:7" x14ac:dyDescent="0.25">
      <c r="A567" s="28"/>
      <c r="B567" s="28"/>
      <c r="C567" s="28"/>
      <c r="D567" s="28"/>
      <c r="E567" s="28"/>
      <c r="F567" s="28"/>
      <c r="G567" s="28"/>
    </row>
    <row r="568" spans="1:7" x14ac:dyDescent="0.25">
      <c r="A568" s="28"/>
      <c r="B568" s="28"/>
      <c r="C568" s="28"/>
      <c r="D568" s="28"/>
      <c r="E568" s="28"/>
      <c r="F568" s="28"/>
      <c r="G568" s="28"/>
    </row>
    <row r="569" spans="1:7" x14ac:dyDescent="0.25">
      <c r="A569" s="28"/>
      <c r="B569" s="28"/>
      <c r="C569" s="28"/>
      <c r="D569" s="28"/>
      <c r="E569" s="28"/>
      <c r="F569" s="28"/>
      <c r="G569" s="28"/>
    </row>
    <row r="570" spans="1:7" x14ac:dyDescent="0.25">
      <c r="A570" s="28"/>
      <c r="B570" s="28"/>
      <c r="C570" s="28"/>
      <c r="D570" s="28"/>
      <c r="E570" s="28"/>
      <c r="F570" s="28"/>
      <c r="G570" s="28"/>
    </row>
    <row r="571" spans="1:7" x14ac:dyDescent="0.25">
      <c r="A571" s="28"/>
      <c r="B571" s="28"/>
      <c r="C571" s="28"/>
      <c r="D571" s="28"/>
      <c r="E571" s="28"/>
      <c r="F571" s="28"/>
      <c r="G571" s="28"/>
    </row>
    <row r="572" spans="1:7" x14ac:dyDescent="0.25">
      <c r="A572" s="28"/>
      <c r="B572" s="28"/>
      <c r="C572" s="28"/>
      <c r="D572" s="28"/>
      <c r="E572" s="28"/>
      <c r="F572" s="28"/>
      <c r="G572" s="28"/>
    </row>
    <row r="573" spans="1:7" x14ac:dyDescent="0.25">
      <c r="A573" s="28"/>
      <c r="B573" s="28"/>
      <c r="C573" s="28"/>
      <c r="D573" s="28"/>
      <c r="E573" s="28"/>
      <c r="F573" s="28"/>
      <c r="G573" s="28"/>
    </row>
    <row r="574" spans="1:7" x14ac:dyDescent="0.25">
      <c r="A574" s="28"/>
      <c r="B574" s="28"/>
      <c r="C574" s="28"/>
      <c r="D574" s="28"/>
      <c r="E574" s="28"/>
      <c r="F574" s="28"/>
      <c r="G574" s="28"/>
    </row>
    <row r="575" spans="1:7" x14ac:dyDescent="0.25">
      <c r="A575" s="28"/>
      <c r="B575" s="28"/>
      <c r="C575" s="28"/>
      <c r="D575" s="28"/>
      <c r="E575" s="28"/>
      <c r="F575" s="28"/>
      <c r="G575" s="28"/>
    </row>
    <row r="576" spans="1:7" x14ac:dyDescent="0.25">
      <c r="A576" s="28"/>
      <c r="B576" s="28"/>
      <c r="C576" s="28"/>
      <c r="D576" s="28"/>
      <c r="E576" s="28"/>
      <c r="F576" s="28"/>
      <c r="G576" s="28"/>
    </row>
    <row r="577" spans="1:7" x14ac:dyDescent="0.25">
      <c r="A577" s="28"/>
      <c r="B577" s="28"/>
      <c r="C577" s="28"/>
      <c r="D577" s="28"/>
      <c r="E577" s="28"/>
      <c r="F577" s="28"/>
      <c r="G577" s="28"/>
    </row>
    <row r="578" spans="1:7" x14ac:dyDescent="0.25">
      <c r="A578" s="28"/>
      <c r="B578" s="28"/>
      <c r="C578" s="28"/>
      <c r="D578" s="28"/>
      <c r="E578" s="28"/>
      <c r="F578" s="28"/>
      <c r="G578" s="28"/>
    </row>
    <row r="579" spans="1:7" x14ac:dyDescent="0.25">
      <c r="A579" s="28"/>
      <c r="B579" s="28"/>
      <c r="C579" s="28"/>
      <c r="D579" s="28"/>
      <c r="E579" s="28"/>
      <c r="F579" s="28"/>
      <c r="G579" s="28"/>
    </row>
    <row r="580" spans="1:7" x14ac:dyDescent="0.25">
      <c r="A580" s="28"/>
      <c r="B580" s="28"/>
      <c r="C580" s="28"/>
      <c r="D580" s="28"/>
      <c r="E580" s="28"/>
      <c r="F580" s="28"/>
      <c r="G580" s="28"/>
    </row>
    <row r="581" spans="1:7" x14ac:dyDescent="0.25">
      <c r="A581" s="28"/>
      <c r="B581" s="28"/>
      <c r="C581" s="28"/>
      <c r="D581" s="28"/>
      <c r="E581" s="28"/>
      <c r="F581" s="28"/>
      <c r="G581" s="28"/>
    </row>
    <row r="582" spans="1:7" x14ac:dyDescent="0.25">
      <c r="A582" s="28"/>
      <c r="B582" s="28"/>
      <c r="C582" s="28"/>
      <c r="D582" s="28"/>
      <c r="E582" s="28"/>
      <c r="F582" s="28"/>
      <c r="G582" s="28"/>
    </row>
    <row r="583" spans="1:7" x14ac:dyDescent="0.25">
      <c r="A583" s="28"/>
      <c r="B583" s="28"/>
      <c r="C583" s="28"/>
      <c r="D583" s="28"/>
      <c r="E583" s="28"/>
      <c r="F583" s="28"/>
      <c r="G583" s="28"/>
    </row>
    <row r="584" spans="1:7" x14ac:dyDescent="0.25">
      <c r="A584" s="28"/>
      <c r="B584" s="28"/>
      <c r="C584" s="28"/>
      <c r="D584" s="28"/>
      <c r="E584" s="28"/>
      <c r="F584" s="28"/>
      <c r="G584" s="28"/>
    </row>
    <row r="585" spans="1:7" x14ac:dyDescent="0.25">
      <c r="A585" s="28"/>
      <c r="B585" s="28"/>
      <c r="C585" s="28"/>
      <c r="D585" s="28"/>
      <c r="E585" s="28"/>
      <c r="F585" s="28"/>
      <c r="G585" s="28"/>
    </row>
    <row r="586" spans="1:7" x14ac:dyDescent="0.25">
      <c r="A586" s="28"/>
      <c r="B586" s="28"/>
      <c r="C586" s="28"/>
      <c r="D586" s="28"/>
      <c r="E586" s="28"/>
      <c r="F586" s="28"/>
      <c r="G586" s="28"/>
    </row>
    <row r="587" spans="1:7" x14ac:dyDescent="0.25">
      <c r="A587" s="28"/>
      <c r="B587" s="28"/>
      <c r="C587" s="28"/>
      <c r="D587" s="28"/>
      <c r="E587" s="28"/>
      <c r="F587" s="28"/>
      <c r="G587" s="28"/>
    </row>
    <row r="588" spans="1:7" x14ac:dyDescent="0.25">
      <c r="A588" s="28"/>
      <c r="B588" s="28"/>
      <c r="C588" s="28"/>
      <c r="D588" s="28"/>
      <c r="E588" s="28"/>
      <c r="F588" s="28"/>
      <c r="G588" s="28"/>
    </row>
    <row r="589" spans="1:7" x14ac:dyDescent="0.25">
      <c r="A589" s="28"/>
      <c r="B589" s="28"/>
      <c r="C589" s="28"/>
      <c r="D589" s="28"/>
      <c r="E589" s="28"/>
      <c r="F589" s="28"/>
      <c r="G589" s="28"/>
    </row>
    <row r="590" spans="1:7" x14ac:dyDescent="0.25">
      <c r="A590" s="28"/>
      <c r="B590" s="28"/>
      <c r="C590" s="28"/>
      <c r="D590" s="28"/>
      <c r="E590" s="28"/>
      <c r="F590" s="28"/>
      <c r="G590" s="28"/>
    </row>
    <row r="591" spans="1:7" x14ac:dyDescent="0.25">
      <c r="A591" s="28"/>
      <c r="B591" s="28"/>
      <c r="C591" s="28"/>
      <c r="D591" s="28"/>
      <c r="E591" s="28"/>
      <c r="F591" s="28"/>
      <c r="G591" s="28"/>
    </row>
    <row r="592" spans="1:7" x14ac:dyDescent="0.25">
      <c r="A592" s="28"/>
      <c r="B592" s="28"/>
      <c r="C592" s="28"/>
      <c r="D592" s="28"/>
      <c r="E592" s="28"/>
      <c r="F592" s="28"/>
      <c r="G592" s="28"/>
    </row>
    <row r="593" spans="1:7" x14ac:dyDescent="0.25">
      <c r="A593" s="28"/>
      <c r="B593" s="28"/>
      <c r="C593" s="28"/>
      <c r="D593" s="28"/>
      <c r="E593" s="28"/>
      <c r="F593" s="28"/>
      <c r="G593" s="28"/>
    </row>
    <row r="594" spans="1:7" x14ac:dyDescent="0.25">
      <c r="A594" s="28"/>
      <c r="B594" s="28"/>
      <c r="C594" s="28"/>
      <c r="D594" s="28"/>
      <c r="E594" s="28"/>
      <c r="F594" s="28"/>
      <c r="G594" s="28"/>
    </row>
    <row r="595" spans="1:7" x14ac:dyDescent="0.25">
      <c r="A595" s="28"/>
      <c r="B595" s="28"/>
      <c r="C595" s="28"/>
      <c r="D595" s="28"/>
      <c r="E595" s="28"/>
      <c r="F595" s="28"/>
      <c r="G595" s="28"/>
    </row>
    <row r="596" spans="1:7" x14ac:dyDescent="0.25">
      <c r="A596" s="28"/>
      <c r="B596" s="28"/>
      <c r="C596" s="28"/>
      <c r="D596" s="28"/>
      <c r="E596" s="28"/>
      <c r="F596" s="28"/>
      <c r="G596" s="28"/>
    </row>
    <row r="597" spans="1:7" x14ac:dyDescent="0.25">
      <c r="A597" s="28"/>
      <c r="B597" s="28"/>
      <c r="C597" s="28"/>
      <c r="D597" s="28"/>
      <c r="E597" s="28"/>
      <c r="F597" s="28"/>
      <c r="G597" s="28"/>
    </row>
    <row r="598" spans="1:7" x14ac:dyDescent="0.25">
      <c r="A598" s="28"/>
      <c r="B598" s="28"/>
      <c r="C598" s="28"/>
      <c r="D598" s="28"/>
      <c r="E598" s="28"/>
      <c r="F598" s="28"/>
      <c r="G598" s="28"/>
    </row>
    <row r="599" spans="1:7" x14ac:dyDescent="0.25">
      <c r="A599" s="28"/>
      <c r="B599" s="28"/>
      <c r="C599" s="28"/>
      <c r="D599" s="28"/>
      <c r="E599" s="28"/>
      <c r="F599" s="28"/>
      <c r="G599" s="28"/>
    </row>
    <row r="600" spans="1:7" x14ac:dyDescent="0.25">
      <c r="A600" s="28"/>
      <c r="B600" s="28"/>
      <c r="C600" s="28"/>
      <c r="D600" s="28"/>
      <c r="E600" s="28"/>
      <c r="F600" s="28"/>
      <c r="G600" s="28"/>
    </row>
    <row r="601" spans="1:7" x14ac:dyDescent="0.25">
      <c r="A601" s="28"/>
      <c r="B601" s="28"/>
      <c r="C601" s="28"/>
      <c r="D601" s="28"/>
      <c r="E601" s="28"/>
      <c r="F601" s="28"/>
      <c r="G601" s="28"/>
    </row>
    <row r="602" spans="1:7" x14ac:dyDescent="0.25">
      <c r="A602" s="28"/>
      <c r="B602" s="28"/>
      <c r="C602" s="28"/>
      <c r="D602" s="28"/>
      <c r="E602" s="28"/>
      <c r="F602" s="28"/>
      <c r="G602" s="28"/>
    </row>
    <row r="603" spans="1:7" x14ac:dyDescent="0.25">
      <c r="A603" s="28"/>
      <c r="B603" s="28"/>
      <c r="C603" s="28"/>
      <c r="D603" s="28"/>
      <c r="E603" s="28"/>
      <c r="F603" s="28"/>
      <c r="G603" s="28"/>
    </row>
    <row r="604" spans="1:7" x14ac:dyDescent="0.25">
      <c r="A604" s="28"/>
      <c r="B604" s="28"/>
      <c r="C604" s="28"/>
      <c r="D604" s="28"/>
      <c r="E604" s="28"/>
      <c r="F604" s="28"/>
      <c r="G604" s="28"/>
    </row>
    <row r="605" spans="1:7" x14ac:dyDescent="0.25">
      <c r="A605" s="28"/>
      <c r="B605" s="28"/>
      <c r="C605" s="28"/>
      <c r="D605" s="28"/>
      <c r="E605" s="28"/>
      <c r="F605" s="28"/>
      <c r="G605" s="28"/>
    </row>
    <row r="606" spans="1:7" x14ac:dyDescent="0.25">
      <c r="A606" s="28"/>
      <c r="B606" s="28"/>
      <c r="C606" s="28"/>
      <c r="D606" s="28"/>
      <c r="E606" s="28"/>
      <c r="F606" s="28"/>
      <c r="G606" s="28"/>
    </row>
    <row r="607" spans="1:7" x14ac:dyDescent="0.25">
      <c r="A607" s="28"/>
      <c r="B607" s="28"/>
      <c r="C607" s="28"/>
      <c r="D607" s="28"/>
      <c r="E607" s="28"/>
      <c r="F607" s="28"/>
      <c r="G607" s="28"/>
    </row>
    <row r="608" spans="1:7" x14ac:dyDescent="0.25">
      <c r="A608" s="28"/>
      <c r="B608" s="28"/>
      <c r="C608" s="28"/>
      <c r="D608" s="28"/>
      <c r="E608" s="28"/>
      <c r="F608" s="28"/>
      <c r="G608" s="28"/>
    </row>
    <row r="609" spans="1:7" x14ac:dyDescent="0.25">
      <c r="A609" s="28"/>
      <c r="B609" s="28"/>
      <c r="C609" s="28"/>
      <c r="D609" s="28"/>
      <c r="E609" s="28"/>
      <c r="F609" s="28"/>
      <c r="G609" s="28"/>
    </row>
    <row r="610" spans="1:7" x14ac:dyDescent="0.25">
      <c r="A610" s="28"/>
      <c r="B610" s="28"/>
      <c r="C610" s="28"/>
      <c r="D610" s="28"/>
      <c r="E610" s="28"/>
      <c r="F610" s="28"/>
      <c r="G610" s="28"/>
    </row>
    <row r="611" spans="1:7" x14ac:dyDescent="0.25">
      <c r="A611" s="28"/>
      <c r="B611" s="28"/>
      <c r="C611" s="28"/>
      <c r="D611" s="28"/>
      <c r="E611" s="28"/>
      <c r="F611" s="28"/>
      <c r="G611" s="28"/>
    </row>
    <row r="612" spans="1:7" x14ac:dyDescent="0.25">
      <c r="A612" s="28"/>
      <c r="B612" s="28"/>
      <c r="C612" s="28"/>
      <c r="D612" s="28"/>
      <c r="E612" s="28"/>
      <c r="F612" s="28"/>
      <c r="G612" s="28"/>
    </row>
    <row r="613" spans="1:7" x14ac:dyDescent="0.25">
      <c r="A613" s="28"/>
      <c r="B613" s="28"/>
      <c r="C613" s="28"/>
      <c r="D613" s="28"/>
      <c r="E613" s="28"/>
      <c r="F613" s="28"/>
      <c r="G613" s="28"/>
    </row>
    <row r="614" spans="1:7" x14ac:dyDescent="0.25">
      <c r="A614" s="28"/>
      <c r="B614" s="28"/>
      <c r="C614" s="28"/>
      <c r="D614" s="28"/>
      <c r="E614" s="28"/>
      <c r="F614" s="28"/>
      <c r="G614" s="28"/>
    </row>
    <row r="615" spans="1:7" x14ac:dyDescent="0.25">
      <c r="A615" s="28"/>
      <c r="B615" s="28"/>
      <c r="C615" s="28"/>
      <c r="D615" s="28"/>
      <c r="E615" s="28"/>
      <c r="F615" s="28"/>
      <c r="G615" s="28"/>
    </row>
    <row r="616" spans="1:7" x14ac:dyDescent="0.25">
      <c r="A616" s="28"/>
      <c r="B616" s="28"/>
      <c r="C616" s="28"/>
      <c r="D616" s="28"/>
      <c r="E616" s="28"/>
      <c r="F616" s="28"/>
      <c r="G616" s="28"/>
    </row>
    <row r="617" spans="1:7" x14ac:dyDescent="0.25">
      <c r="A617" s="28"/>
      <c r="B617" s="28"/>
      <c r="C617" s="28"/>
      <c r="D617" s="28"/>
      <c r="E617" s="28"/>
      <c r="F617" s="28"/>
      <c r="G617" s="28"/>
    </row>
    <row r="618" spans="1:7" x14ac:dyDescent="0.25">
      <c r="A618" s="28"/>
      <c r="B618" s="28"/>
      <c r="C618" s="28"/>
      <c r="D618" s="28"/>
      <c r="E618" s="28"/>
      <c r="F618" s="28"/>
      <c r="G618" s="28"/>
    </row>
    <row r="619" spans="1:7" x14ac:dyDescent="0.25">
      <c r="A619" s="28"/>
      <c r="B619" s="28"/>
      <c r="C619" s="28"/>
      <c r="D619" s="28"/>
      <c r="E619" s="28"/>
      <c r="F619" s="28"/>
      <c r="G619" s="28"/>
    </row>
    <row r="620" spans="1:7" x14ac:dyDescent="0.25">
      <c r="A620" s="28"/>
      <c r="B620" s="28"/>
      <c r="C620" s="28"/>
      <c r="D620" s="28"/>
      <c r="E620" s="28"/>
      <c r="F620" s="28"/>
      <c r="G620" s="28"/>
    </row>
    <row r="621" spans="1:7" x14ac:dyDescent="0.25">
      <c r="A621" s="28"/>
      <c r="B621" s="28"/>
      <c r="C621" s="28"/>
      <c r="D621" s="28"/>
      <c r="E621" s="28"/>
      <c r="F621" s="28"/>
      <c r="G621" s="28"/>
    </row>
    <row r="622" spans="1:7" x14ac:dyDescent="0.25">
      <c r="A622" s="28"/>
      <c r="B622" s="28"/>
      <c r="C622" s="28"/>
      <c r="D622" s="28"/>
      <c r="E622" s="28"/>
      <c r="F622" s="28"/>
      <c r="G622" s="28"/>
    </row>
    <row r="623" spans="1:7" x14ac:dyDescent="0.25">
      <c r="A623" s="28"/>
      <c r="B623" s="28"/>
      <c r="C623" s="28"/>
      <c r="D623" s="28"/>
      <c r="E623" s="28"/>
      <c r="F623" s="28"/>
      <c r="G623" s="28"/>
    </row>
    <row r="624" spans="1:7" x14ac:dyDescent="0.25">
      <c r="A624" s="28"/>
      <c r="B624" s="28"/>
      <c r="C624" s="28"/>
      <c r="D624" s="28"/>
      <c r="E624" s="28"/>
      <c r="F624" s="28"/>
      <c r="G624" s="28"/>
    </row>
    <row r="625" spans="1:7" x14ac:dyDescent="0.25">
      <c r="A625" s="28"/>
      <c r="B625" s="28"/>
      <c r="C625" s="28"/>
      <c r="D625" s="28"/>
      <c r="E625" s="28"/>
      <c r="F625" s="28"/>
      <c r="G625" s="28"/>
    </row>
    <row r="626" spans="1:7" x14ac:dyDescent="0.25">
      <c r="A626" s="28"/>
      <c r="B626" s="28"/>
      <c r="C626" s="28"/>
      <c r="D626" s="28"/>
      <c r="E626" s="28"/>
      <c r="F626" s="28"/>
      <c r="G626" s="28"/>
    </row>
    <row r="627" spans="1:7" x14ac:dyDescent="0.25">
      <c r="A627" s="28"/>
      <c r="B627" s="28"/>
      <c r="C627" s="28"/>
      <c r="D627" s="28"/>
      <c r="E627" s="28"/>
      <c r="F627" s="28"/>
      <c r="G627" s="28"/>
    </row>
    <row r="628" spans="1:7" x14ac:dyDescent="0.25">
      <c r="A628" s="28"/>
      <c r="B628" s="28"/>
      <c r="C628" s="28"/>
      <c r="D628" s="28"/>
      <c r="E628" s="28"/>
      <c r="F628" s="28"/>
      <c r="G628" s="28"/>
    </row>
    <row r="629" spans="1:7" x14ac:dyDescent="0.25">
      <c r="A629" s="28"/>
      <c r="B629" s="28"/>
      <c r="C629" s="28"/>
      <c r="D629" s="28"/>
      <c r="E629" s="28"/>
      <c r="F629" s="28"/>
      <c r="G629" s="28"/>
    </row>
    <row r="630" spans="1:7" x14ac:dyDescent="0.25">
      <c r="A630" s="28"/>
      <c r="B630" s="28"/>
      <c r="C630" s="28"/>
      <c r="D630" s="28"/>
      <c r="E630" s="28"/>
      <c r="F630" s="28"/>
      <c r="G630" s="28"/>
    </row>
    <row r="631" spans="1:7" x14ac:dyDescent="0.25">
      <c r="A631" s="28"/>
      <c r="B631" s="28"/>
      <c r="C631" s="28"/>
      <c r="D631" s="28"/>
      <c r="E631" s="28"/>
      <c r="F631" s="28"/>
      <c r="G631" s="28"/>
    </row>
    <row r="632" spans="1:7" x14ac:dyDescent="0.25">
      <c r="A632" s="28"/>
      <c r="B632" s="28"/>
      <c r="C632" s="28"/>
      <c r="D632" s="28"/>
      <c r="E632" s="28"/>
      <c r="F632" s="28"/>
      <c r="G632" s="28"/>
    </row>
    <row r="633" spans="1:7" x14ac:dyDescent="0.25">
      <c r="A633" s="28"/>
      <c r="B633" s="28"/>
      <c r="C633" s="28"/>
      <c r="D633" s="28"/>
      <c r="E633" s="28"/>
      <c r="F633" s="28"/>
      <c r="G633" s="28"/>
    </row>
    <row r="634" spans="1:7" x14ac:dyDescent="0.25">
      <c r="A634" s="28"/>
      <c r="B634" s="28"/>
      <c r="C634" s="28"/>
      <c r="D634" s="28"/>
      <c r="E634" s="28"/>
      <c r="F634" s="28"/>
      <c r="G634" s="28"/>
    </row>
    <row r="635" spans="1:7" x14ac:dyDescent="0.25">
      <c r="A635" s="28"/>
      <c r="B635" s="28"/>
      <c r="C635" s="28"/>
      <c r="D635" s="28"/>
      <c r="E635" s="28"/>
      <c r="F635" s="28"/>
      <c r="G635" s="28"/>
    </row>
    <row r="636" spans="1:7" x14ac:dyDescent="0.25">
      <c r="A636" s="28"/>
      <c r="B636" s="28"/>
      <c r="C636" s="28"/>
      <c r="D636" s="28"/>
      <c r="E636" s="28"/>
      <c r="F636" s="28"/>
      <c r="G636" s="28"/>
    </row>
    <row r="637" spans="1:7" x14ac:dyDescent="0.25">
      <c r="A637" s="28"/>
      <c r="B637" s="28"/>
      <c r="C637" s="28"/>
      <c r="D637" s="28"/>
      <c r="E637" s="28"/>
      <c r="F637" s="28"/>
      <c r="G637" s="28"/>
    </row>
    <row r="638" spans="1:7" x14ac:dyDescent="0.25">
      <c r="A638" s="28"/>
      <c r="B638" s="28"/>
      <c r="C638" s="28"/>
      <c r="D638" s="28"/>
      <c r="E638" s="28"/>
      <c r="F638" s="28"/>
      <c r="G638" s="28"/>
    </row>
    <row r="639" spans="1:7" x14ac:dyDescent="0.25">
      <c r="A639" s="28"/>
      <c r="B639" s="28"/>
      <c r="C639" s="28"/>
      <c r="D639" s="28"/>
      <c r="E639" s="28"/>
      <c r="F639" s="28"/>
      <c r="G639" s="28"/>
    </row>
    <row r="640" spans="1:7" x14ac:dyDescent="0.25">
      <c r="A640" s="28"/>
      <c r="B640" s="28"/>
      <c r="C640" s="28"/>
      <c r="D640" s="28"/>
      <c r="E640" s="28"/>
      <c r="F640" s="28"/>
      <c r="G640" s="28"/>
    </row>
    <row r="641" spans="1:7" x14ac:dyDescent="0.25">
      <c r="A641" s="28"/>
      <c r="B641" s="28"/>
      <c r="C641" s="28"/>
      <c r="D641" s="28"/>
      <c r="E641" s="28"/>
      <c r="F641" s="28"/>
      <c r="G641" s="28"/>
    </row>
    <row r="642" spans="1:7" x14ac:dyDescent="0.25">
      <c r="A642" s="28"/>
      <c r="B642" s="28"/>
      <c r="C642" s="28"/>
      <c r="D642" s="28"/>
      <c r="E642" s="28"/>
      <c r="F642" s="28"/>
      <c r="G642" s="28"/>
    </row>
    <row r="643" spans="1:7" x14ac:dyDescent="0.25">
      <c r="A643" s="28"/>
      <c r="B643" s="28"/>
      <c r="C643" s="28"/>
      <c r="D643" s="28"/>
      <c r="E643" s="28"/>
      <c r="F643" s="28"/>
      <c r="G643" s="28"/>
    </row>
    <row r="644" spans="1:7" x14ac:dyDescent="0.25">
      <c r="A644" s="28"/>
      <c r="B644" s="28"/>
      <c r="C644" s="28"/>
      <c r="D644" s="28"/>
      <c r="E644" s="28"/>
      <c r="F644" s="28"/>
      <c r="G644" s="28"/>
    </row>
    <row r="645" spans="1:7" x14ac:dyDescent="0.25">
      <c r="A645" s="28"/>
      <c r="B645" s="28"/>
      <c r="C645" s="28"/>
      <c r="D645" s="28"/>
      <c r="E645" s="28"/>
      <c r="F645" s="28"/>
      <c r="G645" s="28"/>
    </row>
    <row r="646" spans="1:7" x14ac:dyDescent="0.25">
      <c r="A646" s="28"/>
      <c r="B646" s="28"/>
      <c r="C646" s="28"/>
      <c r="D646" s="28"/>
      <c r="E646" s="28"/>
      <c r="F646" s="28"/>
      <c r="G646" s="28"/>
    </row>
    <row r="647" spans="1:7" x14ac:dyDescent="0.25">
      <c r="A647" s="28"/>
      <c r="B647" s="28"/>
      <c r="C647" s="28"/>
      <c r="D647" s="28"/>
      <c r="E647" s="28"/>
      <c r="F647" s="28"/>
      <c r="G647" s="28"/>
    </row>
    <row r="648" spans="1:7" x14ac:dyDescent="0.25">
      <c r="A648" s="28"/>
      <c r="B648" s="28"/>
      <c r="C648" s="28"/>
      <c r="D648" s="28"/>
      <c r="E648" s="28"/>
      <c r="F648" s="28"/>
      <c r="G648" s="28"/>
    </row>
    <row r="649" spans="1:7" x14ac:dyDescent="0.25">
      <c r="A649" s="28"/>
      <c r="B649" s="28"/>
      <c r="C649" s="28"/>
      <c r="D649" s="28"/>
      <c r="E649" s="28"/>
      <c r="F649" s="28"/>
      <c r="G649" s="28"/>
    </row>
    <row r="650" spans="1:7" x14ac:dyDescent="0.25">
      <c r="A650" s="28"/>
      <c r="B650" s="28"/>
      <c r="C650" s="28"/>
      <c r="D650" s="28"/>
      <c r="E650" s="28"/>
      <c r="F650" s="28"/>
      <c r="G650" s="28"/>
    </row>
    <row r="651" spans="1:7" x14ac:dyDescent="0.25">
      <c r="A651" s="28"/>
      <c r="B651" s="28"/>
      <c r="C651" s="28"/>
      <c r="D651" s="28"/>
      <c r="E651" s="28"/>
      <c r="F651" s="28"/>
      <c r="G651" s="28"/>
    </row>
    <row r="652" spans="1:7" x14ac:dyDescent="0.25">
      <c r="A652" s="28"/>
      <c r="B652" s="28"/>
      <c r="C652" s="28"/>
      <c r="D652" s="28"/>
      <c r="E652" s="28"/>
      <c r="F652" s="28"/>
      <c r="G652" s="28"/>
    </row>
    <row r="653" spans="1:7" x14ac:dyDescent="0.25">
      <c r="A653" s="28"/>
      <c r="B653" s="28"/>
      <c r="C653" s="28"/>
      <c r="D653" s="28"/>
      <c r="E653" s="28"/>
      <c r="F653" s="28"/>
      <c r="G653" s="28"/>
    </row>
    <row r="654" spans="1:7" x14ac:dyDescent="0.25">
      <c r="A654" s="28"/>
      <c r="B654" s="28"/>
      <c r="C654" s="28"/>
      <c r="D654" s="28"/>
      <c r="E654" s="28"/>
      <c r="F654" s="28"/>
      <c r="G654" s="28"/>
    </row>
    <row r="655" spans="1:7" x14ac:dyDescent="0.25">
      <c r="A655" s="28"/>
      <c r="B655" s="28"/>
      <c r="C655" s="28"/>
      <c r="D655" s="28"/>
      <c r="E655" s="28"/>
      <c r="F655" s="28"/>
      <c r="G655" s="28"/>
    </row>
    <row r="656" spans="1:7" x14ac:dyDescent="0.25">
      <c r="A656" s="28"/>
      <c r="B656" s="28"/>
      <c r="C656" s="28"/>
      <c r="D656" s="28"/>
      <c r="E656" s="28"/>
      <c r="F656" s="28"/>
      <c r="G656" s="28"/>
    </row>
    <row r="657" spans="1:7" x14ac:dyDescent="0.25">
      <c r="A657" s="28"/>
      <c r="B657" s="28"/>
      <c r="C657" s="28"/>
      <c r="D657" s="28"/>
      <c r="E657" s="28"/>
      <c r="F657" s="28"/>
      <c r="G657" s="28"/>
    </row>
    <row r="658" spans="1:7" x14ac:dyDescent="0.25">
      <c r="A658" s="28"/>
      <c r="B658" s="28"/>
      <c r="C658" s="28"/>
      <c r="D658" s="28"/>
      <c r="E658" s="28"/>
      <c r="F658" s="28"/>
      <c r="G658" s="28"/>
    </row>
    <row r="659" spans="1:7" x14ac:dyDescent="0.25">
      <c r="A659" s="28"/>
      <c r="B659" s="28"/>
      <c r="C659" s="28"/>
      <c r="D659" s="28"/>
      <c r="E659" s="28"/>
      <c r="F659" s="28"/>
      <c r="G659" s="28"/>
    </row>
    <row r="660" spans="1:7" x14ac:dyDescent="0.25">
      <c r="A660" s="28"/>
      <c r="B660" s="28"/>
      <c r="C660" s="28"/>
      <c r="D660" s="28"/>
      <c r="E660" s="28"/>
      <c r="F660" s="28"/>
      <c r="G660" s="28"/>
    </row>
    <row r="661" spans="1:7" x14ac:dyDescent="0.25">
      <c r="A661" s="28"/>
      <c r="B661" s="28"/>
      <c r="C661" s="28"/>
      <c r="D661" s="28"/>
      <c r="E661" s="28"/>
      <c r="F661" s="28"/>
      <c r="G661" s="28"/>
    </row>
    <row r="662" spans="1:7" x14ac:dyDescent="0.25">
      <c r="A662" s="28"/>
      <c r="B662" s="28"/>
      <c r="C662" s="28"/>
      <c r="D662" s="28"/>
      <c r="E662" s="28"/>
      <c r="F662" s="28"/>
      <c r="G662" s="28"/>
    </row>
    <row r="663" spans="1:7" x14ac:dyDescent="0.25">
      <c r="A663" s="28"/>
      <c r="B663" s="28"/>
      <c r="C663" s="28"/>
      <c r="D663" s="28"/>
      <c r="E663" s="28"/>
      <c r="F663" s="28"/>
      <c r="G663" s="28"/>
    </row>
    <row r="664" spans="1:7" x14ac:dyDescent="0.25">
      <c r="A664" s="28"/>
      <c r="B664" s="28"/>
      <c r="C664" s="28"/>
      <c r="D664" s="28"/>
      <c r="E664" s="28"/>
      <c r="F664" s="28"/>
      <c r="G664" s="28"/>
    </row>
    <row r="665" spans="1:7" x14ac:dyDescent="0.25">
      <c r="A665" s="28"/>
      <c r="B665" s="28"/>
      <c r="C665" s="28"/>
      <c r="D665" s="28"/>
      <c r="E665" s="28"/>
      <c r="F665" s="28"/>
      <c r="G665" s="28"/>
    </row>
    <row r="666" spans="1:7" x14ac:dyDescent="0.25">
      <c r="A666" s="28"/>
      <c r="B666" s="28"/>
      <c r="C666" s="28"/>
      <c r="D666" s="28"/>
      <c r="E666" s="28"/>
      <c r="F666" s="28"/>
      <c r="G666" s="28"/>
    </row>
    <row r="667" spans="1:7" x14ac:dyDescent="0.25">
      <c r="A667" s="28"/>
      <c r="B667" s="28"/>
      <c r="C667" s="28"/>
      <c r="D667" s="28"/>
      <c r="E667" s="28"/>
      <c r="F667" s="28"/>
      <c r="G667" s="28"/>
    </row>
    <row r="668" spans="1:7" x14ac:dyDescent="0.25">
      <c r="A668" s="28"/>
      <c r="B668" s="28"/>
      <c r="C668" s="28"/>
      <c r="D668" s="28"/>
      <c r="E668" s="28"/>
      <c r="F668" s="28"/>
      <c r="G668" s="28"/>
    </row>
    <row r="669" spans="1:7" x14ac:dyDescent="0.25">
      <c r="A669" s="28"/>
      <c r="B669" s="28"/>
      <c r="C669" s="28"/>
      <c r="D669" s="28"/>
      <c r="E669" s="28"/>
      <c r="F669" s="28"/>
      <c r="G669" s="28"/>
    </row>
    <row r="670" spans="1:7" x14ac:dyDescent="0.25">
      <c r="A670" s="28"/>
      <c r="B670" s="28"/>
      <c r="C670" s="28"/>
      <c r="D670" s="28"/>
      <c r="E670" s="28"/>
      <c r="F670" s="28"/>
      <c r="G670" s="28"/>
    </row>
    <row r="671" spans="1:7" x14ac:dyDescent="0.25">
      <c r="A671" s="28"/>
      <c r="B671" s="28"/>
      <c r="C671" s="28"/>
      <c r="D671" s="28"/>
      <c r="E671" s="28"/>
      <c r="F671" s="28"/>
      <c r="G671" s="28"/>
    </row>
    <row r="672" spans="1:7" x14ac:dyDescent="0.25">
      <c r="A672" s="28"/>
      <c r="B672" s="28"/>
      <c r="C672" s="28"/>
      <c r="D672" s="28"/>
      <c r="E672" s="28"/>
      <c r="F672" s="28"/>
      <c r="G672" s="28"/>
    </row>
    <row r="673" spans="1:7" x14ac:dyDescent="0.25">
      <c r="A673" s="28"/>
      <c r="B673" s="28"/>
      <c r="C673" s="28"/>
      <c r="D673" s="28"/>
      <c r="E673" s="28"/>
      <c r="F673" s="28"/>
      <c r="G673" s="28"/>
    </row>
    <row r="674" spans="1:7" x14ac:dyDescent="0.25">
      <c r="A674" s="28"/>
      <c r="B674" s="28"/>
      <c r="C674" s="28"/>
      <c r="D674" s="28"/>
      <c r="E674" s="28"/>
      <c r="F674" s="28"/>
      <c r="G674" s="28"/>
    </row>
    <row r="675" spans="1:7" x14ac:dyDescent="0.25">
      <c r="A675" s="28"/>
      <c r="B675" s="28"/>
      <c r="C675" s="28"/>
      <c r="D675" s="28"/>
      <c r="E675" s="28"/>
      <c r="F675" s="28"/>
      <c r="G675" s="28"/>
    </row>
    <row r="676" spans="1:7" x14ac:dyDescent="0.25">
      <c r="A676" s="28"/>
      <c r="B676" s="28"/>
      <c r="C676" s="28"/>
      <c r="D676" s="28"/>
      <c r="E676" s="28"/>
      <c r="F676" s="28"/>
      <c r="G676" s="28"/>
    </row>
    <row r="677" spans="1:7" x14ac:dyDescent="0.25">
      <c r="A677" s="28"/>
      <c r="B677" s="28"/>
      <c r="C677" s="28"/>
      <c r="D677" s="28"/>
      <c r="E677" s="28"/>
      <c r="F677" s="28"/>
      <c r="G677" s="28"/>
    </row>
    <row r="678" spans="1:7" x14ac:dyDescent="0.25">
      <c r="A678" s="28"/>
      <c r="B678" s="28"/>
      <c r="C678" s="28"/>
      <c r="D678" s="28"/>
      <c r="E678" s="28"/>
      <c r="F678" s="28"/>
      <c r="G678" s="28"/>
    </row>
    <row r="679" spans="1:7" x14ac:dyDescent="0.25">
      <c r="A679" s="28"/>
      <c r="B679" s="28"/>
      <c r="C679" s="28"/>
      <c r="D679" s="28"/>
      <c r="E679" s="28"/>
      <c r="F679" s="28"/>
      <c r="G679" s="28"/>
    </row>
    <row r="680" spans="1:7" x14ac:dyDescent="0.25">
      <c r="A680" s="28"/>
      <c r="B680" s="28"/>
      <c r="C680" s="28"/>
      <c r="D680" s="28"/>
      <c r="E680" s="28"/>
      <c r="F680" s="28"/>
      <c r="G680" s="28"/>
    </row>
    <row r="681" spans="1:7" x14ac:dyDescent="0.25">
      <c r="A681" s="28"/>
      <c r="B681" s="28"/>
      <c r="C681" s="28"/>
      <c r="D681" s="28"/>
      <c r="E681" s="28"/>
      <c r="F681" s="28"/>
      <c r="G681" s="28"/>
    </row>
    <row r="682" spans="1:7" x14ac:dyDescent="0.25">
      <c r="A682" s="28"/>
      <c r="B682" s="28"/>
      <c r="C682" s="28"/>
      <c r="D682" s="28"/>
      <c r="E682" s="28"/>
      <c r="F682" s="28"/>
      <c r="G682" s="28"/>
    </row>
    <row r="683" spans="1:7" x14ac:dyDescent="0.25">
      <c r="A683" s="28"/>
      <c r="B683" s="28"/>
      <c r="C683" s="28"/>
      <c r="D683" s="28"/>
      <c r="E683" s="28"/>
      <c r="F683" s="28"/>
      <c r="G683" s="28"/>
    </row>
    <row r="684" spans="1:7" x14ac:dyDescent="0.25">
      <c r="A684" s="28"/>
      <c r="B684" s="28"/>
      <c r="C684" s="28"/>
      <c r="D684" s="28"/>
      <c r="E684" s="28"/>
      <c r="F684" s="28"/>
      <c r="G684" s="28"/>
    </row>
    <row r="685" spans="1:7" x14ac:dyDescent="0.25">
      <c r="A685" s="28"/>
      <c r="B685" s="28"/>
      <c r="C685" s="28"/>
      <c r="D685" s="28"/>
      <c r="E685" s="28"/>
      <c r="F685" s="28"/>
      <c r="G685" s="28"/>
    </row>
    <row r="686" spans="1:7" x14ac:dyDescent="0.25">
      <c r="A686" s="28"/>
      <c r="B686" s="28"/>
      <c r="C686" s="28"/>
      <c r="D686" s="28"/>
      <c r="E686" s="28"/>
      <c r="F686" s="28"/>
      <c r="G686" s="28"/>
    </row>
    <row r="687" spans="1:7" x14ac:dyDescent="0.25">
      <c r="A687" s="28"/>
      <c r="B687" s="28"/>
      <c r="C687" s="28"/>
      <c r="D687" s="28"/>
      <c r="E687" s="28"/>
      <c r="F687" s="28"/>
      <c r="G687" s="28"/>
    </row>
    <row r="688" spans="1:7" x14ac:dyDescent="0.25">
      <c r="A688" s="28"/>
      <c r="B688" s="28"/>
      <c r="C688" s="28"/>
      <c r="D688" s="28"/>
      <c r="E688" s="28"/>
      <c r="F688" s="28"/>
      <c r="G688" s="28"/>
    </row>
    <row r="689" spans="1:7" x14ac:dyDescent="0.25">
      <c r="A689" s="28"/>
      <c r="B689" s="28"/>
      <c r="C689" s="28"/>
      <c r="D689" s="28"/>
      <c r="E689" s="28"/>
      <c r="F689" s="28"/>
      <c r="G689" s="28"/>
    </row>
    <row r="690" spans="1:7" x14ac:dyDescent="0.25">
      <c r="A690" s="28"/>
      <c r="B690" s="28"/>
      <c r="C690" s="28"/>
      <c r="D690" s="28"/>
      <c r="E690" s="28"/>
      <c r="F690" s="28"/>
      <c r="G690" s="28"/>
    </row>
    <row r="691" spans="1:7" x14ac:dyDescent="0.25">
      <c r="A691" s="28"/>
      <c r="B691" s="28"/>
      <c r="C691" s="28"/>
      <c r="D691" s="28"/>
      <c r="E691" s="28"/>
      <c r="F691" s="28"/>
      <c r="G691" s="28"/>
    </row>
    <row r="692" spans="1:7" x14ac:dyDescent="0.25">
      <c r="A692" s="28"/>
      <c r="B692" s="28"/>
      <c r="C692" s="28"/>
      <c r="D692" s="28"/>
      <c r="E692" s="28"/>
      <c r="F692" s="28"/>
      <c r="G692" s="28"/>
    </row>
    <row r="693" spans="1:7" x14ac:dyDescent="0.25">
      <c r="A693" s="28"/>
      <c r="B693" s="28"/>
      <c r="C693" s="28"/>
      <c r="D693" s="28"/>
      <c r="E693" s="28"/>
      <c r="F693" s="28"/>
      <c r="G693" s="28"/>
    </row>
    <row r="694" spans="1:7" x14ac:dyDescent="0.25">
      <c r="A694" s="28"/>
      <c r="B694" s="28"/>
      <c r="C694" s="28"/>
      <c r="D694" s="28"/>
      <c r="E694" s="28"/>
      <c r="F694" s="28"/>
      <c r="G694" s="28"/>
    </row>
    <row r="695" spans="1:7" x14ac:dyDescent="0.25">
      <c r="A695" s="28"/>
      <c r="B695" s="28"/>
      <c r="C695" s="28"/>
      <c r="D695" s="28"/>
      <c r="E695" s="28"/>
      <c r="F695" s="28"/>
      <c r="G695" s="28"/>
    </row>
    <row r="696" spans="1:7" x14ac:dyDescent="0.25">
      <c r="A696" s="28"/>
      <c r="B696" s="28"/>
      <c r="C696" s="28"/>
      <c r="D696" s="28"/>
      <c r="E696" s="28"/>
      <c r="F696" s="28"/>
      <c r="G696" s="28"/>
    </row>
    <row r="697" spans="1:7" x14ac:dyDescent="0.25">
      <c r="A697" s="28"/>
      <c r="B697" s="28"/>
      <c r="C697" s="28"/>
      <c r="D697" s="28"/>
      <c r="E697" s="28"/>
      <c r="F697" s="28"/>
      <c r="G697" s="28"/>
    </row>
    <row r="698" spans="1:7" x14ac:dyDescent="0.25">
      <c r="A698" s="28"/>
      <c r="B698" s="28"/>
      <c r="C698" s="28"/>
      <c r="D698" s="28"/>
      <c r="E698" s="28"/>
      <c r="F698" s="28"/>
      <c r="G698" s="28"/>
    </row>
    <row r="699" spans="1:7" x14ac:dyDescent="0.25">
      <c r="A699" s="28"/>
      <c r="B699" s="28"/>
      <c r="C699" s="28"/>
      <c r="D699" s="28"/>
      <c r="E699" s="28"/>
      <c r="F699" s="28"/>
      <c r="G699" s="28"/>
    </row>
    <row r="700" spans="1:7" x14ac:dyDescent="0.25">
      <c r="A700" s="28"/>
      <c r="B700" s="28"/>
      <c r="C700" s="28"/>
      <c r="D700" s="28"/>
      <c r="E700" s="28"/>
      <c r="F700" s="28"/>
      <c r="G700" s="28"/>
    </row>
    <row r="701" spans="1:7" x14ac:dyDescent="0.25">
      <c r="A701" s="28"/>
      <c r="B701" s="28"/>
      <c r="C701" s="28"/>
      <c r="D701" s="28"/>
      <c r="E701" s="28"/>
      <c r="F701" s="28"/>
      <c r="G701" s="28"/>
    </row>
    <row r="702" spans="1:7" x14ac:dyDescent="0.25">
      <c r="A702" s="28"/>
      <c r="B702" s="28"/>
      <c r="C702" s="28"/>
      <c r="D702" s="28"/>
      <c r="E702" s="28"/>
      <c r="F702" s="28"/>
      <c r="G702" s="28"/>
    </row>
    <row r="703" spans="1:7" x14ac:dyDescent="0.25">
      <c r="A703" s="28"/>
      <c r="B703" s="28"/>
      <c r="C703" s="28"/>
      <c r="D703" s="28"/>
      <c r="E703" s="28"/>
      <c r="F703" s="28"/>
      <c r="G703" s="28"/>
    </row>
    <row r="704" spans="1:7" x14ac:dyDescent="0.25">
      <c r="A704" s="28"/>
      <c r="B704" s="28"/>
      <c r="C704" s="28"/>
      <c r="D704" s="28"/>
      <c r="E704" s="28"/>
      <c r="F704" s="28"/>
      <c r="G704" s="28"/>
    </row>
    <row r="705" spans="1:7" x14ac:dyDescent="0.25">
      <c r="A705" s="28"/>
      <c r="B705" s="28"/>
      <c r="C705" s="28"/>
      <c r="D705" s="28"/>
      <c r="E705" s="28"/>
      <c r="F705" s="28"/>
      <c r="G705" s="28"/>
    </row>
    <row r="706" spans="1:7" x14ac:dyDescent="0.25">
      <c r="A706" s="28"/>
      <c r="B706" s="28"/>
      <c r="C706" s="28"/>
      <c r="D706" s="28"/>
      <c r="E706" s="28"/>
      <c r="F706" s="28"/>
      <c r="G706" s="28"/>
    </row>
    <row r="707" spans="1:7" x14ac:dyDescent="0.25">
      <c r="A707" s="28"/>
      <c r="B707" s="28"/>
      <c r="C707" s="28"/>
      <c r="D707" s="28"/>
      <c r="E707" s="28"/>
      <c r="F707" s="28"/>
      <c r="G707" s="28"/>
    </row>
    <row r="708" spans="1:7" x14ac:dyDescent="0.25">
      <c r="A708" s="28"/>
      <c r="B708" s="28"/>
      <c r="C708" s="28"/>
      <c r="D708" s="28"/>
      <c r="E708" s="28"/>
      <c r="F708" s="28"/>
      <c r="G708" s="28"/>
    </row>
    <row r="709" spans="1:7" x14ac:dyDescent="0.25">
      <c r="A709" s="28"/>
      <c r="B709" s="28"/>
      <c r="C709" s="28"/>
      <c r="D709" s="28"/>
      <c r="E709" s="28"/>
      <c r="F709" s="28"/>
      <c r="G709" s="28"/>
    </row>
    <row r="710" spans="1:7" x14ac:dyDescent="0.25">
      <c r="A710" s="28"/>
      <c r="B710" s="28"/>
      <c r="C710" s="28"/>
      <c r="D710" s="28"/>
      <c r="E710" s="28"/>
      <c r="F710" s="28"/>
      <c r="G710" s="28"/>
    </row>
    <row r="711" spans="1:7" x14ac:dyDescent="0.25">
      <c r="A711" s="28"/>
      <c r="B711" s="28"/>
      <c r="C711" s="28"/>
      <c r="D711" s="28"/>
      <c r="E711" s="28"/>
      <c r="F711" s="28"/>
      <c r="G711" s="28"/>
    </row>
    <row r="712" spans="1:7" x14ac:dyDescent="0.25">
      <c r="A712" s="28"/>
      <c r="B712" s="28"/>
      <c r="C712" s="28"/>
      <c r="D712" s="28"/>
      <c r="E712" s="28"/>
      <c r="F712" s="28"/>
      <c r="G712" s="28"/>
    </row>
    <row r="713" spans="1:7" x14ac:dyDescent="0.25">
      <c r="A713" s="28"/>
      <c r="B713" s="28"/>
      <c r="C713" s="28"/>
      <c r="D713" s="28"/>
      <c r="E713" s="28"/>
      <c r="F713" s="28"/>
      <c r="G713" s="28"/>
    </row>
    <row r="714" spans="1:7" x14ac:dyDescent="0.25">
      <c r="A714" s="28"/>
      <c r="B714" s="28"/>
      <c r="C714" s="28"/>
      <c r="D714" s="28"/>
      <c r="E714" s="28"/>
      <c r="F714" s="28"/>
      <c r="G714" s="28"/>
    </row>
    <row r="715" spans="1:7" x14ac:dyDescent="0.25">
      <c r="A715" s="28"/>
      <c r="B715" s="28"/>
      <c r="C715" s="28"/>
      <c r="D715" s="28"/>
      <c r="E715" s="28"/>
      <c r="F715" s="28"/>
      <c r="G715" s="28"/>
    </row>
    <row r="716" spans="1:7" x14ac:dyDescent="0.25">
      <c r="A716" s="28"/>
      <c r="B716" s="28"/>
      <c r="C716" s="28"/>
      <c r="D716" s="28"/>
      <c r="E716" s="28"/>
      <c r="F716" s="28"/>
      <c r="G716" s="28"/>
    </row>
    <row r="717" spans="1:7" x14ac:dyDescent="0.25">
      <c r="A717" s="28"/>
      <c r="B717" s="28"/>
      <c r="C717" s="28"/>
      <c r="D717" s="28"/>
      <c r="E717" s="28"/>
      <c r="F717" s="28"/>
      <c r="G717" s="28"/>
    </row>
    <row r="718" spans="1:7" x14ac:dyDescent="0.25">
      <c r="A718" s="28"/>
      <c r="B718" s="28"/>
      <c r="C718" s="28"/>
      <c r="D718" s="28"/>
      <c r="E718" s="28"/>
      <c r="F718" s="28"/>
      <c r="G718" s="28"/>
    </row>
    <row r="719" spans="1:7" x14ac:dyDescent="0.25">
      <c r="A719" s="28"/>
      <c r="B719" s="28"/>
      <c r="C719" s="28"/>
      <c r="D719" s="28"/>
      <c r="E719" s="28"/>
      <c r="F719" s="28"/>
      <c r="G719" s="28"/>
    </row>
    <row r="720" spans="1:7" x14ac:dyDescent="0.25">
      <c r="A720" s="28"/>
      <c r="B720" s="28"/>
      <c r="C720" s="28"/>
      <c r="D720" s="28"/>
      <c r="E720" s="28"/>
      <c r="F720" s="28"/>
      <c r="G720" s="28"/>
    </row>
    <row r="721" spans="1:7" x14ac:dyDescent="0.25">
      <c r="A721" s="28"/>
      <c r="B721" s="28"/>
      <c r="C721" s="28"/>
      <c r="D721" s="28"/>
      <c r="E721" s="28"/>
      <c r="F721" s="28"/>
      <c r="G721" s="28"/>
    </row>
    <row r="722" spans="1:7" x14ac:dyDescent="0.25">
      <c r="A722" s="28"/>
      <c r="B722" s="28"/>
      <c r="C722" s="28"/>
      <c r="D722" s="28"/>
      <c r="E722" s="28"/>
      <c r="F722" s="28"/>
      <c r="G722" s="28"/>
    </row>
    <row r="723" spans="1:7" x14ac:dyDescent="0.25">
      <c r="A723" s="28"/>
      <c r="B723" s="28"/>
      <c r="C723" s="28"/>
      <c r="D723" s="28"/>
      <c r="E723" s="28"/>
      <c r="F723" s="28"/>
      <c r="G723" s="28"/>
    </row>
    <row r="724" spans="1:7" x14ac:dyDescent="0.25">
      <c r="A724" s="28"/>
      <c r="B724" s="28"/>
      <c r="C724" s="28"/>
      <c r="D724" s="28"/>
      <c r="E724" s="28"/>
      <c r="F724" s="28"/>
      <c r="G724" s="28"/>
    </row>
    <row r="725" spans="1:7" x14ac:dyDescent="0.25">
      <c r="A725" s="28"/>
      <c r="B725" s="28"/>
      <c r="C725" s="28"/>
      <c r="D725" s="28"/>
      <c r="E725" s="28"/>
      <c r="F725" s="28"/>
      <c r="G725" s="28"/>
    </row>
    <row r="726" spans="1:7" x14ac:dyDescent="0.25">
      <c r="A726" s="28"/>
      <c r="B726" s="28"/>
      <c r="C726" s="28"/>
      <c r="D726" s="28"/>
      <c r="E726" s="28"/>
      <c r="F726" s="28"/>
      <c r="G726" s="28"/>
    </row>
    <row r="727" spans="1:7" x14ac:dyDescent="0.25">
      <c r="A727" s="28"/>
      <c r="B727" s="28"/>
      <c r="C727" s="28"/>
      <c r="D727" s="28"/>
      <c r="E727" s="28"/>
      <c r="F727" s="28"/>
      <c r="G727" s="28"/>
    </row>
    <row r="728" spans="1:7" x14ac:dyDescent="0.25">
      <c r="A728" s="28"/>
      <c r="B728" s="28"/>
      <c r="C728" s="28"/>
      <c r="D728" s="28"/>
      <c r="E728" s="28"/>
      <c r="F728" s="28"/>
      <c r="G728" s="28"/>
    </row>
    <row r="729" spans="1:7" x14ac:dyDescent="0.25">
      <c r="A729" s="28"/>
      <c r="B729" s="28"/>
      <c r="C729" s="28"/>
      <c r="D729" s="28"/>
      <c r="E729" s="28"/>
      <c r="F729" s="28"/>
      <c r="G729" s="28"/>
    </row>
    <row r="730" spans="1:7" x14ac:dyDescent="0.25">
      <c r="A730" s="28"/>
      <c r="B730" s="28"/>
      <c r="C730" s="28"/>
      <c r="D730" s="28"/>
      <c r="E730" s="28"/>
      <c r="F730" s="28"/>
      <c r="G730" s="28"/>
    </row>
    <row r="731" spans="1:7" x14ac:dyDescent="0.25">
      <c r="A731" s="28"/>
      <c r="B731" s="28"/>
      <c r="C731" s="28"/>
      <c r="D731" s="28"/>
      <c r="E731" s="28"/>
      <c r="F731" s="28"/>
      <c r="G731" s="28"/>
    </row>
    <row r="732" spans="1:7" x14ac:dyDescent="0.25">
      <c r="A732" s="28"/>
      <c r="B732" s="28"/>
      <c r="C732" s="28"/>
      <c r="D732" s="28"/>
      <c r="E732" s="28"/>
      <c r="F732" s="28"/>
      <c r="G732" s="28"/>
    </row>
    <row r="733" spans="1:7" x14ac:dyDescent="0.25">
      <c r="A733" s="28"/>
      <c r="B733" s="28"/>
      <c r="C733" s="28"/>
      <c r="D733" s="28"/>
      <c r="E733" s="28"/>
      <c r="F733" s="28"/>
      <c r="G733" s="28"/>
    </row>
    <row r="734" spans="1:7" x14ac:dyDescent="0.25">
      <c r="A734" s="28"/>
      <c r="B734" s="28"/>
      <c r="C734" s="28"/>
      <c r="D734" s="28"/>
      <c r="E734" s="28"/>
      <c r="F734" s="28"/>
      <c r="G734" s="28"/>
    </row>
    <row r="735" spans="1:7" x14ac:dyDescent="0.25">
      <c r="A735" s="28"/>
      <c r="B735" s="28"/>
      <c r="C735" s="28"/>
      <c r="D735" s="28"/>
      <c r="E735" s="28"/>
      <c r="F735" s="28"/>
      <c r="G735" s="28"/>
    </row>
    <row r="736" spans="1:7" x14ac:dyDescent="0.25">
      <c r="A736" s="28"/>
      <c r="B736" s="28"/>
      <c r="C736" s="28"/>
      <c r="D736" s="28"/>
      <c r="E736" s="28"/>
      <c r="F736" s="28"/>
      <c r="G736" s="28"/>
    </row>
    <row r="737" spans="1:7" x14ac:dyDescent="0.25">
      <c r="A737" s="28"/>
      <c r="B737" s="28"/>
      <c r="C737" s="28"/>
      <c r="D737" s="28"/>
      <c r="E737" s="28"/>
      <c r="F737" s="28"/>
      <c r="G737" s="28"/>
    </row>
    <row r="738" spans="1:7" x14ac:dyDescent="0.25">
      <c r="A738" s="28"/>
      <c r="B738" s="28"/>
      <c r="C738" s="28"/>
      <c r="D738" s="28"/>
      <c r="E738" s="28"/>
      <c r="F738" s="28"/>
      <c r="G738" s="28"/>
    </row>
    <row r="739" spans="1:7" x14ac:dyDescent="0.25">
      <c r="A739" s="28"/>
      <c r="B739" s="28"/>
      <c r="C739" s="28"/>
      <c r="D739" s="28"/>
      <c r="E739" s="28"/>
      <c r="F739" s="28"/>
      <c r="G739" s="28"/>
    </row>
    <row r="740" spans="1:7" x14ac:dyDescent="0.25">
      <c r="A740" s="28"/>
      <c r="B740" s="28"/>
      <c r="C740" s="28"/>
      <c r="D740" s="28"/>
      <c r="E740" s="28"/>
      <c r="F740" s="28"/>
      <c r="G740" s="28"/>
    </row>
    <row r="741" spans="1:7" x14ac:dyDescent="0.25">
      <c r="A741" s="28"/>
      <c r="B741" s="28"/>
      <c r="C741" s="28"/>
      <c r="D741" s="28"/>
      <c r="E741" s="28"/>
      <c r="F741" s="28"/>
      <c r="G741" s="28"/>
    </row>
    <row r="742" spans="1:7" x14ac:dyDescent="0.25">
      <c r="A742" s="28"/>
      <c r="B742" s="28"/>
      <c r="C742" s="28"/>
      <c r="D742" s="28"/>
      <c r="E742" s="28"/>
      <c r="F742" s="28"/>
      <c r="G742" s="28"/>
    </row>
    <row r="743" spans="1:7" x14ac:dyDescent="0.25">
      <c r="A743" s="28"/>
      <c r="B743" s="28"/>
      <c r="C743" s="28"/>
      <c r="D743" s="28"/>
      <c r="E743" s="28"/>
      <c r="F743" s="28"/>
      <c r="G743" s="28"/>
    </row>
    <row r="744" spans="1:7" x14ac:dyDescent="0.25">
      <c r="A744" s="28"/>
      <c r="B744" s="28"/>
      <c r="C744" s="28"/>
      <c r="D744" s="28"/>
      <c r="E744" s="28"/>
      <c r="F744" s="28"/>
      <c r="G744" s="28"/>
    </row>
    <row r="745" spans="1:7" x14ac:dyDescent="0.25">
      <c r="A745" s="28"/>
      <c r="B745" s="28"/>
      <c r="C745" s="28"/>
      <c r="D745" s="28"/>
      <c r="E745" s="28"/>
      <c r="F745" s="28"/>
      <c r="G745" s="28"/>
    </row>
    <row r="746" spans="1:7" x14ac:dyDescent="0.25">
      <c r="A746" s="28"/>
      <c r="B746" s="28"/>
      <c r="C746" s="28"/>
      <c r="D746" s="28"/>
      <c r="E746" s="28"/>
      <c r="F746" s="28"/>
      <c r="G746" s="28"/>
    </row>
    <row r="747" spans="1:7" x14ac:dyDescent="0.25">
      <c r="A747" s="28"/>
      <c r="B747" s="28"/>
      <c r="C747" s="28"/>
      <c r="D747" s="28"/>
      <c r="E747" s="28"/>
      <c r="F747" s="28"/>
      <c r="G747" s="28"/>
    </row>
    <row r="748" spans="1:7" x14ac:dyDescent="0.25">
      <c r="A748" s="28"/>
      <c r="B748" s="28"/>
      <c r="C748" s="28"/>
      <c r="D748" s="28"/>
      <c r="E748" s="28"/>
      <c r="F748" s="28"/>
      <c r="G748" s="28"/>
    </row>
    <row r="749" spans="1:7" x14ac:dyDescent="0.25">
      <c r="A749" s="28"/>
      <c r="B749" s="28"/>
      <c r="C749" s="28"/>
      <c r="D749" s="28"/>
      <c r="E749" s="28"/>
      <c r="F749" s="28"/>
      <c r="G749" s="28"/>
    </row>
    <row r="750" spans="1:7" x14ac:dyDescent="0.25">
      <c r="A750" s="28"/>
      <c r="B750" s="28"/>
      <c r="C750" s="28"/>
      <c r="D750" s="28"/>
      <c r="E750" s="28"/>
      <c r="F750" s="28"/>
      <c r="G750" s="28"/>
    </row>
    <row r="751" spans="1:7" x14ac:dyDescent="0.25">
      <c r="A751" s="28"/>
      <c r="B751" s="28"/>
      <c r="C751" s="28"/>
      <c r="D751" s="28"/>
      <c r="E751" s="28"/>
      <c r="F751" s="28"/>
      <c r="G751" s="28"/>
    </row>
    <row r="752" spans="1:7" x14ac:dyDescent="0.25">
      <c r="A752" s="28"/>
      <c r="B752" s="28"/>
      <c r="C752" s="28"/>
      <c r="D752" s="28"/>
      <c r="E752" s="28"/>
      <c r="F752" s="28"/>
      <c r="G752" s="28"/>
    </row>
    <row r="753" spans="1:7" x14ac:dyDescent="0.25">
      <c r="A753" s="28"/>
      <c r="B753" s="28"/>
      <c r="C753" s="28"/>
      <c r="D753" s="28"/>
      <c r="E753" s="28"/>
      <c r="F753" s="28"/>
      <c r="G753" s="28"/>
    </row>
    <row r="754" spans="1:7" x14ac:dyDescent="0.25">
      <c r="A754" s="28"/>
      <c r="B754" s="28"/>
      <c r="C754" s="28"/>
      <c r="D754" s="28"/>
      <c r="E754" s="28"/>
      <c r="F754" s="28"/>
      <c r="G754" s="28"/>
    </row>
    <row r="755" spans="1:7" x14ac:dyDescent="0.25">
      <c r="A755" s="28"/>
      <c r="B755" s="28"/>
      <c r="C755" s="28"/>
      <c r="D755" s="28"/>
      <c r="E755" s="28"/>
      <c r="F755" s="28"/>
      <c r="G755" s="28"/>
    </row>
    <row r="756" spans="1:7" x14ac:dyDescent="0.25">
      <c r="A756" s="28"/>
      <c r="B756" s="28"/>
      <c r="C756" s="28"/>
      <c r="D756" s="28"/>
      <c r="E756" s="28"/>
      <c r="F756" s="28"/>
      <c r="G756" s="28"/>
    </row>
    <row r="757" spans="1:7" x14ac:dyDescent="0.25">
      <c r="A757" s="28"/>
      <c r="B757" s="28"/>
      <c r="C757" s="28"/>
      <c r="D757" s="28"/>
      <c r="E757" s="28"/>
      <c r="F757" s="28"/>
      <c r="G757" s="28"/>
    </row>
    <row r="758" spans="1:7" x14ac:dyDescent="0.25">
      <c r="A758" s="28"/>
      <c r="B758" s="28"/>
      <c r="C758" s="28"/>
      <c r="D758" s="28"/>
      <c r="E758" s="28"/>
      <c r="F758" s="28"/>
      <c r="G758" s="28"/>
    </row>
    <row r="759" spans="1:7" x14ac:dyDescent="0.25">
      <c r="A759" s="28"/>
      <c r="B759" s="28"/>
      <c r="C759" s="28"/>
      <c r="D759" s="28"/>
      <c r="E759" s="28"/>
      <c r="F759" s="28"/>
      <c r="G759" s="28"/>
    </row>
    <row r="760" spans="1:7" x14ac:dyDescent="0.25">
      <c r="A760" s="28"/>
      <c r="B760" s="28"/>
      <c r="C760" s="28"/>
      <c r="D760" s="28"/>
      <c r="E760" s="28"/>
      <c r="F760" s="28"/>
      <c r="G760" s="28"/>
    </row>
    <row r="761" spans="1:7" x14ac:dyDescent="0.25">
      <c r="A761" s="28"/>
      <c r="B761" s="28"/>
      <c r="C761" s="28"/>
      <c r="D761" s="28"/>
      <c r="E761" s="28"/>
      <c r="F761" s="28"/>
      <c r="G761" s="28"/>
    </row>
    <row r="762" spans="1:7" x14ac:dyDescent="0.25">
      <c r="A762" s="28"/>
      <c r="B762" s="28"/>
      <c r="C762" s="28"/>
      <c r="D762" s="28"/>
      <c r="E762" s="28"/>
      <c r="F762" s="28"/>
      <c r="G762" s="28"/>
    </row>
    <row r="763" spans="1:7" x14ac:dyDescent="0.25">
      <c r="A763" s="28"/>
      <c r="B763" s="28"/>
      <c r="C763" s="28"/>
      <c r="D763" s="28"/>
      <c r="E763" s="28"/>
      <c r="F763" s="28"/>
      <c r="G763" s="28"/>
    </row>
    <row r="764" spans="1:7" x14ac:dyDescent="0.25">
      <c r="A764" s="28"/>
      <c r="B764" s="28"/>
      <c r="C764" s="28"/>
      <c r="D764" s="28"/>
      <c r="E764" s="28"/>
      <c r="F764" s="28"/>
      <c r="G764" s="28"/>
    </row>
    <row r="765" spans="1:7" x14ac:dyDescent="0.25">
      <c r="A765" s="28"/>
      <c r="B765" s="28"/>
      <c r="C765" s="28"/>
      <c r="D765" s="28"/>
      <c r="E765" s="28"/>
      <c r="F765" s="28"/>
      <c r="G765" s="28"/>
    </row>
    <row r="766" spans="1:7" x14ac:dyDescent="0.25">
      <c r="A766" s="28"/>
      <c r="B766" s="28"/>
      <c r="C766" s="28"/>
      <c r="D766" s="28"/>
      <c r="E766" s="28"/>
      <c r="F766" s="28"/>
      <c r="G766" s="28"/>
    </row>
    <row r="767" spans="1:7" x14ac:dyDescent="0.25">
      <c r="A767" s="28"/>
      <c r="B767" s="28"/>
      <c r="C767" s="28"/>
      <c r="D767" s="28"/>
      <c r="E767" s="28"/>
      <c r="F767" s="28"/>
      <c r="G767" s="28"/>
    </row>
    <row r="768" spans="1:7" x14ac:dyDescent="0.25">
      <c r="A768" s="28"/>
      <c r="B768" s="28"/>
      <c r="C768" s="28"/>
      <c r="D768" s="28"/>
      <c r="E768" s="28"/>
      <c r="F768" s="28"/>
      <c r="G768" s="28"/>
    </row>
    <row r="769" spans="1:7" x14ac:dyDescent="0.25">
      <c r="A769" s="28"/>
      <c r="B769" s="28"/>
      <c r="C769" s="28"/>
      <c r="D769" s="28"/>
      <c r="E769" s="28"/>
      <c r="F769" s="28"/>
      <c r="G769" s="28"/>
    </row>
    <row r="770" spans="1:7" x14ac:dyDescent="0.25">
      <c r="A770" s="28"/>
      <c r="B770" s="28"/>
      <c r="C770" s="28"/>
      <c r="D770" s="28"/>
      <c r="E770" s="28"/>
      <c r="F770" s="28"/>
      <c r="G770" s="28"/>
    </row>
    <row r="771" spans="1:7" x14ac:dyDescent="0.25">
      <c r="A771" s="28"/>
      <c r="B771" s="28"/>
      <c r="C771" s="28"/>
      <c r="D771" s="28"/>
      <c r="E771" s="28"/>
      <c r="F771" s="28"/>
      <c r="G771" s="28"/>
    </row>
    <row r="772" spans="1:7" x14ac:dyDescent="0.25">
      <c r="A772" s="28"/>
      <c r="B772" s="28"/>
      <c r="C772" s="28"/>
      <c r="D772" s="28"/>
      <c r="E772" s="28"/>
      <c r="F772" s="28"/>
      <c r="G772" s="28"/>
    </row>
    <row r="773" spans="1:7" x14ac:dyDescent="0.25">
      <c r="A773" s="28"/>
      <c r="B773" s="28"/>
      <c r="C773" s="28"/>
      <c r="D773" s="28"/>
      <c r="E773" s="28"/>
      <c r="F773" s="28"/>
      <c r="G773" s="28"/>
    </row>
    <row r="774" spans="1:7" x14ac:dyDescent="0.25">
      <c r="A774" s="28"/>
      <c r="B774" s="28"/>
      <c r="C774" s="28"/>
      <c r="D774" s="28"/>
      <c r="E774" s="28"/>
      <c r="F774" s="28"/>
      <c r="G774" s="28"/>
    </row>
    <row r="775" spans="1:7" x14ac:dyDescent="0.25">
      <c r="A775" s="28"/>
      <c r="B775" s="28"/>
      <c r="C775" s="28"/>
      <c r="D775" s="28"/>
      <c r="E775" s="28"/>
      <c r="F775" s="28"/>
      <c r="G775" s="28"/>
    </row>
    <row r="776" spans="1:7" x14ac:dyDescent="0.25">
      <c r="A776" s="28"/>
      <c r="B776" s="28"/>
      <c r="C776" s="28"/>
      <c r="D776" s="28"/>
      <c r="E776" s="28"/>
      <c r="F776" s="28"/>
      <c r="G776" s="28"/>
    </row>
    <row r="777" spans="1:7" x14ac:dyDescent="0.25">
      <c r="A777" s="28"/>
      <c r="B777" s="28"/>
      <c r="C777" s="28"/>
      <c r="D777" s="28"/>
      <c r="E777" s="28"/>
      <c r="F777" s="28"/>
      <c r="G777" s="28"/>
    </row>
    <row r="778" spans="1:7" x14ac:dyDescent="0.25">
      <c r="A778" s="28"/>
      <c r="B778" s="28"/>
      <c r="C778" s="28"/>
      <c r="D778" s="28"/>
      <c r="E778" s="28"/>
      <c r="F778" s="28"/>
      <c r="G778" s="28"/>
    </row>
    <row r="779" spans="1:7" x14ac:dyDescent="0.25">
      <c r="A779" s="28"/>
      <c r="B779" s="28"/>
      <c r="C779" s="28"/>
      <c r="D779" s="28"/>
      <c r="E779" s="28"/>
      <c r="F779" s="28"/>
      <c r="G779" s="28"/>
    </row>
    <row r="780" spans="1:7" x14ac:dyDescent="0.25">
      <c r="A780" s="28"/>
      <c r="B780" s="28"/>
      <c r="C780" s="28"/>
      <c r="D780" s="28"/>
      <c r="E780" s="28"/>
      <c r="F780" s="28"/>
      <c r="G780" s="28"/>
    </row>
    <row r="781" spans="1:7" x14ac:dyDescent="0.25">
      <c r="A781" s="28"/>
      <c r="B781" s="28"/>
      <c r="C781" s="28"/>
      <c r="D781" s="28"/>
      <c r="E781" s="28"/>
      <c r="F781" s="28"/>
      <c r="G781" s="28"/>
    </row>
    <row r="782" spans="1:7" x14ac:dyDescent="0.25">
      <c r="A782" s="28"/>
      <c r="B782" s="28"/>
      <c r="C782" s="28"/>
      <c r="D782" s="28"/>
      <c r="E782" s="28"/>
      <c r="F782" s="28"/>
      <c r="G782" s="28"/>
    </row>
    <row r="783" spans="1:7" x14ac:dyDescent="0.25">
      <c r="A783" s="28"/>
      <c r="B783" s="28"/>
      <c r="C783" s="28"/>
      <c r="D783" s="28"/>
      <c r="E783" s="28"/>
      <c r="F783" s="28"/>
      <c r="G783" s="28"/>
    </row>
    <row r="784" spans="1:7" x14ac:dyDescent="0.25">
      <c r="A784" s="28"/>
      <c r="B784" s="28"/>
      <c r="C784" s="28"/>
      <c r="D784" s="28"/>
      <c r="E784" s="28"/>
      <c r="F784" s="28"/>
      <c r="G784" s="28"/>
    </row>
    <row r="785" spans="1:7" x14ac:dyDescent="0.25">
      <c r="A785" s="28"/>
      <c r="B785" s="28"/>
      <c r="C785" s="28"/>
      <c r="D785" s="28"/>
      <c r="E785" s="28"/>
      <c r="F785" s="28"/>
      <c r="G785" s="28"/>
    </row>
    <row r="786" spans="1:7" x14ac:dyDescent="0.25">
      <c r="A786" s="28"/>
      <c r="B786" s="28"/>
      <c r="C786" s="28"/>
      <c r="D786" s="28"/>
      <c r="E786" s="28"/>
      <c r="F786" s="28"/>
      <c r="G786" s="28"/>
    </row>
    <row r="787" spans="1:7" x14ac:dyDescent="0.25">
      <c r="A787" s="28"/>
      <c r="B787" s="28"/>
      <c r="C787" s="28"/>
      <c r="D787" s="28"/>
      <c r="E787" s="28"/>
      <c r="F787" s="28"/>
      <c r="G787" s="28"/>
    </row>
    <row r="788" spans="1:7" x14ac:dyDescent="0.25">
      <c r="A788" s="28"/>
      <c r="B788" s="28"/>
      <c r="C788" s="28"/>
      <c r="D788" s="28"/>
      <c r="E788" s="28"/>
      <c r="F788" s="28"/>
      <c r="G788" s="28"/>
    </row>
    <row r="789" spans="1:7" x14ac:dyDescent="0.25">
      <c r="A789" s="28"/>
      <c r="B789" s="28"/>
      <c r="C789" s="28"/>
      <c r="D789" s="28"/>
      <c r="E789" s="28"/>
      <c r="F789" s="28"/>
      <c r="G789" s="28"/>
    </row>
    <row r="790" spans="1:7" x14ac:dyDescent="0.25">
      <c r="A790" s="28"/>
      <c r="B790" s="28"/>
      <c r="C790" s="28"/>
      <c r="D790" s="28"/>
      <c r="E790" s="28"/>
      <c r="F790" s="28"/>
      <c r="G790" s="28"/>
    </row>
    <row r="791" spans="1:7" x14ac:dyDescent="0.25">
      <c r="A791" s="28"/>
      <c r="B791" s="28"/>
      <c r="C791" s="28"/>
      <c r="D791" s="28"/>
      <c r="E791" s="28"/>
      <c r="F791" s="28"/>
      <c r="G791" s="28"/>
    </row>
    <row r="792" spans="1:7" x14ac:dyDescent="0.25">
      <c r="A792" s="28"/>
      <c r="B792" s="28"/>
      <c r="C792" s="28"/>
      <c r="D792" s="28"/>
      <c r="E792" s="28"/>
      <c r="F792" s="28"/>
      <c r="G792" s="28"/>
    </row>
    <row r="793" spans="1:7" x14ac:dyDescent="0.25">
      <c r="A793" s="28"/>
      <c r="B793" s="28"/>
      <c r="C793" s="28"/>
      <c r="D793" s="28"/>
      <c r="E793" s="28"/>
      <c r="F793" s="28"/>
      <c r="G793" s="28"/>
    </row>
    <row r="794" spans="1:7" x14ac:dyDescent="0.25">
      <c r="A794" s="28"/>
      <c r="B794" s="28"/>
      <c r="C794" s="28"/>
      <c r="D794" s="28"/>
      <c r="E794" s="28"/>
      <c r="F794" s="28"/>
      <c r="G794" s="28"/>
    </row>
    <row r="795" spans="1:7" x14ac:dyDescent="0.25">
      <c r="A795" s="28"/>
      <c r="B795" s="28"/>
      <c r="C795" s="28"/>
      <c r="D795" s="28"/>
      <c r="E795" s="28"/>
      <c r="F795" s="28"/>
      <c r="G795" s="28"/>
    </row>
    <row r="796" spans="1:7" x14ac:dyDescent="0.25">
      <c r="A796" s="28"/>
      <c r="B796" s="28"/>
      <c r="C796" s="28"/>
      <c r="D796" s="28"/>
      <c r="E796" s="28"/>
      <c r="F796" s="28"/>
      <c r="G796" s="28"/>
    </row>
    <row r="797" spans="1:7" x14ac:dyDescent="0.25">
      <c r="A797" s="28"/>
      <c r="B797" s="28"/>
      <c r="C797" s="28"/>
      <c r="D797" s="28"/>
      <c r="E797" s="28"/>
      <c r="F797" s="28"/>
      <c r="G797" s="28"/>
    </row>
    <row r="798" spans="1:7" x14ac:dyDescent="0.25">
      <c r="A798" s="28"/>
      <c r="B798" s="28"/>
      <c r="C798" s="28"/>
      <c r="D798" s="28"/>
      <c r="E798" s="28"/>
      <c r="F798" s="28"/>
      <c r="G798" s="28"/>
    </row>
    <row r="799" spans="1:7" x14ac:dyDescent="0.25">
      <c r="A799" s="28"/>
      <c r="B799" s="28"/>
      <c r="C799" s="28"/>
      <c r="D799" s="28"/>
      <c r="E799" s="28"/>
      <c r="F799" s="28"/>
      <c r="G799" s="28"/>
    </row>
    <row r="800" spans="1:7" x14ac:dyDescent="0.25">
      <c r="A800" s="28"/>
      <c r="B800" s="28"/>
      <c r="C800" s="28"/>
      <c r="D800" s="28"/>
      <c r="E800" s="28"/>
      <c r="F800" s="28"/>
      <c r="G800" s="28"/>
    </row>
    <row r="801" spans="1:7" x14ac:dyDescent="0.25">
      <c r="A801" s="28"/>
      <c r="B801" s="28"/>
      <c r="C801" s="28"/>
      <c r="D801" s="28"/>
      <c r="E801" s="28"/>
      <c r="F801" s="28"/>
      <c r="G801" s="28"/>
    </row>
    <row r="802" spans="1:7" x14ac:dyDescent="0.25">
      <c r="A802" s="28"/>
      <c r="B802" s="28"/>
      <c r="C802" s="28"/>
      <c r="D802" s="28"/>
      <c r="E802" s="28"/>
      <c r="F802" s="28"/>
      <c r="G802" s="28"/>
    </row>
    <row r="803" spans="1:7" x14ac:dyDescent="0.25">
      <c r="A803" s="28"/>
      <c r="B803" s="28"/>
      <c r="C803" s="28"/>
      <c r="D803" s="28"/>
      <c r="E803" s="28"/>
      <c r="F803" s="28"/>
      <c r="G803" s="28"/>
    </row>
    <row r="804" spans="1:7" x14ac:dyDescent="0.25">
      <c r="A804" s="28"/>
      <c r="B804" s="28"/>
      <c r="C804" s="28"/>
      <c r="D804" s="28"/>
      <c r="E804" s="28"/>
      <c r="F804" s="28"/>
      <c r="G804" s="28"/>
    </row>
    <row r="805" spans="1:7" x14ac:dyDescent="0.25">
      <c r="A805" s="28"/>
      <c r="B805" s="28"/>
      <c r="C805" s="28"/>
      <c r="D805" s="28"/>
      <c r="E805" s="28"/>
      <c r="F805" s="28"/>
      <c r="G805" s="28"/>
    </row>
    <row r="806" spans="1:7" x14ac:dyDescent="0.25">
      <c r="A806" s="28"/>
      <c r="B806" s="28"/>
      <c r="C806" s="28"/>
      <c r="D806" s="28"/>
      <c r="E806" s="28"/>
      <c r="F806" s="28"/>
      <c r="G806" s="28"/>
    </row>
    <row r="807" spans="1:7" x14ac:dyDescent="0.25">
      <c r="A807" s="28"/>
      <c r="B807" s="28"/>
      <c r="C807" s="28"/>
      <c r="D807" s="28"/>
      <c r="E807" s="28"/>
      <c r="F807" s="28"/>
      <c r="G807" s="28"/>
    </row>
    <row r="808" spans="1:7" x14ac:dyDescent="0.25">
      <c r="A808" s="28"/>
      <c r="B808" s="28"/>
      <c r="C808" s="28"/>
      <c r="D808" s="28"/>
      <c r="E808" s="28"/>
      <c r="F808" s="28"/>
      <c r="G808" s="28"/>
    </row>
    <row r="809" spans="1:7" x14ac:dyDescent="0.25">
      <c r="A809" s="28"/>
      <c r="B809" s="28"/>
      <c r="C809" s="28"/>
      <c r="D809" s="28"/>
      <c r="E809" s="28"/>
      <c r="F809" s="28"/>
      <c r="G809" s="28"/>
    </row>
    <row r="810" spans="1:7" x14ac:dyDescent="0.25">
      <c r="A810" s="28"/>
      <c r="B810" s="28"/>
      <c r="C810" s="28"/>
      <c r="D810" s="28"/>
      <c r="E810" s="28"/>
      <c r="F810" s="28"/>
      <c r="G810" s="28"/>
    </row>
    <row r="811" spans="1:7" x14ac:dyDescent="0.25">
      <c r="A811" s="28"/>
      <c r="B811" s="28"/>
      <c r="C811" s="28"/>
      <c r="D811" s="28"/>
      <c r="E811" s="28"/>
      <c r="F811" s="28"/>
      <c r="G811" s="28"/>
    </row>
    <row r="812" spans="1:7" x14ac:dyDescent="0.25">
      <c r="A812" s="28"/>
      <c r="B812" s="28"/>
      <c r="C812" s="28"/>
      <c r="D812" s="28"/>
      <c r="E812" s="28"/>
      <c r="F812" s="28"/>
      <c r="G812" s="28"/>
    </row>
    <row r="813" spans="1:7" x14ac:dyDescent="0.25">
      <c r="A813" s="28"/>
      <c r="B813" s="28"/>
      <c r="C813" s="28"/>
      <c r="D813" s="28"/>
      <c r="E813" s="28"/>
      <c r="F813" s="28"/>
      <c r="G813" s="28"/>
    </row>
    <row r="814" spans="1:7" x14ac:dyDescent="0.25">
      <c r="A814" s="28"/>
      <c r="B814" s="28"/>
      <c r="C814" s="28"/>
      <c r="D814" s="28"/>
      <c r="E814" s="28"/>
      <c r="F814" s="28"/>
      <c r="G814" s="28"/>
    </row>
    <row r="815" spans="1:7" x14ac:dyDescent="0.25">
      <c r="A815" s="28"/>
      <c r="B815" s="28"/>
      <c r="C815" s="28"/>
      <c r="D815" s="28"/>
      <c r="E815" s="28"/>
      <c r="F815" s="28"/>
      <c r="G815" s="28"/>
    </row>
    <row r="816" spans="1:7" x14ac:dyDescent="0.25">
      <c r="A816" s="28"/>
      <c r="B816" s="28"/>
      <c r="C816" s="28"/>
      <c r="D816" s="28"/>
      <c r="E816" s="28"/>
      <c r="F816" s="28"/>
      <c r="G816" s="28"/>
    </row>
    <row r="817" spans="1:7" x14ac:dyDescent="0.25">
      <c r="A817" s="28"/>
      <c r="B817" s="28"/>
      <c r="C817" s="28"/>
      <c r="D817" s="28"/>
      <c r="E817" s="28"/>
      <c r="F817" s="28"/>
      <c r="G817" s="28"/>
    </row>
    <row r="818" spans="1:7" x14ac:dyDescent="0.25">
      <c r="A818" s="28"/>
      <c r="B818" s="28"/>
      <c r="C818" s="28"/>
      <c r="D818" s="28"/>
      <c r="E818" s="28"/>
      <c r="F818" s="28"/>
      <c r="G818" s="28"/>
    </row>
    <row r="819" spans="1:7" x14ac:dyDescent="0.25">
      <c r="A819" s="28"/>
      <c r="B819" s="28"/>
      <c r="C819" s="28"/>
      <c r="D819" s="28"/>
      <c r="E819" s="28"/>
      <c r="F819" s="28"/>
      <c r="G819" s="28"/>
    </row>
    <row r="820" spans="1:7" x14ac:dyDescent="0.25">
      <c r="A820" s="28"/>
      <c r="B820" s="28"/>
      <c r="C820" s="28"/>
      <c r="D820" s="28"/>
      <c r="E820" s="28"/>
      <c r="F820" s="28"/>
      <c r="G820" s="28"/>
    </row>
    <row r="821" spans="1:7" x14ac:dyDescent="0.25">
      <c r="A821" s="28"/>
      <c r="B821" s="28"/>
      <c r="C821" s="28"/>
      <c r="D821" s="28"/>
      <c r="E821" s="28"/>
      <c r="F821" s="28"/>
      <c r="G821" s="28"/>
    </row>
    <row r="822" spans="1:7" x14ac:dyDescent="0.25">
      <c r="A822" s="28"/>
      <c r="B822" s="28"/>
      <c r="C822" s="28"/>
      <c r="D822" s="28"/>
      <c r="E822" s="28"/>
      <c r="F822" s="28"/>
      <c r="G822" s="28"/>
    </row>
    <row r="823" spans="1:7" x14ac:dyDescent="0.25">
      <c r="A823" s="28"/>
      <c r="B823" s="28"/>
      <c r="C823" s="28"/>
      <c r="D823" s="28"/>
      <c r="E823" s="28"/>
      <c r="F823" s="28"/>
      <c r="G823" s="28"/>
    </row>
    <row r="824" spans="1:7" x14ac:dyDescent="0.25">
      <c r="A824" s="28"/>
      <c r="B824" s="28"/>
      <c r="C824" s="28"/>
      <c r="D824" s="28"/>
      <c r="E824" s="28"/>
      <c r="F824" s="28"/>
      <c r="G824" s="28"/>
    </row>
    <row r="825" spans="1:7" x14ac:dyDescent="0.25">
      <c r="A825" s="28"/>
      <c r="B825" s="28"/>
      <c r="C825" s="28"/>
      <c r="D825" s="28"/>
      <c r="E825" s="28"/>
      <c r="F825" s="28"/>
      <c r="G825" s="28"/>
    </row>
    <row r="826" spans="1:7" x14ac:dyDescent="0.25">
      <c r="A826" s="28"/>
      <c r="B826" s="28"/>
      <c r="C826" s="28"/>
      <c r="D826" s="28"/>
      <c r="E826" s="28"/>
      <c r="F826" s="28"/>
      <c r="G826" s="28"/>
    </row>
    <row r="827" spans="1:7" x14ac:dyDescent="0.25">
      <c r="A827" s="28"/>
      <c r="B827" s="28"/>
      <c r="C827" s="28"/>
      <c r="D827" s="28"/>
      <c r="E827" s="28"/>
      <c r="F827" s="28"/>
      <c r="G827" s="28"/>
    </row>
    <row r="828" spans="1:7" x14ac:dyDescent="0.25">
      <c r="A828" s="28"/>
      <c r="B828" s="28"/>
      <c r="C828" s="28"/>
      <c r="D828" s="28"/>
      <c r="E828" s="28"/>
      <c r="F828" s="28"/>
      <c r="G828" s="28"/>
    </row>
    <row r="829" spans="1:7" x14ac:dyDescent="0.25">
      <c r="A829" s="28"/>
      <c r="B829" s="28"/>
      <c r="C829" s="28"/>
      <c r="D829" s="28"/>
      <c r="E829" s="28"/>
      <c r="F829" s="28"/>
      <c r="G829" s="28"/>
    </row>
    <row r="830" spans="1:7" x14ac:dyDescent="0.25">
      <c r="A830" s="28"/>
      <c r="B830" s="28"/>
      <c r="C830" s="28"/>
      <c r="D830" s="28"/>
      <c r="E830" s="28"/>
      <c r="F830" s="28"/>
      <c r="G830" s="28"/>
    </row>
    <row r="831" spans="1:7" x14ac:dyDescent="0.25">
      <c r="A831" s="28"/>
      <c r="B831" s="28"/>
      <c r="C831" s="28"/>
      <c r="D831" s="28"/>
      <c r="E831" s="28"/>
      <c r="F831" s="28"/>
      <c r="G831" s="28"/>
    </row>
    <row r="832" spans="1:7" x14ac:dyDescent="0.25">
      <c r="A832" s="28"/>
      <c r="B832" s="28"/>
      <c r="C832" s="28"/>
      <c r="D832" s="28"/>
      <c r="E832" s="28"/>
      <c r="F832" s="28"/>
      <c r="G832" s="28"/>
    </row>
    <row r="833" spans="1:7" x14ac:dyDescent="0.25">
      <c r="A833" s="28"/>
      <c r="B833" s="28"/>
      <c r="C833" s="28"/>
      <c r="D833" s="28"/>
      <c r="E833" s="28"/>
      <c r="F833" s="28"/>
      <c r="G833" s="28"/>
    </row>
    <row r="834" spans="1:7" x14ac:dyDescent="0.25">
      <c r="A834" s="28"/>
      <c r="B834" s="28"/>
      <c r="C834" s="28"/>
      <c r="D834" s="28"/>
      <c r="E834" s="28"/>
      <c r="F834" s="28"/>
      <c r="G834" s="28"/>
    </row>
    <row r="835" spans="1:7" x14ac:dyDescent="0.25">
      <c r="A835" s="28"/>
      <c r="B835" s="28"/>
      <c r="C835" s="28"/>
      <c r="D835" s="28"/>
      <c r="E835" s="28"/>
      <c r="F835" s="28"/>
      <c r="G835" s="28"/>
    </row>
    <row r="836" spans="1:7" x14ac:dyDescent="0.25">
      <c r="A836" s="28"/>
      <c r="B836" s="28"/>
      <c r="C836" s="28"/>
      <c r="D836" s="28"/>
      <c r="E836" s="28"/>
      <c r="F836" s="28"/>
      <c r="G836" s="28"/>
    </row>
    <row r="837" spans="1:7" x14ac:dyDescent="0.25">
      <c r="A837" s="28"/>
      <c r="B837" s="28"/>
      <c r="C837" s="28"/>
      <c r="D837" s="28"/>
      <c r="E837" s="28"/>
      <c r="F837" s="28"/>
      <c r="G837" s="28"/>
    </row>
    <row r="838" spans="1:7" x14ac:dyDescent="0.25">
      <c r="A838" s="28"/>
      <c r="B838" s="28"/>
      <c r="C838" s="28"/>
      <c r="D838" s="28"/>
      <c r="E838" s="28"/>
      <c r="F838" s="28"/>
      <c r="G838" s="28"/>
    </row>
    <row r="839" spans="1:7" x14ac:dyDescent="0.25">
      <c r="A839" s="28"/>
      <c r="B839" s="28"/>
      <c r="C839" s="28"/>
      <c r="D839" s="28"/>
      <c r="E839" s="28"/>
      <c r="F839" s="28"/>
      <c r="G839" s="28"/>
    </row>
    <row r="840" spans="1:7" x14ac:dyDescent="0.25">
      <c r="A840" s="28"/>
      <c r="B840" s="28"/>
      <c r="C840" s="28"/>
      <c r="D840" s="28"/>
      <c r="E840" s="28"/>
      <c r="F840" s="28"/>
      <c r="G840" s="28"/>
    </row>
    <row r="841" spans="1:7" x14ac:dyDescent="0.25">
      <c r="A841" s="28"/>
      <c r="B841" s="28"/>
      <c r="C841" s="28"/>
      <c r="D841" s="28"/>
      <c r="E841" s="28"/>
      <c r="F841" s="28"/>
      <c r="G841" s="28"/>
    </row>
    <row r="842" spans="1:7" x14ac:dyDescent="0.25">
      <c r="A842" s="28"/>
      <c r="B842" s="28"/>
      <c r="C842" s="28"/>
      <c r="D842" s="28"/>
      <c r="E842" s="28"/>
      <c r="F842" s="28"/>
      <c r="G842" s="28"/>
    </row>
    <row r="843" spans="1:7" x14ac:dyDescent="0.25">
      <c r="A843" s="28"/>
      <c r="B843" s="28"/>
      <c r="C843" s="28"/>
      <c r="D843" s="28"/>
      <c r="E843" s="28"/>
      <c r="F843" s="28"/>
      <c r="G843" s="28"/>
    </row>
    <row r="844" spans="1:7" x14ac:dyDescent="0.25">
      <c r="A844" s="28"/>
      <c r="B844" s="28"/>
      <c r="C844" s="28"/>
      <c r="D844" s="28"/>
      <c r="E844" s="28"/>
      <c r="F844" s="28"/>
      <c r="G844" s="28"/>
    </row>
    <row r="845" spans="1:7" x14ac:dyDescent="0.25">
      <c r="A845" s="28"/>
      <c r="B845" s="28"/>
      <c r="C845" s="28"/>
      <c r="D845" s="28"/>
      <c r="E845" s="28"/>
      <c r="F845" s="28"/>
      <c r="G845" s="28"/>
    </row>
    <row r="846" spans="1:7" x14ac:dyDescent="0.25">
      <c r="A846" s="28"/>
      <c r="B846" s="28"/>
      <c r="C846" s="28"/>
      <c r="D846" s="28"/>
      <c r="E846" s="28"/>
      <c r="F846" s="28"/>
      <c r="G846" s="28"/>
    </row>
    <row r="847" spans="1:7" x14ac:dyDescent="0.25">
      <c r="A847" s="28"/>
      <c r="B847" s="28"/>
      <c r="C847" s="28"/>
      <c r="D847" s="28"/>
      <c r="E847" s="28"/>
      <c r="F847" s="28"/>
      <c r="G847" s="28"/>
    </row>
    <row r="848" spans="1:7" x14ac:dyDescent="0.25">
      <c r="A848" s="28"/>
      <c r="B848" s="28"/>
      <c r="C848" s="28"/>
      <c r="D848" s="28"/>
      <c r="E848" s="28"/>
      <c r="F848" s="28"/>
      <c r="G848" s="28"/>
    </row>
    <row r="849" spans="1:7" x14ac:dyDescent="0.25">
      <c r="A849" s="28"/>
      <c r="B849" s="28"/>
      <c r="C849" s="28"/>
      <c r="D849" s="28"/>
      <c r="E849" s="28"/>
      <c r="F849" s="28"/>
      <c r="G849" s="28"/>
    </row>
    <row r="850" spans="1:7" x14ac:dyDescent="0.25">
      <c r="A850" s="28"/>
      <c r="B850" s="28"/>
      <c r="C850" s="28"/>
      <c r="D850" s="28"/>
      <c r="E850" s="28"/>
      <c r="F850" s="28"/>
      <c r="G850" s="28"/>
    </row>
    <row r="851" spans="1:7" x14ac:dyDescent="0.25">
      <c r="A851" s="28"/>
      <c r="B851" s="28"/>
      <c r="C851" s="28"/>
      <c r="D851" s="28"/>
      <c r="E851" s="28"/>
      <c r="F851" s="28"/>
      <c r="G851" s="28"/>
    </row>
    <row r="852" spans="1:7" x14ac:dyDescent="0.25">
      <c r="A852" s="28"/>
      <c r="B852" s="28"/>
      <c r="C852" s="28"/>
      <c r="D852" s="28"/>
      <c r="E852" s="28"/>
      <c r="F852" s="28"/>
      <c r="G852" s="28"/>
    </row>
    <row r="853" spans="1:7" x14ac:dyDescent="0.25">
      <c r="A853" s="28"/>
      <c r="B853" s="28"/>
      <c r="C853" s="28"/>
      <c r="D853" s="28"/>
      <c r="E853" s="28"/>
      <c r="F853" s="28"/>
      <c r="G853" s="28"/>
    </row>
    <row r="854" spans="1:7" x14ac:dyDescent="0.25">
      <c r="A854" s="28"/>
      <c r="B854" s="28"/>
      <c r="C854" s="28"/>
      <c r="D854" s="28"/>
      <c r="E854" s="28"/>
      <c r="F854" s="28"/>
      <c r="G854" s="28"/>
    </row>
    <row r="855" spans="1:7" x14ac:dyDescent="0.25">
      <c r="A855" s="28"/>
      <c r="B855" s="28"/>
      <c r="C855" s="28"/>
      <c r="D855" s="28"/>
      <c r="E855" s="28"/>
      <c r="F855" s="28"/>
      <c r="G855" s="28"/>
    </row>
    <row r="856" spans="1:7" x14ac:dyDescent="0.25">
      <c r="A856" s="28"/>
      <c r="B856" s="28"/>
      <c r="C856" s="28"/>
      <c r="D856" s="28"/>
      <c r="E856" s="28"/>
      <c r="F856" s="28"/>
      <c r="G856" s="28"/>
    </row>
    <row r="857" spans="1:7" x14ac:dyDescent="0.25">
      <c r="A857" s="28"/>
      <c r="B857" s="28"/>
      <c r="C857" s="28"/>
      <c r="D857" s="28"/>
      <c r="E857" s="28"/>
      <c r="F857" s="28"/>
      <c r="G857" s="28"/>
    </row>
    <row r="858" spans="1:7" x14ac:dyDescent="0.25">
      <c r="A858" s="28"/>
      <c r="B858" s="28"/>
      <c r="C858" s="28"/>
      <c r="D858" s="28"/>
      <c r="E858" s="28"/>
      <c r="F858" s="28"/>
      <c r="G858" s="28"/>
    </row>
    <row r="859" spans="1:7" x14ac:dyDescent="0.25">
      <c r="A859" s="28"/>
      <c r="B859" s="28"/>
      <c r="C859" s="28"/>
      <c r="D859" s="28"/>
      <c r="E859" s="28"/>
      <c r="F859" s="28"/>
      <c r="G859" s="28"/>
    </row>
    <row r="860" spans="1:7" x14ac:dyDescent="0.25">
      <c r="A860" s="28"/>
      <c r="B860" s="28"/>
      <c r="C860" s="28"/>
      <c r="D860" s="28"/>
      <c r="E860" s="28"/>
      <c r="F860" s="28"/>
      <c r="G860" s="28"/>
    </row>
    <row r="861" spans="1:7" x14ac:dyDescent="0.25">
      <c r="A861" s="28"/>
      <c r="B861" s="28"/>
      <c r="C861" s="28"/>
      <c r="D861" s="28"/>
      <c r="E861" s="28"/>
      <c r="F861" s="28"/>
      <c r="G861" s="28"/>
    </row>
    <row r="862" spans="1:7" x14ac:dyDescent="0.25">
      <c r="A862" s="28"/>
      <c r="B862" s="28"/>
      <c r="C862" s="28"/>
      <c r="D862" s="28"/>
      <c r="E862" s="28"/>
      <c r="F862" s="28"/>
      <c r="G862" s="28"/>
    </row>
    <row r="863" spans="1:7" x14ac:dyDescent="0.25">
      <c r="A863" s="28"/>
      <c r="B863" s="28"/>
      <c r="C863" s="28"/>
      <c r="D863" s="28"/>
      <c r="E863" s="28"/>
      <c r="F863" s="28"/>
      <c r="G863" s="28"/>
    </row>
    <row r="864" spans="1:7" x14ac:dyDescent="0.25">
      <c r="A864" s="28"/>
      <c r="B864" s="28"/>
      <c r="C864" s="28"/>
      <c r="D864" s="28"/>
      <c r="E864" s="28"/>
      <c r="F864" s="28"/>
      <c r="G864" s="28"/>
    </row>
    <row r="865" spans="1:7" x14ac:dyDescent="0.25">
      <c r="A865" s="28"/>
      <c r="B865" s="28"/>
      <c r="C865" s="28"/>
      <c r="D865" s="28"/>
      <c r="E865" s="28"/>
      <c r="F865" s="28"/>
      <c r="G865" s="28"/>
    </row>
    <row r="866" spans="1:7" x14ac:dyDescent="0.25">
      <c r="A866" s="28"/>
      <c r="B866" s="28"/>
      <c r="C866" s="28"/>
      <c r="D866" s="28"/>
      <c r="E866" s="28"/>
      <c r="F866" s="28"/>
      <c r="G866" s="28"/>
    </row>
    <row r="867" spans="1:7" x14ac:dyDescent="0.25">
      <c r="A867" s="28"/>
      <c r="B867" s="28"/>
      <c r="C867" s="28"/>
      <c r="D867" s="28"/>
      <c r="E867" s="28"/>
      <c r="F867" s="28"/>
      <c r="G867" s="28"/>
    </row>
    <row r="868" spans="1:7" x14ac:dyDescent="0.25">
      <c r="A868" s="28"/>
      <c r="B868" s="28"/>
      <c r="C868" s="28"/>
      <c r="D868" s="28"/>
      <c r="E868" s="28"/>
      <c r="F868" s="28"/>
      <c r="G868" s="28"/>
    </row>
    <row r="869" spans="1:7" x14ac:dyDescent="0.25">
      <c r="A869" s="28"/>
      <c r="B869" s="28"/>
      <c r="C869" s="28"/>
      <c r="D869" s="28"/>
      <c r="E869" s="28"/>
      <c r="F869" s="28"/>
      <c r="G869" s="28"/>
    </row>
    <row r="870" spans="1:7" x14ac:dyDescent="0.25">
      <c r="A870" s="28"/>
      <c r="B870" s="28"/>
      <c r="C870" s="28"/>
      <c r="D870" s="28"/>
      <c r="E870" s="28"/>
      <c r="F870" s="28"/>
      <c r="G870" s="28"/>
    </row>
    <row r="871" spans="1:7" x14ac:dyDescent="0.25">
      <c r="A871" s="28"/>
      <c r="B871" s="28"/>
      <c r="C871" s="28"/>
      <c r="D871" s="28"/>
      <c r="E871" s="28"/>
      <c r="F871" s="28"/>
      <c r="G871" s="28"/>
    </row>
    <row r="872" spans="1:7" x14ac:dyDescent="0.25">
      <c r="A872" s="28"/>
      <c r="B872" s="28"/>
      <c r="C872" s="28"/>
      <c r="D872" s="28"/>
      <c r="E872" s="28"/>
      <c r="F872" s="28"/>
      <c r="G872" s="28"/>
    </row>
    <row r="873" spans="1:7" x14ac:dyDescent="0.25">
      <c r="A873" s="28"/>
      <c r="B873" s="28"/>
      <c r="C873" s="28"/>
      <c r="D873" s="28"/>
      <c r="E873" s="28"/>
      <c r="F873" s="28"/>
      <c r="G873" s="28"/>
    </row>
    <row r="874" spans="1:7" x14ac:dyDescent="0.25">
      <c r="A874" s="28"/>
      <c r="B874" s="28"/>
      <c r="C874" s="28"/>
      <c r="D874" s="28"/>
      <c r="E874" s="28"/>
      <c r="F874" s="28"/>
      <c r="G874" s="28"/>
    </row>
    <row r="875" spans="1:7" x14ac:dyDescent="0.25">
      <c r="A875" s="28"/>
      <c r="B875" s="28"/>
      <c r="C875" s="28"/>
      <c r="D875" s="28"/>
      <c r="E875" s="28"/>
      <c r="F875" s="28"/>
      <c r="G875" s="28"/>
    </row>
    <row r="876" spans="1:7" x14ac:dyDescent="0.25">
      <c r="A876" s="28"/>
      <c r="B876" s="28"/>
      <c r="C876" s="28"/>
      <c r="D876" s="28"/>
      <c r="E876" s="28"/>
      <c r="F876" s="28"/>
      <c r="G876" s="28"/>
    </row>
    <row r="877" spans="1:7" x14ac:dyDescent="0.25">
      <c r="A877" s="28"/>
      <c r="B877" s="28"/>
      <c r="C877" s="28"/>
      <c r="D877" s="28"/>
      <c r="E877" s="28"/>
      <c r="F877" s="28"/>
      <c r="G877" s="28"/>
    </row>
    <row r="878" spans="1:7" x14ac:dyDescent="0.25">
      <c r="A878" s="28"/>
      <c r="B878" s="28"/>
      <c r="C878" s="28"/>
      <c r="D878" s="28"/>
      <c r="E878" s="28"/>
      <c r="F878" s="28"/>
      <c r="G878" s="28"/>
    </row>
    <row r="879" spans="1:7" x14ac:dyDescent="0.25">
      <c r="A879" s="28"/>
      <c r="B879" s="28"/>
      <c r="C879" s="28"/>
      <c r="D879" s="28"/>
      <c r="E879" s="28"/>
      <c r="F879" s="28"/>
      <c r="G879" s="28"/>
    </row>
    <row r="880" spans="1:7" x14ac:dyDescent="0.25">
      <c r="A880" s="28"/>
      <c r="B880" s="28"/>
      <c r="C880" s="28"/>
      <c r="D880" s="28"/>
      <c r="E880" s="28"/>
      <c r="F880" s="28"/>
      <c r="G880" s="28"/>
    </row>
    <row r="881" spans="1:7" x14ac:dyDescent="0.25">
      <c r="A881" s="28"/>
      <c r="B881" s="28"/>
      <c r="C881" s="28"/>
      <c r="D881" s="28"/>
      <c r="E881" s="28"/>
      <c r="F881" s="28"/>
      <c r="G881" s="28"/>
    </row>
    <row r="882" spans="1:7" x14ac:dyDescent="0.25">
      <c r="A882" s="28"/>
      <c r="B882" s="28"/>
      <c r="C882" s="28"/>
      <c r="D882" s="28"/>
      <c r="E882" s="28"/>
      <c r="F882" s="28"/>
      <c r="G882" s="28"/>
    </row>
    <row r="883" spans="1:7" x14ac:dyDescent="0.25">
      <c r="A883" s="28"/>
      <c r="B883" s="28"/>
      <c r="C883" s="28"/>
      <c r="D883" s="28"/>
      <c r="E883" s="28"/>
      <c r="F883" s="28"/>
      <c r="G883" s="28"/>
    </row>
    <row r="884" spans="1:7" x14ac:dyDescent="0.25">
      <c r="A884" s="28"/>
      <c r="B884" s="28"/>
      <c r="C884" s="28"/>
      <c r="D884" s="28"/>
      <c r="E884" s="28"/>
      <c r="F884" s="28"/>
      <c r="G884" s="28"/>
    </row>
    <row r="885" spans="1:7" x14ac:dyDescent="0.25">
      <c r="A885" s="28"/>
      <c r="B885" s="28"/>
      <c r="C885" s="28"/>
      <c r="D885" s="28"/>
      <c r="E885" s="28"/>
      <c r="F885" s="28"/>
      <c r="G885" s="28"/>
    </row>
    <row r="886" spans="1:7" x14ac:dyDescent="0.25">
      <c r="A886" s="28"/>
      <c r="B886" s="28"/>
      <c r="C886" s="28"/>
      <c r="D886" s="28"/>
      <c r="E886" s="28"/>
      <c r="F886" s="28"/>
      <c r="G886" s="28"/>
    </row>
    <row r="887" spans="1:7" x14ac:dyDescent="0.25">
      <c r="A887" s="28"/>
      <c r="B887" s="28"/>
      <c r="C887" s="28"/>
      <c r="D887" s="28"/>
      <c r="E887" s="28"/>
      <c r="F887" s="28"/>
      <c r="G887" s="28"/>
    </row>
    <row r="888" spans="1:7" x14ac:dyDescent="0.25">
      <c r="A888" s="28"/>
      <c r="B888" s="28"/>
      <c r="C888" s="28"/>
      <c r="D888" s="28"/>
      <c r="E888" s="28"/>
      <c r="F888" s="28"/>
      <c r="G888" s="28"/>
    </row>
    <row r="889" spans="1:7" x14ac:dyDescent="0.25">
      <c r="A889" s="28"/>
      <c r="B889" s="28"/>
      <c r="C889" s="28"/>
      <c r="D889" s="28"/>
      <c r="E889" s="28"/>
      <c r="F889" s="28"/>
      <c r="G889" s="28"/>
    </row>
    <row r="890" spans="1:7" x14ac:dyDescent="0.25">
      <c r="A890" s="28"/>
      <c r="B890" s="28"/>
      <c r="C890" s="28"/>
      <c r="D890" s="28"/>
      <c r="E890" s="28"/>
      <c r="F890" s="28"/>
      <c r="G890" s="28"/>
    </row>
    <row r="891" spans="1:7" x14ac:dyDescent="0.25">
      <c r="A891" s="28"/>
      <c r="B891" s="28"/>
      <c r="C891" s="28"/>
      <c r="D891" s="28"/>
      <c r="E891" s="28"/>
      <c r="F891" s="28"/>
      <c r="G891" s="28"/>
    </row>
    <row r="892" spans="1:7" x14ac:dyDescent="0.25">
      <c r="A892" s="28"/>
      <c r="B892" s="28"/>
      <c r="C892" s="28"/>
      <c r="D892" s="28"/>
      <c r="E892" s="28"/>
      <c r="F892" s="28"/>
      <c r="G892" s="28"/>
    </row>
    <row r="893" spans="1:7" x14ac:dyDescent="0.25">
      <c r="A893" s="28"/>
      <c r="B893" s="28"/>
      <c r="C893" s="28"/>
      <c r="D893" s="28"/>
      <c r="E893" s="28"/>
      <c r="F893" s="28"/>
      <c r="G893" s="28"/>
    </row>
    <row r="894" spans="1:7" x14ac:dyDescent="0.25">
      <c r="A894" s="28"/>
      <c r="B894" s="28"/>
      <c r="C894" s="28"/>
      <c r="D894" s="28"/>
      <c r="E894" s="28"/>
      <c r="F894" s="28"/>
      <c r="G894" s="28"/>
    </row>
    <row r="895" spans="1:7" x14ac:dyDescent="0.25">
      <c r="A895" s="28"/>
      <c r="B895" s="28"/>
      <c r="C895" s="28"/>
      <c r="D895" s="28"/>
      <c r="E895" s="28"/>
      <c r="F895" s="28"/>
      <c r="G895" s="28"/>
    </row>
    <row r="896" spans="1:7" x14ac:dyDescent="0.25">
      <c r="A896" s="28"/>
      <c r="B896" s="28"/>
      <c r="C896" s="28"/>
      <c r="D896" s="28"/>
      <c r="E896" s="28"/>
      <c r="F896" s="28"/>
      <c r="G896" s="28"/>
    </row>
    <row r="897" spans="1:7" x14ac:dyDescent="0.25">
      <c r="A897" s="28"/>
      <c r="B897" s="28"/>
      <c r="C897" s="28"/>
      <c r="D897" s="28"/>
      <c r="E897" s="28"/>
      <c r="F897" s="28"/>
      <c r="G897" s="28"/>
    </row>
    <row r="898" spans="1:7" x14ac:dyDescent="0.25">
      <c r="A898" s="28"/>
      <c r="B898" s="28"/>
      <c r="C898" s="28"/>
      <c r="D898" s="28"/>
      <c r="E898" s="28"/>
      <c r="F898" s="28"/>
      <c r="G898" s="28"/>
    </row>
    <row r="899" spans="1:7" x14ac:dyDescent="0.25">
      <c r="A899" s="28"/>
      <c r="B899" s="28"/>
      <c r="C899" s="28"/>
      <c r="D899" s="28"/>
      <c r="E899" s="28"/>
      <c r="F899" s="28"/>
      <c r="G899" s="28"/>
    </row>
    <row r="900" spans="1:7" x14ac:dyDescent="0.25">
      <c r="A900" s="28"/>
      <c r="B900" s="28"/>
      <c r="C900" s="28"/>
      <c r="D900" s="28"/>
      <c r="E900" s="28"/>
      <c r="F900" s="28"/>
      <c r="G900" s="28"/>
    </row>
    <row r="901" spans="1:7" x14ac:dyDescent="0.25">
      <c r="A901" s="28"/>
      <c r="B901" s="28"/>
      <c r="C901" s="28"/>
      <c r="D901" s="28"/>
      <c r="E901" s="28"/>
      <c r="F901" s="28"/>
      <c r="G901" s="28"/>
    </row>
    <row r="902" spans="1:7" x14ac:dyDescent="0.25">
      <c r="A902" s="28"/>
      <c r="B902" s="28"/>
      <c r="C902" s="28"/>
      <c r="D902" s="28"/>
      <c r="E902" s="28"/>
      <c r="F902" s="28"/>
      <c r="G902" s="28"/>
    </row>
    <row r="903" spans="1:7" x14ac:dyDescent="0.25">
      <c r="A903" s="28"/>
      <c r="B903" s="28"/>
      <c r="C903" s="28"/>
      <c r="D903" s="28"/>
      <c r="E903" s="28"/>
      <c r="F903" s="28"/>
      <c r="G903" s="28"/>
    </row>
    <row r="904" spans="1:7" x14ac:dyDescent="0.25">
      <c r="A904" s="28"/>
      <c r="B904" s="28"/>
      <c r="C904" s="28"/>
      <c r="D904" s="28"/>
      <c r="E904" s="28"/>
      <c r="F904" s="28"/>
      <c r="G904" s="28"/>
    </row>
    <row r="905" spans="1:7" x14ac:dyDescent="0.25">
      <c r="A905" s="28"/>
      <c r="B905" s="28"/>
      <c r="C905" s="28"/>
      <c r="D905" s="28"/>
      <c r="E905" s="28"/>
      <c r="F905" s="28"/>
      <c r="G905" s="28"/>
    </row>
    <row r="906" spans="1:7" x14ac:dyDescent="0.25">
      <c r="A906" s="28"/>
      <c r="B906" s="28"/>
      <c r="C906" s="28"/>
      <c r="D906" s="28"/>
      <c r="E906" s="28"/>
      <c r="F906" s="28"/>
      <c r="G906" s="28"/>
    </row>
    <row r="907" spans="1:7" x14ac:dyDescent="0.25">
      <c r="A907" s="28"/>
      <c r="B907" s="28"/>
      <c r="C907" s="28"/>
      <c r="D907" s="28"/>
      <c r="E907" s="28"/>
      <c r="F907" s="28"/>
      <c r="G907" s="28"/>
    </row>
    <row r="908" spans="1:7" x14ac:dyDescent="0.25">
      <c r="A908" s="28"/>
      <c r="B908" s="28"/>
      <c r="C908" s="28"/>
      <c r="D908" s="28"/>
      <c r="E908" s="28"/>
      <c r="F908" s="28"/>
      <c r="G908" s="28"/>
    </row>
    <row r="909" spans="1:7" x14ac:dyDescent="0.25">
      <c r="A909" s="28"/>
      <c r="B909" s="28"/>
      <c r="C909" s="28"/>
      <c r="D909" s="28"/>
      <c r="E909" s="28"/>
      <c r="F909" s="28"/>
      <c r="G909" s="28"/>
    </row>
    <row r="910" spans="1:7" x14ac:dyDescent="0.25">
      <c r="A910" s="28"/>
      <c r="B910" s="28"/>
      <c r="C910" s="28"/>
      <c r="D910" s="28"/>
      <c r="E910" s="28"/>
      <c r="F910" s="28"/>
      <c r="G910" s="28"/>
    </row>
    <row r="911" spans="1:7" x14ac:dyDescent="0.25">
      <c r="A911" s="28"/>
      <c r="B911" s="28"/>
      <c r="C911" s="28"/>
      <c r="D911" s="28"/>
      <c r="E911" s="28"/>
      <c r="F911" s="28"/>
      <c r="G911" s="28"/>
    </row>
    <row r="912" spans="1:7" x14ac:dyDescent="0.25">
      <c r="A912" s="28"/>
      <c r="B912" s="28"/>
      <c r="C912" s="28"/>
      <c r="D912" s="28"/>
      <c r="E912" s="28"/>
      <c r="F912" s="28"/>
      <c r="G912" s="28"/>
    </row>
    <row r="913" spans="1:7" x14ac:dyDescent="0.25">
      <c r="A913" s="28"/>
      <c r="B913" s="28"/>
      <c r="C913" s="28"/>
      <c r="D913" s="28"/>
      <c r="E913" s="28"/>
      <c r="F913" s="28"/>
      <c r="G913" s="28"/>
    </row>
    <row r="914" spans="1:7" x14ac:dyDescent="0.25">
      <c r="A914" s="28"/>
      <c r="B914" s="28"/>
      <c r="C914" s="28"/>
      <c r="D914" s="28"/>
      <c r="E914" s="28"/>
      <c r="F914" s="28"/>
      <c r="G914" s="28"/>
    </row>
    <row r="915" spans="1:7" x14ac:dyDescent="0.25">
      <c r="A915" s="28"/>
      <c r="B915" s="28"/>
      <c r="C915" s="28"/>
      <c r="D915" s="28"/>
      <c r="E915" s="28"/>
      <c r="F915" s="28"/>
      <c r="G915" s="28"/>
    </row>
    <row r="916" spans="1:7" x14ac:dyDescent="0.25">
      <c r="A916" s="28"/>
      <c r="B916" s="28"/>
      <c r="C916" s="28"/>
      <c r="D916" s="28"/>
      <c r="E916" s="28"/>
      <c r="F916" s="28"/>
      <c r="G916" s="28"/>
    </row>
    <row r="917" spans="1:7" x14ac:dyDescent="0.25">
      <c r="A917" s="28"/>
      <c r="B917" s="28"/>
      <c r="C917" s="28"/>
      <c r="D917" s="28"/>
      <c r="E917" s="28"/>
      <c r="F917" s="28"/>
      <c r="G917" s="28"/>
    </row>
    <row r="918" spans="1:7" x14ac:dyDescent="0.25">
      <c r="A918" s="28"/>
      <c r="B918" s="28"/>
      <c r="C918" s="28"/>
      <c r="D918" s="28"/>
      <c r="E918" s="28"/>
      <c r="F918" s="28"/>
      <c r="G918" s="28"/>
    </row>
    <row r="919" spans="1:7" x14ac:dyDescent="0.25">
      <c r="A919" s="28"/>
      <c r="B919" s="28"/>
      <c r="C919" s="28"/>
      <c r="D919" s="28"/>
      <c r="E919" s="28"/>
      <c r="F919" s="28"/>
      <c r="G919" s="28"/>
    </row>
    <row r="920" spans="1:7" x14ac:dyDescent="0.25">
      <c r="A920" s="28"/>
      <c r="B920" s="28"/>
      <c r="C920" s="28"/>
      <c r="D920" s="28"/>
      <c r="E920" s="28"/>
      <c r="F920" s="28"/>
      <c r="G920" s="28"/>
    </row>
    <row r="921" spans="1:7" x14ac:dyDescent="0.25">
      <c r="A921" s="28"/>
      <c r="B921" s="28"/>
      <c r="C921" s="28"/>
      <c r="D921" s="28"/>
      <c r="E921" s="28"/>
      <c r="F921" s="28"/>
      <c r="G921" s="28"/>
    </row>
    <row r="922" spans="1:7" x14ac:dyDescent="0.25">
      <c r="A922" s="28"/>
      <c r="B922" s="28"/>
      <c r="C922" s="28"/>
      <c r="D922" s="28"/>
      <c r="E922" s="28"/>
      <c r="F922" s="28"/>
      <c r="G922" s="28"/>
    </row>
    <row r="923" spans="1:7" x14ac:dyDescent="0.25">
      <c r="A923" s="28"/>
      <c r="B923" s="28"/>
      <c r="C923" s="28"/>
      <c r="D923" s="28"/>
      <c r="E923" s="28"/>
      <c r="F923" s="28"/>
      <c r="G923" s="28"/>
    </row>
    <row r="924" spans="1:7" x14ac:dyDescent="0.25">
      <c r="A924" s="28"/>
      <c r="B924" s="28"/>
      <c r="C924" s="28"/>
      <c r="D924" s="28"/>
      <c r="E924" s="28"/>
      <c r="F924" s="28"/>
      <c r="G924" s="28"/>
    </row>
    <row r="925" spans="1:7" x14ac:dyDescent="0.25">
      <c r="A925" s="28"/>
      <c r="B925" s="28"/>
      <c r="C925" s="28"/>
      <c r="D925" s="28"/>
      <c r="E925" s="28"/>
      <c r="F925" s="28"/>
      <c r="G925" s="28"/>
    </row>
    <row r="926" spans="1:7" x14ac:dyDescent="0.25">
      <c r="A926" s="28"/>
      <c r="B926" s="28"/>
      <c r="C926" s="28"/>
      <c r="D926" s="28"/>
      <c r="E926" s="28"/>
      <c r="F926" s="28"/>
      <c r="G926" s="28"/>
    </row>
    <row r="927" spans="1:7" x14ac:dyDescent="0.25">
      <c r="A927" s="28"/>
      <c r="B927" s="28"/>
      <c r="C927" s="28"/>
      <c r="D927" s="28"/>
      <c r="E927" s="28"/>
      <c r="F927" s="28"/>
      <c r="G927" s="28"/>
    </row>
    <row r="928" spans="1:7" x14ac:dyDescent="0.25">
      <c r="A928" s="28"/>
      <c r="B928" s="28"/>
      <c r="C928" s="28"/>
      <c r="D928" s="28"/>
      <c r="E928" s="28"/>
      <c r="F928" s="28"/>
      <c r="G928" s="28"/>
    </row>
    <row r="929" spans="1:7" x14ac:dyDescent="0.25">
      <c r="A929" s="28"/>
      <c r="B929" s="28"/>
      <c r="C929" s="28"/>
      <c r="D929" s="28"/>
      <c r="E929" s="28"/>
      <c r="F929" s="28"/>
      <c r="G929" s="28"/>
    </row>
    <row r="930" spans="1:7" x14ac:dyDescent="0.25">
      <c r="A930" s="28"/>
      <c r="B930" s="28"/>
      <c r="C930" s="28"/>
      <c r="D930" s="28"/>
      <c r="E930" s="28"/>
      <c r="F930" s="28"/>
      <c r="G930" s="28"/>
    </row>
    <row r="931" spans="1:7" x14ac:dyDescent="0.25">
      <c r="A931" s="28"/>
      <c r="B931" s="28"/>
      <c r="C931" s="28"/>
      <c r="D931" s="28"/>
      <c r="E931" s="28"/>
      <c r="F931" s="28"/>
      <c r="G931" s="28"/>
    </row>
    <row r="932" spans="1:7" x14ac:dyDescent="0.25">
      <c r="A932" s="28"/>
      <c r="B932" s="28"/>
      <c r="C932" s="28"/>
      <c r="D932" s="28"/>
      <c r="E932" s="28"/>
      <c r="F932" s="28"/>
      <c r="G932" s="28"/>
    </row>
    <row r="933" spans="1:7" x14ac:dyDescent="0.25">
      <c r="A933" s="28"/>
      <c r="B933" s="28"/>
      <c r="C933" s="28"/>
      <c r="D933" s="28"/>
      <c r="E933" s="28"/>
      <c r="F933" s="28"/>
      <c r="G933" s="28"/>
    </row>
    <row r="934" spans="1:7" x14ac:dyDescent="0.25">
      <c r="A934" s="28"/>
      <c r="B934" s="28"/>
      <c r="C934" s="28"/>
      <c r="D934" s="28"/>
      <c r="E934" s="28"/>
      <c r="F934" s="28"/>
      <c r="G934" s="28"/>
    </row>
    <row r="935" spans="1:7" x14ac:dyDescent="0.25">
      <c r="A935" s="28"/>
      <c r="B935" s="28"/>
      <c r="C935" s="28"/>
      <c r="D935" s="28"/>
      <c r="E935" s="28"/>
      <c r="F935" s="28"/>
      <c r="G935" s="28"/>
    </row>
    <row r="936" spans="1:7" x14ac:dyDescent="0.25">
      <c r="A936" s="28"/>
      <c r="B936" s="28"/>
      <c r="C936" s="28"/>
      <c r="D936" s="28"/>
      <c r="E936" s="28"/>
      <c r="F936" s="28"/>
      <c r="G936" s="28"/>
    </row>
    <row r="937" spans="1:7" x14ac:dyDescent="0.25">
      <c r="A937" s="28"/>
      <c r="B937" s="28"/>
      <c r="C937" s="28"/>
      <c r="D937" s="28"/>
      <c r="E937" s="28"/>
      <c r="F937" s="28"/>
      <c r="G937" s="28"/>
    </row>
    <row r="938" spans="1:7" x14ac:dyDescent="0.25">
      <c r="A938" s="28"/>
      <c r="B938" s="28"/>
      <c r="C938" s="28"/>
      <c r="D938" s="28"/>
      <c r="E938" s="28"/>
      <c r="F938" s="28"/>
      <c r="G938" s="28"/>
    </row>
    <row r="939" spans="1:7" x14ac:dyDescent="0.25">
      <c r="A939" s="28"/>
      <c r="B939" s="28"/>
      <c r="C939" s="28"/>
      <c r="D939" s="28"/>
      <c r="E939" s="28"/>
      <c r="F939" s="28"/>
      <c r="G939" s="28"/>
    </row>
    <row r="940" spans="1:7" x14ac:dyDescent="0.25">
      <c r="A940" s="28"/>
      <c r="B940" s="28"/>
      <c r="C940" s="28"/>
      <c r="D940" s="28"/>
      <c r="E940" s="28"/>
      <c r="F940" s="28"/>
      <c r="G940" s="28"/>
    </row>
    <row r="941" spans="1:7" x14ac:dyDescent="0.25">
      <c r="A941" s="28"/>
      <c r="B941" s="28"/>
      <c r="C941" s="28"/>
      <c r="D941" s="28"/>
      <c r="E941" s="28"/>
      <c r="F941" s="28"/>
      <c r="G941" s="28"/>
    </row>
    <row r="942" spans="1:7" x14ac:dyDescent="0.25">
      <c r="A942" s="28"/>
      <c r="B942" s="28"/>
      <c r="C942" s="28"/>
      <c r="D942" s="28"/>
      <c r="E942" s="28"/>
      <c r="F942" s="28"/>
      <c r="G942" s="28"/>
    </row>
    <row r="943" spans="1:7" x14ac:dyDescent="0.25">
      <c r="A943" s="28"/>
      <c r="B943" s="28"/>
      <c r="C943" s="28"/>
      <c r="D943" s="28"/>
      <c r="E943" s="28"/>
      <c r="F943" s="28"/>
      <c r="G943" s="28"/>
    </row>
    <row r="944" spans="1:7" x14ac:dyDescent="0.25">
      <c r="A944" s="28"/>
      <c r="B944" s="28"/>
      <c r="C944" s="28"/>
      <c r="D944" s="28"/>
      <c r="E944" s="28"/>
      <c r="F944" s="28"/>
      <c r="G944" s="28"/>
    </row>
    <row r="945" spans="1:7" x14ac:dyDescent="0.25">
      <c r="A945" s="28"/>
      <c r="B945" s="28"/>
      <c r="C945" s="28"/>
      <c r="D945" s="28"/>
      <c r="E945" s="28"/>
      <c r="F945" s="28"/>
      <c r="G945" s="28"/>
    </row>
    <row r="946" spans="1:7" x14ac:dyDescent="0.25">
      <c r="A946" s="28"/>
      <c r="B946" s="28"/>
      <c r="C946" s="28"/>
      <c r="D946" s="28"/>
      <c r="E946" s="28"/>
      <c r="F946" s="28"/>
      <c r="G946" s="28"/>
    </row>
    <row r="947" spans="1:7" x14ac:dyDescent="0.25">
      <c r="A947" s="28"/>
      <c r="B947" s="28"/>
      <c r="C947" s="28"/>
      <c r="D947" s="28"/>
      <c r="E947" s="28"/>
      <c r="F947" s="28"/>
      <c r="G947" s="28"/>
    </row>
    <row r="948" spans="1:7" x14ac:dyDescent="0.25">
      <c r="A948" s="28"/>
      <c r="B948" s="28"/>
      <c r="C948" s="28"/>
      <c r="D948" s="28"/>
      <c r="E948" s="28"/>
      <c r="F948" s="28"/>
      <c r="G948" s="28"/>
    </row>
    <row r="949" spans="1:7" x14ac:dyDescent="0.25">
      <c r="A949" s="28"/>
      <c r="B949" s="28"/>
      <c r="C949" s="28"/>
      <c r="D949" s="28"/>
      <c r="E949" s="28"/>
      <c r="F949" s="28"/>
      <c r="G949" s="28"/>
    </row>
    <row r="950" spans="1:7" x14ac:dyDescent="0.25">
      <c r="A950" s="28"/>
      <c r="B950" s="28"/>
      <c r="C950" s="28"/>
      <c r="D950" s="28"/>
      <c r="E950" s="28"/>
      <c r="F950" s="28"/>
      <c r="G950" s="28"/>
    </row>
    <row r="951" spans="1:7" x14ac:dyDescent="0.25">
      <c r="A951" s="28"/>
      <c r="B951" s="28"/>
      <c r="C951" s="28"/>
      <c r="D951" s="28"/>
      <c r="E951" s="28"/>
      <c r="F951" s="28"/>
      <c r="G951" s="28"/>
    </row>
    <row r="952" spans="1:7" x14ac:dyDescent="0.25">
      <c r="A952" s="28"/>
      <c r="B952" s="28"/>
      <c r="C952" s="28"/>
      <c r="D952" s="28"/>
      <c r="E952" s="28"/>
      <c r="F952" s="28"/>
      <c r="G952" s="28"/>
    </row>
    <row r="953" spans="1:7" x14ac:dyDescent="0.25">
      <c r="A953" s="28"/>
      <c r="B953" s="28"/>
      <c r="C953" s="28"/>
      <c r="D953" s="28"/>
      <c r="E953" s="28"/>
      <c r="F953" s="28"/>
      <c r="G953" s="28"/>
    </row>
    <row r="954" spans="1:7" x14ac:dyDescent="0.25">
      <c r="A954" s="28"/>
      <c r="B954" s="28"/>
      <c r="C954" s="28"/>
      <c r="D954" s="28"/>
      <c r="E954" s="28"/>
      <c r="F954" s="28"/>
      <c r="G954" s="28"/>
    </row>
    <row r="955" spans="1:7" x14ac:dyDescent="0.25">
      <c r="A955" s="28"/>
      <c r="B955" s="28"/>
      <c r="C955" s="28"/>
      <c r="D955" s="28"/>
      <c r="E955" s="28"/>
      <c r="F955" s="28"/>
      <c r="G955" s="28"/>
    </row>
    <row r="956" spans="1:7" x14ac:dyDescent="0.25">
      <c r="A956" s="28"/>
      <c r="B956" s="28"/>
      <c r="C956" s="28"/>
      <c r="D956" s="28"/>
      <c r="E956" s="28"/>
      <c r="F956" s="28"/>
      <c r="G956" s="28"/>
    </row>
    <row r="957" spans="1:7" x14ac:dyDescent="0.25">
      <c r="A957" s="28"/>
      <c r="B957" s="28"/>
      <c r="C957" s="28"/>
      <c r="D957" s="28"/>
      <c r="E957" s="28"/>
      <c r="F957" s="28"/>
      <c r="G957" s="28"/>
    </row>
    <row r="958" spans="1:7" x14ac:dyDescent="0.25">
      <c r="A958" s="28"/>
      <c r="B958" s="28"/>
      <c r="C958" s="28"/>
      <c r="D958" s="28"/>
      <c r="E958" s="28"/>
      <c r="F958" s="28"/>
      <c r="G958" s="28"/>
    </row>
    <row r="959" spans="1:7" x14ac:dyDescent="0.25">
      <c r="A959" s="28"/>
      <c r="B959" s="28"/>
      <c r="C959" s="28"/>
      <c r="D959" s="28"/>
      <c r="E959" s="28"/>
      <c r="F959" s="28"/>
      <c r="G959" s="28"/>
    </row>
    <row r="960" spans="1:7" x14ac:dyDescent="0.25">
      <c r="A960" s="28"/>
      <c r="B960" s="28"/>
      <c r="C960" s="28"/>
      <c r="D960" s="28"/>
      <c r="E960" s="28"/>
      <c r="F960" s="28"/>
      <c r="G960" s="28"/>
    </row>
    <row r="961" spans="1:7" x14ac:dyDescent="0.25">
      <c r="A961" s="28"/>
      <c r="B961" s="28"/>
      <c r="C961" s="28"/>
      <c r="D961" s="28"/>
      <c r="E961" s="28"/>
      <c r="F961" s="28"/>
      <c r="G961" s="28"/>
    </row>
    <row r="962" spans="1:7" x14ac:dyDescent="0.25">
      <c r="A962" s="28"/>
      <c r="B962" s="28"/>
      <c r="C962" s="28"/>
      <c r="D962" s="28"/>
      <c r="E962" s="28"/>
      <c r="F962" s="28"/>
      <c r="G962" s="28"/>
    </row>
    <row r="963" spans="1:7" x14ac:dyDescent="0.25">
      <c r="A963" s="28"/>
      <c r="B963" s="28"/>
      <c r="C963" s="28"/>
      <c r="D963" s="28"/>
      <c r="E963" s="28"/>
      <c r="F963" s="28"/>
      <c r="G963" s="28"/>
    </row>
    <row r="964" spans="1:7" x14ac:dyDescent="0.25">
      <c r="A964" s="28"/>
      <c r="B964" s="28"/>
      <c r="C964" s="28"/>
      <c r="D964" s="28"/>
      <c r="E964" s="28"/>
      <c r="F964" s="28"/>
      <c r="G964" s="28"/>
    </row>
    <row r="965" spans="1:7" x14ac:dyDescent="0.25">
      <c r="A965" s="28"/>
      <c r="B965" s="28"/>
      <c r="C965" s="28"/>
      <c r="D965" s="28"/>
      <c r="E965" s="28"/>
      <c r="F965" s="28"/>
      <c r="G965" s="28"/>
    </row>
    <row r="966" spans="1:7" x14ac:dyDescent="0.25">
      <c r="A966" s="28"/>
      <c r="B966" s="28"/>
      <c r="C966" s="28"/>
      <c r="D966" s="28"/>
      <c r="E966" s="28"/>
      <c r="F966" s="28"/>
      <c r="G966" s="28"/>
    </row>
    <row r="967" spans="1:7" x14ac:dyDescent="0.25">
      <c r="A967" s="28"/>
      <c r="B967" s="28"/>
      <c r="C967" s="28"/>
      <c r="D967" s="28"/>
      <c r="E967" s="28"/>
      <c r="F967" s="28"/>
      <c r="G967" s="28"/>
    </row>
    <row r="968" spans="1:7" x14ac:dyDescent="0.25">
      <c r="A968" s="28"/>
      <c r="B968" s="28"/>
      <c r="C968" s="28"/>
      <c r="D968" s="28"/>
      <c r="E968" s="28"/>
      <c r="F968" s="28"/>
      <c r="G968" s="28"/>
    </row>
    <row r="969" spans="1:7" x14ac:dyDescent="0.25">
      <c r="A969" s="28"/>
      <c r="B969" s="28"/>
      <c r="C969" s="28"/>
      <c r="D969" s="28"/>
      <c r="E969" s="28"/>
      <c r="F969" s="28"/>
      <c r="G969" s="28"/>
    </row>
    <row r="970" spans="1:7" x14ac:dyDescent="0.25">
      <c r="A970" s="28"/>
      <c r="B970" s="28"/>
      <c r="C970" s="28"/>
      <c r="D970" s="28"/>
      <c r="E970" s="28"/>
      <c r="F970" s="28"/>
      <c r="G970" s="28"/>
    </row>
    <row r="971" spans="1:7" x14ac:dyDescent="0.25">
      <c r="A971" s="28"/>
      <c r="B971" s="28"/>
      <c r="C971" s="28"/>
      <c r="D971" s="28"/>
      <c r="E971" s="28"/>
      <c r="F971" s="28"/>
      <c r="G971" s="28"/>
    </row>
    <row r="972" spans="1:7" x14ac:dyDescent="0.25">
      <c r="A972" s="28"/>
      <c r="B972" s="28"/>
      <c r="C972" s="28"/>
      <c r="D972" s="28"/>
      <c r="E972" s="28"/>
      <c r="F972" s="28"/>
      <c r="G972" s="28"/>
    </row>
    <row r="973" spans="1:7" x14ac:dyDescent="0.25">
      <c r="A973" s="28"/>
      <c r="B973" s="28"/>
      <c r="C973" s="28"/>
      <c r="D973" s="28"/>
      <c r="E973" s="28"/>
      <c r="F973" s="28"/>
      <c r="G973" s="28"/>
    </row>
    <row r="974" spans="1:7" x14ac:dyDescent="0.25">
      <c r="A974" s="28"/>
      <c r="B974" s="28"/>
      <c r="C974" s="28"/>
      <c r="D974" s="28"/>
      <c r="E974" s="28"/>
      <c r="F974" s="28"/>
      <c r="G974" s="28"/>
    </row>
    <row r="975" spans="1:7" x14ac:dyDescent="0.25">
      <c r="A975" s="28"/>
      <c r="B975" s="28"/>
      <c r="C975" s="28"/>
      <c r="D975" s="28"/>
      <c r="E975" s="28"/>
      <c r="F975" s="28"/>
      <c r="G975" s="28"/>
    </row>
    <row r="976" spans="1:7" x14ac:dyDescent="0.25">
      <c r="A976" s="28"/>
      <c r="B976" s="28"/>
      <c r="C976" s="28"/>
      <c r="D976" s="28"/>
      <c r="E976" s="28"/>
      <c r="F976" s="28"/>
      <c r="G976" s="28"/>
    </row>
    <row r="977" spans="1:7" x14ac:dyDescent="0.25">
      <c r="A977" s="28"/>
      <c r="B977" s="28"/>
      <c r="C977" s="28"/>
      <c r="D977" s="28"/>
      <c r="E977" s="28"/>
      <c r="F977" s="28"/>
      <c r="G977" s="28"/>
    </row>
    <row r="978" spans="1:7" x14ac:dyDescent="0.25">
      <c r="A978" s="28"/>
      <c r="B978" s="28"/>
      <c r="C978" s="28"/>
      <c r="D978" s="28"/>
      <c r="E978" s="28"/>
      <c r="F978" s="28"/>
      <c r="G978" s="28"/>
    </row>
    <row r="979" spans="1:7" x14ac:dyDescent="0.25">
      <c r="A979" s="28"/>
      <c r="B979" s="28"/>
      <c r="C979" s="28"/>
      <c r="D979" s="28"/>
      <c r="E979" s="28"/>
      <c r="F979" s="28"/>
      <c r="G979" s="28"/>
    </row>
    <row r="980" spans="1:7" x14ac:dyDescent="0.25">
      <c r="A980" s="28"/>
      <c r="B980" s="28"/>
      <c r="C980" s="28"/>
      <c r="D980" s="28"/>
      <c r="E980" s="28"/>
      <c r="F980" s="28"/>
      <c r="G980" s="28"/>
    </row>
    <row r="981" spans="1:7" x14ac:dyDescent="0.25">
      <c r="A981" s="28"/>
      <c r="B981" s="28"/>
      <c r="C981" s="28"/>
      <c r="D981" s="28"/>
      <c r="E981" s="28"/>
      <c r="F981" s="28"/>
      <c r="G981" s="28"/>
    </row>
    <row r="982" spans="1:7" x14ac:dyDescent="0.25">
      <c r="A982" s="28"/>
      <c r="B982" s="28"/>
      <c r="C982" s="28"/>
      <c r="D982" s="28"/>
      <c r="E982" s="28"/>
      <c r="F982" s="28"/>
      <c r="G982" s="28"/>
    </row>
    <row r="983" spans="1:7" x14ac:dyDescent="0.25">
      <c r="A983" s="28"/>
      <c r="B983" s="28"/>
      <c r="C983" s="28"/>
      <c r="D983" s="28"/>
      <c r="E983" s="28"/>
      <c r="F983" s="28"/>
      <c r="G983" s="28"/>
    </row>
    <row r="984" spans="1:7" x14ac:dyDescent="0.25">
      <c r="A984" s="28"/>
      <c r="B984" s="28"/>
      <c r="C984" s="28"/>
      <c r="D984" s="28"/>
      <c r="E984" s="28"/>
      <c r="F984" s="28"/>
      <c r="G984" s="28"/>
    </row>
    <row r="985" spans="1:7" x14ac:dyDescent="0.25">
      <c r="A985" s="28"/>
      <c r="B985" s="28"/>
      <c r="C985" s="28"/>
      <c r="D985" s="28"/>
      <c r="E985" s="28"/>
      <c r="F985" s="28"/>
      <c r="G985" s="28"/>
    </row>
    <row r="986" spans="1:7" x14ac:dyDescent="0.25">
      <c r="A986" s="28"/>
      <c r="B986" s="28"/>
      <c r="C986" s="28"/>
      <c r="D986" s="28"/>
      <c r="E986" s="28"/>
      <c r="F986" s="28"/>
      <c r="G986" s="28"/>
    </row>
    <row r="987" spans="1:7" x14ac:dyDescent="0.25">
      <c r="A987" s="28"/>
      <c r="B987" s="28"/>
      <c r="C987" s="28"/>
      <c r="D987" s="28"/>
      <c r="E987" s="28"/>
      <c r="F987" s="28"/>
      <c r="G987" s="28"/>
    </row>
    <row r="988" spans="1:7" x14ac:dyDescent="0.25">
      <c r="A988" s="28"/>
      <c r="B988" s="28"/>
      <c r="C988" s="28"/>
      <c r="D988" s="28"/>
      <c r="E988" s="28"/>
      <c r="F988" s="28"/>
      <c r="G988" s="28"/>
    </row>
    <row r="989" spans="1:7" x14ac:dyDescent="0.25">
      <c r="A989" s="28"/>
      <c r="B989" s="28"/>
      <c r="C989" s="28"/>
      <c r="D989" s="28"/>
      <c r="E989" s="28"/>
      <c r="F989" s="28"/>
      <c r="G989" s="28"/>
    </row>
    <row r="990" spans="1:7" x14ac:dyDescent="0.25">
      <c r="A990" s="28"/>
      <c r="B990" s="28"/>
      <c r="C990" s="28"/>
      <c r="D990" s="28"/>
      <c r="E990" s="28"/>
      <c r="F990" s="28"/>
      <c r="G990" s="28"/>
    </row>
    <row r="991" spans="1:7" x14ac:dyDescent="0.25">
      <c r="A991" s="28"/>
      <c r="B991" s="28"/>
      <c r="C991" s="28"/>
      <c r="D991" s="28"/>
      <c r="E991" s="28"/>
      <c r="F991" s="28"/>
      <c r="G991" s="28"/>
    </row>
    <row r="992" spans="1:7" x14ac:dyDescent="0.25">
      <c r="A992" s="28"/>
      <c r="B992" s="28"/>
      <c r="C992" s="28"/>
      <c r="D992" s="28"/>
      <c r="E992" s="28"/>
      <c r="F992" s="28"/>
      <c r="G992" s="28"/>
    </row>
    <row r="993" spans="1:7" x14ac:dyDescent="0.25">
      <c r="A993" s="28"/>
      <c r="B993" s="28"/>
      <c r="C993" s="28"/>
      <c r="D993" s="28"/>
      <c r="E993" s="28"/>
      <c r="F993" s="28"/>
      <c r="G993" s="28"/>
    </row>
    <row r="994" spans="1:7" x14ac:dyDescent="0.25">
      <c r="A994" s="28"/>
      <c r="B994" s="28"/>
      <c r="C994" s="28"/>
      <c r="D994" s="28"/>
      <c r="E994" s="28"/>
      <c r="F994" s="28"/>
      <c r="G994" s="28"/>
    </row>
    <row r="995" spans="1:7" x14ac:dyDescent="0.25">
      <c r="A995" s="28"/>
      <c r="B995" s="28"/>
      <c r="C995" s="28"/>
      <c r="D995" s="28"/>
      <c r="E995" s="28"/>
      <c r="F995" s="28"/>
      <c r="G995" s="28"/>
    </row>
    <row r="996" spans="1:7" x14ac:dyDescent="0.25">
      <c r="A996" s="28"/>
      <c r="B996" s="28"/>
      <c r="C996" s="28"/>
      <c r="D996" s="28"/>
      <c r="E996" s="28"/>
      <c r="F996" s="28"/>
      <c r="G996" s="28"/>
    </row>
    <row r="997" spans="1:7" x14ac:dyDescent="0.25">
      <c r="A997" s="28"/>
      <c r="B997" s="28"/>
      <c r="C997" s="28"/>
      <c r="D997" s="28"/>
      <c r="E997" s="28"/>
      <c r="F997" s="28"/>
      <c r="G997" s="28"/>
    </row>
    <row r="998" spans="1:7" x14ac:dyDescent="0.25">
      <c r="A998" s="28"/>
      <c r="B998" s="28"/>
      <c r="C998" s="28"/>
      <c r="D998" s="28"/>
      <c r="E998" s="28"/>
      <c r="F998" s="28"/>
      <c r="G998" s="28"/>
    </row>
    <row r="999" spans="1:7" x14ac:dyDescent="0.25">
      <c r="A999" s="28"/>
      <c r="B999" s="28"/>
      <c r="C999" s="28"/>
      <c r="D999" s="28"/>
      <c r="E999" s="28"/>
      <c r="F999" s="28"/>
      <c r="G999" s="28"/>
    </row>
    <row r="1000" spans="1:7" x14ac:dyDescent="0.25">
      <c r="A1000" s="28"/>
      <c r="B1000" s="28"/>
      <c r="C1000" s="28"/>
      <c r="D1000" s="28"/>
      <c r="E1000" s="28"/>
      <c r="F1000" s="28"/>
      <c r="G1000" s="28"/>
    </row>
    <row r="1001" spans="1:7" x14ac:dyDescent="0.25">
      <c r="A1001" s="28"/>
      <c r="B1001" s="28"/>
      <c r="C1001" s="28"/>
      <c r="D1001" s="28"/>
      <c r="E1001" s="28"/>
      <c r="F1001" s="28"/>
      <c r="G1001" s="28"/>
    </row>
    <row r="1002" spans="1:7" x14ac:dyDescent="0.25">
      <c r="A1002" s="28"/>
      <c r="B1002" s="28"/>
      <c r="C1002" s="28"/>
      <c r="D1002" s="28"/>
      <c r="E1002" s="28"/>
      <c r="F1002" s="28"/>
      <c r="G1002" s="28"/>
    </row>
    <row r="1003" spans="1:7" x14ac:dyDescent="0.25">
      <c r="A1003" s="28"/>
      <c r="B1003" s="28"/>
      <c r="C1003" s="28"/>
      <c r="D1003" s="28"/>
      <c r="E1003" s="28"/>
      <c r="F1003" s="28"/>
      <c r="G1003" s="28"/>
    </row>
    <row r="1004" spans="1:7" x14ac:dyDescent="0.25">
      <c r="A1004" s="28"/>
      <c r="B1004" s="28"/>
      <c r="C1004" s="28"/>
      <c r="D1004" s="28"/>
      <c r="E1004" s="28"/>
      <c r="F1004" s="28"/>
      <c r="G1004" s="28"/>
    </row>
    <row r="1005" spans="1:7" x14ac:dyDescent="0.25">
      <c r="A1005" s="28"/>
      <c r="B1005" s="28"/>
      <c r="C1005" s="28"/>
      <c r="D1005" s="28"/>
      <c r="E1005" s="28"/>
      <c r="F1005" s="28"/>
      <c r="G1005" s="28"/>
    </row>
    <row r="1006" spans="1:7" x14ac:dyDescent="0.25">
      <c r="A1006" s="28"/>
      <c r="B1006" s="28"/>
      <c r="C1006" s="28"/>
      <c r="D1006" s="28"/>
      <c r="E1006" s="28"/>
      <c r="F1006" s="28"/>
      <c r="G1006" s="28"/>
    </row>
    <row r="1007" spans="1:7" x14ac:dyDescent="0.25">
      <c r="A1007" s="28"/>
      <c r="B1007" s="28"/>
      <c r="C1007" s="28"/>
      <c r="D1007" s="28"/>
      <c r="E1007" s="28"/>
      <c r="F1007" s="28"/>
      <c r="G1007" s="28"/>
    </row>
    <row r="1008" spans="1:7" x14ac:dyDescent="0.25">
      <c r="A1008" s="28"/>
      <c r="B1008" s="28"/>
      <c r="C1008" s="28"/>
      <c r="D1008" s="28"/>
      <c r="E1008" s="28"/>
      <c r="F1008" s="28"/>
      <c r="G1008" s="28"/>
    </row>
    <row r="1009" spans="1:7" x14ac:dyDescent="0.25">
      <c r="A1009" s="28"/>
      <c r="B1009" s="28"/>
      <c r="C1009" s="28"/>
      <c r="D1009" s="28"/>
      <c r="E1009" s="28"/>
      <c r="F1009" s="28"/>
      <c r="G1009" s="28"/>
    </row>
    <row r="1010" spans="1:7" x14ac:dyDescent="0.25">
      <c r="A1010" s="28"/>
      <c r="B1010" s="28"/>
      <c r="C1010" s="28"/>
      <c r="D1010" s="28"/>
      <c r="E1010" s="28"/>
      <c r="F1010" s="28"/>
      <c r="G1010" s="28"/>
    </row>
    <row r="1011" spans="1:7" x14ac:dyDescent="0.25">
      <c r="A1011" s="28"/>
      <c r="B1011" s="28"/>
      <c r="C1011" s="28"/>
      <c r="D1011" s="28"/>
      <c r="E1011" s="28"/>
      <c r="F1011" s="28"/>
      <c r="G1011" s="28"/>
    </row>
    <row r="1012" spans="1:7" x14ac:dyDescent="0.25">
      <c r="A1012" s="28"/>
      <c r="B1012" s="28"/>
      <c r="C1012" s="28"/>
      <c r="D1012" s="28"/>
      <c r="E1012" s="28"/>
      <c r="F1012" s="28"/>
      <c r="G1012" s="28"/>
    </row>
    <row r="1013" spans="1:7" x14ac:dyDescent="0.25">
      <c r="A1013" s="28"/>
      <c r="B1013" s="28"/>
      <c r="C1013" s="28"/>
      <c r="D1013" s="28"/>
      <c r="E1013" s="28"/>
      <c r="F1013" s="28"/>
      <c r="G1013" s="28"/>
    </row>
    <row r="1014" spans="1:7" x14ac:dyDescent="0.25">
      <c r="A1014" s="28"/>
      <c r="B1014" s="28"/>
      <c r="C1014" s="28"/>
      <c r="D1014" s="28"/>
      <c r="E1014" s="28"/>
      <c r="F1014" s="28"/>
      <c r="G1014" s="28"/>
    </row>
    <row r="1015" spans="1:7" x14ac:dyDescent="0.25">
      <c r="A1015" s="28"/>
      <c r="B1015" s="28"/>
      <c r="C1015" s="28"/>
      <c r="D1015" s="28"/>
      <c r="E1015" s="28"/>
      <c r="F1015" s="28"/>
      <c r="G1015" s="28"/>
    </row>
    <row r="1016" spans="1:7" x14ac:dyDescent="0.25">
      <c r="A1016" s="28"/>
      <c r="B1016" s="28"/>
      <c r="C1016" s="28"/>
      <c r="D1016" s="28"/>
      <c r="E1016" s="28"/>
      <c r="F1016" s="28"/>
      <c r="G1016" s="28"/>
    </row>
    <row r="1017" spans="1:7" x14ac:dyDescent="0.25">
      <c r="A1017" s="28"/>
      <c r="B1017" s="28"/>
      <c r="C1017" s="28"/>
      <c r="D1017" s="28"/>
      <c r="E1017" s="28"/>
      <c r="F1017" s="28"/>
      <c r="G1017" s="28"/>
    </row>
    <row r="1018" spans="1:7" x14ac:dyDescent="0.25">
      <c r="A1018" s="28"/>
      <c r="B1018" s="28"/>
      <c r="C1018" s="28"/>
      <c r="D1018" s="28"/>
      <c r="E1018" s="28"/>
      <c r="F1018" s="28"/>
      <c r="G1018" s="28"/>
    </row>
    <row r="1019" spans="1:7" x14ac:dyDescent="0.25">
      <c r="A1019" s="28"/>
      <c r="B1019" s="28"/>
      <c r="C1019" s="28"/>
      <c r="D1019" s="28"/>
      <c r="E1019" s="28"/>
      <c r="F1019" s="28"/>
      <c r="G1019" s="28"/>
    </row>
    <row r="1020" spans="1:7" x14ac:dyDescent="0.25">
      <c r="A1020" s="28"/>
      <c r="B1020" s="28"/>
      <c r="C1020" s="28"/>
      <c r="D1020" s="28"/>
      <c r="E1020" s="28"/>
      <c r="F1020" s="28"/>
      <c r="G1020" s="28"/>
    </row>
    <row r="1021" spans="1:7" x14ac:dyDescent="0.25">
      <c r="A1021" s="28"/>
      <c r="B1021" s="28"/>
      <c r="C1021" s="28"/>
      <c r="D1021" s="28"/>
      <c r="E1021" s="28"/>
      <c r="F1021" s="28"/>
      <c r="G1021" s="28"/>
    </row>
    <row r="1022" spans="1:7" x14ac:dyDescent="0.25">
      <c r="A1022" s="28"/>
      <c r="B1022" s="28"/>
      <c r="C1022" s="28"/>
      <c r="D1022" s="28"/>
      <c r="E1022" s="28"/>
      <c r="F1022" s="28"/>
      <c r="G1022" s="28"/>
    </row>
    <row r="1023" spans="1:7" x14ac:dyDescent="0.25">
      <c r="A1023" s="28"/>
      <c r="B1023" s="28"/>
      <c r="C1023" s="28"/>
      <c r="D1023" s="28"/>
      <c r="E1023" s="28"/>
      <c r="F1023" s="28"/>
      <c r="G1023" s="28"/>
    </row>
    <row r="1024" spans="1:7" x14ac:dyDescent="0.25">
      <c r="A1024" s="28"/>
      <c r="B1024" s="28"/>
      <c r="C1024" s="28"/>
      <c r="D1024" s="28"/>
      <c r="E1024" s="28"/>
      <c r="F1024" s="28"/>
      <c r="G1024" s="28"/>
    </row>
    <row r="1025" spans="1:7" x14ac:dyDescent="0.25">
      <c r="A1025" s="28"/>
      <c r="B1025" s="28"/>
      <c r="C1025" s="28"/>
      <c r="D1025" s="28"/>
      <c r="E1025" s="28"/>
      <c r="F1025" s="28"/>
      <c r="G1025" s="28"/>
    </row>
    <row r="1026" spans="1:7" x14ac:dyDescent="0.25">
      <c r="A1026" s="28"/>
      <c r="B1026" s="28"/>
      <c r="C1026" s="28"/>
      <c r="D1026" s="28"/>
      <c r="E1026" s="28"/>
      <c r="F1026" s="28"/>
      <c r="G1026" s="28"/>
    </row>
    <row r="1027" spans="1:7" x14ac:dyDescent="0.25">
      <c r="A1027" s="28"/>
      <c r="B1027" s="28"/>
      <c r="C1027" s="28"/>
      <c r="D1027" s="28"/>
      <c r="E1027" s="28"/>
      <c r="F1027" s="28"/>
      <c r="G1027" s="28"/>
    </row>
    <row r="1028" spans="1:7" x14ac:dyDescent="0.25">
      <c r="A1028" s="28"/>
      <c r="B1028" s="28"/>
      <c r="C1028" s="28"/>
      <c r="D1028" s="28"/>
      <c r="E1028" s="28"/>
      <c r="F1028" s="28"/>
      <c r="G1028" s="28"/>
    </row>
    <row r="1029" spans="1:7" x14ac:dyDescent="0.25">
      <c r="A1029" s="28"/>
      <c r="B1029" s="28"/>
      <c r="C1029" s="28"/>
      <c r="D1029" s="28"/>
      <c r="E1029" s="28"/>
      <c r="F1029" s="28"/>
      <c r="G1029" s="28"/>
    </row>
    <row r="1030" spans="1:7" x14ac:dyDescent="0.25">
      <c r="A1030" s="28"/>
      <c r="B1030" s="28"/>
      <c r="C1030" s="28"/>
      <c r="D1030" s="28"/>
      <c r="E1030" s="28"/>
      <c r="F1030" s="28"/>
      <c r="G1030" s="28"/>
    </row>
    <row r="1031" spans="1:7" x14ac:dyDescent="0.25">
      <c r="A1031" s="28"/>
      <c r="B1031" s="28"/>
      <c r="C1031" s="28"/>
      <c r="D1031" s="28"/>
      <c r="E1031" s="28"/>
      <c r="F1031" s="28"/>
      <c r="G1031" s="28"/>
    </row>
    <row r="1032" spans="1:7" x14ac:dyDescent="0.25">
      <c r="A1032" s="28"/>
      <c r="B1032" s="28"/>
      <c r="C1032" s="28"/>
      <c r="D1032" s="28"/>
      <c r="E1032" s="28"/>
      <c r="F1032" s="28"/>
      <c r="G1032" s="28"/>
    </row>
    <row r="1033" spans="1:7" x14ac:dyDescent="0.25">
      <c r="A1033" s="28"/>
      <c r="B1033" s="28"/>
      <c r="C1033" s="28"/>
      <c r="D1033" s="28"/>
      <c r="E1033" s="28"/>
      <c r="F1033" s="28"/>
      <c r="G1033" s="28"/>
    </row>
    <row r="1034" spans="1:7" x14ac:dyDescent="0.25">
      <c r="A1034" s="28"/>
      <c r="B1034" s="28"/>
      <c r="C1034" s="28"/>
      <c r="D1034" s="28"/>
      <c r="E1034" s="28"/>
      <c r="F1034" s="28"/>
      <c r="G1034" s="28"/>
    </row>
    <row r="1035" spans="1:7" x14ac:dyDescent="0.25">
      <c r="A1035" s="28"/>
      <c r="B1035" s="28"/>
      <c r="C1035" s="28"/>
      <c r="D1035" s="28"/>
      <c r="E1035" s="28"/>
      <c r="F1035" s="28"/>
      <c r="G1035" s="28"/>
    </row>
    <row r="1036" spans="1:7" x14ac:dyDescent="0.25">
      <c r="A1036" s="28"/>
      <c r="B1036" s="28"/>
      <c r="C1036" s="28"/>
      <c r="D1036" s="28"/>
      <c r="E1036" s="28"/>
      <c r="F1036" s="28"/>
      <c r="G1036" s="28"/>
    </row>
    <row r="1037" spans="1:7" x14ac:dyDescent="0.25">
      <c r="A1037" s="28"/>
      <c r="B1037" s="28"/>
      <c r="C1037" s="28"/>
      <c r="D1037" s="28"/>
      <c r="E1037" s="28"/>
      <c r="F1037" s="28"/>
      <c r="G1037" s="28"/>
    </row>
    <row r="1038" spans="1:7" x14ac:dyDescent="0.25">
      <c r="A1038" s="28"/>
      <c r="B1038" s="28"/>
      <c r="C1038" s="28"/>
      <c r="D1038" s="28"/>
      <c r="E1038" s="28"/>
      <c r="F1038" s="28"/>
      <c r="G1038" s="28"/>
    </row>
    <row r="1039" spans="1:7" x14ac:dyDescent="0.25">
      <c r="A1039" s="28"/>
      <c r="B1039" s="28"/>
      <c r="C1039" s="28"/>
      <c r="D1039" s="28"/>
      <c r="E1039" s="28"/>
      <c r="F1039" s="28"/>
      <c r="G1039" s="28"/>
    </row>
    <row r="1040" spans="1:7" x14ac:dyDescent="0.25">
      <c r="A1040" s="28"/>
      <c r="B1040" s="28"/>
      <c r="C1040" s="28"/>
      <c r="D1040" s="28"/>
      <c r="E1040" s="28"/>
      <c r="F1040" s="28"/>
      <c r="G1040" s="28"/>
    </row>
    <row r="1041" spans="1:7" x14ac:dyDescent="0.25">
      <c r="A1041" s="28"/>
      <c r="B1041" s="28"/>
      <c r="C1041" s="28"/>
      <c r="D1041" s="28"/>
      <c r="E1041" s="28"/>
      <c r="F1041" s="28"/>
      <c r="G1041" s="28"/>
    </row>
    <row r="1042" spans="1:7" x14ac:dyDescent="0.25">
      <c r="A1042" s="28"/>
      <c r="B1042" s="28"/>
      <c r="C1042" s="28"/>
      <c r="D1042" s="28"/>
      <c r="E1042" s="28"/>
      <c r="F1042" s="28"/>
      <c r="G1042" s="28"/>
    </row>
    <row r="1043" spans="1:7" x14ac:dyDescent="0.25">
      <c r="A1043" s="28"/>
      <c r="B1043" s="28"/>
      <c r="C1043" s="28"/>
      <c r="D1043" s="28"/>
      <c r="E1043" s="28"/>
      <c r="F1043" s="28"/>
      <c r="G1043" s="28"/>
    </row>
    <row r="1044" spans="1:7" x14ac:dyDescent="0.25">
      <c r="A1044" s="28"/>
      <c r="B1044" s="28"/>
      <c r="C1044" s="28"/>
      <c r="D1044" s="28"/>
      <c r="E1044" s="28"/>
      <c r="F1044" s="28"/>
      <c r="G1044" s="28"/>
    </row>
    <row r="1045" spans="1:7" x14ac:dyDescent="0.25">
      <c r="A1045" s="28"/>
      <c r="B1045" s="28"/>
      <c r="C1045" s="28"/>
      <c r="D1045" s="28"/>
      <c r="E1045" s="28"/>
      <c r="F1045" s="28"/>
      <c r="G1045" s="28"/>
    </row>
    <row r="1046" spans="1:7" x14ac:dyDescent="0.25">
      <c r="A1046" s="28"/>
      <c r="B1046" s="28"/>
      <c r="C1046" s="28"/>
      <c r="D1046" s="28"/>
      <c r="E1046" s="28"/>
      <c r="F1046" s="28"/>
      <c r="G1046" s="28"/>
    </row>
    <row r="1047" spans="1:7" x14ac:dyDescent="0.25">
      <c r="A1047" s="28"/>
      <c r="B1047" s="28"/>
      <c r="C1047" s="28"/>
      <c r="D1047" s="28"/>
      <c r="E1047" s="28"/>
      <c r="F1047" s="28"/>
      <c r="G1047" s="28"/>
    </row>
    <row r="1048" spans="1:7" x14ac:dyDescent="0.25">
      <c r="A1048" s="28"/>
      <c r="B1048" s="28"/>
      <c r="C1048" s="28"/>
      <c r="D1048" s="28"/>
      <c r="E1048" s="28"/>
      <c r="F1048" s="28"/>
      <c r="G1048" s="28"/>
    </row>
    <row r="1049" spans="1:7" x14ac:dyDescent="0.25">
      <c r="A1049" s="28"/>
      <c r="B1049" s="28"/>
      <c r="C1049" s="28"/>
      <c r="D1049" s="28"/>
      <c r="E1049" s="28"/>
      <c r="F1049" s="28"/>
      <c r="G1049" s="28"/>
    </row>
    <row r="1050" spans="1:7" x14ac:dyDescent="0.25">
      <c r="A1050" s="28"/>
      <c r="B1050" s="28"/>
      <c r="C1050" s="28"/>
      <c r="D1050" s="28"/>
      <c r="E1050" s="28"/>
      <c r="F1050" s="28"/>
      <c r="G1050" s="28"/>
    </row>
    <row r="1051" spans="1:7" x14ac:dyDescent="0.25">
      <c r="A1051" s="28"/>
      <c r="B1051" s="28"/>
      <c r="C1051" s="28"/>
      <c r="D1051" s="28"/>
      <c r="E1051" s="28"/>
      <c r="F1051" s="28"/>
      <c r="G1051" s="28"/>
    </row>
    <row r="1052" spans="1:7" x14ac:dyDescent="0.25">
      <c r="A1052" s="28"/>
      <c r="B1052" s="28"/>
      <c r="C1052" s="28"/>
      <c r="D1052" s="28"/>
      <c r="E1052" s="28"/>
      <c r="F1052" s="28"/>
      <c r="G1052" s="28"/>
    </row>
    <row r="1053" spans="1:7" x14ac:dyDescent="0.25">
      <c r="A1053" s="28"/>
      <c r="B1053" s="28"/>
      <c r="C1053" s="28"/>
      <c r="D1053" s="28"/>
      <c r="E1053" s="28"/>
      <c r="F1053" s="28"/>
      <c r="G1053" s="28"/>
    </row>
    <row r="1054" spans="1:7" x14ac:dyDescent="0.25">
      <c r="A1054" s="28"/>
      <c r="B1054" s="28"/>
      <c r="C1054" s="28"/>
      <c r="D1054" s="28"/>
      <c r="E1054" s="28"/>
      <c r="F1054" s="28"/>
      <c r="G1054" s="28"/>
    </row>
    <row r="1055" spans="1:7" x14ac:dyDescent="0.25">
      <c r="A1055" s="28"/>
      <c r="B1055" s="28"/>
      <c r="C1055" s="28"/>
      <c r="D1055" s="28"/>
      <c r="E1055" s="28"/>
      <c r="F1055" s="28"/>
      <c r="G1055" s="28"/>
    </row>
    <row r="1056" spans="1:7" x14ac:dyDescent="0.25">
      <c r="A1056" s="28"/>
      <c r="B1056" s="28"/>
      <c r="C1056" s="28"/>
      <c r="D1056" s="28"/>
      <c r="E1056" s="28"/>
      <c r="F1056" s="28"/>
      <c r="G1056" s="28"/>
    </row>
    <row r="1057" spans="1:7" x14ac:dyDescent="0.25">
      <c r="A1057" s="28"/>
      <c r="B1057" s="28"/>
      <c r="C1057" s="28"/>
      <c r="D1057" s="28"/>
      <c r="E1057" s="28"/>
      <c r="F1057" s="28"/>
      <c r="G1057" s="28"/>
    </row>
    <row r="1058" spans="1:7" x14ac:dyDescent="0.25">
      <c r="A1058" s="28"/>
      <c r="B1058" s="28"/>
      <c r="C1058" s="28"/>
      <c r="D1058" s="28"/>
      <c r="E1058" s="28"/>
      <c r="F1058" s="28"/>
      <c r="G1058" s="28"/>
    </row>
    <row r="1059" spans="1:7" x14ac:dyDescent="0.25">
      <c r="A1059" s="28"/>
      <c r="B1059" s="28"/>
      <c r="C1059" s="28"/>
      <c r="D1059" s="28"/>
      <c r="E1059" s="28"/>
      <c r="F1059" s="28"/>
      <c r="G1059" s="28"/>
    </row>
    <row r="1060" spans="1:7" x14ac:dyDescent="0.25">
      <c r="A1060" s="28"/>
      <c r="B1060" s="28"/>
      <c r="C1060" s="28"/>
      <c r="D1060" s="28"/>
      <c r="E1060" s="28"/>
      <c r="F1060" s="28"/>
      <c r="G1060" s="28"/>
    </row>
    <row r="1061" spans="1:7" x14ac:dyDescent="0.25">
      <c r="A1061" s="28"/>
      <c r="B1061" s="28"/>
      <c r="C1061" s="28"/>
      <c r="D1061" s="28"/>
      <c r="E1061" s="28"/>
      <c r="F1061" s="28"/>
      <c r="G1061" s="28"/>
    </row>
    <row r="1062" spans="1:7" x14ac:dyDescent="0.25">
      <c r="A1062" s="28"/>
      <c r="B1062" s="28"/>
      <c r="C1062" s="28"/>
      <c r="D1062" s="28"/>
      <c r="E1062" s="28"/>
      <c r="F1062" s="28"/>
      <c r="G1062" s="28"/>
    </row>
    <row r="1063" spans="1:7" x14ac:dyDescent="0.25">
      <c r="A1063" s="28"/>
      <c r="B1063" s="28"/>
      <c r="C1063" s="28"/>
      <c r="D1063" s="28"/>
      <c r="E1063" s="28"/>
      <c r="F1063" s="28"/>
      <c r="G1063" s="28"/>
    </row>
    <row r="1064" spans="1:7" x14ac:dyDescent="0.25">
      <c r="A1064" s="28"/>
      <c r="B1064" s="28"/>
      <c r="C1064" s="28"/>
      <c r="D1064" s="28"/>
      <c r="E1064" s="28"/>
      <c r="F1064" s="28"/>
      <c r="G1064" s="28"/>
    </row>
    <row r="1065" spans="1:7" x14ac:dyDescent="0.25">
      <c r="A1065" s="28"/>
      <c r="B1065" s="28"/>
      <c r="C1065" s="28"/>
      <c r="D1065" s="28"/>
      <c r="E1065" s="28"/>
      <c r="F1065" s="28"/>
      <c r="G1065" s="28"/>
    </row>
    <row r="1066" spans="1:7" x14ac:dyDescent="0.25">
      <c r="A1066" s="28"/>
      <c r="B1066" s="28"/>
      <c r="C1066" s="28"/>
      <c r="D1066" s="28"/>
      <c r="E1066" s="28"/>
      <c r="F1066" s="28"/>
      <c r="G1066" s="28"/>
    </row>
    <row r="1067" spans="1:7" x14ac:dyDescent="0.25">
      <c r="A1067" s="28"/>
      <c r="B1067" s="28"/>
      <c r="C1067" s="28"/>
      <c r="D1067" s="28"/>
      <c r="E1067" s="28"/>
      <c r="F1067" s="28"/>
      <c r="G1067" s="28"/>
    </row>
    <row r="1068" spans="1:7" x14ac:dyDescent="0.25">
      <c r="A1068" s="28"/>
      <c r="B1068" s="28"/>
      <c r="C1068" s="28"/>
      <c r="D1068" s="28"/>
      <c r="E1068" s="28"/>
      <c r="F1068" s="28"/>
      <c r="G1068" s="28"/>
    </row>
    <row r="1069" spans="1:7" x14ac:dyDescent="0.25">
      <c r="A1069" s="28"/>
      <c r="B1069" s="28"/>
      <c r="C1069" s="28"/>
      <c r="D1069" s="28"/>
      <c r="E1069" s="28"/>
      <c r="F1069" s="28"/>
      <c r="G1069" s="28"/>
    </row>
    <row r="1070" spans="1:7" x14ac:dyDescent="0.25">
      <c r="A1070" s="28"/>
      <c r="B1070" s="28"/>
      <c r="C1070" s="28"/>
      <c r="D1070" s="28"/>
      <c r="E1070" s="28"/>
      <c r="F1070" s="28"/>
      <c r="G1070" s="28"/>
    </row>
    <row r="1071" spans="1:7" x14ac:dyDescent="0.25">
      <c r="A1071" s="28"/>
      <c r="B1071" s="28"/>
      <c r="C1071" s="28"/>
      <c r="D1071" s="28"/>
      <c r="E1071" s="28"/>
      <c r="F1071" s="28"/>
      <c r="G1071" s="28"/>
    </row>
    <row r="1072" spans="1:7" x14ac:dyDescent="0.25">
      <c r="A1072" s="28"/>
      <c r="B1072" s="28"/>
      <c r="C1072" s="28"/>
      <c r="D1072" s="28"/>
      <c r="E1072" s="28"/>
      <c r="F1072" s="28"/>
      <c r="G1072" s="28"/>
    </row>
    <row r="1073" spans="1:7" x14ac:dyDescent="0.25">
      <c r="A1073" s="28"/>
      <c r="B1073" s="28"/>
      <c r="C1073" s="28"/>
      <c r="D1073" s="28"/>
      <c r="E1073" s="28"/>
      <c r="F1073" s="28"/>
      <c r="G1073" s="28"/>
    </row>
    <row r="1074" spans="1:7" x14ac:dyDescent="0.25">
      <c r="A1074" s="28"/>
      <c r="B1074" s="28"/>
      <c r="C1074" s="28"/>
      <c r="D1074" s="28"/>
      <c r="E1074" s="28"/>
      <c r="F1074" s="28"/>
      <c r="G1074" s="28"/>
    </row>
    <row r="1075" spans="1:7" x14ac:dyDescent="0.25">
      <c r="A1075" s="28"/>
      <c r="B1075" s="28"/>
      <c r="C1075" s="28"/>
      <c r="D1075" s="28"/>
      <c r="E1075" s="28"/>
      <c r="F1075" s="28"/>
      <c r="G1075" s="28"/>
    </row>
    <row r="1076" spans="1:7" x14ac:dyDescent="0.25">
      <c r="A1076" s="28"/>
      <c r="B1076" s="28"/>
      <c r="C1076" s="28"/>
      <c r="D1076" s="28"/>
      <c r="E1076" s="28"/>
      <c r="F1076" s="28"/>
      <c r="G1076" s="28"/>
    </row>
    <row r="1077" spans="1:7" x14ac:dyDescent="0.25">
      <c r="A1077" s="28"/>
      <c r="B1077" s="28"/>
      <c r="C1077" s="28"/>
      <c r="D1077" s="28"/>
      <c r="E1077" s="28"/>
      <c r="F1077" s="28"/>
      <c r="G1077" s="28"/>
    </row>
    <row r="1078" spans="1:7" x14ac:dyDescent="0.25">
      <c r="A1078" s="28"/>
      <c r="B1078" s="28"/>
      <c r="C1078" s="28"/>
      <c r="D1078" s="28"/>
      <c r="E1078" s="28"/>
      <c r="F1078" s="28"/>
      <c r="G1078" s="28"/>
    </row>
    <row r="1079" spans="1:7" x14ac:dyDescent="0.25">
      <c r="A1079" s="28"/>
      <c r="B1079" s="28"/>
      <c r="C1079" s="28"/>
      <c r="D1079" s="28"/>
      <c r="E1079" s="28"/>
      <c r="F1079" s="28"/>
      <c r="G1079" s="28"/>
    </row>
    <row r="1080" spans="1:7" x14ac:dyDescent="0.25">
      <c r="A1080" s="28"/>
      <c r="B1080" s="28"/>
      <c r="C1080" s="28"/>
      <c r="D1080" s="28"/>
      <c r="E1080" s="28"/>
      <c r="F1080" s="28"/>
      <c r="G1080" s="28"/>
    </row>
    <row r="1081" spans="1:7" x14ac:dyDescent="0.25">
      <c r="A1081" s="28"/>
      <c r="B1081" s="28"/>
      <c r="C1081" s="28"/>
      <c r="D1081" s="28"/>
      <c r="E1081" s="28"/>
      <c r="F1081" s="28"/>
      <c r="G1081" s="28"/>
    </row>
    <row r="1082" spans="1:7" x14ac:dyDescent="0.25">
      <c r="A1082" s="28"/>
      <c r="B1082" s="28"/>
      <c r="C1082" s="28"/>
      <c r="D1082" s="28"/>
      <c r="E1082" s="28"/>
      <c r="F1082" s="28"/>
      <c r="G1082" s="28"/>
    </row>
    <row r="1083" spans="1:7" x14ac:dyDescent="0.25">
      <c r="A1083" s="28"/>
      <c r="B1083" s="28"/>
      <c r="C1083" s="28"/>
      <c r="D1083" s="28"/>
      <c r="E1083" s="28"/>
      <c r="F1083" s="28"/>
      <c r="G1083" s="28"/>
    </row>
    <row r="1084" spans="1:7" x14ac:dyDescent="0.25">
      <c r="A1084" s="28"/>
      <c r="B1084" s="28"/>
      <c r="C1084" s="28"/>
      <c r="D1084" s="28"/>
      <c r="E1084" s="28"/>
      <c r="F1084" s="28"/>
      <c r="G1084" s="28"/>
    </row>
    <row r="1085" spans="1:7" x14ac:dyDescent="0.25">
      <c r="A1085" s="28"/>
      <c r="B1085" s="28"/>
      <c r="C1085" s="28"/>
      <c r="D1085" s="28"/>
      <c r="E1085" s="28"/>
      <c r="F1085" s="28"/>
      <c r="G1085" s="28"/>
    </row>
    <row r="1086" spans="1:7" x14ac:dyDescent="0.25">
      <c r="A1086" s="28"/>
      <c r="B1086" s="28"/>
      <c r="C1086" s="28"/>
      <c r="D1086" s="28"/>
      <c r="E1086" s="28"/>
      <c r="F1086" s="28"/>
      <c r="G1086" s="28"/>
    </row>
    <row r="1087" spans="1:7" x14ac:dyDescent="0.25">
      <c r="A1087" s="28"/>
      <c r="B1087" s="28"/>
      <c r="C1087" s="28"/>
      <c r="D1087" s="28"/>
      <c r="E1087" s="28"/>
      <c r="F1087" s="28"/>
      <c r="G1087" s="28"/>
    </row>
    <row r="1088" spans="1:7" x14ac:dyDescent="0.25">
      <c r="A1088" s="28"/>
      <c r="B1088" s="28"/>
      <c r="C1088" s="28"/>
      <c r="D1088" s="28"/>
      <c r="E1088" s="28"/>
      <c r="F1088" s="28"/>
      <c r="G1088" s="28"/>
    </row>
    <row r="1089" spans="1:7" x14ac:dyDescent="0.25">
      <c r="A1089" s="28"/>
      <c r="B1089" s="28"/>
      <c r="C1089" s="28"/>
      <c r="D1089" s="28"/>
      <c r="E1089" s="28"/>
      <c r="F1089" s="28"/>
      <c r="G1089" s="28"/>
    </row>
    <row r="1090" spans="1:7" x14ac:dyDescent="0.25">
      <c r="A1090" s="28"/>
      <c r="B1090" s="28"/>
      <c r="C1090" s="28"/>
      <c r="D1090" s="28"/>
      <c r="E1090" s="28"/>
      <c r="F1090" s="28"/>
      <c r="G1090" s="28"/>
    </row>
    <row r="1091" spans="1:7" x14ac:dyDescent="0.25">
      <c r="A1091" s="28"/>
      <c r="B1091" s="28"/>
      <c r="C1091" s="28"/>
      <c r="D1091" s="28"/>
      <c r="E1091" s="28"/>
      <c r="F1091" s="28"/>
      <c r="G1091" s="28"/>
    </row>
    <row r="1092" spans="1:7" x14ac:dyDescent="0.25">
      <c r="A1092" s="28"/>
      <c r="B1092" s="28"/>
      <c r="C1092" s="28"/>
      <c r="D1092" s="28"/>
      <c r="E1092" s="28"/>
      <c r="F1092" s="28"/>
      <c r="G1092" s="28"/>
    </row>
    <row r="1093" spans="1:7" x14ac:dyDescent="0.25">
      <c r="A1093" s="28"/>
      <c r="B1093" s="28"/>
      <c r="C1093" s="28"/>
      <c r="D1093" s="28"/>
      <c r="E1093" s="28"/>
      <c r="F1093" s="28"/>
      <c r="G1093" s="28"/>
    </row>
    <row r="1094" spans="1:7" x14ac:dyDescent="0.25">
      <c r="A1094" s="28"/>
      <c r="B1094" s="28"/>
      <c r="C1094" s="28"/>
      <c r="D1094" s="28"/>
      <c r="E1094" s="28"/>
      <c r="F1094" s="28"/>
      <c r="G1094" s="28"/>
    </row>
    <row r="1095" spans="1:7" x14ac:dyDescent="0.25">
      <c r="A1095" s="28"/>
      <c r="B1095" s="28"/>
      <c r="C1095" s="28"/>
      <c r="D1095" s="28"/>
      <c r="E1095" s="28"/>
      <c r="F1095" s="28"/>
      <c r="G1095" s="28"/>
    </row>
    <row r="1096" spans="1:7" x14ac:dyDescent="0.25">
      <c r="A1096" s="28"/>
      <c r="B1096" s="28"/>
      <c r="C1096" s="28"/>
      <c r="D1096" s="28"/>
      <c r="E1096" s="28"/>
      <c r="F1096" s="28"/>
      <c r="G1096" s="28"/>
    </row>
    <row r="1097" spans="1:7" x14ac:dyDescent="0.25">
      <c r="A1097" s="28"/>
      <c r="B1097" s="28"/>
      <c r="C1097" s="28"/>
      <c r="D1097" s="28"/>
      <c r="E1097" s="28"/>
      <c r="F1097" s="28"/>
      <c r="G1097" s="28"/>
    </row>
    <row r="1098" spans="1:7" x14ac:dyDescent="0.25">
      <c r="A1098" s="28"/>
      <c r="B1098" s="28"/>
      <c r="C1098" s="28"/>
      <c r="D1098" s="28"/>
      <c r="E1098" s="28"/>
      <c r="F1098" s="28"/>
      <c r="G1098" s="28"/>
    </row>
    <row r="1099" spans="1:7" x14ac:dyDescent="0.25">
      <c r="A1099" s="28"/>
      <c r="B1099" s="28"/>
      <c r="C1099" s="28"/>
      <c r="D1099" s="28"/>
      <c r="E1099" s="28"/>
      <c r="F1099" s="28"/>
      <c r="G1099" s="28"/>
    </row>
    <row r="1100" spans="1:7" x14ac:dyDescent="0.25">
      <c r="A1100" s="28"/>
      <c r="B1100" s="28"/>
      <c r="C1100" s="28"/>
      <c r="D1100" s="28"/>
      <c r="E1100" s="28"/>
      <c r="F1100" s="28"/>
      <c r="G1100" s="28"/>
    </row>
    <row r="1101" spans="1:7" x14ac:dyDescent="0.25">
      <c r="A1101" s="28"/>
      <c r="B1101" s="28"/>
      <c r="C1101" s="28"/>
      <c r="D1101" s="28"/>
      <c r="E1101" s="28"/>
      <c r="F1101" s="28"/>
      <c r="G1101" s="28"/>
    </row>
    <row r="1102" spans="1:7" x14ac:dyDescent="0.25">
      <c r="A1102" s="28"/>
      <c r="B1102" s="28"/>
      <c r="C1102" s="28"/>
      <c r="D1102" s="28"/>
      <c r="E1102" s="28"/>
      <c r="F1102" s="28"/>
      <c r="G1102" s="28"/>
    </row>
    <row r="1103" spans="1:7" x14ac:dyDescent="0.25">
      <c r="A1103" s="28"/>
      <c r="B1103" s="28"/>
      <c r="C1103" s="28"/>
      <c r="D1103" s="28"/>
      <c r="E1103" s="28"/>
      <c r="F1103" s="28"/>
      <c r="G1103" s="28"/>
    </row>
    <row r="1104" spans="1:7" x14ac:dyDescent="0.25">
      <c r="A1104" s="28"/>
      <c r="B1104" s="28"/>
      <c r="C1104" s="28"/>
      <c r="D1104" s="28"/>
      <c r="E1104" s="28"/>
      <c r="F1104" s="28"/>
      <c r="G1104" s="28"/>
    </row>
    <row r="1105" spans="1:7" x14ac:dyDescent="0.25">
      <c r="A1105" s="28"/>
      <c r="B1105" s="28"/>
      <c r="C1105" s="28"/>
      <c r="D1105" s="28"/>
      <c r="E1105" s="28"/>
      <c r="F1105" s="28"/>
      <c r="G1105" s="28"/>
    </row>
    <row r="1106" spans="1:7" x14ac:dyDescent="0.25">
      <c r="A1106" s="28"/>
      <c r="B1106" s="28"/>
      <c r="C1106" s="28"/>
      <c r="D1106" s="28"/>
      <c r="E1106" s="28"/>
      <c r="F1106" s="28"/>
      <c r="G1106" s="28"/>
    </row>
    <row r="1107" spans="1:7" x14ac:dyDescent="0.25">
      <c r="A1107" s="28"/>
      <c r="B1107" s="28"/>
      <c r="C1107" s="28"/>
      <c r="D1107" s="28"/>
      <c r="E1107" s="28"/>
      <c r="F1107" s="28"/>
      <c r="G1107" s="28"/>
    </row>
    <row r="1108" spans="1:7" x14ac:dyDescent="0.25">
      <c r="A1108" s="28"/>
      <c r="B1108" s="28"/>
      <c r="C1108" s="28"/>
      <c r="D1108" s="28"/>
      <c r="E1108" s="28"/>
      <c r="F1108" s="28"/>
      <c r="G1108" s="28"/>
    </row>
    <row r="1109" spans="1:7" x14ac:dyDescent="0.25">
      <c r="A1109" s="28"/>
      <c r="B1109" s="28"/>
      <c r="C1109" s="28"/>
      <c r="D1109" s="28"/>
      <c r="E1109" s="28"/>
      <c r="F1109" s="28"/>
      <c r="G1109" s="28"/>
    </row>
    <row r="1110" spans="1:7" x14ac:dyDescent="0.25">
      <c r="A1110" s="28"/>
      <c r="B1110" s="28"/>
      <c r="C1110" s="28"/>
      <c r="D1110" s="28"/>
      <c r="E1110" s="28"/>
      <c r="F1110" s="28"/>
      <c r="G1110" s="28"/>
    </row>
    <row r="1111" spans="1:7" x14ac:dyDescent="0.25">
      <c r="A1111" s="28"/>
      <c r="B1111" s="28"/>
      <c r="C1111" s="28"/>
      <c r="D1111" s="28"/>
      <c r="E1111" s="28"/>
      <c r="F1111" s="28"/>
      <c r="G1111" s="28"/>
    </row>
    <row r="1112" spans="1:7" x14ac:dyDescent="0.25">
      <c r="A1112" s="28"/>
      <c r="B1112" s="28"/>
      <c r="C1112" s="28"/>
      <c r="D1112" s="28"/>
      <c r="E1112" s="28"/>
      <c r="F1112" s="28"/>
      <c r="G1112" s="28"/>
    </row>
    <row r="1113" spans="1:7" x14ac:dyDescent="0.25">
      <c r="A1113" s="28"/>
      <c r="B1113" s="28"/>
      <c r="C1113" s="28"/>
      <c r="D1113" s="28"/>
      <c r="E1113" s="28"/>
      <c r="F1113" s="28"/>
      <c r="G1113" s="28"/>
    </row>
    <row r="1114" spans="1:7" x14ac:dyDescent="0.25">
      <c r="A1114" s="28"/>
      <c r="B1114" s="28"/>
      <c r="C1114" s="28"/>
      <c r="D1114" s="28"/>
      <c r="E1114" s="28"/>
      <c r="F1114" s="28"/>
      <c r="G1114" s="28"/>
    </row>
    <row r="1115" spans="1:7" x14ac:dyDescent="0.25">
      <c r="A1115" s="28"/>
      <c r="B1115" s="28"/>
      <c r="C1115" s="28"/>
      <c r="D1115" s="28"/>
      <c r="E1115" s="28"/>
      <c r="F1115" s="28"/>
      <c r="G1115" s="28"/>
    </row>
    <row r="1116" spans="1:7" x14ac:dyDescent="0.25">
      <c r="A1116" s="28"/>
      <c r="B1116" s="28"/>
      <c r="C1116" s="28"/>
      <c r="D1116" s="28"/>
      <c r="E1116" s="28"/>
      <c r="F1116" s="28"/>
      <c r="G1116" s="28"/>
    </row>
    <row r="1117" spans="1:7" x14ac:dyDescent="0.25">
      <c r="A1117" s="28"/>
      <c r="B1117" s="28"/>
      <c r="C1117" s="28"/>
      <c r="D1117" s="28"/>
      <c r="E1117" s="28"/>
      <c r="F1117" s="28"/>
      <c r="G1117" s="28"/>
    </row>
    <row r="1118" spans="1:7" x14ac:dyDescent="0.25">
      <c r="A1118" s="28"/>
      <c r="B1118" s="28"/>
      <c r="C1118" s="28"/>
      <c r="D1118" s="28"/>
      <c r="E1118" s="28"/>
      <c r="F1118" s="28"/>
      <c r="G1118" s="28"/>
    </row>
    <row r="1119" spans="1:7" x14ac:dyDescent="0.25">
      <c r="A1119" s="28"/>
      <c r="B1119" s="28"/>
      <c r="C1119" s="28"/>
      <c r="D1119" s="28"/>
      <c r="E1119" s="28"/>
      <c r="F1119" s="28"/>
      <c r="G1119" s="28"/>
    </row>
    <row r="1120" spans="1:7" x14ac:dyDescent="0.25">
      <c r="A1120" s="28"/>
      <c r="B1120" s="28"/>
      <c r="C1120" s="28"/>
      <c r="D1120" s="28"/>
      <c r="E1120" s="28"/>
      <c r="F1120" s="28"/>
      <c r="G1120" s="28"/>
    </row>
    <row r="1121" spans="1:7" x14ac:dyDescent="0.25">
      <c r="A1121" s="28"/>
      <c r="B1121" s="28"/>
      <c r="C1121" s="28"/>
      <c r="D1121" s="28"/>
      <c r="E1121" s="28"/>
      <c r="F1121" s="28"/>
      <c r="G1121" s="28"/>
    </row>
    <row r="1122" spans="1:7" x14ac:dyDescent="0.25">
      <c r="A1122" s="28"/>
      <c r="B1122" s="28"/>
      <c r="C1122" s="28"/>
      <c r="D1122" s="28"/>
      <c r="E1122" s="28"/>
      <c r="F1122" s="28"/>
      <c r="G1122" s="28"/>
    </row>
    <row r="1123" spans="1:7" x14ac:dyDescent="0.25">
      <c r="A1123" s="28"/>
      <c r="B1123" s="28"/>
      <c r="C1123" s="28"/>
      <c r="D1123" s="28"/>
      <c r="E1123" s="28"/>
      <c r="F1123" s="28"/>
      <c r="G1123" s="28"/>
    </row>
    <row r="1124" spans="1:7" x14ac:dyDescent="0.25">
      <c r="A1124" s="28"/>
      <c r="B1124" s="28"/>
      <c r="C1124" s="28"/>
      <c r="D1124" s="28"/>
      <c r="E1124" s="28"/>
      <c r="F1124" s="28"/>
      <c r="G1124" s="28"/>
    </row>
    <row r="1125" spans="1:7" x14ac:dyDescent="0.25">
      <c r="A1125" s="28"/>
      <c r="B1125" s="28"/>
      <c r="C1125" s="28"/>
      <c r="D1125" s="28"/>
      <c r="E1125" s="28"/>
      <c r="F1125" s="28"/>
      <c r="G1125" s="28"/>
    </row>
    <row r="1126" spans="1:7" x14ac:dyDescent="0.25">
      <c r="A1126" s="28"/>
      <c r="B1126" s="28"/>
      <c r="C1126" s="28"/>
      <c r="D1126" s="28"/>
      <c r="E1126" s="28"/>
      <c r="F1126" s="28"/>
      <c r="G1126" s="28"/>
    </row>
    <row r="1127" spans="1:7" x14ac:dyDescent="0.25">
      <c r="A1127" s="28"/>
      <c r="B1127" s="28"/>
      <c r="C1127" s="28"/>
      <c r="D1127" s="28"/>
      <c r="E1127" s="28"/>
      <c r="F1127" s="28"/>
      <c r="G1127" s="28"/>
    </row>
    <row r="1128" spans="1:7" x14ac:dyDescent="0.25">
      <c r="A1128" s="28"/>
      <c r="B1128" s="28"/>
      <c r="C1128" s="28"/>
      <c r="D1128" s="28"/>
      <c r="E1128" s="28"/>
      <c r="F1128" s="28"/>
      <c r="G1128" s="28"/>
    </row>
    <row r="1129" spans="1:7" x14ac:dyDescent="0.25">
      <c r="A1129" s="28"/>
      <c r="B1129" s="28"/>
      <c r="C1129" s="28"/>
      <c r="D1129" s="28"/>
      <c r="E1129" s="28"/>
      <c r="F1129" s="28"/>
      <c r="G1129" s="28"/>
    </row>
    <row r="1130" spans="1:7" x14ac:dyDescent="0.25">
      <c r="A1130" s="28"/>
      <c r="B1130" s="28"/>
      <c r="C1130" s="28"/>
      <c r="D1130" s="28"/>
      <c r="E1130" s="28"/>
      <c r="F1130" s="28"/>
      <c r="G1130" s="28"/>
    </row>
    <row r="1131" spans="1:7" x14ac:dyDescent="0.25">
      <c r="A1131" s="28"/>
      <c r="B1131" s="28"/>
      <c r="C1131" s="28"/>
      <c r="D1131" s="28"/>
      <c r="E1131" s="28"/>
      <c r="F1131" s="28"/>
      <c r="G1131" s="28"/>
    </row>
    <row r="1132" spans="1:7" x14ac:dyDescent="0.25">
      <c r="A1132" s="28"/>
      <c r="B1132" s="28"/>
      <c r="C1132" s="28"/>
      <c r="D1132" s="28"/>
      <c r="E1132" s="28"/>
      <c r="F1132" s="28"/>
      <c r="G1132" s="28"/>
    </row>
    <row r="1133" spans="1:7" x14ac:dyDescent="0.25">
      <c r="A1133" s="28"/>
      <c r="B1133" s="28"/>
      <c r="C1133" s="28"/>
      <c r="D1133" s="28"/>
      <c r="E1133" s="28"/>
      <c r="F1133" s="28"/>
      <c r="G1133" s="28"/>
    </row>
    <row r="1134" spans="1:7" x14ac:dyDescent="0.25">
      <c r="A1134" s="28"/>
      <c r="B1134" s="28"/>
      <c r="C1134" s="28"/>
      <c r="D1134" s="28"/>
      <c r="E1134" s="28"/>
      <c r="F1134" s="28"/>
      <c r="G1134" s="28"/>
    </row>
    <row r="1135" spans="1:7" x14ac:dyDescent="0.25">
      <c r="A1135" s="28"/>
      <c r="B1135" s="28"/>
      <c r="C1135" s="28"/>
      <c r="D1135" s="28"/>
      <c r="E1135" s="28"/>
      <c r="F1135" s="28"/>
      <c r="G1135" s="28"/>
    </row>
    <row r="1136" spans="1:7" x14ac:dyDescent="0.25">
      <c r="A1136" s="28"/>
      <c r="B1136" s="28"/>
      <c r="C1136" s="28"/>
      <c r="D1136" s="28"/>
      <c r="E1136" s="28"/>
      <c r="F1136" s="28"/>
      <c r="G1136" s="28"/>
    </row>
    <row r="1137" spans="1:7" x14ac:dyDescent="0.25">
      <c r="A1137" s="28"/>
      <c r="B1137" s="28"/>
      <c r="C1137" s="28"/>
      <c r="D1137" s="28"/>
      <c r="E1137" s="28"/>
      <c r="F1137" s="28"/>
      <c r="G1137" s="28"/>
    </row>
    <row r="1138" spans="1:7" x14ac:dyDescent="0.25">
      <c r="A1138" s="28"/>
      <c r="B1138" s="28"/>
      <c r="C1138" s="28"/>
      <c r="D1138" s="28"/>
      <c r="E1138" s="28"/>
      <c r="F1138" s="28"/>
      <c r="G1138" s="28"/>
    </row>
    <row r="1139" spans="1:7" x14ac:dyDescent="0.25">
      <c r="A1139" s="28"/>
      <c r="B1139" s="28"/>
      <c r="C1139" s="28"/>
      <c r="D1139" s="28"/>
      <c r="E1139" s="28"/>
      <c r="F1139" s="28"/>
      <c r="G1139" s="28"/>
    </row>
    <row r="1140" spans="1:7" x14ac:dyDescent="0.25">
      <c r="A1140" s="28"/>
      <c r="B1140" s="28"/>
      <c r="C1140" s="28"/>
      <c r="D1140" s="28"/>
      <c r="E1140" s="28"/>
      <c r="F1140" s="28"/>
      <c r="G1140" s="28"/>
    </row>
    <row r="1141" spans="1:7" x14ac:dyDescent="0.25">
      <c r="A1141" s="28"/>
      <c r="B1141" s="28"/>
      <c r="C1141" s="28"/>
      <c r="D1141" s="28"/>
      <c r="E1141" s="28"/>
      <c r="F1141" s="28"/>
      <c r="G1141" s="28"/>
    </row>
    <row r="1142" spans="1:7" x14ac:dyDescent="0.25">
      <c r="A1142" s="28"/>
      <c r="B1142" s="28"/>
      <c r="C1142" s="28"/>
      <c r="D1142" s="28"/>
      <c r="E1142" s="28"/>
      <c r="F1142" s="28"/>
      <c r="G1142" s="28"/>
    </row>
    <row r="1143" spans="1:7" x14ac:dyDescent="0.25">
      <c r="A1143" s="28"/>
      <c r="B1143" s="28"/>
      <c r="C1143" s="28"/>
      <c r="D1143" s="28"/>
      <c r="E1143" s="28"/>
      <c r="F1143" s="28"/>
      <c r="G1143" s="28"/>
    </row>
    <row r="1144" spans="1:7" x14ac:dyDescent="0.25">
      <c r="A1144" s="28"/>
      <c r="B1144" s="28"/>
      <c r="C1144" s="28"/>
      <c r="D1144" s="28"/>
      <c r="E1144" s="28"/>
      <c r="F1144" s="28"/>
      <c r="G1144" s="28"/>
    </row>
    <row r="1145" spans="1:7" x14ac:dyDescent="0.25">
      <c r="A1145" s="28"/>
      <c r="B1145" s="28"/>
      <c r="C1145" s="28"/>
      <c r="D1145" s="28"/>
      <c r="E1145" s="28"/>
      <c r="F1145" s="28"/>
      <c r="G1145" s="28"/>
    </row>
    <row r="1146" spans="1:7" x14ac:dyDescent="0.25">
      <c r="A1146" s="28"/>
      <c r="B1146" s="28"/>
      <c r="C1146" s="28"/>
      <c r="D1146" s="28"/>
      <c r="E1146" s="28"/>
      <c r="F1146" s="28"/>
      <c r="G1146" s="28"/>
    </row>
    <row r="1147" spans="1:7" x14ac:dyDescent="0.25">
      <c r="A1147" s="28"/>
      <c r="B1147" s="28"/>
      <c r="C1147" s="28"/>
      <c r="D1147" s="28"/>
      <c r="E1147" s="28"/>
      <c r="F1147" s="28"/>
      <c r="G1147" s="28"/>
    </row>
    <row r="1148" spans="1:7" x14ac:dyDescent="0.25">
      <c r="A1148" s="28"/>
      <c r="B1148" s="28"/>
      <c r="C1148" s="28"/>
      <c r="D1148" s="28"/>
      <c r="E1148" s="28"/>
      <c r="F1148" s="28"/>
      <c r="G1148" s="28"/>
    </row>
    <row r="1149" spans="1:7" x14ac:dyDescent="0.25">
      <c r="A1149" s="28"/>
      <c r="B1149" s="28"/>
      <c r="C1149" s="28"/>
      <c r="D1149" s="28"/>
      <c r="E1149" s="28"/>
      <c r="F1149" s="28"/>
      <c r="G1149" s="28"/>
    </row>
    <row r="1150" spans="1:7" x14ac:dyDescent="0.25">
      <c r="A1150" s="28"/>
      <c r="B1150" s="28"/>
      <c r="C1150" s="28"/>
      <c r="D1150" s="28"/>
      <c r="E1150" s="28"/>
      <c r="F1150" s="28"/>
      <c r="G1150" s="28"/>
    </row>
    <row r="1151" spans="1:7" x14ac:dyDescent="0.25">
      <c r="A1151" s="28"/>
      <c r="B1151" s="28"/>
      <c r="C1151" s="28"/>
      <c r="D1151" s="28"/>
      <c r="E1151" s="28"/>
      <c r="F1151" s="28"/>
      <c r="G1151" s="28"/>
    </row>
    <row r="1152" spans="1:7" x14ac:dyDescent="0.25">
      <c r="A1152" s="28"/>
      <c r="B1152" s="28"/>
      <c r="C1152" s="28"/>
      <c r="D1152" s="28"/>
      <c r="E1152" s="28"/>
      <c r="F1152" s="28"/>
      <c r="G1152" s="28"/>
    </row>
    <row r="1153" spans="1:7" x14ac:dyDescent="0.25">
      <c r="A1153" s="28"/>
      <c r="B1153" s="28"/>
      <c r="C1153" s="28"/>
      <c r="D1153" s="28"/>
      <c r="E1153" s="28"/>
      <c r="F1153" s="28"/>
      <c r="G1153" s="28"/>
    </row>
    <row r="1154" spans="1:7" x14ac:dyDescent="0.25">
      <c r="A1154" s="28"/>
      <c r="B1154" s="28"/>
      <c r="C1154" s="28"/>
      <c r="D1154" s="28"/>
      <c r="E1154" s="28"/>
      <c r="F1154" s="28"/>
      <c r="G1154" s="28"/>
    </row>
    <row r="1155" spans="1:7" x14ac:dyDescent="0.25">
      <c r="A1155" s="28"/>
      <c r="B1155" s="28"/>
      <c r="C1155" s="28"/>
      <c r="D1155" s="28"/>
      <c r="E1155" s="28"/>
      <c r="F1155" s="28"/>
      <c r="G1155" s="28"/>
    </row>
    <row r="1156" spans="1:7" x14ac:dyDescent="0.25">
      <c r="A1156" s="28"/>
      <c r="B1156" s="28"/>
      <c r="C1156" s="28"/>
      <c r="D1156" s="28"/>
      <c r="E1156" s="28"/>
      <c r="F1156" s="28"/>
      <c r="G1156" s="28"/>
    </row>
    <row r="1157" spans="1:7" x14ac:dyDescent="0.25">
      <c r="A1157" s="28"/>
      <c r="B1157" s="28"/>
      <c r="C1157" s="28"/>
      <c r="D1157" s="28"/>
      <c r="E1157" s="28"/>
      <c r="F1157" s="28"/>
      <c r="G1157" s="28"/>
    </row>
    <row r="1158" spans="1:7" x14ac:dyDescent="0.25">
      <c r="A1158" s="28"/>
      <c r="B1158" s="28"/>
      <c r="C1158" s="28"/>
      <c r="D1158" s="28"/>
      <c r="E1158" s="28"/>
      <c r="F1158" s="28"/>
      <c r="G1158" s="28"/>
    </row>
    <row r="1159" spans="1:7" x14ac:dyDescent="0.25">
      <c r="A1159" s="28"/>
      <c r="B1159" s="28"/>
      <c r="C1159" s="28"/>
      <c r="D1159" s="28"/>
      <c r="E1159" s="28"/>
      <c r="F1159" s="28"/>
      <c r="G1159" s="28"/>
    </row>
    <row r="1160" spans="1:7" x14ac:dyDescent="0.25">
      <c r="A1160" s="28"/>
      <c r="B1160" s="28"/>
      <c r="C1160" s="28"/>
      <c r="D1160" s="28"/>
      <c r="E1160" s="28"/>
      <c r="F1160" s="28"/>
      <c r="G1160" s="28"/>
    </row>
    <row r="1161" spans="1:7" x14ac:dyDescent="0.25">
      <c r="A1161" s="28"/>
      <c r="B1161" s="28"/>
      <c r="C1161" s="28"/>
      <c r="D1161" s="28"/>
      <c r="E1161" s="28"/>
      <c r="F1161" s="28"/>
      <c r="G1161" s="28"/>
    </row>
    <row r="1162" spans="1:7" x14ac:dyDescent="0.25">
      <c r="A1162" s="28"/>
      <c r="B1162" s="28"/>
      <c r="C1162" s="28"/>
      <c r="D1162" s="28"/>
      <c r="E1162" s="28"/>
      <c r="F1162" s="28"/>
      <c r="G1162" s="28"/>
    </row>
    <row r="1163" spans="1:7" x14ac:dyDescent="0.25">
      <c r="A1163" s="28"/>
      <c r="B1163" s="28"/>
      <c r="C1163" s="28"/>
      <c r="D1163" s="28"/>
      <c r="E1163" s="28"/>
      <c r="F1163" s="28"/>
      <c r="G1163" s="28"/>
    </row>
    <row r="1164" spans="1:7" x14ac:dyDescent="0.25">
      <c r="A1164" s="28"/>
      <c r="B1164" s="28"/>
      <c r="C1164" s="28"/>
      <c r="D1164" s="28"/>
      <c r="E1164" s="28"/>
      <c r="F1164" s="28"/>
      <c r="G1164" s="28"/>
    </row>
    <row r="1165" spans="1:7" x14ac:dyDescent="0.25">
      <c r="A1165" s="28"/>
      <c r="B1165" s="28"/>
      <c r="C1165" s="28"/>
      <c r="D1165" s="28"/>
      <c r="E1165" s="28"/>
      <c r="F1165" s="28"/>
      <c r="G1165" s="28"/>
    </row>
    <row r="1166" spans="1:7" x14ac:dyDescent="0.25">
      <c r="A1166" s="28"/>
      <c r="B1166" s="28"/>
      <c r="C1166" s="28"/>
      <c r="D1166" s="28"/>
      <c r="E1166" s="28"/>
      <c r="F1166" s="28"/>
      <c r="G1166" s="28"/>
    </row>
    <row r="1167" spans="1:7" x14ac:dyDescent="0.25">
      <c r="A1167" s="28"/>
      <c r="B1167" s="28"/>
      <c r="C1167" s="28"/>
      <c r="D1167" s="28"/>
      <c r="E1167" s="28"/>
      <c r="F1167" s="28"/>
      <c r="G1167" s="28"/>
    </row>
    <row r="1168" spans="1:7" x14ac:dyDescent="0.25">
      <c r="A1168" s="28"/>
      <c r="B1168" s="28"/>
      <c r="C1168" s="28"/>
      <c r="D1168" s="28"/>
      <c r="E1168" s="28"/>
      <c r="F1168" s="28"/>
      <c r="G1168" s="28"/>
    </row>
    <row r="1169" spans="1:7" x14ac:dyDescent="0.25">
      <c r="A1169" s="28"/>
      <c r="B1169" s="28"/>
      <c r="C1169" s="28"/>
      <c r="D1169" s="28"/>
      <c r="E1169" s="28"/>
      <c r="F1169" s="28"/>
      <c r="G1169" s="28"/>
    </row>
    <row r="1170" spans="1:7" x14ac:dyDescent="0.25">
      <c r="A1170" s="28"/>
      <c r="B1170" s="28"/>
      <c r="C1170" s="28"/>
      <c r="D1170" s="28"/>
      <c r="E1170" s="28"/>
      <c r="F1170" s="28"/>
      <c r="G1170" s="28"/>
    </row>
    <row r="1171" spans="1:7" x14ac:dyDescent="0.25">
      <c r="A1171" s="28"/>
      <c r="B1171" s="28"/>
      <c r="C1171" s="28"/>
      <c r="D1171" s="28"/>
      <c r="E1171" s="28"/>
      <c r="F1171" s="28"/>
      <c r="G1171" s="28"/>
    </row>
    <row r="1172" spans="1:7" x14ac:dyDescent="0.25">
      <c r="A1172" s="28"/>
      <c r="B1172" s="28"/>
      <c r="C1172" s="28"/>
      <c r="D1172" s="28"/>
      <c r="E1172" s="28"/>
      <c r="F1172" s="28"/>
      <c r="G1172" s="28"/>
    </row>
    <row r="1173" spans="1:7" x14ac:dyDescent="0.25">
      <c r="A1173" s="28"/>
      <c r="B1173" s="28"/>
      <c r="C1173" s="28"/>
      <c r="D1173" s="28"/>
      <c r="E1173" s="28"/>
      <c r="F1173" s="28"/>
      <c r="G1173" s="28"/>
    </row>
    <row r="1174" spans="1:7" x14ac:dyDescent="0.25">
      <c r="A1174" s="28"/>
      <c r="B1174" s="28"/>
      <c r="C1174" s="28"/>
      <c r="D1174" s="28"/>
      <c r="E1174" s="28"/>
      <c r="F1174" s="28"/>
      <c r="G1174" s="28"/>
    </row>
    <row r="1175" spans="1:7" x14ac:dyDescent="0.25">
      <c r="A1175" s="28"/>
      <c r="B1175" s="28"/>
      <c r="C1175" s="28"/>
      <c r="D1175" s="28"/>
      <c r="E1175" s="28"/>
      <c r="F1175" s="28"/>
      <c r="G1175" s="28"/>
    </row>
    <row r="1176" spans="1:7" x14ac:dyDescent="0.25">
      <c r="A1176" s="28"/>
      <c r="B1176" s="28"/>
      <c r="C1176" s="28"/>
      <c r="D1176" s="28"/>
      <c r="E1176" s="28"/>
      <c r="F1176" s="28"/>
      <c r="G1176" s="28"/>
    </row>
    <row r="1177" spans="1:7" x14ac:dyDescent="0.25">
      <c r="A1177" s="28"/>
      <c r="B1177" s="28"/>
      <c r="C1177" s="28"/>
      <c r="D1177" s="28"/>
      <c r="E1177" s="28"/>
      <c r="F1177" s="28"/>
      <c r="G1177" s="28"/>
    </row>
    <row r="1178" spans="1:7" x14ac:dyDescent="0.25">
      <c r="A1178" s="28"/>
      <c r="B1178" s="28"/>
      <c r="C1178" s="28"/>
      <c r="D1178" s="28"/>
      <c r="E1178" s="28"/>
      <c r="F1178" s="28"/>
      <c r="G1178" s="28"/>
    </row>
    <row r="1179" spans="1:7" x14ac:dyDescent="0.25">
      <c r="A1179" s="28"/>
      <c r="B1179" s="28"/>
      <c r="C1179" s="28"/>
      <c r="D1179" s="28"/>
      <c r="E1179" s="28"/>
      <c r="F1179" s="28"/>
      <c r="G1179" s="28"/>
    </row>
    <row r="1180" spans="1:7" x14ac:dyDescent="0.25">
      <c r="A1180" s="28"/>
      <c r="B1180" s="28"/>
      <c r="C1180" s="28"/>
      <c r="D1180" s="28"/>
      <c r="E1180" s="28"/>
      <c r="F1180" s="28"/>
      <c r="G1180" s="28"/>
    </row>
    <row r="1181" spans="1:7" x14ac:dyDescent="0.25">
      <c r="A1181" s="28"/>
      <c r="B1181" s="28"/>
      <c r="C1181" s="28"/>
      <c r="D1181" s="28"/>
      <c r="E1181" s="28"/>
      <c r="F1181" s="28"/>
      <c r="G1181" s="28"/>
    </row>
    <row r="1182" spans="1:7" x14ac:dyDescent="0.25">
      <c r="A1182" s="28"/>
      <c r="B1182" s="28"/>
      <c r="C1182" s="28"/>
      <c r="D1182" s="28"/>
      <c r="E1182" s="28"/>
      <c r="F1182" s="28"/>
      <c r="G1182" s="28"/>
    </row>
    <row r="1183" spans="1:7" x14ac:dyDescent="0.25">
      <c r="A1183" s="28"/>
      <c r="B1183" s="28"/>
      <c r="C1183" s="28"/>
      <c r="D1183" s="28"/>
      <c r="E1183" s="28"/>
      <c r="F1183" s="28"/>
      <c r="G1183" s="28"/>
    </row>
    <row r="1184" spans="1:7" x14ac:dyDescent="0.25">
      <c r="A1184" s="28"/>
      <c r="B1184" s="28"/>
      <c r="C1184" s="28"/>
      <c r="D1184" s="28"/>
      <c r="E1184" s="28"/>
      <c r="F1184" s="28"/>
      <c r="G1184" s="28"/>
    </row>
    <row r="1185" spans="1:7" x14ac:dyDescent="0.25">
      <c r="A1185" s="28"/>
      <c r="B1185" s="28"/>
      <c r="C1185" s="28"/>
      <c r="D1185" s="28"/>
      <c r="E1185" s="28"/>
      <c r="F1185" s="28"/>
      <c r="G1185" s="28"/>
    </row>
    <row r="1186" spans="1:7" x14ac:dyDescent="0.25">
      <c r="A1186" s="28"/>
      <c r="B1186" s="28"/>
      <c r="C1186" s="28"/>
      <c r="D1186" s="28"/>
      <c r="E1186" s="28"/>
      <c r="F1186" s="28"/>
      <c r="G1186" s="28"/>
    </row>
    <row r="1187" spans="1:7" x14ac:dyDescent="0.25">
      <c r="A1187" s="28"/>
      <c r="B1187" s="28"/>
      <c r="C1187" s="28"/>
      <c r="D1187" s="28"/>
      <c r="E1187" s="28"/>
      <c r="F1187" s="28"/>
      <c r="G1187" s="28"/>
    </row>
    <row r="1188" spans="1:7" x14ac:dyDescent="0.25">
      <c r="A1188" s="28"/>
      <c r="B1188" s="28"/>
      <c r="C1188" s="28"/>
      <c r="D1188" s="28"/>
      <c r="E1188" s="28"/>
      <c r="F1188" s="28"/>
      <c r="G1188" s="28"/>
    </row>
    <row r="1189" spans="1:7" x14ac:dyDescent="0.25">
      <c r="A1189" s="28"/>
      <c r="B1189" s="28"/>
      <c r="C1189" s="28"/>
      <c r="D1189" s="28"/>
      <c r="E1189" s="28"/>
      <c r="F1189" s="28"/>
      <c r="G1189" s="28"/>
    </row>
    <row r="1190" spans="1:7" x14ac:dyDescent="0.25">
      <c r="A1190" s="28"/>
      <c r="B1190" s="28"/>
      <c r="C1190" s="28"/>
      <c r="D1190" s="28"/>
      <c r="E1190" s="28"/>
      <c r="F1190" s="28"/>
      <c r="G1190" s="28"/>
    </row>
    <row r="1191" spans="1:7" x14ac:dyDescent="0.25">
      <c r="A1191" s="28"/>
      <c r="B1191" s="28"/>
      <c r="C1191" s="28"/>
      <c r="D1191" s="28"/>
      <c r="E1191" s="28"/>
      <c r="F1191" s="28"/>
      <c r="G1191" s="28"/>
    </row>
    <row r="1192" spans="1:7" x14ac:dyDescent="0.25">
      <c r="A1192" s="28"/>
      <c r="B1192" s="28"/>
      <c r="C1192" s="28"/>
      <c r="D1192" s="28"/>
      <c r="E1192" s="28"/>
      <c r="F1192" s="28"/>
      <c r="G1192" s="28"/>
    </row>
    <row r="1193" spans="1:7" x14ac:dyDescent="0.25">
      <c r="A1193" s="28"/>
      <c r="B1193" s="28"/>
      <c r="C1193" s="28"/>
      <c r="D1193" s="28"/>
      <c r="E1193" s="28"/>
      <c r="F1193" s="28"/>
      <c r="G1193" s="28"/>
    </row>
    <row r="1194" spans="1:7" x14ac:dyDescent="0.25">
      <c r="A1194" s="28"/>
      <c r="B1194" s="28"/>
      <c r="C1194" s="28"/>
      <c r="D1194" s="28"/>
      <c r="E1194" s="28"/>
      <c r="F1194" s="28"/>
      <c r="G1194" s="28"/>
    </row>
    <row r="1195" spans="1:7" x14ac:dyDescent="0.25">
      <c r="A1195" s="28"/>
      <c r="B1195" s="28"/>
      <c r="C1195" s="28"/>
      <c r="D1195" s="28"/>
      <c r="E1195" s="28"/>
      <c r="F1195" s="28"/>
      <c r="G1195" s="28"/>
    </row>
    <row r="1196" spans="1:7" x14ac:dyDescent="0.25">
      <c r="A1196" s="28"/>
      <c r="B1196" s="28"/>
      <c r="C1196" s="28"/>
      <c r="D1196" s="28"/>
      <c r="E1196" s="28"/>
      <c r="F1196" s="28"/>
      <c r="G1196" s="28"/>
    </row>
    <row r="1197" spans="1:7" x14ac:dyDescent="0.25">
      <c r="A1197" s="28"/>
      <c r="B1197" s="28"/>
      <c r="C1197" s="28"/>
      <c r="D1197" s="28"/>
      <c r="E1197" s="28"/>
      <c r="F1197" s="28"/>
      <c r="G1197" s="28"/>
    </row>
    <row r="1198" spans="1:7" x14ac:dyDescent="0.25">
      <c r="A1198" s="28"/>
      <c r="B1198" s="28"/>
      <c r="C1198" s="28"/>
      <c r="D1198" s="28"/>
      <c r="E1198" s="28"/>
      <c r="F1198" s="28"/>
      <c r="G1198" s="28"/>
    </row>
    <row r="1199" spans="1:7" x14ac:dyDescent="0.25">
      <c r="A1199" s="28"/>
      <c r="B1199" s="28"/>
      <c r="C1199" s="28"/>
      <c r="D1199" s="28"/>
      <c r="E1199" s="28"/>
      <c r="F1199" s="28"/>
      <c r="G1199" s="28"/>
    </row>
    <row r="1200" spans="1:7" x14ac:dyDescent="0.25">
      <c r="A1200" s="28"/>
      <c r="B1200" s="28"/>
      <c r="C1200" s="28"/>
      <c r="D1200" s="28"/>
      <c r="E1200" s="28"/>
      <c r="F1200" s="28"/>
      <c r="G1200" s="28"/>
    </row>
    <row r="1201" spans="1:7" x14ac:dyDescent="0.25">
      <c r="A1201" s="28"/>
      <c r="B1201" s="28"/>
      <c r="C1201" s="28"/>
      <c r="D1201" s="28"/>
      <c r="E1201" s="28"/>
      <c r="F1201" s="28"/>
      <c r="G1201" s="28"/>
    </row>
    <row r="1202" spans="1:7" x14ac:dyDescent="0.25">
      <c r="A1202" s="28"/>
      <c r="B1202" s="28"/>
      <c r="C1202" s="28"/>
      <c r="D1202" s="28"/>
      <c r="E1202" s="28"/>
      <c r="F1202" s="28"/>
      <c r="G1202" s="28"/>
    </row>
    <row r="1203" spans="1:7" x14ac:dyDescent="0.25">
      <c r="A1203" s="28"/>
      <c r="B1203" s="28"/>
      <c r="C1203" s="28"/>
      <c r="D1203" s="28"/>
      <c r="E1203" s="28"/>
      <c r="F1203" s="28"/>
      <c r="G1203" s="28"/>
    </row>
    <row r="1204" spans="1:7" x14ac:dyDescent="0.25">
      <c r="A1204" s="28"/>
      <c r="B1204" s="28"/>
      <c r="C1204" s="28"/>
      <c r="D1204" s="28"/>
      <c r="E1204" s="28"/>
      <c r="F1204" s="28"/>
      <c r="G1204" s="28"/>
    </row>
    <row r="1205" spans="1:7" x14ac:dyDescent="0.25">
      <c r="A1205" s="28"/>
      <c r="B1205" s="28"/>
      <c r="C1205" s="28"/>
      <c r="D1205" s="28"/>
      <c r="E1205" s="28"/>
      <c r="F1205" s="28"/>
      <c r="G1205" s="28"/>
    </row>
    <row r="1206" spans="1:7" x14ac:dyDescent="0.25">
      <c r="A1206" s="28"/>
      <c r="B1206" s="28"/>
      <c r="C1206" s="28"/>
      <c r="D1206" s="28"/>
      <c r="E1206" s="28"/>
      <c r="F1206" s="28"/>
      <c r="G1206" s="28"/>
    </row>
    <row r="1207" spans="1:7" x14ac:dyDescent="0.25">
      <c r="A1207" s="28"/>
      <c r="B1207" s="28"/>
      <c r="C1207" s="28"/>
      <c r="D1207" s="28"/>
      <c r="E1207" s="28"/>
      <c r="F1207" s="28"/>
      <c r="G1207" s="28"/>
    </row>
    <row r="1208" spans="1:7" x14ac:dyDescent="0.25">
      <c r="A1208" s="28"/>
      <c r="B1208" s="28"/>
      <c r="C1208" s="28"/>
      <c r="D1208" s="28"/>
      <c r="E1208" s="28"/>
      <c r="F1208" s="28"/>
      <c r="G1208" s="28"/>
    </row>
    <row r="1209" spans="1:7" x14ac:dyDescent="0.25">
      <c r="A1209" s="28"/>
      <c r="B1209" s="28"/>
      <c r="C1209" s="28"/>
      <c r="D1209" s="28"/>
      <c r="E1209" s="28"/>
      <c r="F1209" s="28"/>
      <c r="G1209" s="28"/>
    </row>
    <row r="1210" spans="1:7" x14ac:dyDescent="0.25">
      <c r="A1210" s="28"/>
      <c r="B1210" s="28"/>
      <c r="C1210" s="28"/>
      <c r="D1210" s="28"/>
      <c r="E1210" s="28"/>
      <c r="F1210" s="28"/>
      <c r="G1210" s="28"/>
    </row>
    <row r="1211" spans="1:7" x14ac:dyDescent="0.25">
      <c r="A1211" s="28"/>
      <c r="B1211" s="28"/>
      <c r="C1211" s="28"/>
      <c r="D1211" s="28"/>
      <c r="E1211" s="28"/>
      <c r="F1211" s="28"/>
      <c r="G1211" s="28"/>
    </row>
    <row r="1212" spans="1:7" x14ac:dyDescent="0.25">
      <c r="A1212" s="28"/>
      <c r="B1212" s="28"/>
      <c r="C1212" s="28"/>
      <c r="D1212" s="28"/>
      <c r="E1212" s="28"/>
      <c r="F1212" s="28"/>
      <c r="G1212" s="28"/>
    </row>
    <row r="1213" spans="1:7" x14ac:dyDescent="0.25">
      <c r="A1213" s="28"/>
      <c r="B1213" s="28"/>
      <c r="C1213" s="28"/>
      <c r="D1213" s="28"/>
      <c r="E1213" s="28"/>
      <c r="F1213" s="28"/>
      <c r="G1213" s="28"/>
    </row>
    <row r="1214" spans="1:7" x14ac:dyDescent="0.25">
      <c r="A1214" s="28"/>
      <c r="B1214" s="28"/>
      <c r="C1214" s="28"/>
      <c r="D1214" s="28"/>
      <c r="E1214" s="28"/>
      <c r="F1214" s="28"/>
      <c r="G1214" s="28"/>
    </row>
    <row r="1215" spans="1:7" x14ac:dyDescent="0.25">
      <c r="A1215" s="28"/>
      <c r="B1215" s="28"/>
      <c r="C1215" s="28"/>
      <c r="D1215" s="28"/>
      <c r="E1215" s="28"/>
      <c r="F1215" s="28"/>
      <c r="G1215" s="28"/>
    </row>
    <row r="1216" spans="1:7" x14ac:dyDescent="0.25">
      <c r="A1216" s="28"/>
      <c r="B1216" s="28"/>
      <c r="C1216" s="28"/>
      <c r="D1216" s="28"/>
      <c r="E1216" s="28"/>
      <c r="F1216" s="28"/>
      <c r="G1216" s="28"/>
    </row>
    <row r="1217" spans="1:7" x14ac:dyDescent="0.25">
      <c r="A1217" s="28"/>
      <c r="B1217" s="28"/>
      <c r="C1217" s="28"/>
      <c r="D1217" s="28"/>
      <c r="E1217" s="28"/>
      <c r="F1217" s="28"/>
      <c r="G1217" s="28"/>
    </row>
    <row r="1218" spans="1:7" x14ac:dyDescent="0.25">
      <c r="A1218" s="28"/>
      <c r="B1218" s="28"/>
      <c r="C1218" s="28"/>
      <c r="D1218" s="28"/>
      <c r="E1218" s="28"/>
      <c r="F1218" s="28"/>
      <c r="G1218" s="28"/>
    </row>
    <row r="1219" spans="1:7" x14ac:dyDescent="0.25">
      <c r="A1219" s="28"/>
      <c r="B1219" s="28"/>
      <c r="C1219" s="28"/>
      <c r="D1219" s="28"/>
      <c r="E1219" s="28"/>
      <c r="F1219" s="28"/>
      <c r="G1219" s="28"/>
    </row>
    <row r="1220" spans="1:7" x14ac:dyDescent="0.25">
      <c r="A1220" s="28"/>
      <c r="B1220" s="28"/>
      <c r="C1220" s="28"/>
      <c r="D1220" s="28"/>
      <c r="E1220" s="28"/>
      <c r="F1220" s="28"/>
      <c r="G1220" s="28"/>
    </row>
    <row r="1221" spans="1:7" x14ac:dyDescent="0.25">
      <c r="A1221" s="28"/>
      <c r="B1221" s="28"/>
      <c r="C1221" s="28"/>
      <c r="D1221" s="28"/>
      <c r="E1221" s="28"/>
      <c r="F1221" s="28"/>
      <c r="G1221" s="28"/>
    </row>
    <row r="1222" spans="1:7" x14ac:dyDescent="0.25">
      <c r="A1222" s="28"/>
      <c r="B1222" s="28"/>
      <c r="C1222" s="28"/>
      <c r="D1222" s="28"/>
      <c r="E1222" s="28"/>
      <c r="F1222" s="28"/>
      <c r="G1222" s="28"/>
    </row>
    <row r="1223" spans="1:7" x14ac:dyDescent="0.25">
      <c r="A1223" s="28"/>
      <c r="B1223" s="28"/>
      <c r="C1223" s="28"/>
      <c r="D1223" s="28"/>
      <c r="E1223" s="28"/>
      <c r="F1223" s="28"/>
      <c r="G1223" s="28"/>
    </row>
    <row r="1224" spans="1:7" x14ac:dyDescent="0.25">
      <c r="A1224" s="28"/>
      <c r="B1224" s="28"/>
      <c r="C1224" s="28"/>
      <c r="D1224" s="28"/>
      <c r="E1224" s="28"/>
      <c r="F1224" s="28"/>
      <c r="G1224" s="28"/>
    </row>
    <row r="1225" spans="1:7" x14ac:dyDescent="0.25">
      <c r="A1225" s="28"/>
      <c r="B1225" s="28"/>
      <c r="C1225" s="28"/>
      <c r="D1225" s="28"/>
      <c r="E1225" s="28"/>
      <c r="F1225" s="28"/>
      <c r="G1225" s="28"/>
    </row>
    <row r="1226" spans="1:7" x14ac:dyDescent="0.25">
      <c r="A1226" s="28"/>
      <c r="B1226" s="28"/>
      <c r="C1226" s="28"/>
      <c r="D1226" s="28"/>
      <c r="E1226" s="28"/>
      <c r="F1226" s="28"/>
      <c r="G1226" s="28"/>
    </row>
    <row r="1227" spans="1:7" x14ac:dyDescent="0.25">
      <c r="A1227" s="28"/>
      <c r="B1227" s="28"/>
      <c r="C1227" s="28"/>
      <c r="D1227" s="28"/>
      <c r="E1227" s="28"/>
      <c r="F1227" s="28"/>
      <c r="G1227" s="28"/>
    </row>
    <row r="1228" spans="1:7" x14ac:dyDescent="0.25">
      <c r="A1228" s="28"/>
      <c r="B1228" s="28"/>
      <c r="C1228" s="28"/>
      <c r="D1228" s="28"/>
      <c r="E1228" s="28"/>
      <c r="F1228" s="28"/>
      <c r="G1228" s="28"/>
    </row>
    <row r="1229" spans="1:7" x14ac:dyDescent="0.25">
      <c r="A1229" s="28"/>
      <c r="B1229" s="28"/>
      <c r="C1229" s="28"/>
      <c r="D1229" s="28"/>
      <c r="E1229" s="28"/>
      <c r="F1229" s="28"/>
      <c r="G1229" s="28"/>
    </row>
    <row r="1230" spans="1:7" x14ac:dyDescent="0.25">
      <c r="A1230" s="28"/>
      <c r="B1230" s="28"/>
      <c r="C1230" s="28"/>
      <c r="D1230" s="28"/>
      <c r="E1230" s="28"/>
      <c r="F1230" s="28"/>
      <c r="G1230" s="28"/>
    </row>
    <row r="1231" spans="1:7" x14ac:dyDescent="0.25">
      <c r="A1231" s="28"/>
      <c r="B1231" s="28"/>
      <c r="C1231" s="28"/>
      <c r="D1231" s="28"/>
      <c r="E1231" s="28"/>
      <c r="F1231" s="28"/>
      <c r="G1231" s="28"/>
    </row>
    <row r="1232" spans="1:7" x14ac:dyDescent="0.25">
      <c r="A1232" s="28"/>
      <c r="B1232" s="28"/>
      <c r="C1232" s="28"/>
      <c r="D1232" s="28"/>
      <c r="E1232" s="28"/>
      <c r="F1232" s="28"/>
      <c r="G1232" s="28"/>
    </row>
    <row r="1233" spans="1:7" x14ac:dyDescent="0.25">
      <c r="A1233" s="28"/>
      <c r="B1233" s="28"/>
      <c r="C1233" s="28"/>
      <c r="D1233" s="28"/>
      <c r="E1233" s="28"/>
      <c r="F1233" s="28"/>
      <c r="G1233" s="28"/>
    </row>
    <row r="1234" spans="1:7" x14ac:dyDescent="0.25">
      <c r="A1234" s="28"/>
      <c r="B1234" s="28"/>
      <c r="C1234" s="28"/>
      <c r="D1234" s="28"/>
      <c r="E1234" s="28"/>
      <c r="F1234" s="28"/>
      <c r="G1234" s="28"/>
    </row>
    <row r="1235" spans="1:7" x14ac:dyDescent="0.25">
      <c r="A1235" s="28"/>
      <c r="B1235" s="28"/>
      <c r="C1235" s="28"/>
      <c r="D1235" s="28"/>
      <c r="E1235" s="28"/>
      <c r="F1235" s="28"/>
      <c r="G1235" s="28"/>
    </row>
    <row r="1236" spans="1:7" x14ac:dyDescent="0.25">
      <c r="A1236" s="28"/>
      <c r="B1236" s="28"/>
      <c r="C1236" s="28"/>
      <c r="D1236" s="28"/>
      <c r="E1236" s="28"/>
      <c r="F1236" s="28"/>
      <c r="G1236" s="28"/>
    </row>
    <row r="1237" spans="1:7" x14ac:dyDescent="0.25">
      <c r="A1237" s="28"/>
      <c r="B1237" s="28"/>
      <c r="C1237" s="28"/>
      <c r="D1237" s="28"/>
      <c r="E1237" s="28"/>
      <c r="F1237" s="28"/>
      <c r="G1237" s="28"/>
    </row>
    <row r="1238" spans="1:7" x14ac:dyDescent="0.25">
      <c r="A1238" s="28"/>
      <c r="B1238" s="28"/>
      <c r="C1238" s="28"/>
      <c r="D1238" s="28"/>
      <c r="E1238" s="28"/>
      <c r="F1238" s="28"/>
      <c r="G1238" s="28"/>
    </row>
    <row r="1239" spans="1:7" x14ac:dyDescent="0.25">
      <c r="A1239" s="28"/>
      <c r="B1239" s="28"/>
      <c r="C1239" s="28"/>
      <c r="D1239" s="28"/>
      <c r="E1239" s="28"/>
      <c r="F1239" s="28"/>
      <c r="G1239" s="28"/>
    </row>
    <row r="1240" spans="1:7" x14ac:dyDescent="0.25">
      <c r="A1240" s="28"/>
      <c r="B1240" s="28"/>
      <c r="C1240" s="28"/>
      <c r="D1240" s="28"/>
      <c r="E1240" s="28"/>
      <c r="F1240" s="28"/>
      <c r="G1240" s="28"/>
    </row>
    <row r="1241" spans="1:7" x14ac:dyDescent="0.25">
      <c r="A1241" s="28"/>
      <c r="B1241" s="28"/>
      <c r="C1241" s="28"/>
      <c r="D1241" s="28"/>
      <c r="E1241" s="28"/>
      <c r="F1241" s="28"/>
      <c r="G1241" s="28"/>
    </row>
    <row r="1242" spans="1:7" x14ac:dyDescent="0.25">
      <c r="A1242" s="28"/>
      <c r="B1242" s="28"/>
      <c r="C1242" s="28"/>
      <c r="D1242" s="28"/>
      <c r="E1242" s="28"/>
      <c r="F1242" s="28"/>
      <c r="G1242" s="28"/>
    </row>
    <row r="1243" spans="1:7" x14ac:dyDescent="0.25">
      <c r="A1243" s="28"/>
      <c r="B1243" s="28"/>
      <c r="C1243" s="28"/>
      <c r="D1243" s="28"/>
      <c r="E1243" s="28"/>
      <c r="F1243" s="28"/>
      <c r="G1243" s="28"/>
    </row>
    <row r="1244" spans="1:7" x14ac:dyDescent="0.25">
      <c r="A1244" s="28"/>
      <c r="B1244" s="28"/>
      <c r="C1244" s="28"/>
      <c r="D1244" s="28"/>
      <c r="E1244" s="28"/>
      <c r="F1244" s="28"/>
      <c r="G1244" s="28"/>
    </row>
    <row r="1245" spans="1:7" x14ac:dyDescent="0.25">
      <c r="A1245" s="28"/>
      <c r="B1245" s="28"/>
      <c r="C1245" s="28"/>
      <c r="D1245" s="28"/>
      <c r="E1245" s="28"/>
      <c r="F1245" s="28"/>
      <c r="G1245" s="28"/>
    </row>
    <row r="1246" spans="1:7" x14ac:dyDescent="0.25">
      <c r="A1246" s="28"/>
      <c r="B1246" s="28"/>
      <c r="C1246" s="28"/>
      <c r="D1246" s="28"/>
      <c r="E1246" s="28"/>
      <c r="F1246" s="28"/>
      <c r="G1246" s="28"/>
    </row>
    <row r="1247" spans="1:7" x14ac:dyDescent="0.25">
      <c r="A1247" s="28"/>
      <c r="B1247" s="28"/>
      <c r="C1247" s="28"/>
      <c r="D1247" s="28"/>
      <c r="E1247" s="28"/>
      <c r="F1247" s="28"/>
      <c r="G1247" s="28"/>
    </row>
    <row r="1248" spans="1:7" x14ac:dyDescent="0.25">
      <c r="A1248" s="28"/>
      <c r="B1248" s="28"/>
      <c r="C1248" s="28"/>
      <c r="D1248" s="28"/>
      <c r="E1248" s="28"/>
      <c r="F1248" s="28"/>
      <c r="G1248" s="28"/>
    </row>
    <row r="1249" spans="1:7" x14ac:dyDescent="0.25">
      <c r="A1249" s="28"/>
      <c r="B1249" s="28"/>
      <c r="C1249" s="28"/>
      <c r="D1249" s="28"/>
      <c r="E1249" s="28"/>
      <c r="F1249" s="28"/>
      <c r="G1249" s="28"/>
    </row>
    <row r="1250" spans="1:7" x14ac:dyDescent="0.25">
      <c r="A1250" s="28"/>
      <c r="B1250" s="28"/>
      <c r="C1250" s="28"/>
      <c r="D1250" s="28"/>
      <c r="E1250" s="28"/>
      <c r="F1250" s="28"/>
      <c r="G1250" s="28"/>
    </row>
    <row r="1251" spans="1:7" x14ac:dyDescent="0.25">
      <c r="A1251" s="28"/>
      <c r="B1251" s="28"/>
      <c r="C1251" s="28"/>
      <c r="D1251" s="28"/>
      <c r="E1251" s="28"/>
      <c r="F1251" s="28"/>
      <c r="G1251" s="28"/>
    </row>
    <row r="1252" spans="1:7" x14ac:dyDescent="0.25">
      <c r="A1252" s="28"/>
      <c r="B1252" s="28"/>
      <c r="C1252" s="28"/>
      <c r="D1252" s="28"/>
      <c r="E1252" s="28"/>
      <c r="F1252" s="28"/>
      <c r="G1252" s="28"/>
    </row>
    <row r="1253" spans="1:7" x14ac:dyDescent="0.25">
      <c r="A1253" s="28"/>
      <c r="B1253" s="28"/>
      <c r="C1253" s="28"/>
      <c r="D1253" s="28"/>
      <c r="E1253" s="28"/>
      <c r="F1253" s="28"/>
      <c r="G1253" s="28"/>
    </row>
    <row r="1254" spans="1:7" x14ac:dyDescent="0.25">
      <c r="A1254" s="28"/>
      <c r="B1254" s="28"/>
      <c r="C1254" s="28"/>
      <c r="D1254" s="28"/>
      <c r="E1254" s="28"/>
      <c r="F1254" s="28"/>
      <c r="G1254" s="28"/>
    </row>
    <row r="1255" spans="1:7" x14ac:dyDescent="0.25">
      <c r="A1255" s="28"/>
      <c r="B1255" s="28"/>
      <c r="C1255" s="28"/>
      <c r="D1255" s="28"/>
      <c r="E1255" s="28"/>
      <c r="F1255" s="28"/>
      <c r="G1255" s="28"/>
    </row>
    <row r="1256" spans="1:7" x14ac:dyDescent="0.25">
      <c r="A1256" s="28"/>
      <c r="B1256" s="28"/>
      <c r="C1256" s="28"/>
      <c r="D1256" s="28"/>
      <c r="E1256" s="28"/>
      <c r="F1256" s="28"/>
      <c r="G1256" s="28"/>
    </row>
    <row r="1257" spans="1:7" x14ac:dyDescent="0.25">
      <c r="A1257" s="28"/>
      <c r="B1257" s="28"/>
      <c r="C1257" s="28"/>
      <c r="D1257" s="28"/>
      <c r="E1257" s="28"/>
      <c r="F1257" s="28"/>
      <c r="G1257" s="28"/>
    </row>
    <row r="1258" spans="1:7" x14ac:dyDescent="0.25">
      <c r="A1258" s="28"/>
      <c r="B1258" s="28"/>
      <c r="C1258" s="28"/>
      <c r="D1258" s="28"/>
      <c r="E1258" s="28"/>
      <c r="F1258" s="28"/>
      <c r="G1258" s="28"/>
    </row>
    <row r="1259" spans="1:7" x14ac:dyDescent="0.25">
      <c r="A1259" s="28"/>
      <c r="B1259" s="28"/>
      <c r="C1259" s="28"/>
      <c r="D1259" s="28"/>
      <c r="E1259" s="28"/>
      <c r="F1259" s="28"/>
      <c r="G1259" s="28"/>
    </row>
    <row r="1260" spans="1:7" x14ac:dyDescent="0.25">
      <c r="A1260" s="28"/>
      <c r="B1260" s="28"/>
      <c r="C1260" s="28"/>
      <c r="D1260" s="28"/>
      <c r="E1260" s="28"/>
      <c r="F1260" s="28"/>
      <c r="G1260" s="28"/>
    </row>
    <row r="1261" spans="1:7" x14ac:dyDescent="0.25">
      <c r="A1261" s="28"/>
      <c r="B1261" s="28"/>
      <c r="C1261" s="28"/>
      <c r="D1261" s="28"/>
      <c r="E1261" s="28"/>
      <c r="F1261" s="28"/>
      <c r="G1261" s="28"/>
    </row>
    <row r="1262" spans="1:7" x14ac:dyDescent="0.25">
      <c r="A1262" s="28"/>
      <c r="B1262" s="28"/>
      <c r="C1262" s="28"/>
      <c r="D1262" s="28"/>
      <c r="E1262" s="28"/>
      <c r="F1262" s="28"/>
      <c r="G1262" s="28"/>
    </row>
    <row r="1263" spans="1:7" x14ac:dyDescent="0.25">
      <c r="A1263" s="28"/>
      <c r="B1263" s="28"/>
      <c r="C1263" s="28"/>
      <c r="D1263" s="28"/>
      <c r="E1263" s="28"/>
      <c r="F1263" s="28"/>
      <c r="G1263" s="28"/>
    </row>
    <row r="1264" spans="1:7" x14ac:dyDescent="0.25">
      <c r="A1264" s="28"/>
      <c r="B1264" s="28"/>
      <c r="C1264" s="28"/>
      <c r="D1264" s="28"/>
      <c r="E1264" s="28"/>
      <c r="F1264" s="28"/>
      <c r="G1264" s="28"/>
    </row>
    <row r="1265" spans="1:7" x14ac:dyDescent="0.25">
      <c r="A1265" s="28"/>
      <c r="B1265" s="28"/>
      <c r="C1265" s="28"/>
      <c r="D1265" s="28"/>
      <c r="E1265" s="28"/>
      <c r="F1265" s="28"/>
      <c r="G1265" s="28"/>
    </row>
    <row r="1266" spans="1:7" x14ac:dyDescent="0.25">
      <c r="A1266" s="28"/>
      <c r="B1266" s="28"/>
      <c r="C1266" s="28"/>
      <c r="D1266" s="28"/>
      <c r="E1266" s="28"/>
      <c r="F1266" s="28"/>
      <c r="G1266" s="28"/>
    </row>
    <row r="1267" spans="1:7" x14ac:dyDescent="0.25">
      <c r="A1267" s="28"/>
      <c r="B1267" s="28"/>
      <c r="C1267" s="28"/>
      <c r="D1267" s="28"/>
      <c r="E1267" s="28"/>
      <c r="F1267" s="28"/>
      <c r="G1267" s="28"/>
    </row>
    <row r="1268" spans="1:7" x14ac:dyDescent="0.25">
      <c r="A1268" s="28"/>
      <c r="B1268" s="28"/>
      <c r="C1268" s="28"/>
      <c r="D1268" s="28"/>
      <c r="E1268" s="28"/>
      <c r="F1268" s="28"/>
      <c r="G1268" s="28"/>
    </row>
    <row r="1269" spans="1:7" x14ac:dyDescent="0.25">
      <c r="A1269" s="28"/>
      <c r="B1269" s="28"/>
      <c r="C1269" s="28"/>
      <c r="D1269" s="28"/>
      <c r="E1269" s="28"/>
      <c r="F1269" s="28"/>
      <c r="G1269" s="28"/>
    </row>
    <row r="1270" spans="1:7" x14ac:dyDescent="0.25">
      <c r="A1270" s="28"/>
      <c r="B1270" s="28"/>
      <c r="C1270" s="28"/>
      <c r="D1270" s="28"/>
      <c r="E1270" s="28"/>
      <c r="F1270" s="28"/>
      <c r="G1270" s="28"/>
    </row>
    <row r="1271" spans="1:7" x14ac:dyDescent="0.25">
      <c r="A1271" s="28"/>
      <c r="B1271" s="28"/>
      <c r="C1271" s="28"/>
      <c r="D1271" s="28"/>
      <c r="E1271" s="28"/>
      <c r="F1271" s="28"/>
      <c r="G1271" s="28"/>
    </row>
    <row r="1272" spans="1:7" x14ac:dyDescent="0.25">
      <c r="A1272" s="28"/>
      <c r="B1272" s="28"/>
      <c r="C1272" s="28"/>
      <c r="D1272" s="28"/>
      <c r="E1272" s="28"/>
      <c r="F1272" s="28"/>
      <c r="G1272" s="28"/>
    </row>
    <row r="1273" spans="1:7" x14ac:dyDescent="0.25">
      <c r="A1273" s="28"/>
      <c r="B1273" s="28"/>
      <c r="C1273" s="28"/>
      <c r="D1273" s="28"/>
      <c r="E1273" s="28"/>
      <c r="F1273" s="28"/>
      <c r="G1273" s="28"/>
    </row>
    <row r="1274" spans="1:7" x14ac:dyDescent="0.25">
      <c r="A1274" s="28"/>
      <c r="B1274" s="28"/>
      <c r="C1274" s="28"/>
      <c r="D1274" s="28"/>
      <c r="E1274" s="28"/>
      <c r="F1274" s="28"/>
      <c r="G1274" s="28"/>
    </row>
    <row r="1275" spans="1:7" x14ac:dyDescent="0.25">
      <c r="A1275" s="28"/>
      <c r="B1275" s="28"/>
      <c r="C1275" s="28"/>
      <c r="D1275" s="28"/>
      <c r="E1275" s="28"/>
      <c r="F1275" s="28"/>
      <c r="G1275" s="28"/>
    </row>
    <row r="1276" spans="1:7" x14ac:dyDescent="0.25">
      <c r="A1276" s="28"/>
      <c r="B1276" s="28"/>
      <c r="C1276" s="28"/>
      <c r="D1276" s="28"/>
      <c r="E1276" s="28"/>
      <c r="F1276" s="28"/>
      <c r="G1276" s="28"/>
    </row>
    <row r="1277" spans="1:7" x14ac:dyDescent="0.25">
      <c r="A1277" s="28"/>
      <c r="B1277" s="28"/>
      <c r="C1277" s="28"/>
      <c r="D1277" s="28"/>
      <c r="E1277" s="28"/>
      <c r="F1277" s="28"/>
      <c r="G1277" s="28"/>
    </row>
    <row r="1278" spans="1:7" x14ac:dyDescent="0.25">
      <c r="A1278" s="28"/>
      <c r="B1278" s="28"/>
      <c r="C1278" s="28"/>
      <c r="D1278" s="28"/>
      <c r="E1278" s="28"/>
      <c r="F1278" s="28"/>
      <c r="G1278" s="28"/>
    </row>
    <row r="1279" spans="1:7" x14ac:dyDescent="0.25">
      <c r="A1279" s="28"/>
      <c r="B1279" s="28"/>
      <c r="C1279" s="28"/>
      <c r="D1279" s="28"/>
      <c r="E1279" s="28"/>
      <c r="F1279" s="28"/>
      <c r="G1279" s="28"/>
    </row>
    <row r="1280" spans="1:7" x14ac:dyDescent="0.25">
      <c r="A1280" s="28"/>
      <c r="B1280" s="28"/>
      <c r="C1280" s="28"/>
      <c r="D1280" s="28"/>
      <c r="E1280" s="28"/>
      <c r="F1280" s="28"/>
      <c r="G1280" s="28"/>
    </row>
    <row r="1281" spans="1:7" x14ac:dyDescent="0.25">
      <c r="A1281" s="28"/>
      <c r="B1281" s="28"/>
      <c r="C1281" s="28"/>
      <c r="D1281" s="28"/>
      <c r="E1281" s="28"/>
      <c r="F1281" s="28"/>
      <c r="G1281" s="28"/>
    </row>
    <row r="1282" spans="1:7" x14ac:dyDescent="0.25">
      <c r="A1282" s="28"/>
      <c r="B1282" s="28"/>
      <c r="C1282" s="28"/>
      <c r="D1282" s="28"/>
      <c r="E1282" s="28"/>
      <c r="F1282" s="28"/>
      <c r="G1282" s="28"/>
    </row>
    <row r="1283" spans="1:7" x14ac:dyDescent="0.25">
      <c r="A1283" s="28"/>
      <c r="B1283" s="28"/>
      <c r="C1283" s="28"/>
      <c r="D1283" s="28"/>
      <c r="E1283" s="28"/>
      <c r="F1283" s="28"/>
      <c r="G1283" s="28"/>
    </row>
    <row r="1284" spans="1:7" x14ac:dyDescent="0.25">
      <c r="A1284" s="28"/>
      <c r="B1284" s="28"/>
      <c r="C1284" s="28"/>
      <c r="D1284" s="28"/>
      <c r="E1284" s="28"/>
      <c r="F1284" s="28"/>
      <c r="G1284" s="28"/>
    </row>
    <row r="1285" spans="1:7" x14ac:dyDescent="0.25">
      <c r="A1285" s="28"/>
      <c r="B1285" s="28"/>
      <c r="C1285" s="28"/>
      <c r="D1285" s="28"/>
      <c r="E1285" s="28"/>
      <c r="F1285" s="28"/>
      <c r="G1285" s="28"/>
    </row>
    <row r="1286" spans="1:7" x14ac:dyDescent="0.25">
      <c r="A1286" s="28"/>
      <c r="B1286" s="28"/>
      <c r="C1286" s="28"/>
      <c r="D1286" s="28"/>
      <c r="E1286" s="28"/>
      <c r="F1286" s="28"/>
      <c r="G1286" s="28"/>
    </row>
    <row r="1287" spans="1:7" x14ac:dyDescent="0.25">
      <c r="A1287" s="28"/>
      <c r="B1287" s="28"/>
      <c r="C1287" s="28"/>
      <c r="D1287" s="28"/>
      <c r="E1287" s="28"/>
      <c r="F1287" s="28"/>
      <c r="G1287" s="28"/>
    </row>
    <row r="1288" spans="1:7" x14ac:dyDescent="0.25">
      <c r="A1288" s="28"/>
      <c r="B1288" s="28"/>
      <c r="C1288" s="28"/>
      <c r="D1288" s="28"/>
      <c r="E1288" s="28"/>
      <c r="F1288" s="28"/>
      <c r="G1288" s="28"/>
    </row>
    <row r="1289" spans="1:7" x14ac:dyDescent="0.25">
      <c r="A1289" s="28"/>
      <c r="B1289" s="28"/>
      <c r="C1289" s="28"/>
      <c r="D1289" s="28"/>
      <c r="E1289" s="28"/>
      <c r="F1289" s="28"/>
      <c r="G1289" s="28"/>
    </row>
    <row r="1290" spans="1:7" x14ac:dyDescent="0.25">
      <c r="A1290" s="28"/>
      <c r="B1290" s="28"/>
      <c r="C1290" s="28"/>
      <c r="D1290" s="28"/>
      <c r="E1290" s="28"/>
      <c r="F1290" s="28"/>
      <c r="G1290" s="28"/>
    </row>
    <row r="1291" spans="1:7" x14ac:dyDescent="0.25">
      <c r="A1291" s="28"/>
      <c r="B1291" s="28"/>
      <c r="C1291" s="28"/>
      <c r="D1291" s="28"/>
      <c r="E1291" s="28"/>
      <c r="F1291" s="28"/>
      <c r="G1291" s="28"/>
    </row>
    <row r="1292" spans="1:7" x14ac:dyDescent="0.25">
      <c r="A1292" s="28"/>
      <c r="B1292" s="28"/>
      <c r="C1292" s="28"/>
      <c r="D1292" s="28"/>
      <c r="E1292" s="28"/>
      <c r="F1292" s="28"/>
      <c r="G1292" s="28"/>
    </row>
    <row r="1293" spans="1:7" x14ac:dyDescent="0.25">
      <c r="A1293" s="28"/>
      <c r="B1293" s="28"/>
      <c r="C1293" s="28"/>
      <c r="D1293" s="28"/>
      <c r="E1293" s="28"/>
      <c r="F1293" s="28"/>
      <c r="G1293" s="28"/>
    </row>
    <row r="1294" spans="1:7" x14ac:dyDescent="0.25">
      <c r="A1294" s="28"/>
      <c r="B1294" s="28"/>
      <c r="C1294" s="28"/>
      <c r="D1294" s="28"/>
      <c r="E1294" s="28"/>
      <c r="F1294" s="28"/>
      <c r="G1294" s="28"/>
    </row>
    <row r="1295" spans="1:7" x14ac:dyDescent="0.25">
      <c r="A1295" s="28"/>
      <c r="B1295" s="28"/>
      <c r="C1295" s="28"/>
      <c r="D1295" s="28"/>
      <c r="E1295" s="28"/>
      <c r="F1295" s="28"/>
      <c r="G1295" s="28"/>
    </row>
    <row r="1296" spans="1:7" x14ac:dyDescent="0.25">
      <c r="A1296" s="28"/>
      <c r="B1296" s="28"/>
      <c r="C1296" s="28"/>
      <c r="D1296" s="28"/>
      <c r="E1296" s="28"/>
      <c r="F1296" s="28"/>
      <c r="G1296" s="28"/>
    </row>
    <row r="1297" spans="1:7" x14ac:dyDescent="0.25">
      <c r="A1297" s="28"/>
      <c r="B1297" s="28"/>
      <c r="C1297" s="28"/>
      <c r="D1297" s="28"/>
      <c r="E1297" s="28"/>
      <c r="F1297" s="28"/>
      <c r="G1297" s="28"/>
    </row>
    <row r="1298" spans="1:7" x14ac:dyDescent="0.25">
      <c r="A1298" s="28"/>
      <c r="B1298" s="28"/>
      <c r="C1298" s="28"/>
      <c r="D1298" s="28"/>
      <c r="E1298" s="28"/>
      <c r="F1298" s="28"/>
      <c r="G1298" s="28"/>
    </row>
    <row r="1299" spans="1:7" x14ac:dyDescent="0.25">
      <c r="A1299" s="28"/>
      <c r="B1299" s="28"/>
      <c r="C1299" s="28"/>
      <c r="D1299" s="28"/>
      <c r="E1299" s="28"/>
      <c r="F1299" s="28"/>
      <c r="G1299" s="28"/>
    </row>
    <row r="1300" spans="1:7" x14ac:dyDescent="0.25">
      <c r="A1300" s="28"/>
      <c r="B1300" s="28"/>
      <c r="C1300" s="28"/>
      <c r="D1300" s="28"/>
      <c r="E1300" s="28"/>
      <c r="F1300" s="28"/>
      <c r="G1300" s="28"/>
    </row>
    <row r="1301" spans="1:7" x14ac:dyDescent="0.25">
      <c r="A1301" s="28"/>
      <c r="B1301" s="28"/>
      <c r="C1301" s="28"/>
      <c r="D1301" s="28"/>
      <c r="E1301" s="28"/>
      <c r="F1301" s="28"/>
      <c r="G1301" s="28"/>
    </row>
    <row r="1302" spans="1:7" x14ac:dyDescent="0.25">
      <c r="A1302" s="28"/>
      <c r="B1302" s="28"/>
      <c r="C1302" s="28"/>
      <c r="D1302" s="28"/>
      <c r="E1302" s="28"/>
      <c r="F1302" s="28"/>
      <c r="G1302" s="28"/>
    </row>
    <row r="1303" spans="1:7" x14ac:dyDescent="0.25">
      <c r="A1303" s="28"/>
      <c r="B1303" s="28"/>
      <c r="C1303" s="28"/>
      <c r="D1303" s="28"/>
      <c r="E1303" s="28"/>
      <c r="F1303" s="28"/>
      <c r="G1303" s="28"/>
    </row>
    <row r="1304" spans="1:7" x14ac:dyDescent="0.25">
      <c r="A1304" s="28"/>
      <c r="B1304" s="28"/>
      <c r="C1304" s="28"/>
      <c r="D1304" s="28"/>
      <c r="E1304" s="28"/>
      <c r="F1304" s="28"/>
      <c r="G1304" s="28"/>
    </row>
    <row r="1305" spans="1:7" x14ac:dyDescent="0.25">
      <c r="A1305" s="28"/>
      <c r="B1305" s="28"/>
      <c r="C1305" s="28"/>
      <c r="D1305" s="28"/>
      <c r="E1305" s="28"/>
      <c r="F1305" s="28"/>
      <c r="G1305" s="28"/>
    </row>
    <row r="1306" spans="1:7" x14ac:dyDescent="0.25">
      <c r="A1306" s="28"/>
      <c r="B1306" s="28"/>
      <c r="C1306" s="28"/>
      <c r="D1306" s="28"/>
      <c r="E1306" s="28"/>
      <c r="F1306" s="28"/>
      <c r="G1306" s="28"/>
    </row>
    <row r="1307" spans="1:7" x14ac:dyDescent="0.25">
      <c r="A1307" s="28"/>
      <c r="B1307" s="28"/>
      <c r="C1307" s="28"/>
      <c r="D1307" s="28"/>
      <c r="E1307" s="28"/>
      <c r="F1307" s="28"/>
      <c r="G1307" s="28"/>
    </row>
    <row r="1308" spans="1:7" x14ac:dyDescent="0.25">
      <c r="A1308" s="28"/>
      <c r="B1308" s="28"/>
      <c r="C1308" s="28"/>
      <c r="D1308" s="28"/>
      <c r="E1308" s="28"/>
      <c r="F1308" s="28"/>
      <c r="G1308" s="28"/>
    </row>
    <row r="1309" spans="1:7" x14ac:dyDescent="0.25">
      <c r="A1309" s="28"/>
      <c r="B1309" s="28"/>
      <c r="C1309" s="28"/>
      <c r="D1309" s="28"/>
      <c r="E1309" s="28"/>
      <c r="F1309" s="28"/>
      <c r="G1309" s="28"/>
    </row>
    <row r="1310" spans="1:7" x14ac:dyDescent="0.25">
      <c r="A1310" s="28"/>
      <c r="B1310" s="28"/>
      <c r="C1310" s="28"/>
      <c r="D1310" s="28"/>
      <c r="E1310" s="28"/>
      <c r="F1310" s="28"/>
      <c r="G1310" s="28"/>
    </row>
    <row r="1311" spans="1:7" x14ac:dyDescent="0.25">
      <c r="A1311" s="28"/>
      <c r="B1311" s="28"/>
      <c r="C1311" s="28"/>
      <c r="D1311" s="28"/>
      <c r="E1311" s="28"/>
      <c r="F1311" s="28"/>
      <c r="G1311" s="28"/>
    </row>
    <row r="1312" spans="1:7" x14ac:dyDescent="0.25">
      <c r="A1312" s="28"/>
      <c r="B1312" s="28"/>
      <c r="C1312" s="28"/>
      <c r="D1312" s="28"/>
      <c r="E1312" s="28"/>
      <c r="F1312" s="28"/>
      <c r="G1312" s="28"/>
    </row>
    <row r="1313" spans="1:7" x14ac:dyDescent="0.25">
      <c r="A1313" s="28"/>
      <c r="B1313" s="28"/>
      <c r="C1313" s="28"/>
      <c r="D1313" s="28"/>
      <c r="E1313" s="28"/>
      <c r="F1313" s="28"/>
      <c r="G1313" s="28"/>
    </row>
    <row r="1314" spans="1:7" x14ac:dyDescent="0.25">
      <c r="A1314" s="28"/>
      <c r="B1314" s="28"/>
      <c r="C1314" s="28"/>
      <c r="D1314" s="28"/>
      <c r="E1314" s="28"/>
      <c r="F1314" s="28"/>
      <c r="G1314" s="28"/>
    </row>
    <row r="1315" spans="1:7" x14ac:dyDescent="0.25">
      <c r="A1315" s="28"/>
      <c r="B1315" s="28"/>
      <c r="C1315" s="28"/>
      <c r="D1315" s="28"/>
      <c r="E1315" s="28"/>
      <c r="F1315" s="28"/>
      <c r="G1315" s="28"/>
    </row>
    <row r="1316" spans="1:7" x14ac:dyDescent="0.25">
      <c r="A1316" s="28"/>
      <c r="B1316" s="28"/>
      <c r="C1316" s="28"/>
      <c r="D1316" s="28"/>
      <c r="E1316" s="28"/>
      <c r="F1316" s="28"/>
      <c r="G1316" s="28"/>
    </row>
    <row r="1317" spans="1:7" x14ac:dyDescent="0.25">
      <c r="A1317" s="28"/>
      <c r="B1317" s="28"/>
      <c r="C1317" s="28"/>
      <c r="D1317" s="28"/>
      <c r="E1317" s="28"/>
      <c r="F1317" s="28"/>
      <c r="G1317" s="28"/>
    </row>
    <row r="1318" spans="1:7" x14ac:dyDescent="0.25">
      <c r="A1318" s="28"/>
      <c r="B1318" s="28"/>
      <c r="C1318" s="28"/>
      <c r="D1318" s="28"/>
      <c r="E1318" s="28"/>
      <c r="F1318" s="28"/>
      <c r="G1318" s="28"/>
    </row>
    <row r="1319" spans="1:7" x14ac:dyDescent="0.25">
      <c r="A1319" s="28"/>
      <c r="B1319" s="28"/>
      <c r="C1319" s="28"/>
      <c r="D1319" s="28"/>
      <c r="E1319" s="28"/>
      <c r="F1319" s="28"/>
      <c r="G1319" s="28"/>
    </row>
    <row r="1320" spans="1:7" x14ac:dyDescent="0.25">
      <c r="A1320" s="28"/>
      <c r="B1320" s="28"/>
      <c r="C1320" s="28"/>
      <c r="D1320" s="28"/>
      <c r="E1320" s="28"/>
      <c r="F1320" s="28"/>
      <c r="G1320" s="28"/>
    </row>
    <row r="1321" spans="1:7" x14ac:dyDescent="0.25">
      <c r="A1321" s="28"/>
      <c r="B1321" s="28"/>
      <c r="C1321" s="28"/>
      <c r="D1321" s="28"/>
      <c r="E1321" s="28"/>
      <c r="F1321" s="28"/>
      <c r="G1321" s="28"/>
    </row>
    <row r="1322" spans="1:7" x14ac:dyDescent="0.25">
      <c r="A1322" s="28"/>
      <c r="B1322" s="28"/>
      <c r="C1322" s="28"/>
      <c r="D1322" s="28"/>
      <c r="E1322" s="28"/>
      <c r="F1322" s="28"/>
      <c r="G1322" s="28"/>
    </row>
    <row r="1323" spans="1:7" x14ac:dyDescent="0.25">
      <c r="A1323" s="28"/>
      <c r="B1323" s="28"/>
      <c r="C1323" s="28"/>
      <c r="D1323" s="28"/>
      <c r="E1323" s="28"/>
      <c r="F1323" s="28"/>
      <c r="G1323" s="28"/>
    </row>
    <row r="1324" spans="1:7" x14ac:dyDescent="0.25">
      <c r="A1324" s="28"/>
      <c r="B1324" s="28"/>
      <c r="C1324" s="28"/>
      <c r="D1324" s="28"/>
      <c r="E1324" s="28"/>
      <c r="F1324" s="28"/>
      <c r="G1324" s="28"/>
    </row>
    <row r="1325" spans="1:7" x14ac:dyDescent="0.25">
      <c r="A1325" s="28"/>
      <c r="B1325" s="28"/>
      <c r="C1325" s="28"/>
      <c r="D1325" s="28"/>
      <c r="E1325" s="28"/>
      <c r="F1325" s="28"/>
      <c r="G1325" s="28"/>
    </row>
    <row r="1326" spans="1:7" x14ac:dyDescent="0.25">
      <c r="A1326" s="28"/>
      <c r="B1326" s="28"/>
      <c r="C1326" s="28"/>
      <c r="D1326" s="28"/>
      <c r="E1326" s="28"/>
      <c r="F1326" s="28"/>
      <c r="G1326" s="28"/>
    </row>
    <row r="1327" spans="1:7" x14ac:dyDescent="0.25">
      <c r="A1327" s="28"/>
      <c r="B1327" s="28"/>
      <c r="C1327" s="28"/>
      <c r="D1327" s="28"/>
      <c r="E1327" s="28"/>
      <c r="F1327" s="28"/>
      <c r="G1327" s="28"/>
    </row>
    <row r="1328" spans="1:7" x14ac:dyDescent="0.25">
      <c r="A1328" s="28"/>
      <c r="B1328" s="28"/>
      <c r="C1328" s="28"/>
      <c r="D1328" s="28"/>
      <c r="E1328" s="28"/>
      <c r="F1328" s="28"/>
      <c r="G1328" s="28"/>
    </row>
    <row r="1329" spans="1:7" x14ac:dyDescent="0.25">
      <c r="A1329" s="28"/>
      <c r="B1329" s="28"/>
      <c r="C1329" s="28"/>
      <c r="D1329" s="28"/>
      <c r="E1329" s="28"/>
      <c r="F1329" s="28"/>
      <c r="G1329" s="28"/>
    </row>
    <row r="1330" spans="1:7" x14ac:dyDescent="0.25">
      <c r="A1330" s="28"/>
      <c r="B1330" s="28"/>
      <c r="C1330" s="28"/>
      <c r="D1330" s="28"/>
      <c r="E1330" s="28"/>
      <c r="F1330" s="28"/>
      <c r="G1330" s="28"/>
    </row>
    <row r="1331" spans="1:7" x14ac:dyDescent="0.25">
      <c r="A1331" s="28"/>
      <c r="B1331" s="28"/>
      <c r="C1331" s="28"/>
      <c r="D1331" s="28"/>
      <c r="E1331" s="28"/>
      <c r="F1331" s="28"/>
      <c r="G1331" s="28"/>
    </row>
    <row r="1332" spans="1:7" x14ac:dyDescent="0.25">
      <c r="A1332" s="28"/>
      <c r="B1332" s="28"/>
      <c r="C1332" s="28"/>
      <c r="D1332" s="28"/>
      <c r="E1332" s="28"/>
      <c r="F1332" s="28"/>
      <c r="G1332" s="28"/>
    </row>
    <row r="1333" spans="1:7" x14ac:dyDescent="0.25">
      <c r="A1333" s="28"/>
      <c r="B1333" s="28"/>
      <c r="C1333" s="28"/>
      <c r="D1333" s="28"/>
      <c r="E1333" s="28"/>
      <c r="F1333" s="28"/>
      <c r="G1333" s="28"/>
    </row>
    <row r="1334" spans="1:7" x14ac:dyDescent="0.25">
      <c r="A1334" s="28"/>
      <c r="B1334" s="28"/>
      <c r="C1334" s="28"/>
      <c r="D1334" s="28"/>
      <c r="E1334" s="28"/>
      <c r="F1334" s="28"/>
      <c r="G1334" s="28"/>
    </row>
    <row r="1335" spans="1:7" x14ac:dyDescent="0.25">
      <c r="A1335" s="28"/>
      <c r="B1335" s="28"/>
      <c r="C1335" s="28"/>
      <c r="D1335" s="28"/>
      <c r="E1335" s="28"/>
      <c r="F1335" s="28"/>
      <c r="G1335" s="28"/>
    </row>
    <row r="1336" spans="1:7" x14ac:dyDescent="0.25">
      <c r="A1336" s="28"/>
      <c r="B1336" s="28"/>
      <c r="C1336" s="28"/>
      <c r="D1336" s="28"/>
      <c r="E1336" s="28"/>
      <c r="F1336" s="28"/>
      <c r="G1336" s="28"/>
    </row>
    <row r="1337" spans="1:7" x14ac:dyDescent="0.25">
      <c r="A1337" s="28"/>
      <c r="B1337" s="28"/>
      <c r="C1337" s="28"/>
      <c r="D1337" s="28"/>
      <c r="E1337" s="28"/>
      <c r="F1337" s="28"/>
      <c r="G1337" s="28"/>
    </row>
    <row r="1338" spans="1:7" x14ac:dyDescent="0.25">
      <c r="A1338" s="28"/>
      <c r="B1338" s="28"/>
      <c r="C1338" s="28"/>
      <c r="D1338" s="28"/>
      <c r="E1338" s="28"/>
      <c r="F1338" s="28"/>
      <c r="G1338" s="28"/>
    </row>
    <row r="1339" spans="1:7" x14ac:dyDescent="0.25">
      <c r="A1339" s="28"/>
      <c r="B1339" s="28"/>
      <c r="C1339" s="28"/>
      <c r="D1339" s="28"/>
      <c r="E1339" s="28"/>
      <c r="F1339" s="28"/>
      <c r="G1339" s="28"/>
    </row>
    <row r="1340" spans="1:7" x14ac:dyDescent="0.25">
      <c r="A1340" s="28"/>
      <c r="B1340" s="28"/>
      <c r="C1340" s="28"/>
      <c r="D1340" s="28"/>
      <c r="E1340" s="28"/>
      <c r="F1340" s="28"/>
      <c r="G1340" s="28"/>
    </row>
    <row r="1341" spans="1:7" x14ac:dyDescent="0.25">
      <c r="A1341" s="28"/>
      <c r="B1341" s="28"/>
      <c r="C1341" s="28"/>
      <c r="D1341" s="28"/>
      <c r="E1341" s="28"/>
      <c r="F1341" s="28"/>
      <c r="G1341" s="28"/>
    </row>
    <row r="1342" spans="1:7" x14ac:dyDescent="0.25">
      <c r="A1342" s="28"/>
      <c r="B1342" s="28"/>
      <c r="C1342" s="28"/>
      <c r="D1342" s="28"/>
      <c r="E1342" s="28"/>
      <c r="F1342" s="28"/>
      <c r="G1342" s="28"/>
    </row>
    <row r="1343" spans="1:7" x14ac:dyDescent="0.25">
      <c r="A1343" s="28"/>
      <c r="B1343" s="28"/>
      <c r="C1343" s="28"/>
      <c r="D1343" s="28"/>
      <c r="E1343" s="28"/>
      <c r="F1343" s="28"/>
      <c r="G1343" s="28"/>
    </row>
    <row r="1344" spans="1:7" x14ac:dyDescent="0.25">
      <c r="A1344" s="28"/>
      <c r="B1344" s="28"/>
      <c r="C1344" s="28"/>
      <c r="D1344" s="28"/>
      <c r="E1344" s="28"/>
      <c r="F1344" s="28"/>
      <c r="G1344" s="28"/>
    </row>
    <row r="1345" spans="1:7" x14ac:dyDescent="0.25">
      <c r="A1345" s="28"/>
      <c r="B1345" s="28"/>
      <c r="C1345" s="28"/>
      <c r="D1345" s="28"/>
      <c r="E1345" s="28"/>
      <c r="F1345" s="28"/>
      <c r="G1345" s="28"/>
    </row>
    <row r="1346" spans="1:7" x14ac:dyDescent="0.25">
      <c r="A1346" s="28"/>
      <c r="B1346" s="28"/>
      <c r="C1346" s="28"/>
      <c r="D1346" s="28"/>
      <c r="E1346" s="28"/>
      <c r="F1346" s="28"/>
      <c r="G1346" s="28"/>
    </row>
    <row r="1347" spans="1:7" x14ac:dyDescent="0.25">
      <c r="A1347" s="28"/>
      <c r="B1347" s="28"/>
      <c r="C1347" s="28"/>
      <c r="D1347" s="28"/>
      <c r="E1347" s="28"/>
      <c r="F1347" s="28"/>
      <c r="G1347" s="28"/>
    </row>
    <row r="1348" spans="1:7" x14ac:dyDescent="0.25">
      <c r="A1348" s="28"/>
      <c r="B1348" s="28"/>
      <c r="C1348" s="28"/>
      <c r="D1348" s="28"/>
      <c r="E1348" s="28"/>
      <c r="F1348" s="28"/>
      <c r="G1348" s="28"/>
    </row>
    <row r="1349" spans="1:7" x14ac:dyDescent="0.25">
      <c r="A1349" s="28"/>
      <c r="B1349" s="28"/>
      <c r="C1349" s="28"/>
      <c r="D1349" s="28"/>
      <c r="E1349" s="28"/>
      <c r="F1349" s="28"/>
      <c r="G1349" s="28"/>
    </row>
    <row r="1350" spans="1:7" x14ac:dyDescent="0.25">
      <c r="A1350" s="28"/>
      <c r="B1350" s="28"/>
      <c r="C1350" s="28"/>
      <c r="D1350" s="28"/>
      <c r="E1350" s="28"/>
      <c r="F1350" s="28"/>
      <c r="G1350" s="28"/>
    </row>
    <row r="1351" spans="1:7" x14ac:dyDescent="0.25">
      <c r="A1351" s="28"/>
      <c r="B1351" s="28"/>
      <c r="C1351" s="28"/>
      <c r="D1351" s="28"/>
      <c r="E1351" s="28"/>
      <c r="F1351" s="28"/>
      <c r="G1351" s="28"/>
    </row>
    <row r="1352" spans="1:7" x14ac:dyDescent="0.25">
      <c r="A1352" s="28"/>
      <c r="B1352" s="28"/>
      <c r="C1352" s="28"/>
      <c r="D1352" s="28"/>
      <c r="E1352" s="28"/>
      <c r="F1352" s="28"/>
      <c r="G1352" s="28"/>
    </row>
    <row r="1353" spans="1:7" x14ac:dyDescent="0.25">
      <c r="A1353" s="28"/>
      <c r="B1353" s="28"/>
      <c r="C1353" s="28"/>
      <c r="D1353" s="28"/>
      <c r="E1353" s="28"/>
      <c r="F1353" s="28"/>
      <c r="G1353" s="28"/>
    </row>
    <row r="1354" spans="1:7" x14ac:dyDescent="0.25">
      <c r="A1354" s="28"/>
      <c r="B1354" s="28"/>
      <c r="C1354" s="28"/>
      <c r="D1354" s="28"/>
      <c r="E1354" s="28"/>
      <c r="F1354" s="28"/>
      <c r="G1354" s="28"/>
    </row>
    <row r="1355" spans="1:7" x14ac:dyDescent="0.25">
      <c r="A1355" s="28"/>
      <c r="B1355" s="28"/>
      <c r="C1355" s="28"/>
      <c r="D1355" s="28"/>
      <c r="E1355" s="28"/>
      <c r="F1355" s="28"/>
      <c r="G1355" s="28"/>
    </row>
    <row r="1356" spans="1:7" x14ac:dyDescent="0.25">
      <c r="A1356" s="28"/>
      <c r="B1356" s="28"/>
      <c r="C1356" s="28"/>
      <c r="D1356" s="28"/>
      <c r="E1356" s="28"/>
      <c r="F1356" s="28"/>
      <c r="G1356" s="28"/>
    </row>
    <row r="1357" spans="1:7" x14ac:dyDescent="0.25">
      <c r="A1357" s="28"/>
      <c r="B1357" s="28"/>
      <c r="C1357" s="28"/>
      <c r="D1357" s="28"/>
      <c r="E1357" s="28"/>
      <c r="F1357" s="28"/>
      <c r="G1357" s="28"/>
    </row>
    <row r="1358" spans="1:7" x14ac:dyDescent="0.25">
      <c r="A1358" s="28"/>
      <c r="B1358" s="28"/>
      <c r="C1358" s="28"/>
      <c r="D1358" s="28"/>
      <c r="E1358" s="28"/>
      <c r="F1358" s="28"/>
      <c r="G1358" s="28"/>
    </row>
    <row r="1359" spans="1:7" x14ac:dyDescent="0.25">
      <c r="A1359" s="28"/>
      <c r="B1359" s="28"/>
      <c r="C1359" s="28"/>
      <c r="D1359" s="28"/>
      <c r="E1359" s="28"/>
      <c r="F1359" s="28"/>
      <c r="G1359" s="28"/>
    </row>
    <row r="1360" spans="1:7" x14ac:dyDescent="0.25">
      <c r="A1360" s="28"/>
      <c r="B1360" s="28"/>
      <c r="C1360" s="28"/>
      <c r="D1360" s="28"/>
      <c r="E1360" s="28"/>
      <c r="F1360" s="28"/>
      <c r="G1360" s="28"/>
    </row>
    <row r="1361" spans="1:7" x14ac:dyDescent="0.25">
      <c r="A1361" s="28"/>
      <c r="B1361" s="28"/>
      <c r="C1361" s="28"/>
      <c r="D1361" s="28"/>
      <c r="E1361" s="28"/>
      <c r="F1361" s="28"/>
      <c r="G1361" s="28"/>
    </row>
    <row r="1362" spans="1:7" x14ac:dyDescent="0.25">
      <c r="A1362" s="28"/>
      <c r="B1362" s="28"/>
      <c r="C1362" s="28"/>
      <c r="D1362" s="28"/>
      <c r="E1362" s="28"/>
      <c r="F1362" s="28"/>
      <c r="G1362" s="28"/>
    </row>
    <row r="1363" spans="1:7" x14ac:dyDescent="0.25">
      <c r="A1363" s="28"/>
      <c r="B1363" s="28"/>
      <c r="C1363" s="28"/>
      <c r="D1363" s="28"/>
      <c r="E1363" s="28"/>
      <c r="F1363" s="28"/>
      <c r="G1363" s="28"/>
    </row>
    <row r="1364" spans="1:7" x14ac:dyDescent="0.25">
      <c r="A1364" s="28"/>
      <c r="B1364" s="28"/>
      <c r="C1364" s="28"/>
      <c r="D1364" s="28"/>
      <c r="E1364" s="28"/>
      <c r="F1364" s="28"/>
      <c r="G1364" s="28"/>
    </row>
    <row r="1365" spans="1:7" x14ac:dyDescent="0.25">
      <c r="A1365" s="28"/>
      <c r="B1365" s="28"/>
      <c r="C1365" s="28"/>
      <c r="D1365" s="28"/>
      <c r="E1365" s="28"/>
      <c r="F1365" s="28"/>
      <c r="G1365" s="28"/>
    </row>
    <row r="1366" spans="1:7" x14ac:dyDescent="0.25">
      <c r="A1366" s="28"/>
      <c r="B1366" s="28"/>
      <c r="C1366" s="28"/>
      <c r="D1366" s="28"/>
      <c r="E1366" s="28"/>
      <c r="F1366" s="28"/>
      <c r="G1366" s="28"/>
    </row>
    <row r="1367" spans="1:7" x14ac:dyDescent="0.25">
      <c r="A1367" s="28"/>
      <c r="B1367" s="28"/>
      <c r="C1367" s="28"/>
      <c r="D1367" s="28"/>
      <c r="E1367" s="28"/>
      <c r="F1367" s="28"/>
      <c r="G1367" s="28"/>
    </row>
    <row r="1368" spans="1:7" x14ac:dyDescent="0.25">
      <c r="A1368" s="28"/>
      <c r="B1368" s="28"/>
      <c r="C1368" s="28"/>
      <c r="D1368" s="28"/>
      <c r="E1368" s="28"/>
      <c r="F1368" s="28"/>
      <c r="G1368" s="28"/>
    </row>
    <row r="1369" spans="1:7" x14ac:dyDescent="0.25">
      <c r="A1369" s="28"/>
      <c r="B1369" s="28"/>
      <c r="C1369" s="28"/>
      <c r="D1369" s="28"/>
      <c r="E1369" s="28"/>
      <c r="F1369" s="28"/>
      <c r="G1369" s="28"/>
    </row>
    <row r="1370" spans="1:7" x14ac:dyDescent="0.25">
      <c r="A1370" s="28"/>
      <c r="B1370" s="28"/>
      <c r="C1370" s="28"/>
      <c r="D1370" s="28"/>
      <c r="E1370" s="28"/>
      <c r="F1370" s="28"/>
      <c r="G1370" s="28"/>
    </row>
    <row r="1371" spans="1:7" x14ac:dyDescent="0.25">
      <c r="A1371" s="28"/>
      <c r="B1371" s="28"/>
      <c r="C1371" s="28"/>
      <c r="D1371" s="28"/>
      <c r="E1371" s="28"/>
      <c r="F1371" s="28"/>
      <c r="G1371" s="28"/>
    </row>
    <row r="1372" spans="1:7" x14ac:dyDescent="0.25">
      <c r="A1372" s="28"/>
      <c r="B1372" s="28"/>
      <c r="C1372" s="28"/>
      <c r="D1372" s="28"/>
      <c r="E1372" s="28"/>
      <c r="F1372" s="28"/>
      <c r="G1372" s="28"/>
    </row>
    <row r="1373" spans="1:7" x14ac:dyDescent="0.25">
      <c r="A1373" s="28"/>
      <c r="B1373" s="28"/>
      <c r="C1373" s="28"/>
      <c r="D1373" s="28"/>
      <c r="E1373" s="28"/>
      <c r="F1373" s="28"/>
      <c r="G1373" s="28"/>
    </row>
    <row r="1374" spans="1:7" x14ac:dyDescent="0.25">
      <c r="A1374" s="28"/>
      <c r="B1374" s="28"/>
      <c r="C1374" s="28"/>
      <c r="D1374" s="28"/>
      <c r="E1374" s="28"/>
      <c r="F1374" s="28"/>
      <c r="G1374" s="28"/>
    </row>
    <row r="1375" spans="1:7" x14ac:dyDescent="0.25">
      <c r="A1375" s="28"/>
      <c r="B1375" s="28"/>
      <c r="C1375" s="28"/>
      <c r="D1375" s="28"/>
      <c r="E1375" s="28"/>
      <c r="F1375" s="28"/>
      <c r="G1375" s="28"/>
    </row>
    <row r="1376" spans="1:7" x14ac:dyDescent="0.25">
      <c r="A1376" s="28"/>
      <c r="B1376" s="28"/>
      <c r="C1376" s="28"/>
      <c r="D1376" s="28"/>
      <c r="E1376" s="28"/>
      <c r="F1376" s="28"/>
      <c r="G1376" s="28"/>
    </row>
    <row r="1377" spans="1:7" x14ac:dyDescent="0.25">
      <c r="A1377" s="28"/>
      <c r="B1377" s="28"/>
      <c r="C1377" s="28"/>
      <c r="D1377" s="28"/>
      <c r="E1377" s="28"/>
      <c r="F1377" s="28"/>
      <c r="G1377" s="28"/>
    </row>
    <row r="1378" spans="1:7" x14ac:dyDescent="0.25">
      <c r="A1378" s="28"/>
      <c r="B1378" s="28"/>
      <c r="C1378" s="28"/>
      <c r="D1378" s="28"/>
      <c r="E1378" s="28"/>
      <c r="F1378" s="28"/>
      <c r="G1378" s="28"/>
    </row>
    <row r="1379" spans="1:7" x14ac:dyDescent="0.25">
      <c r="A1379" s="28"/>
      <c r="B1379" s="28"/>
      <c r="C1379" s="28"/>
      <c r="D1379" s="28"/>
      <c r="E1379" s="28"/>
      <c r="F1379" s="28"/>
      <c r="G1379" s="28"/>
    </row>
    <row r="1380" spans="1:7" x14ac:dyDescent="0.25">
      <c r="A1380" s="28"/>
      <c r="B1380" s="28"/>
      <c r="C1380" s="28"/>
      <c r="D1380" s="28"/>
      <c r="E1380" s="28"/>
      <c r="F1380" s="28"/>
      <c r="G1380" s="28"/>
    </row>
    <row r="1381" spans="1:7" x14ac:dyDescent="0.25">
      <c r="A1381" s="28"/>
      <c r="B1381" s="28"/>
      <c r="C1381" s="28"/>
      <c r="D1381" s="28"/>
      <c r="E1381" s="28"/>
      <c r="F1381" s="28"/>
      <c r="G1381" s="28"/>
    </row>
    <row r="1382" spans="1:7" x14ac:dyDescent="0.25">
      <c r="A1382" s="28"/>
      <c r="B1382" s="28"/>
      <c r="C1382" s="28"/>
      <c r="D1382" s="28"/>
      <c r="E1382" s="28"/>
      <c r="F1382" s="28"/>
      <c r="G1382" s="28"/>
    </row>
    <row r="1383" spans="1:7" x14ac:dyDescent="0.25">
      <c r="A1383" s="28"/>
      <c r="B1383" s="28"/>
      <c r="C1383" s="28"/>
      <c r="D1383" s="28"/>
      <c r="E1383" s="28"/>
      <c r="F1383" s="28"/>
      <c r="G1383" s="28"/>
    </row>
    <row r="1384" spans="1:7" x14ac:dyDescent="0.25">
      <c r="A1384" s="28"/>
      <c r="B1384" s="28"/>
      <c r="C1384" s="28"/>
      <c r="D1384" s="28"/>
      <c r="E1384" s="28"/>
      <c r="F1384" s="28"/>
      <c r="G1384" s="28"/>
    </row>
    <row r="1385" spans="1:7" x14ac:dyDescent="0.25">
      <c r="A1385" s="28"/>
      <c r="B1385" s="28"/>
      <c r="C1385" s="28"/>
      <c r="D1385" s="28"/>
      <c r="E1385" s="28"/>
      <c r="F1385" s="28"/>
      <c r="G1385" s="28"/>
    </row>
    <row r="1386" spans="1:7" x14ac:dyDescent="0.25">
      <c r="A1386" s="28"/>
      <c r="B1386" s="28"/>
      <c r="C1386" s="28"/>
      <c r="D1386" s="28"/>
      <c r="E1386" s="28"/>
      <c r="F1386" s="28"/>
      <c r="G1386" s="28"/>
    </row>
    <row r="1387" spans="1:7" x14ac:dyDescent="0.25">
      <c r="A1387" s="28"/>
      <c r="B1387" s="28"/>
      <c r="C1387" s="28"/>
      <c r="D1387" s="28"/>
      <c r="E1387" s="28"/>
      <c r="F1387" s="28"/>
      <c r="G1387" s="28"/>
    </row>
    <row r="1388" spans="1:7" x14ac:dyDescent="0.25">
      <c r="A1388" s="28"/>
      <c r="B1388" s="28"/>
      <c r="C1388" s="28"/>
      <c r="D1388" s="28"/>
      <c r="E1388" s="28"/>
      <c r="F1388" s="28"/>
      <c r="G1388" s="28"/>
    </row>
    <row r="1389" spans="1:7" x14ac:dyDescent="0.25">
      <c r="A1389" s="28"/>
      <c r="B1389" s="28"/>
      <c r="C1389" s="28"/>
      <c r="D1389" s="28"/>
      <c r="E1389" s="28"/>
      <c r="F1389" s="28"/>
      <c r="G1389" s="28"/>
    </row>
    <row r="1390" spans="1:7" x14ac:dyDescent="0.25">
      <c r="A1390" s="28"/>
      <c r="B1390" s="28"/>
      <c r="C1390" s="28"/>
      <c r="D1390" s="28"/>
      <c r="E1390" s="28"/>
      <c r="F1390" s="28"/>
      <c r="G1390" s="28"/>
    </row>
    <row r="1391" spans="1:7" x14ac:dyDescent="0.25">
      <c r="A1391" s="28"/>
      <c r="B1391" s="28"/>
      <c r="C1391" s="28"/>
      <c r="D1391" s="28"/>
      <c r="E1391" s="28"/>
      <c r="F1391" s="28"/>
      <c r="G1391" s="28"/>
    </row>
    <row r="1392" spans="1:7" x14ac:dyDescent="0.25">
      <c r="A1392" s="28"/>
      <c r="B1392" s="28"/>
      <c r="C1392" s="28"/>
      <c r="D1392" s="28"/>
      <c r="E1392" s="28"/>
      <c r="F1392" s="28"/>
      <c r="G1392" s="28"/>
    </row>
    <row r="1393" spans="1:7" x14ac:dyDescent="0.25">
      <c r="A1393" s="28"/>
      <c r="B1393" s="28"/>
      <c r="C1393" s="28"/>
      <c r="D1393" s="28"/>
      <c r="E1393" s="28"/>
      <c r="F1393" s="28"/>
      <c r="G1393" s="28"/>
    </row>
    <row r="1394" spans="1:7" x14ac:dyDescent="0.25">
      <c r="A1394" s="28"/>
      <c r="B1394" s="28"/>
      <c r="C1394" s="28"/>
      <c r="D1394" s="28"/>
      <c r="E1394" s="28"/>
      <c r="F1394" s="28"/>
      <c r="G1394" s="28"/>
    </row>
    <row r="1395" spans="1:7" x14ac:dyDescent="0.25">
      <c r="A1395" s="28"/>
      <c r="B1395" s="28"/>
      <c r="C1395" s="28"/>
      <c r="D1395" s="28"/>
      <c r="E1395" s="28"/>
      <c r="F1395" s="28"/>
      <c r="G1395" s="28"/>
    </row>
    <row r="1396" spans="1:7" x14ac:dyDescent="0.25">
      <c r="A1396" s="28"/>
      <c r="B1396" s="28"/>
      <c r="C1396" s="28"/>
      <c r="D1396" s="28"/>
      <c r="E1396" s="28"/>
      <c r="F1396" s="28"/>
      <c r="G1396" s="28"/>
    </row>
    <row r="1397" spans="1:7" x14ac:dyDescent="0.25">
      <c r="A1397" s="28"/>
      <c r="B1397" s="28"/>
      <c r="C1397" s="28"/>
      <c r="D1397" s="28"/>
      <c r="E1397" s="28"/>
      <c r="F1397" s="28"/>
      <c r="G1397" s="28"/>
    </row>
    <row r="1398" spans="1:7" x14ac:dyDescent="0.25">
      <c r="A1398" s="28"/>
      <c r="B1398" s="28"/>
      <c r="C1398" s="28"/>
      <c r="D1398" s="28"/>
      <c r="E1398" s="28"/>
      <c r="F1398" s="28"/>
      <c r="G1398" s="28"/>
    </row>
    <row r="1399" spans="1:7" x14ac:dyDescent="0.25">
      <c r="A1399" s="28"/>
      <c r="B1399" s="28"/>
      <c r="C1399" s="28"/>
      <c r="D1399" s="28"/>
      <c r="E1399" s="28"/>
      <c r="F1399" s="28"/>
      <c r="G1399" s="28"/>
    </row>
    <row r="1400" spans="1:7" x14ac:dyDescent="0.25">
      <c r="A1400" s="28"/>
      <c r="B1400" s="28"/>
      <c r="C1400" s="28"/>
      <c r="D1400" s="28"/>
      <c r="E1400" s="28"/>
      <c r="F1400" s="28"/>
      <c r="G1400" s="28"/>
    </row>
    <row r="1401" spans="1:7" x14ac:dyDescent="0.25">
      <c r="A1401" s="28"/>
      <c r="B1401" s="28"/>
      <c r="C1401" s="28"/>
      <c r="D1401" s="28"/>
      <c r="E1401" s="28"/>
      <c r="F1401" s="28"/>
      <c r="G1401" s="28"/>
    </row>
    <row r="1402" spans="1:7" x14ac:dyDescent="0.25">
      <c r="A1402" s="28"/>
      <c r="B1402" s="28"/>
      <c r="C1402" s="28"/>
      <c r="D1402" s="28"/>
      <c r="E1402" s="28"/>
      <c r="F1402" s="28"/>
      <c r="G1402" s="28"/>
    </row>
    <row r="1403" spans="1:7" x14ac:dyDescent="0.25">
      <c r="A1403" s="28"/>
      <c r="B1403" s="28"/>
      <c r="C1403" s="28"/>
      <c r="D1403" s="28"/>
      <c r="E1403" s="28"/>
      <c r="F1403" s="28"/>
      <c r="G1403" s="28"/>
    </row>
    <row r="1404" spans="1:7" x14ac:dyDescent="0.25">
      <c r="A1404" s="28"/>
      <c r="B1404" s="28"/>
      <c r="C1404" s="28"/>
      <c r="D1404" s="28"/>
      <c r="E1404" s="28"/>
      <c r="F1404" s="28"/>
      <c r="G1404" s="28"/>
    </row>
    <row r="1405" spans="1:7" x14ac:dyDescent="0.25">
      <c r="A1405" s="28"/>
      <c r="B1405" s="28"/>
      <c r="C1405" s="28"/>
      <c r="D1405" s="28"/>
      <c r="E1405" s="28"/>
      <c r="F1405" s="28"/>
      <c r="G1405" s="28"/>
    </row>
    <row r="1406" spans="1:7" x14ac:dyDescent="0.25">
      <c r="A1406" s="28"/>
      <c r="B1406" s="28"/>
      <c r="C1406" s="28"/>
      <c r="D1406" s="28"/>
      <c r="E1406" s="28"/>
      <c r="F1406" s="28"/>
      <c r="G1406" s="28"/>
    </row>
    <row r="1407" spans="1:7" x14ac:dyDescent="0.25">
      <c r="A1407" s="28"/>
      <c r="B1407" s="28"/>
      <c r="C1407" s="28"/>
      <c r="D1407" s="28"/>
      <c r="E1407" s="28"/>
      <c r="F1407" s="28"/>
      <c r="G1407" s="28"/>
    </row>
    <row r="1408" spans="1:7" x14ac:dyDescent="0.25">
      <c r="A1408" s="28"/>
      <c r="B1408" s="28"/>
      <c r="C1408" s="28"/>
      <c r="D1408" s="28"/>
      <c r="E1408" s="28"/>
      <c r="F1408" s="28"/>
      <c r="G1408" s="28"/>
    </row>
    <row r="1409" spans="1:7" x14ac:dyDescent="0.25">
      <c r="A1409" s="28"/>
      <c r="B1409" s="28"/>
      <c r="C1409" s="28"/>
      <c r="D1409" s="28"/>
      <c r="E1409" s="28"/>
      <c r="F1409" s="28"/>
      <c r="G1409" s="28"/>
    </row>
    <row r="1410" spans="1:7" x14ac:dyDescent="0.25">
      <c r="A1410" s="28"/>
      <c r="B1410" s="28"/>
      <c r="C1410" s="28"/>
      <c r="D1410" s="28"/>
      <c r="E1410" s="28"/>
      <c r="F1410" s="28"/>
      <c r="G1410" s="28"/>
    </row>
    <row r="1411" spans="1:7" x14ac:dyDescent="0.25">
      <c r="A1411" s="28"/>
      <c r="B1411" s="28"/>
      <c r="C1411" s="28"/>
      <c r="D1411" s="28"/>
      <c r="E1411" s="28"/>
      <c r="F1411" s="28"/>
      <c r="G1411" s="28"/>
    </row>
    <row r="1412" spans="1:7" x14ac:dyDescent="0.25">
      <c r="A1412" s="28"/>
      <c r="B1412" s="28"/>
      <c r="C1412" s="28"/>
      <c r="D1412" s="28"/>
      <c r="E1412" s="28"/>
      <c r="F1412" s="28"/>
      <c r="G1412" s="28"/>
    </row>
    <row r="1413" spans="1:7" x14ac:dyDescent="0.25">
      <c r="A1413" s="28"/>
      <c r="B1413" s="28"/>
      <c r="C1413" s="28"/>
      <c r="D1413" s="28"/>
      <c r="E1413" s="28"/>
      <c r="F1413" s="28"/>
      <c r="G1413" s="28"/>
    </row>
    <row r="1414" spans="1:7" x14ac:dyDescent="0.25">
      <c r="A1414" s="28"/>
      <c r="B1414" s="28"/>
      <c r="C1414" s="28"/>
      <c r="D1414" s="28"/>
      <c r="E1414" s="28"/>
      <c r="F1414" s="28"/>
      <c r="G1414" s="28"/>
    </row>
    <row r="1415" spans="1:7" x14ac:dyDescent="0.25">
      <c r="A1415" s="28"/>
      <c r="B1415" s="28"/>
      <c r="C1415" s="28"/>
      <c r="D1415" s="28"/>
      <c r="E1415" s="28"/>
      <c r="F1415" s="28"/>
      <c r="G1415" s="28"/>
    </row>
    <row r="1416" spans="1:7" x14ac:dyDescent="0.25">
      <c r="A1416" s="28"/>
      <c r="B1416" s="28"/>
      <c r="C1416" s="28"/>
      <c r="D1416" s="28"/>
      <c r="E1416" s="28"/>
      <c r="F1416" s="28"/>
      <c r="G1416" s="28"/>
    </row>
    <row r="1417" spans="1:7" x14ac:dyDescent="0.25">
      <c r="A1417" s="28"/>
      <c r="B1417" s="28"/>
      <c r="C1417" s="28"/>
      <c r="D1417" s="28"/>
      <c r="E1417" s="28"/>
      <c r="F1417" s="28"/>
      <c r="G1417" s="28"/>
    </row>
    <row r="1418" spans="1:7" x14ac:dyDescent="0.25">
      <c r="A1418" s="28"/>
      <c r="B1418" s="28"/>
      <c r="C1418" s="28"/>
      <c r="D1418" s="28"/>
      <c r="E1418" s="28"/>
      <c r="F1418" s="28"/>
      <c r="G1418" s="28"/>
    </row>
    <row r="1419" spans="1:7" x14ac:dyDescent="0.25">
      <c r="A1419" s="28"/>
      <c r="B1419" s="28"/>
      <c r="C1419" s="28"/>
      <c r="D1419" s="28"/>
      <c r="E1419" s="28"/>
      <c r="F1419" s="28"/>
      <c r="G1419" s="28"/>
    </row>
    <row r="1420" spans="1:7" x14ac:dyDescent="0.25">
      <c r="A1420" s="28"/>
      <c r="B1420" s="28"/>
      <c r="C1420" s="28"/>
      <c r="D1420" s="28"/>
      <c r="E1420" s="28"/>
      <c r="F1420" s="28"/>
      <c r="G1420" s="28"/>
    </row>
    <row r="1421" spans="1:7" x14ac:dyDescent="0.25">
      <c r="A1421" s="28"/>
      <c r="B1421" s="28"/>
      <c r="C1421" s="28"/>
      <c r="D1421" s="28"/>
      <c r="E1421" s="28"/>
      <c r="F1421" s="28"/>
      <c r="G1421" s="28"/>
    </row>
    <row r="1422" spans="1:7" x14ac:dyDescent="0.25">
      <c r="A1422" s="28"/>
      <c r="B1422" s="28"/>
      <c r="C1422" s="28"/>
      <c r="D1422" s="28"/>
      <c r="E1422" s="28"/>
      <c r="F1422" s="28"/>
      <c r="G1422" s="28"/>
    </row>
    <row r="1423" spans="1:7" x14ac:dyDescent="0.25">
      <c r="A1423" s="28"/>
      <c r="B1423" s="28"/>
      <c r="C1423" s="28"/>
      <c r="D1423" s="28"/>
      <c r="E1423" s="28"/>
      <c r="F1423" s="28"/>
      <c r="G1423" s="28"/>
    </row>
    <row r="1424" spans="1:7" x14ac:dyDescent="0.25">
      <c r="A1424" s="28"/>
      <c r="B1424" s="28"/>
      <c r="C1424" s="28"/>
      <c r="D1424" s="28"/>
      <c r="E1424" s="28"/>
      <c r="F1424" s="28"/>
      <c r="G1424" s="28"/>
    </row>
    <row r="1425" spans="1:7" x14ac:dyDescent="0.25">
      <c r="A1425" s="28"/>
      <c r="B1425" s="28"/>
      <c r="C1425" s="28"/>
      <c r="D1425" s="28"/>
      <c r="E1425" s="28"/>
      <c r="F1425" s="28"/>
      <c r="G1425" s="28"/>
    </row>
    <row r="1426" spans="1:7" x14ac:dyDescent="0.25">
      <c r="A1426" s="28"/>
      <c r="B1426" s="28"/>
      <c r="C1426" s="28"/>
      <c r="D1426" s="28"/>
      <c r="E1426" s="28"/>
      <c r="F1426" s="28"/>
      <c r="G1426" s="28"/>
    </row>
    <row r="1427" spans="1:7" x14ac:dyDescent="0.25">
      <c r="A1427" s="28"/>
      <c r="B1427" s="28"/>
      <c r="C1427" s="28"/>
      <c r="D1427" s="28"/>
      <c r="E1427" s="28"/>
      <c r="F1427" s="28"/>
      <c r="G1427" s="28"/>
    </row>
    <row r="1428" spans="1:7" x14ac:dyDescent="0.25">
      <c r="A1428" s="28"/>
      <c r="B1428" s="28"/>
      <c r="C1428" s="28"/>
      <c r="D1428" s="28"/>
      <c r="E1428" s="28"/>
      <c r="F1428" s="28"/>
      <c r="G1428" s="28"/>
    </row>
    <row r="1429" spans="1:7" x14ac:dyDescent="0.25">
      <c r="A1429" s="28"/>
      <c r="B1429" s="28"/>
      <c r="C1429" s="28"/>
      <c r="D1429" s="28"/>
      <c r="E1429" s="28"/>
      <c r="F1429" s="28"/>
      <c r="G1429" s="28"/>
    </row>
    <row r="1430" spans="1:7" x14ac:dyDescent="0.25">
      <c r="A1430" s="28"/>
      <c r="B1430" s="28"/>
      <c r="C1430" s="28"/>
      <c r="D1430" s="28"/>
      <c r="E1430" s="28"/>
      <c r="F1430" s="28"/>
      <c r="G1430" s="28"/>
    </row>
    <row r="1431" spans="1:7" x14ac:dyDescent="0.25">
      <c r="A1431" s="28"/>
      <c r="B1431" s="28"/>
      <c r="C1431" s="28"/>
      <c r="D1431" s="28"/>
      <c r="E1431" s="28"/>
      <c r="F1431" s="28"/>
      <c r="G1431" s="28"/>
    </row>
    <row r="1432" spans="1:7" x14ac:dyDescent="0.25">
      <c r="A1432" s="28"/>
      <c r="B1432" s="28"/>
      <c r="C1432" s="28"/>
      <c r="D1432" s="28"/>
      <c r="E1432" s="28"/>
      <c r="F1432" s="28"/>
      <c r="G1432" s="28"/>
    </row>
    <row r="1433" spans="1:7" x14ac:dyDescent="0.25">
      <c r="A1433" s="28"/>
      <c r="B1433" s="28"/>
      <c r="C1433" s="28"/>
      <c r="D1433" s="28"/>
      <c r="E1433" s="28"/>
      <c r="F1433" s="28"/>
      <c r="G1433" s="28"/>
    </row>
    <row r="1434" spans="1:7" x14ac:dyDescent="0.25">
      <c r="A1434" s="28"/>
      <c r="B1434" s="28"/>
      <c r="C1434" s="28"/>
      <c r="D1434" s="28"/>
      <c r="E1434" s="28"/>
      <c r="F1434" s="28"/>
      <c r="G1434" s="28"/>
    </row>
    <row r="1435" spans="1:7" x14ac:dyDescent="0.25">
      <c r="A1435" s="28"/>
      <c r="B1435" s="28"/>
      <c r="C1435" s="28"/>
      <c r="D1435" s="28"/>
      <c r="E1435" s="28"/>
      <c r="F1435" s="28"/>
      <c r="G1435" s="28"/>
    </row>
    <row r="1436" spans="1:7" x14ac:dyDescent="0.25">
      <c r="A1436" s="28"/>
      <c r="B1436" s="28"/>
      <c r="C1436" s="28"/>
      <c r="D1436" s="28"/>
      <c r="E1436" s="28"/>
      <c r="F1436" s="28"/>
      <c r="G1436" s="28"/>
    </row>
    <row r="1437" spans="1:7" x14ac:dyDescent="0.25">
      <c r="A1437" s="28"/>
      <c r="B1437" s="28"/>
      <c r="C1437" s="28"/>
      <c r="D1437" s="28"/>
      <c r="E1437" s="28"/>
      <c r="F1437" s="28"/>
      <c r="G1437" s="28"/>
    </row>
    <row r="1438" spans="1:7" x14ac:dyDescent="0.25">
      <c r="A1438" s="28"/>
      <c r="B1438" s="28"/>
      <c r="C1438" s="28"/>
      <c r="D1438" s="28"/>
      <c r="E1438" s="28"/>
      <c r="F1438" s="28"/>
      <c r="G1438" s="28"/>
    </row>
    <row r="1439" spans="1:7" x14ac:dyDescent="0.25">
      <c r="A1439" s="28"/>
      <c r="B1439" s="28"/>
      <c r="C1439" s="28"/>
      <c r="D1439" s="28"/>
      <c r="E1439" s="28"/>
      <c r="F1439" s="28"/>
      <c r="G1439" s="28"/>
    </row>
    <row r="1440" spans="1:7" x14ac:dyDescent="0.25">
      <c r="A1440" s="28"/>
      <c r="B1440" s="28"/>
      <c r="C1440" s="28"/>
      <c r="D1440" s="28"/>
      <c r="E1440" s="28"/>
      <c r="F1440" s="28"/>
      <c r="G1440" s="28"/>
    </row>
    <row r="1441" spans="1:7" x14ac:dyDescent="0.25">
      <c r="A1441" s="28"/>
      <c r="B1441" s="28"/>
      <c r="C1441" s="28"/>
      <c r="D1441" s="28"/>
      <c r="E1441" s="28"/>
      <c r="F1441" s="28"/>
      <c r="G1441" s="28"/>
    </row>
    <row r="1442" spans="1:7" x14ac:dyDescent="0.25">
      <c r="A1442" s="28"/>
      <c r="B1442" s="28"/>
      <c r="C1442" s="28"/>
      <c r="D1442" s="28"/>
      <c r="E1442" s="28"/>
      <c r="F1442" s="28"/>
      <c r="G1442" s="28"/>
    </row>
    <row r="1443" spans="1:7" x14ac:dyDescent="0.25">
      <c r="A1443" s="28"/>
      <c r="B1443" s="28"/>
      <c r="C1443" s="28"/>
      <c r="D1443" s="28"/>
      <c r="E1443" s="28"/>
      <c r="F1443" s="28"/>
      <c r="G1443" s="28"/>
    </row>
    <row r="1444" spans="1:7" x14ac:dyDescent="0.25">
      <c r="A1444" s="28"/>
      <c r="B1444" s="28"/>
      <c r="C1444" s="28"/>
      <c r="D1444" s="28"/>
      <c r="E1444" s="28"/>
      <c r="F1444" s="28"/>
      <c r="G1444" s="28"/>
    </row>
    <row r="1445" spans="1:7" x14ac:dyDescent="0.25">
      <c r="A1445" s="28"/>
      <c r="B1445" s="28"/>
      <c r="C1445" s="28"/>
      <c r="D1445" s="28"/>
      <c r="E1445" s="28"/>
      <c r="F1445" s="28"/>
      <c r="G1445" s="28"/>
    </row>
    <row r="1446" spans="1:7" x14ac:dyDescent="0.25">
      <c r="A1446" s="28"/>
      <c r="B1446" s="28"/>
      <c r="C1446" s="28"/>
      <c r="D1446" s="28"/>
      <c r="E1446" s="28"/>
      <c r="F1446" s="28"/>
      <c r="G1446" s="28"/>
    </row>
    <row r="1447" spans="1:7" x14ac:dyDescent="0.25">
      <c r="A1447" s="28"/>
      <c r="B1447" s="28"/>
      <c r="C1447" s="28"/>
      <c r="D1447" s="28"/>
      <c r="E1447" s="28"/>
      <c r="F1447" s="28"/>
      <c r="G1447" s="28"/>
    </row>
    <row r="1448" spans="1:7" x14ac:dyDescent="0.25">
      <c r="A1448" s="28"/>
      <c r="B1448" s="28"/>
      <c r="C1448" s="28"/>
      <c r="D1448" s="28"/>
      <c r="E1448" s="28"/>
      <c r="F1448" s="28"/>
      <c r="G1448" s="28"/>
    </row>
    <row r="1449" spans="1:7" x14ac:dyDescent="0.25">
      <c r="A1449" s="28"/>
      <c r="B1449" s="28"/>
      <c r="C1449" s="28"/>
      <c r="D1449" s="28"/>
      <c r="E1449" s="28"/>
      <c r="F1449" s="28"/>
      <c r="G1449" s="28"/>
    </row>
    <row r="1450" spans="1:7" x14ac:dyDescent="0.25">
      <c r="A1450" s="28"/>
      <c r="B1450" s="28"/>
      <c r="C1450" s="28"/>
      <c r="D1450" s="28"/>
      <c r="E1450" s="28"/>
      <c r="F1450" s="28"/>
      <c r="G1450" s="28"/>
    </row>
    <row r="1451" spans="1:7" x14ac:dyDescent="0.25">
      <c r="A1451" s="28"/>
      <c r="B1451" s="28"/>
      <c r="C1451" s="28"/>
      <c r="D1451" s="28"/>
      <c r="E1451" s="28"/>
      <c r="F1451" s="28"/>
      <c r="G1451" s="28"/>
    </row>
    <row r="1452" spans="1:7" x14ac:dyDescent="0.25">
      <c r="A1452" s="28"/>
      <c r="B1452" s="28"/>
      <c r="C1452" s="28"/>
      <c r="D1452" s="28"/>
      <c r="E1452" s="28"/>
      <c r="F1452" s="28"/>
      <c r="G1452" s="28"/>
    </row>
    <row r="1453" spans="1:7" x14ac:dyDescent="0.25">
      <c r="A1453" s="28"/>
      <c r="B1453" s="28"/>
      <c r="C1453" s="28"/>
      <c r="D1453" s="28"/>
      <c r="E1453" s="28"/>
      <c r="F1453" s="28"/>
      <c r="G1453" s="28"/>
    </row>
    <row r="1454" spans="1:7" x14ac:dyDescent="0.25">
      <c r="A1454" s="28"/>
      <c r="B1454" s="28"/>
      <c r="C1454" s="28"/>
      <c r="D1454" s="28"/>
      <c r="E1454" s="28"/>
      <c r="F1454" s="28"/>
      <c r="G1454" s="28"/>
    </row>
    <row r="1455" spans="1:7" x14ac:dyDescent="0.25">
      <c r="A1455" s="28"/>
      <c r="B1455" s="28"/>
      <c r="C1455" s="28"/>
      <c r="D1455" s="28"/>
      <c r="E1455" s="28"/>
      <c r="F1455" s="28"/>
      <c r="G1455" s="28"/>
    </row>
    <row r="1456" spans="1:7" x14ac:dyDescent="0.25">
      <c r="A1456" s="28"/>
      <c r="B1456" s="28"/>
      <c r="C1456" s="28"/>
      <c r="D1456" s="28"/>
      <c r="E1456" s="28"/>
      <c r="F1456" s="28"/>
      <c r="G1456" s="28"/>
    </row>
    <row r="1457" spans="1:7" x14ac:dyDescent="0.25">
      <c r="A1457" s="28"/>
      <c r="B1457" s="28"/>
      <c r="C1457" s="28"/>
      <c r="D1457" s="28"/>
      <c r="E1457" s="28"/>
      <c r="F1457" s="28"/>
      <c r="G1457" s="28"/>
    </row>
    <row r="1458" spans="1:7" x14ac:dyDescent="0.25">
      <c r="A1458" s="28"/>
      <c r="B1458" s="28"/>
      <c r="C1458" s="28"/>
      <c r="D1458" s="28"/>
      <c r="E1458" s="28"/>
      <c r="F1458" s="28"/>
      <c r="G1458" s="28"/>
    </row>
    <row r="1459" spans="1:7" x14ac:dyDescent="0.25">
      <c r="A1459" s="28"/>
      <c r="B1459" s="28"/>
      <c r="C1459" s="28"/>
      <c r="D1459" s="28"/>
      <c r="E1459" s="28"/>
      <c r="F1459" s="28"/>
      <c r="G1459" s="28"/>
    </row>
    <row r="1460" spans="1:7" x14ac:dyDescent="0.25">
      <c r="A1460" s="28"/>
      <c r="B1460" s="28"/>
      <c r="C1460" s="28"/>
      <c r="D1460" s="28"/>
      <c r="E1460" s="28"/>
      <c r="F1460" s="28"/>
      <c r="G1460" s="28"/>
    </row>
    <row r="1461" spans="1:7" x14ac:dyDescent="0.25">
      <c r="A1461" s="28"/>
      <c r="B1461" s="28"/>
      <c r="C1461" s="28"/>
      <c r="D1461" s="28"/>
      <c r="E1461" s="28"/>
      <c r="F1461" s="28"/>
      <c r="G1461" s="28"/>
    </row>
    <row r="1462" spans="1:7" x14ac:dyDescent="0.25">
      <c r="A1462" s="28"/>
      <c r="B1462" s="28"/>
      <c r="C1462" s="28"/>
      <c r="D1462" s="28"/>
      <c r="E1462" s="28"/>
      <c r="F1462" s="28"/>
      <c r="G1462" s="28"/>
    </row>
    <row r="1463" spans="1:7" x14ac:dyDescent="0.25">
      <c r="A1463" s="28"/>
      <c r="B1463" s="28"/>
      <c r="C1463" s="28"/>
      <c r="D1463" s="28"/>
      <c r="E1463" s="28"/>
      <c r="F1463" s="28"/>
      <c r="G1463" s="28"/>
    </row>
    <row r="1464" spans="1:7" x14ac:dyDescent="0.25">
      <c r="A1464" s="28"/>
      <c r="B1464" s="28"/>
      <c r="C1464" s="28"/>
      <c r="D1464" s="28"/>
      <c r="E1464" s="28"/>
      <c r="F1464" s="28"/>
      <c r="G1464" s="28"/>
    </row>
    <row r="1465" spans="1:7" x14ac:dyDescent="0.25">
      <c r="A1465" s="28"/>
      <c r="B1465" s="28"/>
      <c r="C1465" s="28"/>
      <c r="D1465" s="28"/>
      <c r="E1465" s="28"/>
      <c r="F1465" s="28"/>
      <c r="G1465" s="28"/>
    </row>
    <row r="1466" spans="1:7" x14ac:dyDescent="0.25">
      <c r="A1466" s="28"/>
      <c r="B1466" s="28"/>
      <c r="C1466" s="28"/>
      <c r="D1466" s="28"/>
      <c r="E1466" s="28"/>
      <c r="F1466" s="28"/>
      <c r="G1466" s="28"/>
    </row>
    <row r="1467" spans="1:7" x14ac:dyDescent="0.25">
      <c r="A1467" s="28"/>
      <c r="B1467" s="28"/>
      <c r="C1467" s="28"/>
      <c r="D1467" s="28"/>
      <c r="E1467" s="28"/>
      <c r="F1467" s="28"/>
      <c r="G1467" s="28"/>
    </row>
    <row r="1468" spans="1:7" x14ac:dyDescent="0.25">
      <c r="A1468" s="28"/>
      <c r="B1468" s="28"/>
      <c r="C1468" s="28"/>
      <c r="D1468" s="28"/>
      <c r="E1468" s="28"/>
      <c r="F1468" s="28"/>
      <c r="G1468" s="28"/>
    </row>
    <row r="1469" spans="1:7" x14ac:dyDescent="0.25">
      <c r="A1469" s="28"/>
      <c r="B1469" s="28"/>
      <c r="C1469" s="28"/>
      <c r="D1469" s="28"/>
      <c r="E1469" s="28"/>
      <c r="F1469" s="28"/>
      <c r="G1469" s="28"/>
    </row>
    <row r="1470" spans="1:7" x14ac:dyDescent="0.25">
      <c r="A1470" s="28"/>
      <c r="B1470" s="28"/>
      <c r="C1470" s="28"/>
      <c r="D1470" s="28"/>
      <c r="E1470" s="28"/>
      <c r="F1470" s="28"/>
      <c r="G1470" s="28"/>
    </row>
    <row r="1471" spans="1:7" x14ac:dyDescent="0.25">
      <c r="A1471" s="28"/>
      <c r="B1471" s="28"/>
      <c r="C1471" s="28"/>
      <c r="D1471" s="28"/>
      <c r="E1471" s="28"/>
      <c r="F1471" s="28"/>
      <c r="G1471" s="28"/>
    </row>
    <row r="1472" spans="1:7" x14ac:dyDescent="0.25">
      <c r="A1472" s="28"/>
      <c r="B1472" s="28"/>
      <c r="C1472" s="28"/>
      <c r="D1472" s="28"/>
      <c r="E1472" s="28"/>
      <c r="F1472" s="28"/>
      <c r="G1472" s="28"/>
    </row>
    <row r="1473" spans="1:7" x14ac:dyDescent="0.25">
      <c r="A1473" s="28"/>
      <c r="B1473" s="28"/>
      <c r="C1473" s="28"/>
      <c r="D1473" s="28"/>
      <c r="E1473" s="28"/>
      <c r="F1473" s="28"/>
      <c r="G1473" s="28"/>
    </row>
    <row r="1474" spans="1:7" x14ac:dyDescent="0.25">
      <c r="A1474" s="28"/>
      <c r="B1474" s="28"/>
      <c r="C1474" s="28"/>
      <c r="D1474" s="28"/>
      <c r="E1474" s="28"/>
      <c r="F1474" s="28"/>
      <c r="G1474" s="28"/>
    </row>
    <row r="1475" spans="1:7" x14ac:dyDescent="0.25">
      <c r="A1475" s="28"/>
      <c r="B1475" s="28"/>
      <c r="C1475" s="28"/>
      <c r="D1475" s="28"/>
      <c r="E1475" s="28"/>
      <c r="F1475" s="28"/>
      <c r="G1475" s="28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300" r:id="rId2"/>
  <headerFooter>
    <oddHeader>&amp;LRieber SapExl Reports</oddHeader>
    <oddFooter xml:space="preserve">&amp;LPrinting date: &amp;D&amp;CPage &amp;P / &amp;N&amp;R&amp;F - &amp;A </oddFoot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>
    <tabColor rgb="FFC00000"/>
    <pageSetUpPr fitToPage="1"/>
  </sheetPr>
  <dimension ref="A1:R162"/>
  <sheetViews>
    <sheetView showGridLines="0" zoomScale="85" zoomScaleNormal="85" workbookViewId="0">
      <pane ySplit="16" topLeftCell="A17" activePane="bottomLeft" state="frozen"/>
      <selection activeCell="A8" sqref="A8"/>
      <selection pane="bottomLeft" activeCell="A17" sqref="A17"/>
    </sheetView>
  </sheetViews>
  <sheetFormatPr defaultColWidth="11.453125" defaultRowHeight="12.5" x14ac:dyDescent="0.25"/>
  <cols>
    <col min="1" max="1" width="37.1796875" style="27" customWidth="1"/>
    <col min="2" max="2" width="28" style="27" customWidth="1"/>
    <col min="3" max="3" width="19.7265625" style="27" bestFit="1" customWidth="1"/>
    <col min="4" max="4" width="11" style="27" customWidth="1"/>
    <col min="5" max="10" width="10.54296875" style="27" customWidth="1"/>
    <col min="11" max="11" width="10.81640625" style="27" customWidth="1"/>
    <col min="12" max="12" width="13.7265625" style="27" customWidth="1"/>
    <col min="13" max="14" width="13.453125" style="27" customWidth="1"/>
    <col min="15" max="15" width="18.7265625" style="27" bestFit="1" customWidth="1"/>
    <col min="16" max="16" width="14.54296875" style="27" customWidth="1"/>
    <col min="17" max="17" width="18.7265625" style="27" bestFit="1" customWidth="1"/>
    <col min="18" max="18" width="14.54296875" style="27" bestFit="1" customWidth="1"/>
    <col min="19" max="16384" width="11.453125" style="27"/>
  </cols>
  <sheetData>
    <row r="1" spans="1:18" ht="30" customHeight="1" x14ac:dyDescent="0.4">
      <c r="A1" s="26"/>
    </row>
    <row r="2" spans="1:18" x14ac:dyDescent="0.25">
      <c r="A2" s="28">
        <f>Updated</f>
        <v>0</v>
      </c>
    </row>
    <row r="3" spans="1:18" x14ac:dyDescent="0.25">
      <c r="A3" s="28"/>
    </row>
    <row r="4" spans="1:18" x14ac:dyDescent="0.25">
      <c r="A4" s="28"/>
      <c r="B4" s="28"/>
    </row>
    <row r="5" spans="1:18" x14ac:dyDescent="0.25">
      <c r="A5" s="28"/>
      <c r="B5" s="28"/>
      <c r="C5" s="28"/>
    </row>
    <row r="6" spans="1:18" x14ac:dyDescent="0.25">
      <c r="A6" s="28"/>
      <c r="B6" s="28"/>
      <c r="C6" s="28"/>
    </row>
    <row r="7" spans="1:18" x14ac:dyDescent="0.25">
      <c r="A7" s="28"/>
      <c r="B7" s="28"/>
      <c r="C7" s="28"/>
      <c r="D7" s="28"/>
      <c r="E7" s="28"/>
      <c r="F7" s="28"/>
      <c r="G7" s="28"/>
      <c r="H7" s="28"/>
    </row>
    <row r="8" spans="1:18" ht="14.5" x14ac:dyDescent="0.35">
      <c r="A8" s="52" t="s">
        <v>363</v>
      </c>
      <c r="B8" s="53" t="s">
        <v>364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</row>
    <row r="9" spans="1:18" ht="14.5" x14ac:dyDescent="0.35">
      <c r="A9" s="52" t="s">
        <v>375</v>
      </c>
      <c r="B9" s="53" t="s">
        <v>104</v>
      </c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1:18" ht="14.5" x14ac:dyDescent="0.35">
      <c r="A10" s="52" t="s">
        <v>365</v>
      </c>
      <c r="B10" s="53" t="s">
        <v>104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</row>
    <row r="11" spans="1:18" ht="14.5" x14ac:dyDescent="0.35">
      <c r="A11" s="52" t="s">
        <v>111</v>
      </c>
      <c r="B11" s="53" t="s">
        <v>104</v>
      </c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1:18" ht="14.5" x14ac:dyDescent="0.35">
      <c r="A12" s="52" t="s">
        <v>374</v>
      </c>
      <c r="B12" s="53" t="s">
        <v>104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  <row r="13" spans="1:18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1:18" ht="14.5" x14ac:dyDescent="0.35">
      <c r="A14" s="46" t="s">
        <v>373</v>
      </c>
      <c r="B14" s="46"/>
      <c r="C14" s="46"/>
      <c r="D14" s="46"/>
      <c r="E14" s="46" t="s">
        <v>369</v>
      </c>
      <c r="F14" s="46"/>
      <c r="G14" s="46"/>
      <c r="H14" s="46"/>
      <c r="I14" s="46"/>
      <c r="J14" s="46"/>
      <c r="K14" s="46"/>
      <c r="L14"/>
      <c r="M14"/>
      <c r="N14"/>
      <c r="O14"/>
      <c r="P14"/>
      <c r="Q14" s="28"/>
      <c r="R14" s="28"/>
    </row>
    <row r="15" spans="1:18" ht="14.5" x14ac:dyDescent="0.35">
      <c r="A15" s="1" t="s">
        <v>370</v>
      </c>
      <c r="B15" s="55" t="s">
        <v>343</v>
      </c>
      <c r="C15" s="55" t="s">
        <v>368</v>
      </c>
      <c r="D15" s="55" t="s">
        <v>109</v>
      </c>
      <c r="E15" s="68" t="s">
        <v>242</v>
      </c>
      <c r="F15" s="69" t="s">
        <v>237</v>
      </c>
      <c r="G15" s="69" t="s">
        <v>215</v>
      </c>
      <c r="H15" s="69" t="s">
        <v>235</v>
      </c>
      <c r="I15" s="69" t="s">
        <v>227</v>
      </c>
      <c r="J15" s="69" t="s">
        <v>201</v>
      </c>
      <c r="K15" s="73" t="s">
        <v>103</v>
      </c>
      <c r="L15"/>
      <c r="M15"/>
      <c r="N15"/>
      <c r="O15"/>
      <c r="P15"/>
      <c r="Q15" s="28"/>
      <c r="R15" s="28"/>
    </row>
    <row r="16" spans="1:18" ht="14.5" x14ac:dyDescent="0.35">
      <c r="A16" s="15" t="s">
        <v>116</v>
      </c>
      <c r="B16" s="60" t="s">
        <v>273</v>
      </c>
      <c r="C16" s="54" t="s">
        <v>275</v>
      </c>
      <c r="D16" s="54" t="s">
        <v>116</v>
      </c>
      <c r="E16" s="56">
        <v>0</v>
      </c>
      <c r="F16" s="57"/>
      <c r="G16" s="57">
        <v>0</v>
      </c>
      <c r="H16" s="57"/>
      <c r="I16" s="57"/>
      <c r="J16" s="57"/>
      <c r="K16" s="58">
        <v>0</v>
      </c>
      <c r="L16"/>
      <c r="M16"/>
      <c r="N16"/>
      <c r="O16"/>
      <c r="P16"/>
      <c r="Q16" s="28"/>
      <c r="R16" s="28"/>
    </row>
    <row r="17" spans="1:18" ht="14.5" x14ac:dyDescent="0.35">
      <c r="A17" s="59"/>
      <c r="B17" s="47"/>
      <c r="C17" s="54" t="s">
        <v>274</v>
      </c>
      <c r="D17" s="54" t="s">
        <v>116</v>
      </c>
      <c r="E17" s="56"/>
      <c r="F17" s="57"/>
      <c r="G17" s="57"/>
      <c r="H17" s="57"/>
      <c r="I17" s="57"/>
      <c r="J17" s="57">
        <v>0</v>
      </c>
      <c r="K17" s="58">
        <v>0</v>
      </c>
      <c r="L17"/>
      <c r="M17"/>
      <c r="N17"/>
      <c r="O17"/>
      <c r="P17"/>
      <c r="Q17" s="28"/>
      <c r="R17" s="28"/>
    </row>
    <row r="18" spans="1:18" ht="14.5" x14ac:dyDescent="0.35">
      <c r="A18" s="59"/>
      <c r="B18" s="60" t="s">
        <v>276</v>
      </c>
      <c r="C18" s="54" t="s">
        <v>277</v>
      </c>
      <c r="D18" s="54"/>
      <c r="E18" s="56"/>
      <c r="F18" s="57"/>
      <c r="G18" s="57">
        <v>0</v>
      </c>
      <c r="H18" s="57">
        <v>0</v>
      </c>
      <c r="I18" s="57"/>
      <c r="J18" s="57"/>
      <c r="K18" s="58">
        <v>0</v>
      </c>
      <c r="L18"/>
      <c r="M18"/>
      <c r="N18"/>
      <c r="O18"/>
      <c r="P18"/>
      <c r="Q18" s="28"/>
      <c r="R18" s="28"/>
    </row>
    <row r="19" spans="1:18" ht="14.5" x14ac:dyDescent="0.35">
      <c r="A19" s="59"/>
      <c r="B19" s="47"/>
      <c r="C19" s="54" t="s">
        <v>278</v>
      </c>
      <c r="D19" s="54"/>
      <c r="E19" s="56">
        <v>0</v>
      </c>
      <c r="F19" s="57">
        <v>0</v>
      </c>
      <c r="G19" s="57">
        <v>0</v>
      </c>
      <c r="H19" s="57"/>
      <c r="I19" s="57">
        <v>0</v>
      </c>
      <c r="J19" s="57"/>
      <c r="K19" s="58">
        <v>0</v>
      </c>
      <c r="L19"/>
      <c r="M19"/>
      <c r="N19"/>
      <c r="O19"/>
      <c r="P19"/>
      <c r="Q19" s="28"/>
      <c r="R19" s="28"/>
    </row>
    <row r="20" spans="1:18" ht="14.5" x14ac:dyDescent="0.35">
      <c r="A20" s="61"/>
      <c r="B20" s="62"/>
      <c r="C20" s="62"/>
      <c r="D20" s="62"/>
      <c r="E20" s="63"/>
      <c r="F20" s="64"/>
      <c r="G20" s="64"/>
      <c r="H20" s="64"/>
      <c r="I20" s="64"/>
      <c r="J20" s="64"/>
      <c r="K20" s="65"/>
      <c r="L20"/>
      <c r="M20"/>
      <c r="N20"/>
      <c r="O20"/>
      <c r="P20"/>
      <c r="Q20" s="28"/>
      <c r="R20" s="28"/>
    </row>
    <row r="21" spans="1:18" ht="15" thickBot="1" x14ac:dyDescent="0.4">
      <c r="A21" s="2" t="s">
        <v>103</v>
      </c>
      <c r="B21" s="16"/>
      <c r="C21" s="16"/>
      <c r="D21" s="16"/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4">
        <v>0</v>
      </c>
      <c r="L21"/>
      <c r="M21"/>
      <c r="N21"/>
      <c r="O21"/>
      <c r="P21"/>
      <c r="Q21" s="28"/>
      <c r="R21" s="28"/>
    </row>
    <row r="22" spans="1:18" ht="15" thickTop="1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 s="28"/>
      <c r="R22" s="28"/>
    </row>
    <row r="23" spans="1:18" ht="15" thickTop="1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 s="28"/>
      <c r="R23" s="28"/>
    </row>
    <row r="24" spans="1:18" ht="15" thickBot="1" x14ac:dyDescent="0.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 s="28"/>
      <c r="R24" s="28"/>
    </row>
    <row r="25" spans="1:18" ht="15" thickTop="1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 s="28"/>
      <c r="R25" s="28"/>
    </row>
    <row r="26" spans="1:18" ht="14.5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 s="28"/>
      <c r="R26" s="28"/>
    </row>
    <row r="27" spans="1:18" ht="14.5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 s="28"/>
      <c r="R27" s="28"/>
    </row>
    <row r="28" spans="1:18" ht="14.5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 s="28"/>
      <c r="R28" s="28"/>
    </row>
    <row r="29" spans="1:18" ht="14.5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 s="28"/>
      <c r="R29" s="28"/>
    </row>
    <row r="30" spans="1:18" ht="14.5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 s="28"/>
      <c r="R30" s="28"/>
    </row>
    <row r="31" spans="1:18" ht="14.5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 s="28"/>
      <c r="R31" s="28"/>
    </row>
    <row r="32" spans="1:18" ht="14.5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 s="28"/>
      <c r="R32" s="28"/>
    </row>
    <row r="33" spans="1:18" ht="14.5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 s="28"/>
      <c r="R33" s="28"/>
    </row>
    <row r="34" spans="1:18" ht="14.5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 s="28"/>
      <c r="R34" s="28"/>
    </row>
    <row r="35" spans="1:18" ht="14.5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 s="28"/>
      <c r="R35" s="28"/>
    </row>
    <row r="36" spans="1:18" ht="14.5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 s="28"/>
      <c r="R36" s="28"/>
    </row>
    <row r="37" spans="1:18" ht="14.5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 s="28"/>
      <c r="R37" s="28"/>
    </row>
    <row r="38" spans="1:18" ht="14.5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 s="28"/>
      <c r="R38" s="28"/>
    </row>
    <row r="39" spans="1:18" ht="14.5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 s="28"/>
      <c r="R39" s="28"/>
    </row>
    <row r="40" spans="1:18" ht="14.5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 s="28"/>
      <c r="R40" s="28"/>
    </row>
    <row r="41" spans="1:18" ht="14.5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 s="28"/>
      <c r="R41" s="28"/>
    </row>
    <row r="42" spans="1:18" ht="14.5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 s="28"/>
      <c r="R42" s="28"/>
    </row>
    <row r="43" spans="1:18" ht="14.5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 s="28"/>
      <c r="R43" s="28"/>
    </row>
    <row r="44" spans="1:18" ht="14.5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 s="28"/>
      <c r="R44" s="28"/>
    </row>
    <row r="45" spans="1:18" ht="14.5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 s="28"/>
      <c r="R45" s="28"/>
    </row>
    <row r="46" spans="1:18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</row>
    <row r="47" spans="1:18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</row>
    <row r="48" spans="1:18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</row>
    <row r="49" spans="1:18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</row>
    <row r="50" spans="1:18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</row>
    <row r="51" spans="1:18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</row>
    <row r="52" spans="1:18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</row>
    <row r="53" spans="1:18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</row>
    <row r="54" spans="1:18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</row>
    <row r="55" spans="1:18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</row>
    <row r="56" spans="1:18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</row>
    <row r="57" spans="1:18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</row>
    <row r="58" spans="1:18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</row>
    <row r="59" spans="1:18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</row>
    <row r="60" spans="1:18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</row>
    <row r="61" spans="1:18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</row>
    <row r="62" spans="1:18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</row>
    <row r="63" spans="1:18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</row>
    <row r="64" spans="1:18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</row>
    <row r="65" spans="1:14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</row>
    <row r="66" spans="1:14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</row>
    <row r="67" spans="1:14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</row>
    <row r="68" spans="1:14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</row>
    <row r="69" spans="1:14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</row>
    <row r="70" spans="1:14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</row>
    <row r="71" spans="1:14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</row>
    <row r="72" spans="1:14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</row>
    <row r="73" spans="1:14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</row>
    <row r="74" spans="1:14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</row>
    <row r="75" spans="1:14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</row>
    <row r="76" spans="1:14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</row>
    <row r="77" spans="1:14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  <row r="78" spans="1:14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</row>
    <row r="79" spans="1:14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</row>
    <row r="80" spans="1:14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</row>
    <row r="81" spans="1:14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</row>
    <row r="82" spans="1:14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</row>
    <row r="83" spans="1:14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</row>
    <row r="84" spans="1:14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</row>
    <row r="85" spans="1:14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</row>
    <row r="86" spans="1:14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</row>
    <row r="87" spans="1:14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</row>
    <row r="88" spans="1:14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</row>
    <row r="89" spans="1:14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</row>
    <row r="90" spans="1:14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</row>
    <row r="91" spans="1:14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</row>
    <row r="92" spans="1:14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</row>
    <row r="93" spans="1:14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</row>
    <row r="94" spans="1:14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</row>
    <row r="95" spans="1:14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</row>
    <row r="96" spans="1:14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</row>
    <row r="97" spans="1:14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</row>
    <row r="98" spans="1:14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</row>
    <row r="99" spans="1:14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</row>
    <row r="100" spans="1:14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</row>
    <row r="101" spans="1:14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</row>
    <row r="102" spans="1:14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</row>
    <row r="103" spans="1:14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</row>
    <row r="104" spans="1:14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</row>
    <row r="105" spans="1:14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</row>
    <row r="106" spans="1:14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</row>
    <row r="107" spans="1:14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</row>
    <row r="108" spans="1:14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</row>
    <row r="109" spans="1:14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</row>
    <row r="110" spans="1:14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</row>
    <row r="111" spans="1:14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</row>
    <row r="112" spans="1:14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</row>
    <row r="113" spans="1:14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</row>
    <row r="114" spans="1:14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</row>
    <row r="115" spans="1:14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</row>
    <row r="116" spans="1:14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</row>
    <row r="117" spans="1:14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</row>
    <row r="118" spans="1:14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</row>
    <row r="119" spans="1:14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</row>
    <row r="120" spans="1:14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</row>
    <row r="121" spans="1:14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</row>
    <row r="122" spans="1:14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</row>
    <row r="123" spans="1:14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</row>
    <row r="124" spans="1:14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</row>
    <row r="125" spans="1:14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</row>
    <row r="126" spans="1:14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</row>
    <row r="127" spans="1:14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</row>
    <row r="128" spans="1:14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</row>
    <row r="129" spans="1:14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</row>
    <row r="130" spans="1:14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</row>
    <row r="131" spans="1:14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</row>
    <row r="132" spans="1:14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</row>
    <row r="133" spans="1:14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</row>
    <row r="134" spans="1:14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</row>
    <row r="135" spans="1:14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</row>
    <row r="136" spans="1:14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</row>
    <row r="137" spans="1:14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</row>
    <row r="138" spans="1:14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</row>
    <row r="139" spans="1:14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</row>
    <row r="140" spans="1:14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</row>
    <row r="141" spans="1:14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</row>
    <row r="142" spans="1:14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</row>
    <row r="143" spans="1:14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</row>
    <row r="144" spans="1:14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</row>
    <row r="145" spans="1:14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</row>
    <row r="146" spans="1:14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</row>
    <row r="147" spans="1:14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</row>
    <row r="148" spans="1:14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</row>
    <row r="149" spans="1:14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</row>
    <row r="150" spans="1:14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</row>
    <row r="151" spans="1:14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</row>
    <row r="152" spans="1:14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</row>
    <row r="153" spans="1:14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</row>
    <row r="154" spans="1:14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</row>
    <row r="155" spans="1:14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</row>
    <row r="156" spans="1:14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</row>
    <row r="157" spans="1:14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</row>
    <row r="158" spans="1:14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</row>
    <row r="159" spans="1:14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</row>
    <row r="160" spans="1:14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</row>
    <row r="161" spans="1:14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</row>
    <row r="162" spans="1:14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</row>
  </sheetData>
  <pageMargins left="0.70866141732283472" right="0.70866141732283472" top="0.78740157480314965" bottom="0.78740157480314965" header="0.31496062992125984" footer="0.31496062992125984"/>
  <pageSetup paperSize="9" scale="61" fitToHeight="0" orientation="landscape" verticalDpi="3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>
    <tabColor rgb="FFC00000"/>
    <pageSetUpPr fitToPage="1"/>
  </sheetPr>
  <dimension ref="A1:P2303"/>
  <sheetViews>
    <sheetView showGridLines="0" zoomScale="85" zoomScaleNormal="85" workbookViewId="0">
      <pane ySplit="14" topLeftCell="A15" activePane="bottomLeft" state="frozen"/>
      <selection activeCell="A8" sqref="A8"/>
      <selection pane="bottomLeft" activeCell="A15" sqref="A15"/>
    </sheetView>
  </sheetViews>
  <sheetFormatPr defaultColWidth="11.453125" defaultRowHeight="12.5" x14ac:dyDescent="0.25"/>
  <cols>
    <col min="1" max="1" width="16.453125" style="27" customWidth="1"/>
    <col min="2" max="2" width="51.54296875" style="27" customWidth="1"/>
    <col min="3" max="3" width="13.36328125" style="27" bestFit="1" customWidth="1"/>
    <col min="4" max="4" width="15.90625" style="27" customWidth="1"/>
    <col min="5" max="5" width="15.08984375" style="27" customWidth="1"/>
    <col min="6" max="6" width="7.90625" style="27" customWidth="1"/>
    <col min="7" max="7" width="7.81640625" style="27" customWidth="1"/>
    <col min="8" max="8" width="11.7265625" style="27" customWidth="1"/>
    <col min="9" max="9" width="11.6328125" style="27" customWidth="1"/>
    <col min="10" max="10" width="12.26953125" style="27" customWidth="1"/>
    <col min="11" max="11" width="25.26953125" style="27" customWidth="1"/>
    <col min="12" max="13" width="29.7265625" style="27" customWidth="1"/>
    <col min="14" max="14" width="19.26953125" style="27" bestFit="1" customWidth="1"/>
    <col min="15" max="15" width="15.1796875" style="27" bestFit="1" customWidth="1"/>
    <col min="16" max="16" width="25.26953125" style="27" bestFit="1" customWidth="1"/>
    <col min="17" max="16384" width="11.453125" style="27"/>
  </cols>
  <sheetData>
    <row r="1" spans="1:16" ht="30" customHeight="1" x14ac:dyDescent="0.4">
      <c r="A1" s="26"/>
    </row>
    <row r="2" spans="1:16" x14ac:dyDescent="0.25">
      <c r="A2" s="28">
        <f>Updated</f>
        <v>0</v>
      </c>
    </row>
    <row r="3" spans="1:16" x14ac:dyDescent="0.25">
      <c r="A3" s="28"/>
    </row>
    <row r="4" spans="1:16" x14ac:dyDescent="0.25">
      <c r="A4" s="28"/>
      <c r="B4" s="28"/>
    </row>
    <row r="5" spans="1:16" x14ac:dyDescent="0.25">
      <c r="A5" s="28"/>
      <c r="B5" s="28"/>
      <c r="C5" s="28"/>
    </row>
    <row r="6" spans="1:16" x14ac:dyDescent="0.25">
      <c r="A6" s="28"/>
      <c r="B6" s="28"/>
      <c r="C6" s="28"/>
    </row>
    <row r="7" spans="1:16" ht="14.5" x14ac:dyDescent="0.35">
      <c r="A7" s="52" t="s">
        <v>363</v>
      </c>
      <c r="B7" s="53" t="s">
        <v>364</v>
      </c>
      <c r="C7" s="28"/>
      <c r="D7" s="28"/>
      <c r="E7" s="28"/>
      <c r="F7" s="28"/>
      <c r="G7" s="28"/>
      <c r="H7" s="28"/>
    </row>
    <row r="8" spans="1:16" ht="14.5" x14ac:dyDescent="0.35">
      <c r="A8" s="52" t="s">
        <v>374</v>
      </c>
      <c r="B8" s="53" t="s">
        <v>104</v>
      </c>
      <c r="C8" s="28"/>
      <c r="D8" s="28"/>
      <c r="E8" s="28"/>
      <c r="F8" s="28"/>
      <c r="G8" s="28"/>
      <c r="H8" s="28"/>
    </row>
    <row r="9" spans="1:16" ht="14.5" x14ac:dyDescent="0.35">
      <c r="A9" s="52" t="s">
        <v>375</v>
      </c>
      <c r="B9" s="53" t="s">
        <v>104</v>
      </c>
      <c r="C9" s="28"/>
      <c r="D9" s="28"/>
      <c r="E9" s="28"/>
      <c r="F9" s="28"/>
      <c r="G9" s="28"/>
      <c r="H9" s="28"/>
    </row>
    <row r="10" spans="1:16" ht="14.5" x14ac:dyDescent="0.35">
      <c r="A10" s="52" t="s">
        <v>370</v>
      </c>
      <c r="B10" s="53" t="s">
        <v>104</v>
      </c>
      <c r="C10" s="28"/>
      <c r="D10" s="28"/>
      <c r="E10" s="28"/>
      <c r="F10" s="28"/>
      <c r="G10" s="28"/>
      <c r="H10" s="28"/>
    </row>
    <row r="11" spans="1:16" ht="14.5" x14ac:dyDescent="0.35">
      <c r="A11" s="52" t="s">
        <v>343</v>
      </c>
      <c r="B11" s="53" t="s">
        <v>104</v>
      </c>
      <c r="C11" s="28"/>
      <c r="D11" s="28"/>
      <c r="E11" s="28"/>
      <c r="F11" s="28"/>
      <c r="G11" s="28"/>
      <c r="H11" s="28"/>
    </row>
    <row r="12" spans="1:16" ht="14.5" x14ac:dyDescent="0.35">
      <c r="A12" s="52" t="s">
        <v>331</v>
      </c>
      <c r="B12" s="53" t="s">
        <v>104</v>
      </c>
      <c r="C12" s="28"/>
      <c r="D12" s="28"/>
      <c r="E12" s="28"/>
      <c r="F12" s="28"/>
      <c r="G12" s="28"/>
      <c r="H12" s="28"/>
    </row>
    <row r="13" spans="1:16" x14ac:dyDescent="0.25">
      <c r="A13" s="28"/>
      <c r="B13" s="28"/>
      <c r="C13" s="28"/>
      <c r="D13" s="28"/>
      <c r="E13" s="28"/>
      <c r="F13" s="28"/>
      <c r="G13" s="28"/>
      <c r="H13" s="28"/>
    </row>
    <row r="14" spans="1:16" ht="14.5" x14ac:dyDescent="0.35">
      <c r="A14" s="1" t="s">
        <v>369</v>
      </c>
      <c r="B14" s="55" t="s">
        <v>365</v>
      </c>
      <c r="C14" s="55" t="s">
        <v>111</v>
      </c>
      <c r="D14" s="55" t="s">
        <v>371</v>
      </c>
      <c r="E14" s="55" t="s">
        <v>367</v>
      </c>
      <c r="F14" s="68" t="s">
        <v>376</v>
      </c>
      <c r="G14" s="69" t="s">
        <v>120</v>
      </c>
      <c r="H14" s="70" t="s">
        <v>377</v>
      </c>
      <c r="I14"/>
      <c r="J14"/>
      <c r="K14" s="28"/>
      <c r="L14" s="28"/>
      <c r="M14" s="28"/>
      <c r="N14" s="28"/>
      <c r="O14" s="28"/>
      <c r="P14" s="28"/>
    </row>
    <row r="15" spans="1:16" ht="14.5" x14ac:dyDescent="0.35">
      <c r="A15" s="15" t="s">
        <v>242</v>
      </c>
      <c r="B15" s="60" t="s">
        <v>280</v>
      </c>
      <c r="C15" s="54">
        <v>2008387</v>
      </c>
      <c r="D15" s="67">
        <v>42076.464756944442</v>
      </c>
      <c r="E15" s="66">
        <v>42079.296458333331</v>
      </c>
      <c r="F15" s="56"/>
      <c r="G15" s="71">
        <v>0</v>
      </c>
      <c r="H15" s="75">
        <v>67.960833333265811</v>
      </c>
      <c r="I15"/>
      <c r="J15"/>
      <c r="K15" s="28"/>
      <c r="L15" s="28"/>
      <c r="M15" s="28"/>
      <c r="N15" s="28"/>
      <c r="O15" s="28"/>
      <c r="P15" s="28"/>
    </row>
    <row r="16" spans="1:16" ht="14.5" x14ac:dyDescent="0.35">
      <c r="A16" s="59"/>
      <c r="B16" s="60" t="s">
        <v>281</v>
      </c>
      <c r="C16" s="54">
        <v>2008405</v>
      </c>
      <c r="D16" s="67">
        <v>42076.498865740738</v>
      </c>
      <c r="E16" s="66">
        <v>42079.296898148146</v>
      </c>
      <c r="F16" s="56"/>
      <c r="G16" s="71">
        <v>0</v>
      </c>
      <c r="H16" s="75">
        <v>67.152777777733021</v>
      </c>
      <c r="I16"/>
      <c r="J16"/>
      <c r="K16" s="28"/>
      <c r="L16" s="28"/>
      <c r="M16" s="28"/>
      <c r="N16" s="28"/>
      <c r="O16" s="28"/>
      <c r="P16" s="28"/>
    </row>
    <row r="17" spans="1:16" ht="14.5" x14ac:dyDescent="0.35">
      <c r="A17" s="61"/>
      <c r="B17" s="62"/>
      <c r="C17" s="62"/>
      <c r="D17" s="62"/>
      <c r="E17" s="62"/>
      <c r="F17" s="63"/>
      <c r="G17" s="72"/>
      <c r="H17" s="78"/>
      <c r="I17"/>
      <c r="J17"/>
      <c r="K17" s="28"/>
      <c r="L17" s="28"/>
      <c r="M17" s="28"/>
      <c r="N17" s="28"/>
      <c r="O17" s="28"/>
      <c r="P17" s="28"/>
    </row>
    <row r="18" spans="1:16" ht="14.5" x14ac:dyDescent="0.35">
      <c r="A18" s="15" t="s">
        <v>237</v>
      </c>
      <c r="B18" s="60" t="s">
        <v>282</v>
      </c>
      <c r="C18" s="54">
        <v>2008903</v>
      </c>
      <c r="D18" s="67">
        <v>42079.639976851853</v>
      </c>
      <c r="E18" s="66">
        <v>42080.29619212963</v>
      </c>
      <c r="F18" s="56"/>
      <c r="G18" s="71">
        <v>0</v>
      </c>
      <c r="H18" s="75">
        <v>15.749166666677274</v>
      </c>
      <c r="I18"/>
      <c r="J18"/>
      <c r="K18" s="28"/>
      <c r="L18" s="28"/>
      <c r="M18" s="28"/>
      <c r="N18" s="28"/>
      <c r="O18" s="28"/>
      <c r="P18" s="28"/>
    </row>
    <row r="19" spans="1:16" ht="14.5" x14ac:dyDescent="0.35">
      <c r="A19" s="61"/>
      <c r="B19" s="62"/>
      <c r="C19" s="62"/>
      <c r="D19" s="62"/>
      <c r="E19" s="62"/>
      <c r="F19" s="63"/>
      <c r="G19" s="72"/>
      <c r="H19" s="78"/>
      <c r="I19"/>
      <c r="J19"/>
      <c r="K19" s="28"/>
      <c r="L19" s="28"/>
      <c r="M19" s="28"/>
      <c r="N19" s="28"/>
      <c r="O19" s="28"/>
      <c r="P19" s="28"/>
    </row>
    <row r="20" spans="1:16" ht="14.5" x14ac:dyDescent="0.35">
      <c r="A20" s="15" t="s">
        <v>215</v>
      </c>
      <c r="B20" s="60" t="s">
        <v>285</v>
      </c>
      <c r="C20" s="54">
        <v>2009200</v>
      </c>
      <c r="D20" s="67">
        <v>42080.500856481478</v>
      </c>
      <c r="E20" s="66">
        <v>42081.295983796299</v>
      </c>
      <c r="F20" s="56"/>
      <c r="G20" s="71">
        <v>0</v>
      </c>
      <c r="H20" s="75">
        <v>19.083055555619715</v>
      </c>
      <c r="I20"/>
      <c r="J20"/>
      <c r="K20" s="28"/>
      <c r="L20" s="28"/>
      <c r="M20" s="28"/>
      <c r="N20" s="28"/>
      <c r="O20" s="28"/>
      <c r="P20" s="28"/>
    </row>
    <row r="21" spans="1:16" ht="14.5" x14ac:dyDescent="0.35">
      <c r="A21" s="59"/>
      <c r="B21" s="60" t="s">
        <v>283</v>
      </c>
      <c r="C21" s="54">
        <v>2009020</v>
      </c>
      <c r="D21" s="67">
        <v>42080.294293981482</v>
      </c>
      <c r="E21" s="66">
        <v>42080.295046296298</v>
      </c>
      <c r="F21" s="56"/>
      <c r="G21" s="71">
        <v>0</v>
      </c>
      <c r="H21" s="75">
        <v>1.8055555598758044E-2</v>
      </c>
      <c r="I21"/>
      <c r="J21"/>
      <c r="K21" s="28"/>
      <c r="L21" s="28"/>
      <c r="M21" s="28"/>
      <c r="N21" s="28"/>
      <c r="O21" s="28"/>
      <c r="P21" s="28"/>
    </row>
    <row r="22" spans="1:16" ht="14.5" x14ac:dyDescent="0.35">
      <c r="A22" s="59"/>
      <c r="B22" s="60" t="s">
        <v>286</v>
      </c>
      <c r="C22" s="54">
        <v>2009234</v>
      </c>
      <c r="D22" s="67">
        <v>42080.513124999998</v>
      </c>
      <c r="E22" s="66">
        <v>42081.296886574077</v>
      </c>
      <c r="F22" s="56"/>
      <c r="G22" s="71">
        <v>0</v>
      </c>
      <c r="H22" s="75">
        <v>18.810277777842714</v>
      </c>
      <c r="I22"/>
      <c r="J22"/>
      <c r="K22" s="28"/>
      <c r="L22" s="28"/>
      <c r="M22" s="28"/>
      <c r="N22" s="28"/>
      <c r="O22" s="28"/>
      <c r="P22" s="28"/>
    </row>
    <row r="23" spans="1:16" ht="14.5" x14ac:dyDescent="0.35">
      <c r="A23" s="59"/>
      <c r="B23" s="60" t="s">
        <v>284</v>
      </c>
      <c r="C23" s="54">
        <v>2009020</v>
      </c>
      <c r="D23" s="67">
        <v>42080.294293981482</v>
      </c>
      <c r="E23" s="66">
        <v>42080.295046296298</v>
      </c>
      <c r="F23" s="56"/>
      <c r="G23" s="71">
        <v>0</v>
      </c>
      <c r="H23" s="75">
        <v>1.8055555598758044E-2</v>
      </c>
      <c r="I23"/>
      <c r="J23"/>
      <c r="K23" s="28"/>
      <c r="L23" s="28"/>
      <c r="M23" s="28"/>
      <c r="N23" s="28"/>
      <c r="O23" s="28"/>
      <c r="P23" s="28"/>
    </row>
    <row r="24" spans="1:16" ht="14.5" x14ac:dyDescent="0.35">
      <c r="A24" s="59"/>
      <c r="B24" s="60" t="s">
        <v>287</v>
      </c>
      <c r="C24" s="54">
        <v>2009377</v>
      </c>
      <c r="D24" s="67">
        <v>42080.725023148145</v>
      </c>
      <c r="E24" s="66">
        <v>42081.298009259262</v>
      </c>
      <c r="F24" s="56"/>
      <c r="G24" s="71">
        <v>0</v>
      </c>
      <c r="H24" s="75">
        <v>13.751666666743761</v>
      </c>
      <c r="I24"/>
      <c r="J24"/>
      <c r="K24" s="28"/>
      <c r="L24" s="28"/>
      <c r="M24" s="28"/>
      <c r="N24" s="28"/>
      <c r="O24" s="28"/>
      <c r="P24" s="28"/>
    </row>
    <row r="25" spans="1:16" ht="14.5" x14ac:dyDescent="0.35">
      <c r="A25" s="61"/>
      <c r="B25" s="62"/>
      <c r="C25" s="62"/>
      <c r="D25" s="62"/>
      <c r="E25" s="62"/>
      <c r="F25" s="63"/>
      <c r="G25" s="72"/>
      <c r="H25" s="78"/>
      <c r="I25"/>
      <c r="J25"/>
      <c r="K25" s="28"/>
      <c r="L25" s="28"/>
      <c r="M25" s="28"/>
      <c r="N25" s="28"/>
      <c r="O25" s="28"/>
      <c r="P25" s="28"/>
    </row>
    <row r="26" spans="1:16" ht="14.5" x14ac:dyDescent="0.35">
      <c r="A26" s="15" t="s">
        <v>235</v>
      </c>
      <c r="B26" s="60" t="s">
        <v>285</v>
      </c>
      <c r="C26" s="54">
        <v>2009444</v>
      </c>
      <c r="D26" s="67">
        <v>42081.297233796293</v>
      </c>
      <c r="E26" s="66">
        <v>42081.298067129632</v>
      </c>
      <c r="F26" s="56"/>
      <c r="G26" s="71">
        <v>0</v>
      </c>
      <c r="H26" s="75">
        <v>4.0000000105031575E-2</v>
      </c>
      <c r="I26"/>
      <c r="J26"/>
      <c r="K26" s="28"/>
      <c r="L26" s="28"/>
      <c r="M26" s="28"/>
      <c r="N26" s="28"/>
      <c r="O26" s="28"/>
      <c r="P26" s="28"/>
    </row>
    <row r="27" spans="1:16" ht="14.5" x14ac:dyDescent="0.35">
      <c r="A27" s="59"/>
      <c r="B27" s="60" t="s">
        <v>288</v>
      </c>
      <c r="C27" s="54">
        <v>2009444</v>
      </c>
      <c r="D27" s="67">
        <v>42081.297233796293</v>
      </c>
      <c r="E27" s="66">
        <v>42081.298067129632</v>
      </c>
      <c r="F27" s="56"/>
      <c r="G27" s="71">
        <v>0</v>
      </c>
      <c r="H27" s="75">
        <v>4.0000000105031575E-2</v>
      </c>
      <c r="I27"/>
      <c r="J27"/>
      <c r="K27" s="28"/>
      <c r="L27" s="28"/>
      <c r="M27" s="28"/>
      <c r="N27" s="28"/>
      <c r="O27" s="28"/>
      <c r="P27" s="28"/>
    </row>
    <row r="28" spans="1:16" ht="14.5" x14ac:dyDescent="0.35">
      <c r="A28" s="59"/>
      <c r="B28" s="60" t="s">
        <v>289</v>
      </c>
      <c r="C28" s="54">
        <v>2009444</v>
      </c>
      <c r="D28" s="67">
        <v>42081.297233796293</v>
      </c>
      <c r="E28" s="66">
        <v>42081.298067129632</v>
      </c>
      <c r="F28" s="56"/>
      <c r="G28" s="71">
        <v>0</v>
      </c>
      <c r="H28" s="75">
        <v>2.0000000052515787E-2</v>
      </c>
      <c r="I28"/>
      <c r="J28"/>
      <c r="K28" s="28"/>
      <c r="L28" s="28"/>
      <c r="M28" s="28"/>
      <c r="N28" s="28"/>
      <c r="O28" s="28"/>
      <c r="P28" s="28"/>
    </row>
    <row r="29" spans="1:16" ht="14.5" x14ac:dyDescent="0.35">
      <c r="A29" s="59"/>
      <c r="B29" s="60" t="s">
        <v>292</v>
      </c>
      <c r="C29" s="54">
        <v>2009444</v>
      </c>
      <c r="D29" s="67">
        <v>42081.297233796293</v>
      </c>
      <c r="E29" s="66">
        <v>42081.298067129632</v>
      </c>
      <c r="F29" s="56"/>
      <c r="G29" s="71">
        <v>0</v>
      </c>
      <c r="H29" s="75">
        <v>4.0000000105031575E-2</v>
      </c>
      <c r="I29"/>
      <c r="J29"/>
      <c r="K29" s="28"/>
      <c r="L29" s="28"/>
      <c r="M29" s="28"/>
      <c r="N29" s="28"/>
      <c r="O29" s="28"/>
      <c r="P29" s="28"/>
    </row>
    <row r="30" spans="1:16" ht="14.5" x14ac:dyDescent="0.35">
      <c r="A30" s="59"/>
      <c r="B30" s="60" t="s">
        <v>290</v>
      </c>
      <c r="C30" s="54">
        <v>2009444</v>
      </c>
      <c r="D30" s="67">
        <v>42081.297233796293</v>
      </c>
      <c r="E30" s="66">
        <v>42081.298067129632</v>
      </c>
      <c r="F30" s="56"/>
      <c r="G30" s="71">
        <v>0</v>
      </c>
      <c r="H30" s="75">
        <v>4.0000000105031575E-2</v>
      </c>
      <c r="I30"/>
      <c r="J30"/>
      <c r="K30" s="28"/>
      <c r="L30" s="28"/>
      <c r="M30" s="28"/>
      <c r="N30" s="28"/>
      <c r="O30" s="28"/>
      <c r="P30" s="28"/>
    </row>
    <row r="31" spans="1:16" ht="14.5" x14ac:dyDescent="0.35">
      <c r="A31" s="59"/>
      <c r="B31" s="60" t="s">
        <v>283</v>
      </c>
      <c r="C31" s="54">
        <v>2009444</v>
      </c>
      <c r="D31" s="67">
        <v>42081.297233796293</v>
      </c>
      <c r="E31" s="66">
        <v>42081.298067129632</v>
      </c>
      <c r="F31" s="56"/>
      <c r="G31" s="71">
        <v>0</v>
      </c>
      <c r="H31" s="75">
        <v>4.0000000105031575E-2</v>
      </c>
      <c r="I31"/>
      <c r="J31"/>
      <c r="K31" s="28"/>
      <c r="L31" s="28"/>
      <c r="M31" s="28"/>
      <c r="N31" s="28"/>
      <c r="O31" s="28"/>
      <c r="P31" s="28"/>
    </row>
    <row r="32" spans="1:16" ht="14.5" x14ac:dyDescent="0.35">
      <c r="A32" s="59"/>
      <c r="B32" s="60" t="s">
        <v>291</v>
      </c>
      <c r="C32" s="54">
        <v>2009444</v>
      </c>
      <c r="D32" s="67">
        <v>42081.297233796293</v>
      </c>
      <c r="E32" s="66">
        <v>42081.298067129632</v>
      </c>
      <c r="F32" s="56"/>
      <c r="G32" s="71">
        <v>0</v>
      </c>
      <c r="H32" s="75">
        <v>2.0000000052515787E-2</v>
      </c>
      <c r="I32"/>
      <c r="J32"/>
      <c r="K32" s="28"/>
      <c r="L32" s="28"/>
      <c r="M32" s="28"/>
      <c r="N32" s="28"/>
      <c r="O32" s="28"/>
      <c r="P32" s="28"/>
    </row>
    <row r="33" spans="1:16" ht="14.5" x14ac:dyDescent="0.35">
      <c r="A33" s="61"/>
      <c r="B33" s="62"/>
      <c r="C33" s="62"/>
      <c r="D33" s="62"/>
      <c r="E33" s="62"/>
      <c r="F33" s="63"/>
      <c r="G33" s="72"/>
      <c r="H33" s="78"/>
      <c r="I33"/>
      <c r="J33"/>
      <c r="K33" s="28"/>
      <c r="L33" s="28"/>
      <c r="M33" s="28"/>
      <c r="N33" s="28"/>
      <c r="O33" s="28"/>
      <c r="P33" s="28"/>
    </row>
    <row r="34" spans="1:16" ht="14.5" x14ac:dyDescent="0.35">
      <c r="A34" s="15" t="s">
        <v>227</v>
      </c>
      <c r="B34" s="60" t="s">
        <v>294</v>
      </c>
      <c r="C34" s="54">
        <v>2010290</v>
      </c>
      <c r="D34" s="67">
        <v>42082.513958333337</v>
      </c>
      <c r="E34" s="66">
        <v>42083.296226851853</v>
      </c>
      <c r="F34" s="56"/>
      <c r="G34" s="71">
        <v>0</v>
      </c>
      <c r="H34" s="75">
        <v>18.774444444475229</v>
      </c>
      <c r="I34"/>
      <c r="J34"/>
      <c r="K34" s="28"/>
      <c r="L34" s="28"/>
      <c r="M34" s="28"/>
      <c r="N34" s="28"/>
      <c r="O34" s="28"/>
      <c r="P34" s="28"/>
    </row>
    <row r="35" spans="1:16" ht="14.5" x14ac:dyDescent="0.35">
      <c r="A35" s="59"/>
      <c r="B35" s="47"/>
      <c r="C35" s="47"/>
      <c r="D35" s="47"/>
      <c r="E35" s="50">
        <v>42083.297812500001</v>
      </c>
      <c r="F35" s="74"/>
      <c r="G35" s="51">
        <v>0</v>
      </c>
      <c r="H35" s="76">
        <v>18.812500000020954</v>
      </c>
      <c r="I35"/>
      <c r="J35"/>
      <c r="K35" s="28"/>
      <c r="L35" s="28"/>
      <c r="M35" s="28"/>
      <c r="N35" s="28"/>
      <c r="O35" s="28"/>
      <c r="P35" s="28"/>
    </row>
    <row r="36" spans="1:16" ht="14.5" x14ac:dyDescent="0.35">
      <c r="A36" s="59"/>
      <c r="B36" s="60" t="s">
        <v>293</v>
      </c>
      <c r="C36" s="54">
        <v>2010290</v>
      </c>
      <c r="D36" s="67">
        <v>42082.513958333337</v>
      </c>
      <c r="E36" s="66">
        <v>42083.295844907407</v>
      </c>
      <c r="F36" s="56"/>
      <c r="G36" s="71">
        <v>0</v>
      </c>
      <c r="H36" s="75">
        <v>18.76527777776122</v>
      </c>
      <c r="I36"/>
      <c r="J36"/>
      <c r="K36" s="28"/>
      <c r="L36" s="28"/>
      <c r="M36" s="28"/>
      <c r="N36" s="28"/>
      <c r="O36" s="28"/>
      <c r="P36" s="28"/>
    </row>
    <row r="37" spans="1:16" ht="14.5" x14ac:dyDescent="0.35">
      <c r="A37" s="61"/>
      <c r="B37" s="62"/>
      <c r="C37" s="62"/>
      <c r="D37" s="62"/>
      <c r="E37" s="62"/>
      <c r="F37" s="63"/>
      <c r="G37" s="72"/>
      <c r="H37" s="78"/>
      <c r="I37"/>
      <c r="J37"/>
      <c r="K37" s="28"/>
      <c r="L37" s="28"/>
      <c r="M37" s="28"/>
      <c r="N37" s="28"/>
      <c r="O37" s="28"/>
      <c r="P37" s="28"/>
    </row>
    <row r="38" spans="1:16" ht="14.5" x14ac:dyDescent="0.35">
      <c r="A38" s="15" t="s">
        <v>201</v>
      </c>
      <c r="B38" s="60" t="s">
        <v>295</v>
      </c>
      <c r="C38" s="54">
        <v>2010487</v>
      </c>
      <c r="D38" s="67">
        <v>42083.213923611111</v>
      </c>
      <c r="E38" s="66">
        <v>42083.214097222219</v>
      </c>
      <c r="F38" s="56"/>
      <c r="G38" s="71">
        <v>0</v>
      </c>
      <c r="H38" s="75">
        <v>4.1666665820716542E-3</v>
      </c>
      <c r="I38"/>
      <c r="J38"/>
      <c r="K38" s="28"/>
      <c r="L38" s="28"/>
      <c r="M38" s="28"/>
      <c r="N38" s="28"/>
      <c r="O38" s="28"/>
      <c r="P38" s="28"/>
    </row>
    <row r="39" spans="1:16" ht="14.5" x14ac:dyDescent="0.35">
      <c r="A39" s="61"/>
      <c r="B39" s="62"/>
      <c r="C39" s="62"/>
      <c r="D39" s="62"/>
      <c r="E39" s="62"/>
      <c r="F39" s="63"/>
      <c r="G39" s="72"/>
      <c r="H39" s="78"/>
      <c r="I39"/>
      <c r="J39"/>
      <c r="K39" s="28"/>
      <c r="L39" s="28"/>
      <c r="M39" s="28"/>
      <c r="N39" s="28"/>
      <c r="O39" s="28"/>
      <c r="P39" s="28"/>
    </row>
    <row r="40" spans="1:16" ht="15" thickBot="1" x14ac:dyDescent="0.4">
      <c r="A40" s="2" t="s">
        <v>103</v>
      </c>
      <c r="B40" s="16"/>
      <c r="C40" s="16"/>
      <c r="D40" s="16"/>
      <c r="E40" s="16"/>
      <c r="F40" s="3"/>
      <c r="G40" s="48">
        <v>0</v>
      </c>
      <c r="H40" s="77">
        <v>259.14027777854955</v>
      </c>
      <c r="I40"/>
      <c r="J40"/>
      <c r="K40" s="28"/>
      <c r="L40" s="28"/>
      <c r="M40" s="28"/>
      <c r="N40" s="28"/>
      <c r="O40" s="28"/>
      <c r="P40" s="28"/>
    </row>
    <row r="41" spans="1:16" ht="15" thickTop="1" x14ac:dyDescent="0.35">
      <c r="A41"/>
      <c r="B41"/>
      <c r="C41"/>
      <c r="D41"/>
      <c r="E41"/>
      <c r="F41"/>
      <c r="G41"/>
      <c r="H41"/>
      <c r="I41" s="28"/>
      <c r="J41" s="28"/>
      <c r="K41" s="28"/>
      <c r="L41" s="28"/>
      <c r="M41" s="28"/>
      <c r="N41" s="28"/>
      <c r="O41" s="28"/>
      <c r="P41" s="28"/>
    </row>
    <row r="42" spans="1:16" ht="15" thickTop="1" x14ac:dyDescent="0.35">
      <c r="A42"/>
      <c r="B42"/>
      <c r="C42"/>
      <c r="D42"/>
      <c r="E42"/>
      <c r="F42"/>
      <c r="G42"/>
      <c r="H42"/>
      <c r="I42" s="28"/>
      <c r="J42" s="28"/>
      <c r="K42" s="28"/>
      <c r="L42" s="28"/>
      <c r="M42" s="28"/>
      <c r="N42" s="28"/>
      <c r="O42" s="28"/>
      <c r="P42" s="28"/>
    </row>
    <row r="43" spans="1:16" ht="14.5" x14ac:dyDescent="0.35">
      <c r="A43"/>
      <c r="B43"/>
      <c r="C43"/>
      <c r="D43"/>
      <c r="E43"/>
      <c r="F43"/>
      <c r="G43"/>
      <c r="H43"/>
      <c r="I43" s="28"/>
      <c r="J43" s="28"/>
      <c r="K43" s="28"/>
      <c r="L43" s="28"/>
      <c r="M43" s="28"/>
      <c r="N43" s="28"/>
      <c r="O43" s="28"/>
      <c r="P43" s="28"/>
    </row>
    <row r="44" spans="1:16" ht="15" thickBot="1" x14ac:dyDescent="0.4">
      <c r="A44"/>
      <c r="B44"/>
      <c r="C44"/>
      <c r="D44"/>
      <c r="E44"/>
      <c r="F44"/>
      <c r="G44"/>
      <c r="H44"/>
      <c r="I44" s="28"/>
      <c r="J44" s="28"/>
      <c r="K44" s="28"/>
      <c r="L44" s="28"/>
      <c r="M44" s="28"/>
      <c r="N44" s="28"/>
      <c r="O44" s="28"/>
      <c r="P44" s="28"/>
    </row>
    <row r="45" spans="1:16" ht="15" thickTop="1" x14ac:dyDescent="0.35">
      <c r="A45"/>
      <c r="B45"/>
      <c r="C45"/>
      <c r="D45"/>
      <c r="E45"/>
      <c r="F45"/>
      <c r="G45"/>
      <c r="H45"/>
      <c r="I45" s="28"/>
      <c r="J45" s="28"/>
      <c r="K45" s="28"/>
      <c r="L45" s="28"/>
      <c r="M45" s="28"/>
      <c r="N45" s="28"/>
      <c r="O45" s="28"/>
      <c r="P45" s="28"/>
    </row>
    <row r="46" spans="1:16" ht="15" thickBot="1" x14ac:dyDescent="0.4">
      <c r="A46"/>
      <c r="B46"/>
      <c r="C46"/>
      <c r="D46"/>
      <c r="E46"/>
      <c r="F46"/>
      <c r="G46"/>
      <c r="H46"/>
      <c r="I46" s="28"/>
      <c r="J46" s="28"/>
      <c r="K46" s="28"/>
      <c r="L46" s="28"/>
      <c r="M46" s="28"/>
      <c r="N46" s="28"/>
      <c r="O46" s="28"/>
      <c r="P46" s="28"/>
    </row>
    <row r="47" spans="1:16" ht="15" thickTop="1" x14ac:dyDescent="0.35">
      <c r="A47"/>
      <c r="B47"/>
      <c r="C47"/>
      <c r="D47"/>
      <c r="E47"/>
      <c r="F47"/>
      <c r="G47"/>
      <c r="H47"/>
      <c r="I47" s="28"/>
      <c r="J47" s="28"/>
      <c r="K47" s="28"/>
      <c r="L47" s="28"/>
      <c r="M47" s="28"/>
      <c r="N47" s="28"/>
      <c r="O47" s="28"/>
      <c r="P47" s="28"/>
    </row>
    <row r="48" spans="1:16" ht="15" thickBot="1" x14ac:dyDescent="0.4">
      <c r="A48"/>
      <c r="B48"/>
      <c r="C48"/>
      <c r="D48"/>
      <c r="E48"/>
      <c r="F48"/>
      <c r="G48"/>
      <c r="H48"/>
      <c r="I48" s="28"/>
      <c r="J48" s="28"/>
      <c r="K48" s="28"/>
      <c r="L48" s="28"/>
      <c r="M48" s="28"/>
      <c r="N48" s="28"/>
      <c r="O48" s="28"/>
      <c r="P48" s="28"/>
    </row>
    <row r="49" spans="1:16" ht="15" thickTop="1" x14ac:dyDescent="0.35">
      <c r="A49"/>
      <c r="B49"/>
      <c r="C49"/>
      <c r="D49"/>
      <c r="E49"/>
      <c r="F49"/>
      <c r="G49"/>
      <c r="H49"/>
      <c r="I49" s="28"/>
      <c r="J49" s="28"/>
      <c r="K49" s="28"/>
      <c r="L49" s="28"/>
      <c r="M49" s="28"/>
      <c r="N49" s="28"/>
      <c r="O49" s="28"/>
      <c r="P49" s="28"/>
    </row>
    <row r="50" spans="1:16" ht="15" thickBot="1" x14ac:dyDescent="0.4">
      <c r="A50"/>
      <c r="B50"/>
      <c r="C50"/>
      <c r="D50"/>
      <c r="E50"/>
      <c r="F50"/>
      <c r="G50"/>
      <c r="H50"/>
      <c r="I50" s="28"/>
      <c r="J50" s="28"/>
      <c r="K50" s="28"/>
      <c r="L50" s="28"/>
      <c r="M50" s="28"/>
      <c r="N50" s="28"/>
      <c r="O50" s="28"/>
      <c r="P50" s="28"/>
    </row>
    <row r="51" spans="1:16" ht="15" thickTop="1" x14ac:dyDescent="0.35">
      <c r="A51"/>
      <c r="B51"/>
      <c r="C51"/>
      <c r="D51"/>
      <c r="E51"/>
      <c r="F51"/>
      <c r="G51"/>
      <c r="H51"/>
      <c r="I51" s="28"/>
      <c r="J51" s="28"/>
      <c r="K51" s="28"/>
      <c r="L51" s="28"/>
      <c r="M51" s="28"/>
      <c r="N51" s="28"/>
      <c r="O51" s="28"/>
      <c r="P51" s="28"/>
    </row>
    <row r="52" spans="1:16" ht="14.5" x14ac:dyDescent="0.35">
      <c r="A52"/>
      <c r="B52"/>
      <c r="C52"/>
      <c r="D52"/>
      <c r="E52"/>
      <c r="F52"/>
      <c r="G52"/>
      <c r="H52"/>
      <c r="I52" s="28"/>
      <c r="J52" s="28"/>
      <c r="K52" s="28"/>
      <c r="L52" s="28"/>
      <c r="M52" s="28"/>
      <c r="N52" s="28"/>
      <c r="O52" s="28"/>
      <c r="P52" s="28"/>
    </row>
    <row r="53" spans="1:16" ht="14.5" x14ac:dyDescent="0.35">
      <c r="A53"/>
      <c r="B53"/>
      <c r="C53"/>
      <c r="D53"/>
      <c r="E53"/>
      <c r="F53"/>
      <c r="G53"/>
      <c r="H53"/>
      <c r="I53" s="28"/>
      <c r="J53" s="28"/>
      <c r="K53" s="28"/>
      <c r="L53" s="28"/>
      <c r="M53" s="28"/>
      <c r="N53" s="28"/>
      <c r="O53" s="28"/>
      <c r="P53" s="28"/>
    </row>
    <row r="54" spans="1:16" ht="14.5" x14ac:dyDescent="0.35">
      <c r="A54"/>
      <c r="B54"/>
      <c r="C54"/>
      <c r="D54"/>
      <c r="E54"/>
      <c r="F54"/>
      <c r="G54"/>
      <c r="H54"/>
      <c r="I54" s="28"/>
      <c r="J54" s="28"/>
      <c r="K54" s="28"/>
      <c r="L54" s="28"/>
      <c r="M54" s="28"/>
      <c r="N54" s="28"/>
      <c r="O54" s="28"/>
      <c r="P54" s="28"/>
    </row>
    <row r="55" spans="1:16" ht="14.5" x14ac:dyDescent="0.35">
      <c r="A55"/>
      <c r="B55"/>
      <c r="C55"/>
      <c r="D55"/>
      <c r="E55"/>
      <c r="F55"/>
      <c r="G55"/>
      <c r="H55"/>
      <c r="I55" s="28"/>
      <c r="J55" s="28"/>
      <c r="K55" s="28"/>
      <c r="L55" s="28"/>
      <c r="M55" s="28"/>
      <c r="N55" s="28"/>
      <c r="O55" s="28"/>
      <c r="P55" s="28"/>
    </row>
    <row r="56" spans="1:16" ht="14.5" x14ac:dyDescent="0.35">
      <c r="A56"/>
      <c r="B56"/>
      <c r="C56"/>
      <c r="D56"/>
      <c r="E56"/>
      <c r="F56"/>
      <c r="G56"/>
      <c r="H56"/>
      <c r="I56" s="28"/>
      <c r="J56" s="28"/>
      <c r="K56" s="28"/>
      <c r="L56" s="28"/>
      <c r="M56" s="28"/>
      <c r="N56" s="28"/>
      <c r="O56" s="28"/>
      <c r="P56" s="28"/>
    </row>
    <row r="57" spans="1:16" ht="14.5" x14ac:dyDescent="0.35">
      <c r="A57"/>
      <c r="B57"/>
      <c r="C57"/>
      <c r="D57"/>
      <c r="E57"/>
      <c r="F57"/>
      <c r="G57"/>
      <c r="H57"/>
      <c r="I57" s="28"/>
      <c r="J57" s="28"/>
      <c r="K57" s="28"/>
      <c r="L57" s="28"/>
      <c r="M57" s="28"/>
      <c r="N57" s="28"/>
      <c r="O57" s="28"/>
      <c r="P57" s="28"/>
    </row>
    <row r="58" spans="1:16" ht="14.5" x14ac:dyDescent="0.35">
      <c r="A58"/>
      <c r="B58"/>
      <c r="C58"/>
      <c r="D58"/>
      <c r="E58"/>
      <c r="F58"/>
      <c r="G58"/>
      <c r="H58"/>
      <c r="I58" s="28"/>
      <c r="J58" s="28"/>
      <c r="K58" s="28"/>
      <c r="L58" s="28"/>
      <c r="M58" s="28"/>
      <c r="N58" s="28"/>
      <c r="O58" s="28"/>
      <c r="P58" s="28"/>
    </row>
    <row r="59" spans="1:16" ht="14.5" x14ac:dyDescent="0.35">
      <c r="A59"/>
      <c r="B59"/>
      <c r="C59"/>
      <c r="D59"/>
      <c r="E59"/>
      <c r="F59"/>
      <c r="G59"/>
      <c r="H59"/>
      <c r="I59" s="28"/>
      <c r="J59" s="28"/>
      <c r="K59" s="28"/>
      <c r="L59" s="28"/>
      <c r="M59" s="28"/>
      <c r="N59" s="28"/>
      <c r="O59" s="28"/>
      <c r="P59" s="28"/>
    </row>
    <row r="60" spans="1:16" ht="14.5" x14ac:dyDescent="0.35">
      <c r="A60"/>
      <c r="B60"/>
      <c r="C60"/>
      <c r="D60"/>
      <c r="E60"/>
      <c r="F60"/>
      <c r="G60"/>
      <c r="H60"/>
      <c r="I60" s="28"/>
      <c r="J60" s="28"/>
      <c r="K60" s="28"/>
      <c r="L60" s="28"/>
      <c r="M60" s="28"/>
      <c r="N60" s="28"/>
      <c r="O60" s="28"/>
      <c r="P60" s="28"/>
    </row>
    <row r="61" spans="1:16" ht="14.5" x14ac:dyDescent="0.35">
      <c r="A61"/>
      <c r="B61"/>
      <c r="C61"/>
      <c r="D61"/>
      <c r="E61"/>
      <c r="F61"/>
      <c r="G61"/>
      <c r="H61"/>
      <c r="I61" s="28"/>
      <c r="J61" s="28"/>
      <c r="K61" s="28"/>
      <c r="L61" s="28"/>
      <c r="M61" s="28"/>
      <c r="N61" s="28"/>
      <c r="O61" s="28"/>
      <c r="P61" s="28"/>
    </row>
    <row r="62" spans="1:16" ht="14.5" x14ac:dyDescent="0.35">
      <c r="A62"/>
      <c r="B62"/>
      <c r="C62"/>
      <c r="D62"/>
      <c r="E62"/>
      <c r="F62"/>
      <c r="G62"/>
      <c r="H62"/>
      <c r="I62" s="28"/>
      <c r="J62" s="28"/>
      <c r="K62" s="28"/>
      <c r="L62" s="28"/>
      <c r="M62" s="28"/>
      <c r="N62" s="28"/>
      <c r="O62" s="28"/>
      <c r="P62" s="28"/>
    </row>
    <row r="63" spans="1:16" ht="14.5" x14ac:dyDescent="0.35">
      <c r="A63"/>
      <c r="B63"/>
      <c r="C63"/>
      <c r="D63"/>
      <c r="E63"/>
      <c r="F63"/>
      <c r="G63"/>
      <c r="H63"/>
      <c r="I63" s="28"/>
      <c r="J63" s="28"/>
      <c r="K63" s="28"/>
      <c r="L63" s="28"/>
      <c r="M63" s="28"/>
      <c r="N63" s="28"/>
      <c r="O63" s="28"/>
      <c r="P63" s="28"/>
    </row>
    <row r="64" spans="1:16" ht="14.5" x14ac:dyDescent="0.35">
      <c r="A64"/>
      <c r="B64"/>
      <c r="C64"/>
      <c r="D64"/>
      <c r="E64"/>
      <c r="F64"/>
      <c r="G64"/>
      <c r="H64"/>
      <c r="I64" s="28"/>
      <c r="J64" s="28"/>
      <c r="K64" s="28"/>
      <c r="L64" s="28"/>
      <c r="M64" s="28"/>
      <c r="N64" s="28"/>
      <c r="O64" s="28"/>
      <c r="P64" s="28"/>
    </row>
    <row r="65" spans="1:16" ht="14.5" x14ac:dyDescent="0.35">
      <c r="A65"/>
      <c r="B65"/>
      <c r="C65"/>
      <c r="D65"/>
      <c r="E65"/>
      <c r="F65"/>
      <c r="G65"/>
      <c r="H65"/>
      <c r="I65" s="28"/>
      <c r="J65" s="28"/>
      <c r="K65" s="28"/>
      <c r="L65" s="28"/>
      <c r="M65" s="28"/>
      <c r="N65" s="28"/>
      <c r="O65" s="28"/>
      <c r="P65" s="28"/>
    </row>
    <row r="66" spans="1:16" ht="14.5" x14ac:dyDescent="0.35">
      <c r="A66"/>
      <c r="B66"/>
      <c r="C66"/>
      <c r="D66"/>
      <c r="E66"/>
      <c r="F66"/>
      <c r="G66"/>
      <c r="H66"/>
      <c r="I66" s="28"/>
      <c r="J66" s="28"/>
      <c r="K66" s="28"/>
      <c r="L66" s="28"/>
      <c r="M66" s="28"/>
      <c r="N66" s="28"/>
      <c r="O66" s="28"/>
      <c r="P66" s="28"/>
    </row>
    <row r="67" spans="1:16" ht="14.5" x14ac:dyDescent="0.35">
      <c r="A67"/>
      <c r="B67"/>
      <c r="C67"/>
      <c r="D67"/>
      <c r="E67"/>
      <c r="F67"/>
      <c r="G67"/>
      <c r="H67"/>
      <c r="I67" s="28"/>
      <c r="J67" s="28"/>
      <c r="K67" s="28"/>
      <c r="L67" s="28"/>
      <c r="M67" s="28"/>
      <c r="N67" s="28"/>
      <c r="O67" s="28"/>
      <c r="P67" s="28"/>
    </row>
    <row r="68" spans="1:16" ht="14.5" x14ac:dyDescent="0.35">
      <c r="A68"/>
      <c r="B68"/>
      <c r="C68"/>
      <c r="D68"/>
      <c r="E68"/>
      <c r="F68"/>
      <c r="G68"/>
      <c r="H68"/>
      <c r="I68" s="28"/>
      <c r="J68" s="28"/>
      <c r="K68" s="28"/>
      <c r="L68" s="28"/>
      <c r="M68" s="28"/>
      <c r="N68" s="28"/>
      <c r="O68" s="28"/>
      <c r="P68" s="28"/>
    </row>
    <row r="69" spans="1:16" ht="14.5" x14ac:dyDescent="0.35">
      <c r="A69"/>
      <c r="B69"/>
      <c r="C69"/>
      <c r="D69"/>
      <c r="E69"/>
      <c r="F69"/>
      <c r="G69"/>
      <c r="H69"/>
      <c r="I69" s="28"/>
      <c r="J69" s="28"/>
      <c r="K69" s="28"/>
      <c r="L69" s="28"/>
      <c r="M69" s="28"/>
      <c r="N69" s="28"/>
      <c r="O69" s="28"/>
      <c r="P69" s="28"/>
    </row>
    <row r="70" spans="1:16" ht="14.5" x14ac:dyDescent="0.35">
      <c r="A70"/>
      <c r="B70"/>
      <c r="C70"/>
      <c r="D70"/>
      <c r="E70"/>
      <c r="F70"/>
      <c r="G70"/>
      <c r="H70"/>
      <c r="I70" s="28"/>
      <c r="J70" s="28"/>
      <c r="K70" s="28"/>
      <c r="L70" s="28"/>
      <c r="M70" s="28"/>
      <c r="N70" s="28"/>
      <c r="O70" s="28"/>
      <c r="P70" s="28"/>
    </row>
    <row r="71" spans="1:16" ht="14.5" x14ac:dyDescent="0.35">
      <c r="A71"/>
      <c r="B71"/>
      <c r="C71"/>
      <c r="D71"/>
      <c r="E71"/>
      <c r="F71"/>
      <c r="G71"/>
      <c r="H71"/>
      <c r="I71" s="28"/>
      <c r="J71" s="28"/>
      <c r="K71" s="28"/>
      <c r="L71" s="28"/>
      <c r="M71" s="28"/>
      <c r="N71" s="28"/>
      <c r="O71" s="28"/>
      <c r="P71" s="28"/>
    </row>
    <row r="72" spans="1:16" ht="14.5" x14ac:dyDescent="0.35">
      <c r="A72"/>
      <c r="B72"/>
      <c r="C72"/>
      <c r="D72"/>
      <c r="E72"/>
      <c r="F72"/>
      <c r="G72"/>
      <c r="H72"/>
      <c r="I72" s="28"/>
      <c r="J72" s="28"/>
      <c r="K72" s="28"/>
      <c r="L72" s="28"/>
      <c r="M72" s="28"/>
      <c r="N72" s="28"/>
      <c r="O72" s="28"/>
      <c r="P72" s="28"/>
    </row>
    <row r="73" spans="1:16" ht="14.5" x14ac:dyDescent="0.35">
      <c r="A73"/>
      <c r="B73"/>
      <c r="C73"/>
      <c r="D73"/>
      <c r="E73"/>
      <c r="F73"/>
      <c r="G73"/>
      <c r="H73"/>
      <c r="I73" s="28"/>
      <c r="J73" s="28"/>
      <c r="K73" s="28"/>
      <c r="L73" s="28"/>
      <c r="M73" s="28"/>
      <c r="N73" s="28"/>
      <c r="O73" s="28"/>
      <c r="P73" s="28"/>
    </row>
    <row r="74" spans="1:16" ht="14.5" x14ac:dyDescent="0.35">
      <c r="A74"/>
      <c r="B74"/>
      <c r="C74"/>
      <c r="D74"/>
      <c r="E74"/>
      <c r="F74"/>
      <c r="G74"/>
      <c r="H74"/>
      <c r="I74" s="28"/>
      <c r="J74" s="28"/>
      <c r="K74" s="28"/>
      <c r="L74" s="28"/>
      <c r="M74" s="28"/>
      <c r="N74" s="28"/>
      <c r="O74" s="28"/>
      <c r="P74" s="28"/>
    </row>
    <row r="75" spans="1:16" ht="14.5" x14ac:dyDescent="0.35">
      <c r="A75"/>
      <c r="B75"/>
      <c r="C75"/>
      <c r="D75"/>
      <c r="E75"/>
      <c r="F75"/>
      <c r="G75"/>
      <c r="H75"/>
      <c r="I75" s="28"/>
      <c r="J75" s="28"/>
      <c r="K75" s="28"/>
      <c r="L75" s="28"/>
      <c r="M75" s="28"/>
      <c r="N75" s="28"/>
      <c r="O75" s="28"/>
      <c r="P75" s="28"/>
    </row>
    <row r="76" spans="1:16" ht="14.5" x14ac:dyDescent="0.35">
      <c r="A76"/>
      <c r="B76"/>
      <c r="C76"/>
      <c r="D76"/>
      <c r="E76"/>
      <c r="F76"/>
      <c r="G76"/>
      <c r="H76"/>
      <c r="I76" s="28"/>
      <c r="J76" s="28"/>
      <c r="K76" s="28"/>
      <c r="L76" s="28"/>
      <c r="M76" s="28"/>
      <c r="N76" s="28"/>
      <c r="O76" s="28"/>
      <c r="P76" s="28"/>
    </row>
    <row r="77" spans="1:16" ht="14.5" x14ac:dyDescent="0.35">
      <c r="A77"/>
      <c r="B77"/>
      <c r="C77"/>
      <c r="D77"/>
      <c r="E77"/>
      <c r="F77"/>
      <c r="G77"/>
      <c r="H77"/>
      <c r="I77" s="28"/>
      <c r="J77" s="28"/>
      <c r="K77" s="28"/>
      <c r="L77" s="28"/>
      <c r="M77" s="28"/>
      <c r="N77" s="28"/>
      <c r="O77" s="28"/>
      <c r="P77" s="28"/>
    </row>
    <row r="78" spans="1:16" ht="14.5" x14ac:dyDescent="0.35">
      <c r="A78"/>
      <c r="B78"/>
      <c r="C78"/>
      <c r="D78"/>
      <c r="E78"/>
      <c r="F78"/>
      <c r="G78"/>
      <c r="H78"/>
      <c r="I78" s="28"/>
      <c r="J78" s="28"/>
      <c r="K78" s="28"/>
      <c r="L78" s="28"/>
      <c r="M78" s="28"/>
      <c r="N78" s="28"/>
      <c r="O78" s="28"/>
      <c r="P78" s="28"/>
    </row>
    <row r="79" spans="1:16" ht="14.5" x14ac:dyDescent="0.35">
      <c r="A79"/>
      <c r="B79"/>
      <c r="C79"/>
      <c r="D79"/>
      <c r="E79"/>
      <c r="F79"/>
      <c r="G79"/>
      <c r="H79"/>
      <c r="I79" s="28"/>
      <c r="J79" s="28"/>
      <c r="K79" s="28"/>
      <c r="L79" s="28"/>
      <c r="M79" s="28"/>
      <c r="N79" s="28"/>
      <c r="O79" s="28"/>
      <c r="P79" s="28"/>
    </row>
    <row r="80" spans="1:16" ht="14.5" x14ac:dyDescent="0.35">
      <c r="A80"/>
      <c r="B80"/>
      <c r="C80"/>
      <c r="D80"/>
      <c r="E80"/>
      <c r="F80"/>
      <c r="G80"/>
      <c r="H80"/>
      <c r="I80" s="28"/>
      <c r="J80" s="28"/>
      <c r="K80" s="28"/>
      <c r="L80" s="28"/>
      <c r="M80" s="28"/>
      <c r="N80" s="28"/>
      <c r="O80" s="28"/>
      <c r="P80" s="28"/>
    </row>
    <row r="81" spans="1:16" ht="14.5" x14ac:dyDescent="0.35">
      <c r="A81"/>
      <c r="B81"/>
      <c r="C81"/>
      <c r="D81"/>
      <c r="E81"/>
      <c r="F81"/>
      <c r="G81"/>
      <c r="H81"/>
      <c r="I81" s="28"/>
      <c r="J81" s="28"/>
      <c r="K81" s="28"/>
      <c r="L81" s="28"/>
      <c r="M81" s="28"/>
      <c r="N81" s="28"/>
      <c r="O81" s="28"/>
      <c r="P81" s="28"/>
    </row>
    <row r="82" spans="1:16" ht="14.5" x14ac:dyDescent="0.35">
      <c r="A82"/>
      <c r="B82"/>
      <c r="C82"/>
      <c r="D82"/>
      <c r="E82"/>
      <c r="F82"/>
      <c r="G82"/>
      <c r="H82"/>
      <c r="I82" s="28"/>
      <c r="J82" s="28"/>
      <c r="K82" s="28"/>
      <c r="L82" s="28"/>
      <c r="M82" s="28"/>
      <c r="N82" s="28"/>
      <c r="O82" s="28"/>
      <c r="P82" s="28"/>
    </row>
    <row r="83" spans="1:16" ht="14.5" x14ac:dyDescent="0.35">
      <c r="A83"/>
      <c r="B83"/>
      <c r="C83"/>
      <c r="D83"/>
      <c r="E83"/>
      <c r="F83"/>
      <c r="G83"/>
      <c r="H83"/>
      <c r="I83" s="28"/>
      <c r="J83" s="28"/>
      <c r="K83" s="28"/>
      <c r="L83" s="28"/>
      <c r="M83" s="28"/>
      <c r="N83" s="28"/>
      <c r="O83" s="28"/>
      <c r="P83" s="28"/>
    </row>
    <row r="84" spans="1:16" ht="14.5" x14ac:dyDescent="0.35">
      <c r="A84"/>
      <c r="B84"/>
      <c r="C84"/>
      <c r="D84"/>
      <c r="E84"/>
      <c r="F84"/>
      <c r="G84"/>
      <c r="H84"/>
      <c r="I84" s="28"/>
      <c r="J84" s="28"/>
      <c r="K84" s="28"/>
      <c r="L84" s="28"/>
      <c r="M84" s="28"/>
      <c r="N84" s="28"/>
      <c r="O84" s="28"/>
      <c r="P84" s="28"/>
    </row>
    <row r="85" spans="1:16" ht="14.5" x14ac:dyDescent="0.35">
      <c r="A85"/>
      <c r="B85"/>
      <c r="C85"/>
      <c r="D85"/>
      <c r="E85"/>
      <c r="F85"/>
      <c r="G85"/>
      <c r="H85"/>
      <c r="I85" s="28"/>
      <c r="J85" s="28"/>
      <c r="K85" s="28"/>
      <c r="L85" s="28"/>
      <c r="M85" s="28"/>
      <c r="N85" s="28"/>
      <c r="O85" s="28"/>
      <c r="P85" s="28"/>
    </row>
    <row r="86" spans="1:16" ht="14.5" x14ac:dyDescent="0.35">
      <c r="A86"/>
      <c r="B86"/>
      <c r="C86"/>
      <c r="D86"/>
      <c r="E86"/>
      <c r="F86"/>
      <c r="G86"/>
      <c r="H86"/>
      <c r="I86" s="28"/>
      <c r="J86" s="28"/>
      <c r="K86" s="28"/>
      <c r="L86" s="28"/>
      <c r="M86" s="28"/>
      <c r="N86" s="28"/>
      <c r="O86" s="28"/>
      <c r="P86" s="28"/>
    </row>
    <row r="87" spans="1:16" ht="14.5" x14ac:dyDescent="0.35">
      <c r="A87"/>
      <c r="B87"/>
      <c r="C87"/>
      <c r="D87"/>
      <c r="E87"/>
      <c r="F87"/>
      <c r="G87"/>
      <c r="H87"/>
      <c r="I87" s="28"/>
      <c r="J87" s="28"/>
      <c r="K87" s="28"/>
      <c r="L87" s="28"/>
      <c r="M87" s="28"/>
      <c r="N87" s="28"/>
      <c r="O87" s="28"/>
      <c r="P87" s="28"/>
    </row>
    <row r="88" spans="1:16" ht="14.5" x14ac:dyDescent="0.35">
      <c r="A88"/>
      <c r="B88"/>
      <c r="C88"/>
      <c r="D88"/>
      <c r="E88"/>
      <c r="F88"/>
      <c r="G88"/>
      <c r="H88"/>
      <c r="I88" s="28"/>
      <c r="J88" s="28"/>
      <c r="K88" s="28"/>
      <c r="L88" s="28"/>
      <c r="M88" s="28"/>
      <c r="N88" s="28"/>
      <c r="O88" s="28"/>
      <c r="P88" s="28"/>
    </row>
    <row r="89" spans="1:16" ht="14.5" x14ac:dyDescent="0.35">
      <c r="A89"/>
      <c r="B89"/>
      <c r="C89"/>
      <c r="D89"/>
      <c r="E89"/>
      <c r="F89"/>
      <c r="G89"/>
      <c r="H89"/>
      <c r="I89" s="28"/>
      <c r="J89" s="28"/>
      <c r="K89" s="28"/>
      <c r="L89" s="28"/>
      <c r="M89" s="28"/>
      <c r="N89" s="28"/>
      <c r="O89" s="28"/>
      <c r="P89" s="28"/>
    </row>
    <row r="90" spans="1:16" ht="14.5" x14ac:dyDescent="0.35">
      <c r="A90"/>
      <c r="B90"/>
      <c r="C90"/>
      <c r="D90"/>
      <c r="E90"/>
      <c r="F90"/>
      <c r="G90"/>
      <c r="H90"/>
      <c r="I90" s="28"/>
      <c r="J90" s="28"/>
      <c r="K90" s="28"/>
      <c r="L90" s="28"/>
      <c r="M90" s="28"/>
      <c r="N90" s="28"/>
      <c r="O90" s="28"/>
      <c r="P90" s="28"/>
    </row>
    <row r="91" spans="1:16" ht="14.5" x14ac:dyDescent="0.35">
      <c r="A91"/>
      <c r="B91"/>
      <c r="C91"/>
      <c r="D91"/>
      <c r="E91"/>
      <c r="F91"/>
      <c r="G91"/>
      <c r="H91"/>
      <c r="I91" s="28"/>
      <c r="J91" s="28"/>
      <c r="K91" s="28"/>
      <c r="L91" s="28"/>
      <c r="M91" s="28"/>
      <c r="N91" s="28"/>
    </row>
    <row r="92" spans="1:16" ht="14.5" x14ac:dyDescent="0.35">
      <c r="A92"/>
      <c r="B92"/>
      <c r="C92"/>
      <c r="D92"/>
      <c r="E92"/>
      <c r="F92"/>
      <c r="G92"/>
      <c r="H92"/>
      <c r="I92" s="28"/>
      <c r="J92" s="28"/>
      <c r="K92" s="28"/>
      <c r="L92" s="28"/>
      <c r="M92" s="28"/>
      <c r="N92" s="28"/>
    </row>
    <row r="93" spans="1:16" ht="14.5" x14ac:dyDescent="0.35">
      <c r="A93"/>
      <c r="B93"/>
      <c r="C93"/>
      <c r="D93"/>
      <c r="E93"/>
      <c r="F93"/>
      <c r="G93"/>
      <c r="H93"/>
      <c r="I93" s="28"/>
      <c r="J93" s="28"/>
      <c r="K93" s="28"/>
      <c r="L93" s="28"/>
      <c r="M93" s="28"/>
      <c r="N93" s="28"/>
    </row>
    <row r="94" spans="1:16" ht="14.5" x14ac:dyDescent="0.35">
      <c r="A94"/>
      <c r="B94"/>
      <c r="C94"/>
      <c r="D94"/>
      <c r="E94"/>
      <c r="F94"/>
      <c r="G94"/>
      <c r="H94"/>
      <c r="I94" s="28"/>
      <c r="J94" s="28"/>
      <c r="K94" s="28"/>
      <c r="L94" s="28"/>
      <c r="M94" s="28"/>
      <c r="N94" s="28"/>
    </row>
    <row r="95" spans="1:16" ht="14.5" x14ac:dyDescent="0.35">
      <c r="A95"/>
      <c r="B95"/>
      <c r="C95"/>
      <c r="D95"/>
      <c r="E95"/>
      <c r="F95"/>
      <c r="G95"/>
      <c r="H95"/>
      <c r="I95" s="28"/>
      <c r="J95" s="28"/>
      <c r="K95" s="28"/>
      <c r="L95" s="28"/>
      <c r="M95" s="28"/>
      <c r="N95" s="28"/>
    </row>
    <row r="96" spans="1:16" ht="14.5" x14ac:dyDescent="0.35">
      <c r="A96"/>
      <c r="B96"/>
      <c r="C96"/>
      <c r="D96"/>
      <c r="E96"/>
      <c r="F96"/>
      <c r="G96"/>
      <c r="H96"/>
      <c r="I96" s="28"/>
      <c r="J96" s="28"/>
      <c r="K96" s="28"/>
      <c r="L96" s="28"/>
      <c r="M96" s="28"/>
      <c r="N96" s="28"/>
    </row>
    <row r="97" spans="1:14" ht="14.5" x14ac:dyDescent="0.35">
      <c r="A97"/>
      <c r="B97"/>
      <c r="C97"/>
      <c r="D97"/>
      <c r="E97"/>
      <c r="F97"/>
      <c r="G97"/>
      <c r="H97"/>
      <c r="I97" s="28"/>
      <c r="J97" s="28"/>
      <c r="K97" s="28"/>
      <c r="L97" s="28"/>
      <c r="M97" s="28"/>
      <c r="N97" s="28"/>
    </row>
    <row r="98" spans="1:14" ht="14.5" x14ac:dyDescent="0.35">
      <c r="A98"/>
      <c r="B98"/>
      <c r="C98"/>
      <c r="D98"/>
      <c r="E98"/>
      <c r="F98"/>
      <c r="G98"/>
      <c r="H98"/>
      <c r="I98" s="28"/>
      <c r="J98" s="28"/>
      <c r="K98" s="28"/>
      <c r="L98" s="28"/>
      <c r="M98" s="28"/>
      <c r="N98" s="28"/>
    </row>
    <row r="99" spans="1:14" ht="14.5" x14ac:dyDescent="0.35">
      <c r="A99"/>
      <c r="B99"/>
      <c r="C99"/>
      <c r="D99"/>
      <c r="E99"/>
      <c r="F99"/>
      <c r="G99"/>
      <c r="H99"/>
      <c r="I99" s="28"/>
      <c r="J99" s="28"/>
      <c r="K99" s="28"/>
      <c r="L99" s="28"/>
      <c r="M99" s="28"/>
      <c r="N99" s="28"/>
    </row>
    <row r="100" spans="1:14" ht="14.5" x14ac:dyDescent="0.35">
      <c r="A100"/>
      <c r="B100"/>
      <c r="C100"/>
      <c r="D100"/>
      <c r="E100"/>
      <c r="F100"/>
      <c r="G100"/>
      <c r="H100"/>
      <c r="I100" s="28"/>
      <c r="J100" s="28"/>
      <c r="K100" s="28"/>
      <c r="L100" s="28"/>
      <c r="M100" s="28"/>
      <c r="N100" s="28"/>
    </row>
    <row r="101" spans="1:14" ht="14.5" x14ac:dyDescent="0.35">
      <c r="A101"/>
      <c r="B101"/>
      <c r="C101"/>
      <c r="D101"/>
      <c r="E101"/>
      <c r="F101"/>
      <c r="G101"/>
      <c r="H101"/>
      <c r="I101" s="28"/>
      <c r="J101" s="28"/>
      <c r="K101" s="28"/>
      <c r="L101" s="28"/>
      <c r="M101" s="28"/>
      <c r="N101" s="28"/>
    </row>
    <row r="102" spans="1:14" ht="14.5" x14ac:dyDescent="0.35">
      <c r="A102"/>
      <c r="B102"/>
      <c r="C102"/>
      <c r="D102"/>
      <c r="E102"/>
      <c r="F102"/>
      <c r="G102"/>
      <c r="H102"/>
      <c r="I102" s="28"/>
      <c r="J102" s="28"/>
      <c r="K102" s="28"/>
      <c r="L102" s="28"/>
      <c r="M102" s="28"/>
      <c r="N102" s="28"/>
    </row>
    <row r="103" spans="1:14" ht="14.5" x14ac:dyDescent="0.35">
      <c r="A103"/>
      <c r="B103"/>
      <c r="C103"/>
      <c r="D103"/>
      <c r="E103"/>
      <c r="F103"/>
      <c r="G103"/>
      <c r="H103"/>
      <c r="I103" s="28"/>
      <c r="J103" s="28"/>
      <c r="K103" s="28"/>
      <c r="L103" s="28"/>
      <c r="M103" s="28"/>
      <c r="N103" s="28"/>
    </row>
    <row r="104" spans="1:14" ht="14.5" x14ac:dyDescent="0.35">
      <c r="A104"/>
      <c r="B104"/>
      <c r="C104"/>
      <c r="D104"/>
      <c r="E104"/>
      <c r="F104"/>
      <c r="G104"/>
      <c r="H104"/>
      <c r="I104" s="28"/>
      <c r="J104" s="28"/>
      <c r="K104" s="28"/>
      <c r="L104" s="28"/>
      <c r="M104" s="28"/>
      <c r="N104" s="28"/>
    </row>
    <row r="105" spans="1:14" ht="14.5" x14ac:dyDescent="0.35">
      <c r="A105"/>
      <c r="B105"/>
      <c r="C105"/>
      <c r="D105"/>
      <c r="E105"/>
      <c r="F105"/>
      <c r="G105"/>
      <c r="H105"/>
      <c r="I105" s="28"/>
      <c r="J105" s="28"/>
      <c r="K105" s="28"/>
      <c r="L105" s="28"/>
      <c r="M105" s="28"/>
      <c r="N105" s="28"/>
    </row>
    <row r="106" spans="1:14" ht="14.5" x14ac:dyDescent="0.35">
      <c r="A106"/>
      <c r="B106"/>
      <c r="C106"/>
      <c r="D106"/>
      <c r="E106"/>
      <c r="F106"/>
      <c r="G106"/>
      <c r="H106"/>
      <c r="I106" s="28"/>
      <c r="J106" s="28"/>
      <c r="K106" s="28"/>
      <c r="L106" s="28"/>
      <c r="M106" s="28"/>
      <c r="N106" s="28"/>
    </row>
    <row r="107" spans="1:14" ht="14.5" x14ac:dyDescent="0.35">
      <c r="A107"/>
      <c r="B107"/>
      <c r="C107"/>
      <c r="D107"/>
      <c r="E107"/>
      <c r="F107"/>
      <c r="G107"/>
      <c r="H107"/>
      <c r="I107" s="28"/>
      <c r="J107" s="28"/>
      <c r="K107" s="28"/>
      <c r="L107" s="28"/>
      <c r="M107" s="28"/>
      <c r="N107" s="28"/>
    </row>
    <row r="108" spans="1:14" ht="14.5" x14ac:dyDescent="0.35">
      <c r="A108"/>
      <c r="B108"/>
      <c r="C108"/>
      <c r="D108"/>
      <c r="E108"/>
      <c r="F108"/>
      <c r="G108"/>
      <c r="H108"/>
      <c r="I108" s="28"/>
      <c r="J108" s="28"/>
      <c r="K108" s="28"/>
      <c r="L108" s="28"/>
      <c r="M108" s="28"/>
      <c r="N108" s="28"/>
    </row>
    <row r="109" spans="1:14" ht="14.5" x14ac:dyDescent="0.35">
      <c r="A109"/>
      <c r="B109"/>
      <c r="C109"/>
      <c r="D109"/>
      <c r="E109"/>
      <c r="F109"/>
      <c r="G109"/>
      <c r="H109"/>
      <c r="I109" s="28"/>
      <c r="J109" s="28"/>
      <c r="K109" s="28"/>
      <c r="L109" s="28"/>
      <c r="M109" s="28"/>
      <c r="N109" s="28"/>
    </row>
    <row r="110" spans="1:14" ht="14.5" x14ac:dyDescent="0.35">
      <c r="A110"/>
      <c r="B110"/>
      <c r="C110"/>
      <c r="D110"/>
      <c r="E110"/>
      <c r="F110"/>
      <c r="G110"/>
      <c r="H110"/>
      <c r="I110" s="28"/>
      <c r="J110" s="28"/>
      <c r="K110" s="28"/>
      <c r="L110" s="28"/>
      <c r="M110" s="28"/>
      <c r="N110" s="28"/>
    </row>
    <row r="111" spans="1:14" ht="14.5" x14ac:dyDescent="0.35">
      <c r="A111"/>
      <c r="B111"/>
      <c r="C111"/>
      <c r="D111"/>
      <c r="E111"/>
      <c r="F111"/>
      <c r="G111"/>
      <c r="H111"/>
      <c r="I111" s="28"/>
      <c r="J111" s="28"/>
      <c r="K111" s="28"/>
      <c r="L111" s="28"/>
      <c r="M111" s="28"/>
      <c r="N111" s="28"/>
    </row>
    <row r="112" spans="1:14" ht="14.5" x14ac:dyDescent="0.35">
      <c r="A112"/>
      <c r="B112"/>
      <c r="C112"/>
      <c r="D112"/>
      <c r="E112"/>
      <c r="F112"/>
      <c r="G112"/>
      <c r="H112"/>
      <c r="I112" s="28"/>
      <c r="J112" s="28"/>
      <c r="K112" s="28"/>
      <c r="L112" s="28"/>
      <c r="M112" s="28"/>
      <c r="N112" s="28"/>
    </row>
    <row r="113" spans="1:14" ht="14.5" x14ac:dyDescent="0.35">
      <c r="A113"/>
      <c r="B113"/>
      <c r="C113"/>
      <c r="D113"/>
      <c r="E113"/>
      <c r="F113"/>
      <c r="G113"/>
      <c r="H113"/>
      <c r="I113" s="28"/>
      <c r="J113" s="28"/>
      <c r="K113" s="28"/>
      <c r="L113" s="28"/>
      <c r="M113" s="28"/>
      <c r="N113" s="28"/>
    </row>
    <row r="114" spans="1:14" ht="14.5" x14ac:dyDescent="0.35">
      <c r="A114"/>
      <c r="B114"/>
      <c r="C114"/>
      <c r="D114"/>
      <c r="E114"/>
      <c r="F114"/>
      <c r="G114"/>
      <c r="H114"/>
      <c r="I114" s="28"/>
      <c r="J114" s="28"/>
      <c r="K114" s="28"/>
      <c r="L114" s="28"/>
      <c r="M114" s="28"/>
      <c r="N114" s="28"/>
    </row>
    <row r="115" spans="1:14" ht="14.5" x14ac:dyDescent="0.35">
      <c r="A115"/>
      <c r="B115"/>
      <c r="C115"/>
      <c r="D115"/>
      <c r="E115"/>
      <c r="F115"/>
      <c r="G115"/>
      <c r="H115"/>
      <c r="I115" s="28"/>
      <c r="J115" s="28"/>
      <c r="K115" s="28"/>
      <c r="L115" s="28"/>
      <c r="M115" s="28"/>
      <c r="N115" s="28"/>
    </row>
    <row r="116" spans="1:14" ht="14.5" x14ac:dyDescent="0.35">
      <c r="A116"/>
      <c r="B116"/>
      <c r="C116"/>
      <c r="D116"/>
      <c r="E116"/>
      <c r="F116"/>
      <c r="G116"/>
      <c r="H116"/>
      <c r="I116" s="28"/>
      <c r="J116" s="28"/>
      <c r="K116" s="28"/>
      <c r="L116" s="28"/>
      <c r="M116" s="28"/>
      <c r="N116" s="28"/>
    </row>
    <row r="117" spans="1:14" ht="14.5" x14ac:dyDescent="0.35">
      <c r="A117"/>
      <c r="B117"/>
      <c r="C117"/>
      <c r="D117"/>
      <c r="E117"/>
      <c r="F117"/>
      <c r="G117"/>
      <c r="H117"/>
      <c r="I117" s="28"/>
      <c r="J117" s="28"/>
      <c r="K117" s="28"/>
      <c r="L117" s="28"/>
      <c r="M117" s="28"/>
      <c r="N117" s="28"/>
    </row>
    <row r="118" spans="1:14" ht="14.5" x14ac:dyDescent="0.35">
      <c r="A118"/>
      <c r="B118"/>
      <c r="C118"/>
      <c r="D118"/>
      <c r="E118"/>
      <c r="F118"/>
      <c r="G118"/>
      <c r="H118"/>
      <c r="I118" s="28"/>
      <c r="J118" s="28"/>
      <c r="K118" s="28"/>
      <c r="L118" s="28"/>
      <c r="M118" s="28"/>
      <c r="N118" s="28"/>
    </row>
    <row r="119" spans="1:14" ht="14.5" x14ac:dyDescent="0.35">
      <c r="A119"/>
      <c r="B119"/>
      <c r="C119"/>
      <c r="D119"/>
      <c r="E119"/>
      <c r="F119"/>
      <c r="G119"/>
      <c r="H119"/>
      <c r="I119" s="28"/>
      <c r="J119" s="28"/>
      <c r="K119" s="28"/>
      <c r="L119" s="28"/>
      <c r="M119" s="28"/>
      <c r="N119" s="28"/>
    </row>
    <row r="120" spans="1:14" ht="14.5" x14ac:dyDescent="0.35">
      <c r="A120"/>
      <c r="B120"/>
      <c r="C120"/>
      <c r="D120"/>
      <c r="E120"/>
      <c r="F120"/>
      <c r="G120"/>
      <c r="H120"/>
      <c r="I120" s="28"/>
      <c r="J120" s="28"/>
      <c r="K120" s="28"/>
      <c r="L120" s="28"/>
      <c r="M120" s="28"/>
      <c r="N120" s="28"/>
    </row>
    <row r="121" spans="1:14" ht="14.5" x14ac:dyDescent="0.35">
      <c r="A121"/>
      <c r="B121"/>
      <c r="C121"/>
      <c r="D121"/>
      <c r="E121"/>
      <c r="F121"/>
      <c r="G121"/>
      <c r="H121"/>
      <c r="I121" s="28"/>
      <c r="J121" s="28"/>
      <c r="K121" s="28"/>
      <c r="L121" s="28"/>
      <c r="M121" s="28"/>
      <c r="N121" s="28"/>
    </row>
    <row r="122" spans="1:14" ht="14.5" x14ac:dyDescent="0.35">
      <c r="A122"/>
      <c r="B122"/>
      <c r="C122"/>
      <c r="D122"/>
      <c r="E122"/>
      <c r="F122"/>
      <c r="G122"/>
      <c r="H122"/>
      <c r="I122" s="28"/>
      <c r="J122" s="28"/>
      <c r="K122" s="28"/>
      <c r="L122" s="28"/>
      <c r="M122" s="28"/>
      <c r="N122" s="28"/>
    </row>
    <row r="123" spans="1:14" ht="14.5" x14ac:dyDescent="0.35">
      <c r="A123"/>
      <c r="B123"/>
      <c r="C123"/>
      <c r="D123"/>
      <c r="E123"/>
      <c r="F123"/>
      <c r="G123"/>
      <c r="H123"/>
      <c r="I123" s="28"/>
      <c r="J123" s="28"/>
      <c r="K123" s="28"/>
      <c r="L123" s="28"/>
      <c r="M123" s="28"/>
      <c r="N123" s="28"/>
    </row>
    <row r="124" spans="1:14" ht="14.5" x14ac:dyDescent="0.35">
      <c r="A124"/>
      <c r="B124"/>
      <c r="C124"/>
      <c r="D124"/>
      <c r="E124"/>
      <c r="F124"/>
      <c r="G124"/>
      <c r="H124"/>
      <c r="I124" s="28"/>
      <c r="J124" s="28"/>
      <c r="K124" s="28"/>
      <c r="L124" s="28"/>
      <c r="M124" s="28"/>
      <c r="N124" s="28"/>
    </row>
    <row r="125" spans="1:14" ht="14.5" x14ac:dyDescent="0.35">
      <c r="A125"/>
      <c r="B125"/>
      <c r="C125"/>
      <c r="D125"/>
      <c r="E125"/>
      <c r="F125"/>
      <c r="G125"/>
      <c r="H125"/>
      <c r="I125" s="28"/>
      <c r="J125" s="28"/>
      <c r="K125" s="28"/>
      <c r="L125" s="28"/>
      <c r="M125" s="28"/>
      <c r="N125" s="28"/>
    </row>
    <row r="126" spans="1:14" ht="14.5" x14ac:dyDescent="0.35">
      <c r="A126"/>
      <c r="B126"/>
      <c r="C126"/>
      <c r="D126"/>
      <c r="E126"/>
      <c r="F126"/>
      <c r="G126"/>
      <c r="H126"/>
      <c r="I126" s="28"/>
      <c r="J126" s="28"/>
      <c r="K126" s="28"/>
      <c r="L126" s="28"/>
      <c r="M126" s="28"/>
      <c r="N126" s="28"/>
    </row>
    <row r="127" spans="1:14" ht="14.5" x14ac:dyDescent="0.35">
      <c r="A127"/>
      <c r="B127"/>
      <c r="C127"/>
      <c r="D127"/>
      <c r="E127"/>
      <c r="F127"/>
      <c r="G127"/>
      <c r="H127"/>
      <c r="I127" s="28"/>
      <c r="J127" s="28"/>
      <c r="K127" s="28"/>
      <c r="L127" s="28"/>
      <c r="M127" s="28"/>
      <c r="N127" s="28"/>
    </row>
    <row r="128" spans="1:14" ht="14.5" x14ac:dyDescent="0.35">
      <c r="A128"/>
      <c r="B128"/>
      <c r="C128"/>
      <c r="D128"/>
      <c r="E128"/>
      <c r="F128"/>
      <c r="G128"/>
      <c r="H128"/>
      <c r="I128" s="28"/>
      <c r="J128" s="28"/>
      <c r="K128" s="28"/>
      <c r="L128" s="28"/>
      <c r="M128" s="28"/>
      <c r="N128" s="28"/>
    </row>
    <row r="129" spans="1:14" ht="14.5" x14ac:dyDescent="0.35">
      <c r="A129"/>
      <c r="B129"/>
      <c r="C129"/>
      <c r="D129"/>
      <c r="E129"/>
      <c r="F129"/>
      <c r="G129"/>
      <c r="H129"/>
      <c r="I129" s="28"/>
      <c r="J129" s="28"/>
      <c r="K129" s="28"/>
      <c r="L129" s="28"/>
      <c r="M129" s="28"/>
      <c r="N129" s="28"/>
    </row>
    <row r="130" spans="1:14" ht="14.5" x14ac:dyDescent="0.35">
      <c r="A130"/>
      <c r="B130"/>
      <c r="C130"/>
      <c r="D130"/>
      <c r="E130"/>
      <c r="F130"/>
      <c r="G130"/>
      <c r="H130"/>
      <c r="I130" s="28"/>
      <c r="J130" s="28"/>
      <c r="K130" s="28"/>
      <c r="L130" s="28"/>
      <c r="M130" s="28"/>
      <c r="N130" s="28"/>
    </row>
    <row r="131" spans="1:14" ht="14.5" x14ac:dyDescent="0.35">
      <c r="A131"/>
      <c r="B131"/>
      <c r="C131"/>
      <c r="D131"/>
      <c r="E131"/>
      <c r="F131"/>
      <c r="G131"/>
      <c r="H131"/>
      <c r="I131" s="28"/>
      <c r="J131" s="28"/>
      <c r="K131" s="28"/>
      <c r="L131" s="28"/>
      <c r="M131" s="28"/>
      <c r="N131" s="28"/>
    </row>
    <row r="132" spans="1:14" ht="14.5" x14ac:dyDescent="0.35">
      <c r="A132"/>
      <c r="B132"/>
      <c r="C132"/>
      <c r="D132"/>
      <c r="E132"/>
      <c r="F132"/>
      <c r="G132"/>
      <c r="H132"/>
      <c r="I132" s="28"/>
      <c r="J132" s="28"/>
      <c r="K132" s="28"/>
      <c r="L132" s="28"/>
      <c r="M132" s="28"/>
      <c r="N132" s="28"/>
    </row>
    <row r="133" spans="1:14" ht="14.5" x14ac:dyDescent="0.35">
      <c r="A133"/>
      <c r="B133"/>
      <c r="C133"/>
      <c r="D133"/>
      <c r="E133"/>
      <c r="F133"/>
      <c r="G133"/>
      <c r="H133"/>
      <c r="I133" s="28"/>
      <c r="J133" s="28"/>
      <c r="K133" s="28"/>
      <c r="L133" s="28"/>
      <c r="M133" s="28"/>
      <c r="N133" s="28"/>
    </row>
    <row r="134" spans="1:14" ht="14.5" x14ac:dyDescent="0.35">
      <c r="A134"/>
      <c r="B134"/>
      <c r="C134"/>
      <c r="D134"/>
      <c r="E134"/>
      <c r="F134"/>
      <c r="G134"/>
      <c r="H134"/>
      <c r="I134" s="28"/>
      <c r="J134" s="28"/>
      <c r="K134" s="28"/>
      <c r="L134" s="28"/>
      <c r="M134" s="28"/>
      <c r="N134" s="28"/>
    </row>
    <row r="135" spans="1:14" ht="14.5" x14ac:dyDescent="0.35">
      <c r="A135"/>
      <c r="B135"/>
      <c r="C135"/>
      <c r="D135"/>
      <c r="E135"/>
      <c r="F135"/>
      <c r="G135"/>
      <c r="H135"/>
      <c r="I135" s="28"/>
      <c r="J135" s="28"/>
      <c r="K135" s="28"/>
      <c r="L135" s="28"/>
      <c r="M135" s="28"/>
      <c r="N135" s="28"/>
    </row>
    <row r="136" spans="1:14" ht="14.5" x14ac:dyDescent="0.35">
      <c r="A136"/>
      <c r="B136"/>
      <c r="C136"/>
      <c r="D136"/>
      <c r="E136"/>
      <c r="F136"/>
      <c r="G136"/>
      <c r="H136"/>
      <c r="I136" s="28"/>
      <c r="J136" s="28"/>
      <c r="K136" s="28"/>
      <c r="L136" s="28"/>
      <c r="M136" s="28"/>
      <c r="N136" s="28"/>
    </row>
    <row r="137" spans="1:14" ht="14.5" x14ac:dyDescent="0.35">
      <c r="A137"/>
      <c r="B137"/>
      <c r="C137"/>
      <c r="D137"/>
      <c r="E137"/>
      <c r="F137"/>
      <c r="G137"/>
      <c r="H137"/>
      <c r="I137" s="28"/>
      <c r="J137" s="28"/>
      <c r="K137" s="28"/>
      <c r="L137" s="28"/>
      <c r="M137" s="28"/>
      <c r="N137" s="28"/>
    </row>
    <row r="138" spans="1:14" ht="14.5" x14ac:dyDescent="0.35">
      <c r="A138"/>
      <c r="B138"/>
      <c r="C138"/>
      <c r="D138"/>
      <c r="E138"/>
      <c r="F138"/>
      <c r="G138"/>
      <c r="H138"/>
      <c r="I138" s="28"/>
      <c r="J138" s="28"/>
      <c r="K138" s="28"/>
      <c r="L138" s="28"/>
      <c r="M138" s="28"/>
      <c r="N138" s="28"/>
    </row>
    <row r="139" spans="1:14" ht="14.5" x14ac:dyDescent="0.35">
      <c r="A139"/>
      <c r="B139"/>
      <c r="C139"/>
      <c r="D139"/>
      <c r="E139"/>
      <c r="F139"/>
      <c r="G139"/>
      <c r="H139"/>
      <c r="I139" s="28"/>
      <c r="J139" s="28"/>
      <c r="K139" s="28"/>
      <c r="L139" s="28"/>
      <c r="M139" s="28"/>
      <c r="N139" s="28"/>
    </row>
    <row r="140" spans="1:14" ht="14.5" x14ac:dyDescent="0.35">
      <c r="A140"/>
      <c r="B140"/>
      <c r="C140"/>
      <c r="D140"/>
      <c r="E140"/>
      <c r="F140"/>
      <c r="G140"/>
      <c r="H140"/>
      <c r="I140" s="28"/>
      <c r="J140" s="28"/>
      <c r="K140" s="28"/>
      <c r="L140" s="28"/>
      <c r="M140" s="28"/>
      <c r="N140" s="28"/>
    </row>
    <row r="141" spans="1:14" ht="14.5" x14ac:dyDescent="0.35">
      <c r="A141"/>
      <c r="B141"/>
      <c r="C141"/>
      <c r="D141"/>
      <c r="E141"/>
      <c r="F141"/>
      <c r="G141"/>
      <c r="H141"/>
      <c r="I141" s="28"/>
      <c r="J141" s="28"/>
      <c r="K141" s="28"/>
      <c r="L141" s="28"/>
      <c r="M141" s="28"/>
      <c r="N141" s="28"/>
    </row>
    <row r="142" spans="1:14" ht="14.5" x14ac:dyDescent="0.35">
      <c r="A142"/>
      <c r="B142"/>
      <c r="C142"/>
      <c r="D142"/>
      <c r="E142"/>
      <c r="F142"/>
      <c r="G142"/>
      <c r="H142"/>
      <c r="I142" s="28"/>
      <c r="J142" s="28"/>
      <c r="K142" s="28"/>
      <c r="L142" s="28"/>
      <c r="M142" s="28"/>
      <c r="N142" s="28"/>
    </row>
    <row r="143" spans="1:14" ht="14.5" x14ac:dyDescent="0.35">
      <c r="A143"/>
      <c r="B143"/>
      <c r="C143"/>
      <c r="D143"/>
      <c r="E143"/>
      <c r="F143"/>
      <c r="G143"/>
      <c r="H143"/>
      <c r="I143" s="28"/>
      <c r="J143" s="28"/>
      <c r="K143" s="28"/>
      <c r="L143" s="28"/>
      <c r="M143" s="28"/>
      <c r="N143" s="28"/>
    </row>
    <row r="144" spans="1:14" ht="14.5" x14ac:dyDescent="0.35">
      <c r="A144"/>
      <c r="B144"/>
      <c r="C144"/>
      <c r="D144"/>
      <c r="E144"/>
      <c r="F144"/>
      <c r="G144"/>
      <c r="H144"/>
      <c r="I144" s="28"/>
      <c r="J144" s="28"/>
      <c r="K144" s="28"/>
      <c r="L144" s="28"/>
      <c r="M144" s="28"/>
      <c r="N144" s="28"/>
    </row>
    <row r="145" spans="1:14" ht="14.5" x14ac:dyDescent="0.35">
      <c r="A145"/>
      <c r="B145"/>
      <c r="C145"/>
      <c r="D145"/>
      <c r="E145"/>
      <c r="F145"/>
      <c r="G145"/>
      <c r="H145"/>
      <c r="I145" s="28"/>
      <c r="J145" s="28"/>
      <c r="K145" s="28"/>
      <c r="L145" s="28"/>
      <c r="M145" s="28"/>
      <c r="N145" s="28"/>
    </row>
    <row r="146" spans="1:14" ht="14.5" x14ac:dyDescent="0.35">
      <c r="A146"/>
      <c r="B146"/>
      <c r="C146"/>
      <c r="D146"/>
      <c r="E146"/>
      <c r="F146"/>
      <c r="G146"/>
      <c r="H146"/>
      <c r="I146" s="28"/>
      <c r="J146" s="28"/>
      <c r="K146" s="28"/>
      <c r="L146" s="28"/>
      <c r="M146" s="28"/>
      <c r="N146" s="28"/>
    </row>
    <row r="147" spans="1:14" ht="14.5" x14ac:dyDescent="0.35">
      <c r="A147"/>
      <c r="B147"/>
      <c r="C147"/>
      <c r="D147"/>
      <c r="E147"/>
      <c r="F147"/>
      <c r="G147"/>
      <c r="H147"/>
      <c r="I147" s="28"/>
      <c r="J147" s="28"/>
      <c r="K147" s="28"/>
      <c r="L147" s="28"/>
      <c r="M147" s="28"/>
      <c r="N147" s="28"/>
    </row>
    <row r="148" spans="1:14" ht="14.5" x14ac:dyDescent="0.35">
      <c r="A148"/>
      <c r="B148"/>
      <c r="C148"/>
      <c r="D148"/>
      <c r="E148"/>
      <c r="F148"/>
      <c r="G148"/>
      <c r="H148"/>
      <c r="I148" s="28"/>
      <c r="J148" s="28"/>
      <c r="K148" s="28"/>
      <c r="L148" s="28"/>
      <c r="M148" s="28"/>
      <c r="N148" s="28"/>
    </row>
    <row r="149" spans="1:14" ht="14.5" x14ac:dyDescent="0.35">
      <c r="A149"/>
      <c r="B149"/>
      <c r="C149"/>
      <c r="D149"/>
      <c r="E149"/>
      <c r="F149"/>
      <c r="G149"/>
      <c r="H149"/>
      <c r="I149" s="28"/>
      <c r="J149" s="28"/>
      <c r="K149" s="28"/>
      <c r="L149" s="28"/>
      <c r="M149" s="28"/>
      <c r="N149" s="28"/>
    </row>
    <row r="150" spans="1:14" ht="14.5" x14ac:dyDescent="0.35">
      <c r="A150"/>
      <c r="B150"/>
      <c r="C150"/>
      <c r="D150"/>
      <c r="E150"/>
      <c r="F150"/>
      <c r="G150"/>
      <c r="H150"/>
      <c r="I150" s="28"/>
      <c r="J150" s="28"/>
      <c r="K150" s="28"/>
      <c r="L150" s="28"/>
      <c r="M150" s="28"/>
      <c r="N150" s="28"/>
    </row>
    <row r="151" spans="1:14" ht="14.5" x14ac:dyDescent="0.35">
      <c r="A151"/>
      <c r="B151"/>
      <c r="C151"/>
      <c r="D151"/>
      <c r="E151"/>
      <c r="F151"/>
      <c r="G151"/>
      <c r="H151"/>
      <c r="I151" s="28"/>
      <c r="J151" s="28"/>
      <c r="K151" s="28"/>
      <c r="L151" s="28"/>
      <c r="M151" s="28"/>
      <c r="N151" s="28"/>
    </row>
    <row r="152" spans="1:14" ht="14.5" x14ac:dyDescent="0.35">
      <c r="A152"/>
      <c r="B152"/>
      <c r="C152"/>
      <c r="D152"/>
      <c r="E152"/>
      <c r="F152"/>
      <c r="G152"/>
      <c r="H152"/>
      <c r="I152" s="28"/>
      <c r="J152" s="28"/>
      <c r="K152" s="28"/>
      <c r="L152" s="28"/>
      <c r="M152" s="28"/>
      <c r="N152" s="28"/>
    </row>
    <row r="153" spans="1:14" ht="14.5" x14ac:dyDescent="0.35">
      <c r="A153"/>
      <c r="B153"/>
      <c r="C153"/>
      <c r="D153"/>
      <c r="E153"/>
      <c r="F153"/>
      <c r="G153"/>
      <c r="H153"/>
      <c r="I153" s="28"/>
      <c r="J153" s="28"/>
      <c r="K153" s="28"/>
      <c r="L153" s="28"/>
      <c r="M153" s="28"/>
      <c r="N153" s="28"/>
    </row>
    <row r="154" spans="1:14" ht="14.5" x14ac:dyDescent="0.35">
      <c r="A154"/>
      <c r="B154"/>
      <c r="C154"/>
      <c r="D154"/>
      <c r="E154"/>
      <c r="F154"/>
      <c r="G154"/>
      <c r="H154"/>
      <c r="I154" s="28"/>
      <c r="J154" s="28"/>
      <c r="K154" s="28"/>
      <c r="L154" s="28"/>
      <c r="M154" s="28"/>
      <c r="N154" s="28"/>
    </row>
    <row r="155" spans="1:14" ht="14.5" x14ac:dyDescent="0.35">
      <c r="A155"/>
      <c r="B155"/>
      <c r="C155"/>
      <c r="D155"/>
      <c r="E155"/>
      <c r="F155"/>
      <c r="G155"/>
      <c r="H155"/>
      <c r="I155" s="28"/>
      <c r="J155" s="28"/>
      <c r="K155" s="28"/>
      <c r="L155" s="28"/>
      <c r="M155" s="28"/>
      <c r="N155" s="28"/>
    </row>
    <row r="156" spans="1:14" ht="14.5" x14ac:dyDescent="0.35">
      <c r="A156"/>
      <c r="B156"/>
      <c r="C156"/>
      <c r="D156"/>
      <c r="E156"/>
      <c r="F156"/>
      <c r="G156"/>
      <c r="H156"/>
      <c r="I156" s="28"/>
      <c r="J156" s="28"/>
      <c r="K156" s="28"/>
      <c r="L156" s="28"/>
      <c r="M156" s="28"/>
      <c r="N156" s="28"/>
    </row>
    <row r="157" spans="1:14" ht="14.5" x14ac:dyDescent="0.35">
      <c r="A157"/>
      <c r="B157"/>
      <c r="C157"/>
      <c r="D157"/>
      <c r="E157"/>
      <c r="F157"/>
      <c r="G157"/>
      <c r="H157"/>
      <c r="I157" s="28"/>
      <c r="J157" s="28"/>
      <c r="K157" s="28"/>
      <c r="L157" s="28"/>
      <c r="M157" s="28"/>
      <c r="N157" s="28"/>
    </row>
    <row r="158" spans="1:14" ht="14.5" x14ac:dyDescent="0.35">
      <c r="A158"/>
      <c r="B158"/>
      <c r="C158"/>
      <c r="D158"/>
      <c r="E158"/>
      <c r="F158"/>
      <c r="G158"/>
      <c r="H158"/>
      <c r="I158" s="28"/>
      <c r="J158" s="28"/>
      <c r="K158" s="28"/>
      <c r="L158" s="28"/>
      <c r="M158" s="28"/>
      <c r="N158" s="28"/>
    </row>
    <row r="159" spans="1:14" ht="14.5" x14ac:dyDescent="0.35">
      <c r="A159"/>
      <c r="B159"/>
      <c r="C159"/>
      <c r="D159"/>
      <c r="E159"/>
      <c r="F159"/>
      <c r="G159"/>
      <c r="H159"/>
      <c r="I159" s="28"/>
      <c r="J159" s="28"/>
      <c r="K159" s="28"/>
      <c r="L159" s="28"/>
      <c r="M159" s="28"/>
      <c r="N159" s="28"/>
    </row>
    <row r="160" spans="1:14" ht="14.5" x14ac:dyDescent="0.35">
      <c r="A160"/>
      <c r="B160"/>
      <c r="C160"/>
      <c r="D160"/>
      <c r="E160"/>
      <c r="F160"/>
      <c r="G160"/>
      <c r="H160"/>
      <c r="I160" s="28"/>
      <c r="J160" s="28"/>
      <c r="K160" s="28"/>
      <c r="L160" s="28"/>
      <c r="M160" s="28"/>
      <c r="N160" s="28"/>
    </row>
    <row r="161" spans="1:14" ht="14.5" x14ac:dyDescent="0.35">
      <c r="A161"/>
      <c r="B161"/>
      <c r="C161"/>
      <c r="D161"/>
      <c r="E161"/>
      <c r="F161"/>
      <c r="G161"/>
      <c r="H161"/>
      <c r="I161" s="28"/>
      <c r="J161" s="28"/>
      <c r="K161" s="28"/>
      <c r="L161" s="28"/>
      <c r="M161" s="28"/>
      <c r="N161" s="28"/>
    </row>
    <row r="162" spans="1:14" ht="14.5" x14ac:dyDescent="0.35">
      <c r="A162"/>
      <c r="B162"/>
      <c r="C162"/>
      <c r="D162"/>
      <c r="E162"/>
      <c r="F162"/>
      <c r="G162"/>
      <c r="H162"/>
      <c r="I162" s="28"/>
      <c r="J162" s="28"/>
      <c r="K162" s="28"/>
      <c r="L162" s="28"/>
      <c r="M162" s="28"/>
      <c r="N162" s="28"/>
    </row>
    <row r="163" spans="1:14" ht="14.5" x14ac:dyDescent="0.35">
      <c r="A163"/>
      <c r="B163"/>
      <c r="C163"/>
      <c r="D163"/>
      <c r="E163"/>
      <c r="F163"/>
      <c r="G163"/>
      <c r="H163"/>
      <c r="I163" s="28"/>
      <c r="J163" s="28"/>
      <c r="K163" s="28"/>
      <c r="L163" s="28"/>
      <c r="M163" s="28"/>
    </row>
    <row r="164" spans="1:14" ht="14.5" x14ac:dyDescent="0.35">
      <c r="A164"/>
      <c r="B164"/>
      <c r="C164"/>
      <c r="D164"/>
      <c r="E164"/>
      <c r="F164"/>
      <c r="G164"/>
      <c r="H164"/>
      <c r="I164" s="28"/>
      <c r="J164" s="28"/>
      <c r="K164" s="28"/>
      <c r="L164" s="28"/>
      <c r="M164" s="28"/>
    </row>
    <row r="165" spans="1:14" ht="14.5" x14ac:dyDescent="0.35">
      <c r="A165"/>
      <c r="B165"/>
      <c r="C165"/>
      <c r="D165"/>
      <c r="E165"/>
      <c r="F165"/>
      <c r="G165"/>
      <c r="H165"/>
      <c r="I165" s="28"/>
      <c r="J165" s="28"/>
      <c r="K165" s="28"/>
      <c r="L165" s="28"/>
      <c r="M165" s="28"/>
    </row>
    <row r="166" spans="1:14" ht="14.5" x14ac:dyDescent="0.35">
      <c r="A166"/>
      <c r="B166"/>
      <c r="C166"/>
      <c r="D166"/>
      <c r="E166"/>
      <c r="F166"/>
      <c r="G166"/>
      <c r="H166"/>
      <c r="I166" s="28"/>
      <c r="J166" s="28"/>
      <c r="K166" s="28"/>
      <c r="L166" s="28"/>
      <c r="M166" s="28"/>
    </row>
    <row r="167" spans="1:14" ht="14.5" x14ac:dyDescent="0.35">
      <c r="A167"/>
      <c r="B167"/>
      <c r="C167"/>
      <c r="D167"/>
      <c r="E167"/>
      <c r="F167"/>
      <c r="G167"/>
      <c r="H167"/>
      <c r="I167" s="28"/>
      <c r="J167" s="28"/>
      <c r="K167" s="28"/>
      <c r="L167" s="28"/>
      <c r="M167" s="28"/>
    </row>
    <row r="168" spans="1:14" ht="14.5" x14ac:dyDescent="0.35">
      <c r="A168"/>
      <c r="B168"/>
      <c r="C168"/>
      <c r="D168"/>
      <c r="E168"/>
      <c r="F168"/>
      <c r="G168"/>
      <c r="H168"/>
      <c r="I168" s="28"/>
      <c r="J168" s="28"/>
      <c r="K168" s="28"/>
      <c r="L168" s="28"/>
      <c r="M168" s="28"/>
    </row>
    <row r="169" spans="1:14" ht="14.5" x14ac:dyDescent="0.35">
      <c r="A169"/>
      <c r="B169"/>
      <c r="C169"/>
      <c r="D169"/>
      <c r="E169"/>
      <c r="F169"/>
      <c r="G169"/>
      <c r="H169"/>
      <c r="I169" s="28"/>
      <c r="J169" s="28"/>
      <c r="K169" s="28"/>
      <c r="L169" s="28"/>
      <c r="M169" s="28"/>
    </row>
    <row r="170" spans="1:14" ht="14.5" x14ac:dyDescent="0.35">
      <c r="A170"/>
      <c r="B170"/>
      <c r="C170"/>
      <c r="D170"/>
      <c r="E170"/>
      <c r="F170"/>
      <c r="G170"/>
      <c r="H170"/>
      <c r="I170" s="28"/>
      <c r="J170" s="28"/>
      <c r="K170" s="28"/>
      <c r="L170" s="28"/>
      <c r="M170" s="28"/>
    </row>
    <row r="171" spans="1:14" ht="14.5" x14ac:dyDescent="0.35">
      <c r="A171"/>
      <c r="B171"/>
      <c r="C171"/>
      <c r="D171"/>
      <c r="E171"/>
      <c r="F171"/>
      <c r="G171"/>
      <c r="H171"/>
      <c r="I171" s="28"/>
      <c r="J171" s="28"/>
      <c r="K171" s="28"/>
      <c r="L171" s="28"/>
      <c r="M171" s="28"/>
    </row>
    <row r="172" spans="1:14" ht="14.5" x14ac:dyDescent="0.35">
      <c r="A172"/>
      <c r="B172"/>
      <c r="C172"/>
      <c r="D172"/>
      <c r="E172"/>
      <c r="F172"/>
      <c r="G172"/>
      <c r="H172"/>
      <c r="I172" s="28"/>
      <c r="J172" s="28"/>
      <c r="K172" s="28"/>
      <c r="L172" s="28"/>
      <c r="M172" s="28"/>
    </row>
    <row r="173" spans="1:14" ht="14.5" x14ac:dyDescent="0.35">
      <c r="A173"/>
      <c r="B173"/>
      <c r="C173"/>
      <c r="D173"/>
      <c r="E173"/>
      <c r="F173"/>
      <c r="G173"/>
      <c r="H173"/>
      <c r="I173" s="28"/>
      <c r="J173" s="28"/>
      <c r="K173" s="28"/>
      <c r="L173" s="28"/>
      <c r="M173" s="28"/>
    </row>
    <row r="174" spans="1:14" ht="14.5" x14ac:dyDescent="0.35">
      <c r="A174"/>
      <c r="B174"/>
      <c r="C174"/>
      <c r="D174"/>
      <c r="E174"/>
      <c r="F174"/>
      <c r="G174"/>
      <c r="H174"/>
      <c r="I174" s="28"/>
      <c r="J174" s="28"/>
      <c r="K174" s="28"/>
      <c r="L174" s="28"/>
      <c r="M174" s="28"/>
    </row>
    <row r="175" spans="1:14" ht="14.5" x14ac:dyDescent="0.35">
      <c r="A175"/>
      <c r="B175"/>
      <c r="C175"/>
      <c r="D175"/>
      <c r="E175"/>
      <c r="F175"/>
      <c r="G175"/>
      <c r="H175"/>
      <c r="I175" s="28"/>
      <c r="J175" s="28"/>
      <c r="K175" s="28"/>
      <c r="L175" s="28"/>
      <c r="M175" s="28"/>
    </row>
    <row r="176" spans="1:14" ht="14.5" x14ac:dyDescent="0.35">
      <c r="A176"/>
      <c r="B176"/>
      <c r="C176"/>
      <c r="D176"/>
      <c r="E176"/>
      <c r="F176"/>
      <c r="G176"/>
      <c r="H176"/>
      <c r="I176" s="28"/>
      <c r="J176" s="28"/>
      <c r="K176" s="28"/>
      <c r="L176" s="28"/>
      <c r="M176" s="28"/>
    </row>
    <row r="177" spans="1:13" ht="14.5" x14ac:dyDescent="0.35">
      <c r="A177"/>
      <c r="B177"/>
      <c r="C177"/>
      <c r="D177"/>
      <c r="E177"/>
      <c r="F177"/>
      <c r="G177"/>
      <c r="H177"/>
      <c r="I177" s="28"/>
      <c r="J177" s="28"/>
      <c r="K177" s="28"/>
      <c r="L177" s="28"/>
      <c r="M177" s="28"/>
    </row>
    <row r="178" spans="1:13" ht="14.5" x14ac:dyDescent="0.35">
      <c r="A178"/>
      <c r="B178"/>
      <c r="C178"/>
      <c r="D178"/>
      <c r="E178"/>
      <c r="F178"/>
      <c r="G178"/>
      <c r="H178"/>
    </row>
    <row r="179" spans="1:13" ht="14.5" x14ac:dyDescent="0.35">
      <c r="A179"/>
      <c r="B179"/>
      <c r="C179"/>
      <c r="D179"/>
      <c r="E179"/>
      <c r="F179"/>
      <c r="G179"/>
      <c r="H179"/>
    </row>
    <row r="180" spans="1:13" ht="14.5" x14ac:dyDescent="0.35">
      <c r="A180"/>
      <c r="B180"/>
      <c r="C180"/>
      <c r="D180"/>
      <c r="E180"/>
      <c r="F180"/>
      <c r="G180"/>
      <c r="H180"/>
    </row>
    <row r="181" spans="1:13" ht="14.5" x14ac:dyDescent="0.35">
      <c r="A181"/>
      <c r="B181"/>
      <c r="C181"/>
      <c r="D181"/>
      <c r="E181"/>
      <c r="F181"/>
      <c r="G181"/>
      <c r="H181"/>
    </row>
    <row r="182" spans="1:13" ht="14.5" x14ac:dyDescent="0.35">
      <c r="A182"/>
      <c r="B182"/>
      <c r="C182"/>
      <c r="D182"/>
      <c r="E182"/>
      <c r="F182"/>
      <c r="G182"/>
      <c r="H182"/>
    </row>
    <row r="183" spans="1:13" ht="14.5" x14ac:dyDescent="0.35">
      <c r="A183"/>
      <c r="B183"/>
      <c r="C183"/>
      <c r="D183"/>
      <c r="E183"/>
      <c r="F183"/>
      <c r="G183"/>
      <c r="H183"/>
    </row>
    <row r="184" spans="1:13" ht="14.5" x14ac:dyDescent="0.35">
      <c r="A184"/>
      <c r="B184"/>
      <c r="C184"/>
      <c r="D184"/>
      <c r="E184"/>
      <c r="F184"/>
      <c r="G184"/>
      <c r="H184"/>
    </row>
    <row r="185" spans="1:13" ht="14.5" x14ac:dyDescent="0.35">
      <c r="A185"/>
      <c r="B185"/>
      <c r="C185"/>
      <c r="D185"/>
      <c r="E185"/>
      <c r="F185"/>
      <c r="G185"/>
      <c r="H185"/>
    </row>
    <row r="186" spans="1:13" ht="14.5" x14ac:dyDescent="0.35">
      <c r="A186"/>
      <c r="B186"/>
      <c r="C186"/>
      <c r="D186"/>
      <c r="E186"/>
      <c r="F186"/>
      <c r="G186"/>
      <c r="H186"/>
    </row>
    <row r="187" spans="1:13" ht="14.5" x14ac:dyDescent="0.35">
      <c r="A187"/>
      <c r="B187"/>
      <c r="C187"/>
      <c r="D187"/>
      <c r="E187"/>
      <c r="F187"/>
      <c r="G187"/>
      <c r="H187"/>
    </row>
    <row r="188" spans="1:13" ht="14.5" x14ac:dyDescent="0.35">
      <c r="A188"/>
      <c r="B188"/>
      <c r="C188"/>
      <c r="D188"/>
      <c r="E188"/>
      <c r="F188"/>
      <c r="G188"/>
      <c r="H188"/>
    </row>
    <row r="189" spans="1:13" ht="14.5" x14ac:dyDescent="0.35">
      <c r="A189"/>
      <c r="B189"/>
      <c r="C189"/>
      <c r="D189"/>
      <c r="E189"/>
      <c r="F189"/>
      <c r="G189"/>
      <c r="H189"/>
    </row>
    <row r="190" spans="1:13" ht="14.5" x14ac:dyDescent="0.35">
      <c r="A190"/>
      <c r="B190"/>
      <c r="C190"/>
      <c r="D190"/>
      <c r="E190"/>
      <c r="F190"/>
      <c r="G190"/>
      <c r="H190"/>
    </row>
    <row r="191" spans="1:13" ht="14.5" x14ac:dyDescent="0.35">
      <c r="A191"/>
      <c r="B191"/>
      <c r="C191"/>
      <c r="D191"/>
      <c r="E191"/>
      <c r="F191"/>
      <c r="G191"/>
      <c r="H191"/>
    </row>
    <row r="192" spans="1:13" ht="14.5" x14ac:dyDescent="0.35">
      <c r="A192"/>
      <c r="B192"/>
      <c r="C192"/>
      <c r="D192"/>
      <c r="E192"/>
      <c r="F192"/>
      <c r="G192"/>
      <c r="H192"/>
    </row>
    <row r="193" spans="1:8" ht="14.5" x14ac:dyDescent="0.35">
      <c r="A193"/>
      <c r="B193"/>
      <c r="C193"/>
      <c r="D193"/>
      <c r="E193"/>
      <c r="F193"/>
      <c r="G193"/>
      <c r="H193"/>
    </row>
    <row r="194" spans="1:8" ht="14.5" x14ac:dyDescent="0.35">
      <c r="A194"/>
      <c r="B194"/>
      <c r="C194"/>
      <c r="D194"/>
      <c r="E194"/>
      <c r="F194"/>
      <c r="G194"/>
      <c r="H194"/>
    </row>
    <row r="195" spans="1:8" ht="14.5" x14ac:dyDescent="0.35">
      <c r="A195"/>
      <c r="B195"/>
      <c r="C195"/>
      <c r="D195"/>
      <c r="E195"/>
      <c r="F195"/>
      <c r="G195"/>
      <c r="H195"/>
    </row>
    <row r="196" spans="1:8" ht="14.5" x14ac:dyDescent="0.35">
      <c r="A196"/>
      <c r="B196"/>
      <c r="C196"/>
      <c r="D196"/>
      <c r="E196"/>
      <c r="F196"/>
      <c r="G196"/>
      <c r="H196"/>
    </row>
    <row r="197" spans="1:8" ht="14.5" x14ac:dyDescent="0.35">
      <c r="A197"/>
      <c r="B197"/>
      <c r="C197"/>
      <c r="D197"/>
      <c r="E197"/>
      <c r="F197"/>
      <c r="G197"/>
      <c r="H197"/>
    </row>
    <row r="198" spans="1:8" ht="14.5" x14ac:dyDescent="0.35">
      <c r="A198"/>
      <c r="B198"/>
      <c r="C198"/>
      <c r="D198"/>
      <c r="E198"/>
      <c r="F198"/>
      <c r="G198"/>
      <c r="H198"/>
    </row>
    <row r="199" spans="1:8" ht="14.5" x14ac:dyDescent="0.35">
      <c r="A199"/>
      <c r="B199"/>
      <c r="C199"/>
      <c r="D199"/>
      <c r="E199"/>
      <c r="F199"/>
      <c r="G199"/>
      <c r="H199"/>
    </row>
    <row r="200" spans="1:8" ht="14.5" x14ac:dyDescent="0.35">
      <c r="A200"/>
      <c r="B200"/>
      <c r="C200"/>
      <c r="D200"/>
      <c r="E200"/>
      <c r="F200"/>
      <c r="G200"/>
      <c r="H200"/>
    </row>
    <row r="201" spans="1:8" ht="14.5" x14ac:dyDescent="0.35">
      <c r="A201"/>
      <c r="B201"/>
      <c r="C201"/>
      <c r="D201"/>
      <c r="E201"/>
      <c r="F201"/>
      <c r="G201"/>
      <c r="H201"/>
    </row>
    <row r="202" spans="1:8" ht="14.5" x14ac:dyDescent="0.35">
      <c r="A202"/>
      <c r="B202"/>
      <c r="C202"/>
      <c r="D202"/>
      <c r="E202"/>
      <c r="F202"/>
      <c r="G202"/>
      <c r="H202"/>
    </row>
    <row r="203" spans="1:8" ht="14.5" x14ac:dyDescent="0.35">
      <c r="A203"/>
      <c r="B203"/>
      <c r="C203"/>
      <c r="D203"/>
      <c r="E203"/>
      <c r="F203"/>
      <c r="G203"/>
      <c r="H203"/>
    </row>
    <row r="204" spans="1:8" ht="14.5" x14ac:dyDescent="0.35">
      <c r="A204"/>
      <c r="B204"/>
      <c r="C204"/>
      <c r="D204"/>
      <c r="E204"/>
      <c r="F204"/>
      <c r="G204"/>
      <c r="H204"/>
    </row>
    <row r="205" spans="1:8" ht="14.5" x14ac:dyDescent="0.35">
      <c r="A205"/>
      <c r="B205"/>
      <c r="C205"/>
      <c r="D205"/>
      <c r="E205"/>
      <c r="F205"/>
      <c r="G205"/>
      <c r="H205"/>
    </row>
    <row r="206" spans="1:8" ht="14.5" x14ac:dyDescent="0.35">
      <c r="A206"/>
      <c r="B206"/>
      <c r="C206"/>
      <c r="D206"/>
      <c r="E206"/>
      <c r="F206"/>
      <c r="G206"/>
      <c r="H206"/>
    </row>
    <row r="207" spans="1:8" ht="14.5" x14ac:dyDescent="0.35">
      <c r="A207"/>
      <c r="B207"/>
      <c r="C207"/>
      <c r="D207"/>
      <c r="E207"/>
      <c r="F207"/>
      <c r="G207"/>
      <c r="H207"/>
    </row>
    <row r="208" spans="1:8" ht="14.5" x14ac:dyDescent="0.35">
      <c r="A208"/>
      <c r="B208"/>
      <c r="C208"/>
      <c r="D208"/>
      <c r="E208"/>
      <c r="F208"/>
      <c r="G208"/>
      <c r="H208"/>
    </row>
    <row r="209" spans="1:8" ht="14.5" x14ac:dyDescent="0.35">
      <c r="A209"/>
      <c r="B209"/>
      <c r="C209"/>
      <c r="D209"/>
      <c r="E209"/>
      <c r="F209"/>
      <c r="G209"/>
      <c r="H209"/>
    </row>
    <row r="210" spans="1:8" ht="14.5" x14ac:dyDescent="0.35">
      <c r="A210"/>
      <c r="B210"/>
      <c r="C210"/>
      <c r="D210"/>
      <c r="E210"/>
      <c r="F210"/>
      <c r="G210"/>
      <c r="H210"/>
    </row>
    <row r="211" spans="1:8" ht="14.5" x14ac:dyDescent="0.35">
      <c r="A211"/>
      <c r="B211"/>
      <c r="C211"/>
      <c r="D211"/>
      <c r="E211"/>
      <c r="F211"/>
      <c r="G211"/>
      <c r="H211"/>
    </row>
    <row r="212" spans="1:8" ht="14.5" x14ac:dyDescent="0.35">
      <c r="A212"/>
      <c r="B212"/>
      <c r="C212"/>
      <c r="D212"/>
      <c r="E212"/>
      <c r="F212"/>
      <c r="G212"/>
      <c r="H212"/>
    </row>
    <row r="213" spans="1:8" ht="14.5" x14ac:dyDescent="0.35">
      <c r="A213"/>
      <c r="B213"/>
      <c r="C213"/>
      <c r="D213"/>
      <c r="E213"/>
      <c r="F213"/>
      <c r="G213"/>
      <c r="H213"/>
    </row>
    <row r="214" spans="1:8" ht="14.5" x14ac:dyDescent="0.35">
      <c r="A214"/>
      <c r="B214"/>
      <c r="C214"/>
      <c r="D214"/>
      <c r="E214"/>
      <c r="F214"/>
      <c r="G214"/>
      <c r="H214"/>
    </row>
    <row r="215" spans="1:8" ht="14.5" x14ac:dyDescent="0.35">
      <c r="A215"/>
      <c r="B215"/>
      <c r="C215"/>
      <c r="D215"/>
      <c r="E215"/>
      <c r="F215"/>
      <c r="G215"/>
      <c r="H215"/>
    </row>
    <row r="216" spans="1:8" ht="14.5" x14ac:dyDescent="0.35">
      <c r="A216"/>
      <c r="B216"/>
      <c r="C216"/>
      <c r="D216"/>
      <c r="E216"/>
      <c r="F216"/>
      <c r="G216"/>
      <c r="H216"/>
    </row>
    <row r="217" spans="1:8" ht="14.5" x14ac:dyDescent="0.35">
      <c r="A217"/>
      <c r="B217"/>
      <c r="C217"/>
      <c r="D217"/>
      <c r="E217"/>
      <c r="F217"/>
      <c r="G217"/>
      <c r="H217"/>
    </row>
    <row r="218" spans="1:8" ht="14.5" x14ac:dyDescent="0.35">
      <c r="A218"/>
      <c r="B218"/>
      <c r="C218"/>
      <c r="D218"/>
      <c r="E218"/>
      <c r="F218"/>
      <c r="G218"/>
      <c r="H218"/>
    </row>
    <row r="219" spans="1:8" ht="14.5" x14ac:dyDescent="0.35">
      <c r="A219"/>
      <c r="B219"/>
      <c r="C219"/>
      <c r="D219"/>
      <c r="E219"/>
      <c r="F219"/>
      <c r="G219"/>
      <c r="H219"/>
    </row>
    <row r="220" spans="1:8" ht="14.5" x14ac:dyDescent="0.35">
      <c r="A220"/>
      <c r="B220"/>
      <c r="C220"/>
      <c r="D220"/>
      <c r="E220"/>
      <c r="F220"/>
      <c r="G220"/>
      <c r="H220"/>
    </row>
    <row r="221" spans="1:8" ht="14.5" x14ac:dyDescent="0.35">
      <c r="A221"/>
      <c r="B221"/>
      <c r="C221"/>
      <c r="D221"/>
      <c r="E221"/>
      <c r="F221"/>
      <c r="G221"/>
      <c r="H221"/>
    </row>
    <row r="222" spans="1:8" ht="14.5" x14ac:dyDescent="0.35">
      <c r="A222"/>
      <c r="B222"/>
      <c r="C222"/>
      <c r="D222"/>
      <c r="E222"/>
      <c r="F222"/>
      <c r="G222"/>
      <c r="H222"/>
    </row>
    <row r="223" spans="1:8" ht="14.5" x14ac:dyDescent="0.35">
      <c r="A223"/>
      <c r="B223"/>
      <c r="C223"/>
      <c r="D223"/>
      <c r="E223"/>
      <c r="F223"/>
      <c r="G223"/>
      <c r="H223"/>
    </row>
    <row r="224" spans="1:8" ht="14.5" x14ac:dyDescent="0.35">
      <c r="A224"/>
      <c r="B224"/>
      <c r="C224"/>
      <c r="D224"/>
      <c r="E224"/>
      <c r="F224"/>
      <c r="G224"/>
      <c r="H224"/>
    </row>
    <row r="225" spans="1:8" ht="14.5" x14ac:dyDescent="0.35">
      <c r="A225"/>
      <c r="B225"/>
      <c r="C225"/>
      <c r="D225"/>
      <c r="E225"/>
      <c r="F225"/>
      <c r="G225"/>
      <c r="H225"/>
    </row>
    <row r="226" spans="1:8" ht="14.5" x14ac:dyDescent="0.35">
      <c r="A226"/>
      <c r="B226"/>
      <c r="C226"/>
      <c r="D226"/>
      <c r="E226"/>
      <c r="F226"/>
      <c r="G226"/>
      <c r="H226"/>
    </row>
    <row r="227" spans="1:8" ht="14.5" x14ac:dyDescent="0.35">
      <c r="A227"/>
      <c r="B227"/>
      <c r="C227"/>
      <c r="D227"/>
      <c r="E227"/>
      <c r="F227"/>
      <c r="G227"/>
      <c r="H227"/>
    </row>
    <row r="228" spans="1:8" ht="14.5" x14ac:dyDescent="0.35">
      <c r="A228"/>
      <c r="B228"/>
      <c r="C228"/>
      <c r="D228"/>
      <c r="E228"/>
      <c r="F228"/>
      <c r="G228"/>
      <c r="H228"/>
    </row>
    <row r="229" spans="1:8" ht="14.5" x14ac:dyDescent="0.35">
      <c r="A229"/>
      <c r="B229"/>
      <c r="C229"/>
      <c r="D229"/>
      <c r="E229"/>
      <c r="F229"/>
      <c r="G229"/>
      <c r="H229"/>
    </row>
    <row r="230" spans="1:8" ht="14.5" x14ac:dyDescent="0.35">
      <c r="A230"/>
      <c r="B230"/>
      <c r="C230"/>
      <c r="D230"/>
      <c r="E230"/>
      <c r="F230"/>
      <c r="G230"/>
      <c r="H230"/>
    </row>
    <row r="231" spans="1:8" ht="14.5" x14ac:dyDescent="0.35">
      <c r="A231"/>
      <c r="B231"/>
      <c r="C231"/>
      <c r="D231"/>
      <c r="E231"/>
      <c r="F231"/>
      <c r="G231"/>
      <c r="H231"/>
    </row>
    <row r="232" spans="1:8" ht="14.5" x14ac:dyDescent="0.35">
      <c r="A232"/>
      <c r="B232"/>
      <c r="C232"/>
      <c r="D232"/>
      <c r="E232"/>
      <c r="F232"/>
      <c r="G232"/>
      <c r="H232"/>
    </row>
    <row r="233" spans="1:8" ht="14.5" x14ac:dyDescent="0.35">
      <c r="A233"/>
      <c r="B233"/>
      <c r="C233"/>
      <c r="D233"/>
      <c r="E233"/>
      <c r="F233"/>
      <c r="G233"/>
      <c r="H233"/>
    </row>
    <row r="234" spans="1:8" ht="14.5" x14ac:dyDescent="0.35">
      <c r="A234"/>
      <c r="B234"/>
      <c r="C234"/>
      <c r="D234"/>
      <c r="E234"/>
      <c r="F234"/>
      <c r="G234"/>
      <c r="H234"/>
    </row>
    <row r="235" spans="1:8" ht="14.5" x14ac:dyDescent="0.35">
      <c r="A235"/>
      <c r="B235"/>
      <c r="C235"/>
      <c r="D235"/>
      <c r="E235"/>
      <c r="F235"/>
      <c r="G235"/>
      <c r="H235"/>
    </row>
    <row r="236" spans="1:8" ht="14.5" x14ac:dyDescent="0.35">
      <c r="A236"/>
      <c r="B236"/>
      <c r="C236"/>
      <c r="D236"/>
      <c r="E236"/>
      <c r="F236"/>
      <c r="G236"/>
      <c r="H236"/>
    </row>
    <row r="237" spans="1:8" ht="14.5" x14ac:dyDescent="0.35">
      <c r="A237"/>
      <c r="B237"/>
      <c r="C237"/>
      <c r="D237"/>
      <c r="E237"/>
      <c r="F237"/>
      <c r="G237"/>
      <c r="H237"/>
    </row>
    <row r="238" spans="1:8" ht="14.5" x14ac:dyDescent="0.35">
      <c r="A238"/>
      <c r="B238"/>
      <c r="C238"/>
      <c r="D238"/>
      <c r="E238"/>
      <c r="F238"/>
      <c r="G238"/>
      <c r="H238"/>
    </row>
    <row r="239" spans="1:8" ht="14.5" x14ac:dyDescent="0.35">
      <c r="A239"/>
      <c r="B239"/>
      <c r="C239"/>
      <c r="D239"/>
      <c r="E239"/>
      <c r="F239"/>
      <c r="G239"/>
      <c r="H239"/>
    </row>
    <row r="240" spans="1:8" ht="14.5" x14ac:dyDescent="0.35">
      <c r="A240"/>
      <c r="B240"/>
      <c r="C240"/>
      <c r="D240"/>
      <c r="E240"/>
      <c r="F240"/>
      <c r="G240"/>
      <c r="H240"/>
    </row>
    <row r="241" spans="1:8" ht="14.5" x14ac:dyDescent="0.35">
      <c r="A241"/>
      <c r="B241"/>
      <c r="C241"/>
      <c r="D241"/>
      <c r="E241"/>
      <c r="F241"/>
      <c r="G241"/>
      <c r="H241"/>
    </row>
    <row r="242" spans="1:8" ht="14.5" x14ac:dyDescent="0.35">
      <c r="A242"/>
      <c r="B242"/>
      <c r="C242"/>
      <c r="D242"/>
      <c r="E242"/>
      <c r="F242"/>
      <c r="G242"/>
      <c r="H242"/>
    </row>
    <row r="243" spans="1:8" ht="14.5" x14ac:dyDescent="0.35">
      <c r="A243"/>
      <c r="B243"/>
      <c r="C243"/>
      <c r="D243"/>
      <c r="E243"/>
      <c r="F243"/>
      <c r="G243"/>
      <c r="H243"/>
    </row>
    <row r="244" spans="1:8" ht="14.5" x14ac:dyDescent="0.35">
      <c r="A244"/>
      <c r="B244"/>
      <c r="C244"/>
      <c r="D244"/>
      <c r="E244"/>
      <c r="F244"/>
      <c r="G244"/>
      <c r="H244"/>
    </row>
    <row r="245" spans="1:8" ht="14.5" x14ac:dyDescent="0.35">
      <c r="A245"/>
      <c r="B245"/>
      <c r="C245"/>
      <c r="D245"/>
      <c r="E245"/>
      <c r="F245"/>
      <c r="G245"/>
      <c r="H245"/>
    </row>
    <row r="246" spans="1:8" ht="14.5" x14ac:dyDescent="0.35">
      <c r="A246"/>
      <c r="B246"/>
      <c r="C246"/>
      <c r="D246"/>
      <c r="E246"/>
      <c r="F246"/>
      <c r="G246"/>
      <c r="H246"/>
    </row>
    <row r="247" spans="1:8" ht="14.5" x14ac:dyDescent="0.35">
      <c r="A247"/>
      <c r="B247"/>
      <c r="C247"/>
      <c r="D247"/>
      <c r="E247"/>
      <c r="F247"/>
      <c r="G247"/>
      <c r="H247"/>
    </row>
    <row r="248" spans="1:8" ht="14.5" x14ac:dyDescent="0.35">
      <c r="A248"/>
      <c r="B248"/>
      <c r="C248"/>
      <c r="D248"/>
      <c r="E248"/>
      <c r="F248"/>
      <c r="G248"/>
      <c r="H248"/>
    </row>
    <row r="249" spans="1:8" ht="14.5" x14ac:dyDescent="0.35">
      <c r="A249"/>
      <c r="B249"/>
      <c r="C249"/>
      <c r="D249"/>
      <c r="E249"/>
      <c r="F249"/>
      <c r="G249"/>
      <c r="H249"/>
    </row>
    <row r="250" spans="1:8" ht="14.5" x14ac:dyDescent="0.35">
      <c r="A250"/>
      <c r="B250"/>
      <c r="C250"/>
      <c r="D250"/>
      <c r="E250"/>
      <c r="F250"/>
      <c r="G250"/>
      <c r="H250"/>
    </row>
    <row r="251" spans="1:8" ht="14.5" x14ac:dyDescent="0.35">
      <c r="A251"/>
      <c r="B251"/>
      <c r="C251"/>
      <c r="D251"/>
      <c r="E251"/>
      <c r="F251"/>
      <c r="G251"/>
      <c r="H251"/>
    </row>
    <row r="252" spans="1:8" ht="14.5" x14ac:dyDescent="0.35">
      <c r="A252"/>
      <c r="B252"/>
      <c r="C252"/>
      <c r="D252"/>
      <c r="E252"/>
      <c r="F252"/>
      <c r="G252"/>
      <c r="H252"/>
    </row>
    <row r="253" spans="1:8" ht="14.5" x14ac:dyDescent="0.35">
      <c r="A253"/>
      <c r="B253"/>
      <c r="C253"/>
      <c r="D253"/>
      <c r="E253"/>
      <c r="F253"/>
      <c r="G253"/>
      <c r="H253"/>
    </row>
    <row r="254" spans="1:8" ht="14.5" x14ac:dyDescent="0.35">
      <c r="A254"/>
      <c r="B254"/>
      <c r="C254"/>
      <c r="D254"/>
      <c r="E254"/>
      <c r="F254"/>
      <c r="G254"/>
      <c r="H254"/>
    </row>
    <row r="255" spans="1:8" ht="14.5" x14ac:dyDescent="0.35">
      <c r="A255"/>
      <c r="B255"/>
      <c r="C255"/>
      <c r="D255"/>
      <c r="E255"/>
      <c r="F255"/>
      <c r="G255"/>
      <c r="H255"/>
    </row>
    <row r="256" spans="1:8" ht="14.5" x14ac:dyDescent="0.35">
      <c r="A256"/>
      <c r="B256"/>
      <c r="C256"/>
      <c r="D256"/>
      <c r="E256"/>
      <c r="F256"/>
      <c r="G256"/>
      <c r="H256"/>
    </row>
    <row r="257" spans="1:8" ht="14.5" x14ac:dyDescent="0.35">
      <c r="A257"/>
      <c r="B257"/>
      <c r="C257"/>
      <c r="D257"/>
      <c r="E257"/>
      <c r="F257"/>
      <c r="G257"/>
      <c r="H257"/>
    </row>
    <row r="258" spans="1:8" ht="14.5" x14ac:dyDescent="0.35">
      <c r="A258"/>
      <c r="B258"/>
      <c r="C258"/>
      <c r="D258"/>
      <c r="E258"/>
      <c r="F258"/>
      <c r="G258"/>
      <c r="H258"/>
    </row>
    <row r="259" spans="1:8" ht="14.5" x14ac:dyDescent="0.35">
      <c r="A259"/>
      <c r="B259"/>
      <c r="C259"/>
      <c r="D259"/>
      <c r="E259"/>
      <c r="F259"/>
      <c r="G259"/>
      <c r="H259"/>
    </row>
    <row r="260" spans="1:8" ht="14.5" x14ac:dyDescent="0.35">
      <c r="A260"/>
      <c r="B260"/>
      <c r="C260"/>
      <c r="D260"/>
      <c r="E260"/>
      <c r="F260"/>
      <c r="G260"/>
      <c r="H260"/>
    </row>
    <row r="261" spans="1:8" ht="14.5" x14ac:dyDescent="0.35">
      <c r="A261"/>
      <c r="B261"/>
      <c r="C261"/>
      <c r="D261"/>
      <c r="E261"/>
      <c r="F261"/>
      <c r="G261"/>
      <c r="H261"/>
    </row>
    <row r="262" spans="1:8" ht="14.5" x14ac:dyDescent="0.35">
      <c r="A262"/>
      <c r="B262"/>
      <c r="C262"/>
      <c r="D262"/>
      <c r="E262"/>
      <c r="F262"/>
      <c r="G262"/>
      <c r="H262"/>
    </row>
    <row r="263" spans="1:8" ht="14.5" x14ac:dyDescent="0.35">
      <c r="A263"/>
      <c r="B263"/>
      <c r="C263"/>
      <c r="D263"/>
      <c r="E263"/>
      <c r="F263"/>
      <c r="G263"/>
      <c r="H263"/>
    </row>
    <row r="264" spans="1:8" ht="14.5" x14ac:dyDescent="0.35">
      <c r="A264"/>
      <c r="B264"/>
      <c r="C264"/>
      <c r="D264"/>
      <c r="E264"/>
      <c r="F264"/>
      <c r="G264"/>
      <c r="H264"/>
    </row>
    <row r="265" spans="1:8" ht="14.5" x14ac:dyDescent="0.35">
      <c r="A265"/>
      <c r="B265"/>
      <c r="C265"/>
      <c r="D265"/>
      <c r="E265"/>
      <c r="F265"/>
      <c r="G265"/>
      <c r="H265"/>
    </row>
    <row r="266" spans="1:8" ht="14.5" x14ac:dyDescent="0.35">
      <c r="A266"/>
      <c r="B266"/>
      <c r="C266"/>
      <c r="D266"/>
      <c r="E266"/>
      <c r="F266"/>
      <c r="G266"/>
      <c r="H266"/>
    </row>
    <row r="267" spans="1:8" ht="14.5" x14ac:dyDescent="0.35">
      <c r="A267"/>
      <c r="B267"/>
      <c r="C267"/>
      <c r="D267"/>
      <c r="E267"/>
      <c r="F267"/>
      <c r="G267"/>
      <c r="H267"/>
    </row>
    <row r="268" spans="1:8" ht="14.5" x14ac:dyDescent="0.35">
      <c r="A268"/>
      <c r="B268"/>
      <c r="C268"/>
      <c r="D268"/>
      <c r="E268"/>
      <c r="F268"/>
      <c r="G268"/>
      <c r="H268"/>
    </row>
    <row r="269" spans="1:8" ht="14.5" x14ac:dyDescent="0.35">
      <c r="A269"/>
      <c r="B269"/>
      <c r="C269"/>
      <c r="D269"/>
      <c r="E269"/>
      <c r="F269"/>
      <c r="G269"/>
      <c r="H269"/>
    </row>
    <row r="270" spans="1:8" ht="14.5" x14ac:dyDescent="0.35">
      <c r="A270"/>
      <c r="B270"/>
      <c r="C270"/>
      <c r="D270"/>
      <c r="E270"/>
      <c r="F270"/>
      <c r="G270"/>
      <c r="H270"/>
    </row>
    <row r="271" spans="1:8" ht="14.5" x14ac:dyDescent="0.35">
      <c r="A271"/>
      <c r="B271"/>
      <c r="C271"/>
      <c r="D271"/>
      <c r="E271"/>
      <c r="F271"/>
      <c r="G271"/>
      <c r="H271"/>
    </row>
    <row r="272" spans="1:8" ht="14.5" x14ac:dyDescent="0.35">
      <c r="A272"/>
      <c r="B272"/>
      <c r="C272"/>
      <c r="D272"/>
      <c r="E272"/>
      <c r="F272"/>
      <c r="G272"/>
      <c r="H272"/>
    </row>
    <row r="273" spans="1:8" ht="14.5" x14ac:dyDescent="0.35">
      <c r="A273"/>
      <c r="B273"/>
      <c r="C273"/>
      <c r="D273"/>
      <c r="E273"/>
      <c r="F273"/>
      <c r="G273"/>
      <c r="H273"/>
    </row>
    <row r="274" spans="1:8" ht="14.5" x14ac:dyDescent="0.35">
      <c r="A274"/>
      <c r="B274"/>
      <c r="C274"/>
      <c r="D274"/>
      <c r="E274"/>
      <c r="F274"/>
      <c r="G274"/>
      <c r="H274"/>
    </row>
    <row r="275" spans="1:8" ht="14.5" x14ac:dyDescent="0.35">
      <c r="A275"/>
      <c r="B275"/>
      <c r="C275"/>
      <c r="D275"/>
      <c r="E275"/>
      <c r="F275"/>
      <c r="G275"/>
      <c r="H275"/>
    </row>
    <row r="276" spans="1:8" ht="14.5" x14ac:dyDescent="0.35">
      <c r="A276"/>
      <c r="B276"/>
      <c r="C276"/>
      <c r="D276"/>
      <c r="E276"/>
      <c r="F276"/>
      <c r="G276"/>
      <c r="H276"/>
    </row>
    <row r="277" spans="1:8" ht="14.5" x14ac:dyDescent="0.35">
      <c r="A277"/>
      <c r="B277"/>
      <c r="C277"/>
      <c r="D277"/>
      <c r="E277"/>
      <c r="F277"/>
      <c r="G277"/>
      <c r="H277"/>
    </row>
    <row r="278" spans="1:8" ht="14.5" x14ac:dyDescent="0.35">
      <c r="A278"/>
      <c r="B278"/>
      <c r="C278"/>
      <c r="D278"/>
      <c r="E278"/>
      <c r="F278"/>
      <c r="G278"/>
      <c r="H278"/>
    </row>
    <row r="279" spans="1:8" ht="14.5" x14ac:dyDescent="0.35">
      <c r="A279"/>
      <c r="B279"/>
      <c r="C279"/>
      <c r="D279"/>
      <c r="E279"/>
      <c r="F279"/>
      <c r="G279"/>
      <c r="H279"/>
    </row>
    <row r="280" spans="1:8" ht="14.5" x14ac:dyDescent="0.35">
      <c r="A280"/>
      <c r="B280"/>
      <c r="C280"/>
      <c r="D280"/>
      <c r="E280"/>
      <c r="F280"/>
      <c r="G280"/>
      <c r="H280"/>
    </row>
    <row r="281" spans="1:8" ht="14.5" x14ac:dyDescent="0.35">
      <c r="A281"/>
      <c r="B281"/>
      <c r="C281"/>
      <c r="D281"/>
      <c r="E281"/>
      <c r="F281"/>
      <c r="G281"/>
      <c r="H281"/>
    </row>
    <row r="282" spans="1:8" ht="14.5" x14ac:dyDescent="0.35">
      <c r="A282"/>
      <c r="B282"/>
      <c r="C282"/>
      <c r="D282"/>
      <c r="E282"/>
      <c r="F282"/>
      <c r="G282"/>
      <c r="H282"/>
    </row>
    <row r="283" spans="1:8" ht="14.5" x14ac:dyDescent="0.35">
      <c r="A283"/>
      <c r="B283"/>
      <c r="C283"/>
      <c r="D283"/>
      <c r="E283"/>
      <c r="F283"/>
      <c r="G283"/>
      <c r="H283"/>
    </row>
    <row r="284" spans="1:8" ht="14.5" x14ac:dyDescent="0.35">
      <c r="A284"/>
      <c r="B284"/>
      <c r="C284"/>
      <c r="D284"/>
      <c r="E284"/>
      <c r="F284"/>
      <c r="G284"/>
      <c r="H284"/>
    </row>
    <row r="285" spans="1:8" ht="14.5" x14ac:dyDescent="0.35">
      <c r="A285"/>
      <c r="B285"/>
      <c r="C285"/>
      <c r="D285"/>
      <c r="E285"/>
      <c r="F285"/>
      <c r="G285"/>
      <c r="H285"/>
    </row>
    <row r="286" spans="1:8" ht="14.5" x14ac:dyDescent="0.35">
      <c r="A286"/>
      <c r="B286"/>
      <c r="C286"/>
      <c r="D286"/>
      <c r="E286"/>
      <c r="F286"/>
      <c r="G286"/>
      <c r="H286"/>
    </row>
    <row r="287" spans="1:8" ht="14.5" x14ac:dyDescent="0.35">
      <c r="A287"/>
      <c r="B287"/>
      <c r="C287"/>
      <c r="D287"/>
      <c r="E287"/>
      <c r="F287"/>
      <c r="G287"/>
      <c r="H287"/>
    </row>
    <row r="288" spans="1:8" ht="14.5" x14ac:dyDescent="0.35">
      <c r="A288"/>
      <c r="B288"/>
      <c r="C288"/>
      <c r="D288"/>
      <c r="E288"/>
      <c r="F288"/>
      <c r="G288"/>
      <c r="H288"/>
    </row>
    <row r="289" spans="1:8" ht="14.5" x14ac:dyDescent="0.35">
      <c r="A289"/>
      <c r="B289"/>
      <c r="C289"/>
      <c r="D289"/>
      <c r="E289"/>
      <c r="F289"/>
      <c r="G289"/>
      <c r="H289"/>
    </row>
    <row r="290" spans="1:8" ht="14.5" x14ac:dyDescent="0.35">
      <c r="A290"/>
      <c r="B290"/>
      <c r="C290"/>
      <c r="D290"/>
      <c r="E290"/>
      <c r="F290"/>
      <c r="G290"/>
      <c r="H290"/>
    </row>
    <row r="291" spans="1:8" ht="14.5" x14ac:dyDescent="0.35">
      <c r="A291"/>
      <c r="B291"/>
      <c r="C291"/>
      <c r="D291"/>
      <c r="E291"/>
      <c r="F291"/>
      <c r="G291"/>
      <c r="H291"/>
    </row>
    <row r="292" spans="1:8" ht="14.5" x14ac:dyDescent="0.35">
      <c r="A292"/>
      <c r="B292"/>
      <c r="C292"/>
      <c r="D292"/>
      <c r="E292"/>
      <c r="F292"/>
      <c r="G292"/>
      <c r="H292"/>
    </row>
    <row r="293" spans="1:8" ht="14.5" x14ac:dyDescent="0.35">
      <c r="A293"/>
      <c r="B293"/>
      <c r="C293"/>
      <c r="D293"/>
      <c r="E293"/>
      <c r="F293"/>
      <c r="G293"/>
      <c r="H293"/>
    </row>
    <row r="294" spans="1:8" ht="14.5" x14ac:dyDescent="0.35">
      <c r="A294"/>
      <c r="B294"/>
      <c r="C294"/>
      <c r="D294"/>
      <c r="E294"/>
      <c r="F294"/>
      <c r="G294"/>
      <c r="H294"/>
    </row>
    <row r="295" spans="1:8" ht="14.5" x14ac:dyDescent="0.35">
      <c r="A295"/>
      <c r="B295"/>
      <c r="C295"/>
      <c r="D295"/>
      <c r="E295"/>
      <c r="F295"/>
      <c r="G295"/>
      <c r="H295"/>
    </row>
    <row r="296" spans="1:8" ht="14.5" x14ac:dyDescent="0.35">
      <c r="A296"/>
      <c r="B296"/>
      <c r="C296"/>
      <c r="D296"/>
      <c r="E296"/>
      <c r="F296"/>
      <c r="G296"/>
      <c r="H296"/>
    </row>
    <row r="297" spans="1:8" ht="14.5" x14ac:dyDescent="0.35">
      <c r="A297"/>
      <c r="B297"/>
      <c r="C297"/>
      <c r="D297"/>
      <c r="E297"/>
      <c r="F297"/>
      <c r="G297"/>
      <c r="H297"/>
    </row>
    <row r="298" spans="1:8" ht="14.5" x14ac:dyDescent="0.35">
      <c r="A298"/>
      <c r="B298"/>
      <c r="C298"/>
      <c r="D298"/>
      <c r="E298"/>
      <c r="F298"/>
      <c r="G298"/>
      <c r="H298"/>
    </row>
    <row r="299" spans="1:8" ht="14.5" x14ac:dyDescent="0.35">
      <c r="A299"/>
      <c r="B299"/>
      <c r="C299"/>
      <c r="D299"/>
      <c r="E299"/>
      <c r="F299"/>
      <c r="G299"/>
      <c r="H299"/>
    </row>
    <row r="300" spans="1:8" ht="14.5" x14ac:dyDescent="0.35">
      <c r="A300"/>
      <c r="B300"/>
      <c r="C300"/>
      <c r="D300"/>
      <c r="E300"/>
      <c r="F300"/>
      <c r="G300"/>
      <c r="H300"/>
    </row>
    <row r="301" spans="1:8" ht="14.5" x14ac:dyDescent="0.35">
      <c r="A301"/>
      <c r="B301"/>
      <c r="C301"/>
      <c r="D301"/>
      <c r="E301"/>
      <c r="F301"/>
      <c r="G301"/>
      <c r="H301"/>
    </row>
    <row r="302" spans="1:8" ht="14.5" x14ac:dyDescent="0.35">
      <c r="A302"/>
      <c r="B302"/>
      <c r="C302"/>
      <c r="D302"/>
      <c r="E302"/>
      <c r="F302"/>
      <c r="G302"/>
      <c r="H302"/>
    </row>
    <row r="303" spans="1:8" ht="14.5" x14ac:dyDescent="0.35">
      <c r="A303"/>
      <c r="B303"/>
      <c r="C303"/>
      <c r="D303"/>
      <c r="E303"/>
      <c r="F303"/>
      <c r="G303"/>
      <c r="H303"/>
    </row>
    <row r="304" spans="1:8" ht="14.5" x14ac:dyDescent="0.35">
      <c r="A304"/>
      <c r="B304"/>
      <c r="C304"/>
      <c r="D304"/>
      <c r="E304"/>
      <c r="F304"/>
      <c r="G304"/>
      <c r="H304"/>
    </row>
    <row r="305" spans="1:8" ht="14.5" x14ac:dyDescent="0.35">
      <c r="A305"/>
      <c r="B305"/>
      <c r="C305"/>
      <c r="D305"/>
      <c r="E305"/>
      <c r="F305"/>
      <c r="G305"/>
      <c r="H305"/>
    </row>
    <row r="306" spans="1:8" ht="14.5" x14ac:dyDescent="0.35">
      <c r="A306"/>
      <c r="B306"/>
      <c r="C306"/>
      <c r="D306"/>
      <c r="E306"/>
      <c r="F306"/>
      <c r="G306"/>
      <c r="H306"/>
    </row>
    <row r="307" spans="1:8" ht="14.5" x14ac:dyDescent="0.35">
      <c r="A307"/>
      <c r="B307"/>
      <c r="C307"/>
      <c r="D307"/>
      <c r="E307"/>
      <c r="F307"/>
      <c r="G307"/>
      <c r="H307"/>
    </row>
    <row r="308" spans="1:8" ht="14.5" x14ac:dyDescent="0.35">
      <c r="A308"/>
      <c r="B308"/>
      <c r="C308"/>
      <c r="D308"/>
      <c r="E308"/>
      <c r="F308"/>
      <c r="G308"/>
      <c r="H308"/>
    </row>
    <row r="309" spans="1:8" ht="14.5" x14ac:dyDescent="0.35">
      <c r="A309"/>
      <c r="B309"/>
      <c r="C309"/>
      <c r="D309"/>
      <c r="E309"/>
      <c r="F309"/>
      <c r="G309"/>
      <c r="H309"/>
    </row>
    <row r="310" spans="1:8" ht="14.5" x14ac:dyDescent="0.35">
      <c r="A310"/>
      <c r="B310"/>
      <c r="C310"/>
      <c r="D310"/>
      <c r="E310"/>
      <c r="F310"/>
      <c r="G310"/>
      <c r="H310"/>
    </row>
    <row r="311" spans="1:8" ht="14.5" x14ac:dyDescent="0.35">
      <c r="A311"/>
      <c r="B311"/>
      <c r="C311"/>
      <c r="D311"/>
      <c r="E311"/>
      <c r="F311"/>
      <c r="G311"/>
      <c r="H311"/>
    </row>
    <row r="312" spans="1:8" ht="14.5" x14ac:dyDescent="0.35">
      <c r="A312"/>
      <c r="B312"/>
      <c r="C312"/>
      <c r="D312"/>
      <c r="E312"/>
      <c r="F312"/>
      <c r="G312"/>
      <c r="H312"/>
    </row>
    <row r="313" spans="1:8" ht="14.5" x14ac:dyDescent="0.35">
      <c r="A313"/>
      <c r="B313"/>
      <c r="C313"/>
      <c r="D313"/>
      <c r="E313"/>
      <c r="F313"/>
      <c r="G313"/>
      <c r="H313"/>
    </row>
    <row r="314" spans="1:8" ht="14.5" x14ac:dyDescent="0.35">
      <c r="A314"/>
      <c r="B314"/>
      <c r="C314"/>
      <c r="D314"/>
      <c r="E314"/>
      <c r="F314"/>
      <c r="G314"/>
      <c r="H314"/>
    </row>
    <row r="315" spans="1:8" ht="14.5" x14ac:dyDescent="0.35">
      <c r="A315"/>
      <c r="B315"/>
      <c r="C315"/>
      <c r="D315"/>
      <c r="E315"/>
      <c r="F315"/>
      <c r="G315"/>
      <c r="H315"/>
    </row>
    <row r="316" spans="1:8" ht="14.5" x14ac:dyDescent="0.35">
      <c r="A316"/>
      <c r="B316"/>
      <c r="C316"/>
      <c r="D316"/>
      <c r="E316"/>
      <c r="F316"/>
      <c r="G316"/>
      <c r="H316"/>
    </row>
    <row r="317" spans="1:8" ht="14.5" x14ac:dyDescent="0.35">
      <c r="A317"/>
      <c r="B317"/>
      <c r="C317"/>
      <c r="D317"/>
      <c r="E317"/>
      <c r="F317"/>
      <c r="G317"/>
      <c r="H317"/>
    </row>
    <row r="318" spans="1:8" ht="14.5" x14ac:dyDescent="0.35">
      <c r="A318"/>
      <c r="B318"/>
      <c r="C318"/>
      <c r="D318"/>
      <c r="E318"/>
      <c r="F318"/>
      <c r="G318"/>
      <c r="H318"/>
    </row>
    <row r="319" spans="1:8" ht="14.5" x14ac:dyDescent="0.35">
      <c r="A319"/>
      <c r="B319"/>
      <c r="C319"/>
      <c r="D319"/>
      <c r="E319"/>
      <c r="F319"/>
      <c r="G319"/>
      <c r="H319"/>
    </row>
    <row r="320" spans="1:8" ht="14.5" x14ac:dyDescent="0.35">
      <c r="A320"/>
      <c r="B320"/>
      <c r="C320"/>
      <c r="D320"/>
      <c r="E320"/>
      <c r="F320"/>
      <c r="G320"/>
      <c r="H320"/>
    </row>
    <row r="321" spans="1:8" ht="14.5" x14ac:dyDescent="0.35">
      <c r="A321"/>
      <c r="B321"/>
      <c r="C321"/>
      <c r="D321"/>
      <c r="E321"/>
      <c r="F321"/>
      <c r="G321"/>
      <c r="H321"/>
    </row>
    <row r="322" spans="1:8" ht="14.5" x14ac:dyDescent="0.35">
      <c r="A322"/>
      <c r="B322"/>
      <c r="C322"/>
      <c r="D322"/>
      <c r="E322"/>
      <c r="F322"/>
      <c r="G322"/>
      <c r="H322"/>
    </row>
    <row r="323" spans="1:8" ht="14.5" x14ac:dyDescent="0.35">
      <c r="A323"/>
      <c r="B323"/>
      <c r="C323"/>
      <c r="D323"/>
      <c r="E323"/>
      <c r="F323"/>
      <c r="G323"/>
      <c r="H323"/>
    </row>
    <row r="324" spans="1:8" ht="14.5" x14ac:dyDescent="0.35">
      <c r="A324"/>
      <c r="B324"/>
      <c r="C324"/>
      <c r="D324"/>
      <c r="E324"/>
      <c r="F324"/>
      <c r="G324"/>
      <c r="H324"/>
    </row>
    <row r="325" spans="1:8" ht="14.5" x14ac:dyDescent="0.35">
      <c r="A325"/>
      <c r="B325"/>
      <c r="C325"/>
      <c r="D325"/>
      <c r="E325"/>
      <c r="F325"/>
      <c r="G325"/>
      <c r="H325"/>
    </row>
    <row r="326" spans="1:8" ht="14.5" x14ac:dyDescent="0.35">
      <c r="A326"/>
      <c r="B326"/>
      <c r="C326"/>
      <c r="D326"/>
      <c r="E326"/>
      <c r="F326"/>
      <c r="G326"/>
      <c r="H326"/>
    </row>
    <row r="327" spans="1:8" ht="14.5" x14ac:dyDescent="0.35">
      <c r="A327"/>
      <c r="B327"/>
      <c r="C327"/>
      <c r="D327"/>
      <c r="E327"/>
      <c r="F327"/>
      <c r="G327"/>
      <c r="H327"/>
    </row>
    <row r="328" spans="1:8" ht="14.5" x14ac:dyDescent="0.35">
      <c r="A328"/>
      <c r="B328"/>
      <c r="C328"/>
      <c r="D328"/>
      <c r="E328"/>
      <c r="F328"/>
      <c r="G328"/>
      <c r="H328"/>
    </row>
    <row r="329" spans="1:8" ht="14.5" x14ac:dyDescent="0.35">
      <c r="A329"/>
      <c r="B329"/>
      <c r="C329"/>
      <c r="D329"/>
      <c r="E329"/>
      <c r="F329"/>
      <c r="G329"/>
      <c r="H329"/>
    </row>
    <row r="330" spans="1:8" ht="14.5" x14ac:dyDescent="0.35">
      <c r="A330"/>
      <c r="B330"/>
      <c r="C330"/>
      <c r="D330"/>
      <c r="E330"/>
      <c r="F330"/>
      <c r="G330"/>
      <c r="H330"/>
    </row>
    <row r="331" spans="1:8" ht="14.5" x14ac:dyDescent="0.35">
      <c r="A331"/>
      <c r="B331"/>
      <c r="C331"/>
      <c r="D331"/>
      <c r="E331"/>
      <c r="F331"/>
      <c r="G331"/>
      <c r="H331"/>
    </row>
    <row r="332" spans="1:8" ht="14.5" x14ac:dyDescent="0.35">
      <c r="A332"/>
      <c r="B332"/>
      <c r="C332"/>
      <c r="D332"/>
      <c r="E332"/>
      <c r="F332"/>
      <c r="G332"/>
      <c r="H332"/>
    </row>
    <row r="333" spans="1:8" ht="14.5" x14ac:dyDescent="0.35">
      <c r="A333"/>
      <c r="B333"/>
      <c r="C333"/>
      <c r="D333"/>
      <c r="E333"/>
      <c r="F333"/>
      <c r="G333"/>
      <c r="H333"/>
    </row>
    <row r="334" spans="1:8" ht="14.5" x14ac:dyDescent="0.35">
      <c r="A334"/>
      <c r="B334"/>
      <c r="C334"/>
      <c r="D334"/>
      <c r="E334"/>
      <c r="F334"/>
      <c r="G334"/>
      <c r="H334"/>
    </row>
    <row r="335" spans="1:8" ht="14.5" x14ac:dyDescent="0.35">
      <c r="A335"/>
      <c r="B335"/>
      <c r="C335"/>
      <c r="D335"/>
      <c r="E335"/>
      <c r="F335"/>
      <c r="G335"/>
      <c r="H335"/>
    </row>
    <row r="336" spans="1:8" ht="14.5" x14ac:dyDescent="0.35">
      <c r="A336"/>
      <c r="B336"/>
      <c r="C336"/>
      <c r="D336"/>
      <c r="E336"/>
      <c r="F336"/>
      <c r="G336"/>
      <c r="H336"/>
    </row>
    <row r="337" spans="1:8" ht="14.5" x14ac:dyDescent="0.35">
      <c r="A337"/>
      <c r="B337"/>
      <c r="C337"/>
      <c r="D337"/>
      <c r="E337"/>
      <c r="F337"/>
      <c r="G337"/>
      <c r="H337"/>
    </row>
    <row r="338" spans="1:8" ht="14.5" x14ac:dyDescent="0.35">
      <c r="A338"/>
      <c r="B338"/>
      <c r="C338"/>
      <c r="D338"/>
      <c r="E338"/>
      <c r="F338"/>
      <c r="G338"/>
      <c r="H338"/>
    </row>
    <row r="339" spans="1:8" ht="14.5" x14ac:dyDescent="0.35">
      <c r="A339"/>
      <c r="B339"/>
      <c r="C339"/>
      <c r="D339"/>
      <c r="E339"/>
      <c r="F339"/>
      <c r="G339"/>
      <c r="H339"/>
    </row>
    <row r="340" spans="1:8" ht="14.5" x14ac:dyDescent="0.35">
      <c r="A340"/>
      <c r="B340"/>
      <c r="C340"/>
      <c r="D340"/>
      <c r="E340"/>
      <c r="F340"/>
      <c r="G340"/>
      <c r="H340"/>
    </row>
    <row r="341" spans="1:8" ht="14.5" x14ac:dyDescent="0.35">
      <c r="A341"/>
      <c r="B341"/>
      <c r="C341"/>
      <c r="D341"/>
      <c r="E341"/>
      <c r="F341"/>
      <c r="G341"/>
      <c r="H341"/>
    </row>
    <row r="342" spans="1:8" ht="14.5" x14ac:dyDescent="0.35">
      <c r="A342"/>
      <c r="B342"/>
      <c r="C342"/>
      <c r="D342"/>
      <c r="E342"/>
      <c r="F342"/>
      <c r="G342"/>
      <c r="H342"/>
    </row>
    <row r="343" spans="1:8" ht="15" thickBot="1" x14ac:dyDescent="0.4">
      <c r="A343"/>
      <c r="B343"/>
      <c r="C343"/>
      <c r="D343"/>
      <c r="E343"/>
      <c r="F343"/>
      <c r="G343"/>
      <c r="H343"/>
    </row>
    <row r="344" spans="1:8" ht="15" thickTop="1" x14ac:dyDescent="0.35">
      <c r="A344"/>
      <c r="B344"/>
      <c r="C344"/>
      <c r="D344"/>
      <c r="E344"/>
      <c r="F344"/>
      <c r="G344"/>
      <c r="H344"/>
    </row>
    <row r="345" spans="1:8" ht="14.5" x14ac:dyDescent="0.35">
      <c r="A345"/>
      <c r="B345"/>
      <c r="C345"/>
      <c r="D345"/>
      <c r="E345"/>
      <c r="F345"/>
      <c r="G345"/>
      <c r="H345"/>
    </row>
    <row r="346" spans="1:8" ht="14.5" x14ac:dyDescent="0.35">
      <c r="A346"/>
      <c r="B346"/>
      <c r="C346"/>
      <c r="D346"/>
      <c r="E346"/>
      <c r="F346"/>
      <c r="G346"/>
      <c r="H346"/>
    </row>
    <row r="347" spans="1:8" ht="14.5" x14ac:dyDescent="0.35">
      <c r="A347"/>
      <c r="B347"/>
      <c r="C347"/>
      <c r="D347"/>
      <c r="E347"/>
      <c r="F347"/>
      <c r="G347"/>
      <c r="H347"/>
    </row>
    <row r="348" spans="1:8" ht="14.5" x14ac:dyDescent="0.35">
      <c r="A348"/>
      <c r="B348"/>
      <c r="C348"/>
      <c r="D348"/>
      <c r="E348"/>
      <c r="F348"/>
      <c r="G348"/>
      <c r="H348"/>
    </row>
    <row r="349" spans="1:8" ht="14.5" x14ac:dyDescent="0.35">
      <c r="A349"/>
      <c r="B349"/>
      <c r="C349"/>
      <c r="D349"/>
      <c r="E349"/>
      <c r="F349"/>
      <c r="G349"/>
      <c r="H349"/>
    </row>
    <row r="350" spans="1:8" ht="14.5" x14ac:dyDescent="0.35">
      <c r="A350"/>
      <c r="B350"/>
      <c r="C350"/>
      <c r="D350"/>
      <c r="E350"/>
      <c r="F350"/>
      <c r="G350"/>
      <c r="H350"/>
    </row>
    <row r="351" spans="1:8" ht="14.5" x14ac:dyDescent="0.35">
      <c r="A351"/>
      <c r="B351"/>
      <c r="C351"/>
      <c r="D351"/>
      <c r="E351"/>
      <c r="F351"/>
      <c r="G351"/>
      <c r="H351"/>
    </row>
    <row r="352" spans="1:8" ht="14.5" x14ac:dyDescent="0.35">
      <c r="A352"/>
      <c r="B352"/>
      <c r="C352"/>
      <c r="D352"/>
      <c r="E352"/>
      <c r="F352"/>
      <c r="G352"/>
      <c r="H352"/>
    </row>
    <row r="353" spans="1:8" ht="14.5" x14ac:dyDescent="0.35">
      <c r="A353"/>
      <c r="B353"/>
      <c r="C353"/>
      <c r="D353"/>
      <c r="E353"/>
      <c r="F353"/>
      <c r="G353"/>
      <c r="H353"/>
    </row>
    <row r="354" spans="1:8" ht="14.5" x14ac:dyDescent="0.35">
      <c r="A354"/>
      <c r="B354"/>
      <c r="C354"/>
      <c r="D354"/>
      <c r="E354"/>
      <c r="F354"/>
      <c r="G354"/>
      <c r="H354"/>
    </row>
    <row r="355" spans="1:8" ht="14.5" x14ac:dyDescent="0.35">
      <c r="A355"/>
      <c r="B355"/>
      <c r="C355"/>
      <c r="D355"/>
      <c r="E355"/>
      <c r="F355"/>
      <c r="G355"/>
      <c r="H355"/>
    </row>
    <row r="356" spans="1:8" ht="14.5" x14ac:dyDescent="0.35">
      <c r="A356"/>
      <c r="B356"/>
      <c r="C356"/>
      <c r="D356"/>
      <c r="E356"/>
      <c r="F356"/>
      <c r="G356"/>
      <c r="H356"/>
    </row>
    <row r="357" spans="1:8" ht="14.5" x14ac:dyDescent="0.35">
      <c r="A357"/>
      <c r="B357"/>
      <c r="C357"/>
      <c r="D357"/>
      <c r="E357"/>
      <c r="F357"/>
      <c r="G357"/>
      <c r="H357"/>
    </row>
    <row r="358" spans="1:8" ht="14.5" x14ac:dyDescent="0.35">
      <c r="A358"/>
      <c r="B358"/>
      <c r="C358"/>
      <c r="D358"/>
      <c r="E358"/>
      <c r="F358"/>
      <c r="G358"/>
      <c r="H358"/>
    </row>
    <row r="359" spans="1:8" ht="14.5" x14ac:dyDescent="0.35">
      <c r="A359"/>
      <c r="B359"/>
      <c r="C359"/>
      <c r="D359"/>
      <c r="E359"/>
      <c r="F359"/>
      <c r="G359"/>
      <c r="H359"/>
    </row>
    <row r="360" spans="1:8" ht="14.5" x14ac:dyDescent="0.35">
      <c r="A360"/>
      <c r="B360"/>
      <c r="C360"/>
      <c r="D360"/>
      <c r="E360"/>
      <c r="F360"/>
      <c r="G360"/>
      <c r="H360"/>
    </row>
    <row r="361" spans="1:8" ht="14.5" x14ac:dyDescent="0.35">
      <c r="A361"/>
      <c r="B361"/>
      <c r="C361"/>
      <c r="D361"/>
      <c r="E361"/>
      <c r="F361"/>
      <c r="G361"/>
      <c r="H361"/>
    </row>
    <row r="362" spans="1:8" ht="14.5" x14ac:dyDescent="0.35">
      <c r="A362"/>
      <c r="B362"/>
      <c r="C362"/>
      <c r="D362"/>
      <c r="E362"/>
      <c r="F362"/>
      <c r="G362"/>
      <c r="H362"/>
    </row>
    <row r="363" spans="1:8" ht="14.5" x14ac:dyDescent="0.35">
      <c r="A363"/>
      <c r="B363"/>
      <c r="C363"/>
      <c r="D363"/>
      <c r="E363"/>
      <c r="F363"/>
      <c r="G363"/>
      <c r="H363"/>
    </row>
    <row r="364" spans="1:8" ht="14.5" x14ac:dyDescent="0.35">
      <c r="A364"/>
      <c r="B364"/>
      <c r="C364"/>
      <c r="D364"/>
      <c r="E364"/>
      <c r="F364"/>
      <c r="G364"/>
      <c r="H364"/>
    </row>
    <row r="365" spans="1:8" ht="14.5" x14ac:dyDescent="0.35">
      <c r="A365"/>
      <c r="B365"/>
      <c r="C365"/>
      <c r="D365"/>
      <c r="E365"/>
      <c r="F365"/>
      <c r="G365"/>
      <c r="H365"/>
    </row>
    <row r="366" spans="1:8" ht="14.5" x14ac:dyDescent="0.35">
      <c r="A366"/>
      <c r="B366"/>
      <c r="C366"/>
      <c r="D366"/>
      <c r="E366"/>
      <c r="F366"/>
      <c r="G366"/>
      <c r="H366"/>
    </row>
    <row r="367" spans="1:8" ht="14.5" x14ac:dyDescent="0.35">
      <c r="A367"/>
      <c r="B367"/>
      <c r="C367"/>
      <c r="D367"/>
      <c r="E367"/>
      <c r="F367"/>
      <c r="G367"/>
      <c r="H367"/>
    </row>
    <row r="368" spans="1:8" ht="14.5" x14ac:dyDescent="0.35">
      <c r="A368"/>
      <c r="B368"/>
      <c r="C368"/>
      <c r="D368"/>
      <c r="E368"/>
      <c r="F368"/>
      <c r="G368"/>
      <c r="H368"/>
    </row>
    <row r="369" spans="1:8" ht="14.5" x14ac:dyDescent="0.35">
      <c r="A369"/>
      <c r="B369"/>
      <c r="C369"/>
      <c r="D369"/>
      <c r="E369"/>
      <c r="F369"/>
      <c r="G369"/>
      <c r="H369"/>
    </row>
    <row r="370" spans="1:8" ht="14.5" x14ac:dyDescent="0.35">
      <c r="A370"/>
      <c r="B370"/>
      <c r="C370"/>
      <c r="D370"/>
      <c r="E370"/>
      <c r="F370"/>
      <c r="G370"/>
      <c r="H370"/>
    </row>
    <row r="371" spans="1:8" ht="14.5" x14ac:dyDescent="0.35">
      <c r="A371"/>
      <c r="B371"/>
      <c r="C371"/>
      <c r="D371"/>
      <c r="E371"/>
      <c r="F371"/>
      <c r="G371"/>
      <c r="H371"/>
    </row>
    <row r="372" spans="1:8" ht="14.5" x14ac:dyDescent="0.35">
      <c r="A372"/>
      <c r="B372"/>
      <c r="C372"/>
      <c r="D372"/>
      <c r="E372"/>
      <c r="F372"/>
      <c r="G372"/>
      <c r="H372"/>
    </row>
    <row r="373" spans="1:8" ht="14.5" x14ac:dyDescent="0.35">
      <c r="A373"/>
      <c r="B373"/>
      <c r="C373"/>
      <c r="D373"/>
      <c r="E373"/>
      <c r="F373"/>
      <c r="G373"/>
      <c r="H373"/>
    </row>
    <row r="374" spans="1:8" ht="14.5" x14ac:dyDescent="0.35">
      <c r="A374"/>
      <c r="B374"/>
      <c r="C374"/>
      <c r="D374"/>
      <c r="E374"/>
      <c r="F374"/>
      <c r="G374"/>
      <c r="H374"/>
    </row>
    <row r="375" spans="1:8" ht="14.5" x14ac:dyDescent="0.35">
      <c r="A375"/>
      <c r="B375"/>
      <c r="C375"/>
      <c r="D375"/>
      <c r="E375"/>
      <c r="F375"/>
      <c r="G375"/>
      <c r="H375"/>
    </row>
    <row r="376" spans="1:8" ht="14.5" x14ac:dyDescent="0.35">
      <c r="A376"/>
      <c r="B376"/>
      <c r="C376"/>
      <c r="D376"/>
      <c r="E376"/>
      <c r="F376"/>
      <c r="G376"/>
      <c r="H376"/>
    </row>
    <row r="377" spans="1:8" ht="14.5" x14ac:dyDescent="0.35">
      <c r="A377"/>
      <c r="B377"/>
      <c r="C377"/>
      <c r="D377"/>
      <c r="E377"/>
      <c r="F377"/>
      <c r="G377"/>
      <c r="H377"/>
    </row>
    <row r="378" spans="1:8" ht="14.5" x14ac:dyDescent="0.35">
      <c r="A378"/>
      <c r="B378"/>
      <c r="C378"/>
      <c r="D378"/>
      <c r="E378"/>
      <c r="F378"/>
      <c r="G378"/>
      <c r="H378"/>
    </row>
    <row r="379" spans="1:8" ht="14.5" x14ac:dyDescent="0.35">
      <c r="A379"/>
      <c r="B379"/>
      <c r="C379"/>
      <c r="D379"/>
      <c r="E379"/>
      <c r="F379"/>
      <c r="G379"/>
      <c r="H379"/>
    </row>
    <row r="380" spans="1:8" ht="14.5" x14ac:dyDescent="0.35">
      <c r="A380"/>
      <c r="B380"/>
      <c r="C380"/>
      <c r="D380"/>
      <c r="E380"/>
      <c r="F380"/>
      <c r="G380"/>
      <c r="H380"/>
    </row>
    <row r="381" spans="1:8" ht="14.5" x14ac:dyDescent="0.35">
      <c r="A381"/>
      <c r="B381"/>
      <c r="C381"/>
      <c r="D381"/>
      <c r="E381"/>
      <c r="F381"/>
      <c r="G381"/>
      <c r="H381"/>
    </row>
    <row r="382" spans="1:8" ht="14.5" x14ac:dyDescent="0.35">
      <c r="A382"/>
      <c r="B382"/>
      <c r="C382"/>
      <c r="D382"/>
      <c r="E382"/>
      <c r="F382"/>
      <c r="G382"/>
      <c r="H382"/>
    </row>
    <row r="383" spans="1:8" ht="14.5" x14ac:dyDescent="0.35">
      <c r="A383"/>
      <c r="B383"/>
      <c r="C383"/>
      <c r="D383"/>
      <c r="E383"/>
      <c r="F383"/>
      <c r="G383"/>
      <c r="H383"/>
    </row>
    <row r="384" spans="1:8" ht="14.5" x14ac:dyDescent="0.35">
      <c r="A384"/>
      <c r="B384"/>
      <c r="C384"/>
      <c r="D384"/>
      <c r="E384"/>
      <c r="F384"/>
      <c r="G384"/>
      <c r="H384"/>
    </row>
    <row r="385" spans="1:8" ht="14.5" x14ac:dyDescent="0.35">
      <c r="A385"/>
      <c r="B385"/>
      <c r="C385"/>
      <c r="D385"/>
      <c r="E385"/>
      <c r="F385"/>
      <c r="G385"/>
      <c r="H385"/>
    </row>
    <row r="386" spans="1:8" ht="14.5" x14ac:dyDescent="0.35">
      <c r="A386"/>
      <c r="B386"/>
      <c r="C386"/>
      <c r="D386"/>
      <c r="E386"/>
      <c r="F386"/>
      <c r="G386"/>
      <c r="H386"/>
    </row>
    <row r="387" spans="1:8" ht="14.5" x14ac:dyDescent="0.35">
      <c r="A387"/>
      <c r="B387"/>
      <c r="C387"/>
      <c r="D387"/>
      <c r="E387"/>
      <c r="F387"/>
      <c r="G387"/>
      <c r="H387"/>
    </row>
    <row r="388" spans="1:8" ht="14.5" x14ac:dyDescent="0.35">
      <c r="A388"/>
      <c r="B388"/>
      <c r="C388"/>
      <c r="D388"/>
      <c r="E388"/>
      <c r="F388"/>
      <c r="G388"/>
      <c r="H388"/>
    </row>
    <row r="389" spans="1:8" ht="14.5" x14ac:dyDescent="0.35">
      <c r="A389"/>
      <c r="B389"/>
      <c r="C389"/>
      <c r="D389"/>
      <c r="E389"/>
      <c r="F389"/>
      <c r="G389"/>
      <c r="H389"/>
    </row>
    <row r="390" spans="1:8" ht="14.5" x14ac:dyDescent="0.35">
      <c r="A390"/>
      <c r="B390"/>
      <c r="C390"/>
      <c r="D390"/>
      <c r="E390"/>
      <c r="F390"/>
      <c r="G390"/>
      <c r="H390"/>
    </row>
    <row r="391" spans="1:8" ht="14.5" x14ac:dyDescent="0.35">
      <c r="A391"/>
      <c r="B391"/>
      <c r="C391"/>
      <c r="D391"/>
      <c r="E391"/>
      <c r="F391"/>
      <c r="G391"/>
      <c r="H391"/>
    </row>
    <row r="392" spans="1:8" ht="14.5" x14ac:dyDescent="0.35">
      <c r="A392"/>
      <c r="B392"/>
      <c r="C392"/>
      <c r="D392"/>
      <c r="E392"/>
      <c r="F392"/>
      <c r="G392"/>
      <c r="H392"/>
    </row>
    <row r="393" spans="1:8" ht="14.5" x14ac:dyDescent="0.35">
      <c r="A393"/>
      <c r="B393"/>
      <c r="C393"/>
      <c r="D393"/>
      <c r="E393"/>
      <c r="F393"/>
      <c r="G393"/>
      <c r="H393"/>
    </row>
    <row r="394" spans="1:8" ht="14.5" x14ac:dyDescent="0.35">
      <c r="A394"/>
      <c r="B394"/>
      <c r="C394"/>
      <c r="D394"/>
      <c r="E394"/>
      <c r="F394"/>
      <c r="G394"/>
      <c r="H394"/>
    </row>
    <row r="395" spans="1:8" ht="14.5" x14ac:dyDescent="0.35">
      <c r="A395"/>
      <c r="B395"/>
      <c r="C395"/>
      <c r="D395"/>
      <c r="E395"/>
      <c r="F395"/>
      <c r="G395"/>
      <c r="H395"/>
    </row>
    <row r="396" spans="1:8" ht="14.5" x14ac:dyDescent="0.35">
      <c r="A396"/>
      <c r="B396"/>
      <c r="C396"/>
      <c r="D396"/>
      <c r="E396"/>
      <c r="F396"/>
      <c r="G396"/>
      <c r="H396"/>
    </row>
    <row r="397" spans="1:8" ht="14.5" x14ac:dyDescent="0.35">
      <c r="A397"/>
      <c r="B397"/>
      <c r="C397"/>
      <c r="D397"/>
      <c r="E397"/>
      <c r="F397"/>
      <c r="G397"/>
      <c r="H397"/>
    </row>
    <row r="398" spans="1:8" ht="14.5" x14ac:dyDescent="0.35">
      <c r="A398"/>
      <c r="B398"/>
      <c r="C398"/>
      <c r="D398"/>
      <c r="E398"/>
      <c r="F398"/>
      <c r="G398"/>
      <c r="H398"/>
    </row>
    <row r="399" spans="1:8" ht="14.5" x14ac:dyDescent="0.35">
      <c r="A399"/>
      <c r="B399"/>
      <c r="C399"/>
      <c r="D399"/>
      <c r="E399"/>
      <c r="F399"/>
      <c r="G399"/>
      <c r="H399"/>
    </row>
    <row r="400" spans="1:8" ht="14.5" x14ac:dyDescent="0.35">
      <c r="A400"/>
      <c r="B400"/>
      <c r="C400"/>
      <c r="D400"/>
      <c r="E400"/>
      <c r="F400"/>
      <c r="G400"/>
      <c r="H400"/>
    </row>
    <row r="401" spans="1:8" ht="14.5" x14ac:dyDescent="0.35">
      <c r="A401"/>
      <c r="B401"/>
      <c r="C401"/>
      <c r="D401"/>
      <c r="E401"/>
      <c r="F401"/>
      <c r="G401"/>
      <c r="H401"/>
    </row>
    <row r="402" spans="1:8" ht="14.5" x14ac:dyDescent="0.35">
      <c r="A402"/>
      <c r="B402"/>
      <c r="C402"/>
      <c r="D402"/>
      <c r="E402"/>
      <c r="F402"/>
      <c r="G402"/>
      <c r="H402"/>
    </row>
    <row r="403" spans="1:8" ht="14.5" x14ac:dyDescent="0.35">
      <c r="A403"/>
      <c r="B403"/>
      <c r="C403"/>
      <c r="D403"/>
      <c r="E403"/>
      <c r="F403"/>
      <c r="G403"/>
      <c r="H403"/>
    </row>
    <row r="404" spans="1:8" ht="14.5" x14ac:dyDescent="0.35">
      <c r="A404"/>
      <c r="B404"/>
      <c r="C404"/>
      <c r="D404"/>
      <c r="E404"/>
      <c r="F404"/>
      <c r="G404"/>
      <c r="H404"/>
    </row>
    <row r="405" spans="1:8" ht="14.5" x14ac:dyDescent="0.35">
      <c r="A405"/>
      <c r="B405"/>
      <c r="C405"/>
      <c r="D405"/>
      <c r="E405"/>
      <c r="F405"/>
      <c r="G405"/>
      <c r="H405"/>
    </row>
    <row r="406" spans="1:8" ht="14.5" x14ac:dyDescent="0.35">
      <c r="A406"/>
      <c r="B406"/>
      <c r="C406"/>
      <c r="D406"/>
      <c r="E406"/>
      <c r="F406"/>
      <c r="G406"/>
      <c r="H406"/>
    </row>
    <row r="407" spans="1:8" ht="14.5" x14ac:dyDescent="0.35">
      <c r="A407"/>
      <c r="B407"/>
      <c r="C407"/>
      <c r="D407"/>
      <c r="E407"/>
      <c r="F407"/>
      <c r="G407"/>
      <c r="H407"/>
    </row>
    <row r="408" spans="1:8" ht="14.5" x14ac:dyDescent="0.35">
      <c r="A408"/>
      <c r="B408"/>
      <c r="C408"/>
      <c r="D408"/>
      <c r="E408"/>
      <c r="F408"/>
      <c r="G408"/>
      <c r="H408"/>
    </row>
    <row r="409" spans="1:8" ht="14.5" x14ac:dyDescent="0.35">
      <c r="A409"/>
      <c r="B409"/>
      <c r="C409"/>
      <c r="D409"/>
      <c r="E409"/>
      <c r="F409"/>
      <c r="G409"/>
      <c r="H409"/>
    </row>
    <row r="410" spans="1:8" ht="14.5" x14ac:dyDescent="0.35">
      <c r="A410"/>
      <c r="B410"/>
      <c r="C410"/>
      <c r="D410"/>
      <c r="E410"/>
      <c r="F410"/>
      <c r="G410"/>
      <c r="H410"/>
    </row>
    <row r="411" spans="1:8" ht="14.5" x14ac:dyDescent="0.35">
      <c r="A411"/>
      <c r="B411"/>
      <c r="C411"/>
      <c r="D411"/>
      <c r="E411"/>
      <c r="F411"/>
      <c r="G411"/>
      <c r="H411"/>
    </row>
    <row r="412" spans="1:8" ht="14.5" x14ac:dyDescent="0.35">
      <c r="A412"/>
      <c r="B412"/>
      <c r="C412"/>
      <c r="D412"/>
      <c r="E412"/>
      <c r="F412"/>
      <c r="G412"/>
      <c r="H412"/>
    </row>
    <row r="413" spans="1:8" ht="14.5" x14ac:dyDescent="0.35">
      <c r="A413"/>
      <c r="B413"/>
      <c r="C413"/>
      <c r="D413"/>
      <c r="E413"/>
      <c r="F413"/>
      <c r="G413"/>
      <c r="H413"/>
    </row>
    <row r="414" spans="1:8" ht="14.5" x14ac:dyDescent="0.35">
      <c r="A414"/>
      <c r="B414"/>
      <c r="C414"/>
      <c r="D414"/>
      <c r="E414"/>
      <c r="F414"/>
      <c r="G414"/>
      <c r="H414"/>
    </row>
    <row r="415" spans="1:8" ht="14.5" x14ac:dyDescent="0.35">
      <c r="A415"/>
      <c r="B415"/>
      <c r="C415"/>
      <c r="D415"/>
      <c r="E415"/>
      <c r="F415"/>
      <c r="G415"/>
      <c r="H415"/>
    </row>
    <row r="416" spans="1:8" ht="14.5" x14ac:dyDescent="0.35">
      <c r="A416"/>
      <c r="B416"/>
      <c r="C416"/>
      <c r="D416"/>
      <c r="E416"/>
      <c r="F416"/>
      <c r="G416"/>
      <c r="H416"/>
    </row>
    <row r="417" spans="1:8" ht="14.5" x14ac:dyDescent="0.35">
      <c r="A417"/>
      <c r="B417"/>
      <c r="C417"/>
      <c r="D417"/>
      <c r="E417"/>
      <c r="F417"/>
      <c r="G417"/>
      <c r="H417"/>
    </row>
    <row r="418" spans="1:8" ht="14.5" x14ac:dyDescent="0.35">
      <c r="A418"/>
      <c r="B418"/>
      <c r="C418"/>
      <c r="D418"/>
      <c r="E418"/>
      <c r="F418"/>
      <c r="G418"/>
      <c r="H418"/>
    </row>
    <row r="419" spans="1:8" ht="14.5" x14ac:dyDescent="0.35">
      <c r="A419"/>
      <c r="B419"/>
      <c r="C419"/>
      <c r="D419"/>
      <c r="E419"/>
      <c r="F419"/>
      <c r="G419"/>
      <c r="H419"/>
    </row>
    <row r="420" spans="1:8" ht="14.5" x14ac:dyDescent="0.35">
      <c r="A420"/>
      <c r="B420"/>
      <c r="C420"/>
      <c r="D420"/>
      <c r="E420"/>
      <c r="F420"/>
      <c r="G420"/>
      <c r="H420"/>
    </row>
    <row r="421" spans="1:8" ht="14.5" x14ac:dyDescent="0.35">
      <c r="A421"/>
      <c r="B421"/>
      <c r="C421"/>
      <c r="D421"/>
      <c r="E421"/>
      <c r="F421"/>
      <c r="G421"/>
      <c r="H421"/>
    </row>
    <row r="422" spans="1:8" ht="14.5" x14ac:dyDescent="0.35">
      <c r="A422"/>
      <c r="B422"/>
      <c r="C422"/>
      <c r="D422"/>
      <c r="E422"/>
      <c r="F422"/>
      <c r="G422"/>
      <c r="H422"/>
    </row>
    <row r="423" spans="1:8" ht="14.5" x14ac:dyDescent="0.35">
      <c r="A423"/>
      <c r="B423"/>
      <c r="C423"/>
      <c r="D423"/>
      <c r="E423"/>
      <c r="F423"/>
      <c r="G423"/>
      <c r="H423"/>
    </row>
    <row r="424" spans="1:8" ht="14.5" x14ac:dyDescent="0.35">
      <c r="A424"/>
      <c r="B424"/>
      <c r="C424"/>
      <c r="D424"/>
      <c r="E424"/>
      <c r="F424"/>
      <c r="G424"/>
      <c r="H424"/>
    </row>
    <row r="425" spans="1:8" ht="14.5" x14ac:dyDescent="0.35">
      <c r="A425"/>
      <c r="B425"/>
      <c r="C425"/>
      <c r="D425"/>
      <c r="E425"/>
      <c r="F425"/>
      <c r="G425"/>
      <c r="H425"/>
    </row>
    <row r="426" spans="1:8" ht="14.5" x14ac:dyDescent="0.35">
      <c r="A426"/>
      <c r="B426"/>
      <c r="C426"/>
      <c r="D426"/>
      <c r="E426"/>
      <c r="F426"/>
      <c r="G426"/>
      <c r="H426"/>
    </row>
    <row r="427" spans="1:8" ht="14.5" x14ac:dyDescent="0.35">
      <c r="A427"/>
      <c r="B427"/>
      <c r="C427"/>
      <c r="D427"/>
      <c r="E427"/>
      <c r="F427"/>
      <c r="G427"/>
      <c r="H427"/>
    </row>
    <row r="428" spans="1:8" ht="14.5" x14ac:dyDescent="0.35">
      <c r="A428"/>
      <c r="B428"/>
      <c r="C428"/>
      <c r="D428"/>
      <c r="E428"/>
      <c r="F428"/>
      <c r="G428"/>
      <c r="H428"/>
    </row>
    <row r="429" spans="1:8" ht="14.5" x14ac:dyDescent="0.35">
      <c r="A429"/>
      <c r="B429"/>
      <c r="C429"/>
      <c r="D429"/>
      <c r="E429"/>
      <c r="F429"/>
      <c r="G429"/>
      <c r="H429"/>
    </row>
    <row r="430" spans="1:8" ht="14.5" x14ac:dyDescent="0.35">
      <c r="A430"/>
      <c r="B430"/>
      <c r="C430"/>
      <c r="D430"/>
      <c r="E430"/>
      <c r="F430"/>
      <c r="G430"/>
      <c r="H430"/>
    </row>
    <row r="431" spans="1:8" ht="14.5" x14ac:dyDescent="0.35">
      <c r="A431"/>
      <c r="B431"/>
      <c r="C431"/>
      <c r="D431"/>
      <c r="E431"/>
      <c r="F431"/>
      <c r="G431"/>
      <c r="H431"/>
    </row>
    <row r="432" spans="1:8" ht="14.5" x14ac:dyDescent="0.35">
      <c r="A432"/>
      <c r="B432"/>
      <c r="C432"/>
      <c r="D432"/>
      <c r="E432"/>
      <c r="F432"/>
      <c r="G432"/>
      <c r="H432"/>
    </row>
    <row r="433" spans="1:8" ht="14.5" x14ac:dyDescent="0.35">
      <c r="A433"/>
      <c r="B433"/>
      <c r="C433"/>
      <c r="D433"/>
      <c r="E433"/>
      <c r="F433"/>
      <c r="G433"/>
      <c r="H433"/>
    </row>
    <row r="434" spans="1:8" ht="14.5" x14ac:dyDescent="0.35">
      <c r="A434"/>
      <c r="B434"/>
      <c r="C434"/>
      <c r="D434"/>
      <c r="E434"/>
      <c r="F434"/>
      <c r="G434"/>
      <c r="H434"/>
    </row>
    <row r="435" spans="1:8" ht="14.5" x14ac:dyDescent="0.35">
      <c r="A435"/>
      <c r="B435"/>
      <c r="C435"/>
      <c r="D435"/>
      <c r="E435"/>
      <c r="F435"/>
      <c r="G435"/>
      <c r="H435"/>
    </row>
    <row r="436" spans="1:8" ht="14.5" x14ac:dyDescent="0.35">
      <c r="A436"/>
      <c r="B436"/>
      <c r="C436"/>
      <c r="D436"/>
      <c r="E436"/>
      <c r="F436"/>
      <c r="G436"/>
      <c r="H436"/>
    </row>
    <row r="437" spans="1:8" ht="14.5" x14ac:dyDescent="0.35">
      <c r="A437"/>
      <c r="B437"/>
      <c r="C437"/>
      <c r="D437"/>
      <c r="E437"/>
      <c r="F437"/>
      <c r="G437"/>
      <c r="H437"/>
    </row>
    <row r="438" spans="1:8" ht="14.5" x14ac:dyDescent="0.35">
      <c r="A438"/>
      <c r="B438"/>
      <c r="C438"/>
      <c r="D438"/>
      <c r="E438"/>
      <c r="F438"/>
      <c r="G438"/>
      <c r="H438"/>
    </row>
    <row r="439" spans="1:8" ht="14.5" x14ac:dyDescent="0.35">
      <c r="A439"/>
      <c r="B439"/>
      <c r="C439"/>
      <c r="D439"/>
      <c r="E439"/>
      <c r="F439"/>
      <c r="G439"/>
      <c r="H439"/>
    </row>
    <row r="440" spans="1:8" ht="14.5" x14ac:dyDescent="0.35">
      <c r="A440"/>
      <c r="B440"/>
      <c r="C440"/>
      <c r="D440"/>
      <c r="E440"/>
      <c r="F440"/>
      <c r="G440"/>
      <c r="H440"/>
    </row>
    <row r="441" spans="1:8" ht="14.5" x14ac:dyDescent="0.35">
      <c r="A441"/>
      <c r="B441"/>
      <c r="C441"/>
      <c r="D441"/>
      <c r="E441"/>
      <c r="F441"/>
      <c r="G441"/>
      <c r="H441"/>
    </row>
    <row r="442" spans="1:8" ht="14.5" x14ac:dyDescent="0.35">
      <c r="A442"/>
      <c r="B442"/>
      <c r="C442"/>
      <c r="D442"/>
      <c r="E442"/>
      <c r="F442"/>
      <c r="G442"/>
      <c r="H442"/>
    </row>
    <row r="443" spans="1:8" ht="14.5" x14ac:dyDescent="0.35">
      <c r="A443"/>
      <c r="B443"/>
      <c r="C443"/>
      <c r="D443"/>
      <c r="E443"/>
      <c r="F443"/>
      <c r="G443"/>
      <c r="H443"/>
    </row>
    <row r="444" spans="1:8" ht="14.5" x14ac:dyDescent="0.35">
      <c r="A444"/>
      <c r="B444"/>
      <c r="C444"/>
      <c r="D444"/>
      <c r="E444"/>
      <c r="F444"/>
      <c r="G444"/>
      <c r="H444"/>
    </row>
    <row r="445" spans="1:8" ht="14.5" x14ac:dyDescent="0.35">
      <c r="A445"/>
      <c r="B445"/>
      <c r="C445"/>
      <c r="D445"/>
      <c r="E445"/>
      <c r="F445"/>
      <c r="G445"/>
      <c r="H445"/>
    </row>
    <row r="446" spans="1:8" ht="14.5" x14ac:dyDescent="0.35">
      <c r="A446"/>
      <c r="B446"/>
      <c r="C446"/>
      <c r="D446"/>
      <c r="E446"/>
      <c r="F446"/>
      <c r="G446"/>
      <c r="H446"/>
    </row>
    <row r="447" spans="1:8" ht="14.5" x14ac:dyDescent="0.35">
      <c r="A447"/>
      <c r="B447"/>
      <c r="C447"/>
      <c r="D447"/>
      <c r="E447"/>
      <c r="F447"/>
      <c r="G447"/>
      <c r="H447"/>
    </row>
    <row r="448" spans="1:8" ht="14.5" x14ac:dyDescent="0.35">
      <c r="A448"/>
      <c r="B448"/>
      <c r="C448"/>
      <c r="D448"/>
      <c r="E448"/>
      <c r="F448"/>
      <c r="G448"/>
      <c r="H448"/>
    </row>
    <row r="449" spans="1:8" ht="14.5" x14ac:dyDescent="0.35">
      <c r="A449"/>
      <c r="B449"/>
      <c r="C449"/>
      <c r="D449"/>
      <c r="E449"/>
      <c r="F449"/>
      <c r="G449"/>
      <c r="H449"/>
    </row>
    <row r="450" spans="1:8" ht="14.5" x14ac:dyDescent="0.35">
      <c r="A450"/>
      <c r="B450"/>
      <c r="C450"/>
      <c r="D450"/>
      <c r="E450"/>
      <c r="F450"/>
      <c r="G450"/>
      <c r="H450"/>
    </row>
    <row r="451" spans="1:8" ht="14.5" x14ac:dyDescent="0.35">
      <c r="A451"/>
      <c r="B451"/>
      <c r="C451"/>
      <c r="D451"/>
      <c r="E451"/>
      <c r="F451"/>
      <c r="G451"/>
      <c r="H451"/>
    </row>
    <row r="452" spans="1:8" ht="14.5" x14ac:dyDescent="0.35">
      <c r="A452"/>
      <c r="B452"/>
      <c r="C452"/>
      <c r="D452"/>
      <c r="E452"/>
      <c r="F452"/>
      <c r="G452"/>
      <c r="H452"/>
    </row>
    <row r="453" spans="1:8" ht="14.5" x14ac:dyDescent="0.35">
      <c r="A453"/>
      <c r="B453"/>
      <c r="C453"/>
      <c r="D453"/>
      <c r="E453"/>
      <c r="F453"/>
      <c r="G453"/>
      <c r="H453"/>
    </row>
    <row r="454" spans="1:8" ht="14.5" x14ac:dyDescent="0.35">
      <c r="A454"/>
      <c r="B454"/>
      <c r="C454"/>
      <c r="D454"/>
      <c r="E454"/>
      <c r="F454"/>
      <c r="G454"/>
      <c r="H454"/>
    </row>
    <row r="455" spans="1:8" ht="14.5" x14ac:dyDescent="0.35">
      <c r="A455"/>
      <c r="B455"/>
      <c r="C455"/>
      <c r="D455"/>
      <c r="E455"/>
      <c r="F455"/>
      <c r="G455"/>
      <c r="H455"/>
    </row>
    <row r="456" spans="1:8" ht="14.5" x14ac:dyDescent="0.35">
      <c r="A456"/>
      <c r="B456"/>
      <c r="C456"/>
      <c r="D456"/>
      <c r="E456"/>
      <c r="F456"/>
      <c r="G456"/>
      <c r="H456"/>
    </row>
    <row r="457" spans="1:8" ht="14.5" x14ac:dyDescent="0.35">
      <c r="A457"/>
      <c r="B457"/>
      <c r="C457"/>
      <c r="D457"/>
      <c r="E457"/>
      <c r="F457"/>
      <c r="G457"/>
      <c r="H457"/>
    </row>
    <row r="458" spans="1:8" ht="14.5" x14ac:dyDescent="0.35">
      <c r="A458"/>
      <c r="B458"/>
      <c r="C458"/>
      <c r="D458"/>
      <c r="E458"/>
      <c r="F458"/>
      <c r="G458"/>
      <c r="H458"/>
    </row>
    <row r="459" spans="1:8" ht="14.5" x14ac:dyDescent="0.35">
      <c r="A459"/>
      <c r="B459"/>
      <c r="C459"/>
      <c r="D459"/>
      <c r="E459"/>
      <c r="F459"/>
      <c r="G459"/>
      <c r="H459"/>
    </row>
    <row r="460" spans="1:8" ht="14.5" x14ac:dyDescent="0.35">
      <c r="A460"/>
      <c r="B460"/>
      <c r="C460"/>
      <c r="D460"/>
      <c r="E460"/>
      <c r="F460"/>
      <c r="G460"/>
      <c r="H460"/>
    </row>
    <row r="461" spans="1:8" ht="14.5" x14ac:dyDescent="0.35">
      <c r="A461"/>
      <c r="B461"/>
      <c r="C461"/>
      <c r="D461"/>
      <c r="E461"/>
      <c r="F461"/>
      <c r="G461"/>
      <c r="H461"/>
    </row>
    <row r="462" spans="1:8" ht="14.5" x14ac:dyDescent="0.35">
      <c r="A462"/>
      <c r="B462"/>
      <c r="C462"/>
      <c r="D462"/>
      <c r="E462"/>
      <c r="F462"/>
      <c r="G462"/>
      <c r="H462"/>
    </row>
    <row r="463" spans="1:8" ht="14.5" x14ac:dyDescent="0.35">
      <c r="A463"/>
      <c r="B463"/>
      <c r="C463"/>
      <c r="D463"/>
      <c r="E463"/>
      <c r="F463"/>
      <c r="G463"/>
      <c r="H463"/>
    </row>
    <row r="464" spans="1:8" ht="14.5" x14ac:dyDescent="0.35">
      <c r="A464"/>
      <c r="B464"/>
      <c r="C464"/>
      <c r="D464"/>
      <c r="E464"/>
      <c r="F464"/>
      <c r="G464"/>
      <c r="H464"/>
    </row>
    <row r="465" spans="1:8" ht="14.5" x14ac:dyDescent="0.35">
      <c r="A465"/>
      <c r="B465"/>
      <c r="C465"/>
      <c r="D465"/>
      <c r="E465"/>
      <c r="F465"/>
      <c r="G465"/>
      <c r="H465"/>
    </row>
    <row r="466" spans="1:8" ht="14.5" x14ac:dyDescent="0.35">
      <c r="A466"/>
      <c r="B466"/>
      <c r="C466"/>
      <c r="D466"/>
      <c r="E466"/>
      <c r="F466"/>
      <c r="G466"/>
      <c r="H466"/>
    </row>
    <row r="467" spans="1:8" ht="14.5" x14ac:dyDescent="0.35">
      <c r="A467"/>
      <c r="B467"/>
      <c r="C467"/>
      <c r="D467"/>
      <c r="E467"/>
      <c r="F467"/>
      <c r="G467"/>
      <c r="H467"/>
    </row>
    <row r="468" spans="1:8" ht="14.5" x14ac:dyDescent="0.35">
      <c r="A468"/>
      <c r="B468"/>
      <c r="C468"/>
      <c r="D468"/>
      <c r="E468"/>
      <c r="F468"/>
      <c r="G468"/>
      <c r="H468"/>
    </row>
    <row r="469" spans="1:8" ht="14.5" x14ac:dyDescent="0.35">
      <c r="A469"/>
      <c r="B469"/>
      <c r="C469"/>
      <c r="D469"/>
      <c r="E469"/>
      <c r="F469"/>
      <c r="G469"/>
      <c r="H469"/>
    </row>
    <row r="470" spans="1:8" ht="14.5" x14ac:dyDescent="0.35">
      <c r="A470"/>
      <c r="B470"/>
      <c r="C470"/>
      <c r="D470"/>
      <c r="E470"/>
      <c r="F470"/>
      <c r="G470"/>
      <c r="H470"/>
    </row>
    <row r="471" spans="1:8" ht="14.5" x14ac:dyDescent="0.35">
      <c r="A471"/>
      <c r="B471"/>
      <c r="C471"/>
      <c r="D471"/>
      <c r="E471"/>
      <c r="F471"/>
      <c r="G471"/>
      <c r="H471"/>
    </row>
    <row r="472" spans="1:8" ht="14.5" x14ac:dyDescent="0.35">
      <c r="A472"/>
      <c r="B472"/>
      <c r="C472"/>
      <c r="D472"/>
      <c r="E472"/>
      <c r="F472"/>
      <c r="G472"/>
      <c r="H472"/>
    </row>
    <row r="473" spans="1:8" ht="14.5" x14ac:dyDescent="0.35">
      <c r="A473"/>
      <c r="B473"/>
      <c r="C473"/>
      <c r="D473"/>
      <c r="E473"/>
      <c r="F473"/>
      <c r="G473"/>
      <c r="H473"/>
    </row>
    <row r="474" spans="1:8" ht="14.5" x14ac:dyDescent="0.35">
      <c r="A474"/>
      <c r="B474"/>
      <c r="C474"/>
      <c r="D474"/>
      <c r="E474"/>
      <c r="F474"/>
      <c r="G474"/>
      <c r="H474"/>
    </row>
    <row r="475" spans="1:8" ht="14.5" x14ac:dyDescent="0.35">
      <c r="A475"/>
      <c r="B475"/>
      <c r="C475"/>
      <c r="D475"/>
      <c r="E475"/>
      <c r="F475"/>
      <c r="G475"/>
      <c r="H475"/>
    </row>
    <row r="476" spans="1:8" ht="14.5" x14ac:dyDescent="0.35">
      <c r="A476"/>
      <c r="B476"/>
      <c r="C476"/>
      <c r="D476"/>
      <c r="E476"/>
      <c r="F476"/>
      <c r="G476"/>
      <c r="H476"/>
    </row>
    <row r="477" spans="1:8" ht="14.5" x14ac:dyDescent="0.35">
      <c r="A477"/>
      <c r="B477"/>
      <c r="C477"/>
      <c r="D477"/>
      <c r="E477"/>
      <c r="F477"/>
      <c r="G477"/>
      <c r="H477"/>
    </row>
    <row r="478" spans="1:8" ht="14.5" x14ac:dyDescent="0.35">
      <c r="A478"/>
      <c r="B478"/>
      <c r="C478"/>
      <c r="D478"/>
      <c r="E478"/>
      <c r="F478"/>
      <c r="G478"/>
      <c r="H478"/>
    </row>
    <row r="479" spans="1:8" ht="14.5" x14ac:dyDescent="0.35">
      <c r="A479"/>
      <c r="B479"/>
      <c r="C479"/>
      <c r="D479"/>
      <c r="E479"/>
      <c r="F479"/>
      <c r="G479"/>
      <c r="H479"/>
    </row>
    <row r="480" spans="1:8" ht="14.5" x14ac:dyDescent="0.35">
      <c r="A480"/>
      <c r="B480"/>
      <c r="C480"/>
      <c r="D480"/>
      <c r="E480"/>
      <c r="F480"/>
      <c r="G480"/>
      <c r="H480"/>
    </row>
    <row r="481" spans="1:8" ht="14.5" x14ac:dyDescent="0.35">
      <c r="A481"/>
      <c r="B481"/>
      <c r="C481"/>
      <c r="D481"/>
      <c r="E481"/>
      <c r="F481"/>
      <c r="G481"/>
      <c r="H481"/>
    </row>
    <row r="482" spans="1:8" ht="14.5" x14ac:dyDescent="0.35">
      <c r="A482"/>
      <c r="B482"/>
      <c r="C482"/>
      <c r="D482"/>
      <c r="E482"/>
      <c r="F482"/>
      <c r="G482"/>
      <c r="H482"/>
    </row>
    <row r="483" spans="1:8" ht="14.5" x14ac:dyDescent="0.35">
      <c r="A483"/>
      <c r="B483"/>
      <c r="C483"/>
      <c r="D483"/>
      <c r="E483"/>
      <c r="F483"/>
      <c r="G483"/>
      <c r="H483"/>
    </row>
    <row r="484" spans="1:8" ht="14.5" x14ac:dyDescent="0.35">
      <c r="A484"/>
      <c r="B484"/>
      <c r="C484"/>
      <c r="D484"/>
      <c r="E484"/>
      <c r="F484"/>
      <c r="G484"/>
      <c r="H484"/>
    </row>
    <row r="485" spans="1:8" ht="14.5" x14ac:dyDescent="0.35">
      <c r="A485"/>
      <c r="B485"/>
      <c r="C485"/>
      <c r="D485"/>
      <c r="E485"/>
      <c r="F485"/>
      <c r="G485"/>
      <c r="H485"/>
    </row>
    <row r="486" spans="1:8" ht="14.5" x14ac:dyDescent="0.35">
      <c r="A486"/>
      <c r="B486"/>
      <c r="C486"/>
      <c r="D486"/>
      <c r="E486"/>
      <c r="F486"/>
      <c r="G486"/>
      <c r="H486"/>
    </row>
    <row r="487" spans="1:8" ht="14.5" x14ac:dyDescent="0.35">
      <c r="A487"/>
      <c r="B487"/>
      <c r="C487"/>
      <c r="D487"/>
      <c r="E487"/>
      <c r="F487"/>
      <c r="G487"/>
      <c r="H487"/>
    </row>
    <row r="488" spans="1:8" ht="14.5" x14ac:dyDescent="0.35">
      <c r="A488"/>
      <c r="B488"/>
      <c r="C488"/>
      <c r="D488"/>
      <c r="E488"/>
      <c r="F488"/>
      <c r="G488"/>
      <c r="H488"/>
    </row>
    <row r="489" spans="1:8" ht="14.5" x14ac:dyDescent="0.35">
      <c r="A489"/>
      <c r="B489"/>
      <c r="C489"/>
      <c r="D489"/>
      <c r="E489"/>
      <c r="F489"/>
      <c r="G489"/>
      <c r="H489"/>
    </row>
    <row r="490" spans="1:8" ht="14.5" x14ac:dyDescent="0.35">
      <c r="A490"/>
      <c r="B490"/>
      <c r="C490"/>
      <c r="D490"/>
      <c r="E490"/>
      <c r="F490"/>
      <c r="G490"/>
      <c r="H490"/>
    </row>
    <row r="491" spans="1:8" ht="14.5" x14ac:dyDescent="0.35">
      <c r="A491"/>
      <c r="B491"/>
      <c r="C491"/>
      <c r="D491"/>
      <c r="E491"/>
      <c r="F491"/>
      <c r="G491"/>
      <c r="H491"/>
    </row>
    <row r="492" spans="1:8" ht="14.5" x14ac:dyDescent="0.35">
      <c r="A492"/>
      <c r="B492"/>
      <c r="C492"/>
      <c r="D492"/>
      <c r="E492"/>
      <c r="F492"/>
      <c r="G492"/>
      <c r="H492"/>
    </row>
    <row r="493" spans="1:8" ht="14.5" x14ac:dyDescent="0.35">
      <c r="A493"/>
      <c r="B493"/>
      <c r="C493"/>
      <c r="D493"/>
      <c r="E493"/>
      <c r="F493"/>
      <c r="G493"/>
      <c r="H493"/>
    </row>
    <row r="494" spans="1:8" ht="14.5" x14ac:dyDescent="0.35">
      <c r="A494"/>
      <c r="B494"/>
      <c r="C494"/>
      <c r="D494"/>
      <c r="E494"/>
      <c r="F494"/>
      <c r="G494"/>
      <c r="H494"/>
    </row>
    <row r="495" spans="1:8" ht="14.5" x14ac:dyDescent="0.35">
      <c r="A495"/>
      <c r="B495"/>
      <c r="C495"/>
      <c r="D495"/>
      <c r="E495"/>
      <c r="F495"/>
      <c r="G495"/>
      <c r="H495"/>
    </row>
    <row r="496" spans="1:8" ht="14.5" x14ac:dyDescent="0.35">
      <c r="A496"/>
      <c r="B496"/>
      <c r="C496"/>
      <c r="D496"/>
      <c r="E496"/>
      <c r="F496"/>
      <c r="G496"/>
      <c r="H496"/>
    </row>
    <row r="497" spans="1:8" ht="14.5" x14ac:dyDescent="0.35">
      <c r="A497"/>
      <c r="B497"/>
      <c r="C497"/>
      <c r="D497"/>
      <c r="E497"/>
      <c r="F497"/>
      <c r="G497"/>
      <c r="H497"/>
    </row>
    <row r="498" spans="1:8" ht="14.5" x14ac:dyDescent="0.35">
      <c r="A498"/>
      <c r="B498"/>
      <c r="C498"/>
      <c r="D498"/>
      <c r="E498"/>
      <c r="F498"/>
      <c r="G498"/>
      <c r="H498"/>
    </row>
    <row r="499" spans="1:8" ht="14.5" x14ac:dyDescent="0.35">
      <c r="A499"/>
      <c r="B499"/>
      <c r="C499"/>
      <c r="D499"/>
      <c r="E499"/>
      <c r="F499"/>
      <c r="G499"/>
      <c r="H499"/>
    </row>
    <row r="500" spans="1:8" ht="14.5" x14ac:dyDescent="0.35">
      <c r="A500"/>
      <c r="B500"/>
      <c r="C500"/>
      <c r="D500"/>
      <c r="E500"/>
      <c r="F500"/>
      <c r="G500"/>
      <c r="H500"/>
    </row>
    <row r="501" spans="1:8" ht="14.5" x14ac:dyDescent="0.35">
      <c r="A501"/>
      <c r="B501"/>
      <c r="C501"/>
      <c r="D501"/>
      <c r="E501"/>
      <c r="F501"/>
      <c r="G501"/>
      <c r="H501"/>
    </row>
    <row r="502" spans="1:8" ht="14.5" x14ac:dyDescent="0.35">
      <c r="A502"/>
      <c r="B502"/>
      <c r="C502"/>
      <c r="D502"/>
      <c r="E502"/>
      <c r="F502"/>
      <c r="G502"/>
      <c r="H502"/>
    </row>
    <row r="503" spans="1:8" ht="14.5" x14ac:dyDescent="0.35">
      <c r="A503"/>
      <c r="B503"/>
      <c r="C503"/>
      <c r="D503"/>
      <c r="E503"/>
      <c r="F503"/>
      <c r="G503"/>
      <c r="H503"/>
    </row>
    <row r="504" spans="1:8" ht="14.5" x14ac:dyDescent="0.35">
      <c r="A504"/>
      <c r="B504"/>
      <c r="C504"/>
      <c r="D504"/>
      <c r="E504"/>
      <c r="F504"/>
      <c r="G504"/>
      <c r="H504"/>
    </row>
    <row r="505" spans="1:8" ht="14.5" x14ac:dyDescent="0.35">
      <c r="A505"/>
      <c r="B505"/>
      <c r="C505"/>
      <c r="D505"/>
      <c r="E505"/>
      <c r="F505"/>
      <c r="G505"/>
      <c r="H505"/>
    </row>
    <row r="506" spans="1:8" ht="14.5" x14ac:dyDescent="0.35">
      <c r="A506"/>
      <c r="B506"/>
      <c r="C506"/>
      <c r="D506"/>
      <c r="E506"/>
      <c r="F506"/>
      <c r="G506"/>
      <c r="H506"/>
    </row>
    <row r="507" spans="1:8" ht="14.5" x14ac:dyDescent="0.35">
      <c r="A507"/>
      <c r="B507"/>
      <c r="C507"/>
      <c r="D507"/>
      <c r="E507"/>
      <c r="F507"/>
      <c r="G507"/>
      <c r="H507"/>
    </row>
    <row r="508" spans="1:8" ht="14.5" x14ac:dyDescent="0.35">
      <c r="A508"/>
      <c r="B508"/>
      <c r="C508"/>
      <c r="D508"/>
      <c r="E508"/>
      <c r="F508"/>
      <c r="G508"/>
      <c r="H508"/>
    </row>
    <row r="509" spans="1:8" ht="14.5" x14ac:dyDescent="0.35">
      <c r="A509"/>
      <c r="B509"/>
      <c r="C509"/>
      <c r="D509"/>
      <c r="E509"/>
      <c r="F509"/>
      <c r="G509"/>
      <c r="H509"/>
    </row>
    <row r="510" spans="1:8" ht="14.5" x14ac:dyDescent="0.35">
      <c r="A510"/>
      <c r="B510"/>
      <c r="C510"/>
      <c r="D510"/>
      <c r="E510"/>
      <c r="F510"/>
      <c r="G510"/>
      <c r="H510"/>
    </row>
    <row r="511" spans="1:8" ht="14.5" x14ac:dyDescent="0.35">
      <c r="A511"/>
      <c r="B511"/>
      <c r="C511"/>
      <c r="D511"/>
      <c r="E511"/>
      <c r="F511"/>
      <c r="G511"/>
      <c r="H511"/>
    </row>
    <row r="512" spans="1:8" ht="14.5" x14ac:dyDescent="0.35">
      <c r="A512"/>
      <c r="B512"/>
      <c r="C512"/>
      <c r="D512"/>
      <c r="E512"/>
      <c r="F512"/>
      <c r="G512"/>
      <c r="H512"/>
    </row>
    <row r="513" spans="1:8" ht="14.5" x14ac:dyDescent="0.35">
      <c r="A513"/>
      <c r="B513"/>
      <c r="C513"/>
      <c r="D513"/>
      <c r="E513"/>
      <c r="F513"/>
      <c r="G513"/>
      <c r="H513"/>
    </row>
    <row r="514" spans="1:8" ht="14.5" x14ac:dyDescent="0.35">
      <c r="A514"/>
      <c r="B514"/>
      <c r="C514"/>
      <c r="D514"/>
      <c r="E514"/>
      <c r="F514"/>
      <c r="G514"/>
      <c r="H514"/>
    </row>
    <row r="515" spans="1:8" ht="14.5" x14ac:dyDescent="0.35">
      <c r="A515"/>
      <c r="B515"/>
      <c r="C515"/>
      <c r="D515"/>
      <c r="E515"/>
      <c r="F515"/>
      <c r="G515"/>
      <c r="H515"/>
    </row>
    <row r="516" spans="1:8" ht="14.5" x14ac:dyDescent="0.35">
      <c r="A516"/>
      <c r="B516"/>
      <c r="C516"/>
      <c r="D516"/>
      <c r="E516"/>
      <c r="F516"/>
      <c r="G516"/>
      <c r="H516"/>
    </row>
    <row r="517" spans="1:8" ht="14.5" x14ac:dyDescent="0.35">
      <c r="A517"/>
      <c r="B517"/>
      <c r="C517"/>
      <c r="D517"/>
      <c r="E517"/>
      <c r="F517"/>
      <c r="G517"/>
      <c r="H517"/>
    </row>
    <row r="518" spans="1:8" ht="14.5" x14ac:dyDescent="0.35">
      <c r="A518"/>
      <c r="B518"/>
      <c r="C518"/>
      <c r="D518"/>
      <c r="E518"/>
      <c r="F518"/>
      <c r="G518"/>
      <c r="H518"/>
    </row>
    <row r="519" spans="1:8" ht="14.5" x14ac:dyDescent="0.35">
      <c r="A519"/>
      <c r="B519"/>
      <c r="C519"/>
      <c r="D519"/>
      <c r="E519"/>
      <c r="F519"/>
      <c r="G519"/>
      <c r="H519"/>
    </row>
    <row r="520" spans="1:8" ht="14.5" x14ac:dyDescent="0.35">
      <c r="A520"/>
      <c r="B520"/>
      <c r="C520"/>
      <c r="D520"/>
      <c r="E520"/>
      <c r="F520"/>
      <c r="G520"/>
      <c r="H520"/>
    </row>
    <row r="521" spans="1:8" ht="14.5" x14ac:dyDescent="0.35">
      <c r="A521"/>
      <c r="B521"/>
      <c r="C521"/>
      <c r="D521"/>
      <c r="E521"/>
      <c r="F521"/>
      <c r="G521"/>
      <c r="H521"/>
    </row>
    <row r="522" spans="1:8" ht="14.5" x14ac:dyDescent="0.35">
      <c r="A522"/>
      <c r="B522"/>
      <c r="C522"/>
      <c r="D522"/>
      <c r="E522"/>
      <c r="F522"/>
      <c r="G522"/>
      <c r="H522"/>
    </row>
    <row r="523" spans="1:8" ht="14.5" x14ac:dyDescent="0.35">
      <c r="A523"/>
      <c r="B523"/>
      <c r="C523"/>
      <c r="D523"/>
      <c r="E523"/>
      <c r="F523"/>
      <c r="G523"/>
      <c r="H523"/>
    </row>
    <row r="524" spans="1:8" ht="14.5" x14ac:dyDescent="0.35">
      <c r="A524"/>
      <c r="B524"/>
      <c r="C524"/>
      <c r="D524"/>
      <c r="E524"/>
      <c r="F524"/>
      <c r="G524"/>
      <c r="H524"/>
    </row>
    <row r="525" spans="1:8" ht="14.5" x14ac:dyDescent="0.35">
      <c r="A525"/>
      <c r="B525"/>
      <c r="C525"/>
      <c r="D525"/>
      <c r="E525"/>
      <c r="F525"/>
      <c r="G525"/>
      <c r="H525"/>
    </row>
    <row r="526" spans="1:8" ht="14.5" x14ac:dyDescent="0.35">
      <c r="A526"/>
      <c r="B526"/>
      <c r="C526"/>
      <c r="D526"/>
      <c r="E526"/>
      <c r="F526"/>
      <c r="G526"/>
      <c r="H526"/>
    </row>
    <row r="527" spans="1:8" ht="14.5" x14ac:dyDescent="0.35">
      <c r="A527"/>
      <c r="B527"/>
      <c r="C527"/>
      <c r="D527"/>
      <c r="E527"/>
      <c r="F527"/>
      <c r="G527"/>
      <c r="H527"/>
    </row>
    <row r="528" spans="1:8" ht="14.5" x14ac:dyDescent="0.35">
      <c r="A528"/>
      <c r="B528"/>
      <c r="C528"/>
      <c r="D528"/>
      <c r="E528"/>
      <c r="F528"/>
      <c r="G528"/>
      <c r="H528"/>
    </row>
    <row r="529" spans="1:8" ht="14.5" x14ac:dyDescent="0.35">
      <c r="A529"/>
      <c r="B529"/>
      <c r="C529"/>
      <c r="D529"/>
      <c r="E529"/>
      <c r="F529"/>
      <c r="G529"/>
      <c r="H529"/>
    </row>
    <row r="530" spans="1:8" ht="14.5" x14ac:dyDescent="0.35">
      <c r="A530"/>
      <c r="B530"/>
      <c r="C530"/>
      <c r="D530"/>
      <c r="E530"/>
      <c r="F530"/>
      <c r="G530"/>
      <c r="H530"/>
    </row>
    <row r="531" spans="1:8" ht="14.5" x14ac:dyDescent="0.35">
      <c r="A531"/>
      <c r="B531"/>
      <c r="C531"/>
      <c r="D531"/>
      <c r="E531"/>
      <c r="F531"/>
      <c r="G531"/>
      <c r="H531"/>
    </row>
    <row r="532" spans="1:8" ht="14.5" x14ac:dyDescent="0.35">
      <c r="A532"/>
      <c r="B532"/>
      <c r="C532"/>
      <c r="D532"/>
      <c r="E532"/>
      <c r="F532"/>
      <c r="G532"/>
      <c r="H532"/>
    </row>
    <row r="533" spans="1:8" ht="14.5" x14ac:dyDescent="0.35">
      <c r="A533"/>
      <c r="B533"/>
      <c r="C533"/>
      <c r="D533"/>
      <c r="E533"/>
      <c r="F533"/>
      <c r="G533"/>
      <c r="H533"/>
    </row>
    <row r="534" spans="1:8" ht="14.5" x14ac:dyDescent="0.35">
      <c r="A534"/>
      <c r="B534"/>
      <c r="C534"/>
      <c r="D534"/>
      <c r="E534"/>
      <c r="F534"/>
      <c r="G534"/>
      <c r="H534"/>
    </row>
    <row r="535" spans="1:8" ht="14.5" x14ac:dyDescent="0.35">
      <c r="A535"/>
      <c r="B535"/>
      <c r="C535"/>
      <c r="D535"/>
      <c r="E535"/>
      <c r="F535"/>
      <c r="G535"/>
      <c r="H535"/>
    </row>
    <row r="536" spans="1:8" ht="14.5" x14ac:dyDescent="0.35">
      <c r="A536"/>
      <c r="B536"/>
      <c r="C536"/>
      <c r="D536"/>
      <c r="E536"/>
      <c r="F536"/>
      <c r="G536"/>
      <c r="H536"/>
    </row>
    <row r="537" spans="1:8" ht="14.5" x14ac:dyDescent="0.35">
      <c r="A537"/>
      <c r="B537"/>
      <c r="C537"/>
      <c r="D537"/>
      <c r="E537"/>
      <c r="F537"/>
      <c r="G537"/>
      <c r="H537"/>
    </row>
    <row r="538" spans="1:8" ht="14.5" x14ac:dyDescent="0.35">
      <c r="A538"/>
      <c r="B538"/>
      <c r="C538"/>
      <c r="D538"/>
      <c r="E538"/>
      <c r="F538"/>
      <c r="G538"/>
      <c r="H538"/>
    </row>
    <row r="539" spans="1:8" ht="14.5" x14ac:dyDescent="0.35">
      <c r="A539"/>
      <c r="B539"/>
      <c r="C539"/>
      <c r="D539"/>
      <c r="E539"/>
      <c r="F539"/>
      <c r="G539"/>
      <c r="H539"/>
    </row>
    <row r="540" spans="1:8" ht="14.5" x14ac:dyDescent="0.35">
      <c r="A540"/>
      <c r="B540"/>
      <c r="C540"/>
      <c r="D540"/>
      <c r="E540"/>
      <c r="F540"/>
      <c r="G540"/>
      <c r="H540"/>
    </row>
    <row r="541" spans="1:8" ht="14.5" x14ac:dyDescent="0.35">
      <c r="A541"/>
      <c r="B541"/>
      <c r="C541"/>
      <c r="D541"/>
      <c r="E541"/>
      <c r="F541"/>
      <c r="G541"/>
      <c r="H541"/>
    </row>
    <row r="542" spans="1:8" ht="14.5" x14ac:dyDescent="0.35">
      <c r="A542"/>
      <c r="B542"/>
      <c r="C542"/>
      <c r="D542"/>
      <c r="E542"/>
      <c r="F542"/>
      <c r="G542"/>
      <c r="H542"/>
    </row>
    <row r="543" spans="1:8" ht="14.5" x14ac:dyDescent="0.35">
      <c r="A543"/>
      <c r="B543"/>
      <c r="C543"/>
      <c r="D543"/>
      <c r="E543"/>
      <c r="F543"/>
      <c r="G543"/>
      <c r="H543"/>
    </row>
    <row r="544" spans="1:8" ht="14.5" x14ac:dyDescent="0.35">
      <c r="A544"/>
      <c r="B544"/>
      <c r="C544"/>
      <c r="D544"/>
      <c r="E544"/>
      <c r="F544"/>
      <c r="G544"/>
      <c r="H544"/>
    </row>
    <row r="545" spans="1:8" ht="14.5" x14ac:dyDescent="0.35">
      <c r="A545"/>
      <c r="B545"/>
      <c r="C545"/>
      <c r="D545"/>
      <c r="E545"/>
      <c r="F545"/>
      <c r="G545"/>
      <c r="H545"/>
    </row>
    <row r="546" spans="1:8" ht="14.5" x14ac:dyDescent="0.35">
      <c r="A546"/>
      <c r="B546"/>
      <c r="C546"/>
      <c r="D546"/>
      <c r="E546"/>
      <c r="F546"/>
      <c r="G546"/>
      <c r="H546"/>
    </row>
    <row r="547" spans="1:8" ht="14.5" x14ac:dyDescent="0.35">
      <c r="A547"/>
      <c r="B547"/>
      <c r="C547"/>
      <c r="D547"/>
      <c r="E547"/>
      <c r="F547"/>
      <c r="G547"/>
      <c r="H547"/>
    </row>
    <row r="548" spans="1:8" ht="14.5" x14ac:dyDescent="0.35">
      <c r="A548"/>
      <c r="B548"/>
      <c r="C548"/>
      <c r="D548"/>
      <c r="E548"/>
      <c r="F548"/>
      <c r="G548"/>
      <c r="H548"/>
    </row>
    <row r="549" spans="1:8" ht="14.5" x14ac:dyDescent="0.35">
      <c r="A549"/>
      <c r="B549"/>
      <c r="C549"/>
      <c r="D549"/>
      <c r="E549"/>
      <c r="F549"/>
      <c r="G549"/>
      <c r="H549"/>
    </row>
    <row r="550" spans="1:8" ht="14.5" x14ac:dyDescent="0.35">
      <c r="A550"/>
      <c r="B550"/>
      <c r="C550"/>
      <c r="D550"/>
      <c r="E550"/>
      <c r="F550"/>
      <c r="G550"/>
      <c r="H550"/>
    </row>
    <row r="551" spans="1:8" ht="14.5" x14ac:dyDescent="0.35">
      <c r="A551"/>
      <c r="B551"/>
      <c r="C551"/>
      <c r="D551"/>
      <c r="E551"/>
      <c r="F551"/>
      <c r="G551"/>
      <c r="H551"/>
    </row>
    <row r="552" spans="1:8" ht="14.5" x14ac:dyDescent="0.35">
      <c r="A552"/>
      <c r="B552"/>
      <c r="C552"/>
      <c r="D552"/>
      <c r="E552"/>
      <c r="F552"/>
      <c r="G552"/>
      <c r="H552"/>
    </row>
    <row r="553" spans="1:8" ht="14.5" x14ac:dyDescent="0.35">
      <c r="A553"/>
      <c r="B553"/>
      <c r="C553"/>
      <c r="D553"/>
      <c r="E553"/>
      <c r="F553"/>
      <c r="G553"/>
      <c r="H553"/>
    </row>
    <row r="554" spans="1:8" ht="14.5" x14ac:dyDescent="0.35">
      <c r="A554"/>
      <c r="B554"/>
      <c r="C554"/>
      <c r="D554"/>
      <c r="E554"/>
      <c r="F554"/>
      <c r="G554"/>
      <c r="H554"/>
    </row>
    <row r="555" spans="1:8" ht="14.5" x14ac:dyDescent="0.35">
      <c r="A555"/>
      <c r="B555"/>
      <c r="C555"/>
      <c r="D555"/>
      <c r="E555"/>
      <c r="F555"/>
      <c r="G555"/>
      <c r="H555"/>
    </row>
    <row r="556" spans="1:8" ht="14.5" x14ac:dyDescent="0.35">
      <c r="A556"/>
      <c r="B556"/>
      <c r="C556"/>
      <c r="D556"/>
      <c r="E556"/>
      <c r="F556"/>
      <c r="G556"/>
      <c r="H556"/>
    </row>
    <row r="557" spans="1:8" ht="14.5" x14ac:dyDescent="0.35">
      <c r="A557"/>
      <c r="B557"/>
      <c r="C557"/>
      <c r="D557"/>
      <c r="E557"/>
      <c r="F557"/>
      <c r="G557"/>
      <c r="H557"/>
    </row>
    <row r="558" spans="1:8" ht="14.5" x14ac:dyDescent="0.35">
      <c r="A558"/>
      <c r="B558"/>
      <c r="C558"/>
      <c r="D558"/>
      <c r="E558"/>
      <c r="F558"/>
      <c r="G558"/>
      <c r="H558"/>
    </row>
    <row r="559" spans="1:8" ht="14.5" x14ac:dyDescent="0.35">
      <c r="A559"/>
      <c r="B559"/>
      <c r="C559"/>
      <c r="D559"/>
      <c r="E559"/>
      <c r="F559"/>
      <c r="G559"/>
      <c r="H559"/>
    </row>
    <row r="560" spans="1:8" ht="14.5" x14ac:dyDescent="0.35">
      <c r="A560"/>
      <c r="B560"/>
      <c r="C560"/>
      <c r="D560"/>
      <c r="E560"/>
      <c r="F560"/>
      <c r="G560"/>
      <c r="H560"/>
    </row>
    <row r="561" spans="1:8" ht="14.5" x14ac:dyDescent="0.35">
      <c r="A561"/>
      <c r="B561"/>
      <c r="C561"/>
      <c r="D561"/>
      <c r="E561"/>
      <c r="F561"/>
      <c r="G561"/>
      <c r="H561"/>
    </row>
    <row r="562" spans="1:8" ht="14.5" x14ac:dyDescent="0.35">
      <c r="A562"/>
      <c r="B562"/>
      <c r="C562"/>
      <c r="D562"/>
      <c r="E562"/>
      <c r="F562"/>
      <c r="G562"/>
      <c r="H562"/>
    </row>
    <row r="563" spans="1:8" ht="14.5" x14ac:dyDescent="0.35">
      <c r="A563"/>
      <c r="B563"/>
      <c r="C563"/>
      <c r="D563"/>
      <c r="E563"/>
      <c r="F563"/>
      <c r="G563"/>
      <c r="H563"/>
    </row>
    <row r="564" spans="1:8" ht="14.5" x14ac:dyDescent="0.35">
      <c r="A564"/>
      <c r="B564"/>
      <c r="C564"/>
      <c r="D564"/>
      <c r="E564"/>
      <c r="F564"/>
      <c r="G564"/>
      <c r="H564"/>
    </row>
    <row r="565" spans="1:8" ht="14.5" x14ac:dyDescent="0.35">
      <c r="A565"/>
      <c r="B565"/>
      <c r="C565"/>
      <c r="D565"/>
      <c r="E565"/>
      <c r="F565"/>
      <c r="G565"/>
      <c r="H565"/>
    </row>
    <row r="566" spans="1:8" ht="14.5" x14ac:dyDescent="0.35">
      <c r="A566"/>
      <c r="B566"/>
      <c r="C566"/>
      <c r="D566"/>
      <c r="E566"/>
      <c r="F566"/>
      <c r="G566"/>
      <c r="H566"/>
    </row>
    <row r="567" spans="1:8" ht="14.5" x14ac:dyDescent="0.35">
      <c r="A567"/>
      <c r="B567"/>
      <c r="C567"/>
      <c r="D567"/>
      <c r="E567"/>
      <c r="F567"/>
      <c r="G567"/>
      <c r="H567"/>
    </row>
    <row r="568" spans="1:8" ht="14.5" x14ac:dyDescent="0.35">
      <c r="A568"/>
      <c r="B568"/>
      <c r="C568"/>
      <c r="D568"/>
      <c r="E568"/>
      <c r="F568"/>
      <c r="G568"/>
      <c r="H568"/>
    </row>
    <row r="569" spans="1:8" ht="14.5" x14ac:dyDescent="0.35">
      <c r="A569"/>
      <c r="B569"/>
      <c r="C569"/>
      <c r="D569"/>
      <c r="E569"/>
      <c r="F569"/>
      <c r="G569"/>
      <c r="H569"/>
    </row>
    <row r="570" spans="1:8" ht="14.5" x14ac:dyDescent="0.35">
      <c r="A570"/>
      <c r="B570"/>
      <c r="C570"/>
      <c r="D570"/>
      <c r="E570"/>
      <c r="F570"/>
      <c r="G570"/>
      <c r="H570"/>
    </row>
    <row r="571" spans="1:8" ht="14.5" x14ac:dyDescent="0.35">
      <c r="A571"/>
      <c r="B571"/>
      <c r="C571"/>
      <c r="D571"/>
      <c r="E571"/>
      <c r="F571"/>
      <c r="G571"/>
      <c r="H571"/>
    </row>
    <row r="572" spans="1:8" ht="14.5" x14ac:dyDescent="0.35">
      <c r="A572"/>
      <c r="B572"/>
      <c r="C572"/>
      <c r="D572"/>
      <c r="E572"/>
      <c r="F572"/>
      <c r="G572"/>
      <c r="H572"/>
    </row>
    <row r="573" spans="1:8" ht="14.5" x14ac:dyDescent="0.35">
      <c r="A573"/>
      <c r="B573"/>
      <c r="C573"/>
      <c r="D573"/>
      <c r="E573"/>
      <c r="F573"/>
      <c r="G573"/>
      <c r="H573"/>
    </row>
    <row r="574" spans="1:8" ht="14.5" x14ac:dyDescent="0.35">
      <c r="A574"/>
      <c r="B574"/>
      <c r="C574"/>
      <c r="D574"/>
      <c r="E574"/>
      <c r="F574"/>
      <c r="G574"/>
      <c r="H574"/>
    </row>
    <row r="575" spans="1:8" ht="14.5" x14ac:dyDescent="0.35">
      <c r="A575"/>
      <c r="B575"/>
      <c r="C575"/>
      <c r="D575"/>
      <c r="E575"/>
      <c r="F575"/>
      <c r="G575"/>
      <c r="H575"/>
    </row>
    <row r="576" spans="1:8" ht="14.5" x14ac:dyDescent="0.35">
      <c r="A576"/>
      <c r="B576"/>
      <c r="C576"/>
      <c r="D576"/>
      <c r="E576"/>
      <c r="F576"/>
      <c r="G576"/>
      <c r="H576"/>
    </row>
    <row r="577" spans="1:8" ht="14.5" x14ac:dyDescent="0.35">
      <c r="A577"/>
      <c r="B577"/>
      <c r="C577"/>
      <c r="D577"/>
      <c r="E577"/>
      <c r="F577"/>
      <c r="G577"/>
      <c r="H577"/>
    </row>
    <row r="578" spans="1:8" ht="14.5" x14ac:dyDescent="0.35">
      <c r="A578"/>
      <c r="B578"/>
      <c r="C578"/>
      <c r="D578"/>
      <c r="E578"/>
      <c r="F578"/>
      <c r="G578"/>
      <c r="H578"/>
    </row>
    <row r="579" spans="1:8" ht="14.5" x14ac:dyDescent="0.35">
      <c r="A579"/>
      <c r="B579"/>
      <c r="C579"/>
      <c r="D579"/>
      <c r="E579"/>
      <c r="F579"/>
      <c r="G579"/>
      <c r="H579"/>
    </row>
    <row r="580" spans="1:8" ht="14.5" x14ac:dyDescent="0.35">
      <c r="A580"/>
      <c r="B580"/>
      <c r="C580"/>
      <c r="D580"/>
      <c r="E580"/>
      <c r="F580"/>
      <c r="G580"/>
      <c r="H580"/>
    </row>
    <row r="581" spans="1:8" ht="14.5" x14ac:dyDescent="0.35">
      <c r="A581"/>
      <c r="B581"/>
      <c r="C581"/>
      <c r="D581"/>
      <c r="E581"/>
      <c r="F581"/>
      <c r="G581"/>
      <c r="H581"/>
    </row>
    <row r="582" spans="1:8" ht="14.5" x14ac:dyDescent="0.35">
      <c r="A582"/>
      <c r="B582"/>
      <c r="C582"/>
      <c r="D582"/>
      <c r="E582"/>
      <c r="F582"/>
      <c r="G582"/>
      <c r="H582"/>
    </row>
    <row r="583" spans="1:8" ht="14.5" x14ac:dyDescent="0.35">
      <c r="A583"/>
      <c r="B583"/>
      <c r="C583"/>
      <c r="D583"/>
      <c r="E583"/>
      <c r="F583"/>
      <c r="G583"/>
      <c r="H583"/>
    </row>
    <row r="584" spans="1:8" ht="14.5" x14ac:dyDescent="0.35">
      <c r="A584"/>
      <c r="B584"/>
      <c r="C584"/>
      <c r="D584"/>
      <c r="E584"/>
      <c r="F584"/>
      <c r="G584"/>
      <c r="H584"/>
    </row>
    <row r="585" spans="1:8" ht="14.5" x14ac:dyDescent="0.35">
      <c r="A585"/>
      <c r="B585"/>
      <c r="C585"/>
      <c r="D585"/>
      <c r="E585"/>
      <c r="F585"/>
      <c r="G585"/>
      <c r="H585"/>
    </row>
    <row r="586" spans="1:8" ht="14.5" x14ac:dyDescent="0.35">
      <c r="A586"/>
      <c r="B586"/>
      <c r="C586"/>
      <c r="D586"/>
      <c r="E586"/>
      <c r="F586"/>
      <c r="G586"/>
      <c r="H586"/>
    </row>
    <row r="587" spans="1:8" ht="14.5" x14ac:dyDescent="0.35">
      <c r="A587"/>
      <c r="B587"/>
      <c r="C587"/>
      <c r="D587"/>
      <c r="E587"/>
      <c r="F587"/>
      <c r="G587"/>
      <c r="H587"/>
    </row>
    <row r="588" spans="1:8" ht="14.5" x14ac:dyDescent="0.35">
      <c r="A588"/>
      <c r="B588"/>
      <c r="C588"/>
      <c r="D588"/>
      <c r="E588"/>
      <c r="F588"/>
      <c r="G588"/>
      <c r="H588"/>
    </row>
    <row r="589" spans="1:8" ht="14.5" x14ac:dyDescent="0.35">
      <c r="A589"/>
      <c r="B589"/>
      <c r="C589"/>
      <c r="D589"/>
      <c r="E589"/>
      <c r="F589"/>
      <c r="G589"/>
      <c r="H589"/>
    </row>
    <row r="590" spans="1:8" ht="14.5" x14ac:dyDescent="0.35">
      <c r="A590"/>
      <c r="B590"/>
      <c r="C590"/>
      <c r="D590"/>
      <c r="E590"/>
      <c r="F590"/>
      <c r="G590"/>
      <c r="H590"/>
    </row>
    <row r="591" spans="1:8" ht="14.5" x14ac:dyDescent="0.35">
      <c r="A591"/>
      <c r="B591"/>
      <c r="C591"/>
      <c r="D591"/>
      <c r="E591"/>
      <c r="F591"/>
      <c r="G591"/>
      <c r="H591"/>
    </row>
    <row r="592" spans="1:8" ht="14.5" x14ac:dyDescent="0.35">
      <c r="A592"/>
      <c r="B592"/>
      <c r="C592"/>
      <c r="D592"/>
      <c r="E592"/>
      <c r="F592"/>
      <c r="G592"/>
      <c r="H592"/>
    </row>
    <row r="593" spans="1:8" ht="14.5" x14ac:dyDescent="0.35">
      <c r="A593"/>
      <c r="B593"/>
      <c r="C593"/>
      <c r="D593"/>
      <c r="E593"/>
      <c r="F593"/>
      <c r="G593"/>
      <c r="H593"/>
    </row>
    <row r="594" spans="1:8" ht="14.5" x14ac:dyDescent="0.35">
      <c r="A594"/>
      <c r="B594"/>
      <c r="C594"/>
      <c r="D594"/>
      <c r="E594"/>
      <c r="F594"/>
      <c r="G594"/>
      <c r="H594"/>
    </row>
    <row r="595" spans="1:8" ht="14.5" x14ac:dyDescent="0.35">
      <c r="A595"/>
      <c r="B595"/>
      <c r="C595"/>
      <c r="D595"/>
      <c r="E595"/>
      <c r="F595"/>
      <c r="G595"/>
      <c r="H595"/>
    </row>
    <row r="596" spans="1:8" ht="14.5" x14ac:dyDescent="0.35">
      <c r="A596"/>
      <c r="B596"/>
      <c r="C596"/>
      <c r="D596"/>
      <c r="E596"/>
      <c r="F596"/>
      <c r="G596"/>
      <c r="H596"/>
    </row>
    <row r="597" spans="1:8" ht="14.5" x14ac:dyDescent="0.35">
      <c r="A597"/>
      <c r="B597"/>
      <c r="C597"/>
      <c r="D597"/>
      <c r="E597"/>
      <c r="F597"/>
      <c r="G597"/>
      <c r="H597"/>
    </row>
    <row r="598" spans="1:8" ht="14.5" x14ac:dyDescent="0.35">
      <c r="A598"/>
      <c r="B598"/>
      <c r="C598"/>
      <c r="D598"/>
      <c r="E598"/>
      <c r="F598"/>
      <c r="G598"/>
      <c r="H598"/>
    </row>
    <row r="599" spans="1:8" ht="14.5" x14ac:dyDescent="0.35">
      <c r="A599"/>
      <c r="B599"/>
      <c r="C599"/>
      <c r="D599"/>
      <c r="E599"/>
      <c r="F599"/>
      <c r="G599"/>
      <c r="H599"/>
    </row>
    <row r="600" spans="1:8" ht="14.5" x14ac:dyDescent="0.35">
      <c r="A600"/>
      <c r="B600"/>
      <c r="C600"/>
      <c r="D600"/>
      <c r="E600"/>
      <c r="F600"/>
      <c r="G600"/>
      <c r="H600"/>
    </row>
    <row r="601" spans="1:8" ht="14.5" x14ac:dyDescent="0.35">
      <c r="A601"/>
      <c r="B601"/>
      <c r="C601"/>
      <c r="D601"/>
      <c r="E601"/>
      <c r="F601"/>
      <c r="G601"/>
      <c r="H601"/>
    </row>
    <row r="602" spans="1:8" ht="14.5" x14ac:dyDescent="0.35">
      <c r="A602"/>
      <c r="B602"/>
      <c r="C602"/>
      <c r="D602"/>
      <c r="E602"/>
      <c r="F602"/>
      <c r="G602"/>
      <c r="H602"/>
    </row>
    <row r="603" spans="1:8" ht="14.5" x14ac:dyDescent="0.35">
      <c r="A603"/>
      <c r="B603"/>
      <c r="C603"/>
      <c r="D603"/>
      <c r="E603"/>
      <c r="F603"/>
      <c r="G603"/>
      <c r="H603"/>
    </row>
    <row r="604" spans="1:8" ht="14.5" x14ac:dyDescent="0.35">
      <c r="A604"/>
      <c r="B604"/>
      <c r="C604"/>
      <c r="D604"/>
      <c r="E604"/>
      <c r="F604"/>
      <c r="G604"/>
      <c r="H604"/>
    </row>
    <row r="605" spans="1:8" ht="14.5" x14ac:dyDescent="0.35">
      <c r="A605"/>
      <c r="B605"/>
      <c r="C605"/>
      <c r="D605"/>
      <c r="E605"/>
      <c r="F605"/>
      <c r="G605"/>
      <c r="H605"/>
    </row>
    <row r="606" spans="1:8" ht="14.5" x14ac:dyDescent="0.35">
      <c r="A606"/>
      <c r="B606"/>
      <c r="C606"/>
      <c r="D606"/>
      <c r="E606"/>
      <c r="F606"/>
      <c r="G606"/>
      <c r="H606"/>
    </row>
    <row r="607" spans="1:8" ht="14.5" x14ac:dyDescent="0.35">
      <c r="A607"/>
      <c r="B607"/>
      <c r="C607"/>
      <c r="D607"/>
      <c r="E607"/>
      <c r="F607"/>
      <c r="G607"/>
      <c r="H607"/>
    </row>
    <row r="608" spans="1:8" ht="14.5" x14ac:dyDescent="0.35">
      <c r="A608"/>
      <c r="B608"/>
      <c r="C608"/>
      <c r="D608"/>
      <c r="E608"/>
      <c r="F608"/>
      <c r="G608"/>
      <c r="H608"/>
    </row>
    <row r="609" spans="1:8" ht="14.5" x14ac:dyDescent="0.35">
      <c r="A609"/>
      <c r="B609"/>
      <c r="C609"/>
      <c r="D609"/>
      <c r="E609"/>
      <c r="F609"/>
      <c r="G609"/>
      <c r="H609"/>
    </row>
    <row r="610" spans="1:8" ht="14.5" x14ac:dyDescent="0.35">
      <c r="A610"/>
      <c r="B610"/>
      <c r="C610"/>
      <c r="D610"/>
      <c r="E610"/>
      <c r="F610"/>
      <c r="G610"/>
      <c r="H610"/>
    </row>
    <row r="611" spans="1:8" ht="14.5" x14ac:dyDescent="0.35">
      <c r="A611"/>
      <c r="B611"/>
      <c r="C611"/>
      <c r="D611"/>
      <c r="E611"/>
      <c r="F611"/>
      <c r="G611"/>
      <c r="H611"/>
    </row>
    <row r="612" spans="1:8" ht="14.5" x14ac:dyDescent="0.35">
      <c r="A612"/>
      <c r="B612"/>
      <c r="C612"/>
      <c r="D612"/>
      <c r="E612"/>
      <c r="F612"/>
      <c r="G612"/>
      <c r="H612"/>
    </row>
    <row r="613" spans="1:8" ht="14.5" x14ac:dyDescent="0.35">
      <c r="A613"/>
      <c r="B613"/>
      <c r="C613"/>
      <c r="D613"/>
      <c r="E613"/>
      <c r="F613"/>
      <c r="G613"/>
      <c r="H613"/>
    </row>
    <row r="614" spans="1:8" ht="14.5" x14ac:dyDescent="0.35">
      <c r="A614"/>
      <c r="B614"/>
      <c r="C614"/>
      <c r="D614"/>
      <c r="E614"/>
      <c r="F614"/>
      <c r="G614"/>
      <c r="H614"/>
    </row>
    <row r="615" spans="1:8" ht="14.5" x14ac:dyDescent="0.35">
      <c r="A615"/>
      <c r="B615"/>
      <c r="C615"/>
      <c r="D615"/>
      <c r="E615"/>
      <c r="F615"/>
      <c r="G615"/>
      <c r="H615"/>
    </row>
    <row r="616" spans="1:8" ht="14.5" x14ac:dyDescent="0.35">
      <c r="A616"/>
      <c r="B616"/>
      <c r="C616"/>
      <c r="D616"/>
      <c r="E616"/>
      <c r="F616"/>
      <c r="G616"/>
      <c r="H616"/>
    </row>
    <row r="617" spans="1:8" ht="14.5" x14ac:dyDescent="0.35">
      <c r="A617"/>
      <c r="B617"/>
      <c r="C617"/>
      <c r="D617"/>
      <c r="E617"/>
      <c r="F617"/>
      <c r="G617"/>
      <c r="H617"/>
    </row>
    <row r="618" spans="1:8" ht="14.5" x14ac:dyDescent="0.35">
      <c r="A618"/>
      <c r="B618"/>
      <c r="C618"/>
      <c r="D618"/>
      <c r="E618"/>
      <c r="F618"/>
      <c r="G618"/>
      <c r="H618"/>
    </row>
    <row r="619" spans="1:8" ht="14.5" x14ac:dyDescent="0.35">
      <c r="A619"/>
      <c r="B619"/>
      <c r="C619"/>
      <c r="D619"/>
      <c r="E619"/>
      <c r="F619"/>
      <c r="G619"/>
      <c r="H619"/>
    </row>
    <row r="620" spans="1:8" ht="14.5" x14ac:dyDescent="0.35">
      <c r="A620"/>
      <c r="B620"/>
      <c r="C620"/>
      <c r="D620"/>
      <c r="E620"/>
      <c r="F620"/>
      <c r="G620"/>
      <c r="H620"/>
    </row>
    <row r="621" spans="1:8" ht="14.5" x14ac:dyDescent="0.35">
      <c r="A621"/>
      <c r="B621"/>
      <c r="C621"/>
      <c r="D621"/>
      <c r="E621"/>
      <c r="F621"/>
      <c r="G621"/>
      <c r="H621"/>
    </row>
    <row r="622" spans="1:8" ht="14.5" x14ac:dyDescent="0.35">
      <c r="A622"/>
      <c r="B622"/>
      <c r="C622"/>
      <c r="D622"/>
      <c r="E622"/>
      <c r="F622"/>
      <c r="G622"/>
      <c r="H622"/>
    </row>
    <row r="623" spans="1:8" ht="14.5" x14ac:dyDescent="0.35">
      <c r="A623"/>
      <c r="B623"/>
      <c r="C623"/>
      <c r="D623"/>
      <c r="E623"/>
      <c r="F623"/>
      <c r="G623"/>
      <c r="H623"/>
    </row>
    <row r="624" spans="1:8" ht="14.5" x14ac:dyDescent="0.35">
      <c r="A624"/>
      <c r="B624"/>
      <c r="C624"/>
      <c r="D624"/>
      <c r="E624"/>
      <c r="F624"/>
      <c r="G624"/>
      <c r="H624"/>
    </row>
    <row r="625" spans="1:8" ht="14.5" x14ac:dyDescent="0.35">
      <c r="A625"/>
      <c r="B625"/>
      <c r="C625"/>
      <c r="D625"/>
      <c r="E625"/>
      <c r="F625"/>
      <c r="G625"/>
      <c r="H625"/>
    </row>
    <row r="626" spans="1:8" ht="14.5" x14ac:dyDescent="0.35">
      <c r="A626"/>
      <c r="B626"/>
      <c r="C626"/>
      <c r="D626"/>
      <c r="E626"/>
      <c r="F626"/>
      <c r="G626"/>
      <c r="H626"/>
    </row>
    <row r="627" spans="1:8" ht="14.5" x14ac:dyDescent="0.35">
      <c r="A627"/>
      <c r="B627"/>
      <c r="C627"/>
      <c r="D627"/>
      <c r="E627"/>
      <c r="F627"/>
      <c r="G627"/>
      <c r="H627"/>
    </row>
    <row r="628" spans="1:8" ht="14.5" x14ac:dyDescent="0.35">
      <c r="A628"/>
      <c r="B628"/>
      <c r="C628"/>
      <c r="D628"/>
      <c r="E628"/>
      <c r="F628"/>
      <c r="G628"/>
      <c r="H628"/>
    </row>
    <row r="629" spans="1:8" ht="14.5" x14ac:dyDescent="0.35">
      <c r="A629"/>
      <c r="B629"/>
      <c r="C629"/>
      <c r="D629"/>
      <c r="E629"/>
      <c r="F629"/>
      <c r="G629"/>
      <c r="H629"/>
    </row>
    <row r="630" spans="1:8" ht="14.5" x14ac:dyDescent="0.35">
      <c r="A630"/>
      <c r="B630"/>
      <c r="C630"/>
      <c r="D630"/>
      <c r="E630"/>
      <c r="F630"/>
      <c r="G630"/>
      <c r="H630"/>
    </row>
    <row r="631" spans="1:8" ht="14.5" x14ac:dyDescent="0.35">
      <c r="A631"/>
      <c r="B631"/>
      <c r="C631"/>
      <c r="D631"/>
      <c r="E631"/>
      <c r="F631"/>
      <c r="G631"/>
      <c r="H631"/>
    </row>
    <row r="632" spans="1:8" ht="14.5" x14ac:dyDescent="0.35">
      <c r="A632"/>
      <c r="B632"/>
      <c r="C632"/>
      <c r="D632"/>
      <c r="E632"/>
      <c r="F632"/>
      <c r="G632"/>
      <c r="H632"/>
    </row>
    <row r="633" spans="1:8" ht="14.5" x14ac:dyDescent="0.35">
      <c r="A633"/>
      <c r="B633"/>
      <c r="C633"/>
      <c r="D633"/>
      <c r="E633"/>
      <c r="F633"/>
      <c r="G633"/>
      <c r="H633"/>
    </row>
    <row r="634" spans="1:8" ht="14.5" x14ac:dyDescent="0.35">
      <c r="A634"/>
      <c r="B634"/>
      <c r="C634"/>
      <c r="D634"/>
      <c r="E634"/>
      <c r="F634"/>
      <c r="G634"/>
      <c r="H634"/>
    </row>
    <row r="635" spans="1:8" ht="14.5" x14ac:dyDescent="0.35">
      <c r="A635"/>
      <c r="B635"/>
      <c r="C635"/>
      <c r="D635"/>
      <c r="E635"/>
      <c r="F635"/>
      <c r="G635"/>
      <c r="H635"/>
    </row>
    <row r="636" spans="1:8" ht="14.5" x14ac:dyDescent="0.35">
      <c r="A636"/>
      <c r="B636"/>
      <c r="C636"/>
      <c r="D636"/>
      <c r="E636"/>
      <c r="F636"/>
      <c r="G636"/>
      <c r="H636"/>
    </row>
    <row r="637" spans="1:8" ht="14.5" x14ac:dyDescent="0.35">
      <c r="A637"/>
      <c r="B637"/>
      <c r="C637"/>
      <c r="D637"/>
      <c r="E637"/>
      <c r="F637"/>
      <c r="G637"/>
      <c r="H637"/>
    </row>
    <row r="638" spans="1:8" ht="14.5" x14ac:dyDescent="0.35">
      <c r="A638"/>
      <c r="B638"/>
      <c r="C638"/>
      <c r="D638"/>
      <c r="E638"/>
      <c r="F638"/>
      <c r="G638"/>
      <c r="H638"/>
    </row>
    <row r="639" spans="1:8" ht="14.5" x14ac:dyDescent="0.35">
      <c r="A639"/>
      <c r="B639"/>
      <c r="C639"/>
      <c r="D639"/>
      <c r="E639"/>
      <c r="F639"/>
      <c r="G639"/>
      <c r="H639"/>
    </row>
    <row r="640" spans="1:8" ht="14.5" x14ac:dyDescent="0.35">
      <c r="A640"/>
      <c r="B640"/>
      <c r="C640"/>
      <c r="D640"/>
      <c r="E640"/>
      <c r="F640"/>
      <c r="G640"/>
      <c r="H640"/>
    </row>
    <row r="641" spans="1:8" ht="14.5" x14ac:dyDescent="0.35">
      <c r="A641"/>
      <c r="B641"/>
      <c r="C641"/>
      <c r="D641"/>
      <c r="E641"/>
      <c r="F641"/>
      <c r="G641"/>
      <c r="H641"/>
    </row>
    <row r="642" spans="1:8" ht="14.5" x14ac:dyDescent="0.35">
      <c r="A642"/>
      <c r="B642"/>
      <c r="C642"/>
      <c r="D642"/>
      <c r="E642"/>
      <c r="F642"/>
      <c r="G642"/>
      <c r="H642"/>
    </row>
    <row r="643" spans="1:8" ht="14.5" x14ac:dyDescent="0.35">
      <c r="A643"/>
      <c r="B643"/>
      <c r="C643"/>
      <c r="D643"/>
      <c r="E643"/>
      <c r="F643"/>
      <c r="G643"/>
      <c r="H643"/>
    </row>
    <row r="644" spans="1:8" ht="14.5" x14ac:dyDescent="0.35">
      <c r="A644"/>
      <c r="B644"/>
      <c r="C644"/>
      <c r="D644"/>
      <c r="E644"/>
      <c r="F644"/>
      <c r="G644"/>
      <c r="H644"/>
    </row>
    <row r="645" spans="1:8" ht="14.5" x14ac:dyDescent="0.35">
      <c r="A645"/>
      <c r="B645"/>
      <c r="C645"/>
      <c r="D645"/>
      <c r="E645"/>
      <c r="F645"/>
      <c r="G645"/>
      <c r="H645"/>
    </row>
    <row r="646" spans="1:8" ht="14.5" x14ac:dyDescent="0.35">
      <c r="A646"/>
      <c r="B646"/>
      <c r="C646"/>
      <c r="D646"/>
      <c r="E646"/>
      <c r="F646"/>
      <c r="G646"/>
      <c r="H646"/>
    </row>
    <row r="647" spans="1:8" ht="14.5" x14ac:dyDescent="0.35">
      <c r="A647"/>
      <c r="B647"/>
      <c r="C647"/>
      <c r="D647"/>
      <c r="E647"/>
      <c r="F647"/>
      <c r="G647"/>
      <c r="H647"/>
    </row>
    <row r="648" spans="1:8" ht="14.5" x14ac:dyDescent="0.35">
      <c r="A648"/>
      <c r="B648"/>
      <c r="C648"/>
      <c r="D648"/>
      <c r="E648"/>
      <c r="F648"/>
      <c r="G648"/>
      <c r="H648"/>
    </row>
    <row r="649" spans="1:8" ht="14.5" x14ac:dyDescent="0.35">
      <c r="A649"/>
      <c r="B649"/>
      <c r="C649"/>
      <c r="D649"/>
      <c r="E649"/>
      <c r="F649"/>
      <c r="G649"/>
      <c r="H649"/>
    </row>
    <row r="650" spans="1:8" ht="14.5" x14ac:dyDescent="0.35">
      <c r="A650"/>
      <c r="B650"/>
      <c r="C650"/>
      <c r="D650"/>
      <c r="E650"/>
      <c r="F650"/>
      <c r="G650"/>
      <c r="H650"/>
    </row>
    <row r="651" spans="1:8" ht="14.5" x14ac:dyDescent="0.35">
      <c r="A651"/>
      <c r="B651"/>
      <c r="C651"/>
      <c r="D651"/>
      <c r="E651"/>
      <c r="F651"/>
      <c r="G651"/>
      <c r="H651"/>
    </row>
    <row r="652" spans="1:8" ht="14.5" x14ac:dyDescent="0.35">
      <c r="A652"/>
      <c r="B652"/>
      <c r="C652"/>
      <c r="D652"/>
      <c r="E652"/>
      <c r="F652"/>
      <c r="G652"/>
      <c r="H652"/>
    </row>
    <row r="653" spans="1:8" ht="14.5" x14ac:dyDescent="0.35">
      <c r="A653"/>
      <c r="B653"/>
      <c r="C653"/>
      <c r="D653"/>
      <c r="E653"/>
      <c r="F653"/>
      <c r="G653"/>
      <c r="H653"/>
    </row>
    <row r="654" spans="1:8" ht="14.5" x14ac:dyDescent="0.35">
      <c r="A654"/>
      <c r="B654"/>
      <c r="C654"/>
      <c r="D654"/>
      <c r="E654"/>
      <c r="F654"/>
      <c r="G654"/>
      <c r="H654"/>
    </row>
    <row r="655" spans="1:8" ht="14.5" x14ac:dyDescent="0.35">
      <c r="A655"/>
      <c r="B655"/>
      <c r="C655"/>
      <c r="D655"/>
      <c r="E655"/>
      <c r="F655"/>
      <c r="G655"/>
      <c r="H655"/>
    </row>
    <row r="656" spans="1:8" ht="14.5" x14ac:dyDescent="0.35">
      <c r="A656"/>
      <c r="B656"/>
      <c r="C656"/>
      <c r="D656"/>
      <c r="E656"/>
      <c r="F656"/>
      <c r="G656"/>
      <c r="H656"/>
    </row>
    <row r="657" spans="1:8" ht="14.5" x14ac:dyDescent="0.35">
      <c r="A657"/>
      <c r="B657"/>
      <c r="C657"/>
      <c r="D657"/>
      <c r="E657"/>
      <c r="F657"/>
      <c r="G657"/>
      <c r="H657"/>
    </row>
    <row r="658" spans="1:8" ht="14.5" x14ac:dyDescent="0.35">
      <c r="A658"/>
      <c r="B658"/>
      <c r="C658"/>
      <c r="D658"/>
      <c r="E658"/>
      <c r="F658"/>
      <c r="G658"/>
      <c r="H658"/>
    </row>
    <row r="659" spans="1:8" ht="14.5" x14ac:dyDescent="0.35">
      <c r="A659"/>
      <c r="B659"/>
      <c r="C659"/>
      <c r="D659"/>
      <c r="E659"/>
      <c r="F659"/>
      <c r="G659"/>
      <c r="H659"/>
    </row>
    <row r="660" spans="1:8" ht="14.5" x14ac:dyDescent="0.35">
      <c r="A660"/>
      <c r="B660"/>
      <c r="C660"/>
      <c r="D660"/>
      <c r="E660"/>
      <c r="F660"/>
      <c r="G660"/>
      <c r="H660"/>
    </row>
    <row r="661" spans="1:8" ht="14.5" x14ac:dyDescent="0.35">
      <c r="A661"/>
      <c r="B661"/>
      <c r="C661"/>
      <c r="D661"/>
      <c r="E661"/>
      <c r="F661"/>
      <c r="G661"/>
      <c r="H661"/>
    </row>
    <row r="662" spans="1:8" ht="14.5" x14ac:dyDescent="0.35">
      <c r="A662"/>
      <c r="B662"/>
      <c r="C662"/>
      <c r="D662"/>
      <c r="E662"/>
      <c r="F662"/>
      <c r="G662"/>
      <c r="H662"/>
    </row>
    <row r="663" spans="1:8" ht="14.5" x14ac:dyDescent="0.35">
      <c r="A663"/>
      <c r="B663"/>
      <c r="C663"/>
      <c r="D663"/>
      <c r="E663"/>
      <c r="F663"/>
      <c r="G663"/>
      <c r="H663"/>
    </row>
    <row r="664" spans="1:8" ht="14.5" x14ac:dyDescent="0.35">
      <c r="A664"/>
      <c r="B664"/>
      <c r="C664"/>
      <c r="D664"/>
      <c r="E664"/>
      <c r="F664"/>
      <c r="G664"/>
      <c r="H664"/>
    </row>
    <row r="665" spans="1:8" ht="14.5" x14ac:dyDescent="0.35">
      <c r="A665"/>
      <c r="B665"/>
      <c r="C665"/>
      <c r="D665"/>
      <c r="E665"/>
      <c r="F665"/>
      <c r="G665"/>
      <c r="H665"/>
    </row>
    <row r="666" spans="1:8" ht="14.5" x14ac:dyDescent="0.35">
      <c r="A666"/>
      <c r="B666"/>
      <c r="C666"/>
      <c r="D666"/>
      <c r="E666"/>
      <c r="F666"/>
      <c r="G666"/>
      <c r="H666"/>
    </row>
    <row r="667" spans="1:8" ht="14.5" x14ac:dyDescent="0.35">
      <c r="A667"/>
      <c r="B667"/>
      <c r="C667"/>
      <c r="D667"/>
      <c r="E667"/>
      <c r="F667"/>
      <c r="G667"/>
      <c r="H667"/>
    </row>
    <row r="668" spans="1:8" ht="14.5" x14ac:dyDescent="0.35">
      <c r="A668"/>
      <c r="B668"/>
      <c r="C668"/>
      <c r="D668"/>
      <c r="E668"/>
      <c r="F668"/>
      <c r="G668"/>
      <c r="H668"/>
    </row>
    <row r="669" spans="1:8" ht="14.5" x14ac:dyDescent="0.35">
      <c r="A669"/>
      <c r="B669"/>
      <c r="C669"/>
      <c r="D669"/>
      <c r="E669"/>
      <c r="F669"/>
      <c r="G669"/>
      <c r="H669"/>
    </row>
    <row r="670" spans="1:8" ht="14.5" x14ac:dyDescent="0.35">
      <c r="A670"/>
      <c r="B670"/>
      <c r="C670"/>
      <c r="D670"/>
      <c r="E670"/>
      <c r="F670"/>
      <c r="G670"/>
      <c r="H670"/>
    </row>
    <row r="671" spans="1:8" ht="14.5" x14ac:dyDescent="0.35">
      <c r="A671"/>
      <c r="B671"/>
      <c r="C671"/>
      <c r="D671"/>
      <c r="E671"/>
      <c r="F671"/>
      <c r="G671"/>
      <c r="H671"/>
    </row>
    <row r="672" spans="1:8" ht="14.5" x14ac:dyDescent="0.35">
      <c r="A672"/>
      <c r="B672"/>
      <c r="C672"/>
      <c r="D672"/>
      <c r="E672"/>
      <c r="F672"/>
      <c r="G672"/>
      <c r="H672"/>
    </row>
    <row r="673" spans="1:8" ht="14.5" x14ac:dyDescent="0.35">
      <c r="A673"/>
      <c r="B673"/>
      <c r="C673"/>
      <c r="D673"/>
      <c r="E673"/>
      <c r="F673"/>
      <c r="G673"/>
      <c r="H673"/>
    </row>
    <row r="674" spans="1:8" ht="14.5" x14ac:dyDescent="0.35">
      <c r="A674"/>
      <c r="B674"/>
      <c r="C674"/>
      <c r="D674"/>
      <c r="E674"/>
      <c r="F674"/>
      <c r="G674"/>
      <c r="H674"/>
    </row>
    <row r="675" spans="1:8" ht="14.5" x14ac:dyDescent="0.35">
      <c r="A675"/>
      <c r="B675"/>
      <c r="C675"/>
      <c r="D675"/>
      <c r="E675"/>
      <c r="F675"/>
      <c r="G675"/>
      <c r="H675"/>
    </row>
    <row r="676" spans="1:8" ht="14.5" x14ac:dyDescent="0.35">
      <c r="A676"/>
      <c r="B676"/>
      <c r="C676"/>
      <c r="D676"/>
      <c r="E676"/>
      <c r="F676"/>
      <c r="G676"/>
      <c r="H676"/>
    </row>
    <row r="677" spans="1:8" ht="14.5" x14ac:dyDescent="0.35">
      <c r="A677"/>
      <c r="B677"/>
      <c r="C677"/>
      <c r="D677"/>
      <c r="E677"/>
      <c r="F677"/>
      <c r="G677"/>
      <c r="H677"/>
    </row>
    <row r="678" spans="1:8" ht="14.5" x14ac:dyDescent="0.35">
      <c r="A678"/>
      <c r="B678"/>
      <c r="C678"/>
      <c r="D678"/>
      <c r="E678"/>
      <c r="F678"/>
      <c r="G678"/>
      <c r="H678"/>
    </row>
    <row r="679" spans="1:8" ht="14.5" x14ac:dyDescent="0.35">
      <c r="A679"/>
      <c r="B679"/>
      <c r="C679"/>
      <c r="D679"/>
      <c r="E679"/>
      <c r="F679"/>
      <c r="G679"/>
      <c r="H679"/>
    </row>
    <row r="680" spans="1:8" ht="14.5" x14ac:dyDescent="0.35">
      <c r="A680"/>
      <c r="B680"/>
      <c r="C680"/>
      <c r="D680"/>
      <c r="E680"/>
      <c r="F680"/>
      <c r="G680"/>
      <c r="H680"/>
    </row>
    <row r="681" spans="1:8" ht="14.5" x14ac:dyDescent="0.35">
      <c r="A681"/>
      <c r="B681"/>
      <c r="C681"/>
      <c r="D681"/>
      <c r="E681"/>
      <c r="F681"/>
      <c r="G681"/>
      <c r="H681"/>
    </row>
    <row r="682" spans="1:8" ht="14.5" x14ac:dyDescent="0.35">
      <c r="A682"/>
      <c r="B682"/>
      <c r="C682"/>
      <c r="D682"/>
      <c r="E682"/>
      <c r="F682"/>
      <c r="G682"/>
      <c r="H682"/>
    </row>
    <row r="683" spans="1:8" ht="14.5" x14ac:dyDescent="0.35">
      <c r="A683"/>
      <c r="B683"/>
      <c r="C683"/>
      <c r="D683"/>
      <c r="E683"/>
      <c r="F683"/>
      <c r="G683"/>
      <c r="H683"/>
    </row>
    <row r="684" spans="1:8" ht="14.5" x14ac:dyDescent="0.35">
      <c r="A684"/>
      <c r="B684"/>
      <c r="C684"/>
      <c r="D684"/>
      <c r="E684"/>
      <c r="F684"/>
      <c r="G684"/>
      <c r="H684"/>
    </row>
    <row r="685" spans="1:8" ht="14.5" x14ac:dyDescent="0.35">
      <c r="A685"/>
      <c r="B685"/>
      <c r="C685"/>
      <c r="D685"/>
      <c r="E685"/>
      <c r="F685"/>
      <c r="G685"/>
      <c r="H685"/>
    </row>
    <row r="686" spans="1:8" ht="14.5" x14ac:dyDescent="0.35">
      <c r="A686"/>
      <c r="B686"/>
      <c r="C686"/>
      <c r="D686"/>
      <c r="E686"/>
      <c r="F686"/>
      <c r="G686"/>
      <c r="H686"/>
    </row>
    <row r="687" spans="1:8" ht="14.5" x14ac:dyDescent="0.35">
      <c r="A687"/>
      <c r="B687"/>
      <c r="C687"/>
      <c r="D687"/>
      <c r="E687"/>
      <c r="F687"/>
      <c r="G687"/>
      <c r="H687"/>
    </row>
    <row r="688" spans="1:8" ht="14.5" x14ac:dyDescent="0.35">
      <c r="A688"/>
      <c r="B688"/>
      <c r="C688"/>
      <c r="D688"/>
      <c r="E688"/>
      <c r="F688"/>
      <c r="G688"/>
      <c r="H688"/>
    </row>
    <row r="689" spans="1:8" ht="14.5" x14ac:dyDescent="0.35">
      <c r="A689"/>
      <c r="B689"/>
      <c r="C689"/>
      <c r="D689"/>
      <c r="E689"/>
      <c r="F689"/>
      <c r="G689"/>
      <c r="H689"/>
    </row>
    <row r="690" spans="1:8" ht="14.5" x14ac:dyDescent="0.35">
      <c r="A690"/>
      <c r="B690"/>
      <c r="C690"/>
      <c r="D690"/>
      <c r="E690"/>
      <c r="F690"/>
      <c r="G690"/>
      <c r="H690"/>
    </row>
    <row r="691" spans="1:8" ht="14.5" x14ac:dyDescent="0.35">
      <c r="A691"/>
      <c r="B691"/>
      <c r="C691"/>
      <c r="D691"/>
      <c r="E691"/>
      <c r="F691"/>
      <c r="G691"/>
      <c r="H691"/>
    </row>
    <row r="692" spans="1:8" ht="14.5" x14ac:dyDescent="0.35">
      <c r="A692"/>
      <c r="B692"/>
      <c r="C692"/>
      <c r="D692"/>
      <c r="E692"/>
      <c r="F692"/>
      <c r="G692"/>
      <c r="H692"/>
    </row>
    <row r="693" spans="1:8" ht="14.5" x14ac:dyDescent="0.35">
      <c r="A693"/>
      <c r="B693"/>
      <c r="C693"/>
      <c r="D693"/>
      <c r="E693"/>
      <c r="F693"/>
      <c r="G693"/>
      <c r="H693"/>
    </row>
    <row r="694" spans="1:8" ht="14.5" x14ac:dyDescent="0.35">
      <c r="A694"/>
      <c r="B694"/>
      <c r="C694"/>
      <c r="D694"/>
      <c r="E694"/>
      <c r="F694"/>
      <c r="G694"/>
      <c r="H694"/>
    </row>
    <row r="695" spans="1:8" ht="14.5" x14ac:dyDescent="0.35">
      <c r="A695"/>
      <c r="B695"/>
      <c r="C695"/>
      <c r="D695"/>
      <c r="E695"/>
      <c r="F695"/>
      <c r="G695"/>
      <c r="H695"/>
    </row>
    <row r="696" spans="1:8" ht="14.5" x14ac:dyDescent="0.35">
      <c r="A696"/>
      <c r="B696"/>
      <c r="C696"/>
      <c r="D696"/>
      <c r="E696"/>
      <c r="F696"/>
      <c r="G696"/>
      <c r="H696"/>
    </row>
    <row r="697" spans="1:8" ht="14.5" x14ac:dyDescent="0.35">
      <c r="A697"/>
      <c r="B697"/>
      <c r="C697"/>
      <c r="D697"/>
      <c r="E697"/>
      <c r="F697"/>
      <c r="G697"/>
      <c r="H697"/>
    </row>
    <row r="698" spans="1:8" ht="14.5" x14ac:dyDescent="0.35">
      <c r="A698"/>
      <c r="B698"/>
      <c r="C698"/>
      <c r="D698"/>
      <c r="E698"/>
      <c r="F698"/>
      <c r="G698"/>
      <c r="H698"/>
    </row>
    <row r="699" spans="1:8" ht="14.5" x14ac:dyDescent="0.35">
      <c r="A699"/>
      <c r="B699"/>
      <c r="C699"/>
      <c r="D699"/>
      <c r="E699"/>
      <c r="F699"/>
      <c r="G699"/>
      <c r="H699"/>
    </row>
    <row r="700" spans="1:8" ht="14.5" x14ac:dyDescent="0.35">
      <c r="A700"/>
      <c r="B700"/>
      <c r="C700"/>
      <c r="D700"/>
      <c r="E700"/>
      <c r="F700"/>
      <c r="G700"/>
      <c r="H700"/>
    </row>
    <row r="701" spans="1:8" ht="14.5" x14ac:dyDescent="0.35">
      <c r="A701"/>
      <c r="B701"/>
      <c r="C701"/>
      <c r="D701"/>
      <c r="E701"/>
      <c r="F701"/>
      <c r="G701"/>
      <c r="H701"/>
    </row>
    <row r="702" spans="1:8" ht="14.5" x14ac:dyDescent="0.35">
      <c r="A702"/>
      <c r="B702"/>
      <c r="C702"/>
      <c r="D702"/>
      <c r="E702"/>
      <c r="F702"/>
      <c r="G702"/>
      <c r="H702"/>
    </row>
    <row r="703" spans="1:8" ht="14.5" x14ac:dyDescent="0.35">
      <c r="A703"/>
      <c r="B703"/>
      <c r="C703"/>
      <c r="D703"/>
      <c r="E703"/>
      <c r="F703"/>
      <c r="G703"/>
      <c r="H703"/>
    </row>
    <row r="704" spans="1:8" ht="14.5" x14ac:dyDescent="0.35">
      <c r="A704"/>
      <c r="B704"/>
      <c r="C704"/>
      <c r="D704"/>
      <c r="E704"/>
      <c r="F704"/>
      <c r="G704"/>
      <c r="H704"/>
    </row>
    <row r="705" spans="1:8" ht="14.5" x14ac:dyDescent="0.35">
      <c r="A705"/>
      <c r="B705"/>
      <c r="C705"/>
      <c r="D705"/>
      <c r="E705"/>
      <c r="F705"/>
      <c r="G705"/>
      <c r="H705"/>
    </row>
    <row r="706" spans="1:8" ht="14.5" x14ac:dyDescent="0.35">
      <c r="A706"/>
      <c r="B706"/>
      <c r="C706"/>
      <c r="D706"/>
      <c r="E706"/>
      <c r="F706"/>
      <c r="G706"/>
      <c r="H706"/>
    </row>
    <row r="707" spans="1:8" ht="14.5" x14ac:dyDescent="0.35">
      <c r="A707"/>
      <c r="B707"/>
      <c r="C707"/>
      <c r="D707"/>
      <c r="E707"/>
      <c r="F707"/>
      <c r="G707"/>
      <c r="H707"/>
    </row>
    <row r="708" spans="1:8" ht="14.5" x14ac:dyDescent="0.35">
      <c r="A708"/>
      <c r="B708"/>
      <c r="C708"/>
      <c r="D708"/>
      <c r="E708"/>
      <c r="F708"/>
      <c r="G708"/>
      <c r="H708"/>
    </row>
    <row r="709" spans="1:8" ht="14.5" x14ac:dyDescent="0.35">
      <c r="A709"/>
      <c r="B709"/>
      <c r="C709"/>
      <c r="D709"/>
      <c r="E709"/>
      <c r="F709"/>
      <c r="G709"/>
      <c r="H709"/>
    </row>
    <row r="710" spans="1:8" ht="14.5" x14ac:dyDescent="0.35">
      <c r="A710"/>
      <c r="B710"/>
      <c r="C710"/>
      <c r="D710"/>
      <c r="E710"/>
      <c r="F710"/>
      <c r="G710"/>
      <c r="H710"/>
    </row>
    <row r="711" spans="1:8" ht="14.5" x14ac:dyDescent="0.35">
      <c r="A711"/>
      <c r="B711"/>
      <c r="C711"/>
      <c r="D711"/>
      <c r="E711"/>
      <c r="F711"/>
      <c r="G711"/>
      <c r="H711"/>
    </row>
    <row r="712" spans="1:8" ht="14.5" x14ac:dyDescent="0.35">
      <c r="A712"/>
      <c r="B712"/>
      <c r="C712"/>
      <c r="D712"/>
      <c r="E712"/>
      <c r="F712"/>
      <c r="G712"/>
      <c r="H712"/>
    </row>
    <row r="713" spans="1:8" ht="14.5" x14ac:dyDescent="0.35">
      <c r="A713"/>
      <c r="B713"/>
      <c r="C713"/>
      <c r="D713"/>
      <c r="E713"/>
      <c r="F713"/>
      <c r="G713"/>
      <c r="H713"/>
    </row>
    <row r="714" spans="1:8" ht="14.5" x14ac:dyDescent="0.35">
      <c r="A714"/>
      <c r="B714"/>
      <c r="C714"/>
      <c r="D714"/>
      <c r="E714"/>
      <c r="F714"/>
      <c r="G714"/>
      <c r="H714"/>
    </row>
    <row r="715" spans="1:8" ht="14.5" x14ac:dyDescent="0.35">
      <c r="A715"/>
      <c r="B715"/>
      <c r="C715"/>
      <c r="D715"/>
      <c r="E715"/>
      <c r="F715"/>
      <c r="G715"/>
      <c r="H715"/>
    </row>
    <row r="716" spans="1:8" ht="14.5" x14ac:dyDescent="0.35">
      <c r="A716"/>
      <c r="B716"/>
      <c r="C716"/>
      <c r="D716"/>
      <c r="E716"/>
      <c r="F716"/>
      <c r="G716"/>
      <c r="H716"/>
    </row>
    <row r="717" spans="1:8" ht="14.5" x14ac:dyDescent="0.35">
      <c r="A717"/>
      <c r="B717"/>
      <c r="C717"/>
      <c r="D717"/>
      <c r="E717"/>
      <c r="F717"/>
      <c r="G717"/>
      <c r="H717"/>
    </row>
    <row r="718" spans="1:8" ht="14.5" x14ac:dyDescent="0.35">
      <c r="A718"/>
      <c r="B718"/>
      <c r="C718"/>
      <c r="D718"/>
      <c r="E718"/>
      <c r="F718"/>
      <c r="G718"/>
      <c r="H718"/>
    </row>
    <row r="719" spans="1:8" ht="14.5" x14ac:dyDescent="0.35">
      <c r="A719"/>
      <c r="B719"/>
      <c r="C719"/>
      <c r="D719"/>
      <c r="E719"/>
      <c r="F719"/>
      <c r="G719"/>
      <c r="H719"/>
    </row>
    <row r="720" spans="1:8" ht="14.5" x14ac:dyDescent="0.35">
      <c r="A720"/>
      <c r="B720"/>
      <c r="C720"/>
      <c r="D720"/>
      <c r="E720"/>
      <c r="F720"/>
      <c r="G720"/>
      <c r="H720"/>
    </row>
    <row r="721" spans="1:8" ht="14.5" x14ac:dyDescent="0.35">
      <c r="A721"/>
      <c r="B721"/>
      <c r="C721"/>
      <c r="D721"/>
      <c r="E721"/>
      <c r="F721"/>
      <c r="G721"/>
      <c r="H721"/>
    </row>
    <row r="722" spans="1:8" ht="14.5" x14ac:dyDescent="0.35">
      <c r="A722"/>
      <c r="B722"/>
      <c r="C722"/>
      <c r="D722"/>
      <c r="E722"/>
      <c r="F722"/>
      <c r="G722"/>
      <c r="H722"/>
    </row>
    <row r="723" spans="1:8" ht="14.5" x14ac:dyDescent="0.35">
      <c r="A723"/>
      <c r="B723"/>
      <c r="C723"/>
      <c r="D723"/>
      <c r="E723"/>
      <c r="F723"/>
      <c r="G723"/>
      <c r="H723"/>
    </row>
    <row r="724" spans="1:8" ht="14.5" x14ac:dyDescent="0.35">
      <c r="A724"/>
      <c r="B724"/>
      <c r="C724"/>
      <c r="D724"/>
      <c r="E724"/>
      <c r="F724"/>
      <c r="G724"/>
      <c r="H724"/>
    </row>
    <row r="725" spans="1:8" ht="14.5" x14ac:dyDescent="0.35">
      <c r="A725"/>
      <c r="B725"/>
      <c r="C725"/>
      <c r="D725"/>
      <c r="E725"/>
      <c r="F725"/>
      <c r="G725"/>
      <c r="H725"/>
    </row>
    <row r="726" spans="1:8" ht="14.5" x14ac:dyDescent="0.35">
      <c r="A726"/>
      <c r="B726"/>
      <c r="C726"/>
      <c r="D726"/>
      <c r="E726"/>
      <c r="F726"/>
      <c r="G726"/>
      <c r="H726"/>
    </row>
    <row r="727" spans="1:8" ht="14.5" x14ac:dyDescent="0.35">
      <c r="A727"/>
      <c r="B727"/>
      <c r="C727"/>
      <c r="D727"/>
      <c r="E727"/>
      <c r="F727"/>
      <c r="G727"/>
      <c r="H727"/>
    </row>
    <row r="728" spans="1:8" ht="14.5" x14ac:dyDescent="0.35">
      <c r="A728"/>
      <c r="B728"/>
      <c r="C728"/>
      <c r="D728"/>
      <c r="E728"/>
      <c r="F728"/>
      <c r="G728"/>
      <c r="H728"/>
    </row>
    <row r="729" spans="1:8" ht="14.5" x14ac:dyDescent="0.35">
      <c r="A729"/>
      <c r="B729"/>
      <c r="C729"/>
      <c r="D729"/>
      <c r="E729"/>
      <c r="F729"/>
      <c r="G729"/>
      <c r="H729"/>
    </row>
    <row r="730" spans="1:8" ht="14.5" x14ac:dyDescent="0.35">
      <c r="A730"/>
      <c r="B730"/>
      <c r="C730"/>
      <c r="D730"/>
      <c r="E730"/>
      <c r="F730"/>
      <c r="G730"/>
      <c r="H730"/>
    </row>
    <row r="731" spans="1:8" ht="14.5" x14ac:dyDescent="0.35">
      <c r="A731"/>
      <c r="B731"/>
      <c r="C731"/>
      <c r="D731"/>
      <c r="E731"/>
      <c r="F731"/>
      <c r="G731"/>
      <c r="H731"/>
    </row>
    <row r="732" spans="1:8" ht="14.5" x14ac:dyDescent="0.35">
      <c r="A732"/>
      <c r="B732"/>
      <c r="C732"/>
      <c r="D732"/>
      <c r="E732"/>
      <c r="F732"/>
      <c r="G732"/>
      <c r="H732"/>
    </row>
    <row r="733" spans="1:8" ht="14.5" x14ac:dyDescent="0.35">
      <c r="A733"/>
      <c r="B733"/>
      <c r="C733"/>
      <c r="D733"/>
      <c r="E733"/>
      <c r="F733"/>
      <c r="G733"/>
      <c r="H733"/>
    </row>
    <row r="734" spans="1:8" ht="14.5" x14ac:dyDescent="0.35">
      <c r="A734"/>
      <c r="B734"/>
      <c r="C734"/>
      <c r="D734"/>
      <c r="E734"/>
      <c r="F734"/>
      <c r="G734"/>
      <c r="H734"/>
    </row>
    <row r="735" spans="1:8" ht="14.5" x14ac:dyDescent="0.35">
      <c r="A735"/>
      <c r="B735"/>
      <c r="C735"/>
      <c r="D735"/>
      <c r="E735"/>
      <c r="F735"/>
      <c r="G735"/>
      <c r="H735"/>
    </row>
    <row r="736" spans="1:8" ht="14.5" x14ac:dyDescent="0.35">
      <c r="A736"/>
      <c r="B736"/>
      <c r="C736"/>
      <c r="D736"/>
      <c r="E736"/>
      <c r="F736"/>
      <c r="G736"/>
      <c r="H736"/>
    </row>
    <row r="737" spans="1:8" ht="14.5" x14ac:dyDescent="0.35">
      <c r="A737"/>
      <c r="B737"/>
      <c r="C737"/>
      <c r="D737"/>
      <c r="E737"/>
      <c r="F737"/>
      <c r="G737"/>
      <c r="H737"/>
    </row>
    <row r="738" spans="1:8" ht="14.5" x14ac:dyDescent="0.35">
      <c r="A738"/>
      <c r="B738"/>
      <c r="C738"/>
      <c r="D738"/>
      <c r="E738"/>
      <c r="F738"/>
      <c r="G738"/>
      <c r="H738"/>
    </row>
    <row r="739" spans="1:8" ht="14.5" x14ac:dyDescent="0.35">
      <c r="A739"/>
      <c r="B739"/>
      <c r="C739"/>
      <c r="D739"/>
      <c r="E739"/>
      <c r="F739"/>
      <c r="G739"/>
      <c r="H739"/>
    </row>
    <row r="740" spans="1:8" ht="14.5" x14ac:dyDescent="0.35">
      <c r="A740"/>
      <c r="B740"/>
      <c r="C740"/>
      <c r="D740"/>
      <c r="E740"/>
      <c r="F740"/>
      <c r="G740"/>
      <c r="H740"/>
    </row>
    <row r="741" spans="1:8" ht="14.5" x14ac:dyDescent="0.35">
      <c r="A741"/>
      <c r="B741"/>
      <c r="C741"/>
      <c r="D741"/>
      <c r="E741"/>
      <c r="F741"/>
      <c r="G741"/>
      <c r="H741"/>
    </row>
    <row r="742" spans="1:8" ht="14.5" x14ac:dyDescent="0.35">
      <c r="A742"/>
      <c r="B742"/>
      <c r="C742"/>
      <c r="D742"/>
      <c r="E742"/>
      <c r="F742"/>
      <c r="G742"/>
      <c r="H742"/>
    </row>
    <row r="743" spans="1:8" ht="14.5" x14ac:dyDescent="0.35">
      <c r="A743"/>
      <c r="B743"/>
      <c r="C743"/>
      <c r="D743"/>
      <c r="E743"/>
      <c r="F743"/>
      <c r="G743"/>
      <c r="H743"/>
    </row>
    <row r="744" spans="1:8" ht="14.5" x14ac:dyDescent="0.35">
      <c r="A744"/>
      <c r="B744"/>
      <c r="C744"/>
      <c r="D744"/>
      <c r="E744"/>
      <c r="F744"/>
      <c r="G744"/>
      <c r="H744"/>
    </row>
    <row r="745" spans="1:8" ht="14.5" x14ac:dyDescent="0.35">
      <c r="A745"/>
      <c r="B745"/>
      <c r="C745"/>
      <c r="D745"/>
      <c r="E745"/>
      <c r="F745"/>
      <c r="G745"/>
      <c r="H745"/>
    </row>
    <row r="746" spans="1:8" ht="14.5" x14ac:dyDescent="0.35">
      <c r="A746"/>
      <c r="B746"/>
      <c r="C746"/>
      <c r="D746"/>
      <c r="E746"/>
      <c r="F746"/>
      <c r="G746"/>
      <c r="H746"/>
    </row>
    <row r="747" spans="1:8" ht="14.5" x14ac:dyDescent="0.35">
      <c r="A747"/>
      <c r="B747"/>
      <c r="C747"/>
      <c r="D747"/>
      <c r="E747"/>
      <c r="F747"/>
      <c r="G747"/>
      <c r="H747"/>
    </row>
    <row r="748" spans="1:8" ht="14.5" x14ac:dyDescent="0.35">
      <c r="A748"/>
      <c r="B748"/>
      <c r="C748"/>
      <c r="D748"/>
      <c r="E748"/>
      <c r="F748"/>
      <c r="G748"/>
      <c r="H748"/>
    </row>
    <row r="749" spans="1:8" ht="14.5" x14ac:dyDescent="0.35">
      <c r="A749"/>
      <c r="B749"/>
      <c r="C749"/>
      <c r="D749"/>
      <c r="E749"/>
      <c r="F749"/>
      <c r="G749"/>
      <c r="H749"/>
    </row>
    <row r="750" spans="1:8" ht="14.5" x14ac:dyDescent="0.35">
      <c r="A750"/>
      <c r="B750"/>
      <c r="C750"/>
      <c r="D750"/>
      <c r="E750"/>
      <c r="F750"/>
      <c r="G750"/>
      <c r="H750"/>
    </row>
    <row r="751" spans="1:8" ht="14.5" x14ac:dyDescent="0.35">
      <c r="A751"/>
      <c r="B751"/>
      <c r="C751"/>
      <c r="D751"/>
      <c r="E751"/>
      <c r="F751"/>
      <c r="G751"/>
      <c r="H751"/>
    </row>
    <row r="752" spans="1:8" ht="14.5" x14ac:dyDescent="0.35">
      <c r="A752"/>
      <c r="B752"/>
      <c r="C752"/>
      <c r="D752"/>
      <c r="E752"/>
      <c r="F752"/>
      <c r="G752"/>
      <c r="H752"/>
    </row>
    <row r="753" spans="1:8" ht="14.5" x14ac:dyDescent="0.35">
      <c r="A753"/>
      <c r="B753"/>
      <c r="C753"/>
      <c r="D753"/>
      <c r="E753"/>
      <c r="F753"/>
      <c r="G753"/>
      <c r="H753"/>
    </row>
    <row r="754" spans="1:8" ht="14.5" x14ac:dyDescent="0.35">
      <c r="A754"/>
      <c r="B754"/>
      <c r="C754"/>
      <c r="D754"/>
      <c r="E754"/>
      <c r="F754"/>
      <c r="G754"/>
      <c r="H754"/>
    </row>
    <row r="755" spans="1:8" ht="14.5" x14ac:dyDescent="0.35">
      <c r="A755"/>
      <c r="B755"/>
      <c r="C755"/>
      <c r="D755"/>
      <c r="E755"/>
      <c r="F755"/>
      <c r="G755"/>
      <c r="H755"/>
    </row>
    <row r="756" spans="1:8" ht="14.5" x14ac:dyDescent="0.35">
      <c r="A756"/>
      <c r="B756"/>
      <c r="C756"/>
      <c r="D756"/>
      <c r="E756"/>
      <c r="F756"/>
      <c r="G756"/>
      <c r="H756"/>
    </row>
    <row r="757" spans="1:8" ht="14.5" x14ac:dyDescent="0.35">
      <c r="A757"/>
      <c r="B757"/>
      <c r="C757"/>
      <c r="D757"/>
      <c r="E757"/>
      <c r="F757"/>
      <c r="G757"/>
      <c r="H757"/>
    </row>
    <row r="758" spans="1:8" ht="14.5" x14ac:dyDescent="0.35">
      <c r="A758"/>
      <c r="B758"/>
      <c r="C758"/>
      <c r="D758"/>
      <c r="E758"/>
      <c r="F758"/>
      <c r="G758"/>
      <c r="H758"/>
    </row>
    <row r="759" spans="1:8" ht="14.5" x14ac:dyDescent="0.35">
      <c r="A759"/>
      <c r="B759"/>
      <c r="C759"/>
      <c r="D759"/>
      <c r="E759"/>
      <c r="F759"/>
      <c r="G759"/>
      <c r="H759"/>
    </row>
    <row r="760" spans="1:8" ht="14.5" x14ac:dyDescent="0.35">
      <c r="A760"/>
      <c r="B760"/>
      <c r="C760"/>
      <c r="D760"/>
      <c r="E760"/>
      <c r="F760"/>
      <c r="G760"/>
      <c r="H760"/>
    </row>
    <row r="761" spans="1:8" ht="14.5" x14ac:dyDescent="0.35">
      <c r="A761"/>
      <c r="B761"/>
      <c r="C761"/>
      <c r="D761"/>
      <c r="E761"/>
      <c r="F761"/>
      <c r="G761"/>
      <c r="H761"/>
    </row>
    <row r="762" spans="1:8" ht="14.5" x14ac:dyDescent="0.35">
      <c r="A762"/>
      <c r="B762"/>
      <c r="C762"/>
      <c r="D762"/>
      <c r="E762"/>
      <c r="F762"/>
      <c r="G762"/>
      <c r="H762"/>
    </row>
    <row r="763" spans="1:8" ht="14.5" x14ac:dyDescent="0.35">
      <c r="A763"/>
      <c r="B763"/>
      <c r="C763"/>
      <c r="D763"/>
      <c r="E763"/>
      <c r="F763"/>
      <c r="G763"/>
      <c r="H763"/>
    </row>
    <row r="764" spans="1:8" ht="14.5" x14ac:dyDescent="0.35">
      <c r="A764"/>
      <c r="B764"/>
      <c r="C764"/>
      <c r="D764"/>
      <c r="E764"/>
      <c r="F764"/>
      <c r="G764"/>
      <c r="H764"/>
    </row>
    <row r="765" spans="1:8" ht="14.5" x14ac:dyDescent="0.35">
      <c r="A765"/>
      <c r="B765"/>
      <c r="C765"/>
      <c r="D765"/>
      <c r="E765"/>
      <c r="F765"/>
      <c r="G765"/>
      <c r="H765"/>
    </row>
    <row r="766" spans="1:8" ht="14.5" x14ac:dyDescent="0.35">
      <c r="A766"/>
      <c r="B766"/>
      <c r="C766"/>
      <c r="D766"/>
      <c r="E766"/>
      <c r="F766"/>
      <c r="G766"/>
      <c r="H766"/>
    </row>
    <row r="767" spans="1:8" ht="14.5" x14ac:dyDescent="0.35">
      <c r="A767"/>
      <c r="B767"/>
      <c r="C767"/>
      <c r="D767"/>
      <c r="E767"/>
      <c r="F767"/>
      <c r="G767"/>
      <c r="H767"/>
    </row>
    <row r="768" spans="1:8" ht="14.5" x14ac:dyDescent="0.35">
      <c r="A768"/>
      <c r="B768"/>
      <c r="C768"/>
      <c r="D768"/>
      <c r="E768"/>
      <c r="F768"/>
      <c r="G768"/>
      <c r="H768"/>
    </row>
    <row r="769" spans="1:8" ht="14.5" x14ac:dyDescent="0.35">
      <c r="A769"/>
      <c r="B769"/>
      <c r="C769"/>
      <c r="D769"/>
      <c r="E769"/>
      <c r="F769"/>
      <c r="G769"/>
      <c r="H769"/>
    </row>
    <row r="770" spans="1:8" ht="14.5" x14ac:dyDescent="0.35">
      <c r="A770"/>
      <c r="B770"/>
      <c r="C770"/>
      <c r="D770"/>
      <c r="E770"/>
      <c r="F770"/>
      <c r="G770"/>
      <c r="H770"/>
    </row>
    <row r="771" spans="1:8" ht="14.5" x14ac:dyDescent="0.35">
      <c r="A771"/>
      <c r="B771"/>
      <c r="C771"/>
      <c r="D771"/>
      <c r="E771"/>
      <c r="F771"/>
      <c r="G771"/>
      <c r="H771"/>
    </row>
    <row r="772" spans="1:8" ht="14.5" x14ac:dyDescent="0.35">
      <c r="A772"/>
      <c r="B772"/>
      <c r="C772"/>
      <c r="D772"/>
      <c r="E772"/>
      <c r="F772"/>
      <c r="G772"/>
      <c r="H772"/>
    </row>
    <row r="773" spans="1:8" ht="14.5" x14ac:dyDescent="0.35">
      <c r="A773"/>
      <c r="B773"/>
      <c r="C773"/>
      <c r="D773"/>
      <c r="E773"/>
      <c r="F773"/>
      <c r="G773"/>
      <c r="H773"/>
    </row>
    <row r="774" spans="1:8" ht="14.5" x14ac:dyDescent="0.35">
      <c r="A774"/>
      <c r="B774"/>
      <c r="C774"/>
      <c r="D774"/>
      <c r="E774"/>
      <c r="F774"/>
      <c r="G774"/>
      <c r="H774"/>
    </row>
    <row r="775" spans="1:8" ht="14.5" x14ac:dyDescent="0.35">
      <c r="A775"/>
      <c r="B775"/>
      <c r="C775"/>
      <c r="D775"/>
      <c r="E775"/>
      <c r="F775"/>
      <c r="G775"/>
      <c r="H775"/>
    </row>
    <row r="776" spans="1:8" ht="14.5" x14ac:dyDescent="0.35">
      <c r="A776"/>
      <c r="B776"/>
      <c r="C776"/>
      <c r="D776"/>
      <c r="E776"/>
      <c r="F776"/>
      <c r="G776"/>
      <c r="H776"/>
    </row>
    <row r="777" spans="1:8" ht="14.5" x14ac:dyDescent="0.35">
      <c r="A777"/>
      <c r="B777"/>
      <c r="C777"/>
      <c r="D777"/>
      <c r="E777"/>
      <c r="F777"/>
      <c r="G777"/>
      <c r="H777"/>
    </row>
    <row r="778" spans="1:8" ht="14.5" x14ac:dyDescent="0.35">
      <c r="A778"/>
      <c r="B778"/>
      <c r="C778"/>
      <c r="D778"/>
      <c r="E778"/>
      <c r="F778"/>
      <c r="G778"/>
      <c r="H778"/>
    </row>
    <row r="779" spans="1:8" ht="14.5" x14ac:dyDescent="0.35">
      <c r="A779"/>
      <c r="B779"/>
      <c r="C779"/>
      <c r="D779"/>
      <c r="E779"/>
      <c r="F779"/>
      <c r="G779"/>
      <c r="H779"/>
    </row>
    <row r="780" spans="1:8" ht="14.5" x14ac:dyDescent="0.35">
      <c r="A780"/>
      <c r="B780"/>
      <c r="C780"/>
      <c r="D780"/>
      <c r="E780"/>
      <c r="F780"/>
      <c r="G780"/>
      <c r="H780"/>
    </row>
    <row r="781" spans="1:8" ht="14.5" x14ac:dyDescent="0.35">
      <c r="A781"/>
      <c r="B781"/>
      <c r="C781"/>
      <c r="D781"/>
      <c r="E781"/>
      <c r="F781"/>
      <c r="G781"/>
      <c r="H781"/>
    </row>
    <row r="782" spans="1:8" ht="14.5" x14ac:dyDescent="0.35">
      <c r="A782"/>
      <c r="B782"/>
      <c r="C782"/>
      <c r="D782"/>
      <c r="E782"/>
      <c r="F782"/>
      <c r="G782"/>
      <c r="H782"/>
    </row>
    <row r="783" spans="1:8" ht="14.5" x14ac:dyDescent="0.35">
      <c r="A783"/>
      <c r="B783"/>
      <c r="C783"/>
      <c r="D783"/>
      <c r="E783"/>
      <c r="F783"/>
      <c r="G783"/>
      <c r="H783"/>
    </row>
    <row r="784" spans="1:8" ht="14.5" x14ac:dyDescent="0.35">
      <c r="A784"/>
      <c r="B784"/>
      <c r="C784"/>
      <c r="D784"/>
      <c r="E784"/>
      <c r="F784"/>
      <c r="G784"/>
      <c r="H784"/>
    </row>
    <row r="785" spans="1:8" ht="14.5" x14ac:dyDescent="0.35">
      <c r="A785"/>
      <c r="B785"/>
      <c r="C785"/>
      <c r="D785"/>
      <c r="E785"/>
      <c r="F785"/>
      <c r="G785"/>
      <c r="H785"/>
    </row>
    <row r="786" spans="1:8" ht="14.5" x14ac:dyDescent="0.35">
      <c r="A786"/>
      <c r="B786"/>
      <c r="C786"/>
      <c r="D786"/>
      <c r="E786"/>
      <c r="F786"/>
      <c r="G786"/>
      <c r="H786"/>
    </row>
    <row r="787" spans="1:8" ht="14.5" x14ac:dyDescent="0.35">
      <c r="A787"/>
      <c r="B787"/>
      <c r="C787"/>
      <c r="D787"/>
      <c r="E787"/>
      <c r="F787"/>
      <c r="G787"/>
      <c r="H787"/>
    </row>
    <row r="788" spans="1:8" ht="15" thickBot="1" x14ac:dyDescent="0.4">
      <c r="A788"/>
      <c r="B788"/>
      <c r="C788"/>
      <c r="D788"/>
      <c r="E788"/>
      <c r="F788"/>
      <c r="G788"/>
      <c r="H788"/>
    </row>
    <row r="789" spans="1:8" ht="15" thickTop="1" x14ac:dyDescent="0.35">
      <c r="A789"/>
      <c r="B789"/>
      <c r="C789"/>
      <c r="D789"/>
      <c r="E789"/>
      <c r="F789"/>
      <c r="G789"/>
      <c r="H789"/>
    </row>
    <row r="790" spans="1:8" ht="14.5" x14ac:dyDescent="0.35">
      <c r="A790"/>
      <c r="B790"/>
      <c r="C790"/>
      <c r="D790"/>
      <c r="E790"/>
      <c r="F790"/>
      <c r="G790"/>
      <c r="H790"/>
    </row>
    <row r="791" spans="1:8" ht="14.5" x14ac:dyDescent="0.35">
      <c r="A791"/>
      <c r="B791"/>
      <c r="C791"/>
      <c r="D791"/>
      <c r="E791"/>
      <c r="F791"/>
      <c r="G791"/>
      <c r="H791"/>
    </row>
    <row r="792" spans="1:8" ht="14.5" x14ac:dyDescent="0.35">
      <c r="A792"/>
      <c r="B792"/>
      <c r="C792"/>
      <c r="D792"/>
      <c r="E792"/>
      <c r="F792"/>
      <c r="G792"/>
      <c r="H792"/>
    </row>
    <row r="793" spans="1:8" ht="14.5" x14ac:dyDescent="0.35">
      <c r="A793"/>
      <c r="B793"/>
      <c r="C793"/>
      <c r="D793"/>
      <c r="E793"/>
      <c r="F793"/>
      <c r="G793"/>
      <c r="H793"/>
    </row>
    <row r="794" spans="1:8" ht="14.5" x14ac:dyDescent="0.35">
      <c r="A794"/>
      <c r="B794"/>
      <c r="C794"/>
      <c r="D794"/>
      <c r="E794"/>
      <c r="F794"/>
      <c r="G794"/>
      <c r="H794"/>
    </row>
    <row r="795" spans="1:8" ht="14.5" x14ac:dyDescent="0.35">
      <c r="A795"/>
      <c r="B795"/>
      <c r="C795"/>
      <c r="D795"/>
      <c r="E795"/>
      <c r="F795"/>
      <c r="G795"/>
      <c r="H795"/>
    </row>
    <row r="796" spans="1:8" ht="14.5" x14ac:dyDescent="0.35">
      <c r="A796"/>
      <c r="B796"/>
      <c r="C796"/>
      <c r="D796"/>
      <c r="E796"/>
      <c r="F796"/>
      <c r="G796"/>
      <c r="H796"/>
    </row>
    <row r="797" spans="1:8" ht="14.5" x14ac:dyDescent="0.35">
      <c r="A797"/>
      <c r="B797"/>
      <c r="C797"/>
      <c r="D797"/>
      <c r="E797"/>
      <c r="F797"/>
      <c r="G797"/>
      <c r="H797"/>
    </row>
    <row r="798" spans="1:8" ht="14.5" x14ac:dyDescent="0.35">
      <c r="A798"/>
      <c r="B798"/>
      <c r="C798"/>
      <c r="D798"/>
      <c r="E798"/>
      <c r="F798"/>
      <c r="G798"/>
      <c r="H798"/>
    </row>
    <row r="799" spans="1:8" ht="14.5" x14ac:dyDescent="0.35">
      <c r="A799"/>
      <c r="B799"/>
      <c r="C799"/>
      <c r="D799"/>
      <c r="E799"/>
      <c r="F799"/>
      <c r="G799"/>
      <c r="H799"/>
    </row>
    <row r="800" spans="1:8" ht="14.5" x14ac:dyDescent="0.35">
      <c r="A800"/>
      <c r="B800"/>
      <c r="C800"/>
      <c r="D800"/>
      <c r="E800"/>
      <c r="F800"/>
      <c r="G800"/>
      <c r="H800"/>
    </row>
    <row r="801" spans="1:8" ht="14.5" x14ac:dyDescent="0.35">
      <c r="A801"/>
      <c r="B801"/>
      <c r="C801"/>
      <c r="D801"/>
      <c r="E801"/>
      <c r="F801"/>
      <c r="G801"/>
      <c r="H801"/>
    </row>
    <row r="802" spans="1:8" ht="14.5" x14ac:dyDescent="0.35">
      <c r="A802"/>
      <c r="B802"/>
      <c r="C802"/>
      <c r="D802"/>
      <c r="E802"/>
      <c r="F802"/>
      <c r="G802"/>
      <c r="H802"/>
    </row>
    <row r="803" spans="1:8" ht="14.5" x14ac:dyDescent="0.35">
      <c r="A803"/>
      <c r="B803"/>
      <c r="C803"/>
      <c r="D803"/>
      <c r="E803"/>
      <c r="F803"/>
      <c r="G803"/>
      <c r="H803"/>
    </row>
    <row r="804" spans="1:8" ht="14.5" x14ac:dyDescent="0.35">
      <c r="A804"/>
      <c r="B804"/>
      <c r="C804"/>
      <c r="D804"/>
      <c r="E804"/>
      <c r="F804"/>
      <c r="G804"/>
      <c r="H804"/>
    </row>
    <row r="805" spans="1:8" ht="14.5" x14ac:dyDescent="0.35">
      <c r="A805"/>
      <c r="B805"/>
      <c r="C805"/>
      <c r="D805"/>
      <c r="E805"/>
      <c r="F805"/>
      <c r="G805"/>
      <c r="H805"/>
    </row>
    <row r="806" spans="1:8" ht="14.5" x14ac:dyDescent="0.35">
      <c r="A806"/>
      <c r="B806"/>
      <c r="C806"/>
      <c r="D806"/>
      <c r="E806"/>
      <c r="F806"/>
      <c r="G806"/>
      <c r="H806"/>
    </row>
    <row r="807" spans="1:8" ht="14.5" x14ac:dyDescent="0.35">
      <c r="A807"/>
      <c r="B807"/>
      <c r="C807"/>
      <c r="D807"/>
      <c r="E807"/>
      <c r="F807"/>
      <c r="G807"/>
      <c r="H807"/>
    </row>
    <row r="808" spans="1:8" ht="14.5" x14ac:dyDescent="0.35">
      <c r="A808"/>
      <c r="B808"/>
      <c r="C808"/>
      <c r="D808"/>
      <c r="E808"/>
      <c r="F808"/>
      <c r="G808"/>
      <c r="H808"/>
    </row>
    <row r="809" spans="1:8" ht="14.5" x14ac:dyDescent="0.35">
      <c r="A809"/>
      <c r="B809"/>
      <c r="C809"/>
      <c r="D809"/>
      <c r="E809"/>
      <c r="F809"/>
      <c r="G809"/>
      <c r="H809"/>
    </row>
    <row r="810" spans="1:8" ht="14.5" x14ac:dyDescent="0.35">
      <c r="A810"/>
      <c r="B810"/>
      <c r="C810"/>
      <c r="D810"/>
      <c r="E810"/>
      <c r="F810"/>
      <c r="G810"/>
      <c r="H810"/>
    </row>
    <row r="811" spans="1:8" ht="14.5" x14ac:dyDescent="0.35">
      <c r="A811"/>
      <c r="B811"/>
      <c r="C811"/>
      <c r="D811"/>
      <c r="E811"/>
      <c r="F811"/>
      <c r="G811"/>
      <c r="H811"/>
    </row>
    <row r="812" spans="1:8" ht="14.5" x14ac:dyDescent="0.35">
      <c r="A812"/>
      <c r="B812"/>
      <c r="C812"/>
      <c r="D812"/>
      <c r="E812"/>
      <c r="F812"/>
      <c r="G812"/>
      <c r="H812"/>
    </row>
    <row r="813" spans="1:8" ht="14.5" x14ac:dyDescent="0.35">
      <c r="A813"/>
      <c r="B813"/>
      <c r="C813"/>
      <c r="D813"/>
      <c r="E813"/>
      <c r="F813"/>
      <c r="G813"/>
      <c r="H813"/>
    </row>
    <row r="814" spans="1:8" ht="14.5" x14ac:dyDescent="0.35">
      <c r="A814"/>
      <c r="B814"/>
      <c r="C814"/>
      <c r="D814"/>
      <c r="E814"/>
      <c r="F814"/>
      <c r="G814"/>
      <c r="H814"/>
    </row>
    <row r="815" spans="1:8" ht="14.5" x14ac:dyDescent="0.35">
      <c r="A815"/>
      <c r="B815"/>
      <c r="C815"/>
      <c r="D815"/>
      <c r="E815"/>
      <c r="F815"/>
      <c r="G815"/>
      <c r="H815"/>
    </row>
    <row r="816" spans="1:8" ht="14.5" x14ac:dyDescent="0.35">
      <c r="A816"/>
      <c r="B816"/>
      <c r="C816"/>
      <c r="D816"/>
      <c r="E816"/>
      <c r="F816"/>
      <c r="G816"/>
      <c r="H816"/>
    </row>
    <row r="817" spans="1:8" ht="14.5" x14ac:dyDescent="0.35">
      <c r="A817"/>
      <c r="B817"/>
      <c r="C817"/>
      <c r="D817"/>
      <c r="E817"/>
      <c r="F817"/>
      <c r="G817"/>
      <c r="H817"/>
    </row>
    <row r="818" spans="1:8" ht="14.5" x14ac:dyDescent="0.35">
      <c r="A818"/>
      <c r="B818"/>
      <c r="C818"/>
      <c r="D818"/>
      <c r="E818"/>
      <c r="F818"/>
      <c r="G818"/>
      <c r="H818"/>
    </row>
    <row r="819" spans="1:8" ht="14.5" x14ac:dyDescent="0.35">
      <c r="A819"/>
      <c r="B819"/>
      <c r="C819"/>
      <c r="D819"/>
      <c r="E819"/>
      <c r="F819"/>
      <c r="G819"/>
      <c r="H819"/>
    </row>
    <row r="820" spans="1:8" ht="14.5" x14ac:dyDescent="0.35">
      <c r="A820"/>
      <c r="B820"/>
      <c r="C820"/>
      <c r="D820"/>
      <c r="E820"/>
      <c r="F820"/>
      <c r="G820"/>
      <c r="H820"/>
    </row>
    <row r="821" spans="1:8" ht="14.5" x14ac:dyDescent="0.35">
      <c r="A821"/>
      <c r="B821"/>
      <c r="C821"/>
      <c r="D821"/>
      <c r="E821"/>
      <c r="F821"/>
      <c r="G821"/>
      <c r="H821"/>
    </row>
    <row r="822" spans="1:8" ht="14.5" x14ac:dyDescent="0.35">
      <c r="A822"/>
      <c r="B822"/>
      <c r="C822"/>
      <c r="D822"/>
      <c r="E822"/>
      <c r="F822"/>
      <c r="G822"/>
      <c r="H822"/>
    </row>
    <row r="823" spans="1:8" ht="14.5" x14ac:dyDescent="0.35">
      <c r="A823"/>
      <c r="B823"/>
      <c r="C823"/>
      <c r="D823"/>
      <c r="E823"/>
      <c r="F823"/>
      <c r="G823"/>
      <c r="H823"/>
    </row>
    <row r="824" spans="1:8" ht="14.5" x14ac:dyDescent="0.35">
      <c r="A824"/>
      <c r="B824"/>
      <c r="C824"/>
      <c r="D824"/>
      <c r="E824"/>
      <c r="F824"/>
      <c r="G824"/>
      <c r="H824"/>
    </row>
    <row r="825" spans="1:8" ht="14.5" x14ac:dyDescent="0.35">
      <c r="A825"/>
      <c r="B825"/>
      <c r="C825"/>
      <c r="D825"/>
      <c r="E825"/>
      <c r="F825"/>
      <c r="G825"/>
      <c r="H825"/>
    </row>
    <row r="826" spans="1:8" ht="14.5" x14ac:dyDescent="0.35">
      <c r="A826"/>
      <c r="B826"/>
      <c r="C826"/>
      <c r="D826"/>
      <c r="E826"/>
      <c r="F826"/>
      <c r="G826"/>
      <c r="H826"/>
    </row>
    <row r="827" spans="1:8" ht="14.5" x14ac:dyDescent="0.35">
      <c r="A827"/>
      <c r="B827"/>
      <c r="C827"/>
      <c r="D827"/>
      <c r="E827"/>
      <c r="F827"/>
      <c r="G827"/>
      <c r="H827"/>
    </row>
    <row r="828" spans="1:8" ht="14.5" x14ac:dyDescent="0.35">
      <c r="A828"/>
      <c r="B828"/>
      <c r="C828"/>
      <c r="D828"/>
      <c r="E828"/>
      <c r="F828"/>
      <c r="G828"/>
      <c r="H828"/>
    </row>
    <row r="829" spans="1:8" ht="14.5" x14ac:dyDescent="0.35">
      <c r="A829"/>
      <c r="B829"/>
      <c r="C829"/>
      <c r="D829"/>
      <c r="E829"/>
      <c r="F829"/>
      <c r="G829"/>
      <c r="H829"/>
    </row>
    <row r="830" spans="1:8" ht="14.5" x14ac:dyDescent="0.35">
      <c r="A830"/>
      <c r="B830"/>
      <c r="C830"/>
      <c r="D830"/>
      <c r="E830"/>
      <c r="F830"/>
      <c r="G830"/>
      <c r="H830"/>
    </row>
    <row r="831" spans="1:8" ht="14.5" x14ac:dyDescent="0.35">
      <c r="A831"/>
      <c r="B831"/>
      <c r="C831"/>
      <c r="D831"/>
      <c r="E831"/>
      <c r="F831"/>
      <c r="G831"/>
      <c r="H831"/>
    </row>
    <row r="832" spans="1:8" ht="14.5" x14ac:dyDescent="0.35">
      <c r="A832"/>
      <c r="B832"/>
      <c r="C832"/>
      <c r="D832"/>
      <c r="E832"/>
      <c r="F832"/>
      <c r="G832"/>
      <c r="H832"/>
    </row>
    <row r="833" spans="1:8" ht="14.5" x14ac:dyDescent="0.35">
      <c r="A833"/>
      <c r="B833"/>
      <c r="C833"/>
      <c r="D833"/>
      <c r="E833"/>
      <c r="F833"/>
      <c r="G833"/>
      <c r="H833"/>
    </row>
    <row r="834" spans="1:8" ht="14.5" x14ac:dyDescent="0.35">
      <c r="A834"/>
      <c r="B834"/>
      <c r="C834"/>
      <c r="D834"/>
      <c r="E834"/>
      <c r="F834"/>
      <c r="G834"/>
      <c r="H834"/>
    </row>
    <row r="835" spans="1:8" ht="14.5" x14ac:dyDescent="0.35">
      <c r="A835"/>
      <c r="B835"/>
      <c r="C835"/>
      <c r="D835"/>
      <c r="E835"/>
      <c r="F835"/>
      <c r="G835"/>
      <c r="H835"/>
    </row>
    <row r="836" spans="1:8" ht="14.5" x14ac:dyDescent="0.35">
      <c r="A836"/>
      <c r="B836"/>
      <c r="C836"/>
      <c r="D836"/>
      <c r="E836"/>
      <c r="F836"/>
      <c r="G836"/>
      <c r="H836"/>
    </row>
    <row r="837" spans="1:8" ht="14.5" x14ac:dyDescent="0.35">
      <c r="A837"/>
      <c r="B837"/>
      <c r="C837"/>
      <c r="D837"/>
      <c r="E837"/>
      <c r="F837"/>
      <c r="G837"/>
      <c r="H837"/>
    </row>
    <row r="838" spans="1:8" ht="14.5" x14ac:dyDescent="0.35">
      <c r="A838"/>
      <c r="B838"/>
      <c r="C838"/>
      <c r="D838"/>
      <c r="E838"/>
      <c r="F838"/>
      <c r="G838"/>
      <c r="H838"/>
    </row>
    <row r="839" spans="1:8" ht="14.5" x14ac:dyDescent="0.35">
      <c r="A839"/>
      <c r="B839"/>
      <c r="C839"/>
      <c r="D839"/>
      <c r="E839"/>
      <c r="F839"/>
      <c r="G839"/>
      <c r="H839"/>
    </row>
    <row r="840" spans="1:8" ht="14.5" x14ac:dyDescent="0.35">
      <c r="A840"/>
      <c r="B840"/>
      <c r="C840"/>
      <c r="D840"/>
      <c r="E840"/>
      <c r="F840"/>
      <c r="G840"/>
      <c r="H840"/>
    </row>
    <row r="841" spans="1:8" ht="14.5" x14ac:dyDescent="0.35">
      <c r="A841"/>
      <c r="B841"/>
      <c r="C841"/>
      <c r="D841"/>
      <c r="E841"/>
      <c r="F841"/>
      <c r="G841"/>
      <c r="H841"/>
    </row>
    <row r="842" spans="1:8" ht="14.5" x14ac:dyDescent="0.35">
      <c r="A842"/>
      <c r="B842"/>
      <c r="C842"/>
      <c r="D842"/>
      <c r="E842"/>
      <c r="F842"/>
      <c r="G842"/>
      <c r="H842"/>
    </row>
    <row r="843" spans="1:8" ht="14.5" x14ac:dyDescent="0.35">
      <c r="A843"/>
      <c r="B843"/>
      <c r="C843"/>
      <c r="D843"/>
      <c r="E843"/>
      <c r="F843"/>
      <c r="G843"/>
      <c r="H843"/>
    </row>
    <row r="844" spans="1:8" ht="14.5" x14ac:dyDescent="0.35">
      <c r="A844"/>
      <c r="B844"/>
      <c r="C844"/>
      <c r="D844"/>
      <c r="E844"/>
      <c r="F844"/>
      <c r="G844"/>
      <c r="H844"/>
    </row>
    <row r="845" spans="1:8" ht="14.5" x14ac:dyDescent="0.35">
      <c r="A845"/>
      <c r="B845"/>
      <c r="C845"/>
      <c r="D845"/>
      <c r="E845"/>
      <c r="F845"/>
      <c r="G845"/>
      <c r="H845"/>
    </row>
    <row r="846" spans="1:8" ht="14.5" x14ac:dyDescent="0.35">
      <c r="A846"/>
      <c r="B846"/>
      <c r="C846"/>
      <c r="D846"/>
      <c r="E846"/>
      <c r="F846"/>
      <c r="G846"/>
      <c r="H846"/>
    </row>
    <row r="847" spans="1:8" ht="14.5" x14ac:dyDescent="0.35">
      <c r="A847"/>
      <c r="B847"/>
      <c r="C847"/>
      <c r="D847"/>
      <c r="E847"/>
      <c r="F847"/>
      <c r="G847"/>
      <c r="H847"/>
    </row>
    <row r="848" spans="1:8" ht="14.5" x14ac:dyDescent="0.35">
      <c r="A848"/>
      <c r="B848"/>
      <c r="C848"/>
      <c r="D848"/>
      <c r="E848"/>
      <c r="F848"/>
      <c r="G848"/>
      <c r="H848"/>
    </row>
    <row r="849" spans="1:8" ht="14.5" x14ac:dyDescent="0.35">
      <c r="A849"/>
      <c r="B849"/>
      <c r="C849"/>
      <c r="D849"/>
      <c r="E849"/>
      <c r="F849"/>
      <c r="G849"/>
      <c r="H849"/>
    </row>
    <row r="850" spans="1:8" ht="14.5" x14ac:dyDescent="0.35">
      <c r="A850"/>
      <c r="B850"/>
      <c r="C850"/>
      <c r="D850"/>
      <c r="E850"/>
      <c r="F850"/>
      <c r="G850"/>
      <c r="H850"/>
    </row>
    <row r="851" spans="1:8" ht="14.5" x14ac:dyDescent="0.35">
      <c r="A851"/>
      <c r="B851"/>
      <c r="C851"/>
      <c r="D851"/>
      <c r="E851"/>
      <c r="F851"/>
      <c r="G851"/>
      <c r="H851"/>
    </row>
    <row r="852" spans="1:8" ht="14.5" x14ac:dyDescent="0.35">
      <c r="A852"/>
      <c r="B852"/>
      <c r="C852"/>
      <c r="D852"/>
      <c r="E852"/>
      <c r="F852"/>
      <c r="G852"/>
      <c r="H852"/>
    </row>
    <row r="853" spans="1:8" ht="14.5" x14ac:dyDescent="0.35">
      <c r="A853"/>
      <c r="B853"/>
      <c r="C853"/>
      <c r="D853"/>
      <c r="E853"/>
      <c r="F853"/>
      <c r="G853"/>
      <c r="H853"/>
    </row>
    <row r="854" spans="1:8" ht="14.5" x14ac:dyDescent="0.35">
      <c r="A854"/>
      <c r="B854"/>
      <c r="C854"/>
      <c r="D854"/>
      <c r="E854"/>
      <c r="F854"/>
      <c r="G854"/>
      <c r="H854"/>
    </row>
    <row r="855" spans="1:8" ht="14.5" x14ac:dyDescent="0.35">
      <c r="A855"/>
      <c r="B855"/>
      <c r="C855"/>
      <c r="D855"/>
      <c r="E855"/>
      <c r="F855"/>
      <c r="G855"/>
      <c r="H855"/>
    </row>
    <row r="856" spans="1:8" ht="14.5" x14ac:dyDescent="0.35">
      <c r="A856"/>
      <c r="B856"/>
      <c r="C856"/>
      <c r="D856"/>
      <c r="E856"/>
      <c r="F856"/>
      <c r="G856"/>
      <c r="H856"/>
    </row>
    <row r="857" spans="1:8" ht="14.5" x14ac:dyDescent="0.35">
      <c r="A857"/>
      <c r="B857"/>
      <c r="C857"/>
      <c r="D857"/>
      <c r="E857"/>
      <c r="F857"/>
      <c r="G857"/>
      <c r="H857"/>
    </row>
    <row r="858" spans="1:8" ht="14.5" x14ac:dyDescent="0.35">
      <c r="A858"/>
      <c r="B858"/>
      <c r="C858"/>
      <c r="D858"/>
      <c r="E858"/>
      <c r="F858"/>
      <c r="G858"/>
      <c r="H858"/>
    </row>
    <row r="859" spans="1:8" ht="14.5" x14ac:dyDescent="0.35">
      <c r="A859"/>
      <c r="B859"/>
      <c r="C859"/>
      <c r="D859"/>
      <c r="E859"/>
      <c r="F859"/>
      <c r="G859"/>
      <c r="H859"/>
    </row>
    <row r="860" spans="1:8" ht="14.5" x14ac:dyDescent="0.35">
      <c r="A860"/>
      <c r="B860"/>
      <c r="C860"/>
      <c r="D860"/>
      <c r="E860"/>
      <c r="F860"/>
      <c r="G860"/>
      <c r="H860"/>
    </row>
    <row r="861" spans="1:8" ht="14.5" x14ac:dyDescent="0.35">
      <c r="A861"/>
      <c r="B861"/>
      <c r="C861"/>
      <c r="D861"/>
      <c r="E861"/>
      <c r="F861"/>
      <c r="G861"/>
      <c r="H861"/>
    </row>
    <row r="862" spans="1:8" ht="14.5" x14ac:dyDescent="0.35">
      <c r="A862"/>
      <c r="B862"/>
      <c r="C862"/>
      <c r="D862"/>
      <c r="E862"/>
      <c r="F862"/>
      <c r="G862"/>
      <c r="H862"/>
    </row>
    <row r="863" spans="1:8" ht="14.5" x14ac:dyDescent="0.35">
      <c r="A863"/>
      <c r="B863"/>
      <c r="C863"/>
      <c r="D863"/>
      <c r="E863"/>
      <c r="F863"/>
      <c r="G863"/>
      <c r="H863"/>
    </row>
    <row r="864" spans="1:8" ht="14.5" x14ac:dyDescent="0.35">
      <c r="A864"/>
      <c r="B864"/>
      <c r="C864"/>
      <c r="D864"/>
      <c r="E864"/>
      <c r="F864"/>
      <c r="G864"/>
      <c r="H864"/>
    </row>
    <row r="865" spans="1:8" ht="14.5" x14ac:dyDescent="0.35">
      <c r="A865"/>
      <c r="B865"/>
      <c r="C865"/>
      <c r="D865"/>
      <c r="E865"/>
      <c r="F865"/>
      <c r="G865"/>
      <c r="H865"/>
    </row>
    <row r="866" spans="1:8" ht="14.5" x14ac:dyDescent="0.35">
      <c r="A866"/>
      <c r="B866"/>
      <c r="C866"/>
      <c r="D866"/>
      <c r="E866"/>
      <c r="F866"/>
      <c r="G866"/>
      <c r="H866"/>
    </row>
    <row r="867" spans="1:8" ht="14.5" x14ac:dyDescent="0.35">
      <c r="A867"/>
      <c r="B867"/>
      <c r="C867"/>
      <c r="D867"/>
      <c r="E867"/>
      <c r="F867"/>
      <c r="G867"/>
      <c r="H867"/>
    </row>
    <row r="868" spans="1:8" ht="14.5" x14ac:dyDescent="0.35">
      <c r="A868"/>
      <c r="B868"/>
      <c r="C868"/>
      <c r="D868"/>
      <c r="E868"/>
      <c r="F868"/>
      <c r="G868"/>
      <c r="H868"/>
    </row>
    <row r="869" spans="1:8" ht="14.5" x14ac:dyDescent="0.35">
      <c r="A869"/>
      <c r="B869"/>
      <c r="C869"/>
      <c r="D869"/>
      <c r="E869"/>
      <c r="F869"/>
      <c r="G869"/>
      <c r="H869"/>
    </row>
    <row r="870" spans="1:8" ht="14.5" x14ac:dyDescent="0.35">
      <c r="A870"/>
      <c r="B870"/>
      <c r="C870"/>
      <c r="D870"/>
      <c r="E870"/>
      <c r="F870"/>
      <c r="G870"/>
      <c r="H870"/>
    </row>
    <row r="871" spans="1:8" ht="14.5" x14ac:dyDescent="0.35">
      <c r="A871"/>
      <c r="B871"/>
      <c r="C871"/>
      <c r="D871"/>
      <c r="E871"/>
      <c r="F871"/>
      <c r="G871"/>
      <c r="H871"/>
    </row>
    <row r="872" spans="1:8" ht="14.5" x14ac:dyDescent="0.35">
      <c r="A872"/>
      <c r="B872"/>
      <c r="C872"/>
      <c r="D872"/>
      <c r="E872"/>
      <c r="F872"/>
      <c r="G872"/>
      <c r="H872"/>
    </row>
    <row r="873" spans="1:8" ht="14.5" x14ac:dyDescent="0.35">
      <c r="A873"/>
      <c r="B873"/>
      <c r="C873"/>
      <c r="D873"/>
      <c r="E873"/>
      <c r="F873"/>
      <c r="G873"/>
      <c r="H873"/>
    </row>
    <row r="874" spans="1:8" ht="14.5" x14ac:dyDescent="0.35">
      <c r="A874"/>
      <c r="B874"/>
      <c r="C874"/>
      <c r="D874"/>
      <c r="E874"/>
      <c r="F874"/>
      <c r="G874"/>
      <c r="H874"/>
    </row>
    <row r="875" spans="1:8" ht="14.5" x14ac:dyDescent="0.35">
      <c r="A875"/>
      <c r="B875"/>
      <c r="C875"/>
      <c r="D875"/>
      <c r="E875"/>
      <c r="F875"/>
      <c r="G875"/>
      <c r="H875"/>
    </row>
    <row r="876" spans="1:8" ht="14.5" x14ac:dyDescent="0.35">
      <c r="A876"/>
      <c r="B876"/>
      <c r="C876"/>
      <c r="D876"/>
      <c r="E876"/>
      <c r="F876"/>
      <c r="G876"/>
      <c r="H876"/>
    </row>
    <row r="877" spans="1:8" ht="14.5" x14ac:dyDescent="0.35">
      <c r="A877"/>
      <c r="B877"/>
      <c r="C877"/>
      <c r="D877"/>
      <c r="E877"/>
      <c r="F877"/>
      <c r="G877"/>
      <c r="H877"/>
    </row>
    <row r="878" spans="1:8" ht="14.5" x14ac:dyDescent="0.35">
      <c r="A878"/>
      <c r="B878"/>
      <c r="C878"/>
      <c r="D878"/>
      <c r="E878"/>
      <c r="F878"/>
      <c r="G878"/>
      <c r="H878"/>
    </row>
    <row r="879" spans="1:8" ht="14.5" x14ac:dyDescent="0.35">
      <c r="A879"/>
      <c r="B879"/>
      <c r="C879"/>
      <c r="D879"/>
      <c r="E879"/>
      <c r="F879"/>
      <c r="G879"/>
      <c r="H879"/>
    </row>
    <row r="880" spans="1:8" ht="14.5" x14ac:dyDescent="0.35">
      <c r="A880"/>
      <c r="B880"/>
      <c r="C880"/>
      <c r="D880"/>
      <c r="E880"/>
      <c r="F880"/>
      <c r="G880"/>
      <c r="H880"/>
    </row>
    <row r="881" spans="1:8" ht="14.5" x14ac:dyDescent="0.35">
      <c r="A881"/>
      <c r="B881"/>
      <c r="C881"/>
      <c r="D881"/>
      <c r="E881"/>
      <c r="F881"/>
      <c r="G881"/>
      <c r="H881"/>
    </row>
    <row r="882" spans="1:8" ht="14.5" x14ac:dyDescent="0.35">
      <c r="A882"/>
      <c r="B882"/>
      <c r="C882"/>
      <c r="D882"/>
      <c r="E882"/>
      <c r="F882"/>
      <c r="G882"/>
      <c r="H882"/>
    </row>
    <row r="883" spans="1:8" ht="14.5" x14ac:dyDescent="0.35">
      <c r="A883"/>
      <c r="B883"/>
      <c r="C883"/>
      <c r="D883"/>
      <c r="E883"/>
      <c r="F883"/>
      <c r="G883"/>
      <c r="H883"/>
    </row>
    <row r="884" spans="1:8" ht="14.5" x14ac:dyDescent="0.35">
      <c r="A884"/>
      <c r="B884"/>
      <c r="C884"/>
      <c r="D884"/>
      <c r="E884"/>
      <c r="F884"/>
      <c r="G884"/>
      <c r="H884"/>
    </row>
    <row r="885" spans="1:8" ht="14.5" x14ac:dyDescent="0.35">
      <c r="A885"/>
      <c r="B885"/>
      <c r="C885"/>
      <c r="D885"/>
      <c r="E885"/>
      <c r="F885"/>
      <c r="G885"/>
      <c r="H885"/>
    </row>
    <row r="886" spans="1:8" ht="14.5" x14ac:dyDescent="0.35">
      <c r="A886"/>
      <c r="B886"/>
      <c r="C886"/>
      <c r="D886"/>
      <c r="E886"/>
      <c r="F886"/>
      <c r="G886"/>
      <c r="H886"/>
    </row>
    <row r="887" spans="1:8" ht="14.5" x14ac:dyDescent="0.35">
      <c r="A887"/>
      <c r="B887"/>
      <c r="C887"/>
      <c r="D887"/>
      <c r="E887"/>
      <c r="F887"/>
      <c r="G887"/>
      <c r="H887"/>
    </row>
    <row r="888" spans="1:8" ht="14.5" x14ac:dyDescent="0.35">
      <c r="A888"/>
      <c r="B888"/>
      <c r="C888"/>
      <c r="D888"/>
      <c r="E888"/>
      <c r="F888"/>
      <c r="G888"/>
      <c r="H888"/>
    </row>
    <row r="889" spans="1:8" ht="14.5" x14ac:dyDescent="0.35">
      <c r="A889"/>
      <c r="B889"/>
      <c r="C889"/>
      <c r="D889"/>
      <c r="E889"/>
      <c r="F889"/>
      <c r="G889"/>
      <c r="H889"/>
    </row>
    <row r="890" spans="1:8" ht="14.5" x14ac:dyDescent="0.35">
      <c r="A890"/>
      <c r="B890"/>
      <c r="C890"/>
      <c r="D890"/>
      <c r="E890"/>
      <c r="F890"/>
      <c r="G890"/>
      <c r="H890"/>
    </row>
    <row r="891" spans="1:8" ht="14.5" x14ac:dyDescent="0.35">
      <c r="A891"/>
      <c r="B891"/>
      <c r="C891"/>
      <c r="D891"/>
      <c r="E891"/>
      <c r="F891"/>
      <c r="G891"/>
      <c r="H891"/>
    </row>
    <row r="892" spans="1:8" ht="14.5" x14ac:dyDescent="0.35">
      <c r="A892"/>
      <c r="B892"/>
      <c r="C892"/>
      <c r="D892"/>
      <c r="E892"/>
      <c r="F892"/>
      <c r="G892"/>
      <c r="H892"/>
    </row>
    <row r="893" spans="1:8" ht="14.5" x14ac:dyDescent="0.35">
      <c r="A893"/>
      <c r="B893"/>
      <c r="C893"/>
      <c r="D893"/>
      <c r="E893"/>
      <c r="F893"/>
      <c r="G893"/>
      <c r="H893"/>
    </row>
    <row r="894" spans="1:8" ht="14.5" x14ac:dyDescent="0.35">
      <c r="A894"/>
      <c r="B894"/>
      <c r="C894"/>
      <c r="D894"/>
      <c r="E894"/>
      <c r="F894"/>
      <c r="G894"/>
      <c r="H894"/>
    </row>
    <row r="895" spans="1:8" ht="14.5" x14ac:dyDescent="0.35">
      <c r="A895"/>
      <c r="B895"/>
      <c r="C895"/>
      <c r="D895"/>
      <c r="E895"/>
      <c r="F895"/>
      <c r="G895"/>
      <c r="H895"/>
    </row>
    <row r="896" spans="1:8" ht="14.5" x14ac:dyDescent="0.35">
      <c r="A896"/>
      <c r="B896"/>
      <c r="C896"/>
      <c r="D896"/>
      <c r="E896"/>
      <c r="F896"/>
      <c r="G896"/>
      <c r="H896"/>
    </row>
    <row r="897" spans="1:8" ht="14.5" x14ac:dyDescent="0.35">
      <c r="A897"/>
      <c r="B897"/>
      <c r="C897"/>
      <c r="D897"/>
      <c r="E897"/>
      <c r="F897"/>
      <c r="G897"/>
      <c r="H897"/>
    </row>
    <row r="898" spans="1:8" ht="14.5" x14ac:dyDescent="0.35">
      <c r="A898"/>
      <c r="B898"/>
      <c r="C898"/>
      <c r="D898"/>
      <c r="E898"/>
      <c r="F898"/>
      <c r="G898"/>
      <c r="H898"/>
    </row>
    <row r="899" spans="1:8" ht="14.5" x14ac:dyDescent="0.35">
      <c r="A899"/>
      <c r="B899"/>
      <c r="C899"/>
      <c r="D899"/>
      <c r="E899"/>
      <c r="F899"/>
      <c r="G899"/>
      <c r="H899"/>
    </row>
    <row r="900" spans="1:8" ht="14.5" x14ac:dyDescent="0.35">
      <c r="A900"/>
      <c r="B900"/>
      <c r="C900"/>
      <c r="D900"/>
      <c r="E900"/>
      <c r="F900"/>
      <c r="G900"/>
      <c r="H900"/>
    </row>
    <row r="901" spans="1:8" ht="14.5" x14ac:dyDescent="0.35">
      <c r="A901"/>
      <c r="B901"/>
      <c r="C901"/>
      <c r="D901"/>
      <c r="E901"/>
      <c r="F901"/>
      <c r="G901"/>
      <c r="H901"/>
    </row>
    <row r="902" spans="1:8" ht="14.5" x14ac:dyDescent="0.35">
      <c r="A902"/>
      <c r="B902"/>
      <c r="C902"/>
      <c r="D902"/>
      <c r="E902"/>
      <c r="F902"/>
      <c r="G902"/>
      <c r="H902"/>
    </row>
    <row r="903" spans="1:8" ht="14.5" x14ac:dyDescent="0.35">
      <c r="A903"/>
      <c r="B903"/>
      <c r="C903"/>
      <c r="D903"/>
      <c r="E903"/>
      <c r="F903"/>
      <c r="G903"/>
      <c r="H903"/>
    </row>
    <row r="904" spans="1:8" ht="14.5" x14ac:dyDescent="0.35">
      <c r="A904"/>
      <c r="B904"/>
      <c r="C904"/>
      <c r="D904"/>
      <c r="E904"/>
      <c r="F904"/>
      <c r="G904"/>
      <c r="H904"/>
    </row>
    <row r="905" spans="1:8" ht="14.5" x14ac:dyDescent="0.35">
      <c r="A905"/>
      <c r="B905"/>
      <c r="C905"/>
      <c r="D905"/>
      <c r="E905"/>
      <c r="F905"/>
      <c r="G905"/>
      <c r="H905"/>
    </row>
    <row r="906" spans="1:8" ht="14.5" x14ac:dyDescent="0.35">
      <c r="A906"/>
      <c r="B906"/>
      <c r="C906"/>
      <c r="D906"/>
      <c r="E906"/>
      <c r="F906"/>
      <c r="G906"/>
      <c r="H906"/>
    </row>
    <row r="907" spans="1:8" ht="14.5" x14ac:dyDescent="0.35">
      <c r="A907"/>
      <c r="B907"/>
      <c r="C907"/>
      <c r="D907"/>
      <c r="E907"/>
      <c r="F907"/>
      <c r="G907"/>
      <c r="H907"/>
    </row>
    <row r="908" spans="1:8" ht="14.5" x14ac:dyDescent="0.35">
      <c r="A908"/>
      <c r="B908"/>
      <c r="C908"/>
      <c r="D908"/>
      <c r="E908"/>
      <c r="F908"/>
      <c r="G908"/>
      <c r="H908"/>
    </row>
    <row r="909" spans="1:8" ht="14.5" x14ac:dyDescent="0.35">
      <c r="A909"/>
      <c r="B909"/>
      <c r="C909"/>
      <c r="D909"/>
      <c r="E909"/>
      <c r="F909"/>
      <c r="G909"/>
      <c r="H909"/>
    </row>
    <row r="910" spans="1:8" ht="14.5" x14ac:dyDescent="0.35">
      <c r="A910"/>
      <c r="B910"/>
      <c r="C910"/>
      <c r="D910"/>
      <c r="E910"/>
      <c r="F910"/>
      <c r="G910"/>
      <c r="H910"/>
    </row>
    <row r="911" spans="1:8" ht="14.5" x14ac:dyDescent="0.35">
      <c r="A911"/>
      <c r="B911"/>
      <c r="C911"/>
      <c r="D911"/>
      <c r="E911"/>
      <c r="F911"/>
      <c r="G911"/>
      <c r="H911"/>
    </row>
    <row r="912" spans="1:8" ht="14.5" x14ac:dyDescent="0.35">
      <c r="A912"/>
      <c r="B912"/>
      <c r="C912"/>
      <c r="D912"/>
      <c r="E912"/>
      <c r="F912"/>
      <c r="G912"/>
      <c r="H912"/>
    </row>
    <row r="913" spans="1:8" ht="14.5" x14ac:dyDescent="0.35">
      <c r="A913"/>
      <c r="B913"/>
      <c r="C913"/>
      <c r="D913"/>
      <c r="E913"/>
      <c r="F913"/>
      <c r="G913"/>
      <c r="H913"/>
    </row>
    <row r="914" spans="1:8" ht="14.5" x14ac:dyDescent="0.35">
      <c r="A914"/>
      <c r="B914"/>
      <c r="C914"/>
      <c r="D914"/>
      <c r="E914"/>
      <c r="F914"/>
      <c r="G914"/>
      <c r="H914"/>
    </row>
    <row r="915" spans="1:8" ht="14.5" x14ac:dyDescent="0.35">
      <c r="A915"/>
      <c r="B915"/>
      <c r="C915"/>
      <c r="D915"/>
      <c r="E915"/>
      <c r="F915"/>
      <c r="G915"/>
      <c r="H915"/>
    </row>
    <row r="916" spans="1:8" ht="14.5" x14ac:dyDescent="0.35">
      <c r="A916"/>
      <c r="B916"/>
      <c r="C916"/>
      <c r="D916"/>
      <c r="E916"/>
      <c r="F916"/>
      <c r="G916"/>
      <c r="H916"/>
    </row>
    <row r="917" spans="1:8" ht="14.5" x14ac:dyDescent="0.35">
      <c r="A917"/>
      <c r="B917"/>
      <c r="C917"/>
      <c r="D917"/>
      <c r="E917"/>
      <c r="F917"/>
      <c r="G917"/>
      <c r="H917"/>
    </row>
    <row r="918" spans="1:8" ht="14.5" x14ac:dyDescent="0.35">
      <c r="A918"/>
      <c r="B918"/>
      <c r="C918"/>
      <c r="D918"/>
      <c r="E918"/>
      <c r="F918"/>
      <c r="G918"/>
      <c r="H918"/>
    </row>
    <row r="919" spans="1:8" ht="14.5" x14ac:dyDescent="0.35">
      <c r="A919"/>
      <c r="B919"/>
      <c r="C919"/>
      <c r="D919"/>
      <c r="E919"/>
      <c r="F919"/>
      <c r="G919"/>
      <c r="H919"/>
    </row>
    <row r="920" spans="1:8" ht="14.5" x14ac:dyDescent="0.35">
      <c r="A920"/>
      <c r="B920"/>
      <c r="C920"/>
      <c r="D920"/>
      <c r="E920"/>
      <c r="F920"/>
      <c r="G920"/>
      <c r="H920"/>
    </row>
    <row r="921" spans="1:8" ht="14.5" x14ac:dyDescent="0.35">
      <c r="A921"/>
      <c r="B921"/>
      <c r="C921"/>
      <c r="D921"/>
      <c r="E921"/>
      <c r="F921"/>
      <c r="G921"/>
      <c r="H921"/>
    </row>
    <row r="922" spans="1:8" ht="14.5" x14ac:dyDescent="0.35">
      <c r="A922"/>
      <c r="B922"/>
      <c r="C922"/>
      <c r="D922"/>
      <c r="E922"/>
      <c r="F922"/>
      <c r="G922"/>
      <c r="H922"/>
    </row>
    <row r="923" spans="1:8" ht="14.5" x14ac:dyDescent="0.35">
      <c r="A923"/>
      <c r="B923"/>
      <c r="C923"/>
      <c r="D923"/>
      <c r="E923"/>
      <c r="F923"/>
      <c r="G923"/>
      <c r="H923"/>
    </row>
    <row r="924" spans="1:8" ht="14.5" x14ac:dyDescent="0.35">
      <c r="A924"/>
      <c r="B924"/>
      <c r="C924"/>
      <c r="D924"/>
      <c r="E924"/>
      <c r="F924"/>
      <c r="G924"/>
      <c r="H924"/>
    </row>
    <row r="925" spans="1:8" ht="14.5" x14ac:dyDescent="0.35">
      <c r="A925"/>
      <c r="B925"/>
      <c r="C925"/>
      <c r="D925"/>
      <c r="E925"/>
      <c r="F925"/>
      <c r="G925"/>
      <c r="H925"/>
    </row>
    <row r="926" spans="1:8" ht="14.5" x14ac:dyDescent="0.35">
      <c r="A926"/>
      <c r="B926"/>
      <c r="C926"/>
      <c r="D926"/>
      <c r="E926"/>
      <c r="F926"/>
      <c r="G926"/>
      <c r="H926"/>
    </row>
    <row r="927" spans="1:8" ht="14.5" x14ac:dyDescent="0.35">
      <c r="A927"/>
      <c r="B927"/>
      <c r="C927"/>
      <c r="D927"/>
      <c r="E927"/>
      <c r="F927"/>
      <c r="G927"/>
      <c r="H927"/>
    </row>
    <row r="928" spans="1:8" ht="14.5" x14ac:dyDescent="0.35">
      <c r="A928"/>
      <c r="B928"/>
      <c r="C928"/>
      <c r="D928"/>
      <c r="E928"/>
      <c r="F928"/>
      <c r="G928"/>
      <c r="H928"/>
    </row>
    <row r="929" spans="1:8" ht="14.5" x14ac:dyDescent="0.35">
      <c r="A929"/>
      <c r="B929"/>
      <c r="C929"/>
      <c r="D929"/>
      <c r="E929"/>
      <c r="F929"/>
      <c r="G929"/>
      <c r="H929"/>
    </row>
    <row r="930" spans="1:8" ht="14.5" x14ac:dyDescent="0.35">
      <c r="A930"/>
      <c r="B930"/>
      <c r="C930"/>
      <c r="D930"/>
      <c r="E930"/>
      <c r="F930"/>
      <c r="G930"/>
      <c r="H930"/>
    </row>
    <row r="931" spans="1:8" ht="14.5" x14ac:dyDescent="0.35">
      <c r="A931"/>
      <c r="B931"/>
      <c r="C931"/>
      <c r="D931"/>
      <c r="E931"/>
      <c r="F931"/>
      <c r="G931"/>
      <c r="H931"/>
    </row>
    <row r="932" spans="1:8" ht="14.5" x14ac:dyDescent="0.35">
      <c r="A932"/>
      <c r="B932"/>
      <c r="C932"/>
      <c r="D932"/>
      <c r="E932"/>
      <c r="F932"/>
      <c r="G932"/>
      <c r="H932"/>
    </row>
    <row r="933" spans="1:8" ht="14.5" x14ac:dyDescent="0.35">
      <c r="A933"/>
      <c r="B933"/>
      <c r="C933"/>
      <c r="D933"/>
      <c r="E933"/>
      <c r="F933"/>
      <c r="G933"/>
      <c r="H933"/>
    </row>
    <row r="934" spans="1:8" ht="14.5" x14ac:dyDescent="0.35">
      <c r="A934"/>
      <c r="B934"/>
      <c r="C934"/>
      <c r="D934"/>
      <c r="E934"/>
      <c r="F934"/>
      <c r="G934"/>
      <c r="H934"/>
    </row>
    <row r="935" spans="1:8" ht="14.5" x14ac:dyDescent="0.35">
      <c r="A935"/>
      <c r="B935"/>
      <c r="C935"/>
      <c r="D935"/>
      <c r="E935"/>
      <c r="F935"/>
      <c r="G935"/>
      <c r="H935"/>
    </row>
    <row r="936" spans="1:8" ht="14.5" x14ac:dyDescent="0.35">
      <c r="A936"/>
      <c r="B936"/>
      <c r="C936"/>
      <c r="D936"/>
      <c r="E936"/>
      <c r="F936"/>
      <c r="G936"/>
      <c r="H936"/>
    </row>
    <row r="937" spans="1:8" ht="14.5" x14ac:dyDescent="0.35">
      <c r="A937"/>
      <c r="B937"/>
      <c r="C937"/>
      <c r="D937"/>
      <c r="E937"/>
      <c r="F937"/>
      <c r="G937"/>
      <c r="H937"/>
    </row>
    <row r="938" spans="1:8" ht="14.5" x14ac:dyDescent="0.35">
      <c r="A938"/>
      <c r="B938"/>
      <c r="C938"/>
      <c r="D938"/>
      <c r="E938"/>
      <c r="F938"/>
      <c r="G938"/>
      <c r="H938"/>
    </row>
    <row r="939" spans="1:8" ht="14.5" x14ac:dyDescent="0.35">
      <c r="A939"/>
      <c r="B939"/>
      <c r="C939"/>
      <c r="D939"/>
      <c r="E939"/>
      <c r="F939"/>
      <c r="G939"/>
      <c r="H939"/>
    </row>
    <row r="940" spans="1:8" ht="14.5" x14ac:dyDescent="0.35">
      <c r="A940"/>
      <c r="B940"/>
      <c r="C940"/>
      <c r="D940"/>
      <c r="E940"/>
      <c r="F940"/>
      <c r="G940"/>
      <c r="H940"/>
    </row>
    <row r="941" spans="1:8" ht="14.5" x14ac:dyDescent="0.35">
      <c r="A941"/>
      <c r="B941"/>
      <c r="C941"/>
      <c r="D941"/>
      <c r="E941"/>
      <c r="F941"/>
      <c r="G941"/>
      <c r="H941"/>
    </row>
    <row r="942" spans="1:8" ht="14.5" x14ac:dyDescent="0.35">
      <c r="A942"/>
      <c r="B942"/>
      <c r="C942"/>
      <c r="D942"/>
      <c r="E942"/>
      <c r="F942"/>
      <c r="G942"/>
      <c r="H942"/>
    </row>
    <row r="943" spans="1:8" ht="14.5" x14ac:dyDescent="0.35">
      <c r="A943"/>
      <c r="B943"/>
      <c r="C943"/>
      <c r="D943"/>
      <c r="E943"/>
      <c r="F943"/>
      <c r="G943"/>
      <c r="H943"/>
    </row>
    <row r="944" spans="1:8" ht="14.5" x14ac:dyDescent="0.35">
      <c r="A944"/>
      <c r="B944"/>
      <c r="C944"/>
      <c r="D944"/>
      <c r="E944"/>
      <c r="F944"/>
      <c r="G944"/>
      <c r="H944"/>
    </row>
    <row r="945" spans="1:8" ht="14.5" x14ac:dyDescent="0.35">
      <c r="A945"/>
      <c r="B945"/>
      <c r="C945"/>
      <c r="D945"/>
      <c r="E945"/>
      <c r="F945"/>
      <c r="G945"/>
      <c r="H945"/>
    </row>
    <row r="946" spans="1:8" ht="14.5" x14ac:dyDescent="0.35">
      <c r="A946"/>
      <c r="B946"/>
      <c r="C946"/>
      <c r="D946"/>
      <c r="E946"/>
      <c r="F946"/>
      <c r="G946"/>
      <c r="H946"/>
    </row>
    <row r="947" spans="1:8" ht="14.5" x14ac:dyDescent="0.35">
      <c r="A947"/>
      <c r="B947"/>
      <c r="C947"/>
      <c r="D947"/>
      <c r="E947"/>
      <c r="F947"/>
      <c r="G947"/>
      <c r="H947"/>
    </row>
    <row r="948" spans="1:8" ht="14.5" x14ac:dyDescent="0.35">
      <c r="A948"/>
      <c r="B948"/>
      <c r="C948"/>
      <c r="D948"/>
      <c r="E948"/>
      <c r="F948"/>
      <c r="G948"/>
      <c r="H948"/>
    </row>
    <row r="949" spans="1:8" ht="14.5" x14ac:dyDescent="0.35">
      <c r="A949"/>
      <c r="B949"/>
      <c r="C949"/>
      <c r="D949"/>
      <c r="E949"/>
      <c r="F949"/>
      <c r="G949"/>
      <c r="H949"/>
    </row>
    <row r="950" spans="1:8" ht="14.5" x14ac:dyDescent="0.35">
      <c r="A950"/>
      <c r="B950"/>
      <c r="C950"/>
      <c r="D950"/>
      <c r="E950"/>
      <c r="F950"/>
      <c r="G950"/>
      <c r="H950"/>
    </row>
    <row r="951" spans="1:8" ht="14.5" x14ac:dyDescent="0.35">
      <c r="A951"/>
      <c r="B951"/>
      <c r="C951"/>
      <c r="D951"/>
      <c r="E951"/>
      <c r="F951"/>
      <c r="G951"/>
      <c r="H951"/>
    </row>
    <row r="952" spans="1:8" ht="14.5" x14ac:dyDescent="0.35">
      <c r="A952"/>
      <c r="B952"/>
      <c r="C952"/>
      <c r="D952"/>
      <c r="E952"/>
      <c r="F952"/>
      <c r="G952"/>
      <c r="H952"/>
    </row>
    <row r="953" spans="1:8" ht="14.5" x14ac:dyDescent="0.35">
      <c r="A953"/>
      <c r="B953"/>
      <c r="C953"/>
      <c r="D953"/>
      <c r="E953"/>
      <c r="F953"/>
      <c r="G953"/>
      <c r="H953"/>
    </row>
    <row r="954" spans="1:8" ht="14.5" x14ac:dyDescent="0.35">
      <c r="A954"/>
      <c r="B954"/>
      <c r="C954"/>
      <c r="D954"/>
      <c r="E954"/>
      <c r="F954"/>
      <c r="G954"/>
      <c r="H954"/>
    </row>
    <row r="955" spans="1:8" ht="14.5" x14ac:dyDescent="0.35">
      <c r="A955"/>
      <c r="B955"/>
      <c r="C955"/>
      <c r="D955"/>
      <c r="E955"/>
      <c r="F955"/>
      <c r="G955"/>
      <c r="H955"/>
    </row>
    <row r="956" spans="1:8" ht="14.5" x14ac:dyDescent="0.35">
      <c r="A956"/>
      <c r="B956"/>
      <c r="C956"/>
      <c r="D956"/>
      <c r="E956"/>
      <c r="F956"/>
      <c r="G956"/>
      <c r="H956"/>
    </row>
    <row r="957" spans="1:8" ht="14.5" x14ac:dyDescent="0.35">
      <c r="A957"/>
      <c r="B957"/>
      <c r="C957"/>
      <c r="D957"/>
      <c r="E957"/>
      <c r="F957"/>
      <c r="G957"/>
      <c r="H957"/>
    </row>
    <row r="958" spans="1:8" ht="14.5" x14ac:dyDescent="0.35">
      <c r="A958"/>
      <c r="B958"/>
      <c r="C958"/>
      <c r="D958"/>
      <c r="E958"/>
      <c r="F958"/>
      <c r="G958"/>
      <c r="H958"/>
    </row>
    <row r="959" spans="1:8" ht="14.5" x14ac:dyDescent="0.35">
      <c r="A959"/>
      <c r="B959"/>
      <c r="C959"/>
      <c r="D959"/>
      <c r="E959"/>
      <c r="F959"/>
      <c r="G959"/>
      <c r="H959"/>
    </row>
    <row r="960" spans="1:8" ht="14.5" x14ac:dyDescent="0.35">
      <c r="A960"/>
      <c r="B960"/>
      <c r="C960"/>
      <c r="D960"/>
      <c r="E960"/>
      <c r="F960"/>
      <c r="G960"/>
      <c r="H960"/>
    </row>
    <row r="961" spans="1:8" ht="14.5" x14ac:dyDescent="0.35">
      <c r="A961"/>
      <c r="B961"/>
      <c r="C961"/>
      <c r="D961"/>
      <c r="E961"/>
      <c r="F961"/>
      <c r="G961"/>
      <c r="H961"/>
    </row>
    <row r="962" spans="1:8" ht="14.5" x14ac:dyDescent="0.35">
      <c r="A962"/>
      <c r="B962"/>
      <c r="C962"/>
      <c r="D962"/>
      <c r="E962"/>
      <c r="F962"/>
      <c r="G962"/>
      <c r="H962"/>
    </row>
    <row r="963" spans="1:8" ht="14.5" x14ac:dyDescent="0.35">
      <c r="A963"/>
      <c r="B963"/>
      <c r="C963"/>
      <c r="D963"/>
      <c r="E963"/>
      <c r="F963"/>
      <c r="G963"/>
      <c r="H963"/>
    </row>
    <row r="964" spans="1:8" ht="14.5" x14ac:dyDescent="0.35">
      <c r="A964"/>
      <c r="B964"/>
      <c r="C964"/>
      <c r="D964"/>
      <c r="E964"/>
      <c r="F964"/>
      <c r="G964"/>
      <c r="H964"/>
    </row>
    <row r="965" spans="1:8" ht="14.5" x14ac:dyDescent="0.35">
      <c r="A965"/>
      <c r="B965"/>
      <c r="C965"/>
      <c r="D965"/>
      <c r="E965"/>
      <c r="F965"/>
      <c r="G965"/>
      <c r="H965"/>
    </row>
    <row r="966" spans="1:8" ht="14.5" x14ac:dyDescent="0.35">
      <c r="A966"/>
      <c r="B966"/>
      <c r="C966"/>
      <c r="D966"/>
      <c r="E966"/>
      <c r="F966"/>
      <c r="G966"/>
      <c r="H966"/>
    </row>
    <row r="967" spans="1:8" ht="14.5" x14ac:dyDescent="0.35">
      <c r="A967"/>
      <c r="B967"/>
      <c r="C967"/>
      <c r="D967"/>
      <c r="E967"/>
      <c r="F967"/>
      <c r="G967"/>
      <c r="H967"/>
    </row>
    <row r="968" spans="1:8" ht="14.5" x14ac:dyDescent="0.35">
      <c r="A968"/>
      <c r="B968"/>
      <c r="C968"/>
      <c r="D968"/>
      <c r="E968"/>
      <c r="F968"/>
      <c r="G968"/>
      <c r="H968"/>
    </row>
    <row r="969" spans="1:8" ht="14.5" x14ac:dyDescent="0.35">
      <c r="A969"/>
      <c r="B969"/>
      <c r="C969"/>
      <c r="D969"/>
      <c r="E969"/>
      <c r="F969"/>
      <c r="G969"/>
      <c r="H969"/>
    </row>
    <row r="970" spans="1:8" ht="14.5" x14ac:dyDescent="0.35">
      <c r="A970"/>
      <c r="B970"/>
      <c r="C970"/>
      <c r="D970"/>
      <c r="E970"/>
      <c r="F970"/>
      <c r="G970"/>
      <c r="H970"/>
    </row>
    <row r="971" spans="1:8" ht="14.5" x14ac:dyDescent="0.35">
      <c r="A971"/>
      <c r="B971"/>
      <c r="C971"/>
      <c r="D971"/>
      <c r="E971"/>
      <c r="F971"/>
      <c r="G971"/>
      <c r="H971"/>
    </row>
    <row r="972" spans="1:8" ht="14.5" x14ac:dyDescent="0.35">
      <c r="A972"/>
      <c r="B972"/>
      <c r="C972"/>
      <c r="D972"/>
      <c r="E972"/>
      <c r="F972"/>
      <c r="G972"/>
      <c r="H972"/>
    </row>
    <row r="973" spans="1:8" ht="14.5" x14ac:dyDescent="0.35">
      <c r="A973"/>
      <c r="B973"/>
      <c r="C973"/>
      <c r="D973"/>
      <c r="E973"/>
      <c r="F973"/>
      <c r="G973"/>
      <c r="H973"/>
    </row>
    <row r="974" spans="1:8" ht="14.5" x14ac:dyDescent="0.35">
      <c r="A974"/>
      <c r="B974"/>
      <c r="C974"/>
      <c r="D974"/>
      <c r="E974"/>
      <c r="F974"/>
      <c r="G974"/>
      <c r="H974"/>
    </row>
    <row r="975" spans="1:8" ht="14.5" x14ac:dyDescent="0.35">
      <c r="A975"/>
      <c r="B975"/>
      <c r="C975"/>
      <c r="D975"/>
      <c r="E975"/>
      <c r="F975"/>
      <c r="G975"/>
      <c r="H975"/>
    </row>
    <row r="976" spans="1:8" ht="14.5" x14ac:dyDescent="0.35">
      <c r="A976"/>
      <c r="B976"/>
      <c r="C976"/>
      <c r="D976"/>
      <c r="E976"/>
      <c r="F976"/>
      <c r="G976"/>
      <c r="H976"/>
    </row>
    <row r="977" spans="1:8" ht="14.5" x14ac:dyDescent="0.35">
      <c r="A977"/>
      <c r="B977"/>
      <c r="C977"/>
      <c r="D977"/>
      <c r="E977"/>
      <c r="F977"/>
      <c r="G977"/>
      <c r="H977"/>
    </row>
    <row r="978" spans="1:8" ht="14.5" x14ac:dyDescent="0.35">
      <c r="A978"/>
      <c r="B978"/>
      <c r="C978"/>
      <c r="D978"/>
      <c r="E978"/>
      <c r="F978"/>
      <c r="G978"/>
      <c r="H978"/>
    </row>
    <row r="979" spans="1:8" ht="14.5" x14ac:dyDescent="0.35">
      <c r="A979"/>
      <c r="B979"/>
      <c r="C979"/>
      <c r="D979"/>
      <c r="E979"/>
      <c r="F979"/>
      <c r="G979"/>
      <c r="H979"/>
    </row>
    <row r="980" spans="1:8" ht="14.5" x14ac:dyDescent="0.35">
      <c r="A980"/>
      <c r="B980"/>
      <c r="C980"/>
      <c r="D980"/>
      <c r="E980"/>
      <c r="F980"/>
      <c r="G980"/>
      <c r="H980"/>
    </row>
    <row r="981" spans="1:8" ht="14.5" x14ac:dyDescent="0.35">
      <c r="A981"/>
      <c r="B981"/>
      <c r="C981"/>
      <c r="D981"/>
      <c r="E981"/>
      <c r="F981"/>
      <c r="G981"/>
      <c r="H981"/>
    </row>
    <row r="982" spans="1:8" ht="14.5" x14ac:dyDescent="0.35">
      <c r="A982"/>
      <c r="B982"/>
      <c r="C982"/>
      <c r="D982"/>
      <c r="E982"/>
      <c r="F982"/>
      <c r="G982"/>
      <c r="H982"/>
    </row>
    <row r="983" spans="1:8" ht="14.5" x14ac:dyDescent="0.35">
      <c r="A983"/>
      <c r="B983"/>
      <c r="C983"/>
      <c r="D983"/>
      <c r="E983"/>
      <c r="F983"/>
      <c r="G983"/>
      <c r="H983"/>
    </row>
    <row r="984" spans="1:8" ht="14.5" x14ac:dyDescent="0.35">
      <c r="A984"/>
      <c r="B984"/>
      <c r="C984"/>
      <c r="D984"/>
      <c r="E984"/>
      <c r="F984"/>
      <c r="G984"/>
      <c r="H984"/>
    </row>
    <row r="985" spans="1:8" ht="14.5" x14ac:dyDescent="0.35">
      <c r="A985"/>
      <c r="B985"/>
      <c r="C985"/>
      <c r="D985"/>
      <c r="E985"/>
      <c r="F985"/>
      <c r="G985"/>
      <c r="H985"/>
    </row>
    <row r="986" spans="1:8" ht="14.5" x14ac:dyDescent="0.35">
      <c r="A986"/>
      <c r="B986"/>
      <c r="C986"/>
      <c r="D986"/>
      <c r="E986"/>
      <c r="F986"/>
      <c r="G986"/>
      <c r="H986"/>
    </row>
    <row r="987" spans="1:8" ht="14.5" x14ac:dyDescent="0.35">
      <c r="A987"/>
      <c r="B987"/>
      <c r="C987"/>
      <c r="D987"/>
      <c r="E987"/>
      <c r="F987"/>
      <c r="G987"/>
      <c r="H987"/>
    </row>
    <row r="988" spans="1:8" ht="14.5" x14ac:dyDescent="0.35">
      <c r="A988"/>
      <c r="B988"/>
      <c r="C988"/>
      <c r="D988"/>
      <c r="E988"/>
      <c r="F988"/>
      <c r="G988"/>
      <c r="H988"/>
    </row>
    <row r="989" spans="1:8" ht="14.5" x14ac:dyDescent="0.35">
      <c r="A989"/>
      <c r="B989"/>
      <c r="C989"/>
      <c r="D989"/>
      <c r="E989"/>
      <c r="F989"/>
      <c r="G989"/>
      <c r="H989"/>
    </row>
    <row r="990" spans="1:8" ht="14.5" x14ac:dyDescent="0.35">
      <c r="A990"/>
      <c r="B990"/>
      <c r="C990"/>
      <c r="D990"/>
      <c r="E990"/>
      <c r="F990"/>
      <c r="G990"/>
      <c r="H990"/>
    </row>
    <row r="991" spans="1:8" ht="14.5" x14ac:dyDescent="0.35">
      <c r="A991"/>
      <c r="B991"/>
      <c r="C991"/>
      <c r="D991"/>
      <c r="E991"/>
      <c r="F991"/>
      <c r="G991"/>
      <c r="H991"/>
    </row>
    <row r="992" spans="1:8" ht="14.5" x14ac:dyDescent="0.35">
      <c r="A992"/>
      <c r="B992"/>
      <c r="C992"/>
      <c r="D992"/>
      <c r="E992"/>
      <c r="F992"/>
      <c r="G992"/>
      <c r="H992"/>
    </row>
    <row r="993" spans="1:8" ht="14.5" x14ac:dyDescent="0.35">
      <c r="A993"/>
      <c r="B993"/>
      <c r="C993"/>
      <c r="D993"/>
      <c r="E993"/>
      <c r="F993"/>
      <c r="G993"/>
      <c r="H993"/>
    </row>
    <row r="994" spans="1:8" ht="14.5" x14ac:dyDescent="0.35">
      <c r="A994"/>
      <c r="B994"/>
      <c r="C994"/>
      <c r="D994"/>
      <c r="E994"/>
      <c r="F994"/>
      <c r="G994"/>
      <c r="H994"/>
    </row>
    <row r="995" spans="1:8" ht="14.5" x14ac:dyDescent="0.35">
      <c r="A995"/>
      <c r="B995"/>
      <c r="C995"/>
      <c r="D995"/>
      <c r="E995"/>
      <c r="F995"/>
      <c r="G995"/>
      <c r="H995"/>
    </row>
    <row r="996" spans="1:8" ht="14.5" x14ac:dyDescent="0.35">
      <c r="A996"/>
      <c r="B996"/>
      <c r="C996"/>
      <c r="D996"/>
      <c r="E996"/>
      <c r="F996"/>
      <c r="G996"/>
      <c r="H996"/>
    </row>
    <row r="997" spans="1:8" ht="14.5" x14ac:dyDescent="0.35">
      <c r="A997"/>
      <c r="B997"/>
      <c r="C997"/>
      <c r="D997"/>
      <c r="E997"/>
      <c r="F997"/>
      <c r="G997"/>
      <c r="H997"/>
    </row>
    <row r="998" spans="1:8" ht="14.5" x14ac:dyDescent="0.35">
      <c r="A998"/>
      <c r="B998"/>
      <c r="C998"/>
      <c r="D998"/>
      <c r="E998"/>
      <c r="F998"/>
      <c r="G998"/>
      <c r="H998"/>
    </row>
    <row r="999" spans="1:8" ht="14.5" x14ac:dyDescent="0.35">
      <c r="A999"/>
      <c r="B999"/>
      <c r="C999"/>
      <c r="D999"/>
      <c r="E999"/>
      <c r="F999"/>
      <c r="G999"/>
      <c r="H999"/>
    </row>
    <row r="1000" spans="1:8" ht="14.5" x14ac:dyDescent="0.35">
      <c r="A1000"/>
      <c r="B1000"/>
      <c r="C1000"/>
      <c r="D1000"/>
      <c r="E1000"/>
      <c r="F1000"/>
      <c r="G1000"/>
      <c r="H1000"/>
    </row>
    <row r="1001" spans="1:8" ht="14.5" x14ac:dyDescent="0.35">
      <c r="A1001"/>
      <c r="B1001"/>
      <c r="C1001"/>
      <c r="D1001"/>
      <c r="E1001"/>
      <c r="F1001"/>
      <c r="G1001"/>
      <c r="H1001"/>
    </row>
    <row r="1002" spans="1:8" ht="14.5" x14ac:dyDescent="0.35">
      <c r="A1002"/>
      <c r="B1002"/>
      <c r="C1002"/>
      <c r="D1002"/>
      <c r="E1002"/>
      <c r="F1002"/>
      <c r="G1002"/>
      <c r="H1002"/>
    </row>
    <row r="1003" spans="1:8" ht="14.5" x14ac:dyDescent="0.35">
      <c r="A1003"/>
      <c r="B1003"/>
      <c r="C1003"/>
      <c r="D1003"/>
      <c r="E1003"/>
      <c r="F1003"/>
      <c r="G1003"/>
      <c r="H1003"/>
    </row>
    <row r="1004" spans="1:8" ht="14.5" x14ac:dyDescent="0.35">
      <c r="A1004"/>
      <c r="B1004"/>
      <c r="C1004"/>
      <c r="D1004"/>
      <c r="E1004"/>
      <c r="F1004"/>
      <c r="G1004"/>
      <c r="H1004"/>
    </row>
    <row r="1005" spans="1:8" ht="14.5" x14ac:dyDescent="0.35">
      <c r="A1005"/>
      <c r="B1005"/>
      <c r="C1005"/>
      <c r="D1005"/>
      <c r="E1005"/>
      <c r="F1005"/>
      <c r="G1005"/>
      <c r="H1005"/>
    </row>
    <row r="1006" spans="1:8" ht="14.5" x14ac:dyDescent="0.35">
      <c r="A1006"/>
      <c r="B1006"/>
      <c r="C1006"/>
      <c r="D1006"/>
      <c r="E1006"/>
      <c r="F1006"/>
      <c r="G1006"/>
      <c r="H1006"/>
    </row>
    <row r="1007" spans="1:8" ht="14.5" x14ac:dyDescent="0.35">
      <c r="A1007"/>
      <c r="B1007"/>
      <c r="C1007"/>
      <c r="D1007"/>
      <c r="E1007"/>
      <c r="F1007"/>
      <c r="G1007"/>
      <c r="H1007"/>
    </row>
    <row r="1008" spans="1:8" ht="14.5" x14ac:dyDescent="0.35">
      <c r="A1008"/>
      <c r="B1008"/>
      <c r="C1008"/>
      <c r="D1008"/>
      <c r="E1008"/>
      <c r="F1008"/>
      <c r="G1008"/>
      <c r="H1008"/>
    </row>
    <row r="1009" spans="1:8" ht="14.5" x14ac:dyDescent="0.35">
      <c r="A1009"/>
      <c r="B1009"/>
      <c r="C1009"/>
      <c r="D1009"/>
      <c r="E1009"/>
      <c r="F1009"/>
      <c r="G1009"/>
      <c r="H1009"/>
    </row>
    <row r="1010" spans="1:8" ht="14.5" x14ac:dyDescent="0.35">
      <c r="A1010"/>
      <c r="B1010"/>
      <c r="C1010"/>
      <c r="D1010"/>
      <c r="E1010"/>
      <c r="F1010"/>
      <c r="G1010"/>
      <c r="H1010"/>
    </row>
    <row r="1011" spans="1:8" ht="14.5" x14ac:dyDescent="0.35">
      <c r="A1011"/>
      <c r="B1011"/>
      <c r="C1011"/>
      <c r="D1011"/>
      <c r="E1011"/>
      <c r="F1011"/>
      <c r="G1011"/>
      <c r="H1011"/>
    </row>
    <row r="1012" spans="1:8" ht="14.5" x14ac:dyDescent="0.35">
      <c r="A1012"/>
      <c r="B1012"/>
      <c r="C1012"/>
      <c r="D1012"/>
      <c r="E1012"/>
      <c r="F1012"/>
      <c r="G1012"/>
      <c r="H1012"/>
    </row>
    <row r="1013" spans="1:8" ht="14.5" x14ac:dyDescent="0.35">
      <c r="A1013"/>
      <c r="B1013"/>
      <c r="C1013"/>
      <c r="D1013"/>
      <c r="E1013"/>
      <c r="F1013"/>
      <c r="G1013"/>
      <c r="H1013"/>
    </row>
    <row r="1014" spans="1:8" ht="14.5" x14ac:dyDescent="0.35">
      <c r="A1014"/>
      <c r="B1014"/>
      <c r="C1014"/>
      <c r="D1014"/>
      <c r="E1014"/>
      <c r="F1014"/>
      <c r="G1014"/>
      <c r="H1014"/>
    </row>
    <row r="1015" spans="1:8" ht="14.5" x14ac:dyDescent="0.35">
      <c r="A1015"/>
      <c r="B1015"/>
      <c r="C1015"/>
      <c r="D1015"/>
      <c r="E1015"/>
      <c r="F1015"/>
      <c r="G1015"/>
      <c r="H1015"/>
    </row>
    <row r="1016" spans="1:8" ht="14.5" x14ac:dyDescent="0.35">
      <c r="A1016"/>
      <c r="B1016"/>
      <c r="C1016"/>
      <c r="D1016"/>
      <c r="E1016"/>
      <c r="F1016"/>
      <c r="G1016"/>
      <c r="H1016"/>
    </row>
    <row r="1017" spans="1:8" ht="14.5" x14ac:dyDescent="0.35">
      <c r="A1017"/>
      <c r="B1017"/>
      <c r="C1017"/>
      <c r="D1017"/>
      <c r="E1017"/>
      <c r="F1017"/>
      <c r="G1017"/>
      <c r="H1017"/>
    </row>
    <row r="1018" spans="1:8" ht="14.5" x14ac:dyDescent="0.35">
      <c r="A1018"/>
      <c r="B1018"/>
      <c r="C1018"/>
      <c r="D1018"/>
      <c r="E1018"/>
      <c r="F1018"/>
      <c r="G1018"/>
      <c r="H1018"/>
    </row>
    <row r="1019" spans="1:8" ht="14.5" x14ac:dyDescent="0.35">
      <c r="A1019"/>
      <c r="B1019"/>
      <c r="C1019"/>
      <c r="D1019"/>
      <c r="E1019"/>
      <c r="F1019"/>
      <c r="G1019"/>
      <c r="H1019"/>
    </row>
    <row r="1020" spans="1:8" ht="14.5" x14ac:dyDescent="0.35">
      <c r="A1020"/>
      <c r="B1020"/>
      <c r="C1020"/>
      <c r="D1020"/>
      <c r="E1020"/>
      <c r="F1020"/>
      <c r="G1020"/>
      <c r="H1020"/>
    </row>
    <row r="1021" spans="1:8" ht="14.5" x14ac:dyDescent="0.35">
      <c r="A1021"/>
      <c r="B1021"/>
      <c r="C1021"/>
      <c r="D1021"/>
      <c r="E1021"/>
      <c r="F1021"/>
      <c r="G1021"/>
      <c r="H1021"/>
    </row>
    <row r="1022" spans="1:8" ht="14.5" x14ac:dyDescent="0.35">
      <c r="A1022"/>
      <c r="B1022"/>
      <c r="C1022"/>
      <c r="D1022"/>
      <c r="E1022"/>
      <c r="F1022"/>
      <c r="G1022"/>
      <c r="H1022"/>
    </row>
    <row r="1023" spans="1:8" ht="14.5" x14ac:dyDescent="0.35">
      <c r="A1023"/>
      <c r="B1023"/>
      <c r="C1023"/>
      <c r="D1023"/>
      <c r="E1023"/>
      <c r="F1023"/>
      <c r="G1023"/>
      <c r="H1023"/>
    </row>
    <row r="1024" spans="1:8" ht="14.5" x14ac:dyDescent="0.35">
      <c r="A1024"/>
      <c r="B1024"/>
      <c r="C1024"/>
      <c r="D1024"/>
      <c r="E1024"/>
      <c r="F1024"/>
      <c r="G1024"/>
      <c r="H1024"/>
    </row>
    <row r="1025" spans="1:8" ht="14.5" x14ac:dyDescent="0.35">
      <c r="A1025"/>
      <c r="B1025"/>
      <c r="C1025"/>
      <c r="D1025"/>
      <c r="E1025"/>
      <c r="F1025"/>
      <c r="G1025"/>
      <c r="H1025"/>
    </row>
    <row r="1026" spans="1:8" ht="14.5" x14ac:dyDescent="0.35">
      <c r="A1026"/>
      <c r="B1026"/>
      <c r="C1026"/>
      <c r="D1026"/>
      <c r="E1026"/>
      <c r="F1026"/>
      <c r="G1026"/>
      <c r="H1026"/>
    </row>
    <row r="1027" spans="1:8" ht="14.5" x14ac:dyDescent="0.35">
      <c r="A1027"/>
      <c r="B1027"/>
      <c r="C1027"/>
      <c r="D1027"/>
      <c r="E1027"/>
      <c r="F1027"/>
      <c r="G1027"/>
      <c r="H1027"/>
    </row>
    <row r="1028" spans="1:8" ht="14.5" x14ac:dyDescent="0.35">
      <c r="A1028"/>
      <c r="B1028"/>
      <c r="C1028"/>
      <c r="D1028"/>
      <c r="E1028"/>
      <c r="F1028"/>
      <c r="G1028"/>
      <c r="H1028"/>
    </row>
    <row r="1029" spans="1:8" ht="14.5" x14ac:dyDescent="0.35">
      <c r="A1029"/>
      <c r="B1029"/>
      <c r="C1029"/>
      <c r="D1029"/>
      <c r="E1029"/>
      <c r="F1029"/>
      <c r="G1029"/>
      <c r="H1029"/>
    </row>
    <row r="1030" spans="1:8" ht="14.5" x14ac:dyDescent="0.35">
      <c r="A1030"/>
      <c r="B1030"/>
      <c r="C1030"/>
      <c r="D1030"/>
      <c r="E1030"/>
      <c r="F1030"/>
      <c r="G1030"/>
      <c r="H1030"/>
    </row>
    <row r="1031" spans="1:8" ht="14.5" x14ac:dyDescent="0.35">
      <c r="A1031"/>
      <c r="B1031"/>
      <c r="C1031"/>
      <c r="D1031"/>
      <c r="E1031"/>
      <c r="F1031"/>
      <c r="G1031"/>
      <c r="H1031"/>
    </row>
    <row r="1032" spans="1:8" ht="14.5" x14ac:dyDescent="0.35">
      <c r="A1032"/>
      <c r="B1032"/>
      <c r="C1032"/>
      <c r="D1032"/>
      <c r="E1032"/>
      <c r="F1032"/>
      <c r="G1032"/>
      <c r="H1032"/>
    </row>
    <row r="1033" spans="1:8" ht="14.5" x14ac:dyDescent="0.35">
      <c r="A1033"/>
      <c r="B1033"/>
      <c r="C1033"/>
      <c r="D1033"/>
      <c r="E1033"/>
      <c r="F1033"/>
      <c r="G1033"/>
      <c r="H1033"/>
    </row>
    <row r="1034" spans="1:8" ht="14.5" x14ac:dyDescent="0.35">
      <c r="A1034"/>
      <c r="B1034"/>
      <c r="C1034"/>
      <c r="D1034"/>
      <c r="E1034"/>
      <c r="F1034"/>
      <c r="G1034"/>
      <c r="H1034"/>
    </row>
    <row r="1035" spans="1:8" ht="14.5" x14ac:dyDescent="0.35">
      <c r="A1035"/>
      <c r="B1035"/>
      <c r="C1035"/>
      <c r="D1035"/>
      <c r="E1035"/>
      <c r="F1035"/>
      <c r="G1035"/>
      <c r="H1035"/>
    </row>
    <row r="1036" spans="1:8" ht="14.5" x14ac:dyDescent="0.35">
      <c r="A1036"/>
      <c r="B1036"/>
      <c r="C1036"/>
      <c r="D1036"/>
      <c r="E1036"/>
      <c r="F1036"/>
      <c r="G1036"/>
      <c r="H1036"/>
    </row>
    <row r="1037" spans="1:8" ht="14.5" x14ac:dyDescent="0.35">
      <c r="A1037"/>
      <c r="B1037"/>
      <c r="C1037"/>
      <c r="D1037"/>
      <c r="E1037"/>
      <c r="F1037"/>
      <c r="G1037"/>
      <c r="H1037"/>
    </row>
    <row r="1038" spans="1:8" ht="14.5" x14ac:dyDescent="0.35">
      <c r="A1038"/>
      <c r="B1038"/>
      <c r="C1038"/>
      <c r="D1038"/>
      <c r="E1038"/>
      <c r="F1038"/>
      <c r="G1038"/>
      <c r="H1038"/>
    </row>
    <row r="1039" spans="1:8" ht="14.5" x14ac:dyDescent="0.35">
      <c r="A1039"/>
      <c r="B1039"/>
      <c r="C1039"/>
      <c r="D1039"/>
      <c r="E1039"/>
      <c r="F1039"/>
      <c r="G1039"/>
      <c r="H1039"/>
    </row>
    <row r="1040" spans="1:8" ht="14.5" x14ac:dyDescent="0.35">
      <c r="A1040"/>
      <c r="B1040"/>
      <c r="C1040"/>
      <c r="D1040"/>
      <c r="E1040"/>
      <c r="F1040"/>
      <c r="G1040"/>
      <c r="H1040"/>
    </row>
    <row r="1041" spans="1:8" ht="14.5" x14ac:dyDescent="0.35">
      <c r="A1041"/>
      <c r="B1041"/>
      <c r="C1041"/>
      <c r="D1041"/>
      <c r="E1041"/>
      <c r="F1041"/>
      <c r="G1041"/>
      <c r="H1041"/>
    </row>
    <row r="1042" spans="1:8" ht="14.5" x14ac:dyDescent="0.35">
      <c r="A1042"/>
      <c r="B1042"/>
      <c r="C1042"/>
      <c r="D1042"/>
      <c r="E1042"/>
      <c r="F1042"/>
      <c r="G1042"/>
      <c r="H1042"/>
    </row>
    <row r="1043" spans="1:8" ht="14.5" x14ac:dyDescent="0.35">
      <c r="A1043"/>
      <c r="B1043"/>
      <c r="C1043"/>
      <c r="D1043"/>
      <c r="E1043"/>
      <c r="F1043"/>
      <c r="G1043"/>
      <c r="H1043"/>
    </row>
    <row r="1044" spans="1:8" ht="14.5" x14ac:dyDescent="0.35">
      <c r="A1044"/>
      <c r="B1044"/>
      <c r="C1044"/>
      <c r="D1044"/>
      <c r="E1044"/>
      <c r="F1044"/>
      <c r="G1044"/>
      <c r="H1044"/>
    </row>
    <row r="1045" spans="1:8" ht="14.5" x14ac:dyDescent="0.35">
      <c r="A1045"/>
      <c r="B1045"/>
      <c r="C1045"/>
      <c r="D1045"/>
      <c r="E1045"/>
      <c r="F1045"/>
      <c r="G1045"/>
      <c r="H1045"/>
    </row>
    <row r="1046" spans="1:8" ht="14.5" x14ac:dyDescent="0.35">
      <c r="A1046"/>
      <c r="B1046"/>
      <c r="C1046"/>
      <c r="D1046"/>
      <c r="E1046"/>
      <c r="F1046"/>
      <c r="G1046"/>
      <c r="H1046"/>
    </row>
    <row r="1047" spans="1:8" ht="14.5" x14ac:dyDescent="0.35">
      <c r="A1047"/>
      <c r="B1047"/>
      <c r="C1047"/>
      <c r="D1047"/>
      <c r="E1047"/>
      <c r="F1047"/>
      <c r="G1047"/>
      <c r="H1047"/>
    </row>
    <row r="1048" spans="1:8" ht="14.5" x14ac:dyDescent="0.35">
      <c r="A1048"/>
      <c r="B1048"/>
      <c r="C1048"/>
      <c r="D1048"/>
      <c r="E1048"/>
      <c r="F1048"/>
      <c r="G1048"/>
      <c r="H1048"/>
    </row>
    <row r="1049" spans="1:8" ht="14.5" x14ac:dyDescent="0.35">
      <c r="A1049"/>
      <c r="B1049"/>
      <c r="C1049"/>
      <c r="D1049"/>
      <c r="E1049"/>
      <c r="F1049"/>
      <c r="G1049"/>
      <c r="H1049"/>
    </row>
    <row r="1050" spans="1:8" ht="14.5" x14ac:dyDescent="0.35">
      <c r="A1050"/>
      <c r="B1050"/>
      <c r="C1050"/>
      <c r="D1050"/>
      <c r="E1050"/>
      <c r="F1050"/>
      <c r="G1050"/>
      <c r="H1050"/>
    </row>
    <row r="1051" spans="1:8" ht="14.5" x14ac:dyDescent="0.35">
      <c r="A1051"/>
      <c r="B1051"/>
      <c r="C1051"/>
      <c r="D1051"/>
      <c r="E1051"/>
      <c r="F1051"/>
      <c r="G1051"/>
      <c r="H1051"/>
    </row>
    <row r="1052" spans="1:8" ht="14.5" x14ac:dyDescent="0.35">
      <c r="A1052"/>
      <c r="B1052"/>
      <c r="C1052"/>
      <c r="D1052"/>
      <c r="E1052"/>
      <c r="F1052"/>
      <c r="G1052"/>
      <c r="H1052"/>
    </row>
    <row r="1053" spans="1:8" ht="14.5" x14ac:dyDescent="0.35">
      <c r="A1053"/>
      <c r="B1053"/>
      <c r="C1053"/>
      <c r="D1053"/>
      <c r="E1053"/>
      <c r="F1053"/>
      <c r="G1053"/>
      <c r="H1053"/>
    </row>
    <row r="1054" spans="1:8" ht="14.5" x14ac:dyDescent="0.35">
      <c r="A1054"/>
      <c r="B1054"/>
      <c r="C1054"/>
      <c r="D1054"/>
      <c r="E1054"/>
      <c r="F1054"/>
      <c r="G1054"/>
      <c r="H1054"/>
    </row>
    <row r="1055" spans="1:8" ht="14.5" x14ac:dyDescent="0.35">
      <c r="A1055"/>
      <c r="B1055"/>
      <c r="C1055"/>
      <c r="D1055"/>
      <c r="E1055"/>
      <c r="F1055"/>
      <c r="G1055"/>
      <c r="H1055"/>
    </row>
    <row r="1056" spans="1:8" ht="14.5" x14ac:dyDescent="0.35">
      <c r="A1056"/>
      <c r="B1056"/>
      <c r="C1056"/>
      <c r="D1056"/>
      <c r="E1056"/>
      <c r="F1056"/>
      <c r="G1056"/>
      <c r="H1056"/>
    </row>
    <row r="1057" spans="1:8" ht="14.5" x14ac:dyDescent="0.35">
      <c r="A1057"/>
      <c r="B1057"/>
      <c r="C1057"/>
      <c r="D1057"/>
      <c r="E1057"/>
      <c r="F1057"/>
      <c r="G1057"/>
      <c r="H1057"/>
    </row>
    <row r="1058" spans="1:8" ht="14.5" x14ac:dyDescent="0.35">
      <c r="A1058"/>
      <c r="B1058"/>
      <c r="C1058"/>
      <c r="D1058"/>
      <c r="E1058"/>
      <c r="F1058"/>
      <c r="G1058"/>
      <c r="H1058"/>
    </row>
    <row r="1059" spans="1:8" ht="14.5" x14ac:dyDescent="0.35">
      <c r="A1059"/>
      <c r="B1059"/>
      <c r="C1059"/>
      <c r="D1059"/>
      <c r="E1059"/>
      <c r="F1059"/>
      <c r="G1059"/>
      <c r="H1059"/>
    </row>
    <row r="1060" spans="1:8" ht="14.5" x14ac:dyDescent="0.35">
      <c r="A1060"/>
      <c r="B1060"/>
      <c r="C1060"/>
      <c r="D1060"/>
      <c r="E1060"/>
      <c r="F1060"/>
      <c r="G1060"/>
      <c r="H1060"/>
    </row>
    <row r="1061" spans="1:8" ht="14.5" x14ac:dyDescent="0.35">
      <c r="A1061"/>
      <c r="B1061"/>
      <c r="C1061"/>
      <c r="D1061"/>
      <c r="E1061"/>
      <c r="F1061"/>
      <c r="G1061"/>
      <c r="H1061"/>
    </row>
    <row r="1062" spans="1:8" ht="14.5" x14ac:dyDescent="0.35">
      <c r="A1062"/>
      <c r="B1062"/>
      <c r="C1062"/>
      <c r="D1062"/>
      <c r="E1062"/>
      <c r="F1062"/>
      <c r="G1062"/>
      <c r="H1062"/>
    </row>
    <row r="1063" spans="1:8" ht="14.5" x14ac:dyDescent="0.35">
      <c r="A1063"/>
      <c r="B1063"/>
      <c r="C1063"/>
      <c r="D1063"/>
      <c r="E1063"/>
      <c r="F1063"/>
      <c r="G1063"/>
      <c r="H1063"/>
    </row>
    <row r="1064" spans="1:8" ht="14.5" x14ac:dyDescent="0.35">
      <c r="A1064"/>
      <c r="B1064"/>
      <c r="C1064"/>
      <c r="D1064"/>
      <c r="E1064"/>
      <c r="F1064"/>
      <c r="G1064"/>
      <c r="H1064"/>
    </row>
    <row r="1065" spans="1:8" ht="14.5" x14ac:dyDescent="0.35">
      <c r="A1065"/>
      <c r="B1065"/>
      <c r="C1065"/>
      <c r="D1065"/>
      <c r="E1065"/>
      <c r="F1065"/>
      <c r="G1065"/>
      <c r="H1065"/>
    </row>
    <row r="1066" spans="1:8" ht="14.5" x14ac:dyDescent="0.35">
      <c r="A1066"/>
      <c r="B1066"/>
      <c r="C1066"/>
      <c r="D1066"/>
      <c r="E1066"/>
      <c r="F1066"/>
      <c r="G1066"/>
      <c r="H1066"/>
    </row>
    <row r="1067" spans="1:8" ht="14.5" x14ac:dyDescent="0.35">
      <c r="A1067"/>
      <c r="B1067"/>
      <c r="C1067"/>
      <c r="D1067"/>
      <c r="E1067"/>
      <c r="F1067"/>
      <c r="G1067"/>
      <c r="H1067"/>
    </row>
    <row r="1068" spans="1:8" ht="14.5" x14ac:dyDescent="0.35">
      <c r="A1068"/>
      <c r="B1068"/>
      <c r="C1068"/>
      <c r="D1068"/>
      <c r="E1068"/>
      <c r="F1068"/>
      <c r="G1068"/>
      <c r="H1068"/>
    </row>
    <row r="1069" spans="1:8" ht="14.5" x14ac:dyDescent="0.35">
      <c r="A1069"/>
      <c r="B1069"/>
      <c r="C1069"/>
      <c r="D1069"/>
      <c r="E1069"/>
      <c r="F1069"/>
      <c r="G1069"/>
      <c r="H1069"/>
    </row>
    <row r="1070" spans="1:8" ht="14.5" x14ac:dyDescent="0.35">
      <c r="A1070"/>
      <c r="B1070"/>
      <c r="C1070"/>
      <c r="D1070"/>
      <c r="E1070"/>
      <c r="F1070"/>
      <c r="G1070"/>
      <c r="H1070"/>
    </row>
    <row r="1071" spans="1:8" ht="14.5" x14ac:dyDescent="0.35">
      <c r="A1071"/>
      <c r="B1071"/>
      <c r="C1071"/>
      <c r="D1071"/>
      <c r="E1071"/>
      <c r="F1071"/>
      <c r="G1071"/>
      <c r="H1071"/>
    </row>
    <row r="1072" spans="1:8" ht="14.5" x14ac:dyDescent="0.35">
      <c r="A1072"/>
      <c r="B1072"/>
      <c r="C1072"/>
      <c r="D1072"/>
      <c r="E1072"/>
      <c r="F1072"/>
      <c r="G1072"/>
      <c r="H1072"/>
    </row>
    <row r="1073" spans="1:8" ht="14.5" x14ac:dyDescent="0.35">
      <c r="A1073"/>
      <c r="B1073"/>
      <c r="C1073"/>
      <c r="D1073"/>
      <c r="E1073"/>
      <c r="F1073"/>
      <c r="G1073"/>
      <c r="H1073"/>
    </row>
    <row r="1074" spans="1:8" ht="14.5" x14ac:dyDescent="0.35">
      <c r="A1074"/>
      <c r="B1074"/>
      <c r="C1074"/>
      <c r="D1074"/>
      <c r="E1074"/>
      <c r="F1074"/>
      <c r="G1074"/>
      <c r="H1074"/>
    </row>
    <row r="1075" spans="1:8" ht="14.5" x14ac:dyDescent="0.35">
      <c r="A1075"/>
      <c r="B1075"/>
      <c r="C1075"/>
      <c r="D1075"/>
      <c r="E1075"/>
      <c r="F1075"/>
      <c r="G1075"/>
      <c r="H1075"/>
    </row>
    <row r="1076" spans="1:8" ht="14.5" x14ac:dyDescent="0.35">
      <c r="A1076"/>
      <c r="B1076"/>
      <c r="C1076"/>
      <c r="D1076"/>
      <c r="E1076"/>
      <c r="F1076"/>
      <c r="G1076"/>
      <c r="H1076"/>
    </row>
    <row r="1077" spans="1:8" ht="14.5" x14ac:dyDescent="0.35">
      <c r="A1077"/>
      <c r="B1077"/>
      <c r="C1077"/>
      <c r="D1077"/>
      <c r="E1077"/>
      <c r="F1077"/>
      <c r="G1077"/>
      <c r="H1077"/>
    </row>
    <row r="1078" spans="1:8" ht="14.5" x14ac:dyDescent="0.35">
      <c r="A1078"/>
      <c r="B1078"/>
      <c r="C1078"/>
      <c r="D1078"/>
      <c r="E1078"/>
      <c r="F1078"/>
      <c r="G1078"/>
      <c r="H1078"/>
    </row>
    <row r="1079" spans="1:8" ht="14.5" x14ac:dyDescent="0.35">
      <c r="A1079"/>
      <c r="B1079"/>
      <c r="C1079"/>
      <c r="D1079"/>
      <c r="E1079"/>
      <c r="F1079"/>
      <c r="G1079"/>
      <c r="H1079"/>
    </row>
    <row r="1080" spans="1:8" ht="14.5" x14ac:dyDescent="0.35">
      <c r="A1080"/>
      <c r="B1080"/>
      <c r="C1080"/>
      <c r="D1080"/>
      <c r="E1080"/>
      <c r="F1080"/>
      <c r="G1080"/>
      <c r="H1080"/>
    </row>
    <row r="1081" spans="1:8" ht="14.5" x14ac:dyDescent="0.35">
      <c r="A1081"/>
      <c r="B1081"/>
      <c r="C1081"/>
      <c r="D1081"/>
      <c r="E1081"/>
      <c r="F1081"/>
      <c r="G1081"/>
      <c r="H1081"/>
    </row>
    <row r="1082" spans="1:8" ht="14.5" x14ac:dyDescent="0.35">
      <c r="A1082"/>
      <c r="B1082"/>
      <c r="C1082"/>
      <c r="D1082"/>
      <c r="E1082"/>
      <c r="F1082"/>
      <c r="G1082"/>
      <c r="H1082"/>
    </row>
    <row r="1083" spans="1:8" ht="14.5" x14ac:dyDescent="0.35">
      <c r="A1083"/>
      <c r="B1083"/>
      <c r="C1083"/>
      <c r="D1083"/>
      <c r="E1083"/>
      <c r="F1083"/>
      <c r="G1083"/>
      <c r="H1083"/>
    </row>
    <row r="1084" spans="1:8" ht="14.5" x14ac:dyDescent="0.35">
      <c r="A1084"/>
      <c r="B1084"/>
      <c r="C1084"/>
      <c r="D1084"/>
      <c r="E1084"/>
      <c r="F1084"/>
      <c r="G1084"/>
      <c r="H1084"/>
    </row>
    <row r="1085" spans="1:8" ht="14.5" x14ac:dyDescent="0.35">
      <c r="A1085"/>
      <c r="B1085"/>
      <c r="C1085"/>
      <c r="D1085"/>
      <c r="E1085"/>
      <c r="F1085"/>
      <c r="G1085"/>
      <c r="H1085"/>
    </row>
    <row r="1086" spans="1:8" ht="14.5" x14ac:dyDescent="0.35">
      <c r="A1086"/>
      <c r="B1086"/>
      <c r="C1086"/>
      <c r="D1086"/>
      <c r="E1086"/>
      <c r="F1086"/>
      <c r="G1086"/>
      <c r="H1086"/>
    </row>
    <row r="1087" spans="1:8" ht="14.5" x14ac:dyDescent="0.35">
      <c r="A1087"/>
      <c r="B1087"/>
      <c r="C1087"/>
      <c r="D1087"/>
      <c r="E1087"/>
      <c r="F1087"/>
      <c r="G1087"/>
      <c r="H1087"/>
    </row>
    <row r="1088" spans="1:8" ht="14.5" x14ac:dyDescent="0.35">
      <c r="A1088"/>
      <c r="B1088"/>
      <c r="C1088"/>
      <c r="D1088"/>
      <c r="E1088"/>
      <c r="F1088"/>
      <c r="G1088"/>
      <c r="H1088"/>
    </row>
    <row r="1089" spans="1:8" ht="14.5" x14ac:dyDescent="0.35">
      <c r="A1089"/>
      <c r="B1089"/>
      <c r="C1089"/>
      <c r="D1089"/>
      <c r="E1089"/>
      <c r="F1089"/>
      <c r="G1089"/>
      <c r="H1089"/>
    </row>
    <row r="1090" spans="1:8" ht="14.5" x14ac:dyDescent="0.35">
      <c r="A1090"/>
      <c r="B1090"/>
      <c r="C1090"/>
      <c r="D1090"/>
      <c r="E1090"/>
      <c r="F1090"/>
      <c r="G1090"/>
      <c r="H1090"/>
    </row>
    <row r="1091" spans="1:8" ht="14.5" x14ac:dyDescent="0.35">
      <c r="A1091"/>
      <c r="B1091"/>
      <c r="C1091"/>
      <c r="D1091"/>
      <c r="E1091"/>
      <c r="F1091"/>
      <c r="G1091"/>
      <c r="H1091"/>
    </row>
    <row r="1092" spans="1:8" ht="14.5" x14ac:dyDescent="0.35">
      <c r="A1092"/>
      <c r="B1092"/>
      <c r="C1092"/>
      <c r="D1092"/>
      <c r="E1092"/>
      <c r="F1092"/>
      <c r="G1092"/>
      <c r="H1092"/>
    </row>
    <row r="1093" spans="1:8" ht="14.5" x14ac:dyDescent="0.35">
      <c r="A1093"/>
      <c r="B1093"/>
      <c r="C1093"/>
      <c r="D1093"/>
      <c r="E1093"/>
      <c r="F1093"/>
      <c r="G1093"/>
      <c r="H1093"/>
    </row>
    <row r="1094" spans="1:8" ht="14.5" x14ac:dyDescent="0.35">
      <c r="A1094"/>
      <c r="B1094"/>
      <c r="C1094"/>
      <c r="D1094"/>
      <c r="E1094"/>
      <c r="F1094"/>
      <c r="G1094"/>
      <c r="H1094"/>
    </row>
    <row r="1095" spans="1:8" ht="14.5" x14ac:dyDescent="0.35">
      <c r="A1095"/>
      <c r="B1095"/>
      <c r="C1095"/>
      <c r="D1095"/>
      <c r="E1095"/>
      <c r="F1095"/>
      <c r="G1095"/>
      <c r="H1095"/>
    </row>
    <row r="1096" spans="1:8" ht="14.5" x14ac:dyDescent="0.35">
      <c r="A1096"/>
      <c r="B1096"/>
      <c r="C1096"/>
      <c r="D1096"/>
      <c r="E1096"/>
      <c r="F1096"/>
      <c r="G1096"/>
      <c r="H1096"/>
    </row>
    <row r="1097" spans="1:8" ht="14.5" x14ac:dyDescent="0.35">
      <c r="A1097"/>
      <c r="B1097"/>
      <c r="C1097"/>
      <c r="D1097"/>
      <c r="E1097"/>
      <c r="F1097"/>
      <c r="G1097"/>
      <c r="H1097"/>
    </row>
    <row r="1098" spans="1:8" ht="14.5" x14ac:dyDescent="0.35">
      <c r="A1098"/>
      <c r="B1098"/>
      <c r="C1098"/>
      <c r="D1098"/>
      <c r="E1098"/>
      <c r="F1098"/>
      <c r="G1098"/>
      <c r="H1098"/>
    </row>
    <row r="1099" spans="1:8" ht="14.5" x14ac:dyDescent="0.35">
      <c r="A1099"/>
      <c r="B1099"/>
      <c r="C1099"/>
      <c r="D1099"/>
      <c r="E1099"/>
      <c r="F1099"/>
      <c r="G1099"/>
      <c r="H1099"/>
    </row>
    <row r="1100" spans="1:8" ht="14.5" x14ac:dyDescent="0.35">
      <c r="A1100"/>
      <c r="B1100"/>
      <c r="C1100"/>
      <c r="D1100"/>
      <c r="E1100"/>
      <c r="F1100"/>
      <c r="G1100"/>
      <c r="H1100"/>
    </row>
    <row r="1101" spans="1:8" ht="14.5" x14ac:dyDescent="0.35">
      <c r="A1101"/>
      <c r="B1101"/>
      <c r="C1101"/>
      <c r="D1101"/>
      <c r="E1101"/>
      <c r="F1101"/>
      <c r="G1101"/>
      <c r="H1101"/>
    </row>
    <row r="1102" spans="1:8" ht="14.5" x14ac:dyDescent="0.35">
      <c r="A1102"/>
      <c r="B1102"/>
      <c r="C1102"/>
      <c r="D1102"/>
      <c r="E1102"/>
      <c r="F1102"/>
      <c r="G1102"/>
      <c r="H1102"/>
    </row>
    <row r="1103" spans="1:8" ht="14.5" x14ac:dyDescent="0.35">
      <c r="A1103"/>
      <c r="B1103"/>
      <c r="C1103"/>
      <c r="D1103"/>
      <c r="E1103"/>
      <c r="F1103"/>
      <c r="G1103"/>
      <c r="H1103"/>
    </row>
    <row r="1104" spans="1:8" ht="14.5" x14ac:dyDescent="0.35">
      <c r="A1104"/>
      <c r="B1104"/>
      <c r="C1104"/>
      <c r="D1104"/>
      <c r="E1104"/>
      <c r="F1104"/>
      <c r="G1104"/>
      <c r="H1104"/>
    </row>
    <row r="1105" spans="1:8" ht="14.5" x14ac:dyDescent="0.35">
      <c r="A1105"/>
      <c r="B1105"/>
      <c r="C1105"/>
      <c r="D1105"/>
      <c r="E1105"/>
      <c r="F1105"/>
      <c r="G1105"/>
      <c r="H1105"/>
    </row>
    <row r="1106" spans="1:8" ht="14.5" x14ac:dyDescent="0.35">
      <c r="A1106"/>
      <c r="B1106"/>
      <c r="C1106"/>
      <c r="D1106"/>
      <c r="E1106"/>
      <c r="F1106"/>
      <c r="G1106"/>
      <c r="H1106"/>
    </row>
    <row r="1107" spans="1:8" ht="14.5" x14ac:dyDescent="0.35">
      <c r="A1107"/>
      <c r="B1107"/>
      <c r="C1107"/>
      <c r="D1107"/>
      <c r="E1107"/>
      <c r="F1107"/>
      <c r="G1107"/>
      <c r="H1107"/>
    </row>
    <row r="1108" spans="1:8" ht="14.5" x14ac:dyDescent="0.35">
      <c r="A1108"/>
      <c r="B1108"/>
      <c r="C1108"/>
      <c r="D1108"/>
      <c r="E1108"/>
      <c r="F1108"/>
      <c r="G1108"/>
      <c r="H1108"/>
    </row>
    <row r="1109" spans="1:8" ht="14.5" x14ac:dyDescent="0.35">
      <c r="A1109"/>
      <c r="B1109"/>
      <c r="C1109"/>
      <c r="D1109"/>
      <c r="E1109"/>
      <c r="F1109"/>
      <c r="G1109"/>
      <c r="H1109"/>
    </row>
    <row r="1110" spans="1:8" ht="14.5" x14ac:dyDescent="0.35">
      <c r="A1110"/>
      <c r="B1110"/>
      <c r="C1110"/>
      <c r="D1110"/>
      <c r="E1110"/>
      <c r="F1110"/>
      <c r="G1110"/>
      <c r="H1110"/>
    </row>
    <row r="1111" spans="1:8" ht="14.5" x14ac:dyDescent="0.35">
      <c r="A1111"/>
      <c r="B1111"/>
      <c r="C1111"/>
      <c r="D1111"/>
      <c r="E1111"/>
      <c r="F1111"/>
      <c r="G1111"/>
      <c r="H1111"/>
    </row>
    <row r="1112" spans="1:8" ht="14.5" x14ac:dyDescent="0.35">
      <c r="A1112"/>
      <c r="B1112"/>
      <c r="C1112"/>
      <c r="D1112"/>
      <c r="E1112"/>
      <c r="F1112"/>
      <c r="G1112"/>
      <c r="H1112"/>
    </row>
    <row r="1113" spans="1:8" ht="14.5" x14ac:dyDescent="0.35">
      <c r="A1113"/>
      <c r="B1113"/>
      <c r="C1113"/>
      <c r="D1113"/>
      <c r="E1113"/>
      <c r="F1113"/>
      <c r="G1113"/>
      <c r="H1113"/>
    </row>
    <row r="1114" spans="1:8" ht="14.5" x14ac:dyDescent="0.35">
      <c r="A1114"/>
      <c r="B1114"/>
      <c r="C1114"/>
      <c r="D1114"/>
      <c r="E1114"/>
      <c r="F1114"/>
      <c r="G1114"/>
      <c r="H1114"/>
    </row>
    <row r="1115" spans="1:8" ht="14.5" x14ac:dyDescent="0.35">
      <c r="A1115"/>
      <c r="B1115"/>
      <c r="C1115"/>
      <c r="D1115"/>
      <c r="E1115"/>
      <c r="F1115"/>
      <c r="G1115"/>
      <c r="H1115"/>
    </row>
    <row r="1116" spans="1:8" ht="14.5" x14ac:dyDescent="0.35">
      <c r="A1116"/>
      <c r="B1116"/>
      <c r="C1116"/>
      <c r="D1116"/>
      <c r="E1116"/>
      <c r="F1116"/>
      <c r="G1116"/>
      <c r="H1116"/>
    </row>
    <row r="1117" spans="1:8" ht="14.5" x14ac:dyDescent="0.35">
      <c r="A1117"/>
      <c r="B1117"/>
      <c r="C1117"/>
      <c r="D1117"/>
      <c r="E1117"/>
      <c r="F1117"/>
      <c r="G1117"/>
      <c r="H1117"/>
    </row>
    <row r="1118" spans="1:8" ht="14.5" x14ac:dyDescent="0.35">
      <c r="A1118"/>
      <c r="B1118"/>
      <c r="C1118"/>
      <c r="D1118"/>
      <c r="E1118"/>
      <c r="F1118"/>
      <c r="G1118"/>
      <c r="H1118"/>
    </row>
    <row r="1119" spans="1:8" ht="14.5" x14ac:dyDescent="0.35">
      <c r="A1119"/>
      <c r="B1119"/>
      <c r="C1119"/>
      <c r="D1119"/>
      <c r="E1119"/>
      <c r="F1119"/>
      <c r="G1119"/>
      <c r="H1119"/>
    </row>
    <row r="1120" spans="1:8" ht="14.5" x14ac:dyDescent="0.35">
      <c r="A1120"/>
      <c r="B1120"/>
      <c r="C1120"/>
      <c r="D1120"/>
      <c r="E1120"/>
      <c r="F1120"/>
      <c r="G1120"/>
      <c r="H1120"/>
    </row>
    <row r="1121" spans="1:8" ht="14.5" x14ac:dyDescent="0.35">
      <c r="A1121"/>
      <c r="B1121"/>
      <c r="C1121"/>
      <c r="D1121"/>
      <c r="E1121"/>
      <c r="F1121"/>
      <c r="G1121"/>
      <c r="H1121"/>
    </row>
    <row r="1122" spans="1:8" ht="14.5" x14ac:dyDescent="0.35">
      <c r="A1122"/>
      <c r="B1122"/>
      <c r="C1122"/>
      <c r="D1122"/>
      <c r="E1122"/>
      <c r="F1122"/>
      <c r="G1122"/>
      <c r="H1122"/>
    </row>
    <row r="1123" spans="1:8" ht="14.5" x14ac:dyDescent="0.35">
      <c r="A1123"/>
      <c r="B1123"/>
      <c r="C1123"/>
      <c r="D1123"/>
      <c r="E1123"/>
      <c r="F1123"/>
      <c r="G1123"/>
      <c r="H1123"/>
    </row>
    <row r="1124" spans="1:8" ht="14.5" x14ac:dyDescent="0.35">
      <c r="A1124"/>
      <c r="B1124"/>
      <c r="C1124"/>
      <c r="D1124"/>
      <c r="E1124"/>
      <c r="F1124"/>
      <c r="G1124"/>
      <c r="H1124"/>
    </row>
    <row r="1125" spans="1:8" ht="14.5" x14ac:dyDescent="0.35">
      <c r="A1125"/>
      <c r="B1125"/>
      <c r="C1125"/>
      <c r="D1125"/>
      <c r="E1125"/>
      <c r="F1125"/>
      <c r="G1125"/>
      <c r="H1125"/>
    </row>
    <row r="1126" spans="1:8" ht="14.5" x14ac:dyDescent="0.35">
      <c r="A1126"/>
      <c r="B1126"/>
      <c r="C1126"/>
      <c r="D1126"/>
      <c r="E1126"/>
      <c r="F1126"/>
      <c r="G1126"/>
      <c r="H1126"/>
    </row>
    <row r="1127" spans="1:8" ht="14.5" x14ac:dyDescent="0.35">
      <c r="A1127"/>
      <c r="B1127"/>
      <c r="C1127"/>
      <c r="D1127"/>
      <c r="E1127"/>
      <c r="F1127"/>
      <c r="G1127"/>
      <c r="H1127"/>
    </row>
    <row r="1128" spans="1:8" ht="14.5" x14ac:dyDescent="0.35">
      <c r="A1128"/>
      <c r="B1128"/>
      <c r="C1128"/>
      <c r="D1128"/>
      <c r="E1128"/>
      <c r="F1128"/>
      <c r="G1128"/>
      <c r="H1128"/>
    </row>
    <row r="1129" spans="1:8" ht="14.5" x14ac:dyDescent="0.35">
      <c r="A1129"/>
      <c r="B1129"/>
      <c r="C1129"/>
      <c r="D1129"/>
      <c r="E1129"/>
      <c r="F1129"/>
      <c r="G1129"/>
      <c r="H1129"/>
    </row>
    <row r="1130" spans="1:8" ht="14.5" x14ac:dyDescent="0.35">
      <c r="A1130"/>
      <c r="B1130"/>
      <c r="C1130"/>
      <c r="D1130"/>
      <c r="E1130"/>
      <c r="F1130"/>
      <c r="G1130"/>
      <c r="H1130"/>
    </row>
    <row r="1131" spans="1:8" ht="14.5" x14ac:dyDescent="0.35">
      <c r="A1131"/>
      <c r="B1131"/>
      <c r="C1131"/>
      <c r="D1131"/>
      <c r="E1131"/>
      <c r="F1131"/>
      <c r="G1131"/>
      <c r="H1131"/>
    </row>
    <row r="1132" spans="1:8" ht="14.5" x14ac:dyDescent="0.35">
      <c r="A1132"/>
      <c r="B1132"/>
      <c r="C1132"/>
      <c r="D1132"/>
      <c r="E1132"/>
      <c r="F1132"/>
      <c r="G1132"/>
      <c r="H1132"/>
    </row>
    <row r="1133" spans="1:8" ht="14.5" x14ac:dyDescent="0.35">
      <c r="A1133"/>
      <c r="B1133"/>
      <c r="C1133"/>
      <c r="D1133"/>
      <c r="E1133"/>
      <c r="F1133"/>
      <c r="G1133"/>
      <c r="H1133"/>
    </row>
    <row r="1134" spans="1:8" ht="14.5" x14ac:dyDescent="0.35">
      <c r="A1134"/>
      <c r="B1134"/>
      <c r="C1134"/>
      <c r="D1134"/>
      <c r="E1134"/>
      <c r="F1134"/>
      <c r="G1134"/>
      <c r="H1134"/>
    </row>
    <row r="1135" spans="1:8" ht="14.5" x14ac:dyDescent="0.35">
      <c r="A1135"/>
      <c r="B1135"/>
      <c r="C1135"/>
      <c r="D1135"/>
      <c r="E1135"/>
      <c r="F1135"/>
      <c r="G1135"/>
      <c r="H1135"/>
    </row>
    <row r="1136" spans="1:8" ht="14.5" x14ac:dyDescent="0.35">
      <c r="A1136"/>
      <c r="B1136"/>
      <c r="C1136"/>
      <c r="D1136"/>
      <c r="E1136"/>
      <c r="F1136"/>
      <c r="G1136"/>
      <c r="H1136"/>
    </row>
    <row r="1137" spans="1:8" ht="14.5" x14ac:dyDescent="0.35">
      <c r="A1137"/>
      <c r="B1137"/>
      <c r="C1137"/>
      <c r="D1137"/>
      <c r="E1137"/>
      <c r="F1137"/>
      <c r="G1137"/>
      <c r="H1137"/>
    </row>
    <row r="1138" spans="1:8" ht="14.5" x14ac:dyDescent="0.35">
      <c r="A1138"/>
      <c r="B1138"/>
      <c r="C1138"/>
      <c r="D1138"/>
      <c r="E1138"/>
      <c r="F1138"/>
      <c r="G1138"/>
      <c r="H1138"/>
    </row>
    <row r="1139" spans="1:8" ht="14.5" x14ac:dyDescent="0.35">
      <c r="A1139"/>
      <c r="B1139"/>
      <c r="C1139"/>
      <c r="D1139"/>
      <c r="E1139"/>
      <c r="F1139"/>
      <c r="G1139"/>
      <c r="H1139"/>
    </row>
    <row r="1140" spans="1:8" ht="15" thickBot="1" x14ac:dyDescent="0.4">
      <c r="A1140"/>
      <c r="B1140"/>
      <c r="C1140"/>
      <c r="D1140"/>
      <c r="E1140"/>
      <c r="F1140"/>
      <c r="G1140"/>
      <c r="H1140"/>
    </row>
    <row r="1141" spans="1:8" ht="15" thickTop="1" x14ac:dyDescent="0.35">
      <c r="A1141"/>
      <c r="B1141"/>
      <c r="C1141"/>
      <c r="D1141"/>
      <c r="E1141"/>
      <c r="F1141"/>
      <c r="G1141"/>
      <c r="H1141"/>
    </row>
    <row r="1142" spans="1:8" ht="14.5" x14ac:dyDescent="0.35">
      <c r="A1142"/>
      <c r="B1142"/>
      <c r="C1142"/>
      <c r="D1142"/>
      <c r="E1142"/>
      <c r="F1142"/>
      <c r="G1142"/>
      <c r="H1142"/>
    </row>
    <row r="1143" spans="1:8" ht="14.5" x14ac:dyDescent="0.35">
      <c r="A1143"/>
      <c r="B1143"/>
      <c r="C1143"/>
      <c r="D1143"/>
      <c r="E1143"/>
      <c r="F1143"/>
      <c r="G1143"/>
      <c r="H1143"/>
    </row>
    <row r="1144" spans="1:8" ht="14.5" x14ac:dyDescent="0.35">
      <c r="A1144"/>
      <c r="B1144"/>
      <c r="C1144"/>
      <c r="D1144"/>
      <c r="E1144"/>
      <c r="F1144"/>
      <c r="G1144"/>
      <c r="H1144"/>
    </row>
    <row r="1145" spans="1:8" ht="14.5" x14ac:dyDescent="0.35">
      <c r="A1145"/>
      <c r="B1145"/>
      <c r="C1145"/>
      <c r="D1145"/>
      <c r="E1145"/>
      <c r="F1145"/>
      <c r="G1145"/>
      <c r="H1145"/>
    </row>
    <row r="1146" spans="1:8" ht="14.5" x14ac:dyDescent="0.35">
      <c r="A1146"/>
      <c r="B1146"/>
      <c r="C1146"/>
      <c r="D1146"/>
      <c r="E1146"/>
      <c r="F1146"/>
      <c r="G1146"/>
      <c r="H1146"/>
    </row>
    <row r="1147" spans="1:8" ht="14.5" x14ac:dyDescent="0.35">
      <c r="A1147"/>
      <c r="B1147"/>
      <c r="C1147"/>
      <c r="D1147"/>
      <c r="E1147"/>
      <c r="F1147"/>
      <c r="G1147"/>
      <c r="H1147"/>
    </row>
    <row r="1148" spans="1:8" ht="14.5" x14ac:dyDescent="0.35">
      <c r="A1148"/>
      <c r="B1148"/>
      <c r="C1148"/>
      <c r="D1148"/>
      <c r="E1148"/>
      <c r="F1148"/>
      <c r="G1148"/>
      <c r="H1148"/>
    </row>
    <row r="1149" spans="1:8" ht="14.5" x14ac:dyDescent="0.35">
      <c r="A1149"/>
      <c r="B1149"/>
      <c r="C1149"/>
      <c r="D1149"/>
      <c r="E1149"/>
      <c r="F1149"/>
      <c r="G1149"/>
      <c r="H1149"/>
    </row>
    <row r="1150" spans="1:8" ht="14.5" x14ac:dyDescent="0.35">
      <c r="A1150"/>
      <c r="B1150"/>
      <c r="C1150"/>
      <c r="D1150"/>
      <c r="E1150"/>
      <c r="F1150"/>
      <c r="G1150"/>
      <c r="H1150"/>
    </row>
    <row r="1151" spans="1:8" ht="14.5" x14ac:dyDescent="0.35">
      <c r="A1151"/>
      <c r="B1151"/>
      <c r="C1151"/>
      <c r="D1151"/>
      <c r="E1151"/>
      <c r="F1151"/>
      <c r="G1151"/>
      <c r="H1151"/>
    </row>
    <row r="1152" spans="1:8" ht="14.5" x14ac:dyDescent="0.35">
      <c r="A1152"/>
      <c r="B1152"/>
      <c r="C1152"/>
      <c r="D1152"/>
      <c r="E1152"/>
      <c r="F1152"/>
      <c r="G1152"/>
      <c r="H1152"/>
    </row>
    <row r="1153" spans="1:8" ht="14.5" x14ac:dyDescent="0.35">
      <c r="A1153"/>
      <c r="B1153"/>
      <c r="C1153"/>
      <c r="D1153"/>
      <c r="E1153"/>
      <c r="F1153"/>
      <c r="G1153"/>
      <c r="H1153"/>
    </row>
    <row r="1154" spans="1:8" ht="14.5" x14ac:dyDescent="0.35">
      <c r="A1154"/>
      <c r="B1154"/>
      <c r="C1154"/>
      <c r="D1154"/>
      <c r="E1154"/>
      <c r="F1154"/>
      <c r="G1154"/>
      <c r="H1154"/>
    </row>
    <row r="1155" spans="1:8" ht="14.5" x14ac:dyDescent="0.35">
      <c r="A1155"/>
      <c r="B1155"/>
      <c r="C1155"/>
      <c r="D1155"/>
      <c r="E1155"/>
      <c r="F1155"/>
      <c r="G1155"/>
      <c r="H1155"/>
    </row>
    <row r="1156" spans="1:8" ht="14.5" x14ac:dyDescent="0.35">
      <c r="A1156"/>
      <c r="B1156"/>
      <c r="C1156"/>
      <c r="D1156"/>
      <c r="E1156"/>
      <c r="F1156"/>
      <c r="G1156"/>
      <c r="H1156"/>
    </row>
    <row r="1157" spans="1:8" ht="14.5" x14ac:dyDescent="0.35">
      <c r="A1157"/>
      <c r="B1157"/>
      <c r="C1157"/>
      <c r="D1157"/>
      <c r="E1157"/>
      <c r="F1157"/>
      <c r="G1157"/>
      <c r="H1157"/>
    </row>
    <row r="1158" spans="1:8" ht="14.5" x14ac:dyDescent="0.35">
      <c r="A1158"/>
      <c r="B1158"/>
      <c r="C1158"/>
      <c r="D1158"/>
      <c r="E1158"/>
      <c r="F1158"/>
      <c r="G1158"/>
      <c r="H1158"/>
    </row>
    <row r="1159" spans="1:8" ht="14.5" x14ac:dyDescent="0.35">
      <c r="A1159"/>
      <c r="B1159"/>
      <c r="C1159"/>
      <c r="D1159"/>
      <c r="E1159"/>
      <c r="F1159"/>
      <c r="G1159"/>
      <c r="H1159"/>
    </row>
    <row r="1160" spans="1:8" ht="14.5" x14ac:dyDescent="0.35">
      <c r="A1160"/>
      <c r="B1160"/>
      <c r="C1160"/>
      <c r="D1160"/>
      <c r="E1160"/>
      <c r="F1160"/>
      <c r="G1160"/>
      <c r="H1160"/>
    </row>
    <row r="1161" spans="1:8" ht="14.5" x14ac:dyDescent="0.35">
      <c r="A1161"/>
      <c r="B1161"/>
      <c r="C1161"/>
      <c r="D1161"/>
      <c r="E1161"/>
      <c r="F1161"/>
      <c r="G1161"/>
      <c r="H1161"/>
    </row>
    <row r="1162" spans="1:8" ht="14.5" x14ac:dyDescent="0.35">
      <c r="A1162"/>
      <c r="B1162"/>
      <c r="C1162"/>
      <c r="D1162"/>
      <c r="E1162"/>
      <c r="F1162"/>
      <c r="G1162"/>
      <c r="H1162"/>
    </row>
    <row r="1163" spans="1:8" ht="14.5" x14ac:dyDescent="0.35">
      <c r="A1163"/>
      <c r="B1163"/>
      <c r="C1163"/>
      <c r="D1163"/>
      <c r="E1163"/>
      <c r="F1163"/>
      <c r="G1163"/>
      <c r="H1163"/>
    </row>
    <row r="1164" spans="1:8" ht="14.5" x14ac:dyDescent="0.35">
      <c r="A1164"/>
      <c r="B1164"/>
      <c r="C1164"/>
      <c r="D1164"/>
      <c r="E1164"/>
      <c r="F1164"/>
      <c r="G1164"/>
      <c r="H1164"/>
    </row>
    <row r="1165" spans="1:8" ht="14.5" x14ac:dyDescent="0.35">
      <c r="A1165"/>
      <c r="B1165"/>
      <c r="C1165"/>
      <c r="D1165"/>
      <c r="E1165"/>
      <c r="F1165"/>
      <c r="G1165"/>
      <c r="H1165"/>
    </row>
    <row r="1166" spans="1:8" ht="14.5" x14ac:dyDescent="0.35">
      <c r="A1166"/>
      <c r="B1166"/>
      <c r="C1166"/>
      <c r="D1166"/>
      <c r="E1166"/>
      <c r="F1166"/>
      <c r="G1166"/>
      <c r="H1166"/>
    </row>
    <row r="1167" spans="1:8" ht="14.5" x14ac:dyDescent="0.35">
      <c r="A1167"/>
      <c r="B1167"/>
      <c r="C1167"/>
      <c r="D1167"/>
      <c r="E1167"/>
      <c r="F1167"/>
      <c r="G1167"/>
      <c r="H1167"/>
    </row>
    <row r="1168" spans="1:8" ht="14.5" x14ac:dyDescent="0.35">
      <c r="A1168"/>
      <c r="B1168"/>
      <c r="C1168"/>
      <c r="D1168"/>
      <c r="E1168"/>
      <c r="F1168"/>
      <c r="G1168"/>
      <c r="H1168"/>
    </row>
    <row r="1169" spans="1:8" ht="14.5" x14ac:dyDescent="0.35">
      <c r="A1169"/>
      <c r="B1169"/>
      <c r="C1169"/>
      <c r="D1169"/>
      <c r="E1169"/>
      <c r="F1169"/>
      <c r="G1169"/>
      <c r="H1169"/>
    </row>
    <row r="1170" spans="1:8" ht="14.5" x14ac:dyDescent="0.35">
      <c r="A1170"/>
      <c r="B1170"/>
      <c r="C1170"/>
      <c r="D1170"/>
      <c r="E1170"/>
      <c r="F1170"/>
      <c r="G1170"/>
      <c r="H1170"/>
    </row>
    <row r="1171" spans="1:8" ht="14.5" x14ac:dyDescent="0.35">
      <c r="A1171"/>
      <c r="B1171"/>
      <c r="C1171"/>
      <c r="D1171"/>
      <c r="E1171"/>
      <c r="F1171"/>
      <c r="G1171"/>
      <c r="H1171"/>
    </row>
    <row r="1172" spans="1:8" ht="14.5" x14ac:dyDescent="0.35">
      <c r="A1172"/>
      <c r="B1172"/>
      <c r="C1172"/>
      <c r="D1172"/>
      <c r="E1172"/>
      <c r="F1172"/>
      <c r="G1172"/>
      <c r="H1172"/>
    </row>
    <row r="1173" spans="1:8" ht="14.5" x14ac:dyDescent="0.35">
      <c r="A1173"/>
      <c r="B1173"/>
      <c r="C1173"/>
      <c r="D1173"/>
      <c r="E1173"/>
      <c r="F1173"/>
      <c r="G1173"/>
      <c r="H1173"/>
    </row>
    <row r="1174" spans="1:8" ht="14.5" x14ac:dyDescent="0.35">
      <c r="A1174"/>
      <c r="B1174"/>
      <c r="C1174"/>
      <c r="D1174"/>
      <c r="E1174"/>
      <c r="F1174"/>
      <c r="G1174"/>
      <c r="H1174"/>
    </row>
    <row r="1175" spans="1:8" ht="14.5" x14ac:dyDescent="0.35">
      <c r="A1175"/>
      <c r="B1175"/>
      <c r="C1175"/>
      <c r="D1175"/>
      <c r="E1175"/>
      <c r="F1175"/>
      <c r="G1175"/>
      <c r="H1175"/>
    </row>
    <row r="1176" spans="1:8" ht="14.5" x14ac:dyDescent="0.35">
      <c r="A1176"/>
      <c r="B1176"/>
      <c r="C1176"/>
      <c r="D1176"/>
      <c r="E1176"/>
      <c r="F1176"/>
      <c r="G1176"/>
      <c r="H1176"/>
    </row>
    <row r="1177" spans="1:8" ht="14.5" x14ac:dyDescent="0.35">
      <c r="A1177"/>
      <c r="B1177"/>
      <c r="C1177"/>
      <c r="D1177"/>
      <c r="E1177"/>
      <c r="F1177"/>
      <c r="G1177"/>
      <c r="H1177"/>
    </row>
    <row r="1178" spans="1:8" ht="14.5" x14ac:dyDescent="0.35">
      <c r="A1178"/>
      <c r="B1178"/>
      <c r="C1178"/>
      <c r="D1178"/>
      <c r="E1178"/>
      <c r="F1178"/>
      <c r="G1178"/>
      <c r="H1178"/>
    </row>
    <row r="1179" spans="1:8" ht="14.5" x14ac:dyDescent="0.35">
      <c r="A1179"/>
      <c r="B1179"/>
      <c r="C1179"/>
      <c r="D1179"/>
      <c r="E1179"/>
      <c r="F1179"/>
      <c r="G1179"/>
      <c r="H1179"/>
    </row>
    <row r="1180" spans="1:8" ht="14.5" x14ac:dyDescent="0.35">
      <c r="A1180"/>
      <c r="B1180"/>
      <c r="C1180"/>
      <c r="D1180"/>
      <c r="E1180"/>
      <c r="F1180"/>
      <c r="G1180"/>
      <c r="H1180"/>
    </row>
    <row r="1181" spans="1:8" ht="14.5" x14ac:dyDescent="0.35">
      <c r="A1181"/>
      <c r="B1181"/>
      <c r="C1181"/>
      <c r="D1181"/>
      <c r="E1181"/>
      <c r="F1181"/>
      <c r="G1181"/>
      <c r="H1181"/>
    </row>
    <row r="1182" spans="1:8" ht="14.5" x14ac:dyDescent="0.35">
      <c r="A1182"/>
      <c r="B1182"/>
      <c r="C1182"/>
      <c r="D1182"/>
      <c r="E1182"/>
      <c r="F1182"/>
      <c r="G1182"/>
      <c r="H1182"/>
    </row>
    <row r="1183" spans="1:8" ht="14.5" x14ac:dyDescent="0.35">
      <c r="A1183"/>
      <c r="B1183"/>
      <c r="C1183"/>
      <c r="D1183"/>
      <c r="E1183"/>
      <c r="F1183"/>
      <c r="G1183"/>
      <c r="H1183"/>
    </row>
    <row r="1184" spans="1:8" ht="14.5" x14ac:dyDescent="0.35">
      <c r="A1184"/>
      <c r="B1184"/>
      <c r="C1184"/>
      <c r="D1184"/>
      <c r="E1184"/>
      <c r="F1184"/>
      <c r="G1184"/>
      <c r="H1184"/>
    </row>
    <row r="1185" spans="1:8" ht="14.5" x14ac:dyDescent="0.35">
      <c r="A1185"/>
      <c r="B1185"/>
      <c r="C1185"/>
      <c r="D1185"/>
      <c r="E1185"/>
      <c r="F1185"/>
      <c r="G1185"/>
      <c r="H1185"/>
    </row>
    <row r="1186" spans="1:8" ht="14.5" x14ac:dyDescent="0.35">
      <c r="A1186"/>
      <c r="B1186"/>
      <c r="C1186"/>
      <c r="D1186"/>
      <c r="E1186"/>
      <c r="F1186"/>
      <c r="G1186"/>
      <c r="H1186"/>
    </row>
    <row r="1187" spans="1:8" ht="14.5" x14ac:dyDescent="0.35">
      <c r="A1187"/>
      <c r="B1187"/>
      <c r="C1187"/>
      <c r="D1187"/>
      <c r="E1187"/>
      <c r="F1187"/>
      <c r="G1187"/>
      <c r="H1187"/>
    </row>
    <row r="1188" spans="1:8" ht="14.5" x14ac:dyDescent="0.35">
      <c r="A1188"/>
      <c r="B1188"/>
      <c r="C1188"/>
      <c r="D1188"/>
      <c r="E1188"/>
      <c r="F1188"/>
      <c r="G1188"/>
      <c r="H1188"/>
    </row>
    <row r="1189" spans="1:8" ht="14.5" x14ac:dyDescent="0.35">
      <c r="A1189"/>
      <c r="B1189"/>
      <c r="C1189"/>
      <c r="D1189"/>
      <c r="E1189"/>
      <c r="F1189"/>
      <c r="G1189"/>
      <c r="H1189"/>
    </row>
    <row r="1190" spans="1:8" ht="14.5" x14ac:dyDescent="0.35">
      <c r="A1190"/>
      <c r="B1190"/>
      <c r="C1190"/>
      <c r="D1190"/>
      <c r="E1190"/>
      <c r="F1190"/>
      <c r="G1190"/>
      <c r="H1190"/>
    </row>
    <row r="1191" spans="1:8" ht="14.5" x14ac:dyDescent="0.35">
      <c r="A1191"/>
      <c r="B1191"/>
      <c r="C1191"/>
      <c r="D1191"/>
      <c r="E1191"/>
      <c r="F1191"/>
      <c r="G1191"/>
      <c r="H1191"/>
    </row>
    <row r="1192" spans="1:8" ht="14.5" x14ac:dyDescent="0.35">
      <c r="A1192"/>
      <c r="B1192"/>
      <c r="C1192"/>
      <c r="D1192"/>
      <c r="E1192"/>
      <c r="F1192"/>
      <c r="G1192"/>
      <c r="H1192"/>
    </row>
    <row r="1193" spans="1:8" ht="14.5" x14ac:dyDescent="0.35">
      <c r="A1193"/>
      <c r="B1193"/>
      <c r="C1193"/>
      <c r="D1193"/>
      <c r="E1193"/>
      <c r="F1193"/>
      <c r="G1193"/>
      <c r="H1193"/>
    </row>
    <row r="1194" spans="1:8" ht="14.5" x14ac:dyDescent="0.35">
      <c r="A1194"/>
      <c r="B1194"/>
      <c r="C1194"/>
      <c r="D1194"/>
      <c r="E1194"/>
      <c r="F1194"/>
      <c r="G1194"/>
      <c r="H1194"/>
    </row>
    <row r="1195" spans="1:8" ht="14.5" x14ac:dyDescent="0.35">
      <c r="A1195"/>
      <c r="B1195"/>
      <c r="C1195"/>
      <c r="D1195"/>
      <c r="E1195"/>
      <c r="F1195"/>
      <c r="G1195"/>
      <c r="H1195"/>
    </row>
    <row r="1196" spans="1:8" ht="14.5" x14ac:dyDescent="0.35">
      <c r="A1196"/>
      <c r="B1196"/>
      <c r="C1196"/>
      <c r="D1196"/>
      <c r="E1196"/>
      <c r="F1196"/>
      <c r="G1196"/>
      <c r="H1196"/>
    </row>
    <row r="1197" spans="1:8" ht="14.5" x14ac:dyDescent="0.35">
      <c r="A1197"/>
      <c r="B1197"/>
      <c r="C1197"/>
      <c r="D1197"/>
      <c r="E1197"/>
      <c r="F1197"/>
      <c r="G1197"/>
      <c r="H1197"/>
    </row>
    <row r="1198" spans="1:8" ht="14.5" x14ac:dyDescent="0.35">
      <c r="A1198"/>
      <c r="B1198"/>
      <c r="C1198"/>
      <c r="D1198"/>
      <c r="E1198"/>
      <c r="F1198"/>
      <c r="G1198"/>
      <c r="H1198"/>
    </row>
    <row r="1199" spans="1:8" ht="14.5" x14ac:dyDescent="0.35">
      <c r="A1199"/>
      <c r="B1199"/>
      <c r="C1199"/>
      <c r="D1199"/>
      <c r="E1199"/>
      <c r="F1199"/>
      <c r="G1199"/>
      <c r="H1199"/>
    </row>
    <row r="1200" spans="1:8" ht="14.5" x14ac:dyDescent="0.35">
      <c r="A1200"/>
      <c r="B1200"/>
      <c r="C1200"/>
      <c r="D1200"/>
      <c r="E1200"/>
      <c r="F1200"/>
      <c r="G1200"/>
      <c r="H1200"/>
    </row>
    <row r="1201" spans="1:8" ht="14.5" x14ac:dyDescent="0.35">
      <c r="A1201"/>
      <c r="B1201"/>
      <c r="C1201"/>
      <c r="D1201"/>
      <c r="E1201"/>
      <c r="F1201"/>
      <c r="G1201"/>
      <c r="H1201"/>
    </row>
    <row r="1202" spans="1:8" ht="14.5" x14ac:dyDescent="0.35">
      <c r="A1202"/>
      <c r="B1202"/>
      <c r="C1202"/>
      <c r="D1202"/>
      <c r="E1202"/>
      <c r="F1202"/>
      <c r="G1202"/>
      <c r="H1202"/>
    </row>
    <row r="1203" spans="1:8" ht="14.5" x14ac:dyDescent="0.35">
      <c r="A1203"/>
      <c r="B1203"/>
      <c r="C1203"/>
      <c r="D1203"/>
      <c r="E1203"/>
      <c r="F1203"/>
      <c r="G1203"/>
      <c r="H1203"/>
    </row>
    <row r="1204" spans="1:8" ht="14.5" x14ac:dyDescent="0.35">
      <c r="A1204"/>
      <c r="B1204"/>
      <c r="C1204"/>
      <c r="D1204"/>
      <c r="E1204"/>
      <c r="F1204"/>
      <c r="G1204"/>
      <c r="H1204"/>
    </row>
    <row r="1205" spans="1:8" ht="14.5" x14ac:dyDescent="0.35">
      <c r="A1205"/>
      <c r="B1205"/>
      <c r="C1205"/>
      <c r="D1205"/>
      <c r="E1205"/>
      <c r="F1205"/>
      <c r="G1205"/>
      <c r="H1205"/>
    </row>
    <row r="1206" spans="1:8" ht="14.5" x14ac:dyDescent="0.35">
      <c r="A1206"/>
      <c r="B1206"/>
      <c r="C1206"/>
      <c r="D1206"/>
      <c r="E1206"/>
      <c r="F1206"/>
      <c r="G1206"/>
      <c r="H1206"/>
    </row>
    <row r="1207" spans="1:8" ht="14.5" x14ac:dyDescent="0.35">
      <c r="A1207"/>
      <c r="B1207"/>
      <c r="C1207"/>
      <c r="D1207"/>
      <c r="E1207"/>
      <c r="F1207"/>
      <c r="G1207"/>
      <c r="H1207"/>
    </row>
    <row r="1208" spans="1:8" ht="14.5" x14ac:dyDescent="0.35">
      <c r="A1208"/>
      <c r="B1208"/>
      <c r="C1208"/>
      <c r="D1208"/>
      <c r="E1208"/>
      <c r="F1208"/>
      <c r="G1208"/>
      <c r="H1208"/>
    </row>
    <row r="1209" spans="1:8" ht="14.5" x14ac:dyDescent="0.35">
      <c r="A1209"/>
      <c r="B1209"/>
      <c r="C1209"/>
      <c r="D1209"/>
      <c r="E1209"/>
      <c r="F1209"/>
      <c r="G1209"/>
      <c r="H1209"/>
    </row>
    <row r="1210" spans="1:8" ht="14.5" x14ac:dyDescent="0.35">
      <c r="A1210"/>
      <c r="B1210"/>
      <c r="C1210"/>
      <c r="D1210"/>
      <c r="E1210"/>
      <c r="F1210"/>
      <c r="G1210"/>
      <c r="H1210"/>
    </row>
    <row r="1211" spans="1:8" ht="14.5" x14ac:dyDescent="0.35">
      <c r="A1211"/>
      <c r="B1211"/>
      <c r="C1211"/>
      <c r="D1211"/>
      <c r="E1211"/>
      <c r="F1211"/>
      <c r="G1211"/>
      <c r="H1211"/>
    </row>
    <row r="1212" spans="1:8" ht="14.5" x14ac:dyDescent="0.35">
      <c r="A1212"/>
      <c r="B1212"/>
      <c r="C1212"/>
      <c r="D1212"/>
      <c r="E1212"/>
      <c r="F1212"/>
      <c r="G1212"/>
      <c r="H1212"/>
    </row>
    <row r="1213" spans="1:8" ht="14.5" x14ac:dyDescent="0.35">
      <c r="A1213"/>
      <c r="B1213"/>
      <c r="C1213"/>
      <c r="D1213"/>
      <c r="E1213"/>
      <c r="F1213"/>
      <c r="G1213"/>
      <c r="H1213"/>
    </row>
    <row r="1214" spans="1:8" ht="14.5" x14ac:dyDescent="0.35">
      <c r="A1214"/>
      <c r="B1214"/>
      <c r="C1214"/>
      <c r="D1214"/>
      <c r="E1214"/>
      <c r="F1214"/>
      <c r="G1214"/>
      <c r="H1214"/>
    </row>
    <row r="1215" spans="1:8" ht="14.5" x14ac:dyDescent="0.35">
      <c r="A1215"/>
      <c r="B1215"/>
      <c r="C1215"/>
      <c r="D1215"/>
      <c r="E1215"/>
      <c r="F1215"/>
      <c r="G1215"/>
      <c r="H1215"/>
    </row>
    <row r="1216" spans="1:8" ht="14.5" x14ac:dyDescent="0.35">
      <c r="A1216"/>
      <c r="B1216"/>
      <c r="C1216"/>
      <c r="D1216"/>
      <c r="E1216"/>
      <c r="F1216"/>
      <c r="G1216"/>
      <c r="H1216"/>
    </row>
    <row r="1217" spans="1:8" ht="14.5" x14ac:dyDescent="0.35">
      <c r="A1217"/>
      <c r="B1217"/>
      <c r="C1217"/>
      <c r="D1217"/>
      <c r="E1217"/>
      <c r="F1217"/>
      <c r="G1217"/>
      <c r="H1217"/>
    </row>
    <row r="1218" spans="1:8" ht="14.5" x14ac:dyDescent="0.35">
      <c r="A1218"/>
      <c r="B1218"/>
      <c r="C1218"/>
      <c r="D1218"/>
      <c r="E1218"/>
      <c r="F1218"/>
      <c r="G1218"/>
      <c r="H1218"/>
    </row>
    <row r="1219" spans="1:8" ht="14.5" x14ac:dyDescent="0.35">
      <c r="A1219"/>
      <c r="B1219"/>
      <c r="C1219"/>
      <c r="D1219"/>
      <c r="E1219"/>
      <c r="F1219"/>
      <c r="G1219"/>
      <c r="H1219"/>
    </row>
    <row r="1220" spans="1:8" ht="14.5" x14ac:dyDescent="0.35">
      <c r="A1220"/>
      <c r="B1220"/>
      <c r="C1220"/>
      <c r="D1220"/>
      <c r="E1220"/>
      <c r="F1220"/>
      <c r="G1220"/>
      <c r="H1220"/>
    </row>
    <row r="1221" spans="1:8" ht="14.5" x14ac:dyDescent="0.35">
      <c r="A1221"/>
      <c r="B1221"/>
      <c r="C1221"/>
      <c r="D1221"/>
      <c r="E1221"/>
      <c r="F1221"/>
      <c r="G1221"/>
      <c r="H1221"/>
    </row>
    <row r="1222" spans="1:8" ht="14.5" x14ac:dyDescent="0.35">
      <c r="A1222"/>
      <c r="B1222"/>
      <c r="C1222"/>
      <c r="D1222"/>
      <c r="E1222"/>
      <c r="F1222"/>
      <c r="G1222"/>
      <c r="H1222"/>
    </row>
    <row r="1223" spans="1:8" ht="14.5" x14ac:dyDescent="0.35">
      <c r="A1223"/>
      <c r="B1223"/>
      <c r="C1223"/>
      <c r="D1223"/>
      <c r="E1223"/>
      <c r="F1223"/>
      <c r="G1223"/>
      <c r="H1223"/>
    </row>
    <row r="1224" spans="1:8" ht="14.5" x14ac:dyDescent="0.35">
      <c r="A1224"/>
      <c r="B1224"/>
      <c r="C1224"/>
      <c r="D1224"/>
      <c r="E1224"/>
      <c r="F1224"/>
      <c r="G1224"/>
      <c r="H1224"/>
    </row>
    <row r="1225" spans="1:8" ht="14.5" x14ac:dyDescent="0.35">
      <c r="A1225"/>
      <c r="B1225"/>
      <c r="C1225"/>
      <c r="D1225"/>
      <c r="E1225"/>
      <c r="F1225"/>
      <c r="G1225"/>
      <c r="H1225"/>
    </row>
    <row r="1226" spans="1:8" ht="14.5" x14ac:dyDescent="0.35">
      <c r="A1226"/>
      <c r="B1226"/>
      <c r="C1226"/>
      <c r="D1226"/>
      <c r="E1226"/>
      <c r="F1226"/>
      <c r="G1226"/>
      <c r="H1226"/>
    </row>
    <row r="1227" spans="1:8" ht="14.5" x14ac:dyDescent="0.35">
      <c r="A1227"/>
      <c r="B1227"/>
      <c r="C1227"/>
      <c r="D1227"/>
      <c r="E1227"/>
      <c r="F1227"/>
      <c r="G1227"/>
      <c r="H1227"/>
    </row>
    <row r="1228" spans="1:8" ht="14.5" x14ac:dyDescent="0.35">
      <c r="A1228"/>
      <c r="B1228"/>
      <c r="C1228"/>
      <c r="D1228"/>
      <c r="E1228"/>
      <c r="F1228"/>
      <c r="G1228"/>
      <c r="H1228"/>
    </row>
    <row r="1229" spans="1:8" ht="14.5" x14ac:dyDescent="0.35">
      <c r="A1229"/>
      <c r="B1229"/>
      <c r="C1229"/>
      <c r="D1229"/>
      <c r="E1229"/>
      <c r="F1229"/>
      <c r="G1229"/>
      <c r="H1229"/>
    </row>
    <row r="1230" spans="1:8" ht="14.5" x14ac:dyDescent="0.35">
      <c r="A1230"/>
      <c r="B1230"/>
      <c r="C1230"/>
      <c r="D1230"/>
      <c r="E1230"/>
      <c r="F1230"/>
      <c r="G1230"/>
      <c r="H1230"/>
    </row>
    <row r="1231" spans="1:8" ht="14.5" x14ac:dyDescent="0.35">
      <c r="A1231"/>
      <c r="B1231"/>
      <c r="C1231"/>
      <c r="D1231"/>
      <c r="E1231"/>
      <c r="F1231"/>
      <c r="G1231"/>
      <c r="H1231"/>
    </row>
    <row r="1232" spans="1:8" ht="14.5" x14ac:dyDescent="0.35">
      <c r="A1232"/>
      <c r="B1232"/>
      <c r="C1232"/>
      <c r="D1232"/>
      <c r="E1232"/>
      <c r="F1232"/>
      <c r="G1232"/>
      <c r="H1232"/>
    </row>
    <row r="1233" spans="1:8" ht="14.5" x14ac:dyDescent="0.35">
      <c r="A1233"/>
      <c r="B1233"/>
      <c r="C1233"/>
      <c r="D1233"/>
      <c r="E1233"/>
      <c r="F1233"/>
      <c r="G1233"/>
      <c r="H1233"/>
    </row>
    <row r="1234" spans="1:8" ht="14.5" x14ac:dyDescent="0.35">
      <c r="A1234"/>
      <c r="B1234"/>
      <c r="C1234"/>
      <c r="D1234"/>
      <c r="E1234"/>
      <c r="F1234"/>
      <c r="G1234"/>
      <c r="H1234"/>
    </row>
    <row r="1235" spans="1:8" ht="14.5" x14ac:dyDescent="0.35">
      <c r="A1235"/>
      <c r="B1235"/>
      <c r="C1235"/>
      <c r="D1235"/>
      <c r="E1235"/>
      <c r="F1235"/>
      <c r="G1235"/>
      <c r="H1235"/>
    </row>
    <row r="1236" spans="1:8" ht="14.5" x14ac:dyDescent="0.35">
      <c r="A1236"/>
      <c r="B1236"/>
      <c r="C1236"/>
      <c r="D1236"/>
      <c r="E1236"/>
      <c r="F1236"/>
      <c r="G1236"/>
      <c r="H1236"/>
    </row>
    <row r="1237" spans="1:8" ht="14.5" x14ac:dyDescent="0.35">
      <c r="A1237"/>
      <c r="B1237"/>
      <c r="C1237"/>
      <c r="D1237"/>
      <c r="E1237"/>
      <c r="F1237"/>
      <c r="G1237"/>
      <c r="H1237"/>
    </row>
    <row r="1238" spans="1:8" ht="14.5" x14ac:dyDescent="0.35">
      <c r="A1238"/>
      <c r="B1238"/>
      <c r="C1238"/>
      <c r="D1238"/>
      <c r="E1238"/>
      <c r="F1238"/>
      <c r="G1238"/>
      <c r="H1238"/>
    </row>
    <row r="1239" spans="1:8" ht="14.5" x14ac:dyDescent="0.35">
      <c r="A1239"/>
      <c r="B1239"/>
      <c r="C1239"/>
      <c r="D1239"/>
      <c r="E1239"/>
      <c r="F1239"/>
      <c r="G1239"/>
      <c r="H1239"/>
    </row>
    <row r="1240" spans="1:8" ht="14.5" x14ac:dyDescent="0.35">
      <c r="A1240"/>
      <c r="B1240"/>
      <c r="C1240"/>
      <c r="D1240"/>
      <c r="E1240"/>
      <c r="F1240"/>
      <c r="G1240"/>
      <c r="H1240"/>
    </row>
    <row r="1241" spans="1:8" ht="14.5" x14ac:dyDescent="0.35">
      <c r="A1241"/>
      <c r="B1241"/>
      <c r="C1241"/>
      <c r="D1241"/>
      <c r="E1241"/>
      <c r="F1241"/>
      <c r="G1241"/>
      <c r="H1241"/>
    </row>
    <row r="1242" spans="1:8" ht="14.5" x14ac:dyDescent="0.35">
      <c r="A1242"/>
      <c r="B1242"/>
      <c r="C1242"/>
      <c r="D1242"/>
      <c r="E1242"/>
      <c r="F1242"/>
      <c r="G1242"/>
      <c r="H1242"/>
    </row>
    <row r="1243" spans="1:8" ht="14.5" x14ac:dyDescent="0.35">
      <c r="A1243"/>
      <c r="B1243"/>
      <c r="C1243"/>
      <c r="D1243"/>
      <c r="E1243"/>
      <c r="F1243"/>
      <c r="G1243"/>
      <c r="H1243"/>
    </row>
    <row r="1244" spans="1:8" ht="14.5" x14ac:dyDescent="0.35">
      <c r="A1244"/>
      <c r="B1244"/>
      <c r="C1244"/>
      <c r="D1244"/>
      <c r="E1244"/>
      <c r="F1244"/>
      <c r="G1244"/>
      <c r="H1244"/>
    </row>
    <row r="1245" spans="1:8" ht="14.5" x14ac:dyDescent="0.35">
      <c r="A1245"/>
      <c r="B1245"/>
      <c r="C1245"/>
      <c r="D1245"/>
      <c r="E1245"/>
      <c r="F1245"/>
      <c r="G1245"/>
      <c r="H1245"/>
    </row>
    <row r="1246" spans="1:8" ht="14.5" x14ac:dyDescent="0.35">
      <c r="A1246"/>
      <c r="B1246"/>
      <c r="C1246"/>
      <c r="D1246"/>
      <c r="E1246"/>
      <c r="F1246"/>
      <c r="G1246"/>
      <c r="H1246"/>
    </row>
    <row r="1247" spans="1:8" ht="14.5" x14ac:dyDescent="0.35">
      <c r="A1247"/>
      <c r="B1247"/>
      <c r="C1247"/>
      <c r="D1247"/>
      <c r="E1247"/>
      <c r="F1247"/>
      <c r="G1247"/>
      <c r="H1247"/>
    </row>
    <row r="1248" spans="1:8" ht="14.5" x14ac:dyDescent="0.35">
      <c r="A1248"/>
      <c r="B1248"/>
      <c r="C1248"/>
      <c r="D1248"/>
      <c r="E1248"/>
      <c r="F1248"/>
      <c r="G1248"/>
      <c r="H1248"/>
    </row>
    <row r="1249" spans="1:8" ht="14.5" x14ac:dyDescent="0.35">
      <c r="A1249"/>
      <c r="B1249"/>
      <c r="C1249"/>
      <c r="D1249"/>
      <c r="E1249"/>
      <c r="F1249"/>
      <c r="G1249"/>
      <c r="H1249"/>
    </row>
    <row r="1250" spans="1:8" ht="14.5" x14ac:dyDescent="0.35">
      <c r="A1250"/>
      <c r="B1250"/>
      <c r="C1250"/>
      <c r="D1250"/>
      <c r="E1250"/>
      <c r="F1250"/>
      <c r="G1250"/>
      <c r="H1250"/>
    </row>
    <row r="1251" spans="1:8" ht="14.5" x14ac:dyDescent="0.35">
      <c r="A1251"/>
      <c r="B1251"/>
      <c r="C1251"/>
      <c r="D1251"/>
      <c r="E1251"/>
      <c r="F1251"/>
      <c r="G1251"/>
      <c r="H1251"/>
    </row>
    <row r="1252" spans="1:8" ht="14.5" x14ac:dyDescent="0.35">
      <c r="A1252"/>
      <c r="B1252"/>
      <c r="C1252"/>
      <c r="D1252"/>
      <c r="E1252"/>
      <c r="F1252"/>
      <c r="G1252"/>
      <c r="H1252"/>
    </row>
    <row r="1253" spans="1:8" ht="14.5" x14ac:dyDescent="0.35">
      <c r="A1253"/>
      <c r="B1253"/>
      <c r="C1253"/>
      <c r="D1253"/>
      <c r="E1253"/>
      <c r="F1253"/>
      <c r="G1253"/>
      <c r="H1253"/>
    </row>
    <row r="1254" spans="1:8" ht="14.5" x14ac:dyDescent="0.35">
      <c r="A1254"/>
      <c r="B1254"/>
      <c r="C1254"/>
      <c r="D1254"/>
      <c r="E1254"/>
      <c r="F1254"/>
      <c r="G1254"/>
      <c r="H1254"/>
    </row>
    <row r="1255" spans="1:8" ht="14.5" x14ac:dyDescent="0.35">
      <c r="A1255"/>
      <c r="B1255"/>
      <c r="C1255"/>
      <c r="D1255"/>
      <c r="E1255"/>
      <c r="F1255"/>
      <c r="G1255"/>
      <c r="H1255"/>
    </row>
    <row r="1256" spans="1:8" ht="14.5" x14ac:dyDescent="0.35">
      <c r="A1256"/>
      <c r="B1256"/>
      <c r="C1256"/>
      <c r="D1256"/>
      <c r="E1256"/>
      <c r="F1256"/>
      <c r="G1256"/>
      <c r="H1256"/>
    </row>
    <row r="1257" spans="1:8" ht="14.5" x14ac:dyDescent="0.35">
      <c r="A1257"/>
      <c r="B1257"/>
      <c r="C1257"/>
      <c r="D1257"/>
      <c r="E1257"/>
      <c r="F1257"/>
      <c r="G1257"/>
      <c r="H1257"/>
    </row>
    <row r="1258" spans="1:8" ht="14.5" x14ac:dyDescent="0.35">
      <c r="A1258"/>
      <c r="B1258"/>
      <c r="C1258"/>
      <c r="D1258"/>
      <c r="E1258"/>
      <c r="F1258"/>
      <c r="G1258"/>
      <c r="H1258"/>
    </row>
    <row r="1259" spans="1:8" ht="14.5" x14ac:dyDescent="0.35">
      <c r="A1259"/>
      <c r="B1259"/>
      <c r="C1259"/>
      <c r="D1259"/>
      <c r="E1259"/>
      <c r="F1259"/>
      <c r="G1259"/>
      <c r="H1259"/>
    </row>
    <row r="1260" spans="1:8" ht="14.5" x14ac:dyDescent="0.35">
      <c r="A1260"/>
      <c r="B1260"/>
      <c r="C1260"/>
      <c r="D1260"/>
      <c r="E1260"/>
      <c r="F1260"/>
      <c r="G1260"/>
      <c r="H1260"/>
    </row>
    <row r="1261" spans="1:8" ht="14.5" x14ac:dyDescent="0.35">
      <c r="A1261"/>
      <c r="B1261"/>
      <c r="C1261"/>
      <c r="D1261"/>
      <c r="E1261"/>
      <c r="F1261"/>
      <c r="G1261"/>
      <c r="H1261"/>
    </row>
    <row r="1262" spans="1:8" ht="14.5" x14ac:dyDescent="0.35">
      <c r="A1262"/>
      <c r="B1262"/>
      <c r="C1262"/>
      <c r="D1262"/>
      <c r="E1262"/>
      <c r="F1262"/>
      <c r="G1262"/>
      <c r="H1262"/>
    </row>
    <row r="1263" spans="1:8" ht="14.5" x14ac:dyDescent="0.35">
      <c r="A1263"/>
      <c r="B1263"/>
      <c r="C1263"/>
      <c r="D1263"/>
      <c r="E1263"/>
      <c r="F1263"/>
      <c r="G1263"/>
      <c r="H1263"/>
    </row>
    <row r="1264" spans="1:8" ht="14.5" x14ac:dyDescent="0.35">
      <c r="A1264"/>
      <c r="B1264"/>
      <c r="C1264"/>
      <c r="D1264"/>
      <c r="E1264"/>
      <c r="F1264"/>
      <c r="G1264"/>
      <c r="H1264"/>
    </row>
    <row r="1265" spans="1:8" ht="14.5" x14ac:dyDescent="0.35">
      <c r="A1265"/>
      <c r="B1265"/>
      <c r="C1265"/>
      <c r="D1265"/>
      <c r="E1265"/>
      <c r="F1265"/>
      <c r="G1265"/>
      <c r="H1265"/>
    </row>
    <row r="1266" spans="1:8" ht="14.5" x14ac:dyDescent="0.35">
      <c r="A1266"/>
      <c r="B1266"/>
      <c r="C1266"/>
      <c r="D1266"/>
      <c r="E1266"/>
      <c r="F1266"/>
      <c r="G1266"/>
      <c r="H1266"/>
    </row>
    <row r="1267" spans="1:8" ht="14.5" x14ac:dyDescent="0.35">
      <c r="A1267"/>
      <c r="B1267"/>
      <c r="C1267"/>
      <c r="D1267"/>
      <c r="E1267"/>
      <c r="F1267"/>
      <c r="G1267"/>
      <c r="H1267"/>
    </row>
    <row r="1268" spans="1:8" ht="14.5" x14ac:dyDescent="0.35">
      <c r="A1268"/>
      <c r="B1268"/>
      <c r="C1268"/>
      <c r="D1268"/>
      <c r="E1268"/>
      <c r="F1268"/>
      <c r="G1268"/>
      <c r="H1268"/>
    </row>
    <row r="1269" spans="1:8" ht="14.5" x14ac:dyDescent="0.35">
      <c r="A1269"/>
      <c r="B1269"/>
      <c r="C1269"/>
      <c r="D1269"/>
      <c r="E1269"/>
      <c r="F1269"/>
      <c r="G1269"/>
      <c r="H1269"/>
    </row>
    <row r="1270" spans="1:8" ht="14.5" x14ac:dyDescent="0.35">
      <c r="A1270"/>
      <c r="B1270"/>
      <c r="C1270"/>
      <c r="D1270"/>
      <c r="E1270"/>
      <c r="F1270"/>
      <c r="G1270"/>
      <c r="H1270"/>
    </row>
    <row r="1271" spans="1:8" ht="14.5" x14ac:dyDescent="0.35">
      <c r="A1271"/>
      <c r="B1271"/>
      <c r="C1271"/>
      <c r="D1271"/>
      <c r="E1271"/>
      <c r="F1271"/>
      <c r="G1271"/>
      <c r="H1271"/>
    </row>
    <row r="1272" spans="1:8" ht="14.5" x14ac:dyDescent="0.35">
      <c r="A1272"/>
      <c r="B1272"/>
      <c r="C1272"/>
      <c r="D1272"/>
      <c r="E1272"/>
      <c r="F1272"/>
      <c r="G1272"/>
      <c r="H1272"/>
    </row>
    <row r="1273" spans="1:8" ht="14.5" x14ac:dyDescent="0.35">
      <c r="A1273"/>
      <c r="B1273"/>
      <c r="C1273"/>
      <c r="D1273"/>
      <c r="E1273"/>
      <c r="F1273"/>
      <c r="G1273"/>
      <c r="H1273"/>
    </row>
    <row r="1274" spans="1:8" ht="14.5" x14ac:dyDescent="0.35">
      <c r="A1274"/>
      <c r="B1274"/>
      <c r="C1274"/>
      <c r="D1274"/>
      <c r="E1274"/>
      <c r="F1274"/>
      <c r="G1274"/>
      <c r="H1274"/>
    </row>
    <row r="1275" spans="1:8" ht="14.5" x14ac:dyDescent="0.35">
      <c r="A1275"/>
      <c r="B1275"/>
      <c r="C1275"/>
      <c r="D1275"/>
      <c r="E1275"/>
      <c r="F1275"/>
      <c r="G1275"/>
      <c r="H1275"/>
    </row>
    <row r="1276" spans="1:8" ht="14.5" x14ac:dyDescent="0.35">
      <c r="A1276"/>
      <c r="B1276"/>
      <c r="C1276"/>
      <c r="D1276"/>
      <c r="E1276"/>
      <c r="F1276"/>
      <c r="G1276"/>
      <c r="H1276"/>
    </row>
    <row r="1277" spans="1:8" ht="14.5" x14ac:dyDescent="0.35">
      <c r="A1277"/>
      <c r="B1277"/>
      <c r="C1277"/>
      <c r="D1277"/>
      <c r="E1277"/>
      <c r="F1277"/>
      <c r="G1277"/>
      <c r="H1277"/>
    </row>
    <row r="1278" spans="1:8" ht="14.5" x14ac:dyDescent="0.35">
      <c r="A1278"/>
      <c r="B1278"/>
      <c r="C1278"/>
      <c r="D1278"/>
      <c r="E1278"/>
      <c r="F1278"/>
      <c r="G1278"/>
      <c r="H1278"/>
    </row>
    <row r="1279" spans="1:8" ht="14.5" x14ac:dyDescent="0.35">
      <c r="A1279"/>
      <c r="B1279"/>
      <c r="C1279"/>
      <c r="D1279"/>
      <c r="E1279"/>
      <c r="F1279"/>
      <c r="G1279"/>
      <c r="H1279"/>
    </row>
    <row r="1280" spans="1:8" ht="14.5" x14ac:dyDescent="0.35">
      <c r="A1280"/>
      <c r="B1280"/>
      <c r="C1280"/>
      <c r="D1280"/>
      <c r="E1280"/>
      <c r="F1280"/>
      <c r="G1280"/>
      <c r="H1280"/>
    </row>
    <row r="1281" spans="1:8" ht="14.5" x14ac:dyDescent="0.35">
      <c r="A1281"/>
      <c r="B1281"/>
      <c r="C1281"/>
      <c r="D1281"/>
      <c r="E1281"/>
      <c r="F1281"/>
      <c r="G1281"/>
      <c r="H1281"/>
    </row>
    <row r="1282" spans="1:8" ht="14.5" x14ac:dyDescent="0.35">
      <c r="A1282"/>
      <c r="B1282"/>
      <c r="C1282"/>
      <c r="D1282"/>
      <c r="E1282"/>
      <c r="F1282"/>
      <c r="G1282"/>
      <c r="H1282"/>
    </row>
    <row r="1283" spans="1:8" ht="14.5" x14ac:dyDescent="0.35">
      <c r="A1283"/>
      <c r="B1283"/>
      <c r="C1283"/>
      <c r="D1283"/>
      <c r="E1283"/>
      <c r="F1283"/>
      <c r="G1283"/>
      <c r="H1283"/>
    </row>
    <row r="1284" spans="1:8" ht="14.5" x14ac:dyDescent="0.35">
      <c r="A1284"/>
      <c r="B1284"/>
      <c r="C1284"/>
      <c r="D1284"/>
      <c r="E1284"/>
      <c r="F1284"/>
      <c r="G1284"/>
      <c r="H1284"/>
    </row>
    <row r="1285" spans="1:8" ht="14.5" x14ac:dyDescent="0.35">
      <c r="A1285"/>
      <c r="B1285"/>
      <c r="C1285"/>
      <c r="D1285"/>
      <c r="E1285"/>
      <c r="F1285"/>
      <c r="G1285"/>
      <c r="H1285"/>
    </row>
    <row r="1286" spans="1:8" ht="14.5" x14ac:dyDescent="0.35">
      <c r="A1286"/>
      <c r="B1286"/>
      <c r="C1286"/>
      <c r="D1286"/>
      <c r="E1286"/>
      <c r="F1286"/>
      <c r="G1286"/>
      <c r="H1286"/>
    </row>
    <row r="1287" spans="1:8" ht="14.5" x14ac:dyDescent="0.35">
      <c r="A1287"/>
      <c r="B1287"/>
      <c r="C1287"/>
      <c r="D1287"/>
      <c r="E1287"/>
      <c r="F1287"/>
      <c r="G1287"/>
      <c r="H1287"/>
    </row>
    <row r="1288" spans="1:8" ht="14.5" x14ac:dyDescent="0.35">
      <c r="A1288"/>
      <c r="B1288"/>
      <c r="C1288"/>
      <c r="D1288"/>
      <c r="E1288"/>
      <c r="F1288"/>
      <c r="G1288"/>
      <c r="H1288"/>
    </row>
    <row r="1289" spans="1:8" ht="14.5" x14ac:dyDescent="0.35">
      <c r="A1289"/>
      <c r="B1289"/>
      <c r="C1289"/>
      <c r="D1289"/>
      <c r="E1289"/>
      <c r="F1289"/>
      <c r="G1289"/>
      <c r="H1289"/>
    </row>
    <row r="1290" spans="1:8" ht="14.5" x14ac:dyDescent="0.35">
      <c r="A1290"/>
      <c r="B1290"/>
      <c r="C1290"/>
      <c r="D1290"/>
      <c r="E1290"/>
      <c r="F1290"/>
      <c r="G1290"/>
      <c r="H1290"/>
    </row>
    <row r="1291" spans="1:8" ht="14.5" x14ac:dyDescent="0.35">
      <c r="A1291"/>
      <c r="B1291"/>
      <c r="C1291"/>
      <c r="D1291"/>
      <c r="E1291"/>
      <c r="F1291"/>
      <c r="G1291"/>
      <c r="H1291"/>
    </row>
    <row r="1292" spans="1:8" ht="14.5" x14ac:dyDescent="0.35">
      <c r="A1292"/>
      <c r="B1292"/>
      <c r="C1292"/>
      <c r="D1292"/>
      <c r="E1292"/>
      <c r="F1292"/>
      <c r="G1292"/>
      <c r="H1292"/>
    </row>
    <row r="1293" spans="1:8" ht="14.5" x14ac:dyDescent="0.35">
      <c r="A1293"/>
      <c r="B1293"/>
      <c r="C1293"/>
      <c r="D1293"/>
      <c r="E1293"/>
      <c r="F1293"/>
      <c r="G1293"/>
      <c r="H1293"/>
    </row>
    <row r="1294" spans="1:8" ht="14.5" x14ac:dyDescent="0.35">
      <c r="A1294"/>
      <c r="B1294"/>
      <c r="C1294"/>
      <c r="D1294"/>
      <c r="E1294"/>
      <c r="F1294"/>
      <c r="G1294"/>
      <c r="H1294"/>
    </row>
    <row r="1295" spans="1:8" ht="14.5" x14ac:dyDescent="0.35">
      <c r="A1295"/>
      <c r="B1295"/>
      <c r="C1295"/>
      <c r="D1295"/>
      <c r="E1295"/>
      <c r="F1295"/>
      <c r="G1295"/>
      <c r="H1295"/>
    </row>
    <row r="1296" spans="1:8" ht="14.5" x14ac:dyDescent="0.35">
      <c r="A1296"/>
      <c r="B1296"/>
      <c r="C1296"/>
      <c r="D1296"/>
      <c r="E1296"/>
      <c r="F1296"/>
      <c r="G1296"/>
      <c r="H1296"/>
    </row>
    <row r="1297" spans="1:8" ht="14.5" x14ac:dyDescent="0.35">
      <c r="A1297"/>
      <c r="B1297"/>
      <c r="C1297"/>
      <c r="D1297"/>
      <c r="E1297"/>
      <c r="F1297"/>
      <c r="G1297"/>
      <c r="H1297"/>
    </row>
    <row r="1298" spans="1:8" ht="14.5" x14ac:dyDescent="0.35">
      <c r="A1298"/>
      <c r="B1298"/>
      <c r="C1298"/>
      <c r="D1298"/>
      <c r="E1298"/>
      <c r="F1298"/>
      <c r="G1298"/>
      <c r="H1298"/>
    </row>
    <row r="1299" spans="1:8" ht="14.5" x14ac:dyDescent="0.35">
      <c r="A1299"/>
      <c r="B1299"/>
      <c r="C1299"/>
      <c r="D1299"/>
      <c r="E1299"/>
      <c r="F1299"/>
      <c r="G1299"/>
      <c r="H1299"/>
    </row>
    <row r="1300" spans="1:8" ht="14.5" x14ac:dyDescent="0.35">
      <c r="A1300"/>
      <c r="B1300"/>
      <c r="C1300"/>
      <c r="D1300"/>
      <c r="E1300"/>
      <c r="F1300"/>
      <c r="G1300"/>
      <c r="H1300"/>
    </row>
    <row r="1301" spans="1:8" ht="14.5" x14ac:dyDescent="0.35">
      <c r="A1301"/>
      <c r="B1301"/>
      <c r="C1301"/>
      <c r="D1301"/>
      <c r="E1301"/>
      <c r="F1301"/>
      <c r="G1301"/>
      <c r="H1301"/>
    </row>
    <row r="1302" spans="1:8" ht="14.5" x14ac:dyDescent="0.35">
      <c r="A1302"/>
      <c r="B1302"/>
      <c r="C1302"/>
      <c r="D1302"/>
      <c r="E1302"/>
      <c r="F1302"/>
      <c r="G1302"/>
      <c r="H1302"/>
    </row>
    <row r="1303" spans="1:8" ht="14.5" x14ac:dyDescent="0.35">
      <c r="A1303"/>
      <c r="B1303"/>
      <c r="C1303"/>
      <c r="D1303"/>
      <c r="E1303"/>
      <c r="F1303"/>
      <c r="G1303"/>
      <c r="H1303"/>
    </row>
    <row r="1304" spans="1:8" ht="14.5" x14ac:dyDescent="0.35">
      <c r="A1304"/>
      <c r="B1304"/>
      <c r="C1304"/>
      <c r="D1304"/>
      <c r="E1304"/>
      <c r="F1304"/>
      <c r="G1304"/>
      <c r="H1304"/>
    </row>
    <row r="1305" spans="1:8" ht="14.5" x14ac:dyDescent="0.35">
      <c r="A1305"/>
      <c r="B1305"/>
      <c r="C1305"/>
      <c r="D1305"/>
      <c r="E1305"/>
      <c r="F1305"/>
      <c r="G1305"/>
      <c r="H1305"/>
    </row>
    <row r="1306" spans="1:8" ht="14.5" x14ac:dyDescent="0.35">
      <c r="A1306"/>
      <c r="B1306"/>
      <c r="C1306"/>
      <c r="D1306"/>
      <c r="E1306"/>
      <c r="F1306"/>
      <c r="G1306"/>
      <c r="H1306"/>
    </row>
    <row r="1307" spans="1:8" ht="14.5" x14ac:dyDescent="0.35">
      <c r="A1307"/>
      <c r="B1307"/>
      <c r="C1307"/>
      <c r="D1307"/>
      <c r="E1307"/>
      <c r="F1307"/>
      <c r="G1307"/>
      <c r="H1307"/>
    </row>
    <row r="1308" spans="1:8" ht="14.5" x14ac:dyDescent="0.35">
      <c r="A1308"/>
      <c r="B1308"/>
      <c r="C1308"/>
      <c r="D1308"/>
      <c r="E1308"/>
      <c r="F1308"/>
      <c r="G1308"/>
      <c r="H1308"/>
    </row>
    <row r="1309" spans="1:8" ht="14.5" x14ac:dyDescent="0.35">
      <c r="A1309"/>
      <c r="B1309"/>
      <c r="C1309"/>
      <c r="D1309"/>
      <c r="E1309"/>
      <c r="F1309"/>
      <c r="G1309"/>
      <c r="H1309"/>
    </row>
    <row r="1310" spans="1:8" ht="14.5" x14ac:dyDescent="0.35">
      <c r="A1310"/>
      <c r="B1310"/>
      <c r="C1310"/>
      <c r="D1310"/>
      <c r="E1310"/>
      <c r="F1310"/>
      <c r="G1310"/>
      <c r="H1310"/>
    </row>
    <row r="1311" spans="1:8" ht="14.5" x14ac:dyDescent="0.35">
      <c r="A1311"/>
      <c r="B1311"/>
      <c r="C1311"/>
      <c r="D1311"/>
      <c r="E1311"/>
      <c r="F1311"/>
      <c r="G1311"/>
      <c r="H1311"/>
    </row>
    <row r="1312" spans="1:8" ht="14.5" x14ac:dyDescent="0.35">
      <c r="A1312"/>
      <c r="B1312"/>
      <c r="C1312"/>
      <c r="D1312"/>
      <c r="E1312"/>
      <c r="F1312"/>
      <c r="G1312"/>
      <c r="H1312"/>
    </row>
    <row r="1313" spans="1:8" ht="14.5" x14ac:dyDescent="0.35">
      <c r="A1313"/>
      <c r="B1313"/>
      <c r="C1313"/>
      <c r="D1313"/>
      <c r="E1313"/>
      <c r="F1313"/>
      <c r="G1313"/>
      <c r="H1313"/>
    </row>
    <row r="1314" spans="1:8" ht="14.5" x14ac:dyDescent="0.35">
      <c r="A1314"/>
      <c r="B1314"/>
      <c r="C1314"/>
      <c r="D1314"/>
      <c r="E1314"/>
      <c r="F1314"/>
      <c r="G1314"/>
      <c r="H1314"/>
    </row>
    <row r="1315" spans="1:8" ht="14.5" x14ac:dyDescent="0.35">
      <c r="A1315"/>
      <c r="B1315"/>
      <c r="C1315"/>
      <c r="D1315"/>
      <c r="E1315"/>
      <c r="F1315"/>
      <c r="G1315"/>
      <c r="H1315"/>
    </row>
    <row r="1316" spans="1:8" ht="14.5" x14ac:dyDescent="0.35">
      <c r="A1316"/>
      <c r="B1316"/>
      <c r="C1316"/>
      <c r="D1316"/>
      <c r="E1316"/>
      <c r="F1316"/>
      <c r="G1316"/>
      <c r="H1316"/>
    </row>
    <row r="1317" spans="1:8" ht="14.5" x14ac:dyDescent="0.35">
      <c r="A1317"/>
      <c r="B1317"/>
      <c r="C1317"/>
      <c r="D1317"/>
      <c r="E1317"/>
      <c r="F1317"/>
      <c r="G1317"/>
      <c r="H1317"/>
    </row>
    <row r="1318" spans="1:8" ht="14.5" x14ac:dyDescent="0.35">
      <c r="A1318"/>
      <c r="B1318"/>
      <c r="C1318"/>
      <c r="D1318"/>
      <c r="E1318"/>
      <c r="F1318"/>
      <c r="G1318"/>
      <c r="H1318"/>
    </row>
    <row r="1319" spans="1:8" ht="14.5" x14ac:dyDescent="0.35">
      <c r="A1319"/>
      <c r="B1319"/>
      <c r="C1319"/>
      <c r="D1319"/>
      <c r="E1319"/>
      <c r="F1319"/>
      <c r="G1319"/>
      <c r="H1319"/>
    </row>
    <row r="1320" spans="1:8" ht="14.5" x14ac:dyDescent="0.35">
      <c r="A1320"/>
      <c r="B1320"/>
      <c r="C1320"/>
      <c r="D1320"/>
      <c r="E1320"/>
      <c r="F1320"/>
      <c r="G1320"/>
      <c r="H1320"/>
    </row>
    <row r="1321" spans="1:8" ht="14.5" x14ac:dyDescent="0.35">
      <c r="A1321"/>
      <c r="B1321"/>
      <c r="C1321"/>
      <c r="D1321"/>
      <c r="E1321"/>
      <c r="F1321"/>
      <c r="G1321"/>
      <c r="H1321"/>
    </row>
    <row r="1322" spans="1:8" ht="14.5" x14ac:dyDescent="0.35">
      <c r="A1322"/>
      <c r="B1322"/>
      <c r="C1322"/>
      <c r="D1322"/>
      <c r="E1322"/>
      <c r="F1322"/>
      <c r="G1322"/>
      <c r="H1322"/>
    </row>
    <row r="1323" spans="1:8" ht="14.5" x14ac:dyDescent="0.35">
      <c r="A1323"/>
      <c r="B1323"/>
      <c r="C1323"/>
      <c r="D1323"/>
      <c r="E1323"/>
      <c r="F1323"/>
      <c r="G1323"/>
      <c r="H1323"/>
    </row>
    <row r="1324" spans="1:8" ht="14.5" x14ac:dyDescent="0.35">
      <c r="A1324"/>
      <c r="B1324"/>
      <c r="C1324"/>
      <c r="D1324"/>
      <c r="E1324"/>
      <c r="F1324"/>
      <c r="G1324"/>
      <c r="H1324"/>
    </row>
    <row r="1325" spans="1:8" ht="14.5" x14ac:dyDescent="0.35">
      <c r="A1325"/>
      <c r="B1325"/>
      <c r="C1325"/>
      <c r="D1325"/>
      <c r="E1325"/>
      <c r="F1325"/>
      <c r="G1325"/>
      <c r="H1325"/>
    </row>
    <row r="1326" spans="1:8" ht="14.5" x14ac:dyDescent="0.35">
      <c r="A1326"/>
      <c r="B1326"/>
      <c r="C1326"/>
      <c r="D1326"/>
      <c r="E1326"/>
      <c r="F1326"/>
      <c r="G1326"/>
      <c r="H1326"/>
    </row>
    <row r="1327" spans="1:8" ht="14.5" x14ac:dyDescent="0.35">
      <c r="A1327"/>
      <c r="B1327"/>
      <c r="C1327"/>
      <c r="D1327"/>
      <c r="E1327"/>
      <c r="F1327"/>
      <c r="G1327"/>
      <c r="H1327"/>
    </row>
    <row r="1328" spans="1:8" ht="14.5" x14ac:dyDescent="0.35">
      <c r="A1328"/>
      <c r="B1328"/>
      <c r="C1328"/>
      <c r="D1328"/>
      <c r="E1328"/>
      <c r="F1328"/>
      <c r="G1328"/>
      <c r="H1328"/>
    </row>
    <row r="1329" spans="1:8" ht="14.5" x14ac:dyDescent="0.35">
      <c r="A1329"/>
      <c r="B1329"/>
      <c r="C1329"/>
      <c r="D1329"/>
      <c r="E1329"/>
      <c r="F1329"/>
      <c r="G1329"/>
      <c r="H1329"/>
    </row>
    <row r="1330" spans="1:8" ht="14.5" x14ac:dyDescent="0.35">
      <c r="A1330"/>
      <c r="B1330"/>
      <c r="C1330"/>
      <c r="D1330"/>
      <c r="E1330"/>
      <c r="F1330"/>
      <c r="G1330"/>
      <c r="H1330"/>
    </row>
    <row r="1331" spans="1:8" ht="14.5" x14ac:dyDescent="0.35">
      <c r="A1331"/>
      <c r="B1331"/>
      <c r="C1331"/>
      <c r="D1331"/>
      <c r="E1331"/>
      <c r="F1331"/>
      <c r="G1331"/>
      <c r="H1331"/>
    </row>
    <row r="1332" spans="1:8" ht="14.5" x14ac:dyDescent="0.35">
      <c r="A1332"/>
      <c r="B1332"/>
      <c r="C1332"/>
      <c r="D1332"/>
      <c r="E1332"/>
      <c r="F1332"/>
      <c r="G1332"/>
      <c r="H1332"/>
    </row>
    <row r="1333" spans="1:8" ht="14.5" x14ac:dyDescent="0.35">
      <c r="A1333"/>
      <c r="B1333"/>
      <c r="C1333"/>
      <c r="D1333"/>
      <c r="E1333"/>
      <c r="F1333"/>
      <c r="G1333"/>
      <c r="H1333"/>
    </row>
    <row r="1334" spans="1:8" ht="14.5" x14ac:dyDescent="0.35">
      <c r="A1334"/>
      <c r="B1334"/>
      <c r="C1334"/>
      <c r="D1334"/>
      <c r="E1334"/>
      <c r="F1334"/>
      <c r="G1334"/>
      <c r="H1334"/>
    </row>
    <row r="1335" spans="1:8" ht="14.5" x14ac:dyDescent="0.35">
      <c r="A1335"/>
      <c r="B1335"/>
      <c r="C1335"/>
      <c r="D1335"/>
      <c r="E1335"/>
      <c r="F1335"/>
      <c r="G1335"/>
      <c r="H1335"/>
    </row>
    <row r="1336" spans="1:8" ht="14.5" x14ac:dyDescent="0.35">
      <c r="A1336"/>
      <c r="B1336"/>
      <c r="C1336"/>
      <c r="D1336"/>
      <c r="E1336"/>
      <c r="F1336"/>
      <c r="G1336"/>
      <c r="H1336"/>
    </row>
    <row r="1337" spans="1:8" ht="14.5" x14ac:dyDescent="0.35">
      <c r="A1337"/>
      <c r="B1337"/>
      <c r="C1337"/>
      <c r="D1337"/>
      <c r="E1337"/>
      <c r="F1337"/>
      <c r="G1337"/>
      <c r="H1337"/>
    </row>
    <row r="1338" spans="1:8" ht="14.5" x14ac:dyDescent="0.35">
      <c r="A1338"/>
      <c r="B1338"/>
      <c r="C1338"/>
      <c r="D1338"/>
      <c r="E1338"/>
      <c r="F1338"/>
      <c r="G1338"/>
      <c r="H1338"/>
    </row>
    <row r="1339" spans="1:8" ht="14.5" x14ac:dyDescent="0.35">
      <c r="A1339"/>
      <c r="B1339"/>
      <c r="C1339"/>
      <c r="D1339"/>
      <c r="E1339"/>
      <c r="F1339"/>
      <c r="G1339"/>
      <c r="H1339"/>
    </row>
    <row r="1340" spans="1:8" ht="14.5" x14ac:dyDescent="0.35">
      <c r="A1340"/>
      <c r="B1340"/>
      <c r="C1340"/>
      <c r="D1340"/>
      <c r="E1340"/>
      <c r="F1340"/>
      <c r="G1340"/>
      <c r="H1340"/>
    </row>
    <row r="1341" spans="1:8" ht="14.5" x14ac:dyDescent="0.35">
      <c r="A1341"/>
      <c r="B1341"/>
      <c r="C1341"/>
      <c r="D1341"/>
      <c r="E1341"/>
      <c r="F1341"/>
      <c r="G1341"/>
      <c r="H1341"/>
    </row>
    <row r="1342" spans="1:8" ht="14.5" x14ac:dyDescent="0.35">
      <c r="A1342"/>
      <c r="B1342"/>
      <c r="C1342"/>
      <c r="D1342"/>
      <c r="E1342"/>
      <c r="F1342"/>
      <c r="G1342"/>
      <c r="H1342"/>
    </row>
    <row r="1343" spans="1:8" ht="14.5" x14ac:dyDescent="0.35">
      <c r="A1343"/>
      <c r="B1343"/>
      <c r="C1343"/>
      <c r="D1343"/>
      <c r="E1343"/>
      <c r="F1343"/>
      <c r="G1343"/>
      <c r="H1343"/>
    </row>
    <row r="1344" spans="1:8" ht="14.5" x14ac:dyDescent="0.35">
      <c r="A1344"/>
      <c r="B1344"/>
      <c r="C1344"/>
      <c r="D1344"/>
      <c r="E1344"/>
      <c r="F1344"/>
      <c r="G1344"/>
      <c r="H1344"/>
    </row>
    <row r="1345" spans="1:8" ht="14.5" x14ac:dyDescent="0.35">
      <c r="A1345"/>
      <c r="B1345"/>
      <c r="C1345"/>
      <c r="D1345"/>
      <c r="E1345"/>
      <c r="F1345"/>
      <c r="G1345"/>
      <c r="H1345"/>
    </row>
    <row r="1346" spans="1:8" ht="14.5" x14ac:dyDescent="0.35">
      <c r="A1346"/>
      <c r="B1346"/>
      <c r="C1346"/>
      <c r="D1346"/>
      <c r="E1346"/>
      <c r="F1346"/>
      <c r="G1346"/>
      <c r="H1346"/>
    </row>
    <row r="1347" spans="1:8" ht="14.5" x14ac:dyDescent="0.35">
      <c r="A1347"/>
      <c r="B1347"/>
      <c r="C1347"/>
      <c r="D1347"/>
      <c r="E1347"/>
      <c r="F1347"/>
      <c r="G1347"/>
      <c r="H1347"/>
    </row>
    <row r="1348" spans="1:8" ht="14.5" x14ac:dyDescent="0.35">
      <c r="A1348"/>
      <c r="B1348"/>
      <c r="C1348"/>
      <c r="D1348"/>
      <c r="E1348"/>
      <c r="F1348"/>
      <c r="G1348"/>
      <c r="H1348"/>
    </row>
    <row r="1349" spans="1:8" ht="14.5" x14ac:dyDescent="0.35">
      <c r="A1349"/>
      <c r="B1349"/>
      <c r="C1349"/>
      <c r="D1349"/>
      <c r="E1349"/>
      <c r="F1349"/>
      <c r="G1349"/>
      <c r="H1349"/>
    </row>
    <row r="1350" spans="1:8" ht="14.5" x14ac:dyDescent="0.35">
      <c r="A1350"/>
      <c r="B1350"/>
      <c r="C1350"/>
      <c r="D1350"/>
      <c r="E1350"/>
      <c r="F1350"/>
      <c r="G1350"/>
      <c r="H1350"/>
    </row>
    <row r="1351" spans="1:8" ht="14.5" x14ac:dyDescent="0.35">
      <c r="A1351"/>
      <c r="B1351"/>
      <c r="C1351"/>
      <c r="D1351"/>
      <c r="E1351"/>
      <c r="F1351"/>
      <c r="G1351"/>
      <c r="H1351"/>
    </row>
    <row r="1352" spans="1:8" ht="14.5" x14ac:dyDescent="0.35">
      <c r="A1352"/>
      <c r="B1352"/>
      <c r="C1352"/>
      <c r="D1352"/>
      <c r="E1352"/>
      <c r="F1352"/>
      <c r="G1352"/>
      <c r="H1352"/>
    </row>
    <row r="1353" spans="1:8" ht="14.5" x14ac:dyDescent="0.35">
      <c r="A1353"/>
      <c r="B1353"/>
      <c r="C1353"/>
      <c r="D1353"/>
      <c r="E1353"/>
      <c r="F1353"/>
      <c r="G1353"/>
      <c r="H1353"/>
    </row>
    <row r="1354" spans="1:8" ht="14.5" x14ac:dyDescent="0.35">
      <c r="A1354"/>
      <c r="B1354"/>
      <c r="C1354"/>
      <c r="D1354"/>
      <c r="E1354"/>
      <c r="F1354"/>
      <c r="G1354"/>
      <c r="H1354"/>
    </row>
    <row r="1355" spans="1:8" ht="14.5" x14ac:dyDescent="0.35">
      <c r="A1355"/>
      <c r="B1355"/>
      <c r="C1355"/>
      <c r="D1355"/>
      <c r="E1355"/>
      <c r="F1355"/>
      <c r="G1355"/>
      <c r="H1355"/>
    </row>
    <row r="1356" spans="1:8" ht="14.5" x14ac:dyDescent="0.35">
      <c r="A1356"/>
      <c r="B1356"/>
      <c r="C1356"/>
      <c r="D1356"/>
      <c r="E1356"/>
      <c r="F1356"/>
      <c r="G1356"/>
      <c r="H1356"/>
    </row>
    <row r="1357" spans="1:8" ht="14.5" x14ac:dyDescent="0.35">
      <c r="A1357"/>
      <c r="B1357"/>
      <c r="C1357"/>
      <c r="D1357"/>
      <c r="E1357"/>
      <c r="F1357"/>
      <c r="G1357"/>
      <c r="H1357"/>
    </row>
    <row r="1358" spans="1:8" ht="14.5" x14ac:dyDescent="0.35">
      <c r="A1358"/>
      <c r="B1358"/>
      <c r="C1358"/>
      <c r="D1358"/>
      <c r="E1358"/>
      <c r="F1358"/>
      <c r="G1358"/>
      <c r="H1358"/>
    </row>
    <row r="1359" spans="1:8" ht="14.5" x14ac:dyDescent="0.35">
      <c r="A1359"/>
      <c r="B1359"/>
      <c r="C1359"/>
      <c r="D1359"/>
      <c r="E1359"/>
      <c r="F1359"/>
      <c r="G1359"/>
      <c r="H1359"/>
    </row>
    <row r="1360" spans="1:8" ht="14.5" x14ac:dyDescent="0.35">
      <c r="A1360"/>
      <c r="B1360"/>
      <c r="C1360"/>
      <c r="D1360"/>
      <c r="E1360"/>
      <c r="F1360"/>
      <c r="G1360"/>
      <c r="H1360"/>
    </row>
    <row r="1361" spans="1:8" ht="14.5" x14ac:dyDescent="0.35">
      <c r="A1361"/>
      <c r="B1361"/>
      <c r="C1361"/>
      <c r="D1361"/>
      <c r="E1361"/>
      <c r="F1361"/>
      <c r="G1361"/>
      <c r="H1361"/>
    </row>
    <row r="1362" spans="1:8" ht="14.5" x14ac:dyDescent="0.35">
      <c r="A1362"/>
      <c r="B1362"/>
      <c r="C1362"/>
      <c r="D1362"/>
      <c r="E1362"/>
      <c r="F1362"/>
      <c r="G1362"/>
      <c r="H1362"/>
    </row>
    <row r="1363" spans="1:8" ht="14.5" x14ac:dyDescent="0.35">
      <c r="A1363"/>
      <c r="B1363"/>
      <c r="C1363"/>
      <c r="D1363"/>
      <c r="E1363"/>
      <c r="F1363"/>
      <c r="G1363"/>
      <c r="H1363"/>
    </row>
    <row r="1364" spans="1:8" ht="14.5" x14ac:dyDescent="0.35">
      <c r="A1364"/>
      <c r="B1364"/>
      <c r="C1364"/>
      <c r="D1364"/>
      <c r="E1364"/>
      <c r="F1364"/>
      <c r="G1364"/>
      <c r="H1364"/>
    </row>
    <row r="1365" spans="1:8" ht="14.5" x14ac:dyDescent="0.35">
      <c r="A1365"/>
      <c r="B1365"/>
      <c r="C1365"/>
      <c r="D1365"/>
      <c r="E1365"/>
      <c r="F1365"/>
      <c r="G1365"/>
      <c r="H1365"/>
    </row>
    <row r="1366" spans="1:8" ht="14.5" x14ac:dyDescent="0.35">
      <c r="A1366"/>
      <c r="B1366"/>
      <c r="C1366"/>
      <c r="D1366"/>
      <c r="E1366"/>
      <c r="F1366"/>
      <c r="G1366"/>
      <c r="H1366"/>
    </row>
    <row r="1367" spans="1:8" ht="14.5" x14ac:dyDescent="0.35">
      <c r="A1367"/>
      <c r="B1367"/>
      <c r="C1367"/>
      <c r="D1367"/>
      <c r="E1367"/>
      <c r="F1367"/>
      <c r="G1367"/>
      <c r="H1367"/>
    </row>
    <row r="1368" spans="1:8" ht="14.5" x14ac:dyDescent="0.35">
      <c r="A1368"/>
      <c r="B1368"/>
      <c r="C1368"/>
      <c r="D1368"/>
      <c r="E1368"/>
      <c r="F1368"/>
      <c r="G1368"/>
      <c r="H1368"/>
    </row>
    <row r="1369" spans="1:8" ht="14.5" x14ac:dyDescent="0.35">
      <c r="A1369"/>
      <c r="B1369"/>
      <c r="C1369"/>
      <c r="D1369"/>
      <c r="E1369"/>
      <c r="F1369"/>
      <c r="G1369"/>
      <c r="H1369"/>
    </row>
    <row r="1370" spans="1:8" ht="14.5" x14ac:dyDescent="0.35">
      <c r="A1370"/>
      <c r="B1370"/>
      <c r="C1370"/>
      <c r="D1370"/>
      <c r="E1370"/>
      <c r="F1370"/>
      <c r="G1370"/>
      <c r="H1370"/>
    </row>
    <row r="1371" spans="1:8" ht="14.5" x14ac:dyDescent="0.35">
      <c r="A1371"/>
      <c r="B1371"/>
      <c r="C1371"/>
      <c r="D1371"/>
      <c r="E1371"/>
      <c r="F1371"/>
      <c r="G1371"/>
      <c r="H1371"/>
    </row>
    <row r="1372" spans="1:8" ht="14.5" x14ac:dyDescent="0.35">
      <c r="A1372"/>
      <c r="B1372"/>
      <c r="C1372"/>
      <c r="D1372"/>
      <c r="E1372"/>
      <c r="F1372"/>
      <c r="G1372"/>
      <c r="H1372"/>
    </row>
    <row r="1373" spans="1:8" ht="14.5" x14ac:dyDescent="0.35">
      <c r="A1373"/>
      <c r="B1373"/>
      <c r="C1373"/>
      <c r="D1373"/>
      <c r="E1373"/>
      <c r="F1373"/>
      <c r="G1373"/>
      <c r="H1373"/>
    </row>
    <row r="1374" spans="1:8" ht="14.5" x14ac:dyDescent="0.35">
      <c r="A1374"/>
      <c r="B1374"/>
      <c r="C1374"/>
      <c r="D1374"/>
      <c r="E1374"/>
      <c r="F1374"/>
      <c r="G1374"/>
      <c r="H1374"/>
    </row>
    <row r="1375" spans="1:8" ht="14.5" x14ac:dyDescent="0.35">
      <c r="A1375"/>
      <c r="B1375"/>
      <c r="C1375"/>
      <c r="D1375"/>
      <c r="E1375"/>
      <c r="F1375"/>
      <c r="G1375"/>
      <c r="H1375"/>
    </row>
    <row r="1376" spans="1:8" ht="14.5" x14ac:dyDescent="0.35">
      <c r="A1376"/>
      <c r="B1376"/>
      <c r="C1376"/>
      <c r="D1376"/>
      <c r="E1376"/>
      <c r="F1376"/>
      <c r="G1376"/>
      <c r="H1376"/>
    </row>
    <row r="1377" spans="1:8" ht="14.5" x14ac:dyDescent="0.35">
      <c r="A1377"/>
      <c r="B1377"/>
      <c r="C1377"/>
      <c r="D1377"/>
      <c r="E1377"/>
      <c r="F1377"/>
      <c r="G1377"/>
      <c r="H1377"/>
    </row>
    <row r="1378" spans="1:8" ht="14.5" x14ac:dyDescent="0.35">
      <c r="A1378"/>
      <c r="B1378"/>
      <c r="C1378"/>
      <c r="D1378"/>
      <c r="E1378"/>
      <c r="F1378"/>
      <c r="G1378"/>
      <c r="H1378"/>
    </row>
    <row r="1379" spans="1:8" ht="14.5" x14ac:dyDescent="0.35">
      <c r="A1379"/>
      <c r="B1379"/>
      <c r="C1379"/>
      <c r="D1379"/>
      <c r="E1379"/>
      <c r="F1379"/>
      <c r="G1379"/>
      <c r="H1379"/>
    </row>
    <row r="1380" spans="1:8" ht="14.5" x14ac:dyDescent="0.35">
      <c r="A1380"/>
      <c r="B1380"/>
      <c r="C1380"/>
      <c r="D1380"/>
      <c r="E1380"/>
      <c r="F1380"/>
      <c r="G1380"/>
      <c r="H1380"/>
    </row>
    <row r="1381" spans="1:8" ht="14.5" x14ac:dyDescent="0.35">
      <c r="A1381"/>
      <c r="B1381"/>
      <c r="C1381"/>
      <c r="D1381"/>
      <c r="E1381"/>
      <c r="F1381"/>
      <c r="G1381"/>
      <c r="H1381"/>
    </row>
    <row r="1382" spans="1:8" ht="14.5" x14ac:dyDescent="0.35">
      <c r="A1382"/>
      <c r="B1382"/>
      <c r="C1382"/>
      <c r="D1382"/>
      <c r="E1382"/>
      <c r="F1382"/>
      <c r="G1382"/>
      <c r="H1382"/>
    </row>
    <row r="1383" spans="1:8" ht="14.5" x14ac:dyDescent="0.35">
      <c r="A1383"/>
      <c r="B1383"/>
      <c r="C1383"/>
      <c r="D1383"/>
      <c r="E1383"/>
      <c r="F1383"/>
      <c r="G1383"/>
      <c r="H1383"/>
    </row>
    <row r="1384" spans="1:8" ht="14.5" x14ac:dyDescent="0.35">
      <c r="A1384"/>
      <c r="B1384"/>
      <c r="C1384"/>
      <c r="D1384"/>
      <c r="E1384"/>
      <c r="F1384"/>
      <c r="G1384"/>
      <c r="H1384"/>
    </row>
    <row r="1385" spans="1:8" ht="14.5" x14ac:dyDescent="0.35">
      <c r="A1385"/>
      <c r="B1385"/>
      <c r="C1385"/>
      <c r="D1385"/>
      <c r="E1385"/>
      <c r="F1385"/>
      <c r="G1385"/>
      <c r="H1385"/>
    </row>
    <row r="1386" spans="1:8" ht="14.5" x14ac:dyDescent="0.35">
      <c r="A1386"/>
      <c r="B1386"/>
      <c r="C1386"/>
      <c r="D1386"/>
      <c r="E1386"/>
      <c r="F1386"/>
      <c r="G1386"/>
      <c r="H1386"/>
    </row>
    <row r="1387" spans="1:8" ht="14.5" x14ac:dyDescent="0.35">
      <c r="A1387"/>
      <c r="B1387"/>
      <c r="C1387"/>
      <c r="D1387"/>
      <c r="E1387"/>
      <c r="F1387"/>
      <c r="G1387"/>
      <c r="H1387"/>
    </row>
    <row r="1388" spans="1:8" ht="14.5" x14ac:dyDescent="0.35">
      <c r="A1388"/>
      <c r="B1388"/>
      <c r="C1388"/>
      <c r="D1388"/>
      <c r="E1388"/>
      <c r="F1388"/>
      <c r="G1388"/>
      <c r="H1388"/>
    </row>
    <row r="1389" spans="1:8" ht="14.5" x14ac:dyDescent="0.35">
      <c r="A1389"/>
      <c r="B1389"/>
      <c r="C1389"/>
      <c r="D1389"/>
      <c r="E1389"/>
      <c r="F1389"/>
      <c r="G1389"/>
      <c r="H1389"/>
    </row>
    <row r="1390" spans="1:8" ht="14.5" x14ac:dyDescent="0.35">
      <c r="A1390"/>
      <c r="B1390"/>
      <c r="C1390"/>
      <c r="D1390"/>
      <c r="E1390"/>
      <c r="F1390"/>
      <c r="G1390"/>
      <c r="H1390"/>
    </row>
    <row r="1391" spans="1:8" ht="14.5" x14ac:dyDescent="0.35">
      <c r="A1391"/>
      <c r="B1391"/>
      <c r="C1391"/>
      <c r="D1391"/>
      <c r="E1391"/>
      <c r="F1391"/>
      <c r="G1391"/>
      <c r="H1391"/>
    </row>
    <row r="1392" spans="1:8" ht="14.5" x14ac:dyDescent="0.35">
      <c r="A1392"/>
      <c r="B1392"/>
      <c r="C1392"/>
      <c r="D1392"/>
      <c r="E1392"/>
      <c r="F1392"/>
      <c r="G1392"/>
      <c r="H1392"/>
    </row>
    <row r="1393" spans="1:8" ht="14.5" x14ac:dyDescent="0.35">
      <c r="A1393"/>
      <c r="B1393"/>
      <c r="C1393"/>
      <c r="D1393"/>
      <c r="E1393"/>
      <c r="F1393"/>
      <c r="G1393"/>
      <c r="H1393"/>
    </row>
    <row r="1394" spans="1:8" ht="14.5" x14ac:dyDescent="0.35">
      <c r="A1394"/>
      <c r="B1394"/>
      <c r="C1394"/>
      <c r="D1394"/>
      <c r="E1394"/>
      <c r="F1394"/>
      <c r="G1394"/>
      <c r="H1394"/>
    </row>
    <row r="1395" spans="1:8" ht="14.5" x14ac:dyDescent="0.35">
      <c r="A1395"/>
      <c r="B1395"/>
      <c r="C1395"/>
      <c r="D1395"/>
      <c r="E1395"/>
      <c r="F1395"/>
      <c r="G1395"/>
      <c r="H1395"/>
    </row>
    <row r="1396" spans="1:8" ht="14.5" x14ac:dyDescent="0.35">
      <c r="A1396"/>
      <c r="B1396"/>
      <c r="C1396"/>
      <c r="D1396"/>
      <c r="E1396"/>
      <c r="F1396"/>
      <c r="G1396"/>
      <c r="H1396"/>
    </row>
    <row r="1397" spans="1:8" ht="14.5" x14ac:dyDescent="0.35">
      <c r="A1397"/>
      <c r="B1397"/>
      <c r="C1397"/>
      <c r="D1397"/>
      <c r="E1397"/>
      <c r="F1397"/>
      <c r="G1397"/>
      <c r="H1397"/>
    </row>
    <row r="1398" spans="1:8" ht="14.5" x14ac:dyDescent="0.35">
      <c r="A1398"/>
      <c r="B1398"/>
      <c r="C1398"/>
      <c r="D1398"/>
      <c r="E1398"/>
      <c r="F1398"/>
      <c r="G1398"/>
      <c r="H1398"/>
    </row>
    <row r="1399" spans="1:8" ht="14.5" x14ac:dyDescent="0.35">
      <c r="A1399"/>
      <c r="B1399"/>
      <c r="C1399"/>
      <c r="D1399"/>
      <c r="E1399"/>
      <c r="F1399"/>
      <c r="G1399"/>
      <c r="H1399"/>
    </row>
    <row r="1400" spans="1:8" ht="14.5" x14ac:dyDescent="0.35">
      <c r="A1400"/>
      <c r="B1400"/>
      <c r="C1400"/>
      <c r="D1400"/>
      <c r="E1400"/>
      <c r="F1400"/>
      <c r="G1400"/>
      <c r="H1400"/>
    </row>
    <row r="1401" spans="1:8" ht="14.5" x14ac:dyDescent="0.35">
      <c r="A1401"/>
      <c r="B1401"/>
      <c r="C1401"/>
      <c r="D1401"/>
      <c r="E1401"/>
      <c r="F1401"/>
      <c r="G1401"/>
      <c r="H1401"/>
    </row>
    <row r="1402" spans="1:8" ht="14.5" x14ac:dyDescent="0.35">
      <c r="A1402"/>
      <c r="B1402"/>
      <c r="C1402"/>
      <c r="D1402"/>
      <c r="E1402"/>
      <c r="F1402"/>
      <c r="G1402"/>
      <c r="H1402"/>
    </row>
    <row r="1403" spans="1:8" ht="14.5" x14ac:dyDescent="0.35">
      <c r="A1403"/>
      <c r="B1403"/>
      <c r="C1403"/>
      <c r="D1403"/>
      <c r="E1403"/>
      <c r="F1403"/>
      <c r="G1403"/>
      <c r="H1403"/>
    </row>
    <row r="1404" spans="1:8" ht="14.5" x14ac:dyDescent="0.35">
      <c r="A1404"/>
      <c r="B1404"/>
      <c r="C1404"/>
      <c r="D1404"/>
      <c r="E1404"/>
      <c r="F1404"/>
      <c r="G1404"/>
      <c r="H1404"/>
    </row>
    <row r="1405" spans="1:8" ht="14.5" x14ac:dyDescent="0.35">
      <c r="A1405"/>
      <c r="B1405"/>
      <c r="C1405"/>
      <c r="D1405"/>
      <c r="E1405"/>
      <c r="F1405"/>
      <c r="G1405"/>
      <c r="H1405"/>
    </row>
    <row r="1406" spans="1:8" ht="14.5" x14ac:dyDescent="0.35">
      <c r="A1406"/>
      <c r="B1406"/>
      <c r="C1406"/>
      <c r="D1406"/>
      <c r="E1406"/>
      <c r="F1406"/>
      <c r="G1406"/>
      <c r="H1406"/>
    </row>
    <row r="1407" spans="1:8" ht="14.5" x14ac:dyDescent="0.35">
      <c r="A1407"/>
      <c r="B1407"/>
      <c r="C1407"/>
      <c r="D1407"/>
      <c r="E1407"/>
      <c r="F1407"/>
      <c r="G1407"/>
      <c r="H1407"/>
    </row>
    <row r="1408" spans="1:8" ht="14.5" x14ac:dyDescent="0.35">
      <c r="A1408"/>
      <c r="B1408"/>
      <c r="C1408"/>
      <c r="D1408"/>
      <c r="E1408"/>
      <c r="F1408"/>
      <c r="G1408"/>
      <c r="H1408"/>
    </row>
    <row r="1409" spans="1:8" ht="14.5" x14ac:dyDescent="0.35">
      <c r="A1409"/>
      <c r="B1409"/>
      <c r="C1409"/>
      <c r="D1409"/>
      <c r="E1409"/>
      <c r="F1409"/>
      <c r="G1409"/>
      <c r="H1409"/>
    </row>
    <row r="1410" spans="1:8" ht="14.5" x14ac:dyDescent="0.35">
      <c r="A1410"/>
      <c r="B1410"/>
      <c r="C1410"/>
      <c r="D1410"/>
      <c r="E1410"/>
      <c r="F1410"/>
      <c r="G1410"/>
      <c r="H1410"/>
    </row>
    <row r="1411" spans="1:8" ht="14.5" x14ac:dyDescent="0.35">
      <c r="A1411"/>
      <c r="B1411"/>
      <c r="C1411"/>
      <c r="D1411"/>
      <c r="E1411"/>
      <c r="F1411"/>
      <c r="G1411"/>
      <c r="H1411"/>
    </row>
    <row r="1412" spans="1:8" ht="14.5" x14ac:dyDescent="0.35">
      <c r="A1412"/>
      <c r="B1412"/>
      <c r="C1412"/>
      <c r="D1412"/>
      <c r="E1412"/>
      <c r="F1412"/>
      <c r="G1412"/>
      <c r="H1412"/>
    </row>
    <row r="1413" spans="1:8" ht="14.5" x14ac:dyDescent="0.35">
      <c r="A1413"/>
      <c r="B1413"/>
      <c r="C1413"/>
      <c r="D1413"/>
      <c r="E1413"/>
      <c r="F1413"/>
      <c r="G1413"/>
      <c r="H1413"/>
    </row>
    <row r="1414" spans="1:8" ht="14.5" x14ac:dyDescent="0.35">
      <c r="A1414"/>
      <c r="B1414"/>
      <c r="C1414"/>
      <c r="D1414"/>
      <c r="E1414"/>
      <c r="F1414"/>
      <c r="G1414"/>
      <c r="H1414"/>
    </row>
    <row r="1415" spans="1:8" ht="14.5" x14ac:dyDescent="0.35">
      <c r="A1415"/>
      <c r="B1415"/>
      <c r="C1415"/>
      <c r="D1415"/>
      <c r="E1415"/>
      <c r="F1415"/>
      <c r="G1415"/>
      <c r="H1415"/>
    </row>
    <row r="1416" spans="1:8" ht="14.5" x14ac:dyDescent="0.35">
      <c r="A1416"/>
      <c r="B1416"/>
      <c r="C1416"/>
      <c r="D1416"/>
      <c r="E1416"/>
      <c r="F1416"/>
      <c r="G1416"/>
      <c r="H1416"/>
    </row>
    <row r="1417" spans="1:8" ht="14.5" x14ac:dyDescent="0.35">
      <c r="A1417"/>
      <c r="B1417"/>
      <c r="C1417"/>
      <c r="D1417"/>
      <c r="E1417"/>
      <c r="F1417"/>
      <c r="G1417"/>
      <c r="H1417"/>
    </row>
    <row r="1418" spans="1:8" ht="14.5" x14ac:dyDescent="0.35">
      <c r="A1418"/>
      <c r="B1418"/>
      <c r="C1418"/>
      <c r="D1418"/>
      <c r="E1418"/>
      <c r="F1418"/>
      <c r="G1418"/>
      <c r="H1418"/>
    </row>
    <row r="1419" spans="1:8" ht="14.5" x14ac:dyDescent="0.35">
      <c r="A1419"/>
      <c r="B1419"/>
      <c r="C1419"/>
      <c r="D1419"/>
      <c r="E1419"/>
      <c r="F1419"/>
      <c r="G1419"/>
      <c r="H1419"/>
    </row>
    <row r="1420" spans="1:8" ht="14.5" x14ac:dyDescent="0.35">
      <c r="A1420"/>
      <c r="B1420"/>
      <c r="C1420"/>
      <c r="D1420"/>
      <c r="E1420"/>
      <c r="F1420"/>
      <c r="G1420"/>
      <c r="H1420"/>
    </row>
    <row r="1421" spans="1:8" ht="14.5" x14ac:dyDescent="0.35">
      <c r="A1421"/>
      <c r="B1421"/>
      <c r="C1421"/>
      <c r="D1421"/>
      <c r="E1421"/>
      <c r="F1421"/>
      <c r="G1421"/>
      <c r="H1421"/>
    </row>
    <row r="1422" spans="1:8" ht="14.5" x14ac:dyDescent="0.35">
      <c r="A1422"/>
      <c r="B1422"/>
      <c r="C1422"/>
      <c r="D1422"/>
      <c r="E1422"/>
      <c r="F1422"/>
      <c r="G1422"/>
      <c r="H1422"/>
    </row>
    <row r="1423" spans="1:8" ht="14.5" x14ac:dyDescent="0.35">
      <c r="A1423"/>
      <c r="B1423"/>
      <c r="C1423"/>
      <c r="D1423"/>
      <c r="E1423"/>
      <c r="F1423"/>
      <c r="G1423"/>
      <c r="H1423"/>
    </row>
    <row r="1424" spans="1:8" ht="14.5" x14ac:dyDescent="0.35">
      <c r="A1424"/>
      <c r="B1424"/>
      <c r="C1424"/>
      <c r="D1424"/>
      <c r="E1424"/>
      <c r="F1424"/>
      <c r="G1424"/>
      <c r="H1424"/>
    </row>
    <row r="1425" spans="1:8" ht="14.5" x14ac:dyDescent="0.35">
      <c r="A1425"/>
      <c r="B1425"/>
      <c r="C1425"/>
      <c r="D1425"/>
      <c r="E1425"/>
      <c r="F1425"/>
      <c r="G1425"/>
      <c r="H1425"/>
    </row>
    <row r="1426" spans="1:8" ht="14.5" x14ac:dyDescent="0.35">
      <c r="A1426"/>
      <c r="B1426"/>
      <c r="C1426"/>
      <c r="D1426"/>
      <c r="E1426"/>
      <c r="F1426"/>
      <c r="G1426"/>
      <c r="H1426"/>
    </row>
    <row r="1427" spans="1:8" ht="14.5" x14ac:dyDescent="0.35">
      <c r="A1427"/>
      <c r="B1427"/>
      <c r="C1427"/>
      <c r="D1427"/>
      <c r="E1427"/>
      <c r="F1427"/>
      <c r="G1427"/>
      <c r="H1427"/>
    </row>
    <row r="1428" spans="1:8" ht="14.5" x14ac:dyDescent="0.35">
      <c r="A1428"/>
      <c r="B1428"/>
      <c r="C1428"/>
      <c r="D1428"/>
      <c r="E1428"/>
      <c r="F1428"/>
      <c r="G1428"/>
      <c r="H1428"/>
    </row>
    <row r="1429" spans="1:8" ht="14.5" x14ac:dyDescent="0.35">
      <c r="A1429"/>
      <c r="B1429"/>
      <c r="C1429"/>
      <c r="D1429"/>
      <c r="E1429"/>
      <c r="F1429"/>
      <c r="G1429"/>
      <c r="H1429"/>
    </row>
    <row r="1430" spans="1:8" ht="14.5" x14ac:dyDescent="0.35">
      <c r="A1430"/>
      <c r="B1430"/>
      <c r="C1430"/>
      <c r="D1430"/>
      <c r="E1430"/>
      <c r="F1430"/>
      <c r="G1430"/>
      <c r="H1430"/>
    </row>
    <row r="1431" spans="1:8" ht="14.5" x14ac:dyDescent="0.35">
      <c r="A1431"/>
      <c r="B1431"/>
      <c r="C1431"/>
      <c r="D1431"/>
      <c r="E1431"/>
      <c r="F1431"/>
      <c r="G1431"/>
      <c r="H1431"/>
    </row>
    <row r="1432" spans="1:8" ht="14.5" x14ac:dyDescent="0.35">
      <c r="A1432"/>
      <c r="B1432"/>
      <c r="C1432"/>
      <c r="D1432"/>
      <c r="E1432"/>
      <c r="F1432"/>
      <c r="G1432"/>
      <c r="H1432"/>
    </row>
    <row r="1433" spans="1:8" ht="14.5" x14ac:dyDescent="0.35">
      <c r="A1433"/>
      <c r="B1433"/>
      <c r="C1433"/>
      <c r="D1433"/>
      <c r="E1433"/>
      <c r="F1433"/>
      <c r="G1433"/>
      <c r="H1433"/>
    </row>
    <row r="1434" spans="1:8" ht="14.5" x14ac:dyDescent="0.35">
      <c r="A1434"/>
      <c r="B1434"/>
      <c r="C1434"/>
      <c r="D1434"/>
      <c r="E1434"/>
      <c r="F1434"/>
      <c r="G1434"/>
      <c r="H1434"/>
    </row>
    <row r="1435" spans="1:8" ht="14.5" x14ac:dyDescent="0.35">
      <c r="A1435"/>
      <c r="B1435"/>
      <c r="C1435"/>
      <c r="D1435"/>
      <c r="E1435"/>
      <c r="F1435"/>
      <c r="G1435"/>
      <c r="H1435"/>
    </row>
    <row r="1436" spans="1:8" ht="14.5" x14ac:dyDescent="0.35">
      <c r="A1436"/>
      <c r="B1436"/>
      <c r="C1436"/>
      <c r="D1436"/>
      <c r="E1436"/>
      <c r="F1436"/>
      <c r="G1436"/>
      <c r="H1436"/>
    </row>
    <row r="1437" spans="1:8" ht="14.5" x14ac:dyDescent="0.35">
      <c r="A1437"/>
      <c r="B1437"/>
      <c r="C1437"/>
      <c r="D1437"/>
      <c r="E1437"/>
      <c r="F1437"/>
      <c r="G1437"/>
      <c r="H1437"/>
    </row>
    <row r="1438" spans="1:8" ht="14.5" x14ac:dyDescent="0.35">
      <c r="A1438"/>
      <c r="B1438"/>
      <c r="C1438"/>
      <c r="D1438"/>
      <c r="E1438"/>
      <c r="F1438"/>
      <c r="G1438"/>
      <c r="H1438"/>
    </row>
    <row r="1439" spans="1:8" ht="14.5" x14ac:dyDescent="0.35">
      <c r="A1439"/>
      <c r="B1439"/>
      <c r="C1439"/>
      <c r="D1439"/>
      <c r="E1439"/>
      <c r="F1439"/>
      <c r="G1439"/>
      <c r="H1439"/>
    </row>
    <row r="1440" spans="1:8" ht="14.5" x14ac:dyDescent="0.35">
      <c r="A1440"/>
      <c r="B1440"/>
      <c r="C1440"/>
      <c r="D1440"/>
      <c r="E1440"/>
      <c r="F1440"/>
      <c r="G1440"/>
      <c r="H1440"/>
    </row>
    <row r="1441" spans="1:8" ht="14.5" x14ac:dyDescent="0.35">
      <c r="A1441"/>
      <c r="B1441"/>
      <c r="C1441"/>
      <c r="D1441"/>
      <c r="E1441"/>
      <c r="F1441"/>
      <c r="G1441"/>
      <c r="H1441"/>
    </row>
    <row r="1442" spans="1:8" ht="14.5" x14ac:dyDescent="0.35">
      <c r="A1442"/>
      <c r="B1442"/>
      <c r="C1442"/>
      <c r="D1442"/>
      <c r="E1442"/>
      <c r="F1442"/>
      <c r="G1442"/>
      <c r="H1442"/>
    </row>
    <row r="1443" spans="1:8" ht="14.5" x14ac:dyDescent="0.35">
      <c r="A1443"/>
      <c r="B1443"/>
      <c r="C1443"/>
      <c r="D1443"/>
      <c r="E1443"/>
      <c r="F1443"/>
      <c r="G1443"/>
      <c r="H1443"/>
    </row>
    <row r="1444" spans="1:8" ht="14.5" x14ac:dyDescent="0.35">
      <c r="A1444"/>
      <c r="B1444"/>
      <c r="C1444"/>
      <c r="D1444"/>
      <c r="E1444"/>
      <c r="F1444"/>
      <c r="G1444"/>
      <c r="H1444"/>
    </row>
    <row r="1445" spans="1:8" ht="14.5" x14ac:dyDescent="0.35">
      <c r="A1445"/>
      <c r="B1445"/>
      <c r="C1445"/>
      <c r="D1445"/>
      <c r="E1445"/>
      <c r="F1445"/>
      <c r="G1445"/>
      <c r="H1445"/>
    </row>
    <row r="1446" spans="1:8" ht="14.5" x14ac:dyDescent="0.35">
      <c r="A1446"/>
      <c r="B1446"/>
      <c r="C1446"/>
      <c r="D1446"/>
      <c r="E1446"/>
      <c r="F1446"/>
      <c r="G1446"/>
      <c r="H1446"/>
    </row>
    <row r="1447" spans="1:8" ht="14.5" x14ac:dyDescent="0.35">
      <c r="A1447"/>
      <c r="B1447"/>
      <c r="C1447"/>
      <c r="D1447"/>
      <c r="E1447"/>
      <c r="F1447"/>
      <c r="G1447"/>
      <c r="H1447"/>
    </row>
    <row r="1448" spans="1:8" ht="14.5" x14ac:dyDescent="0.35">
      <c r="A1448"/>
      <c r="B1448"/>
      <c r="C1448"/>
      <c r="D1448"/>
      <c r="E1448"/>
      <c r="F1448"/>
      <c r="G1448"/>
      <c r="H1448"/>
    </row>
    <row r="1449" spans="1:8" ht="14.5" x14ac:dyDescent="0.35">
      <c r="A1449"/>
      <c r="B1449"/>
      <c r="C1449"/>
      <c r="D1449"/>
      <c r="E1449"/>
      <c r="F1449"/>
      <c r="G1449"/>
      <c r="H1449"/>
    </row>
    <row r="1450" spans="1:8" ht="14.5" x14ac:dyDescent="0.35">
      <c r="A1450"/>
      <c r="B1450"/>
      <c r="C1450"/>
      <c r="D1450"/>
      <c r="E1450"/>
      <c r="F1450"/>
      <c r="G1450"/>
      <c r="H1450"/>
    </row>
    <row r="1451" spans="1:8" ht="14.5" x14ac:dyDescent="0.35">
      <c r="A1451"/>
      <c r="B1451"/>
      <c r="C1451"/>
      <c r="D1451"/>
      <c r="E1451"/>
      <c r="F1451"/>
      <c r="G1451"/>
      <c r="H1451"/>
    </row>
    <row r="1452" spans="1:8" ht="14.5" x14ac:dyDescent="0.35">
      <c r="A1452"/>
      <c r="B1452"/>
      <c r="C1452"/>
      <c r="D1452"/>
      <c r="E1452"/>
      <c r="F1452"/>
      <c r="G1452"/>
      <c r="H1452"/>
    </row>
    <row r="1453" spans="1:8" ht="14.5" x14ac:dyDescent="0.35">
      <c r="A1453"/>
      <c r="B1453"/>
      <c r="C1453"/>
      <c r="D1453"/>
      <c r="E1453"/>
      <c r="F1453"/>
      <c r="G1453"/>
      <c r="H1453"/>
    </row>
    <row r="1454" spans="1:8" ht="14.5" x14ac:dyDescent="0.35">
      <c r="A1454"/>
      <c r="B1454"/>
      <c r="C1454"/>
      <c r="D1454"/>
      <c r="E1454"/>
      <c r="F1454"/>
      <c r="G1454"/>
      <c r="H1454"/>
    </row>
    <row r="1455" spans="1:8" ht="14.5" x14ac:dyDescent="0.35">
      <c r="A1455"/>
      <c r="B1455"/>
      <c r="C1455"/>
      <c r="D1455"/>
      <c r="E1455"/>
      <c r="F1455"/>
      <c r="G1455"/>
      <c r="H1455"/>
    </row>
    <row r="1456" spans="1:8" ht="14.5" x14ac:dyDescent="0.35">
      <c r="A1456"/>
      <c r="B1456"/>
      <c r="C1456"/>
      <c r="D1456"/>
      <c r="E1456"/>
      <c r="F1456"/>
      <c r="G1456"/>
      <c r="H1456"/>
    </row>
    <row r="1457" spans="1:8" ht="14.5" x14ac:dyDescent="0.35">
      <c r="A1457"/>
      <c r="B1457"/>
      <c r="C1457"/>
      <c r="D1457"/>
      <c r="E1457"/>
      <c r="F1457"/>
      <c r="G1457"/>
      <c r="H1457"/>
    </row>
    <row r="1458" spans="1:8" ht="14.5" x14ac:dyDescent="0.35">
      <c r="A1458"/>
      <c r="B1458"/>
      <c r="C1458"/>
      <c r="D1458"/>
      <c r="E1458"/>
      <c r="F1458"/>
      <c r="G1458"/>
      <c r="H1458"/>
    </row>
    <row r="1459" spans="1:8" ht="14.5" x14ac:dyDescent="0.35">
      <c r="A1459"/>
      <c r="B1459"/>
      <c r="C1459"/>
      <c r="D1459"/>
      <c r="E1459"/>
      <c r="F1459"/>
      <c r="G1459"/>
      <c r="H1459"/>
    </row>
    <row r="1460" spans="1:8" ht="14.5" x14ac:dyDescent="0.35">
      <c r="A1460"/>
      <c r="B1460"/>
      <c r="C1460"/>
      <c r="D1460"/>
      <c r="E1460"/>
      <c r="F1460"/>
      <c r="G1460"/>
      <c r="H1460"/>
    </row>
    <row r="1461" spans="1:8" ht="14.5" x14ac:dyDescent="0.35">
      <c r="A1461"/>
      <c r="B1461"/>
      <c r="C1461"/>
      <c r="D1461"/>
      <c r="E1461"/>
      <c r="F1461"/>
      <c r="G1461"/>
      <c r="H1461"/>
    </row>
    <row r="1462" spans="1:8" ht="14.5" x14ac:dyDescent="0.35">
      <c r="A1462"/>
      <c r="B1462"/>
      <c r="C1462"/>
      <c r="D1462"/>
      <c r="E1462"/>
      <c r="F1462"/>
      <c r="G1462"/>
      <c r="H1462"/>
    </row>
    <row r="1463" spans="1:8" ht="14.5" x14ac:dyDescent="0.35">
      <c r="A1463"/>
      <c r="B1463"/>
      <c r="C1463"/>
      <c r="D1463"/>
      <c r="E1463"/>
      <c r="F1463"/>
      <c r="G1463"/>
      <c r="H1463"/>
    </row>
    <row r="1464" spans="1:8" ht="14.5" x14ac:dyDescent="0.35">
      <c r="A1464"/>
      <c r="B1464"/>
      <c r="C1464"/>
      <c r="D1464"/>
      <c r="E1464"/>
      <c r="F1464"/>
      <c r="G1464"/>
      <c r="H1464"/>
    </row>
    <row r="1465" spans="1:8" ht="14.5" x14ac:dyDescent="0.35">
      <c r="A1465"/>
      <c r="B1465"/>
      <c r="C1465"/>
      <c r="D1465"/>
      <c r="E1465"/>
      <c r="F1465"/>
      <c r="G1465"/>
      <c r="H1465"/>
    </row>
    <row r="1466" spans="1:8" ht="14.5" x14ac:dyDescent="0.35">
      <c r="A1466"/>
      <c r="B1466"/>
      <c r="C1466"/>
      <c r="D1466"/>
      <c r="E1466"/>
      <c r="F1466"/>
      <c r="G1466"/>
      <c r="H1466"/>
    </row>
    <row r="1467" spans="1:8" ht="14.5" x14ac:dyDescent="0.35">
      <c r="A1467"/>
      <c r="B1467"/>
      <c r="C1467"/>
      <c r="D1467"/>
      <c r="E1467"/>
      <c r="F1467"/>
      <c r="G1467"/>
      <c r="H1467"/>
    </row>
    <row r="1468" spans="1:8" ht="14.5" x14ac:dyDescent="0.35">
      <c r="A1468"/>
      <c r="B1468"/>
      <c r="C1468"/>
      <c r="D1468"/>
      <c r="E1468"/>
      <c r="F1468"/>
      <c r="G1468"/>
      <c r="H1468"/>
    </row>
    <row r="1469" spans="1:8" ht="14.5" x14ac:dyDescent="0.35">
      <c r="A1469"/>
      <c r="B1469"/>
      <c r="C1469"/>
      <c r="D1469"/>
      <c r="E1469"/>
      <c r="F1469"/>
      <c r="G1469"/>
      <c r="H1469"/>
    </row>
    <row r="1470" spans="1:8" ht="14.5" x14ac:dyDescent="0.35">
      <c r="A1470"/>
      <c r="B1470"/>
      <c r="C1470"/>
      <c r="D1470"/>
      <c r="E1470"/>
      <c r="F1470"/>
      <c r="G1470"/>
      <c r="H1470"/>
    </row>
    <row r="1471" spans="1:8" ht="14.5" x14ac:dyDescent="0.35">
      <c r="A1471"/>
      <c r="B1471"/>
      <c r="C1471"/>
      <c r="D1471"/>
      <c r="E1471"/>
      <c r="F1471"/>
      <c r="G1471"/>
      <c r="H1471"/>
    </row>
    <row r="1472" spans="1:8" ht="14.5" x14ac:dyDescent="0.35">
      <c r="A1472"/>
      <c r="B1472"/>
      <c r="C1472"/>
      <c r="D1472"/>
      <c r="E1472"/>
      <c r="F1472"/>
      <c r="G1472"/>
      <c r="H1472"/>
    </row>
    <row r="1473" spans="1:8" ht="14.5" x14ac:dyDescent="0.35">
      <c r="A1473"/>
      <c r="B1473"/>
      <c r="C1473"/>
      <c r="D1473"/>
      <c r="E1473"/>
      <c r="F1473"/>
      <c r="G1473"/>
      <c r="H1473"/>
    </row>
    <row r="1474" spans="1:8" ht="14.5" x14ac:dyDescent="0.35">
      <c r="A1474"/>
      <c r="B1474"/>
      <c r="C1474"/>
      <c r="D1474"/>
      <c r="E1474"/>
      <c r="F1474"/>
      <c r="G1474"/>
      <c r="H1474"/>
    </row>
    <row r="1475" spans="1:8" ht="14.5" x14ac:dyDescent="0.35">
      <c r="A1475"/>
      <c r="B1475"/>
      <c r="C1475"/>
      <c r="D1475"/>
      <c r="E1475"/>
      <c r="F1475"/>
      <c r="G1475"/>
      <c r="H1475"/>
    </row>
    <row r="1476" spans="1:8" ht="14.5" x14ac:dyDescent="0.35">
      <c r="A1476"/>
      <c r="B1476"/>
      <c r="C1476"/>
      <c r="D1476"/>
      <c r="E1476"/>
      <c r="F1476"/>
      <c r="G1476"/>
      <c r="H1476"/>
    </row>
    <row r="1477" spans="1:8" ht="14.5" x14ac:dyDescent="0.35">
      <c r="A1477"/>
      <c r="B1477"/>
      <c r="C1477"/>
      <c r="D1477"/>
      <c r="E1477"/>
      <c r="F1477"/>
      <c r="G1477"/>
      <c r="H1477"/>
    </row>
    <row r="1478" spans="1:8" ht="14.5" x14ac:dyDescent="0.35">
      <c r="A1478"/>
      <c r="B1478"/>
      <c r="C1478"/>
      <c r="D1478"/>
      <c r="E1478"/>
      <c r="F1478"/>
      <c r="G1478"/>
      <c r="H1478"/>
    </row>
    <row r="1479" spans="1:8" ht="14.5" x14ac:dyDescent="0.35">
      <c r="A1479"/>
      <c r="B1479"/>
      <c r="C1479"/>
      <c r="D1479"/>
      <c r="E1479"/>
      <c r="F1479"/>
      <c r="G1479"/>
      <c r="H1479"/>
    </row>
    <row r="1480" spans="1:8" ht="14.5" x14ac:dyDescent="0.35">
      <c r="A1480"/>
      <c r="B1480"/>
      <c r="C1480"/>
      <c r="D1480"/>
      <c r="E1480"/>
      <c r="F1480"/>
      <c r="G1480"/>
      <c r="H1480"/>
    </row>
    <row r="1481" spans="1:8" ht="14.5" x14ac:dyDescent="0.35">
      <c r="A1481"/>
      <c r="B1481"/>
      <c r="C1481"/>
      <c r="D1481"/>
      <c r="E1481"/>
      <c r="F1481"/>
      <c r="G1481"/>
      <c r="H1481"/>
    </row>
    <row r="1482" spans="1:8" ht="14.5" x14ac:dyDescent="0.35">
      <c r="A1482"/>
      <c r="B1482"/>
      <c r="C1482"/>
      <c r="D1482"/>
      <c r="E1482"/>
      <c r="F1482"/>
      <c r="G1482"/>
      <c r="H1482"/>
    </row>
    <row r="1483" spans="1:8" ht="14.5" x14ac:dyDescent="0.35">
      <c r="A1483"/>
      <c r="B1483"/>
      <c r="C1483"/>
      <c r="D1483"/>
      <c r="E1483"/>
      <c r="F1483"/>
      <c r="G1483"/>
      <c r="H1483"/>
    </row>
    <row r="1484" spans="1:8" ht="14.5" x14ac:dyDescent="0.35">
      <c r="A1484"/>
      <c r="B1484"/>
      <c r="C1484"/>
      <c r="D1484"/>
      <c r="E1484"/>
      <c r="F1484"/>
      <c r="G1484"/>
      <c r="H1484"/>
    </row>
    <row r="1485" spans="1:8" ht="14.5" x14ac:dyDescent="0.35">
      <c r="A1485"/>
      <c r="B1485"/>
      <c r="C1485"/>
      <c r="D1485"/>
      <c r="E1485"/>
      <c r="F1485"/>
      <c r="G1485"/>
      <c r="H1485"/>
    </row>
    <row r="1486" spans="1:8" ht="14.5" x14ac:dyDescent="0.35">
      <c r="A1486"/>
      <c r="B1486"/>
      <c r="C1486"/>
      <c r="D1486"/>
      <c r="E1486"/>
      <c r="F1486"/>
      <c r="G1486"/>
      <c r="H1486"/>
    </row>
    <row r="1487" spans="1:8" ht="14.5" x14ac:dyDescent="0.35">
      <c r="A1487"/>
      <c r="B1487"/>
      <c r="C1487"/>
      <c r="D1487"/>
      <c r="E1487"/>
      <c r="F1487"/>
      <c r="G1487"/>
      <c r="H1487"/>
    </row>
    <row r="1488" spans="1:8" ht="14.5" x14ac:dyDescent="0.35">
      <c r="A1488"/>
      <c r="B1488"/>
      <c r="C1488"/>
      <c r="D1488"/>
      <c r="E1488"/>
      <c r="F1488"/>
      <c r="G1488"/>
      <c r="H1488"/>
    </row>
    <row r="1489" spans="1:8" ht="14.5" x14ac:dyDescent="0.35">
      <c r="A1489"/>
      <c r="B1489"/>
      <c r="C1489"/>
      <c r="D1489"/>
      <c r="E1489"/>
      <c r="F1489"/>
      <c r="G1489"/>
      <c r="H1489"/>
    </row>
    <row r="1490" spans="1:8" ht="14.5" x14ac:dyDescent="0.35">
      <c r="A1490"/>
      <c r="B1490"/>
      <c r="C1490"/>
      <c r="D1490"/>
      <c r="E1490"/>
      <c r="F1490"/>
      <c r="G1490"/>
      <c r="H1490"/>
    </row>
    <row r="1491" spans="1:8" ht="14.5" x14ac:dyDescent="0.35">
      <c r="A1491"/>
      <c r="B1491"/>
      <c r="C1491"/>
      <c r="D1491"/>
      <c r="E1491"/>
      <c r="F1491"/>
      <c r="G1491"/>
      <c r="H1491"/>
    </row>
    <row r="1492" spans="1:8" ht="14.5" x14ac:dyDescent="0.35">
      <c r="A1492"/>
      <c r="B1492"/>
      <c r="C1492"/>
      <c r="D1492"/>
      <c r="E1492"/>
      <c r="F1492"/>
      <c r="G1492"/>
      <c r="H1492"/>
    </row>
    <row r="1493" spans="1:8" ht="14.5" x14ac:dyDescent="0.35">
      <c r="A1493"/>
      <c r="B1493"/>
      <c r="C1493"/>
      <c r="D1493"/>
      <c r="E1493"/>
      <c r="F1493"/>
      <c r="G1493"/>
      <c r="H1493"/>
    </row>
    <row r="1494" spans="1:8" ht="14.5" x14ac:dyDescent="0.35">
      <c r="A1494"/>
      <c r="B1494"/>
      <c r="C1494"/>
      <c r="D1494"/>
      <c r="E1494"/>
      <c r="F1494"/>
      <c r="G1494"/>
      <c r="H1494"/>
    </row>
    <row r="1495" spans="1:8" ht="14.5" x14ac:dyDescent="0.35">
      <c r="A1495"/>
      <c r="B1495"/>
      <c r="C1495"/>
      <c r="D1495"/>
      <c r="E1495"/>
      <c r="F1495"/>
      <c r="G1495"/>
      <c r="H1495"/>
    </row>
    <row r="1496" spans="1:8" ht="14.5" x14ac:dyDescent="0.35">
      <c r="A1496"/>
      <c r="B1496"/>
      <c r="C1496"/>
      <c r="D1496"/>
      <c r="E1496"/>
      <c r="F1496"/>
      <c r="G1496"/>
      <c r="H1496"/>
    </row>
    <row r="1497" spans="1:8" ht="14.5" x14ac:dyDescent="0.35">
      <c r="A1497"/>
      <c r="B1497"/>
      <c r="C1497"/>
      <c r="D1497"/>
      <c r="E1497"/>
      <c r="F1497"/>
      <c r="G1497"/>
      <c r="H1497"/>
    </row>
    <row r="1498" spans="1:8" ht="14.5" x14ac:dyDescent="0.35">
      <c r="A1498"/>
      <c r="B1498"/>
      <c r="C1498"/>
      <c r="D1498"/>
      <c r="E1498"/>
      <c r="F1498"/>
      <c r="G1498"/>
      <c r="H1498"/>
    </row>
    <row r="1499" spans="1:8" ht="14.5" x14ac:dyDescent="0.35">
      <c r="A1499"/>
      <c r="B1499"/>
      <c r="C1499"/>
      <c r="D1499"/>
      <c r="E1499"/>
      <c r="F1499"/>
      <c r="G1499"/>
      <c r="H1499"/>
    </row>
    <row r="1500" spans="1:8" ht="14.5" x14ac:dyDescent="0.35">
      <c r="A1500"/>
      <c r="B1500"/>
      <c r="C1500"/>
      <c r="D1500"/>
      <c r="E1500"/>
      <c r="F1500"/>
      <c r="G1500"/>
      <c r="H1500"/>
    </row>
    <row r="1501" spans="1:8" ht="14.5" x14ac:dyDescent="0.35">
      <c r="A1501"/>
      <c r="B1501"/>
      <c r="C1501"/>
      <c r="D1501"/>
      <c r="E1501"/>
      <c r="F1501"/>
      <c r="G1501"/>
      <c r="H1501"/>
    </row>
    <row r="1502" spans="1:8" ht="14.5" x14ac:dyDescent="0.35">
      <c r="A1502"/>
      <c r="B1502"/>
      <c r="C1502"/>
      <c r="D1502"/>
      <c r="E1502"/>
      <c r="F1502"/>
      <c r="G1502"/>
      <c r="H1502"/>
    </row>
    <row r="1503" spans="1:8" ht="14.5" x14ac:dyDescent="0.35">
      <c r="A1503"/>
      <c r="B1503"/>
      <c r="C1503"/>
      <c r="D1503"/>
      <c r="E1503"/>
      <c r="F1503"/>
      <c r="G1503"/>
      <c r="H1503"/>
    </row>
    <row r="1504" spans="1:8" ht="14.5" x14ac:dyDescent="0.35">
      <c r="A1504"/>
      <c r="B1504"/>
      <c r="C1504"/>
      <c r="D1504"/>
      <c r="E1504"/>
      <c r="F1504"/>
      <c r="G1504"/>
      <c r="H1504"/>
    </row>
    <row r="1505" spans="1:8" ht="14.5" x14ac:dyDescent="0.35">
      <c r="A1505"/>
      <c r="B1505"/>
      <c r="C1505"/>
      <c r="D1505"/>
      <c r="E1505"/>
      <c r="F1505"/>
      <c r="G1505"/>
      <c r="H1505"/>
    </row>
    <row r="1506" spans="1:8" ht="14.5" x14ac:dyDescent="0.35">
      <c r="A1506"/>
      <c r="B1506"/>
      <c r="C1506"/>
      <c r="D1506"/>
      <c r="E1506"/>
      <c r="F1506"/>
      <c r="G1506"/>
      <c r="H1506"/>
    </row>
    <row r="1507" spans="1:8" ht="14.5" x14ac:dyDescent="0.35">
      <c r="A1507"/>
      <c r="B1507"/>
      <c r="C1507"/>
      <c r="D1507"/>
      <c r="E1507"/>
      <c r="F1507"/>
      <c r="G1507"/>
      <c r="H1507"/>
    </row>
    <row r="1508" spans="1:8" ht="14.5" x14ac:dyDescent="0.35">
      <c r="A1508"/>
      <c r="B1508"/>
      <c r="C1508"/>
      <c r="D1508"/>
      <c r="E1508"/>
      <c r="F1508"/>
      <c r="G1508"/>
      <c r="H1508"/>
    </row>
    <row r="1509" spans="1:8" ht="14.5" x14ac:dyDescent="0.35">
      <c r="A1509"/>
      <c r="B1509"/>
      <c r="C1509"/>
      <c r="D1509"/>
      <c r="E1509"/>
      <c r="F1509"/>
      <c r="G1509"/>
      <c r="H1509"/>
    </row>
    <row r="1510" spans="1:8" ht="14.5" x14ac:dyDescent="0.35">
      <c r="A1510"/>
      <c r="B1510"/>
      <c r="C1510"/>
      <c r="D1510"/>
      <c r="E1510"/>
      <c r="F1510"/>
      <c r="G1510"/>
      <c r="H1510"/>
    </row>
    <row r="1511" spans="1:8" ht="14.5" x14ac:dyDescent="0.35">
      <c r="A1511"/>
      <c r="B1511"/>
      <c r="C1511"/>
      <c r="D1511"/>
      <c r="E1511"/>
      <c r="F1511"/>
      <c r="G1511"/>
      <c r="H1511"/>
    </row>
    <row r="1512" spans="1:8" ht="14.5" x14ac:dyDescent="0.35">
      <c r="A1512"/>
      <c r="B1512"/>
      <c r="C1512"/>
      <c r="D1512"/>
      <c r="E1512"/>
      <c r="F1512"/>
      <c r="G1512"/>
      <c r="H1512"/>
    </row>
    <row r="1513" spans="1:8" ht="14.5" x14ac:dyDescent="0.35">
      <c r="A1513"/>
      <c r="B1513"/>
      <c r="C1513"/>
      <c r="D1513"/>
      <c r="E1513"/>
      <c r="F1513"/>
      <c r="G1513"/>
      <c r="H1513"/>
    </row>
    <row r="1514" spans="1:8" ht="14.5" x14ac:dyDescent="0.35">
      <c r="A1514"/>
      <c r="B1514"/>
      <c r="C1514"/>
      <c r="D1514"/>
      <c r="E1514"/>
      <c r="F1514"/>
      <c r="G1514"/>
      <c r="H1514"/>
    </row>
    <row r="1515" spans="1:8" ht="14.5" x14ac:dyDescent="0.35">
      <c r="A1515"/>
      <c r="B1515"/>
      <c r="C1515"/>
      <c r="D1515"/>
      <c r="E1515"/>
      <c r="F1515"/>
      <c r="G1515"/>
      <c r="H1515"/>
    </row>
    <row r="1516" spans="1:8" ht="14.5" x14ac:dyDescent="0.35">
      <c r="A1516"/>
      <c r="B1516"/>
      <c r="C1516"/>
      <c r="D1516"/>
      <c r="E1516"/>
      <c r="F1516"/>
      <c r="G1516"/>
      <c r="H1516"/>
    </row>
    <row r="1517" spans="1:8" ht="14.5" x14ac:dyDescent="0.35">
      <c r="A1517"/>
      <c r="B1517"/>
      <c r="C1517"/>
      <c r="D1517"/>
      <c r="E1517"/>
      <c r="F1517"/>
      <c r="G1517"/>
      <c r="H1517"/>
    </row>
    <row r="1518" spans="1:8" ht="14.5" x14ac:dyDescent="0.35">
      <c r="A1518"/>
      <c r="B1518"/>
      <c r="C1518"/>
      <c r="D1518"/>
      <c r="E1518"/>
      <c r="F1518"/>
      <c r="G1518"/>
      <c r="H1518"/>
    </row>
    <row r="1519" spans="1:8" ht="14.5" x14ac:dyDescent="0.35">
      <c r="A1519"/>
      <c r="B1519"/>
      <c r="C1519"/>
      <c r="D1519"/>
      <c r="E1519"/>
      <c r="F1519"/>
      <c r="G1519"/>
      <c r="H1519"/>
    </row>
    <row r="1520" spans="1:8" ht="14.5" x14ac:dyDescent="0.35">
      <c r="A1520"/>
      <c r="B1520"/>
      <c r="C1520"/>
      <c r="D1520"/>
      <c r="E1520"/>
      <c r="F1520"/>
      <c r="G1520"/>
      <c r="H1520"/>
    </row>
    <row r="1521" spans="1:8" ht="14.5" x14ac:dyDescent="0.35">
      <c r="A1521"/>
      <c r="B1521"/>
      <c r="C1521"/>
      <c r="D1521"/>
      <c r="E1521"/>
      <c r="F1521"/>
      <c r="G1521"/>
      <c r="H1521"/>
    </row>
    <row r="1522" spans="1:8" ht="14.5" x14ac:dyDescent="0.35">
      <c r="A1522"/>
      <c r="B1522"/>
      <c r="C1522"/>
      <c r="D1522"/>
      <c r="E1522"/>
      <c r="F1522"/>
      <c r="G1522"/>
      <c r="H1522"/>
    </row>
    <row r="1523" spans="1:8" ht="14.5" x14ac:dyDescent="0.35">
      <c r="A1523"/>
      <c r="B1523"/>
      <c r="C1523"/>
      <c r="D1523"/>
      <c r="E1523"/>
      <c r="F1523"/>
      <c r="G1523"/>
      <c r="H1523"/>
    </row>
    <row r="1524" spans="1:8" ht="14.5" x14ac:dyDescent="0.35">
      <c r="A1524"/>
      <c r="B1524"/>
      <c r="C1524"/>
      <c r="D1524"/>
      <c r="E1524"/>
      <c r="F1524"/>
      <c r="G1524"/>
      <c r="H1524"/>
    </row>
    <row r="1525" spans="1:8" ht="14.5" x14ac:dyDescent="0.35">
      <c r="A1525"/>
      <c r="B1525"/>
      <c r="C1525"/>
      <c r="D1525"/>
      <c r="E1525"/>
      <c r="F1525"/>
      <c r="G1525"/>
      <c r="H1525"/>
    </row>
    <row r="1526" spans="1:8" ht="14.5" x14ac:dyDescent="0.35">
      <c r="A1526"/>
      <c r="B1526"/>
      <c r="C1526"/>
      <c r="D1526"/>
      <c r="E1526"/>
      <c r="F1526"/>
      <c r="G1526"/>
      <c r="H1526"/>
    </row>
    <row r="1527" spans="1:8" ht="14.5" x14ac:dyDescent="0.35">
      <c r="A1527"/>
      <c r="B1527"/>
      <c r="C1527"/>
      <c r="D1527"/>
      <c r="E1527"/>
      <c r="F1527"/>
      <c r="G1527"/>
      <c r="H1527"/>
    </row>
    <row r="1528" spans="1:8" ht="14.5" x14ac:dyDescent="0.35">
      <c r="A1528"/>
      <c r="B1528"/>
      <c r="C1528"/>
      <c r="D1528"/>
      <c r="E1528"/>
      <c r="F1528"/>
      <c r="G1528"/>
      <c r="H1528"/>
    </row>
    <row r="1529" spans="1:8" ht="14.5" x14ac:dyDescent="0.35">
      <c r="A1529"/>
      <c r="B1529"/>
      <c r="C1529"/>
      <c r="D1529"/>
      <c r="E1529"/>
      <c r="F1529"/>
      <c r="G1529"/>
      <c r="H1529"/>
    </row>
    <row r="1530" spans="1:8" ht="14.5" x14ac:dyDescent="0.35">
      <c r="A1530"/>
      <c r="B1530"/>
      <c r="C1530"/>
      <c r="D1530"/>
      <c r="E1530"/>
      <c r="F1530"/>
      <c r="G1530"/>
      <c r="H1530"/>
    </row>
    <row r="1531" spans="1:8" ht="14.5" x14ac:dyDescent="0.35">
      <c r="A1531"/>
      <c r="B1531"/>
      <c r="C1531"/>
      <c r="D1531"/>
      <c r="E1531"/>
      <c r="F1531"/>
      <c r="G1531"/>
      <c r="H1531"/>
    </row>
    <row r="1532" spans="1:8" ht="14.5" x14ac:dyDescent="0.35">
      <c r="A1532"/>
      <c r="B1532"/>
      <c r="C1532"/>
      <c r="D1532"/>
      <c r="E1532"/>
      <c r="F1532"/>
      <c r="G1532"/>
      <c r="H1532"/>
    </row>
    <row r="1533" spans="1:8" ht="14.5" x14ac:dyDescent="0.35">
      <c r="A1533"/>
      <c r="B1533"/>
      <c r="C1533"/>
      <c r="D1533"/>
      <c r="E1533"/>
      <c r="F1533"/>
      <c r="G1533"/>
      <c r="H1533"/>
    </row>
    <row r="1534" spans="1:8" ht="14.5" x14ac:dyDescent="0.35">
      <c r="A1534"/>
      <c r="B1534"/>
      <c r="C1534"/>
      <c r="D1534"/>
      <c r="E1534"/>
      <c r="F1534"/>
      <c r="G1534"/>
      <c r="H1534"/>
    </row>
    <row r="1535" spans="1:8" ht="14.5" x14ac:dyDescent="0.35">
      <c r="A1535"/>
      <c r="B1535"/>
      <c r="C1535"/>
      <c r="D1535"/>
      <c r="E1535"/>
      <c r="F1535"/>
      <c r="G1535"/>
      <c r="H1535"/>
    </row>
    <row r="1536" spans="1:8" ht="14.5" x14ac:dyDescent="0.35">
      <c r="A1536"/>
      <c r="B1536"/>
      <c r="C1536"/>
      <c r="D1536"/>
      <c r="E1536"/>
      <c r="F1536"/>
      <c r="G1536"/>
      <c r="H1536"/>
    </row>
    <row r="1537" spans="1:8" ht="14.5" x14ac:dyDescent="0.35">
      <c r="A1537"/>
      <c r="B1537"/>
      <c r="C1537"/>
      <c r="D1537"/>
      <c r="E1537"/>
      <c r="F1537"/>
      <c r="G1537"/>
      <c r="H1537"/>
    </row>
    <row r="1538" spans="1:8" ht="14.5" x14ac:dyDescent="0.35">
      <c r="A1538"/>
      <c r="B1538"/>
      <c r="C1538"/>
      <c r="D1538"/>
      <c r="E1538"/>
      <c r="F1538"/>
      <c r="G1538"/>
      <c r="H1538"/>
    </row>
    <row r="1539" spans="1:8" ht="14.5" x14ac:dyDescent="0.35">
      <c r="A1539"/>
      <c r="B1539"/>
      <c r="C1539"/>
      <c r="D1539"/>
      <c r="E1539"/>
      <c r="F1539"/>
      <c r="G1539"/>
      <c r="H1539"/>
    </row>
    <row r="1540" spans="1:8" ht="14.5" x14ac:dyDescent="0.35">
      <c r="A1540"/>
      <c r="B1540"/>
      <c r="C1540"/>
      <c r="D1540"/>
      <c r="E1540"/>
      <c r="F1540"/>
      <c r="G1540"/>
      <c r="H1540"/>
    </row>
    <row r="1541" spans="1:8" ht="14.5" x14ac:dyDescent="0.35">
      <c r="A1541"/>
      <c r="B1541"/>
      <c r="C1541"/>
      <c r="D1541"/>
      <c r="E1541"/>
      <c r="F1541"/>
      <c r="G1541"/>
      <c r="H1541"/>
    </row>
    <row r="1542" spans="1:8" ht="14.5" x14ac:dyDescent="0.35">
      <c r="A1542"/>
      <c r="B1542"/>
      <c r="C1542"/>
      <c r="D1542"/>
      <c r="E1542"/>
      <c r="F1542"/>
      <c r="G1542"/>
      <c r="H1542"/>
    </row>
    <row r="1543" spans="1:8" ht="14.5" x14ac:dyDescent="0.35">
      <c r="A1543"/>
      <c r="B1543"/>
      <c r="C1543"/>
      <c r="D1543"/>
      <c r="E1543"/>
      <c r="F1543"/>
      <c r="G1543"/>
      <c r="H1543"/>
    </row>
    <row r="1544" spans="1:8" ht="14.5" x14ac:dyDescent="0.35">
      <c r="A1544"/>
      <c r="B1544"/>
      <c r="C1544"/>
      <c r="D1544"/>
      <c r="E1544"/>
      <c r="F1544"/>
      <c r="G1544"/>
      <c r="H1544"/>
    </row>
    <row r="1545" spans="1:8" ht="14.5" x14ac:dyDescent="0.35">
      <c r="A1545"/>
      <c r="B1545"/>
      <c r="C1545"/>
      <c r="D1545"/>
      <c r="E1545"/>
      <c r="F1545"/>
      <c r="G1545"/>
      <c r="H1545"/>
    </row>
    <row r="1546" spans="1:8" ht="14.5" x14ac:dyDescent="0.35">
      <c r="A1546"/>
      <c r="B1546"/>
      <c r="C1546"/>
      <c r="D1546"/>
      <c r="E1546"/>
      <c r="F1546"/>
      <c r="G1546"/>
      <c r="H1546"/>
    </row>
    <row r="1547" spans="1:8" ht="14.5" x14ac:dyDescent="0.35">
      <c r="A1547"/>
      <c r="B1547"/>
      <c r="C1547"/>
      <c r="D1547"/>
      <c r="E1547"/>
      <c r="F1547"/>
      <c r="G1547"/>
      <c r="H1547"/>
    </row>
    <row r="1548" spans="1:8" ht="14.5" x14ac:dyDescent="0.35">
      <c r="A1548"/>
      <c r="B1548"/>
      <c r="C1548"/>
      <c r="D1548"/>
      <c r="E1548"/>
      <c r="F1548"/>
      <c r="G1548"/>
      <c r="H1548"/>
    </row>
    <row r="1549" spans="1:8" ht="14.5" x14ac:dyDescent="0.35">
      <c r="A1549"/>
      <c r="B1549"/>
      <c r="C1549"/>
      <c r="D1549"/>
      <c r="E1549"/>
      <c r="F1549"/>
      <c r="G1549"/>
      <c r="H1549"/>
    </row>
    <row r="1550" spans="1:8" ht="14.5" x14ac:dyDescent="0.35">
      <c r="A1550"/>
      <c r="B1550"/>
      <c r="C1550"/>
      <c r="D1550"/>
      <c r="E1550"/>
      <c r="F1550"/>
      <c r="G1550"/>
      <c r="H1550"/>
    </row>
    <row r="1551" spans="1:8" ht="14.5" x14ac:dyDescent="0.35">
      <c r="A1551"/>
      <c r="B1551"/>
      <c r="C1551"/>
      <c r="D1551"/>
      <c r="E1551"/>
      <c r="F1551"/>
      <c r="G1551"/>
      <c r="H1551"/>
    </row>
    <row r="1552" spans="1:8" ht="14.5" x14ac:dyDescent="0.35">
      <c r="A1552"/>
      <c r="B1552"/>
      <c r="C1552"/>
      <c r="D1552"/>
      <c r="E1552"/>
      <c r="F1552"/>
      <c r="G1552"/>
      <c r="H1552"/>
    </row>
    <row r="1553" spans="1:8" ht="14.5" x14ac:dyDescent="0.35">
      <c r="A1553"/>
      <c r="B1553"/>
      <c r="C1553"/>
      <c r="D1553"/>
      <c r="E1553"/>
      <c r="F1553"/>
      <c r="G1553"/>
      <c r="H1553"/>
    </row>
    <row r="1554" spans="1:8" ht="14.5" x14ac:dyDescent="0.35">
      <c r="A1554"/>
      <c r="B1554"/>
      <c r="C1554"/>
      <c r="D1554"/>
      <c r="E1554"/>
      <c r="F1554"/>
      <c r="G1554"/>
      <c r="H1554"/>
    </row>
    <row r="1555" spans="1:8" ht="14.5" x14ac:dyDescent="0.35">
      <c r="A1555"/>
      <c r="B1555"/>
      <c r="C1555"/>
      <c r="D1555"/>
      <c r="E1555"/>
      <c r="F1555"/>
      <c r="G1555"/>
      <c r="H1555"/>
    </row>
    <row r="1556" spans="1:8" ht="14.5" x14ac:dyDescent="0.35">
      <c r="A1556"/>
      <c r="B1556"/>
      <c r="C1556"/>
      <c r="D1556"/>
      <c r="E1556"/>
      <c r="F1556"/>
      <c r="G1556"/>
      <c r="H1556"/>
    </row>
    <row r="1557" spans="1:8" ht="14.5" x14ac:dyDescent="0.35">
      <c r="A1557"/>
      <c r="B1557"/>
      <c r="C1557"/>
      <c r="D1557"/>
      <c r="E1557"/>
      <c r="F1557"/>
      <c r="G1557"/>
      <c r="H1557"/>
    </row>
    <row r="1558" spans="1:8" ht="14.5" x14ac:dyDescent="0.35">
      <c r="A1558"/>
      <c r="B1558"/>
      <c r="C1558"/>
      <c r="D1558"/>
      <c r="E1558"/>
      <c r="F1558"/>
      <c r="G1558"/>
      <c r="H1558"/>
    </row>
    <row r="1559" spans="1:8" ht="14.5" x14ac:dyDescent="0.35">
      <c r="A1559"/>
      <c r="B1559"/>
      <c r="C1559"/>
      <c r="D1559"/>
      <c r="E1559"/>
      <c r="F1559"/>
      <c r="G1559"/>
      <c r="H1559"/>
    </row>
    <row r="1560" spans="1:8" ht="14.5" x14ac:dyDescent="0.35">
      <c r="A1560"/>
      <c r="B1560"/>
      <c r="C1560"/>
      <c r="D1560"/>
      <c r="E1560"/>
      <c r="F1560"/>
      <c r="G1560"/>
      <c r="H1560"/>
    </row>
    <row r="1561" spans="1:8" ht="14.5" x14ac:dyDescent="0.35">
      <c r="A1561"/>
      <c r="B1561"/>
      <c r="C1561"/>
      <c r="D1561"/>
      <c r="E1561"/>
      <c r="F1561"/>
      <c r="G1561"/>
      <c r="H1561"/>
    </row>
    <row r="1562" spans="1:8" ht="14.5" x14ac:dyDescent="0.35">
      <c r="A1562"/>
      <c r="B1562"/>
      <c r="C1562"/>
      <c r="D1562"/>
      <c r="E1562"/>
      <c r="F1562"/>
      <c r="G1562"/>
      <c r="H1562"/>
    </row>
    <row r="1563" spans="1:8" ht="14.5" x14ac:dyDescent="0.35">
      <c r="A1563"/>
      <c r="B1563"/>
      <c r="C1563"/>
      <c r="D1563"/>
      <c r="E1563"/>
      <c r="F1563"/>
      <c r="G1563"/>
      <c r="H1563"/>
    </row>
    <row r="1564" spans="1:8" ht="14.5" x14ac:dyDescent="0.35">
      <c r="A1564"/>
      <c r="B1564"/>
      <c r="C1564"/>
      <c r="D1564"/>
      <c r="E1564"/>
      <c r="F1564"/>
      <c r="G1564"/>
      <c r="H1564"/>
    </row>
    <row r="1565" spans="1:8" ht="14.5" x14ac:dyDescent="0.35">
      <c r="A1565"/>
      <c r="B1565"/>
      <c r="C1565"/>
      <c r="D1565"/>
      <c r="E1565"/>
      <c r="F1565"/>
      <c r="G1565"/>
      <c r="H1565"/>
    </row>
    <row r="1566" spans="1:8" ht="14.5" x14ac:dyDescent="0.35">
      <c r="A1566"/>
      <c r="B1566"/>
      <c r="C1566"/>
      <c r="D1566"/>
      <c r="E1566"/>
      <c r="F1566"/>
      <c r="G1566"/>
      <c r="H1566"/>
    </row>
    <row r="1567" spans="1:8" ht="14.5" x14ac:dyDescent="0.35">
      <c r="A1567"/>
      <c r="B1567"/>
      <c r="C1567"/>
      <c r="D1567"/>
      <c r="E1567"/>
      <c r="F1567"/>
      <c r="G1567"/>
      <c r="H1567"/>
    </row>
    <row r="1568" spans="1:8" ht="14.5" x14ac:dyDescent="0.35">
      <c r="A1568"/>
      <c r="B1568"/>
      <c r="C1568"/>
      <c r="D1568"/>
      <c r="E1568"/>
      <c r="F1568"/>
      <c r="G1568"/>
      <c r="H1568"/>
    </row>
    <row r="1569" spans="1:8" ht="14.5" x14ac:dyDescent="0.35">
      <c r="A1569"/>
      <c r="B1569"/>
      <c r="C1569"/>
      <c r="D1569"/>
      <c r="E1569"/>
      <c r="F1569"/>
      <c r="G1569"/>
      <c r="H1569"/>
    </row>
    <row r="1570" spans="1:8" ht="14.5" x14ac:dyDescent="0.35">
      <c r="A1570"/>
      <c r="B1570"/>
      <c r="C1570"/>
      <c r="D1570"/>
      <c r="E1570"/>
      <c r="F1570"/>
      <c r="G1570"/>
      <c r="H1570"/>
    </row>
    <row r="1571" spans="1:8" ht="14.5" x14ac:dyDescent="0.35">
      <c r="A1571"/>
      <c r="B1571"/>
      <c r="C1571"/>
      <c r="D1571"/>
      <c r="E1571"/>
      <c r="F1571"/>
      <c r="G1571"/>
      <c r="H1571"/>
    </row>
    <row r="1572" spans="1:8" ht="14.5" x14ac:dyDescent="0.35">
      <c r="A1572"/>
      <c r="B1572"/>
      <c r="C1572"/>
      <c r="D1572"/>
      <c r="E1572"/>
      <c r="F1572"/>
      <c r="G1572"/>
      <c r="H1572"/>
    </row>
    <row r="1573" spans="1:8" ht="14.5" x14ac:dyDescent="0.35">
      <c r="A1573"/>
      <c r="B1573"/>
      <c r="C1573"/>
      <c r="D1573"/>
      <c r="E1573"/>
      <c r="F1573"/>
      <c r="G1573"/>
      <c r="H1573"/>
    </row>
    <row r="1574" spans="1:8" ht="14.5" x14ac:dyDescent="0.35">
      <c r="A1574"/>
      <c r="B1574"/>
      <c r="C1574"/>
      <c r="D1574"/>
      <c r="E1574"/>
      <c r="F1574"/>
      <c r="G1574"/>
      <c r="H1574"/>
    </row>
    <row r="1575" spans="1:8" ht="14.5" x14ac:dyDescent="0.35">
      <c r="A1575"/>
      <c r="B1575"/>
      <c r="C1575"/>
      <c r="D1575"/>
      <c r="E1575"/>
      <c r="F1575"/>
      <c r="G1575"/>
      <c r="H1575"/>
    </row>
    <row r="1576" spans="1:8" ht="14.5" x14ac:dyDescent="0.35">
      <c r="A1576"/>
      <c r="B1576"/>
      <c r="C1576"/>
      <c r="D1576"/>
      <c r="E1576"/>
      <c r="F1576"/>
      <c r="G1576"/>
      <c r="H1576"/>
    </row>
    <row r="1577" spans="1:8" ht="14.5" x14ac:dyDescent="0.35">
      <c r="A1577"/>
      <c r="B1577"/>
      <c r="C1577"/>
      <c r="D1577"/>
      <c r="E1577"/>
      <c r="F1577"/>
      <c r="G1577"/>
      <c r="H1577"/>
    </row>
    <row r="1578" spans="1:8" ht="14.5" x14ac:dyDescent="0.35">
      <c r="A1578"/>
      <c r="B1578"/>
      <c r="C1578"/>
      <c r="D1578"/>
      <c r="E1578"/>
      <c r="F1578"/>
      <c r="G1578"/>
      <c r="H1578"/>
    </row>
    <row r="1579" spans="1:8" ht="14.5" x14ac:dyDescent="0.35">
      <c r="A1579"/>
      <c r="B1579"/>
      <c r="C1579"/>
      <c r="D1579"/>
      <c r="E1579"/>
      <c r="F1579"/>
      <c r="G1579"/>
      <c r="H1579"/>
    </row>
    <row r="1580" spans="1:8" ht="14.5" x14ac:dyDescent="0.35">
      <c r="A1580"/>
      <c r="B1580"/>
      <c r="C1580"/>
      <c r="D1580"/>
      <c r="E1580"/>
      <c r="F1580"/>
      <c r="G1580"/>
      <c r="H1580"/>
    </row>
    <row r="1581" spans="1:8" ht="14.5" x14ac:dyDescent="0.35">
      <c r="A1581"/>
      <c r="B1581"/>
      <c r="C1581"/>
      <c r="D1581"/>
      <c r="E1581"/>
      <c r="F1581"/>
      <c r="G1581"/>
      <c r="H1581"/>
    </row>
    <row r="1582" spans="1:8" ht="14.5" x14ac:dyDescent="0.35">
      <c r="A1582"/>
      <c r="B1582"/>
      <c r="C1582"/>
      <c r="D1582"/>
      <c r="E1582"/>
      <c r="F1582"/>
      <c r="G1582"/>
      <c r="H1582"/>
    </row>
    <row r="1583" spans="1:8" ht="14.5" x14ac:dyDescent="0.35">
      <c r="A1583"/>
      <c r="B1583"/>
      <c r="C1583"/>
      <c r="D1583"/>
      <c r="E1583"/>
      <c r="F1583"/>
      <c r="G1583"/>
      <c r="H1583"/>
    </row>
    <row r="1584" spans="1:8" ht="14.5" x14ac:dyDescent="0.35">
      <c r="A1584"/>
      <c r="B1584"/>
      <c r="C1584"/>
      <c r="D1584"/>
      <c r="E1584"/>
      <c r="F1584"/>
      <c r="G1584"/>
      <c r="H1584"/>
    </row>
    <row r="1585" spans="1:8" ht="14.5" x14ac:dyDescent="0.35">
      <c r="A1585"/>
      <c r="B1585"/>
      <c r="C1585"/>
      <c r="D1585"/>
      <c r="E1585"/>
      <c r="F1585"/>
      <c r="G1585"/>
      <c r="H1585"/>
    </row>
    <row r="1586" spans="1:8" ht="14.5" x14ac:dyDescent="0.35">
      <c r="A1586"/>
      <c r="B1586"/>
      <c r="C1586"/>
      <c r="D1586"/>
      <c r="E1586"/>
      <c r="F1586"/>
      <c r="G1586"/>
      <c r="H1586"/>
    </row>
    <row r="1587" spans="1:8" ht="14.5" x14ac:dyDescent="0.35">
      <c r="A1587"/>
      <c r="B1587"/>
      <c r="C1587"/>
      <c r="D1587"/>
      <c r="E1587"/>
      <c r="F1587"/>
      <c r="G1587"/>
      <c r="H1587"/>
    </row>
    <row r="1588" spans="1:8" ht="14.5" x14ac:dyDescent="0.35">
      <c r="A1588"/>
      <c r="B1588"/>
      <c r="C1588"/>
      <c r="D1588"/>
      <c r="E1588"/>
      <c r="F1588"/>
      <c r="G1588"/>
      <c r="H1588"/>
    </row>
    <row r="1589" spans="1:8" ht="14.5" x14ac:dyDescent="0.35">
      <c r="A1589"/>
      <c r="B1589"/>
      <c r="C1589"/>
      <c r="D1589"/>
      <c r="E1589"/>
      <c r="F1589"/>
      <c r="G1589"/>
      <c r="H1589"/>
    </row>
    <row r="1590" spans="1:8" ht="14.5" x14ac:dyDescent="0.35">
      <c r="A1590"/>
      <c r="B1590"/>
      <c r="C1590"/>
      <c r="D1590"/>
      <c r="E1590"/>
      <c r="F1590"/>
      <c r="G1590"/>
      <c r="H1590"/>
    </row>
    <row r="1591" spans="1:8" ht="14.5" x14ac:dyDescent="0.35">
      <c r="A1591"/>
      <c r="B1591"/>
      <c r="C1591"/>
      <c r="D1591"/>
      <c r="E1591"/>
      <c r="F1591"/>
      <c r="G1591"/>
      <c r="H1591"/>
    </row>
    <row r="1592" spans="1:8" ht="14.5" x14ac:dyDescent="0.35">
      <c r="A1592"/>
      <c r="B1592"/>
      <c r="C1592"/>
      <c r="D1592"/>
      <c r="E1592"/>
      <c r="F1592"/>
      <c r="G1592"/>
      <c r="H1592"/>
    </row>
    <row r="1593" spans="1:8" ht="14.5" x14ac:dyDescent="0.35">
      <c r="A1593"/>
      <c r="B1593"/>
      <c r="C1593"/>
      <c r="D1593"/>
      <c r="E1593"/>
      <c r="F1593"/>
      <c r="G1593"/>
      <c r="H1593"/>
    </row>
    <row r="1594" spans="1:8" ht="14.5" x14ac:dyDescent="0.35">
      <c r="A1594"/>
      <c r="B1594"/>
      <c r="C1594"/>
      <c r="D1594"/>
      <c r="E1594"/>
      <c r="F1594"/>
      <c r="G1594"/>
      <c r="H1594"/>
    </row>
    <row r="1595" spans="1:8" ht="14.5" x14ac:dyDescent="0.35">
      <c r="A1595"/>
      <c r="B1595"/>
      <c r="C1595"/>
      <c r="D1595"/>
      <c r="E1595"/>
      <c r="F1595"/>
      <c r="G1595"/>
      <c r="H1595"/>
    </row>
    <row r="1596" spans="1:8" ht="14.5" x14ac:dyDescent="0.35">
      <c r="A1596"/>
      <c r="B1596"/>
      <c r="C1596"/>
      <c r="D1596"/>
      <c r="E1596"/>
      <c r="F1596"/>
      <c r="G1596"/>
      <c r="H1596"/>
    </row>
    <row r="1597" spans="1:8" ht="14.5" x14ac:dyDescent="0.35">
      <c r="A1597"/>
      <c r="B1597"/>
      <c r="C1597"/>
      <c r="D1597"/>
      <c r="E1597"/>
      <c r="F1597"/>
      <c r="G1597"/>
      <c r="H1597"/>
    </row>
    <row r="1598" spans="1:8" ht="15" thickBot="1" x14ac:dyDescent="0.4">
      <c r="A1598"/>
      <c r="B1598"/>
      <c r="C1598"/>
      <c r="D1598"/>
      <c r="E1598"/>
      <c r="F1598"/>
      <c r="G1598"/>
      <c r="H1598"/>
    </row>
    <row r="1599" spans="1:8" ht="15" thickTop="1" x14ac:dyDescent="0.35">
      <c r="A1599"/>
      <c r="B1599"/>
      <c r="C1599"/>
      <c r="D1599"/>
      <c r="E1599"/>
      <c r="F1599"/>
      <c r="G1599"/>
      <c r="H1599"/>
    </row>
    <row r="1600" spans="1:8" ht="14.5" x14ac:dyDescent="0.35">
      <c r="A1600"/>
      <c r="B1600"/>
      <c r="C1600"/>
      <c r="D1600"/>
      <c r="E1600"/>
      <c r="F1600"/>
      <c r="G1600"/>
      <c r="H1600"/>
    </row>
    <row r="1601" spans="1:8" ht="14.5" x14ac:dyDescent="0.35">
      <c r="A1601"/>
      <c r="B1601"/>
      <c r="C1601"/>
      <c r="D1601"/>
      <c r="E1601"/>
      <c r="F1601"/>
      <c r="G1601"/>
      <c r="H1601"/>
    </row>
    <row r="1602" spans="1:8" ht="14.5" x14ac:dyDescent="0.35">
      <c r="A1602"/>
      <c r="B1602"/>
      <c r="C1602"/>
      <c r="D1602"/>
      <c r="E1602"/>
      <c r="F1602"/>
      <c r="G1602"/>
      <c r="H1602"/>
    </row>
    <row r="1603" spans="1:8" ht="14.5" x14ac:dyDescent="0.35">
      <c r="A1603"/>
      <c r="B1603"/>
      <c r="C1603"/>
      <c r="D1603"/>
      <c r="E1603"/>
      <c r="F1603"/>
      <c r="G1603"/>
      <c r="H1603"/>
    </row>
    <row r="1604" spans="1:8" ht="14.5" x14ac:dyDescent="0.35">
      <c r="A1604"/>
      <c r="B1604"/>
      <c r="C1604"/>
      <c r="D1604"/>
      <c r="E1604"/>
      <c r="F1604"/>
      <c r="G1604"/>
      <c r="H1604"/>
    </row>
    <row r="1605" spans="1:8" ht="14.5" x14ac:dyDescent="0.35">
      <c r="A1605"/>
      <c r="B1605"/>
      <c r="C1605"/>
      <c r="D1605"/>
      <c r="E1605"/>
      <c r="F1605"/>
      <c r="G1605"/>
      <c r="H1605"/>
    </row>
    <row r="1606" spans="1:8" ht="14.5" x14ac:dyDescent="0.35">
      <c r="A1606"/>
      <c r="B1606"/>
      <c r="C1606"/>
      <c r="D1606"/>
      <c r="E1606"/>
      <c r="F1606"/>
      <c r="G1606"/>
      <c r="H1606"/>
    </row>
    <row r="1607" spans="1:8" ht="14.5" x14ac:dyDescent="0.35">
      <c r="A1607"/>
      <c r="B1607"/>
      <c r="C1607"/>
      <c r="D1607"/>
      <c r="E1607"/>
      <c r="F1607"/>
      <c r="G1607"/>
      <c r="H1607"/>
    </row>
    <row r="1608" spans="1:8" ht="14.5" x14ac:dyDescent="0.35">
      <c r="A1608"/>
      <c r="B1608"/>
      <c r="C1608"/>
      <c r="D1608"/>
      <c r="E1608"/>
      <c r="F1608"/>
      <c r="G1608"/>
      <c r="H1608"/>
    </row>
    <row r="1609" spans="1:8" ht="14.5" x14ac:dyDescent="0.35">
      <c r="A1609"/>
      <c r="B1609"/>
      <c r="C1609"/>
      <c r="D1609"/>
      <c r="E1609"/>
      <c r="F1609"/>
      <c r="G1609"/>
      <c r="H1609"/>
    </row>
    <row r="1610" spans="1:8" ht="14.5" x14ac:dyDescent="0.35">
      <c r="A1610"/>
      <c r="B1610"/>
      <c r="C1610"/>
      <c r="D1610"/>
      <c r="E1610"/>
      <c r="F1610"/>
      <c r="G1610"/>
      <c r="H1610"/>
    </row>
    <row r="1611" spans="1:8" ht="14.5" x14ac:dyDescent="0.35">
      <c r="A1611"/>
      <c r="B1611"/>
      <c r="C1611"/>
      <c r="D1611"/>
      <c r="E1611"/>
      <c r="F1611"/>
      <c r="G1611"/>
      <c r="H1611"/>
    </row>
    <row r="1612" spans="1:8" ht="14.5" x14ac:dyDescent="0.35">
      <c r="A1612"/>
      <c r="B1612"/>
      <c r="C1612"/>
      <c r="D1612"/>
      <c r="E1612"/>
      <c r="F1612"/>
      <c r="G1612"/>
      <c r="H1612"/>
    </row>
    <row r="1613" spans="1:8" ht="14.5" x14ac:dyDescent="0.35">
      <c r="A1613"/>
      <c r="B1613"/>
      <c r="C1613"/>
      <c r="D1613"/>
      <c r="E1613"/>
      <c r="F1613"/>
      <c r="G1613"/>
      <c r="H1613"/>
    </row>
    <row r="1614" spans="1:8" ht="14.5" x14ac:dyDescent="0.35">
      <c r="A1614"/>
      <c r="B1614"/>
      <c r="C1614"/>
      <c r="D1614"/>
      <c r="E1614"/>
      <c r="F1614"/>
      <c r="G1614"/>
      <c r="H1614"/>
    </row>
    <row r="1615" spans="1:8" ht="14.5" x14ac:dyDescent="0.35">
      <c r="A1615"/>
      <c r="B1615"/>
      <c r="C1615"/>
      <c r="D1615"/>
      <c r="E1615"/>
      <c r="F1615"/>
      <c r="G1615"/>
      <c r="H1615"/>
    </row>
    <row r="1616" spans="1:8" ht="14.5" x14ac:dyDescent="0.35">
      <c r="A1616"/>
      <c r="B1616"/>
      <c r="C1616"/>
      <c r="D1616"/>
      <c r="E1616"/>
      <c r="F1616"/>
      <c r="G1616"/>
      <c r="H1616"/>
    </row>
    <row r="1617" spans="1:8" ht="14.5" x14ac:dyDescent="0.35">
      <c r="A1617"/>
      <c r="B1617"/>
      <c r="C1617"/>
      <c r="D1617"/>
      <c r="E1617"/>
      <c r="F1617"/>
      <c r="G1617"/>
      <c r="H1617"/>
    </row>
    <row r="1618" spans="1:8" ht="14.5" x14ac:dyDescent="0.35">
      <c r="A1618"/>
      <c r="B1618"/>
      <c r="C1618"/>
      <c r="D1618"/>
      <c r="E1618"/>
      <c r="F1618"/>
      <c r="G1618"/>
      <c r="H1618"/>
    </row>
    <row r="1619" spans="1:8" ht="14.5" x14ac:dyDescent="0.35">
      <c r="A1619"/>
      <c r="B1619"/>
      <c r="C1619"/>
      <c r="D1619"/>
      <c r="E1619"/>
      <c r="F1619"/>
      <c r="G1619"/>
      <c r="H1619"/>
    </row>
    <row r="1620" spans="1:8" ht="14.5" x14ac:dyDescent="0.35">
      <c r="A1620"/>
      <c r="B1620"/>
      <c r="C1620"/>
      <c r="D1620"/>
      <c r="E1620"/>
      <c r="F1620"/>
      <c r="G1620"/>
      <c r="H1620"/>
    </row>
    <row r="1621" spans="1:8" ht="14.5" x14ac:dyDescent="0.35">
      <c r="A1621"/>
      <c r="B1621"/>
      <c r="C1621"/>
      <c r="D1621"/>
      <c r="E1621"/>
      <c r="F1621"/>
      <c r="G1621"/>
      <c r="H1621"/>
    </row>
    <row r="1622" spans="1:8" ht="14.5" x14ac:dyDescent="0.35">
      <c r="A1622"/>
      <c r="B1622"/>
      <c r="C1622"/>
      <c r="D1622"/>
      <c r="E1622"/>
      <c r="F1622"/>
      <c r="G1622"/>
      <c r="H1622"/>
    </row>
    <row r="1623" spans="1:8" ht="14.5" x14ac:dyDescent="0.35">
      <c r="A1623"/>
      <c r="B1623"/>
      <c r="C1623"/>
      <c r="D1623"/>
      <c r="E1623"/>
      <c r="F1623"/>
      <c r="G1623"/>
      <c r="H1623"/>
    </row>
    <row r="1624" spans="1:8" ht="14.5" x14ac:dyDescent="0.35">
      <c r="A1624"/>
      <c r="B1624"/>
      <c r="C1624"/>
      <c r="D1624"/>
      <c r="E1624"/>
      <c r="F1624"/>
      <c r="G1624"/>
      <c r="H1624"/>
    </row>
    <row r="1625" spans="1:8" ht="14.5" x14ac:dyDescent="0.35">
      <c r="A1625"/>
      <c r="B1625"/>
      <c r="C1625"/>
      <c r="D1625"/>
      <c r="E1625"/>
      <c r="F1625"/>
      <c r="G1625"/>
      <c r="H1625"/>
    </row>
    <row r="1626" spans="1:8" ht="14.5" x14ac:dyDescent="0.35">
      <c r="A1626"/>
      <c r="B1626"/>
      <c r="C1626"/>
      <c r="D1626"/>
      <c r="E1626"/>
      <c r="F1626"/>
      <c r="G1626"/>
      <c r="H1626"/>
    </row>
    <row r="1627" spans="1:8" ht="14.5" x14ac:dyDescent="0.35">
      <c r="A1627"/>
      <c r="B1627"/>
      <c r="C1627"/>
      <c r="D1627"/>
      <c r="E1627"/>
      <c r="F1627"/>
      <c r="G1627"/>
      <c r="H1627"/>
    </row>
    <row r="1628" spans="1:8" ht="14.5" x14ac:dyDescent="0.35">
      <c r="A1628"/>
      <c r="B1628"/>
      <c r="C1628"/>
      <c r="D1628"/>
      <c r="E1628"/>
      <c r="F1628"/>
      <c r="G1628"/>
      <c r="H1628"/>
    </row>
    <row r="1629" spans="1:8" ht="14.5" x14ac:dyDescent="0.35">
      <c r="A1629"/>
      <c r="B1629"/>
      <c r="C1629"/>
      <c r="D1629"/>
      <c r="E1629"/>
      <c r="F1629"/>
      <c r="G1629"/>
      <c r="H1629"/>
    </row>
    <row r="1630" spans="1:8" ht="14.5" x14ac:dyDescent="0.35">
      <c r="A1630"/>
      <c r="B1630"/>
      <c r="C1630"/>
      <c r="D1630"/>
      <c r="E1630"/>
      <c r="F1630"/>
      <c r="G1630"/>
      <c r="H1630"/>
    </row>
    <row r="1631" spans="1:8" ht="14.5" x14ac:dyDescent="0.35">
      <c r="A1631"/>
      <c r="B1631"/>
      <c r="C1631"/>
      <c r="D1631"/>
      <c r="E1631"/>
      <c r="F1631"/>
      <c r="G1631"/>
      <c r="H1631"/>
    </row>
    <row r="1632" spans="1:8" ht="14.5" x14ac:dyDescent="0.35">
      <c r="A1632"/>
      <c r="B1632"/>
      <c r="C1632"/>
      <c r="D1632"/>
      <c r="E1632"/>
      <c r="F1632"/>
      <c r="G1632"/>
      <c r="H1632"/>
    </row>
    <row r="1633" spans="1:8" ht="14.5" x14ac:dyDescent="0.35">
      <c r="A1633"/>
      <c r="B1633"/>
      <c r="C1633"/>
      <c r="D1633"/>
      <c r="E1633"/>
      <c r="F1633"/>
      <c r="G1633"/>
      <c r="H1633"/>
    </row>
    <row r="1634" spans="1:8" ht="14.5" x14ac:dyDescent="0.35">
      <c r="A1634"/>
      <c r="B1634"/>
      <c r="C1634"/>
      <c r="D1634"/>
      <c r="E1634"/>
      <c r="F1634"/>
      <c r="G1634"/>
      <c r="H1634"/>
    </row>
    <row r="1635" spans="1:8" ht="14.5" x14ac:dyDescent="0.35">
      <c r="A1635"/>
      <c r="B1635"/>
      <c r="C1635"/>
      <c r="D1635"/>
      <c r="E1635"/>
      <c r="F1635"/>
      <c r="G1635"/>
      <c r="H1635"/>
    </row>
    <row r="1636" spans="1:8" ht="14.5" x14ac:dyDescent="0.35">
      <c r="A1636"/>
      <c r="B1636"/>
      <c r="C1636"/>
      <c r="D1636"/>
      <c r="E1636"/>
      <c r="F1636"/>
      <c r="G1636"/>
      <c r="H1636"/>
    </row>
    <row r="1637" spans="1:8" ht="14.5" x14ac:dyDescent="0.35">
      <c r="A1637"/>
      <c r="B1637"/>
      <c r="C1637"/>
      <c r="D1637"/>
      <c r="E1637"/>
      <c r="F1637"/>
      <c r="G1637"/>
      <c r="H1637"/>
    </row>
    <row r="1638" spans="1:8" ht="14.5" x14ac:dyDescent="0.35">
      <c r="A1638"/>
      <c r="B1638"/>
      <c r="C1638"/>
      <c r="D1638"/>
      <c r="E1638"/>
      <c r="F1638"/>
      <c r="G1638"/>
      <c r="H1638"/>
    </row>
    <row r="1639" spans="1:8" ht="14.5" x14ac:dyDescent="0.35">
      <c r="A1639"/>
      <c r="B1639"/>
      <c r="C1639"/>
      <c r="D1639"/>
      <c r="E1639"/>
      <c r="F1639"/>
      <c r="G1639"/>
      <c r="H1639"/>
    </row>
    <row r="1640" spans="1:8" ht="14.5" x14ac:dyDescent="0.35">
      <c r="A1640"/>
      <c r="B1640"/>
      <c r="C1640"/>
      <c r="D1640"/>
      <c r="E1640"/>
      <c r="F1640"/>
      <c r="G1640"/>
      <c r="H1640"/>
    </row>
    <row r="1641" spans="1:8" ht="14.5" x14ac:dyDescent="0.35">
      <c r="A1641"/>
      <c r="B1641"/>
      <c r="C1641"/>
      <c r="D1641"/>
      <c r="E1641"/>
      <c r="F1641"/>
      <c r="G1641"/>
      <c r="H1641"/>
    </row>
    <row r="1642" spans="1:8" ht="14.5" x14ac:dyDescent="0.35">
      <c r="A1642"/>
      <c r="B1642"/>
      <c r="C1642"/>
      <c r="D1642"/>
      <c r="E1642"/>
      <c r="F1642"/>
      <c r="G1642"/>
      <c r="H1642"/>
    </row>
    <row r="1643" spans="1:8" ht="14.5" x14ac:dyDescent="0.35">
      <c r="A1643"/>
      <c r="B1643"/>
      <c r="C1643"/>
      <c r="D1643"/>
      <c r="E1643"/>
      <c r="F1643"/>
      <c r="G1643"/>
      <c r="H1643"/>
    </row>
    <row r="1644" spans="1:8" ht="14.5" x14ac:dyDescent="0.35">
      <c r="A1644"/>
      <c r="B1644"/>
      <c r="C1644"/>
      <c r="D1644"/>
      <c r="E1644"/>
      <c r="F1644"/>
      <c r="G1644"/>
      <c r="H1644"/>
    </row>
    <row r="1645" spans="1:8" ht="14.5" x14ac:dyDescent="0.35">
      <c r="A1645"/>
      <c r="B1645"/>
      <c r="C1645"/>
      <c r="D1645"/>
      <c r="E1645"/>
      <c r="F1645"/>
      <c r="G1645"/>
      <c r="H1645"/>
    </row>
    <row r="1646" spans="1:8" ht="14.5" x14ac:dyDescent="0.35">
      <c r="A1646"/>
      <c r="B1646"/>
      <c r="C1646"/>
      <c r="D1646"/>
      <c r="E1646"/>
      <c r="F1646"/>
      <c r="G1646"/>
      <c r="H1646"/>
    </row>
    <row r="1647" spans="1:8" ht="14.5" x14ac:dyDescent="0.35">
      <c r="A1647"/>
      <c r="B1647"/>
      <c r="C1647"/>
      <c r="D1647"/>
      <c r="E1647"/>
      <c r="F1647"/>
      <c r="G1647"/>
      <c r="H1647"/>
    </row>
    <row r="1648" spans="1:8" ht="14.5" x14ac:dyDescent="0.35">
      <c r="A1648"/>
      <c r="B1648"/>
      <c r="C1648"/>
      <c r="D1648"/>
      <c r="E1648"/>
      <c r="F1648"/>
      <c r="G1648"/>
      <c r="H1648"/>
    </row>
    <row r="1649" spans="1:8" ht="14.5" x14ac:dyDescent="0.35">
      <c r="A1649"/>
      <c r="B1649"/>
      <c r="C1649"/>
      <c r="D1649"/>
      <c r="E1649"/>
      <c r="F1649"/>
      <c r="G1649"/>
      <c r="H1649"/>
    </row>
    <row r="1650" spans="1:8" ht="14.5" x14ac:dyDescent="0.35">
      <c r="A1650"/>
      <c r="B1650"/>
      <c r="C1650"/>
      <c r="D1650"/>
      <c r="E1650"/>
      <c r="F1650"/>
      <c r="G1650"/>
      <c r="H1650"/>
    </row>
    <row r="1651" spans="1:8" ht="14.5" x14ac:dyDescent="0.35">
      <c r="A1651"/>
      <c r="B1651"/>
      <c r="C1651"/>
      <c r="D1651"/>
      <c r="E1651"/>
      <c r="F1651"/>
      <c r="G1651"/>
      <c r="H1651"/>
    </row>
    <row r="1652" spans="1:8" ht="14.5" x14ac:dyDescent="0.35">
      <c r="A1652"/>
      <c r="B1652"/>
      <c r="C1652"/>
      <c r="D1652"/>
      <c r="E1652"/>
      <c r="F1652"/>
      <c r="G1652"/>
      <c r="H1652"/>
    </row>
    <row r="1653" spans="1:8" ht="14.5" x14ac:dyDescent="0.35">
      <c r="A1653"/>
      <c r="B1653"/>
      <c r="C1653"/>
      <c r="D1653"/>
      <c r="E1653"/>
      <c r="F1653"/>
      <c r="G1653"/>
      <c r="H1653"/>
    </row>
    <row r="1654" spans="1:8" ht="14.5" x14ac:dyDescent="0.35">
      <c r="A1654"/>
      <c r="B1654"/>
      <c r="C1654"/>
      <c r="D1654"/>
      <c r="E1654"/>
      <c r="F1654"/>
      <c r="G1654"/>
      <c r="H1654"/>
    </row>
    <row r="1655" spans="1:8" ht="14.5" x14ac:dyDescent="0.35">
      <c r="A1655"/>
      <c r="B1655"/>
      <c r="C1655"/>
      <c r="D1655"/>
      <c r="E1655"/>
      <c r="F1655"/>
      <c r="G1655"/>
      <c r="H1655"/>
    </row>
    <row r="1656" spans="1:8" ht="14.5" x14ac:dyDescent="0.35">
      <c r="A1656"/>
      <c r="B1656"/>
      <c r="C1656"/>
      <c r="D1656"/>
      <c r="E1656"/>
      <c r="F1656"/>
      <c r="G1656"/>
      <c r="H1656"/>
    </row>
    <row r="1657" spans="1:8" ht="14.5" x14ac:dyDescent="0.35">
      <c r="A1657"/>
      <c r="B1657"/>
      <c r="C1657"/>
      <c r="D1657"/>
      <c r="E1657"/>
      <c r="F1657"/>
      <c r="G1657"/>
      <c r="H1657"/>
    </row>
    <row r="1658" spans="1:8" ht="14.5" x14ac:dyDescent="0.35">
      <c r="A1658"/>
      <c r="B1658"/>
      <c r="C1658"/>
      <c r="D1658"/>
      <c r="E1658"/>
      <c r="F1658"/>
      <c r="G1658"/>
      <c r="H1658"/>
    </row>
    <row r="1659" spans="1:8" ht="14.5" x14ac:dyDescent="0.35">
      <c r="A1659"/>
      <c r="B1659"/>
      <c r="C1659"/>
      <c r="D1659"/>
      <c r="E1659"/>
      <c r="F1659"/>
      <c r="G1659"/>
      <c r="H1659"/>
    </row>
    <row r="1660" spans="1:8" ht="14.5" x14ac:dyDescent="0.35">
      <c r="A1660"/>
      <c r="B1660"/>
      <c r="C1660"/>
      <c r="D1660"/>
      <c r="E1660"/>
      <c r="F1660"/>
      <c r="G1660"/>
      <c r="H1660"/>
    </row>
    <row r="1661" spans="1:8" ht="14.5" x14ac:dyDescent="0.35">
      <c r="A1661"/>
      <c r="B1661"/>
      <c r="C1661"/>
      <c r="D1661"/>
      <c r="E1661"/>
      <c r="F1661"/>
      <c r="G1661"/>
      <c r="H1661"/>
    </row>
    <row r="1662" spans="1:8" ht="14.5" x14ac:dyDescent="0.35">
      <c r="A1662"/>
      <c r="B1662"/>
      <c r="C1662"/>
      <c r="D1662"/>
      <c r="E1662"/>
      <c r="F1662"/>
      <c r="G1662"/>
      <c r="H1662"/>
    </row>
    <row r="1663" spans="1:8" ht="14.5" x14ac:dyDescent="0.35">
      <c r="A1663"/>
      <c r="B1663"/>
      <c r="C1663"/>
      <c r="D1663"/>
      <c r="E1663"/>
      <c r="F1663"/>
      <c r="G1663"/>
      <c r="H1663"/>
    </row>
    <row r="1664" spans="1:8" ht="14.5" x14ac:dyDescent="0.35">
      <c r="A1664"/>
      <c r="B1664"/>
      <c r="C1664"/>
      <c r="D1664"/>
      <c r="E1664"/>
      <c r="F1664"/>
      <c r="G1664"/>
      <c r="H1664"/>
    </row>
    <row r="1665" spans="1:8" ht="14.5" x14ac:dyDescent="0.35">
      <c r="A1665"/>
      <c r="B1665"/>
      <c r="C1665"/>
      <c r="D1665"/>
      <c r="E1665"/>
      <c r="F1665"/>
      <c r="G1665"/>
      <c r="H1665"/>
    </row>
    <row r="1666" spans="1:8" ht="14.5" x14ac:dyDescent="0.35">
      <c r="A1666"/>
      <c r="B1666"/>
      <c r="C1666"/>
      <c r="D1666"/>
      <c r="E1666"/>
      <c r="F1666"/>
      <c r="G1666"/>
      <c r="H1666"/>
    </row>
    <row r="1667" spans="1:8" ht="14.5" x14ac:dyDescent="0.35">
      <c r="A1667"/>
      <c r="B1667"/>
      <c r="C1667"/>
      <c r="D1667"/>
      <c r="E1667"/>
      <c r="F1667"/>
      <c r="G1667"/>
      <c r="H1667"/>
    </row>
    <row r="1668" spans="1:8" ht="14.5" x14ac:dyDescent="0.35">
      <c r="A1668"/>
      <c r="B1668"/>
      <c r="C1668"/>
      <c r="D1668"/>
      <c r="E1668"/>
      <c r="F1668"/>
      <c r="G1668"/>
      <c r="H1668"/>
    </row>
    <row r="1669" spans="1:8" ht="14.5" x14ac:dyDescent="0.35">
      <c r="A1669"/>
      <c r="B1669"/>
      <c r="C1669"/>
      <c r="D1669"/>
      <c r="E1669"/>
      <c r="F1669"/>
      <c r="G1669"/>
      <c r="H1669"/>
    </row>
    <row r="1670" spans="1:8" ht="14.5" x14ac:dyDescent="0.35">
      <c r="A1670"/>
      <c r="B1670"/>
      <c r="C1670"/>
      <c r="D1670"/>
      <c r="E1670"/>
      <c r="F1670"/>
      <c r="G1670"/>
      <c r="H1670"/>
    </row>
    <row r="1671" spans="1:8" ht="14.5" x14ac:dyDescent="0.35">
      <c r="A1671"/>
      <c r="B1671"/>
      <c r="C1671"/>
      <c r="D1671"/>
      <c r="E1671"/>
      <c r="F1671"/>
      <c r="G1671"/>
      <c r="H1671"/>
    </row>
    <row r="1672" spans="1:8" ht="14.5" x14ac:dyDescent="0.35">
      <c r="A1672"/>
      <c r="B1672"/>
      <c r="C1672"/>
      <c r="D1672"/>
      <c r="E1672"/>
      <c r="F1672"/>
      <c r="G1672"/>
      <c r="H1672"/>
    </row>
    <row r="1673" spans="1:8" ht="14.5" x14ac:dyDescent="0.35">
      <c r="A1673"/>
      <c r="B1673"/>
      <c r="C1673"/>
      <c r="D1673"/>
      <c r="E1673"/>
      <c r="F1673"/>
      <c r="G1673"/>
      <c r="H1673"/>
    </row>
    <row r="1674" spans="1:8" ht="14.5" x14ac:dyDescent="0.35">
      <c r="A1674"/>
      <c r="B1674"/>
      <c r="C1674"/>
      <c r="D1674"/>
      <c r="E1674"/>
      <c r="F1674"/>
      <c r="G1674"/>
      <c r="H1674"/>
    </row>
    <row r="1675" spans="1:8" ht="14.5" x14ac:dyDescent="0.35">
      <c r="A1675"/>
      <c r="B1675"/>
      <c r="C1675"/>
      <c r="D1675"/>
      <c r="E1675"/>
      <c r="F1675"/>
      <c r="G1675"/>
      <c r="H1675"/>
    </row>
    <row r="1676" spans="1:8" ht="14.5" x14ac:dyDescent="0.35">
      <c r="A1676"/>
      <c r="B1676"/>
      <c r="C1676"/>
      <c r="D1676"/>
      <c r="E1676"/>
      <c r="F1676"/>
      <c r="G1676"/>
      <c r="H1676"/>
    </row>
    <row r="1677" spans="1:8" ht="14.5" x14ac:dyDescent="0.35">
      <c r="A1677"/>
      <c r="B1677"/>
      <c r="C1677"/>
      <c r="D1677"/>
      <c r="E1677"/>
      <c r="F1677"/>
      <c r="G1677"/>
      <c r="H1677"/>
    </row>
    <row r="1678" spans="1:8" ht="14.5" x14ac:dyDescent="0.35">
      <c r="A1678"/>
      <c r="B1678"/>
      <c r="C1678"/>
      <c r="D1678"/>
      <c r="E1678"/>
      <c r="F1678"/>
      <c r="G1678"/>
      <c r="H1678"/>
    </row>
    <row r="1679" spans="1:8" ht="14.5" x14ac:dyDescent="0.35">
      <c r="A1679"/>
      <c r="B1679"/>
      <c r="C1679"/>
      <c r="D1679"/>
      <c r="E1679"/>
      <c r="F1679"/>
      <c r="G1679"/>
      <c r="H1679"/>
    </row>
    <row r="1680" spans="1:8" ht="14.5" x14ac:dyDescent="0.35">
      <c r="A1680"/>
      <c r="B1680"/>
      <c r="C1680"/>
      <c r="D1680"/>
      <c r="E1680"/>
      <c r="F1680"/>
      <c r="G1680"/>
      <c r="H1680"/>
    </row>
    <row r="1681" spans="1:8" ht="14.5" x14ac:dyDescent="0.35">
      <c r="A1681"/>
      <c r="B1681"/>
      <c r="C1681"/>
      <c r="D1681"/>
      <c r="E1681"/>
      <c r="F1681"/>
      <c r="G1681"/>
      <c r="H1681"/>
    </row>
    <row r="1682" spans="1:8" ht="14.5" x14ac:dyDescent="0.35">
      <c r="A1682"/>
      <c r="B1682"/>
      <c r="C1682"/>
      <c r="D1682"/>
      <c r="E1682"/>
      <c r="F1682"/>
      <c r="G1682"/>
      <c r="H1682"/>
    </row>
    <row r="1683" spans="1:8" ht="14.5" x14ac:dyDescent="0.35">
      <c r="A1683"/>
      <c r="B1683"/>
      <c r="C1683"/>
      <c r="D1683"/>
      <c r="E1683"/>
      <c r="F1683"/>
      <c r="G1683"/>
      <c r="H1683"/>
    </row>
    <row r="1684" spans="1:8" ht="14.5" x14ac:dyDescent="0.35">
      <c r="A1684"/>
      <c r="B1684"/>
      <c r="C1684"/>
      <c r="D1684"/>
      <c r="E1684"/>
      <c r="F1684"/>
      <c r="G1684"/>
      <c r="H1684"/>
    </row>
    <row r="1685" spans="1:8" ht="14.5" x14ac:dyDescent="0.35">
      <c r="A1685"/>
      <c r="B1685"/>
      <c r="C1685"/>
      <c r="D1685"/>
      <c r="E1685"/>
      <c r="F1685"/>
      <c r="G1685"/>
      <c r="H1685"/>
    </row>
    <row r="1686" spans="1:8" ht="14.5" x14ac:dyDescent="0.35">
      <c r="A1686"/>
      <c r="B1686"/>
      <c r="C1686"/>
      <c r="D1686"/>
      <c r="E1686"/>
      <c r="F1686"/>
      <c r="G1686"/>
      <c r="H1686"/>
    </row>
    <row r="1687" spans="1:8" ht="14.5" x14ac:dyDescent="0.35">
      <c r="A1687"/>
      <c r="B1687"/>
      <c r="C1687"/>
      <c r="D1687"/>
      <c r="E1687"/>
      <c r="F1687"/>
      <c r="G1687"/>
      <c r="H1687"/>
    </row>
    <row r="1688" spans="1:8" ht="14.5" x14ac:dyDescent="0.35">
      <c r="A1688"/>
      <c r="B1688"/>
      <c r="C1688"/>
      <c r="D1688"/>
      <c r="E1688"/>
      <c r="F1688"/>
      <c r="G1688"/>
      <c r="H1688"/>
    </row>
    <row r="1689" spans="1:8" ht="14.5" x14ac:dyDescent="0.35">
      <c r="A1689"/>
      <c r="B1689"/>
      <c r="C1689"/>
      <c r="D1689"/>
      <c r="E1689"/>
      <c r="F1689"/>
      <c r="G1689"/>
      <c r="H1689"/>
    </row>
    <row r="1690" spans="1:8" ht="14.5" x14ac:dyDescent="0.35">
      <c r="A1690"/>
      <c r="B1690"/>
      <c r="C1690"/>
      <c r="D1690"/>
      <c r="E1690"/>
      <c r="F1690"/>
      <c r="G1690"/>
      <c r="H1690"/>
    </row>
    <row r="1691" spans="1:8" ht="14.5" x14ac:dyDescent="0.35">
      <c r="A1691"/>
      <c r="B1691"/>
      <c r="C1691"/>
      <c r="D1691"/>
      <c r="E1691"/>
      <c r="F1691"/>
      <c r="G1691"/>
      <c r="H1691"/>
    </row>
    <row r="1692" spans="1:8" ht="14.5" x14ac:dyDescent="0.35">
      <c r="A1692"/>
      <c r="B1692"/>
      <c r="C1692"/>
      <c r="D1692"/>
      <c r="E1692"/>
      <c r="F1692"/>
      <c r="G1692"/>
      <c r="H1692"/>
    </row>
    <row r="1693" spans="1:8" ht="14.5" x14ac:dyDescent="0.35">
      <c r="A1693"/>
      <c r="B1693"/>
      <c r="C1693"/>
      <c r="D1693"/>
      <c r="E1693"/>
      <c r="F1693"/>
      <c r="G1693"/>
      <c r="H1693"/>
    </row>
    <row r="1694" spans="1:8" ht="14.5" x14ac:dyDescent="0.35">
      <c r="A1694"/>
      <c r="B1694"/>
      <c r="C1694"/>
      <c r="D1694"/>
      <c r="E1694"/>
      <c r="F1694"/>
      <c r="G1694"/>
      <c r="H1694"/>
    </row>
    <row r="1695" spans="1:8" ht="14.5" x14ac:dyDescent="0.35">
      <c r="A1695"/>
      <c r="B1695"/>
      <c r="C1695"/>
      <c r="D1695"/>
      <c r="E1695"/>
      <c r="F1695"/>
      <c r="G1695"/>
      <c r="H1695"/>
    </row>
    <row r="1696" spans="1:8" ht="14.5" x14ac:dyDescent="0.35">
      <c r="A1696"/>
      <c r="B1696"/>
      <c r="C1696"/>
      <c r="D1696"/>
      <c r="E1696"/>
      <c r="F1696"/>
      <c r="G1696"/>
      <c r="H1696"/>
    </row>
    <row r="1697" spans="1:8" ht="14.5" x14ac:dyDescent="0.35">
      <c r="A1697"/>
      <c r="B1697"/>
      <c r="C1697"/>
      <c r="D1697"/>
      <c r="E1697"/>
      <c r="F1697"/>
      <c r="G1697"/>
      <c r="H1697"/>
    </row>
    <row r="1698" spans="1:8" ht="14.5" x14ac:dyDescent="0.35">
      <c r="A1698"/>
      <c r="B1698"/>
      <c r="C1698"/>
      <c r="D1698"/>
      <c r="E1698"/>
      <c r="F1698"/>
      <c r="G1698"/>
      <c r="H1698"/>
    </row>
    <row r="1699" spans="1:8" ht="14.5" x14ac:dyDescent="0.35">
      <c r="A1699"/>
      <c r="B1699"/>
      <c r="C1699"/>
      <c r="D1699"/>
      <c r="E1699"/>
      <c r="F1699"/>
      <c r="G1699"/>
      <c r="H1699"/>
    </row>
    <row r="1700" spans="1:8" ht="14.5" x14ac:dyDescent="0.35">
      <c r="A1700"/>
      <c r="B1700"/>
      <c r="C1700"/>
      <c r="D1700"/>
      <c r="E1700"/>
      <c r="F1700"/>
      <c r="G1700"/>
      <c r="H1700"/>
    </row>
    <row r="1701" spans="1:8" ht="14.5" x14ac:dyDescent="0.35">
      <c r="A1701"/>
      <c r="B1701"/>
      <c r="C1701"/>
      <c r="D1701"/>
      <c r="E1701"/>
      <c r="F1701"/>
      <c r="G1701"/>
      <c r="H1701"/>
    </row>
    <row r="1702" spans="1:8" ht="14.5" x14ac:dyDescent="0.35">
      <c r="A1702"/>
      <c r="B1702"/>
      <c r="C1702"/>
      <c r="D1702"/>
      <c r="E1702"/>
      <c r="F1702"/>
      <c r="G1702"/>
      <c r="H1702"/>
    </row>
    <row r="1703" spans="1:8" ht="14.5" x14ac:dyDescent="0.35">
      <c r="A1703"/>
      <c r="B1703"/>
      <c r="C1703"/>
      <c r="D1703"/>
      <c r="E1703"/>
      <c r="F1703"/>
      <c r="G1703"/>
      <c r="H1703"/>
    </row>
    <row r="1704" spans="1:8" ht="14.5" x14ac:dyDescent="0.35">
      <c r="A1704"/>
      <c r="B1704"/>
      <c r="C1704"/>
      <c r="D1704"/>
      <c r="E1704"/>
      <c r="F1704"/>
      <c r="G1704"/>
      <c r="H1704"/>
    </row>
    <row r="1705" spans="1:8" ht="14.5" x14ac:dyDescent="0.35">
      <c r="A1705"/>
      <c r="B1705"/>
      <c r="C1705"/>
      <c r="D1705"/>
      <c r="E1705"/>
      <c r="F1705"/>
      <c r="G1705"/>
      <c r="H1705"/>
    </row>
    <row r="1706" spans="1:8" ht="14.5" x14ac:dyDescent="0.35">
      <c r="A1706"/>
      <c r="B1706"/>
      <c r="C1706"/>
      <c r="D1706"/>
      <c r="E1706"/>
      <c r="F1706"/>
      <c r="G1706"/>
      <c r="H1706"/>
    </row>
    <row r="1707" spans="1:8" ht="14.5" x14ac:dyDescent="0.35">
      <c r="A1707"/>
      <c r="B1707"/>
      <c r="C1707"/>
      <c r="D1707"/>
      <c r="E1707"/>
      <c r="F1707"/>
      <c r="G1707"/>
      <c r="H1707"/>
    </row>
    <row r="1708" spans="1:8" ht="14.5" x14ac:dyDescent="0.35">
      <c r="A1708"/>
      <c r="B1708"/>
      <c r="C1708"/>
      <c r="D1708"/>
      <c r="E1708"/>
      <c r="F1708"/>
      <c r="G1708"/>
      <c r="H1708"/>
    </row>
    <row r="1709" spans="1:8" ht="14.5" x14ac:dyDescent="0.35">
      <c r="A1709"/>
      <c r="B1709"/>
      <c r="C1709"/>
      <c r="D1709"/>
      <c r="E1709"/>
      <c r="F1709"/>
      <c r="G1709"/>
      <c r="H1709"/>
    </row>
    <row r="1710" spans="1:8" ht="14.5" x14ac:dyDescent="0.35">
      <c r="A1710"/>
      <c r="B1710"/>
      <c r="C1710"/>
      <c r="D1710"/>
      <c r="E1710"/>
      <c r="F1710"/>
      <c r="G1710"/>
      <c r="H1710"/>
    </row>
    <row r="1711" spans="1:8" ht="14.5" x14ac:dyDescent="0.35">
      <c r="A1711"/>
      <c r="B1711"/>
      <c r="C1711"/>
      <c r="D1711"/>
      <c r="E1711"/>
      <c r="F1711"/>
      <c r="G1711"/>
      <c r="H1711"/>
    </row>
    <row r="1712" spans="1:8" ht="14.5" x14ac:dyDescent="0.35">
      <c r="A1712"/>
      <c r="B1712"/>
      <c r="C1712"/>
      <c r="D1712"/>
      <c r="E1712"/>
      <c r="F1712"/>
      <c r="G1712"/>
      <c r="H1712"/>
    </row>
    <row r="1713" spans="1:8" ht="14.5" x14ac:dyDescent="0.35">
      <c r="A1713"/>
      <c r="B1713"/>
      <c r="C1713"/>
      <c r="D1713"/>
      <c r="E1713"/>
      <c r="F1713"/>
      <c r="G1713"/>
      <c r="H1713"/>
    </row>
    <row r="1714" spans="1:8" ht="14.5" x14ac:dyDescent="0.35">
      <c r="A1714"/>
      <c r="B1714"/>
      <c r="C1714"/>
      <c r="D1714"/>
      <c r="E1714"/>
      <c r="F1714"/>
      <c r="G1714"/>
      <c r="H1714"/>
    </row>
    <row r="1715" spans="1:8" ht="14.5" x14ac:dyDescent="0.35">
      <c r="A1715"/>
      <c r="B1715"/>
      <c r="C1715"/>
      <c r="D1715"/>
      <c r="E1715"/>
      <c r="F1715"/>
      <c r="G1715"/>
      <c r="H1715"/>
    </row>
    <row r="1716" spans="1:8" ht="14.5" x14ac:dyDescent="0.35">
      <c r="A1716"/>
      <c r="B1716"/>
      <c r="C1716"/>
      <c r="D1716"/>
      <c r="E1716"/>
      <c r="F1716"/>
      <c r="G1716"/>
      <c r="H1716"/>
    </row>
    <row r="1717" spans="1:8" ht="14.5" x14ac:dyDescent="0.35">
      <c r="A1717"/>
      <c r="B1717"/>
      <c r="C1717"/>
      <c r="D1717"/>
      <c r="E1717"/>
      <c r="F1717"/>
      <c r="G1717"/>
      <c r="H1717"/>
    </row>
    <row r="1718" spans="1:8" ht="14.5" x14ac:dyDescent="0.35">
      <c r="A1718"/>
      <c r="B1718"/>
      <c r="C1718"/>
      <c r="D1718"/>
      <c r="E1718"/>
      <c r="F1718"/>
      <c r="G1718"/>
      <c r="H1718"/>
    </row>
    <row r="1719" spans="1:8" ht="14.5" x14ac:dyDescent="0.35">
      <c r="A1719"/>
      <c r="B1719"/>
      <c r="C1719"/>
      <c r="D1719"/>
      <c r="E1719"/>
      <c r="F1719"/>
      <c r="G1719"/>
      <c r="H1719"/>
    </row>
    <row r="1720" spans="1:8" ht="14.5" x14ac:dyDescent="0.35">
      <c r="A1720"/>
      <c r="B1720"/>
      <c r="C1720"/>
      <c r="D1720"/>
      <c r="E1720"/>
      <c r="F1720"/>
      <c r="G1720"/>
      <c r="H1720"/>
    </row>
    <row r="1721" spans="1:8" ht="14.5" x14ac:dyDescent="0.35">
      <c r="A1721"/>
      <c r="B1721"/>
      <c r="C1721"/>
      <c r="D1721"/>
      <c r="E1721"/>
      <c r="F1721"/>
      <c r="G1721"/>
      <c r="H1721"/>
    </row>
    <row r="1722" spans="1:8" ht="14.5" x14ac:dyDescent="0.35">
      <c r="A1722"/>
      <c r="B1722"/>
      <c r="C1722"/>
      <c r="D1722"/>
      <c r="E1722"/>
      <c r="F1722"/>
      <c r="G1722"/>
      <c r="H1722"/>
    </row>
    <row r="1723" spans="1:8" ht="14.5" x14ac:dyDescent="0.35">
      <c r="A1723"/>
      <c r="B1723"/>
      <c r="C1723"/>
      <c r="D1723"/>
      <c r="E1723"/>
      <c r="F1723"/>
      <c r="G1723"/>
      <c r="H1723"/>
    </row>
    <row r="1724" spans="1:8" ht="14.5" x14ac:dyDescent="0.35">
      <c r="A1724"/>
      <c r="B1724"/>
      <c r="C1724"/>
      <c r="D1724"/>
      <c r="E1724"/>
      <c r="F1724"/>
      <c r="G1724"/>
      <c r="H1724"/>
    </row>
    <row r="1725" spans="1:8" ht="14.5" x14ac:dyDescent="0.35">
      <c r="A1725"/>
      <c r="B1725"/>
      <c r="C1725"/>
      <c r="D1725"/>
      <c r="E1725"/>
      <c r="F1725"/>
      <c r="G1725"/>
      <c r="H1725"/>
    </row>
    <row r="1726" spans="1:8" ht="14.5" x14ac:dyDescent="0.35">
      <c r="A1726"/>
      <c r="B1726"/>
      <c r="C1726"/>
      <c r="D1726"/>
      <c r="E1726"/>
      <c r="F1726"/>
      <c r="G1726"/>
      <c r="H1726"/>
    </row>
    <row r="1727" spans="1:8" ht="14.5" x14ac:dyDescent="0.35">
      <c r="A1727"/>
      <c r="B1727"/>
      <c r="C1727"/>
      <c r="D1727"/>
      <c r="E1727"/>
      <c r="F1727"/>
      <c r="G1727"/>
      <c r="H1727"/>
    </row>
    <row r="1728" spans="1:8" ht="14.5" x14ac:dyDescent="0.35">
      <c r="A1728"/>
      <c r="B1728"/>
      <c r="C1728"/>
      <c r="D1728"/>
      <c r="E1728"/>
      <c r="F1728"/>
      <c r="G1728"/>
      <c r="H1728"/>
    </row>
    <row r="1729" spans="1:8" ht="14.5" x14ac:dyDescent="0.35">
      <c r="A1729"/>
      <c r="B1729"/>
      <c r="C1729"/>
      <c r="D1729"/>
      <c r="E1729"/>
      <c r="F1729"/>
      <c r="G1729"/>
      <c r="H1729"/>
    </row>
    <row r="1730" spans="1:8" ht="14.5" x14ac:dyDescent="0.35">
      <c r="A1730"/>
      <c r="B1730"/>
      <c r="C1730"/>
      <c r="D1730"/>
      <c r="E1730"/>
      <c r="F1730"/>
      <c r="G1730"/>
      <c r="H1730"/>
    </row>
    <row r="1731" spans="1:8" ht="14.5" x14ac:dyDescent="0.35">
      <c r="A1731"/>
      <c r="B1731"/>
      <c r="C1731"/>
      <c r="D1731"/>
      <c r="E1731"/>
      <c r="F1731"/>
      <c r="G1731"/>
      <c r="H1731"/>
    </row>
    <row r="1732" spans="1:8" ht="14.5" x14ac:dyDescent="0.35">
      <c r="A1732"/>
      <c r="B1732"/>
      <c r="C1732"/>
      <c r="D1732"/>
      <c r="E1732"/>
      <c r="F1732"/>
      <c r="G1732"/>
      <c r="H1732"/>
    </row>
    <row r="1733" spans="1:8" ht="14.5" x14ac:dyDescent="0.35">
      <c r="A1733"/>
      <c r="B1733"/>
      <c r="C1733"/>
      <c r="D1733"/>
      <c r="E1733"/>
      <c r="F1733"/>
      <c r="G1733"/>
      <c r="H1733"/>
    </row>
    <row r="1734" spans="1:8" ht="14.5" x14ac:dyDescent="0.35">
      <c r="A1734"/>
      <c r="B1734"/>
      <c r="C1734"/>
      <c r="D1734"/>
      <c r="E1734"/>
      <c r="F1734"/>
      <c r="G1734"/>
      <c r="H1734"/>
    </row>
    <row r="1735" spans="1:8" ht="14.5" x14ac:dyDescent="0.35">
      <c r="A1735"/>
      <c r="B1735"/>
      <c r="C1735"/>
      <c r="D1735"/>
      <c r="E1735"/>
      <c r="F1735"/>
      <c r="G1735"/>
      <c r="H1735"/>
    </row>
    <row r="1736" spans="1:8" ht="14.5" x14ac:dyDescent="0.35">
      <c r="A1736"/>
      <c r="B1736"/>
      <c r="C1736"/>
      <c r="D1736"/>
      <c r="E1736"/>
      <c r="F1736"/>
      <c r="G1736"/>
      <c r="H1736"/>
    </row>
    <row r="1737" spans="1:8" ht="14.5" x14ac:dyDescent="0.35">
      <c r="A1737"/>
      <c r="B1737"/>
      <c r="C1737"/>
      <c r="D1737"/>
      <c r="E1737"/>
      <c r="F1737"/>
      <c r="G1737"/>
      <c r="H1737"/>
    </row>
    <row r="1738" spans="1:8" ht="14.5" x14ac:dyDescent="0.35">
      <c r="A1738"/>
      <c r="B1738"/>
      <c r="C1738"/>
      <c r="D1738"/>
      <c r="E1738"/>
      <c r="F1738"/>
      <c r="G1738"/>
      <c r="H1738"/>
    </row>
    <row r="1739" spans="1:8" ht="14.5" x14ac:dyDescent="0.35">
      <c r="A1739"/>
      <c r="B1739"/>
      <c r="C1739"/>
      <c r="D1739"/>
      <c r="E1739"/>
      <c r="F1739"/>
      <c r="G1739"/>
      <c r="H1739"/>
    </row>
    <row r="1740" spans="1:8" ht="14.5" x14ac:dyDescent="0.35">
      <c r="A1740"/>
      <c r="B1740"/>
      <c r="C1740"/>
      <c r="D1740"/>
      <c r="E1740"/>
      <c r="F1740"/>
      <c r="G1740"/>
      <c r="H1740"/>
    </row>
    <row r="1741" spans="1:8" ht="14.5" x14ac:dyDescent="0.35">
      <c r="A1741"/>
      <c r="B1741"/>
      <c r="C1741"/>
      <c r="D1741"/>
      <c r="E1741"/>
      <c r="F1741"/>
      <c r="G1741"/>
      <c r="H1741"/>
    </row>
    <row r="1742" spans="1:8" ht="14.5" x14ac:dyDescent="0.35">
      <c r="A1742"/>
      <c r="B1742"/>
      <c r="C1742"/>
      <c r="D1742"/>
      <c r="E1742"/>
      <c r="F1742"/>
      <c r="G1742"/>
      <c r="H1742"/>
    </row>
    <row r="1743" spans="1:8" ht="14.5" x14ac:dyDescent="0.35">
      <c r="A1743"/>
      <c r="B1743"/>
      <c r="C1743"/>
      <c r="D1743"/>
      <c r="E1743"/>
      <c r="F1743"/>
      <c r="G1743"/>
      <c r="H1743"/>
    </row>
    <row r="1744" spans="1:8" ht="14.5" x14ac:dyDescent="0.35">
      <c r="A1744"/>
      <c r="B1744"/>
      <c r="C1744"/>
      <c r="D1744"/>
      <c r="E1744"/>
      <c r="F1744"/>
      <c r="G1744"/>
      <c r="H1744"/>
    </row>
    <row r="1745" spans="1:8" ht="14.5" x14ac:dyDescent="0.35">
      <c r="A1745"/>
      <c r="B1745"/>
      <c r="C1745"/>
      <c r="D1745"/>
      <c r="E1745"/>
      <c r="F1745"/>
      <c r="G1745"/>
      <c r="H1745"/>
    </row>
    <row r="1746" spans="1:8" ht="14.5" x14ac:dyDescent="0.35">
      <c r="A1746"/>
      <c r="B1746"/>
      <c r="C1746"/>
      <c r="D1746"/>
      <c r="E1746"/>
      <c r="F1746"/>
      <c r="G1746"/>
      <c r="H1746"/>
    </row>
    <row r="1747" spans="1:8" ht="14.5" x14ac:dyDescent="0.35">
      <c r="A1747"/>
      <c r="B1747"/>
      <c r="C1747"/>
      <c r="D1747"/>
      <c r="E1747"/>
      <c r="F1747"/>
      <c r="G1747"/>
      <c r="H1747"/>
    </row>
    <row r="1748" spans="1:8" ht="14.5" x14ac:dyDescent="0.35">
      <c r="A1748"/>
      <c r="B1748"/>
      <c r="C1748"/>
      <c r="D1748"/>
      <c r="E1748"/>
      <c r="F1748"/>
      <c r="G1748"/>
      <c r="H1748"/>
    </row>
    <row r="1749" spans="1:8" ht="14.5" x14ac:dyDescent="0.35">
      <c r="A1749"/>
      <c r="B1749"/>
      <c r="C1749"/>
      <c r="D1749"/>
      <c r="E1749"/>
      <c r="F1749"/>
      <c r="G1749"/>
      <c r="H1749"/>
    </row>
    <row r="1750" spans="1:8" ht="14.5" x14ac:dyDescent="0.35">
      <c r="A1750"/>
      <c r="B1750"/>
      <c r="C1750"/>
      <c r="D1750"/>
      <c r="E1750"/>
      <c r="F1750"/>
      <c r="G1750"/>
      <c r="H1750"/>
    </row>
    <row r="1751" spans="1:8" ht="14.5" x14ac:dyDescent="0.35">
      <c r="A1751"/>
      <c r="B1751"/>
      <c r="C1751"/>
      <c r="D1751"/>
      <c r="E1751"/>
      <c r="F1751"/>
      <c r="G1751"/>
      <c r="H1751"/>
    </row>
    <row r="1752" spans="1:8" ht="14.5" x14ac:dyDescent="0.35">
      <c r="A1752"/>
      <c r="B1752"/>
      <c r="C1752"/>
      <c r="D1752"/>
      <c r="E1752"/>
      <c r="F1752"/>
      <c r="G1752"/>
      <c r="H1752"/>
    </row>
    <row r="1753" spans="1:8" ht="14.5" x14ac:dyDescent="0.35">
      <c r="A1753"/>
      <c r="B1753"/>
      <c r="C1753"/>
      <c r="D1753"/>
      <c r="E1753"/>
      <c r="F1753"/>
      <c r="G1753"/>
      <c r="H1753"/>
    </row>
    <row r="1754" spans="1:8" ht="14.5" x14ac:dyDescent="0.35">
      <c r="A1754"/>
      <c r="B1754"/>
      <c r="C1754"/>
      <c r="D1754"/>
      <c r="E1754"/>
      <c r="F1754"/>
      <c r="G1754"/>
      <c r="H1754"/>
    </row>
    <row r="1755" spans="1:8" ht="14.5" x14ac:dyDescent="0.35">
      <c r="A1755"/>
      <c r="B1755"/>
      <c r="C1755"/>
      <c r="D1755"/>
      <c r="E1755"/>
      <c r="F1755"/>
      <c r="G1755"/>
      <c r="H1755"/>
    </row>
    <row r="1756" spans="1:8" ht="14.5" x14ac:dyDescent="0.35">
      <c r="A1756"/>
      <c r="B1756"/>
      <c r="C1756"/>
      <c r="D1756"/>
      <c r="E1756"/>
      <c r="F1756"/>
      <c r="G1756"/>
      <c r="H1756"/>
    </row>
    <row r="1757" spans="1:8" ht="14.5" x14ac:dyDescent="0.35">
      <c r="A1757"/>
      <c r="B1757"/>
      <c r="C1757"/>
      <c r="D1757"/>
      <c r="E1757"/>
      <c r="F1757"/>
      <c r="G1757"/>
      <c r="H1757"/>
    </row>
    <row r="1758" spans="1:8" ht="14.5" x14ac:dyDescent="0.35">
      <c r="A1758"/>
      <c r="B1758"/>
      <c r="C1758"/>
      <c r="D1758"/>
      <c r="E1758"/>
      <c r="F1758"/>
      <c r="G1758"/>
      <c r="H1758"/>
    </row>
    <row r="1759" spans="1:8" ht="14.5" x14ac:dyDescent="0.35">
      <c r="A1759"/>
      <c r="B1759"/>
      <c r="C1759"/>
      <c r="D1759"/>
      <c r="E1759"/>
      <c r="F1759"/>
      <c r="G1759"/>
      <c r="H1759"/>
    </row>
    <row r="1760" spans="1:8" ht="14.5" x14ac:dyDescent="0.35">
      <c r="A1760"/>
      <c r="B1760"/>
      <c r="C1760"/>
      <c r="D1760"/>
      <c r="E1760"/>
      <c r="F1760"/>
      <c r="G1760"/>
      <c r="H1760"/>
    </row>
    <row r="1761" spans="1:8" ht="14.5" x14ac:dyDescent="0.35">
      <c r="A1761"/>
      <c r="B1761"/>
      <c r="C1761"/>
      <c r="D1761"/>
      <c r="E1761"/>
      <c r="F1761"/>
      <c r="G1761"/>
      <c r="H1761"/>
    </row>
    <row r="1762" spans="1:8" ht="14.5" x14ac:dyDescent="0.35">
      <c r="A1762"/>
      <c r="B1762"/>
      <c r="C1762"/>
      <c r="D1762"/>
      <c r="E1762"/>
      <c r="F1762"/>
      <c r="G1762"/>
      <c r="H1762"/>
    </row>
    <row r="1763" spans="1:8" ht="14.5" x14ac:dyDescent="0.35">
      <c r="A1763"/>
      <c r="B1763"/>
      <c r="C1763"/>
      <c r="D1763"/>
      <c r="E1763"/>
      <c r="F1763"/>
      <c r="G1763"/>
      <c r="H1763"/>
    </row>
    <row r="1764" spans="1:8" ht="14.5" x14ac:dyDescent="0.35">
      <c r="A1764"/>
      <c r="B1764"/>
      <c r="C1764"/>
      <c r="D1764"/>
      <c r="E1764"/>
      <c r="F1764"/>
      <c r="G1764"/>
      <c r="H1764"/>
    </row>
    <row r="1765" spans="1:8" ht="14.5" x14ac:dyDescent="0.35">
      <c r="A1765"/>
      <c r="B1765"/>
      <c r="C1765"/>
      <c r="D1765"/>
      <c r="E1765"/>
      <c r="F1765"/>
      <c r="G1765"/>
      <c r="H1765"/>
    </row>
    <row r="1766" spans="1:8" ht="14.5" x14ac:dyDescent="0.35">
      <c r="A1766"/>
      <c r="B1766"/>
      <c r="C1766"/>
      <c r="D1766"/>
      <c r="E1766"/>
      <c r="F1766"/>
      <c r="G1766"/>
      <c r="H1766"/>
    </row>
    <row r="1767" spans="1:8" ht="14.5" x14ac:dyDescent="0.35">
      <c r="A1767"/>
      <c r="B1767"/>
      <c r="C1767"/>
      <c r="D1767"/>
      <c r="E1767"/>
      <c r="F1767"/>
      <c r="G1767"/>
      <c r="H1767"/>
    </row>
    <row r="1768" spans="1:8" ht="14.5" x14ac:dyDescent="0.35">
      <c r="A1768"/>
      <c r="B1768"/>
      <c r="C1768"/>
      <c r="D1768"/>
      <c r="E1768"/>
      <c r="F1768"/>
      <c r="G1768"/>
      <c r="H1768"/>
    </row>
    <row r="1769" spans="1:8" ht="14.5" x14ac:dyDescent="0.35">
      <c r="A1769"/>
      <c r="B1769"/>
      <c r="C1769"/>
      <c r="D1769"/>
      <c r="E1769"/>
      <c r="F1769"/>
      <c r="G1769"/>
      <c r="H1769"/>
    </row>
    <row r="1770" spans="1:8" ht="14.5" x14ac:dyDescent="0.35">
      <c r="A1770"/>
      <c r="B1770"/>
      <c r="C1770"/>
      <c r="D1770"/>
      <c r="E1770"/>
      <c r="F1770"/>
      <c r="G1770"/>
      <c r="H1770"/>
    </row>
    <row r="1771" spans="1:8" ht="14.5" x14ac:dyDescent="0.35">
      <c r="A1771"/>
      <c r="B1771"/>
      <c r="C1771"/>
      <c r="D1771"/>
      <c r="E1771"/>
      <c r="F1771"/>
      <c r="G1771"/>
      <c r="H1771"/>
    </row>
    <row r="1772" spans="1:8" ht="14.5" x14ac:dyDescent="0.35">
      <c r="A1772"/>
      <c r="B1772"/>
      <c r="C1772"/>
      <c r="D1772"/>
      <c r="E1772"/>
      <c r="F1772"/>
      <c r="G1772"/>
      <c r="H1772"/>
    </row>
    <row r="1773" spans="1:8" ht="14.5" x14ac:dyDescent="0.35">
      <c r="A1773"/>
      <c r="B1773"/>
      <c r="C1773"/>
      <c r="D1773"/>
      <c r="E1773"/>
      <c r="F1773"/>
      <c r="G1773"/>
      <c r="H1773"/>
    </row>
    <row r="1774" spans="1:8" ht="14.5" x14ac:dyDescent="0.35">
      <c r="A1774"/>
      <c r="B1774"/>
      <c r="C1774"/>
      <c r="D1774"/>
      <c r="E1774"/>
      <c r="F1774"/>
      <c r="G1774"/>
      <c r="H1774"/>
    </row>
    <row r="1775" spans="1:8" ht="14.5" x14ac:dyDescent="0.35">
      <c r="A1775"/>
      <c r="B1775"/>
      <c r="C1775"/>
      <c r="D1775"/>
      <c r="E1775"/>
      <c r="F1775"/>
      <c r="G1775"/>
      <c r="H1775"/>
    </row>
    <row r="1776" spans="1:8" ht="14.5" x14ac:dyDescent="0.35">
      <c r="A1776"/>
      <c r="B1776"/>
      <c r="C1776"/>
      <c r="D1776"/>
      <c r="E1776"/>
      <c r="F1776"/>
      <c r="G1776"/>
      <c r="H1776"/>
    </row>
    <row r="1777" spans="1:8" ht="14.5" x14ac:dyDescent="0.35">
      <c r="A1777"/>
      <c r="B1777"/>
      <c r="C1777"/>
      <c r="D1777"/>
      <c r="E1777"/>
      <c r="F1777"/>
      <c r="G1777"/>
      <c r="H1777"/>
    </row>
    <row r="1778" spans="1:8" ht="14.5" x14ac:dyDescent="0.35">
      <c r="A1778"/>
      <c r="B1778"/>
      <c r="C1778"/>
      <c r="D1778"/>
      <c r="E1778"/>
      <c r="F1778"/>
      <c r="G1778"/>
      <c r="H1778"/>
    </row>
    <row r="1779" spans="1:8" ht="14.5" x14ac:dyDescent="0.35">
      <c r="A1779"/>
      <c r="B1779"/>
      <c r="C1779"/>
      <c r="D1779"/>
      <c r="E1779"/>
      <c r="F1779"/>
      <c r="G1779"/>
      <c r="H1779"/>
    </row>
    <row r="1780" spans="1:8" ht="14.5" x14ac:dyDescent="0.35">
      <c r="A1780"/>
      <c r="B1780"/>
      <c r="C1780"/>
      <c r="D1780"/>
      <c r="E1780"/>
      <c r="F1780"/>
      <c r="G1780"/>
      <c r="H1780"/>
    </row>
    <row r="1781" spans="1:8" ht="14.5" x14ac:dyDescent="0.35">
      <c r="A1781"/>
      <c r="B1781"/>
      <c r="C1781"/>
      <c r="D1781"/>
      <c r="E1781"/>
      <c r="F1781"/>
      <c r="G1781"/>
      <c r="H1781"/>
    </row>
    <row r="1782" spans="1:8" ht="14.5" x14ac:dyDescent="0.35">
      <c r="A1782"/>
      <c r="B1782"/>
      <c r="C1782"/>
      <c r="D1782"/>
      <c r="E1782"/>
      <c r="F1782"/>
      <c r="G1782"/>
      <c r="H1782"/>
    </row>
    <row r="1783" spans="1:8" ht="14.5" x14ac:dyDescent="0.35">
      <c r="A1783"/>
      <c r="B1783"/>
      <c r="C1783"/>
      <c r="D1783"/>
      <c r="E1783"/>
      <c r="F1783"/>
      <c r="G1783"/>
      <c r="H1783"/>
    </row>
    <row r="1784" spans="1:8" ht="14.5" x14ac:dyDescent="0.35">
      <c r="A1784"/>
      <c r="B1784"/>
      <c r="C1784"/>
      <c r="D1784"/>
      <c r="E1784"/>
      <c r="F1784"/>
      <c r="G1784"/>
      <c r="H1784"/>
    </row>
    <row r="1785" spans="1:8" ht="14.5" x14ac:dyDescent="0.35">
      <c r="A1785"/>
      <c r="B1785"/>
      <c r="C1785"/>
      <c r="D1785"/>
      <c r="E1785"/>
      <c r="F1785"/>
      <c r="G1785"/>
      <c r="H1785"/>
    </row>
    <row r="1786" spans="1:8" ht="14.5" x14ac:dyDescent="0.35">
      <c r="A1786"/>
      <c r="B1786"/>
      <c r="C1786"/>
      <c r="D1786"/>
      <c r="E1786"/>
      <c r="F1786"/>
      <c r="G1786"/>
      <c r="H1786"/>
    </row>
    <row r="1787" spans="1:8" ht="14.5" x14ac:dyDescent="0.35">
      <c r="A1787"/>
      <c r="B1787"/>
      <c r="C1787"/>
      <c r="D1787"/>
      <c r="E1787"/>
      <c r="F1787"/>
      <c r="G1787"/>
      <c r="H1787"/>
    </row>
    <row r="1788" spans="1:8" ht="14.5" x14ac:dyDescent="0.35">
      <c r="A1788"/>
      <c r="B1788"/>
      <c r="C1788"/>
      <c r="D1788"/>
      <c r="E1788"/>
      <c r="F1788"/>
      <c r="G1788"/>
      <c r="H1788"/>
    </row>
    <row r="1789" spans="1:8" ht="14.5" x14ac:dyDescent="0.35">
      <c r="A1789"/>
      <c r="B1789"/>
      <c r="C1789"/>
      <c r="D1789"/>
      <c r="E1789"/>
      <c r="F1789"/>
      <c r="G1789"/>
      <c r="H1789"/>
    </row>
    <row r="1790" spans="1:8" ht="14.5" x14ac:dyDescent="0.35">
      <c r="A1790"/>
      <c r="B1790"/>
      <c r="C1790"/>
      <c r="D1790"/>
      <c r="E1790"/>
      <c r="F1790"/>
      <c r="G1790"/>
      <c r="H1790"/>
    </row>
    <row r="1791" spans="1:8" ht="14.5" x14ac:dyDescent="0.35">
      <c r="A1791"/>
      <c r="B1791"/>
      <c r="C1791"/>
      <c r="D1791"/>
      <c r="E1791"/>
      <c r="F1791"/>
      <c r="G1791"/>
      <c r="H1791"/>
    </row>
    <row r="1792" spans="1:8" ht="14.5" x14ac:dyDescent="0.35">
      <c r="A1792"/>
      <c r="B1792"/>
      <c r="C1792"/>
      <c r="D1792"/>
      <c r="E1792"/>
      <c r="F1792"/>
      <c r="G1792"/>
      <c r="H1792"/>
    </row>
    <row r="1793" spans="1:8" ht="14.5" x14ac:dyDescent="0.35">
      <c r="A1793"/>
      <c r="B1793"/>
      <c r="C1793"/>
      <c r="D1793"/>
      <c r="E1793"/>
      <c r="F1793"/>
      <c r="G1793"/>
      <c r="H1793"/>
    </row>
    <row r="1794" spans="1:8" ht="14.5" x14ac:dyDescent="0.35">
      <c r="A1794"/>
      <c r="B1794"/>
      <c r="C1794"/>
      <c r="D1794"/>
      <c r="E1794"/>
      <c r="F1794"/>
      <c r="G1794"/>
      <c r="H1794"/>
    </row>
    <row r="1795" spans="1:8" ht="14.5" x14ac:dyDescent="0.35">
      <c r="A1795"/>
      <c r="B1795"/>
      <c r="C1795"/>
      <c r="D1795"/>
      <c r="E1795"/>
      <c r="F1795"/>
      <c r="G1795"/>
      <c r="H1795"/>
    </row>
    <row r="1796" spans="1:8" ht="14.5" x14ac:dyDescent="0.35">
      <c r="A1796"/>
      <c r="B1796"/>
      <c r="C1796"/>
      <c r="D1796"/>
      <c r="E1796"/>
      <c r="F1796"/>
      <c r="G1796"/>
      <c r="H1796"/>
    </row>
    <row r="1797" spans="1:8" ht="14.5" x14ac:dyDescent="0.35">
      <c r="A1797"/>
      <c r="B1797"/>
      <c r="C1797"/>
      <c r="D1797"/>
      <c r="E1797"/>
      <c r="F1797"/>
      <c r="G1797"/>
      <c r="H1797"/>
    </row>
    <row r="1798" spans="1:8" ht="14.5" x14ac:dyDescent="0.35">
      <c r="A1798"/>
      <c r="B1798"/>
      <c r="C1798"/>
      <c r="D1798"/>
      <c r="E1798"/>
      <c r="F1798"/>
      <c r="G1798"/>
      <c r="H1798"/>
    </row>
    <row r="1799" spans="1:8" ht="14.5" x14ac:dyDescent="0.35">
      <c r="A1799"/>
      <c r="B1799"/>
      <c r="C1799"/>
      <c r="D1799"/>
      <c r="E1799"/>
      <c r="F1799"/>
      <c r="G1799"/>
      <c r="H1799"/>
    </row>
    <row r="1800" spans="1:8" ht="14.5" x14ac:dyDescent="0.35">
      <c r="A1800"/>
      <c r="B1800"/>
      <c r="C1800"/>
      <c r="D1800"/>
      <c r="E1800"/>
      <c r="F1800"/>
      <c r="G1800"/>
      <c r="H1800"/>
    </row>
    <row r="1801" spans="1:8" ht="14.5" x14ac:dyDescent="0.35">
      <c r="A1801"/>
      <c r="B1801"/>
      <c r="C1801"/>
      <c r="D1801"/>
      <c r="E1801"/>
      <c r="F1801"/>
      <c r="G1801"/>
      <c r="H1801"/>
    </row>
    <row r="1802" spans="1:8" ht="14.5" x14ac:dyDescent="0.35">
      <c r="A1802"/>
      <c r="B1802"/>
      <c r="C1802"/>
      <c r="D1802"/>
      <c r="E1802"/>
      <c r="F1802"/>
      <c r="G1802"/>
      <c r="H1802"/>
    </row>
    <row r="1803" spans="1:8" ht="14.5" x14ac:dyDescent="0.35">
      <c r="A1803"/>
      <c r="B1803"/>
      <c r="C1803"/>
      <c r="D1803"/>
      <c r="E1803"/>
      <c r="F1803"/>
      <c r="G1803"/>
      <c r="H1803"/>
    </row>
    <row r="1804" spans="1:8" ht="14.5" x14ac:dyDescent="0.35">
      <c r="A1804"/>
      <c r="B1804"/>
      <c r="C1804"/>
      <c r="D1804"/>
      <c r="E1804"/>
      <c r="F1804"/>
      <c r="G1804"/>
      <c r="H1804"/>
    </row>
    <row r="1805" spans="1:8" ht="14.5" x14ac:dyDescent="0.35">
      <c r="A1805"/>
      <c r="B1805"/>
      <c r="C1805"/>
      <c r="D1805"/>
      <c r="E1805"/>
      <c r="F1805"/>
      <c r="G1805"/>
      <c r="H1805"/>
    </row>
    <row r="1806" spans="1:8" ht="14.5" x14ac:dyDescent="0.35">
      <c r="A1806"/>
      <c r="B1806"/>
      <c r="C1806"/>
      <c r="D1806"/>
      <c r="E1806"/>
      <c r="F1806"/>
      <c r="G1806"/>
      <c r="H1806"/>
    </row>
    <row r="1807" spans="1:8" ht="14.5" x14ac:dyDescent="0.35">
      <c r="A1807"/>
      <c r="B1807"/>
      <c r="C1807"/>
      <c r="D1807"/>
      <c r="E1807"/>
      <c r="F1807"/>
      <c r="G1807"/>
      <c r="H1807"/>
    </row>
    <row r="1808" spans="1:8" ht="14.5" x14ac:dyDescent="0.35">
      <c r="A1808"/>
      <c r="B1808"/>
      <c r="C1808"/>
      <c r="D1808"/>
      <c r="E1808"/>
      <c r="F1808"/>
      <c r="G1808"/>
      <c r="H1808"/>
    </row>
    <row r="1809" spans="1:8" ht="14.5" x14ac:dyDescent="0.35">
      <c r="A1809"/>
      <c r="B1809"/>
      <c r="C1809"/>
      <c r="D1809"/>
      <c r="E1809"/>
      <c r="F1809"/>
      <c r="G1809"/>
      <c r="H1809"/>
    </row>
    <row r="1810" spans="1:8" ht="14.5" x14ac:dyDescent="0.35">
      <c r="A1810"/>
      <c r="B1810"/>
      <c r="C1810"/>
      <c r="D1810"/>
      <c r="E1810"/>
      <c r="F1810"/>
      <c r="G1810"/>
      <c r="H1810"/>
    </row>
    <row r="1811" spans="1:8" ht="14.5" x14ac:dyDescent="0.35">
      <c r="A1811"/>
      <c r="B1811"/>
      <c r="C1811"/>
      <c r="D1811"/>
      <c r="E1811"/>
      <c r="F1811"/>
      <c r="G1811"/>
      <c r="H1811"/>
    </row>
    <row r="1812" spans="1:8" ht="14.5" x14ac:dyDescent="0.35">
      <c r="A1812"/>
      <c r="B1812"/>
      <c r="C1812"/>
      <c r="D1812"/>
      <c r="E1812"/>
      <c r="F1812"/>
      <c r="G1812"/>
      <c r="H1812"/>
    </row>
    <row r="1813" spans="1:8" ht="14.5" x14ac:dyDescent="0.35">
      <c r="A1813"/>
      <c r="B1813"/>
      <c r="C1813"/>
      <c r="D1813"/>
      <c r="E1813"/>
      <c r="F1813"/>
      <c r="G1813"/>
      <c r="H1813"/>
    </row>
    <row r="1814" spans="1:8" ht="14.5" x14ac:dyDescent="0.35">
      <c r="A1814"/>
      <c r="B1814"/>
      <c r="C1814"/>
      <c r="D1814"/>
      <c r="E1814"/>
      <c r="F1814"/>
      <c r="G1814"/>
      <c r="H1814"/>
    </row>
    <row r="1815" spans="1:8" ht="14.5" x14ac:dyDescent="0.35">
      <c r="A1815"/>
      <c r="B1815"/>
      <c r="C1815"/>
      <c r="D1815"/>
      <c r="E1815"/>
      <c r="F1815"/>
      <c r="G1815"/>
      <c r="H1815"/>
    </row>
    <row r="1816" spans="1:8" ht="14.5" x14ac:dyDescent="0.35">
      <c r="A1816"/>
      <c r="B1816"/>
      <c r="C1816"/>
      <c r="D1816"/>
      <c r="E1816"/>
      <c r="F1816"/>
      <c r="G1816"/>
      <c r="H1816"/>
    </row>
    <row r="1817" spans="1:8" ht="14.5" x14ac:dyDescent="0.35">
      <c r="A1817"/>
      <c r="B1817"/>
      <c r="C1817"/>
      <c r="D1817"/>
      <c r="E1817"/>
      <c r="F1817"/>
      <c r="G1817"/>
      <c r="H1817"/>
    </row>
    <row r="1818" spans="1:8" ht="14.5" x14ac:dyDescent="0.35">
      <c r="A1818"/>
      <c r="B1818"/>
      <c r="C1818"/>
      <c r="D1818"/>
      <c r="E1818"/>
      <c r="F1818"/>
      <c r="G1818"/>
      <c r="H1818"/>
    </row>
    <row r="1819" spans="1:8" ht="14.5" x14ac:dyDescent="0.35">
      <c r="A1819"/>
      <c r="B1819"/>
      <c r="C1819"/>
      <c r="D1819"/>
      <c r="E1819"/>
      <c r="F1819"/>
      <c r="G1819"/>
      <c r="H1819"/>
    </row>
    <row r="1820" spans="1:8" ht="14.5" x14ac:dyDescent="0.35">
      <c r="A1820"/>
      <c r="B1820"/>
      <c r="C1820"/>
      <c r="D1820"/>
      <c r="E1820"/>
      <c r="F1820"/>
      <c r="G1820"/>
      <c r="H1820"/>
    </row>
    <row r="1821" spans="1:8" ht="14.5" x14ac:dyDescent="0.35">
      <c r="A1821"/>
      <c r="B1821"/>
      <c r="C1821"/>
      <c r="D1821"/>
      <c r="E1821"/>
      <c r="F1821"/>
      <c r="G1821"/>
      <c r="H1821"/>
    </row>
    <row r="1822" spans="1:8" ht="14.5" x14ac:dyDescent="0.35">
      <c r="A1822"/>
      <c r="B1822"/>
      <c r="C1822"/>
      <c r="D1822"/>
      <c r="E1822"/>
      <c r="F1822"/>
      <c r="G1822"/>
      <c r="H1822"/>
    </row>
    <row r="1823" spans="1:8" ht="14.5" x14ac:dyDescent="0.35">
      <c r="A1823"/>
      <c r="B1823"/>
      <c r="C1823"/>
      <c r="D1823"/>
      <c r="E1823"/>
      <c r="F1823"/>
      <c r="G1823"/>
      <c r="H1823"/>
    </row>
    <row r="1824" spans="1:8" ht="14.5" x14ac:dyDescent="0.35">
      <c r="A1824"/>
      <c r="B1824"/>
      <c r="C1824"/>
      <c r="D1824"/>
      <c r="E1824"/>
      <c r="F1824"/>
      <c r="G1824"/>
      <c r="H1824"/>
    </row>
    <row r="1825" spans="1:8" ht="14.5" x14ac:dyDescent="0.35">
      <c r="A1825"/>
      <c r="B1825"/>
      <c r="C1825"/>
      <c r="D1825"/>
      <c r="E1825"/>
      <c r="F1825"/>
      <c r="G1825"/>
      <c r="H1825"/>
    </row>
    <row r="1826" spans="1:8" ht="14.5" x14ac:dyDescent="0.35">
      <c r="A1826"/>
      <c r="B1826"/>
      <c r="C1826"/>
      <c r="D1826"/>
      <c r="E1826"/>
      <c r="F1826"/>
      <c r="G1826"/>
      <c r="H1826"/>
    </row>
    <row r="1827" spans="1:8" ht="14.5" x14ac:dyDescent="0.35">
      <c r="A1827"/>
      <c r="B1827"/>
      <c r="C1827"/>
      <c r="D1827"/>
      <c r="E1827"/>
      <c r="F1827"/>
      <c r="G1827"/>
      <c r="H1827"/>
    </row>
    <row r="1828" spans="1:8" ht="14.5" x14ac:dyDescent="0.35">
      <c r="A1828"/>
      <c r="B1828"/>
      <c r="C1828"/>
      <c r="D1828"/>
      <c r="E1828"/>
      <c r="F1828"/>
      <c r="G1828"/>
      <c r="H1828"/>
    </row>
    <row r="1829" spans="1:8" ht="14.5" x14ac:dyDescent="0.35">
      <c r="A1829"/>
      <c r="B1829"/>
      <c r="C1829"/>
      <c r="D1829"/>
      <c r="E1829"/>
      <c r="F1829"/>
      <c r="G1829"/>
      <c r="H1829"/>
    </row>
    <row r="1830" spans="1:8" ht="14.5" x14ac:dyDescent="0.35">
      <c r="A1830"/>
      <c r="B1830"/>
      <c r="C1830"/>
      <c r="D1830"/>
      <c r="E1830"/>
      <c r="F1830"/>
      <c r="G1830"/>
      <c r="H1830"/>
    </row>
    <row r="1831" spans="1:8" ht="14.5" x14ac:dyDescent="0.35">
      <c r="A1831"/>
      <c r="B1831"/>
      <c r="C1831"/>
      <c r="D1831"/>
      <c r="E1831"/>
      <c r="F1831"/>
      <c r="G1831"/>
      <c r="H1831"/>
    </row>
    <row r="1832" spans="1:8" ht="14.5" x14ac:dyDescent="0.35">
      <c r="A1832"/>
      <c r="B1832"/>
      <c r="C1832"/>
      <c r="D1832"/>
      <c r="E1832"/>
      <c r="F1832"/>
      <c r="G1832"/>
      <c r="H1832"/>
    </row>
    <row r="1833" spans="1:8" ht="14.5" x14ac:dyDescent="0.35">
      <c r="A1833"/>
      <c r="B1833"/>
      <c r="C1833"/>
      <c r="D1833"/>
      <c r="E1833"/>
      <c r="F1833"/>
      <c r="G1833"/>
      <c r="H1833"/>
    </row>
    <row r="1834" spans="1:8" ht="14.5" x14ac:dyDescent="0.35">
      <c r="A1834"/>
      <c r="B1834"/>
      <c r="C1834"/>
      <c r="D1834"/>
      <c r="E1834"/>
      <c r="F1834"/>
      <c r="G1834"/>
      <c r="H1834"/>
    </row>
    <row r="1835" spans="1:8" ht="14.5" x14ac:dyDescent="0.35">
      <c r="A1835"/>
      <c r="B1835"/>
      <c r="C1835"/>
      <c r="D1835"/>
      <c r="E1835"/>
      <c r="F1835"/>
      <c r="G1835"/>
      <c r="H1835"/>
    </row>
    <row r="1836" spans="1:8" ht="14.5" x14ac:dyDescent="0.35">
      <c r="A1836"/>
      <c r="B1836"/>
      <c r="C1836"/>
      <c r="D1836"/>
      <c r="E1836"/>
      <c r="F1836"/>
      <c r="G1836"/>
      <c r="H1836"/>
    </row>
    <row r="1837" spans="1:8" ht="14.5" x14ac:dyDescent="0.35">
      <c r="A1837"/>
      <c r="B1837"/>
      <c r="C1837"/>
      <c r="D1837"/>
      <c r="E1837"/>
      <c r="F1837"/>
      <c r="G1837"/>
      <c r="H1837"/>
    </row>
    <row r="1838" spans="1:8" ht="14.5" x14ac:dyDescent="0.35">
      <c r="A1838"/>
      <c r="B1838"/>
      <c r="C1838"/>
      <c r="D1838"/>
      <c r="E1838"/>
      <c r="F1838"/>
      <c r="G1838"/>
      <c r="H1838"/>
    </row>
    <row r="1839" spans="1:8" ht="14.5" x14ac:dyDescent="0.35">
      <c r="A1839"/>
      <c r="B1839"/>
      <c r="C1839"/>
      <c r="D1839"/>
      <c r="E1839"/>
      <c r="F1839"/>
      <c r="G1839"/>
      <c r="H1839"/>
    </row>
    <row r="1840" spans="1:8" ht="14.5" x14ac:dyDescent="0.35">
      <c r="A1840"/>
      <c r="B1840"/>
      <c r="C1840"/>
      <c r="D1840"/>
      <c r="E1840"/>
      <c r="F1840"/>
      <c r="G1840"/>
      <c r="H1840"/>
    </row>
    <row r="1841" spans="1:8" ht="14.5" x14ac:dyDescent="0.35">
      <c r="A1841"/>
      <c r="B1841"/>
      <c r="C1841"/>
      <c r="D1841"/>
      <c r="E1841"/>
      <c r="F1841"/>
      <c r="G1841"/>
      <c r="H1841"/>
    </row>
    <row r="1842" spans="1:8" ht="14.5" x14ac:dyDescent="0.35">
      <c r="A1842"/>
      <c r="B1842"/>
      <c r="C1842"/>
      <c r="D1842"/>
      <c r="E1842"/>
      <c r="F1842"/>
      <c r="G1842"/>
      <c r="H1842"/>
    </row>
    <row r="1843" spans="1:8" ht="14.5" x14ac:dyDescent="0.35">
      <c r="A1843"/>
      <c r="B1843"/>
      <c r="C1843"/>
      <c r="D1843"/>
      <c r="E1843"/>
      <c r="F1843"/>
      <c r="G1843"/>
      <c r="H1843"/>
    </row>
    <row r="1844" spans="1:8" ht="14.5" x14ac:dyDescent="0.35">
      <c r="A1844"/>
      <c r="B1844"/>
      <c r="C1844"/>
      <c r="D1844"/>
      <c r="E1844"/>
      <c r="F1844"/>
      <c r="G1844"/>
      <c r="H1844"/>
    </row>
    <row r="1845" spans="1:8" ht="14.5" x14ac:dyDescent="0.35">
      <c r="A1845"/>
      <c r="B1845"/>
      <c r="C1845"/>
      <c r="D1845"/>
      <c r="E1845"/>
      <c r="F1845"/>
      <c r="G1845"/>
      <c r="H1845"/>
    </row>
    <row r="1846" spans="1:8" ht="14.5" x14ac:dyDescent="0.35">
      <c r="A1846"/>
      <c r="B1846"/>
      <c r="C1846"/>
      <c r="D1846"/>
      <c r="E1846"/>
      <c r="F1846"/>
      <c r="G1846"/>
      <c r="H1846"/>
    </row>
    <row r="1847" spans="1:8" ht="14.5" x14ac:dyDescent="0.35">
      <c r="A1847"/>
      <c r="B1847"/>
      <c r="C1847"/>
      <c r="D1847"/>
      <c r="E1847"/>
      <c r="F1847"/>
      <c r="G1847"/>
      <c r="H1847"/>
    </row>
    <row r="1848" spans="1:8" ht="14.5" x14ac:dyDescent="0.35">
      <c r="A1848"/>
      <c r="B1848"/>
      <c r="C1848"/>
      <c r="D1848"/>
      <c r="E1848"/>
      <c r="F1848"/>
      <c r="G1848"/>
      <c r="H1848"/>
    </row>
    <row r="1849" spans="1:8" ht="14.5" x14ac:dyDescent="0.35">
      <c r="A1849"/>
      <c r="B1849"/>
      <c r="C1849"/>
      <c r="D1849"/>
      <c r="E1849"/>
      <c r="F1849"/>
      <c r="G1849"/>
      <c r="H1849"/>
    </row>
    <row r="1850" spans="1:8" ht="14.5" x14ac:dyDescent="0.35">
      <c r="A1850"/>
      <c r="B1850"/>
      <c r="C1850"/>
      <c r="D1850"/>
      <c r="E1850"/>
      <c r="F1850"/>
      <c r="G1850"/>
      <c r="H1850"/>
    </row>
    <row r="1851" spans="1:8" ht="14.5" x14ac:dyDescent="0.35">
      <c r="A1851"/>
      <c r="B1851"/>
      <c r="C1851"/>
      <c r="D1851"/>
      <c r="E1851"/>
      <c r="F1851"/>
      <c r="G1851"/>
      <c r="H1851"/>
    </row>
    <row r="1852" spans="1:8" ht="14.5" x14ac:dyDescent="0.35">
      <c r="A1852"/>
      <c r="B1852"/>
      <c r="C1852"/>
      <c r="D1852"/>
      <c r="E1852"/>
      <c r="F1852"/>
      <c r="G1852"/>
      <c r="H1852"/>
    </row>
    <row r="1853" spans="1:8" ht="14.5" x14ac:dyDescent="0.35">
      <c r="A1853"/>
      <c r="B1853"/>
      <c r="C1853"/>
      <c r="D1853"/>
      <c r="E1853"/>
      <c r="F1853"/>
      <c r="G1853"/>
      <c r="H1853"/>
    </row>
    <row r="1854" spans="1:8" ht="14.5" x14ac:dyDescent="0.35">
      <c r="A1854"/>
      <c r="B1854"/>
      <c r="C1854"/>
      <c r="D1854"/>
      <c r="E1854"/>
      <c r="F1854"/>
      <c r="G1854"/>
      <c r="H1854"/>
    </row>
    <row r="1855" spans="1:8" ht="14.5" x14ac:dyDescent="0.35">
      <c r="A1855"/>
      <c r="B1855"/>
      <c r="C1855"/>
      <c r="D1855"/>
      <c r="E1855"/>
      <c r="F1855"/>
      <c r="G1855"/>
      <c r="H1855"/>
    </row>
    <row r="1856" spans="1:8" ht="14.5" x14ac:dyDescent="0.35">
      <c r="A1856"/>
      <c r="B1856"/>
      <c r="C1856"/>
      <c r="D1856"/>
      <c r="E1856"/>
      <c r="F1856"/>
      <c r="G1856"/>
      <c r="H1856"/>
    </row>
    <row r="1857" spans="1:8" ht="14.5" x14ac:dyDescent="0.35">
      <c r="A1857"/>
      <c r="B1857"/>
      <c r="C1857"/>
      <c r="D1857"/>
      <c r="E1857"/>
      <c r="F1857"/>
      <c r="G1857"/>
      <c r="H1857"/>
    </row>
    <row r="1858" spans="1:8" ht="14.5" x14ac:dyDescent="0.35">
      <c r="A1858"/>
      <c r="B1858"/>
      <c r="C1858"/>
      <c r="D1858"/>
      <c r="E1858"/>
      <c r="F1858"/>
      <c r="G1858"/>
      <c r="H1858"/>
    </row>
    <row r="1859" spans="1:8" ht="14.5" x14ac:dyDescent="0.35">
      <c r="A1859"/>
      <c r="B1859"/>
      <c r="C1859"/>
      <c r="D1859"/>
      <c r="E1859"/>
      <c r="F1859"/>
      <c r="G1859"/>
      <c r="H1859"/>
    </row>
    <row r="1860" spans="1:8" ht="14.5" x14ac:dyDescent="0.35">
      <c r="A1860"/>
      <c r="B1860"/>
      <c r="C1860"/>
      <c r="D1860"/>
      <c r="E1860"/>
      <c r="F1860"/>
      <c r="G1860"/>
      <c r="H1860"/>
    </row>
    <row r="1861" spans="1:8" ht="14.5" x14ac:dyDescent="0.35">
      <c r="A1861"/>
      <c r="B1861"/>
      <c r="C1861"/>
      <c r="D1861"/>
      <c r="E1861"/>
      <c r="F1861"/>
      <c r="G1861"/>
      <c r="H1861"/>
    </row>
    <row r="1862" spans="1:8" ht="14.5" x14ac:dyDescent="0.35">
      <c r="A1862"/>
      <c r="B1862"/>
      <c r="C1862"/>
      <c r="D1862"/>
      <c r="E1862"/>
      <c r="F1862"/>
      <c r="G1862"/>
      <c r="H1862"/>
    </row>
    <row r="1863" spans="1:8" ht="14.5" x14ac:dyDescent="0.35">
      <c r="A1863"/>
      <c r="B1863"/>
      <c r="C1863"/>
      <c r="D1863"/>
      <c r="E1863"/>
      <c r="F1863"/>
      <c r="G1863"/>
      <c r="H1863"/>
    </row>
    <row r="1864" spans="1:8" ht="14.5" x14ac:dyDescent="0.35">
      <c r="A1864"/>
      <c r="B1864"/>
      <c r="C1864"/>
      <c r="D1864"/>
      <c r="E1864"/>
      <c r="F1864"/>
      <c r="G1864"/>
      <c r="H1864"/>
    </row>
    <row r="1865" spans="1:8" ht="14.5" x14ac:dyDescent="0.35">
      <c r="A1865"/>
      <c r="B1865"/>
      <c r="C1865"/>
      <c r="D1865"/>
      <c r="E1865"/>
      <c r="F1865"/>
      <c r="G1865"/>
      <c r="H1865"/>
    </row>
    <row r="1866" spans="1:8" ht="14.5" x14ac:dyDescent="0.35">
      <c r="A1866"/>
      <c r="B1866"/>
      <c r="C1866"/>
      <c r="D1866"/>
      <c r="E1866"/>
      <c r="F1866"/>
      <c r="G1866"/>
      <c r="H1866"/>
    </row>
    <row r="1867" spans="1:8" ht="14.5" x14ac:dyDescent="0.35">
      <c r="A1867"/>
      <c r="B1867"/>
      <c r="C1867"/>
      <c r="D1867"/>
      <c r="E1867"/>
      <c r="F1867"/>
      <c r="G1867"/>
      <c r="H1867"/>
    </row>
    <row r="1868" spans="1:8" ht="14.5" x14ac:dyDescent="0.35">
      <c r="A1868"/>
      <c r="B1868"/>
      <c r="C1868"/>
      <c r="D1868"/>
      <c r="E1868"/>
      <c r="F1868"/>
      <c r="G1868"/>
      <c r="H1868"/>
    </row>
    <row r="1869" spans="1:8" ht="14.5" x14ac:dyDescent="0.35">
      <c r="A1869"/>
      <c r="B1869"/>
      <c r="C1869"/>
      <c r="D1869"/>
      <c r="E1869"/>
      <c r="F1869"/>
      <c r="G1869"/>
      <c r="H1869"/>
    </row>
    <row r="1870" spans="1:8" ht="14.5" x14ac:dyDescent="0.35">
      <c r="A1870"/>
      <c r="B1870"/>
      <c r="C1870"/>
      <c r="D1870"/>
      <c r="E1870"/>
      <c r="F1870"/>
      <c r="G1870"/>
      <c r="H1870"/>
    </row>
    <row r="1871" spans="1:8" ht="14.5" x14ac:dyDescent="0.35">
      <c r="A1871"/>
      <c r="B1871"/>
      <c r="C1871"/>
      <c r="D1871"/>
      <c r="E1871"/>
      <c r="F1871"/>
      <c r="G1871"/>
      <c r="H1871"/>
    </row>
    <row r="1872" spans="1:8" ht="14.5" x14ac:dyDescent="0.35">
      <c r="A1872"/>
      <c r="B1872"/>
      <c r="C1872"/>
      <c r="D1872"/>
      <c r="E1872"/>
      <c r="F1872"/>
      <c r="G1872"/>
      <c r="H1872"/>
    </row>
    <row r="1873" spans="1:8" ht="14.5" x14ac:dyDescent="0.35">
      <c r="A1873"/>
      <c r="B1873"/>
      <c r="C1873"/>
      <c r="D1873"/>
      <c r="E1873"/>
      <c r="F1873"/>
      <c r="G1873"/>
      <c r="H1873"/>
    </row>
    <row r="1874" spans="1:8" ht="14.5" x14ac:dyDescent="0.35">
      <c r="A1874"/>
      <c r="B1874"/>
      <c r="C1874"/>
      <c r="D1874"/>
      <c r="E1874"/>
      <c r="F1874"/>
      <c r="G1874"/>
      <c r="H1874"/>
    </row>
    <row r="1875" spans="1:8" ht="14.5" x14ac:dyDescent="0.35">
      <c r="A1875"/>
      <c r="B1875"/>
      <c r="C1875"/>
      <c r="D1875"/>
      <c r="E1875"/>
      <c r="F1875"/>
      <c r="G1875"/>
      <c r="H1875"/>
    </row>
    <row r="1876" spans="1:8" ht="14.5" x14ac:dyDescent="0.35">
      <c r="A1876"/>
      <c r="B1876"/>
      <c r="C1876"/>
      <c r="D1876"/>
      <c r="E1876"/>
      <c r="F1876"/>
      <c r="G1876"/>
      <c r="H1876"/>
    </row>
    <row r="1877" spans="1:8" ht="14.5" x14ac:dyDescent="0.35">
      <c r="A1877"/>
      <c r="B1877"/>
      <c r="C1877"/>
      <c r="D1877"/>
      <c r="E1877"/>
      <c r="F1877"/>
      <c r="G1877"/>
      <c r="H1877"/>
    </row>
    <row r="1878" spans="1:8" ht="14.5" x14ac:dyDescent="0.35">
      <c r="A1878"/>
      <c r="B1878"/>
      <c r="C1878"/>
      <c r="D1878"/>
      <c r="E1878"/>
      <c r="F1878"/>
      <c r="G1878"/>
      <c r="H1878"/>
    </row>
    <row r="1879" spans="1:8" ht="14.5" x14ac:dyDescent="0.35">
      <c r="A1879"/>
      <c r="B1879"/>
      <c r="C1879"/>
      <c r="D1879"/>
      <c r="E1879"/>
      <c r="F1879"/>
      <c r="G1879"/>
      <c r="H1879"/>
    </row>
    <row r="1880" spans="1:8" ht="14.5" x14ac:dyDescent="0.35">
      <c r="A1880"/>
      <c r="B1880"/>
      <c r="C1880"/>
      <c r="D1880"/>
      <c r="E1880"/>
      <c r="F1880"/>
      <c r="G1880"/>
      <c r="H1880"/>
    </row>
    <row r="1881" spans="1:8" ht="14.5" x14ac:dyDescent="0.35">
      <c r="A1881"/>
      <c r="B1881"/>
      <c r="C1881"/>
      <c r="D1881"/>
      <c r="E1881"/>
      <c r="F1881"/>
      <c r="G1881"/>
      <c r="H1881"/>
    </row>
    <row r="1882" spans="1:8" ht="14.5" x14ac:dyDescent="0.35">
      <c r="A1882"/>
      <c r="B1882"/>
      <c r="C1882"/>
      <c r="D1882"/>
      <c r="E1882"/>
      <c r="F1882"/>
      <c r="G1882"/>
      <c r="H1882"/>
    </row>
    <row r="1883" spans="1:8" ht="14.5" x14ac:dyDescent="0.35">
      <c r="A1883"/>
      <c r="B1883"/>
      <c r="C1883"/>
      <c r="D1883"/>
      <c r="E1883"/>
      <c r="F1883"/>
      <c r="G1883"/>
      <c r="H1883"/>
    </row>
    <row r="1884" spans="1:8" ht="14.5" x14ac:dyDescent="0.35">
      <c r="A1884"/>
      <c r="B1884"/>
      <c r="C1884"/>
      <c r="D1884"/>
      <c r="E1884"/>
      <c r="F1884"/>
      <c r="G1884"/>
      <c r="H1884"/>
    </row>
    <row r="1885" spans="1:8" ht="14.5" x14ac:dyDescent="0.35">
      <c r="A1885"/>
      <c r="B1885"/>
      <c r="C1885"/>
      <c r="D1885"/>
      <c r="E1885"/>
      <c r="F1885"/>
      <c r="G1885"/>
      <c r="H1885"/>
    </row>
    <row r="1886" spans="1:8" ht="14.5" x14ac:dyDescent="0.35">
      <c r="A1886"/>
      <c r="B1886"/>
      <c r="C1886"/>
      <c r="D1886"/>
      <c r="E1886"/>
      <c r="F1886"/>
      <c r="G1886"/>
      <c r="H1886"/>
    </row>
    <row r="1887" spans="1:8" ht="14.5" x14ac:dyDescent="0.35">
      <c r="A1887"/>
      <c r="B1887"/>
      <c r="C1887"/>
      <c r="D1887"/>
      <c r="E1887"/>
      <c r="F1887"/>
      <c r="G1887"/>
      <c r="H1887"/>
    </row>
    <row r="1888" spans="1:8" ht="14.5" x14ac:dyDescent="0.35">
      <c r="A1888"/>
      <c r="B1888"/>
      <c r="C1888"/>
      <c r="D1888"/>
      <c r="E1888"/>
      <c r="F1888"/>
      <c r="G1888"/>
      <c r="H1888"/>
    </row>
    <row r="1889" spans="1:8" ht="14.5" x14ac:dyDescent="0.35">
      <c r="A1889"/>
      <c r="B1889"/>
      <c r="C1889"/>
      <c r="D1889"/>
      <c r="E1889"/>
      <c r="F1889"/>
      <c r="G1889"/>
      <c r="H1889"/>
    </row>
    <row r="1890" spans="1:8" ht="14.5" x14ac:dyDescent="0.35">
      <c r="A1890"/>
      <c r="B1890"/>
      <c r="C1890"/>
      <c r="D1890"/>
      <c r="E1890"/>
      <c r="F1890"/>
      <c r="G1890"/>
      <c r="H1890"/>
    </row>
    <row r="1891" spans="1:8" ht="14.5" x14ac:dyDescent="0.35">
      <c r="A1891"/>
      <c r="B1891"/>
      <c r="C1891"/>
      <c r="D1891"/>
      <c r="E1891"/>
      <c r="F1891"/>
      <c r="G1891"/>
      <c r="H1891"/>
    </row>
    <row r="1892" spans="1:8" ht="14.5" x14ac:dyDescent="0.35">
      <c r="A1892"/>
      <c r="B1892"/>
      <c r="C1892"/>
      <c r="D1892"/>
      <c r="E1892"/>
      <c r="F1892"/>
      <c r="G1892"/>
      <c r="H1892"/>
    </row>
    <row r="1893" spans="1:8" ht="14.5" x14ac:dyDescent="0.35">
      <c r="A1893"/>
      <c r="B1893"/>
      <c r="C1893"/>
      <c r="D1893"/>
      <c r="E1893"/>
      <c r="F1893"/>
      <c r="G1893"/>
      <c r="H1893"/>
    </row>
    <row r="1894" spans="1:8" ht="14.5" x14ac:dyDescent="0.35">
      <c r="A1894"/>
      <c r="B1894"/>
      <c r="C1894"/>
      <c r="D1894"/>
      <c r="E1894"/>
      <c r="F1894"/>
      <c r="G1894"/>
      <c r="H1894"/>
    </row>
    <row r="1895" spans="1:8" ht="14.5" x14ac:dyDescent="0.35">
      <c r="A1895"/>
      <c r="B1895"/>
      <c r="C1895"/>
      <c r="D1895"/>
      <c r="E1895"/>
      <c r="F1895"/>
      <c r="G1895"/>
      <c r="H1895"/>
    </row>
    <row r="1896" spans="1:8" ht="14.5" x14ac:dyDescent="0.35">
      <c r="A1896"/>
      <c r="B1896"/>
      <c r="C1896"/>
      <c r="D1896"/>
      <c r="E1896"/>
      <c r="F1896"/>
      <c r="G1896"/>
      <c r="H1896"/>
    </row>
    <row r="1897" spans="1:8" ht="14.5" x14ac:dyDescent="0.35">
      <c r="A1897"/>
      <c r="B1897"/>
      <c r="C1897"/>
      <c r="D1897"/>
      <c r="E1897"/>
      <c r="F1897"/>
      <c r="G1897"/>
      <c r="H1897"/>
    </row>
    <row r="1898" spans="1:8" ht="14.5" x14ac:dyDescent="0.35">
      <c r="A1898"/>
      <c r="B1898"/>
      <c r="C1898"/>
      <c r="D1898"/>
      <c r="E1898"/>
      <c r="F1898"/>
      <c r="G1898"/>
      <c r="H1898"/>
    </row>
    <row r="1899" spans="1:8" ht="14.5" x14ac:dyDescent="0.35">
      <c r="A1899"/>
      <c r="B1899"/>
      <c r="C1899"/>
      <c r="D1899"/>
      <c r="E1899"/>
      <c r="F1899"/>
      <c r="G1899"/>
      <c r="H1899"/>
    </row>
    <row r="1900" spans="1:8" ht="14.5" x14ac:dyDescent="0.35">
      <c r="A1900"/>
      <c r="B1900"/>
      <c r="C1900"/>
      <c r="D1900"/>
      <c r="E1900"/>
      <c r="F1900"/>
      <c r="G1900"/>
      <c r="H1900"/>
    </row>
    <row r="1901" spans="1:8" ht="14.5" x14ac:dyDescent="0.35">
      <c r="A1901"/>
      <c r="B1901"/>
      <c r="C1901"/>
      <c r="D1901"/>
      <c r="E1901"/>
      <c r="F1901"/>
      <c r="G1901"/>
      <c r="H1901"/>
    </row>
    <row r="1902" spans="1:8" ht="14.5" x14ac:dyDescent="0.35">
      <c r="A1902"/>
      <c r="B1902"/>
      <c r="C1902"/>
      <c r="D1902"/>
      <c r="E1902"/>
      <c r="F1902"/>
      <c r="G1902"/>
      <c r="H1902"/>
    </row>
    <row r="1903" spans="1:8" ht="14.5" x14ac:dyDescent="0.35">
      <c r="A1903"/>
      <c r="B1903"/>
      <c r="C1903"/>
      <c r="D1903"/>
      <c r="E1903"/>
      <c r="F1903"/>
      <c r="G1903"/>
      <c r="H1903"/>
    </row>
    <row r="1904" spans="1:8" ht="14.5" x14ac:dyDescent="0.35">
      <c r="A1904"/>
      <c r="B1904"/>
      <c r="C1904"/>
      <c r="D1904"/>
      <c r="E1904"/>
      <c r="F1904"/>
      <c r="G1904"/>
      <c r="H1904"/>
    </row>
    <row r="1905" spans="1:8" ht="14.5" x14ac:dyDescent="0.35">
      <c r="A1905"/>
      <c r="B1905"/>
      <c r="C1905"/>
      <c r="D1905"/>
      <c r="E1905"/>
      <c r="F1905"/>
      <c r="G1905"/>
      <c r="H1905"/>
    </row>
    <row r="1906" spans="1:8" ht="14.5" x14ac:dyDescent="0.35">
      <c r="A1906"/>
      <c r="B1906"/>
      <c r="C1906"/>
      <c r="D1906"/>
      <c r="E1906"/>
      <c r="F1906"/>
      <c r="G1906"/>
      <c r="H1906"/>
    </row>
    <row r="1907" spans="1:8" ht="14.5" x14ac:dyDescent="0.35">
      <c r="A1907"/>
      <c r="B1907"/>
      <c r="C1907"/>
      <c r="D1907"/>
      <c r="E1907"/>
      <c r="F1907"/>
      <c r="G1907"/>
      <c r="H1907"/>
    </row>
    <row r="1908" spans="1:8" ht="14.5" x14ac:dyDescent="0.35">
      <c r="A1908"/>
      <c r="B1908"/>
      <c r="C1908"/>
      <c r="D1908"/>
      <c r="E1908"/>
      <c r="F1908"/>
      <c r="G1908"/>
      <c r="H1908"/>
    </row>
    <row r="1909" spans="1:8" ht="14.5" x14ac:dyDescent="0.35">
      <c r="A1909"/>
      <c r="B1909"/>
      <c r="C1909"/>
      <c r="D1909"/>
      <c r="E1909"/>
      <c r="F1909"/>
      <c r="G1909"/>
      <c r="H1909"/>
    </row>
    <row r="1910" spans="1:8" ht="14.5" x14ac:dyDescent="0.35">
      <c r="A1910"/>
      <c r="B1910"/>
      <c r="C1910"/>
      <c r="D1910"/>
      <c r="E1910"/>
      <c r="F1910"/>
      <c r="G1910"/>
      <c r="H1910"/>
    </row>
    <row r="1911" spans="1:8" ht="14.5" x14ac:dyDescent="0.35">
      <c r="A1911"/>
      <c r="B1911"/>
      <c r="C1911"/>
      <c r="D1911"/>
      <c r="E1911"/>
      <c r="F1911"/>
      <c r="G1911"/>
      <c r="H1911"/>
    </row>
    <row r="1912" spans="1:8" ht="14.5" x14ac:dyDescent="0.35">
      <c r="A1912"/>
      <c r="B1912"/>
      <c r="C1912"/>
      <c r="D1912"/>
      <c r="E1912"/>
      <c r="F1912"/>
      <c r="G1912"/>
      <c r="H1912"/>
    </row>
    <row r="1913" spans="1:8" ht="14.5" x14ac:dyDescent="0.35">
      <c r="A1913"/>
      <c r="B1913"/>
      <c r="C1913"/>
      <c r="D1913"/>
      <c r="E1913"/>
      <c r="F1913"/>
      <c r="G1913"/>
      <c r="H1913"/>
    </row>
    <row r="1914" spans="1:8" ht="14.5" x14ac:dyDescent="0.35">
      <c r="A1914"/>
      <c r="B1914"/>
      <c r="C1914"/>
      <c r="D1914"/>
      <c r="E1914"/>
      <c r="F1914"/>
      <c r="G1914"/>
      <c r="H1914"/>
    </row>
    <row r="1915" spans="1:8" ht="14.5" x14ac:dyDescent="0.35">
      <c r="A1915"/>
      <c r="B1915"/>
      <c r="C1915"/>
      <c r="D1915"/>
      <c r="E1915"/>
      <c r="F1915"/>
      <c r="G1915"/>
      <c r="H1915"/>
    </row>
    <row r="1916" spans="1:8" ht="14.5" x14ac:dyDescent="0.35">
      <c r="A1916"/>
      <c r="B1916"/>
      <c r="C1916"/>
      <c r="D1916"/>
      <c r="E1916"/>
      <c r="F1916"/>
      <c r="G1916"/>
      <c r="H1916"/>
    </row>
    <row r="1917" spans="1:8" ht="14.5" x14ac:dyDescent="0.35">
      <c r="A1917"/>
      <c r="B1917"/>
      <c r="C1917"/>
      <c r="D1917"/>
      <c r="E1917"/>
      <c r="F1917"/>
      <c r="G1917"/>
      <c r="H1917"/>
    </row>
    <row r="1918" spans="1:8" ht="14.5" x14ac:dyDescent="0.35">
      <c r="A1918"/>
      <c r="B1918"/>
      <c r="C1918"/>
      <c r="D1918"/>
      <c r="E1918"/>
      <c r="F1918"/>
      <c r="G1918"/>
      <c r="H1918"/>
    </row>
    <row r="1919" spans="1:8" ht="14.5" x14ac:dyDescent="0.35">
      <c r="A1919"/>
      <c r="B1919"/>
      <c r="C1919"/>
      <c r="D1919"/>
      <c r="E1919"/>
      <c r="F1919"/>
      <c r="G1919"/>
      <c r="H1919"/>
    </row>
    <row r="1920" spans="1:8" ht="14.5" x14ac:dyDescent="0.35">
      <c r="A1920"/>
      <c r="B1920"/>
      <c r="C1920"/>
      <c r="D1920"/>
      <c r="E1920"/>
      <c r="F1920"/>
      <c r="G1920"/>
      <c r="H1920"/>
    </row>
    <row r="1921" spans="1:8" ht="14.5" x14ac:dyDescent="0.35">
      <c r="A1921"/>
      <c r="B1921"/>
      <c r="C1921"/>
      <c r="D1921"/>
      <c r="E1921"/>
      <c r="F1921"/>
      <c r="G1921"/>
      <c r="H1921"/>
    </row>
    <row r="1922" spans="1:8" ht="14.5" x14ac:dyDescent="0.35">
      <c r="A1922"/>
      <c r="B1922"/>
      <c r="C1922"/>
      <c r="D1922"/>
      <c r="E1922"/>
      <c r="F1922"/>
      <c r="G1922"/>
      <c r="H1922"/>
    </row>
    <row r="1923" spans="1:8" ht="14.5" x14ac:dyDescent="0.35">
      <c r="A1923"/>
      <c r="B1923"/>
      <c r="C1923"/>
      <c r="D1923"/>
      <c r="E1923"/>
      <c r="F1923"/>
      <c r="G1923"/>
      <c r="H1923"/>
    </row>
    <row r="1924" spans="1:8" ht="14.5" x14ac:dyDescent="0.35">
      <c r="A1924"/>
      <c r="B1924"/>
      <c r="C1924"/>
      <c r="D1924"/>
      <c r="E1924"/>
      <c r="F1924"/>
      <c r="G1924"/>
      <c r="H1924"/>
    </row>
    <row r="1925" spans="1:8" ht="14.5" x14ac:dyDescent="0.35">
      <c r="A1925"/>
      <c r="B1925"/>
      <c r="C1925"/>
      <c r="D1925"/>
      <c r="E1925"/>
      <c r="F1925"/>
      <c r="G1925"/>
      <c r="H1925"/>
    </row>
    <row r="1926" spans="1:8" ht="14.5" x14ac:dyDescent="0.35">
      <c r="A1926"/>
      <c r="B1926"/>
      <c r="C1926"/>
      <c r="D1926"/>
      <c r="E1926"/>
      <c r="F1926"/>
      <c r="G1926"/>
      <c r="H1926"/>
    </row>
    <row r="1927" spans="1:8" ht="14.5" x14ac:dyDescent="0.35">
      <c r="A1927"/>
      <c r="B1927"/>
      <c r="C1927"/>
      <c r="D1927"/>
      <c r="E1927"/>
      <c r="F1927"/>
      <c r="G1927"/>
      <c r="H1927"/>
    </row>
    <row r="1928" spans="1:8" ht="14.5" x14ac:dyDescent="0.35">
      <c r="A1928"/>
      <c r="B1928"/>
      <c r="C1928"/>
      <c r="D1928"/>
      <c r="E1928"/>
      <c r="F1928"/>
      <c r="G1928"/>
      <c r="H1928"/>
    </row>
    <row r="1929" spans="1:8" ht="14.5" x14ac:dyDescent="0.35">
      <c r="A1929"/>
      <c r="B1929"/>
      <c r="C1929"/>
      <c r="D1929"/>
      <c r="E1929"/>
      <c r="F1929"/>
      <c r="G1929"/>
      <c r="H1929"/>
    </row>
    <row r="1930" spans="1:8" ht="14.5" x14ac:dyDescent="0.35">
      <c r="A1930"/>
      <c r="B1930"/>
      <c r="C1930"/>
      <c r="D1930"/>
      <c r="E1930"/>
      <c r="F1930"/>
      <c r="G1930"/>
      <c r="H1930"/>
    </row>
    <row r="1931" spans="1:8" ht="14.5" x14ac:dyDescent="0.35">
      <c r="A1931"/>
      <c r="B1931"/>
      <c r="C1931"/>
      <c r="D1931"/>
      <c r="E1931"/>
      <c r="F1931"/>
      <c r="G1931"/>
      <c r="H1931"/>
    </row>
    <row r="1932" spans="1:8" ht="14.5" x14ac:dyDescent="0.35">
      <c r="A1932"/>
      <c r="B1932"/>
      <c r="C1932"/>
      <c r="D1932"/>
      <c r="E1932"/>
      <c r="F1932"/>
      <c r="G1932"/>
      <c r="H1932"/>
    </row>
    <row r="1933" spans="1:8" ht="14.5" x14ac:dyDescent="0.35">
      <c r="A1933"/>
      <c r="B1933"/>
      <c r="C1933"/>
      <c r="D1933"/>
      <c r="E1933"/>
      <c r="F1933"/>
      <c r="G1933"/>
      <c r="H1933"/>
    </row>
    <row r="1934" spans="1:8" ht="14.5" x14ac:dyDescent="0.35">
      <c r="A1934"/>
      <c r="B1934"/>
      <c r="C1934"/>
      <c r="D1934"/>
      <c r="E1934"/>
      <c r="F1934"/>
      <c r="G1934"/>
      <c r="H1934"/>
    </row>
    <row r="1935" spans="1:8" ht="14.5" x14ac:dyDescent="0.35">
      <c r="A1935"/>
      <c r="B1935"/>
      <c r="C1935"/>
      <c r="D1935"/>
      <c r="E1935"/>
      <c r="F1935"/>
      <c r="G1935"/>
      <c r="H1935"/>
    </row>
    <row r="1936" spans="1:8" ht="14.5" x14ac:dyDescent="0.35">
      <c r="A1936"/>
      <c r="B1936"/>
      <c r="C1936"/>
      <c r="D1936"/>
      <c r="E1936"/>
      <c r="F1936"/>
      <c r="G1936"/>
      <c r="H1936"/>
    </row>
    <row r="1937" spans="1:8" ht="14.5" x14ac:dyDescent="0.35">
      <c r="A1937"/>
      <c r="B1937"/>
      <c r="C1937"/>
      <c r="D1937"/>
      <c r="E1937"/>
      <c r="F1937"/>
      <c r="G1937"/>
      <c r="H1937"/>
    </row>
    <row r="1938" spans="1:8" ht="14.5" x14ac:dyDescent="0.35">
      <c r="A1938"/>
      <c r="B1938"/>
      <c r="C1938"/>
      <c r="D1938"/>
      <c r="E1938"/>
      <c r="F1938"/>
      <c r="G1938"/>
      <c r="H1938"/>
    </row>
    <row r="1939" spans="1:8" ht="14.5" x14ac:dyDescent="0.35">
      <c r="A1939"/>
      <c r="B1939"/>
      <c r="C1939"/>
      <c r="D1939"/>
      <c r="E1939"/>
      <c r="F1939"/>
      <c r="G1939"/>
      <c r="H1939"/>
    </row>
    <row r="1940" spans="1:8" ht="14.5" x14ac:dyDescent="0.35">
      <c r="A1940"/>
      <c r="B1940"/>
      <c r="C1940"/>
      <c r="D1940"/>
      <c r="E1940"/>
      <c r="F1940"/>
      <c r="G1940"/>
      <c r="H1940"/>
    </row>
    <row r="1941" spans="1:8" ht="14.5" x14ac:dyDescent="0.35">
      <c r="A1941"/>
      <c r="B1941"/>
      <c r="C1941"/>
      <c r="D1941"/>
      <c r="E1941"/>
      <c r="F1941"/>
      <c r="G1941"/>
      <c r="H1941"/>
    </row>
    <row r="1942" spans="1:8" ht="14.5" x14ac:dyDescent="0.35">
      <c r="A1942"/>
      <c r="B1942"/>
      <c r="C1942"/>
      <c r="D1942"/>
      <c r="E1942"/>
      <c r="F1942"/>
      <c r="G1942"/>
      <c r="H1942"/>
    </row>
    <row r="1943" spans="1:8" ht="14.5" x14ac:dyDescent="0.35">
      <c r="A1943"/>
      <c r="B1943"/>
      <c r="C1943"/>
      <c r="D1943"/>
      <c r="E1943"/>
      <c r="F1943"/>
      <c r="G1943"/>
      <c r="H1943"/>
    </row>
    <row r="1944" spans="1:8" ht="14.5" x14ac:dyDescent="0.35">
      <c r="A1944"/>
      <c r="B1944"/>
      <c r="C1944"/>
      <c r="D1944"/>
      <c r="E1944"/>
      <c r="F1944"/>
      <c r="G1944"/>
      <c r="H1944"/>
    </row>
    <row r="1945" spans="1:8" ht="14.5" x14ac:dyDescent="0.35">
      <c r="A1945"/>
      <c r="B1945"/>
      <c r="C1945"/>
      <c r="D1945"/>
      <c r="E1945"/>
      <c r="F1945"/>
      <c r="G1945"/>
      <c r="H1945"/>
    </row>
    <row r="1946" spans="1:8" ht="14.5" x14ac:dyDescent="0.35">
      <c r="A1946"/>
      <c r="B1946"/>
      <c r="C1946"/>
      <c r="D1946"/>
      <c r="E1946"/>
      <c r="F1946"/>
      <c r="G1946"/>
      <c r="H1946"/>
    </row>
    <row r="1947" spans="1:8" ht="14.5" x14ac:dyDescent="0.35">
      <c r="A1947"/>
      <c r="B1947"/>
      <c r="C1947"/>
      <c r="D1947"/>
      <c r="E1947"/>
      <c r="F1947"/>
      <c r="G1947"/>
      <c r="H1947"/>
    </row>
    <row r="1948" spans="1:8" ht="14.5" x14ac:dyDescent="0.35">
      <c r="A1948"/>
      <c r="B1948"/>
      <c r="C1948"/>
      <c r="D1948"/>
      <c r="E1948"/>
      <c r="F1948"/>
      <c r="G1948"/>
      <c r="H1948"/>
    </row>
    <row r="1949" spans="1:8" ht="14.5" x14ac:dyDescent="0.35">
      <c r="A1949"/>
      <c r="B1949"/>
      <c r="C1949"/>
      <c r="D1949"/>
      <c r="E1949"/>
      <c r="F1949"/>
      <c r="G1949"/>
      <c r="H1949"/>
    </row>
    <row r="1950" spans="1:8" ht="14.5" x14ac:dyDescent="0.35">
      <c r="A1950"/>
      <c r="B1950"/>
      <c r="C1950"/>
      <c r="D1950"/>
      <c r="E1950"/>
      <c r="F1950"/>
      <c r="G1950"/>
      <c r="H1950"/>
    </row>
    <row r="1951" spans="1:8" ht="14.5" x14ac:dyDescent="0.35">
      <c r="A1951"/>
      <c r="B1951"/>
      <c r="C1951"/>
      <c r="D1951"/>
      <c r="E1951"/>
      <c r="F1951"/>
      <c r="G1951"/>
      <c r="H1951"/>
    </row>
    <row r="1952" spans="1:8" ht="14.5" x14ac:dyDescent="0.35">
      <c r="A1952"/>
      <c r="B1952"/>
      <c r="C1952"/>
      <c r="D1952"/>
      <c r="E1952"/>
      <c r="F1952"/>
      <c r="G1952"/>
      <c r="H1952"/>
    </row>
    <row r="1953" spans="1:8" ht="14.5" x14ac:dyDescent="0.35">
      <c r="A1953"/>
      <c r="B1953"/>
      <c r="C1953"/>
      <c r="D1953"/>
      <c r="E1953"/>
      <c r="F1953"/>
      <c r="G1953"/>
      <c r="H1953"/>
    </row>
    <row r="1954" spans="1:8" ht="14.5" x14ac:dyDescent="0.35">
      <c r="A1954"/>
      <c r="B1954"/>
      <c r="C1954"/>
      <c r="D1954"/>
      <c r="E1954"/>
      <c r="F1954"/>
      <c r="G1954"/>
      <c r="H1954"/>
    </row>
    <row r="1955" spans="1:8" ht="14.5" x14ac:dyDescent="0.35">
      <c r="A1955"/>
      <c r="B1955"/>
      <c r="C1955"/>
      <c r="D1955"/>
      <c r="E1955"/>
      <c r="F1955"/>
      <c r="G1955"/>
      <c r="H1955"/>
    </row>
    <row r="1956" spans="1:8" ht="14.5" x14ac:dyDescent="0.35">
      <c r="A1956"/>
      <c r="B1956"/>
      <c r="C1956"/>
      <c r="D1956"/>
      <c r="E1956"/>
      <c r="F1956"/>
      <c r="G1956"/>
      <c r="H1956"/>
    </row>
    <row r="1957" spans="1:8" ht="14.5" x14ac:dyDescent="0.35">
      <c r="A1957"/>
      <c r="B1957"/>
      <c r="C1957"/>
      <c r="D1957"/>
      <c r="E1957"/>
      <c r="F1957"/>
      <c r="G1957"/>
      <c r="H1957"/>
    </row>
    <row r="1958" spans="1:8" ht="14.5" x14ac:dyDescent="0.35">
      <c r="A1958"/>
      <c r="B1958"/>
      <c r="C1958"/>
      <c r="D1958"/>
      <c r="E1958"/>
      <c r="F1958"/>
      <c r="G1958"/>
      <c r="H1958"/>
    </row>
    <row r="1959" spans="1:8" ht="14.5" x14ac:dyDescent="0.35">
      <c r="A1959"/>
      <c r="B1959"/>
      <c r="C1959"/>
      <c r="D1959"/>
      <c r="E1959"/>
      <c r="F1959"/>
      <c r="G1959"/>
      <c r="H1959"/>
    </row>
    <row r="1960" spans="1:8" ht="14.5" x14ac:dyDescent="0.35">
      <c r="A1960"/>
      <c r="B1960"/>
      <c r="C1960"/>
      <c r="D1960"/>
      <c r="E1960"/>
      <c r="F1960"/>
      <c r="G1960"/>
      <c r="H1960"/>
    </row>
    <row r="1961" spans="1:8" ht="14.5" x14ac:dyDescent="0.35">
      <c r="A1961"/>
      <c r="B1961"/>
      <c r="C1961"/>
      <c r="D1961"/>
      <c r="E1961"/>
      <c r="F1961"/>
      <c r="G1961"/>
      <c r="H1961"/>
    </row>
    <row r="1962" spans="1:8" ht="14.5" x14ac:dyDescent="0.35">
      <c r="A1962"/>
      <c r="B1962"/>
      <c r="C1962"/>
      <c r="D1962"/>
      <c r="E1962"/>
      <c r="F1962"/>
      <c r="G1962"/>
      <c r="H1962"/>
    </row>
    <row r="1963" spans="1:8" ht="14.5" x14ac:dyDescent="0.35">
      <c r="A1963"/>
      <c r="B1963"/>
      <c r="C1963"/>
      <c r="D1963"/>
      <c r="E1963"/>
      <c r="F1963"/>
      <c r="G1963"/>
      <c r="H1963"/>
    </row>
    <row r="1964" spans="1:8" ht="14.5" x14ac:dyDescent="0.35">
      <c r="A1964"/>
      <c r="B1964"/>
      <c r="C1964"/>
      <c r="D1964"/>
      <c r="E1964"/>
      <c r="F1964"/>
      <c r="G1964"/>
      <c r="H1964"/>
    </row>
    <row r="1965" spans="1:8" ht="14.5" x14ac:dyDescent="0.35">
      <c r="A1965"/>
      <c r="B1965"/>
      <c r="C1965"/>
      <c r="D1965"/>
      <c r="E1965"/>
      <c r="F1965"/>
      <c r="G1965"/>
      <c r="H1965"/>
    </row>
    <row r="1966" spans="1:8" ht="14.5" x14ac:dyDescent="0.35">
      <c r="A1966"/>
      <c r="B1966"/>
      <c r="C1966"/>
      <c r="D1966"/>
      <c r="E1966"/>
      <c r="F1966"/>
      <c r="G1966"/>
      <c r="H1966"/>
    </row>
    <row r="1967" spans="1:8" ht="14.5" x14ac:dyDescent="0.35">
      <c r="A1967"/>
      <c r="B1967"/>
      <c r="C1967"/>
      <c r="D1967"/>
      <c r="E1967"/>
      <c r="F1967"/>
      <c r="G1967"/>
      <c r="H1967"/>
    </row>
    <row r="1968" spans="1:8" ht="14.5" x14ac:dyDescent="0.35">
      <c r="A1968"/>
      <c r="B1968"/>
      <c r="C1968"/>
      <c r="D1968"/>
      <c r="E1968"/>
      <c r="F1968"/>
      <c r="G1968"/>
      <c r="H1968"/>
    </row>
    <row r="1969" spans="1:8" ht="14.5" x14ac:dyDescent="0.35">
      <c r="A1969"/>
      <c r="B1969"/>
      <c r="C1969"/>
      <c r="D1969"/>
      <c r="E1969"/>
      <c r="F1969"/>
      <c r="G1969"/>
      <c r="H1969"/>
    </row>
    <row r="1970" spans="1:8" ht="14.5" x14ac:dyDescent="0.35">
      <c r="A1970"/>
      <c r="B1970"/>
      <c r="C1970"/>
      <c r="D1970"/>
      <c r="E1970"/>
      <c r="F1970"/>
      <c r="G1970"/>
      <c r="H1970"/>
    </row>
    <row r="1971" spans="1:8" ht="14.5" x14ac:dyDescent="0.35">
      <c r="A1971"/>
      <c r="B1971"/>
      <c r="C1971"/>
      <c r="D1971"/>
      <c r="E1971"/>
      <c r="F1971"/>
      <c r="G1971"/>
      <c r="H1971"/>
    </row>
    <row r="1972" spans="1:8" ht="14.5" x14ac:dyDescent="0.35">
      <c r="A1972"/>
      <c r="B1972"/>
      <c r="C1972"/>
      <c r="D1972"/>
      <c r="E1972"/>
      <c r="F1972"/>
      <c r="G1972"/>
      <c r="H1972"/>
    </row>
    <row r="1973" spans="1:8" ht="14.5" x14ac:dyDescent="0.35">
      <c r="A1973"/>
      <c r="B1973"/>
      <c r="C1973"/>
      <c r="D1973"/>
      <c r="E1973"/>
      <c r="F1973"/>
      <c r="G1973"/>
      <c r="H1973"/>
    </row>
    <row r="1974" spans="1:8" ht="14.5" x14ac:dyDescent="0.35">
      <c r="A1974"/>
      <c r="B1974"/>
      <c r="C1974"/>
      <c r="D1974"/>
      <c r="E1974"/>
      <c r="F1974"/>
      <c r="G1974"/>
      <c r="H1974"/>
    </row>
    <row r="1975" spans="1:8" ht="14.5" x14ac:dyDescent="0.35">
      <c r="A1975"/>
      <c r="B1975"/>
      <c r="C1975"/>
      <c r="D1975"/>
      <c r="E1975"/>
      <c r="F1975"/>
      <c r="G1975"/>
      <c r="H1975"/>
    </row>
    <row r="1976" spans="1:8" ht="14.5" x14ac:dyDescent="0.35">
      <c r="A1976"/>
      <c r="B1976"/>
      <c r="C1976"/>
      <c r="D1976"/>
      <c r="E1976"/>
      <c r="F1976"/>
      <c r="G1976"/>
      <c r="H1976"/>
    </row>
    <row r="1977" spans="1:8" ht="14.5" x14ac:dyDescent="0.35">
      <c r="A1977"/>
      <c r="B1977"/>
      <c r="C1977"/>
      <c r="D1977"/>
      <c r="E1977"/>
      <c r="F1977"/>
      <c r="G1977"/>
      <c r="H1977"/>
    </row>
    <row r="1978" spans="1:8" ht="14.5" x14ac:dyDescent="0.35">
      <c r="A1978"/>
      <c r="B1978"/>
      <c r="C1978"/>
      <c r="D1978"/>
      <c r="E1978"/>
      <c r="F1978"/>
      <c r="G1978"/>
      <c r="H1978"/>
    </row>
    <row r="1979" spans="1:8" ht="14.5" x14ac:dyDescent="0.35">
      <c r="A1979"/>
      <c r="B1979"/>
      <c r="C1979"/>
      <c r="D1979"/>
      <c r="E1979"/>
      <c r="F1979"/>
      <c r="G1979"/>
      <c r="H1979"/>
    </row>
    <row r="1980" spans="1:8" ht="14.5" x14ac:dyDescent="0.35">
      <c r="A1980"/>
      <c r="B1980"/>
      <c r="C1980"/>
      <c r="D1980"/>
      <c r="E1980"/>
      <c r="F1980"/>
      <c r="G1980"/>
      <c r="H1980"/>
    </row>
    <row r="1981" spans="1:8" ht="14.5" x14ac:dyDescent="0.35">
      <c r="A1981"/>
      <c r="B1981"/>
      <c r="C1981"/>
      <c r="D1981"/>
      <c r="E1981"/>
      <c r="F1981"/>
      <c r="G1981"/>
      <c r="H1981"/>
    </row>
    <row r="1982" spans="1:8" ht="14.5" x14ac:dyDescent="0.35">
      <c r="A1982"/>
      <c r="B1982"/>
      <c r="C1982"/>
      <c r="D1982"/>
      <c r="E1982"/>
      <c r="F1982"/>
      <c r="G1982"/>
      <c r="H1982"/>
    </row>
    <row r="1983" spans="1:8" ht="14.5" x14ac:dyDescent="0.35">
      <c r="A1983"/>
      <c r="B1983"/>
      <c r="C1983"/>
      <c r="D1983"/>
      <c r="E1983"/>
      <c r="F1983"/>
      <c r="G1983"/>
      <c r="H1983"/>
    </row>
    <row r="1984" spans="1:8" ht="14.5" x14ac:dyDescent="0.35">
      <c r="A1984"/>
      <c r="B1984"/>
      <c r="C1984"/>
      <c r="D1984"/>
      <c r="E1984"/>
      <c r="F1984"/>
      <c r="G1984"/>
      <c r="H1984"/>
    </row>
    <row r="1985" spans="1:8" ht="14.5" x14ac:dyDescent="0.35">
      <c r="A1985"/>
      <c r="B1985"/>
      <c r="C1985"/>
      <c r="D1985"/>
      <c r="E1985"/>
      <c r="F1985"/>
      <c r="G1985"/>
      <c r="H1985"/>
    </row>
    <row r="1986" spans="1:8" ht="14.5" x14ac:dyDescent="0.35">
      <c r="A1986"/>
      <c r="B1986"/>
      <c r="C1986"/>
      <c r="D1986"/>
      <c r="E1986"/>
      <c r="F1986"/>
      <c r="G1986"/>
      <c r="H1986"/>
    </row>
    <row r="1987" spans="1:8" ht="14.5" x14ac:dyDescent="0.35">
      <c r="A1987"/>
      <c r="B1987"/>
      <c r="C1987"/>
      <c r="D1987"/>
      <c r="E1987"/>
      <c r="F1987"/>
      <c r="G1987"/>
      <c r="H1987"/>
    </row>
    <row r="1988" spans="1:8" ht="14.5" x14ac:dyDescent="0.35">
      <c r="A1988"/>
      <c r="B1988"/>
      <c r="C1988"/>
      <c r="D1988"/>
      <c r="E1988"/>
      <c r="F1988"/>
      <c r="G1988"/>
      <c r="H1988"/>
    </row>
    <row r="1989" spans="1:8" ht="14.5" x14ac:dyDescent="0.35">
      <c r="A1989"/>
      <c r="B1989"/>
      <c r="C1989"/>
      <c r="D1989"/>
      <c r="E1989"/>
      <c r="F1989"/>
      <c r="G1989"/>
      <c r="H1989"/>
    </row>
    <row r="1990" spans="1:8" ht="14.5" x14ac:dyDescent="0.35">
      <c r="A1990"/>
      <c r="B1990"/>
      <c r="C1990"/>
      <c r="D1990"/>
      <c r="E1990"/>
      <c r="F1990"/>
      <c r="G1990"/>
      <c r="H1990"/>
    </row>
    <row r="1991" spans="1:8" ht="14.5" x14ac:dyDescent="0.35">
      <c r="A1991"/>
      <c r="B1991"/>
      <c r="C1991"/>
      <c r="D1991"/>
      <c r="E1991"/>
      <c r="F1991"/>
      <c r="G1991"/>
      <c r="H1991"/>
    </row>
    <row r="1992" spans="1:8" ht="14.5" x14ac:dyDescent="0.35">
      <c r="A1992"/>
      <c r="B1992"/>
      <c r="C1992"/>
      <c r="D1992"/>
      <c r="E1992"/>
      <c r="F1992"/>
      <c r="G1992"/>
      <c r="H1992"/>
    </row>
    <row r="1993" spans="1:8" ht="14.5" x14ac:dyDescent="0.35">
      <c r="A1993"/>
      <c r="B1993"/>
      <c r="C1993"/>
      <c r="D1993"/>
      <c r="E1993"/>
      <c r="F1993"/>
      <c r="G1993"/>
      <c r="H1993"/>
    </row>
    <row r="1994" spans="1:8" ht="14.5" x14ac:dyDescent="0.35">
      <c r="A1994"/>
      <c r="B1994"/>
      <c r="C1994"/>
      <c r="D1994"/>
      <c r="E1994"/>
      <c r="F1994"/>
      <c r="G1994"/>
      <c r="H1994"/>
    </row>
    <row r="1995" spans="1:8" ht="14.5" x14ac:dyDescent="0.35">
      <c r="A1995"/>
      <c r="B1995"/>
      <c r="C1995"/>
      <c r="D1995"/>
      <c r="E1995"/>
      <c r="F1995"/>
      <c r="G1995"/>
      <c r="H1995"/>
    </row>
    <row r="1996" spans="1:8" ht="14.5" x14ac:dyDescent="0.35">
      <c r="A1996"/>
      <c r="B1996"/>
      <c r="C1996"/>
      <c r="D1996"/>
      <c r="E1996"/>
      <c r="F1996"/>
      <c r="G1996"/>
      <c r="H1996"/>
    </row>
    <row r="1997" spans="1:8" ht="14.5" x14ac:dyDescent="0.35">
      <c r="A1997"/>
      <c r="B1997"/>
      <c r="C1997"/>
      <c r="D1997"/>
      <c r="E1997"/>
      <c r="F1997"/>
      <c r="G1997"/>
      <c r="H1997"/>
    </row>
    <row r="1998" spans="1:8" ht="14.5" x14ac:dyDescent="0.35">
      <c r="A1998"/>
      <c r="B1998"/>
      <c r="C1998"/>
      <c r="D1998"/>
      <c r="E1998"/>
      <c r="F1998"/>
      <c r="G1998"/>
      <c r="H1998"/>
    </row>
    <row r="1999" spans="1:8" ht="14.5" x14ac:dyDescent="0.35">
      <c r="A1999"/>
      <c r="B1999"/>
      <c r="C1999"/>
      <c r="D1999"/>
      <c r="E1999"/>
      <c r="F1999"/>
      <c r="G1999"/>
      <c r="H1999"/>
    </row>
    <row r="2000" spans="1:8" ht="14.5" x14ac:dyDescent="0.35">
      <c r="A2000"/>
      <c r="B2000"/>
      <c r="C2000"/>
      <c r="D2000"/>
      <c r="E2000"/>
      <c r="F2000"/>
      <c r="G2000"/>
      <c r="H2000"/>
    </row>
    <row r="2001" spans="1:8" ht="14.5" x14ac:dyDescent="0.35">
      <c r="A2001"/>
      <c r="B2001"/>
      <c r="C2001"/>
      <c r="D2001"/>
      <c r="E2001"/>
      <c r="F2001"/>
      <c r="G2001"/>
      <c r="H2001"/>
    </row>
    <row r="2002" spans="1:8" ht="14.5" x14ac:dyDescent="0.35">
      <c r="A2002"/>
      <c r="B2002"/>
      <c r="C2002"/>
      <c r="D2002"/>
      <c r="E2002"/>
      <c r="F2002"/>
      <c r="G2002"/>
      <c r="H2002"/>
    </row>
    <row r="2003" spans="1:8" ht="14.5" x14ac:dyDescent="0.35">
      <c r="A2003"/>
      <c r="B2003"/>
      <c r="C2003"/>
      <c r="D2003"/>
      <c r="E2003"/>
      <c r="F2003"/>
      <c r="G2003"/>
      <c r="H2003"/>
    </row>
    <row r="2004" spans="1:8" ht="14.5" x14ac:dyDescent="0.35">
      <c r="A2004"/>
      <c r="B2004"/>
      <c r="C2004"/>
      <c r="D2004"/>
      <c r="E2004"/>
      <c r="F2004"/>
      <c r="G2004"/>
      <c r="H2004"/>
    </row>
    <row r="2005" spans="1:8" ht="14.5" x14ac:dyDescent="0.35">
      <c r="A2005"/>
      <c r="B2005"/>
      <c r="C2005"/>
      <c r="D2005"/>
      <c r="E2005"/>
      <c r="F2005"/>
      <c r="G2005"/>
      <c r="H2005"/>
    </row>
    <row r="2006" spans="1:8" ht="14.5" x14ac:dyDescent="0.35">
      <c r="A2006"/>
      <c r="B2006"/>
      <c r="C2006"/>
      <c r="D2006"/>
      <c r="E2006"/>
      <c r="F2006"/>
      <c r="G2006"/>
      <c r="H2006"/>
    </row>
    <row r="2007" spans="1:8" ht="14.5" x14ac:dyDescent="0.35">
      <c r="A2007"/>
      <c r="B2007"/>
      <c r="C2007"/>
      <c r="D2007"/>
      <c r="E2007"/>
      <c r="F2007"/>
      <c r="G2007"/>
      <c r="H2007"/>
    </row>
    <row r="2008" spans="1:8" ht="14.5" x14ac:dyDescent="0.35">
      <c r="A2008"/>
      <c r="B2008"/>
      <c r="C2008"/>
      <c r="D2008"/>
      <c r="E2008"/>
      <c r="F2008"/>
      <c r="G2008"/>
      <c r="H2008"/>
    </row>
    <row r="2009" spans="1:8" ht="14.5" x14ac:dyDescent="0.35">
      <c r="A2009"/>
      <c r="B2009"/>
      <c r="C2009"/>
      <c r="D2009"/>
      <c r="E2009"/>
      <c r="F2009"/>
      <c r="G2009"/>
      <c r="H2009"/>
    </row>
    <row r="2010" spans="1:8" ht="14.5" x14ac:dyDescent="0.35">
      <c r="A2010"/>
      <c r="B2010"/>
      <c r="C2010"/>
      <c r="D2010"/>
      <c r="E2010"/>
      <c r="F2010"/>
      <c r="G2010"/>
      <c r="H2010"/>
    </row>
    <row r="2011" spans="1:8" ht="14.5" x14ac:dyDescent="0.35">
      <c r="A2011"/>
      <c r="B2011"/>
      <c r="C2011"/>
      <c r="D2011"/>
      <c r="E2011"/>
      <c r="F2011"/>
      <c r="G2011"/>
      <c r="H2011"/>
    </row>
    <row r="2012" spans="1:8" ht="14.5" x14ac:dyDescent="0.35">
      <c r="A2012"/>
      <c r="B2012"/>
      <c r="C2012"/>
      <c r="D2012"/>
      <c r="E2012"/>
      <c r="F2012"/>
      <c r="G2012"/>
      <c r="H2012"/>
    </row>
    <row r="2013" spans="1:8" ht="14.5" x14ac:dyDescent="0.35">
      <c r="A2013"/>
      <c r="B2013"/>
      <c r="C2013"/>
      <c r="D2013"/>
      <c r="E2013"/>
      <c r="F2013"/>
      <c r="G2013"/>
      <c r="H2013"/>
    </row>
    <row r="2014" spans="1:8" ht="14.5" x14ac:dyDescent="0.35">
      <c r="A2014"/>
      <c r="B2014"/>
      <c r="C2014"/>
      <c r="D2014"/>
      <c r="E2014"/>
      <c r="F2014"/>
      <c r="G2014"/>
      <c r="H2014"/>
    </row>
    <row r="2015" spans="1:8" ht="14.5" x14ac:dyDescent="0.35">
      <c r="A2015"/>
      <c r="B2015"/>
      <c r="C2015"/>
      <c r="D2015"/>
      <c r="E2015"/>
      <c r="F2015"/>
      <c r="G2015"/>
      <c r="H2015"/>
    </row>
    <row r="2016" spans="1:8" ht="14.5" x14ac:dyDescent="0.35">
      <c r="A2016"/>
      <c r="B2016"/>
      <c r="C2016"/>
      <c r="D2016"/>
      <c r="E2016"/>
      <c r="F2016"/>
      <c r="G2016"/>
      <c r="H2016"/>
    </row>
    <row r="2017" spans="1:8" ht="14.5" x14ac:dyDescent="0.35">
      <c r="A2017"/>
      <c r="B2017"/>
      <c r="C2017"/>
      <c r="D2017"/>
      <c r="E2017"/>
      <c r="F2017"/>
      <c r="G2017"/>
      <c r="H2017"/>
    </row>
    <row r="2018" spans="1:8" ht="14.5" x14ac:dyDescent="0.35">
      <c r="A2018"/>
      <c r="B2018"/>
      <c r="C2018"/>
      <c r="D2018"/>
      <c r="E2018"/>
      <c r="F2018"/>
      <c r="G2018"/>
      <c r="H2018"/>
    </row>
    <row r="2019" spans="1:8" ht="14.5" x14ac:dyDescent="0.35">
      <c r="A2019"/>
      <c r="B2019"/>
      <c r="C2019"/>
      <c r="D2019"/>
      <c r="E2019"/>
      <c r="F2019"/>
      <c r="G2019"/>
      <c r="H2019"/>
    </row>
    <row r="2020" spans="1:8" ht="14.5" x14ac:dyDescent="0.35">
      <c r="A2020"/>
      <c r="B2020"/>
      <c r="C2020"/>
      <c r="D2020"/>
      <c r="E2020"/>
      <c r="F2020"/>
      <c r="G2020"/>
      <c r="H2020"/>
    </row>
    <row r="2021" spans="1:8" ht="14.5" x14ac:dyDescent="0.35">
      <c r="A2021"/>
      <c r="B2021"/>
      <c r="C2021"/>
      <c r="D2021"/>
      <c r="E2021"/>
      <c r="F2021"/>
      <c r="G2021"/>
      <c r="H2021"/>
    </row>
    <row r="2022" spans="1:8" ht="14.5" x14ac:dyDescent="0.35">
      <c r="A2022"/>
      <c r="B2022"/>
      <c r="C2022"/>
      <c r="D2022"/>
      <c r="E2022"/>
      <c r="F2022"/>
      <c r="G2022"/>
      <c r="H2022"/>
    </row>
    <row r="2023" spans="1:8" ht="14.5" x14ac:dyDescent="0.35">
      <c r="A2023"/>
      <c r="B2023"/>
      <c r="C2023"/>
      <c r="D2023"/>
      <c r="E2023"/>
      <c r="F2023"/>
      <c r="G2023"/>
      <c r="H2023"/>
    </row>
    <row r="2024" spans="1:8" ht="14.5" x14ac:dyDescent="0.35">
      <c r="A2024"/>
      <c r="B2024"/>
      <c r="C2024"/>
      <c r="D2024"/>
      <c r="E2024"/>
      <c r="F2024"/>
      <c r="G2024"/>
      <c r="H2024"/>
    </row>
    <row r="2025" spans="1:8" ht="14.5" x14ac:dyDescent="0.35">
      <c r="A2025"/>
      <c r="B2025"/>
      <c r="C2025"/>
      <c r="D2025"/>
      <c r="E2025"/>
      <c r="F2025"/>
      <c r="G2025"/>
      <c r="H2025"/>
    </row>
    <row r="2026" spans="1:8" ht="14.5" x14ac:dyDescent="0.35">
      <c r="A2026"/>
      <c r="B2026"/>
      <c r="C2026"/>
      <c r="D2026"/>
      <c r="E2026"/>
      <c r="F2026"/>
      <c r="G2026"/>
      <c r="H2026"/>
    </row>
    <row r="2027" spans="1:8" ht="14.5" x14ac:dyDescent="0.35">
      <c r="A2027"/>
      <c r="B2027"/>
      <c r="C2027"/>
      <c r="D2027"/>
      <c r="E2027"/>
      <c r="F2027"/>
      <c r="G2027"/>
      <c r="H2027"/>
    </row>
    <row r="2028" spans="1:8" ht="14.5" x14ac:dyDescent="0.35">
      <c r="A2028"/>
      <c r="B2028"/>
      <c r="C2028"/>
      <c r="D2028"/>
      <c r="E2028"/>
      <c r="F2028"/>
      <c r="G2028"/>
      <c r="H2028"/>
    </row>
    <row r="2029" spans="1:8" ht="14.5" x14ac:dyDescent="0.35">
      <c r="A2029"/>
      <c r="B2029"/>
      <c r="C2029"/>
      <c r="D2029"/>
      <c r="E2029"/>
      <c r="F2029"/>
      <c r="G2029"/>
      <c r="H2029"/>
    </row>
    <row r="2030" spans="1:8" ht="14.5" x14ac:dyDescent="0.35">
      <c r="A2030"/>
      <c r="B2030"/>
      <c r="C2030"/>
      <c r="D2030"/>
      <c r="E2030"/>
      <c r="F2030"/>
      <c r="G2030"/>
      <c r="H2030"/>
    </row>
    <row r="2031" spans="1:8" ht="14.5" x14ac:dyDescent="0.35">
      <c r="A2031"/>
      <c r="B2031"/>
      <c r="C2031"/>
      <c r="D2031"/>
      <c r="E2031"/>
      <c r="F2031"/>
      <c r="G2031"/>
      <c r="H2031"/>
    </row>
    <row r="2032" spans="1:8" ht="14.5" x14ac:dyDescent="0.35">
      <c r="A2032"/>
      <c r="B2032"/>
      <c r="C2032"/>
      <c r="D2032"/>
      <c r="E2032"/>
      <c r="F2032"/>
      <c r="G2032"/>
      <c r="H2032"/>
    </row>
    <row r="2033" spans="1:8" ht="14.5" x14ac:dyDescent="0.35">
      <c r="A2033"/>
      <c r="B2033"/>
      <c r="C2033"/>
      <c r="D2033"/>
      <c r="E2033"/>
      <c r="F2033"/>
      <c r="G2033"/>
      <c r="H2033"/>
    </row>
    <row r="2034" spans="1:8" ht="14.5" x14ac:dyDescent="0.35">
      <c r="A2034"/>
      <c r="B2034"/>
      <c r="C2034"/>
      <c r="D2034"/>
      <c r="E2034"/>
      <c r="F2034"/>
      <c r="G2034"/>
      <c r="H2034"/>
    </row>
    <row r="2035" spans="1:8" ht="14.5" x14ac:dyDescent="0.35">
      <c r="A2035"/>
      <c r="B2035"/>
      <c r="C2035"/>
      <c r="D2035"/>
      <c r="E2035"/>
      <c r="F2035"/>
      <c r="G2035"/>
      <c r="H2035"/>
    </row>
    <row r="2036" spans="1:8" ht="14.5" x14ac:dyDescent="0.35">
      <c r="A2036"/>
      <c r="B2036"/>
      <c r="C2036"/>
      <c r="D2036"/>
      <c r="E2036"/>
      <c r="F2036"/>
      <c r="G2036"/>
      <c r="H2036"/>
    </row>
    <row r="2037" spans="1:8" ht="14.5" x14ac:dyDescent="0.35">
      <c r="A2037"/>
      <c r="B2037"/>
      <c r="C2037"/>
      <c r="D2037"/>
      <c r="E2037"/>
      <c r="F2037"/>
      <c r="G2037"/>
      <c r="H2037"/>
    </row>
    <row r="2038" spans="1:8" ht="14.5" x14ac:dyDescent="0.35">
      <c r="A2038"/>
      <c r="B2038"/>
      <c r="C2038"/>
      <c r="D2038"/>
      <c r="E2038"/>
      <c r="F2038"/>
      <c r="G2038"/>
      <c r="H2038"/>
    </row>
    <row r="2039" spans="1:8" ht="14.5" x14ac:dyDescent="0.35">
      <c r="A2039"/>
      <c r="B2039"/>
      <c r="C2039"/>
      <c r="D2039"/>
      <c r="E2039"/>
      <c r="F2039"/>
      <c r="G2039"/>
      <c r="H2039"/>
    </row>
    <row r="2040" spans="1:8" ht="14.5" x14ac:dyDescent="0.35">
      <c r="A2040"/>
      <c r="B2040"/>
      <c r="C2040"/>
      <c r="D2040"/>
      <c r="E2040"/>
      <c r="F2040"/>
      <c r="G2040"/>
      <c r="H2040"/>
    </row>
    <row r="2041" spans="1:8" ht="14.5" x14ac:dyDescent="0.35">
      <c r="A2041"/>
      <c r="B2041"/>
      <c r="C2041"/>
      <c r="D2041"/>
      <c r="E2041"/>
      <c r="F2041"/>
      <c r="G2041"/>
      <c r="H2041"/>
    </row>
    <row r="2042" spans="1:8" ht="14.5" x14ac:dyDescent="0.35">
      <c r="A2042"/>
      <c r="B2042"/>
      <c r="C2042"/>
      <c r="D2042"/>
      <c r="E2042"/>
      <c r="F2042"/>
      <c r="G2042"/>
      <c r="H2042"/>
    </row>
    <row r="2043" spans="1:8" ht="14.5" x14ac:dyDescent="0.35">
      <c r="A2043"/>
      <c r="B2043"/>
      <c r="C2043"/>
      <c r="D2043"/>
      <c r="E2043"/>
      <c r="F2043"/>
      <c r="G2043"/>
      <c r="H2043"/>
    </row>
    <row r="2044" spans="1:8" ht="14.5" x14ac:dyDescent="0.35">
      <c r="A2044"/>
      <c r="B2044"/>
      <c r="C2044"/>
      <c r="D2044"/>
      <c r="E2044"/>
      <c r="F2044"/>
      <c r="G2044"/>
      <c r="H2044"/>
    </row>
    <row r="2045" spans="1:8" ht="14.5" x14ac:dyDescent="0.35">
      <c r="A2045"/>
      <c r="B2045"/>
      <c r="C2045"/>
      <c r="D2045"/>
      <c r="E2045"/>
      <c r="F2045"/>
      <c r="G2045"/>
      <c r="H2045"/>
    </row>
    <row r="2046" spans="1:8" ht="14.5" x14ac:dyDescent="0.35">
      <c r="A2046"/>
      <c r="B2046"/>
      <c r="C2046"/>
      <c r="D2046"/>
      <c r="E2046"/>
      <c r="F2046"/>
      <c r="G2046"/>
      <c r="H2046"/>
    </row>
    <row r="2047" spans="1:8" ht="14.5" x14ac:dyDescent="0.35">
      <c r="A2047"/>
      <c r="B2047"/>
      <c r="C2047"/>
      <c r="D2047"/>
      <c r="E2047"/>
      <c r="F2047"/>
      <c r="G2047"/>
      <c r="H2047"/>
    </row>
    <row r="2048" spans="1:8" ht="14.5" x14ac:dyDescent="0.35">
      <c r="A2048"/>
      <c r="B2048"/>
      <c r="C2048"/>
      <c r="D2048"/>
      <c r="E2048"/>
      <c r="F2048"/>
      <c r="G2048"/>
      <c r="H2048"/>
    </row>
    <row r="2049" spans="1:8" ht="14.5" x14ac:dyDescent="0.35">
      <c r="A2049"/>
      <c r="B2049"/>
      <c r="C2049"/>
      <c r="D2049"/>
      <c r="E2049"/>
      <c r="F2049"/>
      <c r="G2049"/>
      <c r="H2049"/>
    </row>
    <row r="2050" spans="1:8" ht="14.5" x14ac:dyDescent="0.35">
      <c r="A2050"/>
      <c r="B2050"/>
      <c r="C2050"/>
      <c r="D2050"/>
      <c r="E2050"/>
      <c r="F2050"/>
      <c r="G2050"/>
      <c r="H2050"/>
    </row>
    <row r="2051" spans="1:8" ht="14.5" x14ac:dyDescent="0.35">
      <c r="A2051"/>
      <c r="B2051"/>
      <c r="C2051"/>
      <c r="D2051"/>
      <c r="E2051"/>
      <c r="F2051"/>
      <c r="G2051"/>
      <c r="H2051"/>
    </row>
    <row r="2052" spans="1:8" ht="14.5" x14ac:dyDescent="0.35">
      <c r="A2052"/>
      <c r="B2052"/>
      <c r="C2052"/>
      <c r="D2052"/>
      <c r="E2052"/>
      <c r="F2052"/>
      <c r="G2052"/>
      <c r="H2052"/>
    </row>
    <row r="2053" spans="1:8" ht="14.5" x14ac:dyDescent="0.35">
      <c r="A2053"/>
      <c r="B2053"/>
      <c r="C2053"/>
      <c r="D2053"/>
      <c r="E2053"/>
      <c r="F2053"/>
      <c r="G2053"/>
      <c r="H2053"/>
    </row>
    <row r="2054" spans="1:8" ht="14.5" x14ac:dyDescent="0.35">
      <c r="A2054"/>
      <c r="B2054"/>
      <c r="C2054"/>
      <c r="D2054"/>
      <c r="E2054"/>
      <c r="F2054"/>
      <c r="G2054"/>
      <c r="H2054"/>
    </row>
    <row r="2055" spans="1:8" ht="14.5" x14ac:dyDescent="0.35">
      <c r="A2055"/>
      <c r="B2055"/>
      <c r="C2055"/>
      <c r="D2055"/>
      <c r="E2055"/>
      <c r="F2055"/>
      <c r="G2055"/>
      <c r="H2055"/>
    </row>
    <row r="2056" spans="1:8" ht="14.5" x14ac:dyDescent="0.35">
      <c r="A2056"/>
      <c r="B2056"/>
      <c r="C2056"/>
      <c r="D2056"/>
      <c r="E2056"/>
      <c r="F2056"/>
      <c r="G2056"/>
      <c r="H2056"/>
    </row>
    <row r="2057" spans="1:8" ht="14.5" x14ac:dyDescent="0.35">
      <c r="A2057"/>
      <c r="B2057"/>
      <c r="C2057"/>
      <c r="D2057"/>
      <c r="E2057"/>
      <c r="F2057"/>
      <c r="G2057"/>
      <c r="H2057"/>
    </row>
    <row r="2058" spans="1:8" ht="14.5" x14ac:dyDescent="0.35">
      <c r="A2058"/>
      <c r="B2058"/>
      <c r="C2058"/>
      <c r="D2058"/>
      <c r="E2058"/>
      <c r="F2058"/>
      <c r="G2058"/>
      <c r="H2058"/>
    </row>
    <row r="2059" spans="1:8" ht="14.5" x14ac:dyDescent="0.35">
      <c r="A2059"/>
      <c r="B2059"/>
      <c r="C2059"/>
      <c r="D2059"/>
      <c r="E2059"/>
      <c r="F2059"/>
      <c r="G2059"/>
      <c r="H2059"/>
    </row>
    <row r="2060" spans="1:8" ht="14.5" x14ac:dyDescent="0.35">
      <c r="A2060"/>
      <c r="B2060"/>
      <c r="C2060"/>
      <c r="D2060"/>
      <c r="E2060"/>
      <c r="F2060"/>
      <c r="G2060"/>
      <c r="H2060"/>
    </row>
    <row r="2061" spans="1:8" ht="14.5" x14ac:dyDescent="0.35">
      <c r="A2061"/>
      <c r="B2061"/>
      <c r="C2061"/>
      <c r="D2061"/>
      <c r="E2061"/>
      <c r="F2061"/>
      <c r="G2061"/>
      <c r="H2061"/>
    </row>
    <row r="2062" spans="1:8" ht="14.5" x14ac:dyDescent="0.35">
      <c r="A2062"/>
      <c r="B2062"/>
      <c r="C2062"/>
      <c r="D2062"/>
      <c r="E2062"/>
      <c r="F2062"/>
      <c r="G2062"/>
      <c r="H2062"/>
    </row>
    <row r="2063" spans="1:8" ht="14.5" x14ac:dyDescent="0.35">
      <c r="A2063"/>
      <c r="B2063"/>
      <c r="C2063"/>
      <c r="D2063"/>
      <c r="E2063"/>
      <c r="F2063"/>
      <c r="G2063"/>
      <c r="H2063"/>
    </row>
    <row r="2064" spans="1:8" ht="14.5" x14ac:dyDescent="0.35">
      <c r="A2064"/>
      <c r="B2064"/>
      <c r="C2064"/>
      <c r="D2064"/>
      <c r="E2064"/>
      <c r="F2064"/>
      <c r="G2064"/>
      <c r="H2064"/>
    </row>
    <row r="2065" spans="1:8" ht="14.5" x14ac:dyDescent="0.35">
      <c r="A2065"/>
      <c r="B2065"/>
      <c r="C2065"/>
      <c r="D2065"/>
      <c r="E2065"/>
      <c r="F2065"/>
      <c r="G2065"/>
      <c r="H2065"/>
    </row>
    <row r="2066" spans="1:8" ht="14.5" x14ac:dyDescent="0.35">
      <c r="A2066"/>
      <c r="B2066"/>
      <c r="C2066"/>
      <c r="D2066"/>
      <c r="E2066"/>
      <c r="F2066"/>
      <c r="G2066"/>
      <c r="H2066"/>
    </row>
    <row r="2067" spans="1:8" ht="14.5" x14ac:dyDescent="0.35">
      <c r="A2067"/>
      <c r="B2067"/>
      <c r="C2067"/>
      <c r="D2067"/>
      <c r="E2067"/>
      <c r="F2067"/>
      <c r="G2067"/>
      <c r="H2067"/>
    </row>
    <row r="2068" spans="1:8" ht="14.5" x14ac:dyDescent="0.35">
      <c r="A2068"/>
      <c r="B2068"/>
      <c r="C2068"/>
      <c r="D2068"/>
      <c r="E2068"/>
      <c r="F2068"/>
      <c r="G2068"/>
      <c r="H2068"/>
    </row>
    <row r="2069" spans="1:8" ht="14.5" x14ac:dyDescent="0.35">
      <c r="A2069"/>
      <c r="B2069"/>
      <c r="C2069"/>
      <c r="D2069"/>
      <c r="E2069"/>
      <c r="F2069"/>
      <c r="G2069"/>
      <c r="H2069"/>
    </row>
    <row r="2070" spans="1:8" ht="14.5" x14ac:dyDescent="0.35">
      <c r="A2070"/>
      <c r="B2070"/>
      <c r="C2070"/>
      <c r="D2070"/>
      <c r="E2070"/>
      <c r="F2070"/>
      <c r="G2070"/>
      <c r="H2070"/>
    </row>
    <row r="2071" spans="1:8" ht="14.5" x14ac:dyDescent="0.35">
      <c r="A2071"/>
      <c r="B2071"/>
      <c r="C2071"/>
      <c r="D2071"/>
      <c r="E2071"/>
      <c r="F2071"/>
      <c r="G2071"/>
      <c r="H2071"/>
    </row>
    <row r="2072" spans="1:8" ht="14.5" x14ac:dyDescent="0.35">
      <c r="A2072"/>
      <c r="B2072"/>
      <c r="C2072"/>
      <c r="D2072"/>
      <c r="E2072"/>
      <c r="F2072"/>
      <c r="G2072"/>
      <c r="H2072"/>
    </row>
    <row r="2073" spans="1:8" ht="14.5" x14ac:dyDescent="0.35">
      <c r="A2073"/>
      <c r="B2073"/>
      <c r="C2073"/>
      <c r="D2073"/>
      <c r="E2073"/>
      <c r="F2073"/>
      <c r="G2073"/>
      <c r="H2073"/>
    </row>
    <row r="2074" spans="1:8" ht="14.5" x14ac:dyDescent="0.35">
      <c r="A2074"/>
      <c r="B2074"/>
      <c r="C2074"/>
      <c r="D2074"/>
      <c r="E2074"/>
      <c r="F2074"/>
      <c r="G2074"/>
      <c r="H2074"/>
    </row>
    <row r="2075" spans="1:8" ht="14.5" x14ac:dyDescent="0.35">
      <c r="A2075"/>
      <c r="B2075"/>
      <c r="C2075"/>
      <c r="D2075"/>
      <c r="E2075"/>
      <c r="F2075"/>
      <c r="G2075"/>
      <c r="H2075"/>
    </row>
    <row r="2076" spans="1:8" ht="14.5" x14ac:dyDescent="0.35">
      <c r="A2076"/>
      <c r="B2076"/>
      <c r="C2076"/>
      <c r="D2076"/>
      <c r="E2076"/>
      <c r="F2076"/>
      <c r="G2076"/>
      <c r="H2076"/>
    </row>
    <row r="2077" spans="1:8" ht="14.5" x14ac:dyDescent="0.35">
      <c r="A2077"/>
      <c r="B2077"/>
      <c r="C2077"/>
      <c r="D2077"/>
      <c r="E2077"/>
      <c r="F2077"/>
      <c r="G2077"/>
      <c r="H2077"/>
    </row>
    <row r="2078" spans="1:8" ht="14.5" x14ac:dyDescent="0.35">
      <c r="A2078"/>
      <c r="B2078"/>
      <c r="C2078"/>
      <c r="D2078"/>
      <c r="E2078"/>
      <c r="F2078"/>
      <c r="G2078"/>
      <c r="H2078"/>
    </row>
    <row r="2079" spans="1:8" ht="14.5" x14ac:dyDescent="0.35">
      <c r="A2079"/>
      <c r="B2079"/>
      <c r="C2079"/>
      <c r="D2079"/>
      <c r="E2079"/>
      <c r="F2079"/>
      <c r="G2079"/>
      <c r="H2079"/>
    </row>
    <row r="2080" spans="1:8" ht="14.5" x14ac:dyDescent="0.35">
      <c r="A2080"/>
      <c r="B2080"/>
      <c r="C2080"/>
      <c r="D2080"/>
      <c r="E2080"/>
      <c r="F2080"/>
      <c r="G2080"/>
      <c r="H2080"/>
    </row>
    <row r="2081" spans="1:8" ht="14.5" x14ac:dyDescent="0.35">
      <c r="A2081"/>
      <c r="B2081"/>
      <c r="C2081"/>
      <c r="D2081"/>
      <c r="E2081"/>
      <c r="F2081"/>
      <c r="G2081"/>
      <c r="H2081"/>
    </row>
    <row r="2082" spans="1:8" ht="14.5" x14ac:dyDescent="0.35">
      <c r="A2082"/>
      <c r="B2082"/>
      <c r="C2082"/>
      <c r="D2082"/>
      <c r="E2082"/>
      <c r="F2082"/>
      <c r="G2082"/>
      <c r="H2082"/>
    </row>
    <row r="2083" spans="1:8" ht="14.5" x14ac:dyDescent="0.35">
      <c r="A2083"/>
      <c r="B2083"/>
      <c r="C2083"/>
      <c r="D2083"/>
      <c r="E2083"/>
      <c r="F2083"/>
      <c r="G2083"/>
      <c r="H2083"/>
    </row>
    <row r="2084" spans="1:8" ht="14.5" x14ac:dyDescent="0.35">
      <c r="A2084"/>
      <c r="B2084"/>
      <c r="C2084"/>
      <c r="D2084"/>
      <c r="E2084"/>
      <c r="F2084"/>
      <c r="G2084"/>
      <c r="H2084"/>
    </row>
    <row r="2085" spans="1:8" ht="14.5" x14ac:dyDescent="0.35">
      <c r="A2085"/>
      <c r="B2085"/>
      <c r="C2085"/>
      <c r="D2085"/>
      <c r="E2085"/>
      <c r="F2085"/>
      <c r="G2085"/>
      <c r="H2085"/>
    </row>
    <row r="2086" spans="1:8" ht="14.5" x14ac:dyDescent="0.35">
      <c r="A2086"/>
      <c r="B2086"/>
      <c r="C2086"/>
      <c r="D2086"/>
      <c r="E2086"/>
      <c r="F2086"/>
      <c r="G2086"/>
      <c r="H2086"/>
    </row>
    <row r="2087" spans="1:8" ht="14.5" x14ac:dyDescent="0.35">
      <c r="A2087"/>
      <c r="B2087"/>
      <c r="C2087"/>
      <c r="D2087"/>
      <c r="E2087"/>
      <c r="F2087"/>
      <c r="G2087"/>
      <c r="H2087"/>
    </row>
    <row r="2088" spans="1:8" ht="15" thickBot="1" x14ac:dyDescent="0.4">
      <c r="A2088"/>
      <c r="B2088"/>
      <c r="C2088"/>
      <c r="D2088"/>
      <c r="E2088"/>
      <c r="F2088"/>
      <c r="G2088"/>
      <c r="H2088"/>
    </row>
    <row r="2089" spans="1:8" ht="15" thickTop="1" x14ac:dyDescent="0.35">
      <c r="A2089"/>
      <c r="B2089"/>
      <c r="C2089"/>
      <c r="D2089"/>
      <c r="E2089"/>
      <c r="F2089"/>
      <c r="G2089"/>
      <c r="H2089"/>
    </row>
    <row r="2090" spans="1:8" ht="15" thickBot="1" x14ac:dyDescent="0.4">
      <c r="A2090"/>
      <c r="B2090"/>
      <c r="C2090"/>
      <c r="D2090"/>
      <c r="E2090"/>
      <c r="F2090"/>
      <c r="G2090"/>
      <c r="H2090"/>
    </row>
    <row r="2091" spans="1:8" ht="13" thickTop="1" x14ac:dyDescent="0.25">
      <c r="A2091" s="28"/>
      <c r="B2091" s="28"/>
      <c r="C2091" s="28"/>
      <c r="D2091" s="28"/>
      <c r="E2091" s="28"/>
      <c r="F2091" s="28"/>
      <c r="G2091" s="28"/>
      <c r="H2091" s="28"/>
    </row>
    <row r="2092" spans="1:8" x14ac:dyDescent="0.25">
      <c r="A2092" s="28"/>
      <c r="B2092" s="28"/>
      <c r="C2092" s="28"/>
      <c r="D2092" s="28"/>
      <c r="E2092" s="28"/>
      <c r="F2092" s="28"/>
      <c r="G2092" s="28"/>
      <c r="H2092" s="28"/>
    </row>
    <row r="2093" spans="1:8" x14ac:dyDescent="0.25">
      <c r="A2093" s="28"/>
      <c r="B2093" s="28"/>
      <c r="C2093" s="28"/>
      <c r="D2093" s="28"/>
      <c r="E2093" s="28"/>
      <c r="F2093" s="28"/>
      <c r="G2093" s="28"/>
      <c r="H2093" s="28"/>
    </row>
    <row r="2094" spans="1:8" x14ac:dyDescent="0.25">
      <c r="A2094" s="28"/>
      <c r="B2094" s="28"/>
      <c r="C2094" s="28"/>
      <c r="D2094" s="28"/>
      <c r="E2094" s="28"/>
      <c r="F2094" s="28"/>
      <c r="G2094" s="28"/>
      <c r="H2094" s="28"/>
    </row>
    <row r="2095" spans="1:8" x14ac:dyDescent="0.25">
      <c r="A2095" s="28"/>
      <c r="B2095" s="28"/>
      <c r="C2095" s="28"/>
      <c r="D2095" s="28"/>
      <c r="E2095" s="28"/>
      <c r="F2095" s="28"/>
      <c r="G2095" s="28"/>
      <c r="H2095" s="28"/>
    </row>
    <row r="2096" spans="1:8" x14ac:dyDescent="0.25">
      <c r="A2096" s="28"/>
      <c r="B2096" s="28"/>
      <c r="C2096" s="28"/>
      <c r="D2096" s="28"/>
      <c r="E2096" s="28"/>
      <c r="F2096" s="28"/>
      <c r="G2096" s="28"/>
      <c r="H2096" s="28"/>
    </row>
    <row r="2097" spans="1:8" x14ac:dyDescent="0.25">
      <c r="A2097" s="28"/>
      <c r="B2097" s="28"/>
      <c r="C2097" s="28"/>
      <c r="D2097" s="28"/>
      <c r="E2097" s="28"/>
      <c r="F2097" s="28"/>
      <c r="G2097" s="28"/>
      <c r="H2097" s="28"/>
    </row>
    <row r="2098" spans="1:8" x14ac:dyDescent="0.25">
      <c r="A2098" s="28"/>
      <c r="B2098" s="28"/>
      <c r="C2098" s="28"/>
      <c r="D2098" s="28"/>
      <c r="E2098" s="28"/>
      <c r="F2098" s="28"/>
      <c r="G2098" s="28"/>
      <c r="H2098" s="28"/>
    </row>
    <row r="2099" spans="1:8" x14ac:dyDescent="0.25">
      <c r="A2099" s="28"/>
      <c r="B2099" s="28"/>
      <c r="C2099" s="28"/>
      <c r="D2099" s="28"/>
      <c r="E2099" s="28"/>
      <c r="F2099" s="28"/>
      <c r="G2099" s="28"/>
      <c r="H2099" s="28"/>
    </row>
    <row r="2100" spans="1:8" x14ac:dyDescent="0.25">
      <c r="A2100" s="28"/>
      <c r="B2100" s="28"/>
      <c r="C2100" s="28"/>
      <c r="D2100" s="28"/>
      <c r="E2100" s="28"/>
      <c r="F2100" s="28"/>
      <c r="G2100" s="28"/>
      <c r="H2100" s="28"/>
    </row>
    <row r="2101" spans="1:8" x14ac:dyDescent="0.25">
      <c r="A2101" s="28"/>
      <c r="B2101" s="28"/>
      <c r="C2101" s="28"/>
      <c r="D2101" s="28"/>
      <c r="E2101" s="28"/>
      <c r="F2101" s="28"/>
      <c r="G2101" s="28"/>
      <c r="H2101" s="28"/>
    </row>
    <row r="2102" spans="1:8" x14ac:dyDescent="0.25">
      <c r="A2102" s="28"/>
      <c r="B2102" s="28"/>
      <c r="C2102" s="28"/>
      <c r="D2102" s="28"/>
      <c r="E2102" s="28"/>
      <c r="F2102" s="28"/>
      <c r="G2102" s="28"/>
      <c r="H2102" s="28"/>
    </row>
    <row r="2103" spans="1:8" x14ac:dyDescent="0.25">
      <c r="A2103" s="28"/>
      <c r="B2103" s="28"/>
      <c r="C2103" s="28"/>
      <c r="D2103" s="28"/>
      <c r="E2103" s="28"/>
      <c r="F2103" s="28"/>
      <c r="G2103" s="28"/>
      <c r="H2103" s="28"/>
    </row>
    <row r="2104" spans="1:8" x14ac:dyDescent="0.25">
      <c r="A2104" s="28"/>
      <c r="B2104" s="28"/>
      <c r="C2104" s="28"/>
      <c r="D2104" s="28"/>
      <c r="E2104" s="28"/>
      <c r="F2104" s="28"/>
      <c r="G2104" s="28"/>
      <c r="H2104" s="28"/>
    </row>
    <row r="2105" spans="1:8" x14ac:dyDescent="0.25">
      <c r="A2105" s="28"/>
      <c r="B2105" s="28"/>
      <c r="C2105" s="28"/>
      <c r="D2105" s="28"/>
      <c r="E2105" s="28"/>
      <c r="F2105" s="28"/>
      <c r="G2105" s="28"/>
      <c r="H2105" s="28"/>
    </row>
    <row r="2106" spans="1:8" x14ac:dyDescent="0.25">
      <c r="A2106" s="28"/>
      <c r="B2106" s="28"/>
      <c r="C2106" s="28"/>
      <c r="D2106" s="28"/>
      <c r="E2106" s="28"/>
      <c r="F2106" s="28"/>
      <c r="G2106" s="28"/>
      <c r="H2106" s="28"/>
    </row>
    <row r="2107" spans="1:8" x14ac:dyDescent="0.25">
      <c r="A2107" s="28"/>
      <c r="B2107" s="28"/>
      <c r="C2107" s="28"/>
      <c r="D2107" s="28"/>
      <c r="E2107" s="28"/>
      <c r="F2107" s="28"/>
      <c r="G2107" s="28"/>
      <c r="H2107" s="28"/>
    </row>
    <row r="2108" spans="1:8" x14ac:dyDescent="0.25">
      <c r="A2108" s="28"/>
      <c r="B2108" s="28"/>
      <c r="C2108" s="28"/>
      <c r="D2108" s="28"/>
      <c r="E2108" s="28"/>
      <c r="F2108" s="28"/>
      <c r="G2108" s="28"/>
      <c r="H2108" s="28"/>
    </row>
    <row r="2109" spans="1:8" x14ac:dyDescent="0.25">
      <c r="A2109" s="28"/>
      <c r="B2109" s="28"/>
      <c r="C2109" s="28"/>
      <c r="D2109" s="28"/>
      <c r="E2109" s="28"/>
      <c r="F2109" s="28"/>
      <c r="G2109" s="28"/>
      <c r="H2109" s="28"/>
    </row>
    <row r="2110" spans="1:8" x14ac:dyDescent="0.25">
      <c r="A2110" s="28"/>
      <c r="B2110" s="28"/>
      <c r="C2110" s="28"/>
      <c r="D2110" s="28"/>
      <c r="E2110" s="28"/>
      <c r="F2110" s="28"/>
      <c r="G2110" s="28"/>
      <c r="H2110" s="28"/>
    </row>
    <row r="2111" spans="1:8" x14ac:dyDescent="0.25">
      <c r="A2111" s="28"/>
      <c r="B2111" s="28"/>
      <c r="C2111" s="28"/>
      <c r="D2111" s="28"/>
      <c r="E2111" s="28"/>
      <c r="F2111" s="28"/>
      <c r="G2111" s="28"/>
      <c r="H2111" s="28"/>
    </row>
    <row r="2112" spans="1:8" x14ac:dyDescent="0.25">
      <c r="A2112" s="28"/>
      <c r="B2112" s="28"/>
      <c r="C2112" s="28"/>
      <c r="D2112" s="28"/>
      <c r="E2112" s="28"/>
      <c r="F2112" s="28"/>
      <c r="G2112" s="28"/>
      <c r="H2112" s="28"/>
    </row>
    <row r="2113" spans="1:8" x14ac:dyDescent="0.25">
      <c r="A2113" s="28"/>
      <c r="B2113" s="28"/>
      <c r="C2113" s="28"/>
      <c r="D2113" s="28"/>
      <c r="E2113" s="28"/>
      <c r="F2113" s="28"/>
      <c r="G2113" s="28"/>
      <c r="H2113" s="28"/>
    </row>
    <row r="2114" spans="1:8" x14ac:dyDescent="0.25">
      <c r="A2114" s="28"/>
      <c r="B2114" s="28"/>
      <c r="C2114" s="28"/>
      <c r="D2114" s="28"/>
      <c r="E2114" s="28"/>
      <c r="F2114" s="28"/>
      <c r="G2114" s="28"/>
      <c r="H2114" s="28"/>
    </row>
    <row r="2115" spans="1:8" x14ac:dyDescent="0.25">
      <c r="A2115" s="28"/>
      <c r="B2115" s="28"/>
      <c r="C2115" s="28"/>
      <c r="D2115" s="28"/>
      <c r="E2115" s="28"/>
      <c r="F2115" s="28"/>
      <c r="G2115" s="28"/>
      <c r="H2115" s="28"/>
    </row>
    <row r="2116" spans="1:8" x14ac:dyDescent="0.25">
      <c r="A2116" s="28"/>
      <c r="B2116" s="28"/>
      <c r="C2116" s="28"/>
      <c r="D2116" s="28"/>
      <c r="E2116" s="28"/>
      <c r="F2116" s="28"/>
      <c r="G2116" s="28"/>
      <c r="H2116" s="28"/>
    </row>
    <row r="2117" spans="1:8" x14ac:dyDescent="0.25">
      <c r="A2117" s="28"/>
      <c r="B2117" s="28"/>
      <c r="C2117" s="28"/>
      <c r="D2117" s="28"/>
      <c r="E2117" s="28"/>
      <c r="F2117" s="28"/>
      <c r="G2117" s="28"/>
      <c r="H2117" s="28"/>
    </row>
    <row r="2118" spans="1:8" x14ac:dyDescent="0.25">
      <c r="A2118" s="28"/>
      <c r="B2118" s="28"/>
      <c r="C2118" s="28"/>
      <c r="D2118" s="28"/>
      <c r="E2118" s="28"/>
      <c r="F2118" s="28"/>
      <c r="G2118" s="28"/>
      <c r="H2118" s="28"/>
    </row>
    <row r="2119" spans="1:8" x14ac:dyDescent="0.25">
      <c r="A2119" s="28"/>
      <c r="B2119" s="28"/>
      <c r="C2119" s="28"/>
      <c r="D2119" s="28"/>
      <c r="E2119" s="28"/>
      <c r="F2119" s="28"/>
      <c r="G2119" s="28"/>
      <c r="H2119" s="28"/>
    </row>
    <row r="2120" spans="1:8" x14ac:dyDescent="0.25">
      <c r="A2120" s="28"/>
      <c r="B2120" s="28"/>
      <c r="C2120" s="28"/>
      <c r="D2120" s="28"/>
      <c r="E2120" s="28"/>
      <c r="F2120" s="28"/>
      <c r="G2120" s="28"/>
      <c r="H2120" s="28"/>
    </row>
    <row r="2121" spans="1:8" x14ac:dyDescent="0.25">
      <c r="A2121" s="28"/>
      <c r="B2121" s="28"/>
      <c r="C2121" s="28"/>
      <c r="D2121" s="28"/>
      <c r="E2121" s="28"/>
      <c r="F2121" s="28"/>
      <c r="G2121" s="28"/>
      <c r="H2121" s="28"/>
    </row>
    <row r="2122" spans="1:8" x14ac:dyDescent="0.25">
      <c r="A2122" s="28"/>
      <c r="B2122" s="28"/>
      <c r="C2122" s="28"/>
      <c r="D2122" s="28"/>
      <c r="E2122" s="28"/>
      <c r="F2122" s="28"/>
      <c r="G2122" s="28"/>
      <c r="H2122" s="28"/>
    </row>
    <row r="2123" spans="1:8" x14ac:dyDescent="0.25">
      <c r="A2123" s="28"/>
      <c r="B2123" s="28"/>
      <c r="C2123" s="28"/>
      <c r="D2123" s="28"/>
      <c r="E2123" s="28"/>
      <c r="F2123" s="28"/>
      <c r="G2123" s="28"/>
      <c r="H2123" s="28"/>
    </row>
    <row r="2124" spans="1:8" x14ac:dyDescent="0.25">
      <c r="A2124" s="28"/>
      <c r="B2124" s="28"/>
      <c r="C2124" s="28"/>
      <c r="D2124" s="28"/>
      <c r="E2124" s="28"/>
      <c r="F2124" s="28"/>
      <c r="G2124" s="28"/>
      <c r="H2124" s="28"/>
    </row>
    <row r="2125" spans="1:8" x14ac:dyDescent="0.25">
      <c r="A2125" s="28"/>
      <c r="B2125" s="28"/>
      <c r="C2125" s="28"/>
      <c r="D2125" s="28"/>
      <c r="E2125" s="28"/>
      <c r="F2125" s="28"/>
      <c r="G2125" s="28"/>
      <c r="H2125" s="28"/>
    </row>
    <row r="2126" spans="1:8" x14ac:dyDescent="0.25">
      <c r="A2126" s="28"/>
      <c r="B2126" s="28"/>
      <c r="C2126" s="28"/>
      <c r="D2126" s="28"/>
      <c r="E2126" s="28"/>
      <c r="F2126" s="28"/>
      <c r="G2126" s="28"/>
      <c r="H2126" s="28"/>
    </row>
    <row r="2127" spans="1:8" x14ac:dyDescent="0.25">
      <c r="A2127" s="28"/>
      <c r="B2127" s="28"/>
      <c r="C2127" s="28"/>
      <c r="D2127" s="28"/>
      <c r="E2127" s="28"/>
      <c r="F2127" s="28"/>
      <c r="G2127" s="28"/>
      <c r="H2127" s="28"/>
    </row>
    <row r="2128" spans="1:8" x14ac:dyDescent="0.25">
      <c r="A2128" s="28"/>
      <c r="B2128" s="28"/>
      <c r="C2128" s="28"/>
      <c r="D2128" s="28"/>
      <c r="E2128" s="28"/>
      <c r="F2128" s="28"/>
      <c r="G2128" s="28"/>
      <c r="H2128" s="28"/>
    </row>
    <row r="2129" spans="1:8" x14ac:dyDescent="0.25">
      <c r="A2129" s="28"/>
      <c r="B2129" s="28"/>
      <c r="C2129" s="28"/>
      <c r="D2129" s="28"/>
      <c r="E2129" s="28"/>
      <c r="F2129" s="28"/>
      <c r="G2129" s="28"/>
      <c r="H2129" s="28"/>
    </row>
    <row r="2130" spans="1:8" x14ac:dyDescent="0.25">
      <c r="A2130" s="28"/>
      <c r="B2130" s="28"/>
      <c r="C2130" s="28"/>
      <c r="D2130" s="28"/>
      <c r="E2130" s="28"/>
      <c r="F2130" s="28"/>
      <c r="G2130" s="28"/>
      <c r="H2130" s="28"/>
    </row>
    <row r="2131" spans="1:8" x14ac:dyDescent="0.25">
      <c r="A2131" s="28"/>
      <c r="B2131" s="28"/>
      <c r="C2131" s="28"/>
      <c r="D2131" s="28"/>
      <c r="E2131" s="28"/>
      <c r="F2131" s="28"/>
      <c r="G2131" s="28"/>
      <c r="H2131" s="28"/>
    </row>
    <row r="2132" spans="1:8" x14ac:dyDescent="0.25">
      <c r="A2132" s="28"/>
      <c r="B2132" s="28"/>
      <c r="C2132" s="28"/>
      <c r="D2132" s="28"/>
      <c r="E2132" s="28"/>
      <c r="F2132" s="28"/>
      <c r="G2132" s="28"/>
      <c r="H2132" s="28"/>
    </row>
    <row r="2133" spans="1:8" x14ac:dyDescent="0.25">
      <c r="A2133" s="28"/>
      <c r="B2133" s="28"/>
      <c r="C2133" s="28"/>
      <c r="D2133" s="28"/>
      <c r="E2133" s="28"/>
      <c r="F2133" s="28"/>
      <c r="G2133" s="28"/>
      <c r="H2133" s="28"/>
    </row>
    <row r="2134" spans="1:8" x14ac:dyDescent="0.25">
      <c r="A2134" s="28"/>
      <c r="B2134" s="28"/>
      <c r="C2134" s="28"/>
      <c r="D2134" s="28"/>
      <c r="E2134" s="28"/>
      <c r="F2134" s="28"/>
      <c r="G2134" s="28"/>
      <c r="H2134" s="28"/>
    </row>
    <row r="2135" spans="1:8" x14ac:dyDescent="0.25">
      <c r="A2135" s="28"/>
      <c r="B2135" s="28"/>
      <c r="C2135" s="28"/>
      <c r="D2135" s="28"/>
      <c r="E2135" s="28"/>
      <c r="F2135" s="28"/>
      <c r="G2135" s="28"/>
      <c r="H2135" s="28"/>
    </row>
    <row r="2136" spans="1:8" x14ac:dyDescent="0.25">
      <c r="A2136" s="28"/>
      <c r="B2136" s="28"/>
      <c r="C2136" s="28"/>
      <c r="D2136" s="28"/>
      <c r="E2136" s="28"/>
      <c r="F2136" s="28"/>
      <c r="G2136" s="28"/>
      <c r="H2136" s="28"/>
    </row>
    <row r="2137" spans="1:8" x14ac:dyDescent="0.25">
      <c r="A2137" s="28"/>
      <c r="B2137" s="28"/>
      <c r="C2137" s="28"/>
      <c r="D2137" s="28"/>
      <c r="E2137" s="28"/>
      <c r="F2137" s="28"/>
      <c r="G2137" s="28"/>
      <c r="H2137" s="28"/>
    </row>
    <row r="2138" spans="1:8" x14ac:dyDescent="0.25">
      <c r="A2138" s="28"/>
      <c r="B2138" s="28"/>
      <c r="C2138" s="28"/>
      <c r="D2138" s="28"/>
      <c r="E2138" s="28"/>
      <c r="F2138" s="28"/>
      <c r="G2138" s="28"/>
      <c r="H2138" s="28"/>
    </row>
    <row r="2139" spans="1:8" x14ac:dyDescent="0.25">
      <c r="A2139" s="28"/>
      <c r="B2139" s="28"/>
      <c r="C2139" s="28"/>
      <c r="D2139" s="28"/>
      <c r="E2139" s="28"/>
      <c r="F2139" s="28"/>
      <c r="G2139" s="28"/>
      <c r="H2139" s="28"/>
    </row>
    <row r="2140" spans="1:8" x14ac:dyDescent="0.25">
      <c r="A2140" s="28"/>
      <c r="B2140" s="28"/>
      <c r="C2140" s="28"/>
      <c r="D2140" s="28"/>
      <c r="E2140" s="28"/>
      <c r="F2140" s="28"/>
      <c r="G2140" s="28"/>
      <c r="H2140" s="28"/>
    </row>
    <row r="2141" spans="1:8" x14ac:dyDescent="0.25">
      <c r="A2141" s="28"/>
      <c r="B2141" s="28"/>
      <c r="C2141" s="28"/>
      <c r="D2141" s="28"/>
      <c r="E2141" s="28"/>
      <c r="F2141" s="28"/>
      <c r="G2141" s="28"/>
      <c r="H2141" s="28"/>
    </row>
    <row r="2142" spans="1:8" x14ac:dyDescent="0.25">
      <c r="A2142" s="28"/>
      <c r="B2142" s="28"/>
      <c r="C2142" s="28"/>
      <c r="D2142" s="28"/>
      <c r="E2142" s="28"/>
      <c r="F2142" s="28"/>
      <c r="G2142" s="28"/>
      <c r="H2142" s="28"/>
    </row>
    <row r="2143" spans="1:8" x14ac:dyDescent="0.25">
      <c r="A2143" s="28"/>
      <c r="B2143" s="28"/>
      <c r="C2143" s="28"/>
      <c r="D2143" s="28"/>
      <c r="E2143" s="28"/>
      <c r="F2143" s="28"/>
      <c r="G2143" s="28"/>
      <c r="H2143" s="28"/>
    </row>
    <row r="2144" spans="1:8" x14ac:dyDescent="0.25">
      <c r="A2144" s="28"/>
      <c r="B2144" s="28"/>
      <c r="C2144" s="28"/>
      <c r="D2144" s="28"/>
      <c r="E2144" s="28"/>
      <c r="F2144" s="28"/>
      <c r="G2144" s="28"/>
      <c r="H2144" s="28"/>
    </row>
    <row r="2145" spans="1:8" x14ac:dyDescent="0.25">
      <c r="A2145" s="28"/>
      <c r="B2145" s="28"/>
      <c r="C2145" s="28"/>
      <c r="D2145" s="28"/>
      <c r="E2145" s="28"/>
      <c r="F2145" s="28"/>
      <c r="G2145" s="28"/>
      <c r="H2145" s="28"/>
    </row>
    <row r="2146" spans="1:8" x14ac:dyDescent="0.25">
      <c r="A2146" s="28"/>
      <c r="B2146" s="28"/>
      <c r="C2146" s="28"/>
      <c r="D2146" s="28"/>
      <c r="E2146" s="28"/>
      <c r="F2146" s="28"/>
      <c r="G2146" s="28"/>
      <c r="H2146" s="28"/>
    </row>
    <row r="2147" spans="1:8" x14ac:dyDescent="0.25">
      <c r="A2147" s="28"/>
      <c r="B2147" s="28"/>
      <c r="C2147" s="28"/>
      <c r="D2147" s="28"/>
      <c r="E2147" s="28"/>
      <c r="F2147" s="28"/>
      <c r="G2147" s="28"/>
      <c r="H2147" s="28"/>
    </row>
    <row r="2148" spans="1:8" x14ac:dyDescent="0.25">
      <c r="A2148" s="28"/>
      <c r="B2148" s="28"/>
      <c r="C2148" s="28"/>
      <c r="D2148" s="28"/>
      <c r="E2148" s="28"/>
      <c r="F2148" s="28"/>
      <c r="G2148" s="28"/>
      <c r="H2148" s="28"/>
    </row>
    <row r="2149" spans="1:8" x14ac:dyDescent="0.25">
      <c r="A2149" s="28"/>
      <c r="B2149" s="28"/>
      <c r="C2149" s="28"/>
      <c r="D2149" s="28"/>
      <c r="E2149" s="28"/>
      <c r="F2149" s="28"/>
      <c r="G2149" s="28"/>
      <c r="H2149" s="28"/>
    </row>
    <row r="2150" spans="1:8" x14ac:dyDescent="0.25">
      <c r="A2150" s="28"/>
      <c r="B2150" s="28"/>
      <c r="C2150" s="28"/>
      <c r="D2150" s="28"/>
      <c r="E2150" s="28"/>
      <c r="F2150" s="28"/>
      <c r="G2150" s="28"/>
      <c r="H2150" s="28"/>
    </row>
    <row r="2151" spans="1:8" x14ac:dyDescent="0.25">
      <c r="A2151" s="28"/>
      <c r="B2151" s="28"/>
      <c r="C2151" s="28"/>
      <c r="D2151" s="28"/>
      <c r="E2151" s="28"/>
      <c r="F2151" s="28"/>
      <c r="G2151" s="28"/>
      <c r="H2151" s="28"/>
    </row>
    <row r="2152" spans="1:8" x14ac:dyDescent="0.25">
      <c r="A2152" s="28"/>
      <c r="B2152" s="28"/>
      <c r="C2152" s="28"/>
      <c r="D2152" s="28"/>
      <c r="E2152" s="28"/>
      <c r="F2152" s="28"/>
      <c r="G2152" s="28"/>
      <c r="H2152" s="28"/>
    </row>
    <row r="2153" spans="1:8" x14ac:dyDescent="0.25">
      <c r="A2153" s="28"/>
      <c r="B2153" s="28"/>
      <c r="C2153" s="28"/>
      <c r="D2153" s="28"/>
      <c r="E2153" s="28"/>
      <c r="F2153" s="28"/>
      <c r="G2153" s="28"/>
      <c r="H2153" s="28"/>
    </row>
    <row r="2154" spans="1:8" x14ac:dyDescent="0.25">
      <c r="A2154" s="28"/>
      <c r="B2154" s="28"/>
      <c r="C2154" s="28"/>
      <c r="D2154" s="28"/>
      <c r="E2154" s="28"/>
      <c r="F2154" s="28"/>
      <c r="G2154" s="28"/>
      <c r="H2154" s="28"/>
    </row>
    <row r="2155" spans="1:8" x14ac:dyDescent="0.25">
      <c r="A2155" s="28"/>
      <c r="B2155" s="28"/>
      <c r="C2155" s="28"/>
      <c r="D2155" s="28"/>
      <c r="E2155" s="28"/>
      <c r="F2155" s="28"/>
      <c r="G2155" s="28"/>
      <c r="H2155" s="28"/>
    </row>
    <row r="2156" spans="1:8" x14ac:dyDescent="0.25">
      <c r="A2156" s="28"/>
      <c r="B2156" s="28"/>
      <c r="C2156" s="28"/>
      <c r="D2156" s="28"/>
      <c r="E2156" s="28"/>
      <c r="F2156" s="28"/>
      <c r="G2156" s="28"/>
      <c r="H2156" s="28"/>
    </row>
    <row r="2157" spans="1:8" x14ac:dyDescent="0.25">
      <c r="A2157" s="28"/>
      <c r="B2157" s="28"/>
      <c r="C2157" s="28"/>
      <c r="D2157" s="28"/>
      <c r="E2157" s="28"/>
      <c r="F2157" s="28"/>
      <c r="G2157" s="28"/>
      <c r="H2157" s="28"/>
    </row>
    <row r="2158" spans="1:8" x14ac:dyDescent="0.25">
      <c r="A2158" s="28"/>
      <c r="B2158" s="28"/>
      <c r="C2158" s="28"/>
      <c r="D2158" s="28"/>
      <c r="E2158" s="28"/>
      <c r="F2158" s="28"/>
      <c r="G2158" s="28"/>
      <c r="H2158" s="28"/>
    </row>
    <row r="2159" spans="1:8" x14ac:dyDescent="0.25">
      <c r="A2159" s="28"/>
      <c r="B2159" s="28"/>
      <c r="C2159" s="28"/>
      <c r="D2159" s="28"/>
      <c r="E2159" s="28"/>
      <c r="F2159" s="28"/>
      <c r="G2159" s="28"/>
      <c r="H2159" s="28"/>
    </row>
    <row r="2160" spans="1:8" x14ac:dyDescent="0.25">
      <c r="A2160" s="28"/>
      <c r="B2160" s="28"/>
      <c r="C2160" s="28"/>
      <c r="D2160" s="28"/>
      <c r="E2160" s="28"/>
      <c r="F2160" s="28"/>
      <c r="G2160" s="28"/>
      <c r="H2160" s="28"/>
    </row>
    <row r="2161" spans="1:8" x14ac:dyDescent="0.25">
      <c r="A2161" s="28"/>
      <c r="B2161" s="28"/>
      <c r="C2161" s="28"/>
      <c r="D2161" s="28"/>
      <c r="E2161" s="28"/>
      <c r="F2161" s="28"/>
      <c r="G2161" s="28"/>
      <c r="H2161" s="28"/>
    </row>
    <row r="2162" spans="1:8" x14ac:dyDescent="0.25">
      <c r="A2162" s="28"/>
      <c r="B2162" s="28"/>
      <c r="C2162" s="28"/>
      <c r="D2162" s="28"/>
      <c r="E2162" s="28"/>
      <c r="F2162" s="28"/>
      <c r="G2162" s="28"/>
      <c r="H2162" s="28"/>
    </row>
    <row r="2163" spans="1:8" x14ac:dyDescent="0.25">
      <c r="A2163" s="28"/>
      <c r="B2163" s="28"/>
      <c r="C2163" s="28"/>
      <c r="D2163" s="28"/>
      <c r="E2163" s="28"/>
      <c r="F2163" s="28"/>
      <c r="G2163" s="28"/>
      <c r="H2163" s="28"/>
    </row>
    <row r="2164" spans="1:8" x14ac:dyDescent="0.25">
      <c r="A2164" s="28"/>
      <c r="B2164" s="28"/>
      <c r="C2164" s="28"/>
      <c r="D2164" s="28"/>
      <c r="E2164" s="28"/>
      <c r="F2164" s="28"/>
      <c r="G2164" s="28"/>
      <c r="H2164" s="28"/>
    </row>
    <row r="2165" spans="1:8" x14ac:dyDescent="0.25">
      <c r="A2165" s="28"/>
      <c r="B2165" s="28"/>
      <c r="C2165" s="28"/>
      <c r="D2165" s="28"/>
      <c r="E2165" s="28"/>
      <c r="F2165" s="28"/>
      <c r="G2165" s="28"/>
      <c r="H2165" s="28"/>
    </row>
    <row r="2166" spans="1:8" x14ac:dyDescent="0.25">
      <c r="A2166" s="28"/>
      <c r="B2166" s="28"/>
      <c r="C2166" s="28"/>
      <c r="D2166" s="28"/>
      <c r="E2166" s="28"/>
      <c r="F2166" s="28"/>
      <c r="G2166" s="28"/>
      <c r="H2166" s="28"/>
    </row>
    <row r="2167" spans="1:8" x14ac:dyDescent="0.25">
      <c r="A2167" s="28"/>
      <c r="B2167" s="28"/>
      <c r="C2167" s="28"/>
      <c r="D2167" s="28"/>
      <c r="E2167" s="28"/>
      <c r="F2167" s="28"/>
      <c r="G2167" s="28"/>
      <c r="H2167" s="28"/>
    </row>
    <row r="2168" spans="1:8" x14ac:dyDescent="0.25">
      <c r="A2168" s="28"/>
      <c r="B2168" s="28"/>
      <c r="C2168" s="28"/>
      <c r="D2168" s="28"/>
      <c r="E2168" s="28"/>
      <c r="F2168" s="28"/>
      <c r="G2168" s="28"/>
      <c r="H2168" s="28"/>
    </row>
    <row r="2169" spans="1:8" x14ac:dyDescent="0.25">
      <c r="A2169" s="28"/>
      <c r="B2169" s="28"/>
      <c r="C2169" s="28"/>
      <c r="D2169" s="28"/>
      <c r="E2169" s="28"/>
      <c r="F2169" s="28"/>
      <c r="G2169" s="28"/>
      <c r="H2169" s="28"/>
    </row>
    <row r="2170" spans="1:8" x14ac:dyDescent="0.25">
      <c r="A2170" s="28"/>
      <c r="B2170" s="28"/>
      <c r="C2170" s="28"/>
      <c r="D2170" s="28"/>
      <c r="E2170" s="28"/>
      <c r="F2170" s="28"/>
      <c r="G2170" s="28"/>
      <c r="H2170" s="28"/>
    </row>
    <row r="2171" spans="1:8" x14ac:dyDescent="0.25">
      <c r="A2171" s="28"/>
      <c r="B2171" s="28"/>
      <c r="C2171" s="28"/>
      <c r="D2171" s="28"/>
      <c r="E2171" s="28"/>
      <c r="F2171" s="28"/>
      <c r="G2171" s="28"/>
      <c r="H2171" s="28"/>
    </row>
    <row r="2172" spans="1:8" x14ac:dyDescent="0.25">
      <c r="A2172" s="28"/>
      <c r="B2172" s="28"/>
      <c r="C2172" s="28"/>
      <c r="D2172" s="28"/>
      <c r="E2172" s="28"/>
      <c r="F2172" s="28"/>
      <c r="G2172" s="28"/>
      <c r="H2172" s="28"/>
    </row>
    <row r="2173" spans="1:8" x14ac:dyDescent="0.25">
      <c r="A2173" s="28"/>
      <c r="B2173" s="28"/>
      <c r="C2173" s="28"/>
      <c r="D2173" s="28"/>
      <c r="E2173" s="28"/>
      <c r="F2173" s="28"/>
      <c r="G2173" s="28"/>
      <c r="H2173" s="28"/>
    </row>
    <row r="2174" spans="1:8" x14ac:dyDescent="0.25">
      <c r="A2174" s="28"/>
      <c r="B2174" s="28"/>
      <c r="C2174" s="28"/>
      <c r="D2174" s="28"/>
      <c r="E2174" s="28"/>
      <c r="F2174" s="28"/>
      <c r="G2174" s="28"/>
      <c r="H2174" s="28"/>
    </row>
    <row r="2175" spans="1:8" x14ac:dyDescent="0.25">
      <c r="A2175" s="28"/>
      <c r="B2175" s="28"/>
      <c r="C2175" s="28"/>
      <c r="D2175" s="28"/>
      <c r="E2175" s="28"/>
      <c r="F2175" s="28"/>
      <c r="G2175" s="28"/>
      <c r="H2175" s="28"/>
    </row>
    <row r="2176" spans="1:8" x14ac:dyDescent="0.25">
      <c r="A2176" s="28"/>
      <c r="B2176" s="28"/>
      <c r="C2176" s="28"/>
      <c r="D2176" s="28"/>
      <c r="E2176" s="28"/>
      <c r="F2176" s="28"/>
      <c r="G2176" s="28"/>
      <c r="H2176" s="28"/>
    </row>
    <row r="2177" spans="1:8" x14ac:dyDescent="0.25">
      <c r="A2177" s="28"/>
      <c r="B2177" s="28"/>
      <c r="C2177" s="28"/>
      <c r="D2177" s="28"/>
      <c r="E2177" s="28"/>
      <c r="F2177" s="28"/>
      <c r="G2177" s="28"/>
      <c r="H2177" s="28"/>
    </row>
    <row r="2178" spans="1:8" x14ac:dyDescent="0.25">
      <c r="A2178" s="28"/>
      <c r="B2178" s="28"/>
      <c r="C2178" s="28"/>
      <c r="D2178" s="28"/>
      <c r="E2178" s="28"/>
      <c r="F2178" s="28"/>
      <c r="G2178" s="28"/>
      <c r="H2178" s="28"/>
    </row>
    <row r="2179" spans="1:8" x14ac:dyDescent="0.25">
      <c r="A2179" s="28"/>
      <c r="B2179" s="28"/>
      <c r="C2179" s="28"/>
      <c r="D2179" s="28"/>
      <c r="E2179" s="28"/>
      <c r="F2179" s="28"/>
      <c r="G2179" s="28"/>
      <c r="H2179" s="28"/>
    </row>
    <row r="2180" spans="1:8" x14ac:dyDescent="0.25">
      <c r="A2180" s="28"/>
      <c r="B2180" s="28"/>
      <c r="C2180" s="28"/>
      <c r="D2180" s="28"/>
      <c r="E2180" s="28"/>
      <c r="F2180" s="28"/>
      <c r="G2180" s="28"/>
      <c r="H2180" s="28"/>
    </row>
    <row r="2181" spans="1:8" x14ac:dyDescent="0.25">
      <c r="A2181" s="28"/>
      <c r="B2181" s="28"/>
      <c r="C2181" s="28"/>
      <c r="D2181" s="28"/>
      <c r="E2181" s="28"/>
      <c r="F2181" s="28"/>
      <c r="G2181" s="28"/>
      <c r="H2181" s="28"/>
    </row>
    <row r="2182" spans="1:8" x14ac:dyDescent="0.25">
      <c r="A2182" s="28"/>
      <c r="B2182" s="28"/>
      <c r="C2182" s="28"/>
      <c r="D2182" s="28"/>
      <c r="E2182" s="28"/>
      <c r="F2182" s="28"/>
      <c r="G2182" s="28"/>
      <c r="H2182" s="28"/>
    </row>
    <row r="2183" spans="1:8" x14ac:dyDescent="0.25">
      <c r="A2183" s="28"/>
      <c r="B2183" s="28"/>
      <c r="C2183" s="28"/>
      <c r="D2183" s="28"/>
      <c r="E2183" s="28"/>
      <c r="F2183" s="28"/>
      <c r="G2183" s="28"/>
      <c r="H2183" s="28"/>
    </row>
    <row r="2184" spans="1:8" x14ac:dyDescent="0.25">
      <c r="A2184" s="28"/>
      <c r="B2184" s="28"/>
      <c r="C2184" s="28"/>
      <c r="D2184" s="28"/>
      <c r="E2184" s="28"/>
      <c r="F2184" s="28"/>
      <c r="G2184" s="28"/>
      <c r="H2184" s="28"/>
    </row>
    <row r="2185" spans="1:8" x14ac:dyDescent="0.25">
      <c r="A2185" s="28"/>
      <c r="B2185" s="28"/>
      <c r="C2185" s="28"/>
      <c r="D2185" s="28"/>
      <c r="E2185" s="28"/>
      <c r="F2185" s="28"/>
      <c r="G2185" s="28"/>
      <c r="H2185" s="28"/>
    </row>
    <row r="2186" spans="1:8" x14ac:dyDescent="0.25">
      <c r="A2186" s="28"/>
      <c r="B2186" s="28"/>
      <c r="C2186" s="28"/>
      <c r="D2186" s="28"/>
      <c r="E2186" s="28"/>
      <c r="F2186" s="28"/>
      <c r="G2186" s="28"/>
      <c r="H2186" s="28"/>
    </row>
    <row r="2187" spans="1:8" x14ac:dyDescent="0.25">
      <c r="A2187" s="28"/>
      <c r="B2187" s="28"/>
      <c r="C2187" s="28"/>
      <c r="D2187" s="28"/>
      <c r="E2187" s="28"/>
      <c r="F2187" s="28"/>
      <c r="G2187" s="28"/>
      <c r="H2187" s="28"/>
    </row>
    <row r="2188" spans="1:8" x14ac:dyDescent="0.25">
      <c r="A2188" s="28"/>
      <c r="B2188" s="28"/>
      <c r="C2188" s="28"/>
      <c r="D2188" s="28"/>
      <c r="E2188" s="28"/>
      <c r="F2188" s="28"/>
      <c r="G2188" s="28"/>
      <c r="H2188" s="28"/>
    </row>
    <row r="2189" spans="1:8" x14ac:dyDescent="0.25">
      <c r="A2189" s="28"/>
      <c r="B2189" s="28"/>
      <c r="C2189" s="28"/>
      <c r="D2189" s="28"/>
      <c r="E2189" s="28"/>
      <c r="F2189" s="28"/>
      <c r="G2189" s="28"/>
      <c r="H2189" s="28"/>
    </row>
    <row r="2190" spans="1:8" x14ac:dyDescent="0.25">
      <c r="A2190" s="28"/>
      <c r="B2190" s="28"/>
      <c r="C2190" s="28"/>
      <c r="D2190" s="28"/>
      <c r="E2190" s="28"/>
      <c r="F2190" s="28"/>
      <c r="G2190" s="28"/>
      <c r="H2190" s="28"/>
    </row>
    <row r="2191" spans="1:8" x14ac:dyDescent="0.25">
      <c r="A2191" s="28"/>
      <c r="B2191" s="28"/>
      <c r="C2191" s="28"/>
      <c r="D2191" s="28"/>
      <c r="E2191" s="28"/>
      <c r="F2191" s="28"/>
      <c r="G2191" s="28"/>
      <c r="H2191" s="28"/>
    </row>
    <row r="2192" spans="1:8" x14ac:dyDescent="0.25">
      <c r="A2192" s="28"/>
      <c r="B2192" s="28"/>
      <c r="C2192" s="28"/>
      <c r="D2192" s="28"/>
      <c r="E2192" s="28"/>
      <c r="F2192" s="28"/>
      <c r="G2192" s="28"/>
      <c r="H2192" s="28"/>
    </row>
    <row r="2193" spans="1:8" x14ac:dyDescent="0.25">
      <c r="A2193" s="28"/>
      <c r="B2193" s="28"/>
      <c r="C2193" s="28"/>
      <c r="D2193" s="28"/>
      <c r="E2193" s="28"/>
      <c r="F2193" s="28"/>
      <c r="G2193" s="28"/>
      <c r="H2193" s="28"/>
    </row>
    <row r="2194" spans="1:8" x14ac:dyDescent="0.25">
      <c r="A2194" s="28"/>
      <c r="B2194" s="28"/>
      <c r="C2194" s="28"/>
      <c r="D2194" s="28"/>
      <c r="E2194" s="28"/>
      <c r="F2194" s="28"/>
      <c r="G2194" s="28"/>
      <c r="H2194" s="28"/>
    </row>
    <row r="2195" spans="1:8" x14ac:dyDescent="0.25">
      <c r="A2195" s="28"/>
      <c r="B2195" s="28"/>
      <c r="C2195" s="28"/>
      <c r="D2195" s="28"/>
      <c r="E2195" s="28"/>
      <c r="F2195" s="28"/>
      <c r="G2195" s="28"/>
      <c r="H2195" s="28"/>
    </row>
    <row r="2196" spans="1:8" x14ac:dyDescent="0.25">
      <c r="A2196" s="28"/>
      <c r="B2196" s="28"/>
      <c r="C2196" s="28"/>
      <c r="D2196" s="28"/>
      <c r="E2196" s="28"/>
      <c r="F2196" s="28"/>
      <c r="G2196" s="28"/>
      <c r="H2196" s="28"/>
    </row>
    <row r="2197" spans="1:8" x14ac:dyDescent="0.25">
      <c r="A2197" s="28"/>
      <c r="B2197" s="28"/>
      <c r="C2197" s="28"/>
      <c r="D2197" s="28"/>
      <c r="E2197" s="28"/>
      <c r="F2197" s="28"/>
      <c r="G2197" s="28"/>
      <c r="H2197" s="28"/>
    </row>
    <row r="2198" spans="1:8" x14ac:dyDescent="0.25">
      <c r="A2198" s="28"/>
      <c r="B2198" s="28"/>
      <c r="C2198" s="28"/>
      <c r="D2198" s="28"/>
      <c r="E2198" s="28"/>
      <c r="F2198" s="28"/>
      <c r="G2198" s="28"/>
      <c r="H2198" s="28"/>
    </row>
    <row r="2199" spans="1:8" x14ac:dyDescent="0.25">
      <c r="A2199" s="28"/>
      <c r="B2199" s="28"/>
      <c r="C2199" s="28"/>
      <c r="D2199" s="28"/>
      <c r="E2199" s="28"/>
      <c r="F2199" s="28"/>
      <c r="G2199" s="28"/>
      <c r="H2199" s="28"/>
    </row>
    <row r="2200" spans="1:8" x14ac:dyDescent="0.25">
      <c r="A2200" s="28"/>
      <c r="B2200" s="28"/>
      <c r="C2200" s="28"/>
      <c r="D2200" s="28"/>
      <c r="E2200" s="28"/>
      <c r="F2200" s="28"/>
      <c r="G2200" s="28"/>
      <c r="H2200" s="28"/>
    </row>
    <row r="2201" spans="1:8" x14ac:dyDescent="0.25">
      <c r="A2201" s="28"/>
      <c r="B2201" s="28"/>
      <c r="C2201" s="28"/>
      <c r="D2201" s="28"/>
      <c r="E2201" s="28"/>
      <c r="F2201" s="28"/>
      <c r="G2201" s="28"/>
      <c r="H2201" s="28"/>
    </row>
    <row r="2202" spans="1:8" x14ac:dyDescent="0.25">
      <c r="A2202" s="28"/>
      <c r="B2202" s="28"/>
      <c r="C2202" s="28"/>
      <c r="D2202" s="28"/>
      <c r="E2202" s="28"/>
      <c r="F2202" s="28"/>
      <c r="G2202" s="28"/>
      <c r="H2202" s="28"/>
    </row>
    <row r="2203" spans="1:8" x14ac:dyDescent="0.25">
      <c r="A2203" s="28"/>
      <c r="B2203" s="28"/>
      <c r="C2203" s="28"/>
      <c r="D2203" s="28"/>
      <c r="E2203" s="28"/>
      <c r="F2203" s="28"/>
      <c r="G2203" s="28"/>
      <c r="H2203" s="28"/>
    </row>
    <row r="2204" spans="1:8" x14ac:dyDescent="0.25">
      <c r="A2204" s="28"/>
      <c r="B2204" s="28"/>
      <c r="C2204" s="28"/>
      <c r="D2204" s="28"/>
      <c r="E2204" s="28"/>
      <c r="F2204" s="28"/>
      <c r="G2204" s="28"/>
      <c r="H2204" s="28"/>
    </row>
    <row r="2205" spans="1:8" x14ac:dyDescent="0.25">
      <c r="A2205" s="28"/>
      <c r="B2205" s="28"/>
      <c r="C2205" s="28"/>
      <c r="D2205" s="28"/>
      <c r="E2205" s="28"/>
      <c r="F2205" s="28"/>
      <c r="G2205" s="28"/>
      <c r="H2205" s="28"/>
    </row>
    <row r="2206" spans="1:8" x14ac:dyDescent="0.25">
      <c r="A2206" s="28"/>
      <c r="B2206" s="28"/>
      <c r="C2206" s="28"/>
      <c r="D2206" s="28"/>
      <c r="E2206" s="28"/>
      <c r="F2206" s="28"/>
      <c r="G2206" s="28"/>
      <c r="H2206" s="28"/>
    </row>
    <row r="2207" spans="1:8" x14ac:dyDescent="0.25">
      <c r="A2207" s="28"/>
      <c r="B2207" s="28"/>
      <c r="C2207" s="28"/>
      <c r="D2207" s="28"/>
      <c r="E2207" s="28"/>
      <c r="F2207" s="28"/>
      <c r="G2207" s="28"/>
      <c r="H2207" s="28"/>
    </row>
    <row r="2208" spans="1:8" x14ac:dyDescent="0.25">
      <c r="A2208" s="28"/>
      <c r="B2208" s="28"/>
      <c r="C2208" s="28"/>
      <c r="D2208" s="28"/>
      <c r="E2208" s="28"/>
      <c r="F2208" s="28"/>
      <c r="G2208" s="28"/>
      <c r="H2208" s="28"/>
    </row>
    <row r="2209" spans="1:8" x14ac:dyDescent="0.25">
      <c r="A2209" s="28"/>
      <c r="B2209" s="28"/>
      <c r="C2209" s="28"/>
      <c r="D2209" s="28"/>
      <c r="E2209" s="28"/>
      <c r="F2209" s="28"/>
      <c r="G2209" s="28"/>
      <c r="H2209" s="28"/>
    </row>
    <row r="2210" spans="1:8" x14ac:dyDescent="0.25">
      <c r="A2210" s="28"/>
      <c r="B2210" s="28"/>
      <c r="C2210" s="28"/>
      <c r="D2210" s="28"/>
      <c r="E2210" s="28"/>
      <c r="F2210" s="28"/>
      <c r="G2210" s="28"/>
      <c r="H2210" s="28"/>
    </row>
    <row r="2211" spans="1:8" x14ac:dyDescent="0.25">
      <c r="A2211" s="28"/>
      <c r="B2211" s="28"/>
      <c r="C2211" s="28"/>
      <c r="D2211" s="28"/>
      <c r="E2211" s="28"/>
      <c r="F2211" s="28"/>
      <c r="G2211" s="28"/>
      <c r="H2211" s="28"/>
    </row>
    <row r="2212" spans="1:8" x14ac:dyDescent="0.25">
      <c r="A2212" s="28"/>
      <c r="B2212" s="28"/>
      <c r="C2212" s="28"/>
      <c r="D2212" s="28"/>
      <c r="E2212" s="28"/>
      <c r="F2212" s="28"/>
      <c r="G2212" s="28"/>
      <c r="H2212" s="28"/>
    </row>
    <row r="2213" spans="1:8" x14ac:dyDescent="0.25">
      <c r="A2213" s="28"/>
      <c r="B2213" s="28"/>
      <c r="C2213" s="28"/>
      <c r="D2213" s="28"/>
      <c r="E2213" s="28"/>
      <c r="F2213" s="28"/>
      <c r="G2213" s="28"/>
      <c r="H2213" s="28"/>
    </row>
    <row r="2214" spans="1:8" x14ac:dyDescent="0.25">
      <c r="A2214" s="28"/>
      <c r="B2214" s="28"/>
      <c r="C2214" s="28"/>
      <c r="D2214" s="28"/>
      <c r="E2214" s="28"/>
      <c r="F2214" s="28"/>
      <c r="G2214" s="28"/>
      <c r="H2214" s="28"/>
    </row>
    <row r="2215" spans="1:8" x14ac:dyDescent="0.25">
      <c r="A2215" s="28"/>
      <c r="B2215" s="28"/>
      <c r="C2215" s="28"/>
      <c r="D2215" s="28"/>
      <c r="E2215" s="28"/>
      <c r="F2215" s="28"/>
      <c r="G2215" s="28"/>
      <c r="H2215" s="28"/>
    </row>
    <row r="2216" spans="1:8" x14ac:dyDescent="0.25">
      <c r="A2216" s="28"/>
      <c r="B2216" s="28"/>
      <c r="C2216" s="28"/>
      <c r="D2216" s="28"/>
      <c r="E2216" s="28"/>
      <c r="F2216" s="28"/>
      <c r="G2216" s="28"/>
      <c r="H2216" s="28"/>
    </row>
    <row r="2217" spans="1:8" x14ac:dyDescent="0.25">
      <c r="A2217" s="28"/>
      <c r="B2217" s="28"/>
      <c r="C2217" s="28"/>
      <c r="D2217" s="28"/>
      <c r="E2217" s="28"/>
      <c r="F2217" s="28"/>
      <c r="G2217" s="28"/>
      <c r="H2217" s="28"/>
    </row>
    <row r="2218" spans="1:8" x14ac:dyDescent="0.25">
      <c r="A2218" s="28"/>
      <c r="B2218" s="28"/>
      <c r="C2218" s="28"/>
      <c r="D2218" s="28"/>
      <c r="E2218" s="28"/>
      <c r="F2218" s="28"/>
      <c r="G2218" s="28"/>
      <c r="H2218" s="28"/>
    </row>
    <row r="2219" spans="1:8" x14ac:dyDescent="0.25">
      <c r="A2219" s="28"/>
      <c r="B2219" s="28"/>
      <c r="C2219" s="28"/>
      <c r="D2219" s="28"/>
      <c r="E2219" s="28"/>
      <c r="F2219" s="28"/>
      <c r="G2219" s="28"/>
      <c r="H2219" s="28"/>
    </row>
    <row r="2220" spans="1:8" x14ac:dyDescent="0.25">
      <c r="A2220" s="28"/>
      <c r="B2220" s="28"/>
      <c r="C2220" s="28"/>
      <c r="D2220" s="28"/>
      <c r="E2220" s="28"/>
      <c r="F2220" s="28"/>
      <c r="G2220" s="28"/>
      <c r="H2220" s="28"/>
    </row>
    <row r="2221" spans="1:8" x14ac:dyDescent="0.25">
      <c r="A2221" s="28"/>
      <c r="B2221" s="28"/>
      <c r="C2221" s="28"/>
      <c r="D2221" s="28"/>
      <c r="E2221" s="28"/>
      <c r="F2221" s="28"/>
      <c r="G2221" s="28"/>
      <c r="H2221" s="28"/>
    </row>
    <row r="2222" spans="1:8" x14ac:dyDescent="0.25">
      <c r="A2222" s="28"/>
      <c r="B2222" s="28"/>
      <c r="C2222" s="28"/>
      <c r="D2222" s="28"/>
      <c r="E2222" s="28"/>
      <c r="F2222" s="28"/>
      <c r="G2222" s="28"/>
      <c r="H2222" s="28"/>
    </row>
    <row r="2223" spans="1:8" x14ac:dyDescent="0.25">
      <c r="A2223" s="28"/>
      <c r="B2223" s="28"/>
      <c r="C2223" s="28"/>
      <c r="D2223" s="28"/>
      <c r="E2223" s="28"/>
      <c r="F2223" s="28"/>
      <c r="G2223" s="28"/>
      <c r="H2223" s="28"/>
    </row>
    <row r="2224" spans="1:8" x14ac:dyDescent="0.25">
      <c r="A2224" s="28"/>
      <c r="B2224" s="28"/>
      <c r="C2224" s="28"/>
      <c r="D2224" s="28"/>
      <c r="E2224" s="28"/>
      <c r="F2224" s="28"/>
      <c r="G2224" s="28"/>
      <c r="H2224" s="28"/>
    </row>
    <row r="2225" spans="1:8" x14ac:dyDescent="0.25">
      <c r="A2225" s="28"/>
      <c r="B2225" s="28"/>
      <c r="C2225" s="28"/>
      <c r="D2225" s="28"/>
      <c r="E2225" s="28"/>
      <c r="F2225" s="28"/>
      <c r="G2225" s="28"/>
      <c r="H2225" s="28"/>
    </row>
    <row r="2226" spans="1:8" x14ac:dyDescent="0.25">
      <c r="A2226" s="28"/>
      <c r="B2226" s="28"/>
      <c r="C2226" s="28"/>
      <c r="D2226" s="28"/>
      <c r="E2226" s="28"/>
      <c r="F2226" s="28"/>
      <c r="G2226" s="28"/>
      <c r="H2226" s="28"/>
    </row>
    <row r="2227" spans="1:8" x14ac:dyDescent="0.25">
      <c r="A2227" s="28"/>
      <c r="B2227" s="28"/>
      <c r="C2227" s="28"/>
      <c r="D2227" s="28"/>
      <c r="E2227" s="28"/>
      <c r="F2227" s="28"/>
      <c r="G2227" s="28"/>
      <c r="H2227" s="28"/>
    </row>
    <row r="2228" spans="1:8" x14ac:dyDescent="0.25">
      <c r="A2228" s="28"/>
      <c r="B2228" s="28"/>
      <c r="C2228" s="28"/>
      <c r="D2228" s="28"/>
      <c r="E2228" s="28"/>
      <c r="F2228" s="28"/>
      <c r="G2228" s="28"/>
      <c r="H2228" s="28"/>
    </row>
    <row r="2229" spans="1:8" x14ac:dyDescent="0.25">
      <c r="A2229" s="28"/>
      <c r="B2229" s="28"/>
      <c r="C2229" s="28"/>
      <c r="D2229" s="28"/>
      <c r="E2229" s="28"/>
      <c r="F2229" s="28"/>
      <c r="G2229" s="28"/>
      <c r="H2229" s="28"/>
    </row>
    <row r="2230" spans="1:8" x14ac:dyDescent="0.25">
      <c r="A2230" s="28"/>
      <c r="B2230" s="28"/>
      <c r="C2230" s="28"/>
      <c r="D2230" s="28"/>
      <c r="E2230" s="28"/>
      <c r="F2230" s="28"/>
      <c r="G2230" s="28"/>
      <c r="H2230" s="28"/>
    </row>
    <row r="2231" spans="1:8" x14ac:dyDescent="0.25">
      <c r="A2231" s="28"/>
      <c r="B2231" s="28"/>
      <c r="C2231" s="28"/>
      <c r="D2231" s="28"/>
      <c r="E2231" s="28"/>
      <c r="F2231" s="28"/>
      <c r="G2231" s="28"/>
      <c r="H2231" s="28"/>
    </row>
    <row r="2232" spans="1:8" x14ac:dyDescent="0.25">
      <c r="A2232" s="28"/>
      <c r="B2232" s="28"/>
      <c r="C2232" s="28"/>
      <c r="D2232" s="28"/>
      <c r="E2232" s="28"/>
      <c r="F2232" s="28"/>
      <c r="G2232" s="28"/>
      <c r="H2232" s="28"/>
    </row>
    <row r="2233" spans="1:8" x14ac:dyDescent="0.25">
      <c r="A2233" s="28"/>
      <c r="B2233" s="28"/>
      <c r="C2233" s="28"/>
      <c r="D2233" s="28"/>
      <c r="E2233" s="28"/>
      <c r="F2233" s="28"/>
      <c r="G2233" s="28"/>
      <c r="H2233" s="28"/>
    </row>
    <row r="2234" spans="1:8" x14ac:dyDescent="0.25">
      <c r="A2234" s="28"/>
      <c r="B2234" s="28"/>
      <c r="C2234" s="28"/>
      <c r="D2234" s="28"/>
      <c r="E2234" s="28"/>
      <c r="F2234" s="28"/>
      <c r="G2234" s="28"/>
      <c r="H2234" s="28"/>
    </row>
    <row r="2235" spans="1:8" x14ac:dyDescent="0.25">
      <c r="A2235" s="28"/>
      <c r="B2235" s="28"/>
      <c r="C2235" s="28"/>
      <c r="D2235" s="28"/>
      <c r="E2235" s="28"/>
      <c r="F2235" s="28"/>
      <c r="G2235" s="28"/>
      <c r="H2235" s="28"/>
    </row>
    <row r="2236" spans="1:8" x14ac:dyDescent="0.25">
      <c r="A2236" s="28"/>
      <c r="B2236" s="28"/>
      <c r="C2236" s="28"/>
      <c r="D2236" s="28"/>
      <c r="E2236" s="28"/>
      <c r="F2236" s="28"/>
      <c r="G2236" s="28"/>
      <c r="H2236" s="28"/>
    </row>
    <row r="2237" spans="1:8" x14ac:dyDescent="0.25">
      <c r="A2237" s="28"/>
      <c r="B2237" s="28"/>
      <c r="C2237" s="28"/>
      <c r="D2237" s="28"/>
      <c r="E2237" s="28"/>
      <c r="F2237" s="28"/>
      <c r="G2237" s="28"/>
      <c r="H2237" s="28"/>
    </row>
    <row r="2238" spans="1:8" x14ac:dyDescent="0.25">
      <c r="A2238" s="28"/>
      <c r="B2238" s="28"/>
      <c r="C2238" s="28"/>
      <c r="D2238" s="28"/>
      <c r="E2238" s="28"/>
      <c r="F2238" s="28"/>
      <c r="G2238" s="28"/>
      <c r="H2238" s="28"/>
    </row>
    <row r="2239" spans="1:8" x14ac:dyDescent="0.25">
      <c r="A2239" s="28"/>
      <c r="B2239" s="28"/>
      <c r="C2239" s="28"/>
      <c r="D2239" s="28"/>
      <c r="E2239" s="28"/>
      <c r="F2239" s="28"/>
      <c r="G2239" s="28"/>
      <c r="H2239" s="28"/>
    </row>
    <row r="2240" spans="1:8" x14ac:dyDescent="0.25">
      <c r="A2240" s="28"/>
      <c r="B2240" s="28"/>
      <c r="C2240" s="28"/>
      <c r="D2240" s="28"/>
      <c r="E2240" s="28"/>
      <c r="F2240" s="28"/>
      <c r="G2240" s="28"/>
      <c r="H2240" s="28"/>
    </row>
    <row r="2241" spans="1:8" x14ac:dyDescent="0.25">
      <c r="A2241" s="28"/>
      <c r="B2241" s="28"/>
      <c r="C2241" s="28"/>
      <c r="D2241" s="28"/>
      <c r="E2241" s="28"/>
      <c r="F2241" s="28"/>
      <c r="G2241" s="28"/>
      <c r="H2241" s="28"/>
    </row>
    <row r="2242" spans="1:8" x14ac:dyDescent="0.25">
      <c r="A2242" s="28"/>
      <c r="B2242" s="28"/>
      <c r="C2242" s="28"/>
      <c r="D2242" s="28"/>
      <c r="E2242" s="28"/>
      <c r="F2242" s="28"/>
      <c r="G2242" s="28"/>
      <c r="H2242" s="28"/>
    </row>
    <row r="2243" spans="1:8" x14ac:dyDescent="0.25">
      <c r="A2243" s="28"/>
      <c r="B2243" s="28"/>
      <c r="C2243" s="28"/>
      <c r="D2243" s="28"/>
      <c r="E2243" s="28"/>
      <c r="F2243" s="28"/>
      <c r="G2243" s="28"/>
      <c r="H2243" s="28"/>
    </row>
    <row r="2244" spans="1:8" x14ac:dyDescent="0.25">
      <c r="A2244" s="28"/>
      <c r="B2244" s="28"/>
      <c r="C2244" s="28"/>
      <c r="D2244" s="28"/>
      <c r="E2244" s="28"/>
      <c r="F2244" s="28"/>
      <c r="G2244" s="28"/>
      <c r="H2244" s="28"/>
    </row>
    <row r="2245" spans="1:8" x14ac:dyDescent="0.25">
      <c r="A2245" s="28"/>
      <c r="B2245" s="28"/>
      <c r="C2245" s="28"/>
      <c r="D2245" s="28"/>
      <c r="E2245" s="28"/>
      <c r="F2245" s="28"/>
      <c r="G2245" s="28"/>
      <c r="H2245" s="28"/>
    </row>
    <row r="2246" spans="1:8" x14ac:dyDescent="0.25">
      <c r="A2246" s="28"/>
      <c r="B2246" s="28"/>
      <c r="C2246" s="28"/>
      <c r="D2246" s="28"/>
      <c r="E2246" s="28"/>
      <c r="F2246" s="28"/>
      <c r="G2246" s="28"/>
      <c r="H2246" s="28"/>
    </row>
    <row r="2247" spans="1:8" x14ac:dyDescent="0.25">
      <c r="A2247" s="28"/>
      <c r="B2247" s="28"/>
      <c r="C2247" s="28"/>
      <c r="D2247" s="28"/>
      <c r="E2247" s="28"/>
      <c r="F2247" s="28"/>
      <c r="G2247" s="28"/>
      <c r="H2247" s="28"/>
    </row>
    <row r="2248" spans="1:8" x14ac:dyDescent="0.25">
      <c r="A2248" s="28"/>
      <c r="B2248" s="28"/>
      <c r="C2248" s="28"/>
      <c r="D2248" s="28"/>
      <c r="E2248" s="28"/>
      <c r="F2248" s="28"/>
      <c r="G2248" s="28"/>
      <c r="H2248" s="28"/>
    </row>
    <row r="2249" spans="1:8" x14ac:dyDescent="0.25">
      <c r="A2249" s="28"/>
      <c r="B2249" s="28"/>
      <c r="C2249" s="28"/>
      <c r="D2249" s="28"/>
      <c r="E2249" s="28"/>
      <c r="F2249" s="28"/>
      <c r="G2249" s="28"/>
      <c r="H2249" s="28"/>
    </row>
    <row r="2250" spans="1:8" x14ac:dyDescent="0.25">
      <c r="A2250" s="28"/>
      <c r="B2250" s="28"/>
      <c r="C2250" s="28"/>
      <c r="D2250" s="28"/>
      <c r="E2250" s="28"/>
      <c r="F2250" s="28"/>
      <c r="G2250" s="28"/>
      <c r="H2250" s="28"/>
    </row>
    <row r="2251" spans="1:8" x14ac:dyDescent="0.25">
      <c r="A2251" s="28"/>
      <c r="B2251" s="28"/>
      <c r="C2251" s="28"/>
      <c r="D2251" s="28"/>
      <c r="E2251" s="28"/>
      <c r="F2251" s="28"/>
      <c r="G2251" s="28"/>
      <c r="H2251" s="28"/>
    </row>
    <row r="2252" spans="1:8" x14ac:dyDescent="0.25">
      <c r="A2252" s="28"/>
      <c r="B2252" s="28"/>
      <c r="C2252" s="28"/>
      <c r="D2252" s="28"/>
      <c r="E2252" s="28"/>
      <c r="F2252" s="28"/>
      <c r="G2252" s="28"/>
      <c r="H2252" s="28"/>
    </row>
    <row r="2253" spans="1:8" x14ac:dyDescent="0.25">
      <c r="A2253" s="28"/>
      <c r="B2253" s="28"/>
      <c r="C2253" s="28"/>
      <c r="D2253" s="28"/>
      <c r="E2253" s="28"/>
      <c r="F2253" s="28"/>
      <c r="G2253" s="28"/>
      <c r="H2253" s="28"/>
    </row>
    <row r="2254" spans="1:8" x14ac:dyDescent="0.25">
      <c r="A2254" s="28"/>
      <c r="B2254" s="28"/>
      <c r="C2254" s="28"/>
      <c r="D2254" s="28"/>
      <c r="E2254" s="28"/>
      <c r="F2254" s="28"/>
      <c r="G2254" s="28"/>
      <c r="H2254" s="28"/>
    </row>
    <row r="2255" spans="1:8" x14ac:dyDescent="0.25">
      <c r="A2255" s="28"/>
      <c r="B2255" s="28"/>
      <c r="C2255" s="28"/>
      <c r="D2255" s="28"/>
      <c r="E2255" s="28"/>
      <c r="F2255" s="28"/>
      <c r="G2255" s="28"/>
      <c r="H2255" s="28"/>
    </row>
    <row r="2256" spans="1:8" x14ac:dyDescent="0.25">
      <c r="A2256" s="28"/>
      <c r="B2256" s="28"/>
      <c r="C2256" s="28"/>
      <c r="D2256" s="28"/>
      <c r="E2256" s="28"/>
      <c r="F2256" s="28"/>
      <c r="G2256" s="28"/>
      <c r="H2256" s="28"/>
    </row>
    <row r="2257" spans="1:8" x14ac:dyDescent="0.25">
      <c r="A2257" s="28"/>
      <c r="B2257" s="28"/>
      <c r="C2257" s="28"/>
      <c r="D2257" s="28"/>
      <c r="E2257" s="28"/>
      <c r="F2257" s="28"/>
      <c r="G2257" s="28"/>
      <c r="H2257" s="28"/>
    </row>
    <row r="2258" spans="1:8" x14ac:dyDescent="0.25">
      <c r="A2258" s="28"/>
      <c r="B2258" s="28"/>
      <c r="C2258" s="28"/>
      <c r="D2258" s="28"/>
      <c r="E2258" s="28"/>
      <c r="F2258" s="28"/>
      <c r="G2258" s="28"/>
      <c r="H2258" s="28"/>
    </row>
    <row r="2259" spans="1:8" x14ac:dyDescent="0.25">
      <c r="A2259" s="28"/>
      <c r="B2259" s="28"/>
      <c r="C2259" s="28"/>
      <c r="D2259" s="28"/>
      <c r="E2259" s="28"/>
      <c r="F2259" s="28"/>
      <c r="G2259" s="28"/>
      <c r="H2259" s="28"/>
    </row>
    <row r="2260" spans="1:8" x14ac:dyDescent="0.25">
      <c r="A2260" s="28"/>
      <c r="B2260" s="28"/>
      <c r="C2260" s="28"/>
      <c r="D2260" s="28"/>
      <c r="E2260" s="28"/>
      <c r="F2260" s="28"/>
      <c r="G2260" s="28"/>
      <c r="H2260" s="28"/>
    </row>
    <row r="2261" spans="1:8" x14ac:dyDescent="0.25">
      <c r="A2261" s="28"/>
      <c r="B2261" s="28"/>
      <c r="C2261" s="28"/>
      <c r="D2261" s="28"/>
      <c r="E2261" s="28"/>
      <c r="F2261" s="28"/>
      <c r="G2261" s="28"/>
      <c r="H2261" s="28"/>
    </row>
    <row r="2262" spans="1:8" x14ac:dyDescent="0.25">
      <c r="A2262" s="28"/>
      <c r="B2262" s="28"/>
      <c r="C2262" s="28"/>
      <c r="D2262" s="28"/>
      <c r="E2262" s="28"/>
      <c r="F2262" s="28"/>
      <c r="G2262" s="28"/>
      <c r="H2262" s="28"/>
    </row>
    <row r="2263" spans="1:8" x14ac:dyDescent="0.25">
      <c r="A2263" s="28"/>
      <c r="B2263" s="28"/>
      <c r="C2263" s="28"/>
      <c r="D2263" s="28"/>
      <c r="E2263" s="28"/>
      <c r="F2263" s="28"/>
      <c r="G2263" s="28"/>
      <c r="H2263" s="28"/>
    </row>
    <row r="2264" spans="1:8" x14ac:dyDescent="0.25">
      <c r="A2264" s="28"/>
      <c r="B2264" s="28"/>
      <c r="C2264" s="28"/>
      <c r="D2264" s="28"/>
      <c r="E2264" s="28"/>
      <c r="F2264" s="28"/>
      <c r="G2264" s="28"/>
      <c r="H2264" s="28"/>
    </row>
    <row r="2265" spans="1:8" x14ac:dyDescent="0.25">
      <c r="A2265" s="28"/>
      <c r="B2265" s="28"/>
      <c r="C2265" s="28"/>
      <c r="D2265" s="28"/>
      <c r="E2265" s="28"/>
      <c r="F2265" s="28"/>
      <c r="G2265" s="28"/>
      <c r="H2265" s="28"/>
    </row>
    <row r="2266" spans="1:8" x14ac:dyDescent="0.25">
      <c r="A2266" s="28"/>
      <c r="B2266" s="28"/>
      <c r="C2266" s="28"/>
      <c r="D2266" s="28"/>
      <c r="E2266" s="28"/>
      <c r="F2266" s="28"/>
      <c r="G2266" s="28"/>
      <c r="H2266" s="28"/>
    </row>
    <row r="2267" spans="1:8" x14ac:dyDescent="0.25">
      <c r="A2267" s="28"/>
      <c r="B2267" s="28"/>
      <c r="C2267" s="28"/>
      <c r="D2267" s="28"/>
      <c r="E2267" s="28"/>
      <c r="F2267" s="28"/>
      <c r="G2267" s="28"/>
      <c r="H2267" s="28"/>
    </row>
    <row r="2268" spans="1:8" x14ac:dyDescent="0.25">
      <c r="A2268" s="28"/>
      <c r="B2268" s="28"/>
      <c r="C2268" s="28"/>
      <c r="D2268" s="28"/>
      <c r="E2268" s="28"/>
      <c r="F2268" s="28"/>
      <c r="G2268" s="28"/>
      <c r="H2268" s="28"/>
    </row>
    <row r="2269" spans="1:8" x14ac:dyDescent="0.25">
      <c r="A2269" s="28"/>
      <c r="B2269" s="28"/>
      <c r="C2269" s="28"/>
      <c r="D2269" s="28"/>
      <c r="E2269" s="28"/>
      <c r="F2269" s="28"/>
      <c r="G2269" s="28"/>
      <c r="H2269" s="28"/>
    </row>
    <row r="2270" spans="1:8" x14ac:dyDescent="0.25">
      <c r="A2270" s="28"/>
      <c r="B2270" s="28"/>
      <c r="C2270" s="28"/>
      <c r="D2270" s="28"/>
      <c r="E2270" s="28"/>
      <c r="F2270" s="28"/>
      <c r="G2270" s="28"/>
      <c r="H2270" s="28"/>
    </row>
    <row r="2271" spans="1:8" x14ac:dyDescent="0.25">
      <c r="A2271" s="28"/>
      <c r="B2271" s="28"/>
      <c r="C2271" s="28"/>
      <c r="D2271" s="28"/>
      <c r="E2271" s="28"/>
      <c r="F2271" s="28"/>
      <c r="G2271" s="28"/>
      <c r="H2271" s="28"/>
    </row>
    <row r="2272" spans="1:8" x14ac:dyDescent="0.25">
      <c r="A2272" s="28"/>
      <c r="B2272" s="28"/>
      <c r="C2272" s="28"/>
      <c r="D2272" s="28"/>
      <c r="E2272" s="28"/>
      <c r="F2272" s="28"/>
      <c r="G2272" s="28"/>
      <c r="H2272" s="28"/>
    </row>
    <row r="2273" spans="1:8" x14ac:dyDescent="0.25">
      <c r="A2273" s="28"/>
      <c r="B2273" s="28"/>
      <c r="C2273" s="28"/>
      <c r="D2273" s="28"/>
      <c r="E2273" s="28"/>
      <c r="F2273" s="28"/>
      <c r="G2273" s="28"/>
      <c r="H2273" s="28"/>
    </row>
    <row r="2274" spans="1:8" x14ac:dyDescent="0.25">
      <c r="A2274" s="28"/>
      <c r="B2274" s="28"/>
      <c r="C2274" s="28"/>
      <c r="D2274" s="28"/>
      <c r="E2274" s="28"/>
      <c r="F2274" s="28"/>
      <c r="G2274" s="28"/>
      <c r="H2274" s="28"/>
    </row>
    <row r="2275" spans="1:8" x14ac:dyDescent="0.25">
      <c r="A2275" s="28"/>
      <c r="B2275" s="28"/>
      <c r="C2275" s="28"/>
      <c r="D2275" s="28"/>
      <c r="E2275" s="28"/>
      <c r="F2275" s="28"/>
      <c r="G2275" s="28"/>
      <c r="H2275" s="28"/>
    </row>
    <row r="2276" spans="1:8" x14ac:dyDescent="0.25">
      <c r="A2276" s="28"/>
      <c r="B2276" s="28"/>
      <c r="C2276" s="28"/>
      <c r="D2276" s="28"/>
      <c r="E2276" s="28"/>
      <c r="F2276" s="28"/>
      <c r="G2276" s="28"/>
      <c r="H2276" s="28"/>
    </row>
    <row r="2277" spans="1:8" x14ac:dyDescent="0.25">
      <c r="A2277" s="28"/>
      <c r="B2277" s="28"/>
      <c r="C2277" s="28"/>
      <c r="D2277" s="28"/>
      <c r="E2277" s="28"/>
      <c r="F2277" s="28"/>
      <c r="G2277" s="28"/>
      <c r="H2277" s="28"/>
    </row>
    <row r="2278" spans="1:8" x14ac:dyDescent="0.25">
      <c r="A2278" s="28"/>
      <c r="B2278" s="28"/>
      <c r="C2278" s="28"/>
      <c r="D2278" s="28"/>
      <c r="E2278" s="28"/>
      <c r="F2278" s="28"/>
      <c r="G2278" s="28"/>
      <c r="H2278" s="28"/>
    </row>
    <row r="2279" spans="1:8" x14ac:dyDescent="0.25">
      <c r="A2279" s="28"/>
      <c r="B2279" s="28"/>
      <c r="C2279" s="28"/>
      <c r="D2279" s="28"/>
      <c r="E2279" s="28"/>
      <c r="F2279" s="28"/>
      <c r="G2279" s="28"/>
      <c r="H2279" s="28"/>
    </row>
    <row r="2280" spans="1:8" x14ac:dyDescent="0.25">
      <c r="A2280" s="28"/>
      <c r="B2280" s="28"/>
      <c r="C2280" s="28"/>
      <c r="D2280" s="28"/>
      <c r="E2280" s="28"/>
      <c r="F2280" s="28"/>
      <c r="G2280" s="28"/>
      <c r="H2280" s="28"/>
    </row>
    <row r="2281" spans="1:8" x14ac:dyDescent="0.25">
      <c r="A2281" s="28"/>
      <c r="B2281" s="28"/>
      <c r="C2281" s="28"/>
      <c r="D2281" s="28"/>
      <c r="E2281" s="28"/>
      <c r="F2281" s="28"/>
      <c r="G2281" s="28"/>
      <c r="H2281" s="28"/>
    </row>
    <row r="2282" spans="1:8" x14ac:dyDescent="0.25">
      <c r="A2282" s="28"/>
      <c r="B2282" s="28"/>
      <c r="C2282" s="28"/>
      <c r="D2282" s="28"/>
      <c r="E2282" s="28"/>
      <c r="F2282" s="28"/>
      <c r="G2282" s="28"/>
      <c r="H2282" s="28"/>
    </row>
    <row r="2283" spans="1:8" x14ac:dyDescent="0.25">
      <c r="A2283" s="28"/>
      <c r="B2283" s="28"/>
      <c r="C2283" s="28"/>
      <c r="D2283" s="28"/>
      <c r="E2283" s="28"/>
      <c r="F2283" s="28"/>
      <c r="G2283" s="28"/>
      <c r="H2283" s="28"/>
    </row>
    <row r="2284" spans="1:8" x14ac:dyDescent="0.25">
      <c r="A2284" s="28"/>
      <c r="B2284" s="28"/>
      <c r="C2284" s="28"/>
      <c r="D2284" s="28"/>
      <c r="E2284" s="28"/>
      <c r="F2284" s="28"/>
      <c r="G2284" s="28"/>
      <c r="H2284" s="28"/>
    </row>
    <row r="2285" spans="1:8" x14ac:dyDescent="0.25">
      <c r="A2285" s="28"/>
      <c r="B2285" s="28"/>
      <c r="C2285" s="28"/>
      <c r="D2285" s="28"/>
      <c r="E2285" s="28"/>
      <c r="F2285" s="28"/>
      <c r="G2285" s="28"/>
      <c r="H2285" s="28"/>
    </row>
    <row r="2286" spans="1:8" x14ac:dyDescent="0.25">
      <c r="A2286" s="28"/>
      <c r="B2286" s="28"/>
      <c r="C2286" s="28"/>
      <c r="D2286" s="28"/>
      <c r="E2286" s="28"/>
      <c r="F2286" s="28"/>
      <c r="G2286" s="28"/>
      <c r="H2286" s="28"/>
    </row>
    <row r="2287" spans="1:8" x14ac:dyDescent="0.25">
      <c r="A2287" s="28"/>
      <c r="B2287" s="28"/>
      <c r="C2287" s="28"/>
      <c r="D2287" s="28"/>
      <c r="E2287" s="28"/>
      <c r="F2287" s="28"/>
      <c r="G2287" s="28"/>
      <c r="H2287" s="28"/>
    </row>
    <row r="2288" spans="1:8" x14ac:dyDescent="0.25">
      <c r="A2288" s="28"/>
      <c r="B2288" s="28"/>
      <c r="C2288" s="28"/>
      <c r="D2288" s="28"/>
      <c r="E2288" s="28"/>
      <c r="F2288" s="28"/>
      <c r="G2288" s="28"/>
      <c r="H2288" s="28"/>
    </row>
    <row r="2289" spans="1:8" x14ac:dyDescent="0.25">
      <c r="A2289" s="28"/>
      <c r="B2289" s="28"/>
      <c r="C2289" s="28"/>
      <c r="D2289" s="28"/>
      <c r="E2289" s="28"/>
      <c r="F2289" s="28"/>
      <c r="G2289" s="28"/>
      <c r="H2289" s="28"/>
    </row>
    <row r="2290" spans="1:8" x14ac:dyDescent="0.25">
      <c r="A2290" s="28"/>
      <c r="B2290" s="28"/>
      <c r="C2290" s="28"/>
      <c r="D2290" s="28"/>
      <c r="E2290" s="28"/>
      <c r="F2290" s="28"/>
      <c r="G2290" s="28"/>
      <c r="H2290" s="28"/>
    </row>
    <row r="2291" spans="1:8" x14ac:dyDescent="0.25">
      <c r="A2291" s="28"/>
      <c r="B2291" s="28"/>
      <c r="C2291" s="28"/>
      <c r="D2291" s="28"/>
      <c r="E2291" s="28"/>
      <c r="F2291" s="28"/>
      <c r="G2291" s="28"/>
      <c r="H2291" s="28"/>
    </row>
    <row r="2292" spans="1:8" x14ac:dyDescent="0.25">
      <c r="A2292" s="28"/>
      <c r="B2292" s="28"/>
      <c r="C2292" s="28"/>
      <c r="D2292" s="28"/>
      <c r="E2292" s="28"/>
      <c r="F2292" s="28"/>
      <c r="G2292" s="28"/>
      <c r="H2292" s="28"/>
    </row>
    <row r="2293" spans="1:8" x14ac:dyDescent="0.25">
      <c r="A2293" s="28"/>
      <c r="B2293" s="28"/>
      <c r="C2293" s="28"/>
      <c r="D2293" s="28"/>
      <c r="E2293" s="28"/>
      <c r="F2293" s="28"/>
      <c r="G2293" s="28"/>
      <c r="H2293" s="28"/>
    </row>
    <row r="2294" spans="1:8" x14ac:dyDescent="0.25">
      <c r="A2294" s="28"/>
      <c r="B2294" s="28"/>
      <c r="C2294" s="28"/>
      <c r="D2294" s="28"/>
      <c r="E2294" s="28"/>
      <c r="F2294" s="28"/>
      <c r="G2294" s="28"/>
      <c r="H2294" s="28"/>
    </row>
    <row r="2295" spans="1:8" x14ac:dyDescent="0.25">
      <c r="A2295" s="28"/>
      <c r="B2295" s="28"/>
      <c r="C2295" s="28"/>
      <c r="D2295" s="28"/>
      <c r="E2295" s="28"/>
      <c r="F2295" s="28"/>
      <c r="G2295" s="28"/>
      <c r="H2295" s="28"/>
    </row>
    <row r="2296" spans="1:8" x14ac:dyDescent="0.25">
      <c r="A2296" s="28"/>
      <c r="B2296" s="28"/>
      <c r="C2296" s="28"/>
      <c r="D2296" s="28"/>
      <c r="E2296" s="28"/>
      <c r="F2296" s="28"/>
      <c r="G2296" s="28"/>
      <c r="H2296" s="28"/>
    </row>
    <row r="2297" spans="1:8" x14ac:dyDescent="0.25">
      <c r="A2297" s="28"/>
      <c r="B2297" s="28"/>
      <c r="C2297" s="28"/>
      <c r="D2297" s="28"/>
      <c r="E2297" s="28"/>
      <c r="F2297" s="28"/>
      <c r="G2297" s="28"/>
      <c r="H2297" s="28"/>
    </row>
    <row r="2298" spans="1:8" x14ac:dyDescent="0.25">
      <c r="A2298" s="28"/>
      <c r="B2298" s="28"/>
      <c r="C2298" s="28"/>
      <c r="D2298" s="28"/>
      <c r="E2298" s="28"/>
      <c r="F2298" s="28"/>
      <c r="G2298" s="28"/>
      <c r="H2298" s="28"/>
    </row>
    <row r="2299" spans="1:8" x14ac:dyDescent="0.25">
      <c r="A2299" s="28"/>
      <c r="B2299" s="28"/>
      <c r="C2299" s="28"/>
      <c r="D2299" s="28"/>
      <c r="E2299" s="28"/>
      <c r="F2299" s="28"/>
      <c r="G2299" s="28"/>
      <c r="H2299" s="28"/>
    </row>
    <row r="2300" spans="1:8" x14ac:dyDescent="0.25">
      <c r="A2300" s="28"/>
      <c r="B2300" s="28"/>
      <c r="C2300" s="28"/>
      <c r="D2300" s="28"/>
      <c r="E2300" s="28"/>
      <c r="F2300" s="28"/>
      <c r="G2300" s="28"/>
      <c r="H2300" s="28"/>
    </row>
    <row r="2301" spans="1:8" x14ac:dyDescent="0.25">
      <c r="A2301" s="28"/>
      <c r="B2301" s="28"/>
      <c r="C2301" s="28"/>
      <c r="D2301" s="28"/>
      <c r="E2301" s="28"/>
      <c r="F2301" s="28"/>
      <c r="G2301" s="28"/>
      <c r="H2301" s="28"/>
    </row>
    <row r="2302" spans="1:8" x14ac:dyDescent="0.25">
      <c r="A2302" s="28"/>
      <c r="B2302" s="28"/>
      <c r="C2302" s="28"/>
      <c r="D2302" s="28"/>
      <c r="E2302" s="28"/>
      <c r="F2302" s="28"/>
      <c r="G2302" s="28"/>
      <c r="H2302" s="28"/>
    </row>
    <row r="2303" spans="1:8" x14ac:dyDescent="0.25">
      <c r="A2303" s="28"/>
      <c r="B2303" s="28"/>
      <c r="C2303" s="28"/>
      <c r="D2303" s="28"/>
      <c r="E2303" s="28"/>
      <c r="F2303" s="28"/>
      <c r="G2303" s="28"/>
      <c r="H2303" s="28"/>
    </row>
  </sheetData>
  <pageMargins left="0.70866141732283472" right="0.70866141732283472" top="0.78740157480314965" bottom="0.78740157480314965" header="0.31496062992125984" footer="0.31496062992125984"/>
  <pageSetup paperSize="9" scale="87" fitToHeight="0" orientation="landscape" verticalDpi="3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17</vt:i4>
      </vt:variant>
    </vt:vector>
  </HeadingPairs>
  <TitlesOfParts>
    <vt:vector size="28" baseType="lpstr">
      <vt:lpstr>Database</vt:lpstr>
      <vt:lpstr>Descriptions</vt:lpstr>
      <vt:lpstr>PvtTableDef</vt:lpstr>
      <vt:lpstr>LocalLists</vt:lpstr>
      <vt:lpstr>ReportOptions</vt:lpstr>
      <vt:lpstr>Version</vt:lpstr>
      <vt:lpstr>Rapport info</vt:lpstr>
      <vt:lpstr>Grupper</vt:lpstr>
      <vt:lpstr>Overføring</vt:lpstr>
      <vt:lpstr>Detaljer</vt:lpstr>
      <vt:lpstr>LeveringsTid</vt:lpstr>
      <vt:lpstr>CreationDate</vt:lpstr>
      <vt:lpstr>Currency</vt:lpstr>
      <vt:lpstr>CustomerHierarchy</vt:lpstr>
      <vt:lpstr>FirstSheet</vt:lpstr>
      <vt:lpstr>FirstTable</vt:lpstr>
      <vt:lpstr>IndexGroup</vt:lpstr>
      <vt:lpstr>MaterialPrice</vt:lpstr>
      <vt:lpstr>ProductHierarchy</vt:lpstr>
      <vt:lpstr>QuantityUnit</vt:lpstr>
      <vt:lpstr>RecNum</vt:lpstr>
      <vt:lpstr>ReportCaption</vt:lpstr>
      <vt:lpstr>ReportCaption1</vt:lpstr>
      <vt:lpstr>ReportID</vt:lpstr>
      <vt:lpstr>SalesValue</vt:lpstr>
      <vt:lpstr>SapExlReportName</vt:lpstr>
      <vt:lpstr>Time_Used</vt:lpstr>
      <vt:lpstr>Updated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2015-05-10T20:16:04Z</dcterms:modified>
</cp:coreProperties>
</file>