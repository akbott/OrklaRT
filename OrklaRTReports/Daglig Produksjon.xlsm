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3.6\OrklaRTReports\"/>
    </mc:Choice>
  </mc:AlternateContent>
  <workbookProtection workbookPassword="CB87" lockStructure="1"/>
  <bookViews>
    <workbookView xWindow="1536" yWindow="2880" windowWidth="17388" windowHeight="7380" tabRatio="934" firstSheet="8" activeTab="8"/>
  </bookViews>
  <sheets>
    <sheet name="Database" sheetId="9" state="hidden" r:id="rId1"/>
    <sheet name="ExchangeRates" sheetId="11" state="hidden" r:id="rId2"/>
    <sheet name="PvtTableDef" sheetId="33" state="hidden" r:id="rId3"/>
    <sheet name="LocalLists" sheetId="24" state="hidden" r:id="rId4"/>
    <sheet name="MARMDPK" sheetId="40" state="hidden" r:id="rId5"/>
    <sheet name="MARMFPK" sheetId="38" state="hidden" r:id="rId6"/>
    <sheet name="ReportOptions" sheetId="10" state="hidden" r:id="rId7"/>
    <sheet name="Version" sheetId="5" state="hidden" r:id="rId8"/>
    <sheet name="Rapport info" sheetId="1" r:id="rId9"/>
    <sheet name="Elverum" sheetId="39" r:id="rId10"/>
    <sheet name="Oversikt" sheetId="35" r:id="rId11"/>
    <sheet name="Uke Visning" sheetId="36" r:id="rId12"/>
    <sheet name="Blande Faktorer" sheetId="37" state="hidden" r:id="rId13"/>
  </sheets>
  <definedNames>
    <definedName name="Currency">ReportOptions!$B$10</definedName>
    <definedName name="_xlnm.Database">Database!$A$2:$BJ$3</definedName>
    <definedName name="FirstSheet">Version!$B$6</definedName>
    <definedName name="FirstTable">Version!$B$7</definedName>
    <definedName name="MaterialPrice">ReportOptions!$B$5</definedName>
    <definedName name="MixingFactors" localSheetId="12">'Blande Faktorer'!$A$6:$B$8</definedName>
    <definedName name="_xlnm.Print_Titles" localSheetId="9">Elverum!$10:$13</definedName>
    <definedName name="_xlnm.Print_Titles" localSheetId="10">Oversikt!$10:$13</definedName>
    <definedName name="_xlnm.Print_Titles" localSheetId="11">'Uke Visning'!$13:$16</definedName>
    <definedName name="ProductHierarchy">ReportOptions!$B$6</definedName>
    <definedName name="QuantityUnit">ReportOptions!$B$9</definedName>
    <definedName name="RecNum">'Rapport info'!$K$10</definedName>
    <definedName name="ReportCaption">Version!$B$8</definedName>
    <definedName name="ReportCaption1">Version!$B$9</definedName>
    <definedName name="ReportID">Version!$B$4</definedName>
    <definedName name="SalesValue">ReportOptions!$B$8</definedName>
    <definedName name="SapExlReportName">Version!$B$5</definedName>
    <definedName name="Time_Used">'Rapport info'!$K$12</definedName>
    <definedName name="Updated">'Rapport info'!$K$11</definedName>
  </definedNames>
  <calcPr calcId="171027"/>
  <pivotCaches>
    <pivotCache cacheId="21" r:id="rId14"/>
  </pivotCaches>
</workbook>
</file>

<file path=xl/calcChain.xml><?xml version="1.0" encoding="utf-8"?>
<calcChain xmlns="http://schemas.openxmlformats.org/spreadsheetml/2006/main">
  <c r="BQ2" i="9" l="1"/>
  <c r="BQ3" i="9"/>
  <c r="BM2" i="9"/>
  <c r="BM3" i="9"/>
  <c r="BP2" i="9"/>
  <c r="BP3" i="9"/>
  <c r="BO2" i="9"/>
  <c r="BO3" i="9"/>
  <c r="BN2" i="9"/>
  <c r="BN3" i="9"/>
  <c r="BL2" i="9"/>
  <c r="BL3" i="9"/>
  <c r="BK2" i="9"/>
  <c r="BK3" i="9"/>
  <c r="BJ2" i="9" l="1"/>
  <c r="BJ3" i="9"/>
  <c r="AZ2" i="9" l="1"/>
  <c r="AZ3" i="9"/>
  <c r="BD2" i="9" l="1"/>
  <c r="BD3" i="9"/>
  <c r="BC2" i="9" l="1"/>
  <c r="BC3" i="9"/>
  <c r="AY2" i="9" l="1"/>
  <c r="AY3" i="9"/>
  <c r="BI2" i="9" l="1"/>
  <c r="BI3" i="9"/>
  <c r="BH2" i="9" l="1"/>
  <c r="BH3" i="9"/>
  <c r="AX2" i="9" l="1"/>
  <c r="AX3" i="9"/>
  <c r="BE2" i="9" l="1"/>
  <c r="BE3" i="9"/>
  <c r="AW2" i="9" l="1"/>
  <c r="AW3" i="9"/>
  <c r="BG2" i="9" l="1"/>
  <c r="BG3" i="9"/>
  <c r="BB2" i="9"/>
  <c r="BB3" i="9"/>
  <c r="BA2" i="9" l="1"/>
  <c r="BA3" i="9"/>
  <c r="A2" i="36" l="1"/>
  <c r="BF3" i="9" l="1"/>
  <c r="BF2" i="9"/>
  <c r="C7" i="10" l="1"/>
  <c r="C6" i="10"/>
  <c r="C5" i="10"/>
  <c r="C8" i="10"/>
  <c r="C9" i="10"/>
  <c r="C10" i="10" l="1"/>
</calcChain>
</file>

<file path=xl/connections.xml><?xml version="1.0" encoding="utf-8"?>
<connections xmlns="http://schemas.openxmlformats.org/spreadsheetml/2006/main">
  <connection id="1" name="MixingFactors" type="6" refreshedVersion="4" background="1" saveData="1">
    <textPr prompt="0" sourceFile="C:\Data\Excel\TestSapExl\SavedReports\MixingFactors.txt" decimal="," thousands=".">
      <textFields>
        <textField/>
      </textFields>
    </textPr>
  </connection>
  <connection id="2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<sst xmlns="http://schemas.openxmlformats.org/spreadsheetml/2006/main" count="339" uniqueCount="214">
  <si>
    <t>ReportName</t>
  </si>
  <si>
    <t>ReportID</t>
  </si>
  <si>
    <t>Material</t>
  </si>
  <si>
    <t>NOK</t>
  </si>
  <si>
    <t>Currency</t>
  </si>
  <si>
    <t>This sheet is used to handle user selections in the ribbon group Options</t>
  </si>
  <si>
    <t>Description</t>
  </si>
  <si>
    <t>Ribbon options</t>
  </si>
  <si>
    <t>Value</t>
  </si>
  <si>
    <t>Item tag</t>
  </si>
  <si>
    <t>FirstSheet</t>
  </si>
  <si>
    <t>FirstTable</t>
  </si>
  <si>
    <t>AUD</t>
  </si>
  <si>
    <t>CAD</t>
  </si>
  <si>
    <t>CHF</t>
  </si>
  <si>
    <t>CZK</t>
  </si>
  <si>
    <t>DKK</t>
  </si>
  <si>
    <t>EUR</t>
  </si>
  <si>
    <t>GBP</t>
  </si>
  <si>
    <t>HUF</t>
  </si>
  <si>
    <t>JPY</t>
  </si>
  <si>
    <t>PLN</t>
  </si>
  <si>
    <t>SEK</t>
  </si>
  <si>
    <t>USD</t>
  </si>
  <si>
    <t>From</t>
  </si>
  <si>
    <t>To</t>
  </si>
  <si>
    <t>Valid from</t>
  </si>
  <si>
    <t>QuantityUnit</t>
  </si>
  <si>
    <t>SalesValue</t>
  </si>
  <si>
    <t>CustomerHierarchy</t>
  </si>
  <si>
    <t>ProductHierarchy</t>
  </si>
  <si>
    <t>MaterialPrice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</si>
  <si>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</si>
  <si>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</si>
  <si>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</si>
  <si>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</si>
  <si>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</si>
  <si>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</si>
  <si>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</si>
  <si>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</si>
  <si>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</si>
  <si>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</si>
  <si>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</si>
  <si>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</si>
  <si>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This sheet contains report information used by the addin</t>
  </si>
  <si>
    <t>Level 1</t>
  </si>
  <si>
    <t>Level 3</t>
  </si>
  <si>
    <t>ReportCaption</t>
  </si>
  <si>
    <t>X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</si>
  <si>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</si>
  <si>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</si>
  <si>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</si>
  <si>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</si>
  <si>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</si>
  <si>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</si>
  <si>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</si>
  <si>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</si>
  <si>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</si>
  <si>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</si>
  <si>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</si>
  <si>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</si>
  <si>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</si>
  <si>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</si>
  <si>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</si>
  <si>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</si>
  <si>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</si>
  <si>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</si>
  <si>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</si>
  <si>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</si>
  <si>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</si>
  <si>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</si>
  <si>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</si>
  <si>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</si>
  <si>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</si>
  <si>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</si>
  <si>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</si>
  <si>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</si>
  <si>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</si>
  <si>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</si>
  <si>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</si>
  <si>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</si>
  <si>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</si>
  <si>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Gross</t>
  </si>
  <si>
    <t>Default</t>
  </si>
  <si>
    <t>Pivottabell12</t>
  </si>
  <si>
    <t>Vedlikehold av blandefaktor</t>
  </si>
  <si>
    <t>Skriv inn Material nummer og faktor i det gule området under liste og trykk knappen Save list når du er ferdig.</t>
  </si>
  <si>
    <t>Factor</t>
  </si>
  <si>
    <t>ReportCaption1</t>
  </si>
  <si>
    <t>- Rapporten er i utgangspunktet sortert etter Produksjon planlegger, arbeidsstasjon og starttid.</t>
  </si>
  <si>
    <t>Rapporten Inneholder</t>
  </si>
  <si>
    <t>Rapport Statistikker</t>
  </si>
  <si>
    <t>Fak. slutt</t>
  </si>
  <si>
    <t>Fak. sluttdato</t>
  </si>
  <si>
    <t>Plan. sluttdato</t>
  </si>
  <si>
    <t>Plan. slutttid</t>
  </si>
  <si>
    <t>Fak. Startdato</t>
  </si>
  <si>
    <t>Plan. startdato</t>
  </si>
  <si>
    <t>Plan. Starttid</t>
  </si>
  <si>
    <t>Fakt. Frigivelse</t>
  </si>
  <si>
    <t>Fakt. lev.tid</t>
  </si>
  <si>
    <t>Aktivitetstype</t>
  </si>
  <si>
    <t>Sluttlev.ind.</t>
  </si>
  <si>
    <t>Ordre</t>
  </si>
  <si>
    <t>Salgsdok.type</t>
  </si>
  <si>
    <t>Controllingområde</t>
  </si>
  <si>
    <t>Varemottaksind.</t>
  </si>
  <si>
    <t>Språk</t>
  </si>
  <si>
    <t>MaterialTyp besk.</t>
  </si>
  <si>
    <t>Sletteindikator</t>
  </si>
  <si>
    <t>Fabrikk besk.</t>
  </si>
  <si>
    <t>Prod.planlegger</t>
  </si>
  <si>
    <t>Arbeidsstasjon</t>
  </si>
  <si>
    <t>Språkkode</t>
  </si>
  <si>
    <t>MaterialTyp</t>
  </si>
  <si>
    <t>Fabrikk</t>
  </si>
  <si>
    <t>Normoppriggingstid</t>
  </si>
  <si>
    <t>NormKvantum</t>
  </si>
  <si>
    <t>Norm - behandl. tid</t>
  </si>
  <si>
    <t>Mottat</t>
  </si>
  <si>
    <t>Equal bat size qty</t>
  </si>
  <si>
    <t>Equal bat size qty2</t>
  </si>
  <si>
    <t>EBS min batch str</t>
  </si>
  <si>
    <t>EBS max batch size</t>
  </si>
  <si>
    <t>Avrundingsverdi</t>
  </si>
  <si>
    <t>Material Navn</t>
  </si>
  <si>
    <t>Uke</t>
  </si>
  <si>
    <t>Ordrer</t>
  </si>
  <si>
    <t>Lever_Kva</t>
  </si>
  <si>
    <t>30.09.2014</t>
  </si>
  <si>
    <t>Ikke tilordnet</t>
  </si>
  <si>
    <t>PP01</t>
  </si>
  <si>
    <t>Norsk</t>
  </si>
  <si>
    <t>Posteiansjos M/Lake Hakket</t>
  </si>
  <si>
    <t>Halvfabrikat, Stabburet</t>
  </si>
  <si>
    <t>Råbekken</t>
  </si>
  <si>
    <t>FR00/025</t>
  </si>
  <si>
    <t>FR00/FR7507</t>
  </si>
  <si>
    <t>NO</t>
  </si>
  <si>
    <t>ZHAL</t>
  </si>
  <si>
    <t>FR00</t>
  </si>
  <si>
    <t>16.09.2014</t>
  </si>
  <si>
    <t>Biffstrimler marinert, tromlet</t>
  </si>
  <si>
    <t>FR00/055</t>
  </si>
  <si>
    <t>FR00/FR7099</t>
  </si>
  <si>
    <t>MaterialType</t>
  </si>
  <si>
    <t>OrdreType</t>
  </si>
  <si>
    <t>Kreftet</t>
  </si>
  <si>
    <t>Ordre_Kva</t>
  </si>
  <si>
    <t>Ordre_CT</t>
  </si>
  <si>
    <t>Lever_CT</t>
  </si>
  <si>
    <t>(All)</t>
  </si>
  <si>
    <t>068583 Posteiansjos M/Lake Hakket</t>
  </si>
  <si>
    <t>069362 Biffstrimler marinert, tromlet</t>
  </si>
  <si>
    <t xml:space="preserve">Ordre_Kva </t>
  </si>
  <si>
    <t xml:space="preserve">Lever_Kva </t>
  </si>
  <si>
    <t>Beh.tid enhet</t>
  </si>
  <si>
    <t>Opprigging enhet</t>
  </si>
  <si>
    <t>Basiskva. Enhet</t>
  </si>
  <si>
    <t>Ordre_Kvantum</t>
  </si>
  <si>
    <t>Dag</t>
  </si>
  <si>
    <t>40-2014</t>
  </si>
  <si>
    <t>Daglig Produksjons Plan</t>
  </si>
  <si>
    <t>- Denne rapporten viser alle prosessordrer og plan ordrer for den fabrikken/perioden du har valgt.</t>
  </si>
  <si>
    <t>- Bruk denne som en daglig produksjonsplan per arbeidsstasjon.</t>
  </si>
  <si>
    <t>- Nøkkeltall er ordre kvantum og levert kvantum for prosessordrer, planlagt kvantum for plan ordrer</t>
  </si>
  <si>
    <t xml:space="preserve">  og planlagt prosess tid</t>
  </si>
  <si>
    <t>Planl_Tid</t>
  </si>
  <si>
    <t>Planl. kap.</t>
  </si>
  <si>
    <t>OrgOrdre</t>
  </si>
  <si>
    <t xml:space="preserve">Planl_Tid </t>
  </si>
  <si>
    <t>Blandinger</t>
  </si>
  <si>
    <t>Antl. Blandinger</t>
  </si>
  <si>
    <t>0001214824</t>
  </si>
  <si>
    <t>0001213749</t>
  </si>
  <si>
    <t>(blank)</t>
  </si>
  <si>
    <t>Betegnelse</t>
  </si>
  <si>
    <t>Alrg</t>
  </si>
  <si>
    <t>test</t>
  </si>
  <si>
    <t>Kjt.Verdi</t>
  </si>
  <si>
    <t xml:space="preserve"> </t>
  </si>
  <si>
    <t>Brukerinstruks</t>
  </si>
  <si>
    <t>- Velg fabrikk og eventuelt materialtype / planlegger du ønsker å se på</t>
  </si>
  <si>
    <t>- Kjør rapport (F8) og du får frem alle prosessorde og planordre for den perioden du har valgt</t>
  </si>
  <si>
    <t>- Dersom du ønsker rapporten tilpasset dine behov kan du filtrere utvalgsmeny øverst til venstre, eventuelt drille ned i detaljer</t>
  </si>
  <si>
    <t xml:space="preserve">- Du kan også legge til felt i rapporten fra feltoversikt som du får fram via meny.  </t>
  </si>
  <si>
    <t>- Under vises daglig produksjonsplan pr planlegger og arbeidssted med detaljer</t>
  </si>
  <si>
    <r>
      <t xml:space="preserve">- Du kan gå direkte inn i SAP fra rapporten ved å høyreklikke på ønsket linje og velge mm03, md04 eller cor3.  </t>
    </r>
    <r>
      <rPr>
        <b/>
        <sz val="12"/>
        <color theme="1"/>
        <rFont val="Calibri"/>
        <family val="2"/>
        <scheme val="minor"/>
      </rPr>
      <t>Husk da å bruke pil tilbake for å komme tilbake</t>
    </r>
  </si>
  <si>
    <t xml:space="preserve">- Det er også laget en rapport pr uke og dag som vist under </t>
  </si>
  <si>
    <t xml:space="preserve">    Trykk F10 for å vise seleksjoner for rapport</t>
  </si>
  <si>
    <t>Styringsnøkkel</t>
  </si>
  <si>
    <t>PROD</t>
  </si>
  <si>
    <t>Info</t>
  </si>
  <si>
    <t>Arbeidsstasjon kode</t>
  </si>
  <si>
    <t>Arbeidsstasjon Besk.</t>
  </si>
  <si>
    <t>FR7099 FR00/FR7099</t>
  </si>
  <si>
    <t>FR7507 FR00/FR7507</t>
  </si>
  <si>
    <t>PlantMaterial</t>
  </si>
  <si>
    <t>AlternativeUnit</t>
  </si>
  <si>
    <t>Counter</t>
  </si>
  <si>
    <t>Denominator</t>
  </si>
  <si>
    <t>DPK</t>
  </si>
  <si>
    <t>Antall DPK</t>
  </si>
  <si>
    <t xml:space="preserve">Antall DPK </t>
  </si>
  <si>
    <t>Ordre_Kva D-pakk</t>
  </si>
  <si>
    <t>Lever_Kva D-pakk</t>
  </si>
  <si>
    <t>Ordre_Kva F-pakk</t>
  </si>
  <si>
    <t xml:space="preserve">Avrundingsverdi </t>
  </si>
  <si>
    <t>FPK</t>
  </si>
  <si>
    <t>TIRSDAG</t>
  </si>
  <si>
    <t>Elverum</t>
  </si>
  <si>
    <t>DPKCounter</t>
  </si>
  <si>
    <t>FPKCounter</t>
  </si>
  <si>
    <t>Materialbeskrivelse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</si>
</sst>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;[Red]\-#,##0.0"/>
    <numFmt numFmtId="165" formatCode="[$-F400]h:mm:ss\ AM/PM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u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9"/>
        <bgColor indexed="64"/>
      </patternFill>
    </fill>
  </fills>
  <borders count="18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999999"/>
      </top>
      <bottom/>
      <diagonal/>
    </border>
    <border>
      <left/>
      <right style="thin">
        <color indexed="8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indexed="8"/>
      </right>
      <top style="thin">
        <color rgb="FF999999"/>
      </top>
      <bottom/>
      <diagonal/>
    </border>
  </borders>
  <cellStyleXfs count="7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</cellStyleXfs>
  <cellXfs count="73">
    <xf numFmtId="0" fontId="0" fillId="0" borderId="0" xfId="0"/>
    <xf numFmtId="0" fontId="1" fillId="0" borderId="1" xfId="0" applyFont="1" applyBorder="1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2" borderId="3" xfId="0" applyFont="1" applyFill="1" applyBorder="1"/>
    <xf numFmtId="0" fontId="1" fillId="4" borderId="0" xfId="0" applyFont="1" applyFill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0" fontId="0" fillId="3" borderId="0" xfId="0" applyFill="1" applyAlignment="1">
      <alignment horizontal="left"/>
    </xf>
    <xf numFmtId="0" fontId="4" fillId="0" borderId="0" xfId="0" applyFont="1" applyFill="1" applyAlignment="1">
      <alignment horizontal="left"/>
    </xf>
    <xf numFmtId="0" fontId="7" fillId="0" borderId="0" xfId="1"/>
    <xf numFmtId="0" fontId="11" fillId="0" borderId="0" xfId="1" applyFont="1"/>
    <xf numFmtId="0" fontId="1" fillId="2" borderId="5" xfId="0" applyFont="1" applyFill="1" applyBorder="1"/>
    <xf numFmtId="0" fontId="1" fillId="2" borderId="2" xfId="0" applyFont="1" applyFill="1" applyBorder="1"/>
    <xf numFmtId="0" fontId="12" fillId="0" borderId="0" xfId="1" applyFont="1"/>
    <xf numFmtId="0" fontId="7" fillId="0" borderId="0" xfId="1" applyFont="1"/>
    <xf numFmtId="0" fontId="10" fillId="0" borderId="6" xfId="1" applyFont="1" applyBorder="1"/>
    <xf numFmtId="0" fontId="7" fillId="3" borderId="0" xfId="1" applyFill="1"/>
    <xf numFmtId="21" fontId="0" fillId="0" borderId="0" xfId="0" applyNumberFormat="1"/>
    <xf numFmtId="38" fontId="1" fillId="2" borderId="3" xfId="0" applyNumberFormat="1" applyFont="1" applyFill="1" applyBorder="1" applyAlignment="1">
      <alignment horizontal="right"/>
    </xf>
    <xf numFmtId="0" fontId="1" fillId="0" borderId="0" xfId="0" applyFont="1" applyBorder="1"/>
    <xf numFmtId="38" fontId="1" fillId="2" borderId="4" xfId="0" applyNumberFormat="1" applyFont="1" applyFill="1" applyBorder="1" applyAlignment="1">
      <alignment horizontal="right"/>
    </xf>
    <xf numFmtId="165" fontId="1" fillId="0" borderId="0" xfId="0" applyNumberFormat="1" applyFont="1"/>
    <xf numFmtId="165" fontId="0" fillId="0" borderId="0" xfId="0" applyNumberFormat="1"/>
    <xf numFmtId="1" fontId="1" fillId="2" borderId="3" xfId="0" applyNumberFormat="1" applyFont="1" applyFill="1" applyBorder="1" applyAlignment="1">
      <alignment horizontal="right"/>
    </xf>
    <xf numFmtId="0" fontId="13" fillId="0" borderId="0" xfId="0" applyFont="1" applyFill="1"/>
    <xf numFmtId="0" fontId="4" fillId="0" borderId="0" xfId="0" quotePrefix="1" applyFont="1"/>
    <xf numFmtId="0" fontId="0" fillId="0" borderId="8" xfId="0" applyBorder="1"/>
    <xf numFmtId="0" fontId="0" fillId="0" borderId="11" xfId="0" pivotButton="1" applyBorder="1"/>
    <xf numFmtId="0" fontId="0" fillId="0" borderId="11" xfId="0" applyBorder="1"/>
    <xf numFmtId="21" fontId="0" fillId="0" borderId="8" xfId="0" applyNumberFormat="1" applyBorder="1"/>
    <xf numFmtId="0" fontId="1" fillId="0" borderId="12" xfId="0" applyFont="1" applyBorder="1"/>
    <xf numFmtId="0" fontId="1" fillId="0" borderId="8" xfId="0" applyFont="1" applyBorder="1"/>
    <xf numFmtId="21" fontId="1" fillId="0" borderId="8" xfId="0" applyNumberFormat="1" applyFont="1" applyBorder="1"/>
    <xf numFmtId="0" fontId="1" fillId="0" borderId="7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38" fontId="0" fillId="0" borderId="7" xfId="0" applyNumberFormat="1" applyBorder="1" applyAlignment="1">
      <alignment horizontal="right"/>
    </xf>
    <xf numFmtId="38" fontId="0" fillId="0" borderId="8" xfId="0" applyNumberFormat="1" applyBorder="1" applyAlignment="1">
      <alignment horizontal="right"/>
    </xf>
    <xf numFmtId="1" fontId="0" fillId="0" borderId="8" xfId="0" applyNumberFormat="1" applyBorder="1" applyAlignment="1">
      <alignment horizontal="right"/>
    </xf>
    <xf numFmtId="0" fontId="0" fillId="5" borderId="13" xfId="0" applyFill="1" applyBorder="1"/>
    <xf numFmtId="0" fontId="0" fillId="5" borderId="10" xfId="0" applyFill="1" applyBorder="1"/>
    <xf numFmtId="38" fontId="0" fillId="5" borderId="7" xfId="0" applyNumberFormat="1" applyFill="1" applyBorder="1" applyAlignment="1">
      <alignment horizontal="right"/>
    </xf>
    <xf numFmtId="38" fontId="0" fillId="5" borderId="8" xfId="0" applyNumberFormat="1" applyFill="1" applyBorder="1" applyAlignment="1">
      <alignment horizontal="right"/>
    </xf>
    <xf numFmtId="1" fontId="0" fillId="5" borderId="8" xfId="0" applyNumberFormat="1" applyFill="1" applyBorder="1" applyAlignment="1">
      <alignment horizontal="right"/>
    </xf>
    <xf numFmtId="0" fontId="0" fillId="0" borderId="16" xfId="0" applyBorder="1"/>
    <xf numFmtId="0" fontId="1" fillId="0" borderId="15" xfId="0" applyFont="1" applyBorder="1" applyAlignment="1">
      <alignment horizontal="right"/>
    </xf>
    <xf numFmtId="38" fontId="0" fillId="0" borderId="15" xfId="0" applyNumberFormat="1" applyBorder="1" applyAlignment="1">
      <alignment horizontal="right"/>
    </xf>
    <xf numFmtId="38" fontId="0" fillId="5" borderId="17" xfId="0" applyNumberFormat="1" applyFill="1" applyBorder="1" applyAlignment="1">
      <alignment horizontal="right"/>
    </xf>
    <xf numFmtId="1" fontId="0" fillId="0" borderId="9" xfId="0" applyNumberFormat="1" applyBorder="1" applyAlignment="1">
      <alignment horizontal="right"/>
    </xf>
    <xf numFmtId="1" fontId="1" fillId="2" borderId="4" xfId="0" applyNumberFormat="1" applyFont="1" applyFill="1" applyBorder="1" applyAlignment="1">
      <alignment horizontal="right"/>
    </xf>
    <xf numFmtId="1" fontId="0" fillId="5" borderId="14" xfId="0" applyNumberFormat="1" applyFill="1" applyBorder="1" applyAlignment="1">
      <alignment horizontal="right"/>
    </xf>
    <xf numFmtId="2" fontId="0" fillId="0" borderId="8" xfId="0" applyNumberFormat="1" applyBorder="1" applyAlignment="1">
      <alignment horizontal="right"/>
    </xf>
    <xf numFmtId="2" fontId="1" fillId="2" borderId="3" xfId="0" applyNumberFormat="1" applyFont="1" applyFill="1" applyBorder="1" applyAlignment="1">
      <alignment horizontal="right"/>
    </xf>
    <xf numFmtId="2" fontId="0" fillId="5" borderId="8" xfId="0" applyNumberFormat="1" applyFill="1" applyBorder="1" applyAlignment="1">
      <alignment horizontal="right"/>
    </xf>
    <xf numFmtId="2" fontId="1" fillId="4" borderId="0" xfId="0" applyNumberFormat="1" applyFont="1" applyFill="1"/>
    <xf numFmtId="2" fontId="0" fillId="0" borderId="0" xfId="0" applyNumberFormat="1"/>
    <xf numFmtId="1" fontId="0" fillId="0" borderId="7" xfId="0" applyNumberFormat="1" applyBorder="1" applyAlignment="1">
      <alignment horizontal="right"/>
    </xf>
    <xf numFmtId="1" fontId="0" fillId="5" borderId="7" xfId="0" applyNumberFormat="1" applyFill="1" applyBorder="1" applyAlignment="1">
      <alignment horizontal="right"/>
    </xf>
    <xf numFmtId="0" fontId="1" fillId="0" borderId="7" xfId="0" applyFont="1" applyBorder="1" applyAlignment="1" applyProtection="1">
      <alignment horizontal="center" wrapText="1"/>
      <protection locked="0"/>
    </xf>
  </cellXfs>
  <cellStyles count="7"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</cellStyles>
  <dxfs count="40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5" formatCode="[$-F400]h:mm:ss\ AM/PM"/>
    </dxf>
    <dxf>
      <numFmt numFmtId="26" formatCode="hh:mm:ss"/>
    </dxf>
    <dxf>
      <numFmt numFmtId="26" formatCode="hh:mm:ss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8080"/>
      <color rgb="FFFFFF99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34523</xdr:colOff>
      <xdr:row>1</xdr:row>
      <xdr:rowOff>103508</xdr:rowOff>
    </xdr:from>
    <xdr:to>
      <xdr:col>9</xdr:col>
      <xdr:colOff>302558</xdr:colOff>
      <xdr:row>4</xdr:row>
      <xdr:rowOff>25866</xdr:rowOff>
    </xdr:to>
    <xdr:sp macro="" textlink="SapExlReportName">
      <xdr:nvSpPr>
        <xdr:cNvPr id="6" name="Avrundet rektangel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511023" y="305214"/>
          <a:ext cx="3909947" cy="549887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Daglig Produksjons Plan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134471</xdr:rowOff>
    </xdr:from>
    <xdr:to>
      <xdr:col>3</xdr:col>
      <xdr:colOff>488240</xdr:colOff>
      <xdr:row>6</xdr:row>
      <xdr:rowOff>1009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53" y="134471"/>
          <a:ext cx="1945005" cy="109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67236</xdr:colOff>
      <xdr:row>25</xdr:row>
      <xdr:rowOff>33618</xdr:rowOff>
    </xdr:from>
    <xdr:to>
      <xdr:col>14</xdr:col>
      <xdr:colOff>87160</xdr:colOff>
      <xdr:row>29</xdr:row>
      <xdr:rowOff>95759</xdr:rowOff>
    </xdr:to>
    <xdr:pic>
      <xdr:nvPicPr>
        <xdr:cNvPr id="12" name="Bild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496486" y="4729443"/>
          <a:ext cx="4420474" cy="86224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14</xdr:col>
      <xdr:colOff>588072</xdr:colOff>
      <xdr:row>64</xdr:row>
      <xdr:rowOff>67371</xdr:rowOff>
    </xdr:to>
    <xdr:pic>
      <xdr:nvPicPr>
        <xdr:cNvPr id="15" name="Bild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5275" y="6096000"/>
          <a:ext cx="10122597" cy="6668197"/>
        </a:xfrm>
        <a:prstGeom prst="rect">
          <a:avLst/>
        </a:prstGeom>
      </xdr:spPr>
    </xdr:pic>
    <xdr:clientData/>
  </xdr:twoCellAnchor>
  <xdr:twoCellAnchor editAs="oneCell">
    <xdr:from>
      <xdr:col>14</xdr:col>
      <xdr:colOff>515470</xdr:colOff>
      <xdr:row>26</xdr:row>
      <xdr:rowOff>179294</xdr:rowOff>
    </xdr:from>
    <xdr:to>
      <xdr:col>17</xdr:col>
      <xdr:colOff>244408</xdr:colOff>
      <xdr:row>38</xdr:row>
      <xdr:rowOff>92051</xdr:rowOff>
    </xdr:to>
    <xdr:pic>
      <xdr:nvPicPr>
        <xdr:cNvPr id="16" name="Bild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345270" y="5075144"/>
          <a:ext cx="1929213" cy="2313057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66</xdr:row>
      <xdr:rowOff>89647</xdr:rowOff>
    </xdr:from>
    <xdr:to>
      <xdr:col>10</xdr:col>
      <xdr:colOff>664134</xdr:colOff>
      <xdr:row>96</xdr:row>
      <xdr:rowOff>162217</xdr:rowOff>
    </xdr:to>
    <xdr:pic>
      <xdr:nvPicPr>
        <xdr:cNvPr id="17" name="Bild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17687" y="13186522"/>
          <a:ext cx="7242547" cy="6073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2243508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90A8A61F-C568-451A-A0B0-DE6A816D981B}"/>
            </a:ext>
          </a:extLst>
        </xdr:cNvPr>
        <xdr:cNvSpPr/>
      </xdr:nvSpPr>
      <xdr:spPr>
        <a:xfrm>
          <a:off x="22412" y="33618"/>
          <a:ext cx="2243508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Daglig Produksjons Plan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2243508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2412" y="33618"/>
          <a:ext cx="2243508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Daglig Produksjons Plan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2243508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2412" y="33618"/>
          <a:ext cx="2243508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Daglig Produksjons Plan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2623469" cy="277097"/>
    <xdr:sp macro="" textlink="ReportCaption1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2412" y="33618"/>
          <a:ext cx="2623469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7BA4EE29-7474-4C38-A477-FB8248387D6B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Vedlikehold av blandefaktor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3116.413946064815" createdVersion="4" refreshedVersion="6" minRefreshableVersion="3" recordCount="2">
  <cacheSource type="worksheet">
    <worksheetSource name="SapExlData"/>
  </cacheSource>
  <cacheFields count="69">
    <cacheField name="Fak. slutt" numFmtId="49">
      <sharedItems/>
    </cacheField>
    <cacheField name="Fak. sluttdato" numFmtId="0">
      <sharedItems containsBlank="1"/>
    </cacheField>
    <cacheField name="Plan. sluttdato" numFmtId="0">
      <sharedItems/>
    </cacheField>
    <cacheField name="Plan. slutttid" numFmtId="21">
      <sharedItems containsSemiMixedTypes="0" containsNonDate="0" containsDate="1" containsString="0" minDate="1899-12-30T07:45:41" maxDate="1899-12-30T11:13:57" count="2">
        <d v="1899-12-30T11:13:57"/>
        <d v="1899-12-30T07:45:41"/>
      </sharedItems>
    </cacheField>
    <cacheField name="Fak. Startdato" numFmtId="0">
      <sharedItems/>
    </cacheField>
    <cacheField name="Plan. startdato" numFmtId="0">
      <sharedItems count="1">
        <s v="30.09.2014"/>
      </sharedItems>
    </cacheField>
    <cacheField name="Plan. Starttid" numFmtId="21">
      <sharedItems containsSemiMixedTypes="0" containsNonDate="0" containsDate="1" containsString="0" minDate="1899-12-30T07:00:00" maxDate="1899-12-30T09:34:51" count="2">
        <d v="1899-12-30T09:34:51"/>
        <d v="1899-12-30T07:00:00"/>
      </sharedItems>
    </cacheField>
    <cacheField name="Fakt. lev.tid" numFmtId="165">
      <sharedItems/>
    </cacheField>
    <cacheField name="Fakt. Frigivelse" numFmtId="0">
      <sharedItems/>
    </cacheField>
    <cacheField name="Aktivitetstype" numFmtId="0">
      <sharedItems/>
    </cacheField>
    <cacheField name="Sluttlev.ind." numFmtId="0">
      <sharedItems containsBlank="1" count="2">
        <s v="X"/>
        <m/>
      </sharedItems>
    </cacheField>
    <cacheField name="OrgOrdre" numFmtId="0">
      <sharedItems containsSemiMixedTypes="0" containsString="0" containsNumber="1" containsInteger="1" minValue="1213749" maxValue="1214824"/>
    </cacheField>
    <cacheField name="Controllingområde" numFmtId="0">
      <sharedItems/>
    </cacheField>
    <cacheField name="Salgsdok.type" numFmtId="0">
      <sharedItems/>
    </cacheField>
    <cacheField name="Varemottaksind." numFmtId="14">
      <sharedItems/>
    </cacheField>
    <cacheField name="Språk" numFmtId="0">
      <sharedItems/>
    </cacheField>
    <cacheField name="Materialbeskrivelse" numFmtId="0">
      <sharedItems count="2">
        <s v="Posteiansjos M/Lake Hakket"/>
        <s v="Biffstrimler marinert, tromlet"/>
      </sharedItems>
    </cacheField>
    <cacheField name="MaterialTyp besk." numFmtId="0">
      <sharedItems/>
    </cacheField>
    <cacheField name="Sletteindikator" numFmtId="0">
      <sharedItems containsNonDate="0" containsString="0" containsBlank="1"/>
    </cacheField>
    <cacheField name="Fabrikk besk." numFmtId="0">
      <sharedItems/>
    </cacheField>
    <cacheField name="Prod.planlegger" numFmtId="0">
      <sharedItems count="2">
        <s v="FR00/025"/>
        <s v="FR00/055"/>
      </sharedItems>
    </cacheField>
    <cacheField name="Arbeidsstasjon Besk." numFmtId="0">
      <sharedItems/>
    </cacheField>
    <cacheField name="Kjt.Verdi" numFmtId="0">
      <sharedItems containsNonDate="0" containsString="0" containsBlank="1"/>
    </cacheField>
    <cacheField name="Planl. kap." numFmtId="0">
      <sharedItems containsNonDate="0" containsString="0" containsBlank="1"/>
    </cacheField>
    <cacheField name="Styringsnøkkel" numFmtId="0">
      <sharedItems count="1">
        <s v="PP01"/>
      </sharedItems>
    </cacheField>
    <cacheField name="Betegnelse" numFmtId="0">
      <sharedItems/>
    </cacheField>
    <cacheField name="Basiskva. Enhet" numFmtId="0">
      <sharedItems containsNonDate="0" containsString="0" containsBlank="1"/>
    </cacheField>
    <cacheField name="Beh.tid enhet" numFmtId="0">
      <sharedItems containsNonDate="0" containsString="0" containsBlank="1"/>
    </cacheField>
    <cacheField name="Opprigging enhet" numFmtId="0">
      <sharedItems containsNonDate="0" containsString="0" containsBlank="1"/>
    </cacheField>
    <cacheField name="Språkkode" numFmtId="0">
      <sharedItems/>
    </cacheField>
    <cacheField name="Material" numFmtId="0">
      <sharedItems containsSemiMixedTypes="0" containsString="0" containsNumber="1" containsInteger="1" minValue="68583" maxValue="69362" count="2">
        <n v="68583"/>
        <n v="69362"/>
      </sharedItems>
    </cacheField>
    <cacheField name="MaterialTyp" numFmtId="0">
      <sharedItems/>
    </cacheField>
    <cacheField name="Fabrikk" numFmtId="0">
      <sharedItems/>
    </cacheField>
    <cacheField name="Arbeidsstasjon kode" numFmtId="0">
      <sharedItems/>
    </cacheField>
    <cacheField name="Normoppriggingstid" numFmtId="0">
      <sharedItems containsSemiMixedTypes="0" containsString="0" containsNumber="1" containsInteger="1" minValue="0" maxValue="0"/>
    </cacheField>
    <cacheField name="NormKvantum" numFmtId="0">
      <sharedItems containsSemiMixedTypes="0" containsString="0" containsNumber="1" minValue="300" maxValue="2625.36"/>
    </cacheField>
    <cacheField name="Norm - behandl. tid" numFmtId="0">
      <sharedItems containsSemiMixedTypes="0" containsString="0" containsNumber="1" minValue="0" maxValue="1.6"/>
    </cacheField>
    <cacheField name="Mottat" numFmtId="0">
      <sharedItems containsSemiMixedTypes="0" containsString="0" containsNumber="1" minValue="300" maxValue="2624.1"/>
    </cacheField>
    <cacheField name="Equal bat size qty" numFmtId="0">
      <sharedItems containsSemiMixedTypes="0" containsString="0" containsNumber="1" containsInteger="1" minValue="0" maxValue="0"/>
    </cacheField>
    <cacheField name="Equal bat size qty2" numFmtId="0">
      <sharedItems containsSemiMixedTypes="0" containsString="0" containsNumber="1" containsInteger="1" minValue="0" maxValue="0"/>
    </cacheField>
    <cacheField name="EBS min batch str" numFmtId="0">
      <sharedItems containsSemiMixedTypes="0" containsString="0" containsNumber="1" containsInteger="1" minValue="0" maxValue="0"/>
    </cacheField>
    <cacheField name="EBS max batch size" numFmtId="0">
      <sharedItems containsSemiMixedTypes="0" containsString="0" containsNumber="1" containsInteger="1" minValue="0" maxValue="0"/>
    </cacheField>
    <cacheField name="Avrundingsverdi" numFmtId="0">
      <sharedItems containsSemiMixedTypes="0" containsString="0" containsNumber="1" minValue="100" maxValue="437.56"/>
    </cacheField>
    <cacheField name="Antl. Blandinger" numFmtId="0">
      <sharedItems containsSemiMixedTypes="0" containsString="0" containsNumber="1" containsInteger="1" minValue="0" maxValue="0"/>
    </cacheField>
    <cacheField name="Lever_CT" numFmtId="0">
      <sharedItems containsSemiMixedTypes="0" containsString="0" containsNumber="1" minValue="300" maxValue="2624.1"/>
    </cacheField>
    <cacheField name="Lever_Kva" numFmtId="0">
      <sharedItems containsSemiMixedTypes="0" containsString="0" containsNumber="1" minValue="300" maxValue="2624.1"/>
    </cacheField>
    <cacheField name="Ordre_Kvantum" numFmtId="0">
      <sharedItems containsSemiMixedTypes="0" containsString="0" containsNumber="1" minValue="300" maxValue="2625.36"/>
    </cacheField>
    <cacheField name="Ordre_CT" numFmtId="0">
      <sharedItems containsSemiMixedTypes="0" containsString="0" containsNumber="1" minValue="300" maxValue="2625.36"/>
    </cacheField>
    <cacheField name="Ordre_Kva" numFmtId="0">
      <sharedItems containsSemiMixedTypes="0" containsString="0" containsNumber="1" minValue="300" maxValue="2625.36"/>
    </cacheField>
    <cacheField name="Ordre" numFmtId="0">
      <sharedItems count="2">
        <s v="0001214824"/>
        <s v="0001213749"/>
      </sharedItems>
    </cacheField>
    <cacheField name="OrdreType" numFmtId="0">
      <sharedItems count="1">
        <s v="PROD"/>
      </sharedItems>
    </cacheField>
    <cacheField name="Planl_Tid" numFmtId="2">
      <sharedItems containsSemiMixedTypes="0" containsString="0" containsNumber="1" minValue="0.36000000000000032" maxValue="0.83999999999999941"/>
    </cacheField>
    <cacheField name="Material Navn" numFmtId="0">
      <sharedItems count="4">
        <s v="068583 Posteiansjos M/Lake Hakket"/>
        <s v="069362 Biffstrimler marinert, tromlet"/>
        <s v="Posteiansjos M/Lake Hakket" u="1"/>
        <s v="Biffstrimler marinert, tromlet" u="1"/>
      </sharedItems>
    </cacheField>
    <cacheField name="MaterialType" numFmtId="0">
      <sharedItems count="1">
        <s v="ZHAL Halvfabrikat, Stabburet"/>
      </sharedItems>
    </cacheField>
    <cacheField name="Arbeidsstasjon" numFmtId="0">
      <sharedItems count="6">
        <s v="FR7507 FR00/FR7507"/>
        <s v="FR7099 FR00/FR7099"/>
        <s v=" FR00/FR7099" u="1"/>
        <s v=" FR00/FR7507" u="1"/>
        <s v="FR00/FR7507" u="1"/>
        <s v="FR00/FR7099" u="1"/>
      </sharedItems>
    </cacheField>
    <cacheField name="Uke" numFmtId="0">
      <sharedItems count="1">
        <s v="40-2014"/>
      </sharedItems>
    </cacheField>
    <cacheField name="Dag" numFmtId="0">
      <sharedItems count="2">
        <s v="TIRSDAG"/>
        <s v="TYSDAG" u="1"/>
      </sharedItems>
    </cacheField>
    <cacheField name="Ordrer" numFmtId="0">
      <sharedItems containsSemiMixedTypes="0" containsString="0" containsNumber="1" containsInteger="1" minValue="1" maxValue="1"/>
    </cacheField>
    <cacheField name="Kreftet" numFmtId="0">
      <sharedItems/>
    </cacheField>
    <cacheField name="Info" numFmtId="0">
      <sharedItems count="1">
        <s v=" "/>
      </sharedItems>
    </cacheField>
    <cacheField name="Alrg" numFmtId="0">
      <sharedItems count="1">
        <s v=" "/>
      </sharedItems>
    </cacheField>
    <cacheField name="Blandinger" numFmtId="0">
      <sharedItems containsSemiMixedTypes="0" containsString="0" containsNumber="1" containsInteger="1" minValue="0" maxValue="0"/>
    </cacheField>
    <cacheField name="DPKCounter" numFmtId="0">
      <sharedItems containsSemiMixedTypes="0" containsString="0" containsNumber="1" containsInteger="1" minValue="1" maxValue="1"/>
    </cacheField>
    <cacheField name="DPK" numFmtId="0">
      <sharedItems containsSemiMixedTypes="0" containsString="0" containsNumber="1" containsInteger="1" minValue="1" maxValue="1"/>
    </cacheField>
    <cacheField name="Antall DPK" numFmtId="0">
      <sharedItems containsSemiMixedTypes="0" containsString="0" containsNumber="1" minValue="300" maxValue="2625.36"/>
    </cacheField>
    <cacheField name="FPKCounter" numFmtId="0">
      <sharedItems containsSemiMixedTypes="0" containsString="0" containsNumber="1" containsInteger="1" minValue="1" maxValue="1"/>
    </cacheField>
    <cacheField name="FPK" numFmtId="0">
      <sharedItems containsSemiMixedTypes="0" containsString="0" containsNumber="1" containsInteger="1" minValue="1" maxValue="1"/>
    </cacheField>
    <cacheField name="Ordre_Kva F-pakk" numFmtId="0">
      <sharedItems containsSemiMixedTypes="0" containsString="0" containsNumber="1" minValue="300" maxValue="2625.36"/>
    </cacheField>
    <cacheField name="Lever_Kva D-pakk" numFmtId="0">
      <sharedItems containsSemiMixedTypes="0" containsString="0" containsNumber="1" minValue="300" maxValue="2624.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s v="30.09.2014"/>
    <s v="30.09.2014"/>
    <s v="30.09.2014"/>
    <x v="0"/>
    <s v="30.09.2014"/>
    <x v="0"/>
    <x v="0"/>
    <s v="30.09.2014"/>
    <s v="30.09.2014"/>
    <s v="Ikke tilordnet"/>
    <x v="0"/>
    <n v="1214824"/>
    <s v="Ikke tilordnet"/>
    <s v="PP01"/>
    <s v="X"/>
    <s v="Norsk"/>
    <x v="0"/>
    <s v="Halvfabrikat, Stabburet"/>
    <m/>
    <s v="Råbekken"/>
    <x v="0"/>
    <s v="FR00/FR7507"/>
    <m/>
    <m/>
    <x v="0"/>
    <s v="test"/>
    <m/>
    <m/>
    <m/>
    <s v="NO"/>
    <x v="0"/>
    <s v="ZHAL"/>
    <s v="FR00"/>
    <s v="FR00/FR7507"/>
    <n v="0"/>
    <n v="300"/>
    <n v="1.6"/>
    <n v="300"/>
    <n v="0"/>
    <n v="0"/>
    <n v="0"/>
    <n v="0"/>
    <n v="100"/>
    <n v="0"/>
    <n v="300"/>
    <n v="300"/>
    <n v="300"/>
    <n v="300"/>
    <n v="300"/>
    <x v="0"/>
    <x v="0"/>
    <n v="0.83999999999999941"/>
    <x v="0"/>
    <x v="0"/>
    <x v="0"/>
    <x v="0"/>
    <x v="0"/>
    <n v="1"/>
    <s v="X"/>
    <x v="0"/>
    <x v="0"/>
    <n v="0"/>
    <n v="1"/>
    <n v="1"/>
    <n v="300"/>
    <n v="1"/>
    <n v="1"/>
    <n v="300"/>
    <n v="300"/>
  </r>
  <r>
    <s v="30.09.2014"/>
    <m/>
    <s v="30.09.2014"/>
    <x v="1"/>
    <s v="30.09.2014"/>
    <x v="0"/>
    <x v="1"/>
    <s v="30.09.2014"/>
    <s v="16.09.2014"/>
    <s v="Ikke tilordnet"/>
    <x v="1"/>
    <n v="1213749"/>
    <s v="Ikke tilordnet"/>
    <s v="PP01"/>
    <s v="X"/>
    <s v="Norsk"/>
    <x v="1"/>
    <s v="Halvfabrikat, Stabburet"/>
    <m/>
    <s v="Råbekken"/>
    <x v="1"/>
    <s v="FR00/FR7099"/>
    <m/>
    <m/>
    <x v="0"/>
    <s v="test"/>
    <m/>
    <m/>
    <m/>
    <s v="NO"/>
    <x v="1"/>
    <s v="ZHAL"/>
    <s v="FR00"/>
    <s v="FR00/FR7099"/>
    <n v="0"/>
    <n v="2625.36"/>
    <n v="0"/>
    <n v="2624.1"/>
    <n v="0"/>
    <n v="0"/>
    <n v="0"/>
    <n v="0"/>
    <n v="437.56"/>
    <n v="0"/>
    <n v="2624.1"/>
    <n v="2624.1"/>
    <n v="2625.36"/>
    <n v="2625.36"/>
    <n v="2625.36"/>
    <x v="1"/>
    <x v="0"/>
    <n v="0.36000000000000032"/>
    <x v="1"/>
    <x v="0"/>
    <x v="1"/>
    <x v="0"/>
    <x v="0"/>
    <n v="1"/>
    <s v="X"/>
    <x v="0"/>
    <x v="0"/>
    <n v="0"/>
    <n v="1"/>
    <n v="1"/>
    <n v="2625.36"/>
    <n v="1"/>
    <n v="1"/>
    <n v="2625.36"/>
    <n v="2624.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2" cacheId="21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itemPrintTitles="1" createdVersion="1" indent="0" compact="0" compactData="0" gridDropZones="1">
  <location ref="A10:R13" firstHeaderRow="0" firstDataRow="1" firstDataCol="13" rowPageCount="3" colPageCount="1"/>
  <pivotFields count="69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numFmtId="21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axis="axisRow" compact="0" outline="0" subtotalTop="0" showAll="0" includeNewItemsInFilter="1" sortType="ascending" defaultSubtotal="0">
      <items count="1">
        <item x="0"/>
      </items>
    </pivotField>
    <pivotField axis="axisRow" compact="0" numFmtId="21" outline="0" subtotalTop="0" showAll="0" includeNewItemsInFilter="1" sortType="ascending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sortType="ascending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Material" axis="axisRow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2">
        <item x="0"/>
        <item x="1"/>
      </items>
    </pivotField>
    <pivotField axis="axisRow" compact="0" outline="0" subtotalTop="0" showAll="0" includeNewItemsInFilter="1" sortType="descending" defaultSubtotal="0">
      <items count="1">
        <item x="0"/>
      </items>
    </pivotField>
    <pivotField compact="0" numFmtId="164" outline="0" subtotalTop="0" showAll="0" includeNewItemsInFilter="1" defaultSubtotal="0"/>
    <pivotField compact="0" outline="0" subtotalTop="0" showAll="0" includeNewItemsInFilter="1" defaultSubtotal="0">
      <items count="4">
        <item x="0"/>
        <item x="1"/>
        <item m="1" x="2"/>
        <item m="1" x="3"/>
      </items>
    </pivotField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sortType="ascending" defaultSubtotal="0">
      <items count="6">
        <item m="1" x="2"/>
        <item m="1" x="3"/>
        <item m="1" x="5"/>
        <item m="1" x="4"/>
        <item x="1"/>
        <item x="0"/>
      </items>
    </pivotField>
    <pivotField axis="axisRow" compact="0" outline="0" subtotalTop="0" showAll="0" insertBlankRow="1" includeNewItemsInFilter="1" sortType="ascending" defaultSubtotal="0">
      <items count="1">
        <item x="0"/>
      </items>
    </pivotField>
    <pivotField axis="axisRow" compact="0" outline="0" subtotalTop="0" showAll="0" includeNewItemsInFilter="1" sortType="ascending" defaultSubtotal="0">
      <items count="2">
        <item x="0"/>
        <item m="1"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name="Blandinger " dataField="1" compact="0" numFmtId="1" outline="0" subtotalTop="0" showAll="0" includeNewItemsInFilter="1" defaultSubtotal="0"/>
    <pivotField compact="0" outline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name="Ordre_Kva F-pakk2" dataField="1" compact="0" outline="0" showAll="0" includeNewItemsInFilter="1" defaultSubtotal="0"/>
    <pivotField name="Lever_Kva D-pakk2" dataField="1" compact="0" outline="0" showAll="0" includeNewItemsInFilter="1" defaultSubtotal="0"/>
  </pivotFields>
  <rowFields count="13">
    <field x="55"/>
    <field x="56"/>
    <field x="5"/>
    <field x="20"/>
    <field x="54"/>
    <field x="6"/>
    <field x="3"/>
    <field x="49"/>
    <field x="50"/>
    <field x="60"/>
    <field x="30"/>
    <field x="16"/>
    <field x="59"/>
  </rowFields>
  <rowItems count="3">
    <i>
      <x/>
      <x/>
      <x/>
      <x v="1"/>
      <x v="4"/>
      <x/>
      <x/>
      <x v="1"/>
      <x/>
      <x/>
      <x v="1"/>
      <x/>
      <x/>
    </i>
    <i t="blank"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3">
    <pageField fld="53" hier="-1"/>
    <pageField fld="10" item="1" hier="-1"/>
    <pageField fld="24" hier="-1"/>
  </pageFields>
  <dataFields count="5">
    <dataField name="Ordre_Kva D-pakk" fld="64" baseField="59" baseItem="0" numFmtId="1"/>
    <dataField name="Ordre_Kva F-pakk" fld="67" baseField="59" baseItem="0" numFmtId="1"/>
    <dataField name="Blandinger" fld="61" baseField="49" baseItem="0" numFmtId="1"/>
    <dataField name="Lever_Kva D-pakk" fld="68" baseField="59" baseItem="0" numFmtId="1"/>
    <dataField name="Avrundingsverdi " fld="42" baseField="59" baseItem="0" numFmtId="1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2.xml><?xml version="1.0" encoding="utf-8"?>
<pivotTableDefinition xmlns="http://schemas.openxmlformats.org/spreadsheetml/2006/main" name="Pivottabell12" cacheId="21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itemPrintTitles="1" createdVersion="1" indent="0" compact="0" compactData="0" gridDropZones="1">
  <location ref="A10:P13" firstHeaderRow="0" firstDataRow="1" firstDataCol="11" rowPageCount="3" colPageCount="1"/>
  <pivotFields count="69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numFmtId="21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axis="axisRow" compact="0" outline="0" subtotalTop="0" showAll="0" includeNewItemsInFilter="1" sortType="ascending" defaultSubtotal="0">
      <items count="1">
        <item x="0"/>
      </items>
    </pivotField>
    <pivotField axis="axisRow" compact="0" numFmtId="21" outline="0" subtotalTop="0" showAll="0" includeNewItemsInFilter="1" sortType="ascending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sortType="ascending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Material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axis="axisRow" compact="0" outline="0" subtotalTop="0" showAll="0" includeNewItemsInFilter="1" defaultSubtotal="0">
      <items count="2">
        <item x="0"/>
        <item x="1"/>
      </items>
    </pivotField>
    <pivotField axis="axisRow" compact="0" outline="0" subtotalTop="0" showAll="0" includeNewItemsInFilter="1" sortType="descending" defaultSubtotal="0">
      <items count="1">
        <item x="0"/>
      </items>
    </pivotField>
    <pivotField dataField="1" compact="0" numFmtId="164" outline="0" subtotalTop="0" showAll="0" includeNewItemsInFilter="1" defaultSubtotal="0"/>
    <pivotField axis="axisRow" compact="0" outline="0" subtotalTop="0" showAll="0" includeNewItemsInFilter="1" defaultSubtotal="0">
      <items count="4">
        <item x="0"/>
        <item x="1"/>
        <item m="1" x="2"/>
        <item m="1" x="3"/>
      </items>
    </pivotField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sortType="ascending" defaultSubtotal="0">
      <items count="6">
        <item m="1" x="2"/>
        <item m="1" x="3"/>
        <item m="1" x="5"/>
        <item m="1" x="4"/>
        <item x="1"/>
        <item x="0"/>
      </items>
    </pivotField>
    <pivotField axis="axisRow" compact="0" outline="0" subtotalTop="0" showAll="0" insertBlankRow="1" includeNewItemsInFilter="1" sortType="ascending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name="Blandinger " dataField="1" compact="0" numFmtId="1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1">
    <field x="55"/>
    <field x="5"/>
    <field x="20"/>
    <field x="54"/>
    <field x="6"/>
    <field x="3"/>
    <field x="49"/>
    <field x="50"/>
    <field x="60"/>
    <field x="52"/>
    <field x="59"/>
  </rowFields>
  <rowItems count="3">
    <i>
      <x/>
      <x/>
      <x v="1"/>
      <x v="4"/>
      <x/>
      <x/>
      <x v="1"/>
      <x/>
      <x/>
      <x v="1"/>
      <x/>
    </i>
    <i t="blank"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3">
    <pageField fld="53" hier="-1"/>
    <pageField fld="10" item="1" hier="-1"/>
    <pageField fld="24" hier="-1"/>
  </pageFields>
  <dataFields count="5">
    <dataField name="Ordre_Kva " fld="48" baseField="43" baseItem="0" numFmtId="38"/>
    <dataField name="Lever_Kva " fld="45" baseField="43" baseItem="0" numFmtId="38"/>
    <dataField name="Blandinger" fld="61" baseField="49" baseItem="0" numFmtId="1"/>
    <dataField name="Planl_Tid " fld="51" baseField="59" baseItem="0" numFmtId="2"/>
    <dataField name="Antall DPK " fld="64" baseField="55" baseItem="0" numFmtId="1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ell12" cacheId="21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itemPrintTitles="1" createdVersion="1" indent="0" compact="0" compactData="0" gridDropZones="1">
  <location ref="A13:F18" firstHeaderRow="1" firstDataRow="2" firstDataCol="4" rowPageCount="6" colPageCount="1"/>
  <pivotFields count="69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numFmtId="21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sortType="descending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axis="axisRow" compact="0" outline="0" subtotalTop="0" showAll="0" includeNewItemsInFilter="1" defaultSubtotal="0">
      <items count="2">
        <item x="0"/>
        <item x="1"/>
      </items>
    </pivotField>
    <pivotField axis="axisPage" compact="0" outline="0" subtotalTop="0" showAll="0" includeNewItemsInFilter="1" sortType="descending" defaultSubtotal="0">
      <items count="1">
        <item x="0"/>
      </items>
    </pivotField>
    <pivotField compact="0" numFmtId="164" outline="0" subtotalTop="0" showAll="0" includeNewItemsInFilter="1" defaultSubtotal="0"/>
    <pivotField axis="axisRow" compact="0" outline="0" subtotalTop="0" showAll="0" includeNewItemsInFilter="1" sortType="ascending" defaultSubtotal="0">
      <items count="4">
        <item x="0"/>
        <item x="1"/>
        <item m="1" x="3"/>
        <item m="1" x="2"/>
      </items>
    </pivotField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sortType="ascending" defaultSubtotal="0">
      <items count="6">
        <item m="1" x="2"/>
        <item m="1" x="3"/>
        <item m="1" x="5"/>
        <item m="1" x="4"/>
        <item x="1"/>
        <item x="0"/>
      </items>
    </pivotField>
    <pivotField axis="axisRow" compact="0" outline="0" subtotalTop="0" showAll="0" insertBlankRow="1" includeNewItemsInFilter="1" sortType="ascending" defaultSubtotal="0">
      <items count="1">
        <item x="0"/>
      </items>
    </pivotField>
    <pivotField axis="axisCol" compact="0" outline="0" subtotalTop="0" showAll="0" includeNewItemsInFilter="1" sortType="ascending" defaultSubtotal="0">
      <items count="2">
        <item x="0"/>
        <item m="1"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4">
    <field x="55"/>
    <field x="54"/>
    <field x="52"/>
    <field x="49"/>
  </rowFields>
  <rowItems count="4">
    <i>
      <x/>
      <x v="4"/>
      <x v="1"/>
      <x v="1"/>
    </i>
    <i r="1">
      <x v="5"/>
      <x/>
      <x/>
    </i>
    <i t="blank">
      <x/>
    </i>
    <i t="grand">
      <x/>
    </i>
  </rowItems>
  <colFields count="1">
    <field x="56"/>
  </colFields>
  <colItems count="2">
    <i>
      <x/>
    </i>
    <i t="grand">
      <x/>
    </i>
  </colItems>
  <pageFields count="6">
    <pageField fld="5" hier="-1"/>
    <pageField fld="20" hier="-1"/>
    <pageField fld="50" item="0" hier="-1"/>
    <pageField fld="6" hier="-1"/>
    <pageField fld="53" hier="-1"/>
    <pageField fld="24" hier="-1"/>
  </pageFields>
  <dataFields count="1">
    <dataField name="Ordre_Kva " fld="48" baseField="45" baseItem="1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SapExlData" displayName="SapExlData" ref="A1:BQ3" totalsRowShown="0" headerRowDxfId="39">
  <autoFilter ref="A1:BQ3"/>
  <tableColumns count="69">
    <tableColumn id="1" name="Fak. slutt" dataDxfId="38"/>
    <tableColumn id="2" name="Fak. sluttdato"/>
    <tableColumn id="3" name="Plan. sluttdato"/>
    <tableColumn id="4" name="Plan. slutttid" dataDxfId="37"/>
    <tableColumn id="5" name="Fak. Startdato"/>
    <tableColumn id="6" name="Plan. startdato"/>
    <tableColumn id="7" name="Plan. Starttid" dataDxfId="36"/>
    <tableColumn id="8" name="Fakt. lev.tid" dataDxfId="35"/>
    <tableColumn id="9" name="Fakt. Frigivelse"/>
    <tableColumn id="10" name="Aktivitetstype"/>
    <tableColumn id="11" name="Sluttlev.ind."/>
    <tableColumn id="12" name="OrgOrdre"/>
    <tableColumn id="43" name="Controllingområde"/>
    <tableColumn id="13" name="Salgsdok.type"/>
    <tableColumn id="14" name="Varemottaksind." dataDxfId="34"/>
    <tableColumn id="15" name="Språk" dataDxfId="33"/>
    <tableColumn id="16" name="Materialbeskrivelse"/>
    <tableColumn id="17" name="MaterialTyp besk."/>
    <tableColumn id="18" name="Sletteindikator"/>
    <tableColumn id="53" name="Fabrikk besk."/>
    <tableColumn id="44" name="Prod.planlegger"/>
    <tableColumn id="54" name="Arbeidsstasjon Besk."/>
    <tableColumn id="52" name="Kjt.Verdi"/>
    <tableColumn id="38" name="Planl. kap."/>
    <tableColumn id="55" name="Styringsnøkkel"/>
    <tableColumn id="57" name="Betegnelse"/>
    <tableColumn id="51" name="Basiskva. Enhet"/>
    <tableColumn id="50" name="Beh.tid enhet"/>
    <tableColumn id="49" name="Opprigging enhet"/>
    <tableColumn id="56" name="Språkkode"/>
    <tableColumn id="19" name="Material"/>
    <tableColumn id="20" name="MaterialTyp"/>
    <tableColumn id="21" name="Fabrikk"/>
    <tableColumn id="60" name="Arbeidsstasjon kode"/>
    <tableColumn id="22" name="Normoppriggingstid"/>
    <tableColumn id="23" name="NormKvantum"/>
    <tableColumn id="24" name="Norm - behandl. tid"/>
    <tableColumn id="25" name="Mottat"/>
    <tableColumn id="26" name="Equal bat size qty"/>
    <tableColumn id="27" name="Equal bat size qty2"/>
    <tableColumn id="28" name="EBS min batch str"/>
    <tableColumn id="29" name="EBS max batch size"/>
    <tableColumn id="30" name="Avrundingsverdi"/>
    <tableColumn id="31" name="Antl. Blandinger"/>
    <tableColumn id="45" name="Lever_CT"/>
    <tableColumn id="46" name="Lever_Kva"/>
    <tableColumn id="47" name="Ordre_Kvantum" dataDxfId="32"/>
    <tableColumn id="48" name="Ordre_CT" dataDxfId="31"/>
    <tableColumn id="42" name="Ordre_Kva" dataDxfId="30">
      <calculatedColumnFormula>SapExlData[NormKvantum]</calculatedColumnFormula>
    </tableColumn>
    <tableColumn id="39" name="Ordre" dataDxfId="29">
      <calculatedColumnFormula>IF(SapExlData[OrdreType]="PLAN",IF(AND(SapExlData[Sluttlev.ind.]="X",SapExlData[Planl. kap.]="X"),TEXT(SapExlData[OrgOrdre],"0000000000")&amp; "**",IF(OR(SapExlData[Sluttlev.ind.]="X",SapExlData[Planl. kap.]="X"),TEXT(SapExlData[OrgOrdre],"0000000000")&amp; "*",TEXT(SapExlData[OrgOrdre],"0000000000"))),TEXT(SapExlData[OrgOrdre],"0000000000"))</calculatedColumnFormula>
    </tableColumn>
    <tableColumn id="32" name="OrdreType" dataDxfId="28">
      <calculatedColumnFormula>IF(OR(SapExlData[Salgsdok.type]="LA",SapExlData[Salgsdok.type]="VP"),"PLAN","PROD")</calculatedColumnFormula>
    </tableColumn>
    <tableColumn id="33" name="Planl_Tid" dataDxfId="27">
      <calculatedColumnFormula>IF(SapExlData[Plan. sluttdato]&lt;&gt;SapExlData[Plan. startdato],IF(SapExlData[Beh.tid enhet]="t",SapExlData[Norm - behandl. tid],(IF(SapExlData[Beh.tid enhet]&lt;&gt;"Dager",,SapExlData[Norm - behandl. tid]/1440))),(((ROUND(SapExlData[Plan. slutttid],2)-ROUND(SapExlData[Plan. Starttid],2))*24)/2))</calculatedColumnFormula>
    </tableColumn>
    <tableColumn id="34" name="Material Navn" dataDxfId="26">
      <calculatedColumnFormula>TEXT(SapExlData[Material],"000000")&amp;" "&amp;SapExlData[Materialbeskrivelse]</calculatedColumnFormula>
    </tableColumn>
    <tableColumn id="41" name="MaterialType" dataDxfId="25">
      <calculatedColumnFormula>SapExlData[MaterialTyp]&amp; " " &amp;SapExlData[MaterialTyp besk.]</calculatedColumnFormula>
    </tableColumn>
    <tableColumn id="61" name="Arbeidsstasjon" dataDxfId="24">
      <calculatedColumnFormula>RIGHT(SapExlData[Arbeidsstasjon kode],LEN(SapExlData[Arbeidsstasjon kode])-5)&amp;" "&amp;SapExlData[Arbeidsstasjon Besk.]</calculatedColumnFormula>
    </tableColumn>
    <tableColumn id="36" name="Uke" dataDxfId="23">
      <calculatedColumnFormula>TEXT(IF(WEEKDAY(DATE(YEAR(SapExlData[Plan. startdato]),1,1),2)&gt;4,WEEKNUM(DATEVALUE(SapExlData[Plan. startdato]),2)-1,WEEKNUM(DATEVALUE(SapExlData[Plan. startdato]),2)),"00")&amp;"-"&amp;YEAR(SapExlData[Plan. startdato])</calculatedColumnFormula>
    </tableColumn>
    <tableColumn id="35" name="Dag" dataDxfId="22">
      <calculatedColumnFormula>UPPER(TEXT(SapExlData[Plan. startdato],"dddd"))</calculatedColumnFormula>
    </tableColumn>
    <tableColumn id="37" name="Ordrer" dataDxfId="21">
      <calculatedColumnFormula>IF(SapExlData[Uke]&lt;&gt;"",1,0)</calculatedColumnFormula>
    </tableColumn>
    <tableColumn id="75" name="Kreftet" dataDxfId="20">
      <calculatedColumnFormula>IF(SapExlData[OrdreType]="PLAN",IF(SapExlData[Sletteindikator]="X","X"," "),"X")</calculatedColumnFormula>
    </tableColumn>
    <tableColumn id="58" name="Info" dataDxfId="19">
      <calculatedColumnFormula>IF(LEFT(SapExlData[Betegnelse],1)&lt;&gt;"*"," ",MID(SapExlData[Betegnelse],2,8))</calculatedColumnFormula>
    </tableColumn>
    <tableColumn id="59" name="Alrg" dataDxfId="18">
      <calculatedColumnFormula>IF(SapExlData[Kjt.Verdi]=""," ",SapExlData[Kjt.Verdi])</calculatedColumnFormula>
    </tableColumn>
    <tableColumn id="40" name="Blandinger" dataDxfId="17">
      <calculatedColumnFormula>IF(AND(SapExlData[Fabrikk]="EL00",SapExlData[Avrundingsverdi]&lt;&gt;0),SapExlData[Ordre_Kva]/SapExlData[Avrundingsverdi],)</calculatedColumnFormula>
    </tableColumn>
    <tableColumn id="68" name="DPKCounter" dataDxfId="16">
      <calculatedColumnFormula>IF(ISERROR(VLOOKUP(SapExlData[Fabrikk]&amp;SapExlData[Material],tblMARMDPK[],3,FALSE)),1,VLOOKUP(SapExlData[Fabrikk]&amp;SapExlData[Material],tblMARMDPK[],3,FALSE))</calculatedColumnFormula>
    </tableColumn>
    <tableColumn id="62" name="DPK" dataDxfId="15">
      <calculatedColumnFormula>IF(ISERROR(VLOOKUP(SapExlData[Fabrikk]&amp;SapExlData[Material],tblMARMDPK[],4,FALSE)),1,VLOOKUP(SapExlData[Fabrikk]&amp;SapExlData[Material],tblMARMDPK[],4,FALSE))</calculatedColumnFormula>
    </tableColumn>
    <tableColumn id="63" name="Antall DPK" dataDxfId="14">
      <calculatedColumnFormula>(SapExlData[Ordre_Kva]*SapExlData[DPK])/SapExlData[DPKCounter]</calculatedColumnFormula>
    </tableColumn>
    <tableColumn id="69" name="FPKCounter" dataDxfId="13">
      <calculatedColumnFormula>IF(ISERROR(VLOOKUP(SapExlData[Fabrikk]&amp;SapExlData[Material],tblMARMFPK[],3,FALSE)),1,VLOOKUP(SapExlData[Fabrikk]&amp;SapExlData[Material],tblMARMFPK[],3,FALSE))</calculatedColumnFormula>
    </tableColumn>
    <tableColumn id="67" name="FPK" dataDxfId="12">
      <calculatedColumnFormula>IF(ISERROR(VLOOKUP(SapExlData[Fabrikk]&amp;SapExlData[Material],tblMARMFPK[],4,FALSE)),1,VLOOKUP(SapExlData[Fabrikk]&amp;SapExlData[Material],tblMARMFPK[],4,FALSE))</calculatedColumnFormula>
    </tableColumn>
    <tableColumn id="66" name="Ordre_Kva F-pakk" dataDxfId="11">
      <calculatedColumnFormula>(SapExlData[Ordre_Kva]*SapExlData[FPK])/SapExlData[FPKCounter]</calculatedColumnFormula>
    </tableColumn>
    <tableColumn id="65" name="Lever_Kva D-pakk" dataDxfId="10">
      <calculatedColumnFormula>(SapExlData[Lever_Kva]*SapExlData[DPK])/SapExlData[DPKCounter]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ExchangeRates" displayName="ExchangeRates" ref="A1:D14" totalsRowShown="0" headerRowDxfId="9">
  <autoFilter ref="A1:D14"/>
  <tableColumns count="4">
    <tableColumn id="1" name="From"/>
    <tableColumn id="2" name="To"/>
    <tableColumn id="3" name="Valid from" dataDxfId="8"/>
    <tableColumn id="4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PvtTableDef" displayName="PvtTableDef" ref="A1:AG2" tableType="xml" insertRow="1" totalsRowShown="0" connectionId="2">
  <autoFilter ref="A1:AG2"/>
  <tableColumns count="33">
    <tableColumn id="1" uniqueName="UserID" name="UserID" dataDxfId="7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6">
      <xmlColumnPr mapId="1" xpath="/XtraSerializer/@VariantID" xmlDataType="integer"/>
    </tableColumn>
    <tableColumn id="4" uniqueName="SheetName" name="SheetName" dataDxfId="5">
      <xmlColumnPr mapId="1" xpath="/XtraSerializer/property/@SheetName" xmlDataType="string"/>
    </tableColumn>
    <tableColumn id="5" uniqueName="TableName" name="TableName" dataDxfId="4">
      <xmlColumnPr mapId="1" xpath="/XtraSerializer/property/@TableName" xmlDataType="string"/>
    </tableColumn>
    <tableColumn id="6" uniqueName="Seq" name="Seq" dataDxfId="3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2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1">
      <xmlColumnPr mapId="1" xpath="/XtraSerializer/property/property/@FieldList" xmlDataType="integer"/>
    </tableColumn>
    <tableColumn id="14" uniqueName="MissingItems" name="MissingItems" dataDxfId="0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blMARMDPK" displayName="tblMARMDPK" ref="A1:D2" insertRow="1" totalsRowShown="0">
  <autoFilter ref="A1:D2"/>
  <tableColumns count="4">
    <tableColumn id="5" name="PlantMaterial"/>
    <tableColumn id="2" name="AlternativeUnit"/>
    <tableColumn id="3" name="Counter"/>
    <tableColumn id="4" name="Denominato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" name="tblMARMFPK" displayName="tblMARMFPK" ref="A1:D2" insertRow="1" totalsRowShown="0">
  <autoFilter ref="A1:D2"/>
  <tableColumns count="4">
    <tableColumn id="5" name="PlantMaterial"/>
    <tableColumn id="2" name="AlternativeUnit"/>
    <tableColumn id="3" name="Counter"/>
    <tableColumn id="4" name="Denomina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BQ3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4140625" defaultRowHeight="14.4" x14ac:dyDescent="0.3"/>
  <cols>
    <col min="1" max="1" width="11.5546875" bestFit="1" customWidth="1"/>
    <col min="2" max="2" width="15.44140625" bestFit="1" customWidth="1"/>
    <col min="3" max="3" width="16.21875" bestFit="1" customWidth="1"/>
    <col min="4" max="4" width="14.5546875" bestFit="1" customWidth="1"/>
    <col min="5" max="5" width="15.5546875" bestFit="1" customWidth="1"/>
    <col min="6" max="6" width="16.21875" bestFit="1" customWidth="1"/>
    <col min="7" max="7" width="14.77734375" bestFit="1" customWidth="1"/>
    <col min="8" max="8" width="13.77734375" style="36" bestFit="1" customWidth="1"/>
    <col min="9" max="9" width="16.77734375" bestFit="1" customWidth="1"/>
    <col min="10" max="10" width="16" bestFit="1" customWidth="1"/>
    <col min="11" max="11" width="14.21875" bestFit="1" customWidth="1"/>
    <col min="12" max="12" width="11.5546875" bestFit="1" customWidth="1"/>
    <col min="13" max="13" width="20.21875" bestFit="1" customWidth="1"/>
    <col min="14" max="14" width="15.77734375" bestFit="1" customWidth="1"/>
    <col min="15" max="15" width="18.21875" bestFit="1" customWidth="1"/>
    <col min="16" max="16" width="8.5546875" customWidth="1"/>
    <col min="17" max="17" width="28.44140625" bestFit="1" customWidth="1"/>
    <col min="18" max="18" width="22.77734375" bestFit="1" customWidth="1"/>
    <col min="19" max="19" width="16.77734375" bestFit="1" customWidth="1"/>
    <col min="20" max="20" width="15" customWidth="1"/>
    <col min="21" max="21" width="17.5546875" bestFit="1" customWidth="1"/>
    <col min="22" max="22" width="21.77734375" bestFit="1" customWidth="1"/>
    <col min="23" max="23" width="11.21875" bestFit="1" customWidth="1"/>
    <col min="24" max="24" width="16.5546875" customWidth="1"/>
    <col min="25" max="25" width="16.77734375" bestFit="1" customWidth="1"/>
    <col min="26" max="26" width="18.5546875" customWidth="1"/>
    <col min="27" max="27" width="17.21875" customWidth="1"/>
    <col min="28" max="28" width="15.5546875" customWidth="1"/>
    <col min="29" max="29" width="18.77734375" customWidth="1"/>
    <col min="30" max="30" width="12.5546875" bestFit="1" customWidth="1"/>
    <col min="31" max="31" width="10.77734375" customWidth="1"/>
    <col min="32" max="32" width="14" bestFit="1" customWidth="1"/>
    <col min="33" max="33" width="10" bestFit="1" customWidth="1"/>
    <col min="34" max="34" width="21.5546875" bestFit="1" customWidth="1"/>
    <col min="35" max="35" width="21.21875" bestFit="1" customWidth="1"/>
    <col min="36" max="36" width="16.21875" customWidth="1"/>
    <col min="37" max="37" width="20.77734375" bestFit="1" customWidth="1"/>
    <col min="38" max="38" width="9.5546875" customWidth="1"/>
    <col min="39" max="39" width="18.77734375" customWidth="1"/>
    <col min="40" max="40" width="19.77734375" bestFit="1" customWidth="1"/>
    <col min="41" max="41" width="18.5546875" customWidth="1"/>
    <col min="42" max="42" width="20.21875" bestFit="1" customWidth="1"/>
    <col min="43" max="43" width="18" bestFit="1" customWidth="1"/>
    <col min="44" max="44" width="17" bestFit="1" customWidth="1"/>
    <col min="45" max="45" width="11.44140625" customWidth="1"/>
    <col min="46" max="46" width="12.5546875" customWidth="1"/>
    <col min="47" max="47" width="17.44140625" bestFit="1" customWidth="1"/>
    <col min="48" max="48" width="11.5546875" customWidth="1"/>
    <col min="49" max="49" width="12.77734375" bestFit="1" customWidth="1"/>
    <col min="50" max="50" width="13.21875" customWidth="1"/>
    <col min="51" max="51" width="12.77734375" bestFit="1" customWidth="1"/>
    <col min="52" max="52" width="12.5546875" style="69" bestFit="1" customWidth="1"/>
    <col min="53" max="53" width="35.21875" bestFit="1" customWidth="1"/>
    <col min="54" max="54" width="27.77734375" bestFit="1" customWidth="1"/>
    <col min="55" max="55" width="27.77734375" customWidth="1"/>
    <col min="56" max="56" width="8.44140625" bestFit="1" customWidth="1"/>
    <col min="57" max="57" width="8.77734375" bestFit="1" customWidth="1"/>
    <col min="58" max="58" width="9.21875" customWidth="1"/>
    <col min="59" max="59" width="9.77734375" customWidth="1"/>
    <col min="60" max="60" width="18.21875" customWidth="1"/>
    <col min="61" max="61" width="11.21875" bestFit="1" customWidth="1"/>
    <col min="62" max="62" width="12.77734375" bestFit="1" customWidth="1"/>
    <col min="63" max="69" width="12.77734375" customWidth="1"/>
  </cols>
  <sheetData>
    <row r="1" spans="1:69" s="7" customFormat="1" x14ac:dyDescent="0.3">
      <c r="A1" s="10" t="s">
        <v>92</v>
      </c>
      <c r="B1" s="7" t="s">
        <v>93</v>
      </c>
      <c r="C1" s="7" t="s">
        <v>94</v>
      </c>
      <c r="D1" s="7" t="s">
        <v>95</v>
      </c>
      <c r="E1" s="7" t="s">
        <v>96</v>
      </c>
      <c r="F1" s="7" t="s">
        <v>97</v>
      </c>
      <c r="G1" s="7" t="s">
        <v>98</v>
      </c>
      <c r="H1" s="35" t="s">
        <v>100</v>
      </c>
      <c r="I1" s="7" t="s">
        <v>99</v>
      </c>
      <c r="J1" s="7" t="s">
        <v>101</v>
      </c>
      <c r="K1" s="7" t="s">
        <v>102</v>
      </c>
      <c r="L1" s="7" t="s">
        <v>169</v>
      </c>
      <c r="M1" s="7" t="s">
        <v>105</v>
      </c>
      <c r="N1" s="7" t="s">
        <v>104</v>
      </c>
      <c r="O1" s="7" t="s">
        <v>106</v>
      </c>
      <c r="P1" s="7" t="s">
        <v>107</v>
      </c>
      <c r="Q1" s="7" t="s">
        <v>213</v>
      </c>
      <c r="R1" s="7" t="s">
        <v>108</v>
      </c>
      <c r="S1" s="7" t="s">
        <v>109</v>
      </c>
      <c r="T1" s="7" t="s">
        <v>110</v>
      </c>
      <c r="U1" s="7" t="s">
        <v>111</v>
      </c>
      <c r="V1" s="7" t="s">
        <v>194</v>
      </c>
      <c r="W1" s="7" t="s">
        <v>179</v>
      </c>
      <c r="X1" s="7" t="s">
        <v>168</v>
      </c>
      <c r="Y1" s="7" t="s">
        <v>190</v>
      </c>
      <c r="Z1" s="7" t="s">
        <v>176</v>
      </c>
      <c r="AA1" s="7" t="s">
        <v>158</v>
      </c>
      <c r="AB1" s="7" t="s">
        <v>156</v>
      </c>
      <c r="AC1" s="7" t="s">
        <v>157</v>
      </c>
      <c r="AD1" s="7" t="s">
        <v>113</v>
      </c>
      <c r="AE1" s="7" t="s">
        <v>2</v>
      </c>
      <c r="AF1" s="7" t="s">
        <v>114</v>
      </c>
      <c r="AG1" s="7" t="s">
        <v>115</v>
      </c>
      <c r="AH1" s="7" t="s">
        <v>193</v>
      </c>
      <c r="AI1" s="7" t="s">
        <v>116</v>
      </c>
      <c r="AJ1" s="7" t="s">
        <v>117</v>
      </c>
      <c r="AK1" s="7" t="s">
        <v>118</v>
      </c>
      <c r="AL1" s="7" t="s">
        <v>119</v>
      </c>
      <c r="AM1" s="7" t="s">
        <v>120</v>
      </c>
      <c r="AN1" s="7" t="s">
        <v>121</v>
      </c>
      <c r="AO1" s="7" t="s">
        <v>122</v>
      </c>
      <c r="AP1" s="7" t="s">
        <v>123</v>
      </c>
      <c r="AQ1" s="7" t="s">
        <v>124</v>
      </c>
      <c r="AR1" s="7" t="s">
        <v>172</v>
      </c>
      <c r="AS1" s="7" t="s">
        <v>150</v>
      </c>
      <c r="AT1" s="7" t="s">
        <v>128</v>
      </c>
      <c r="AU1" s="7" t="s">
        <v>159</v>
      </c>
      <c r="AV1" s="7" t="s">
        <v>149</v>
      </c>
      <c r="AW1" s="7" t="s">
        <v>148</v>
      </c>
      <c r="AX1" s="15" t="s">
        <v>103</v>
      </c>
      <c r="AY1" s="15" t="s">
        <v>146</v>
      </c>
      <c r="AZ1" s="68" t="s">
        <v>167</v>
      </c>
      <c r="BA1" s="15" t="s">
        <v>125</v>
      </c>
      <c r="BB1" s="15" t="s">
        <v>145</v>
      </c>
      <c r="BC1" s="15" t="s">
        <v>112</v>
      </c>
      <c r="BD1" s="15" t="s">
        <v>126</v>
      </c>
      <c r="BE1" s="15" t="s">
        <v>160</v>
      </c>
      <c r="BF1" s="15" t="s">
        <v>127</v>
      </c>
      <c r="BG1" s="15" t="s">
        <v>147</v>
      </c>
      <c r="BH1" s="15" t="s">
        <v>192</v>
      </c>
      <c r="BI1" s="15" t="s">
        <v>177</v>
      </c>
      <c r="BJ1" s="15" t="s">
        <v>171</v>
      </c>
      <c r="BK1" s="15" t="s">
        <v>211</v>
      </c>
      <c r="BL1" s="15" t="s">
        <v>201</v>
      </c>
      <c r="BM1" s="15" t="s">
        <v>202</v>
      </c>
      <c r="BN1" s="15" t="s">
        <v>212</v>
      </c>
      <c r="BO1" s="15" t="s">
        <v>208</v>
      </c>
      <c r="BP1" s="15" t="s">
        <v>206</v>
      </c>
      <c r="BQ1" s="15" t="s">
        <v>205</v>
      </c>
    </row>
    <row r="2" spans="1:69" x14ac:dyDescent="0.3">
      <c r="A2" s="11" t="s">
        <v>129</v>
      </c>
      <c r="B2" t="s">
        <v>129</v>
      </c>
      <c r="C2" t="s">
        <v>129</v>
      </c>
      <c r="D2" s="31">
        <v>0.46802083333333333</v>
      </c>
      <c r="E2" t="s">
        <v>129</v>
      </c>
      <c r="F2" t="s">
        <v>129</v>
      </c>
      <c r="G2" s="31">
        <v>0.39920138888888884</v>
      </c>
      <c r="H2" s="36" t="s">
        <v>129</v>
      </c>
      <c r="I2" t="s">
        <v>129</v>
      </c>
      <c r="J2" t="s">
        <v>130</v>
      </c>
      <c r="K2" t="s">
        <v>48</v>
      </c>
      <c r="L2">
        <v>1214824</v>
      </c>
      <c r="M2" t="s">
        <v>130</v>
      </c>
      <c r="N2" t="s">
        <v>131</v>
      </c>
      <c r="O2" s="12" t="s">
        <v>48</v>
      </c>
      <c r="P2" t="s">
        <v>132</v>
      </c>
      <c r="Q2" t="s">
        <v>133</v>
      </c>
      <c r="R2" t="s">
        <v>134</v>
      </c>
      <c r="T2" t="s">
        <v>135</v>
      </c>
      <c r="U2" t="s">
        <v>136</v>
      </c>
      <c r="V2" t="s">
        <v>137</v>
      </c>
      <c r="Y2" t="s">
        <v>131</v>
      </c>
      <c r="Z2" t="s">
        <v>178</v>
      </c>
      <c r="AD2" t="s">
        <v>138</v>
      </c>
      <c r="AE2">
        <v>68583</v>
      </c>
      <c r="AF2" t="s">
        <v>139</v>
      </c>
      <c r="AG2" t="s">
        <v>140</v>
      </c>
      <c r="AH2" t="s">
        <v>137</v>
      </c>
      <c r="AI2">
        <v>0</v>
      </c>
      <c r="AJ2">
        <v>300</v>
      </c>
      <c r="AK2">
        <v>1.6</v>
      </c>
      <c r="AL2">
        <v>300</v>
      </c>
      <c r="AM2">
        <v>0</v>
      </c>
      <c r="AN2">
        <v>0</v>
      </c>
      <c r="AO2">
        <v>0</v>
      </c>
      <c r="AP2">
        <v>0</v>
      </c>
      <c r="AQ2">
        <v>100</v>
      </c>
      <c r="AR2">
        <v>0</v>
      </c>
      <c r="AS2">
        <v>300</v>
      </c>
      <c r="AT2">
        <v>300</v>
      </c>
      <c r="AU2" s="20">
        <v>300</v>
      </c>
      <c r="AV2" s="20">
        <v>300</v>
      </c>
      <c r="AW2" s="20">
        <f>SapExlData[NormKvantum]</f>
        <v>300</v>
      </c>
      <c r="AX2" s="20" t="str">
        <f>IF(SapExlData[OrdreType]="PLAN",IF(AND(SapExlData[Sluttlev.ind.]="X",SapExlData[Planl. kap.]="X"),TEXT(SapExlData[OrgOrdre],"0000000000")&amp; "**",IF(OR(SapExlData[Sluttlev.ind.]="X",SapExlData[Planl. kap.]="X"),TEXT(SapExlData[OrgOrdre],"0000000000")&amp; "*",TEXT(SapExlData[OrgOrdre],"0000000000"))),TEXT(SapExlData[OrgOrdre],"0000000000"))</f>
        <v>0001214824</v>
      </c>
      <c r="AY2" s="20" t="str">
        <f>IF(OR(SapExlData[Salgsdok.type]="LA",SapExlData[Salgsdok.type]="VP"),"PLAN","PROD")</f>
        <v>PROD</v>
      </c>
      <c r="AZ2" s="69">
        <f>IF(SapExlData[Plan. sluttdato]&lt;&gt;SapExlData[Plan. startdato],IF(SapExlData[Beh.tid enhet]="t",SapExlData[Norm - behandl. tid],(IF(SapExlData[Beh.tid enhet]&lt;&gt;"Dager",,SapExlData[Norm - behandl. tid]/1440))),(((ROUND(SapExlData[Plan. slutttid],2)-ROUND(SapExlData[Plan. Starttid],2))*24)/2))</f>
        <v>0.83999999999999941</v>
      </c>
      <c r="BA2" s="20" t="str">
        <f>TEXT(SapExlData[Material],"000000")&amp;" "&amp;SapExlData[Materialbeskrivelse]</f>
        <v>068583 Posteiansjos M/Lake Hakket</v>
      </c>
      <c r="BB2" s="20" t="str">
        <f>SapExlData[MaterialTyp]&amp; " " &amp;SapExlData[MaterialTyp besk.]</f>
        <v>ZHAL Halvfabrikat, Stabburet</v>
      </c>
      <c r="BC2" s="20" t="str">
        <f>RIGHT(SapExlData[Arbeidsstasjon kode],LEN(SapExlData[Arbeidsstasjon kode])-5)&amp;" "&amp;SapExlData[Arbeidsstasjon Besk.]</f>
        <v>FR7507 FR00/FR7507</v>
      </c>
      <c r="BD2" s="20" t="str">
        <f>TEXT(IF(WEEKDAY(DATE(YEAR(SapExlData[Plan. startdato]),1,1),2)&gt;4,WEEKNUM(DATEVALUE(SapExlData[Plan. startdato]),2)-1,WEEKNUM(DATEVALUE(SapExlData[Plan. startdato]),2)),"00")&amp;"-"&amp;YEAR(SapExlData[Plan. startdato])</f>
        <v>40-2014</v>
      </c>
      <c r="BE2" s="20" t="str">
        <f>UPPER(TEXT(SapExlData[Plan. startdato],"dddd"))</f>
        <v>TIRSDAG</v>
      </c>
      <c r="BF2" s="20">
        <f>IF(SapExlData[Uke]&lt;&gt;"",1,0)</f>
        <v>1</v>
      </c>
      <c r="BG2" s="20" t="str">
        <f>IF(SapExlData[OrdreType]="PLAN",IF(SapExlData[Sletteindikator]="X","X"," "),"X")</f>
        <v>X</v>
      </c>
      <c r="BH2" s="20" t="str">
        <f>IF(LEFT(SapExlData[Betegnelse],1)&lt;&gt;"*"," ",MID(SapExlData[Betegnelse],2,8))</f>
        <v xml:space="preserve"> </v>
      </c>
      <c r="BI2" s="20" t="str">
        <f>IF(SapExlData[Kjt.Verdi]=""," ",SapExlData[Kjt.Verdi])</f>
        <v xml:space="preserve"> </v>
      </c>
      <c r="BJ2" s="20">
        <f>IF(AND(SapExlData[Fabrikk]="EL00",SapExlData[Avrundingsverdi]&lt;&gt;0),SapExlData[Ordre_Kva]/SapExlData[Avrundingsverdi],)</f>
        <v>0</v>
      </c>
      <c r="BK2" s="20">
        <f>IF(ISERROR(VLOOKUP(SapExlData[Fabrikk]&amp;SapExlData[Material],tblMARMDPK[],3,FALSE)),1,VLOOKUP(SapExlData[Fabrikk]&amp;SapExlData[Material],tblMARMDPK[],3,FALSE))</f>
        <v>1</v>
      </c>
      <c r="BL2" s="20">
        <f>IF(ISERROR(VLOOKUP(SapExlData[Fabrikk]&amp;SapExlData[Material],tblMARMDPK[],4,FALSE)),1,VLOOKUP(SapExlData[Fabrikk]&amp;SapExlData[Material],tblMARMDPK[],4,FALSE))</f>
        <v>1</v>
      </c>
      <c r="BM2" s="20">
        <f>(SapExlData[Ordre_Kva]*SapExlData[DPK])/SapExlData[DPKCounter]</f>
        <v>300</v>
      </c>
      <c r="BN2" s="20">
        <f>IF(ISERROR(VLOOKUP(SapExlData[Fabrikk]&amp;SapExlData[Material],tblMARMFPK[],3,FALSE)),1,VLOOKUP(SapExlData[Fabrikk]&amp;SapExlData[Material],tblMARMFPK[],3,FALSE))</f>
        <v>1</v>
      </c>
      <c r="BO2" s="20">
        <f>IF(ISERROR(VLOOKUP(SapExlData[Fabrikk]&amp;SapExlData[Material],tblMARMFPK[],4,FALSE)),1,VLOOKUP(SapExlData[Fabrikk]&amp;SapExlData[Material],tblMARMFPK[],4,FALSE))</f>
        <v>1</v>
      </c>
      <c r="BP2" s="20">
        <f>(SapExlData[Ordre_Kva]*SapExlData[FPK])/SapExlData[FPKCounter]</f>
        <v>300</v>
      </c>
      <c r="BQ2" s="20">
        <f>(SapExlData[Lever_Kva]*SapExlData[DPK])/SapExlData[DPKCounter]</f>
        <v>300</v>
      </c>
    </row>
    <row r="3" spans="1:69" x14ac:dyDescent="0.3">
      <c r="A3" s="11" t="s">
        <v>129</v>
      </c>
      <c r="C3" t="s">
        <v>129</v>
      </c>
      <c r="D3" s="31">
        <v>0.32339120370370372</v>
      </c>
      <c r="E3" t="s">
        <v>129</v>
      </c>
      <c r="F3" t="s">
        <v>129</v>
      </c>
      <c r="G3" s="31">
        <v>0.29166666666666669</v>
      </c>
      <c r="H3" s="36" t="s">
        <v>129</v>
      </c>
      <c r="I3" t="s">
        <v>141</v>
      </c>
      <c r="J3" t="s">
        <v>130</v>
      </c>
      <c r="L3">
        <v>1213749</v>
      </c>
      <c r="M3" t="s">
        <v>130</v>
      </c>
      <c r="N3" t="s">
        <v>131</v>
      </c>
      <c r="O3" s="12" t="s">
        <v>48</v>
      </c>
      <c r="P3" t="s">
        <v>132</v>
      </c>
      <c r="Q3" t="s">
        <v>142</v>
      </c>
      <c r="R3" t="s">
        <v>134</v>
      </c>
      <c r="T3" t="s">
        <v>135</v>
      </c>
      <c r="U3" t="s">
        <v>143</v>
      </c>
      <c r="V3" t="s">
        <v>144</v>
      </c>
      <c r="Y3" t="s">
        <v>131</v>
      </c>
      <c r="Z3" t="s">
        <v>178</v>
      </c>
      <c r="AD3" t="s">
        <v>138</v>
      </c>
      <c r="AE3">
        <v>69362</v>
      </c>
      <c r="AF3" t="s">
        <v>139</v>
      </c>
      <c r="AG3" t="s">
        <v>140</v>
      </c>
      <c r="AH3" t="s">
        <v>144</v>
      </c>
      <c r="AI3">
        <v>0</v>
      </c>
      <c r="AJ3">
        <v>2625.36</v>
      </c>
      <c r="AK3">
        <v>0</v>
      </c>
      <c r="AL3">
        <v>2624.1</v>
      </c>
      <c r="AM3">
        <v>0</v>
      </c>
      <c r="AN3">
        <v>0</v>
      </c>
      <c r="AO3">
        <v>0</v>
      </c>
      <c r="AP3">
        <v>0</v>
      </c>
      <c r="AQ3">
        <v>437.56</v>
      </c>
      <c r="AR3">
        <v>0</v>
      </c>
      <c r="AS3">
        <v>2624.1</v>
      </c>
      <c r="AT3">
        <v>2624.1</v>
      </c>
      <c r="AU3" s="20">
        <v>2625.36</v>
      </c>
      <c r="AV3" s="20">
        <v>2625.36</v>
      </c>
      <c r="AW3" s="20">
        <f>SapExlData[NormKvantum]</f>
        <v>2625.36</v>
      </c>
      <c r="AX3" s="20" t="str">
        <f>IF(SapExlData[OrdreType]="PLAN",IF(AND(SapExlData[Sluttlev.ind.]="X",SapExlData[Planl. kap.]="X"),TEXT(SapExlData[OrgOrdre],"0000000000")&amp; "**",IF(OR(SapExlData[Sluttlev.ind.]="X",SapExlData[Planl. kap.]="X"),TEXT(SapExlData[OrgOrdre],"0000000000")&amp; "*",TEXT(SapExlData[OrgOrdre],"0000000000"))),TEXT(SapExlData[OrgOrdre],"0000000000"))</f>
        <v>0001213749</v>
      </c>
      <c r="AY3" s="20" t="str">
        <f>IF(OR(SapExlData[Salgsdok.type]="LA",SapExlData[Salgsdok.type]="VP"),"PLAN","PROD")</f>
        <v>PROD</v>
      </c>
      <c r="AZ3" s="69">
        <f>IF(SapExlData[Plan. sluttdato]&lt;&gt;SapExlData[Plan. startdato],IF(SapExlData[Beh.tid enhet]="t",SapExlData[Norm - behandl. tid],(IF(SapExlData[Beh.tid enhet]&lt;&gt;"Dager",,SapExlData[Norm - behandl. tid]/1440))),(((ROUND(SapExlData[Plan. slutttid],2)-ROUND(SapExlData[Plan. Starttid],2))*24)/2))</f>
        <v>0.36000000000000032</v>
      </c>
      <c r="BA3" s="20" t="str">
        <f>TEXT(SapExlData[Material],"000000")&amp;" "&amp;SapExlData[Materialbeskrivelse]</f>
        <v>069362 Biffstrimler marinert, tromlet</v>
      </c>
      <c r="BB3" s="20" t="str">
        <f>SapExlData[MaterialTyp]&amp; " " &amp;SapExlData[MaterialTyp besk.]</f>
        <v>ZHAL Halvfabrikat, Stabburet</v>
      </c>
      <c r="BC3" s="20" t="str">
        <f>RIGHT(SapExlData[Arbeidsstasjon kode],LEN(SapExlData[Arbeidsstasjon kode])-5)&amp;" "&amp;SapExlData[Arbeidsstasjon Besk.]</f>
        <v>FR7099 FR00/FR7099</v>
      </c>
      <c r="BD3" s="20" t="str">
        <f>TEXT(IF(WEEKDAY(DATE(YEAR(SapExlData[Plan. startdato]),1,1),2)&gt;4,WEEKNUM(DATEVALUE(SapExlData[Plan. startdato]),2)-1,WEEKNUM(DATEVALUE(SapExlData[Plan. startdato]),2)),"00")&amp;"-"&amp;YEAR(SapExlData[Plan. startdato])</f>
        <v>40-2014</v>
      </c>
      <c r="BE3" s="20" t="str">
        <f>UPPER(TEXT(SapExlData[Plan. startdato],"dddd"))</f>
        <v>TIRSDAG</v>
      </c>
      <c r="BF3" s="20">
        <f>IF(SapExlData[Uke]&lt;&gt;"",1,0)</f>
        <v>1</v>
      </c>
      <c r="BG3" s="20" t="str">
        <f>IF(SapExlData[OrdreType]="PLAN",IF(SapExlData[Sletteindikator]="X","X"," "),"X")</f>
        <v>X</v>
      </c>
      <c r="BH3" s="20" t="str">
        <f>IF(LEFT(SapExlData[Betegnelse],1)&lt;&gt;"*"," ",MID(SapExlData[Betegnelse],2,8))</f>
        <v xml:space="preserve"> </v>
      </c>
      <c r="BI3" s="20" t="str">
        <f>IF(SapExlData[Kjt.Verdi]=""," ",SapExlData[Kjt.Verdi])</f>
        <v xml:space="preserve"> </v>
      </c>
      <c r="BJ3" s="20">
        <f>IF(AND(SapExlData[Fabrikk]="EL00",SapExlData[Avrundingsverdi]&lt;&gt;0),SapExlData[Ordre_Kva]/SapExlData[Avrundingsverdi],)</f>
        <v>0</v>
      </c>
      <c r="BK3" s="20">
        <f>IF(ISERROR(VLOOKUP(SapExlData[Fabrikk]&amp;SapExlData[Material],tblMARMDPK[],3,FALSE)),1,VLOOKUP(SapExlData[Fabrikk]&amp;SapExlData[Material],tblMARMDPK[],3,FALSE))</f>
        <v>1</v>
      </c>
      <c r="BL3" s="20">
        <f>IF(ISERROR(VLOOKUP(SapExlData[Fabrikk]&amp;SapExlData[Material],tblMARMDPK[],4,FALSE)),1,VLOOKUP(SapExlData[Fabrikk]&amp;SapExlData[Material],tblMARMDPK[],4,FALSE))</f>
        <v>1</v>
      </c>
      <c r="BM3" s="20">
        <f>(SapExlData[Ordre_Kva]*SapExlData[DPK])/SapExlData[DPKCounter]</f>
        <v>2625.36</v>
      </c>
      <c r="BN3" s="20">
        <f>IF(ISERROR(VLOOKUP(SapExlData[Fabrikk]&amp;SapExlData[Material],tblMARMFPK[],3,FALSE)),1,VLOOKUP(SapExlData[Fabrikk]&amp;SapExlData[Material],tblMARMFPK[],3,FALSE))</f>
        <v>1</v>
      </c>
      <c r="BO3" s="20">
        <f>IF(ISERROR(VLOOKUP(SapExlData[Fabrikk]&amp;SapExlData[Material],tblMARMFPK[],4,FALSE)),1,VLOOKUP(SapExlData[Fabrikk]&amp;SapExlData[Material],tblMARMFPK[],4,FALSE))</f>
        <v>1</v>
      </c>
      <c r="BP3" s="20">
        <f>(SapExlData[Ordre_Kva]*SapExlData[FPK])/SapExlData[FPKCounter]</f>
        <v>2625.36</v>
      </c>
      <c r="BQ3" s="20">
        <f>(SapExlData[Lever_Kva]*SapExlData[DPK])/SapExlData[DPKCounter]</f>
        <v>2624.1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>
    <tabColor rgb="FFFF8080"/>
  </sheetPr>
  <dimension ref="A1:D14"/>
  <sheetViews>
    <sheetView showGridLines="0" zoomScale="85" zoomScaleNormal="85" workbookViewId="0"/>
  </sheetViews>
  <sheetFormatPr defaultColWidth="11.44140625" defaultRowHeight="14.4" x14ac:dyDescent="0.3"/>
  <cols>
    <col min="1" max="1" width="8.21875" bestFit="1" customWidth="1"/>
    <col min="2" max="2" width="5.77734375" bestFit="1" customWidth="1"/>
    <col min="3" max="3" width="12.44140625" bestFit="1" customWidth="1"/>
    <col min="4" max="4" width="8.44140625" bestFit="1" customWidth="1"/>
  </cols>
  <sheetData>
    <row r="1" spans="1:4" x14ac:dyDescent="0.3">
      <c r="A1" s="7" t="s">
        <v>24</v>
      </c>
      <c r="B1" s="7" t="s">
        <v>25</v>
      </c>
      <c r="C1" s="7" t="s">
        <v>26</v>
      </c>
      <c r="D1" s="7" t="s">
        <v>8</v>
      </c>
    </row>
    <row r="2" spans="1:4" x14ac:dyDescent="0.3">
      <c r="A2" t="s">
        <v>12</v>
      </c>
      <c r="B2" t="s">
        <v>3</v>
      </c>
      <c r="C2" s="12">
        <v>40909</v>
      </c>
      <c r="D2">
        <v>5.68</v>
      </c>
    </row>
    <row r="3" spans="1:4" x14ac:dyDescent="0.3">
      <c r="A3" t="s">
        <v>13</v>
      </c>
      <c r="B3" t="s">
        <v>3</v>
      </c>
      <c r="C3" s="12">
        <v>40909</v>
      </c>
      <c r="D3">
        <v>5.69</v>
      </c>
    </row>
    <row r="4" spans="1:4" x14ac:dyDescent="0.3">
      <c r="A4" t="s">
        <v>14</v>
      </c>
      <c r="B4" t="s">
        <v>3</v>
      </c>
      <c r="C4" s="12">
        <v>40909</v>
      </c>
      <c r="D4">
        <v>6.61</v>
      </c>
    </row>
    <row r="5" spans="1:4" x14ac:dyDescent="0.3">
      <c r="A5" t="s">
        <v>15</v>
      </c>
      <c r="B5" t="s">
        <v>3</v>
      </c>
      <c r="C5" s="12">
        <v>40909</v>
      </c>
      <c r="D5">
        <v>0.32900000000000001</v>
      </c>
    </row>
    <row r="6" spans="1:4" x14ac:dyDescent="0.3">
      <c r="A6" t="s">
        <v>16</v>
      </c>
      <c r="B6" t="s">
        <v>3</v>
      </c>
      <c r="C6" s="12">
        <v>40909</v>
      </c>
      <c r="D6">
        <v>1.0660000000000001</v>
      </c>
    </row>
    <row r="7" spans="1:4" x14ac:dyDescent="0.3">
      <c r="A7" t="s">
        <v>17</v>
      </c>
      <c r="B7" t="s">
        <v>3</v>
      </c>
      <c r="C7" s="12">
        <v>40909</v>
      </c>
      <c r="D7">
        <v>7.94</v>
      </c>
    </row>
    <row r="8" spans="1:4" x14ac:dyDescent="0.3">
      <c r="A8" t="s">
        <v>18</v>
      </c>
      <c r="B8" t="s">
        <v>3</v>
      </c>
      <c r="C8" s="12">
        <v>40909</v>
      </c>
      <c r="D8">
        <v>8.84</v>
      </c>
    </row>
    <row r="9" spans="1:4" x14ac:dyDescent="0.3">
      <c r="A9" t="s">
        <v>19</v>
      </c>
      <c r="B9" t="s">
        <v>3</v>
      </c>
      <c r="C9" s="12">
        <v>40909</v>
      </c>
      <c r="D9">
        <v>2.91</v>
      </c>
    </row>
    <row r="10" spans="1:4" x14ac:dyDescent="0.3">
      <c r="A10" t="s">
        <v>20</v>
      </c>
      <c r="B10" t="s">
        <v>3</v>
      </c>
      <c r="C10" s="12">
        <v>40909</v>
      </c>
      <c r="D10">
        <v>6.9</v>
      </c>
    </row>
    <row r="11" spans="1:4" x14ac:dyDescent="0.3">
      <c r="A11" t="s">
        <v>21</v>
      </c>
      <c r="B11" t="s">
        <v>3</v>
      </c>
      <c r="C11" s="12">
        <v>40909</v>
      </c>
      <c r="D11">
        <v>1.9550000000000001</v>
      </c>
    </row>
    <row r="12" spans="1:4" x14ac:dyDescent="0.3">
      <c r="A12" t="s">
        <v>22</v>
      </c>
      <c r="B12" t="s">
        <v>3</v>
      </c>
      <c r="C12" s="12">
        <v>40909</v>
      </c>
      <c r="D12">
        <v>0.85699999999999998</v>
      </c>
    </row>
    <row r="13" spans="1:4" x14ac:dyDescent="0.3">
      <c r="A13" t="s">
        <v>3</v>
      </c>
      <c r="B13" t="s">
        <v>3</v>
      </c>
      <c r="C13" s="12">
        <v>40909</v>
      </c>
      <c r="D13">
        <v>1</v>
      </c>
    </row>
    <row r="14" spans="1:4" x14ac:dyDescent="0.3">
      <c r="A14" t="s">
        <v>23</v>
      </c>
      <c r="B14" t="s">
        <v>3</v>
      </c>
      <c r="C14" s="12">
        <v>40909</v>
      </c>
      <c r="D14">
        <v>5.53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4" x14ac:dyDescent="0.3"/>
  <cols>
    <col min="1" max="1" width="11" customWidth="1"/>
    <col min="2" max="2" width="11.21875" bestFit="1" customWidth="1"/>
    <col min="3" max="3" width="11.5546875" bestFit="1" customWidth="1"/>
    <col min="4" max="4" width="13.77734375" customWidth="1"/>
    <col min="5" max="5" width="13.44140625" bestFit="1" customWidth="1"/>
    <col min="6" max="6" width="11" customWidth="1"/>
    <col min="7" max="7" width="15.44140625" bestFit="1" customWidth="1"/>
    <col min="8" max="8" width="14.5546875" bestFit="1" customWidth="1"/>
    <col min="9" max="9" width="15.77734375" bestFit="1" customWidth="1"/>
    <col min="10" max="10" width="12.5546875" bestFit="1" customWidth="1"/>
    <col min="11" max="11" width="19.21875" bestFit="1" customWidth="1"/>
    <col min="12" max="12" width="12.21875" bestFit="1" customWidth="1"/>
    <col min="13" max="14" width="12" customWidth="1"/>
    <col min="15" max="15" width="17" customWidth="1"/>
    <col min="16" max="16" width="20.77734375" bestFit="1" customWidth="1"/>
    <col min="17" max="17" width="12" customWidth="1"/>
    <col min="18" max="18" width="8.5546875" customWidth="1"/>
    <col min="19" max="19" width="9.21875" customWidth="1"/>
    <col min="20" max="20" width="13.5546875" customWidth="1"/>
    <col min="21" max="21" width="11" customWidth="1"/>
    <col min="22" max="23" width="12" customWidth="1"/>
    <col min="24" max="24" width="12.77734375" customWidth="1"/>
    <col min="25" max="51" width="12" customWidth="1"/>
  </cols>
  <sheetData>
    <row r="1" spans="1:33" x14ac:dyDescent="0.3">
      <c r="A1" t="s">
        <v>49</v>
      </c>
      <c r="B1" t="s">
        <v>1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70</v>
      </c>
      <c r="X1" t="s">
        <v>71</v>
      </c>
      <c r="Y1" t="s">
        <v>72</v>
      </c>
      <c r="Z1" t="s">
        <v>73</v>
      </c>
      <c r="AA1" t="s">
        <v>74</v>
      </c>
      <c r="AB1" t="s">
        <v>75</v>
      </c>
      <c r="AC1" t="s">
        <v>76</v>
      </c>
      <c r="AD1" t="s">
        <v>77</v>
      </c>
      <c r="AE1" t="s">
        <v>78</v>
      </c>
      <c r="AF1" t="s">
        <v>79</v>
      </c>
      <c r="AG1" t="s">
        <v>80</v>
      </c>
    </row>
    <row r="2" spans="1:33" x14ac:dyDescent="0.3">
      <c r="A2" s="11"/>
      <c r="C2" s="11"/>
      <c r="D2" s="11"/>
      <c r="E2" s="11"/>
      <c r="F2" s="11"/>
      <c r="G2" s="11"/>
      <c r="H2" s="11"/>
      <c r="I2" s="11"/>
      <c r="L2" s="11"/>
      <c r="M2" s="11"/>
      <c r="N2" s="11"/>
      <c r="O2" s="11"/>
      <c r="P2" s="11"/>
      <c r="Q2" s="11"/>
      <c r="R2" s="11"/>
      <c r="S2" s="11"/>
      <c r="U2" s="11"/>
      <c r="V2" s="11"/>
      <c r="W2" s="11"/>
      <c r="X2" s="11"/>
      <c r="AA2" s="11"/>
      <c r="AE2" s="11"/>
      <c r="AF2" s="11"/>
    </row>
    <row r="3" spans="1:33" x14ac:dyDescent="0.3">
      <c r="D3" s="11"/>
      <c r="E3" s="11"/>
      <c r="G3" s="11"/>
      <c r="H3" s="11"/>
      <c r="L3" s="11"/>
      <c r="M3" s="11"/>
      <c r="N3" s="11"/>
      <c r="O3" s="11"/>
      <c r="Q3" s="11"/>
      <c r="R3" s="11"/>
      <c r="S3" s="11"/>
      <c r="U3" s="11"/>
    </row>
    <row r="4" spans="1:33" x14ac:dyDescent="0.3">
      <c r="D4" s="11"/>
      <c r="E4" s="11"/>
      <c r="G4" s="11"/>
      <c r="H4" s="11"/>
      <c r="L4" s="11"/>
      <c r="M4" s="11"/>
      <c r="N4" s="11"/>
      <c r="O4" s="11"/>
      <c r="Q4" s="11"/>
      <c r="R4" s="11"/>
      <c r="S4" s="11"/>
      <c r="U4" s="11"/>
    </row>
    <row r="5" spans="1:33" x14ac:dyDescent="0.3">
      <c r="D5" s="11"/>
      <c r="E5" s="11"/>
      <c r="G5" s="11"/>
      <c r="H5" s="11"/>
      <c r="L5" s="11"/>
      <c r="M5" s="11"/>
      <c r="N5" s="11"/>
      <c r="O5" s="11"/>
      <c r="Q5" s="11"/>
      <c r="R5" s="11"/>
      <c r="S5" s="11"/>
      <c r="U5" s="11"/>
    </row>
    <row r="6" spans="1:33" x14ac:dyDescent="0.3">
      <c r="D6" s="11"/>
      <c r="E6" s="11"/>
      <c r="G6" s="11"/>
      <c r="H6" s="11"/>
      <c r="L6" s="11"/>
      <c r="M6" s="11"/>
      <c r="N6" s="11"/>
      <c r="O6" s="11"/>
      <c r="Q6" s="11"/>
      <c r="R6" s="11"/>
      <c r="S6" s="11"/>
      <c r="U6" s="11"/>
    </row>
    <row r="7" spans="1:33" x14ac:dyDescent="0.3">
      <c r="D7" s="11"/>
      <c r="E7" s="11"/>
      <c r="G7" s="11"/>
      <c r="H7" s="11"/>
      <c r="L7" s="11"/>
      <c r="M7" s="11"/>
      <c r="N7" s="11"/>
      <c r="O7" s="11"/>
      <c r="Q7" s="11"/>
      <c r="R7" s="11"/>
      <c r="S7" s="11"/>
      <c r="U7" s="11"/>
    </row>
    <row r="8" spans="1:33" x14ac:dyDescent="0.3">
      <c r="D8" s="11"/>
      <c r="E8" s="11"/>
      <c r="G8" s="11"/>
      <c r="H8" s="11"/>
      <c r="L8" s="11"/>
      <c r="M8" s="11"/>
      <c r="N8" s="11"/>
      <c r="O8" s="11"/>
      <c r="Q8" s="11"/>
      <c r="R8" s="11"/>
      <c r="S8" s="11"/>
      <c r="U8" s="11"/>
    </row>
    <row r="9" spans="1:33" x14ac:dyDescent="0.3">
      <c r="D9" s="11"/>
      <c r="E9" s="11"/>
      <c r="G9" s="11"/>
      <c r="H9" s="11"/>
      <c r="L9" s="11"/>
      <c r="M9" s="11"/>
      <c r="N9" s="11"/>
      <c r="O9" s="11"/>
      <c r="Q9" s="11"/>
      <c r="R9" s="11"/>
      <c r="S9" s="11"/>
      <c r="U9" s="11"/>
    </row>
    <row r="10" spans="1:33" x14ac:dyDescent="0.3">
      <c r="D10" s="11"/>
      <c r="E10" s="11"/>
      <c r="G10" s="11"/>
      <c r="H10" s="11"/>
      <c r="L10" s="11"/>
      <c r="M10" s="11"/>
      <c r="N10" s="11"/>
      <c r="O10" s="11"/>
      <c r="Q10" s="11"/>
      <c r="R10" s="11"/>
      <c r="S10" s="11"/>
      <c r="U10" s="11"/>
    </row>
    <row r="11" spans="1:33" x14ac:dyDescent="0.3">
      <c r="D11" s="11"/>
      <c r="E11" s="11"/>
      <c r="G11" s="11"/>
      <c r="H11" s="11"/>
      <c r="L11" s="11"/>
      <c r="M11" s="11"/>
      <c r="N11" s="11"/>
      <c r="O11" s="11"/>
      <c r="Q11" s="11"/>
      <c r="R11" s="11"/>
      <c r="S11" s="11"/>
      <c r="U11" s="11"/>
    </row>
    <row r="12" spans="1:33" x14ac:dyDescent="0.3">
      <c r="D12" s="11"/>
      <c r="E12" s="11"/>
      <c r="G12" s="11"/>
      <c r="H12" s="11"/>
      <c r="L12" s="11"/>
      <c r="M12" s="11"/>
      <c r="N12" s="11"/>
      <c r="O12" s="11"/>
      <c r="Q12" s="11"/>
      <c r="R12" s="11"/>
      <c r="S12" s="11"/>
      <c r="U12" s="11"/>
    </row>
    <row r="13" spans="1:33" x14ac:dyDescent="0.3">
      <c r="D13" s="11"/>
      <c r="E13" s="11"/>
      <c r="G13" s="11"/>
      <c r="H13" s="11"/>
      <c r="L13" s="11"/>
      <c r="M13" s="11"/>
      <c r="N13" s="11"/>
      <c r="O13" s="11"/>
      <c r="Q13" s="11"/>
      <c r="R13" s="11"/>
      <c r="S13" s="11"/>
      <c r="U13" s="11"/>
    </row>
    <row r="14" spans="1:33" x14ac:dyDescent="0.3">
      <c r="D14" s="11"/>
      <c r="E14" s="11"/>
      <c r="G14" s="11"/>
      <c r="H14" s="11"/>
      <c r="L14" s="11"/>
      <c r="M14" s="11"/>
      <c r="N14" s="11"/>
      <c r="O14" s="11"/>
      <c r="Q14" s="11"/>
      <c r="R14" s="11"/>
      <c r="S14" s="11"/>
      <c r="U14" s="11"/>
    </row>
    <row r="15" spans="1:33" x14ac:dyDescent="0.3">
      <c r="D15" s="11"/>
      <c r="E15" s="11"/>
      <c r="G15" s="11"/>
      <c r="H15" s="11"/>
      <c r="L15" s="11"/>
      <c r="M15" s="11"/>
      <c r="N15" s="11"/>
      <c r="O15" s="11"/>
      <c r="Q15" s="11"/>
      <c r="R15" s="11"/>
      <c r="S15" s="11"/>
      <c r="U15" s="11"/>
    </row>
    <row r="16" spans="1:33" x14ac:dyDescent="0.3">
      <c r="D16" s="11"/>
      <c r="E16" s="11"/>
      <c r="G16" s="11"/>
      <c r="H16" s="11"/>
      <c r="L16" s="11"/>
      <c r="M16" s="11"/>
      <c r="N16" s="11"/>
      <c r="O16" s="11"/>
      <c r="Q16" s="11"/>
      <c r="R16" s="11"/>
      <c r="S16" s="11"/>
      <c r="U16" s="11"/>
    </row>
    <row r="17" spans="4:21" x14ac:dyDescent="0.3">
      <c r="D17" s="11"/>
      <c r="E17" s="11"/>
      <c r="G17" s="11"/>
      <c r="H17" s="11"/>
      <c r="L17" s="11"/>
      <c r="M17" s="11"/>
      <c r="N17" s="11"/>
      <c r="O17" s="11"/>
      <c r="Q17" s="11"/>
      <c r="R17" s="11"/>
      <c r="S17" s="11"/>
      <c r="U17" s="11"/>
    </row>
    <row r="18" spans="4:21" x14ac:dyDescent="0.3">
      <c r="D18" s="11"/>
      <c r="E18" s="11"/>
      <c r="G18" s="11"/>
      <c r="H18" s="11"/>
      <c r="L18" s="11"/>
      <c r="M18" s="11"/>
      <c r="N18" s="11"/>
      <c r="O18" s="11"/>
      <c r="Q18" s="11"/>
      <c r="R18" s="11"/>
      <c r="S18" s="11"/>
      <c r="U18" s="11"/>
    </row>
    <row r="19" spans="4:21" x14ac:dyDescent="0.3">
      <c r="D19" s="11"/>
      <c r="E19" s="11"/>
      <c r="G19" s="11"/>
      <c r="H19" s="11"/>
      <c r="L19" s="11"/>
      <c r="M19" s="11"/>
      <c r="N19" s="11"/>
      <c r="O19" s="11"/>
      <c r="Q19" s="11"/>
      <c r="R19" s="11"/>
      <c r="S19" s="11"/>
      <c r="U19" s="11"/>
    </row>
    <row r="20" spans="4:21" x14ac:dyDescent="0.3">
      <c r="D20" s="11"/>
      <c r="E20" s="11"/>
      <c r="G20" s="11"/>
      <c r="H20" s="11"/>
      <c r="L20" s="11"/>
      <c r="M20" s="11"/>
      <c r="N20" s="11"/>
      <c r="O20" s="11"/>
      <c r="Q20" s="11"/>
      <c r="R20" s="11"/>
      <c r="S20" s="11"/>
      <c r="U20" s="11"/>
    </row>
    <row r="21" spans="4:21" x14ac:dyDescent="0.3">
      <c r="D21" s="11"/>
      <c r="E21" s="11"/>
      <c r="G21" s="11"/>
      <c r="H21" s="11"/>
      <c r="L21" s="11"/>
      <c r="M21" s="11"/>
      <c r="N21" s="11"/>
      <c r="O21" s="11"/>
      <c r="Q21" s="11"/>
      <c r="R21" s="11"/>
      <c r="S21" s="11"/>
      <c r="U21" s="11"/>
    </row>
    <row r="22" spans="4:21" x14ac:dyDescent="0.3">
      <c r="D22" s="11"/>
      <c r="E22" s="11"/>
      <c r="G22" s="11"/>
      <c r="H22" s="11"/>
      <c r="L22" s="11"/>
      <c r="M22" s="11"/>
      <c r="N22" s="11"/>
      <c r="O22" s="11"/>
      <c r="Q22" s="11"/>
      <c r="R22" s="11"/>
      <c r="S22" s="11"/>
      <c r="U22" s="11"/>
    </row>
    <row r="23" spans="4:21" x14ac:dyDescent="0.3">
      <c r="D23" s="11"/>
      <c r="E23" s="11"/>
      <c r="G23" s="11"/>
      <c r="H23" s="11"/>
      <c r="L23" s="11"/>
      <c r="M23" s="11"/>
      <c r="N23" s="11"/>
      <c r="O23" s="11"/>
      <c r="Q23" s="11"/>
      <c r="R23" s="11"/>
      <c r="S23" s="11"/>
      <c r="U23" s="11"/>
    </row>
    <row r="24" spans="4:21" x14ac:dyDescent="0.3">
      <c r="D24" s="11"/>
      <c r="E24" s="11"/>
      <c r="G24" s="11"/>
      <c r="H24" s="11"/>
      <c r="L24" s="11"/>
      <c r="M24" s="11"/>
      <c r="N24" s="11"/>
      <c r="O24" s="11"/>
      <c r="Q24" s="11"/>
      <c r="R24" s="11"/>
      <c r="S24" s="11"/>
      <c r="U24" s="11"/>
    </row>
    <row r="25" spans="4:21" x14ac:dyDescent="0.3">
      <c r="D25" s="11"/>
      <c r="E25" s="11"/>
      <c r="G25" s="11"/>
      <c r="H25" s="11"/>
      <c r="L25" s="11"/>
      <c r="M25" s="11"/>
      <c r="N25" s="11"/>
      <c r="O25" s="11"/>
      <c r="Q25" s="11"/>
      <c r="R25" s="11"/>
      <c r="S25" s="11"/>
      <c r="U25" s="11"/>
    </row>
    <row r="26" spans="4:21" x14ac:dyDescent="0.3">
      <c r="D26" s="11"/>
      <c r="E26" s="11"/>
      <c r="G26" s="11"/>
      <c r="H26" s="11"/>
      <c r="L26" s="11"/>
      <c r="M26" s="11"/>
      <c r="N26" s="11"/>
      <c r="O26" s="11"/>
      <c r="Q26" s="11"/>
      <c r="R26" s="11"/>
      <c r="S26" s="11"/>
      <c r="U26" s="11"/>
    </row>
    <row r="27" spans="4:21" x14ac:dyDescent="0.3">
      <c r="D27" s="11"/>
      <c r="E27" s="11"/>
      <c r="G27" s="11"/>
      <c r="H27" s="11"/>
      <c r="L27" s="11"/>
      <c r="M27" s="11"/>
      <c r="N27" s="11"/>
      <c r="O27" s="11"/>
      <c r="Q27" s="11"/>
      <c r="R27" s="11"/>
      <c r="S27" s="11"/>
      <c r="U27" s="11"/>
    </row>
    <row r="28" spans="4:21" x14ac:dyDescent="0.3">
      <c r="D28" s="11"/>
      <c r="E28" s="11"/>
      <c r="G28" s="11"/>
      <c r="H28" s="11"/>
      <c r="L28" s="11"/>
      <c r="M28" s="11"/>
      <c r="N28" s="11"/>
      <c r="O28" s="11"/>
      <c r="Q28" s="11"/>
      <c r="R28" s="11"/>
      <c r="S28" s="11"/>
      <c r="U28" s="11"/>
    </row>
    <row r="29" spans="4:21" x14ac:dyDescent="0.3">
      <c r="D29" s="11"/>
      <c r="E29" s="11"/>
      <c r="G29" s="11"/>
      <c r="H29" s="11"/>
      <c r="L29" s="11"/>
      <c r="M29" s="11"/>
      <c r="N29" s="11"/>
      <c r="O29" s="11"/>
      <c r="Q29" s="11"/>
      <c r="R29" s="11"/>
      <c r="S29" s="11"/>
      <c r="U29" s="11"/>
    </row>
    <row r="30" spans="4:21" x14ac:dyDescent="0.3">
      <c r="D30" s="11"/>
      <c r="E30" s="11"/>
      <c r="G30" s="11"/>
      <c r="H30" s="11"/>
      <c r="L30" s="11"/>
      <c r="M30" s="11"/>
      <c r="N30" s="11"/>
      <c r="O30" s="11"/>
      <c r="Q30" s="11"/>
      <c r="R30" s="11"/>
      <c r="S30" s="11"/>
      <c r="U30" s="11"/>
    </row>
    <row r="31" spans="4:21" x14ac:dyDescent="0.3">
      <c r="D31" s="11"/>
      <c r="E31" s="11"/>
      <c r="G31" s="11"/>
      <c r="H31" s="11"/>
      <c r="L31" s="11"/>
      <c r="M31" s="11"/>
      <c r="N31" s="11"/>
      <c r="O31" s="11"/>
      <c r="Q31" s="11"/>
      <c r="R31" s="11"/>
      <c r="S31" s="11"/>
      <c r="U31" s="11"/>
    </row>
    <row r="32" spans="4:21" x14ac:dyDescent="0.3">
      <c r="D32" s="11"/>
      <c r="E32" s="11"/>
      <c r="G32" s="11"/>
      <c r="H32" s="11"/>
      <c r="L32" s="11"/>
      <c r="M32" s="11"/>
      <c r="N32" s="11"/>
      <c r="O32" s="11"/>
      <c r="Q32" s="11"/>
      <c r="R32" s="11"/>
      <c r="S32" s="11"/>
      <c r="U32" s="11"/>
    </row>
    <row r="33" spans="4:21" x14ac:dyDescent="0.3">
      <c r="D33" s="11"/>
      <c r="E33" s="11"/>
      <c r="G33" s="11"/>
      <c r="H33" s="11"/>
      <c r="L33" s="11"/>
      <c r="M33" s="11"/>
      <c r="N33" s="11"/>
      <c r="O33" s="11"/>
      <c r="Q33" s="11"/>
      <c r="R33" s="11"/>
      <c r="S33" s="11"/>
      <c r="U33" s="11"/>
    </row>
    <row r="34" spans="4:21" x14ac:dyDescent="0.3">
      <c r="D34" s="11"/>
      <c r="E34" s="11"/>
      <c r="G34" s="11"/>
      <c r="H34" s="11"/>
      <c r="L34" s="11"/>
      <c r="M34" s="11"/>
      <c r="N34" s="11"/>
      <c r="O34" s="11"/>
      <c r="Q34" s="11"/>
      <c r="R34" s="11"/>
      <c r="S34" s="11"/>
      <c r="U34" s="11"/>
    </row>
    <row r="35" spans="4:21" x14ac:dyDescent="0.3">
      <c r="D35" s="11"/>
      <c r="E35" s="11"/>
      <c r="G35" s="11"/>
      <c r="H35" s="11"/>
      <c r="L35" s="11"/>
      <c r="M35" s="11"/>
      <c r="N35" s="11"/>
      <c r="O35" s="11"/>
      <c r="Q35" s="11"/>
      <c r="R35" s="11"/>
      <c r="S35" s="11"/>
      <c r="U35" s="11"/>
    </row>
    <row r="36" spans="4:21" x14ac:dyDescent="0.3">
      <c r="D36" s="11"/>
      <c r="E36" s="11"/>
      <c r="G36" s="11"/>
      <c r="H36" s="11"/>
      <c r="L36" s="11"/>
      <c r="M36" s="11"/>
      <c r="N36" s="11"/>
      <c r="O36" s="11"/>
      <c r="Q36" s="11"/>
      <c r="R36" s="11"/>
      <c r="S36" s="11"/>
      <c r="U36" s="11"/>
    </row>
    <row r="37" spans="4:21" x14ac:dyDescent="0.3">
      <c r="D37" s="11"/>
      <c r="E37" s="11"/>
      <c r="G37" s="11"/>
      <c r="H37" s="11"/>
      <c r="L37" s="11"/>
      <c r="M37" s="11"/>
      <c r="N37" s="11"/>
      <c r="O37" s="11"/>
      <c r="Q37" s="11"/>
      <c r="R37" s="11"/>
      <c r="S37" s="11"/>
      <c r="U37" s="11"/>
    </row>
    <row r="38" spans="4:21" x14ac:dyDescent="0.3">
      <c r="D38" s="11"/>
      <c r="E38" s="11"/>
      <c r="G38" s="11"/>
      <c r="H38" s="11"/>
      <c r="L38" s="11"/>
      <c r="M38" s="11"/>
      <c r="N38" s="11"/>
      <c r="O38" s="11"/>
      <c r="Q38" s="11"/>
      <c r="R38" s="11"/>
      <c r="S38" s="11"/>
      <c r="U38" s="11"/>
    </row>
    <row r="39" spans="4:21" x14ac:dyDescent="0.3">
      <c r="D39" s="11"/>
      <c r="E39" s="11"/>
      <c r="G39" s="11"/>
      <c r="H39" s="11"/>
      <c r="L39" s="11"/>
      <c r="M39" s="11"/>
      <c r="N39" s="11"/>
      <c r="O39" s="11"/>
      <c r="Q39" s="11"/>
      <c r="R39" s="11"/>
      <c r="S39" s="11"/>
      <c r="U39" s="11"/>
    </row>
    <row r="40" spans="4:21" x14ac:dyDescent="0.3">
      <c r="D40" s="11"/>
      <c r="E40" s="11"/>
      <c r="G40" s="11"/>
      <c r="H40" s="11"/>
      <c r="L40" s="11"/>
      <c r="M40" s="11"/>
      <c r="N40" s="11"/>
      <c r="O40" s="11"/>
      <c r="Q40" s="11"/>
      <c r="R40" s="11"/>
      <c r="S40" s="11"/>
      <c r="U40" s="11"/>
    </row>
    <row r="41" spans="4:21" x14ac:dyDescent="0.3">
      <c r="D41" s="11"/>
      <c r="E41" s="11"/>
      <c r="G41" s="11"/>
      <c r="H41" s="11"/>
      <c r="L41" s="11"/>
      <c r="M41" s="11"/>
      <c r="N41" s="11"/>
      <c r="O41" s="11"/>
      <c r="Q41" s="11"/>
      <c r="R41" s="11"/>
      <c r="S41" s="11"/>
      <c r="U41" s="11"/>
    </row>
    <row r="42" spans="4:21" x14ac:dyDescent="0.3">
      <c r="D42" s="11"/>
      <c r="E42" s="11"/>
      <c r="G42" s="11"/>
      <c r="H42" s="11"/>
      <c r="L42" s="11"/>
      <c r="M42" s="11"/>
      <c r="N42" s="11"/>
      <c r="O42" s="11"/>
      <c r="Q42" s="11"/>
      <c r="R42" s="11"/>
      <c r="S42" s="11"/>
      <c r="U42" s="11"/>
    </row>
    <row r="43" spans="4:21" x14ac:dyDescent="0.3">
      <c r="D43" s="11"/>
      <c r="E43" s="11"/>
      <c r="G43" s="11"/>
      <c r="H43" s="11"/>
      <c r="L43" s="11"/>
      <c r="M43" s="11"/>
      <c r="N43" s="11"/>
      <c r="O43" s="11"/>
      <c r="Q43" s="11"/>
      <c r="R43" s="11"/>
      <c r="S43" s="11"/>
      <c r="U43" s="11"/>
    </row>
    <row r="44" spans="4:21" x14ac:dyDescent="0.3">
      <c r="D44" s="11"/>
      <c r="E44" s="11"/>
      <c r="G44" s="11"/>
      <c r="H44" s="11"/>
      <c r="L44" s="11"/>
      <c r="M44" s="11"/>
      <c r="N44" s="11"/>
      <c r="O44" s="11"/>
      <c r="Q44" s="11"/>
      <c r="R44" s="11"/>
      <c r="S44" s="11"/>
      <c r="U44" s="11"/>
    </row>
    <row r="45" spans="4:21" x14ac:dyDescent="0.3">
      <c r="D45" s="11"/>
      <c r="E45" s="11"/>
      <c r="G45" s="11"/>
      <c r="H45" s="11"/>
      <c r="L45" s="11"/>
      <c r="M45" s="11"/>
      <c r="N45" s="11"/>
      <c r="O45" s="11"/>
      <c r="Q45" s="11"/>
      <c r="R45" s="11"/>
      <c r="S45" s="11"/>
      <c r="U45" s="11"/>
    </row>
    <row r="46" spans="4:21" x14ac:dyDescent="0.3">
      <c r="D46" s="11"/>
      <c r="E46" s="11"/>
      <c r="G46" s="11"/>
      <c r="H46" s="11"/>
      <c r="L46" s="11"/>
      <c r="M46" s="11"/>
      <c r="N46" s="11"/>
      <c r="O46" s="11"/>
      <c r="Q46" s="11"/>
      <c r="R46" s="11"/>
      <c r="S46" s="11"/>
      <c r="U46" s="11"/>
    </row>
    <row r="47" spans="4:21" x14ac:dyDescent="0.3">
      <c r="D47" s="11"/>
      <c r="E47" s="11"/>
      <c r="G47" s="11"/>
      <c r="H47" s="11"/>
      <c r="L47" s="11"/>
      <c r="M47" s="11"/>
      <c r="N47" s="11"/>
      <c r="O47" s="11"/>
      <c r="Q47" s="11"/>
      <c r="R47" s="11"/>
      <c r="S47" s="11"/>
      <c r="U47" s="11"/>
    </row>
    <row r="48" spans="4:21" x14ac:dyDescent="0.3">
      <c r="D48" s="11"/>
      <c r="E48" s="11"/>
      <c r="G48" s="11"/>
      <c r="H48" s="11"/>
      <c r="L48" s="11"/>
      <c r="M48" s="11"/>
      <c r="N48" s="11"/>
      <c r="O48" s="11"/>
      <c r="Q48" s="11"/>
      <c r="R48" s="11"/>
      <c r="S48" s="11"/>
      <c r="U48" s="11"/>
    </row>
    <row r="49" spans="4:21" x14ac:dyDescent="0.3">
      <c r="D49" s="11"/>
      <c r="E49" s="11"/>
      <c r="G49" s="11"/>
      <c r="H49" s="11"/>
      <c r="L49" s="11"/>
      <c r="M49" s="11"/>
      <c r="N49" s="11"/>
      <c r="O49" s="11"/>
      <c r="Q49" s="11"/>
      <c r="R49" s="11"/>
      <c r="S49" s="11"/>
      <c r="U49" s="11"/>
    </row>
    <row r="50" spans="4:21" x14ac:dyDescent="0.3">
      <c r="D50" s="11"/>
      <c r="E50" s="11"/>
      <c r="G50" s="11"/>
      <c r="H50" s="11"/>
      <c r="L50" s="11"/>
      <c r="M50" s="11"/>
      <c r="N50" s="11"/>
      <c r="O50" s="11"/>
      <c r="Q50" s="11"/>
      <c r="R50" s="11"/>
      <c r="S50" s="11"/>
      <c r="U50" s="11"/>
    </row>
    <row r="51" spans="4:21" x14ac:dyDescent="0.3">
      <c r="D51" s="11"/>
      <c r="E51" s="11"/>
      <c r="G51" s="11"/>
      <c r="H51" s="11"/>
      <c r="L51" s="11"/>
      <c r="M51" s="11"/>
      <c r="N51" s="11"/>
      <c r="O51" s="11"/>
      <c r="Q51" s="11"/>
      <c r="R51" s="11"/>
      <c r="S51" s="11"/>
      <c r="U51" s="11"/>
    </row>
    <row r="52" spans="4:21" x14ac:dyDescent="0.3">
      <c r="D52" s="11"/>
      <c r="E52" s="11"/>
      <c r="G52" s="11"/>
      <c r="H52" s="11"/>
      <c r="L52" s="11"/>
      <c r="M52" s="11"/>
      <c r="N52" s="11"/>
      <c r="O52" s="11"/>
      <c r="Q52" s="11"/>
      <c r="R52" s="11"/>
      <c r="S52" s="11"/>
      <c r="U52" s="11"/>
    </row>
    <row r="53" spans="4:21" x14ac:dyDescent="0.3">
      <c r="D53" s="11"/>
      <c r="E53" s="11"/>
      <c r="G53" s="11"/>
      <c r="H53" s="11"/>
      <c r="L53" s="11"/>
      <c r="M53" s="11"/>
      <c r="N53" s="11"/>
      <c r="O53" s="11"/>
      <c r="Q53" s="11"/>
      <c r="R53" s="11"/>
      <c r="S53" s="11"/>
      <c r="U53" s="11"/>
    </row>
    <row r="54" spans="4:21" x14ac:dyDescent="0.3">
      <c r="D54" s="11"/>
      <c r="E54" s="11"/>
      <c r="G54" s="11"/>
      <c r="H54" s="11"/>
      <c r="L54" s="11"/>
      <c r="M54" s="11"/>
      <c r="N54" s="11"/>
      <c r="O54" s="11"/>
      <c r="Q54" s="11"/>
      <c r="R54" s="11"/>
      <c r="S54" s="11"/>
      <c r="U54" s="11"/>
    </row>
    <row r="55" spans="4:21" x14ac:dyDescent="0.3">
      <c r="D55" s="11"/>
      <c r="E55" s="11"/>
      <c r="G55" s="11"/>
      <c r="H55" s="11"/>
      <c r="L55" s="11"/>
      <c r="M55" s="11"/>
      <c r="N55" s="11"/>
      <c r="O55" s="11"/>
      <c r="Q55" s="11"/>
      <c r="R55" s="11"/>
      <c r="S55" s="11"/>
      <c r="U55" s="11"/>
    </row>
    <row r="56" spans="4:21" x14ac:dyDescent="0.3">
      <c r="D56" s="11"/>
      <c r="E56" s="11"/>
      <c r="G56" s="11"/>
      <c r="H56" s="11"/>
      <c r="L56" s="11"/>
      <c r="M56" s="11"/>
      <c r="N56" s="11"/>
      <c r="O56" s="11"/>
      <c r="Q56" s="11"/>
      <c r="R56" s="11"/>
      <c r="S56" s="11"/>
      <c r="U56" s="11"/>
    </row>
    <row r="57" spans="4:21" x14ac:dyDescent="0.3">
      <c r="D57" s="11"/>
      <c r="E57" s="11"/>
      <c r="G57" s="11"/>
      <c r="H57" s="11"/>
      <c r="L57" s="11"/>
      <c r="M57" s="11"/>
      <c r="N57" s="11"/>
      <c r="O57" s="11"/>
      <c r="Q57" s="11"/>
      <c r="R57" s="11"/>
      <c r="S57" s="11"/>
      <c r="U57" s="11"/>
    </row>
    <row r="58" spans="4:21" x14ac:dyDescent="0.3">
      <c r="D58" s="11"/>
      <c r="E58" s="11"/>
      <c r="G58" s="11"/>
      <c r="H58" s="11"/>
      <c r="L58" s="11"/>
      <c r="M58" s="11"/>
      <c r="N58" s="11"/>
      <c r="O58" s="11"/>
      <c r="Q58" s="11"/>
      <c r="R58" s="11"/>
      <c r="S58" s="11"/>
      <c r="U58" s="11"/>
    </row>
    <row r="59" spans="4:21" x14ac:dyDescent="0.3">
      <c r="D59" s="11"/>
      <c r="E59" s="11"/>
      <c r="G59" s="11"/>
      <c r="H59" s="11"/>
      <c r="L59" s="11"/>
      <c r="M59" s="11"/>
      <c r="N59" s="11"/>
      <c r="O59" s="11"/>
      <c r="Q59" s="11"/>
      <c r="R59" s="11"/>
      <c r="S59" s="11"/>
      <c r="U59" s="11"/>
    </row>
    <row r="60" spans="4:21" x14ac:dyDescent="0.3">
      <c r="D60" s="11"/>
      <c r="E60" s="11"/>
      <c r="G60" s="11"/>
      <c r="H60" s="11"/>
      <c r="L60" s="11"/>
      <c r="M60" s="11"/>
      <c r="N60" s="11"/>
      <c r="O60" s="11"/>
      <c r="Q60" s="11"/>
      <c r="R60" s="11"/>
      <c r="S60" s="11"/>
      <c r="U60" s="11"/>
    </row>
    <row r="61" spans="4:21" x14ac:dyDescent="0.3">
      <c r="D61" s="11"/>
      <c r="E61" s="11"/>
      <c r="G61" s="11"/>
      <c r="H61" s="11"/>
      <c r="L61" s="11"/>
      <c r="M61" s="11"/>
      <c r="N61" s="11"/>
      <c r="O61" s="11"/>
      <c r="Q61" s="11"/>
      <c r="R61" s="11"/>
      <c r="S61" s="11"/>
      <c r="U61" s="11"/>
    </row>
    <row r="62" spans="4:21" x14ac:dyDescent="0.3">
      <c r="D62" s="11"/>
      <c r="E62" s="11"/>
      <c r="G62" s="11"/>
      <c r="H62" s="11"/>
      <c r="L62" s="11"/>
      <c r="M62" s="11"/>
      <c r="N62" s="11"/>
      <c r="O62" s="11"/>
      <c r="Q62" s="11"/>
      <c r="R62" s="11"/>
      <c r="S62" s="11"/>
      <c r="U62" s="11"/>
    </row>
    <row r="63" spans="4:21" x14ac:dyDescent="0.3">
      <c r="D63" s="11"/>
      <c r="E63" s="11"/>
      <c r="G63" s="11"/>
      <c r="H63" s="11"/>
      <c r="L63" s="11"/>
      <c r="M63" s="11"/>
      <c r="N63" s="11"/>
      <c r="O63" s="11"/>
      <c r="Q63" s="11"/>
      <c r="R63" s="11"/>
      <c r="S63" s="11"/>
      <c r="U63" s="11"/>
    </row>
    <row r="64" spans="4:21" x14ac:dyDescent="0.3">
      <c r="D64" s="11"/>
      <c r="E64" s="11"/>
      <c r="G64" s="11"/>
      <c r="H64" s="11"/>
      <c r="L64" s="11"/>
      <c r="M64" s="11"/>
      <c r="N64" s="11"/>
      <c r="O64" s="11"/>
      <c r="Q64" s="11"/>
      <c r="R64" s="11"/>
      <c r="S64" s="11"/>
      <c r="U64" s="11"/>
    </row>
    <row r="65" spans="4:21" x14ac:dyDescent="0.3">
      <c r="D65" s="11"/>
      <c r="E65" s="11"/>
      <c r="G65" s="11"/>
      <c r="H65" s="11"/>
      <c r="L65" s="11"/>
      <c r="M65" s="11"/>
      <c r="N65" s="11"/>
      <c r="O65" s="11"/>
      <c r="Q65" s="11"/>
      <c r="R65" s="11"/>
      <c r="S65" s="11"/>
      <c r="U65" s="11"/>
    </row>
    <row r="66" spans="4:21" x14ac:dyDescent="0.3">
      <c r="D66" s="11"/>
      <c r="E66" s="11"/>
      <c r="G66" s="11"/>
      <c r="H66" s="11"/>
      <c r="L66" s="11"/>
      <c r="M66" s="11"/>
      <c r="N66" s="11"/>
      <c r="O66" s="11"/>
      <c r="Q66" s="11"/>
      <c r="R66" s="11"/>
      <c r="S66" s="11"/>
      <c r="U66" s="11"/>
    </row>
    <row r="67" spans="4:21" x14ac:dyDescent="0.3">
      <c r="D67" s="11"/>
      <c r="E67" s="11"/>
      <c r="G67" s="11"/>
      <c r="H67" s="11"/>
      <c r="L67" s="11"/>
      <c r="M67" s="11"/>
      <c r="N67" s="11"/>
      <c r="O67" s="11"/>
      <c r="Q67" s="11"/>
      <c r="R67" s="11"/>
      <c r="S67" s="11"/>
      <c r="U67" s="11"/>
    </row>
    <row r="68" spans="4:21" x14ac:dyDescent="0.3">
      <c r="D68" s="11"/>
      <c r="E68" s="11"/>
      <c r="G68" s="11"/>
      <c r="H68" s="11"/>
      <c r="L68" s="11"/>
      <c r="M68" s="11"/>
      <c r="N68" s="11"/>
      <c r="O68" s="11"/>
      <c r="Q68" s="11"/>
      <c r="R68" s="11"/>
      <c r="S68" s="11"/>
      <c r="U68" s="11"/>
    </row>
    <row r="69" spans="4:21" x14ac:dyDescent="0.3">
      <c r="D69" s="11"/>
      <c r="E69" s="11"/>
      <c r="G69" s="11"/>
      <c r="H69" s="11"/>
      <c r="L69" s="11"/>
      <c r="M69" s="11"/>
      <c r="N69" s="11"/>
      <c r="O69" s="11"/>
      <c r="Q69" s="11"/>
      <c r="R69" s="11"/>
      <c r="S69" s="11"/>
      <c r="U69" s="11"/>
    </row>
    <row r="70" spans="4:21" x14ac:dyDescent="0.3">
      <c r="D70" s="11"/>
      <c r="E70" s="11"/>
      <c r="G70" s="11"/>
      <c r="H70" s="11"/>
      <c r="L70" s="11"/>
      <c r="M70" s="11"/>
      <c r="N70" s="11"/>
      <c r="O70" s="11"/>
      <c r="Q70" s="11"/>
      <c r="R70" s="11"/>
      <c r="S70" s="11"/>
      <c r="U70" s="11"/>
    </row>
    <row r="71" spans="4:21" x14ac:dyDescent="0.3">
      <c r="D71" s="11"/>
      <c r="E71" s="11"/>
      <c r="G71" s="11"/>
      <c r="H71" s="11"/>
      <c r="L71" s="11"/>
      <c r="M71" s="11"/>
      <c r="N71" s="11"/>
      <c r="O71" s="11"/>
      <c r="Q71" s="11"/>
      <c r="R71" s="11"/>
      <c r="S71" s="11"/>
      <c r="U71" s="11"/>
    </row>
    <row r="72" spans="4:21" x14ac:dyDescent="0.3">
      <c r="D72" s="11"/>
      <c r="E72" s="11"/>
      <c r="G72" s="11"/>
      <c r="H72" s="11"/>
      <c r="L72" s="11"/>
      <c r="M72" s="11"/>
      <c r="N72" s="11"/>
      <c r="O72" s="11"/>
      <c r="Q72" s="11"/>
      <c r="R72" s="11"/>
      <c r="S72" s="11"/>
      <c r="U72" s="11"/>
    </row>
    <row r="73" spans="4:21" x14ac:dyDescent="0.3">
      <c r="D73" s="11"/>
      <c r="E73" s="11"/>
      <c r="G73" s="11"/>
      <c r="H73" s="11"/>
      <c r="L73" s="11"/>
      <c r="M73" s="11"/>
      <c r="N73" s="11"/>
      <c r="O73" s="11"/>
      <c r="Q73" s="11"/>
      <c r="R73" s="11"/>
      <c r="S73" s="11"/>
      <c r="U73" s="11"/>
    </row>
    <row r="74" spans="4:21" x14ac:dyDescent="0.3">
      <c r="D74" s="11"/>
      <c r="E74" s="11"/>
      <c r="G74" s="11"/>
      <c r="H74" s="11"/>
      <c r="L74" s="11"/>
      <c r="M74" s="11"/>
      <c r="N74" s="11"/>
      <c r="O74" s="11"/>
      <c r="Q74" s="11"/>
      <c r="R74" s="11"/>
      <c r="S74" s="11"/>
      <c r="U74" s="11"/>
    </row>
    <row r="75" spans="4:21" x14ac:dyDescent="0.3">
      <c r="D75" s="11"/>
      <c r="E75" s="11"/>
      <c r="G75" s="11"/>
      <c r="H75" s="11"/>
      <c r="L75" s="11"/>
      <c r="M75" s="11"/>
      <c r="N75" s="11"/>
      <c r="O75" s="11"/>
      <c r="Q75" s="11"/>
      <c r="R75" s="11"/>
      <c r="S75" s="11"/>
      <c r="U75" s="11"/>
    </row>
    <row r="76" spans="4:21" x14ac:dyDescent="0.3">
      <c r="D76" s="11"/>
      <c r="E76" s="11"/>
      <c r="G76" s="11"/>
      <c r="H76" s="11"/>
      <c r="L76" s="11"/>
      <c r="M76" s="11"/>
      <c r="N76" s="11"/>
      <c r="O76" s="11"/>
      <c r="Q76" s="11"/>
      <c r="R76" s="11"/>
      <c r="S76" s="11"/>
      <c r="U76" s="1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C5"/>
  <sheetViews>
    <sheetView showGridLines="0" zoomScale="85" zoomScaleNormal="85" workbookViewId="0"/>
  </sheetViews>
  <sheetFormatPr defaultColWidth="11.44140625" defaultRowHeight="14.4" x14ac:dyDescent="0.3"/>
  <cols>
    <col min="1" max="2" width="11.21875" bestFit="1" customWidth="1"/>
    <col min="3" max="3" width="18.77734375" bestFit="1" customWidth="1"/>
    <col min="5" max="5" width="14.44140625" bestFit="1" customWidth="1"/>
    <col min="6" max="6" width="9.21875" bestFit="1" customWidth="1"/>
  </cols>
  <sheetData>
    <row r="1" spans="1:3" x14ac:dyDescent="0.3">
      <c r="A1" t="s">
        <v>43</v>
      </c>
      <c r="B1" t="s">
        <v>42</v>
      </c>
      <c r="C1" t="s">
        <v>6</v>
      </c>
    </row>
    <row r="2" spans="1:3" x14ac:dyDescent="0.3">
      <c r="C2" t="s">
        <v>41</v>
      </c>
    </row>
    <row r="3" spans="1:3" x14ac:dyDescent="0.3">
      <c r="A3" t="s">
        <v>33</v>
      </c>
      <c r="B3" t="s">
        <v>40</v>
      </c>
      <c r="C3" t="s">
        <v>39</v>
      </c>
    </row>
    <row r="4" spans="1:3" x14ac:dyDescent="0.3">
      <c r="A4" t="s">
        <v>38</v>
      </c>
      <c r="B4" t="s">
        <v>37</v>
      </c>
      <c r="C4" t="s">
        <v>36</v>
      </c>
    </row>
    <row r="5" spans="1:3" x14ac:dyDescent="0.3">
      <c r="A5" t="s">
        <v>32</v>
      </c>
      <c r="B5" t="s">
        <v>35</v>
      </c>
      <c r="C5" t="s">
        <v>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8080"/>
  </sheetPr>
  <dimension ref="A1:D1"/>
  <sheetViews>
    <sheetView workbookViewId="0"/>
  </sheetViews>
  <sheetFormatPr defaultRowHeight="14.4" x14ac:dyDescent="0.3"/>
  <cols>
    <col min="1" max="1" width="14.5546875" customWidth="1"/>
    <col min="2" max="2" width="16" customWidth="1"/>
    <col min="3" max="3" width="9.88671875" customWidth="1"/>
    <col min="4" max="4" width="14.21875" customWidth="1"/>
  </cols>
  <sheetData>
    <row r="1" spans="1:4" x14ac:dyDescent="0.3">
      <c r="A1" t="s">
        <v>197</v>
      </c>
      <c r="B1" t="s">
        <v>198</v>
      </c>
      <c r="C1" t="s">
        <v>199</v>
      </c>
      <c r="D1" t="s">
        <v>200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8080"/>
  </sheetPr>
  <dimension ref="A1:D1"/>
  <sheetViews>
    <sheetView workbookViewId="0"/>
  </sheetViews>
  <sheetFormatPr defaultRowHeight="14.4" x14ac:dyDescent="0.3"/>
  <cols>
    <col min="1" max="1" width="14.5546875" bestFit="1" customWidth="1"/>
    <col min="2" max="2" width="16" bestFit="1" customWidth="1"/>
    <col min="3" max="3" width="9.88671875" bestFit="1" customWidth="1"/>
    <col min="4" max="4" width="14.21875" bestFit="1" customWidth="1"/>
  </cols>
  <sheetData>
    <row r="1" spans="1:4" x14ac:dyDescent="0.3">
      <c r="A1" t="s">
        <v>197</v>
      </c>
      <c r="B1" t="s">
        <v>198</v>
      </c>
      <c r="C1" t="s">
        <v>199</v>
      </c>
      <c r="D1" t="s">
        <v>200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1">
    <tabColor rgb="FFFF8080"/>
  </sheetPr>
  <dimension ref="A1:G10"/>
  <sheetViews>
    <sheetView showGridLines="0" zoomScale="85" zoomScaleNormal="85" workbookViewId="0"/>
  </sheetViews>
  <sheetFormatPr defaultColWidth="11.44140625" defaultRowHeight="14.4" x14ac:dyDescent="0.3"/>
  <cols>
    <col min="1" max="1" width="17.21875" customWidth="1"/>
    <col min="2" max="2" width="13.21875" customWidth="1"/>
    <col min="3" max="3" width="11.77734375" customWidth="1"/>
    <col min="4" max="4" width="5.21875" customWidth="1"/>
    <col min="5" max="5" width="15.5546875" customWidth="1"/>
    <col min="6" max="6" width="8" customWidth="1"/>
    <col min="7" max="7" width="34.5546875" bestFit="1" customWidth="1"/>
    <col min="8" max="8" width="4" customWidth="1"/>
    <col min="9" max="9" width="8.21875" customWidth="1"/>
    <col min="10" max="10" width="10.21875" customWidth="1"/>
    <col min="11" max="11" width="13.5546875" bestFit="1" customWidth="1"/>
    <col min="12" max="12" width="3" customWidth="1"/>
    <col min="13" max="13" width="8.21875" customWidth="1"/>
    <col min="14" max="14" width="12.77734375" customWidth="1"/>
    <col min="15" max="15" width="22.44140625" bestFit="1" customWidth="1"/>
  </cols>
  <sheetData>
    <row r="1" spans="1:7" ht="23.4" x14ac:dyDescent="0.45">
      <c r="A1" s="8" t="s">
        <v>5</v>
      </c>
    </row>
    <row r="4" spans="1:7" x14ac:dyDescent="0.3">
      <c r="A4" s="16" t="s">
        <v>7</v>
      </c>
      <c r="B4" s="17" t="s">
        <v>9</v>
      </c>
      <c r="C4" s="18" t="s">
        <v>8</v>
      </c>
      <c r="E4" s="7"/>
      <c r="F4" s="9"/>
      <c r="G4" s="7"/>
    </row>
    <row r="5" spans="1:7" x14ac:dyDescent="0.3">
      <c r="A5" t="s">
        <v>31</v>
      </c>
      <c r="B5" s="6"/>
      <c r="C5" t="str">
        <f>IFERROR(VLOOKUP(MaterialPrice,#REF!,2,FALSE),"")</f>
        <v/>
      </c>
      <c r="E5" s="2"/>
    </row>
    <row r="6" spans="1:7" x14ac:dyDescent="0.3">
      <c r="A6" t="s">
        <v>30</v>
      </c>
      <c r="B6" s="6" t="s">
        <v>45</v>
      </c>
      <c r="C6" t="str">
        <f>IFERROR(VLOOKUP(ProductHierarchy,#REF!,2,FALSE),"")</f>
        <v/>
      </c>
      <c r="E6" s="2"/>
    </row>
    <row r="7" spans="1:7" x14ac:dyDescent="0.3">
      <c r="A7" t="s">
        <v>29</v>
      </c>
      <c r="B7" s="6" t="s">
        <v>46</v>
      </c>
      <c r="C7" t="str">
        <f>IFERROR(VLOOKUP(CustomerHierarchy,#REF!,2,FALSE),"")</f>
        <v/>
      </c>
      <c r="E7" s="2"/>
    </row>
    <row r="8" spans="1:7" x14ac:dyDescent="0.3">
      <c r="A8" t="s">
        <v>28</v>
      </c>
      <c r="B8" s="6" t="s">
        <v>82</v>
      </c>
      <c r="C8" t="str">
        <f t="shared" ref="C8:C10" si="0">B8</f>
        <v>Gross</v>
      </c>
    </row>
    <row r="9" spans="1:7" x14ac:dyDescent="0.3">
      <c r="A9" t="s">
        <v>27</v>
      </c>
      <c r="B9" s="6">
        <v>1</v>
      </c>
      <c r="C9">
        <f t="shared" si="0"/>
        <v>1</v>
      </c>
    </row>
    <row r="10" spans="1:7" x14ac:dyDescent="0.3">
      <c r="A10" t="s">
        <v>4</v>
      </c>
      <c r="B10" s="6" t="s">
        <v>83</v>
      </c>
      <c r="C10" t="str">
        <f t="shared" si="0"/>
        <v>Default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B9"/>
  <sheetViews>
    <sheetView showGridLines="0" zoomScale="85" zoomScaleNormal="85" workbookViewId="0">
      <selection activeCell="B7" sqref="B7"/>
    </sheetView>
  </sheetViews>
  <sheetFormatPr defaultColWidth="11.44140625" defaultRowHeight="14.4" x14ac:dyDescent="0.3"/>
  <cols>
    <col min="1" max="1" width="13.21875" bestFit="1" customWidth="1"/>
    <col min="2" max="2" width="42.21875" bestFit="1" customWidth="1"/>
  </cols>
  <sheetData>
    <row r="1" spans="1:2" ht="23.4" x14ac:dyDescent="0.45">
      <c r="A1" s="8" t="s">
        <v>44</v>
      </c>
    </row>
    <row r="4" spans="1:2" x14ac:dyDescent="0.3">
      <c r="A4" t="s">
        <v>1</v>
      </c>
      <c r="B4" s="21"/>
    </row>
    <row r="5" spans="1:2" x14ac:dyDescent="0.3">
      <c r="A5" t="s">
        <v>0</v>
      </c>
      <c r="B5" s="21" t="s">
        <v>162</v>
      </c>
    </row>
    <row r="6" spans="1:2" x14ac:dyDescent="0.3">
      <c r="A6" t="s">
        <v>10</v>
      </c>
      <c r="B6" s="21" t="s">
        <v>210</v>
      </c>
    </row>
    <row r="7" spans="1:2" x14ac:dyDescent="0.3">
      <c r="A7" t="s">
        <v>11</v>
      </c>
      <c r="B7" s="21" t="s">
        <v>84</v>
      </c>
    </row>
    <row r="8" spans="1:2" x14ac:dyDescent="0.3">
      <c r="A8" t="s">
        <v>47</v>
      </c>
      <c r="B8" s="21" t="s">
        <v>162</v>
      </c>
    </row>
    <row r="9" spans="1:2" x14ac:dyDescent="0.3">
      <c r="A9" t="s">
        <v>88</v>
      </c>
      <c r="B9" s="6" t="s">
        <v>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B2:K66"/>
  <sheetViews>
    <sheetView showGridLines="0" showRowColHeaders="0" tabSelected="1" zoomScale="85" zoomScaleNormal="85" workbookViewId="0">
      <selection activeCell="C4" sqref="C4"/>
    </sheetView>
  </sheetViews>
  <sheetFormatPr defaultColWidth="11" defaultRowHeight="15.6" x14ac:dyDescent="0.3"/>
  <cols>
    <col min="1" max="1" width="4.44140625" style="2" customWidth="1"/>
    <col min="2" max="3" width="11" style="4"/>
    <col min="4" max="16384" width="11" style="2"/>
  </cols>
  <sheetData>
    <row r="2" spans="2:11" ht="17.399999999999999" x14ac:dyDescent="0.3">
      <c r="K2" s="3"/>
    </row>
    <row r="5" spans="2:11" x14ac:dyDescent="0.3">
      <c r="E5" s="4" t="s">
        <v>189</v>
      </c>
    </row>
    <row r="9" spans="2:11" ht="21" x14ac:dyDescent="0.4">
      <c r="B9" s="5" t="s">
        <v>90</v>
      </c>
      <c r="J9" s="13"/>
      <c r="K9" s="13" t="s">
        <v>91</v>
      </c>
    </row>
    <row r="10" spans="2:11" x14ac:dyDescent="0.3">
      <c r="B10" s="19" t="s">
        <v>163</v>
      </c>
    </row>
    <row r="11" spans="2:11" x14ac:dyDescent="0.3">
      <c r="B11" s="19" t="s">
        <v>164</v>
      </c>
    </row>
    <row r="13" spans="2:11" x14ac:dyDescent="0.3">
      <c r="B13" s="19" t="s">
        <v>89</v>
      </c>
    </row>
    <row r="15" spans="2:11" x14ac:dyDescent="0.3">
      <c r="B15" s="19" t="s">
        <v>165</v>
      </c>
    </row>
    <row r="16" spans="2:11" x14ac:dyDescent="0.3">
      <c r="B16" s="19" t="s">
        <v>166</v>
      </c>
    </row>
    <row r="18" spans="2:2" x14ac:dyDescent="0.3">
      <c r="B18" s="19"/>
    </row>
    <row r="19" spans="2:2" x14ac:dyDescent="0.3">
      <c r="B19" s="19"/>
    </row>
    <row r="21" spans="2:2" x14ac:dyDescent="0.3">
      <c r="B21" s="38" t="s">
        <v>181</v>
      </c>
    </row>
    <row r="22" spans="2:2" x14ac:dyDescent="0.3">
      <c r="B22" s="39" t="s">
        <v>182</v>
      </c>
    </row>
    <row r="23" spans="2:2" x14ac:dyDescent="0.3">
      <c r="B23" s="39" t="s">
        <v>183</v>
      </c>
    </row>
    <row r="24" spans="2:2" x14ac:dyDescent="0.3">
      <c r="B24" s="39" t="s">
        <v>184</v>
      </c>
    </row>
    <row r="25" spans="2:2" x14ac:dyDescent="0.3">
      <c r="B25" s="39" t="s">
        <v>185</v>
      </c>
    </row>
    <row r="26" spans="2:2" x14ac:dyDescent="0.3">
      <c r="B26" s="22"/>
    </row>
    <row r="29" spans="2:2" x14ac:dyDescent="0.3">
      <c r="B29" s="39" t="s">
        <v>186</v>
      </c>
    </row>
    <row r="30" spans="2:2" x14ac:dyDescent="0.3">
      <c r="B30" s="39" t="s">
        <v>187</v>
      </c>
    </row>
    <row r="66" spans="2:2" x14ac:dyDescent="0.3">
      <c r="B66" s="39" t="s">
        <v>188</v>
      </c>
    </row>
  </sheetData>
  <sheetProtection password="CB87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  <pageSetUpPr fitToPage="1"/>
  </sheetPr>
  <dimension ref="A1:S138"/>
  <sheetViews>
    <sheetView showGridLines="0" showZeros="0" zoomScale="85" workbookViewId="0">
      <pane xSplit="3" ySplit="10" topLeftCell="D11" activePane="bottomRight" state="frozen"/>
      <selection activeCell="D14" sqref="D14"/>
      <selection pane="topRight" activeCell="D14" sqref="D14"/>
      <selection pane="bottomLeft" activeCell="D14" sqref="D14"/>
      <selection pane="bottomRight" activeCell="D11" sqref="D11"/>
    </sheetView>
  </sheetViews>
  <sheetFormatPr defaultColWidth="11.44140625" defaultRowHeight="13.2" x14ac:dyDescent="0.25"/>
  <cols>
    <col min="1" max="1" width="13.44140625" style="23" customWidth="1"/>
    <col min="2" max="2" width="16.21875" style="23" customWidth="1"/>
    <col min="3" max="3" width="9" style="23" customWidth="1"/>
    <col min="4" max="4" width="18.21875" style="23" customWidth="1"/>
    <col min="5" max="5" width="15.88671875" style="23" customWidth="1"/>
    <col min="6" max="6" width="11" style="23" customWidth="1"/>
    <col min="7" max="7" width="12.21875" style="23" customWidth="1"/>
    <col min="8" max="8" width="12.77734375" style="23" customWidth="1"/>
    <col min="9" max="9" width="7.77734375" style="23" customWidth="1"/>
    <col min="10" max="10" width="10.21875" style="23" customWidth="1"/>
    <col min="11" max="11" width="11.109375" style="23" bestFit="1" customWidth="1"/>
    <col min="12" max="12" width="23.33203125" style="23" customWidth="1"/>
    <col min="13" max="13" width="7" style="23" customWidth="1"/>
    <col min="14" max="14" width="17.33203125" style="23" bestFit="1" customWidth="1"/>
    <col min="15" max="15" width="17" style="23" customWidth="1"/>
    <col min="16" max="16" width="10.5546875" style="23" customWidth="1"/>
    <col min="17" max="17" width="17" style="23" customWidth="1"/>
    <col min="18" max="19" width="16.33203125" style="23" customWidth="1"/>
    <col min="20" max="20" width="4.21875" style="23" customWidth="1"/>
    <col min="21" max="21" width="10.21875" style="23" customWidth="1"/>
    <col min="22" max="22" width="4.21875" style="23" customWidth="1"/>
    <col min="23" max="23" width="5.77734375" style="23" customWidth="1"/>
    <col min="24" max="24" width="12.44140625" style="23" customWidth="1"/>
    <col min="25" max="25" width="20.5546875" style="23" customWidth="1"/>
    <col min="26" max="26" width="15.77734375" style="23" customWidth="1"/>
    <col min="27" max="27" width="24.5546875" style="23" customWidth="1"/>
    <col min="28" max="28" width="9.77734375" style="23" customWidth="1"/>
    <col min="29" max="29" width="15.77734375" style="23" customWidth="1"/>
    <col min="30" max="30" width="25" style="23" customWidth="1"/>
    <col min="31" max="31" width="9.77734375" style="23" customWidth="1"/>
    <col min="32" max="32" width="15.77734375" style="23" customWidth="1"/>
    <col min="33" max="33" width="29.77734375" style="23" customWidth="1"/>
    <col min="34" max="34" width="9.77734375" style="23" customWidth="1"/>
    <col min="35" max="35" width="15.77734375" style="23" customWidth="1"/>
    <col min="36" max="36" width="26.77734375" style="23" customWidth="1"/>
    <col min="37" max="37" width="9.77734375" style="23" customWidth="1"/>
    <col min="38" max="38" width="15.77734375" style="23" customWidth="1"/>
    <col min="39" max="39" width="31.21875" style="23" customWidth="1"/>
    <col min="40" max="40" width="9.5546875" style="23" customWidth="1"/>
    <col min="41" max="41" width="15.77734375" style="23" customWidth="1"/>
    <col min="42" max="42" width="26.77734375" style="23" customWidth="1"/>
    <col min="43" max="43" width="9.77734375" style="23" customWidth="1"/>
    <col min="44" max="44" width="15.77734375" style="23" customWidth="1"/>
    <col min="45" max="45" width="31.77734375" style="23" customWidth="1"/>
    <col min="46" max="46" width="9.5546875" style="23" customWidth="1"/>
    <col min="47" max="47" width="15.77734375" style="23" customWidth="1"/>
    <col min="48" max="48" width="26.77734375" style="23" customWidth="1"/>
    <col min="49" max="49" width="9.77734375" style="23" customWidth="1"/>
    <col min="50" max="50" width="15.77734375" style="23" customWidth="1"/>
    <col min="51" max="51" width="30.5546875" style="23" customWidth="1"/>
    <col min="52" max="52" width="9.5546875" style="23" customWidth="1"/>
    <col min="53" max="53" width="15.77734375" style="23" customWidth="1"/>
    <col min="54" max="54" width="25.77734375" style="23" customWidth="1"/>
    <col min="55" max="55" width="9.5546875" style="23" customWidth="1"/>
    <col min="56" max="56" width="15.77734375" style="23" customWidth="1"/>
    <col min="57" max="57" width="26" style="23" customWidth="1"/>
    <col min="58" max="58" width="9.77734375" style="23" customWidth="1"/>
    <col min="59" max="59" width="15.77734375" style="23" customWidth="1"/>
    <col min="60" max="60" width="31.77734375" style="23" customWidth="1"/>
    <col min="61" max="61" width="9.5546875" style="23" customWidth="1"/>
    <col min="62" max="62" width="15.77734375" style="23" customWidth="1"/>
    <col min="63" max="63" width="29.77734375" style="23" customWidth="1"/>
    <col min="64" max="64" width="9.5546875" style="23" customWidth="1"/>
    <col min="65" max="65" width="15.77734375" style="23" customWidth="1"/>
    <col min="66" max="66" width="26.44140625" style="23" customWidth="1"/>
    <col min="67" max="67" width="9.5546875" style="23" customWidth="1"/>
    <col min="68" max="68" width="15.77734375" style="23" customWidth="1"/>
    <col min="69" max="69" width="17.5546875" style="23" customWidth="1"/>
    <col min="70" max="70" width="9.77734375" style="23" customWidth="1"/>
    <col min="71" max="71" width="15.77734375" style="23" customWidth="1"/>
    <col min="72" max="72" width="16.77734375" style="23" customWidth="1"/>
    <col min="73" max="73" width="9.77734375" style="23" customWidth="1"/>
    <col min="74" max="74" width="15.77734375" style="23" customWidth="1"/>
    <col min="75" max="75" width="22.21875" style="23" customWidth="1"/>
    <col min="76" max="76" width="9.5546875" style="23" customWidth="1"/>
    <col min="77" max="77" width="15.77734375" style="23" customWidth="1"/>
    <col min="78" max="78" width="13.21875" style="23" customWidth="1"/>
    <col min="79" max="79" width="9.5546875" style="23" customWidth="1"/>
    <col min="80" max="80" width="15.77734375" style="23" customWidth="1"/>
    <col min="81" max="81" width="25.77734375" style="23" customWidth="1"/>
    <col min="82" max="82" width="9.5546875" style="23" customWidth="1"/>
    <col min="83" max="83" width="15.77734375" style="23" customWidth="1"/>
    <col min="84" max="84" width="26.77734375" style="23" customWidth="1"/>
    <col min="85" max="85" width="9.5546875" style="23" customWidth="1"/>
    <col min="86" max="86" width="15.77734375" style="23" customWidth="1"/>
    <col min="87" max="87" width="16.21875" style="23" customWidth="1"/>
    <col min="88" max="88" width="9.5546875" style="23" customWidth="1"/>
    <col min="89" max="89" width="15.77734375" style="23" customWidth="1"/>
    <col min="90" max="90" width="31.21875" style="23" customWidth="1"/>
    <col min="91" max="91" width="9.5546875" style="23" customWidth="1"/>
    <col min="92" max="92" width="15.77734375" style="23" customWidth="1"/>
    <col min="93" max="93" width="31.21875" style="23" customWidth="1"/>
    <col min="94" max="94" width="9.5546875" style="23" customWidth="1"/>
    <col min="95" max="95" width="15.77734375" style="23" customWidth="1"/>
    <col min="96" max="16384" width="11.44140625" style="23"/>
  </cols>
  <sheetData>
    <row r="1" spans="1:19" ht="30" customHeight="1" x14ac:dyDescent="0.4">
      <c r="A1" s="24"/>
    </row>
    <row r="6" spans="1:19" ht="14.4" x14ac:dyDescent="0.3">
      <c r="A6" s="41" t="s">
        <v>145</v>
      </c>
      <c r="B6" s="42" t="s">
        <v>151</v>
      </c>
    </row>
    <row r="7" spans="1:19" ht="14.4" x14ac:dyDescent="0.3">
      <c r="A7" s="41" t="s">
        <v>102</v>
      </c>
      <c r="B7" s="42" t="s">
        <v>175</v>
      </c>
    </row>
    <row r="8" spans="1:19" ht="14.4" x14ac:dyDescent="0.3">
      <c r="A8" s="41" t="s">
        <v>190</v>
      </c>
      <c r="B8" s="42" t="s">
        <v>151</v>
      </c>
    </row>
    <row r="10" spans="1:19" ht="14.4" x14ac:dyDescent="0.3">
      <c r="A10" s="1" t="s">
        <v>126</v>
      </c>
      <c r="B10" s="44" t="s">
        <v>160</v>
      </c>
      <c r="C10" s="44" t="s">
        <v>97</v>
      </c>
      <c r="D10" s="44" t="s">
        <v>111</v>
      </c>
      <c r="E10" s="44" t="s">
        <v>112</v>
      </c>
      <c r="F10" s="44" t="s">
        <v>98</v>
      </c>
      <c r="G10" s="44" t="s">
        <v>95</v>
      </c>
      <c r="H10" s="44" t="s">
        <v>103</v>
      </c>
      <c r="I10" s="44" t="s">
        <v>146</v>
      </c>
      <c r="J10" s="44" t="s">
        <v>177</v>
      </c>
      <c r="K10" s="44" t="s">
        <v>2</v>
      </c>
      <c r="L10" s="44" t="s">
        <v>213</v>
      </c>
      <c r="M10" s="44" t="s">
        <v>192</v>
      </c>
      <c r="N10" s="72" t="s">
        <v>204</v>
      </c>
      <c r="O10" s="48" t="s">
        <v>206</v>
      </c>
      <c r="P10" s="48" t="s">
        <v>171</v>
      </c>
      <c r="Q10" s="48" t="s">
        <v>205</v>
      </c>
      <c r="R10" s="49" t="s">
        <v>207</v>
      </c>
      <c r="S10"/>
    </row>
    <row r="11" spans="1:19" ht="14.4" x14ac:dyDescent="0.3">
      <c r="A11" s="25" t="s">
        <v>161</v>
      </c>
      <c r="B11" s="45" t="s">
        <v>209</v>
      </c>
      <c r="C11" s="40" t="s">
        <v>129</v>
      </c>
      <c r="D11" s="45" t="s">
        <v>143</v>
      </c>
      <c r="E11" s="40" t="s">
        <v>195</v>
      </c>
      <c r="F11" s="46">
        <v>0.29166666666666669</v>
      </c>
      <c r="G11" s="43">
        <v>0.32339120370370372</v>
      </c>
      <c r="H11" s="45" t="s">
        <v>174</v>
      </c>
      <c r="I11" s="40" t="s">
        <v>191</v>
      </c>
      <c r="J11" s="45" t="s">
        <v>180</v>
      </c>
      <c r="K11" s="40">
        <v>69362</v>
      </c>
      <c r="L11" s="45" t="s">
        <v>142</v>
      </c>
      <c r="M11" s="40" t="s">
        <v>180</v>
      </c>
      <c r="N11" s="70">
        <v>2625.36</v>
      </c>
      <c r="O11" s="52">
        <v>2625.36</v>
      </c>
      <c r="P11" s="52">
        <v>0</v>
      </c>
      <c r="Q11" s="52">
        <v>2624.1</v>
      </c>
      <c r="R11" s="62">
        <v>437.56</v>
      </c>
      <c r="S11"/>
    </row>
    <row r="12" spans="1:19" ht="14.4" x14ac:dyDescent="0.3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71"/>
      <c r="O12" s="57"/>
      <c r="P12" s="57"/>
      <c r="Q12" s="57"/>
      <c r="R12" s="64"/>
      <c r="S12"/>
    </row>
    <row r="13" spans="1:19" ht="15" thickBot="1" x14ac:dyDescent="0.35">
      <c r="A13" s="26" t="s">
        <v>81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37">
        <v>2625.36</v>
      </c>
      <c r="O13" s="37">
        <v>2625.36</v>
      </c>
      <c r="P13" s="37">
        <v>0</v>
      </c>
      <c r="Q13" s="37">
        <v>2624.1</v>
      </c>
      <c r="R13" s="63">
        <v>437.56</v>
      </c>
      <c r="S13"/>
    </row>
    <row r="14" spans="1:19" ht="15" thickTop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</row>
    <row r="15" spans="1:19" ht="15" thickTop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1:19" ht="14.4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 ht="14.4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 ht="14.4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 ht="14.4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ht="14.4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ht="14.4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ht="14.4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ht="14.4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ht="14.4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ht="14.4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ht="14.4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ht="14.4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ht="14.4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ht="14.4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ht="14.4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 ht="14.4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 ht="14.4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ht="14.4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 ht="14.4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 ht="14.4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 ht="14.4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 ht="14.4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ht="14.4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 ht="14.4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 ht="14.4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 ht="14.4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 ht="14.4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 ht="14.4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 ht="14.4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 ht="14.4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 ht="14.4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 ht="14.4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 ht="14.4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 ht="14.4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 ht="14.4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 ht="14.4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 ht="14.4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 ht="14.4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 ht="14.4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 ht="14.4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ht="14.4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ht="14.4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ht="14.4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ht="14.4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ht="14.4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ht="14.4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ht="14.4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ht="14.4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ht="14.4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4.4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4.4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4.4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4.4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4.4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4.4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4.4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4.4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4.4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4.4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4.4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4.4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4.4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4.4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4.4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4.4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4.4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4.4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4.4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4.4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4.4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4.4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4.4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4.4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4.4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4.4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4.4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4.4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4.4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4.4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4.4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4.4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4.4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4.4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4.4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4.4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4.4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4.4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4.4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4.4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4.4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4.4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4.4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4.4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4.4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4.4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4.4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4.4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4.4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4.4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4.4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4.4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4.4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4.4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4.4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4.4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4.4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4.4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4.4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4.4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4.4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4.4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4.4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4.4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4.4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4.4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4.4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4.4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4.4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4.4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4.4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4.4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4.4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4.4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</sheetData>
  <sheetProtection pivotTables="0"/>
  <pageMargins left="0.78740157499999996" right="0.78740157499999996" top="0.984251969" bottom="0.984251969" header="0.5" footer="0.5"/>
  <pageSetup paperSize="9" scale="53" fitToHeight="0" orientation="portrait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>
    <tabColor rgb="FFC00000"/>
    <pageSetUpPr fitToPage="1"/>
  </sheetPr>
  <dimension ref="A1:R139"/>
  <sheetViews>
    <sheetView showGridLines="0" showZeros="0" zoomScale="85" workbookViewId="0">
      <pane xSplit="3" ySplit="10" topLeftCell="D11" activePane="bottomRight" state="frozen"/>
      <selection activeCell="D14" sqref="D14"/>
      <selection pane="topRight" activeCell="D14" sqref="D14"/>
      <selection pane="bottomLeft" activeCell="D14" sqref="D14"/>
      <selection pane="bottomRight" activeCell="D11" sqref="D11"/>
    </sheetView>
  </sheetViews>
  <sheetFormatPr defaultColWidth="11.44140625" defaultRowHeight="13.2" x14ac:dyDescent="0.25"/>
  <cols>
    <col min="1" max="1" width="13.44140625" style="23" bestFit="1" customWidth="1"/>
    <col min="2" max="2" width="16.21875" style="23" bestFit="1" customWidth="1"/>
    <col min="3" max="3" width="9" style="23" customWidth="1"/>
    <col min="4" max="4" width="18.21875" style="23" customWidth="1"/>
    <col min="5" max="5" width="11.5546875" style="23" customWidth="1"/>
    <col min="6" max="6" width="11" style="23" customWidth="1"/>
    <col min="7" max="7" width="12.21875" style="23" bestFit="1" customWidth="1"/>
    <col min="8" max="8" width="12.77734375" style="23" bestFit="1" customWidth="1"/>
    <col min="9" max="9" width="7.77734375" style="23" customWidth="1"/>
    <col min="10" max="10" width="35.21875" style="23" customWidth="1"/>
    <col min="11" max="11" width="7" style="23" customWidth="1"/>
    <col min="12" max="12" width="11" style="23" customWidth="1"/>
    <col min="13" max="14" width="10.5546875" style="23" customWidth="1"/>
    <col min="15" max="15" width="9.6640625" style="23" customWidth="1"/>
    <col min="16" max="16" width="11" style="23" customWidth="1"/>
    <col min="17" max="17" width="4.21875" style="23" customWidth="1"/>
    <col min="18" max="18" width="12.44140625" style="23" customWidth="1"/>
    <col min="19" max="20" width="4.21875" style="23" customWidth="1"/>
    <col min="21" max="21" width="10.21875" style="23" customWidth="1"/>
    <col min="22" max="22" width="4.21875" style="23" customWidth="1"/>
    <col min="23" max="23" width="5.77734375" style="23" customWidth="1"/>
    <col min="24" max="24" width="12.44140625" style="23" customWidth="1"/>
    <col min="25" max="25" width="20.5546875" style="23" customWidth="1"/>
    <col min="26" max="26" width="15.77734375" style="23" customWidth="1"/>
    <col min="27" max="27" width="24.5546875" style="23" customWidth="1"/>
    <col min="28" max="28" width="9.77734375" style="23" customWidth="1"/>
    <col min="29" max="29" width="15.77734375" style="23" customWidth="1"/>
    <col min="30" max="30" width="25" style="23" customWidth="1"/>
    <col min="31" max="31" width="9.77734375" style="23" customWidth="1"/>
    <col min="32" max="32" width="15.77734375" style="23" customWidth="1"/>
    <col min="33" max="33" width="29.77734375" style="23" customWidth="1"/>
    <col min="34" max="34" width="9.77734375" style="23" customWidth="1"/>
    <col min="35" max="35" width="15.77734375" style="23" customWidth="1"/>
    <col min="36" max="36" width="26.77734375" style="23" customWidth="1"/>
    <col min="37" max="37" width="9.77734375" style="23" customWidth="1"/>
    <col min="38" max="38" width="15.77734375" style="23" customWidth="1"/>
    <col min="39" max="39" width="31.21875" style="23" customWidth="1"/>
    <col min="40" max="40" width="9.5546875" style="23" customWidth="1"/>
    <col min="41" max="41" width="15.77734375" style="23" customWidth="1"/>
    <col min="42" max="42" width="26.77734375" style="23" customWidth="1"/>
    <col min="43" max="43" width="9.77734375" style="23" customWidth="1"/>
    <col min="44" max="44" width="15.77734375" style="23" customWidth="1"/>
    <col min="45" max="45" width="31.77734375" style="23" customWidth="1"/>
    <col min="46" max="46" width="9.5546875" style="23" customWidth="1"/>
    <col min="47" max="47" width="15.77734375" style="23" customWidth="1"/>
    <col min="48" max="48" width="26.77734375" style="23" customWidth="1"/>
    <col min="49" max="49" width="9.77734375" style="23" customWidth="1"/>
    <col min="50" max="50" width="15.77734375" style="23" customWidth="1"/>
    <col min="51" max="51" width="30.5546875" style="23" customWidth="1"/>
    <col min="52" max="52" width="9.5546875" style="23" customWidth="1"/>
    <col min="53" max="53" width="15.77734375" style="23" customWidth="1"/>
    <col min="54" max="54" width="25.77734375" style="23" customWidth="1"/>
    <col min="55" max="55" width="9.5546875" style="23" customWidth="1"/>
    <col min="56" max="56" width="15.77734375" style="23" customWidth="1"/>
    <col min="57" max="57" width="26" style="23" customWidth="1"/>
    <col min="58" max="58" width="9.77734375" style="23" customWidth="1"/>
    <col min="59" max="59" width="15.77734375" style="23" customWidth="1"/>
    <col min="60" max="60" width="31.77734375" style="23" customWidth="1"/>
    <col min="61" max="61" width="9.5546875" style="23" customWidth="1"/>
    <col min="62" max="62" width="15.77734375" style="23" customWidth="1"/>
    <col min="63" max="63" width="29.77734375" style="23" customWidth="1"/>
    <col min="64" max="64" width="9.5546875" style="23" customWidth="1"/>
    <col min="65" max="65" width="15.77734375" style="23" customWidth="1"/>
    <col min="66" max="66" width="26.44140625" style="23" customWidth="1"/>
    <col min="67" max="67" width="9.5546875" style="23" customWidth="1"/>
    <col min="68" max="68" width="15.77734375" style="23" customWidth="1"/>
    <col min="69" max="69" width="17.5546875" style="23" customWidth="1"/>
    <col min="70" max="70" width="9.77734375" style="23" customWidth="1"/>
    <col min="71" max="71" width="15.77734375" style="23" customWidth="1"/>
    <col min="72" max="72" width="16.77734375" style="23" customWidth="1"/>
    <col min="73" max="73" width="9.77734375" style="23" customWidth="1"/>
    <col min="74" max="74" width="15.77734375" style="23" customWidth="1"/>
    <col min="75" max="75" width="22.21875" style="23" customWidth="1"/>
    <col min="76" max="76" width="9.5546875" style="23" customWidth="1"/>
    <col min="77" max="77" width="15.77734375" style="23" customWidth="1"/>
    <col min="78" max="78" width="13.21875" style="23" customWidth="1"/>
    <col min="79" max="79" width="9.5546875" style="23" customWidth="1"/>
    <col min="80" max="80" width="15.77734375" style="23" customWidth="1"/>
    <col min="81" max="81" width="25.77734375" style="23" customWidth="1"/>
    <col min="82" max="82" width="9.5546875" style="23" customWidth="1"/>
    <col min="83" max="83" width="15.77734375" style="23" customWidth="1"/>
    <col min="84" max="84" width="26.77734375" style="23" customWidth="1"/>
    <col min="85" max="85" width="9.5546875" style="23" customWidth="1"/>
    <col min="86" max="86" width="15.77734375" style="23" customWidth="1"/>
    <col min="87" max="87" width="16.21875" style="23" customWidth="1"/>
    <col min="88" max="88" width="9.5546875" style="23" customWidth="1"/>
    <col min="89" max="89" width="15.77734375" style="23" customWidth="1"/>
    <col min="90" max="90" width="31.21875" style="23" customWidth="1"/>
    <col min="91" max="91" width="9.5546875" style="23" customWidth="1"/>
    <col min="92" max="92" width="15.77734375" style="23" customWidth="1"/>
    <col min="93" max="93" width="31.21875" style="23" customWidth="1"/>
    <col min="94" max="94" width="9.5546875" style="23" customWidth="1"/>
    <col min="95" max="95" width="15.77734375" style="23" customWidth="1"/>
    <col min="96" max="16384" width="11.44140625" style="23"/>
  </cols>
  <sheetData>
    <row r="1" spans="1:18" ht="30" customHeight="1" x14ac:dyDescent="0.4">
      <c r="A1" s="24"/>
    </row>
    <row r="6" spans="1:18" ht="14.4" x14ac:dyDescent="0.3">
      <c r="A6" s="41" t="s">
        <v>145</v>
      </c>
      <c r="B6" s="42" t="s">
        <v>151</v>
      </c>
    </row>
    <row r="7" spans="1:18" ht="14.4" x14ac:dyDescent="0.3">
      <c r="A7" s="41" t="s">
        <v>102</v>
      </c>
      <c r="B7" s="42" t="s">
        <v>175</v>
      </c>
    </row>
    <row r="8" spans="1:18" ht="14.4" x14ac:dyDescent="0.3">
      <c r="A8" s="41" t="s">
        <v>190</v>
      </c>
      <c r="B8" s="42" t="s">
        <v>151</v>
      </c>
    </row>
    <row r="10" spans="1:18" ht="14.4" x14ac:dyDescent="0.3">
      <c r="A10" s="1" t="s">
        <v>126</v>
      </c>
      <c r="B10" s="44" t="s">
        <v>97</v>
      </c>
      <c r="C10" s="44" t="s">
        <v>111</v>
      </c>
      <c r="D10" s="44" t="s">
        <v>112</v>
      </c>
      <c r="E10" s="44" t="s">
        <v>98</v>
      </c>
      <c r="F10" s="44" t="s">
        <v>95</v>
      </c>
      <c r="G10" s="44" t="s">
        <v>103</v>
      </c>
      <c r="H10" s="44" t="s">
        <v>146</v>
      </c>
      <c r="I10" s="44" t="s">
        <v>177</v>
      </c>
      <c r="J10" s="44" t="s">
        <v>125</v>
      </c>
      <c r="K10" s="44" t="s">
        <v>192</v>
      </c>
      <c r="L10" s="47" t="s">
        <v>154</v>
      </c>
      <c r="M10" s="48" t="s">
        <v>155</v>
      </c>
      <c r="N10" s="48" t="s">
        <v>171</v>
      </c>
      <c r="O10" s="48" t="s">
        <v>170</v>
      </c>
      <c r="P10" s="49" t="s">
        <v>203</v>
      </c>
      <c r="Q10"/>
      <c r="R10"/>
    </row>
    <row r="11" spans="1:18" ht="14.4" x14ac:dyDescent="0.3">
      <c r="A11" s="25" t="s">
        <v>161</v>
      </c>
      <c r="B11" s="45" t="s">
        <v>129</v>
      </c>
      <c r="C11" s="40" t="s">
        <v>143</v>
      </c>
      <c r="D11" s="45" t="s">
        <v>195</v>
      </c>
      <c r="E11" s="43">
        <v>0.29166666666666669</v>
      </c>
      <c r="F11" s="46">
        <v>0.32339120370370372</v>
      </c>
      <c r="G11" s="40" t="s">
        <v>174</v>
      </c>
      <c r="H11" s="45" t="s">
        <v>191</v>
      </c>
      <c r="I11" s="40" t="s">
        <v>180</v>
      </c>
      <c r="J11" s="45" t="s">
        <v>153</v>
      </c>
      <c r="K11" s="40" t="s">
        <v>180</v>
      </c>
      <c r="L11" s="50">
        <v>2625.36</v>
      </c>
      <c r="M11" s="51">
        <v>2624.1</v>
      </c>
      <c r="N11" s="52">
        <v>0</v>
      </c>
      <c r="O11" s="65">
        <v>0.36000000000000032</v>
      </c>
      <c r="P11" s="62">
        <v>2625.36</v>
      </c>
      <c r="Q11"/>
      <c r="R11"/>
    </row>
    <row r="12" spans="1:18" ht="14.4" x14ac:dyDescent="0.3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5"/>
      <c r="M12" s="56"/>
      <c r="N12" s="57"/>
      <c r="O12" s="67"/>
      <c r="P12" s="64"/>
      <c r="Q12"/>
      <c r="R12"/>
    </row>
    <row r="13" spans="1:18" ht="15" thickBot="1" x14ac:dyDescent="0.35">
      <c r="A13" s="26" t="s">
        <v>81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32">
        <v>2625.36</v>
      </c>
      <c r="M13" s="32">
        <v>2624.1</v>
      </c>
      <c r="N13" s="37">
        <v>0</v>
      </c>
      <c r="O13" s="66">
        <v>0.36000000000000032</v>
      </c>
      <c r="P13" s="63">
        <v>2625.36</v>
      </c>
      <c r="Q13"/>
      <c r="R13"/>
    </row>
    <row r="14" spans="1:18" ht="15" thickTop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</row>
    <row r="15" spans="1:18" ht="15" thickTop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1:18" ht="14.4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 ht="14.4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 ht="14.4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 ht="14.4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ht="14.4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ht="14.4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ht="14.4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ht="15" thickBot="1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ht="15" thickTop="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ht="14.4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ht="15" thickBot="1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ht="15" thickTop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ht="14.4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ht="14.4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ht="14.4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 ht="14.4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 ht="15" thickBot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ht="15" thickTop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 ht="14.4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 ht="14.4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 ht="14.4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 ht="14.4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ht="14.4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 ht="14.4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 ht="14.4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 ht="14.4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 ht="14.4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 ht="14.4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 ht="15" thickBo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 ht="15" thickTop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 ht="14.4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 ht="14.4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 ht="14.4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 ht="14.4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 ht="14.4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 ht="14.4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 ht="14.4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 ht="14.4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 ht="15" thickBot="1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 ht="15" thickTop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ht="14.4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ht="14.4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ht="14.4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ht="14.4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ht="14.4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ht="15" thickBot="1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ht="15" thickTop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ht="14.4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ht="15" thickBo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5" thickTop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4.4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4.4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4.4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5" thickBot="1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5" thickTop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4.4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4.4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5" thickBot="1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5" thickTop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4.4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4.4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5" thickBo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5" thickTop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4.4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4.4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5" thickBot="1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5" thickTop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4.4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4.4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4.4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5" thickBot="1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5" thickTop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4.4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4.4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4.4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5" thickBot="1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5" thickTop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4.4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4.4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5" thickBot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5" thickTop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4.4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4.4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5" thickBot="1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5" thickTop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4.4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4.4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4.4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5" thickBot="1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5" thickTop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4.4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4.4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5" thickBot="1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5" thickTop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4.4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5" thickBot="1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5" thickTop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4.4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4.4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5" thickBot="1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5" thickTop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4.4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5" thickBot="1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5" thickTop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4.4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4.4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5" thickBot="1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5" thickTop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4.4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5" thickBot="1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5" thickTop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4.4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4.4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5" thickBot="1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5" thickTop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4.4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5" thickBot="1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5" thickTop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4.4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4.4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5" thickBo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5" thickTop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5" thickBo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ht="13.8" thickTop="1" x14ac:dyDescent="0.25"/>
  </sheetData>
  <sheetProtection pivotTables="0"/>
  <pageMargins left="0.78740157499999996" right="0.78740157499999996" top="0.984251969" bottom="0.984251969" header="0.5" footer="0.5"/>
  <pageSetup paperSize="9" scale="53" fitToHeight="0" orientation="portrait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1">
    <tabColor rgb="FFC00000"/>
    <pageSetUpPr fitToPage="1"/>
  </sheetPr>
  <dimension ref="A1:O77"/>
  <sheetViews>
    <sheetView showGridLines="0" showZeros="0" zoomScale="85" workbookViewId="0">
      <pane ySplit="13" topLeftCell="A14" activePane="bottomLeft" state="frozen"/>
      <selection activeCell="D14" sqref="D14"/>
      <selection pane="bottomLeft" activeCell="A14" sqref="A14"/>
    </sheetView>
  </sheetViews>
  <sheetFormatPr defaultColWidth="11.44140625" defaultRowHeight="13.2" x14ac:dyDescent="0.25"/>
  <cols>
    <col min="1" max="1" width="15.77734375" style="23" customWidth="1"/>
    <col min="2" max="2" width="16.5546875" style="23" customWidth="1"/>
    <col min="3" max="3" width="35.21875" style="23" customWidth="1"/>
    <col min="4" max="4" width="11.33203125" style="23" customWidth="1"/>
    <col min="5" max="5" width="8.5546875" style="23" customWidth="1"/>
    <col min="6" max="6" width="11.44140625" style="23" customWidth="1"/>
    <col min="7" max="9" width="10.77734375" style="23" customWidth="1"/>
    <col min="10" max="15" width="14.21875" style="23" customWidth="1"/>
    <col min="16" max="17" width="4.21875" style="23" customWidth="1"/>
    <col min="18" max="18" width="12.44140625" style="23" customWidth="1"/>
    <col min="19" max="20" width="4.21875" style="23" customWidth="1"/>
    <col min="21" max="21" width="10.21875" style="23" customWidth="1"/>
    <col min="22" max="22" width="4.21875" style="23" customWidth="1"/>
    <col min="23" max="23" width="5.77734375" style="23" customWidth="1"/>
    <col min="24" max="24" width="12.44140625" style="23" customWidth="1"/>
    <col min="25" max="25" width="20.5546875" style="23" customWidth="1"/>
    <col min="26" max="26" width="15.77734375" style="23" customWidth="1"/>
    <col min="27" max="27" width="24.5546875" style="23" customWidth="1"/>
    <col min="28" max="28" width="9.77734375" style="23" customWidth="1"/>
    <col min="29" max="29" width="15.77734375" style="23" customWidth="1"/>
    <col min="30" max="30" width="25" style="23" customWidth="1"/>
    <col min="31" max="31" width="9.77734375" style="23" customWidth="1"/>
    <col min="32" max="32" width="15.77734375" style="23" customWidth="1"/>
    <col min="33" max="33" width="29.77734375" style="23" customWidth="1"/>
    <col min="34" max="34" width="9.77734375" style="23" customWidth="1"/>
    <col min="35" max="35" width="15.77734375" style="23" customWidth="1"/>
    <col min="36" max="36" width="26.77734375" style="23" customWidth="1"/>
    <col min="37" max="37" width="9.77734375" style="23" customWidth="1"/>
    <col min="38" max="38" width="15.77734375" style="23" customWidth="1"/>
    <col min="39" max="39" width="31.21875" style="23" customWidth="1"/>
    <col min="40" max="40" width="9.5546875" style="23" customWidth="1"/>
    <col min="41" max="41" width="15.77734375" style="23" customWidth="1"/>
    <col min="42" max="42" width="26.77734375" style="23" customWidth="1"/>
    <col min="43" max="43" width="9.77734375" style="23" customWidth="1"/>
    <col min="44" max="44" width="15.77734375" style="23" customWidth="1"/>
    <col min="45" max="45" width="31.77734375" style="23" customWidth="1"/>
    <col min="46" max="46" width="9.5546875" style="23" customWidth="1"/>
    <col min="47" max="47" width="15.77734375" style="23" customWidth="1"/>
    <col min="48" max="48" width="26.77734375" style="23" customWidth="1"/>
    <col min="49" max="49" width="9.77734375" style="23" customWidth="1"/>
    <col min="50" max="50" width="15.77734375" style="23" customWidth="1"/>
    <col min="51" max="51" width="30.5546875" style="23" customWidth="1"/>
    <col min="52" max="52" width="9.5546875" style="23" customWidth="1"/>
    <col min="53" max="53" width="15.77734375" style="23" customWidth="1"/>
    <col min="54" max="54" width="25.77734375" style="23" customWidth="1"/>
    <col min="55" max="55" width="9.5546875" style="23" customWidth="1"/>
    <col min="56" max="56" width="15.77734375" style="23" customWidth="1"/>
    <col min="57" max="57" width="26" style="23" customWidth="1"/>
    <col min="58" max="58" width="9.77734375" style="23" customWidth="1"/>
    <col min="59" max="59" width="15.77734375" style="23" customWidth="1"/>
    <col min="60" max="60" width="31.77734375" style="23" customWidth="1"/>
    <col min="61" max="61" width="9.5546875" style="23" customWidth="1"/>
    <col min="62" max="62" width="15.77734375" style="23" customWidth="1"/>
    <col min="63" max="63" width="29.77734375" style="23" customWidth="1"/>
    <col min="64" max="64" width="9.5546875" style="23" customWidth="1"/>
    <col min="65" max="65" width="15.77734375" style="23" customWidth="1"/>
    <col min="66" max="66" width="26.44140625" style="23" customWidth="1"/>
    <col min="67" max="67" width="9.5546875" style="23" customWidth="1"/>
    <col min="68" max="68" width="15.77734375" style="23" customWidth="1"/>
    <col min="69" max="69" width="17.5546875" style="23" customWidth="1"/>
    <col min="70" max="70" width="9.77734375" style="23" customWidth="1"/>
    <col min="71" max="71" width="15.77734375" style="23" customWidth="1"/>
    <col min="72" max="72" width="16.77734375" style="23" customWidth="1"/>
    <col min="73" max="73" width="9.77734375" style="23" customWidth="1"/>
    <col min="74" max="74" width="15.77734375" style="23" customWidth="1"/>
    <col min="75" max="75" width="22.21875" style="23" customWidth="1"/>
    <col min="76" max="76" width="9.5546875" style="23" customWidth="1"/>
    <col min="77" max="77" width="15.77734375" style="23" customWidth="1"/>
    <col min="78" max="78" width="13.21875" style="23" customWidth="1"/>
    <col min="79" max="79" width="9.5546875" style="23" customWidth="1"/>
    <col min="80" max="80" width="15.77734375" style="23" customWidth="1"/>
    <col min="81" max="81" width="25.77734375" style="23" customWidth="1"/>
    <col min="82" max="82" width="9.5546875" style="23" customWidth="1"/>
    <col min="83" max="83" width="15.77734375" style="23" customWidth="1"/>
    <col min="84" max="84" width="26.77734375" style="23" customWidth="1"/>
    <col min="85" max="85" width="9.5546875" style="23" customWidth="1"/>
    <col min="86" max="86" width="15.77734375" style="23" customWidth="1"/>
    <col min="87" max="87" width="16.21875" style="23" customWidth="1"/>
    <col min="88" max="88" width="9.5546875" style="23" customWidth="1"/>
    <col min="89" max="89" width="15.77734375" style="23" customWidth="1"/>
    <col min="90" max="90" width="31.21875" style="23" customWidth="1"/>
    <col min="91" max="91" width="9.5546875" style="23" customWidth="1"/>
    <col min="92" max="92" width="15.77734375" style="23" customWidth="1"/>
    <col min="93" max="93" width="31.21875" style="23" customWidth="1"/>
    <col min="94" max="94" width="9.5546875" style="23" customWidth="1"/>
    <col min="95" max="95" width="15.77734375" style="23" customWidth="1"/>
    <col min="96" max="16384" width="11.44140625" style="23"/>
  </cols>
  <sheetData>
    <row r="1" spans="1:15" ht="30" customHeight="1" x14ac:dyDescent="0.4">
      <c r="A1" s="24"/>
    </row>
    <row r="2" spans="1:15" x14ac:dyDescent="0.25">
      <c r="A2" s="23">
        <f>Updated</f>
        <v>0</v>
      </c>
    </row>
    <row r="5" spans="1:15" ht="14.4" x14ac:dyDescent="0.3">
      <c r="A5"/>
      <c r="B5"/>
    </row>
    <row r="6" spans="1:15" ht="14.4" x14ac:dyDescent="0.3">
      <c r="A6" s="41" t="s">
        <v>97</v>
      </c>
      <c r="B6" s="42" t="s">
        <v>151</v>
      </c>
    </row>
    <row r="7" spans="1:15" ht="14.4" x14ac:dyDescent="0.3">
      <c r="A7" s="41" t="s">
        <v>111</v>
      </c>
      <c r="B7" s="42" t="s">
        <v>151</v>
      </c>
    </row>
    <row r="8" spans="1:15" ht="14.4" x14ac:dyDescent="0.3">
      <c r="A8" s="41" t="s">
        <v>146</v>
      </c>
      <c r="B8" s="42" t="s">
        <v>191</v>
      </c>
    </row>
    <row r="9" spans="1:15" ht="14.4" x14ac:dyDescent="0.3">
      <c r="A9" s="41" t="s">
        <v>98</v>
      </c>
      <c r="B9" s="42" t="s">
        <v>151</v>
      </c>
    </row>
    <row r="10" spans="1:15" ht="14.4" x14ac:dyDescent="0.3">
      <c r="A10" s="41" t="s">
        <v>145</v>
      </c>
      <c r="B10" s="42" t="s">
        <v>151</v>
      </c>
    </row>
    <row r="11" spans="1:15" ht="14.4" x14ac:dyDescent="0.3">
      <c r="A11" s="41" t="s">
        <v>190</v>
      </c>
      <c r="B11" s="42" t="s">
        <v>151</v>
      </c>
    </row>
    <row r="13" spans="1:15" ht="14.4" x14ac:dyDescent="0.3">
      <c r="A13" s="33" t="s">
        <v>154</v>
      </c>
      <c r="B13" s="33"/>
      <c r="C13" s="33"/>
      <c r="D13" s="33"/>
      <c r="E13" s="33" t="s">
        <v>160</v>
      </c>
      <c r="F13" s="33"/>
      <c r="G13"/>
      <c r="H13"/>
      <c r="I13"/>
      <c r="J13"/>
      <c r="K13"/>
      <c r="L13"/>
      <c r="M13"/>
      <c r="N13"/>
      <c r="O13"/>
    </row>
    <row r="14" spans="1:15" ht="14.4" x14ac:dyDescent="0.3">
      <c r="A14" s="1" t="s">
        <v>126</v>
      </c>
      <c r="B14" s="44" t="s">
        <v>112</v>
      </c>
      <c r="C14" s="44" t="s">
        <v>125</v>
      </c>
      <c r="D14" s="44" t="s">
        <v>103</v>
      </c>
      <c r="E14" s="47" t="s">
        <v>209</v>
      </c>
      <c r="F14" s="59" t="s">
        <v>81</v>
      </c>
      <c r="G14"/>
      <c r="H14"/>
      <c r="I14"/>
      <c r="J14"/>
      <c r="K14"/>
      <c r="L14"/>
      <c r="M14"/>
      <c r="N14"/>
      <c r="O14"/>
    </row>
    <row r="15" spans="1:15" ht="14.4" x14ac:dyDescent="0.3">
      <c r="A15" s="25" t="s">
        <v>161</v>
      </c>
      <c r="B15" s="45" t="s">
        <v>195</v>
      </c>
      <c r="C15" s="40" t="s">
        <v>153</v>
      </c>
      <c r="D15" s="40" t="s">
        <v>174</v>
      </c>
      <c r="E15" s="50">
        <v>2625.36</v>
      </c>
      <c r="F15" s="60">
        <v>2625.36</v>
      </c>
      <c r="G15"/>
      <c r="H15"/>
      <c r="I15"/>
      <c r="J15"/>
      <c r="K15"/>
      <c r="L15"/>
      <c r="M15"/>
      <c r="N15"/>
      <c r="O15"/>
    </row>
    <row r="16" spans="1:15" ht="14.4" x14ac:dyDescent="0.3">
      <c r="A16" s="58"/>
      <c r="B16" s="45" t="s">
        <v>196</v>
      </c>
      <c r="C16" s="40" t="s">
        <v>152</v>
      </c>
      <c r="D16" s="40" t="s">
        <v>173</v>
      </c>
      <c r="E16" s="50">
        <v>300</v>
      </c>
      <c r="F16" s="60">
        <v>300</v>
      </c>
      <c r="G16"/>
      <c r="H16"/>
      <c r="I16"/>
      <c r="J16"/>
      <c r="K16"/>
      <c r="L16"/>
      <c r="M16"/>
      <c r="N16"/>
      <c r="O16"/>
    </row>
    <row r="17" spans="1:15" ht="14.4" x14ac:dyDescent="0.3">
      <c r="A17" s="53"/>
      <c r="B17" s="54"/>
      <c r="C17" s="54"/>
      <c r="D17" s="54"/>
      <c r="E17" s="55"/>
      <c r="F17" s="61"/>
      <c r="G17"/>
      <c r="H17"/>
      <c r="I17"/>
      <c r="J17"/>
      <c r="K17"/>
      <c r="L17"/>
      <c r="M17"/>
      <c r="N17"/>
      <c r="O17"/>
    </row>
    <row r="18" spans="1:15" ht="15" thickBot="1" x14ac:dyDescent="0.35">
      <c r="A18" s="26" t="s">
        <v>81</v>
      </c>
      <c r="B18" s="14"/>
      <c r="C18" s="14"/>
      <c r="D18" s="14"/>
      <c r="E18" s="32">
        <v>2925.36</v>
      </c>
      <c r="F18" s="34">
        <v>2925.36</v>
      </c>
      <c r="G18"/>
      <c r="H18"/>
      <c r="I18"/>
      <c r="J18"/>
      <c r="K18"/>
      <c r="L18"/>
      <c r="M18"/>
      <c r="N18"/>
      <c r="O18"/>
    </row>
    <row r="19" spans="1:15" ht="15" thickTop="1" x14ac:dyDescent="0.3">
      <c r="A19"/>
      <c r="B19"/>
      <c r="C19"/>
      <c r="D19"/>
      <c r="E19"/>
      <c r="F19"/>
      <c r="G19"/>
      <c r="H19"/>
      <c r="I19"/>
    </row>
    <row r="20" spans="1:15" ht="14.4" x14ac:dyDescent="0.3">
      <c r="A20"/>
      <c r="B20"/>
      <c r="C20"/>
      <c r="D20"/>
      <c r="E20"/>
      <c r="F20"/>
      <c r="G20"/>
      <c r="H20"/>
      <c r="I20"/>
    </row>
    <row r="21" spans="1:15" ht="14.4" x14ac:dyDescent="0.3">
      <c r="A21"/>
      <c r="B21"/>
      <c r="C21"/>
      <c r="D21"/>
      <c r="E21"/>
      <c r="F21"/>
      <c r="G21"/>
      <c r="H21"/>
      <c r="I21"/>
    </row>
    <row r="22" spans="1:15" ht="14.4" x14ac:dyDescent="0.3">
      <c r="A22"/>
      <c r="B22"/>
      <c r="C22"/>
      <c r="D22"/>
      <c r="E22"/>
      <c r="F22"/>
      <c r="G22"/>
      <c r="H22"/>
      <c r="I22"/>
    </row>
    <row r="23" spans="1:15" ht="14.4" x14ac:dyDescent="0.3">
      <c r="A23"/>
      <c r="B23"/>
      <c r="C23"/>
      <c r="D23"/>
      <c r="E23"/>
      <c r="F23"/>
      <c r="G23"/>
      <c r="H23"/>
      <c r="I23"/>
    </row>
    <row r="24" spans="1:15" ht="14.4" x14ac:dyDescent="0.3">
      <c r="A24"/>
      <c r="B24"/>
      <c r="C24"/>
      <c r="D24"/>
      <c r="E24"/>
      <c r="F24"/>
      <c r="G24"/>
      <c r="H24"/>
      <c r="I24"/>
    </row>
    <row r="25" spans="1:15" ht="14.4" x14ac:dyDescent="0.3">
      <c r="A25"/>
      <c r="B25"/>
      <c r="C25"/>
      <c r="D25"/>
      <c r="E25"/>
      <c r="F25"/>
      <c r="G25"/>
      <c r="H25"/>
      <c r="I25"/>
    </row>
    <row r="26" spans="1:15" ht="14.4" x14ac:dyDescent="0.3">
      <c r="A26"/>
      <c r="B26"/>
      <c r="C26"/>
      <c r="D26"/>
      <c r="E26"/>
      <c r="F26"/>
      <c r="G26"/>
      <c r="H26"/>
      <c r="I26"/>
    </row>
    <row r="27" spans="1:15" ht="14.4" x14ac:dyDescent="0.3">
      <c r="A27"/>
      <c r="B27"/>
      <c r="C27"/>
      <c r="D27"/>
      <c r="E27"/>
      <c r="F27"/>
      <c r="G27"/>
      <c r="H27"/>
      <c r="I27"/>
    </row>
    <row r="28" spans="1:15" ht="14.4" x14ac:dyDescent="0.3">
      <c r="A28"/>
      <c r="B28"/>
      <c r="C28"/>
      <c r="D28"/>
      <c r="E28"/>
      <c r="F28"/>
      <c r="G28"/>
      <c r="H28"/>
      <c r="I28"/>
    </row>
    <row r="29" spans="1:15" ht="14.4" x14ac:dyDescent="0.3">
      <c r="A29"/>
      <c r="B29"/>
      <c r="C29"/>
      <c r="D29"/>
      <c r="E29"/>
      <c r="F29"/>
      <c r="G29"/>
      <c r="H29"/>
      <c r="I29"/>
    </row>
    <row r="30" spans="1:15" ht="14.4" x14ac:dyDescent="0.3">
      <c r="A30"/>
      <c r="B30"/>
      <c r="C30"/>
      <c r="D30"/>
      <c r="E30"/>
      <c r="F30"/>
      <c r="G30"/>
      <c r="H30"/>
      <c r="I30"/>
    </row>
    <row r="31" spans="1:15" ht="14.4" x14ac:dyDescent="0.3">
      <c r="A31"/>
      <c r="B31"/>
      <c r="C31"/>
      <c r="D31"/>
      <c r="E31"/>
      <c r="F31"/>
      <c r="G31"/>
      <c r="H31"/>
      <c r="I31"/>
    </row>
    <row r="32" spans="1:15" ht="14.4" x14ac:dyDescent="0.3">
      <c r="A32"/>
      <c r="B32"/>
      <c r="C32"/>
      <c r="D32"/>
      <c r="E32"/>
      <c r="F32"/>
      <c r="G32"/>
      <c r="H32"/>
      <c r="I32"/>
    </row>
    <row r="33" spans="1:9" ht="15" thickBot="1" x14ac:dyDescent="0.35">
      <c r="A33"/>
      <c r="B33"/>
      <c r="C33"/>
      <c r="D33"/>
      <c r="E33"/>
      <c r="F33"/>
      <c r="G33"/>
      <c r="H33"/>
      <c r="I33"/>
    </row>
    <row r="34" spans="1:9" ht="15" thickTop="1" x14ac:dyDescent="0.3">
      <c r="A34"/>
      <c r="B34"/>
      <c r="C34"/>
      <c r="D34"/>
      <c r="E34"/>
      <c r="F34"/>
      <c r="G34"/>
      <c r="H34"/>
      <c r="I34"/>
    </row>
    <row r="35" spans="1:9" ht="14.4" x14ac:dyDescent="0.3">
      <c r="A35"/>
      <c r="B35"/>
      <c r="C35"/>
      <c r="D35"/>
      <c r="E35"/>
      <c r="F35"/>
      <c r="G35"/>
      <c r="H35"/>
      <c r="I35"/>
    </row>
    <row r="36" spans="1:9" ht="14.4" x14ac:dyDescent="0.3">
      <c r="A36"/>
      <c r="B36"/>
      <c r="C36"/>
      <c r="D36"/>
      <c r="E36"/>
      <c r="F36"/>
      <c r="G36"/>
      <c r="H36"/>
      <c r="I36"/>
    </row>
    <row r="37" spans="1:9" ht="14.4" x14ac:dyDescent="0.3">
      <c r="A37"/>
      <c r="B37"/>
      <c r="C37"/>
      <c r="D37"/>
      <c r="E37"/>
      <c r="F37"/>
      <c r="G37"/>
      <c r="H37"/>
      <c r="I37"/>
    </row>
    <row r="38" spans="1:9" ht="14.4" x14ac:dyDescent="0.3">
      <c r="A38"/>
      <c r="B38"/>
      <c r="C38"/>
      <c r="D38"/>
      <c r="E38"/>
      <c r="F38"/>
      <c r="G38"/>
      <c r="H38"/>
      <c r="I38"/>
    </row>
    <row r="39" spans="1:9" ht="15" thickBot="1" x14ac:dyDescent="0.35">
      <c r="A39"/>
      <c r="B39"/>
      <c r="C39"/>
      <c r="D39"/>
      <c r="E39"/>
      <c r="F39"/>
      <c r="G39"/>
      <c r="H39"/>
      <c r="I39"/>
    </row>
    <row r="40" spans="1:9" ht="15" thickTop="1" x14ac:dyDescent="0.3">
      <c r="A40"/>
      <c r="B40"/>
      <c r="C40"/>
      <c r="D40"/>
      <c r="E40"/>
      <c r="F40"/>
      <c r="G40"/>
      <c r="H40"/>
      <c r="I40"/>
    </row>
    <row r="41" spans="1:9" ht="14.4" x14ac:dyDescent="0.3">
      <c r="A41"/>
      <c r="B41"/>
      <c r="C41"/>
      <c r="D41"/>
      <c r="E41"/>
      <c r="F41"/>
      <c r="G41"/>
      <c r="H41"/>
      <c r="I41"/>
    </row>
    <row r="42" spans="1:9" ht="14.4" x14ac:dyDescent="0.3">
      <c r="A42"/>
      <c r="B42"/>
      <c r="C42"/>
      <c r="D42"/>
      <c r="E42"/>
      <c r="F42"/>
      <c r="G42"/>
      <c r="H42"/>
      <c r="I42"/>
    </row>
    <row r="43" spans="1:9" ht="15" thickBot="1" x14ac:dyDescent="0.35">
      <c r="A43"/>
      <c r="B43"/>
      <c r="C43"/>
      <c r="D43"/>
      <c r="E43"/>
      <c r="F43"/>
      <c r="G43"/>
      <c r="H43"/>
      <c r="I43"/>
    </row>
    <row r="44" spans="1:9" ht="15" thickTop="1" x14ac:dyDescent="0.3">
      <c r="A44"/>
      <c r="B44"/>
      <c r="C44"/>
      <c r="D44"/>
      <c r="E44"/>
      <c r="F44"/>
      <c r="G44"/>
      <c r="H44"/>
      <c r="I44"/>
    </row>
    <row r="45" spans="1:9" ht="14.4" x14ac:dyDescent="0.3">
      <c r="A45"/>
      <c r="B45"/>
      <c r="C45"/>
      <c r="D45"/>
      <c r="E45"/>
      <c r="F45"/>
      <c r="G45"/>
      <c r="H45"/>
      <c r="I45"/>
    </row>
    <row r="46" spans="1:9" ht="15" thickBot="1" x14ac:dyDescent="0.35">
      <c r="A46"/>
      <c r="B46"/>
      <c r="C46"/>
      <c r="D46"/>
      <c r="E46"/>
      <c r="F46"/>
      <c r="G46"/>
      <c r="H46"/>
      <c r="I46"/>
    </row>
    <row r="47" spans="1:9" ht="15" thickTop="1" x14ac:dyDescent="0.3">
      <c r="A47"/>
      <c r="B47"/>
      <c r="C47"/>
      <c r="D47"/>
      <c r="E47"/>
      <c r="F47"/>
      <c r="G47"/>
      <c r="H47"/>
      <c r="I47"/>
    </row>
    <row r="48" spans="1:9" ht="14.4" x14ac:dyDescent="0.3">
      <c r="A48"/>
      <c r="B48"/>
      <c r="C48"/>
      <c r="D48"/>
      <c r="E48"/>
      <c r="F48"/>
      <c r="G48"/>
      <c r="H48"/>
      <c r="I48"/>
    </row>
    <row r="49" spans="1:9" ht="15" thickBot="1" x14ac:dyDescent="0.35">
      <c r="A49"/>
      <c r="B49"/>
      <c r="C49"/>
      <c r="D49"/>
      <c r="E49"/>
      <c r="F49"/>
      <c r="G49"/>
      <c r="H49"/>
      <c r="I49"/>
    </row>
    <row r="50" spans="1:9" ht="15" thickTop="1" x14ac:dyDescent="0.3">
      <c r="A50"/>
      <c r="B50"/>
      <c r="C50"/>
      <c r="D50"/>
      <c r="E50"/>
      <c r="F50"/>
      <c r="G50"/>
      <c r="H50"/>
      <c r="I50"/>
    </row>
    <row r="51" spans="1:9" ht="14.4" x14ac:dyDescent="0.3">
      <c r="A51"/>
      <c r="B51"/>
      <c r="C51"/>
      <c r="D51"/>
      <c r="E51"/>
      <c r="F51"/>
      <c r="G51"/>
      <c r="H51"/>
      <c r="I51"/>
    </row>
    <row r="52" spans="1:9" ht="15" thickBot="1" x14ac:dyDescent="0.35">
      <c r="A52"/>
      <c r="B52"/>
      <c r="C52"/>
      <c r="D52"/>
      <c r="E52"/>
      <c r="F52"/>
      <c r="G52"/>
      <c r="H52"/>
      <c r="I52"/>
    </row>
    <row r="53" spans="1:9" ht="15" thickTop="1" x14ac:dyDescent="0.3">
      <c r="A53"/>
      <c r="B53"/>
      <c r="C53"/>
      <c r="D53"/>
      <c r="E53"/>
      <c r="F53"/>
      <c r="G53"/>
      <c r="H53"/>
      <c r="I53"/>
    </row>
    <row r="54" spans="1:9" ht="14.4" x14ac:dyDescent="0.3">
      <c r="A54"/>
      <c r="B54"/>
      <c r="C54"/>
      <c r="D54"/>
      <c r="E54"/>
      <c r="F54"/>
      <c r="G54"/>
      <c r="H54"/>
      <c r="I54"/>
    </row>
    <row r="55" spans="1:9" ht="15" thickBot="1" x14ac:dyDescent="0.35">
      <c r="A55"/>
      <c r="B55"/>
      <c r="C55"/>
      <c r="D55"/>
      <c r="E55"/>
      <c r="F55"/>
      <c r="G55"/>
      <c r="H55"/>
      <c r="I55"/>
    </row>
    <row r="56" spans="1:9" ht="15" thickTop="1" x14ac:dyDescent="0.3">
      <c r="A56"/>
      <c r="B56"/>
      <c r="C56"/>
      <c r="D56"/>
      <c r="E56"/>
      <c r="F56"/>
      <c r="G56"/>
      <c r="H56"/>
      <c r="I56"/>
    </row>
    <row r="57" spans="1:9" ht="14.4" x14ac:dyDescent="0.3">
      <c r="A57"/>
      <c r="B57"/>
      <c r="C57"/>
      <c r="D57"/>
      <c r="E57"/>
      <c r="F57"/>
      <c r="G57"/>
      <c r="H57"/>
      <c r="I57"/>
    </row>
    <row r="58" spans="1:9" ht="14.4" x14ac:dyDescent="0.3">
      <c r="A58"/>
      <c r="B58"/>
      <c r="C58"/>
      <c r="D58"/>
      <c r="E58"/>
      <c r="F58"/>
      <c r="G58"/>
      <c r="H58"/>
      <c r="I58"/>
    </row>
    <row r="59" spans="1:9" ht="15" thickBot="1" x14ac:dyDescent="0.35">
      <c r="A59"/>
      <c r="B59"/>
      <c r="C59"/>
      <c r="D59"/>
      <c r="E59"/>
      <c r="F59"/>
      <c r="G59"/>
      <c r="H59"/>
      <c r="I59"/>
    </row>
    <row r="60" spans="1:9" ht="15" thickTop="1" x14ac:dyDescent="0.3">
      <c r="A60"/>
      <c r="B60"/>
      <c r="C60"/>
      <c r="D60"/>
      <c r="E60"/>
      <c r="F60"/>
      <c r="G60"/>
      <c r="H60"/>
      <c r="I60"/>
    </row>
    <row r="61" spans="1:9" ht="14.4" x14ac:dyDescent="0.3">
      <c r="A61"/>
      <c r="B61"/>
      <c r="C61"/>
      <c r="D61"/>
      <c r="E61"/>
      <c r="F61"/>
      <c r="G61"/>
      <c r="H61"/>
      <c r="I61"/>
    </row>
    <row r="62" spans="1:9" ht="15" thickBot="1" x14ac:dyDescent="0.35">
      <c r="A62"/>
      <c r="B62"/>
      <c r="C62"/>
      <c r="D62"/>
      <c r="E62"/>
      <c r="F62"/>
      <c r="G62"/>
      <c r="H62"/>
      <c r="I62"/>
    </row>
    <row r="63" spans="1:9" ht="15" thickTop="1" x14ac:dyDescent="0.3">
      <c r="A63"/>
      <c r="B63"/>
      <c r="C63"/>
      <c r="D63"/>
      <c r="E63"/>
      <c r="F63"/>
      <c r="G63"/>
      <c r="H63"/>
      <c r="I63"/>
    </row>
    <row r="64" spans="1:9" ht="14.4" x14ac:dyDescent="0.3">
      <c r="A64"/>
      <c r="B64"/>
      <c r="C64"/>
      <c r="D64"/>
      <c r="E64"/>
      <c r="F64"/>
      <c r="G64"/>
      <c r="H64"/>
      <c r="I64"/>
    </row>
    <row r="65" spans="1:9" ht="15" thickBot="1" x14ac:dyDescent="0.35">
      <c r="A65"/>
      <c r="B65"/>
      <c r="C65"/>
      <c r="D65"/>
      <c r="E65"/>
      <c r="F65"/>
      <c r="G65"/>
      <c r="H65"/>
      <c r="I65"/>
    </row>
    <row r="66" spans="1:9" ht="15" thickTop="1" x14ac:dyDescent="0.3">
      <c r="A66"/>
      <c r="B66"/>
      <c r="C66"/>
      <c r="D66"/>
      <c r="E66"/>
      <c r="F66"/>
      <c r="G66"/>
      <c r="H66"/>
      <c r="I66"/>
    </row>
    <row r="67" spans="1:9" ht="14.4" x14ac:dyDescent="0.3">
      <c r="A67"/>
      <c r="B67"/>
      <c r="C67"/>
      <c r="D67"/>
      <c r="E67"/>
      <c r="F67"/>
      <c r="G67"/>
      <c r="H67"/>
      <c r="I67"/>
    </row>
    <row r="68" spans="1:9" ht="15" thickBot="1" x14ac:dyDescent="0.35">
      <c r="A68"/>
      <c r="B68"/>
      <c r="C68"/>
      <c r="D68"/>
      <c r="E68"/>
      <c r="F68"/>
      <c r="G68"/>
      <c r="H68"/>
      <c r="I68"/>
    </row>
    <row r="69" spans="1:9" ht="15" thickTop="1" x14ac:dyDescent="0.3">
      <c r="A69"/>
      <c r="B69"/>
      <c r="C69"/>
      <c r="D69"/>
      <c r="E69"/>
      <c r="F69"/>
      <c r="G69"/>
      <c r="H69"/>
      <c r="I69"/>
    </row>
    <row r="70" spans="1:9" ht="14.4" x14ac:dyDescent="0.3">
      <c r="A70"/>
      <c r="B70"/>
      <c r="C70"/>
      <c r="D70"/>
      <c r="E70"/>
      <c r="F70"/>
      <c r="G70"/>
      <c r="H70"/>
      <c r="I70"/>
    </row>
    <row r="71" spans="1:9" ht="15" thickBot="1" x14ac:dyDescent="0.35">
      <c r="A71"/>
      <c r="B71"/>
      <c r="C71"/>
      <c r="D71"/>
      <c r="E71"/>
      <c r="F71"/>
      <c r="G71"/>
      <c r="H71"/>
      <c r="I71"/>
    </row>
    <row r="72" spans="1:9" ht="15" thickTop="1" x14ac:dyDescent="0.3">
      <c r="A72"/>
      <c r="B72"/>
      <c r="C72"/>
      <c r="D72"/>
      <c r="E72"/>
      <c r="F72"/>
      <c r="G72"/>
      <c r="H72"/>
      <c r="I72"/>
    </row>
    <row r="73" spans="1:9" ht="14.4" x14ac:dyDescent="0.3">
      <c r="A73"/>
      <c r="B73"/>
      <c r="C73"/>
      <c r="D73"/>
      <c r="E73"/>
      <c r="F73"/>
      <c r="G73"/>
      <c r="H73"/>
      <c r="I73"/>
    </row>
    <row r="74" spans="1:9" ht="15" thickBot="1" x14ac:dyDescent="0.35">
      <c r="A74"/>
      <c r="B74"/>
      <c r="C74"/>
      <c r="D74"/>
      <c r="E74"/>
      <c r="F74"/>
      <c r="G74"/>
      <c r="H74"/>
      <c r="I74"/>
    </row>
    <row r="75" spans="1:9" ht="15" thickTop="1" x14ac:dyDescent="0.3">
      <c r="A75"/>
      <c r="B75"/>
      <c r="C75"/>
      <c r="D75"/>
      <c r="E75"/>
      <c r="F75"/>
      <c r="G75"/>
      <c r="H75"/>
      <c r="I75"/>
    </row>
    <row r="76" spans="1:9" ht="15" thickBot="1" x14ac:dyDescent="0.35">
      <c r="A76"/>
      <c r="B76"/>
      <c r="C76"/>
      <c r="D76"/>
      <c r="E76"/>
      <c r="F76"/>
      <c r="G76"/>
      <c r="H76"/>
      <c r="I76"/>
    </row>
    <row r="77" spans="1:9" ht="13.8" thickTop="1" x14ac:dyDescent="0.25"/>
  </sheetData>
  <sheetProtection pivotTables="0"/>
  <pageMargins left="0.78740157499999996" right="0.78740157499999996" top="0.984251969" bottom="0.984251969" header="0.5" footer="0.5"/>
  <pageSetup paperSize="9" scale="53" fitToHeight="0" orientation="portrait" verticalDpi="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>
    <tabColor rgb="FFFF8080"/>
  </sheetPr>
  <dimension ref="A1:B8"/>
  <sheetViews>
    <sheetView showGridLines="0" zoomScale="85" zoomScaleNormal="85" workbookViewId="0">
      <pane ySplit="6" topLeftCell="A7" activePane="bottomLeft" state="frozen"/>
      <selection activeCell="D14" sqref="D14"/>
      <selection pane="bottomLeft" activeCell="K31" sqref="K31"/>
    </sheetView>
  </sheetViews>
  <sheetFormatPr defaultColWidth="11.44140625" defaultRowHeight="13.2" x14ac:dyDescent="0.25"/>
  <cols>
    <col min="1" max="1" width="8.5546875" style="23" customWidth="1"/>
    <col min="2" max="2" width="6.77734375" style="23" customWidth="1"/>
    <col min="3" max="16384" width="11.44140625" style="23"/>
  </cols>
  <sheetData>
    <row r="1" spans="1:2" ht="30" customHeight="1" x14ac:dyDescent="0.4">
      <c r="A1" s="27"/>
      <c r="B1" s="27"/>
    </row>
    <row r="2" spans="1:2" x14ac:dyDescent="0.25">
      <c r="A2" s="28" t="s">
        <v>86</v>
      </c>
    </row>
    <row r="6" spans="1:2" x14ac:dyDescent="0.25">
      <c r="A6" s="29" t="s">
        <v>2</v>
      </c>
      <c r="B6" s="29" t="s">
        <v>87</v>
      </c>
    </row>
    <row r="7" spans="1:2" x14ac:dyDescent="0.25">
      <c r="A7" s="30">
        <v>3925</v>
      </c>
      <c r="B7" s="30">
        <v>3</v>
      </c>
    </row>
    <row r="8" spans="1:2" x14ac:dyDescent="0.25">
      <c r="A8" s="30">
        <v>315</v>
      </c>
      <c r="B8" s="30">
        <v>3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Database</vt:lpstr>
      <vt:lpstr>ExchangeRates</vt:lpstr>
      <vt:lpstr>PvtTableDef</vt:lpstr>
      <vt:lpstr>LocalLists</vt:lpstr>
      <vt:lpstr>MARMDPK</vt:lpstr>
      <vt:lpstr>MARMFPK</vt:lpstr>
      <vt:lpstr>ReportOptions</vt:lpstr>
      <vt:lpstr>Version</vt:lpstr>
      <vt:lpstr>Rapport info</vt:lpstr>
      <vt:lpstr>Elverum</vt:lpstr>
      <vt:lpstr>Oversikt</vt:lpstr>
      <vt:lpstr>Uke Visning</vt:lpstr>
      <vt:lpstr>Blande Faktorer</vt:lpstr>
      <vt:lpstr>Currency</vt:lpstr>
      <vt:lpstr>Database</vt:lpstr>
      <vt:lpstr>FirstSheet</vt:lpstr>
      <vt:lpstr>FirstTable</vt:lpstr>
      <vt:lpstr>MaterialPrice</vt:lpstr>
      <vt:lpstr>'Blande Faktorer'!MixingFactors</vt:lpstr>
      <vt:lpstr>Elverum!Print_Titles</vt:lpstr>
      <vt:lpstr>Oversikt!Print_Titles</vt:lpstr>
      <vt:lpstr>'Uke Visning'!Print_Titles</vt:lpstr>
      <vt:lpstr>ProductHierarchy</vt:lpstr>
      <vt:lpstr>QuantityUnit</vt:lpstr>
      <vt:lpstr>RecNum</vt:lpstr>
      <vt:lpstr>ReportCaption</vt:lpstr>
      <vt:lpstr>ReportCaption1</vt:lpstr>
      <vt:lpstr>ReportID</vt:lpstr>
      <vt:lpstr>SalesValue</vt:lpstr>
      <vt:lpstr>SapExlReportName</vt:lpstr>
      <vt:lpstr>Time_Used</vt:lpstr>
      <vt:lpstr>Updated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2018-01-16T09:08:09Z</dcterms:modified>
</cp:coreProperties>
</file>